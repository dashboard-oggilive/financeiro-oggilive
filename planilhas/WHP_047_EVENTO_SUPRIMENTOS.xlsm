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3 março\"/>
    </mc:Choice>
  </mc:AlternateContent>
  <xr:revisionPtr revIDLastSave="0" documentId="13_ncr:1_{97B5C3F5-F5C2-4A9B-B373-6A9FEDE1B4E0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92" r:id="rId1"/>
    <sheet name="Principal" sheetId="91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Principal!$A$1:$AL$14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92" l="1"/>
  <c r="AN59" i="91"/>
  <c r="AN52" i="91"/>
  <c r="AN20" i="91"/>
  <c r="AN32" i="91"/>
  <c r="AN58" i="91"/>
  <c r="E3" i="92"/>
  <c r="S32" i="91"/>
  <c r="S20" i="91"/>
  <c r="R47" i="91" l="1"/>
  <c r="Q47" i="91"/>
  <c r="Z47" i="91" s="1"/>
  <c r="K47" i="91"/>
  <c r="M47" i="91" s="1"/>
  <c r="R46" i="91"/>
  <c r="Q46" i="91"/>
  <c r="Y46" i="91" s="1"/>
  <c r="K46" i="91"/>
  <c r="M46" i="91" s="1"/>
  <c r="R45" i="91"/>
  <c r="Q45" i="91"/>
  <c r="T45" i="91" s="1"/>
  <c r="K45" i="91"/>
  <c r="R44" i="91"/>
  <c r="Q44" i="91"/>
  <c r="Z44" i="91" s="1"/>
  <c r="K44" i="91"/>
  <c r="R43" i="91"/>
  <c r="Q43" i="91"/>
  <c r="Z43" i="91" s="1"/>
  <c r="K43" i="91"/>
  <c r="M43" i="91" s="1"/>
  <c r="R42" i="91"/>
  <c r="T42" i="91" s="1"/>
  <c r="Q42" i="91"/>
  <c r="V42" i="91" s="1"/>
  <c r="K42" i="91"/>
  <c r="Q41" i="91"/>
  <c r="Q40" i="91"/>
  <c r="R30" i="91"/>
  <c r="Q30" i="91"/>
  <c r="K30" i="91"/>
  <c r="L30" i="91" s="1"/>
  <c r="R29" i="91"/>
  <c r="Q29" i="91"/>
  <c r="K29" i="91"/>
  <c r="Q28" i="91"/>
  <c r="R28" i="91"/>
  <c r="K28" i="91"/>
  <c r="L28" i="91" s="1"/>
  <c r="W45" i="91" l="1"/>
  <c r="X45" i="91"/>
  <c r="AM45" i="91" s="1"/>
  <c r="L43" i="91"/>
  <c r="U45" i="91"/>
  <c r="W43" i="91"/>
  <c r="V45" i="91"/>
  <c r="U43" i="91"/>
  <c r="K49" i="91"/>
  <c r="K48" i="91"/>
  <c r="W44" i="91"/>
  <c r="V44" i="91"/>
  <c r="Y43" i="91"/>
  <c r="X44" i="91"/>
  <c r="AM44" i="91" s="1"/>
  <c r="N43" i="91"/>
  <c r="Y44" i="91"/>
  <c r="L47" i="91"/>
  <c r="N47" i="91" s="1"/>
  <c r="L45" i="91"/>
  <c r="T44" i="91"/>
  <c r="T49" i="91" s="1"/>
  <c r="M45" i="91"/>
  <c r="L46" i="91"/>
  <c r="N46" i="91" s="1"/>
  <c r="T47" i="91"/>
  <c r="T43" i="91"/>
  <c r="T48" i="91" s="1"/>
  <c r="U44" i="91"/>
  <c r="W47" i="91"/>
  <c r="U42" i="91"/>
  <c r="Y45" i="91"/>
  <c r="U47" i="91"/>
  <c r="L44" i="91"/>
  <c r="V43" i="91"/>
  <c r="M44" i="91"/>
  <c r="N44" i="91" s="1"/>
  <c r="Z45" i="91"/>
  <c r="T46" i="91"/>
  <c r="V47" i="91"/>
  <c r="Z46" i="91"/>
  <c r="L42" i="91"/>
  <c r="U46" i="91"/>
  <c r="X43" i="91"/>
  <c r="AM43" i="91" s="1"/>
  <c r="V46" i="91"/>
  <c r="X47" i="91"/>
  <c r="AM47" i="91" s="1"/>
  <c r="W46" i="91"/>
  <c r="Y47" i="91"/>
  <c r="X46" i="91"/>
  <c r="AM46" i="91" s="1"/>
  <c r="M30" i="91"/>
  <c r="N30" i="91" s="1"/>
  <c r="U30" i="91"/>
  <c r="Z30" i="91" s="1"/>
  <c r="V30" i="91"/>
  <c r="U29" i="91"/>
  <c r="V29" i="91"/>
  <c r="L29" i="91"/>
  <c r="M28" i="91"/>
  <c r="V28" i="91"/>
  <c r="R20" i="91"/>
  <c r="Q20" i="91"/>
  <c r="K20" i="91"/>
  <c r="K22" i="91" s="1"/>
  <c r="K32" i="91"/>
  <c r="L32" i="91" s="1"/>
  <c r="R53" i="91"/>
  <c r="Q53" i="91"/>
  <c r="K53" i="91"/>
  <c r="L53" i="91" s="1"/>
  <c r="R54" i="91"/>
  <c r="Q54" i="91"/>
  <c r="K54" i="91"/>
  <c r="R55" i="91"/>
  <c r="Q55" i="91"/>
  <c r="K55" i="91"/>
  <c r="L55" i="91" s="1"/>
  <c r="R52" i="91"/>
  <c r="Q52" i="91"/>
  <c r="K52" i="91"/>
  <c r="Q51" i="91"/>
  <c r="Q50" i="91"/>
  <c r="R37" i="91"/>
  <c r="Q37" i="91"/>
  <c r="Z37" i="91" s="1"/>
  <c r="K37" i="91"/>
  <c r="M37" i="91" s="1"/>
  <c r="R36" i="91"/>
  <c r="Q36" i="91"/>
  <c r="Z36" i="91" s="1"/>
  <c r="K36" i="91"/>
  <c r="M36" i="91" s="1"/>
  <c r="R35" i="91"/>
  <c r="Q35" i="91"/>
  <c r="Z35" i="91" s="1"/>
  <c r="K35" i="91"/>
  <c r="M35" i="91" s="1"/>
  <c r="R34" i="91"/>
  <c r="Q34" i="91"/>
  <c r="Z34" i="91" s="1"/>
  <c r="K34" i="91"/>
  <c r="M34" i="91" s="1"/>
  <c r="R33" i="91"/>
  <c r="Q33" i="91"/>
  <c r="Z33" i="91" s="1"/>
  <c r="K33" i="91"/>
  <c r="M33" i="91" s="1"/>
  <c r="R32" i="91"/>
  <c r="Q32" i="91"/>
  <c r="V32" i="91" s="1"/>
  <c r="R31" i="91"/>
  <c r="Q31" i="91"/>
  <c r="K31" i="91"/>
  <c r="R27" i="91"/>
  <c r="Q27" i="91"/>
  <c r="K27" i="91"/>
  <c r="R26" i="91"/>
  <c r="Q26" i="91"/>
  <c r="K26" i="91"/>
  <c r="K39" i="91" s="1"/>
  <c r="Q25" i="91"/>
  <c r="Q24" i="91"/>
  <c r="R21" i="91"/>
  <c r="Q21" i="91"/>
  <c r="K21" i="91"/>
  <c r="Q19" i="91"/>
  <c r="R17" i="91"/>
  <c r="Q17" i="91"/>
  <c r="K17" i="91"/>
  <c r="Q16" i="91"/>
  <c r="Q15" i="91"/>
  <c r="Z12" i="91"/>
  <c r="N45" i="91" l="1"/>
  <c r="K57" i="91"/>
  <c r="K56" i="91"/>
  <c r="K38" i="91"/>
  <c r="L49" i="91"/>
  <c r="L48" i="91"/>
  <c r="K23" i="91"/>
  <c r="K18" i="91"/>
  <c r="Z42" i="91"/>
  <c r="U48" i="91"/>
  <c r="U49" i="91"/>
  <c r="K58" i="91"/>
  <c r="M29" i="91"/>
  <c r="U28" i="91"/>
  <c r="W28" i="91" s="1"/>
  <c r="X28" i="91" s="1"/>
  <c r="AM28" i="91" s="1"/>
  <c r="Z28" i="91"/>
  <c r="N28" i="91"/>
  <c r="M42" i="91"/>
  <c r="W42" i="91"/>
  <c r="X42" i="91" s="1"/>
  <c r="W30" i="91"/>
  <c r="X30" i="91" s="1"/>
  <c r="W29" i="91"/>
  <c r="X29" i="91" s="1"/>
  <c r="AM29" i="91" s="1"/>
  <c r="Z29" i="91"/>
  <c r="U33" i="91"/>
  <c r="V20" i="91"/>
  <c r="L20" i="91"/>
  <c r="L22" i="91" s="1"/>
  <c r="W35" i="91"/>
  <c r="U53" i="91"/>
  <c r="Z53" i="91" s="1"/>
  <c r="V53" i="91"/>
  <c r="M53" i="91"/>
  <c r="N53" i="91" s="1"/>
  <c r="T54" i="91"/>
  <c r="V54" i="91"/>
  <c r="X33" i="91"/>
  <c r="AM33" i="91" s="1"/>
  <c r="X35" i="91"/>
  <c r="AM35" i="91" s="1"/>
  <c r="U37" i="91"/>
  <c r="L54" i="91"/>
  <c r="Y35" i="91"/>
  <c r="X37" i="91"/>
  <c r="AM37" i="91" s="1"/>
  <c r="U31" i="91"/>
  <c r="U35" i="91"/>
  <c r="T35" i="91"/>
  <c r="V35" i="91"/>
  <c r="V52" i="91"/>
  <c r="L34" i="91"/>
  <c r="N34" i="91" s="1"/>
  <c r="T36" i="91"/>
  <c r="T34" i="91"/>
  <c r="U36" i="91"/>
  <c r="W36" i="91"/>
  <c r="L35" i="91"/>
  <c r="N35" i="91" s="1"/>
  <c r="M55" i="91"/>
  <c r="N55" i="91" s="1"/>
  <c r="T55" i="91"/>
  <c r="L52" i="91"/>
  <c r="V55" i="91"/>
  <c r="L33" i="91"/>
  <c r="N33" i="91" s="1"/>
  <c r="Y33" i="91"/>
  <c r="U34" i="91"/>
  <c r="V36" i="91"/>
  <c r="T37" i="91"/>
  <c r="W34" i="91"/>
  <c r="V37" i="91"/>
  <c r="V34" i="91"/>
  <c r="T33" i="91"/>
  <c r="X34" i="91"/>
  <c r="AM34" i="91" s="1"/>
  <c r="L36" i="91"/>
  <c r="N36" i="91" s="1"/>
  <c r="W37" i="91"/>
  <c r="V33" i="91"/>
  <c r="L37" i="91"/>
  <c r="N37" i="91" s="1"/>
  <c r="Y37" i="91"/>
  <c r="W33" i="91"/>
  <c r="V31" i="91"/>
  <c r="M32" i="91"/>
  <c r="N32" i="91" s="1"/>
  <c r="L31" i="91"/>
  <c r="U27" i="91"/>
  <c r="Z27" i="91" s="1"/>
  <c r="V27" i="91"/>
  <c r="V26" i="91"/>
  <c r="L27" i="91"/>
  <c r="M27" i="91" s="1"/>
  <c r="N27" i="91" s="1"/>
  <c r="L26" i="91"/>
  <c r="L38" i="91" s="1"/>
  <c r="X36" i="91"/>
  <c r="AM36" i="91" s="1"/>
  <c r="Y36" i="91"/>
  <c r="Y34" i="91"/>
  <c r="U21" i="91"/>
  <c r="V21" i="91"/>
  <c r="L21" i="91"/>
  <c r="L17" i="91"/>
  <c r="V17" i="91"/>
  <c r="AM42" i="91" l="1"/>
  <c r="X48" i="91"/>
  <c r="X49" i="91"/>
  <c r="L39" i="91"/>
  <c r="N42" i="91"/>
  <c r="M49" i="91"/>
  <c r="M48" i="91"/>
  <c r="M52" i="91"/>
  <c r="L57" i="91"/>
  <c r="L56" i="91"/>
  <c r="L58" i="91"/>
  <c r="K59" i="91" s="1"/>
  <c r="AN60" i="91" s="1"/>
  <c r="AN61" i="91" s="1"/>
  <c r="L23" i="91"/>
  <c r="L18" i="91"/>
  <c r="Y30" i="91"/>
  <c r="AM30" i="91"/>
  <c r="T22" i="91"/>
  <c r="AA21" i="91" s="1"/>
  <c r="T23" i="91"/>
  <c r="T18" i="91"/>
  <c r="AA17" i="91" s="1"/>
  <c r="U32" i="91"/>
  <c r="W32" i="91" s="1"/>
  <c r="X32" i="91" s="1"/>
  <c r="T38" i="91"/>
  <c r="T39" i="91"/>
  <c r="U55" i="91"/>
  <c r="T56" i="91"/>
  <c r="T57" i="91"/>
  <c r="T58" i="91"/>
  <c r="Y29" i="91"/>
  <c r="N29" i="91"/>
  <c r="Y28" i="91"/>
  <c r="Y42" i="91"/>
  <c r="M20" i="91"/>
  <c r="U52" i="91"/>
  <c r="U20" i="91"/>
  <c r="U22" i="91" s="1"/>
  <c r="W53" i="91"/>
  <c r="X53" i="91" s="1"/>
  <c r="M54" i="91"/>
  <c r="N54" i="91" s="1"/>
  <c r="U54" i="91"/>
  <c r="Z54" i="91" s="1"/>
  <c r="W31" i="91"/>
  <c r="X31" i="91" s="1"/>
  <c r="AM31" i="91" s="1"/>
  <c r="M17" i="91"/>
  <c r="U17" i="91"/>
  <c r="Z31" i="91"/>
  <c r="W27" i="91"/>
  <c r="X27" i="91" s="1"/>
  <c r="M31" i="91"/>
  <c r="U26" i="91"/>
  <c r="M26" i="91"/>
  <c r="M38" i="91" s="1"/>
  <c r="Z21" i="91"/>
  <c r="W21" i="91"/>
  <c r="X21" i="91" s="1"/>
  <c r="AM21" i="91" s="1"/>
  <c r="M21" i="91"/>
  <c r="M39" i="91" l="1"/>
  <c r="M18" i="91"/>
  <c r="M23" i="91"/>
  <c r="M56" i="91"/>
  <c r="M57" i="91"/>
  <c r="N20" i="91"/>
  <c r="M22" i="91"/>
  <c r="N49" i="91"/>
  <c r="N48" i="91"/>
  <c r="M58" i="91"/>
  <c r="Y53" i="91"/>
  <c r="AM53" i="91"/>
  <c r="Y32" i="91"/>
  <c r="AM32" i="91"/>
  <c r="Y27" i="91"/>
  <c r="AM27" i="91"/>
  <c r="Z32" i="91"/>
  <c r="U23" i="91"/>
  <c r="U18" i="91"/>
  <c r="U38" i="91"/>
  <c r="U39" i="91"/>
  <c r="Z55" i="91"/>
  <c r="U57" i="91"/>
  <c r="U56" i="91"/>
  <c r="U58" i="91"/>
  <c r="W55" i="91"/>
  <c r="X55" i="91" s="1"/>
  <c r="AM55" i="91" s="1"/>
  <c r="Y48" i="91"/>
  <c r="Y49" i="91"/>
  <c r="AA30" i="91"/>
  <c r="AA44" i="91"/>
  <c r="AA43" i="91"/>
  <c r="AA45" i="91"/>
  <c r="AA47" i="91"/>
  <c r="AA42" i="91"/>
  <c r="AA46" i="91"/>
  <c r="AA28" i="91"/>
  <c r="AA29" i="91"/>
  <c r="W52" i="91"/>
  <c r="X52" i="91" s="1"/>
  <c r="W20" i="91"/>
  <c r="X20" i="91" s="1"/>
  <c r="Z52" i="91"/>
  <c r="Z20" i="91"/>
  <c r="W26" i="91"/>
  <c r="X26" i="91" s="1"/>
  <c r="N17" i="91"/>
  <c r="AA20" i="91"/>
  <c r="AA52" i="91"/>
  <c r="AA53" i="91"/>
  <c r="AA54" i="91"/>
  <c r="W54" i="91"/>
  <c r="X54" i="91" s="1"/>
  <c r="Y31" i="91"/>
  <c r="AA55" i="91"/>
  <c r="N52" i="91"/>
  <c r="W17" i="91"/>
  <c r="X17" i="91" s="1"/>
  <c r="AM17" i="91" s="1"/>
  <c r="Z17" i="91"/>
  <c r="N31" i="91"/>
  <c r="AA37" i="91"/>
  <c r="AA27" i="91"/>
  <c r="AA36" i="91"/>
  <c r="AA35" i="91"/>
  <c r="AA34" i="91"/>
  <c r="AA33" i="91"/>
  <c r="AA31" i="91"/>
  <c r="AA32" i="91"/>
  <c r="Z26" i="91"/>
  <c r="AA26" i="91"/>
  <c r="N26" i="91"/>
  <c r="N39" i="91" s="1"/>
  <c r="N21" i="91"/>
  <c r="Y21" i="91"/>
  <c r="N57" i="91" l="1"/>
  <c r="N56" i="91"/>
  <c r="N22" i="91"/>
  <c r="N38" i="91"/>
  <c r="N23" i="91"/>
  <c r="N18" i="91"/>
  <c r="Y54" i="91"/>
  <c r="AM54" i="91"/>
  <c r="N58" i="91"/>
  <c r="C21" i="92" s="1"/>
  <c r="C22" i="92" s="1"/>
  <c r="Y52" i="91"/>
  <c r="AM52" i="91"/>
  <c r="X38" i="91"/>
  <c r="Y38" i="91" s="1"/>
  <c r="X39" i="91"/>
  <c r="Y39" i="91" s="1"/>
  <c r="AM26" i="91"/>
  <c r="X22" i="91"/>
  <c r="AM20" i="91"/>
  <c r="X18" i="91"/>
  <c r="Y18" i="91" s="1"/>
  <c r="X23" i="91"/>
  <c r="Y23" i="91" s="1"/>
  <c r="Y55" i="91"/>
  <c r="X57" i="91"/>
  <c r="Y57" i="91" s="1"/>
  <c r="X56" i="91"/>
  <c r="Y56" i="91" s="1"/>
  <c r="X58" i="91"/>
  <c r="Y20" i="91"/>
  <c r="Y22" i="91"/>
  <c r="Y26" i="91"/>
  <c r="Y17" i="91"/>
  <c r="AM58" i="91" l="1"/>
  <c r="AN62" i="91"/>
  <c r="Y58" i="91"/>
  <c r="Z58" i="91" s="1"/>
  <c r="AA58" i="91" s="1"/>
  <c r="E21" i="92" l="1"/>
  <c r="D22" i="92"/>
  <c r="F21" i="92" l="1"/>
  <c r="E22" i="92"/>
  <c r="F22" i="92" s="1"/>
</calcChain>
</file>

<file path=xl/sharedStrings.xml><?xml version="1.0" encoding="utf-8"?>
<sst xmlns="http://schemas.openxmlformats.org/spreadsheetml/2006/main" count="395" uniqueCount="246">
  <si>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</si>
  <si>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</si>
  <si>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</si>
  <si>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</si>
  <si>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</si>
  <si>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</si>
  <si>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</si>
  <si>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</si>
  <si>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</si>
  <si>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</si>
  <si>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</si>
  <si>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</si>
  <si>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</si>
  <si>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</si>
  <si>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</si>
  <si>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</si>
  <si>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</si>
  <si>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</si>
  <si>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</si>
  <si>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</si>
  <si>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</si>
  <si>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</si>
  <si>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</si>
  <si>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</si>
  <si>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</si>
  <si>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</si>
  <si>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</si>
  <si>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</si>
  <si>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</si>
  <si>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</si>
  <si>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</si>
  <si>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</si>
  <si>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</si>
  <si>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</si>
  <si>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</si>
  <si>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</si>
  <si>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</si>
  <si>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</si>
  <si>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</si>
  <si>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</si>
  <si>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</si>
  <si>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</si>
  <si>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</si>
  <si>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</si>
  <si>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</si>
  <si>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</si>
  <si>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</si>
  <si>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</si>
  <si>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</si>
  <si>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</si>
  <si>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</si>
  <si>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</si>
  <si>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</si>
  <si>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</si>
  <si>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</si>
  <si>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</si>
  <si>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</si>
  <si>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</si>
  <si>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</si>
  <si>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</si>
  <si>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</si>
  <si>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</si>
  <si>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</si>
  <si>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</si>
  <si>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</si>
  <si>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</si>
  <si>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</si>
  <si>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</si>
  <si>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</si>
  <si>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</si>
  <si>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</si>
  <si>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</si>
  <si>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</si>
  <si>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</si>
  <si>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</si>
  <si>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</si>
  <si>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</si>
  <si>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</si>
  <si>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</si>
  <si>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</si>
  <si>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</si>
  <si>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</si>
  <si>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</si>
  <si>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</si>
  <si>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</si>
  <si>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</si>
  <si>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</si>
  <si>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</si>
  <si>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</si>
  <si>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</si>
  <si>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</si>
  <si>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</si>
  <si>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</si>
  <si>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</si>
  <si>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</si>
  <si>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</si>
  <si>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</si>
  <si>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</si>
  <si>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</si>
  <si>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</si>
  <si>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</si>
  <si>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</si>
  <si>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</si>
  <si>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</si>
  <si>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</si>
  <si>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</si>
  <si>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</si>
  <si>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</si>
  <si>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</si>
  <si>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</si>
  <si>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</si>
  <si>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</si>
  <si>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</si>
  <si>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</si>
  <si>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</si>
  <si>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</si>
  <si>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</si>
  <si>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</si>
  <si>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</si>
  <si>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</si>
  <si>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</si>
  <si>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</si>
  <si>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INTERNO</t>
  </si>
  <si>
    <t>SUBGRUPO</t>
  </si>
  <si>
    <t>1.1</t>
  </si>
  <si>
    <t>AGENCIAMENTO</t>
  </si>
  <si>
    <t>IMPOSTOS</t>
  </si>
  <si>
    <t>Marg.</t>
  </si>
  <si>
    <t>EQUIPE INTERNA</t>
  </si>
  <si>
    <t>ITEM</t>
  </si>
  <si>
    <t>1.1.1</t>
  </si>
  <si>
    <t>SUBTOTAL SUBGRUPO</t>
  </si>
  <si>
    <t>Subtotal EQUIPE INTERNA</t>
  </si>
  <si>
    <t>1.2</t>
  </si>
  <si>
    <t>STAFF</t>
  </si>
  <si>
    <t>1.2.1</t>
  </si>
  <si>
    <t>Subtotal STAFF</t>
  </si>
  <si>
    <t>SUBTOTAL GRUPO</t>
  </si>
  <si>
    <t>Subtotal INTERNO</t>
  </si>
  <si>
    <t>ATENDIMENTO</t>
  </si>
  <si>
    <t>CARREGADORES</t>
  </si>
  <si>
    <t>CENOGRAFIA</t>
  </si>
  <si>
    <t>2.1</t>
  </si>
  <si>
    <t>2.1.1</t>
  </si>
  <si>
    <t>2.1.2</t>
  </si>
  <si>
    <t>2.1.3</t>
  </si>
  <si>
    <t>2.1.4</t>
  </si>
  <si>
    <t>2.1.7</t>
  </si>
  <si>
    <t>2.1.8</t>
  </si>
  <si>
    <t>2.1.9</t>
  </si>
  <si>
    <t xml:space="preserve">Subtotal </t>
  </si>
  <si>
    <t>Subtotal CENOGRAFIA</t>
  </si>
  <si>
    <t>LOGISTICA CENOGRAFIA</t>
  </si>
  <si>
    <t>MÃO DE OBRA</t>
  </si>
  <si>
    <t>CENOGRAFIA - Opção 1 - Cozinha Consul</t>
  </si>
  <si>
    <t>CENOGRAFIA - Opção 2 - Parede Mad Max</t>
  </si>
  <si>
    <t>3.1</t>
  </si>
  <si>
    <t>3.1.1</t>
  </si>
  <si>
    <t>3.1.2</t>
  </si>
  <si>
    <t>SEGURO</t>
  </si>
  <si>
    <t>SEGURO RC + RD + AP</t>
  </si>
  <si>
    <t>DOCUMENTAÇÃO TÉCNICA</t>
  </si>
  <si>
    <t>Subtotal TAXAS E DOCUMENTAÇÕES</t>
  </si>
  <si>
    <t>SUBTOTAL PLANILHA</t>
  </si>
  <si>
    <t xml:space="preserve">TOTAL </t>
  </si>
  <si>
    <t>Marg. Lucro</t>
  </si>
  <si>
    <t>Lucro</t>
  </si>
  <si>
    <t>FAT.OGGI</t>
  </si>
  <si>
    <t>OPERACIONAL</t>
  </si>
  <si>
    <t>WHIRLPOOL</t>
  </si>
  <si>
    <t>SUPRIMENTOS</t>
  </si>
  <si>
    <t>HOTEL JW MERRIOT</t>
  </si>
  <si>
    <t>CAROLINA KELM</t>
  </si>
  <si>
    <t>CLAUDIA CUSTODIO</t>
  </si>
  <si>
    <t>WHP_EVENTO SUPRIMENTOS</t>
  </si>
  <si>
    <t>PRODUTOR DE MONTAGEM</t>
  </si>
  <si>
    <t>VERBA DE PRODUÇÃO</t>
  </si>
  <si>
    <t>CUSTOS OPERACIONAIS</t>
  </si>
  <si>
    <t>Subtotal CUSTOS OPERACIONAIS</t>
  </si>
  <si>
    <t>ALIMENTAÇÃO E TRANSPORTE EQUIPE</t>
  </si>
  <si>
    <t>1.2.2</t>
  </si>
  <si>
    <t>3.1.3</t>
  </si>
  <si>
    <t>3.1.4</t>
  </si>
  <si>
    <t>2.1.5</t>
  </si>
  <si>
    <t>2.1.6</t>
  </si>
  <si>
    <t>CENOGRAFIA - Reforma B + Explorador</t>
  </si>
  <si>
    <t>TECNICA</t>
  </si>
  <si>
    <t>Subtotal TECNICA</t>
  </si>
  <si>
    <t>2.1.10</t>
  </si>
  <si>
    <t>2.1.11</t>
  </si>
  <si>
    <t>2.1.12</t>
  </si>
  <si>
    <t>3.1.5</t>
  </si>
  <si>
    <t>3.1.6</t>
  </si>
  <si>
    <t>4.1</t>
  </si>
  <si>
    <t>4.1.1</t>
  </si>
  <si>
    <t>4.1.2</t>
  </si>
  <si>
    <t>4.1.3</t>
  </si>
  <si>
    <t>4.1.4</t>
  </si>
  <si>
    <t>CENOGRAFIA - Opção 3 - Nicho Top Gun</t>
  </si>
  <si>
    <t>CENOGRAFIA - Fechamentos verso</t>
  </si>
  <si>
    <r>
      <t xml:space="preserve">CÓDIGO DO JOB: </t>
    </r>
    <r>
      <rPr>
        <b/>
        <sz val="14"/>
        <color theme="0" tint="-0.249977111117893"/>
        <rFont val="Trebuchet MS"/>
        <family val="2"/>
      </rPr>
      <t>(preencher na coluna G)</t>
    </r>
  </si>
  <si>
    <r>
      <t>CLIENTE:</t>
    </r>
    <r>
      <rPr>
        <b/>
        <sz val="14"/>
        <color theme="0" tint="-0.249977111117893"/>
        <rFont val="Trebuchet MS"/>
        <family val="2"/>
      </rPr>
      <t>(preencher na coluna G)</t>
    </r>
  </si>
  <si>
    <r>
      <t>EVENTO:</t>
    </r>
    <r>
      <rPr>
        <b/>
        <sz val="14"/>
        <color theme="0" tint="-0.249977111117893"/>
        <rFont val="Trebuchet MS"/>
        <family val="2"/>
      </rPr>
      <t>(preencher na coluna G)</t>
    </r>
  </si>
  <si>
    <r>
      <t>LOCAL:</t>
    </r>
    <r>
      <rPr>
        <b/>
        <sz val="14"/>
        <color theme="0" tint="-0.249977111117893"/>
        <rFont val="Trebuchet MS"/>
        <family val="2"/>
      </rPr>
      <t>(preencher na coluna G)</t>
    </r>
  </si>
  <si>
    <r>
      <t>DATA:</t>
    </r>
    <r>
      <rPr>
        <b/>
        <sz val="14"/>
        <color theme="0" tint="-0.249977111117893"/>
        <rFont val="Trebuchet MS"/>
        <family val="2"/>
      </rPr>
      <t>(preencher na coluna G)</t>
    </r>
  </si>
  <si>
    <r>
      <t>ATENDIMENTO:</t>
    </r>
    <r>
      <rPr>
        <b/>
        <sz val="14"/>
        <color theme="0" tint="-0.249977111117893"/>
        <rFont val="Trebuchet MS"/>
        <family val="2"/>
      </rPr>
      <t>(preencher na coluna G)</t>
    </r>
  </si>
  <si>
    <r>
      <t>PRODUTOR:</t>
    </r>
    <r>
      <rPr>
        <b/>
        <sz val="14"/>
        <color theme="0" tint="-0.249977111117893"/>
        <rFont val="Trebuchet MS"/>
        <family val="2"/>
      </rPr>
      <t>(preencher na coluna G)</t>
    </r>
  </si>
  <si>
    <r>
      <t>NOME PLANILHA:</t>
    </r>
    <r>
      <rPr>
        <b/>
        <sz val="14"/>
        <color theme="0" tint="-0.249977111117893"/>
        <rFont val="Trebuchet MS"/>
        <family val="2"/>
      </rPr>
      <t>(preencher na coluna G)</t>
    </r>
  </si>
  <si>
    <r>
      <t xml:space="preserve">CÓDIGO DO JOB: </t>
    </r>
    <r>
      <rPr>
        <b/>
        <sz val="16"/>
        <color theme="0" tint="-0.249977111117893"/>
        <rFont val="Trebuchet MS"/>
        <family val="2"/>
      </rPr>
      <t>(preencher na coluna G)</t>
    </r>
  </si>
  <si>
    <r>
      <t>CLIENTE:</t>
    </r>
    <r>
      <rPr>
        <b/>
        <sz val="16"/>
        <color theme="0" tint="-0.249977111117893"/>
        <rFont val="Trebuchet MS"/>
        <family val="2"/>
      </rPr>
      <t>(preencher na coluna G)</t>
    </r>
  </si>
  <si>
    <r>
      <t>EVENTO:</t>
    </r>
    <r>
      <rPr>
        <b/>
        <sz val="16"/>
        <color theme="0" tint="-0.249977111117893"/>
        <rFont val="Trebuchet MS"/>
        <family val="2"/>
      </rPr>
      <t>(preencher na coluna G)</t>
    </r>
  </si>
  <si>
    <r>
      <t>LOCAL:</t>
    </r>
    <r>
      <rPr>
        <b/>
        <sz val="16"/>
        <color theme="0" tint="-0.249977111117893"/>
        <rFont val="Trebuchet MS"/>
        <family val="2"/>
      </rPr>
      <t>(preencher na coluna G)</t>
    </r>
  </si>
  <si>
    <r>
      <t>DATA:</t>
    </r>
    <r>
      <rPr>
        <b/>
        <sz val="16"/>
        <color theme="0" tint="-0.249977111117893"/>
        <rFont val="Trebuchet MS"/>
        <family val="2"/>
      </rPr>
      <t>(preencher na coluna G)</t>
    </r>
  </si>
  <si>
    <r>
      <t>ATENDIMENTO:</t>
    </r>
    <r>
      <rPr>
        <b/>
        <sz val="16"/>
        <color theme="0" tint="-0.249977111117893"/>
        <rFont val="Trebuchet MS"/>
        <family val="2"/>
      </rPr>
      <t>(preencher na coluna G)</t>
    </r>
  </si>
  <si>
    <r>
      <t>PRODUTOR:</t>
    </r>
    <r>
      <rPr>
        <b/>
        <sz val="16"/>
        <color theme="0" tint="-0.249977111117893"/>
        <rFont val="Trebuchet MS"/>
        <family val="2"/>
      </rPr>
      <t>(preencher na coluna G)</t>
    </r>
  </si>
  <si>
    <r>
      <t>NOME PLANILHA:</t>
    </r>
    <r>
      <rPr>
        <b/>
        <sz val="16"/>
        <color theme="0" tint="-0.249977111117893"/>
        <rFont val="Trebuchet MS"/>
        <family val="2"/>
      </rPr>
      <t>(preencher na coluna G)</t>
    </r>
  </si>
  <si>
    <r>
      <rPr>
        <b/>
        <sz val="16"/>
        <color theme="1"/>
        <rFont val="Trebuchet MS"/>
        <family val="2"/>
      </rPr>
      <t>ATENDIMENTO/PRODUÇÃO</t>
    </r>
    <r>
      <rPr>
        <sz val="16"/>
        <color theme="1"/>
        <rFont val="Trebuchet MS"/>
        <family val="2"/>
      </rPr>
      <t xml:space="preserve">
01 profissional de atendimento e produção
Pré-evento, evento e entrega de relatório</t>
    </r>
  </si>
  <si>
    <r>
      <rPr>
        <b/>
        <sz val="16"/>
        <color theme="1"/>
        <rFont val="Trebuchet MS"/>
        <family val="2"/>
      </rPr>
      <t>PRODUTOR DE MONTAGEM</t>
    </r>
    <r>
      <rPr>
        <sz val="16"/>
        <color theme="1"/>
        <rFont val="Trebuchet MS"/>
        <family val="2"/>
      </rPr>
      <t xml:space="preserve">
02 Produtores de Montagem
Pré-evento, evento e entrega de relatório</t>
    </r>
  </si>
  <si>
    <r>
      <rPr>
        <b/>
        <sz val="16"/>
        <color theme="1"/>
        <rFont val="Trebuchet MS"/>
        <family val="2"/>
      </rPr>
      <t>CARREGADORES</t>
    </r>
    <r>
      <rPr>
        <sz val="16"/>
        <color theme="1"/>
        <rFont val="Trebuchet MS"/>
        <family val="2"/>
      </rPr>
      <t xml:space="preserve">
Contratação de equipe decarregadores para montagem, evento e desmontagem
Carga horária: 12 horas</t>
    </r>
  </si>
  <si>
    <r>
      <rPr>
        <b/>
        <sz val="16"/>
        <color theme="1"/>
        <rFont val="Trebuchet MS"/>
        <family val="2"/>
      </rPr>
      <t>CENOGRAFIA - COZINHA CONSUL</t>
    </r>
    <r>
      <rPr>
        <sz val="16"/>
        <color theme="1"/>
        <rFont val="Trebuchet MS"/>
        <family val="2"/>
      </rPr>
      <t xml:space="preserve">
Contratação de Cenografia para montagem, evento e desmontagem</t>
    </r>
  </si>
  <si>
    <r>
      <rPr>
        <b/>
        <sz val="16"/>
        <color theme="1"/>
        <rFont val="Trebuchet MS"/>
        <family val="2"/>
      </rPr>
      <t>CENOGRAFIA - PAREDE MAD MAX BRASTEMP</t>
    </r>
    <r>
      <rPr>
        <sz val="16"/>
        <color theme="1"/>
        <rFont val="Trebuchet MS"/>
        <family val="2"/>
      </rPr>
      <t xml:space="preserve">
Contratação de Cenografia para montagem, evento e desmontagem</t>
    </r>
  </si>
  <si>
    <r>
      <rPr>
        <b/>
        <sz val="16"/>
        <color theme="1"/>
        <rFont val="Trebuchet MS"/>
        <family val="2"/>
      </rPr>
      <t>CENOGRAFIA - NICHO TOP GUN</t>
    </r>
    <r>
      <rPr>
        <sz val="16"/>
        <color theme="1"/>
        <rFont val="Trebuchet MS"/>
        <family val="2"/>
      </rPr>
      <t xml:space="preserve">
Contratação de Cenografia para montagem, evento e desmontagem</t>
    </r>
  </si>
  <si>
    <r>
      <t xml:space="preserve">CENOGRAFIA - FECHAMENTO
</t>
    </r>
    <r>
      <rPr>
        <sz val="16"/>
        <color theme="1"/>
        <rFont val="Trebuchet MS"/>
        <family val="2"/>
      </rPr>
      <t>Fechamento do verso das estruturas em Bagum Preto</t>
    </r>
  </si>
  <si>
    <r>
      <rPr>
        <b/>
        <sz val="16"/>
        <color theme="1"/>
        <rFont val="Trebuchet MS"/>
        <family val="2"/>
      </rPr>
      <t xml:space="preserve">CENOGRAFIA - Reforma B + Explorador
</t>
    </r>
    <r>
      <rPr>
        <sz val="16"/>
        <color theme="1"/>
        <rFont val="Trebuchet MS"/>
        <family val="2"/>
      </rPr>
      <t>Pintura + Acabamento</t>
    </r>
  </si>
  <si>
    <r>
      <t xml:space="preserve">MÃO DE OBRA - CENOTÉCNICOS
</t>
    </r>
    <r>
      <rPr>
        <sz val="16"/>
        <color rgb="FF000000"/>
        <rFont val="Trebuchet MS"/>
        <family val="2"/>
      </rPr>
      <t>Profissionais cenotécnicos para montagem, acabamento e finalização.</t>
    </r>
  </si>
  <si>
    <r>
      <rPr>
        <b/>
        <sz val="16"/>
        <color theme="1"/>
        <rFont val="Trebuchet MS"/>
        <family val="2"/>
      </rPr>
      <t>LOGISTICA CENOGRAFIA</t>
    </r>
    <r>
      <rPr>
        <sz val="16"/>
        <color theme="1"/>
        <rFont val="Trebuchet MS"/>
        <family val="2"/>
      </rPr>
      <t xml:space="preserve">
Transporte de Materiais cenográficos</t>
    </r>
  </si>
  <si>
    <r>
      <t xml:space="preserve">ILUMINAÇÃO
</t>
    </r>
    <r>
      <rPr>
        <sz val="16"/>
        <color theme="1"/>
        <rFont val="Trebuchet MS"/>
        <family val="2"/>
      </rPr>
      <t>1 Travessa de Box Truss 6m 
7 Cob LED de 200w BF + BQ</t>
    </r>
  </si>
  <si>
    <r>
      <t xml:space="preserve">VERBA DE PRODUÇÃO
</t>
    </r>
    <r>
      <rPr>
        <sz val="16"/>
        <color theme="1"/>
        <rFont val="Trebuchet MS"/>
        <family val="2"/>
      </rPr>
      <t>Reserva de verba para custos operacionais</t>
    </r>
  </si>
  <si>
    <r>
      <t xml:space="preserve">TRANSPORTE E ALIMENTAÇÃO EQUIPE
</t>
    </r>
    <r>
      <rPr>
        <sz val="16"/>
        <color theme="1"/>
        <rFont val="Trebuchet MS"/>
        <family val="2"/>
      </rPr>
      <t>Verba de transporte e alimentação para equipe</t>
    </r>
  </si>
  <si>
    <r>
      <rPr>
        <b/>
        <sz val="16"/>
        <color theme="1"/>
        <rFont val="Trebuchet MS"/>
        <family val="2"/>
      </rPr>
      <t>DOCUMENTAÇÃO TÉCNICA</t>
    </r>
    <r>
      <rPr>
        <sz val="16"/>
        <color theme="1"/>
        <rFont val="Trebuchet MS"/>
        <family val="2"/>
      </rPr>
      <t xml:space="preserve">
ART - Anotação de Responsabilidade Técnica
Cenografia e Técnica</t>
    </r>
  </si>
  <si>
    <t>VÍDEO</t>
  </si>
  <si>
    <t>STUDIO ROCA</t>
  </si>
  <si>
    <t>VENDA</t>
  </si>
  <si>
    <t xml:space="preserve">CUSTO </t>
  </si>
  <si>
    <t>LUCRO</t>
  </si>
  <si>
    <t>CUSTO TOTAL</t>
  </si>
  <si>
    <t>PRINCIPAL</t>
  </si>
  <si>
    <t>TAXIPRODUÇÃO</t>
  </si>
  <si>
    <t>DUO</t>
  </si>
  <si>
    <t>CXC PRODUCÕES - CACACADU</t>
  </si>
  <si>
    <t>CHUBB</t>
  </si>
  <si>
    <t xml:space="preserve">R BRASIL </t>
  </si>
  <si>
    <t>VINICIUS SALVA</t>
  </si>
  <si>
    <t>AS CASTING</t>
  </si>
  <si>
    <t>WHP_047 EVENTO SUPRIMENTOS</t>
  </si>
  <si>
    <t>CLAUDIA CUSTODIO - LARISSA NETO - CARLOS EDUARDO - CAMILA ROSATI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</si>
</sst>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6"/>
      <color theme="0"/>
      <name val="Trebuchet MS"/>
      <family val="2"/>
    </font>
    <font>
      <sz val="8"/>
      <name val="Calibri"/>
      <family val="2"/>
      <scheme val="minor"/>
    </font>
    <font>
      <b/>
      <sz val="14"/>
      <color theme="0" tint="-0.249977111117893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theme="0" tint="-0.249977111117893"/>
      <name val="Trebuchet MS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b/>
      <sz val="16"/>
      <color rgb="FF000000"/>
      <name val="Trebuchet MS"/>
      <family val="2"/>
    </font>
    <font>
      <sz val="16"/>
      <color rgb="FF000000"/>
      <name val="Trebuchet MS"/>
      <family val="2"/>
    </font>
    <font>
      <sz val="16"/>
      <name val="Trebuchet MS"/>
      <family val="2"/>
    </font>
    <font>
      <b/>
      <sz val="12"/>
      <color theme="0"/>
      <name val="Trebuchet MS"/>
      <family val="2"/>
    </font>
    <font>
      <b/>
      <sz val="11"/>
      <name val="Trebuchet MS"/>
      <family val="2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22"/>
      <color rgb="FFFF0000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7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4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9" fillId="4" borderId="35" xfId="0" applyFont="1" applyFill="1" applyBorder="1"/>
    <xf numFmtId="0" fontId="9" fillId="4" borderId="36" xfId="0" applyFont="1" applyFill="1" applyBorder="1"/>
    <xf numFmtId="0" fontId="12" fillId="8" borderId="42" xfId="0" applyFont="1" applyFill="1" applyBorder="1" applyAlignment="1">
      <alignment vertical="center"/>
    </xf>
    <xf numFmtId="0" fontId="14" fillId="8" borderId="42" xfId="0" applyFont="1" applyFill="1" applyBorder="1" applyAlignment="1">
      <alignment horizontal="center" vertical="center"/>
    </xf>
    <xf numFmtId="22" fontId="12" fillId="8" borderId="42" xfId="0" applyNumberFormat="1" applyFont="1" applyFill="1" applyBorder="1" applyAlignment="1">
      <alignment horizontal="center" vertical="center"/>
    </xf>
    <xf numFmtId="0" fontId="16" fillId="8" borderId="43" xfId="0" applyFont="1" applyFill="1" applyBorder="1" applyAlignment="1">
      <alignment horizontal="center" vertical="center" wrapText="1"/>
    </xf>
    <xf numFmtId="0" fontId="16" fillId="8" borderId="44" xfId="0" applyFont="1" applyFill="1" applyBorder="1" applyAlignment="1">
      <alignment horizontal="center" vertical="center" wrapText="1"/>
    </xf>
    <xf numFmtId="164" fontId="5" fillId="0" borderId="20" xfId="2" applyNumberFormat="1" applyFont="1" applyBorder="1" applyAlignment="1" applyProtection="1">
      <alignment horizontal="left" vertical="center"/>
      <protection locked="0"/>
    </xf>
    <xf numFmtId="164" fontId="5" fillId="0" borderId="31" xfId="2" applyNumberFormat="1" applyFont="1" applyBorder="1" applyAlignment="1" applyProtection="1">
      <alignment horizontal="left" vertical="center"/>
      <protection locked="0"/>
    </xf>
    <xf numFmtId="164" fontId="5" fillId="0" borderId="39" xfId="2" applyNumberFormat="1" applyFont="1" applyBorder="1" applyAlignment="1" applyProtection="1">
      <alignment horizontal="left" vertical="center"/>
      <protection locked="0"/>
    </xf>
    <xf numFmtId="164" fontId="5" fillId="0" borderId="19" xfId="2" applyNumberFormat="1" applyFont="1" applyBorder="1" applyAlignment="1" applyProtection="1">
      <alignment horizontal="left" vertical="center"/>
      <protection locked="0"/>
    </xf>
    <xf numFmtId="164" fontId="5" fillId="0" borderId="30" xfId="2" applyNumberFormat="1" applyFont="1" applyBorder="1" applyAlignment="1" applyProtection="1">
      <alignment horizontal="left" vertical="center"/>
      <protection locked="0"/>
    </xf>
    <xf numFmtId="0" fontId="5" fillId="0" borderId="23" xfId="2" applyFont="1" applyBorder="1" applyAlignment="1" applyProtection="1">
      <alignment horizontal="left" vertical="center"/>
      <protection locked="0"/>
    </xf>
    <xf numFmtId="0" fontId="5" fillId="0" borderId="26" xfId="2" applyFont="1" applyBorder="1" applyAlignment="1" applyProtection="1">
      <alignment horizontal="left" vertical="center"/>
      <protection locked="0"/>
    </xf>
    <xf numFmtId="0" fontId="19" fillId="15" borderId="11" xfId="0" applyFont="1" applyFill="1" applyBorder="1" applyAlignment="1">
      <alignment vertical="center"/>
    </xf>
    <xf numFmtId="0" fontId="19" fillId="15" borderId="12" xfId="0" applyFont="1" applyFill="1" applyBorder="1" applyAlignment="1">
      <alignment vertical="center"/>
    </xf>
    <xf numFmtId="0" fontId="19" fillId="15" borderId="12" xfId="0" applyFont="1" applyFill="1" applyBorder="1" applyAlignment="1">
      <alignment horizontal="center" vertical="center"/>
    </xf>
    <xf numFmtId="44" fontId="19" fillId="15" borderId="12" xfId="0" applyNumberFormat="1" applyFont="1" applyFill="1" applyBorder="1" applyAlignment="1">
      <alignment vertical="center"/>
    </xf>
    <xf numFmtId="0" fontId="19" fillId="15" borderId="11" xfId="0" applyFont="1" applyFill="1" applyBorder="1" applyAlignment="1">
      <alignment horizontal="center" vertical="center"/>
    </xf>
    <xf numFmtId="44" fontId="19" fillId="15" borderId="72" xfId="8" applyFont="1" applyFill="1" applyBorder="1" applyAlignment="1">
      <alignment vertical="center"/>
    </xf>
    <xf numFmtId="44" fontId="19" fillId="15" borderId="71" xfId="0" applyNumberFormat="1" applyFont="1" applyFill="1" applyBorder="1" applyAlignment="1">
      <alignment vertical="center"/>
    </xf>
    <xf numFmtId="9" fontId="19" fillId="15" borderId="17" xfId="1" applyFont="1" applyFill="1" applyBorder="1" applyAlignment="1">
      <alignment vertical="center"/>
    </xf>
    <xf numFmtId="14" fontId="5" fillId="0" borderId="30" xfId="2" applyNumberFormat="1" applyFont="1" applyBorder="1" applyAlignment="1" applyProtection="1">
      <alignment horizontal="left" vertical="center"/>
      <protection locked="0"/>
    </xf>
    <xf numFmtId="0" fontId="22" fillId="0" borderId="0" xfId="0" applyFont="1" applyAlignment="1">
      <alignment vertical="center"/>
    </xf>
    <xf numFmtId="49" fontId="23" fillId="0" borderId="0" xfId="2" applyNumberFormat="1" applyFont="1" applyAlignment="1">
      <alignment horizontal="left" vertical="center" wrapText="1"/>
    </xf>
    <xf numFmtId="0" fontId="23" fillId="0" borderId="0" xfId="2" applyFont="1" applyAlignment="1">
      <alignment horizontal="left" vertical="center" wrapText="1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3" fillId="0" borderId="0" xfId="2" applyNumberFormat="1" applyFont="1" applyAlignment="1">
      <alignment horizontal="left" vertical="center"/>
    </xf>
    <xf numFmtId="164" fontId="23" fillId="0" borderId="20" xfId="2" applyNumberFormat="1" applyFont="1" applyBorder="1" applyAlignment="1" applyProtection="1">
      <alignment horizontal="left" vertical="center"/>
      <protection locked="0"/>
    </xf>
    <xf numFmtId="164" fontId="23" fillId="0" borderId="19" xfId="2" applyNumberFormat="1" applyFont="1" applyBorder="1" applyAlignment="1" applyProtection="1">
      <alignment horizontal="left" vertical="center"/>
      <protection locked="0"/>
    </xf>
    <xf numFmtId="164" fontId="23" fillId="0" borderId="31" xfId="2" applyNumberFormat="1" applyFont="1" applyBorder="1" applyAlignment="1" applyProtection="1">
      <alignment horizontal="left" vertical="center"/>
      <protection locked="0"/>
    </xf>
    <xf numFmtId="164" fontId="23" fillId="0" borderId="30" xfId="2" applyNumberFormat="1" applyFont="1" applyBorder="1" applyAlignment="1" applyProtection="1">
      <alignment horizontal="left" vertical="center"/>
      <protection locked="0"/>
    </xf>
    <xf numFmtId="0" fontId="23" fillId="0" borderId="23" xfId="2" applyFont="1" applyBorder="1" applyAlignment="1" applyProtection="1">
      <alignment horizontal="left" vertical="center"/>
      <protection locked="0"/>
    </xf>
    <xf numFmtId="14" fontId="23" fillId="0" borderId="30" xfId="2" applyNumberFormat="1" applyFont="1" applyBorder="1" applyAlignment="1" applyProtection="1">
      <alignment horizontal="left" vertical="center"/>
      <protection locked="0"/>
    </xf>
    <xf numFmtId="164" fontId="23" fillId="0" borderId="39" xfId="2" applyNumberFormat="1" applyFont="1" applyBorder="1" applyAlignment="1" applyProtection="1">
      <alignment horizontal="left" vertical="center"/>
      <protection locked="0"/>
    </xf>
    <xf numFmtId="0" fontId="23" fillId="0" borderId="26" xfId="2" applyFont="1" applyBorder="1" applyAlignment="1" applyProtection="1">
      <alignment horizontal="left" vertical="center"/>
      <protection locked="0"/>
    </xf>
    <xf numFmtId="49" fontId="22" fillId="0" borderId="0" xfId="0" applyNumberFormat="1" applyFont="1" applyAlignment="1">
      <alignment vertical="center"/>
    </xf>
    <xf numFmtId="0" fontId="22" fillId="0" borderId="0" xfId="1" applyNumberFormat="1" applyFont="1" applyAlignment="1">
      <alignment vertical="center"/>
    </xf>
    <xf numFmtId="165" fontId="26" fillId="6" borderId="38" xfId="4" applyFont="1" applyFill="1" applyBorder="1" applyAlignment="1">
      <alignment horizontal="center" vertical="center" wrapText="1"/>
    </xf>
    <xf numFmtId="168" fontId="27" fillId="0" borderId="5" xfId="1" applyNumberFormat="1" applyFont="1" applyBorder="1" applyAlignment="1">
      <alignment vertical="center"/>
    </xf>
    <xf numFmtId="166" fontId="26" fillId="0" borderId="40" xfId="4" applyNumberFormat="1" applyFont="1" applyBorder="1" applyAlignment="1">
      <alignment horizontal="center" vertical="center" wrapText="1"/>
    </xf>
    <xf numFmtId="0" fontId="28" fillId="5" borderId="0" xfId="0" applyFont="1" applyFill="1" applyAlignment="1">
      <alignment vertical="center"/>
    </xf>
    <xf numFmtId="49" fontId="28" fillId="5" borderId="0" xfId="0" applyNumberFormat="1" applyFont="1" applyFill="1" applyAlignment="1">
      <alignment vertical="center"/>
    </xf>
    <xf numFmtId="0" fontId="29" fillId="0" borderId="0" xfId="0" applyFont="1" applyAlignment="1">
      <alignment vertical="center"/>
    </xf>
    <xf numFmtId="0" fontId="30" fillId="0" borderId="45" xfId="0" applyFont="1" applyBorder="1" applyAlignment="1">
      <alignment horizontal="left" vertical="center"/>
    </xf>
    <xf numFmtId="49" fontId="30" fillId="0" borderId="46" xfId="0" applyNumberFormat="1" applyFont="1" applyBorder="1" applyAlignment="1">
      <alignment horizontal="left" vertical="center"/>
    </xf>
    <xf numFmtId="0" fontId="30" fillId="0" borderId="47" xfId="0" applyFont="1" applyBorder="1" applyAlignment="1">
      <alignment horizontal="left" vertical="center"/>
    </xf>
    <xf numFmtId="0" fontId="30" fillId="0" borderId="45" xfId="0" applyFont="1" applyBorder="1" applyAlignment="1">
      <alignment horizontal="left" vertical="center" wrapText="1"/>
    </xf>
    <xf numFmtId="0" fontId="23" fillId="6" borderId="67" xfId="3" applyFont="1" applyFill="1" applyBorder="1" applyAlignment="1">
      <alignment horizontal="left" vertical="center"/>
    </xf>
    <xf numFmtId="0" fontId="23" fillId="6" borderId="58" xfId="3" applyFont="1" applyFill="1" applyBorder="1" applyAlignment="1">
      <alignment horizontal="center" vertical="center"/>
    </xf>
    <xf numFmtId="0" fontId="28" fillId="6" borderId="55" xfId="3" applyFont="1" applyFill="1" applyBorder="1" applyAlignment="1">
      <alignment horizontal="center" vertical="center"/>
    </xf>
    <xf numFmtId="169" fontId="28" fillId="6" borderId="55" xfId="3" applyNumberFormat="1" applyFont="1" applyFill="1" applyBorder="1" applyAlignment="1">
      <alignment horizontal="center" vertical="center" wrapText="1"/>
    </xf>
    <xf numFmtId="0" fontId="28" fillId="6" borderId="56" xfId="3" applyFont="1" applyFill="1" applyBorder="1" applyAlignment="1">
      <alignment horizontal="center" vertical="center" wrapText="1"/>
    </xf>
    <xf numFmtId="9" fontId="28" fillId="6" borderId="54" xfId="1" applyFont="1" applyFill="1" applyBorder="1" applyAlignment="1">
      <alignment horizontal="center" vertical="center" wrapText="1"/>
    </xf>
    <xf numFmtId="10" fontId="28" fillId="6" borderId="55" xfId="1" applyNumberFormat="1" applyFont="1" applyFill="1" applyBorder="1" applyAlignment="1">
      <alignment horizontal="center" vertical="center" wrapText="1"/>
    </xf>
    <xf numFmtId="0" fontId="28" fillId="6" borderId="57" xfId="3" applyFont="1" applyFill="1" applyBorder="1" applyAlignment="1">
      <alignment horizontal="center" vertical="center" wrapText="1"/>
    </xf>
    <xf numFmtId="37" fontId="26" fillId="6" borderId="54" xfId="3" applyNumberFormat="1" applyFont="1" applyFill="1" applyBorder="1" applyAlignment="1">
      <alignment horizontal="center" vertical="center"/>
    </xf>
    <xf numFmtId="37" fontId="26" fillId="6" borderId="55" xfId="3" applyNumberFormat="1" applyFont="1" applyFill="1" applyBorder="1" applyAlignment="1">
      <alignment horizontal="center" vertical="center"/>
    </xf>
    <xf numFmtId="40" fontId="26" fillId="6" borderId="55" xfId="4" applyNumberFormat="1" applyFont="1" applyFill="1" applyBorder="1" applyAlignment="1">
      <alignment horizontal="center" vertical="center"/>
    </xf>
    <xf numFmtId="165" fontId="26" fillId="6" borderId="55" xfId="4" applyFont="1" applyFill="1" applyBorder="1" applyAlignment="1">
      <alignment horizontal="right" vertical="center"/>
    </xf>
    <xf numFmtId="40" fontId="26" fillId="6" borderId="55" xfId="4" applyNumberFormat="1" applyFont="1" applyFill="1" applyBorder="1" applyAlignment="1">
      <alignment horizontal="center" vertical="center" wrapText="1"/>
    </xf>
    <xf numFmtId="10" fontId="26" fillId="6" borderId="55" xfId="5" applyNumberFormat="1" applyFont="1" applyFill="1" applyBorder="1" applyAlignment="1">
      <alignment horizontal="center" vertical="center" wrapText="1"/>
    </xf>
    <xf numFmtId="165" fontId="26" fillId="6" borderId="55" xfId="4" applyFont="1" applyFill="1" applyBorder="1" applyAlignment="1">
      <alignment horizontal="center" vertical="center" wrapText="1"/>
    </xf>
    <xf numFmtId="165" fontId="26" fillId="6" borderId="57" xfId="4" applyFont="1" applyFill="1" applyBorder="1" applyAlignment="1">
      <alignment horizontal="center" vertical="center" wrapText="1"/>
    </xf>
    <xf numFmtId="10" fontId="26" fillId="6" borderId="48" xfId="5" applyNumberFormat="1" applyFont="1" applyFill="1" applyBorder="1" applyAlignment="1">
      <alignment horizontal="center" vertical="center" wrapText="1"/>
    </xf>
    <xf numFmtId="10" fontId="26" fillId="6" borderId="49" xfId="5" applyNumberFormat="1" applyFont="1" applyFill="1" applyBorder="1" applyAlignment="1">
      <alignment horizontal="center" vertical="center" wrapText="1"/>
    </xf>
    <xf numFmtId="165" fontId="26" fillId="6" borderId="50" xfId="4" applyFont="1" applyFill="1" applyBorder="1" applyAlignment="1">
      <alignment horizontal="center" vertical="center" wrapText="1"/>
    </xf>
    <xf numFmtId="165" fontId="26" fillId="6" borderId="49" xfId="4" applyFont="1" applyFill="1" applyBorder="1" applyAlignment="1">
      <alignment horizontal="center" vertical="center" wrapText="1"/>
    </xf>
    <xf numFmtId="37" fontId="26" fillId="6" borderId="3" xfId="3" applyNumberFormat="1" applyFont="1" applyFill="1" applyBorder="1" applyAlignment="1">
      <alignment horizontal="center" vertical="center"/>
    </xf>
    <xf numFmtId="40" fontId="26" fillId="6" borderId="51" xfId="4" applyNumberFormat="1" applyFont="1" applyFill="1" applyBorder="1" applyAlignment="1">
      <alignment horizontal="center" vertical="center"/>
    </xf>
    <xf numFmtId="166" fontId="31" fillId="6" borderId="52" xfId="4" applyNumberFormat="1" applyFont="1" applyFill="1" applyBorder="1" applyAlignment="1">
      <alignment horizontal="center" vertical="center" wrapText="1"/>
    </xf>
    <xf numFmtId="166" fontId="32" fillId="6" borderId="53" xfId="4" applyNumberFormat="1" applyFont="1" applyFill="1" applyBorder="1" applyAlignment="1">
      <alignment horizontal="center" vertical="center" wrapText="1"/>
    </xf>
    <xf numFmtId="49" fontId="30" fillId="0" borderId="46" xfId="0" applyNumberFormat="1" applyFont="1" applyBorder="1" applyAlignment="1">
      <alignment horizontal="left" vertical="center" wrapText="1"/>
    </xf>
    <xf numFmtId="0" fontId="30" fillId="0" borderId="47" xfId="0" applyFont="1" applyBorder="1" applyAlignment="1">
      <alignment horizontal="left" vertical="center" wrapText="1"/>
    </xf>
    <xf numFmtId="0" fontId="28" fillId="11" borderId="56" xfId="0" applyFont="1" applyFill="1" applyBorder="1" applyAlignment="1">
      <alignment horizontal="center" vertical="center"/>
    </xf>
    <xf numFmtId="0" fontId="28" fillId="11" borderId="55" xfId="0" applyFont="1" applyFill="1" applyBorder="1" applyAlignment="1">
      <alignment horizontal="center" vertical="center"/>
    </xf>
    <xf numFmtId="0" fontId="28" fillId="11" borderId="13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1" borderId="60" xfId="0" applyFont="1" applyFill="1" applyBorder="1" applyAlignment="1">
      <alignment horizontal="center" vertical="center"/>
    </xf>
    <xf numFmtId="0" fontId="30" fillId="0" borderId="52" xfId="0" applyFont="1" applyBorder="1" applyAlignment="1">
      <alignment horizontal="left" vertical="center" wrapText="1"/>
    </xf>
    <xf numFmtId="0" fontId="30" fillId="0" borderId="61" xfId="0" applyFont="1" applyBorder="1" applyAlignment="1">
      <alignment horizontal="left" vertical="center" wrapText="1"/>
    </xf>
    <xf numFmtId="0" fontId="30" fillId="0" borderId="61" xfId="0" applyFont="1" applyBorder="1" applyAlignment="1">
      <alignment horizontal="center" vertical="center" wrapText="1"/>
    </xf>
    <xf numFmtId="44" fontId="30" fillId="0" borderId="61" xfId="8" applyFont="1" applyBorder="1" applyAlignment="1">
      <alignment vertical="center"/>
    </xf>
    <xf numFmtId="44" fontId="30" fillId="0" borderId="53" xfId="8" applyFont="1" applyBorder="1" applyAlignment="1">
      <alignment vertical="center"/>
    </xf>
    <xf numFmtId="1" fontId="30" fillId="12" borderId="62" xfId="0" applyNumberFormat="1" applyFont="1" applyFill="1" applyBorder="1" applyAlignment="1">
      <alignment horizontal="center" vertical="center"/>
    </xf>
    <xf numFmtId="1" fontId="30" fillId="12" borderId="60" xfId="0" applyNumberFormat="1" applyFont="1" applyFill="1" applyBorder="1" applyAlignment="1">
      <alignment horizontal="center" vertical="center"/>
    </xf>
    <xf numFmtId="44" fontId="30" fillId="12" borderId="60" xfId="8" applyFont="1" applyFill="1" applyBorder="1" applyAlignment="1">
      <alignment vertical="center"/>
    </xf>
    <xf numFmtId="44" fontId="30" fillId="14" borderId="60" xfId="8" applyFont="1" applyFill="1" applyBorder="1" applyAlignment="1">
      <alignment vertical="center"/>
    </xf>
    <xf numFmtId="9" fontId="30" fillId="13" borderId="60" xfId="1" applyFont="1" applyFill="1" applyBorder="1" applyAlignment="1">
      <alignment vertical="center"/>
    </xf>
    <xf numFmtId="44" fontId="30" fillId="13" borderId="60" xfId="8" applyFont="1" applyFill="1" applyBorder="1" applyAlignment="1">
      <alignment vertical="center"/>
    </xf>
    <xf numFmtId="44" fontId="30" fillId="13" borderId="66" xfId="8" applyFont="1" applyFill="1" applyBorder="1" applyAlignment="1">
      <alignment vertical="center"/>
    </xf>
    <xf numFmtId="10" fontId="30" fillId="14" borderId="10" xfId="0" applyNumberFormat="1" applyFont="1" applyFill="1" applyBorder="1" applyAlignment="1">
      <alignment horizontal="center" vertical="center"/>
    </xf>
    <xf numFmtId="10" fontId="30" fillId="14" borderId="60" xfId="0" applyNumberFormat="1" applyFont="1" applyFill="1" applyBorder="1" applyAlignment="1">
      <alignment horizontal="center" vertical="center"/>
    </xf>
    <xf numFmtId="170" fontId="19" fillId="10" borderId="0" xfId="0" applyNumberFormat="1" applyFont="1" applyFill="1" applyAlignment="1">
      <alignment horizontal="right" vertical="center"/>
    </xf>
    <xf numFmtId="170" fontId="19" fillId="10" borderId="18" xfId="0" applyNumberFormat="1" applyFont="1" applyFill="1" applyBorder="1" applyAlignment="1">
      <alignment horizontal="right" vertical="center"/>
    </xf>
    <xf numFmtId="44" fontId="19" fillId="10" borderId="60" xfId="0" applyNumberFormat="1" applyFont="1" applyFill="1" applyBorder="1" applyAlignment="1">
      <alignment horizontal="right" vertical="center"/>
    </xf>
    <xf numFmtId="44" fontId="28" fillId="14" borderId="60" xfId="0" applyNumberFormat="1" applyFont="1" applyFill="1" applyBorder="1" applyAlignment="1">
      <alignment vertical="center"/>
    </xf>
    <xf numFmtId="0" fontId="22" fillId="13" borderId="60" xfId="0" applyFont="1" applyFill="1" applyBorder="1" applyAlignment="1">
      <alignment vertical="center"/>
    </xf>
    <xf numFmtId="44" fontId="28" fillId="13" borderId="60" xfId="0" applyNumberFormat="1" applyFont="1" applyFill="1" applyBorder="1" applyAlignment="1">
      <alignment vertical="center"/>
    </xf>
    <xf numFmtId="44" fontId="28" fillId="13" borderId="66" xfId="8" applyFont="1" applyFill="1" applyBorder="1" applyAlignment="1">
      <alignment vertical="center"/>
    </xf>
    <xf numFmtId="44" fontId="30" fillId="0" borderId="60" xfId="8" applyFont="1" applyBorder="1" applyAlignment="1">
      <alignment vertical="center"/>
    </xf>
    <xf numFmtId="44" fontId="30" fillId="0" borderId="66" xfId="8" applyFont="1" applyBorder="1" applyAlignment="1">
      <alignment vertical="center"/>
    </xf>
    <xf numFmtId="0" fontId="30" fillId="0" borderId="60" xfId="0" applyFont="1" applyBorder="1" applyAlignment="1">
      <alignment horizontal="center" vertical="center"/>
    </xf>
    <xf numFmtId="170" fontId="19" fillId="10" borderId="15" xfId="0" applyNumberFormat="1" applyFont="1" applyFill="1" applyBorder="1" applyAlignment="1">
      <alignment horizontal="right" vertical="center"/>
    </xf>
    <xf numFmtId="170" fontId="19" fillId="10" borderId="16" xfId="0" applyNumberFormat="1" applyFont="1" applyFill="1" applyBorder="1" applyAlignment="1">
      <alignment horizontal="right" vertical="center"/>
    </xf>
    <xf numFmtId="44" fontId="19" fillId="9" borderId="0" xfId="0" applyNumberFormat="1" applyFont="1" applyFill="1" applyAlignment="1">
      <alignment horizontal="right" vertical="center"/>
    </xf>
    <xf numFmtId="44" fontId="19" fillId="9" borderId="18" xfId="0" applyNumberFormat="1" applyFont="1" applyFill="1" applyBorder="1" applyAlignment="1">
      <alignment horizontal="right" vertical="center"/>
    </xf>
    <xf numFmtId="44" fontId="19" fillId="9" borderId="61" xfId="0" applyNumberFormat="1" applyFont="1" applyFill="1" applyBorder="1" applyAlignment="1">
      <alignment horizontal="right" vertical="center"/>
    </xf>
    <xf numFmtId="44" fontId="28" fillId="14" borderId="61" xfId="0" applyNumberFormat="1" applyFont="1" applyFill="1" applyBorder="1" applyAlignment="1">
      <alignment vertical="center"/>
    </xf>
    <xf numFmtId="0" fontId="22" fillId="13" borderId="61" xfId="0" applyFont="1" applyFill="1" applyBorder="1" applyAlignment="1">
      <alignment vertical="center"/>
    </xf>
    <xf numFmtId="44" fontId="28" fillId="13" borderId="61" xfId="0" applyNumberFormat="1" applyFont="1" applyFill="1" applyBorder="1" applyAlignment="1">
      <alignment vertical="center"/>
    </xf>
    <xf numFmtId="44" fontId="28" fillId="13" borderId="53" xfId="8" applyFont="1" applyFill="1" applyBorder="1" applyAlignment="1">
      <alignment vertical="center"/>
    </xf>
    <xf numFmtId="0" fontId="30" fillId="0" borderId="61" xfId="0" applyFont="1" applyBorder="1" applyAlignment="1">
      <alignment horizontal="center" vertical="center"/>
    </xf>
    <xf numFmtId="0" fontId="28" fillId="0" borderId="61" xfId="0" applyFont="1" applyBorder="1" applyAlignment="1">
      <alignment horizontal="left" vertical="center" wrapText="1"/>
    </xf>
    <xf numFmtId="0" fontId="33" fillId="0" borderId="60" xfId="0" applyFont="1" applyBorder="1" applyAlignment="1">
      <alignment horizontal="left" vertical="center" wrapText="1"/>
    </xf>
    <xf numFmtId="0" fontId="30" fillId="0" borderId="62" xfId="0" applyFont="1" applyBorder="1" applyAlignment="1">
      <alignment horizontal="left" vertical="center" wrapText="1"/>
    </xf>
    <xf numFmtId="0" fontId="30" fillId="0" borderId="60" xfId="0" applyFont="1" applyBorder="1" applyAlignment="1">
      <alignment horizontal="left" vertical="center" wrapText="1"/>
    </xf>
    <xf numFmtId="0" fontId="35" fillId="0" borderId="60" xfId="2" applyFont="1" applyBorder="1" applyAlignment="1" applyProtection="1">
      <alignment horizontal="center" vertical="center" wrapText="1"/>
      <protection locked="0"/>
    </xf>
    <xf numFmtId="44" fontId="35" fillId="0" borderId="60" xfId="8" applyFont="1" applyFill="1" applyBorder="1" applyAlignment="1" applyProtection="1">
      <alignment horizontal="left" vertical="center" wrapText="1"/>
      <protection locked="0"/>
    </xf>
    <xf numFmtId="170" fontId="19" fillId="10" borderId="15" xfId="0" applyNumberFormat="1" applyFont="1" applyFill="1" applyBorder="1" applyAlignment="1">
      <alignment horizontal="right"/>
    </xf>
    <xf numFmtId="170" fontId="19" fillId="10" borderId="16" xfId="0" applyNumberFormat="1" applyFont="1" applyFill="1" applyBorder="1" applyAlignment="1">
      <alignment horizontal="right"/>
    </xf>
    <xf numFmtId="44" fontId="19" fillId="10" borderId="60" xfId="0" applyNumberFormat="1" applyFont="1" applyFill="1" applyBorder="1" applyAlignment="1">
      <alignment horizontal="right"/>
    </xf>
    <xf numFmtId="44" fontId="19" fillId="9" borderId="0" xfId="0" applyNumberFormat="1" applyFont="1" applyFill="1" applyAlignment="1">
      <alignment horizontal="right"/>
    </xf>
    <xf numFmtId="44" fontId="19" fillId="9" borderId="18" xfId="0" applyNumberFormat="1" applyFont="1" applyFill="1" applyBorder="1" applyAlignment="1">
      <alignment horizontal="right"/>
    </xf>
    <xf numFmtId="44" fontId="19" fillId="9" borderId="61" xfId="0" applyNumberFormat="1" applyFont="1" applyFill="1" applyBorder="1" applyAlignment="1">
      <alignment horizontal="right"/>
    </xf>
    <xf numFmtId="44" fontId="28" fillId="13" borderId="59" xfId="8" applyFont="1" applyFill="1" applyBorder="1" applyAlignment="1">
      <alignment vertical="center"/>
    </xf>
    <xf numFmtId="44" fontId="19" fillId="15" borderId="11" xfId="8" applyFont="1" applyFill="1" applyBorder="1" applyAlignment="1">
      <alignment horizontal="center"/>
    </xf>
    <xf numFmtId="44" fontId="19" fillId="15" borderId="71" xfId="8" applyFont="1" applyFill="1" applyBorder="1" applyAlignment="1">
      <alignment horizontal="center"/>
    </xf>
    <xf numFmtId="49" fontId="30" fillId="0" borderId="73" xfId="0" applyNumberFormat="1" applyFont="1" applyBorder="1" applyAlignment="1">
      <alignment horizontal="left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16" fontId="18" fillId="16" borderId="11" xfId="0" applyNumberFormat="1" applyFont="1" applyFill="1" applyBorder="1"/>
    <xf numFmtId="16" fontId="18" fillId="16" borderId="12" xfId="0" applyNumberFormat="1" applyFont="1" applyFill="1" applyBorder="1"/>
    <xf numFmtId="16" fontId="18" fillId="17" borderId="14" xfId="0" applyNumberFormat="1" applyFont="1" applyFill="1" applyBorder="1"/>
    <xf numFmtId="16" fontId="18" fillId="17" borderId="15" xfId="0" applyNumberFormat="1" applyFont="1" applyFill="1" applyBorder="1"/>
    <xf numFmtId="0" fontId="18" fillId="18" borderId="17" xfId="0" applyFont="1" applyFill="1" applyBorder="1" applyAlignment="1">
      <alignment horizontal="right"/>
    </xf>
    <xf numFmtId="0" fontId="18" fillId="18" borderId="0" xfId="0" applyFont="1" applyFill="1" applyAlignment="1">
      <alignment horizontal="right"/>
    </xf>
    <xf numFmtId="0" fontId="36" fillId="19" borderId="14" xfId="0" applyFont="1" applyFill="1" applyBorder="1"/>
    <xf numFmtId="0" fontId="36" fillId="19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38" fillId="20" borderId="60" xfId="0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164" fontId="37" fillId="0" borderId="60" xfId="2" applyNumberFormat="1" applyFont="1" applyBorder="1" applyAlignment="1" applyProtection="1">
      <alignment horizontal="left" vertical="center"/>
      <protection locked="0"/>
    </xf>
    <xf numFmtId="44" fontId="38" fillId="0" borderId="60" xfId="0" applyNumberFormat="1" applyFont="1" applyBorder="1"/>
    <xf numFmtId="9" fontId="38" fillId="0" borderId="60" xfId="1" applyFont="1" applyBorder="1" applyAlignment="1">
      <alignment horizontal="center"/>
    </xf>
    <xf numFmtId="44" fontId="38" fillId="20" borderId="60" xfId="0" applyNumberFormat="1" applyFont="1" applyFill="1" applyBorder="1" applyAlignment="1">
      <alignment horizontal="center"/>
    </xf>
    <xf numFmtId="44" fontId="41" fillId="6" borderId="52" xfId="8" applyFont="1" applyFill="1" applyBorder="1" applyAlignment="1">
      <alignment horizontal="center" vertical="center" wrapText="1"/>
    </xf>
    <xf numFmtId="44" fontId="42" fillId="6" borderId="52" xfId="8" applyFont="1" applyFill="1" applyBorder="1" applyAlignment="1">
      <alignment horizontal="center" vertical="center" wrapText="1"/>
    </xf>
    <xf numFmtId="44" fontId="44" fillId="0" borderId="60" xfId="8" applyFont="1" applyBorder="1"/>
    <xf numFmtId="44" fontId="45" fillId="0" borderId="60" xfId="8" applyFont="1" applyFill="1" applyBorder="1"/>
    <xf numFmtId="44" fontId="22" fillId="0" borderId="0" xfId="8" applyFont="1" applyAlignment="1">
      <alignment vertical="center"/>
    </xf>
    <xf numFmtId="44" fontId="45" fillId="0" borderId="60" xfId="8" applyFont="1" applyBorder="1"/>
    <xf numFmtId="44" fontId="40" fillId="0" borderId="0" xfId="0" applyNumberFormat="1" applyFont="1" applyAlignment="1">
      <alignment vertical="center"/>
    </xf>
    <xf numFmtId="0" fontId="46" fillId="0" borderId="0" xfId="0" applyFont="1" applyAlignment="1">
      <alignment vertical="center"/>
    </xf>
    <xf numFmtId="44" fontId="47" fillId="0" borderId="0" xfId="0" applyNumberFormat="1" applyFont="1" applyAlignment="1">
      <alignment vertical="center"/>
    </xf>
    <xf numFmtId="9" fontId="47" fillId="0" borderId="0" xfId="1" applyFont="1" applyFill="1" applyAlignment="1">
      <alignment vertical="center"/>
    </xf>
    <xf numFmtId="0" fontId="27" fillId="0" borderId="0" xfId="0" applyFont="1" applyAlignment="1">
      <alignment horizontal="left"/>
    </xf>
    <xf numFmtId="0" fontId="40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44" fontId="18" fillId="0" borderId="71" xfId="0" applyNumberFormat="1" applyFont="1" applyBorder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0" fontId="19" fillId="9" borderId="11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9" borderId="52" xfId="0" applyFont="1" applyFill="1" applyBorder="1" applyAlignment="1">
      <alignment horizontal="left" vertical="center"/>
    </xf>
    <xf numFmtId="0" fontId="19" fillId="9" borderId="61" xfId="0" applyFont="1" applyFill="1" applyBorder="1" applyAlignment="1">
      <alignment horizontal="left" vertical="center"/>
    </xf>
    <xf numFmtId="166" fontId="26" fillId="0" borderId="40" xfId="4" applyNumberFormat="1" applyFont="1" applyBorder="1" applyAlignment="1">
      <alignment horizontal="center" vertical="center" wrapText="1"/>
    </xf>
    <xf numFmtId="166" fontId="26" fillId="0" borderId="41" xfId="4" applyNumberFormat="1" applyFont="1" applyBorder="1" applyAlignment="1">
      <alignment horizontal="center" vertical="center" wrapText="1"/>
    </xf>
    <xf numFmtId="0" fontId="23" fillId="0" borderId="0" xfId="2" applyFont="1" applyAlignment="1">
      <alignment horizontal="left" vertical="center" wrapText="1"/>
    </xf>
    <xf numFmtId="0" fontId="23" fillId="0" borderId="0" xfId="2" applyFont="1" applyAlignment="1">
      <alignment horizontal="left" vertical="center"/>
    </xf>
    <xf numFmtId="0" fontId="26" fillId="2" borderId="3" xfId="3" applyFont="1" applyFill="1" applyBorder="1" applyAlignment="1">
      <alignment horizontal="center" vertical="center"/>
    </xf>
    <xf numFmtId="0" fontId="26" fillId="2" borderId="4" xfId="3" applyFont="1" applyFill="1" applyBorder="1" applyAlignment="1">
      <alignment horizontal="center" vertical="center"/>
    </xf>
    <xf numFmtId="0" fontId="26" fillId="2" borderId="5" xfId="3" applyFont="1" applyFill="1" applyBorder="1" applyAlignment="1">
      <alignment horizontal="center" vertical="center"/>
    </xf>
    <xf numFmtId="0" fontId="26" fillId="3" borderId="6" xfId="0" applyFont="1" applyFill="1" applyBorder="1" applyAlignment="1">
      <alignment horizontal="center" vertical="center" wrapText="1"/>
    </xf>
    <xf numFmtId="0" fontId="26" fillId="3" borderId="37" xfId="0" applyFont="1" applyFill="1" applyBorder="1" applyAlignment="1">
      <alignment horizontal="center" vertical="center" wrapText="1"/>
    </xf>
    <xf numFmtId="0" fontId="26" fillId="3" borderId="5" xfId="0" applyFont="1" applyFill="1" applyBorder="1" applyAlignment="1">
      <alignment horizontal="center" vertical="center" wrapText="1"/>
    </xf>
    <xf numFmtId="166" fontId="26" fillId="4" borderId="6" xfId="4" applyNumberFormat="1" applyFont="1" applyFill="1" applyBorder="1" applyAlignment="1">
      <alignment horizontal="center" vertical="center" wrapText="1"/>
    </xf>
    <xf numFmtId="166" fontId="26" fillId="4" borderId="37" xfId="4" applyNumberFormat="1" applyFont="1" applyFill="1" applyBorder="1" applyAlignment="1">
      <alignment horizontal="center" vertical="center" wrapText="1"/>
    </xf>
    <xf numFmtId="166" fontId="26" fillId="4" borderId="5" xfId="4" applyNumberFormat="1" applyFont="1" applyFill="1" applyBorder="1" applyAlignment="1">
      <alignment horizontal="center" vertical="center" wrapText="1"/>
    </xf>
    <xf numFmtId="166" fontId="26" fillId="4" borderId="17" xfId="4" applyNumberFormat="1" applyFont="1" applyFill="1" applyBorder="1" applyAlignment="1">
      <alignment horizontal="center" vertical="center" wrapText="1"/>
    </xf>
    <xf numFmtId="166" fontId="26" fillId="4" borderId="0" xfId="4" applyNumberFormat="1" applyFont="1" applyFill="1" applyBorder="1" applyAlignment="1">
      <alignment horizontal="center" vertical="center" wrapText="1"/>
    </xf>
    <xf numFmtId="0" fontId="19" fillId="9" borderId="11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9" fillId="9" borderId="69" xfId="0" applyFont="1" applyFill="1" applyBorder="1" applyAlignment="1">
      <alignment horizontal="center" vertical="center"/>
    </xf>
    <xf numFmtId="0" fontId="19" fillId="9" borderId="68" xfId="0" applyFont="1" applyFill="1" applyBorder="1" applyAlignment="1">
      <alignment horizontal="center" vertical="center"/>
    </xf>
    <xf numFmtId="0" fontId="19" fillId="9" borderId="70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9" fillId="10" borderId="58" xfId="0" applyFont="1" applyFill="1" applyBorder="1" applyAlignment="1">
      <alignment horizontal="left" vertical="center"/>
    </xf>
    <xf numFmtId="0" fontId="19" fillId="10" borderId="62" xfId="0" applyFont="1" applyFill="1" applyBorder="1" applyAlignment="1">
      <alignment horizontal="left" vertical="center"/>
    </xf>
    <xf numFmtId="0" fontId="19" fillId="10" borderId="60" xfId="0" applyFont="1" applyFill="1" applyBorder="1" applyAlignment="1">
      <alignment horizontal="left" vertical="center"/>
    </xf>
    <xf numFmtId="0" fontId="19" fillId="10" borderId="66" xfId="0" applyFont="1" applyFill="1" applyBorder="1" applyAlignment="1">
      <alignment horizontal="left" vertical="center"/>
    </xf>
    <xf numFmtId="0" fontId="19" fillId="10" borderId="63" xfId="0" applyFont="1" applyFill="1" applyBorder="1" applyAlignment="1">
      <alignment horizontal="left" vertical="center"/>
    </xf>
    <xf numFmtId="0" fontId="19" fillId="10" borderId="8" xfId="0" applyFont="1" applyFill="1" applyBorder="1" applyAlignment="1">
      <alignment horizontal="left" vertical="center"/>
    </xf>
    <xf numFmtId="0" fontId="19" fillId="10" borderId="64" xfId="0" applyFont="1" applyFill="1" applyBorder="1" applyAlignment="1">
      <alignment horizontal="left" vertical="center"/>
    </xf>
    <xf numFmtId="0" fontId="19" fillId="10" borderId="65" xfId="0" applyFont="1" applyFill="1" applyBorder="1" applyAlignment="1">
      <alignment horizontal="left" vertical="center"/>
    </xf>
    <xf numFmtId="44" fontId="43" fillId="9" borderId="54" xfId="8" applyFont="1" applyFill="1" applyBorder="1" applyAlignment="1">
      <alignment horizontal="center"/>
    </xf>
    <xf numFmtId="44" fontId="43" fillId="9" borderId="55" xfId="8" applyFont="1" applyFill="1" applyBorder="1" applyAlignment="1">
      <alignment horizontal="center"/>
    </xf>
    <xf numFmtId="44" fontId="43" fillId="10" borderId="69" xfId="8" applyFont="1" applyFill="1" applyBorder="1" applyAlignment="1">
      <alignment horizontal="left"/>
    </xf>
    <xf numFmtId="44" fontId="43" fillId="10" borderId="68" xfId="8" applyFont="1" applyFill="1" applyBorder="1" applyAlignment="1">
      <alignment horizontal="left"/>
    </xf>
    <xf numFmtId="0" fontId="19" fillId="10" borderId="14" xfId="0" applyFont="1" applyFill="1" applyBorder="1" applyAlignment="1">
      <alignment horizontal="left"/>
    </xf>
    <xf numFmtId="0" fontId="19" fillId="10" borderId="15" xfId="0" applyFont="1" applyFill="1" applyBorder="1" applyAlignment="1">
      <alignment horizontal="left"/>
    </xf>
    <xf numFmtId="0" fontId="19" fillId="10" borderId="62" xfId="0" applyFont="1" applyFill="1" applyBorder="1" applyAlignment="1">
      <alignment horizontal="left"/>
    </xf>
    <xf numFmtId="0" fontId="19" fillId="10" borderId="60" xfId="0" applyFont="1" applyFill="1" applyBorder="1" applyAlignment="1">
      <alignment horizontal="left"/>
    </xf>
    <xf numFmtId="0" fontId="19" fillId="9" borderId="11" xfId="0" applyFont="1" applyFill="1" applyBorder="1" applyAlignment="1">
      <alignment horizontal="left"/>
    </xf>
    <xf numFmtId="0" fontId="19" fillId="9" borderId="12" xfId="0" applyFont="1" applyFill="1" applyBorder="1" applyAlignment="1">
      <alignment horizontal="left"/>
    </xf>
    <xf numFmtId="0" fontId="19" fillId="9" borderId="52" xfId="0" applyFont="1" applyFill="1" applyBorder="1" applyAlignment="1">
      <alignment horizontal="left"/>
    </xf>
    <xf numFmtId="0" fontId="19" fillId="9" borderId="61" xfId="0" applyFont="1" applyFill="1" applyBorder="1" applyAlignment="1">
      <alignment horizontal="left"/>
    </xf>
    <xf numFmtId="0" fontId="19" fillId="9" borderId="11" xfId="0" applyFont="1" applyFill="1" applyBorder="1" applyAlignment="1">
      <alignment horizontal="center"/>
    </xf>
    <xf numFmtId="0" fontId="19" fillId="9" borderId="12" xfId="0" applyFont="1" applyFill="1" applyBorder="1" applyAlignment="1">
      <alignment horizontal="center"/>
    </xf>
    <xf numFmtId="0" fontId="19" fillId="9" borderId="13" xfId="0" applyFont="1" applyFill="1" applyBorder="1" applyAlignment="1">
      <alignment horizontal="center"/>
    </xf>
    <xf numFmtId="0" fontId="19" fillId="9" borderId="69" xfId="0" applyFont="1" applyFill="1" applyBorder="1" applyAlignment="1">
      <alignment horizontal="center"/>
    </xf>
    <xf numFmtId="0" fontId="19" fillId="9" borderId="68" xfId="0" applyFont="1" applyFill="1" applyBorder="1" applyAlignment="1">
      <alignment horizontal="center"/>
    </xf>
    <xf numFmtId="0" fontId="19" fillId="9" borderId="70" xfId="0" applyFont="1" applyFill="1" applyBorder="1" applyAlignment="1">
      <alignment horizontal="center"/>
    </xf>
    <xf numFmtId="0" fontId="19" fillId="10" borderId="11" xfId="0" applyFont="1" applyFill="1" applyBorder="1" applyAlignment="1">
      <alignment horizontal="left"/>
    </xf>
    <xf numFmtId="0" fontId="19" fillId="10" borderId="12" xfId="0" applyFont="1" applyFill="1" applyBorder="1" applyAlignment="1">
      <alignment horizontal="left"/>
    </xf>
    <xf numFmtId="0" fontId="19" fillId="10" borderId="58" xfId="0" applyFont="1" applyFill="1" applyBorder="1" applyAlignment="1">
      <alignment horizontal="left"/>
    </xf>
    <xf numFmtId="0" fontId="19" fillId="10" borderId="66" xfId="0" applyFont="1" applyFill="1" applyBorder="1" applyAlignment="1">
      <alignment horizontal="left"/>
    </xf>
    <xf numFmtId="0" fontId="12" fillId="8" borderId="42" xfId="0" applyFont="1" applyFill="1" applyBorder="1" applyAlignment="1">
      <alignment horizontal="left" vertical="center"/>
    </xf>
    <xf numFmtId="0" fontId="12" fillId="8" borderId="42" xfId="0" applyFont="1" applyFill="1" applyBorder="1" applyAlignment="1">
      <alignment vertical="center"/>
    </xf>
    <xf numFmtId="0" fontId="12" fillId="8" borderId="0" xfId="0" applyFont="1" applyFill="1" applyAlignment="1">
      <alignment vertical="center"/>
    </xf>
    <xf numFmtId="0" fontId="13" fillId="8" borderId="42" xfId="0" applyFont="1" applyFill="1" applyBorder="1" applyAlignment="1">
      <alignment horizontal="left" vertical="top"/>
    </xf>
    <xf numFmtId="0" fontId="15" fillId="8" borderId="42" xfId="0" applyFont="1" applyFill="1" applyBorder="1" applyAlignment="1">
      <alignment horizontal="center" vertical="center" wrapText="1"/>
    </xf>
    <xf numFmtId="0" fontId="15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22" fillId="0" borderId="0" xfId="0" applyNumberFormat="1" applyFont="1" applyAlignment="1">
      <alignment vertic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668914</xdr:colOff>
      <xdr:row>0</xdr:row>
      <xdr:rowOff>152400</xdr:rowOff>
    </xdr:from>
    <xdr:to>
      <xdr:col>5</xdr:col>
      <xdr:colOff>679387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618888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45</xdr:col>
      <xdr:colOff>152624</xdr:colOff>
      <xdr:row>0</xdr:row>
      <xdr:rowOff>190500</xdr:rowOff>
    </xdr:from>
    <xdr:to>
      <xdr:col>46</xdr:col>
      <xdr:colOff>580070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44</xdr:col>
      <xdr:colOff>285602</xdr:colOff>
      <xdr:row>0</xdr:row>
      <xdr:rowOff>179391</xdr:rowOff>
    </xdr:from>
    <xdr:to>
      <xdr:col>45</xdr:col>
      <xdr:colOff>76421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668914</xdr:colOff>
      <xdr:row>0</xdr:row>
      <xdr:rowOff>152400</xdr:rowOff>
    </xdr:from>
    <xdr:to>
      <xdr:col>5</xdr:col>
      <xdr:colOff>679387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152624</xdr:colOff>
      <xdr:row>0</xdr:row>
      <xdr:rowOff>190500</xdr:rowOff>
    </xdr:from>
    <xdr:to>
      <xdr:col>46</xdr:col>
      <xdr:colOff>580070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319C9-AF84-4449-B105-E1486C0E271D}">
  <dimension ref="A1:F22"/>
  <sheetViews>
    <sheetView showGridLines="0" tabSelected="1" topLeftCell="A13" zoomScaleNormal="100" workbookViewId="0">
      <selection activeCell="C22" sqref="C22:D22"/>
    </sheetView>
  </sheetViews>
  <sheetFormatPr defaultColWidth="8.6640625" defaultRowHeight="16.2" x14ac:dyDescent="0.35"/>
  <cols>
    <col min="1" max="1" width="8.6640625" style="154"/>
    <col min="2" max="2" width="33.33203125" style="154" customWidth="1"/>
    <col min="3" max="3" width="38.5546875" style="154" bestFit="1" customWidth="1"/>
    <col min="4" max="4" width="20.44140625" style="154" customWidth="1"/>
    <col min="5" max="5" width="18.44140625" style="154" customWidth="1"/>
    <col min="6" max="6" width="11.88671875" style="155" bestFit="1" customWidth="1"/>
    <col min="7" max="7" width="12.88671875" style="154" bestFit="1" customWidth="1"/>
    <col min="8" max="8" width="12.5546875" style="154" bestFit="1" customWidth="1"/>
    <col min="9" max="16384" width="8.6640625" style="154"/>
  </cols>
  <sheetData>
    <row r="1" spans="1:5" s="155" customFormat="1" hidden="1" x14ac:dyDescent="0.35">
      <c r="A1" s="154"/>
      <c r="B1" s="154"/>
      <c r="C1" s="154"/>
      <c r="D1" s="154"/>
      <c r="E1" s="154"/>
    </row>
    <row r="2" spans="1:5" s="155" customFormat="1" hidden="1" x14ac:dyDescent="0.35">
      <c r="A2" s="154"/>
      <c r="B2" s="154"/>
      <c r="C2" s="154"/>
      <c r="D2" s="154"/>
      <c r="E2" s="154"/>
    </row>
    <row r="3" spans="1:5" s="155" customFormat="1" hidden="1" x14ac:dyDescent="0.35">
      <c r="A3" s="154"/>
      <c r="B3" s="154"/>
      <c r="C3" s="156">
        <v>45866</v>
      </c>
      <c r="D3" s="157"/>
      <c r="E3" s="186" t="e">
        <f>SUM(#REF!)</f>
        <v>#REF!</v>
      </c>
    </row>
    <row r="4" spans="1:5" s="155" customFormat="1" ht="15.6" hidden="1" customHeight="1" thickBot="1" x14ac:dyDescent="0.4">
      <c r="A4" s="154"/>
      <c r="B4" s="154"/>
      <c r="C4" s="158">
        <v>45867</v>
      </c>
      <c r="D4" s="159"/>
      <c r="E4" s="187"/>
    </row>
    <row r="5" spans="1:5" s="155" customFormat="1" hidden="1" x14ac:dyDescent="0.35">
      <c r="A5" s="154"/>
      <c r="B5" s="154"/>
      <c r="C5" s="160" t="s">
        <v>230</v>
      </c>
      <c r="D5" s="161"/>
      <c r="E5" s="154"/>
    </row>
    <row r="6" spans="1:5" s="155" customFormat="1" hidden="1" x14ac:dyDescent="0.35">
      <c r="A6" s="154"/>
      <c r="B6" s="154"/>
      <c r="C6" s="160" t="s">
        <v>231</v>
      </c>
      <c r="D6" s="161"/>
      <c r="E6" s="154"/>
    </row>
    <row r="7" spans="1:5" s="155" customFormat="1" ht="16.8" hidden="1" thickBot="1" x14ac:dyDescent="0.4">
      <c r="A7" s="154"/>
      <c r="B7" s="154"/>
      <c r="C7" s="162" t="s">
        <v>43</v>
      </c>
      <c r="D7" s="163"/>
      <c r="E7" s="154"/>
    </row>
    <row r="9" spans="1:5" s="155" customFormat="1" ht="24" customHeight="1" x14ac:dyDescent="0.35">
      <c r="A9" s="154"/>
      <c r="B9" s="154"/>
      <c r="C9" s="154"/>
      <c r="D9" s="154"/>
      <c r="E9" s="154"/>
    </row>
    <row r="11" spans="1:5" s="155" customFormat="1" ht="15" customHeight="1" x14ac:dyDescent="0.35">
      <c r="A11" s="154"/>
      <c r="B11" s="31" t="s">
        <v>200</v>
      </c>
      <c r="C11" s="34"/>
      <c r="D11" s="164"/>
      <c r="E11" s="154"/>
    </row>
    <row r="12" spans="1:5" s="155" customFormat="1" ht="15" customHeight="1" x14ac:dyDescent="0.35">
      <c r="A12" s="154"/>
      <c r="B12" s="32" t="s">
        <v>201</v>
      </c>
      <c r="C12" s="35" t="s">
        <v>169</v>
      </c>
      <c r="D12" s="164"/>
      <c r="E12" s="154"/>
    </row>
    <row r="13" spans="1:5" s="155" customFormat="1" ht="15" customHeight="1" x14ac:dyDescent="0.35">
      <c r="A13" s="154"/>
      <c r="B13" s="32" t="s">
        <v>202</v>
      </c>
      <c r="C13" s="36" t="s">
        <v>170</v>
      </c>
      <c r="D13" s="165"/>
      <c r="E13" s="154"/>
    </row>
    <row r="14" spans="1:5" s="155" customFormat="1" ht="15" customHeight="1" x14ac:dyDescent="0.35">
      <c r="A14" s="154"/>
      <c r="B14" s="32" t="s">
        <v>203</v>
      </c>
      <c r="C14" s="36" t="s">
        <v>171</v>
      </c>
      <c r="D14" s="165"/>
      <c r="E14" s="154"/>
    </row>
    <row r="15" spans="1:5" s="155" customFormat="1" ht="15" customHeight="1" x14ac:dyDescent="0.35">
      <c r="A15" s="154"/>
      <c r="B15" s="32" t="s">
        <v>204</v>
      </c>
      <c r="C15" s="46">
        <v>46063</v>
      </c>
      <c r="D15" s="166"/>
      <c r="E15" s="154"/>
    </row>
    <row r="16" spans="1:5" ht="15" customHeight="1" x14ac:dyDescent="0.35">
      <c r="B16" s="32" t="s">
        <v>205</v>
      </c>
      <c r="C16" s="36" t="s">
        <v>172</v>
      </c>
      <c r="D16" s="165"/>
    </row>
    <row r="17" spans="2:6" ht="15" customHeight="1" x14ac:dyDescent="0.35">
      <c r="B17" s="32" t="s">
        <v>206</v>
      </c>
      <c r="C17" s="36" t="s">
        <v>173</v>
      </c>
      <c r="D17" s="165"/>
    </row>
    <row r="18" spans="2:6" ht="15" customHeight="1" x14ac:dyDescent="0.35">
      <c r="B18" s="33" t="s">
        <v>207</v>
      </c>
      <c r="C18" s="37" t="s">
        <v>244</v>
      </c>
      <c r="D18" s="165"/>
    </row>
    <row r="20" spans="2:6" ht="15.6" customHeight="1" x14ac:dyDescent="0.35">
      <c r="B20" s="167"/>
      <c r="C20" s="167" t="s">
        <v>232</v>
      </c>
      <c r="D20" s="167" t="s">
        <v>233</v>
      </c>
      <c r="E20" s="167" t="s">
        <v>234</v>
      </c>
      <c r="F20" s="168"/>
    </row>
    <row r="21" spans="2:6" x14ac:dyDescent="0.35">
      <c r="B21" s="169" t="s">
        <v>236</v>
      </c>
      <c r="C21" s="170">
        <f>Principal!N58</f>
        <v>119358.88351276159</v>
      </c>
      <c r="D21" s="170">
        <f>Principal!AN60</f>
        <v>88726.188349999997</v>
      </c>
      <c r="E21" s="170">
        <f>C21-D21</f>
        <v>30632.695162761593</v>
      </c>
      <c r="F21" s="171">
        <f>E21*100%/C21</f>
        <v>0.25664361345577108</v>
      </c>
    </row>
    <row r="22" spans="2:6" x14ac:dyDescent="0.35">
      <c r="B22" s="167" t="s">
        <v>43</v>
      </c>
      <c r="C22" s="172">
        <f>SUM(C21:C21)</f>
        <v>119358.88351276159</v>
      </c>
      <c r="D22" s="172">
        <f>SUM(D21:D21)</f>
        <v>88726.188349999997</v>
      </c>
      <c r="E22" s="172">
        <f>SUM(E21:E21)</f>
        <v>30632.695162761593</v>
      </c>
      <c r="F22" s="171">
        <f t="shared" ref="F22" si="0">E22*100%/C22</f>
        <v>0.25664361345577108</v>
      </c>
    </row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Q62"/>
  <sheetViews>
    <sheetView showGridLines="0" topLeftCell="G1" zoomScale="70" zoomScaleNormal="70" workbookViewId="0">
      <pane ySplit="1" topLeftCell="A42" activePane="bottomLeft" state="frozen"/>
      <selection pane="bottomLeft" activeCell="AN58" sqref="AN58:AN59"/>
    </sheetView>
  </sheetViews>
  <sheetFormatPr defaultColWidth="8.88671875" defaultRowHeight="21" x14ac:dyDescent="0.4"/>
  <cols>
    <col min="1" max="1" width="9.5546875" style="47" hidden="1" customWidth="1"/>
    <col min="2" max="2" width="13.109375" style="47" customWidth="1"/>
    <col min="3" max="3" width="16" style="47" hidden="1" customWidth="1"/>
    <col min="4" max="4" width="22.5546875" style="47" hidden="1" customWidth="1"/>
    <col min="5" max="5" width="32.109375" style="47" hidden="1" customWidth="1"/>
    <col min="6" max="6" width="55.109375" style="47" customWidth="1"/>
    <col min="7" max="7" width="78.88671875" style="47" customWidth="1"/>
    <col min="8" max="9" width="10.5546875" style="50" hidden="1" customWidth="1"/>
    <col min="10" max="10" width="16.44140625" style="47" hidden="1" customWidth="1"/>
    <col min="11" max="11" width="26.6640625" style="47" bestFit="1" customWidth="1"/>
    <col min="12" max="12" width="24.6640625" style="47" bestFit="1" customWidth="1"/>
    <col min="13" max="14" width="26.6640625" style="47" bestFit="1" customWidth="1"/>
    <col min="15" max="15" width="3.33203125" style="47" hidden="1" customWidth="1"/>
    <col min="16" max="16" width="1.88671875" style="47" hidden="1" customWidth="1"/>
    <col min="17" max="17" width="10.5546875" style="50" customWidth="1"/>
    <col min="18" max="18" width="10.5546875" style="50" hidden="1" customWidth="1"/>
    <col min="19" max="19" width="16.44140625" style="47" hidden="1" customWidth="1"/>
    <col min="20" max="20" width="26.6640625" style="47" bestFit="1" customWidth="1"/>
    <col min="21" max="21" width="24.6640625" style="47" hidden="1" customWidth="1"/>
    <col min="22" max="22" width="9.6640625" style="47" hidden="1" customWidth="1"/>
    <col min="23" max="23" width="16.109375" style="47" hidden="1" customWidth="1"/>
    <col min="24" max="24" width="27.109375" style="47" bestFit="1" customWidth="1"/>
    <col min="25" max="25" width="26.6640625" style="47" hidden="1" customWidth="1"/>
    <col min="26" max="26" width="14.6640625" style="47" hidden="1" customWidth="1"/>
    <col min="27" max="27" width="24.6640625" style="47" hidden="1" customWidth="1"/>
    <col min="28" max="28" width="38.109375" style="47" hidden="1" customWidth="1"/>
    <col min="29" max="29" width="14.109375" style="47" hidden="1" customWidth="1"/>
    <col min="30" max="30" width="7.6640625" style="47" hidden="1" customWidth="1"/>
    <col min="31" max="31" width="6.88671875" style="47" hidden="1" customWidth="1"/>
    <col min="32" max="32" width="1.33203125" style="47" hidden="1" customWidth="1"/>
    <col min="33" max="33" width="14" style="47" hidden="1" customWidth="1"/>
    <col min="34" max="34" width="11.6640625" style="47" hidden="1" customWidth="1"/>
    <col min="35" max="35" width="6.33203125" style="47" hidden="1" customWidth="1"/>
    <col min="36" max="36" width="12.6640625" style="47" hidden="1" customWidth="1"/>
    <col min="37" max="37" width="13.109375" style="47" hidden="1" customWidth="1"/>
    <col min="38" max="38" width="13.5546875" style="47" hidden="1" customWidth="1"/>
    <col min="39" max="39" width="32.109375" style="177" bestFit="1" customWidth="1"/>
    <col min="40" max="40" width="30.109375" style="177" customWidth="1"/>
    <col min="41" max="41" width="8.88671875" style="183"/>
    <col min="42" max="16384" width="8.88671875" style="47"/>
  </cols>
  <sheetData>
    <row r="1" spans="1:40" ht="49.5" customHeight="1" x14ac:dyDescent="0.4">
      <c r="B1" s="48"/>
      <c r="C1" s="49"/>
      <c r="D1" s="49"/>
      <c r="F1" s="194" t="s">
        <v>120</v>
      </c>
      <c r="G1" s="194"/>
    </row>
    <row r="2" spans="1:40" ht="24.75" customHeight="1" x14ac:dyDescent="0.4">
      <c r="B2" s="50"/>
      <c r="D2" s="49"/>
      <c r="F2" s="195" t="s">
        <v>0</v>
      </c>
      <c r="G2" s="195"/>
    </row>
    <row r="3" spans="1:40" ht="22.2" x14ac:dyDescent="0.4">
      <c r="B3" s="51"/>
      <c r="F3" s="52"/>
      <c r="G3" s="52"/>
    </row>
    <row r="4" spans="1:40" ht="22.2" x14ac:dyDescent="0.4">
      <c r="F4" s="53" t="s">
        <v>208</v>
      </c>
      <c r="G4" s="54"/>
    </row>
    <row r="5" spans="1:40" ht="22.2" x14ac:dyDescent="0.4">
      <c r="F5" s="55" t="s">
        <v>209</v>
      </c>
      <c r="G5" s="56" t="s">
        <v>169</v>
      </c>
    </row>
    <row r="6" spans="1:40" ht="22.2" x14ac:dyDescent="0.4">
      <c r="D6" s="47" t="s">
        <v>107</v>
      </c>
      <c r="F6" s="55" t="s">
        <v>210</v>
      </c>
      <c r="G6" s="57" t="s">
        <v>170</v>
      </c>
    </row>
    <row r="7" spans="1:40" ht="21.75" customHeight="1" x14ac:dyDescent="0.4">
      <c r="F7" s="55" t="s">
        <v>211</v>
      </c>
      <c r="G7" s="57" t="s">
        <v>171</v>
      </c>
      <c r="J7" s="47" t="s">
        <v>119</v>
      </c>
    </row>
    <row r="8" spans="1:40" ht="22.2" x14ac:dyDescent="0.4">
      <c r="F8" s="55" t="s">
        <v>212</v>
      </c>
      <c r="G8" s="58">
        <v>46063</v>
      </c>
    </row>
    <row r="9" spans="1:40" ht="22.2" x14ac:dyDescent="0.4">
      <c r="F9" s="55" t="s">
        <v>213</v>
      </c>
      <c r="G9" s="57" t="s">
        <v>172</v>
      </c>
      <c r="J9" s="47" t="s">
        <v>107</v>
      </c>
    </row>
    <row r="10" spans="1:40" ht="27" customHeight="1" x14ac:dyDescent="0.4">
      <c r="F10" s="55" t="s">
        <v>214</v>
      </c>
      <c r="G10" s="57" t="s">
        <v>173</v>
      </c>
    </row>
    <row r="11" spans="1:40" ht="22.8" thickBot="1" x14ac:dyDescent="0.45">
      <c r="F11" s="59" t="s">
        <v>215</v>
      </c>
      <c r="G11" s="60" t="s">
        <v>174</v>
      </c>
    </row>
    <row r="12" spans="1:40" ht="67.2" thickBot="1" x14ac:dyDescent="0.45">
      <c r="B12" s="61"/>
      <c r="M12" s="62"/>
      <c r="Q12" s="196" t="s">
        <v>1</v>
      </c>
      <c r="R12" s="197"/>
      <c r="S12" s="197"/>
      <c r="T12" s="198"/>
      <c r="U12" s="199" t="s">
        <v>2</v>
      </c>
      <c r="V12" s="200"/>
      <c r="W12" s="200"/>
      <c r="X12" s="201"/>
      <c r="Y12" s="63" t="s">
        <v>56</v>
      </c>
      <c r="Z12" s="64">
        <f>(1/(1-M14))-1</f>
        <v>0.20962864400629</v>
      </c>
      <c r="AC12" s="202" t="s">
        <v>3</v>
      </c>
      <c r="AD12" s="203"/>
      <c r="AE12" s="204"/>
      <c r="AG12" s="205" t="s">
        <v>58</v>
      </c>
      <c r="AH12" s="206"/>
      <c r="AJ12" s="65" t="s">
        <v>60</v>
      </c>
      <c r="AK12" s="192" t="s">
        <v>59</v>
      </c>
      <c r="AL12" s="193"/>
    </row>
    <row r="13" spans="1:40" ht="22.8" thickBot="1" x14ac:dyDescent="0.45">
      <c r="A13" s="66" t="s">
        <v>4</v>
      </c>
      <c r="B13" s="67" t="s">
        <v>5</v>
      </c>
      <c r="C13" s="66" t="s">
        <v>6</v>
      </c>
      <c r="D13" s="66" t="s">
        <v>7</v>
      </c>
      <c r="E13" s="66" t="s">
        <v>8</v>
      </c>
      <c r="M13" s="68">
        <v>0.81</v>
      </c>
    </row>
    <row r="14" spans="1:40" ht="51" customHeight="1" thickBot="1" x14ac:dyDescent="0.45">
      <c r="A14" s="69">
        <v>0</v>
      </c>
      <c r="B14" s="70"/>
      <c r="C14" s="71"/>
      <c r="D14" s="72"/>
      <c r="E14" s="72"/>
      <c r="F14" s="73" t="s">
        <v>84</v>
      </c>
      <c r="G14" s="74" t="s">
        <v>85</v>
      </c>
      <c r="H14" s="75" t="s">
        <v>86</v>
      </c>
      <c r="I14" s="75" t="s">
        <v>87</v>
      </c>
      <c r="J14" s="76" t="s">
        <v>88</v>
      </c>
      <c r="K14" s="77" t="s">
        <v>9</v>
      </c>
      <c r="L14" s="78">
        <v>0.08</v>
      </c>
      <c r="M14" s="79">
        <v>0.17330000000000001</v>
      </c>
      <c r="N14" s="80" t="s">
        <v>82</v>
      </c>
      <c r="Q14" s="81" t="s">
        <v>89</v>
      </c>
      <c r="R14" s="82" t="s">
        <v>90</v>
      </c>
      <c r="S14" s="83" t="s">
        <v>91</v>
      </c>
      <c r="T14" s="84" t="s">
        <v>92</v>
      </c>
      <c r="U14" s="85" t="s">
        <v>93</v>
      </c>
      <c r="V14" s="86" t="s">
        <v>94</v>
      </c>
      <c r="W14" s="87" t="s">
        <v>95</v>
      </c>
      <c r="X14" s="87" t="s">
        <v>96</v>
      </c>
      <c r="Y14" s="88" t="s">
        <v>97</v>
      </c>
      <c r="Z14" s="89" t="s">
        <v>98</v>
      </c>
      <c r="AA14" s="90" t="s">
        <v>83</v>
      </c>
      <c r="AC14" s="91" t="s">
        <v>99</v>
      </c>
      <c r="AD14" s="92" t="s">
        <v>100</v>
      </c>
      <c r="AE14" s="92" t="s">
        <v>33</v>
      </c>
      <c r="AG14" s="93" t="s">
        <v>101</v>
      </c>
      <c r="AH14" s="94" t="s">
        <v>102</v>
      </c>
      <c r="AK14" s="95" t="s">
        <v>103</v>
      </c>
      <c r="AL14" s="96" t="s">
        <v>104</v>
      </c>
      <c r="AM14" s="173" t="s">
        <v>103</v>
      </c>
      <c r="AN14" s="174" t="s">
        <v>104</v>
      </c>
    </row>
    <row r="15" spans="1:40" ht="30" customHeight="1" thickBot="1" x14ac:dyDescent="0.55000000000000004">
      <c r="A15" s="72">
        <v>1</v>
      </c>
      <c r="B15" s="97">
        <v>1</v>
      </c>
      <c r="C15" s="98" t="s">
        <v>121</v>
      </c>
      <c r="D15" s="72"/>
      <c r="E15" s="72"/>
      <c r="F15" s="207" t="s">
        <v>122</v>
      </c>
      <c r="G15" s="208"/>
      <c r="H15" s="208"/>
      <c r="I15" s="208"/>
      <c r="J15" s="208"/>
      <c r="K15" s="208"/>
      <c r="L15" s="208"/>
      <c r="M15" s="208"/>
      <c r="N15" s="209"/>
      <c r="Q15" s="210" t="str">
        <f>IF(F15&lt;&gt;"",F15,"")</f>
        <v>INTERNO</v>
      </c>
      <c r="R15" s="211"/>
      <c r="S15" s="211"/>
      <c r="T15" s="211"/>
      <c r="U15" s="211"/>
      <c r="V15" s="211"/>
      <c r="W15" s="211"/>
      <c r="X15" s="211"/>
      <c r="Y15" s="212"/>
      <c r="AM15" s="223"/>
      <c r="AN15" s="224"/>
    </row>
    <row r="16" spans="1:40" ht="30" customHeight="1" x14ac:dyDescent="0.5">
      <c r="A16" s="72">
        <v>2</v>
      </c>
      <c r="B16" s="97" t="s">
        <v>124</v>
      </c>
      <c r="C16" s="98" t="s">
        <v>123</v>
      </c>
      <c r="D16" s="72"/>
      <c r="E16" s="72"/>
      <c r="F16" s="213" t="s">
        <v>128</v>
      </c>
      <c r="G16" s="214"/>
      <c r="H16" s="214"/>
      <c r="I16" s="214"/>
      <c r="J16" s="214"/>
      <c r="K16" s="215"/>
      <c r="L16" s="99" t="s">
        <v>125</v>
      </c>
      <c r="M16" s="100" t="s">
        <v>126</v>
      </c>
      <c r="N16" s="101" t="s">
        <v>82</v>
      </c>
      <c r="Q16" s="216" t="str">
        <f>IF(F16&lt;&gt;"",F16,"")</f>
        <v>EQUIPE INTERNA</v>
      </c>
      <c r="R16" s="217"/>
      <c r="S16" s="217"/>
      <c r="T16" s="217"/>
      <c r="U16" s="217"/>
      <c r="V16" s="217"/>
      <c r="W16" s="217"/>
      <c r="X16" s="217"/>
      <c r="Y16" s="218"/>
      <c r="Z16" s="102" t="s">
        <v>127</v>
      </c>
      <c r="AA16" s="103" t="s">
        <v>83</v>
      </c>
      <c r="AM16" s="225"/>
      <c r="AN16" s="226"/>
    </row>
    <row r="17" spans="1:41" ht="80.099999999999994" customHeight="1" x14ac:dyDescent="0.5">
      <c r="A17" s="72">
        <v>3</v>
      </c>
      <c r="B17" s="97" t="s">
        <v>130</v>
      </c>
      <c r="C17" s="98" t="s">
        <v>129</v>
      </c>
      <c r="D17" s="72" t="s">
        <v>122</v>
      </c>
      <c r="E17" s="72" t="s">
        <v>167</v>
      </c>
      <c r="F17" s="104" t="s">
        <v>139</v>
      </c>
      <c r="G17" s="105" t="s">
        <v>216</v>
      </c>
      <c r="H17" s="106">
        <v>1</v>
      </c>
      <c r="I17" s="106">
        <v>1</v>
      </c>
      <c r="J17" s="107">
        <v>5000</v>
      </c>
      <c r="K17" s="107">
        <f>IF(F17&lt;&gt;"",H17*I17*J17,"")</f>
        <v>5000</v>
      </c>
      <c r="L17" s="107">
        <f>IF(K17&lt;&gt;"",IF(D17="INTERNO",0,K17*$L$14),"")</f>
        <v>0</v>
      </c>
      <c r="M17" s="107">
        <f>IF(K17&lt;&gt;"",IF(E17="FAT.OGGI",SUM(K17:L17)*(1/(1-$M$14)-1),L17*(1/(1-$M$14)-1)),0)</f>
        <v>1048.14322003145</v>
      </c>
      <c r="N17" s="108">
        <f>SUM(K17:M17)</f>
        <v>6048.1432200314503</v>
      </c>
      <c r="Q17" s="109">
        <f t="shared" ref="Q17:R17" si="0">IF(H17&lt;&gt;"",H17,"")</f>
        <v>1</v>
      </c>
      <c r="R17" s="110">
        <f t="shared" si="0"/>
        <v>1</v>
      </c>
      <c r="S17" s="111">
        <v>0</v>
      </c>
      <c r="T17" s="111">
        <v>2000</v>
      </c>
      <c r="U17" s="112">
        <f>IF(Q17&lt;&gt;"",K17-T17,"")</f>
        <v>3000</v>
      </c>
      <c r="V17" s="113">
        <f>IF(Q17&lt;&gt;"",0%,"")</f>
        <v>0</v>
      </c>
      <c r="W17" s="114">
        <f>IF(Q17&lt;&gt;"",V17*U17,"")</f>
        <v>0</v>
      </c>
      <c r="X17" s="114">
        <f>IF(Q17&lt;&gt;"",W17+T17,"")</f>
        <v>2000</v>
      </c>
      <c r="Y17" s="115">
        <f>IF(Q17&lt;&gt;"",X17+M17,"")</f>
        <v>3048.1432200314503</v>
      </c>
      <c r="Z17" s="116">
        <f>IF(Q17&lt;&gt;"", IFERROR(U17/K17, 0), 0)</f>
        <v>0.6</v>
      </c>
      <c r="AA17" s="117">
        <f>IFERROR(T17/$T$18, "")</f>
        <v>1</v>
      </c>
      <c r="AM17" s="175">
        <f>X17-AN17</f>
        <v>0</v>
      </c>
      <c r="AN17" s="176">
        <v>2000</v>
      </c>
      <c r="AO17" s="183" t="s">
        <v>243</v>
      </c>
    </row>
    <row r="18" spans="1:41" ht="30" customHeight="1" thickBot="1" x14ac:dyDescent="0.55000000000000004">
      <c r="A18" s="72">
        <v>4</v>
      </c>
      <c r="B18" s="97"/>
      <c r="C18" s="98" t="s">
        <v>131</v>
      </c>
      <c r="D18" s="72"/>
      <c r="E18" s="72"/>
      <c r="F18" s="219" t="s">
        <v>132</v>
      </c>
      <c r="G18" s="220"/>
      <c r="H18" s="220"/>
      <c r="I18" s="220"/>
      <c r="J18" s="220"/>
      <c r="K18" s="118">
        <f>SUM(K17:K17)</f>
        <v>5000</v>
      </c>
      <c r="L18" s="118">
        <f>SUM(L17:L17)</f>
        <v>0</v>
      </c>
      <c r="M18" s="118">
        <f>SUM(M17:M17)</f>
        <v>1048.14322003145</v>
      </c>
      <c r="N18" s="119">
        <f>SUM(N17:N17)</f>
        <v>6048.1432200314503</v>
      </c>
      <c r="Q18" s="216" t="s">
        <v>132</v>
      </c>
      <c r="R18" s="217"/>
      <c r="S18" s="217"/>
      <c r="T18" s="120">
        <f>SUM(T17:T17)</f>
        <v>2000</v>
      </c>
      <c r="U18" s="121">
        <f>SUM(U17:U17)</f>
        <v>3000</v>
      </c>
      <c r="V18" s="122"/>
      <c r="W18" s="122"/>
      <c r="X18" s="123">
        <f>SUM(X17:X17)</f>
        <v>2000</v>
      </c>
      <c r="Y18" s="124">
        <f>IF(Q18&lt;&gt;"",X18+M18,"")</f>
        <v>3048.1432200314503</v>
      </c>
      <c r="AM18" s="175"/>
      <c r="AN18" s="176"/>
    </row>
    <row r="19" spans="1:41" ht="30" customHeight="1" x14ac:dyDescent="0.5">
      <c r="A19" s="72">
        <v>5</v>
      </c>
      <c r="B19" s="97" t="s">
        <v>133</v>
      </c>
      <c r="C19" s="98" t="s">
        <v>123</v>
      </c>
      <c r="D19" s="72"/>
      <c r="E19" s="72"/>
      <c r="F19" s="213" t="s">
        <v>134</v>
      </c>
      <c r="G19" s="214"/>
      <c r="H19" s="214"/>
      <c r="I19" s="214"/>
      <c r="J19" s="214"/>
      <c r="K19" s="215"/>
      <c r="L19" s="99" t="s">
        <v>125</v>
      </c>
      <c r="M19" s="100" t="s">
        <v>126</v>
      </c>
      <c r="N19" s="101" t="s">
        <v>82</v>
      </c>
      <c r="Q19" s="216" t="str">
        <f>IF(F19&lt;&gt;"",F19,"")</f>
        <v>STAFF</v>
      </c>
      <c r="R19" s="217"/>
      <c r="S19" s="217"/>
      <c r="T19" s="217"/>
      <c r="U19" s="217"/>
      <c r="V19" s="217"/>
      <c r="W19" s="217"/>
      <c r="X19" s="217"/>
      <c r="Y19" s="218"/>
      <c r="Z19" s="102" t="s">
        <v>127</v>
      </c>
      <c r="AA19" s="103" t="s">
        <v>83</v>
      </c>
      <c r="AM19" s="175"/>
      <c r="AN19" s="176"/>
    </row>
    <row r="20" spans="1:41" ht="80.099999999999994" customHeight="1" x14ac:dyDescent="0.5">
      <c r="A20" s="72">
        <v>6</v>
      </c>
      <c r="B20" s="97" t="s">
        <v>135</v>
      </c>
      <c r="C20" s="98" t="s">
        <v>129</v>
      </c>
      <c r="D20" s="72" t="s">
        <v>168</v>
      </c>
      <c r="E20" s="72" t="s">
        <v>167</v>
      </c>
      <c r="F20" s="104" t="s">
        <v>175</v>
      </c>
      <c r="G20" s="105" t="s">
        <v>217</v>
      </c>
      <c r="H20" s="106">
        <v>2</v>
      </c>
      <c r="I20" s="106">
        <v>2</v>
      </c>
      <c r="J20" s="107">
        <v>850</v>
      </c>
      <c r="K20" s="125">
        <f>IF(F20&lt;&gt;"",H20*I20*J20,"")</f>
        <v>3400</v>
      </c>
      <c r="L20" s="125">
        <f>IF(K20&lt;&gt;"",IF(D20="INTERNO",0,K20*$L$14),"")</f>
        <v>272</v>
      </c>
      <c r="M20" s="125">
        <f>IF(K20&lt;&gt;"",IF(E20="FAT.OGGI",SUM(K20:L20)*(1/(1-$M$14)-1),L20*(1/(1-$M$14)-1)),0)</f>
        <v>769.75638079109683</v>
      </c>
      <c r="N20" s="126">
        <f>SUM(K20:M20)</f>
        <v>4441.7563807910965</v>
      </c>
      <c r="Q20" s="109">
        <f t="shared" ref="Q20:R21" si="1">IF(H20&lt;&gt;"",H20,"")</f>
        <v>2</v>
      </c>
      <c r="R20" s="110">
        <f t="shared" si="1"/>
        <v>2</v>
      </c>
      <c r="S20" s="111">
        <f>(1500+920)/2/2</f>
        <v>605</v>
      </c>
      <c r="T20" s="111">
        <v>1500</v>
      </c>
      <c r="U20" s="112">
        <f>IF(Q20&lt;&gt;"",K20-T20,"")</f>
        <v>1900</v>
      </c>
      <c r="V20" s="113">
        <f>IF(Q20&lt;&gt;"",0%,"")</f>
        <v>0</v>
      </c>
      <c r="W20" s="114">
        <f>IF(Q20&lt;&gt;"",V20*U20,"")</f>
        <v>0</v>
      </c>
      <c r="X20" s="114">
        <f>IF(Q20&lt;&gt;"",W20+T20,"")</f>
        <v>1500</v>
      </c>
      <c r="Y20" s="115">
        <f>IF(Q20&lt;&gt;"",X20+M20,"")</f>
        <v>2269.7563807910969</v>
      </c>
      <c r="Z20" s="116">
        <f>IF(Q20&lt;&gt;"", IFERROR(U20/K20, 0), 0)</f>
        <v>0.55882352941176472</v>
      </c>
      <c r="AA20" s="117">
        <f>IFERROR(T20/$T$22, "")</f>
        <v>0.28735632183908044</v>
      </c>
      <c r="AM20" s="175">
        <f t="shared" ref="AM20:AM55" si="2">X20-AN20</f>
        <v>0</v>
      </c>
      <c r="AN20" s="176">
        <f>750+750</f>
        <v>1500</v>
      </c>
      <c r="AO20" s="183" t="s">
        <v>239</v>
      </c>
    </row>
    <row r="21" spans="1:41" ht="80.099999999999994" customHeight="1" x14ac:dyDescent="0.5">
      <c r="A21" s="72">
        <v>7</v>
      </c>
      <c r="B21" s="97" t="s">
        <v>180</v>
      </c>
      <c r="C21" s="98" t="s">
        <v>129</v>
      </c>
      <c r="D21" s="72" t="s">
        <v>168</v>
      </c>
      <c r="E21" s="72" t="s">
        <v>167</v>
      </c>
      <c r="F21" s="104" t="s">
        <v>140</v>
      </c>
      <c r="G21" s="105" t="s">
        <v>218</v>
      </c>
      <c r="H21" s="127">
        <v>4</v>
      </c>
      <c r="I21" s="127">
        <v>2</v>
      </c>
      <c r="J21" s="125">
        <v>420</v>
      </c>
      <c r="K21" s="125">
        <f>IF(F21&lt;&gt;"",H21*I21*J21,"")</f>
        <v>3360</v>
      </c>
      <c r="L21" s="125">
        <f>IF(K21&lt;&gt;"",IF(D21="INTERNO",0,K21*$L$14),"")</f>
        <v>268.8</v>
      </c>
      <c r="M21" s="125">
        <f>IF(K21&lt;&gt;"",IF(E21="FAT.OGGI",SUM(K21:L21)*(1/(1-$M$14)-1),L21*(1/(1-$M$14)-1)),0)</f>
        <v>760.70042337002519</v>
      </c>
      <c r="N21" s="126">
        <f>SUM(K21:M21)</f>
        <v>4389.5004233700256</v>
      </c>
      <c r="Q21" s="109">
        <f t="shared" si="1"/>
        <v>4</v>
      </c>
      <c r="R21" s="110">
        <f t="shared" si="1"/>
        <v>2</v>
      </c>
      <c r="S21" s="111">
        <v>350</v>
      </c>
      <c r="T21" s="111">
        <v>3720</v>
      </c>
      <c r="U21" s="112">
        <f>IF(Q21&lt;&gt;"",K21-T21,"")</f>
        <v>-360</v>
      </c>
      <c r="V21" s="113">
        <f>IF(Q21&lt;&gt;"",0%,"")</f>
        <v>0</v>
      </c>
      <c r="W21" s="114">
        <f>IF(Q21&lt;&gt;"",V21*U21,"")</f>
        <v>0</v>
      </c>
      <c r="X21" s="114">
        <f>IF(Q21&lt;&gt;"",W21+T21,"")</f>
        <v>3720</v>
      </c>
      <c r="Y21" s="115">
        <f>IF(Q21&lt;&gt;"",X21+M21,"")</f>
        <v>4480.7004233700254</v>
      </c>
      <c r="Z21" s="116">
        <f>IF(Q21&lt;&gt;"", IFERROR(U21/K21, 0), 0)</f>
        <v>-0.10714285714285714</v>
      </c>
      <c r="AA21" s="117">
        <f>IFERROR(T21/$T$22, "")</f>
        <v>0.71264367816091956</v>
      </c>
      <c r="AM21" s="175">
        <f t="shared" si="2"/>
        <v>0</v>
      </c>
      <c r="AN21" s="176">
        <v>3720</v>
      </c>
      <c r="AO21" s="183" t="s">
        <v>241</v>
      </c>
    </row>
    <row r="22" spans="1:41" ht="30" customHeight="1" thickBot="1" x14ac:dyDescent="0.55000000000000004">
      <c r="A22" s="72">
        <v>8</v>
      </c>
      <c r="B22" s="97"/>
      <c r="C22" s="98" t="s">
        <v>131</v>
      </c>
      <c r="D22" s="72"/>
      <c r="E22" s="72"/>
      <c r="F22" s="221" t="s">
        <v>136</v>
      </c>
      <c r="G22" s="222"/>
      <c r="H22" s="222"/>
      <c r="I22" s="222"/>
      <c r="J22" s="222"/>
      <c r="K22" s="128">
        <f>SUM(K20:K21)</f>
        <v>6760</v>
      </c>
      <c r="L22" s="128">
        <f>SUM(L20:L21)</f>
        <v>540.79999999999995</v>
      </c>
      <c r="M22" s="128">
        <f>SUM(M20:M21)</f>
        <v>1530.4568041611219</v>
      </c>
      <c r="N22" s="129">
        <f>SUM(N20:N21)</f>
        <v>8831.256804161123</v>
      </c>
      <c r="Q22" s="216" t="s">
        <v>136</v>
      </c>
      <c r="R22" s="217"/>
      <c r="S22" s="217"/>
      <c r="T22" s="120">
        <f>SUM(T20:T21)</f>
        <v>5220</v>
      </c>
      <c r="U22" s="121">
        <f>SUM(U20:U21)</f>
        <v>1540</v>
      </c>
      <c r="V22" s="122"/>
      <c r="W22" s="122"/>
      <c r="X22" s="123">
        <f>SUM(X20:X21)</f>
        <v>5220</v>
      </c>
      <c r="Y22" s="124">
        <f>IF(Q22&lt;&gt;"",X22+M22,"")</f>
        <v>6750.4568041611219</v>
      </c>
      <c r="AM22" s="175"/>
      <c r="AN22" s="176"/>
    </row>
    <row r="23" spans="1:41" ht="30" customHeight="1" thickBot="1" x14ac:dyDescent="0.55000000000000004">
      <c r="A23" s="72">
        <v>9</v>
      </c>
      <c r="B23" s="97"/>
      <c r="C23" s="98" t="s">
        <v>137</v>
      </c>
      <c r="D23" s="72"/>
      <c r="E23" s="72"/>
      <c r="F23" s="188" t="s">
        <v>138</v>
      </c>
      <c r="G23" s="189"/>
      <c r="H23" s="189"/>
      <c r="I23" s="189"/>
      <c r="J23" s="189"/>
      <c r="K23" s="130">
        <f>SUM(K17:K17)+SUM(K20:K21)</f>
        <v>11760</v>
      </c>
      <c r="L23" s="130">
        <f>SUM(L17:L17)+SUM(L20:L21)</f>
        <v>540.79999999999995</v>
      </c>
      <c r="M23" s="130">
        <f>SUM(M17:M17)+SUM(M20:M21)</f>
        <v>2578.6000241925722</v>
      </c>
      <c r="N23" s="131">
        <f>SUM(N17:N17)+SUM(N20:N21)</f>
        <v>14879.400024192573</v>
      </c>
      <c r="Q23" s="190" t="s">
        <v>138</v>
      </c>
      <c r="R23" s="191"/>
      <c r="S23" s="191"/>
      <c r="T23" s="132">
        <f>SUM(T17:T17)+SUM(T20:T21)</f>
        <v>7220</v>
      </c>
      <c r="U23" s="133">
        <f>SUM(U17:U17)+SUM(U20:U21)</f>
        <v>4540</v>
      </c>
      <c r="V23" s="134"/>
      <c r="W23" s="134"/>
      <c r="X23" s="135">
        <f>SUM(X17:X17)+SUM(X20:X21)</f>
        <v>7220</v>
      </c>
      <c r="Y23" s="136">
        <f>IF(Q23&lt;&gt;"",X23+M23,"")</f>
        <v>9798.6000241925722</v>
      </c>
      <c r="AM23" s="175"/>
      <c r="AN23" s="176"/>
    </row>
    <row r="24" spans="1:41" ht="30" customHeight="1" thickBot="1" x14ac:dyDescent="0.55000000000000004">
      <c r="A24" s="72">
        <v>10</v>
      </c>
      <c r="B24" s="97">
        <v>2</v>
      </c>
      <c r="C24" s="98" t="s">
        <v>121</v>
      </c>
      <c r="D24" s="72"/>
      <c r="E24" s="72"/>
      <c r="F24" s="207" t="s">
        <v>141</v>
      </c>
      <c r="G24" s="208"/>
      <c r="H24" s="208"/>
      <c r="I24" s="208"/>
      <c r="J24" s="208"/>
      <c r="K24" s="208"/>
      <c r="L24" s="208"/>
      <c r="M24" s="208"/>
      <c r="N24" s="209"/>
      <c r="Q24" s="210" t="str">
        <f>IF(F24&lt;&gt;"",F24,"")</f>
        <v>CENOGRAFIA</v>
      </c>
      <c r="R24" s="211"/>
      <c r="S24" s="211"/>
      <c r="T24" s="211"/>
      <c r="U24" s="211"/>
      <c r="V24" s="211"/>
      <c r="W24" s="211"/>
      <c r="X24" s="211"/>
      <c r="Y24" s="212"/>
      <c r="AM24" s="175"/>
      <c r="AN24" s="176"/>
    </row>
    <row r="25" spans="1:41" ht="30" customHeight="1" x14ac:dyDescent="0.5">
      <c r="A25" s="72">
        <v>11</v>
      </c>
      <c r="B25" s="97" t="s">
        <v>142</v>
      </c>
      <c r="C25" s="98" t="s">
        <v>123</v>
      </c>
      <c r="D25" s="72"/>
      <c r="E25" s="72"/>
      <c r="F25" s="213" t="s">
        <v>141</v>
      </c>
      <c r="G25" s="214"/>
      <c r="H25" s="214"/>
      <c r="I25" s="214"/>
      <c r="J25" s="214"/>
      <c r="K25" s="215"/>
      <c r="L25" s="99" t="s">
        <v>125</v>
      </c>
      <c r="M25" s="100" t="s">
        <v>126</v>
      </c>
      <c r="N25" s="101" t="s">
        <v>82</v>
      </c>
      <c r="Q25" s="216" t="str">
        <f>IF(F25&lt;&gt;"",F25,"")</f>
        <v>CENOGRAFIA</v>
      </c>
      <c r="R25" s="217"/>
      <c r="S25" s="217"/>
      <c r="T25" s="217"/>
      <c r="U25" s="217"/>
      <c r="V25" s="217"/>
      <c r="W25" s="217"/>
      <c r="X25" s="217"/>
      <c r="Y25" s="218"/>
      <c r="Z25" s="102" t="s">
        <v>127</v>
      </c>
      <c r="AA25" s="103" t="s">
        <v>83</v>
      </c>
      <c r="AM25" s="175"/>
      <c r="AN25" s="176"/>
    </row>
    <row r="26" spans="1:41" ht="80.099999999999994" customHeight="1" x14ac:dyDescent="0.5">
      <c r="A26" s="72">
        <v>12</v>
      </c>
      <c r="B26" s="97" t="s">
        <v>143</v>
      </c>
      <c r="C26" s="98" t="s">
        <v>129</v>
      </c>
      <c r="D26" s="72" t="s">
        <v>168</v>
      </c>
      <c r="E26" s="72" t="s">
        <v>167</v>
      </c>
      <c r="F26" s="104" t="s">
        <v>154</v>
      </c>
      <c r="G26" s="105" t="s">
        <v>219</v>
      </c>
      <c r="H26" s="137">
        <v>1</v>
      </c>
      <c r="I26" s="137">
        <v>1</v>
      </c>
      <c r="J26" s="107">
        <v>17731.25</v>
      </c>
      <c r="K26" s="107">
        <f t="shared" ref="K26:K37" si="3">IF(F26&lt;&gt;"",H26*I26*J26,"")</f>
        <v>17731.25</v>
      </c>
      <c r="L26" s="107">
        <f t="shared" ref="L26:L37" si="4">IF(K26&lt;&gt;"",IF(D26="INTERNO",0,K26*$L$14),"")</f>
        <v>1418.5</v>
      </c>
      <c r="M26" s="107">
        <f t="shared" ref="M26:M37" si="5">IF(K26&lt;&gt;"",IF(E26="FAT.OGGI",SUM(K26:L26)*(1/(1-$M$14)-1),L26*(1/(1-$M$14)-1)),0)</f>
        <v>4014.3361255594518</v>
      </c>
      <c r="N26" s="108">
        <f t="shared" ref="N26:N37" si="6">SUM(K26:M26)</f>
        <v>23164.08612555945</v>
      </c>
      <c r="Q26" s="109">
        <f t="shared" ref="Q26:Q37" si="7">IF(H26&lt;&gt;"",H26,"")</f>
        <v>1</v>
      </c>
      <c r="R26" s="110">
        <f t="shared" ref="R26:R37" si="8">IF(I26&lt;&gt;"",I26,"")</f>
        <v>1</v>
      </c>
      <c r="S26" s="111">
        <v>14185</v>
      </c>
      <c r="T26" s="111">
        <v>60007.6</v>
      </c>
      <c r="U26" s="112">
        <f t="shared" ref="U26:U37" si="9">IF(Q26&lt;&gt;"",K26-T26,"")</f>
        <v>-42276.35</v>
      </c>
      <c r="V26" s="113">
        <f t="shared" ref="V26:V37" si="10">IF(Q26&lt;&gt;"",0%,"")</f>
        <v>0</v>
      </c>
      <c r="W26" s="114">
        <f t="shared" ref="W26:W37" si="11">IF(Q26&lt;&gt;"",V26*U26,"")</f>
        <v>0</v>
      </c>
      <c r="X26" s="114">
        <f t="shared" ref="X26:X37" si="12">IF(Q26&lt;&gt;"",W26+T26,"")</f>
        <v>60007.6</v>
      </c>
      <c r="Y26" s="115">
        <f t="shared" ref="Y26:Y39" si="13">IF(Q26&lt;&gt;"",X26+M26,"")</f>
        <v>64021.936125559449</v>
      </c>
      <c r="Z26" s="116">
        <f t="shared" ref="Z26:Z37" si="14">IF(Q26&lt;&gt;"", IFERROR(U26/K26, 0), 0)</f>
        <v>-2.3842848078956642</v>
      </c>
      <c r="AA26" s="117">
        <f t="shared" ref="AA26:AA37" si="15">IFERROR(T26/$T$38, "")</f>
        <v>0.96008166060291888</v>
      </c>
      <c r="AM26" s="175">
        <f t="shared" si="2"/>
        <v>0</v>
      </c>
      <c r="AN26" s="176">
        <v>60007.6</v>
      </c>
      <c r="AO26" s="183" t="s">
        <v>238</v>
      </c>
    </row>
    <row r="27" spans="1:41" ht="80.099999999999994" customHeight="1" x14ac:dyDescent="0.5">
      <c r="A27" s="72">
        <v>13</v>
      </c>
      <c r="B27" s="97" t="s">
        <v>144</v>
      </c>
      <c r="C27" s="98" t="s">
        <v>129</v>
      </c>
      <c r="D27" s="72" t="s">
        <v>168</v>
      </c>
      <c r="E27" s="72" t="s">
        <v>167</v>
      </c>
      <c r="F27" s="104" t="s">
        <v>155</v>
      </c>
      <c r="G27" s="105" t="s">
        <v>220</v>
      </c>
      <c r="H27" s="137">
        <v>1</v>
      </c>
      <c r="I27" s="137">
        <v>1</v>
      </c>
      <c r="J27" s="107">
        <v>13937.5</v>
      </c>
      <c r="K27" s="107">
        <f t="shared" si="3"/>
        <v>13937.5</v>
      </c>
      <c r="L27" s="107">
        <f t="shared" si="4"/>
        <v>1115</v>
      </c>
      <c r="M27" s="107">
        <f t="shared" si="5"/>
        <v>3155.4351639046804</v>
      </c>
      <c r="N27" s="108">
        <f t="shared" si="6"/>
        <v>18207.93516390468</v>
      </c>
      <c r="Q27" s="109">
        <f t="shared" si="7"/>
        <v>1</v>
      </c>
      <c r="R27" s="110">
        <f t="shared" si="8"/>
        <v>1</v>
      </c>
      <c r="S27" s="111">
        <v>11150</v>
      </c>
      <c r="T27" s="111">
        <v>0</v>
      </c>
      <c r="U27" s="112">
        <f t="shared" si="9"/>
        <v>13937.5</v>
      </c>
      <c r="V27" s="113">
        <f t="shared" si="10"/>
        <v>0</v>
      </c>
      <c r="W27" s="114">
        <f t="shared" si="11"/>
        <v>0</v>
      </c>
      <c r="X27" s="114">
        <f t="shared" si="12"/>
        <v>0</v>
      </c>
      <c r="Y27" s="115">
        <f t="shared" si="13"/>
        <v>3155.4351639046804</v>
      </c>
      <c r="Z27" s="116">
        <f t="shared" si="14"/>
        <v>1</v>
      </c>
      <c r="AA27" s="117">
        <f t="shared" si="15"/>
        <v>0</v>
      </c>
      <c r="AM27" s="175">
        <f t="shared" si="2"/>
        <v>0</v>
      </c>
      <c r="AN27" s="176">
        <v>0</v>
      </c>
    </row>
    <row r="28" spans="1:41" ht="80.099999999999994" customHeight="1" x14ac:dyDescent="0.5">
      <c r="A28" s="72">
        <v>14</v>
      </c>
      <c r="B28" s="97" t="s">
        <v>145</v>
      </c>
      <c r="C28" s="98" t="s">
        <v>129</v>
      </c>
      <c r="D28" s="72" t="s">
        <v>168</v>
      </c>
      <c r="E28" s="72" t="s">
        <v>167</v>
      </c>
      <c r="F28" s="104" t="s">
        <v>198</v>
      </c>
      <c r="G28" s="105" t="s">
        <v>221</v>
      </c>
      <c r="H28" s="137">
        <v>1</v>
      </c>
      <c r="I28" s="137">
        <v>1</v>
      </c>
      <c r="J28" s="107">
        <v>10918.924999999999</v>
      </c>
      <c r="K28" s="107">
        <f>IF(F28&lt;&gt;"",H28*I28*J28,"")</f>
        <v>10918.924999999999</v>
      </c>
      <c r="L28" s="107">
        <f>IF(K28&lt;&gt;"",IF(D28="INTERNO",0,K28*$L$14),"")</f>
        <v>873.51400000000001</v>
      </c>
      <c r="M28" s="107">
        <f>IF(K28&lt;&gt;"",IF(E28="FAT.OGGI",SUM(K28:L28)*(1/(1-$M$14)-1),L28*(1/(1-$M$14)-1)),0)</f>
        <v>2472.0329970968901</v>
      </c>
      <c r="N28" s="108">
        <f>SUM(K28:M28)</f>
        <v>14264.471997096889</v>
      </c>
      <c r="Q28" s="109">
        <f t="shared" ref="Q28:R30" si="16">IF(H28&lt;&gt;"",H28,"")</f>
        <v>1</v>
      </c>
      <c r="R28" s="110">
        <f t="shared" si="16"/>
        <v>1</v>
      </c>
      <c r="S28" s="111">
        <v>8735.14</v>
      </c>
      <c r="T28" s="111">
        <v>0</v>
      </c>
      <c r="U28" s="112">
        <f>IF(Q28&lt;&gt;"",K28-T28,"")</f>
        <v>10918.924999999999</v>
      </c>
      <c r="V28" s="113">
        <f>IF(Q28&lt;&gt;"",0%,"")</f>
        <v>0</v>
      </c>
      <c r="W28" s="114">
        <f>IF(Q28&lt;&gt;"",V28*U28,"")</f>
        <v>0</v>
      </c>
      <c r="X28" s="114">
        <f>IF(Q28&lt;&gt;"",W28+T28,"")</f>
        <v>0</v>
      </c>
      <c r="Y28" s="115">
        <f>IF(Q28&lt;&gt;"",X28+M28,"")</f>
        <v>2472.0329970968901</v>
      </c>
      <c r="Z28" s="116">
        <f>IF(Q28&lt;&gt;"", IFERROR(U28/K28, 0), 0)</f>
        <v>1</v>
      </c>
      <c r="AA28" s="117">
        <f>IFERROR(T28/$T$38, "")</f>
        <v>0</v>
      </c>
      <c r="AM28" s="175">
        <f t="shared" si="2"/>
        <v>0</v>
      </c>
      <c r="AN28" s="176">
        <v>0</v>
      </c>
    </row>
    <row r="29" spans="1:41" ht="80.099999999999994" customHeight="1" x14ac:dyDescent="0.5">
      <c r="A29" s="72">
        <v>15</v>
      </c>
      <c r="B29" s="97" t="s">
        <v>146</v>
      </c>
      <c r="C29" s="98" t="s">
        <v>129</v>
      </c>
      <c r="D29" s="72" t="s">
        <v>168</v>
      </c>
      <c r="E29" s="72" t="s">
        <v>167</v>
      </c>
      <c r="F29" s="104" t="s">
        <v>199</v>
      </c>
      <c r="G29" s="138" t="s">
        <v>222</v>
      </c>
      <c r="H29" s="137">
        <v>1</v>
      </c>
      <c r="I29" s="137">
        <v>1</v>
      </c>
      <c r="J29" s="107">
        <v>5125</v>
      </c>
      <c r="K29" s="107">
        <f>IF(F29&lt;&gt;"",H29*I29*J29,"")</f>
        <v>5125</v>
      </c>
      <c r="L29" s="107">
        <f>IF(K29&lt;&gt;"",IF(D29="INTERNO",0,K29*$L$14),"")</f>
        <v>410</v>
      </c>
      <c r="M29" s="107">
        <f>IF(K29&lt;&gt;"",IF(E29="FAT.OGGI",SUM(K29:L29)*(1/(1-$M$14)-1),L29*(1/(1-$M$14)-1)),0)</f>
        <v>1160.2945445748151</v>
      </c>
      <c r="N29" s="108">
        <f>SUM(K29:M29)</f>
        <v>6695.2945445748155</v>
      </c>
      <c r="Q29" s="109">
        <f t="shared" si="16"/>
        <v>1</v>
      </c>
      <c r="R29" s="110">
        <f t="shared" si="16"/>
        <v>1</v>
      </c>
      <c r="S29" s="111">
        <v>4100</v>
      </c>
      <c r="T29" s="111">
        <v>0</v>
      </c>
      <c r="U29" s="112">
        <f>IF(Q29&lt;&gt;"",K29-T29,"")</f>
        <v>5125</v>
      </c>
      <c r="V29" s="113">
        <f>IF(Q29&lt;&gt;"",0%,"")</f>
        <v>0</v>
      </c>
      <c r="W29" s="114">
        <f>IF(Q29&lt;&gt;"",V29*U29,"")</f>
        <v>0</v>
      </c>
      <c r="X29" s="114">
        <f>IF(Q29&lt;&gt;"",W29+T29,"")</f>
        <v>0</v>
      </c>
      <c r="Y29" s="115">
        <f>IF(Q29&lt;&gt;"",X29+M29,"")</f>
        <v>1160.2945445748151</v>
      </c>
      <c r="Z29" s="116">
        <f>IF(Q29&lt;&gt;"", IFERROR(U29/K29, 0), 0)</f>
        <v>1</v>
      </c>
      <c r="AA29" s="117">
        <f>IFERROR(T29/$T$38, "")</f>
        <v>0</v>
      </c>
      <c r="AM29" s="175">
        <f t="shared" si="2"/>
        <v>0</v>
      </c>
      <c r="AN29" s="176">
        <v>0</v>
      </c>
    </row>
    <row r="30" spans="1:41" ht="80.099999999999994" customHeight="1" x14ac:dyDescent="0.5">
      <c r="A30" s="72">
        <v>16</v>
      </c>
      <c r="B30" s="97" t="s">
        <v>183</v>
      </c>
      <c r="C30" s="98" t="s">
        <v>129</v>
      </c>
      <c r="D30" s="72" t="s">
        <v>168</v>
      </c>
      <c r="E30" s="72" t="s">
        <v>167</v>
      </c>
      <c r="F30" s="104" t="s">
        <v>185</v>
      </c>
      <c r="G30" s="105" t="s">
        <v>223</v>
      </c>
      <c r="H30" s="137">
        <v>1</v>
      </c>
      <c r="I30" s="137">
        <v>1</v>
      </c>
      <c r="J30" s="107">
        <v>4562.5</v>
      </c>
      <c r="K30" s="107">
        <f>IF(F30&lt;&gt;"",H30*I30*J30,"")</f>
        <v>4562.5</v>
      </c>
      <c r="L30" s="107">
        <f>IF(K30&lt;&gt;"",IF(D30="INTERNO",0,K30*$L$14),"")</f>
        <v>365</v>
      </c>
      <c r="M30" s="107">
        <f>IF(K30&lt;&gt;"",IF(E30="FAT.OGGI",SUM(K30:L30)*(1/(1-$M$14)-1),L30*(1/(1-$M$14)-1)),0)</f>
        <v>1032.945143340994</v>
      </c>
      <c r="N30" s="108">
        <f>SUM(K30:M30)</f>
        <v>5960.445143340994</v>
      </c>
      <c r="Q30" s="109">
        <f t="shared" si="16"/>
        <v>1</v>
      </c>
      <c r="R30" s="110">
        <f t="shared" si="16"/>
        <v>1</v>
      </c>
      <c r="S30" s="111">
        <v>3650</v>
      </c>
      <c r="T30" s="111">
        <v>0</v>
      </c>
      <c r="U30" s="112">
        <f>IF(Q30&lt;&gt;"",K30-T30,"")</f>
        <v>4562.5</v>
      </c>
      <c r="V30" s="113">
        <f>IF(Q30&lt;&gt;"",0%,"")</f>
        <v>0</v>
      </c>
      <c r="W30" s="114">
        <f>IF(Q30&lt;&gt;"",V30*U30,"")</f>
        <v>0</v>
      </c>
      <c r="X30" s="114">
        <f>IF(Q30&lt;&gt;"",W30+T30,"")</f>
        <v>0</v>
      </c>
      <c r="Y30" s="115">
        <f>IF(Q30&lt;&gt;"",X30+M30,"")</f>
        <v>1032.945143340994</v>
      </c>
      <c r="Z30" s="116">
        <f>IF(Q30&lt;&gt;"", IFERROR(U30/K30, 0), 0)</f>
        <v>1</v>
      </c>
      <c r="AA30" s="117">
        <f>IFERROR(T30/$T$38, "")</f>
        <v>0</v>
      </c>
      <c r="AM30" s="175">
        <f t="shared" si="2"/>
        <v>0</v>
      </c>
      <c r="AN30" s="176">
        <v>0</v>
      </c>
    </row>
    <row r="31" spans="1:41" ht="80.099999999999994" customHeight="1" x14ac:dyDescent="0.5">
      <c r="A31" s="72">
        <v>17</v>
      </c>
      <c r="B31" s="97" t="s">
        <v>184</v>
      </c>
      <c r="C31" s="98" t="s">
        <v>129</v>
      </c>
      <c r="D31" s="72" t="s">
        <v>168</v>
      </c>
      <c r="E31" s="72" t="s">
        <v>167</v>
      </c>
      <c r="F31" s="104" t="s">
        <v>153</v>
      </c>
      <c r="G31" s="139" t="s">
        <v>224</v>
      </c>
      <c r="H31" s="137">
        <v>1</v>
      </c>
      <c r="I31" s="137">
        <v>1</v>
      </c>
      <c r="J31" s="107">
        <v>9600</v>
      </c>
      <c r="K31" s="107">
        <f t="shared" si="3"/>
        <v>9600</v>
      </c>
      <c r="L31" s="107">
        <f t="shared" si="4"/>
        <v>768</v>
      </c>
      <c r="M31" s="107">
        <f t="shared" si="5"/>
        <v>2173.4297810572148</v>
      </c>
      <c r="N31" s="108">
        <f t="shared" si="6"/>
        <v>12541.429781057215</v>
      </c>
      <c r="Q31" s="109">
        <f t="shared" si="7"/>
        <v>1</v>
      </c>
      <c r="R31" s="110">
        <f t="shared" si="8"/>
        <v>1</v>
      </c>
      <c r="S31" s="111">
        <v>8507.6</v>
      </c>
      <c r="T31" s="111">
        <v>0</v>
      </c>
      <c r="U31" s="112">
        <f t="shared" si="9"/>
        <v>9600</v>
      </c>
      <c r="V31" s="113">
        <f t="shared" si="10"/>
        <v>0</v>
      </c>
      <c r="W31" s="114">
        <f t="shared" si="11"/>
        <v>0</v>
      </c>
      <c r="X31" s="114">
        <f t="shared" si="12"/>
        <v>0</v>
      </c>
      <c r="Y31" s="115">
        <f t="shared" si="13"/>
        <v>2173.4297810572148</v>
      </c>
      <c r="Z31" s="116">
        <f t="shared" si="14"/>
        <v>1</v>
      </c>
      <c r="AA31" s="117">
        <f t="shared" si="15"/>
        <v>0</v>
      </c>
      <c r="AM31" s="175">
        <f t="shared" si="2"/>
        <v>0</v>
      </c>
      <c r="AN31" s="176">
        <v>0</v>
      </c>
    </row>
    <row r="32" spans="1:41" ht="80.099999999999994" customHeight="1" x14ac:dyDescent="0.5">
      <c r="A32" s="72">
        <v>18</v>
      </c>
      <c r="B32" s="97" t="s">
        <v>147</v>
      </c>
      <c r="C32" s="98" t="s">
        <v>129</v>
      </c>
      <c r="D32" s="72" t="s">
        <v>168</v>
      </c>
      <c r="E32" s="72" t="s">
        <v>167</v>
      </c>
      <c r="F32" s="104" t="s">
        <v>152</v>
      </c>
      <c r="G32" s="105" t="s">
        <v>225</v>
      </c>
      <c r="H32" s="137">
        <v>1</v>
      </c>
      <c r="I32" s="137">
        <v>1</v>
      </c>
      <c r="J32" s="107">
        <v>10500</v>
      </c>
      <c r="K32" s="107">
        <f t="shared" si="3"/>
        <v>10500</v>
      </c>
      <c r="L32" s="107">
        <f t="shared" si="4"/>
        <v>840</v>
      </c>
      <c r="M32" s="107">
        <f t="shared" si="5"/>
        <v>2377.1888230313284</v>
      </c>
      <c r="N32" s="108">
        <f t="shared" si="6"/>
        <v>13717.188823031329</v>
      </c>
      <c r="Q32" s="109">
        <f t="shared" si="7"/>
        <v>1</v>
      </c>
      <c r="R32" s="110">
        <f t="shared" si="8"/>
        <v>1</v>
      </c>
      <c r="S32" s="111">
        <f>9679.86+2495</f>
        <v>12174.86</v>
      </c>
      <c r="T32" s="111">
        <v>2495</v>
      </c>
      <c r="U32" s="112">
        <f t="shared" si="9"/>
        <v>8005</v>
      </c>
      <c r="V32" s="113">
        <f t="shared" si="10"/>
        <v>0</v>
      </c>
      <c r="W32" s="114">
        <f t="shared" si="11"/>
        <v>0</v>
      </c>
      <c r="X32" s="114">
        <f t="shared" si="12"/>
        <v>2495</v>
      </c>
      <c r="Y32" s="115">
        <f t="shared" si="13"/>
        <v>4872.1888230313289</v>
      </c>
      <c r="Z32" s="116">
        <f t="shared" si="14"/>
        <v>0.76238095238095238</v>
      </c>
      <c r="AA32" s="117">
        <f t="shared" si="15"/>
        <v>3.991833939708108E-2</v>
      </c>
      <c r="AM32" s="175">
        <f t="shared" si="2"/>
        <v>0</v>
      </c>
      <c r="AN32" s="176">
        <f>2495</f>
        <v>2495</v>
      </c>
      <c r="AO32" s="183" t="s">
        <v>237</v>
      </c>
    </row>
    <row r="33" spans="1:41" ht="25.8" hidden="1" x14ac:dyDescent="0.5">
      <c r="A33" s="72">
        <v>19</v>
      </c>
      <c r="B33" s="97" t="s">
        <v>148</v>
      </c>
      <c r="C33" s="98" t="s">
        <v>129</v>
      </c>
      <c r="D33" s="72"/>
      <c r="E33" s="72"/>
      <c r="F33" s="104"/>
      <c r="G33" s="105"/>
      <c r="H33" s="137"/>
      <c r="I33" s="137"/>
      <c r="J33" s="107"/>
      <c r="K33" s="107" t="str">
        <f t="shared" si="3"/>
        <v/>
      </c>
      <c r="L33" s="107" t="str">
        <f t="shared" si="4"/>
        <v/>
      </c>
      <c r="M33" s="107">
        <f t="shared" si="5"/>
        <v>0</v>
      </c>
      <c r="N33" s="108">
        <f t="shared" si="6"/>
        <v>0</v>
      </c>
      <c r="Q33" s="109" t="str">
        <f t="shared" si="7"/>
        <v/>
      </c>
      <c r="R33" s="110" t="str">
        <f t="shared" si="8"/>
        <v/>
      </c>
      <c r="S33" s="111"/>
      <c r="T33" s="111" t="str">
        <f t="shared" ref="T33:T37" si="17">IF(Q33&lt;&gt;"",Q33*R33*S33,"")</f>
        <v/>
      </c>
      <c r="U33" s="112" t="str">
        <f t="shared" si="9"/>
        <v/>
      </c>
      <c r="V33" s="113" t="str">
        <f t="shared" si="10"/>
        <v/>
      </c>
      <c r="W33" s="114" t="str">
        <f t="shared" si="11"/>
        <v/>
      </c>
      <c r="X33" s="114" t="str">
        <f t="shared" si="12"/>
        <v/>
      </c>
      <c r="Y33" s="115" t="str">
        <f t="shared" si="13"/>
        <v/>
      </c>
      <c r="Z33" s="116">
        <f t="shared" si="14"/>
        <v>0</v>
      </c>
      <c r="AA33" s="117" t="str">
        <f t="shared" si="15"/>
        <v/>
      </c>
      <c r="AM33" s="175" t="e">
        <f t="shared" si="2"/>
        <v>#VALUE!</v>
      </c>
      <c r="AN33" s="176"/>
    </row>
    <row r="34" spans="1:41" ht="25.8" hidden="1" x14ac:dyDescent="0.5">
      <c r="A34" s="72">
        <v>20</v>
      </c>
      <c r="B34" s="97" t="s">
        <v>149</v>
      </c>
      <c r="C34" s="98" t="s">
        <v>129</v>
      </c>
      <c r="D34" s="72"/>
      <c r="E34" s="72"/>
      <c r="F34" s="104"/>
      <c r="G34" s="105"/>
      <c r="H34" s="137"/>
      <c r="I34" s="137"/>
      <c r="J34" s="107"/>
      <c r="K34" s="107" t="str">
        <f t="shared" si="3"/>
        <v/>
      </c>
      <c r="L34" s="107" t="str">
        <f t="shared" si="4"/>
        <v/>
      </c>
      <c r="M34" s="107">
        <f t="shared" si="5"/>
        <v>0</v>
      </c>
      <c r="N34" s="108">
        <f t="shared" si="6"/>
        <v>0</v>
      </c>
      <c r="Q34" s="109" t="str">
        <f t="shared" si="7"/>
        <v/>
      </c>
      <c r="R34" s="110" t="str">
        <f t="shared" si="8"/>
        <v/>
      </c>
      <c r="S34" s="111"/>
      <c r="T34" s="111" t="str">
        <f t="shared" si="17"/>
        <v/>
      </c>
      <c r="U34" s="112" t="str">
        <f t="shared" si="9"/>
        <v/>
      </c>
      <c r="V34" s="113" t="str">
        <f t="shared" si="10"/>
        <v/>
      </c>
      <c r="W34" s="114" t="str">
        <f t="shared" si="11"/>
        <v/>
      </c>
      <c r="X34" s="114" t="str">
        <f t="shared" si="12"/>
        <v/>
      </c>
      <c r="Y34" s="115" t="str">
        <f t="shared" si="13"/>
        <v/>
      </c>
      <c r="Z34" s="116">
        <f t="shared" si="14"/>
        <v>0</v>
      </c>
      <c r="AA34" s="117" t="str">
        <f t="shared" si="15"/>
        <v/>
      </c>
      <c r="AM34" s="175" t="e">
        <f t="shared" si="2"/>
        <v>#VALUE!</v>
      </c>
      <c r="AN34" s="176"/>
    </row>
    <row r="35" spans="1:41" ht="25.8" hidden="1" x14ac:dyDescent="0.5">
      <c r="A35" s="72">
        <v>21</v>
      </c>
      <c r="B35" s="97" t="s">
        <v>188</v>
      </c>
      <c r="C35" s="98" t="s">
        <v>129</v>
      </c>
      <c r="D35" s="72"/>
      <c r="E35" s="72"/>
      <c r="F35" s="104"/>
      <c r="G35" s="105"/>
      <c r="H35" s="137"/>
      <c r="I35" s="137"/>
      <c r="J35" s="107"/>
      <c r="K35" s="107" t="str">
        <f t="shared" si="3"/>
        <v/>
      </c>
      <c r="L35" s="107" t="str">
        <f t="shared" si="4"/>
        <v/>
      </c>
      <c r="M35" s="107">
        <f t="shared" si="5"/>
        <v>0</v>
      </c>
      <c r="N35" s="108">
        <f t="shared" si="6"/>
        <v>0</v>
      </c>
      <c r="Q35" s="109" t="str">
        <f t="shared" si="7"/>
        <v/>
      </c>
      <c r="R35" s="110" t="str">
        <f t="shared" si="8"/>
        <v/>
      </c>
      <c r="S35" s="111"/>
      <c r="T35" s="111" t="str">
        <f t="shared" si="17"/>
        <v/>
      </c>
      <c r="U35" s="112" t="str">
        <f t="shared" si="9"/>
        <v/>
      </c>
      <c r="V35" s="113" t="str">
        <f t="shared" si="10"/>
        <v/>
      </c>
      <c r="W35" s="114" t="str">
        <f t="shared" si="11"/>
        <v/>
      </c>
      <c r="X35" s="114" t="str">
        <f t="shared" si="12"/>
        <v/>
      </c>
      <c r="Y35" s="115" t="str">
        <f t="shared" si="13"/>
        <v/>
      </c>
      <c r="Z35" s="116">
        <f t="shared" si="14"/>
        <v>0</v>
      </c>
      <c r="AA35" s="117" t="str">
        <f t="shared" si="15"/>
        <v/>
      </c>
      <c r="AM35" s="175" t="e">
        <f t="shared" si="2"/>
        <v>#VALUE!</v>
      </c>
      <c r="AN35" s="176"/>
    </row>
    <row r="36" spans="1:41" ht="25.8" hidden="1" x14ac:dyDescent="0.5">
      <c r="A36" s="72">
        <v>22</v>
      </c>
      <c r="B36" s="97" t="s">
        <v>189</v>
      </c>
      <c r="C36" s="98" t="s">
        <v>129</v>
      </c>
      <c r="D36" s="72"/>
      <c r="E36" s="72"/>
      <c r="F36" s="104"/>
      <c r="G36" s="105"/>
      <c r="H36" s="137"/>
      <c r="I36" s="137"/>
      <c r="J36" s="107"/>
      <c r="K36" s="107" t="str">
        <f t="shared" si="3"/>
        <v/>
      </c>
      <c r="L36" s="107" t="str">
        <f t="shared" si="4"/>
        <v/>
      </c>
      <c r="M36" s="107">
        <f t="shared" si="5"/>
        <v>0</v>
      </c>
      <c r="N36" s="108">
        <f t="shared" si="6"/>
        <v>0</v>
      </c>
      <c r="Q36" s="109" t="str">
        <f t="shared" si="7"/>
        <v/>
      </c>
      <c r="R36" s="110" t="str">
        <f t="shared" si="8"/>
        <v/>
      </c>
      <c r="S36" s="111"/>
      <c r="T36" s="111" t="str">
        <f t="shared" si="17"/>
        <v/>
      </c>
      <c r="U36" s="112" t="str">
        <f t="shared" si="9"/>
        <v/>
      </c>
      <c r="V36" s="113" t="str">
        <f t="shared" si="10"/>
        <v/>
      </c>
      <c r="W36" s="114" t="str">
        <f t="shared" si="11"/>
        <v/>
      </c>
      <c r="X36" s="114" t="str">
        <f t="shared" si="12"/>
        <v/>
      </c>
      <c r="Y36" s="115" t="str">
        <f t="shared" si="13"/>
        <v/>
      </c>
      <c r="Z36" s="116">
        <f t="shared" si="14"/>
        <v>0</v>
      </c>
      <c r="AA36" s="117" t="str">
        <f t="shared" si="15"/>
        <v/>
      </c>
      <c r="AM36" s="175" t="e">
        <f t="shared" si="2"/>
        <v>#VALUE!</v>
      </c>
      <c r="AN36" s="176"/>
    </row>
    <row r="37" spans="1:41" ht="25.8" hidden="1" x14ac:dyDescent="0.5">
      <c r="A37" s="72">
        <v>23</v>
      </c>
      <c r="B37" s="97" t="s">
        <v>190</v>
      </c>
      <c r="C37" s="98" t="s">
        <v>129</v>
      </c>
      <c r="D37" s="72"/>
      <c r="E37" s="72"/>
      <c r="F37" s="140"/>
      <c r="G37" s="141"/>
      <c r="H37" s="127"/>
      <c r="I37" s="127"/>
      <c r="J37" s="125"/>
      <c r="K37" s="125" t="str">
        <f t="shared" si="3"/>
        <v/>
      </c>
      <c r="L37" s="125" t="str">
        <f t="shared" si="4"/>
        <v/>
      </c>
      <c r="M37" s="125">
        <f t="shared" si="5"/>
        <v>0</v>
      </c>
      <c r="N37" s="126">
        <f t="shared" si="6"/>
        <v>0</v>
      </c>
      <c r="Q37" s="109" t="str">
        <f t="shared" si="7"/>
        <v/>
      </c>
      <c r="R37" s="110" t="str">
        <f t="shared" si="8"/>
        <v/>
      </c>
      <c r="S37" s="111"/>
      <c r="T37" s="111" t="str">
        <f t="shared" si="17"/>
        <v/>
      </c>
      <c r="U37" s="112" t="str">
        <f t="shared" si="9"/>
        <v/>
      </c>
      <c r="V37" s="113" t="str">
        <f t="shared" si="10"/>
        <v/>
      </c>
      <c r="W37" s="114" t="str">
        <f t="shared" si="11"/>
        <v/>
      </c>
      <c r="X37" s="114" t="str">
        <f t="shared" si="12"/>
        <v/>
      </c>
      <c r="Y37" s="115" t="str">
        <f t="shared" si="13"/>
        <v/>
      </c>
      <c r="Z37" s="116">
        <f t="shared" si="14"/>
        <v>0</v>
      </c>
      <c r="AA37" s="117" t="str">
        <f t="shared" si="15"/>
        <v/>
      </c>
      <c r="AM37" s="175" t="e">
        <f t="shared" si="2"/>
        <v>#VALUE!</v>
      </c>
      <c r="AN37" s="176"/>
    </row>
    <row r="38" spans="1:41" ht="30" customHeight="1" thickBot="1" x14ac:dyDescent="0.55000000000000004">
      <c r="A38" s="72">
        <v>24</v>
      </c>
      <c r="B38" s="97"/>
      <c r="C38" s="98" t="s">
        <v>131</v>
      </c>
      <c r="D38" s="72"/>
      <c r="E38" s="72"/>
      <c r="F38" s="221" t="s">
        <v>151</v>
      </c>
      <c r="G38" s="222"/>
      <c r="H38" s="222"/>
      <c r="I38" s="222"/>
      <c r="J38" s="222"/>
      <c r="K38" s="128">
        <f>SUM(K26:K37)</f>
        <v>72375.175000000003</v>
      </c>
      <c r="L38" s="128">
        <f>SUM(L26:L37)</f>
        <v>5790.0140000000001</v>
      </c>
      <c r="M38" s="128">
        <f>SUM(M26:M37)</f>
        <v>16385.662578565374</v>
      </c>
      <c r="N38" s="129">
        <f>SUM(N26:N37)</f>
        <v>94550.851578565387</v>
      </c>
      <c r="Q38" s="216" t="s">
        <v>150</v>
      </c>
      <c r="R38" s="217"/>
      <c r="S38" s="217"/>
      <c r="T38" s="120">
        <f>SUM(T26:T37)</f>
        <v>62502.6</v>
      </c>
      <c r="U38" s="121">
        <f>SUM(U26:U37)</f>
        <v>9872.5750000000007</v>
      </c>
      <c r="V38" s="122"/>
      <c r="W38" s="122"/>
      <c r="X38" s="123">
        <f>SUM(X26:X37)</f>
        <v>62502.6</v>
      </c>
      <c r="Y38" s="124">
        <f t="shared" si="13"/>
        <v>78888.262578565365</v>
      </c>
      <c r="AM38" s="175"/>
      <c r="AN38" s="176"/>
    </row>
    <row r="39" spans="1:41" ht="30" customHeight="1" thickBot="1" x14ac:dyDescent="0.55000000000000004">
      <c r="A39" s="72">
        <v>25</v>
      </c>
      <c r="B39" s="97"/>
      <c r="C39" s="98" t="s">
        <v>137</v>
      </c>
      <c r="D39" s="72"/>
      <c r="E39" s="72"/>
      <c r="F39" s="188" t="s">
        <v>151</v>
      </c>
      <c r="G39" s="189"/>
      <c r="H39" s="189"/>
      <c r="I39" s="189"/>
      <c r="J39" s="189"/>
      <c r="K39" s="130">
        <f>SUM(K26:K37)</f>
        <v>72375.175000000003</v>
      </c>
      <c r="L39" s="130">
        <f>SUM(L26:L37)</f>
        <v>5790.0140000000001</v>
      </c>
      <c r="M39" s="130">
        <f>SUM(M26:M37)</f>
        <v>16385.662578565374</v>
      </c>
      <c r="N39" s="131">
        <f>SUM(N26:N37)</f>
        <v>94550.851578565387</v>
      </c>
      <c r="Q39" s="190" t="s">
        <v>151</v>
      </c>
      <c r="R39" s="191"/>
      <c r="S39" s="191"/>
      <c r="T39" s="132">
        <f>SUM(T26:T37)</f>
        <v>62502.6</v>
      </c>
      <c r="U39" s="133">
        <f>SUM(U26:U37)</f>
        <v>9872.5750000000007</v>
      </c>
      <c r="V39" s="134"/>
      <c r="W39" s="134"/>
      <c r="X39" s="135">
        <f>SUM(X26:X37)</f>
        <v>62502.6</v>
      </c>
      <c r="Y39" s="136">
        <f t="shared" si="13"/>
        <v>78888.262578565365</v>
      </c>
      <c r="AM39" s="175"/>
      <c r="AN39" s="176"/>
    </row>
    <row r="40" spans="1:41" ht="30" customHeight="1" thickBot="1" x14ac:dyDescent="0.55000000000000004">
      <c r="A40" s="72">
        <v>26</v>
      </c>
      <c r="B40" s="97">
        <v>3</v>
      </c>
      <c r="C40" s="98" t="s">
        <v>121</v>
      </c>
      <c r="D40" s="72"/>
      <c r="E40" s="72"/>
      <c r="F40" s="207" t="s">
        <v>186</v>
      </c>
      <c r="G40" s="208"/>
      <c r="H40" s="208"/>
      <c r="I40" s="208"/>
      <c r="J40" s="208"/>
      <c r="K40" s="208"/>
      <c r="L40" s="208"/>
      <c r="M40" s="208"/>
      <c r="N40" s="209"/>
      <c r="Q40" s="210" t="str">
        <f>IF(F40&lt;&gt;"",F40,"")</f>
        <v>TECNICA</v>
      </c>
      <c r="R40" s="211"/>
      <c r="S40" s="211"/>
      <c r="T40" s="211"/>
      <c r="U40" s="211"/>
      <c r="V40" s="211"/>
      <c r="W40" s="211"/>
      <c r="X40" s="211"/>
      <c r="Y40" s="212"/>
      <c r="AM40" s="175"/>
      <c r="AN40" s="176"/>
    </row>
    <row r="41" spans="1:41" ht="30" customHeight="1" x14ac:dyDescent="0.5">
      <c r="A41" s="72">
        <v>27</v>
      </c>
      <c r="B41" s="97" t="s">
        <v>156</v>
      </c>
      <c r="C41" s="98" t="s">
        <v>123</v>
      </c>
      <c r="D41" s="72"/>
      <c r="E41" s="72"/>
      <c r="F41" s="213" t="s">
        <v>186</v>
      </c>
      <c r="G41" s="214"/>
      <c r="H41" s="214"/>
      <c r="I41" s="214"/>
      <c r="J41" s="214"/>
      <c r="K41" s="215"/>
      <c r="L41" s="99" t="s">
        <v>125</v>
      </c>
      <c r="M41" s="100" t="s">
        <v>126</v>
      </c>
      <c r="N41" s="101" t="s">
        <v>82</v>
      </c>
      <c r="Q41" s="216" t="str">
        <f>IF(F41&lt;&gt;"",F41,"")</f>
        <v>TECNICA</v>
      </c>
      <c r="R41" s="217"/>
      <c r="S41" s="217"/>
      <c r="T41" s="217"/>
      <c r="U41" s="217"/>
      <c r="V41" s="217"/>
      <c r="W41" s="217"/>
      <c r="X41" s="217"/>
      <c r="Y41" s="218"/>
      <c r="Z41" s="102" t="s">
        <v>127</v>
      </c>
      <c r="AA41" s="103" t="s">
        <v>83</v>
      </c>
      <c r="AM41" s="175"/>
      <c r="AN41" s="176"/>
    </row>
    <row r="42" spans="1:41" ht="80.099999999999994" customHeight="1" x14ac:dyDescent="0.5">
      <c r="A42" s="72">
        <v>28</v>
      </c>
      <c r="B42" s="97" t="s">
        <v>157</v>
      </c>
      <c r="C42" s="98" t="s">
        <v>129</v>
      </c>
      <c r="D42" s="72" t="s">
        <v>168</v>
      </c>
      <c r="E42" s="72" t="s">
        <v>167</v>
      </c>
      <c r="F42" s="104" t="s">
        <v>186</v>
      </c>
      <c r="G42" s="138" t="s">
        <v>226</v>
      </c>
      <c r="H42" s="137">
        <v>1</v>
      </c>
      <c r="I42" s="137">
        <v>1</v>
      </c>
      <c r="J42" s="107">
        <v>2900</v>
      </c>
      <c r="K42" s="107">
        <f t="shared" ref="K42" si="18">IF(F42&lt;&gt;"",H42*I42*J42,"")</f>
        <v>2900</v>
      </c>
      <c r="L42" s="107">
        <f t="shared" ref="L42" si="19">IF(K42&lt;&gt;"",IF(D42="INTERNO",0,K42*$L$14),"")</f>
        <v>232</v>
      </c>
      <c r="M42" s="107">
        <f t="shared" ref="M42" si="20">IF(K42&lt;&gt;"",IF(E42="FAT.OGGI",SUM(K42:L42)*(1/(1-$M$14)-1),L42*(1/(1-$M$14)-1)),0)</f>
        <v>656.55691302770026</v>
      </c>
      <c r="N42" s="108">
        <f t="shared" ref="N42" si="21">SUM(K42:M42)</f>
        <v>3788.5569130277004</v>
      </c>
      <c r="Q42" s="109">
        <f t="shared" ref="Q42" si="22">IF(H42&lt;&gt;"",H42,"")</f>
        <v>1</v>
      </c>
      <c r="R42" s="110">
        <f t="shared" ref="R42" si="23">IF(I42&lt;&gt;"",I42,"")</f>
        <v>1</v>
      </c>
      <c r="S42" s="111">
        <v>2900</v>
      </c>
      <c r="T42" s="111">
        <f t="shared" ref="T42" si="24">IF(Q42&lt;&gt;"",Q42*R42*S42,"")</f>
        <v>2900</v>
      </c>
      <c r="U42" s="112">
        <f t="shared" ref="U42" si="25">IF(Q42&lt;&gt;"",K42-T42,"")</f>
        <v>0</v>
      </c>
      <c r="V42" s="113">
        <f t="shared" ref="V42" si="26">IF(Q42&lt;&gt;"",0%,"")</f>
        <v>0</v>
      </c>
      <c r="W42" s="114">
        <f t="shared" ref="W42" si="27">IF(Q42&lt;&gt;"",V42*U42,"")</f>
        <v>0</v>
      </c>
      <c r="X42" s="114">
        <f t="shared" ref="X42" si="28">IF(Q42&lt;&gt;"",W42+T42,"")</f>
        <v>2900</v>
      </c>
      <c r="Y42" s="115">
        <f t="shared" ref="Y42" si="29">IF(Q42&lt;&gt;"",X42+M42,"")</f>
        <v>3556.5569130277004</v>
      </c>
      <c r="Z42" s="116">
        <f t="shared" ref="Z42" si="30">IF(Q42&lt;&gt;"", IFERROR(U42/K42, 0), 0)</f>
        <v>0</v>
      </c>
      <c r="AA42" s="117">
        <f t="shared" ref="AA42" si="31">IFERROR(T42/$T$38, "")</f>
        <v>4.6398069840294646E-2</v>
      </c>
      <c r="AM42" s="175">
        <f t="shared" si="2"/>
        <v>0</v>
      </c>
      <c r="AN42" s="176">
        <v>2900</v>
      </c>
      <c r="AO42" s="183" t="s">
        <v>242</v>
      </c>
    </row>
    <row r="43" spans="1:41" ht="25.8" hidden="1" x14ac:dyDescent="0.5">
      <c r="A43" s="72">
        <v>29</v>
      </c>
      <c r="B43" s="97" t="s">
        <v>158</v>
      </c>
      <c r="C43" s="98" t="s">
        <v>129</v>
      </c>
      <c r="D43" s="72"/>
      <c r="E43" s="72"/>
      <c r="F43" s="104"/>
      <c r="G43" s="105"/>
      <c r="H43" s="137"/>
      <c r="I43" s="137"/>
      <c r="J43" s="107"/>
      <c r="K43" s="107" t="str">
        <f t="shared" ref="K43:K47" si="32">IF(F43&lt;&gt;"",H43*I43*J43,"")</f>
        <v/>
      </c>
      <c r="L43" s="107" t="str">
        <f t="shared" ref="L43:L47" si="33">IF(K43&lt;&gt;"",IF(D43="INTERNO",0,K43*$L$14),"")</f>
        <v/>
      </c>
      <c r="M43" s="107">
        <f t="shared" ref="M43:M47" si="34">IF(K43&lt;&gt;"",IF(E43="FAT.OGGI",SUM(K43:L43)*(1/(1-$M$14)-1),L43*(1/(1-$M$14)-1)),0)</f>
        <v>0</v>
      </c>
      <c r="N43" s="108">
        <f t="shared" ref="N43:N47" si="35">SUM(K43:M43)</f>
        <v>0</v>
      </c>
      <c r="Q43" s="109" t="str">
        <f t="shared" ref="Q43:Q47" si="36">IF(H43&lt;&gt;"",H43,"")</f>
        <v/>
      </c>
      <c r="R43" s="110" t="str">
        <f t="shared" ref="R43:R47" si="37">IF(I43&lt;&gt;"",I43,"")</f>
        <v/>
      </c>
      <c r="S43" s="111"/>
      <c r="T43" s="111" t="str">
        <f t="shared" ref="T43:T47" si="38">IF(Q43&lt;&gt;"",Q43*R43*S43,"")</f>
        <v/>
      </c>
      <c r="U43" s="112" t="str">
        <f t="shared" ref="U43:U47" si="39">IF(Q43&lt;&gt;"",K43-T43,"")</f>
        <v/>
      </c>
      <c r="V43" s="113" t="str">
        <f t="shared" ref="V43:V47" si="40">IF(Q43&lt;&gt;"",0%,"")</f>
        <v/>
      </c>
      <c r="W43" s="114" t="str">
        <f t="shared" ref="W43:W47" si="41">IF(Q43&lt;&gt;"",V43*U43,"")</f>
        <v/>
      </c>
      <c r="X43" s="114" t="str">
        <f t="shared" ref="X43:X47" si="42">IF(Q43&lt;&gt;"",W43+T43,"")</f>
        <v/>
      </c>
      <c r="Y43" s="115" t="str">
        <f t="shared" ref="Y43:Y49" si="43">IF(Q43&lt;&gt;"",X43+M43,"")</f>
        <v/>
      </c>
      <c r="Z43" s="116">
        <f t="shared" ref="Z43:Z47" si="44">IF(Q43&lt;&gt;"", IFERROR(U43/K43, 0), 0)</f>
        <v>0</v>
      </c>
      <c r="AA43" s="117" t="str">
        <f t="shared" ref="AA43:AA47" si="45">IFERROR(T43/$T$38, "")</f>
        <v/>
      </c>
      <c r="AM43" s="175" t="e">
        <f t="shared" si="2"/>
        <v>#VALUE!</v>
      </c>
      <c r="AN43" s="176"/>
    </row>
    <row r="44" spans="1:41" ht="25.8" hidden="1" x14ac:dyDescent="0.5">
      <c r="A44" s="72">
        <v>30</v>
      </c>
      <c r="B44" s="97" t="s">
        <v>181</v>
      </c>
      <c r="C44" s="98" t="s">
        <v>129</v>
      </c>
      <c r="D44" s="72"/>
      <c r="E44" s="72"/>
      <c r="F44" s="104"/>
      <c r="G44" s="105"/>
      <c r="H44" s="137"/>
      <c r="I44" s="137"/>
      <c r="J44" s="107"/>
      <c r="K44" s="107" t="str">
        <f t="shared" si="32"/>
        <v/>
      </c>
      <c r="L44" s="107" t="str">
        <f t="shared" si="33"/>
        <v/>
      </c>
      <c r="M44" s="107">
        <f t="shared" si="34"/>
        <v>0</v>
      </c>
      <c r="N44" s="108">
        <f t="shared" si="35"/>
        <v>0</v>
      </c>
      <c r="Q44" s="109" t="str">
        <f t="shared" si="36"/>
        <v/>
      </c>
      <c r="R44" s="110" t="str">
        <f t="shared" si="37"/>
        <v/>
      </c>
      <c r="S44" s="111"/>
      <c r="T44" s="111" t="str">
        <f t="shared" si="38"/>
        <v/>
      </c>
      <c r="U44" s="112" t="str">
        <f t="shared" si="39"/>
        <v/>
      </c>
      <c r="V44" s="113" t="str">
        <f t="shared" si="40"/>
        <v/>
      </c>
      <c r="W44" s="114" t="str">
        <f t="shared" si="41"/>
        <v/>
      </c>
      <c r="X44" s="114" t="str">
        <f t="shared" si="42"/>
        <v/>
      </c>
      <c r="Y44" s="115" t="str">
        <f t="shared" si="43"/>
        <v/>
      </c>
      <c r="Z44" s="116">
        <f t="shared" si="44"/>
        <v>0</v>
      </c>
      <c r="AA44" s="117" t="str">
        <f t="shared" si="45"/>
        <v/>
      </c>
      <c r="AM44" s="175" t="e">
        <f t="shared" si="2"/>
        <v>#VALUE!</v>
      </c>
      <c r="AN44" s="176"/>
    </row>
    <row r="45" spans="1:41" ht="25.8" hidden="1" x14ac:dyDescent="0.5">
      <c r="A45" s="72">
        <v>31</v>
      </c>
      <c r="B45" s="97" t="s">
        <v>182</v>
      </c>
      <c r="C45" s="98" t="s">
        <v>129</v>
      </c>
      <c r="D45" s="72"/>
      <c r="E45" s="72"/>
      <c r="F45" s="104"/>
      <c r="G45" s="105"/>
      <c r="H45" s="137"/>
      <c r="I45" s="137"/>
      <c r="J45" s="107"/>
      <c r="K45" s="107" t="str">
        <f t="shared" si="32"/>
        <v/>
      </c>
      <c r="L45" s="107" t="str">
        <f t="shared" si="33"/>
        <v/>
      </c>
      <c r="M45" s="107">
        <f t="shared" si="34"/>
        <v>0</v>
      </c>
      <c r="N45" s="108">
        <f t="shared" si="35"/>
        <v>0</v>
      </c>
      <c r="Q45" s="109" t="str">
        <f t="shared" si="36"/>
        <v/>
      </c>
      <c r="R45" s="110" t="str">
        <f t="shared" si="37"/>
        <v/>
      </c>
      <c r="S45" s="111"/>
      <c r="T45" s="111" t="str">
        <f t="shared" si="38"/>
        <v/>
      </c>
      <c r="U45" s="112" t="str">
        <f t="shared" si="39"/>
        <v/>
      </c>
      <c r="V45" s="113" t="str">
        <f t="shared" si="40"/>
        <v/>
      </c>
      <c r="W45" s="114" t="str">
        <f t="shared" si="41"/>
        <v/>
      </c>
      <c r="X45" s="114" t="str">
        <f t="shared" si="42"/>
        <v/>
      </c>
      <c r="Y45" s="115" t="str">
        <f t="shared" si="43"/>
        <v/>
      </c>
      <c r="Z45" s="116">
        <f t="shared" si="44"/>
        <v>0</v>
      </c>
      <c r="AA45" s="117" t="str">
        <f t="shared" si="45"/>
        <v/>
      </c>
      <c r="AM45" s="175" t="e">
        <f t="shared" si="2"/>
        <v>#VALUE!</v>
      </c>
      <c r="AN45" s="176"/>
    </row>
    <row r="46" spans="1:41" ht="25.8" hidden="1" x14ac:dyDescent="0.5">
      <c r="A46" s="72">
        <v>32</v>
      </c>
      <c r="B46" s="97" t="s">
        <v>191</v>
      </c>
      <c r="C46" s="98" t="s">
        <v>129</v>
      </c>
      <c r="D46" s="72"/>
      <c r="E46" s="72"/>
      <c r="F46" s="104"/>
      <c r="G46" s="105"/>
      <c r="H46" s="137"/>
      <c r="I46" s="137"/>
      <c r="J46" s="107"/>
      <c r="K46" s="107" t="str">
        <f t="shared" si="32"/>
        <v/>
      </c>
      <c r="L46" s="107" t="str">
        <f t="shared" si="33"/>
        <v/>
      </c>
      <c r="M46" s="107">
        <f t="shared" si="34"/>
        <v>0</v>
      </c>
      <c r="N46" s="108">
        <f t="shared" si="35"/>
        <v>0</v>
      </c>
      <c r="Q46" s="109" t="str">
        <f t="shared" si="36"/>
        <v/>
      </c>
      <c r="R46" s="110" t="str">
        <f t="shared" si="37"/>
        <v/>
      </c>
      <c r="S46" s="111"/>
      <c r="T46" s="111" t="str">
        <f t="shared" si="38"/>
        <v/>
      </c>
      <c r="U46" s="112" t="str">
        <f t="shared" si="39"/>
        <v/>
      </c>
      <c r="V46" s="113" t="str">
        <f t="shared" si="40"/>
        <v/>
      </c>
      <c r="W46" s="114" t="str">
        <f t="shared" si="41"/>
        <v/>
      </c>
      <c r="X46" s="114" t="str">
        <f t="shared" si="42"/>
        <v/>
      </c>
      <c r="Y46" s="115" t="str">
        <f t="shared" si="43"/>
        <v/>
      </c>
      <c r="Z46" s="116">
        <f t="shared" si="44"/>
        <v>0</v>
      </c>
      <c r="AA46" s="117" t="str">
        <f t="shared" si="45"/>
        <v/>
      </c>
      <c r="AM46" s="175" t="e">
        <f t="shared" si="2"/>
        <v>#VALUE!</v>
      </c>
      <c r="AN46" s="176"/>
    </row>
    <row r="47" spans="1:41" ht="25.8" hidden="1" x14ac:dyDescent="0.5">
      <c r="A47" s="72">
        <v>33</v>
      </c>
      <c r="B47" s="97" t="s">
        <v>192</v>
      </c>
      <c r="C47" s="98" t="s">
        <v>129</v>
      </c>
      <c r="D47" s="72"/>
      <c r="E47" s="72"/>
      <c r="F47" s="140"/>
      <c r="G47" s="141"/>
      <c r="H47" s="127"/>
      <c r="I47" s="127"/>
      <c r="J47" s="125"/>
      <c r="K47" s="125" t="str">
        <f t="shared" si="32"/>
        <v/>
      </c>
      <c r="L47" s="125" t="str">
        <f t="shared" si="33"/>
        <v/>
      </c>
      <c r="M47" s="125">
        <f t="shared" si="34"/>
        <v>0</v>
      </c>
      <c r="N47" s="126">
        <f t="shared" si="35"/>
        <v>0</v>
      </c>
      <c r="Q47" s="109" t="str">
        <f t="shared" si="36"/>
        <v/>
      </c>
      <c r="R47" s="110" t="str">
        <f t="shared" si="37"/>
        <v/>
      </c>
      <c r="S47" s="111"/>
      <c r="T47" s="111" t="str">
        <f t="shared" si="38"/>
        <v/>
      </c>
      <c r="U47" s="112" t="str">
        <f t="shared" si="39"/>
        <v/>
      </c>
      <c r="V47" s="113" t="str">
        <f t="shared" si="40"/>
        <v/>
      </c>
      <c r="W47" s="114" t="str">
        <f t="shared" si="41"/>
        <v/>
      </c>
      <c r="X47" s="114" t="str">
        <f t="shared" si="42"/>
        <v/>
      </c>
      <c r="Y47" s="115" t="str">
        <f t="shared" si="43"/>
        <v/>
      </c>
      <c r="Z47" s="116">
        <f t="shared" si="44"/>
        <v>0</v>
      </c>
      <c r="AA47" s="117" t="str">
        <f t="shared" si="45"/>
        <v/>
      </c>
      <c r="AM47" s="175" t="e">
        <f t="shared" si="2"/>
        <v>#VALUE!</v>
      </c>
      <c r="AN47" s="176"/>
    </row>
    <row r="48" spans="1:41" ht="30" customHeight="1" thickBot="1" x14ac:dyDescent="0.55000000000000004">
      <c r="A48" s="72">
        <v>34</v>
      </c>
      <c r="B48" s="97"/>
      <c r="C48" s="98" t="s">
        <v>131</v>
      </c>
      <c r="D48" s="72"/>
      <c r="E48" s="72"/>
      <c r="F48" s="221" t="s">
        <v>187</v>
      </c>
      <c r="G48" s="222"/>
      <c r="H48" s="222"/>
      <c r="I48" s="222"/>
      <c r="J48" s="222"/>
      <c r="K48" s="128">
        <f>SUM(K42:K47)</f>
        <v>2900</v>
      </c>
      <c r="L48" s="128">
        <f>SUM(L42:L47)</f>
        <v>232</v>
      </c>
      <c r="M48" s="128">
        <f>SUM(M42:M47)</f>
        <v>656.55691302770026</v>
      </c>
      <c r="N48" s="129">
        <f>SUM(N42:N47)</f>
        <v>3788.5569130277004</v>
      </c>
      <c r="Q48" s="216" t="s">
        <v>150</v>
      </c>
      <c r="R48" s="217"/>
      <c r="S48" s="217"/>
      <c r="T48" s="120">
        <f>SUM(T42:T47)</f>
        <v>2900</v>
      </c>
      <c r="U48" s="121">
        <f>SUM(U42:U47)</f>
        <v>0</v>
      </c>
      <c r="V48" s="122"/>
      <c r="W48" s="122"/>
      <c r="X48" s="123">
        <f>SUM(X42:X47)</f>
        <v>2900</v>
      </c>
      <c r="Y48" s="124">
        <f t="shared" si="43"/>
        <v>3556.5569130277004</v>
      </c>
      <c r="AM48" s="175"/>
      <c r="AN48" s="176"/>
    </row>
    <row r="49" spans="1:43" ht="30" customHeight="1" thickBot="1" x14ac:dyDescent="0.55000000000000004">
      <c r="A49" s="72">
        <v>35</v>
      </c>
      <c r="B49" s="97"/>
      <c r="C49" s="98" t="s">
        <v>137</v>
      </c>
      <c r="D49" s="72"/>
      <c r="E49" s="72"/>
      <c r="F49" s="188" t="s">
        <v>187</v>
      </c>
      <c r="G49" s="189"/>
      <c r="H49" s="189"/>
      <c r="I49" s="189"/>
      <c r="J49" s="189"/>
      <c r="K49" s="130">
        <f>SUM(K42:K47)</f>
        <v>2900</v>
      </c>
      <c r="L49" s="130">
        <f>SUM(L42:L47)</f>
        <v>232</v>
      </c>
      <c r="M49" s="130">
        <f>SUM(M42:M47)</f>
        <v>656.55691302770026</v>
      </c>
      <c r="N49" s="131">
        <f>SUM(N42:N47)</f>
        <v>3788.5569130277004</v>
      </c>
      <c r="Q49" s="190" t="s">
        <v>151</v>
      </c>
      <c r="R49" s="191"/>
      <c r="S49" s="191"/>
      <c r="T49" s="132">
        <f>SUM(T42:T47)</f>
        <v>2900</v>
      </c>
      <c r="U49" s="133">
        <f>SUM(U42:U47)</f>
        <v>0</v>
      </c>
      <c r="V49" s="134"/>
      <c r="W49" s="134"/>
      <c r="X49" s="135">
        <f>SUM(X42:X47)</f>
        <v>2900</v>
      </c>
      <c r="Y49" s="136">
        <f t="shared" si="43"/>
        <v>3556.5569130277004</v>
      </c>
      <c r="AM49" s="175"/>
      <c r="AN49" s="176"/>
    </row>
    <row r="50" spans="1:43" ht="30" customHeight="1" thickBot="1" x14ac:dyDescent="0.55000000000000004">
      <c r="A50" s="72">
        <v>36</v>
      </c>
      <c r="B50" s="97">
        <v>4</v>
      </c>
      <c r="C50" s="98" t="s">
        <v>121</v>
      </c>
      <c r="D50" s="72"/>
      <c r="E50" s="72"/>
      <c r="F50" s="235" t="s">
        <v>177</v>
      </c>
      <c r="G50" s="236"/>
      <c r="H50" s="236"/>
      <c r="I50" s="236"/>
      <c r="J50" s="236"/>
      <c r="K50" s="236"/>
      <c r="L50" s="236"/>
      <c r="M50" s="236"/>
      <c r="N50" s="237"/>
      <c r="Q50" s="238" t="str">
        <f>IF(F50&lt;&gt;"",F50,"")</f>
        <v>CUSTOS OPERACIONAIS</v>
      </c>
      <c r="R50" s="239"/>
      <c r="S50" s="239"/>
      <c r="T50" s="239"/>
      <c r="U50" s="239"/>
      <c r="V50" s="239"/>
      <c r="W50" s="239"/>
      <c r="X50" s="239"/>
      <c r="Y50" s="240"/>
      <c r="AM50" s="175"/>
      <c r="AN50" s="176"/>
    </row>
    <row r="51" spans="1:43" ht="30" customHeight="1" x14ac:dyDescent="0.5">
      <c r="A51" s="72">
        <v>37</v>
      </c>
      <c r="B51" s="97" t="s">
        <v>193</v>
      </c>
      <c r="C51" s="98" t="s">
        <v>123</v>
      </c>
      <c r="D51" s="72"/>
      <c r="E51" s="72"/>
      <c r="F51" s="241" t="s">
        <v>177</v>
      </c>
      <c r="G51" s="242"/>
      <c r="H51" s="242"/>
      <c r="I51" s="242"/>
      <c r="J51" s="242"/>
      <c r="K51" s="243"/>
      <c r="L51" s="99" t="s">
        <v>125</v>
      </c>
      <c r="M51" s="100" t="s">
        <v>126</v>
      </c>
      <c r="N51" s="101" t="s">
        <v>82</v>
      </c>
      <c r="Q51" s="229" t="str">
        <f>IF(F51&lt;&gt;"",F51,"")</f>
        <v>CUSTOS OPERACIONAIS</v>
      </c>
      <c r="R51" s="230"/>
      <c r="S51" s="230"/>
      <c r="T51" s="230"/>
      <c r="U51" s="230"/>
      <c r="V51" s="230"/>
      <c r="W51" s="230"/>
      <c r="X51" s="230"/>
      <c r="Y51" s="244"/>
      <c r="Z51" s="102" t="s">
        <v>127</v>
      </c>
      <c r="AA51" s="103" t="s">
        <v>83</v>
      </c>
      <c r="AM51" s="175"/>
      <c r="AN51" s="176"/>
    </row>
    <row r="52" spans="1:43" ht="80.099999999999994" customHeight="1" x14ac:dyDescent="0.5">
      <c r="A52" s="72">
        <v>38</v>
      </c>
      <c r="B52" s="97" t="s">
        <v>194</v>
      </c>
      <c r="C52" s="98" t="s">
        <v>129</v>
      </c>
      <c r="D52" s="72" t="s">
        <v>168</v>
      </c>
      <c r="E52" s="72" t="s">
        <v>167</v>
      </c>
      <c r="F52" s="140" t="s">
        <v>176</v>
      </c>
      <c r="G52" s="138" t="s">
        <v>227</v>
      </c>
      <c r="H52" s="142">
        <v>1</v>
      </c>
      <c r="I52" s="142">
        <v>1</v>
      </c>
      <c r="J52" s="143">
        <v>1000</v>
      </c>
      <c r="K52" s="107">
        <f>IF(F52&lt;&gt;"",H52*I52*J52,"")</f>
        <v>1000</v>
      </c>
      <c r="L52" s="107">
        <f>IF(K52&lt;&gt;"",IF(D52="INTERNO",0,K52*$L$14),"")</f>
        <v>80</v>
      </c>
      <c r="M52" s="107">
        <f>IF(K52&lt;&gt;"",IF(E52="FAT.OGGI",SUM(K52:L52)*(1/(1-$M$14)-1),L52*(1/(1-$M$14)-1)),0)</f>
        <v>226.3989355267932</v>
      </c>
      <c r="N52" s="108">
        <f>SUM(K52:M52)</f>
        <v>1306.3989355267931</v>
      </c>
      <c r="Q52" s="109">
        <f t="shared" ref="Q52:R55" si="46">IF(H52&lt;&gt;"",H52,"")</f>
        <v>1</v>
      </c>
      <c r="R52" s="110">
        <f t="shared" si="46"/>
        <v>1</v>
      </c>
      <c r="S52" s="111">
        <v>436.56</v>
      </c>
      <c r="T52" s="111">
        <v>1101.72</v>
      </c>
      <c r="U52" s="112">
        <f>IF(Q52&lt;&gt;"",K52-T52,"")</f>
        <v>-101.72000000000003</v>
      </c>
      <c r="V52" s="113">
        <f>IF(Q52&lt;&gt;"",0%,"")</f>
        <v>0</v>
      </c>
      <c r="W52" s="114">
        <f>IF(Q52&lt;&gt;"",V52*U52,"")</f>
        <v>0</v>
      </c>
      <c r="X52" s="114">
        <f>IF(Q52&lt;&gt;"",W52+T52,"")</f>
        <v>1101.72</v>
      </c>
      <c r="Y52" s="115">
        <f t="shared" ref="Y52:Y57" si="47">IF(Q52&lt;&gt;"",X52+M52,"")</f>
        <v>1328.1189355267932</v>
      </c>
      <c r="Z52" s="116">
        <f>IF(Q52&lt;&gt;"", IFERROR(U52/K52, 0), 0)</f>
        <v>-0.10172000000000003</v>
      </c>
      <c r="AA52" s="117">
        <f>IFERROR(T52/$T$56, "")</f>
        <v>0.84585678200984271</v>
      </c>
      <c r="AM52" s="175">
        <f t="shared" si="2"/>
        <v>0</v>
      </c>
      <c r="AN52" s="176">
        <f>243.56+243.56+194.74+297.86+122</f>
        <v>1101.72</v>
      </c>
      <c r="AO52" s="183" t="s">
        <v>245</v>
      </c>
    </row>
    <row r="53" spans="1:43" ht="80.099999999999994" customHeight="1" x14ac:dyDescent="0.5">
      <c r="A53" s="72">
        <v>39</v>
      </c>
      <c r="B53" s="97" t="s">
        <v>195</v>
      </c>
      <c r="C53" s="98" t="s">
        <v>129</v>
      </c>
      <c r="D53" s="72" t="s">
        <v>168</v>
      </c>
      <c r="E53" s="72" t="s">
        <v>167</v>
      </c>
      <c r="F53" s="140" t="s">
        <v>179</v>
      </c>
      <c r="G53" s="138" t="s">
        <v>228</v>
      </c>
      <c r="H53" s="142">
        <v>1</v>
      </c>
      <c r="I53" s="142">
        <v>1</v>
      </c>
      <c r="J53" s="143">
        <v>500</v>
      </c>
      <c r="K53" s="107">
        <f>IF(F53&lt;&gt;"",H53*I53*J53,"")</f>
        <v>500</v>
      </c>
      <c r="L53" s="107">
        <f>IF(K53&lt;&gt;"",IF(D53="INTERNO",0,K53*$L$14),"")</f>
        <v>40</v>
      </c>
      <c r="M53" s="107">
        <f>IF(K53&lt;&gt;"",IF(E53="FAT.OGGI",SUM(K53:L53)*(1/(1-$M$14)-1),L53*(1/(1-$M$14)-1)),0)</f>
        <v>113.1994677633966</v>
      </c>
      <c r="N53" s="108">
        <f>SUM(K53:M53)</f>
        <v>653.19946776339657</v>
      </c>
      <c r="Q53" s="109">
        <f t="shared" si="46"/>
        <v>1</v>
      </c>
      <c r="R53" s="110">
        <f t="shared" si="46"/>
        <v>1</v>
      </c>
      <c r="S53" s="111">
        <v>297.86</v>
      </c>
      <c r="T53" s="111">
        <v>0</v>
      </c>
      <c r="U53" s="112">
        <f>IF(Q53&lt;&gt;"",K53-T53,"")</f>
        <v>500</v>
      </c>
      <c r="V53" s="113">
        <f>IF(Q53&lt;&gt;"",0%,"")</f>
        <v>0</v>
      </c>
      <c r="W53" s="114">
        <f>IF(Q53&lt;&gt;"",V53*U53,"")</f>
        <v>0</v>
      </c>
      <c r="X53" s="114">
        <f>IF(Q53&lt;&gt;"",W53+T53,"")</f>
        <v>0</v>
      </c>
      <c r="Y53" s="115">
        <f t="shared" si="47"/>
        <v>113.1994677633966</v>
      </c>
      <c r="Z53" s="116">
        <f>IF(Q53&lt;&gt;"", IFERROR(U53/K53, 0), 0)</f>
        <v>1</v>
      </c>
      <c r="AA53" s="117">
        <f>IFERROR(T53/$T$56, "")</f>
        <v>0</v>
      </c>
      <c r="AM53" s="175">
        <f t="shared" si="2"/>
        <v>0</v>
      </c>
      <c r="AN53" s="176">
        <v>0</v>
      </c>
    </row>
    <row r="54" spans="1:43" ht="80.099999999999994" customHeight="1" x14ac:dyDescent="0.5">
      <c r="A54" s="72">
        <v>40</v>
      </c>
      <c r="B54" s="97" t="s">
        <v>196</v>
      </c>
      <c r="C54" s="98" t="s">
        <v>129</v>
      </c>
      <c r="D54" s="72" t="s">
        <v>168</v>
      </c>
      <c r="E54" s="72" t="s">
        <v>167</v>
      </c>
      <c r="F54" s="140" t="s">
        <v>159</v>
      </c>
      <c r="G54" s="138" t="s">
        <v>160</v>
      </c>
      <c r="H54" s="142">
        <v>1</v>
      </c>
      <c r="I54" s="142">
        <v>1</v>
      </c>
      <c r="J54" s="143">
        <v>1200</v>
      </c>
      <c r="K54" s="107">
        <f>IF(F54&lt;&gt;"",H54*I54*J54,"")</f>
        <v>1200</v>
      </c>
      <c r="L54" s="107">
        <f>IF(K54&lt;&gt;"",IF(D54="INTERNO",0,K54*$L$14),"")</f>
        <v>96</v>
      </c>
      <c r="M54" s="107">
        <f>IF(K54&lt;&gt;"",IF(E54="FAT.OGGI",SUM(K54:L54)*(1/(1-$M$14)-1),L54*(1/(1-$M$14)-1)),0)</f>
        <v>271.67872263215185</v>
      </c>
      <c r="N54" s="108">
        <f>SUM(K54:M54)</f>
        <v>1567.6787226321519</v>
      </c>
      <c r="Q54" s="109">
        <f t="shared" si="46"/>
        <v>1</v>
      </c>
      <c r="R54" s="110">
        <f t="shared" si="46"/>
        <v>1</v>
      </c>
      <c r="S54" s="111">
        <v>200.77</v>
      </c>
      <c r="T54" s="111">
        <f>IF(Q54&lt;&gt;"",Q54*R54*S54,"")</f>
        <v>200.77</v>
      </c>
      <c r="U54" s="112">
        <f>IF(Q54&lt;&gt;"",K54-T54,"")</f>
        <v>999.23</v>
      </c>
      <c r="V54" s="113">
        <f>IF(Q54&lt;&gt;"",0%,"")</f>
        <v>0</v>
      </c>
      <c r="W54" s="114">
        <f>IF(Q54&lt;&gt;"",V54*U54,"")</f>
        <v>0</v>
      </c>
      <c r="X54" s="114">
        <f>IF(Q54&lt;&gt;"",W54+T54,"")</f>
        <v>200.77</v>
      </c>
      <c r="Y54" s="115">
        <f t="shared" si="47"/>
        <v>472.44872263215188</v>
      </c>
      <c r="Z54" s="116">
        <f>IF(Q54&lt;&gt;"", IFERROR(U54/K54, 0), 0)</f>
        <v>0.83269166666666672</v>
      </c>
      <c r="AA54" s="117">
        <f>IFERROR(T54/$T$56, "")</f>
        <v>0.15414321799015732</v>
      </c>
      <c r="AM54" s="175">
        <f t="shared" si="2"/>
        <v>0</v>
      </c>
      <c r="AN54" s="176">
        <v>200.77</v>
      </c>
      <c r="AO54" s="183" t="s">
        <v>240</v>
      </c>
    </row>
    <row r="55" spans="1:43" ht="80.099999999999994" customHeight="1" x14ac:dyDescent="0.5">
      <c r="A55" s="72">
        <v>41</v>
      </c>
      <c r="B55" s="97" t="s">
        <v>197</v>
      </c>
      <c r="C55" s="98" t="s">
        <v>129</v>
      </c>
      <c r="D55" s="72" t="s">
        <v>168</v>
      </c>
      <c r="E55" s="72" t="s">
        <v>167</v>
      </c>
      <c r="F55" s="140" t="s">
        <v>161</v>
      </c>
      <c r="G55" s="105" t="s">
        <v>229</v>
      </c>
      <c r="H55" s="142">
        <v>1</v>
      </c>
      <c r="I55" s="142">
        <v>1</v>
      </c>
      <c r="J55" s="143">
        <v>2000</v>
      </c>
      <c r="K55" s="125">
        <f>IF(F55&lt;&gt;"",H55*I55*J55,"")</f>
        <v>2000</v>
      </c>
      <c r="L55" s="125">
        <f>IF(K55&lt;&gt;"",IF(D55="INTERNO",0,K55*$L$14),"")</f>
        <v>160</v>
      </c>
      <c r="M55" s="125">
        <f>IF(K55&lt;&gt;"",IF(E55="FAT.OGGI",SUM(K55:L55)*(1/(1-$M$14)-1),L55*(1/(1-$M$14)-1)),0)</f>
        <v>452.79787105358639</v>
      </c>
      <c r="N55" s="126">
        <f>SUM(K55:M55)</f>
        <v>2612.7978710535863</v>
      </c>
      <c r="Q55" s="109">
        <f t="shared" si="46"/>
        <v>1</v>
      </c>
      <c r="R55" s="110">
        <f t="shared" si="46"/>
        <v>1</v>
      </c>
      <c r="S55" s="111">
        <v>0</v>
      </c>
      <c r="T55" s="111">
        <f>IF(Q55&lt;&gt;"",Q55*R55*S55,"")</f>
        <v>0</v>
      </c>
      <c r="U55" s="112">
        <f>IF(Q55&lt;&gt;"",K55-T55,"")</f>
        <v>2000</v>
      </c>
      <c r="V55" s="113">
        <f>IF(Q55&lt;&gt;"",0%,"")</f>
        <v>0</v>
      </c>
      <c r="W55" s="114">
        <f>IF(Q55&lt;&gt;"",V55*U55,"")</f>
        <v>0</v>
      </c>
      <c r="X55" s="114">
        <f>IF(Q55&lt;&gt;"",W55+T55,"")</f>
        <v>0</v>
      </c>
      <c r="Y55" s="115">
        <f t="shared" si="47"/>
        <v>452.79787105358639</v>
      </c>
      <c r="Z55" s="116">
        <f>IF(Q55&lt;&gt;"", IFERROR(U55/K55, 0), 0)</f>
        <v>1</v>
      </c>
      <c r="AA55" s="117">
        <f>IFERROR(T55/$T$56, "")</f>
        <v>0</v>
      </c>
      <c r="AM55" s="175">
        <f t="shared" si="2"/>
        <v>0</v>
      </c>
      <c r="AN55" s="176">
        <v>0</v>
      </c>
    </row>
    <row r="56" spans="1:43" ht="30" customHeight="1" thickBot="1" x14ac:dyDescent="0.55000000000000004">
      <c r="A56" s="72">
        <v>42</v>
      </c>
      <c r="B56" s="97"/>
      <c r="C56" s="98" t="s">
        <v>131</v>
      </c>
      <c r="D56" s="72"/>
      <c r="E56" s="72"/>
      <c r="F56" s="227" t="s">
        <v>178</v>
      </c>
      <c r="G56" s="228"/>
      <c r="H56" s="228"/>
      <c r="I56" s="228"/>
      <c r="J56" s="228"/>
      <c r="K56" s="144">
        <f>SUM(K52:K55)</f>
        <v>4700</v>
      </c>
      <c r="L56" s="144">
        <f>SUM(L52:L55)</f>
        <v>376</v>
      </c>
      <c r="M56" s="144">
        <f>SUM(M52:M55)</f>
        <v>1064.0749969759281</v>
      </c>
      <c r="N56" s="145">
        <f>SUM(N52:N55)</f>
        <v>6140.0749969759281</v>
      </c>
      <c r="Q56" s="229" t="s">
        <v>162</v>
      </c>
      <c r="R56" s="230"/>
      <c r="S56" s="230"/>
      <c r="T56" s="146">
        <f>SUM(T52:T55)</f>
        <v>1302.49</v>
      </c>
      <c r="U56" s="121">
        <f>SUM(U52:U55)</f>
        <v>3397.51</v>
      </c>
      <c r="V56" s="122"/>
      <c r="W56" s="122"/>
      <c r="X56" s="123">
        <f>SUM(X52:X55)</f>
        <v>1302.49</v>
      </c>
      <c r="Y56" s="124">
        <f t="shared" si="47"/>
        <v>2366.5649969759279</v>
      </c>
      <c r="AM56" s="175"/>
      <c r="AN56" s="176"/>
    </row>
    <row r="57" spans="1:43" ht="30" customHeight="1" thickBot="1" x14ac:dyDescent="0.55000000000000004">
      <c r="A57" s="72">
        <v>43</v>
      </c>
      <c r="B57" s="97"/>
      <c r="C57" s="98" t="s">
        <v>137</v>
      </c>
      <c r="D57" s="72"/>
      <c r="E57" s="72"/>
      <c r="F57" s="231" t="s">
        <v>178</v>
      </c>
      <c r="G57" s="232"/>
      <c r="H57" s="232"/>
      <c r="I57" s="232"/>
      <c r="J57" s="232"/>
      <c r="K57" s="147">
        <f>SUM(K52:K55)</f>
        <v>4700</v>
      </c>
      <c r="L57" s="147">
        <f>SUM(L52:L55)</f>
        <v>376</v>
      </c>
      <c r="M57" s="147">
        <f>SUM(M52:M55)</f>
        <v>1064.0749969759281</v>
      </c>
      <c r="N57" s="148">
        <f>SUM(N52:N55)</f>
        <v>6140.0749969759281</v>
      </c>
      <c r="Q57" s="233" t="s">
        <v>162</v>
      </c>
      <c r="R57" s="234"/>
      <c r="S57" s="234"/>
      <c r="T57" s="149">
        <f>SUM(T52:T55)</f>
        <v>1302.49</v>
      </c>
      <c r="U57" s="133">
        <f>SUM(U52:U55)</f>
        <v>3397.51</v>
      </c>
      <c r="V57" s="134"/>
      <c r="W57" s="134"/>
      <c r="X57" s="135">
        <f>SUM(X52:X55)</f>
        <v>1302.49</v>
      </c>
      <c r="Y57" s="150">
        <f t="shared" si="47"/>
        <v>2366.5649969759279</v>
      </c>
      <c r="Z57" s="151" t="s">
        <v>165</v>
      </c>
      <c r="AA57" s="152" t="s">
        <v>166</v>
      </c>
      <c r="AM57" s="175"/>
      <c r="AN57" s="176"/>
    </row>
    <row r="58" spans="1:43" ht="30" customHeight="1" thickBot="1" x14ac:dyDescent="0.55000000000000004">
      <c r="A58" s="72">
        <v>44</v>
      </c>
      <c r="B58" s="153"/>
      <c r="C58" s="98" t="s">
        <v>163</v>
      </c>
      <c r="D58" s="72"/>
      <c r="E58" s="72"/>
      <c r="F58" s="38" t="s">
        <v>164</v>
      </c>
      <c r="G58" s="39"/>
      <c r="H58" s="40"/>
      <c r="I58" s="40"/>
      <c r="J58" s="39"/>
      <c r="K58" s="41">
        <f>SUM(K17:K17)+SUM(K20:K21)+SUM(K26:K37)+SUM(K42:K47)+SUM(K52:K55)</f>
        <v>91735.175000000003</v>
      </c>
      <c r="L58" s="41">
        <f>SUM(L17:L17)+SUM(L20:L21)+SUM(L26:L37)+SUM(L42:L47)+SUM(L52:L55)</f>
        <v>6938.8140000000003</v>
      </c>
      <c r="M58" s="41">
        <f>SUM(M17:M17)+SUM(M20:M21)+SUM(M26:M37)+SUM(M42:M47)+SUM(M52:M55)</f>
        <v>20684.894512761573</v>
      </c>
      <c r="N58" s="44">
        <f>SUM(N17:N17)+SUM(N20:N21)+SUM(N26:N37)+SUM(N42:N47)+SUM(N52:N55)</f>
        <v>119358.88351276159</v>
      </c>
      <c r="Q58" s="42" t="s">
        <v>43</v>
      </c>
      <c r="R58" s="40"/>
      <c r="S58" s="39"/>
      <c r="T58" s="41">
        <f>SUM(T17:T17)+SUM(T20:T21)+SUM(T26:T37)+SUM(T42:T47)+SUM(T52:T55)</f>
        <v>73925.090000000011</v>
      </c>
      <c r="U58" s="41">
        <f>SUM(U17:U17)+SUM(U20:U21)+SUM(U26:U37)+SUM(U42:U47)+SUM(U52:U55)</f>
        <v>17810.084999999999</v>
      </c>
      <c r="V58" s="39"/>
      <c r="W58" s="39"/>
      <c r="X58" s="41">
        <f>SUM(X17:X17)+SUM(X20:X21)+SUM(X26:X37)+SUM(X42:X47)+SUM(X52:X55)</f>
        <v>73925.090000000011</v>
      </c>
      <c r="Y58" s="44">
        <f>SUM(Y17:Y17)+SUM(Y20:Y21)+SUM(Y26:Y37)+SUM(Y42:Y47)+SUM(Y52:Y55)</f>
        <v>94609.984512761584</v>
      </c>
      <c r="Z58" s="45">
        <f>IF(Q58&lt;&gt;"",(N58-Y58)/N58,"")</f>
        <v>0.20734861345577102</v>
      </c>
      <c r="AA58" s="43">
        <f>IF(Z58&lt;&gt;"",(N58-Y58),"")</f>
        <v>24748.899000000005</v>
      </c>
      <c r="AM58" s="175">
        <f>SUM(AM52:AM55,AM42,AM26:AM32,AM20:AM21,AM17)</f>
        <v>0</v>
      </c>
      <c r="AN58" s="178">
        <f>SUM(AN52:AN55,AN42,AN26:AN32,AN20:AN21,AN17)</f>
        <v>73925.09</v>
      </c>
    </row>
    <row r="59" spans="1:43" ht="28.8" x14ac:dyDescent="0.55000000000000004">
      <c r="K59" s="293">
        <f>K58+L58</f>
        <v>98673.989000000001</v>
      </c>
      <c r="AN59" s="179">
        <f>K59*0.15</f>
        <v>14801.09835</v>
      </c>
      <c r="AO59" s="184" t="s">
        <v>126</v>
      </c>
    </row>
    <row r="60" spans="1:43" ht="28.8" x14ac:dyDescent="0.55000000000000004">
      <c r="AN60" s="179">
        <f>SUM(AN58:AN59)</f>
        <v>88726.188349999997</v>
      </c>
      <c r="AO60" s="184" t="s">
        <v>235</v>
      </c>
      <c r="AP60" s="180"/>
      <c r="AQ60" s="180"/>
    </row>
    <row r="61" spans="1:43" ht="28.8" x14ac:dyDescent="0.55000000000000004">
      <c r="AN61" s="181">
        <f>N58-AN60</f>
        <v>30632.695162761593</v>
      </c>
      <c r="AO61" s="185" t="s">
        <v>234</v>
      </c>
      <c r="AP61" s="180"/>
      <c r="AQ61" s="180"/>
    </row>
    <row r="62" spans="1:43" ht="28.8" x14ac:dyDescent="0.55000000000000004">
      <c r="AN62" s="182">
        <f>AN61*100%/N58</f>
        <v>0.25664361345577108</v>
      </c>
      <c r="AO62" s="185"/>
      <c r="AP62" s="180"/>
      <c r="AQ62" s="180"/>
    </row>
  </sheetData>
  <autoFilter ref="A1:AL14" xr:uid="{107B9E09-8154-459A-AE62-6A4242823A27}">
    <filterColumn colId="5" showButton="0"/>
  </autoFilter>
  <mergeCells count="45">
    <mergeCell ref="AM15:AN15"/>
    <mergeCell ref="AM16:AN16"/>
    <mergeCell ref="F56:J56"/>
    <mergeCell ref="Q56:S56"/>
    <mergeCell ref="F57:J57"/>
    <mergeCell ref="Q57:S57"/>
    <mergeCell ref="F39:J39"/>
    <mergeCell ref="Q39:S39"/>
    <mergeCell ref="F50:N50"/>
    <mergeCell ref="Q50:Y50"/>
    <mergeCell ref="F51:K51"/>
    <mergeCell ref="Q51:Y51"/>
    <mergeCell ref="F40:N40"/>
    <mergeCell ref="Q40:Y40"/>
    <mergeCell ref="F41:K41"/>
    <mergeCell ref="Q41:Y41"/>
    <mergeCell ref="F48:J48"/>
    <mergeCell ref="Q48:S48"/>
    <mergeCell ref="F24:N24"/>
    <mergeCell ref="Q24:Y24"/>
    <mergeCell ref="F25:K25"/>
    <mergeCell ref="Q25:Y25"/>
    <mergeCell ref="F38:J38"/>
    <mergeCell ref="Q38:S38"/>
    <mergeCell ref="Q19:Y19"/>
    <mergeCell ref="F22:J22"/>
    <mergeCell ref="Q22:S22"/>
    <mergeCell ref="F23:J23"/>
    <mergeCell ref="Q23:S23"/>
    <mergeCell ref="F49:J49"/>
    <mergeCell ref="Q49:S49"/>
    <mergeCell ref="AK12:AL12"/>
    <mergeCell ref="F1:G1"/>
    <mergeCell ref="F2:G2"/>
    <mergeCell ref="Q12:T12"/>
    <mergeCell ref="U12:X12"/>
    <mergeCell ref="AC12:AE12"/>
    <mergeCell ref="AG12:AH12"/>
    <mergeCell ref="F15:N15"/>
    <mergeCell ref="Q15:Y15"/>
    <mergeCell ref="F16:K16"/>
    <mergeCell ref="Q16:Y16"/>
    <mergeCell ref="F18:J18"/>
    <mergeCell ref="Q18:S18"/>
    <mergeCell ref="F19:K19"/>
  </mergeCells>
  <phoneticPr fontId="20" type="noConversion"/>
  <dataValidations disablePrompts="1" count="3">
    <dataValidation type="list" allowBlank="1" showInputMessage="1" showErrorMessage="1" sqref="D58 D52:D55 D17 D20:D21 D26:D37 D42:D47" xr:uid="{71267108-6F6F-4102-8580-C14A94B37FF5}">
      <formula1>"INTERNO,OPERACIONAL"</formula1>
    </dataValidation>
    <dataValidation type="list" allowBlank="1" showInputMessage="1" showErrorMessage="1" sqref="E17 E52:E55 E20:E21 E26:E37 E42:E47" xr:uid="{13740377-1D6F-4EC6-9E97-C064969112B4}">
      <formula1>"FAT.OGGI,FAT.CLIENTE"</formula1>
    </dataValidation>
    <dataValidation type="list" allowBlank="1" showInputMessage="1" showErrorMessage="1" sqref="E58" xr:uid="{B0470965-2D8E-4C52-9FF5-026B58E691FD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E18" sqref="E1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46" t="s">
        <v>11</v>
      </c>
      <c r="B1" s="246"/>
      <c r="C1" s="246"/>
      <c r="D1" s="248" t="s">
        <v>61</v>
      </c>
      <c r="E1" s="248"/>
      <c r="F1" s="248"/>
      <c r="G1" s="248"/>
      <c r="H1" s="248"/>
      <c r="I1" s="248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47"/>
      <c r="B2" s="247"/>
      <c r="C2" s="247"/>
      <c r="D2" s="246" t="s">
        <v>62</v>
      </c>
      <c r="E2" s="246"/>
      <c r="F2" s="246"/>
      <c r="G2" s="246"/>
      <c r="H2" s="246"/>
      <c r="I2" s="246"/>
      <c r="J2" s="26"/>
      <c r="K2" s="26"/>
      <c r="L2" s="26"/>
      <c r="M2" s="26"/>
      <c r="N2" s="26"/>
      <c r="O2" s="249" t="s">
        <v>63</v>
      </c>
    </row>
    <row r="3" spans="1:15" x14ac:dyDescent="0.3">
      <c r="A3" s="247"/>
      <c r="B3" s="247"/>
      <c r="C3" s="247"/>
      <c r="D3" s="246" t="s">
        <v>64</v>
      </c>
      <c r="E3" s="246"/>
      <c r="F3" s="246"/>
      <c r="G3" s="246"/>
      <c r="H3" s="246"/>
      <c r="I3" s="246"/>
      <c r="J3" s="26"/>
      <c r="K3" s="26"/>
      <c r="L3" s="26"/>
      <c r="M3" s="26"/>
      <c r="N3" s="26"/>
      <c r="O3" s="250"/>
    </row>
    <row r="4" spans="1:15" x14ac:dyDescent="0.3">
      <c r="A4" s="247"/>
      <c r="B4" s="247"/>
      <c r="C4" s="247"/>
      <c r="D4" s="246" t="s">
        <v>65</v>
      </c>
      <c r="E4" s="246"/>
      <c r="F4" s="246"/>
      <c r="G4" s="246"/>
      <c r="H4" s="246"/>
      <c r="I4" s="246"/>
      <c r="J4" s="26"/>
      <c r="K4" s="26"/>
      <c r="L4" s="26"/>
      <c r="M4" s="26"/>
      <c r="N4" s="26"/>
      <c r="O4" s="250"/>
    </row>
    <row r="5" spans="1:15" x14ac:dyDescent="0.3">
      <c r="A5" s="247"/>
      <c r="B5" s="247"/>
      <c r="C5" s="247"/>
      <c r="D5" s="246" t="s">
        <v>66</v>
      </c>
      <c r="E5" s="246"/>
      <c r="F5" s="246"/>
      <c r="G5" s="246"/>
      <c r="H5" s="246"/>
      <c r="I5" s="246"/>
      <c r="J5" s="26"/>
      <c r="K5" s="26"/>
      <c r="L5" s="26"/>
      <c r="M5" s="26"/>
      <c r="N5" s="26"/>
      <c r="O5" s="250"/>
    </row>
    <row r="6" spans="1:15" x14ac:dyDescent="0.3">
      <c r="A6" s="247"/>
      <c r="B6" s="247"/>
      <c r="C6" s="247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50"/>
    </row>
    <row r="7" spans="1:15" x14ac:dyDescent="0.3">
      <c r="A7" s="247"/>
      <c r="B7" s="247"/>
      <c r="C7" s="247"/>
      <c r="D7" s="246" t="s">
        <v>67</v>
      </c>
      <c r="E7" s="246"/>
      <c r="F7" s="246"/>
      <c r="G7" s="246"/>
      <c r="H7" s="246"/>
      <c r="I7" s="246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45" t="s">
        <v>68</v>
      </c>
      <c r="B8" s="245"/>
      <c r="C8" s="245"/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54" t="s">
        <v>3</v>
      </c>
      <c r="C2" s="255"/>
      <c r="D2" s="255"/>
      <c r="E2" s="255"/>
      <c r="F2" s="255"/>
      <c r="G2" s="255"/>
      <c r="H2" s="255"/>
      <c r="I2" s="255"/>
      <c r="J2" s="255"/>
      <c r="K2" s="255"/>
      <c r="L2" s="256"/>
    </row>
    <row r="3" spans="2:12" ht="47.4" customHeight="1" thickBot="1" x14ac:dyDescent="0.35">
      <c r="B3" s="257" t="s">
        <v>12</v>
      </c>
      <c r="C3" s="258"/>
      <c r="D3" s="258"/>
      <c r="E3" s="258"/>
      <c r="F3" s="258"/>
      <c r="G3" s="258"/>
      <c r="H3" s="258"/>
      <c r="I3" s="258"/>
      <c r="J3" s="258"/>
      <c r="K3" s="258"/>
      <c r="L3" s="259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60" t="s">
        <v>13</v>
      </c>
      <c r="D6" s="260"/>
      <c r="E6" s="260"/>
      <c r="F6" s="260"/>
      <c r="G6" s="260"/>
      <c r="H6" s="260"/>
      <c r="I6" s="260"/>
      <c r="J6" s="260"/>
      <c r="K6" s="260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61" t="s">
        <v>106</v>
      </c>
      <c r="E8" s="262"/>
      <c r="F8" s="262"/>
      <c r="G8" s="262"/>
      <c r="H8" s="262"/>
      <c r="I8" s="262"/>
      <c r="J8" s="262"/>
      <c r="K8" s="263"/>
      <c r="L8" s="5"/>
    </row>
    <row r="9" spans="2:12" x14ac:dyDescent="0.3">
      <c r="B9" s="4"/>
      <c r="C9" s="7" t="s">
        <v>15</v>
      </c>
      <c r="D9" s="251" t="s">
        <v>16</v>
      </c>
      <c r="E9" s="252"/>
      <c r="F9" s="252"/>
      <c r="G9" s="252"/>
      <c r="H9" s="252"/>
      <c r="I9" s="252"/>
      <c r="J9" s="252"/>
      <c r="K9" s="253"/>
      <c r="L9" s="5"/>
    </row>
    <row r="10" spans="2:12" x14ac:dyDescent="0.3">
      <c r="B10" s="4"/>
      <c r="C10" s="7" t="s">
        <v>17</v>
      </c>
      <c r="D10" s="251" t="s">
        <v>11</v>
      </c>
      <c r="E10" s="252"/>
      <c r="F10" s="252"/>
      <c r="G10" s="252"/>
      <c r="H10" s="252"/>
      <c r="I10" s="252"/>
      <c r="J10" s="252"/>
      <c r="K10" s="253"/>
      <c r="L10" s="5"/>
    </row>
    <row r="11" spans="2:12" x14ac:dyDescent="0.3">
      <c r="B11" s="4"/>
      <c r="C11" s="7" t="s">
        <v>18</v>
      </c>
      <c r="D11" s="251" t="s">
        <v>107</v>
      </c>
      <c r="E11" s="252"/>
      <c r="F11" s="252"/>
      <c r="G11" s="252"/>
      <c r="H11" s="252"/>
      <c r="I11" s="252"/>
      <c r="J11" s="252"/>
      <c r="K11" s="253"/>
      <c r="L11" s="5"/>
    </row>
    <row r="12" spans="2:12" x14ac:dyDescent="0.3">
      <c r="B12" s="4"/>
      <c r="C12" s="10" t="s">
        <v>19</v>
      </c>
      <c r="D12" s="264" t="s">
        <v>108</v>
      </c>
      <c r="E12" s="265"/>
      <c r="F12" s="265"/>
      <c r="G12" s="265"/>
      <c r="H12" s="266"/>
      <c r="I12" s="11" t="s">
        <v>20</v>
      </c>
      <c r="J12" s="264" t="s">
        <v>105</v>
      </c>
      <c r="K12" s="266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60" t="s">
        <v>21</v>
      </c>
      <c r="D16" s="260"/>
      <c r="E16" s="260"/>
      <c r="F16" s="260"/>
      <c r="G16" s="260"/>
      <c r="H16" s="260"/>
      <c r="I16" s="260"/>
      <c r="J16" s="260"/>
      <c r="K16" s="260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67" t="s">
        <v>81</v>
      </c>
      <c r="E18" s="267"/>
      <c r="F18" s="267"/>
      <c r="G18" s="268"/>
      <c r="H18" s="267" t="s">
        <v>22</v>
      </c>
      <c r="I18" s="267"/>
      <c r="J18" s="267"/>
      <c r="K18" s="268"/>
      <c r="L18" s="5"/>
    </row>
    <row r="19" spans="2:12" x14ac:dyDescent="0.3">
      <c r="B19" s="4"/>
      <c r="C19" s="15" t="s">
        <v>23</v>
      </c>
      <c r="D19" s="269" t="s">
        <v>110</v>
      </c>
      <c r="E19" s="270"/>
      <c r="F19" s="270"/>
      <c r="G19" s="270"/>
      <c r="H19" s="270"/>
      <c r="I19" s="270"/>
      <c r="J19" s="270"/>
      <c r="K19" s="271"/>
      <c r="L19" s="5"/>
    </row>
    <row r="20" spans="2:12" x14ac:dyDescent="0.3">
      <c r="B20" s="4"/>
      <c r="C20" s="7" t="s">
        <v>24</v>
      </c>
      <c r="D20" s="251"/>
      <c r="E20" s="252"/>
      <c r="F20" s="252"/>
      <c r="G20" s="252"/>
      <c r="H20" s="252"/>
      <c r="I20" s="252"/>
      <c r="J20" s="252"/>
      <c r="K20" s="253"/>
      <c r="L20" s="5"/>
    </row>
    <row r="21" spans="2:12" x14ac:dyDescent="0.3">
      <c r="B21" s="4"/>
      <c r="C21" s="7" t="s">
        <v>25</v>
      </c>
      <c r="D21" s="251" t="s">
        <v>114</v>
      </c>
      <c r="E21" s="253"/>
      <c r="F21" s="7" t="s">
        <v>57</v>
      </c>
      <c r="G21" s="16" t="s">
        <v>115</v>
      </c>
      <c r="H21" s="7" t="s">
        <v>26</v>
      </c>
      <c r="I21" s="8" t="s">
        <v>116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51" t="s">
        <v>109</v>
      </c>
      <c r="E22" s="252"/>
      <c r="F22" s="252"/>
      <c r="G22" s="253"/>
      <c r="H22" s="7" t="s">
        <v>29</v>
      </c>
      <c r="I22" s="251"/>
      <c r="J22" s="252"/>
      <c r="K22" s="253"/>
      <c r="L22" s="5"/>
    </row>
    <row r="23" spans="2:12" x14ac:dyDescent="0.3">
      <c r="B23" s="4"/>
      <c r="C23" s="10" t="s">
        <v>30</v>
      </c>
      <c r="D23" s="264" t="s">
        <v>111</v>
      </c>
      <c r="E23" s="265"/>
      <c r="F23" s="265"/>
      <c r="G23" s="266"/>
      <c r="H23" s="10" t="s">
        <v>31</v>
      </c>
      <c r="I23" s="264" t="s">
        <v>11</v>
      </c>
      <c r="J23" s="265"/>
      <c r="K23" s="266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60" t="s">
        <v>21</v>
      </c>
      <c r="D27" s="260"/>
      <c r="E27" s="260"/>
      <c r="F27" s="260"/>
      <c r="G27" s="260"/>
      <c r="H27" s="260"/>
      <c r="I27" s="260"/>
      <c r="J27" s="260"/>
      <c r="K27" s="260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72" t="s">
        <v>33</v>
      </c>
      <c r="E29" s="268"/>
      <c r="F29" s="272" t="s">
        <v>34</v>
      </c>
      <c r="G29" s="268"/>
      <c r="H29" s="273" t="s">
        <v>35</v>
      </c>
      <c r="I29" s="273"/>
      <c r="J29" s="273"/>
      <c r="K29" s="274"/>
      <c r="L29" s="5"/>
    </row>
    <row r="30" spans="2:12" x14ac:dyDescent="0.3">
      <c r="B30" s="4"/>
      <c r="C30" s="17" t="s">
        <v>36</v>
      </c>
      <c r="D30" s="275" t="s">
        <v>112</v>
      </c>
      <c r="E30" s="276"/>
      <c r="F30" s="277" t="s">
        <v>117</v>
      </c>
      <c r="G30" s="278"/>
      <c r="H30" s="18" t="s">
        <v>113</v>
      </c>
      <c r="I30" s="272" t="s">
        <v>40</v>
      </c>
      <c r="J30" s="268"/>
      <c r="K30" s="6" t="s">
        <v>38</v>
      </c>
      <c r="L30" s="5"/>
    </row>
    <row r="31" spans="2:12" x14ac:dyDescent="0.3">
      <c r="B31" s="4"/>
      <c r="C31" s="17" t="s">
        <v>39</v>
      </c>
      <c r="D31" s="275" t="s">
        <v>11</v>
      </c>
      <c r="E31" s="276"/>
      <c r="F31" s="277" t="s">
        <v>11</v>
      </c>
      <c r="G31" s="278"/>
      <c r="H31" s="17" t="s">
        <v>37</v>
      </c>
      <c r="I31" s="281" t="s">
        <v>40</v>
      </c>
      <c r="J31" s="282"/>
      <c r="K31" s="7" t="s">
        <v>38</v>
      </c>
      <c r="L31" s="5"/>
    </row>
    <row r="32" spans="2:12" x14ac:dyDescent="0.3">
      <c r="B32" s="4"/>
      <c r="C32" s="17" t="s">
        <v>41</v>
      </c>
      <c r="D32" s="275" t="s">
        <v>11</v>
      </c>
      <c r="E32" s="276"/>
      <c r="F32" s="277" t="s">
        <v>11</v>
      </c>
      <c r="G32" s="278"/>
      <c r="H32" s="17" t="s">
        <v>37</v>
      </c>
      <c r="I32" s="281" t="s">
        <v>40</v>
      </c>
      <c r="J32" s="282"/>
      <c r="K32" s="7" t="s">
        <v>38</v>
      </c>
      <c r="L32" s="5"/>
    </row>
    <row r="33" spans="2:12" x14ac:dyDescent="0.3">
      <c r="B33" s="4"/>
      <c r="C33" s="19" t="s">
        <v>42</v>
      </c>
      <c r="D33" s="275" t="s">
        <v>11</v>
      </c>
      <c r="E33" s="276"/>
      <c r="F33" s="279" t="s">
        <v>11</v>
      </c>
      <c r="G33" s="280"/>
      <c r="H33" s="17" t="s">
        <v>37</v>
      </c>
      <c r="I33" s="281" t="s">
        <v>40</v>
      </c>
      <c r="J33" s="282"/>
      <c r="K33" s="7" t="s">
        <v>38</v>
      </c>
      <c r="L33" s="5"/>
    </row>
    <row r="34" spans="2:12" x14ac:dyDescent="0.3">
      <c r="B34" s="4"/>
      <c r="C34" s="283" t="s">
        <v>43</v>
      </c>
      <c r="D34" s="284"/>
      <c r="E34" s="285"/>
      <c r="F34" s="286" t="s">
        <v>117</v>
      </c>
      <c r="G34" s="287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60" t="s">
        <v>44</v>
      </c>
      <c r="D38" s="260"/>
      <c r="E38" s="260"/>
      <c r="F38" s="260"/>
      <c r="G38" s="260"/>
      <c r="H38" s="260"/>
      <c r="I38" s="260"/>
      <c r="J38" s="260"/>
      <c r="K38" s="260"/>
      <c r="L38" s="5"/>
    </row>
    <row r="39" spans="2:12" x14ac:dyDescent="0.3">
      <c r="B39" s="4"/>
      <c r="C39" s="291" t="s">
        <v>118</v>
      </c>
      <c r="D39" s="291"/>
      <c r="E39" s="291"/>
      <c r="F39" s="291"/>
      <c r="G39" s="291"/>
      <c r="H39" s="291"/>
      <c r="I39" s="291"/>
      <c r="J39" s="291"/>
      <c r="K39" s="291"/>
      <c r="L39" s="5"/>
    </row>
    <row r="40" spans="2:12" x14ac:dyDescent="0.3">
      <c r="B40" s="4"/>
      <c r="C40" s="291"/>
      <c r="D40" s="291"/>
      <c r="E40" s="291"/>
      <c r="F40" s="291"/>
      <c r="G40" s="291"/>
      <c r="H40" s="291"/>
      <c r="I40" s="291"/>
      <c r="J40" s="291"/>
      <c r="K40" s="291"/>
      <c r="L40" s="5"/>
    </row>
    <row r="41" spans="2:12" x14ac:dyDescent="0.3">
      <c r="B41" s="4"/>
      <c r="C41" s="291"/>
      <c r="D41" s="291"/>
      <c r="E41" s="291"/>
      <c r="F41" s="291"/>
      <c r="G41" s="291"/>
      <c r="H41" s="291"/>
      <c r="I41" s="291"/>
      <c r="J41" s="291"/>
      <c r="K41" s="291"/>
      <c r="L41" s="5"/>
    </row>
    <row r="42" spans="2:12" x14ac:dyDescent="0.3">
      <c r="B42" s="4"/>
      <c r="C42" s="291"/>
      <c r="D42" s="291"/>
      <c r="E42" s="291"/>
      <c r="F42" s="291"/>
      <c r="G42" s="291"/>
      <c r="H42" s="291"/>
      <c r="I42" s="291"/>
      <c r="J42" s="291"/>
      <c r="K42" s="291"/>
      <c r="L42" s="5"/>
    </row>
    <row r="43" spans="2:12" x14ac:dyDescent="0.3">
      <c r="B43" s="4"/>
      <c r="C43" s="291"/>
      <c r="D43" s="291"/>
      <c r="E43" s="291"/>
      <c r="F43" s="291"/>
      <c r="G43" s="291"/>
      <c r="H43" s="291"/>
      <c r="I43" s="291"/>
      <c r="J43" s="291"/>
      <c r="K43" s="291"/>
      <c r="L43" s="5"/>
    </row>
    <row r="44" spans="2:12" x14ac:dyDescent="0.3">
      <c r="B44" s="4"/>
      <c r="C44" s="291"/>
      <c r="D44" s="291"/>
      <c r="E44" s="291"/>
      <c r="F44" s="291"/>
      <c r="G44" s="291"/>
      <c r="H44" s="291"/>
      <c r="I44" s="291"/>
      <c r="J44" s="291"/>
      <c r="K44" s="291"/>
      <c r="L44" s="5"/>
    </row>
    <row r="45" spans="2:12" x14ac:dyDescent="0.3">
      <c r="B45" s="4"/>
      <c r="C45" s="292"/>
      <c r="D45" s="292"/>
      <c r="E45" s="292"/>
      <c r="F45" s="292"/>
      <c r="G45" s="292"/>
      <c r="H45" s="292"/>
      <c r="I45" s="292"/>
      <c r="J45" s="292"/>
      <c r="K45" s="292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88" t="s">
        <v>45</v>
      </c>
      <c r="C48" s="289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90" t="s">
        <v>46</v>
      </c>
      <c r="D51" s="290"/>
      <c r="E51" s="290"/>
      <c r="F51" s="290"/>
      <c r="H51" s="290" t="s">
        <v>47</v>
      </c>
      <c r="I51" s="290"/>
      <c r="J51" s="290"/>
      <c r="K51" s="290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196A1C4-2438-4C41-B81A-4786DA70B0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Principal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2026-04-23T21:20:43Z</cp:lastPrinted>
  <dcterms:created xsi:type="dcterms:W3CDTF">2023-09-21T21:02:20Z</dcterms:created>
  <dcterms:modified xsi:type="dcterms:W3CDTF">2026-04-29T00:22:56Z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