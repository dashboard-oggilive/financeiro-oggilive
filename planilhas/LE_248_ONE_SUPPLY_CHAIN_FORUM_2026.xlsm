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6D66D6B2-A45F-440B-9DEB-83E4EE474086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One Supply Chain" sheetId="94" r:id="rId2"/>
    <sheet name="ItensOrc" sheetId="76" state="hidden" r:id="rId3"/>
  </sheets>
  <definedNames>
    <definedName name="_xlnm._FilterDatabase" localSheetId="1" hidden="1">'One Supply Chain'!$A$1:$AF$14</definedName>
    <definedName name="_xleta.N" hidden="1" xlm="1">#NAME?</definedName>
    <definedName name="_xleta.SUM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95" l="1"/>
  <c r="D30" i="95"/>
  <c r="D31" i="95"/>
  <c r="C31" i="95"/>
  <c r="E31" i="95"/>
  <c r="F30" i="95"/>
  <c r="D29" i="95"/>
  <c r="D22" i="95" l="1"/>
  <c r="D23" i="95" s="1"/>
  <c r="C22" i="95"/>
  <c r="C23" i="95" s="1"/>
  <c r="AE36" i="94"/>
  <c r="AE35" i="94"/>
  <c r="AE34" i="94"/>
  <c r="E3" i="95"/>
  <c r="E23" i="95" l="1"/>
  <c r="F23" i="95" s="1"/>
  <c r="E29" i="95"/>
  <c r="E22" i="95"/>
  <c r="F22" i="95" s="1"/>
  <c r="F31" i="95" l="1"/>
  <c r="F29" i="95"/>
  <c r="AF23" i="94" l="1"/>
  <c r="AF30" i="94" s="1"/>
  <c r="AF28" i="94"/>
  <c r="AE25" i="94"/>
  <c r="AE26" i="94"/>
  <c r="R28" i="94"/>
  <c r="Q28" i="94"/>
  <c r="K28" i="94"/>
  <c r="Q27" i="94"/>
  <c r="K27" i="94"/>
  <c r="Q26" i="94"/>
  <c r="Q25" i="94"/>
  <c r="Q23" i="94"/>
  <c r="K23" i="94"/>
  <c r="K24" i="94" s="1"/>
  <c r="Q22" i="94"/>
  <c r="Q21" i="94"/>
  <c r="R19" i="94"/>
  <c r="Q19" i="94"/>
  <c r="K19" i="94"/>
  <c r="R18" i="94"/>
  <c r="Q18" i="94"/>
  <c r="K18" i="94"/>
  <c r="R17" i="94"/>
  <c r="Q17" i="94"/>
  <c r="K17" i="94"/>
  <c r="Q16" i="94"/>
  <c r="Q15" i="94"/>
  <c r="Z12" i="94"/>
  <c r="K29" i="94" l="1"/>
  <c r="K30" i="94"/>
  <c r="K20" i="94"/>
  <c r="V27" i="94"/>
  <c r="T27" i="94"/>
  <c r="L17" i="94"/>
  <c r="V28" i="94"/>
  <c r="L28" i="94"/>
  <c r="L27" i="94"/>
  <c r="V23" i="94"/>
  <c r="T24" i="94"/>
  <c r="L23" i="94"/>
  <c r="L24" i="94" s="1"/>
  <c r="T19" i="94"/>
  <c r="V19" i="94"/>
  <c r="L19" i="94"/>
  <c r="V18" i="94"/>
  <c r="T18" i="94"/>
  <c r="U18" i="94" s="1"/>
  <c r="L18" i="94"/>
  <c r="T17" i="94"/>
  <c r="V17" i="94"/>
  <c r="L29" i="94" l="1"/>
  <c r="T29" i="94"/>
  <c r="L20" i="94"/>
  <c r="L30" i="94"/>
  <c r="T20" i="94"/>
  <c r="T30" i="94"/>
  <c r="AA17" i="94"/>
  <c r="Z18" i="94"/>
  <c r="M18" i="94"/>
  <c r="U19" i="94"/>
  <c r="W19" i="94" s="1"/>
  <c r="X19" i="94" s="1"/>
  <c r="U27" i="94"/>
  <c r="U23" i="94"/>
  <c r="U24" i="94" s="1"/>
  <c r="U17" i="94"/>
  <c r="M17" i="94"/>
  <c r="U28" i="94"/>
  <c r="M23" i="94"/>
  <c r="M24" i="94" s="1"/>
  <c r="M28" i="94"/>
  <c r="M27" i="94"/>
  <c r="M19" i="94"/>
  <c r="W18" i="94"/>
  <c r="X18" i="94" s="1"/>
  <c r="M29" i="94" l="1"/>
  <c r="U29" i="94"/>
  <c r="U20" i="94"/>
  <c r="U30" i="94"/>
  <c r="M20" i="94"/>
  <c r="M30" i="94"/>
  <c r="N18" i="94"/>
  <c r="Z19" i="94"/>
  <c r="AA27" i="94"/>
  <c r="AA28" i="94"/>
  <c r="Z23" i="94"/>
  <c r="W23" i="94"/>
  <c r="X23" i="94" s="1"/>
  <c r="W17" i="94"/>
  <c r="X17" i="94" s="1"/>
  <c r="Z17" i="94"/>
  <c r="W27" i="94"/>
  <c r="X27" i="94" s="1"/>
  <c r="AE27" i="94" s="1"/>
  <c r="Z27" i="94"/>
  <c r="N23" i="94"/>
  <c r="N24" i="94" s="1"/>
  <c r="Z28" i="94"/>
  <c r="W28" i="94"/>
  <c r="X28" i="94" s="1"/>
  <c r="AE28" i="94" s="1"/>
  <c r="N28" i="94"/>
  <c r="N19" i="94"/>
  <c r="N17" i="94"/>
  <c r="Y18" i="94"/>
  <c r="AA18" i="94"/>
  <c r="AA19" i="94"/>
  <c r="AA23" i="94"/>
  <c r="N27" i="94"/>
  <c r="Y19" i="94"/>
  <c r="X24" i="94" l="1"/>
  <c r="Y24" i="94" s="1"/>
  <c r="AE23" i="94"/>
  <c r="AE30" i="94" s="1"/>
  <c r="N29" i="94"/>
  <c r="X29" i="94"/>
  <c r="Y29" i="94" s="1"/>
  <c r="X20" i="94"/>
  <c r="Y20" i="94" s="1"/>
  <c r="X30" i="94"/>
  <c r="N30" i="94"/>
  <c r="N20" i="94"/>
  <c r="Y17" i="94"/>
  <c r="Y27" i="94"/>
  <c r="Y23" i="94"/>
  <c r="Y28" i="94"/>
  <c r="Y30" i="94" l="1"/>
  <c r="Z30" i="94" s="1"/>
  <c r="AA30" i="94" s="1"/>
</calcChain>
</file>

<file path=xl/sharedStrings.xml><?xml version="1.0" encoding="utf-8"?>
<sst xmlns="http://schemas.openxmlformats.org/spreadsheetml/2006/main" count="195" uniqueCount="129">
  <si>
    <t>Oggi Comunicação e Eventos</t>
  </si>
  <si>
    <t>CUSTOS (valor de custo c/ NF ou recibo)</t>
  </si>
  <si>
    <t>DIFERENÇA NF (Lucro)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</si>
  <si>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</si>
  <si>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</si>
  <si>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</si>
  <si>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</si>
  <si>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</si>
  <si>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</si>
  <si>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</si>
  <si>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Valor</t>
  </si>
  <si>
    <t>TOTAL</t>
  </si>
  <si>
    <t>Descrição</t>
  </si>
  <si>
    <t>ENCARGOS PUBLI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</si>
  <si>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</si>
  <si>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</si>
  <si>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</si>
  <si>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</si>
  <si>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</si>
  <si>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</si>
  <si>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</si>
  <si>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</si>
  <si>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</si>
  <si>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</si>
  <si>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</si>
  <si>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</si>
  <si>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</si>
  <si>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</si>
  <si>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</si>
  <si>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</si>
  <si>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</si>
  <si>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</si>
  <si>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</si>
  <si>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</si>
  <si>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</si>
  <si>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</si>
  <si>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</si>
  <si>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</si>
  <si>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</si>
  <si>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</si>
  <si>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</si>
  <si>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</si>
  <si>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</si>
  <si>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</si>
  <si>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</si>
  <si>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</si>
  <si>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</si>
  <si>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</si>
  <si>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</si>
  <si>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</si>
  <si>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</si>
  <si>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</si>
  <si>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</si>
  <si>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</si>
  <si>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</si>
  <si>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</si>
  <si>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</si>
  <si>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</si>
  <si>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</si>
  <si>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</si>
  <si>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</si>
  <si>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</si>
  <si>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</si>
  <si>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</si>
  <si>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</si>
  <si>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</si>
  <si>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1.1.3</t>
  </si>
  <si>
    <t>Criação</t>
  </si>
  <si>
    <t>INTERNO</t>
  </si>
  <si>
    <t>FAT.OGGI</t>
  </si>
  <si>
    <t>SUBTOTAL SUBGRUPO</t>
  </si>
  <si>
    <t>2.1</t>
  </si>
  <si>
    <t>INTERNOS</t>
  </si>
  <si>
    <t>2.1.1</t>
  </si>
  <si>
    <t>OPERACIONAL</t>
  </si>
  <si>
    <t>FAT.CLIENTE</t>
  </si>
  <si>
    <t>5.1</t>
  </si>
  <si>
    <t>SUBTOTAL PLANILHA</t>
  </si>
  <si>
    <t>Marg. Lucro</t>
  </si>
  <si>
    <t>Lucro</t>
  </si>
  <si>
    <t>Produtor financeiro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</si>
  <si>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</si>
  <si>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</si>
  <si>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</si>
  <si>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</si>
  <si>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</si>
  <si>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</si>
  <si>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</si>
  <si>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</si>
  <si>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</si>
  <si>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</si>
  <si>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</si>
  <si>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 xml:space="preserve">STAFF </t>
  </si>
  <si>
    <t xml:space="preserve">Subtotal STAFF </t>
  </si>
  <si>
    <t xml:space="preserve">LOGISTICA / OPERACIONAL </t>
  </si>
  <si>
    <t xml:space="preserve">Custos operacionais </t>
  </si>
  <si>
    <t xml:space="preserve">Subtotal LOGISTICA / OPERACIONAL </t>
  </si>
  <si>
    <t>1.1.1</t>
  </si>
  <si>
    <t>5.1.1</t>
  </si>
  <si>
    <t xml:space="preserve">Coordenador </t>
  </si>
  <si>
    <t>Resp. pela interface de atendimento junto ao cliente, elaboração de plano estratégico para briefing interno da agencia após reunião de Brainstorming,  alinhamentos gerais, fluxo interno, alterações e condução de pauta.</t>
  </si>
  <si>
    <t>Produtor responsável por fechamento de contratos, pagamentos, emissão de notas e recibos;</t>
  </si>
  <si>
    <t>Coordenador para acompanhamento do evento;</t>
  </si>
  <si>
    <t>Reajustes no KV já existente</t>
  </si>
  <si>
    <t xml:space="preserve">Hospedagem </t>
  </si>
  <si>
    <t xml:space="preserve">Hospedagem no local do evento </t>
  </si>
  <si>
    <t>5.1.3</t>
  </si>
  <si>
    <t xml:space="preserve">Verba prevista para custos internos, alimentação de produtor, logistíca para envento, dentre outros </t>
  </si>
  <si>
    <t>LE_248_One Supply Chain Forum 2026 - Ambeve</t>
  </si>
  <si>
    <t xml:space="preserve">ATIBAIA </t>
  </si>
  <si>
    <t xml:space="preserve">25 A 27 DE MAIO </t>
  </si>
  <si>
    <t>One Supply Chain Forum 2026</t>
  </si>
  <si>
    <t xml:space="preserve">NILSON MIGUEL </t>
  </si>
  <si>
    <t>TOTAL One Supply Chain</t>
  </si>
  <si>
    <t xml:space="preserve">Atendimento/Produção </t>
  </si>
  <si>
    <t>MARCELO - CLAUDIA</t>
  </si>
  <si>
    <t>GIOVANNI</t>
  </si>
  <si>
    <t>MARCELO</t>
  </si>
  <si>
    <t>VÍDEO</t>
  </si>
  <si>
    <t>STUDIO ROCA</t>
  </si>
  <si>
    <t>VENDA</t>
  </si>
  <si>
    <t xml:space="preserve">CUSTO </t>
  </si>
  <si>
    <t>LUCRO</t>
  </si>
  <si>
    <t>NOTAS EMITIDAS</t>
  </si>
  <si>
    <t>IMPOSTO</t>
  </si>
  <si>
    <t>CUSTO TOTAL</t>
  </si>
  <si>
    <t>ONE SUPPLY CHAIN</t>
  </si>
  <si>
    <t>NOTA DE DÉBITO 257</t>
  </si>
  <si>
    <t>NOTA FISCAL 2927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</si>
</sst>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Trebuchet MS"/>
      <family val="2"/>
    </font>
    <font>
      <sz val="16"/>
      <name val="Calibri"/>
      <family val="2"/>
      <scheme val="minor"/>
    </font>
    <font>
      <b/>
      <sz val="16"/>
      <name val="Trebuchet MS"/>
      <family val="2"/>
    </font>
    <font>
      <b/>
      <sz val="16"/>
      <name val="Calibri"/>
      <family val="2"/>
      <scheme val="minor"/>
    </font>
    <font>
      <b/>
      <sz val="11"/>
      <name val="Trebuchet MS"/>
      <family val="2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7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4">
    <xf numFmtId="0" fontId="0" fillId="0" borderId="0" xfId="0"/>
    <xf numFmtId="49" fontId="0" fillId="0" borderId="0" xfId="0" applyNumberFormat="1"/>
    <xf numFmtId="0" fontId="0" fillId="0" borderId="0" xfId="1" applyNumberFormat="1" applyFont="1"/>
    <xf numFmtId="0" fontId="11" fillId="0" borderId="0" xfId="0" applyFont="1"/>
    <xf numFmtId="165" fontId="8" fillId="5" borderId="16" xfId="4" applyFont="1" applyFill="1" applyBorder="1" applyAlignment="1">
      <alignment horizontal="center" vertical="center" wrapText="1"/>
    </xf>
    <xf numFmtId="168" fontId="2" fillId="0" borderId="3" xfId="1" applyNumberFormat="1" applyFont="1" applyBorder="1"/>
    <xf numFmtId="0" fontId="12" fillId="4" borderId="0" xfId="0" applyFont="1" applyFill="1"/>
    <xf numFmtId="49" fontId="12" fillId="4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166" fontId="8" fillId="0" borderId="17" xfId="4" applyNumberFormat="1" applyFont="1" applyBorder="1" applyAlignment="1">
      <alignment horizontal="center" vertical="center" wrapText="1"/>
    </xf>
    <xf numFmtId="0" fontId="13" fillId="6" borderId="19" xfId="0" applyFont="1" applyFill="1" applyBorder="1" applyAlignment="1">
      <alignment vertical="center"/>
    </xf>
    <xf numFmtId="0" fontId="15" fillId="6" borderId="19" xfId="0" applyFont="1" applyFill="1" applyBorder="1" applyAlignment="1">
      <alignment horizontal="center" vertical="center"/>
    </xf>
    <xf numFmtId="22" fontId="13" fillId="6" borderId="19" xfId="0" applyNumberFormat="1" applyFont="1" applyFill="1" applyBorder="1" applyAlignment="1">
      <alignment horizontal="center" vertical="center"/>
    </xf>
    <xf numFmtId="0" fontId="17" fillId="6" borderId="20" xfId="0" applyFont="1" applyFill="1" applyBorder="1" applyAlignment="1">
      <alignment horizontal="center" vertical="center" wrapText="1"/>
    </xf>
    <xf numFmtId="0" fontId="17" fillId="6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22" xfId="0" applyFont="1" applyBorder="1" applyAlignment="1">
      <alignment horizontal="left" vertical="center" wrapText="1"/>
    </xf>
    <xf numFmtId="0" fontId="20" fillId="0" borderId="22" xfId="0" applyFont="1" applyBorder="1" applyAlignment="1">
      <alignment horizontal="left" vertical="center"/>
    </xf>
    <xf numFmtId="49" fontId="20" fillId="0" borderId="23" xfId="0" applyNumberFormat="1" applyFont="1" applyBorder="1" applyAlignment="1">
      <alignment horizontal="left" vertical="center"/>
    </xf>
    <xf numFmtId="0" fontId="20" fillId="0" borderId="24" xfId="0" applyFont="1" applyBorder="1" applyAlignment="1">
      <alignment horizontal="left" vertical="center"/>
    </xf>
    <xf numFmtId="10" fontId="8" fillId="5" borderId="25" xfId="5" applyNumberFormat="1" applyFont="1" applyFill="1" applyBorder="1" applyAlignment="1">
      <alignment horizontal="center" vertical="center" wrapText="1"/>
    </xf>
    <xf numFmtId="10" fontId="8" fillId="5" borderId="26" xfId="5" applyNumberFormat="1" applyFont="1" applyFill="1" applyBorder="1" applyAlignment="1">
      <alignment horizontal="center" vertical="center" wrapText="1"/>
    </xf>
    <xf numFmtId="166" fontId="22" fillId="5" borderId="28" xfId="4" applyNumberFormat="1" applyFont="1" applyFill="1" applyBorder="1" applyAlignment="1">
      <alignment horizontal="center" vertical="center" wrapText="1"/>
    </xf>
    <xf numFmtId="166" fontId="23" fillId="5" borderId="29" xfId="4" applyNumberFormat="1" applyFont="1" applyFill="1" applyBorder="1" applyAlignment="1">
      <alignment horizontal="center" vertical="center" wrapText="1"/>
    </xf>
    <xf numFmtId="10" fontId="21" fillId="5" borderId="31" xfId="1" applyNumberFormat="1" applyFont="1" applyFill="1" applyBorder="1" applyAlignment="1">
      <alignment horizontal="center" vertical="center" wrapText="1"/>
    </xf>
    <xf numFmtId="0" fontId="21" fillId="5" borderId="31" xfId="3" applyFont="1" applyFill="1" applyBorder="1" applyAlignment="1">
      <alignment horizontal="center" vertical="center"/>
    </xf>
    <xf numFmtId="169" fontId="21" fillId="5" borderId="31" xfId="3" applyNumberFormat="1" applyFont="1" applyFill="1" applyBorder="1" applyAlignment="1">
      <alignment horizontal="center" vertical="center" wrapText="1"/>
    </xf>
    <xf numFmtId="0" fontId="21" fillId="5" borderId="32" xfId="3" applyFont="1" applyFill="1" applyBorder="1" applyAlignment="1">
      <alignment horizontal="center" vertical="center" wrapText="1"/>
    </xf>
    <xf numFmtId="37" fontId="8" fillId="5" borderId="30" xfId="3" applyNumberFormat="1" applyFont="1" applyFill="1" applyBorder="1" applyAlignment="1">
      <alignment horizontal="center" vertical="center"/>
    </xf>
    <xf numFmtId="37" fontId="8" fillId="5" borderId="31" xfId="3" applyNumberFormat="1" applyFont="1" applyFill="1" applyBorder="1" applyAlignment="1">
      <alignment horizontal="center" vertical="center"/>
    </xf>
    <xf numFmtId="40" fontId="8" fillId="5" borderId="31" xfId="4" applyNumberFormat="1" applyFont="1" applyFill="1" applyBorder="1" applyAlignment="1">
      <alignment horizontal="center" vertical="center"/>
    </xf>
    <xf numFmtId="165" fontId="8" fillId="5" borderId="31" xfId="4" applyFont="1" applyFill="1" applyBorder="1" applyAlignment="1">
      <alignment horizontal="right" vertical="center"/>
    </xf>
    <xf numFmtId="40" fontId="8" fillId="5" borderId="31" xfId="4" applyNumberFormat="1" applyFont="1" applyFill="1" applyBorder="1" applyAlignment="1">
      <alignment horizontal="center" vertical="center" wrapText="1"/>
    </xf>
    <xf numFmtId="10" fontId="8" fillId="5" borderId="31" xfId="5" applyNumberFormat="1" applyFont="1" applyFill="1" applyBorder="1" applyAlignment="1">
      <alignment horizontal="center" vertical="center" wrapText="1"/>
    </xf>
    <xf numFmtId="165" fontId="8" fillId="5" borderId="31" xfId="4" applyFont="1" applyFill="1" applyBorder="1" applyAlignment="1">
      <alignment horizontal="center" vertical="center" wrapText="1"/>
    </xf>
    <xf numFmtId="165" fontId="8" fillId="5" borderId="32" xfId="4" applyFont="1" applyFill="1" applyBorder="1" applyAlignment="1">
      <alignment horizontal="center" vertical="center" wrapText="1"/>
    </xf>
    <xf numFmtId="0" fontId="20" fillId="0" borderId="33" xfId="0" applyFont="1" applyBorder="1" applyAlignment="1">
      <alignment horizontal="left" vertical="center" wrapText="1"/>
    </xf>
    <xf numFmtId="0" fontId="20" fillId="0" borderId="34" xfId="0" applyFont="1" applyBorder="1" applyAlignment="1">
      <alignment horizontal="left" vertical="center" wrapText="1"/>
    </xf>
    <xf numFmtId="0" fontId="20" fillId="0" borderId="36" xfId="0" applyFont="1" applyBorder="1" applyAlignment="1">
      <alignment horizontal="left" vertical="center" wrapText="1"/>
    </xf>
    <xf numFmtId="0" fontId="20" fillId="0" borderId="24" xfId="0" applyFont="1" applyBorder="1" applyAlignment="1">
      <alignment horizontal="left" vertical="center" wrapText="1"/>
    </xf>
    <xf numFmtId="49" fontId="20" fillId="0" borderId="23" xfId="0" applyNumberFormat="1" applyFont="1" applyBorder="1" applyAlignment="1">
      <alignment horizontal="left" vertical="center" wrapText="1"/>
    </xf>
    <xf numFmtId="0" fontId="2" fillId="9" borderId="37" xfId="0" applyFont="1" applyFill="1" applyBorder="1" applyAlignment="1">
      <alignment horizontal="center" vertical="center"/>
    </xf>
    <xf numFmtId="44" fontId="20" fillId="0" borderId="37" xfId="8" applyFont="1" applyBorder="1" applyAlignment="1">
      <alignment vertical="center"/>
    </xf>
    <xf numFmtId="44" fontId="20" fillId="10" borderId="5" xfId="8" applyFont="1" applyFill="1" applyBorder="1" applyAlignment="1">
      <alignment vertical="center"/>
    </xf>
    <xf numFmtId="9" fontId="20" fillId="11" borderId="5" xfId="1" applyFont="1" applyFill="1" applyBorder="1" applyAlignment="1">
      <alignment vertical="center"/>
    </xf>
    <xf numFmtId="44" fontId="20" fillId="11" borderId="5" xfId="8" applyFont="1" applyFill="1" applyBorder="1" applyAlignment="1">
      <alignment vertical="center"/>
    </xf>
    <xf numFmtId="44" fontId="20" fillId="12" borderId="5" xfId="8" applyFont="1" applyFill="1" applyBorder="1" applyAlignment="1">
      <alignment vertical="center"/>
    </xf>
    <xf numFmtId="10" fontId="20" fillId="12" borderId="37" xfId="0" applyNumberFormat="1" applyFont="1" applyFill="1" applyBorder="1" applyAlignment="1">
      <alignment horizontal="center" vertical="center"/>
    </xf>
    <xf numFmtId="0" fontId="20" fillId="0" borderId="38" xfId="0" applyFont="1" applyBorder="1" applyAlignment="1">
      <alignment horizontal="left" vertical="center" wrapText="1"/>
    </xf>
    <xf numFmtId="44" fontId="20" fillId="0" borderId="38" xfId="8" applyFont="1" applyBorder="1" applyAlignment="1">
      <alignment vertical="center"/>
    </xf>
    <xf numFmtId="0" fontId="20" fillId="0" borderId="38" xfId="0" applyFont="1" applyBorder="1" applyAlignment="1">
      <alignment horizontal="center" vertical="center"/>
    </xf>
    <xf numFmtId="44" fontId="20" fillId="0" borderId="29" xfId="8" applyFont="1" applyBorder="1" applyAlignment="1">
      <alignment vertical="center"/>
    </xf>
    <xf numFmtId="0" fontId="2" fillId="9" borderId="7" xfId="0" applyFont="1" applyFill="1" applyBorder="1" applyAlignment="1">
      <alignment horizontal="center" vertical="center"/>
    </xf>
    <xf numFmtId="10" fontId="20" fillId="12" borderId="7" xfId="0" applyNumberFormat="1" applyFont="1" applyFill="1" applyBorder="1" applyAlignment="1">
      <alignment horizontal="center" vertical="center"/>
    </xf>
    <xf numFmtId="44" fontId="20" fillId="0" borderId="41" xfId="8" applyFont="1" applyBorder="1" applyAlignment="1">
      <alignment vertical="center"/>
    </xf>
    <xf numFmtId="44" fontId="20" fillId="11" borderId="41" xfId="8" applyFont="1" applyFill="1" applyBorder="1" applyAlignment="1">
      <alignment vertical="center"/>
    </xf>
    <xf numFmtId="0" fontId="20" fillId="0" borderId="3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20" fillId="12" borderId="0" xfId="0" applyNumberFormat="1" applyFont="1" applyFill="1" applyAlignment="1">
      <alignment horizontal="center" vertical="center"/>
    </xf>
    <xf numFmtId="44" fontId="20" fillId="11" borderId="37" xfId="8" applyFont="1" applyFill="1" applyBorder="1" applyAlignment="1">
      <alignment vertical="center"/>
    </xf>
    <xf numFmtId="1" fontId="20" fillId="10" borderId="37" xfId="0" applyNumberFormat="1" applyFont="1" applyFill="1" applyBorder="1" applyAlignment="1">
      <alignment horizontal="center" vertical="center"/>
    </xf>
    <xf numFmtId="44" fontId="20" fillId="10" borderId="37" xfId="8" applyFont="1" applyFill="1" applyBorder="1" applyAlignment="1">
      <alignment vertical="center"/>
    </xf>
    <xf numFmtId="44" fontId="20" fillId="12" borderId="37" xfId="8" applyFont="1" applyFill="1" applyBorder="1" applyAlignment="1">
      <alignment vertical="center"/>
    </xf>
    <xf numFmtId="9" fontId="20" fillId="11" borderId="37" xfId="1" applyFont="1" applyFill="1" applyBorder="1" applyAlignment="1">
      <alignment vertical="center"/>
    </xf>
    <xf numFmtId="1" fontId="20" fillId="10" borderId="40" xfId="0" applyNumberFormat="1" applyFont="1" applyFill="1" applyBorder="1" applyAlignment="1">
      <alignment horizontal="center" vertical="center"/>
    </xf>
    <xf numFmtId="10" fontId="20" fillId="12" borderId="14" xfId="0" applyNumberFormat="1" applyFont="1" applyFill="1" applyBorder="1" applyAlignment="1">
      <alignment horizontal="center" vertical="center"/>
    </xf>
    <xf numFmtId="10" fontId="20" fillId="12" borderId="38" xfId="0" applyNumberFormat="1" applyFont="1" applyFill="1" applyBorder="1" applyAlignment="1">
      <alignment horizontal="center" vertical="center"/>
    </xf>
    <xf numFmtId="164" fontId="6" fillId="0" borderId="46" xfId="2" applyNumberFormat="1" applyFont="1" applyBorder="1" applyAlignment="1" applyProtection="1">
      <alignment horizontal="left" vertical="center"/>
      <protection locked="0"/>
    </xf>
    <xf numFmtId="164" fontId="6" fillId="0" borderId="47" xfId="2" applyNumberFormat="1" applyFont="1" applyBorder="1" applyAlignment="1" applyProtection="1">
      <alignment horizontal="left" vertical="center"/>
      <protection locked="0"/>
    </xf>
    <xf numFmtId="164" fontId="6" fillId="0" borderId="48" xfId="2" applyNumberFormat="1" applyFont="1" applyBorder="1" applyAlignment="1" applyProtection="1">
      <alignment horizontal="left" vertical="center"/>
      <protection locked="0"/>
    </xf>
    <xf numFmtId="164" fontId="6" fillId="0" borderId="49" xfId="2" applyNumberFormat="1" applyFont="1" applyBorder="1" applyAlignment="1" applyProtection="1">
      <alignment horizontal="left" vertical="center"/>
      <protection locked="0"/>
    </xf>
    <xf numFmtId="164" fontId="6" fillId="0" borderId="10" xfId="2" applyNumberFormat="1" applyFont="1" applyBorder="1" applyAlignment="1" applyProtection="1">
      <alignment horizontal="left" vertical="center"/>
      <protection locked="0"/>
    </xf>
    <xf numFmtId="164" fontId="6" fillId="0" borderId="45" xfId="2" applyNumberFormat="1" applyFont="1" applyBorder="1" applyAlignment="1" applyProtection="1">
      <alignment horizontal="left" vertical="center"/>
      <protection locked="0"/>
    </xf>
    <xf numFmtId="44" fontId="20" fillId="11" borderId="38" xfId="8" applyFont="1" applyFill="1" applyBorder="1" applyAlignment="1">
      <alignment vertical="center"/>
    </xf>
    <xf numFmtId="0" fontId="25" fillId="13" borderId="50" xfId="0" applyFont="1" applyFill="1" applyBorder="1"/>
    <xf numFmtId="0" fontId="25" fillId="13" borderId="15" xfId="0" applyFont="1" applyFill="1" applyBorder="1"/>
    <xf numFmtId="0" fontId="25" fillId="13" borderId="15" xfId="0" applyFont="1" applyFill="1" applyBorder="1" applyAlignment="1">
      <alignment horizontal="center" vertical="center"/>
    </xf>
    <xf numFmtId="44" fontId="25" fillId="13" borderId="15" xfId="0" applyNumberFormat="1" applyFont="1" applyFill="1" applyBorder="1"/>
    <xf numFmtId="0" fontId="21" fillId="9" borderId="39" xfId="0" applyFont="1" applyFill="1" applyBorder="1" applyAlignment="1">
      <alignment horizontal="center" vertical="center"/>
    </xf>
    <xf numFmtId="0" fontId="21" fillId="9" borderId="44" xfId="0" applyFont="1" applyFill="1" applyBorder="1" applyAlignment="1">
      <alignment horizontal="center" vertical="center"/>
    </xf>
    <xf numFmtId="170" fontId="24" fillId="8" borderId="38" xfId="8" applyNumberFormat="1" applyFont="1" applyFill="1" applyBorder="1" applyAlignment="1">
      <alignment horizontal="right"/>
    </xf>
    <xf numFmtId="170" fontId="24" fillId="8" borderId="29" xfId="8" applyNumberFormat="1" applyFont="1" applyFill="1" applyBorder="1" applyAlignment="1">
      <alignment horizontal="right"/>
    </xf>
    <xf numFmtId="0" fontId="4" fillId="5" borderId="30" xfId="3" applyFont="1" applyFill="1" applyBorder="1" applyAlignment="1">
      <alignment horizontal="left" vertical="center"/>
    </xf>
    <xf numFmtId="0" fontId="4" fillId="5" borderId="31" xfId="3" applyFont="1" applyFill="1" applyBorder="1" applyAlignment="1">
      <alignment horizontal="center" vertical="center"/>
    </xf>
    <xf numFmtId="0" fontId="21" fillId="5" borderId="31" xfId="3" applyFont="1" applyFill="1" applyBorder="1" applyAlignment="1">
      <alignment horizontal="center" vertical="center" wrapText="1"/>
    </xf>
    <xf numFmtId="9" fontId="21" fillId="5" borderId="31" xfId="1" applyFont="1" applyFill="1" applyBorder="1" applyAlignment="1">
      <alignment horizontal="center" vertical="center" wrapText="1"/>
    </xf>
    <xf numFmtId="44" fontId="24" fillId="8" borderId="38" xfId="8" applyFont="1" applyFill="1" applyBorder="1" applyAlignment="1">
      <alignment horizontal="right"/>
    </xf>
    <xf numFmtId="44" fontId="12" fillId="12" borderId="38" xfId="8" applyFont="1" applyFill="1" applyBorder="1" applyAlignment="1">
      <alignment vertical="center"/>
    </xf>
    <xf numFmtId="44" fontId="12" fillId="11" borderId="38" xfId="8" applyFont="1" applyFill="1" applyBorder="1" applyAlignment="1">
      <alignment vertical="center"/>
    </xf>
    <xf numFmtId="44" fontId="12" fillId="11" borderId="29" xfId="8" applyFont="1" applyFill="1" applyBorder="1" applyAlignment="1">
      <alignment vertical="center"/>
    </xf>
    <xf numFmtId="9" fontId="20" fillId="11" borderId="38" xfId="1" applyFont="1" applyFill="1" applyBorder="1" applyAlignment="1">
      <alignment vertical="center"/>
    </xf>
    <xf numFmtId="0" fontId="20" fillId="0" borderId="0" xfId="0" applyFont="1" applyAlignment="1">
      <alignment horizontal="left" vertical="center" wrapText="1"/>
    </xf>
    <xf numFmtId="0" fontId="21" fillId="9" borderId="55" xfId="0" applyFont="1" applyFill="1" applyBorder="1" applyAlignment="1">
      <alignment horizontal="center" vertical="center"/>
    </xf>
    <xf numFmtId="0" fontId="21" fillId="9" borderId="31" xfId="0" applyFont="1" applyFill="1" applyBorder="1" applyAlignment="1">
      <alignment horizontal="center" vertical="center"/>
    </xf>
    <xf numFmtId="44" fontId="24" fillId="8" borderId="11" xfId="0" applyNumberFormat="1" applyFont="1" applyFill="1" applyBorder="1" applyAlignment="1">
      <alignment horizontal="right"/>
    </xf>
    <xf numFmtId="44" fontId="12" fillId="12" borderId="11" xfId="0" applyNumberFormat="1" applyFont="1" applyFill="1" applyBorder="1"/>
    <xf numFmtId="0" fontId="0" fillId="11" borderId="11" xfId="0" applyFill="1" applyBorder="1"/>
    <xf numFmtId="44" fontId="12" fillId="11" borderId="11" xfId="0" applyNumberFormat="1" applyFont="1" applyFill="1" applyBorder="1"/>
    <xf numFmtId="44" fontId="20" fillId="10" borderId="52" xfId="8" applyFont="1" applyFill="1" applyBorder="1" applyAlignment="1">
      <alignment vertical="center"/>
    </xf>
    <xf numFmtId="44" fontId="20" fillId="11" borderId="42" xfId="8" applyFont="1" applyFill="1" applyBorder="1" applyAlignment="1">
      <alignment vertical="center"/>
    </xf>
    <xf numFmtId="170" fontId="24" fillId="8" borderId="13" xfId="0" applyNumberFormat="1" applyFont="1" applyFill="1" applyBorder="1" applyAlignment="1">
      <alignment horizontal="right"/>
    </xf>
    <xf numFmtId="0" fontId="25" fillId="13" borderId="50" xfId="0" applyFont="1" applyFill="1" applyBorder="1" applyAlignment="1">
      <alignment horizontal="center" vertical="center"/>
    </xf>
    <xf numFmtId="44" fontId="26" fillId="13" borderId="57" xfId="8" applyFont="1" applyFill="1" applyBorder="1" applyAlignment="1">
      <alignment horizontal="center"/>
    </xf>
    <xf numFmtId="44" fontId="25" fillId="13" borderId="58" xfId="0" applyNumberFormat="1" applyFont="1" applyFill="1" applyBorder="1"/>
    <xf numFmtId="44" fontId="25" fillId="13" borderId="60" xfId="8" applyFont="1" applyFill="1" applyBorder="1"/>
    <xf numFmtId="49" fontId="20" fillId="0" borderId="35" xfId="0" applyNumberFormat="1" applyFont="1" applyBorder="1" applyAlignment="1">
      <alignment horizontal="left" vertical="center" wrapText="1"/>
    </xf>
    <xf numFmtId="1" fontId="20" fillId="10" borderId="12" xfId="0" applyNumberFormat="1" applyFont="1" applyFill="1" applyBorder="1" applyAlignment="1">
      <alignment horizontal="center" vertical="center"/>
    </xf>
    <xf numFmtId="1" fontId="20" fillId="10" borderId="52" xfId="0" applyNumberFormat="1" applyFont="1" applyFill="1" applyBorder="1" applyAlignment="1">
      <alignment horizontal="center" vertical="center"/>
    </xf>
    <xf numFmtId="1" fontId="20" fillId="10" borderId="5" xfId="0" applyNumberFormat="1" applyFont="1" applyFill="1" applyBorder="1" applyAlignment="1">
      <alignment horizontal="center" vertical="center"/>
    </xf>
    <xf numFmtId="1" fontId="20" fillId="10" borderId="56" xfId="0" applyNumberFormat="1" applyFont="1" applyFill="1" applyBorder="1" applyAlignment="1">
      <alignment horizontal="center" vertical="center"/>
    </xf>
    <xf numFmtId="0" fontId="21" fillId="9" borderId="59" xfId="0" applyFont="1" applyFill="1" applyBorder="1" applyAlignment="1">
      <alignment horizontal="center" vertical="center"/>
    </xf>
    <xf numFmtId="44" fontId="26" fillId="13" borderId="9" xfId="8" applyFont="1" applyFill="1" applyBorder="1" applyAlignment="1">
      <alignment horizontal="center"/>
    </xf>
    <xf numFmtId="9" fontId="25" fillId="13" borderId="11" xfId="1" applyFont="1" applyFill="1" applyBorder="1"/>
    <xf numFmtId="44" fontId="12" fillId="11" borderId="60" xfId="8" applyFont="1" applyFill="1" applyBorder="1"/>
    <xf numFmtId="44" fontId="12" fillId="11" borderId="13" xfId="8" applyFont="1" applyFill="1" applyBorder="1"/>
    <xf numFmtId="170" fontId="24" fillId="8" borderId="0" xfId="0" applyNumberFormat="1" applyFont="1" applyFill="1" applyAlignment="1">
      <alignment horizontal="right"/>
    </xf>
    <xf numFmtId="44" fontId="24" fillId="8" borderId="0" xfId="0" applyNumberFormat="1" applyFont="1" applyFill="1" applyAlignment="1">
      <alignment horizontal="right"/>
    </xf>
    <xf numFmtId="44" fontId="12" fillId="12" borderId="0" xfId="0" applyNumberFormat="1" applyFont="1" applyFill="1"/>
    <xf numFmtId="0" fontId="0" fillId="11" borderId="0" xfId="0" applyFill="1"/>
    <xf numFmtId="44" fontId="12" fillId="11" borderId="0" xfId="0" applyNumberFormat="1" applyFont="1" applyFill="1"/>
    <xf numFmtId="0" fontId="20" fillId="14" borderId="37" xfId="0" applyFont="1" applyFill="1" applyBorder="1" applyAlignment="1">
      <alignment horizontal="left" vertical="center" wrapText="1"/>
    </xf>
    <xf numFmtId="0" fontId="20" fillId="0" borderId="39" xfId="0" applyFont="1" applyBorder="1" applyAlignment="1">
      <alignment horizontal="center" vertical="center"/>
    </xf>
    <xf numFmtId="44" fontId="20" fillId="0" borderId="39" xfId="8" applyFont="1" applyBorder="1" applyAlignment="1">
      <alignment vertical="center"/>
    </xf>
    <xf numFmtId="44" fontId="20" fillId="0" borderId="44" xfId="8" applyFont="1" applyBorder="1" applyAlignment="1">
      <alignment vertical="center"/>
    </xf>
    <xf numFmtId="1" fontId="20" fillId="10" borderId="61" xfId="0" applyNumberFormat="1" applyFont="1" applyFill="1" applyBorder="1" applyAlignment="1">
      <alignment horizontal="center" vertical="center"/>
    </xf>
    <xf numFmtId="1" fontId="20" fillId="10" borderId="62" xfId="0" applyNumberFormat="1" applyFont="1" applyFill="1" applyBorder="1" applyAlignment="1">
      <alignment horizontal="center" vertical="center"/>
    </xf>
    <xf numFmtId="44" fontId="20" fillId="11" borderId="44" xfId="8" applyFont="1" applyFill="1" applyBorder="1" applyAlignment="1">
      <alignment vertical="center"/>
    </xf>
    <xf numFmtId="0" fontId="20" fillId="14" borderId="51" xfId="0" applyFont="1" applyFill="1" applyBorder="1" applyAlignment="1">
      <alignment horizontal="left" vertical="center" wrapText="1"/>
    </xf>
    <xf numFmtId="0" fontId="20" fillId="14" borderId="39" xfId="0" applyFont="1" applyFill="1" applyBorder="1" applyAlignment="1">
      <alignment horizontal="left" vertical="center" wrapText="1"/>
    </xf>
    <xf numFmtId="44" fontId="20" fillId="10" borderId="62" xfId="8" applyFont="1" applyFill="1" applyBorder="1" applyAlignment="1">
      <alignment horizontal="center" vertical="center"/>
    </xf>
    <xf numFmtId="4" fontId="0" fillId="0" borderId="0" xfId="0" applyNumberFormat="1"/>
    <xf numFmtId="0" fontId="20" fillId="14" borderId="40" xfId="0" applyFont="1" applyFill="1" applyBorder="1" applyAlignment="1">
      <alignment horizontal="left" vertical="center" wrapText="1"/>
    </xf>
    <xf numFmtId="0" fontId="20" fillId="14" borderId="28" xfId="0" applyFont="1" applyFill="1" applyBorder="1" applyAlignment="1">
      <alignment horizontal="left" vertical="center" wrapText="1"/>
    </xf>
    <xf numFmtId="44" fontId="27" fillId="0" borderId="37" xfId="8" applyFont="1" applyBorder="1"/>
    <xf numFmtId="44" fontId="28" fillId="0" borderId="37" xfId="8" applyFont="1" applyBorder="1"/>
    <xf numFmtId="0" fontId="2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16" fontId="20" fillId="15" borderId="8" xfId="0" applyNumberFormat="1" applyFont="1" applyFill="1" applyBorder="1"/>
    <xf numFmtId="16" fontId="20" fillId="15" borderId="9" xfId="0" applyNumberFormat="1" applyFont="1" applyFill="1" applyBorder="1"/>
    <xf numFmtId="16" fontId="20" fillId="16" borderId="10" xfId="0" applyNumberFormat="1" applyFont="1" applyFill="1" applyBorder="1"/>
    <xf numFmtId="16" fontId="20" fillId="16" borderId="11" xfId="0" applyNumberFormat="1" applyFont="1" applyFill="1" applyBorder="1"/>
    <xf numFmtId="0" fontId="20" fillId="17" borderId="12" xfId="0" applyFont="1" applyFill="1" applyBorder="1" applyAlignment="1">
      <alignment horizontal="right"/>
    </xf>
    <xf numFmtId="0" fontId="20" fillId="17" borderId="0" xfId="0" applyFont="1" applyFill="1" applyAlignment="1">
      <alignment horizontal="right"/>
    </xf>
    <xf numFmtId="0" fontId="30" fillId="18" borderId="10" xfId="0" applyFont="1" applyFill="1" applyBorder="1"/>
    <xf numFmtId="0" fontId="30" fillId="18" borderId="11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21" fillId="19" borderId="37" xfId="0" applyFont="1" applyFill="1" applyBorder="1" applyAlignment="1">
      <alignment horizontal="center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44" fontId="21" fillId="0" borderId="37" xfId="0" applyNumberFormat="1" applyFont="1" applyBorder="1"/>
    <xf numFmtId="9" fontId="21" fillId="0" borderId="37" xfId="1" applyFont="1" applyBorder="1" applyAlignment="1">
      <alignment horizontal="center"/>
    </xf>
    <xf numFmtId="44" fontId="21" fillId="19" borderId="37" xfId="0" applyNumberFormat="1" applyFont="1" applyFill="1" applyBorder="1" applyAlignment="1">
      <alignment horizontal="center"/>
    </xf>
    <xf numFmtId="0" fontId="21" fillId="0" borderId="27" xfId="0" applyFont="1" applyBorder="1"/>
    <xf numFmtId="170" fontId="21" fillId="0" borderId="43" xfId="0" applyNumberFormat="1" applyFont="1" applyBorder="1" applyAlignment="1">
      <alignment horizontal="center"/>
    </xf>
    <xf numFmtId="44" fontId="21" fillId="0" borderId="43" xfId="0" applyNumberFormat="1" applyFont="1" applyBorder="1"/>
    <xf numFmtId="170" fontId="21" fillId="0" borderId="43" xfId="0" applyNumberFormat="1" applyFont="1" applyBorder="1"/>
    <xf numFmtId="9" fontId="21" fillId="0" borderId="26" xfId="1" applyFont="1" applyBorder="1" applyAlignment="1">
      <alignment horizontal="center"/>
    </xf>
    <xf numFmtId="0" fontId="21" fillId="0" borderId="0" xfId="0" applyFont="1"/>
    <xf numFmtId="170" fontId="21" fillId="19" borderId="39" xfId="0" applyNumberFormat="1" applyFont="1" applyFill="1" applyBorder="1" applyAlignment="1">
      <alignment horizontal="center"/>
    </xf>
    <xf numFmtId="44" fontId="21" fillId="19" borderId="37" xfId="0" applyNumberFormat="1" applyFont="1" applyFill="1" applyBorder="1"/>
    <xf numFmtId="170" fontId="21" fillId="19" borderId="37" xfId="0" applyNumberFormat="1" applyFont="1" applyFill="1" applyBorder="1"/>
    <xf numFmtId="9" fontId="21" fillId="0" borderId="63" xfId="1" applyFont="1" applyBorder="1" applyAlignment="1">
      <alignment horizontal="center"/>
    </xf>
    <xf numFmtId="0" fontId="31" fillId="0" borderId="0" xfId="0" applyFont="1"/>
    <xf numFmtId="0" fontId="32" fillId="0" borderId="0" xfId="0" applyFont="1" applyAlignment="1">
      <alignment horizontal="left"/>
    </xf>
    <xf numFmtId="44" fontId="31" fillId="0" borderId="0" xfId="0" applyNumberFormat="1" applyFont="1"/>
    <xf numFmtId="9" fontId="33" fillId="0" borderId="0" xfId="1" applyFont="1"/>
    <xf numFmtId="0" fontId="33" fillId="0" borderId="0" xfId="0" applyFont="1"/>
    <xf numFmtId="164" fontId="34" fillId="0" borderId="46" xfId="2" applyNumberFormat="1" applyFont="1" applyBorder="1" applyAlignment="1" applyProtection="1">
      <alignment horizontal="left" vertical="center"/>
      <protection locked="0"/>
    </xf>
    <xf numFmtId="164" fontId="34" fillId="0" borderId="47" xfId="2" applyNumberFormat="1" applyFont="1" applyBorder="1" applyAlignment="1" applyProtection="1">
      <alignment horizontal="left" vertical="center"/>
      <protection locked="0"/>
    </xf>
    <xf numFmtId="164" fontId="34" fillId="0" borderId="48" xfId="2" applyNumberFormat="1" applyFont="1" applyBorder="1" applyAlignment="1" applyProtection="1">
      <alignment horizontal="left" vertical="center"/>
      <protection locked="0"/>
    </xf>
    <xf numFmtId="164" fontId="34" fillId="0" borderId="49" xfId="2" applyNumberFormat="1" applyFont="1" applyBorder="1" applyAlignment="1" applyProtection="1">
      <alignment horizontal="left" vertical="center"/>
      <protection locked="0"/>
    </xf>
    <xf numFmtId="164" fontId="34" fillId="0" borderId="10" xfId="2" applyNumberFormat="1" applyFont="1" applyBorder="1" applyAlignment="1" applyProtection="1">
      <alignment horizontal="left" vertical="center"/>
      <protection locked="0"/>
    </xf>
    <xf numFmtId="164" fontId="34" fillId="0" borderId="45" xfId="2" applyNumberFormat="1" applyFont="1" applyBorder="1" applyAlignment="1" applyProtection="1">
      <alignment horizontal="left" vertical="center"/>
      <protection locked="0"/>
    </xf>
    <xf numFmtId="44" fontId="20" fillId="0" borderId="59" xfId="0" applyNumberFormat="1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1" fillId="19" borderId="50" xfId="0" applyFont="1" applyFill="1" applyBorder="1" applyAlignment="1">
      <alignment horizontal="center"/>
    </xf>
    <xf numFmtId="0" fontId="21" fillId="19" borderId="15" xfId="0" applyFont="1" applyFill="1" applyBorder="1" applyAlignment="1">
      <alignment horizontal="center"/>
    </xf>
    <xf numFmtId="0" fontId="21" fillId="19" borderId="58" xfId="0" applyFont="1" applyFill="1" applyBorder="1" applyAlignment="1">
      <alignment horizontal="center"/>
    </xf>
    <xf numFmtId="0" fontId="24" fillId="8" borderId="53" xfId="0" applyFont="1" applyFill="1" applyBorder="1" applyAlignment="1">
      <alignment horizontal="left"/>
    </xf>
    <xf numFmtId="0" fontId="24" fillId="8" borderId="6" xfId="0" applyFont="1" applyFill="1" applyBorder="1" applyAlignment="1">
      <alignment horizontal="left"/>
    </xf>
    <xf numFmtId="0" fontId="24" fillId="7" borderId="50" xfId="0" applyFont="1" applyFill="1" applyBorder="1" applyAlignment="1">
      <alignment horizontal="center"/>
    </xf>
    <xf numFmtId="0" fontId="24" fillId="7" borderId="15" xfId="0" applyFont="1" applyFill="1" applyBorder="1" applyAlignment="1">
      <alignment horizontal="center"/>
    </xf>
    <xf numFmtId="0" fontId="24" fillId="7" borderId="58" xfId="0" applyFont="1" applyFill="1" applyBorder="1" applyAlignment="1">
      <alignment horizontal="center"/>
    </xf>
    <xf numFmtId="0" fontId="24" fillId="7" borderId="8" xfId="0" applyFont="1" applyFill="1" applyBorder="1" applyAlignment="1">
      <alignment horizontal="center"/>
    </xf>
    <xf numFmtId="0" fontId="24" fillId="7" borderId="9" xfId="0" applyFont="1" applyFill="1" applyBorder="1" applyAlignment="1">
      <alignment horizontal="center"/>
    </xf>
    <xf numFmtId="0" fontId="24" fillId="7" borderId="59" xfId="0" applyFont="1" applyFill="1" applyBorder="1" applyAlignment="1">
      <alignment horizontal="center"/>
    </xf>
    <xf numFmtId="0" fontId="24" fillId="8" borderId="8" xfId="0" applyFont="1" applyFill="1" applyBorder="1" applyAlignment="1">
      <alignment horizontal="left"/>
    </xf>
    <xf numFmtId="0" fontId="24" fillId="8" borderId="9" xfId="0" applyFont="1" applyFill="1" applyBorder="1" applyAlignment="1">
      <alignment horizontal="left"/>
    </xf>
    <xf numFmtId="0" fontId="24" fillId="8" borderId="54" xfId="0" applyFont="1" applyFill="1" applyBorder="1" applyAlignment="1">
      <alignment horizontal="left"/>
    </xf>
    <xf numFmtId="0" fontId="24" fillId="8" borderId="59" xfId="0" applyFont="1" applyFill="1" applyBorder="1" applyAlignment="1">
      <alignment horizontal="left"/>
    </xf>
    <xf numFmtId="0" fontId="24" fillId="7" borderId="12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24" fillId="7" borderId="13" xfId="0" applyFont="1" applyFill="1" applyBorder="1" applyAlignment="1">
      <alignment horizontal="center"/>
    </xf>
    <xf numFmtId="0" fontId="24" fillId="8" borderId="12" xfId="0" applyFont="1" applyFill="1" applyBorder="1" applyAlignment="1">
      <alignment horizontal="left"/>
    </xf>
    <xf numFmtId="0" fontId="24" fillId="8" borderId="0" xfId="0" applyFont="1" applyFill="1" applyAlignment="1">
      <alignment horizontal="left"/>
    </xf>
    <xf numFmtId="0" fontId="24" fillId="8" borderId="10" xfId="0" applyFont="1" applyFill="1" applyBorder="1" applyAlignment="1">
      <alignment horizontal="left"/>
    </xf>
    <xf numFmtId="0" fontId="24" fillId="8" borderId="11" xfId="0" applyFont="1" applyFill="1" applyBorder="1" applyAlignment="1">
      <alignment horizontal="left"/>
    </xf>
    <xf numFmtId="166" fontId="8" fillId="0" borderId="17" xfId="4" applyNumberFormat="1" applyFont="1" applyBorder="1" applyAlignment="1">
      <alignment horizontal="center" vertical="center" wrapText="1"/>
    </xf>
    <xf numFmtId="166" fontId="8" fillId="0" borderId="18" xfId="4" applyNumberFormat="1" applyFont="1" applyBorder="1" applyAlignment="1">
      <alignment horizontal="center" vertical="center" wrapText="1"/>
    </xf>
    <xf numFmtId="0" fontId="24" fillId="7" borderId="27" xfId="0" applyFont="1" applyFill="1" applyBorder="1" applyAlignment="1">
      <alignment horizontal="center"/>
    </xf>
    <xf numFmtId="0" fontId="24" fillId="7" borderId="43" xfId="0" applyFont="1" applyFill="1" applyBorder="1" applyAlignment="1">
      <alignment horizontal="center"/>
    </xf>
    <xf numFmtId="0" fontId="24" fillId="7" borderId="26" xfId="0" applyFont="1" applyFill="1" applyBorder="1" applyAlignment="1">
      <alignment horizontal="center"/>
    </xf>
    <xf numFmtId="1" fontId="24" fillId="7" borderId="27" xfId="0" applyNumberFormat="1" applyFont="1" applyFill="1" applyBorder="1" applyAlignment="1">
      <alignment horizontal="center"/>
    </xf>
    <xf numFmtId="1" fontId="24" fillId="7" borderId="43" xfId="0" applyNumberFormat="1" applyFont="1" applyFill="1" applyBorder="1" applyAlignment="1">
      <alignment horizontal="center"/>
    </xf>
    <xf numFmtId="1" fontId="24" fillId="7" borderId="26" xfId="0" applyNumberFormat="1" applyFont="1" applyFill="1" applyBorder="1" applyAlignment="1">
      <alignment horizontal="center"/>
    </xf>
    <xf numFmtId="0" fontId="24" fillId="8" borderId="51" xfId="0" applyFont="1" applyFill="1" applyBorder="1" applyAlignment="1">
      <alignment horizontal="left"/>
    </xf>
    <xf numFmtId="0" fontId="24" fillId="8" borderId="39" xfId="0" applyFont="1" applyFill="1" applyBorder="1" applyAlignment="1">
      <alignment horizontal="left"/>
    </xf>
    <xf numFmtId="0" fontId="24" fillId="8" borderId="44" xfId="0" applyFont="1" applyFill="1" applyBorder="1" applyAlignment="1">
      <alignment horizontal="left"/>
    </xf>
    <xf numFmtId="0" fontId="8" fillId="3" borderId="4" xfId="0" applyFont="1" applyFill="1" applyBorder="1" applyAlignment="1">
      <alignment horizontal="center" vertical="center" wrapText="1"/>
    </xf>
    <xf numFmtId="0" fontId="8" fillId="3" borderId="15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24" fillId="8" borderId="28" xfId="0" applyFont="1" applyFill="1" applyBorder="1" applyAlignment="1">
      <alignment horizontal="left"/>
    </xf>
    <xf numFmtId="0" fontId="24" fillId="8" borderId="38" xfId="0" applyFont="1" applyFill="1" applyBorder="1" applyAlignment="1">
      <alignment horizontal="left"/>
    </xf>
    <xf numFmtId="1" fontId="24" fillId="8" borderId="28" xfId="0" applyNumberFormat="1" applyFont="1" applyFill="1" applyBorder="1" applyAlignment="1">
      <alignment horizontal="left"/>
    </xf>
    <xf numFmtId="1" fontId="24" fillId="8" borderId="38" xfId="0" applyNumberFormat="1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8" fillId="2" borderId="1" xfId="3" applyFont="1" applyFill="1" applyBorder="1" applyAlignment="1">
      <alignment horizontal="center" vertical="center"/>
    </xf>
    <xf numFmtId="0" fontId="8" fillId="2" borderId="2" xfId="3" applyFont="1" applyFill="1" applyBorder="1" applyAlignment="1">
      <alignment horizontal="center" vertical="center"/>
    </xf>
    <xf numFmtId="0" fontId="8" fillId="2" borderId="3" xfId="3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left" vertical="center"/>
    </xf>
    <xf numFmtId="0" fontId="13" fillId="6" borderId="19" xfId="0" applyFont="1" applyFill="1" applyBorder="1" applyAlignment="1">
      <alignment vertical="center"/>
    </xf>
    <xf numFmtId="0" fontId="13" fillId="6" borderId="0" xfId="0" applyFont="1" applyFill="1" applyAlignment="1">
      <alignment vertical="center"/>
    </xf>
    <xf numFmtId="0" fontId="14" fillId="6" borderId="19" xfId="0" applyFont="1" applyFill="1" applyBorder="1" applyAlignment="1">
      <alignment horizontal="left" vertical="top"/>
    </xf>
    <xf numFmtId="0" fontId="16" fillId="6" borderId="19" xfId="0" applyFont="1" applyFill="1" applyBorder="1" applyAlignment="1">
      <alignment horizontal="center" vertical="center" wrapText="1"/>
    </xf>
    <xf numFmtId="0" fontId="16" fillId="6" borderId="0" xfId="0" applyFont="1" applyFill="1" applyAlignment="1">
      <alignment horizontal="center" vertical="center" wrapText="1"/>
    </xf>
    <xf numFmtId="170" fontId="22" fillId="0" borderId="43" xfId="0" applyNumberFormat="1" applyFont="1" applyBorder="1"/>
    <xf numFmtId="170" fontId="20" fillId="0" borderId="0" xfId="0" applyNumberFormat="1" applyFont="1"/>
    <xf numFmtId="9" fontId="22" fillId="0" borderId="26" xfId="1" applyFont="1" applyBorder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36865</xdr:colOff>
      <xdr:row>0</xdr:row>
      <xdr:rowOff>152400</xdr:rowOff>
    </xdr:from>
    <xdr:to>
      <xdr:col>5</xdr:col>
      <xdr:colOff>882750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605763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41</xdr:col>
      <xdr:colOff>354898</xdr:colOff>
      <xdr:row>0</xdr:row>
      <xdr:rowOff>190500</xdr:rowOff>
    </xdr:from>
    <xdr:to>
      <xdr:col>43</xdr:col>
      <xdr:colOff>191391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40</xdr:col>
      <xdr:colOff>434450</xdr:colOff>
      <xdr:row>0</xdr:row>
      <xdr:rowOff>182566</xdr:rowOff>
    </xdr:from>
    <xdr:to>
      <xdr:col>41</xdr:col>
      <xdr:colOff>278695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36865</xdr:colOff>
      <xdr:row>0</xdr:row>
      <xdr:rowOff>152400</xdr:rowOff>
    </xdr:from>
    <xdr:to>
      <xdr:col>5</xdr:col>
      <xdr:colOff>882750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41</xdr:col>
      <xdr:colOff>354898</xdr:colOff>
      <xdr:row>0</xdr:row>
      <xdr:rowOff>190500</xdr:rowOff>
    </xdr:from>
    <xdr:to>
      <xdr:col>43</xdr:col>
      <xdr:colOff>191391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588235</xdr:colOff>
      <xdr:row>4</xdr:row>
      <xdr:rowOff>86591</xdr:rowOff>
    </xdr:from>
    <xdr:to>
      <xdr:col>11</xdr:col>
      <xdr:colOff>1297999</xdr:colOff>
      <xdr:row>9</xdr:row>
      <xdr:rowOff>187318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04326" y="1627909"/>
          <a:ext cx="2441582" cy="1763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4DF1-BD2E-4C20-AFF2-98990FA15ABF}">
  <dimension ref="A1:H31"/>
  <sheetViews>
    <sheetView showGridLines="0" tabSelected="1" topLeftCell="A8" zoomScaleNormal="100" workbookViewId="0">
      <selection activeCell="C31" sqref="C31:D31"/>
    </sheetView>
  </sheetViews>
  <sheetFormatPr defaultColWidth="8.6640625" defaultRowHeight="16.2" x14ac:dyDescent="0.35"/>
  <cols>
    <col min="1" max="1" width="8.6640625" style="139"/>
    <col min="2" max="2" width="26.109375" style="139" customWidth="1"/>
    <col min="3" max="3" width="53.109375" style="139" bestFit="1" customWidth="1"/>
    <col min="4" max="4" width="20.44140625" style="139" customWidth="1"/>
    <col min="5" max="5" width="18.44140625" style="139" customWidth="1"/>
    <col min="6" max="6" width="11.88671875" style="140" bestFit="1" customWidth="1"/>
    <col min="7" max="7" width="12.88671875" style="139" bestFit="1" customWidth="1"/>
    <col min="8" max="8" width="13.21875" style="139" bestFit="1" customWidth="1"/>
    <col min="9" max="16384" width="8.6640625" style="139"/>
  </cols>
  <sheetData>
    <row r="1" spans="1:5" s="140" customFormat="1" hidden="1" x14ac:dyDescent="0.35">
      <c r="A1" s="139"/>
      <c r="B1" s="139"/>
      <c r="C1" s="139"/>
      <c r="D1" s="139"/>
      <c r="E1" s="139"/>
    </row>
    <row r="2" spans="1:5" s="140" customFormat="1" hidden="1" x14ac:dyDescent="0.35">
      <c r="A2" s="139"/>
      <c r="B2" s="139"/>
      <c r="C2" s="139"/>
      <c r="D2" s="139"/>
      <c r="E2" s="139"/>
    </row>
    <row r="3" spans="1:5" s="140" customFormat="1" hidden="1" x14ac:dyDescent="0.35">
      <c r="A3" s="139"/>
      <c r="B3" s="139"/>
      <c r="C3" s="141">
        <v>45866</v>
      </c>
      <c r="D3" s="142"/>
      <c r="E3" s="178" t="e">
        <f>SUM(#REF!)</f>
        <v>#REF!</v>
      </c>
    </row>
    <row r="4" spans="1:5" s="140" customFormat="1" ht="15.6" hidden="1" customHeight="1" thickBot="1" x14ac:dyDescent="0.4">
      <c r="A4" s="139"/>
      <c r="B4" s="139"/>
      <c r="C4" s="143">
        <v>45867</v>
      </c>
      <c r="D4" s="144"/>
      <c r="E4" s="179"/>
    </row>
    <row r="5" spans="1:5" s="140" customFormat="1" hidden="1" x14ac:dyDescent="0.35">
      <c r="A5" s="139"/>
      <c r="B5" s="139"/>
      <c r="C5" s="145" t="s">
        <v>118</v>
      </c>
      <c r="D5" s="146"/>
      <c r="E5" s="139"/>
    </row>
    <row r="6" spans="1:5" s="140" customFormat="1" hidden="1" x14ac:dyDescent="0.35">
      <c r="A6" s="139"/>
      <c r="B6" s="139"/>
      <c r="C6" s="145" t="s">
        <v>119</v>
      </c>
      <c r="D6" s="146"/>
      <c r="E6" s="139"/>
    </row>
    <row r="7" spans="1:5" s="140" customFormat="1" ht="16.8" hidden="1" thickBot="1" x14ac:dyDescent="0.4">
      <c r="A7" s="139"/>
      <c r="B7" s="139"/>
      <c r="C7" s="147" t="s">
        <v>11</v>
      </c>
      <c r="D7" s="148"/>
      <c r="E7" s="139"/>
    </row>
    <row r="9" spans="1:5" s="140" customFormat="1" x14ac:dyDescent="0.35">
      <c r="A9" s="139" t="s">
        <v>56</v>
      </c>
      <c r="B9" s="139"/>
      <c r="C9" s="139"/>
      <c r="D9" s="139"/>
      <c r="E9" s="139"/>
    </row>
    <row r="10" spans="1:5" s="140" customFormat="1" ht="24" customHeight="1" x14ac:dyDescent="0.35">
      <c r="A10" s="139"/>
      <c r="B10" s="139"/>
      <c r="C10" s="139"/>
      <c r="D10" s="139"/>
      <c r="E10" s="139"/>
    </row>
    <row r="11" spans="1:5" ht="16.8" thickBot="1" x14ac:dyDescent="0.4"/>
    <row r="12" spans="1:5" s="140" customFormat="1" ht="15" customHeight="1" x14ac:dyDescent="0.35">
      <c r="A12" s="139"/>
      <c r="B12" s="172" t="s">
        <v>83</v>
      </c>
      <c r="C12" s="173" t="s">
        <v>108</v>
      </c>
      <c r="D12" s="149"/>
      <c r="E12" s="139"/>
    </row>
    <row r="13" spans="1:5" s="140" customFormat="1" ht="15" customHeight="1" x14ac:dyDescent="0.35">
      <c r="A13" s="139"/>
      <c r="B13" s="174" t="s">
        <v>84</v>
      </c>
      <c r="C13" s="175" t="s">
        <v>82</v>
      </c>
      <c r="D13" s="149"/>
      <c r="E13" s="139"/>
    </row>
    <row r="14" spans="1:5" s="140" customFormat="1" ht="15" customHeight="1" x14ac:dyDescent="0.35">
      <c r="A14" s="139"/>
      <c r="B14" s="174" t="s">
        <v>85</v>
      </c>
      <c r="C14" s="175" t="s">
        <v>111</v>
      </c>
      <c r="D14" s="150"/>
      <c r="E14" s="139"/>
    </row>
    <row r="15" spans="1:5" s="140" customFormat="1" ht="15" customHeight="1" x14ac:dyDescent="0.35">
      <c r="A15" s="139"/>
      <c r="B15" s="174" t="s">
        <v>86</v>
      </c>
      <c r="C15" s="175" t="s">
        <v>109</v>
      </c>
      <c r="D15" s="150"/>
      <c r="E15" s="139"/>
    </row>
    <row r="16" spans="1:5" s="140" customFormat="1" ht="15" customHeight="1" x14ac:dyDescent="0.35">
      <c r="A16" s="139"/>
      <c r="B16" s="174" t="s">
        <v>87</v>
      </c>
      <c r="C16" s="175" t="s">
        <v>110</v>
      </c>
      <c r="D16" s="151"/>
      <c r="E16" s="139"/>
    </row>
    <row r="17" spans="2:8" ht="15" customHeight="1" x14ac:dyDescent="0.35">
      <c r="B17" s="174" t="s">
        <v>88</v>
      </c>
      <c r="C17" s="175" t="s">
        <v>112</v>
      </c>
      <c r="D17" s="150"/>
    </row>
    <row r="18" spans="2:8" ht="15" customHeight="1" x14ac:dyDescent="0.35">
      <c r="B18" s="174" t="s">
        <v>89</v>
      </c>
      <c r="C18" s="175" t="s">
        <v>91</v>
      </c>
      <c r="D18" s="150"/>
    </row>
    <row r="19" spans="2:8" ht="15" customHeight="1" thickBot="1" x14ac:dyDescent="0.4">
      <c r="B19" s="176" t="s">
        <v>90</v>
      </c>
      <c r="C19" s="177" t="s">
        <v>108</v>
      </c>
      <c r="D19" s="150"/>
    </row>
    <row r="21" spans="2:8" ht="15.6" customHeight="1" x14ac:dyDescent="0.35">
      <c r="B21" s="152"/>
      <c r="C21" s="152" t="s">
        <v>120</v>
      </c>
      <c r="D21" s="152" t="s">
        <v>121</v>
      </c>
      <c r="E21" s="152" t="s">
        <v>122</v>
      </c>
    </row>
    <row r="22" spans="2:8" x14ac:dyDescent="0.35">
      <c r="B22" s="153" t="s">
        <v>126</v>
      </c>
      <c r="C22" s="154">
        <f>'One Supply Chain'!N30</f>
        <v>10256.317385361004</v>
      </c>
      <c r="D22" s="154">
        <f>'One Supply Chain'!X30</f>
        <v>7371.91</v>
      </c>
      <c r="E22" s="154">
        <f>C22-D22</f>
        <v>2884.4073853610043</v>
      </c>
      <c r="F22" s="155">
        <f>E22*100%/C22</f>
        <v>0.28123226661042711</v>
      </c>
    </row>
    <row r="23" spans="2:8" x14ac:dyDescent="0.35">
      <c r="B23" s="152" t="s">
        <v>11</v>
      </c>
      <c r="C23" s="156">
        <f>SUM(C22:C22)</f>
        <v>10256.317385361004</v>
      </c>
      <c r="D23" s="156">
        <f>SUM(D22:D22)</f>
        <v>7371.91</v>
      </c>
      <c r="E23" s="156">
        <f>C23-D23</f>
        <v>2884.4073853610043</v>
      </c>
      <c r="F23" s="155">
        <f t="shared" ref="F23" si="0">E23*100%/C23</f>
        <v>0.28123226661042711</v>
      </c>
    </row>
    <row r="25" spans="2:8" ht="200.1" hidden="1" customHeight="1" x14ac:dyDescent="0.35"/>
    <row r="26" spans="2:8" hidden="1" x14ac:dyDescent="0.35"/>
    <row r="27" spans="2:8" ht="16.8" thickBot="1" x14ac:dyDescent="0.4"/>
    <row r="28" spans="2:8" ht="21.9" customHeight="1" thickBot="1" x14ac:dyDescent="0.4">
      <c r="B28" s="180" t="s">
        <v>123</v>
      </c>
      <c r="C28" s="181"/>
      <c r="D28" s="181"/>
      <c r="E28" s="181"/>
      <c r="F28" s="182"/>
    </row>
    <row r="29" spans="2:8" ht="24.9" customHeight="1" thickBot="1" x14ac:dyDescent="0.4">
      <c r="B29" s="157" t="s">
        <v>127</v>
      </c>
      <c r="C29" s="158">
        <v>5838</v>
      </c>
      <c r="D29" s="159">
        <f>D23</f>
        <v>7371.91</v>
      </c>
      <c r="E29" s="231">
        <f>C29-D29</f>
        <v>-1533.9099999999999</v>
      </c>
      <c r="F29" s="233">
        <f>E29*100%/C29</f>
        <v>-0.26274580335731412</v>
      </c>
      <c r="H29" s="232"/>
    </row>
    <row r="30" spans="2:8" ht="24.9" customHeight="1" thickBot="1" x14ac:dyDescent="0.4">
      <c r="B30" s="157" t="s">
        <v>128</v>
      </c>
      <c r="C30" s="158">
        <v>4418.32</v>
      </c>
      <c r="D30" s="159">
        <f>C30*0.15</f>
        <v>662.74799999999993</v>
      </c>
      <c r="E30" s="160">
        <f>C30-D30</f>
        <v>3755.5719999999997</v>
      </c>
      <c r="F30" s="161">
        <f>E30*100%/C30</f>
        <v>0.85</v>
      </c>
    </row>
    <row r="31" spans="2:8" ht="20.25" customHeight="1" thickBot="1" x14ac:dyDescent="0.4">
      <c r="B31" s="162"/>
      <c r="C31" s="163">
        <f>SUM(C29:C30)</f>
        <v>10256.32</v>
      </c>
      <c r="D31" s="164">
        <f>SUM(D29:D30)</f>
        <v>8034.6579999999994</v>
      </c>
      <c r="E31" s="165">
        <f>C31-D31</f>
        <v>2221.6620000000003</v>
      </c>
      <c r="F31" s="166">
        <f>E31*100%/C31</f>
        <v>0.2166139512027706</v>
      </c>
      <c r="G31" s="232"/>
      <c r="H31" s="232"/>
    </row>
  </sheetData>
  <mergeCells count="2">
    <mergeCell ref="E3:E4"/>
    <mergeCell ref="B28:F28"/>
  </mergeCells>
  <phoneticPr fontId="35" type="noConversion"/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/>
  </sheetPr>
  <dimension ref="A1:AG36"/>
  <sheetViews>
    <sheetView showGridLines="0" topLeftCell="B1" zoomScale="55" zoomScaleNormal="55" workbookViewId="0">
      <pane ySplit="1" topLeftCell="A22" activePane="bottomLeft" state="frozen"/>
      <selection pane="bottomLeft" activeCell="G11" sqref="F4:G11"/>
    </sheetView>
  </sheetViews>
  <sheetFormatPr defaultColWidth="8.88671875" defaultRowHeight="15.6" x14ac:dyDescent="0.3"/>
  <cols>
    <col min="1" max="1" width="5.88671875" hidden="1" customWidth="1"/>
    <col min="2" max="2" width="9.88671875" customWidth="1"/>
    <col min="3" max="3" width="11" hidden="1" customWidth="1"/>
    <col min="4" max="4" width="10.5546875" hidden="1" customWidth="1"/>
    <col min="5" max="5" width="5.5546875" hidden="1" customWidth="1"/>
    <col min="6" max="6" width="29" customWidth="1"/>
    <col min="7" max="7" width="73.88671875" customWidth="1"/>
    <col min="8" max="8" width="7.5546875" style="60" hidden="1" customWidth="1"/>
    <col min="9" max="9" width="9.88671875" style="60" hidden="1" customWidth="1"/>
    <col min="10" max="10" width="16.44140625" hidden="1" customWidth="1"/>
    <col min="11" max="11" width="25.88671875" customWidth="1"/>
    <col min="12" max="12" width="22.5546875" customWidth="1"/>
    <col min="13" max="13" width="23.6640625" customWidth="1"/>
    <col min="14" max="14" width="24.109375" bestFit="1" customWidth="1"/>
    <col min="15" max="15" width="19.109375" hidden="1" customWidth="1"/>
    <col min="16" max="16" width="1.88671875" hidden="1" customWidth="1"/>
    <col min="17" max="17" width="11.109375" style="60" bestFit="1" customWidth="1"/>
    <col min="18" max="18" width="8.44140625" style="60" hidden="1" customWidth="1"/>
    <col min="19" max="19" width="17.88671875" hidden="1" customWidth="1"/>
    <col min="20" max="20" width="26.6640625" bestFit="1" customWidth="1"/>
    <col min="21" max="21" width="24.6640625" hidden="1" customWidth="1"/>
    <col min="22" max="22" width="9.6640625" hidden="1" customWidth="1"/>
    <col min="23" max="23" width="16.109375" hidden="1" customWidth="1"/>
    <col min="24" max="24" width="27.109375" bestFit="1" customWidth="1"/>
    <col min="25" max="25" width="26.6640625" hidden="1" customWidth="1"/>
    <col min="26" max="26" width="14.6640625" hidden="1" customWidth="1"/>
    <col min="27" max="27" width="24.6640625" hidden="1" customWidth="1"/>
    <col min="28" max="28" width="38.109375" hidden="1" customWidth="1"/>
    <col min="29" max="29" width="6.33203125" hidden="1" customWidth="1"/>
    <col min="30" max="30" width="12.6640625" hidden="1" customWidth="1"/>
    <col min="31" max="31" width="26.44140625" customWidth="1"/>
    <col min="32" max="32" width="26.5546875" customWidth="1"/>
    <col min="33" max="33" width="8.88671875" style="138"/>
    <col min="34" max="34" width="21.33203125" customWidth="1"/>
  </cols>
  <sheetData>
    <row r="1" spans="1:32" ht="49.5" customHeight="1" x14ac:dyDescent="0.3">
      <c r="B1" s="16"/>
      <c r="C1" s="17"/>
      <c r="D1" s="17"/>
      <c r="F1" s="220" t="s">
        <v>58</v>
      </c>
      <c r="G1" s="220"/>
    </row>
    <row r="2" spans="1:32" ht="24.75" customHeight="1" x14ac:dyDescent="0.3">
      <c r="B2" s="15"/>
      <c r="D2" s="17"/>
      <c r="F2" s="221" t="s">
        <v>0</v>
      </c>
      <c r="G2" s="221"/>
    </row>
    <row r="3" spans="1:32" ht="18.600000000000001" thickBot="1" x14ac:dyDescent="0.4">
      <c r="B3" s="18"/>
      <c r="F3" s="8"/>
      <c r="G3" s="8"/>
    </row>
    <row r="4" spans="1:32" ht="29.1" customHeight="1" x14ac:dyDescent="0.3">
      <c r="F4" s="70" t="s">
        <v>83</v>
      </c>
      <c r="G4" s="71" t="s">
        <v>108</v>
      </c>
    </row>
    <row r="5" spans="1:32" ht="27.6" customHeight="1" x14ac:dyDescent="0.3">
      <c r="F5" s="72" t="s">
        <v>84</v>
      </c>
      <c r="G5" s="73" t="s">
        <v>82</v>
      </c>
    </row>
    <row r="6" spans="1:32" ht="24.9" customHeight="1" x14ac:dyDescent="0.3">
      <c r="D6" t="s">
        <v>56</v>
      </c>
      <c r="F6" s="72" t="s">
        <v>85</v>
      </c>
      <c r="G6" s="73" t="s">
        <v>111</v>
      </c>
    </row>
    <row r="7" spans="1:32" ht="25.5" customHeight="1" x14ac:dyDescent="0.3">
      <c r="F7" s="72" t="s">
        <v>86</v>
      </c>
      <c r="G7" s="73" t="s">
        <v>109</v>
      </c>
      <c r="J7" t="s">
        <v>57</v>
      </c>
    </row>
    <row r="8" spans="1:32" ht="26.1" customHeight="1" x14ac:dyDescent="0.3">
      <c r="F8" s="72" t="s">
        <v>87</v>
      </c>
      <c r="G8" s="73" t="s">
        <v>110</v>
      </c>
    </row>
    <row r="9" spans="1:32" ht="27.6" customHeight="1" x14ac:dyDescent="0.3">
      <c r="F9" s="72" t="s">
        <v>88</v>
      </c>
      <c r="G9" s="73" t="s">
        <v>112</v>
      </c>
      <c r="J9" t="s">
        <v>56</v>
      </c>
    </row>
    <row r="10" spans="1:32" ht="27" customHeight="1" x14ac:dyDescent="0.3">
      <c r="F10" s="72" t="s">
        <v>89</v>
      </c>
      <c r="G10" s="73" t="s">
        <v>91</v>
      </c>
    </row>
    <row r="11" spans="1:32" ht="33.6" customHeight="1" thickBot="1" x14ac:dyDescent="0.35">
      <c r="F11" s="74" t="s">
        <v>90</v>
      </c>
      <c r="G11" s="75" t="s">
        <v>108</v>
      </c>
    </row>
    <row r="12" spans="1:32" ht="16.8" hidden="1" thickBot="1" x14ac:dyDescent="0.35">
      <c r="B12" s="1"/>
      <c r="M12" s="2"/>
      <c r="Q12" s="222" t="s">
        <v>1</v>
      </c>
      <c r="R12" s="223"/>
      <c r="S12" s="223"/>
      <c r="T12" s="224"/>
      <c r="U12" s="213" t="s">
        <v>2</v>
      </c>
      <c r="V12" s="214"/>
      <c r="W12" s="214"/>
      <c r="X12" s="215"/>
      <c r="Y12" s="4" t="s">
        <v>13</v>
      </c>
      <c r="Z12" s="5">
        <f>(1/(1-M14))-1</f>
        <v>0.24269914253759173</v>
      </c>
      <c r="AD12" s="9" t="s">
        <v>15</v>
      </c>
      <c r="AE12" s="202" t="s">
        <v>14</v>
      </c>
      <c r="AF12" s="203"/>
    </row>
    <row r="13" spans="1:32" ht="18.600000000000001" thickBot="1" x14ac:dyDescent="0.4">
      <c r="A13" s="6" t="s">
        <v>3</v>
      </c>
      <c r="B13" s="7" t="s">
        <v>4</v>
      </c>
      <c r="C13" s="6" t="s">
        <v>5</v>
      </c>
      <c r="D13" s="6" t="s">
        <v>6</v>
      </c>
      <c r="E13" s="6" t="s">
        <v>7</v>
      </c>
      <c r="M13" s="3">
        <v>0.81</v>
      </c>
    </row>
    <row r="14" spans="1:32" ht="33" thickBot="1" x14ac:dyDescent="0.35">
      <c r="A14" s="20">
        <v>0</v>
      </c>
      <c r="B14" s="21"/>
      <c r="C14" s="22"/>
      <c r="D14" s="19"/>
      <c r="E14" s="19"/>
      <c r="F14" s="85" t="s">
        <v>38</v>
      </c>
      <c r="G14" s="86" t="s">
        <v>39</v>
      </c>
      <c r="H14" s="28" t="s">
        <v>40</v>
      </c>
      <c r="I14" s="28" t="s">
        <v>41</v>
      </c>
      <c r="J14" s="29" t="s">
        <v>42</v>
      </c>
      <c r="K14" s="87" t="s">
        <v>8</v>
      </c>
      <c r="L14" s="88">
        <v>0.09</v>
      </c>
      <c r="M14" s="27">
        <v>0.1953</v>
      </c>
      <c r="N14" s="30" t="s">
        <v>36</v>
      </c>
      <c r="Q14" s="31" t="s">
        <v>43</v>
      </c>
      <c r="R14" s="32" t="s">
        <v>44</v>
      </c>
      <c r="S14" s="33" t="s">
        <v>45</v>
      </c>
      <c r="T14" s="34" t="s">
        <v>46</v>
      </c>
      <c r="U14" s="35" t="s">
        <v>47</v>
      </c>
      <c r="V14" s="36" t="s">
        <v>48</v>
      </c>
      <c r="W14" s="37" t="s">
        <v>49</v>
      </c>
      <c r="X14" s="37" t="s">
        <v>50</v>
      </c>
      <c r="Y14" s="38" t="s">
        <v>51</v>
      </c>
      <c r="Z14" s="23" t="s">
        <v>52</v>
      </c>
      <c r="AA14" s="24" t="s">
        <v>37</v>
      </c>
      <c r="AE14" s="25" t="s">
        <v>53</v>
      </c>
      <c r="AF14" s="26" t="s">
        <v>54</v>
      </c>
    </row>
    <row r="15" spans="1:32" ht="20.399999999999999" customHeight="1" thickBot="1" x14ac:dyDescent="0.4">
      <c r="A15" s="19">
        <v>1</v>
      </c>
      <c r="B15" s="43">
        <v>1</v>
      </c>
      <c r="C15" s="42" t="s">
        <v>59</v>
      </c>
      <c r="D15" s="19"/>
      <c r="E15" s="19"/>
      <c r="F15" s="204" t="s">
        <v>72</v>
      </c>
      <c r="G15" s="205"/>
      <c r="H15" s="205"/>
      <c r="I15" s="205"/>
      <c r="J15" s="205"/>
      <c r="K15" s="205"/>
      <c r="L15" s="205"/>
      <c r="M15" s="205"/>
      <c r="N15" s="206"/>
      <c r="Q15" s="207" t="str">
        <f>IF(F15&lt;&gt;"",F15,"")</f>
        <v>INTERNOS</v>
      </c>
      <c r="R15" s="208"/>
      <c r="S15" s="208"/>
      <c r="T15" s="208"/>
      <c r="U15" s="208"/>
      <c r="V15" s="208"/>
      <c r="W15" s="208"/>
      <c r="X15" s="208"/>
      <c r="Y15" s="209"/>
      <c r="Z15" s="56"/>
      <c r="AE15" s="207"/>
      <c r="AF15" s="208"/>
    </row>
    <row r="16" spans="1:32" ht="23.1" customHeight="1" x14ac:dyDescent="0.35">
      <c r="A16" s="19">
        <v>2</v>
      </c>
      <c r="B16" s="43" t="s">
        <v>61</v>
      </c>
      <c r="C16" s="42" t="s">
        <v>60</v>
      </c>
      <c r="D16" s="19"/>
      <c r="E16" s="19"/>
      <c r="F16" s="210" t="s">
        <v>72</v>
      </c>
      <c r="G16" s="211"/>
      <c r="H16" s="211"/>
      <c r="I16" s="211"/>
      <c r="J16" s="211"/>
      <c r="K16" s="211"/>
      <c r="L16" s="81" t="s">
        <v>62</v>
      </c>
      <c r="M16" s="81" t="s">
        <v>63</v>
      </c>
      <c r="N16" s="82" t="s">
        <v>36</v>
      </c>
      <c r="Q16" s="210" t="str">
        <f>IF(F16&lt;&gt;"",F16,"")</f>
        <v>INTERNOS</v>
      </c>
      <c r="R16" s="211"/>
      <c r="S16" s="211"/>
      <c r="T16" s="211"/>
      <c r="U16" s="211"/>
      <c r="V16" s="211"/>
      <c r="W16" s="211"/>
      <c r="X16" s="211"/>
      <c r="Y16" s="212"/>
      <c r="Z16" s="55" t="s">
        <v>64</v>
      </c>
      <c r="AA16" s="44" t="s">
        <v>37</v>
      </c>
      <c r="AE16" s="210"/>
      <c r="AF16" s="211"/>
    </row>
    <row r="17" spans="1:33" ht="69.599999999999994" customHeight="1" x14ac:dyDescent="0.3">
      <c r="A17" s="19">
        <v>3</v>
      </c>
      <c r="B17" s="43" t="s">
        <v>97</v>
      </c>
      <c r="C17" s="42" t="s">
        <v>65</v>
      </c>
      <c r="D17" s="19" t="s">
        <v>68</v>
      </c>
      <c r="E17" s="19" t="s">
        <v>69</v>
      </c>
      <c r="F17" s="134" t="s">
        <v>114</v>
      </c>
      <c r="G17" s="123" t="s">
        <v>100</v>
      </c>
      <c r="H17" s="59">
        <v>1</v>
      </c>
      <c r="I17" s="59">
        <v>1</v>
      </c>
      <c r="J17" s="45">
        <v>1500</v>
      </c>
      <c r="K17" s="45">
        <f>IF(F17&lt;&gt;"",H17*I17*J17,"")</f>
        <v>1500</v>
      </c>
      <c r="L17" s="45">
        <f>IF(K17&lt;&gt;"",IF(D17="INTERNO",0,K17*$L$14),"")</f>
        <v>0</v>
      </c>
      <c r="M17" s="45">
        <f>IF(K17&lt;&gt;"",IF(E17="FAT.OGGI",SUM(K17:L17)*(1/(1-$M$14)-1),L17*(1/(1-$M$14)-1)),0)</f>
        <v>364.04871380638758</v>
      </c>
      <c r="N17" s="57">
        <f>SUM(K17:M17)</f>
        <v>1864.0487138063877</v>
      </c>
      <c r="Q17" s="67">
        <f t="shared" ref="Q17:R18" si="0">IF(H17&lt;&gt;"",H17,"")</f>
        <v>1</v>
      </c>
      <c r="R17" s="63">
        <f t="shared" si="0"/>
        <v>1</v>
      </c>
      <c r="S17" s="64">
        <v>0</v>
      </c>
      <c r="T17" s="64">
        <f>IF(Q17&lt;&gt;"",Q17*R17*S17,"")</f>
        <v>0</v>
      </c>
      <c r="U17" s="65">
        <f>IF(Q17&lt;&gt;"",K17-T17,"")</f>
        <v>1500</v>
      </c>
      <c r="V17" s="66">
        <f>IF(Q17&lt;&gt;"",0%,"")</f>
        <v>0</v>
      </c>
      <c r="W17" s="62">
        <f>IF(Q17&lt;&gt;"",V17*U17,"")</f>
        <v>0</v>
      </c>
      <c r="X17" s="62">
        <f>IF(Q17&lt;&gt;"",W17+T17,"")</f>
        <v>0</v>
      </c>
      <c r="Y17" s="58">
        <f t="shared" ref="Y17:Y20" si="1">IF(Q17&lt;&gt;"",X17+M17,"")</f>
        <v>364.04871380638758</v>
      </c>
      <c r="Z17" s="56">
        <f>IF(Q17&lt;&gt;"", IFERROR(U17/K17, 0), 0)</f>
        <v>1</v>
      </c>
      <c r="AA17" s="50" t="str">
        <f>IFERROR(T17/$T$20, "")</f>
        <v/>
      </c>
      <c r="AE17" s="136">
        <v>0</v>
      </c>
      <c r="AF17" s="137"/>
    </row>
    <row r="18" spans="1:33" ht="32.4" customHeight="1" x14ac:dyDescent="0.3">
      <c r="A18" s="19">
        <v>4</v>
      </c>
      <c r="B18" s="43" t="s">
        <v>55</v>
      </c>
      <c r="C18" s="42" t="s">
        <v>65</v>
      </c>
      <c r="D18" s="19" t="s">
        <v>68</v>
      </c>
      <c r="E18" s="19" t="s">
        <v>69</v>
      </c>
      <c r="F18" s="134" t="s">
        <v>67</v>
      </c>
      <c r="G18" s="123" t="s">
        <v>103</v>
      </c>
      <c r="H18" s="59">
        <v>1</v>
      </c>
      <c r="I18" s="59">
        <v>1</v>
      </c>
      <c r="J18" s="45">
        <v>800</v>
      </c>
      <c r="K18" s="45">
        <f>IF(F18&lt;&gt;"",H18*I18*J18,"")</f>
        <v>800</v>
      </c>
      <c r="L18" s="45">
        <f>IF(K18&lt;&gt;"",IF(D18="INTERNO",0,K18*$L$14),"")</f>
        <v>0</v>
      </c>
      <c r="M18" s="45">
        <f>IF(K18&lt;&gt;"",IF(E18="FAT.OGGI",SUM(K18:L18)*(1/(1-$M$14)-1),L18*(1/(1-$M$14)-1)),0)</f>
        <v>194.15931403007338</v>
      </c>
      <c r="N18" s="57">
        <f>SUM(K18:M18)</f>
        <v>994.15931403007335</v>
      </c>
      <c r="Q18" s="67">
        <f t="shared" si="0"/>
        <v>1</v>
      </c>
      <c r="R18" s="63">
        <f t="shared" si="0"/>
        <v>1</v>
      </c>
      <c r="S18" s="64">
        <v>0</v>
      </c>
      <c r="T18" s="64">
        <f>IF(Q18&lt;&gt;"",Q18*R18*S18,"")</f>
        <v>0</v>
      </c>
      <c r="U18" s="65">
        <f>IF(Q18&lt;&gt;"",K18-T18,"")</f>
        <v>800</v>
      </c>
      <c r="V18" s="66">
        <f>IF(Q18&lt;&gt;"",0%,"")</f>
        <v>0</v>
      </c>
      <c r="W18" s="62">
        <f>IF(Q18&lt;&gt;"",V18*U18,"")</f>
        <v>0</v>
      </c>
      <c r="X18" s="62">
        <f>IF(Q18&lt;&gt;"",W18+T18,"")</f>
        <v>0</v>
      </c>
      <c r="Y18" s="58">
        <f t="shared" si="1"/>
        <v>194.15931403007338</v>
      </c>
      <c r="Z18" s="56">
        <f>IF(Q18&lt;&gt;"", IFERROR(U18/K18, 0), 0)</f>
        <v>1</v>
      </c>
      <c r="AA18" s="50" t="str">
        <f>IFERROR(T18/$T$20, "")</f>
        <v/>
      </c>
      <c r="AE18" s="136">
        <v>0</v>
      </c>
      <c r="AF18" s="137"/>
    </row>
    <row r="19" spans="1:33" ht="48.9" customHeight="1" x14ac:dyDescent="0.3">
      <c r="A19" s="19">
        <v>5</v>
      </c>
      <c r="B19" s="43" t="s">
        <v>66</v>
      </c>
      <c r="C19" s="42" t="s">
        <v>65</v>
      </c>
      <c r="D19" s="19" t="s">
        <v>68</v>
      </c>
      <c r="E19" s="19" t="s">
        <v>69</v>
      </c>
      <c r="F19" s="134" t="s">
        <v>80</v>
      </c>
      <c r="G19" s="123" t="s">
        <v>101</v>
      </c>
      <c r="H19" s="59">
        <v>1</v>
      </c>
      <c r="I19" s="59">
        <v>1</v>
      </c>
      <c r="J19" s="45">
        <v>730</v>
      </c>
      <c r="K19" s="45">
        <f>IF(F19&lt;&gt;"",H19*I19*J19,"")</f>
        <v>730</v>
      </c>
      <c r="L19" s="45">
        <f>IF(K19&lt;&gt;"",IF(D19="INTERNO",0,K19*$L$14),"")</f>
        <v>0</v>
      </c>
      <c r="M19" s="45">
        <f>IF(K19&lt;&gt;"",IF(E19="FAT.OGGI",SUM(K19:L19)*(1/(1-$M$14)-1),L19*(1/(1-$M$14)-1)),0)</f>
        <v>177.17037405244196</v>
      </c>
      <c r="N19" s="57">
        <f>SUM(K19:M19)</f>
        <v>907.17037405244196</v>
      </c>
      <c r="Q19" s="67">
        <f>IF(H19&lt;&gt;"",H19,"")</f>
        <v>1</v>
      </c>
      <c r="R19" s="63">
        <f>IF(I19&lt;&gt;"",I19,"")</f>
        <v>1</v>
      </c>
      <c r="S19" s="64">
        <v>0</v>
      </c>
      <c r="T19" s="64">
        <f>IF(Q19&lt;&gt;"",Q19*R19*S19,"")</f>
        <v>0</v>
      </c>
      <c r="U19" s="65">
        <f>IF(Q19&lt;&gt;"",K19-T19,"")</f>
        <v>730</v>
      </c>
      <c r="V19" s="66">
        <f>IF(Q19&lt;&gt;"",0%,"")</f>
        <v>0</v>
      </c>
      <c r="W19" s="62">
        <f>IF(Q19&lt;&gt;"",V19*U19,"")</f>
        <v>0</v>
      </c>
      <c r="X19" s="62">
        <f>IF(Q19&lt;&gt;"",W19+T19,"")</f>
        <v>0</v>
      </c>
      <c r="Y19" s="58">
        <f t="shared" si="1"/>
        <v>177.17037405244196</v>
      </c>
      <c r="Z19" s="56">
        <f>IF(Q19&lt;&gt;"", IFERROR(U19/K19, 0), 0)</f>
        <v>1</v>
      </c>
      <c r="AA19" s="50" t="str">
        <f>IFERROR(T19/$T$20, "")</f>
        <v/>
      </c>
      <c r="AE19" s="136">
        <v>0</v>
      </c>
      <c r="AF19" s="137"/>
    </row>
    <row r="20" spans="1:33" ht="21.9" customHeight="1" thickBot="1" x14ac:dyDescent="0.4">
      <c r="A20" s="19">
        <v>6</v>
      </c>
      <c r="B20" s="43"/>
      <c r="C20" s="42" t="s">
        <v>70</v>
      </c>
      <c r="D20" s="19"/>
      <c r="E20" s="19"/>
      <c r="F20" s="216" t="s">
        <v>81</v>
      </c>
      <c r="G20" s="217"/>
      <c r="H20" s="217"/>
      <c r="I20" s="217"/>
      <c r="J20" s="217"/>
      <c r="K20" s="83">
        <f>SUM(K17:K19)</f>
        <v>3030</v>
      </c>
      <c r="L20" s="83">
        <f>SUM(L17:L19)</f>
        <v>0</v>
      </c>
      <c r="M20" s="83">
        <f>SUM(M17:M19)</f>
        <v>735.37840188890289</v>
      </c>
      <c r="N20" s="84">
        <f>SUM(N17:N19)</f>
        <v>3765.3784018889028</v>
      </c>
      <c r="Q20" s="218" t="s">
        <v>81</v>
      </c>
      <c r="R20" s="219"/>
      <c r="S20" s="219"/>
      <c r="T20" s="89">
        <f>SUM(T17:T19)</f>
        <v>0</v>
      </c>
      <c r="U20" s="90">
        <f>SUM(U17:U19)</f>
        <v>3030</v>
      </c>
      <c r="V20" s="93"/>
      <c r="W20" s="76"/>
      <c r="X20" s="91">
        <f>SUM(X17:X19)</f>
        <v>0</v>
      </c>
      <c r="Y20" s="92">
        <f t="shared" si="1"/>
        <v>735.37840188890289</v>
      </c>
      <c r="Z20" s="56"/>
      <c r="AA20" s="61"/>
      <c r="AE20" s="136">
        <v>0</v>
      </c>
      <c r="AF20" s="137"/>
    </row>
    <row r="21" spans="1:33" ht="18.600000000000001" thickBot="1" x14ac:dyDescent="0.4">
      <c r="A21" s="19">
        <v>7</v>
      </c>
      <c r="B21" s="43">
        <v>2</v>
      </c>
      <c r="C21" s="42" t="s">
        <v>59</v>
      </c>
      <c r="D21" s="19"/>
      <c r="E21" s="19"/>
      <c r="F21" s="185" t="s">
        <v>92</v>
      </c>
      <c r="G21" s="186"/>
      <c r="H21" s="186"/>
      <c r="I21" s="186"/>
      <c r="J21" s="186"/>
      <c r="K21" s="186"/>
      <c r="L21" s="186"/>
      <c r="M21" s="186"/>
      <c r="N21" s="187"/>
      <c r="Q21" s="195" t="str">
        <f>IF(F21&lt;&gt;"",F21,"")</f>
        <v xml:space="preserve">STAFF </v>
      </c>
      <c r="R21" s="196"/>
      <c r="S21" s="196"/>
      <c r="T21" s="196"/>
      <c r="U21" s="196"/>
      <c r="V21" s="196"/>
      <c r="W21" s="196"/>
      <c r="X21" s="196"/>
      <c r="Y21" s="197"/>
      <c r="AE21" s="136">
        <v>0</v>
      </c>
      <c r="AF21" s="137"/>
    </row>
    <row r="22" spans="1:33" ht="32.4" x14ac:dyDescent="0.35">
      <c r="A22" s="19">
        <v>8</v>
      </c>
      <c r="B22" s="43" t="s">
        <v>71</v>
      </c>
      <c r="C22" s="42" t="s">
        <v>60</v>
      </c>
      <c r="D22" s="19"/>
      <c r="E22" s="19"/>
      <c r="F22" s="191" t="s">
        <v>92</v>
      </c>
      <c r="G22" s="192"/>
      <c r="H22" s="192"/>
      <c r="I22" s="192"/>
      <c r="J22" s="192"/>
      <c r="K22" s="193"/>
      <c r="L22" s="95" t="s">
        <v>62</v>
      </c>
      <c r="M22" s="96" t="s">
        <v>63</v>
      </c>
      <c r="N22" s="113" t="s">
        <v>36</v>
      </c>
      <c r="Q22" s="191" t="str">
        <f>IF(F22&lt;&gt;"",F22,"")</f>
        <v xml:space="preserve">STAFF </v>
      </c>
      <c r="R22" s="192"/>
      <c r="S22" s="192"/>
      <c r="T22" s="192"/>
      <c r="U22" s="192"/>
      <c r="V22" s="192"/>
      <c r="W22" s="192"/>
      <c r="X22" s="192"/>
      <c r="Y22" s="194"/>
      <c r="Z22" s="55" t="s">
        <v>64</v>
      </c>
      <c r="AA22" s="44" t="s">
        <v>37</v>
      </c>
      <c r="AE22" s="136">
        <v>0</v>
      </c>
      <c r="AF22" s="137"/>
    </row>
    <row r="23" spans="1:33" ht="49.5" customHeight="1" x14ac:dyDescent="0.3">
      <c r="A23" s="19">
        <v>9</v>
      </c>
      <c r="B23" s="43" t="s">
        <v>73</v>
      </c>
      <c r="C23" s="42" t="s">
        <v>65</v>
      </c>
      <c r="D23" s="19" t="s">
        <v>74</v>
      </c>
      <c r="E23" s="19" t="s">
        <v>75</v>
      </c>
      <c r="F23" s="135" t="s">
        <v>99</v>
      </c>
      <c r="G23" s="51" t="s">
        <v>102</v>
      </c>
      <c r="H23" s="53">
        <v>1</v>
      </c>
      <c r="I23" s="53">
        <v>3</v>
      </c>
      <c r="J23" s="52">
        <v>900</v>
      </c>
      <c r="K23" s="52">
        <f>IF(F23&lt;&gt;"",H23*I23*J23,"")</f>
        <v>2700</v>
      </c>
      <c r="L23" s="52">
        <f>IF(K23&lt;&gt;"",IF(D23="INTERNO",0,K23*$L$14),"")</f>
        <v>243</v>
      </c>
      <c r="M23" s="52">
        <f>IF(K23&lt;&gt;"",IF(E23="FAT.OGGI",SUM(K23:L23)*(1/(1-$M$14)-1),L23*(1/(1-$M$14)-1)),"")</f>
        <v>58.975891636634792</v>
      </c>
      <c r="N23" s="54">
        <f>SUM(K23:M23)</f>
        <v>3001.975891636635</v>
      </c>
      <c r="Q23" s="112">
        <f t="shared" ref="Q23" si="2">IF(H23&lt;&gt;"",H23,"")</f>
        <v>1</v>
      </c>
      <c r="R23" s="111">
        <v>3</v>
      </c>
      <c r="S23" s="46">
        <v>650</v>
      </c>
      <c r="T23" s="46">
        <v>4450</v>
      </c>
      <c r="U23" s="49">
        <f>IF(Q23&lt;&gt;"",K23-T23,"")</f>
        <v>-1750</v>
      </c>
      <c r="V23" s="47">
        <f>IF(Q23&lt;&gt;"",0%,"")</f>
        <v>0</v>
      </c>
      <c r="W23" s="48">
        <f>IF(Q23&lt;&gt;"",V23*U23,"")</f>
        <v>0</v>
      </c>
      <c r="X23" s="48">
        <f>IF(Q23&lt;&gt;"",W23+T23,"")</f>
        <v>4450</v>
      </c>
      <c r="Y23" s="58">
        <f>IF(Q23&lt;&gt;"",X23+M23,"")</f>
        <v>4508.9758916366345</v>
      </c>
      <c r="Z23" s="56">
        <f>IF(Q23&lt;&gt;"",U23/K23,"")</f>
        <v>-0.64814814814814814</v>
      </c>
      <c r="AA23" s="50">
        <f>T23/$T$24</f>
        <v>1</v>
      </c>
      <c r="AE23" s="136">
        <f t="shared" ref="AE23:AE28" si="3">X23-AF23</f>
        <v>0</v>
      </c>
      <c r="AF23" s="137">
        <f>2500+1950</f>
        <v>4450</v>
      </c>
      <c r="AG23" s="138" t="s">
        <v>117</v>
      </c>
    </row>
    <row r="24" spans="1:33" ht="29.4" customHeight="1" thickBot="1" x14ac:dyDescent="0.4">
      <c r="A24" s="19">
        <v>10</v>
      </c>
      <c r="B24" s="43"/>
      <c r="C24" s="42" t="s">
        <v>70</v>
      </c>
      <c r="D24" s="19"/>
      <c r="E24" s="19"/>
      <c r="F24" s="198" t="s">
        <v>93</v>
      </c>
      <c r="G24" s="199"/>
      <c r="H24" s="199"/>
      <c r="I24" s="199"/>
      <c r="J24" s="199"/>
      <c r="K24" s="118">
        <f>SUM(K23:K23)</f>
        <v>2700</v>
      </c>
      <c r="L24" s="118">
        <f>SUM(L23:L23)</f>
        <v>243</v>
      </c>
      <c r="M24" s="118">
        <f>SUM(M23:M23)</f>
        <v>58.975891636634792</v>
      </c>
      <c r="N24" s="103">
        <f>SUM(N23:N23)</f>
        <v>3001.975891636635</v>
      </c>
      <c r="Q24" s="200" t="s">
        <v>93</v>
      </c>
      <c r="R24" s="201"/>
      <c r="S24" s="201"/>
      <c r="T24" s="97">
        <f>SUM(T23:T23)</f>
        <v>4450</v>
      </c>
      <c r="U24" s="98">
        <f>SUM(U23:U23)</f>
        <v>-1750</v>
      </c>
      <c r="V24" s="99"/>
      <c r="W24" s="99"/>
      <c r="X24" s="100">
        <f>SUM(X23:X23)</f>
        <v>4450</v>
      </c>
      <c r="Y24" s="116">
        <f>IF(Q24&lt;&gt;"",X24+M24,"")</f>
        <v>4508.9758916366345</v>
      </c>
      <c r="AE24" s="136">
        <v>0</v>
      </c>
      <c r="AF24" s="137"/>
    </row>
    <row r="25" spans="1:33" ht="18.600000000000001" thickBot="1" x14ac:dyDescent="0.4">
      <c r="A25" s="19">
        <v>17</v>
      </c>
      <c r="B25" s="43">
        <v>5</v>
      </c>
      <c r="C25" s="42" t="s">
        <v>59</v>
      </c>
      <c r="D25" s="19"/>
      <c r="E25" s="19"/>
      <c r="F25" s="185" t="s">
        <v>94</v>
      </c>
      <c r="G25" s="186"/>
      <c r="H25" s="186"/>
      <c r="I25" s="186"/>
      <c r="J25" s="186"/>
      <c r="K25" s="186"/>
      <c r="L25" s="186"/>
      <c r="M25" s="186"/>
      <c r="N25" s="187"/>
      <c r="Q25" s="188" t="str">
        <f>IF(F25&lt;&gt;"",F25,"")</f>
        <v xml:space="preserve">LOGISTICA / OPERACIONAL </v>
      </c>
      <c r="R25" s="189"/>
      <c r="S25" s="189"/>
      <c r="T25" s="189"/>
      <c r="U25" s="189"/>
      <c r="V25" s="189"/>
      <c r="W25" s="189"/>
      <c r="X25" s="189"/>
      <c r="Y25" s="190"/>
      <c r="AE25" s="136">
        <f t="shared" si="3"/>
        <v>0</v>
      </c>
      <c r="AF25" s="137"/>
    </row>
    <row r="26" spans="1:33" ht="32.4" x14ac:dyDescent="0.35">
      <c r="A26" s="19">
        <v>18</v>
      </c>
      <c r="B26" s="43" t="s">
        <v>76</v>
      </c>
      <c r="C26" s="42" t="s">
        <v>60</v>
      </c>
      <c r="D26" s="19"/>
      <c r="E26" s="19"/>
      <c r="F26" s="191" t="s">
        <v>94</v>
      </c>
      <c r="G26" s="192"/>
      <c r="H26" s="192"/>
      <c r="I26" s="192"/>
      <c r="J26" s="192"/>
      <c r="K26" s="193"/>
      <c r="L26" s="95" t="s">
        <v>62</v>
      </c>
      <c r="M26" s="96" t="s">
        <v>63</v>
      </c>
      <c r="N26" s="113" t="s">
        <v>36</v>
      </c>
      <c r="Q26" s="191" t="str">
        <f>IF(F26&lt;&gt;"",F26,"")</f>
        <v xml:space="preserve">LOGISTICA / OPERACIONAL </v>
      </c>
      <c r="R26" s="192"/>
      <c r="S26" s="192"/>
      <c r="T26" s="192"/>
      <c r="U26" s="192"/>
      <c r="V26" s="192"/>
      <c r="W26" s="192"/>
      <c r="X26" s="192"/>
      <c r="Y26" s="194"/>
      <c r="Z26" s="55" t="s">
        <v>64</v>
      </c>
      <c r="AA26" s="44" t="s">
        <v>37</v>
      </c>
      <c r="AE26" s="136">
        <f t="shared" si="3"/>
        <v>0</v>
      </c>
      <c r="AF26" s="137"/>
    </row>
    <row r="27" spans="1:33" ht="42.6" customHeight="1" x14ac:dyDescent="0.3">
      <c r="A27" s="39">
        <v>19</v>
      </c>
      <c r="B27" s="43" t="s">
        <v>98</v>
      </c>
      <c r="C27" s="94" t="s">
        <v>65</v>
      </c>
      <c r="D27" s="39" t="s">
        <v>74</v>
      </c>
      <c r="E27" s="39" t="s">
        <v>75</v>
      </c>
      <c r="F27" s="123" t="s">
        <v>104</v>
      </c>
      <c r="G27" s="123" t="s">
        <v>105</v>
      </c>
      <c r="H27" s="59">
        <v>1</v>
      </c>
      <c r="I27" s="59">
        <v>1</v>
      </c>
      <c r="J27" s="45">
        <v>2366.56</v>
      </c>
      <c r="K27" s="45">
        <f t="shared" ref="K27:K28" si="4">IF(F27&lt;&gt;"",H27*I27*J27,"")</f>
        <v>2366.56</v>
      </c>
      <c r="L27" s="45">
        <f t="shared" ref="L27:L28" si="5">IF(K27&lt;&gt;"",IF(D27="INTERNO",0,K27*$L$14),"")</f>
        <v>212.99039999999999</v>
      </c>
      <c r="M27" s="45">
        <f t="shared" ref="M27:M28" si="6">IF(K27&lt;&gt;"",IF(E27="FAT.OGGI",SUM(K27:L27)*(1/(1-$M$14)-1),L27*(1/(1-$M$14)-1)),"")</f>
        <v>51.692587448738678</v>
      </c>
      <c r="N27" s="45">
        <f t="shared" ref="N27:N28" si="7">SUM(K27:M27)</f>
        <v>2631.2429874487389</v>
      </c>
      <c r="Q27" s="109">
        <f t="shared" ref="Q27:R28" si="8">IF(H27&lt;&gt;"",H27,"")</f>
        <v>1</v>
      </c>
      <c r="R27" s="110">
        <v>1</v>
      </c>
      <c r="S27" s="101">
        <v>2366.56</v>
      </c>
      <c r="T27" s="64">
        <f t="shared" ref="T27" si="9">IF(Q27&lt;&gt;"",Q27*R27*S27,"")</f>
        <v>2366.56</v>
      </c>
      <c r="U27" s="65">
        <f t="shared" ref="U27:U28" si="10">IF(Q27&lt;&gt;"",K27-T27,"")</f>
        <v>0</v>
      </c>
      <c r="V27" s="66">
        <f t="shared" ref="V27:V28" si="11">IF(Q27&lt;&gt;"",0%,"")</f>
        <v>0</v>
      </c>
      <c r="W27" s="62">
        <f t="shared" ref="W27:W28" si="12">IF(Q27&lt;&gt;"",V27*U27,"")</f>
        <v>0</v>
      </c>
      <c r="X27" s="62">
        <f t="shared" ref="X27:X28" si="13">IF(Q27&lt;&gt;"",W27+T27,"")</f>
        <v>2366.56</v>
      </c>
      <c r="Y27" s="102">
        <f t="shared" ref="Y27:Y29" si="14">IF(Q27&lt;&gt;"",X27+M27,"")</f>
        <v>2418.2525874487387</v>
      </c>
      <c r="Z27" s="56">
        <f t="shared" ref="Z27:Z28" si="15">IF(Q27&lt;&gt;"",U27/K27,"")</f>
        <v>0</v>
      </c>
      <c r="AA27" s="50">
        <f>T27/$T$29</f>
        <v>0.80993596654243283</v>
      </c>
      <c r="AE27" s="136">
        <f t="shared" si="3"/>
        <v>0</v>
      </c>
      <c r="AF27" s="137">
        <v>2366.56</v>
      </c>
      <c r="AG27" s="138" t="s">
        <v>116</v>
      </c>
    </row>
    <row r="28" spans="1:33" ht="56.1" customHeight="1" thickBot="1" x14ac:dyDescent="0.35">
      <c r="A28" s="39">
        <v>20</v>
      </c>
      <c r="B28" s="43" t="s">
        <v>106</v>
      </c>
      <c r="C28" s="94" t="s">
        <v>65</v>
      </c>
      <c r="D28" s="39" t="s">
        <v>74</v>
      </c>
      <c r="E28" s="39" t="s">
        <v>75</v>
      </c>
      <c r="F28" s="130" t="s">
        <v>95</v>
      </c>
      <c r="G28" s="131" t="s">
        <v>107</v>
      </c>
      <c r="H28" s="124">
        <v>1</v>
      </c>
      <c r="I28" s="124">
        <v>1</v>
      </c>
      <c r="J28" s="125">
        <v>771.44</v>
      </c>
      <c r="K28" s="125">
        <f t="shared" si="4"/>
        <v>771.44</v>
      </c>
      <c r="L28" s="125">
        <f t="shared" si="5"/>
        <v>69.429600000000008</v>
      </c>
      <c r="M28" s="125">
        <f t="shared" si="6"/>
        <v>16.85050438672798</v>
      </c>
      <c r="N28" s="126">
        <f t="shared" si="7"/>
        <v>857.72010438672805</v>
      </c>
      <c r="Q28" s="127">
        <f t="shared" si="8"/>
        <v>1</v>
      </c>
      <c r="R28" s="128">
        <f t="shared" si="8"/>
        <v>1</v>
      </c>
      <c r="S28" s="132">
        <v>315.7</v>
      </c>
      <c r="T28" s="64">
        <v>555.35</v>
      </c>
      <c r="U28" s="65">
        <f t="shared" si="10"/>
        <v>216.09000000000003</v>
      </c>
      <c r="V28" s="66">
        <f t="shared" si="11"/>
        <v>0</v>
      </c>
      <c r="W28" s="62">
        <f t="shared" si="12"/>
        <v>0</v>
      </c>
      <c r="X28" s="62">
        <f t="shared" si="13"/>
        <v>555.35</v>
      </c>
      <c r="Y28" s="129">
        <f t="shared" si="14"/>
        <v>572.20050438672797</v>
      </c>
      <c r="Z28" s="68">
        <f t="shared" si="15"/>
        <v>0.28011251685160221</v>
      </c>
      <c r="AA28" s="69">
        <f>T28/$T$29</f>
        <v>0.19006403345756714</v>
      </c>
      <c r="AE28" s="136">
        <f t="shared" si="3"/>
        <v>0</v>
      </c>
      <c r="AF28" s="137">
        <f>44.8+225.26+90.44+194.85</f>
        <v>555.35</v>
      </c>
      <c r="AG28" s="138" t="s">
        <v>115</v>
      </c>
    </row>
    <row r="29" spans="1:33" ht="30.9" customHeight="1" thickBot="1" x14ac:dyDescent="0.4">
      <c r="A29" s="19">
        <v>21</v>
      </c>
      <c r="B29" s="43"/>
      <c r="C29" s="42" t="s">
        <v>70</v>
      </c>
      <c r="D29" s="19"/>
      <c r="E29" s="19"/>
      <c r="F29" s="183" t="s">
        <v>96</v>
      </c>
      <c r="G29" s="184"/>
      <c r="H29" s="184"/>
      <c r="I29" s="184"/>
      <c r="J29" s="184"/>
      <c r="K29" s="118">
        <f>SUM(K27:K28)</f>
        <v>3138</v>
      </c>
      <c r="L29" s="118">
        <f>SUM(L27:L28)</f>
        <v>282.42</v>
      </c>
      <c r="M29" s="118">
        <f>SUM(M27:M28)</f>
        <v>68.543091835466655</v>
      </c>
      <c r="N29" s="103">
        <f>SUM(N27:N28)</f>
        <v>3488.9630918354669</v>
      </c>
      <c r="Q29" s="183" t="s">
        <v>96</v>
      </c>
      <c r="R29" s="184"/>
      <c r="S29" s="184"/>
      <c r="T29" s="119">
        <f>SUM(T27:T28)</f>
        <v>2921.91</v>
      </c>
      <c r="U29" s="120">
        <f>SUM(U27:U28)</f>
        <v>216.09000000000003</v>
      </c>
      <c r="V29" s="121"/>
      <c r="W29" s="121"/>
      <c r="X29" s="122">
        <f>SUM(X27:X28)</f>
        <v>2921.91</v>
      </c>
      <c r="Y29" s="117">
        <f t="shared" si="14"/>
        <v>2990.4530918354667</v>
      </c>
      <c r="Z29" s="114" t="s">
        <v>78</v>
      </c>
      <c r="AA29" s="105" t="s">
        <v>79</v>
      </c>
      <c r="AE29" s="136">
        <v>0</v>
      </c>
      <c r="AF29" s="137"/>
    </row>
    <row r="30" spans="1:33" ht="38.4" customHeight="1" thickBot="1" x14ac:dyDescent="0.5">
      <c r="A30" s="40">
        <v>22</v>
      </c>
      <c r="B30" s="108"/>
      <c r="C30" s="41" t="s">
        <v>77</v>
      </c>
      <c r="D30" s="40"/>
      <c r="E30" s="40"/>
      <c r="F30" s="77" t="s">
        <v>113</v>
      </c>
      <c r="G30" s="78"/>
      <c r="H30" s="79"/>
      <c r="I30" s="79"/>
      <c r="J30" s="78"/>
      <c r="K30" s="80">
        <f>SUM(K17:K19)+SUM(K23:K23)+SUM(K27:K28)</f>
        <v>8868</v>
      </c>
      <c r="L30" s="80">
        <f>SUM(L17:L19)+SUM(L23:L23)+SUM(L27:L28)</f>
        <v>525.42000000000007</v>
      </c>
      <c r="M30" s="80">
        <f>SUM(M17:M19)+SUM(M23:M23)+SUM(M27:M28)</f>
        <v>862.89738536100424</v>
      </c>
      <c r="N30" s="106">
        <f>SUM(N17:N19)+SUM(N23:N23)+SUM(N27:N28)</f>
        <v>10256.317385361004</v>
      </c>
      <c r="Q30" s="104" t="s">
        <v>11</v>
      </c>
      <c r="R30" s="79"/>
      <c r="S30" s="78"/>
      <c r="T30" s="80">
        <f>SUM(T17:T19)+SUM(T23:T23)+SUM(T27:T28)</f>
        <v>7371.91</v>
      </c>
      <c r="U30" s="80">
        <f>SUM(U17:U19)+SUM(U23:U23)+SUM(U27:U28)</f>
        <v>1496.0900000000001</v>
      </c>
      <c r="V30" s="78"/>
      <c r="W30" s="78"/>
      <c r="X30" s="80">
        <f>SUM(X17:X19)+SUM(X23:X23)+SUM(X27:X28)</f>
        <v>7371.91</v>
      </c>
      <c r="Y30" s="106">
        <f>SUM(Y17:Y19)+SUM(Y23:Y23)+SUM(Y27:Y28)</f>
        <v>8234.807385361004</v>
      </c>
      <c r="Z30" s="115">
        <f>IF(Q30&lt;&gt;"",(N30-Y30)/N30,"")</f>
        <v>0.19709900971720432</v>
      </c>
      <c r="AA30" s="107">
        <f>IF(Z30&lt;&gt;"",(N30-Y30),"")</f>
        <v>2021.5100000000002</v>
      </c>
      <c r="AE30" s="136">
        <f>SUM(AE17:AE29)</f>
        <v>0</v>
      </c>
      <c r="AF30" s="137">
        <f>SUM(AF17:AF29)</f>
        <v>7371.91</v>
      </c>
    </row>
    <row r="31" spans="1:33" x14ac:dyDescent="0.3">
      <c r="N31" s="133"/>
    </row>
    <row r="33" spans="31:32" ht="22.2" x14ac:dyDescent="0.45">
      <c r="AE33" s="167"/>
      <c r="AF33" s="168" t="s">
        <v>124</v>
      </c>
    </row>
    <row r="34" spans="31:32" ht="22.2" x14ac:dyDescent="0.45">
      <c r="AE34" s="169">
        <f>X30</f>
        <v>7371.91</v>
      </c>
      <c r="AF34" s="168" t="s">
        <v>125</v>
      </c>
    </row>
    <row r="35" spans="31:32" ht="22.2" x14ac:dyDescent="0.45">
      <c r="AE35" s="169">
        <f>N30-X30</f>
        <v>2884.4073853610043</v>
      </c>
      <c r="AF35" s="168" t="s">
        <v>122</v>
      </c>
    </row>
    <row r="36" spans="31:32" ht="21" x14ac:dyDescent="0.4">
      <c r="AE36" s="170">
        <f>AE35*100%/N30</f>
        <v>0.28123226661042711</v>
      </c>
      <c r="AF36" s="171"/>
    </row>
  </sheetData>
  <autoFilter ref="A1:AF14" xr:uid="{107B9E09-8154-459A-AE62-6A4242823A27}">
    <filterColumn colId="5" showButton="0"/>
  </autoFilter>
  <mergeCells count="25">
    <mergeCell ref="F20:J20"/>
    <mergeCell ref="Q20:S20"/>
    <mergeCell ref="F1:G1"/>
    <mergeCell ref="F2:G2"/>
    <mergeCell ref="Q12:T12"/>
    <mergeCell ref="AE12:AF12"/>
    <mergeCell ref="F15:N15"/>
    <mergeCell ref="Q15:Y15"/>
    <mergeCell ref="F16:K16"/>
    <mergeCell ref="Q16:Y16"/>
    <mergeCell ref="U12:X12"/>
    <mergeCell ref="AE15:AF15"/>
    <mergeCell ref="AE16:AF16"/>
    <mergeCell ref="F21:N21"/>
    <mergeCell ref="Q21:Y21"/>
    <mergeCell ref="F22:K22"/>
    <mergeCell ref="Q22:Y22"/>
    <mergeCell ref="F24:J24"/>
    <mergeCell ref="Q24:S24"/>
    <mergeCell ref="F29:J29"/>
    <mergeCell ref="Q29:S29"/>
    <mergeCell ref="F25:N25"/>
    <mergeCell ref="Q25:Y25"/>
    <mergeCell ref="F26:K26"/>
    <mergeCell ref="Q26:Y26"/>
  </mergeCells>
  <dataValidations count="3">
    <dataValidation type="list" allowBlank="1" showInputMessage="1" showErrorMessage="1" sqref="E17:E20 E23 E27:E28" xr:uid="{929887DC-7D05-4145-B5ED-C6DF97AE69FC}">
      <formula1>"FAT.OGGI,FAT.CLIENTE"</formula1>
    </dataValidation>
    <dataValidation type="list" allowBlank="1" showInputMessage="1" showErrorMessage="1" sqref="D17:D20 D23 D30 D27:D28" xr:uid="{0EF484B7-F620-4084-88A1-BEE4D2C001C9}">
      <formula1>"INTERNO,OPERACIONAL"</formula1>
    </dataValidation>
    <dataValidation type="list" allowBlank="1" showInputMessage="1" showErrorMessage="1" sqref="E30" xr:uid="{1B483F8C-E003-4FCD-B777-1D033DF819C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6" t="s">
        <v>9</v>
      </c>
      <c r="B1" s="226"/>
      <c r="C1" s="226"/>
      <c r="D1" s="228" t="s">
        <v>16</v>
      </c>
      <c r="E1" s="228"/>
      <c r="F1" s="228"/>
      <c r="G1" s="228"/>
      <c r="H1" s="228"/>
      <c r="I1" s="228"/>
      <c r="J1" s="10" t="s">
        <v>9</v>
      </c>
      <c r="K1" s="10" t="s">
        <v>9</v>
      </c>
      <c r="L1" s="10" t="s">
        <v>9</v>
      </c>
      <c r="M1" s="10" t="s">
        <v>9</v>
      </c>
      <c r="N1" s="10" t="s">
        <v>9</v>
      </c>
      <c r="O1" s="11" t="s">
        <v>9</v>
      </c>
    </row>
    <row r="2" spans="1:15" x14ac:dyDescent="0.3">
      <c r="A2" s="227"/>
      <c r="B2" s="227"/>
      <c r="C2" s="227"/>
      <c r="D2" s="226" t="s">
        <v>17</v>
      </c>
      <c r="E2" s="226"/>
      <c r="F2" s="226"/>
      <c r="G2" s="226"/>
      <c r="H2" s="226"/>
      <c r="I2" s="226"/>
      <c r="J2" s="10"/>
      <c r="K2" s="10"/>
      <c r="L2" s="10"/>
      <c r="M2" s="10"/>
      <c r="N2" s="10"/>
      <c r="O2" s="229" t="s">
        <v>18</v>
      </c>
    </row>
    <row r="3" spans="1:15" x14ac:dyDescent="0.3">
      <c r="A3" s="227"/>
      <c r="B3" s="227"/>
      <c r="C3" s="227"/>
      <c r="D3" s="226" t="s">
        <v>19</v>
      </c>
      <c r="E3" s="226"/>
      <c r="F3" s="226"/>
      <c r="G3" s="226"/>
      <c r="H3" s="226"/>
      <c r="I3" s="226"/>
      <c r="J3" s="10"/>
      <c r="K3" s="10"/>
      <c r="L3" s="10"/>
      <c r="M3" s="10"/>
      <c r="N3" s="10"/>
      <c r="O3" s="230"/>
    </row>
    <row r="4" spans="1:15" x14ac:dyDescent="0.3">
      <c r="A4" s="227"/>
      <c r="B4" s="227"/>
      <c r="C4" s="227"/>
      <c r="D4" s="226" t="s">
        <v>20</v>
      </c>
      <c r="E4" s="226"/>
      <c r="F4" s="226"/>
      <c r="G4" s="226"/>
      <c r="H4" s="226"/>
      <c r="I4" s="226"/>
      <c r="J4" s="10"/>
      <c r="K4" s="10"/>
      <c r="L4" s="10"/>
      <c r="M4" s="10"/>
      <c r="N4" s="10"/>
      <c r="O4" s="230"/>
    </row>
    <row r="5" spans="1:15" x14ac:dyDescent="0.3">
      <c r="A5" s="227"/>
      <c r="B5" s="227"/>
      <c r="C5" s="227"/>
      <c r="D5" s="226" t="s">
        <v>21</v>
      </c>
      <c r="E5" s="226"/>
      <c r="F5" s="226"/>
      <c r="G5" s="226"/>
      <c r="H5" s="226"/>
      <c r="I5" s="226"/>
      <c r="J5" s="10"/>
      <c r="K5" s="10"/>
      <c r="L5" s="10"/>
      <c r="M5" s="10"/>
      <c r="N5" s="10"/>
      <c r="O5" s="230"/>
    </row>
    <row r="6" spans="1:15" x14ac:dyDescent="0.3">
      <c r="A6" s="227"/>
      <c r="B6" s="227"/>
      <c r="C6" s="227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230"/>
    </row>
    <row r="7" spans="1:15" x14ac:dyDescent="0.3">
      <c r="A7" s="227"/>
      <c r="B7" s="227"/>
      <c r="C7" s="227"/>
      <c r="D7" s="226" t="s">
        <v>22</v>
      </c>
      <c r="E7" s="226"/>
      <c r="F7" s="226"/>
      <c r="G7" s="226"/>
      <c r="H7" s="226"/>
      <c r="I7" s="226"/>
      <c r="J7" s="10"/>
      <c r="K7" s="10"/>
      <c r="L7" s="10"/>
      <c r="M7" s="10"/>
      <c r="N7" s="10"/>
      <c r="O7" s="12">
        <v>45264.482613275461</v>
      </c>
    </row>
    <row r="8" spans="1:15" x14ac:dyDescent="0.3">
      <c r="A8" s="225" t="s">
        <v>23</v>
      </c>
      <c r="B8" s="225"/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</row>
    <row r="9" spans="1:15" ht="27.6" x14ac:dyDescent="0.3">
      <c r="A9" s="13" t="s">
        <v>24</v>
      </c>
      <c r="B9" s="13" t="s">
        <v>25</v>
      </c>
      <c r="C9" s="13" t="s">
        <v>26</v>
      </c>
      <c r="D9" s="13" t="s">
        <v>12</v>
      </c>
      <c r="E9" s="13" t="s">
        <v>27</v>
      </c>
      <c r="F9" s="13" t="s">
        <v>28</v>
      </c>
      <c r="G9" s="13" t="s">
        <v>10</v>
      </c>
      <c r="H9" s="13" t="s">
        <v>29</v>
      </c>
      <c r="I9" s="13" t="s">
        <v>30</v>
      </c>
      <c r="J9" s="13" t="s">
        <v>28</v>
      </c>
      <c r="K9" s="13" t="s">
        <v>31</v>
      </c>
      <c r="L9" s="13" t="s">
        <v>32</v>
      </c>
      <c r="M9" s="13" t="s">
        <v>33</v>
      </c>
      <c r="N9" s="13" t="s">
        <v>34</v>
      </c>
      <c r="O9" s="14" t="s">
        <v>35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RESUMO</vt:lpstr>
      <vt:lpstr>One Supply Chain</vt:lpstr>
      <vt:lpstr>ItensOrc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2026-06-18T14:50:37Z</cp:lastPrinted>
  <dcterms:created xsi:type="dcterms:W3CDTF">2023-09-21T21:02:20Z</dcterms:created>
  <dcterms:modified xsi:type="dcterms:W3CDTF">2026-06-26T20:27:57Z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