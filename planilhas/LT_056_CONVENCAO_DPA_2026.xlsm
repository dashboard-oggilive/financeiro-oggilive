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3 março\"/>
    </mc:Choice>
  </mc:AlternateContent>
  <xr:revisionPtr revIDLastSave="0" documentId="13_ncr:1_{1C6762B9-5471-459F-A08A-60DD96185894}" xr6:coauthVersionLast="47" xr6:coauthVersionMax="47" xr10:uidLastSave="{00000000-0000-0000-0000-000000000000}"/>
  <bookViews>
    <workbookView xWindow="28692" yWindow="-108" windowWidth="29016" windowHeight="15696" tabRatio="718" xr2:uid="{83D4A4F0-59AC-45D6-BDA2-9A1B100CD857}"/>
  </bookViews>
  <sheets>
    <sheet name="RESUMO" sheetId="110" r:id="rId1"/>
    <sheet name="Principal.V1" sheetId="103" r:id="rId2"/>
    <sheet name="Itens Novos" sheetId="102" r:id="rId3"/>
    <sheet name="Atração" sheetId="99" r:id="rId4"/>
    <sheet name="Bourbon" sheetId="89" r:id="rId5"/>
    <sheet name="Extra 1" sheetId="104" r:id="rId6"/>
    <sheet name="Extra 2" sheetId="105" r:id="rId7"/>
    <sheet name="Extra 3" sheetId="108" r:id="rId8"/>
    <sheet name="Transfer" sheetId="109" r:id="rId9"/>
    <sheet name="CUSTOS OPERACIONAIS " sheetId="111" r:id="rId10"/>
    <sheet name="TOTAL" sheetId="91" r:id="rId11"/>
    <sheet name="Solicitações de Pagamento" sheetId="4" r:id="rId12"/>
    <sheet name="Ativações" sheetId="112" r:id="rId13"/>
    <sheet name="Galbani" sheetId="113" r:id="rId14"/>
    <sheet name="Galbani - Hotel" sheetId="114" r:id="rId15"/>
    <sheet name="Triplo Zero" sheetId="115" r:id="rId16"/>
    <sheet name="Extras" sheetId="116" r:id="rId17"/>
    <sheet name="Template SP" sheetId="3" state="hidden" r:id="rId18"/>
  </sheets>
  <externalReferences>
    <externalReference r:id="rId19"/>
  </externalReferences>
  <definedNames>
    <definedName name="_xlnm._FilterDatabase" localSheetId="12" hidden="1">Ativações!#REF!</definedName>
    <definedName name="_xlnm._FilterDatabase" localSheetId="3" hidden="1">Atração!#REF!</definedName>
    <definedName name="_xlnm._FilterDatabase" localSheetId="4" hidden="1">Bourbon!$A$17:$AN$17</definedName>
    <definedName name="_xlnm._FilterDatabase" localSheetId="5" hidden="1">'Extra 1'!#REF!</definedName>
    <definedName name="_xlnm._FilterDatabase" localSheetId="6" hidden="1">'Extra 2'!#REF!</definedName>
    <definedName name="_xlnm._FilterDatabase" localSheetId="7" hidden="1">'Extra 3'!$A$17:$AM$17</definedName>
    <definedName name="_xlnm._FilterDatabase" localSheetId="16" hidden="1">Extras!#REF!</definedName>
    <definedName name="_xlnm._FilterDatabase" localSheetId="13" hidden="1">Galbani!#REF!</definedName>
    <definedName name="_xlnm._FilterDatabase" localSheetId="14" hidden="1">'Galbani - Hotel'!#REF!</definedName>
    <definedName name="_xlnm._FilterDatabase" localSheetId="2" hidden="1">'Itens Novos'!$A$17:$AM$17</definedName>
    <definedName name="_xlnm._FilterDatabase" localSheetId="1" hidden="1">Principal.V1!$A$17:$AM$107</definedName>
    <definedName name="_xlnm._FilterDatabase" localSheetId="0" hidden="1">RESUMO!$B$42:$F$42</definedName>
    <definedName name="_xlnm._FilterDatabase" localSheetId="10" hidden="1">TOTAL!#REF!</definedName>
    <definedName name="_xlnm._FilterDatabase" localSheetId="8" hidden="1">Transfer!$A$17:$AM$17</definedName>
    <definedName name="_xlnm._FilterDatabase" localSheetId="15" hidden="1">'Triplo Zero'!#REF!</definedName>
    <definedName name="_xleta.AND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>#REF!</definedName>
    <definedName name="itensorc_descricao">#REF!</definedName>
    <definedName name="itensorc_encargos">#REF!</definedName>
    <definedName name="itensorc_especifica">#REF!</definedName>
    <definedName name="itensorc_item">#REF!</definedName>
    <definedName name="itensorc_lancamento">#REF!</definedName>
    <definedName name="itensorc_percentualhonorarios">#REF!</definedName>
    <definedName name="itensorc_quantidade">#REF!</definedName>
    <definedName name="itensorc_situacao">#REF!</definedName>
    <definedName name="itensorc_subtipo">#REF!</definedName>
    <definedName name="itensorc_tiporeceita">#REF!</definedName>
    <definedName name="itensorc_valor">#REF!</definedName>
    <definedName name="itensorc_valorfornecedor">#REF!</definedName>
    <definedName name="itensorc_valorfornecedorunitario">#REF!</definedName>
    <definedName name="itensorc_valorunitari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" i="110" l="1"/>
  <c r="E62" i="110"/>
  <c r="D62" i="110"/>
  <c r="C62" i="110"/>
  <c r="D61" i="110"/>
  <c r="D60" i="110"/>
  <c r="D59" i="110"/>
  <c r="D58" i="110"/>
  <c r="D57" i="110"/>
  <c r="D56" i="110"/>
  <c r="D55" i="110"/>
  <c r="D54" i="110"/>
  <c r="D53" i="110"/>
  <c r="D52" i="110"/>
  <c r="D51" i="110"/>
  <c r="D43" i="110"/>
  <c r="A41" i="110"/>
  <c r="AL17" i="89"/>
  <c r="C63" i="110"/>
  <c r="E56" i="110"/>
  <c r="E55" i="110"/>
  <c r="E54" i="110"/>
  <c r="E53" i="110"/>
  <c r="E52" i="110"/>
  <c r="E51" i="110"/>
  <c r="E61" i="110"/>
  <c r="F61" i="110" s="1"/>
  <c r="F53" i="110"/>
  <c r="F52" i="110"/>
  <c r="E58" i="110"/>
  <c r="F58" i="110" s="1"/>
  <c r="C35" i="110"/>
  <c r="E30" i="110"/>
  <c r="F30" i="110" s="1"/>
  <c r="E31" i="110"/>
  <c r="F31" i="110" s="1"/>
  <c r="E32" i="110"/>
  <c r="F32" i="110" s="1"/>
  <c r="E33" i="110"/>
  <c r="F33" i="110"/>
  <c r="E34" i="110"/>
  <c r="F34" i="110" s="1"/>
  <c r="C34" i="110"/>
  <c r="X18" i="112"/>
  <c r="X19" i="112" s="1"/>
  <c r="C33" i="110"/>
  <c r="C32" i="110"/>
  <c r="C31" i="110"/>
  <c r="C30" i="110"/>
  <c r="V20" i="116"/>
  <c r="R20" i="116"/>
  <c r="T20" i="116" s="1"/>
  <c r="K20" i="116"/>
  <c r="V19" i="116"/>
  <c r="T19" i="116"/>
  <c r="AA19" i="116" s="1"/>
  <c r="K19" i="116"/>
  <c r="R18" i="116"/>
  <c r="Q18" i="116"/>
  <c r="K18" i="116"/>
  <c r="V17" i="116"/>
  <c r="R17" i="116"/>
  <c r="T17" i="116" s="1"/>
  <c r="K17" i="116"/>
  <c r="Q16" i="116"/>
  <c r="Q15" i="116"/>
  <c r="M14" i="116"/>
  <c r="Z12" i="116"/>
  <c r="M10" i="116"/>
  <c r="V34" i="115"/>
  <c r="T34" i="115"/>
  <c r="K34" i="115"/>
  <c r="V33" i="115"/>
  <c r="T33" i="115"/>
  <c r="K33" i="115"/>
  <c r="V32" i="115"/>
  <c r="T32" i="115"/>
  <c r="K32" i="115"/>
  <c r="Q31" i="115"/>
  <c r="K31" i="115"/>
  <c r="R30" i="115"/>
  <c r="Q30" i="115"/>
  <c r="K30" i="115"/>
  <c r="Q29" i="115"/>
  <c r="R27" i="115"/>
  <c r="Q27" i="115"/>
  <c r="K27" i="115"/>
  <c r="R26" i="115"/>
  <c r="Q26" i="115"/>
  <c r="K26" i="115"/>
  <c r="R25" i="115"/>
  <c r="Q25" i="115"/>
  <c r="K25" i="115"/>
  <c r="Q24" i="115"/>
  <c r="Q22" i="115"/>
  <c r="K22" i="115"/>
  <c r="Q21" i="115"/>
  <c r="K21" i="115"/>
  <c r="Q20" i="115"/>
  <c r="K20" i="115"/>
  <c r="L20" i="115" s="1"/>
  <c r="Q19" i="115"/>
  <c r="K19" i="115"/>
  <c r="Q18" i="115"/>
  <c r="K18" i="115"/>
  <c r="R17" i="115"/>
  <c r="Q17" i="115"/>
  <c r="K17" i="115"/>
  <c r="Q16" i="115"/>
  <c r="Q15" i="115"/>
  <c r="M14" i="115"/>
  <c r="Z12" i="115"/>
  <c r="M10" i="115"/>
  <c r="S19" i="114"/>
  <c r="R19" i="114"/>
  <c r="Q19" i="114"/>
  <c r="K19" i="114"/>
  <c r="S18" i="114"/>
  <c r="R18" i="114"/>
  <c r="Q18" i="114"/>
  <c r="K18" i="114"/>
  <c r="S17" i="114"/>
  <c r="R17" i="114"/>
  <c r="Q17" i="114"/>
  <c r="K17" i="114"/>
  <c r="Q16" i="114"/>
  <c r="Q15" i="114"/>
  <c r="M14" i="114"/>
  <c r="Z12" i="114"/>
  <c r="M10" i="114"/>
  <c r="T29" i="113"/>
  <c r="S29" i="113"/>
  <c r="T27" i="113"/>
  <c r="S27" i="113"/>
  <c r="V22" i="113"/>
  <c r="T22" i="113"/>
  <c r="K22" i="113"/>
  <c r="V21" i="113"/>
  <c r="R21" i="113"/>
  <c r="T21" i="113" s="1"/>
  <c r="AA21" i="113" s="1"/>
  <c r="K21" i="113"/>
  <c r="R20" i="113"/>
  <c r="Q20" i="113"/>
  <c r="K20" i="113"/>
  <c r="R19" i="113"/>
  <c r="Q19" i="113"/>
  <c r="L19" i="113"/>
  <c r="K19" i="113"/>
  <c r="R18" i="113"/>
  <c r="Q18" i="113"/>
  <c r="K18" i="113"/>
  <c r="S17" i="113"/>
  <c r="S28" i="113" s="1"/>
  <c r="R17" i="113"/>
  <c r="Q17" i="113"/>
  <c r="K17" i="113"/>
  <c r="Q16" i="113"/>
  <c r="Q15" i="113"/>
  <c r="M14" i="113"/>
  <c r="Z12" i="113"/>
  <c r="M10" i="113"/>
  <c r="R50" i="112"/>
  <c r="Q50" i="112"/>
  <c r="K50" i="112"/>
  <c r="R49" i="112"/>
  <c r="Q49" i="112"/>
  <c r="K49" i="112"/>
  <c r="R48" i="112"/>
  <c r="Q48" i="112"/>
  <c r="K48" i="112"/>
  <c r="V47" i="112"/>
  <c r="T47" i="112"/>
  <c r="R47" i="112"/>
  <c r="K47" i="112"/>
  <c r="Q46" i="112"/>
  <c r="Q45" i="112"/>
  <c r="V43" i="112"/>
  <c r="T43" i="112"/>
  <c r="K43" i="112"/>
  <c r="Q42" i="112"/>
  <c r="Q41" i="112"/>
  <c r="Q39" i="112"/>
  <c r="K39" i="112"/>
  <c r="S38" i="112"/>
  <c r="R38" i="112"/>
  <c r="Q38" i="112"/>
  <c r="K38" i="112"/>
  <c r="S37" i="112"/>
  <c r="R37" i="112"/>
  <c r="Q37" i="112"/>
  <c r="K37" i="112"/>
  <c r="Q36" i="112"/>
  <c r="Q35" i="112"/>
  <c r="R33" i="112"/>
  <c r="Q33" i="112"/>
  <c r="K33" i="112"/>
  <c r="S32" i="112"/>
  <c r="R32" i="112"/>
  <c r="Q32" i="112"/>
  <c r="L32" i="112"/>
  <c r="K32" i="112"/>
  <c r="R31" i="112"/>
  <c r="Q31" i="112"/>
  <c r="K31" i="112"/>
  <c r="S30" i="112"/>
  <c r="R30" i="112"/>
  <c r="Q30" i="112"/>
  <c r="K30" i="112"/>
  <c r="Q29" i="112"/>
  <c r="Q28" i="112"/>
  <c r="Q26" i="112"/>
  <c r="K26" i="112"/>
  <c r="R25" i="112"/>
  <c r="Q25" i="112"/>
  <c r="K25" i="112"/>
  <c r="S24" i="112"/>
  <c r="R24" i="112"/>
  <c r="Q24" i="112"/>
  <c r="K24" i="112"/>
  <c r="R23" i="112"/>
  <c r="Q23" i="112"/>
  <c r="K23" i="112"/>
  <c r="V22" i="112"/>
  <c r="R22" i="112"/>
  <c r="T22" i="112" s="1"/>
  <c r="Q22" i="112"/>
  <c r="K22" i="112"/>
  <c r="Q21" i="112"/>
  <c r="Q20" i="112"/>
  <c r="R18" i="112"/>
  <c r="Q18" i="112"/>
  <c r="K18" i="112"/>
  <c r="R17" i="112"/>
  <c r="Q17" i="112"/>
  <c r="K17" i="112"/>
  <c r="Q16" i="112"/>
  <c r="Q15" i="112"/>
  <c r="M14" i="112"/>
  <c r="Z12" i="112"/>
  <c r="M10" i="112"/>
  <c r="F54" i="110"/>
  <c r="F55" i="110"/>
  <c r="F56" i="110"/>
  <c r="E57" i="110"/>
  <c r="F57" i="110" s="1"/>
  <c r="E59" i="110"/>
  <c r="F59" i="110" s="1"/>
  <c r="E60" i="110"/>
  <c r="F60" i="110" s="1"/>
  <c r="F51" i="110"/>
  <c r="AL35" i="109"/>
  <c r="X18" i="104"/>
  <c r="X37" i="104" s="1"/>
  <c r="AK17" i="104"/>
  <c r="T37" i="104"/>
  <c r="AL17" i="104"/>
  <c r="AL37" i="104"/>
  <c r="AL89" i="89"/>
  <c r="AL23" i="103"/>
  <c r="AL38" i="103"/>
  <c r="AL95" i="103"/>
  <c r="AL36" i="103"/>
  <c r="AL97" i="103"/>
  <c r="AL96" i="103"/>
  <c r="AL89" i="103"/>
  <c r="AL17" i="99"/>
  <c r="AK21" i="105"/>
  <c r="AL17" i="109"/>
  <c r="AL18" i="102"/>
  <c r="AL28" i="109"/>
  <c r="AL28" i="103"/>
  <c r="AL37" i="103"/>
  <c r="AL103" i="103"/>
  <c r="AL99" i="103"/>
  <c r="AL17" i="103"/>
  <c r="AL29" i="104"/>
  <c r="AL24" i="103"/>
  <c r="H27" i="111"/>
  <c r="AL105" i="103" s="1"/>
  <c r="C28" i="110"/>
  <c r="AL44" i="108"/>
  <c r="AK30" i="108"/>
  <c r="AK19" i="108"/>
  <c r="AK20" i="108"/>
  <c r="AK22" i="108"/>
  <c r="AK23" i="108"/>
  <c r="AK24" i="108"/>
  <c r="AK25" i="108"/>
  <c r="AK28" i="108"/>
  <c r="AK29" i="108"/>
  <c r="AK31" i="108"/>
  <c r="AK32" i="108"/>
  <c r="AK33" i="108"/>
  <c r="AK34" i="108"/>
  <c r="AK35" i="108"/>
  <c r="AK36" i="108"/>
  <c r="AK37" i="108"/>
  <c r="AK38" i="108"/>
  <c r="AK39" i="108"/>
  <c r="AK40" i="108"/>
  <c r="AK42" i="108"/>
  <c r="AK17" i="108"/>
  <c r="C27" i="110"/>
  <c r="AK20" i="105"/>
  <c r="AK25" i="105"/>
  <c r="AK26" i="105"/>
  <c r="AK17" i="105"/>
  <c r="C26" i="110"/>
  <c r="AK21" i="104"/>
  <c r="AK22" i="104"/>
  <c r="AK26" i="104"/>
  <c r="AK32" i="104"/>
  <c r="C25" i="110"/>
  <c r="C24" i="110"/>
  <c r="C23" i="110"/>
  <c r="AL19" i="99"/>
  <c r="AL30" i="102"/>
  <c r="AK20" i="102"/>
  <c r="AK22" i="102"/>
  <c r="AK23" i="102"/>
  <c r="AK24" i="102"/>
  <c r="AK25" i="102"/>
  <c r="AK27" i="102"/>
  <c r="E3" i="110"/>
  <c r="R26" i="102"/>
  <c r="S105" i="103"/>
  <c r="S21" i="103"/>
  <c r="S26" i="108"/>
  <c r="S38" i="103"/>
  <c r="L20" i="116" l="1"/>
  <c r="U20" i="116"/>
  <c r="U19" i="116"/>
  <c r="L19" i="116"/>
  <c r="V18" i="116"/>
  <c r="T18" i="116"/>
  <c r="AA18" i="116" s="1"/>
  <c r="U18" i="116"/>
  <c r="Z18" i="116" s="1"/>
  <c r="W18" i="116"/>
  <c r="X18" i="116" s="1"/>
  <c r="Y18" i="116" s="1"/>
  <c r="L18" i="116"/>
  <c r="M18" i="116"/>
  <c r="N18" i="116" s="1"/>
  <c r="AA17" i="116"/>
  <c r="T21" i="116"/>
  <c r="AA20" i="116" s="1"/>
  <c r="T22" i="116"/>
  <c r="U17" i="116"/>
  <c r="K22" i="116"/>
  <c r="K21" i="116"/>
  <c r="L17" i="116"/>
  <c r="U34" i="115"/>
  <c r="L34" i="115"/>
  <c r="M34" i="115"/>
  <c r="N34" i="115" s="1"/>
  <c r="U33" i="115"/>
  <c r="L33" i="115"/>
  <c r="U32" i="115"/>
  <c r="L32" i="115"/>
  <c r="V31" i="115"/>
  <c r="T31" i="115"/>
  <c r="U31" i="115" s="1"/>
  <c r="M31" i="115"/>
  <c r="L31" i="115"/>
  <c r="N31" i="115" s="1"/>
  <c r="V30" i="115"/>
  <c r="W30" i="115" s="1"/>
  <c r="X30" i="115" s="1"/>
  <c r="U30" i="115"/>
  <c r="Z30" i="115" s="1"/>
  <c r="T30" i="115"/>
  <c r="L30" i="115"/>
  <c r="K35" i="115"/>
  <c r="V27" i="115"/>
  <c r="T27" i="115"/>
  <c r="U27" i="115" s="1"/>
  <c r="L27" i="115"/>
  <c r="T26" i="115"/>
  <c r="V26" i="115"/>
  <c r="W26" i="115" s="1"/>
  <c r="X26" i="115" s="1"/>
  <c r="Y26" i="115" s="1"/>
  <c r="U26" i="115"/>
  <c r="Z26" i="115"/>
  <c r="L26" i="115"/>
  <c r="N26" i="115" s="1"/>
  <c r="M26" i="115"/>
  <c r="K28" i="115"/>
  <c r="V25" i="115"/>
  <c r="T25" i="115"/>
  <c r="U25" i="115" s="1"/>
  <c r="L25" i="115"/>
  <c r="V22" i="115"/>
  <c r="T22" i="115"/>
  <c r="U22" i="115" s="1"/>
  <c r="Z22" i="115" s="1"/>
  <c r="L22" i="115"/>
  <c r="M22" i="115" s="1"/>
  <c r="N22" i="115" s="1"/>
  <c r="V21" i="115"/>
  <c r="T21" i="115"/>
  <c r="U21" i="115"/>
  <c r="L21" i="115"/>
  <c r="V20" i="115"/>
  <c r="T20" i="115"/>
  <c r="U20" i="115" s="1"/>
  <c r="M20" i="115"/>
  <c r="N20" i="115" s="1"/>
  <c r="T19" i="115"/>
  <c r="U19" i="115" s="1"/>
  <c r="Z19" i="115" s="1"/>
  <c r="V19" i="115"/>
  <c r="W19" i="115" s="1"/>
  <c r="X19" i="115" s="1"/>
  <c r="Y19" i="115" s="1"/>
  <c r="L19" i="115"/>
  <c r="N19" i="115" s="1"/>
  <c r="M19" i="115"/>
  <c r="T18" i="115"/>
  <c r="U18" i="115" s="1"/>
  <c r="V18" i="115"/>
  <c r="L18" i="115"/>
  <c r="M18" i="115"/>
  <c r="N18" i="115" s="1"/>
  <c r="V17" i="115"/>
  <c r="T17" i="115"/>
  <c r="U17" i="115" s="1"/>
  <c r="L17" i="115"/>
  <c r="K36" i="115"/>
  <c r="K23" i="115"/>
  <c r="T19" i="114"/>
  <c r="V19" i="114"/>
  <c r="L19" i="114"/>
  <c r="V18" i="114"/>
  <c r="T18" i="114"/>
  <c r="L18" i="114"/>
  <c r="T17" i="114"/>
  <c r="U17" i="114" s="1"/>
  <c r="V17" i="114"/>
  <c r="L17" i="114"/>
  <c r="K20" i="114"/>
  <c r="M17" i="114"/>
  <c r="K21" i="114"/>
  <c r="N17" i="114"/>
  <c r="U22" i="113"/>
  <c r="L22" i="113"/>
  <c r="M22" i="113"/>
  <c r="N22" i="113" s="1"/>
  <c r="U21" i="113"/>
  <c r="L21" i="113"/>
  <c r="V20" i="113"/>
  <c r="T20" i="113"/>
  <c r="M20" i="113"/>
  <c r="L20" i="113"/>
  <c r="N20" i="113" s="1"/>
  <c r="T19" i="113"/>
  <c r="U19" i="113"/>
  <c r="Z19" i="113"/>
  <c r="V19" i="113"/>
  <c r="W19" i="113" s="1"/>
  <c r="X19" i="113" s="1"/>
  <c r="Y19" i="113" s="1"/>
  <c r="M19" i="113"/>
  <c r="N19" i="113" s="1"/>
  <c r="V18" i="113"/>
  <c r="T18" i="113"/>
  <c r="U18" i="113"/>
  <c r="L18" i="113"/>
  <c r="T17" i="113"/>
  <c r="U17" i="113" s="1"/>
  <c r="V17" i="113"/>
  <c r="L17" i="113"/>
  <c r="K24" i="113"/>
  <c r="M17" i="113"/>
  <c r="N17" i="113" s="1"/>
  <c r="K23" i="113"/>
  <c r="S30" i="113"/>
  <c r="V50" i="112"/>
  <c r="T50" i="112"/>
  <c r="L50" i="112"/>
  <c r="T49" i="112"/>
  <c r="AA49" i="112" s="1"/>
  <c r="U49" i="112"/>
  <c r="V49" i="112"/>
  <c r="W49" i="112" s="1"/>
  <c r="X49" i="112" s="1"/>
  <c r="Z49" i="112"/>
  <c r="L49" i="112"/>
  <c r="T48" i="112"/>
  <c r="V48" i="112"/>
  <c r="L48" i="112"/>
  <c r="N48" i="112" s="1"/>
  <c r="M48" i="112"/>
  <c r="AA47" i="112"/>
  <c r="L47" i="112"/>
  <c r="M47" i="112"/>
  <c r="U47" i="112"/>
  <c r="K51" i="112"/>
  <c r="N47" i="112"/>
  <c r="T44" i="112"/>
  <c r="AA43" i="112"/>
  <c r="K44" i="112"/>
  <c r="U43" i="112"/>
  <c r="L43" i="112"/>
  <c r="V39" i="112"/>
  <c r="W39" i="112" s="1"/>
  <c r="X39" i="112" s="1"/>
  <c r="T39" i="112"/>
  <c r="U39" i="112" s="1"/>
  <c r="Z39" i="112" s="1"/>
  <c r="L39" i="112"/>
  <c r="T38" i="112"/>
  <c r="AA38" i="112" s="1"/>
  <c r="V38" i="112"/>
  <c r="U38" i="112"/>
  <c r="L38" i="112"/>
  <c r="M38" i="112"/>
  <c r="N38" i="112"/>
  <c r="T37" i="112"/>
  <c r="V37" i="112"/>
  <c r="U37" i="112"/>
  <c r="K40" i="112"/>
  <c r="L37" i="112"/>
  <c r="M37" i="112"/>
  <c r="V33" i="112"/>
  <c r="T33" i="112"/>
  <c r="AA33" i="112" s="1"/>
  <c r="U33" i="112"/>
  <c r="L33" i="112"/>
  <c r="N33" i="112" s="1"/>
  <c r="M33" i="112"/>
  <c r="V32" i="112"/>
  <c r="T32" i="112"/>
  <c r="AA32" i="112" s="1"/>
  <c r="U32" i="112"/>
  <c r="M32" i="112"/>
  <c r="N32" i="112" s="1"/>
  <c r="V31" i="112"/>
  <c r="T31" i="112"/>
  <c r="L31" i="112"/>
  <c r="N31" i="112" s="1"/>
  <c r="M31" i="112"/>
  <c r="V30" i="112"/>
  <c r="T30" i="112"/>
  <c r="U30" i="112" s="1"/>
  <c r="K34" i="112"/>
  <c r="L30" i="112"/>
  <c r="L34" i="112" s="1"/>
  <c r="M30" i="112"/>
  <c r="N30" i="112" s="1"/>
  <c r="N34" i="112" s="1"/>
  <c r="V26" i="112"/>
  <c r="T26" i="112"/>
  <c r="U26" i="112" s="1"/>
  <c r="Z26" i="112" s="1"/>
  <c r="L26" i="112"/>
  <c r="V25" i="112"/>
  <c r="U25" i="112"/>
  <c r="L25" i="112"/>
  <c r="V24" i="112"/>
  <c r="T24" i="112"/>
  <c r="U24" i="112"/>
  <c r="Z24" i="112"/>
  <c r="W24" i="112"/>
  <c r="X24" i="112" s="1"/>
  <c r="L24" i="112"/>
  <c r="V23" i="112"/>
  <c r="T23" i="112"/>
  <c r="U23" i="112" s="1"/>
  <c r="L23" i="112"/>
  <c r="M23" i="112"/>
  <c r="N23" i="112"/>
  <c r="K27" i="112"/>
  <c r="U22" i="112"/>
  <c r="L22" i="112"/>
  <c r="V18" i="112"/>
  <c r="T18" i="112"/>
  <c r="AA18" i="112" s="1"/>
  <c r="U18" i="112"/>
  <c r="L18" i="112"/>
  <c r="V17" i="112"/>
  <c r="T17" i="112"/>
  <c r="U17" i="112" s="1"/>
  <c r="Z17" i="112" s="1"/>
  <c r="K52" i="112"/>
  <c r="K19" i="112"/>
  <c r="L17" i="112"/>
  <c r="AL107" i="103"/>
  <c r="S28" i="102"/>
  <c r="W20" i="116" l="1"/>
  <c r="X20" i="116" s="1"/>
  <c r="Z20" i="116"/>
  <c r="W19" i="116"/>
  <c r="X19" i="116" s="1"/>
  <c r="Z19" i="116"/>
  <c r="W17" i="116"/>
  <c r="X17" i="116" s="1"/>
  <c r="U22" i="116"/>
  <c r="Z17" i="116"/>
  <c r="U21" i="116"/>
  <c r="L22" i="116"/>
  <c r="L21" i="116"/>
  <c r="M20" i="116"/>
  <c r="N20" i="116" s="1"/>
  <c r="M19" i="116"/>
  <c r="N19" i="116" s="1"/>
  <c r="M17" i="116"/>
  <c r="N17" i="116" s="1"/>
  <c r="W34" i="115"/>
  <c r="X34" i="115" s="1"/>
  <c r="Y34" i="115" s="1"/>
  <c r="Z34" i="115"/>
  <c r="W33" i="115"/>
  <c r="X33" i="115" s="1"/>
  <c r="Z33" i="115"/>
  <c r="W32" i="115"/>
  <c r="X32" i="115" s="1"/>
  <c r="Z32" i="115"/>
  <c r="T35" i="115"/>
  <c r="T28" i="115"/>
  <c r="AD21" i="115"/>
  <c r="U23" i="115"/>
  <c r="U36" i="115"/>
  <c r="T23" i="115"/>
  <c r="T36" i="115"/>
  <c r="L23" i="115"/>
  <c r="L36" i="115"/>
  <c r="M33" i="115"/>
  <c r="N33" i="115"/>
  <c r="M32" i="115"/>
  <c r="N32" i="115" s="1"/>
  <c r="U35" i="115"/>
  <c r="W31" i="115"/>
  <c r="X31" i="115" s="1"/>
  <c r="Y31" i="115" s="1"/>
  <c r="Z31" i="115"/>
  <c r="X35" i="115"/>
  <c r="L35" i="115"/>
  <c r="M30" i="115"/>
  <c r="Y30" i="115" s="1"/>
  <c r="W27" i="115"/>
  <c r="X27" i="115" s="1"/>
  <c r="Z27" i="115"/>
  <c r="M27" i="115"/>
  <c r="N27" i="115"/>
  <c r="Z25" i="115"/>
  <c r="U28" i="115"/>
  <c r="L28" i="115"/>
  <c r="M25" i="115"/>
  <c r="W21" i="115"/>
  <c r="X21" i="115" s="1"/>
  <c r="Z21" i="115"/>
  <c r="M21" i="115"/>
  <c r="N21" i="115"/>
  <c r="W20" i="115"/>
  <c r="X20" i="115" s="1"/>
  <c r="Y20" i="115" s="1"/>
  <c r="Z20" i="115"/>
  <c r="Z18" i="115"/>
  <c r="W18" i="115"/>
  <c r="X18" i="115" s="1"/>
  <c r="Y18" i="115" s="1"/>
  <c r="W17" i="115"/>
  <c r="X17" i="115" s="1"/>
  <c r="Z17" i="115"/>
  <c r="M17" i="115"/>
  <c r="N17" i="115" s="1"/>
  <c r="W25" i="115"/>
  <c r="X25" i="115" s="1"/>
  <c r="W22" i="115"/>
  <c r="X22" i="115" s="1"/>
  <c r="Y22" i="115" s="1"/>
  <c r="AA17" i="114"/>
  <c r="T20" i="114"/>
  <c r="T21" i="114"/>
  <c r="L20" i="114"/>
  <c r="L21" i="114"/>
  <c r="AA19" i="114"/>
  <c r="U19" i="114"/>
  <c r="M19" i="114"/>
  <c r="N19" i="114"/>
  <c r="AA18" i="114"/>
  <c r="U18" i="114"/>
  <c r="M18" i="114"/>
  <c r="N18" i="114"/>
  <c r="W17" i="114"/>
  <c r="X17" i="114" s="1"/>
  <c r="Z17" i="114"/>
  <c r="W22" i="113"/>
  <c r="X22" i="113" s="1"/>
  <c r="Y22" i="113" s="1"/>
  <c r="Z22" i="113"/>
  <c r="Z21" i="113"/>
  <c r="W21" i="113"/>
  <c r="X21" i="113" s="1"/>
  <c r="Y21" i="113" s="1"/>
  <c r="AD19" i="113"/>
  <c r="T23" i="113"/>
  <c r="T28" i="113"/>
  <c r="T30" i="113" s="1"/>
  <c r="T24" i="113"/>
  <c r="U23" i="113"/>
  <c r="U24" i="113"/>
  <c r="L24" i="113"/>
  <c r="L23" i="113"/>
  <c r="M21" i="113"/>
  <c r="N21" i="113"/>
  <c r="AA20" i="113"/>
  <c r="U20" i="113"/>
  <c r="W18" i="113"/>
  <c r="X18" i="113" s="1"/>
  <c r="Z18" i="113"/>
  <c r="M18" i="113"/>
  <c r="Z17" i="113"/>
  <c r="W17" i="113"/>
  <c r="X17" i="113" s="1"/>
  <c r="W47" i="112"/>
  <c r="X47" i="112" s="1"/>
  <c r="Z47" i="112"/>
  <c r="W43" i="112"/>
  <c r="X43" i="112" s="1"/>
  <c r="Z43" i="112"/>
  <c r="U44" i="112"/>
  <c r="T40" i="112"/>
  <c r="T34" i="112"/>
  <c r="AA30" i="112" s="1"/>
  <c r="W22" i="112"/>
  <c r="X22" i="112" s="1"/>
  <c r="U27" i="112"/>
  <c r="Z22" i="112"/>
  <c r="U19" i="112"/>
  <c r="AA17" i="112"/>
  <c r="T19" i="112"/>
  <c r="T52" i="112"/>
  <c r="L19" i="112"/>
  <c r="L52" i="112"/>
  <c r="L51" i="112"/>
  <c r="U40" i="112"/>
  <c r="L27" i="112"/>
  <c r="M34" i="112"/>
  <c r="AA50" i="112"/>
  <c r="U50" i="112"/>
  <c r="M50" i="112"/>
  <c r="N50" i="112" s="1"/>
  <c r="N51" i="112" s="1"/>
  <c r="N49" i="112"/>
  <c r="M49" i="112"/>
  <c r="AA48" i="112"/>
  <c r="U48" i="112"/>
  <c r="U51" i="112" s="1"/>
  <c r="T51" i="112"/>
  <c r="L44" i="112"/>
  <c r="M43" i="112"/>
  <c r="M39" i="112"/>
  <c r="N39" i="112" s="1"/>
  <c r="Z38" i="112"/>
  <c r="W38" i="112"/>
  <c r="X38" i="112" s="1"/>
  <c r="Y38" i="112" s="1"/>
  <c r="W37" i="112"/>
  <c r="X37" i="112" s="1"/>
  <c r="Z37" i="112"/>
  <c r="L40" i="112"/>
  <c r="N37" i="112"/>
  <c r="Z33" i="112"/>
  <c r="W33" i="112"/>
  <c r="X33" i="112" s="1"/>
  <c r="Y33" i="112" s="1"/>
  <c r="W32" i="112"/>
  <c r="X32" i="112" s="1"/>
  <c r="Y32" i="112" s="1"/>
  <c r="Z32" i="112"/>
  <c r="AA31" i="112"/>
  <c r="U31" i="112"/>
  <c r="U52" i="112" s="1"/>
  <c r="Z30" i="112"/>
  <c r="W30" i="112"/>
  <c r="X30" i="112" s="1"/>
  <c r="U34" i="112"/>
  <c r="M26" i="112"/>
  <c r="N26" i="112" s="1"/>
  <c r="Z25" i="112"/>
  <c r="W25" i="112"/>
  <c r="X25" i="112" s="1"/>
  <c r="M25" i="112"/>
  <c r="N25" i="112" s="1"/>
  <c r="T27" i="112"/>
  <c r="T56" i="112"/>
  <c r="M24" i="112"/>
  <c r="Z23" i="112"/>
  <c r="W23" i="112"/>
  <c r="X23" i="112" s="1"/>
  <c r="Y23" i="112" s="1"/>
  <c r="N22" i="112"/>
  <c r="M22" i="112"/>
  <c r="Z18" i="112"/>
  <c r="W18" i="112"/>
  <c r="M18" i="112"/>
  <c r="N18" i="112" s="1"/>
  <c r="M17" i="112"/>
  <c r="N17" i="112" s="1"/>
  <c r="W17" i="112"/>
  <c r="X17" i="112" s="1"/>
  <c r="W26" i="112"/>
  <c r="X26" i="112" s="1"/>
  <c r="R41" i="108"/>
  <c r="Q41" i="108"/>
  <c r="K41" i="108"/>
  <c r="S87" i="89"/>
  <c r="K61" i="89"/>
  <c r="K17" i="89"/>
  <c r="R87" i="89"/>
  <c r="Q87" i="89"/>
  <c r="K87" i="89"/>
  <c r="Q86" i="89"/>
  <c r="X22" i="116" l="1"/>
  <c r="Y17" i="116"/>
  <c r="X21" i="116"/>
  <c r="N22" i="116"/>
  <c r="N21" i="116"/>
  <c r="M21" i="116"/>
  <c r="M22" i="116"/>
  <c r="Y20" i="116"/>
  <c r="Y19" i="116"/>
  <c r="AA19" i="115"/>
  <c r="AA20" i="115"/>
  <c r="AA22" i="115"/>
  <c r="AA18" i="115"/>
  <c r="AA26" i="115"/>
  <c r="AA27" i="115"/>
  <c r="AA31" i="115"/>
  <c r="AA32" i="115"/>
  <c r="AA33" i="115"/>
  <c r="AA34" i="115"/>
  <c r="N30" i="115"/>
  <c r="N35" i="115" s="1"/>
  <c r="M35" i="115"/>
  <c r="Y35" i="115" s="1"/>
  <c r="X36" i="115"/>
  <c r="X23" i="115"/>
  <c r="Y23" i="115" s="1"/>
  <c r="Y17" i="115"/>
  <c r="M36" i="115"/>
  <c r="M23" i="115"/>
  <c r="N23" i="115"/>
  <c r="X28" i="115"/>
  <c r="Y28" i="115" s="1"/>
  <c r="Y25" i="115"/>
  <c r="Y33" i="115"/>
  <c r="Y32" i="115"/>
  <c r="Y21" i="115"/>
  <c r="Y27" i="115"/>
  <c r="AA30" i="115"/>
  <c r="AA25" i="115"/>
  <c r="AA21" i="115"/>
  <c r="AA17" i="115"/>
  <c r="M28" i="115"/>
  <c r="N25" i="115"/>
  <c r="W19" i="114"/>
  <c r="X19" i="114" s="1"/>
  <c r="Y19" i="114" s="1"/>
  <c r="Z19" i="114"/>
  <c r="W18" i="114"/>
  <c r="X18" i="114" s="1"/>
  <c r="Y18" i="114" s="1"/>
  <c r="Z18" i="114"/>
  <c r="X21" i="114"/>
  <c r="X20" i="114"/>
  <c r="Y20" i="114" s="1"/>
  <c r="Y17" i="114"/>
  <c r="Y21" i="114" s="1"/>
  <c r="U20" i="114"/>
  <c r="U21" i="114"/>
  <c r="M20" i="114"/>
  <c r="M21" i="114"/>
  <c r="N20" i="114"/>
  <c r="N21" i="114"/>
  <c r="Z21" i="114" s="1"/>
  <c r="AA21" i="114" s="1"/>
  <c r="AA18" i="113"/>
  <c r="AA22" i="113"/>
  <c r="W20" i="113"/>
  <c r="X20" i="113" s="1"/>
  <c r="Y20" i="113" s="1"/>
  <c r="Z20" i="113"/>
  <c r="X23" i="113"/>
  <c r="Y23" i="113" s="1"/>
  <c r="X24" i="113"/>
  <c r="Y17" i="113"/>
  <c r="Y18" i="113"/>
  <c r="AA17" i="113"/>
  <c r="AA19" i="113"/>
  <c r="M24" i="113"/>
  <c r="M23" i="113"/>
  <c r="N18" i="113"/>
  <c r="Y47" i="112"/>
  <c r="X44" i="112"/>
  <c r="Y43" i="112"/>
  <c r="X27" i="112"/>
  <c r="Y22" i="112"/>
  <c r="W50" i="112"/>
  <c r="X50" i="112" s="1"/>
  <c r="Y50" i="112" s="1"/>
  <c r="Z50" i="112"/>
  <c r="Y49" i="112"/>
  <c r="M51" i="112"/>
  <c r="W48" i="112"/>
  <c r="X48" i="112" s="1"/>
  <c r="Z48" i="112"/>
  <c r="N43" i="112"/>
  <c r="N44" i="112" s="1"/>
  <c r="M44" i="112"/>
  <c r="Y39" i="112"/>
  <c r="M40" i="112"/>
  <c r="Y37" i="112"/>
  <c r="X40" i="112"/>
  <c r="Y40" i="112" s="1"/>
  <c r="W31" i="112"/>
  <c r="X31" i="112" s="1"/>
  <c r="Y31" i="112" s="1"/>
  <c r="Z31" i="112"/>
  <c r="Y30" i="112"/>
  <c r="X34" i="112"/>
  <c r="Y34" i="112" s="1"/>
  <c r="AA23" i="112"/>
  <c r="AA24" i="112"/>
  <c r="AA26" i="112"/>
  <c r="AA22" i="112"/>
  <c r="AA25" i="112"/>
  <c r="N19" i="112"/>
  <c r="M19" i="112"/>
  <c r="M52" i="112"/>
  <c r="X52" i="112"/>
  <c r="Y19" i="112"/>
  <c r="Y17" i="112"/>
  <c r="N40" i="112"/>
  <c r="Y25" i="112"/>
  <c r="M27" i="112"/>
  <c r="Y18" i="112"/>
  <c r="Y26" i="112"/>
  <c r="AA39" i="112"/>
  <c r="AA37" i="112"/>
  <c r="Y24" i="112"/>
  <c r="N24" i="112"/>
  <c r="L87" i="89"/>
  <c r="U41" i="108"/>
  <c r="V41" i="108"/>
  <c r="L41" i="108"/>
  <c r="K88" i="89"/>
  <c r="T88" i="89"/>
  <c r="V87" i="89"/>
  <c r="Y22" i="116" l="1"/>
  <c r="Z22" i="116" s="1"/>
  <c r="AA22" i="116" s="1"/>
  <c r="Y21" i="116"/>
  <c r="Y36" i="115"/>
  <c r="N28" i="115"/>
  <c r="N36" i="115"/>
  <c r="Z36" i="115" s="1"/>
  <c r="AA36" i="115" s="1"/>
  <c r="N24" i="113"/>
  <c r="N23" i="113"/>
  <c r="Y24" i="113"/>
  <c r="Y44" i="112"/>
  <c r="Y27" i="112"/>
  <c r="Y52" i="112"/>
  <c r="Y48" i="112"/>
  <c r="X51" i="112"/>
  <c r="Y51" i="112" s="1"/>
  <c r="N27" i="112"/>
  <c r="N52" i="112"/>
  <c r="Z52" i="112" s="1"/>
  <c r="AA52" i="112" s="1"/>
  <c r="L88" i="89"/>
  <c r="M87" i="89"/>
  <c r="Z41" i="108"/>
  <c r="W41" i="108"/>
  <c r="X41" i="108" s="1"/>
  <c r="AK41" i="108" s="1"/>
  <c r="AD41" i="108"/>
  <c r="AA41" i="108"/>
  <c r="AA87" i="89"/>
  <c r="U87" i="89"/>
  <c r="U88" i="89" s="1"/>
  <c r="Z24" i="113" l="1"/>
  <c r="AA24" i="113" s="1"/>
  <c r="M88" i="89"/>
  <c r="N87" i="89"/>
  <c r="N88" i="89" s="1"/>
  <c r="Z87" i="89"/>
  <c r="W87" i="89"/>
  <c r="X87" i="89" s="1"/>
  <c r="AK87" i="89" s="1"/>
  <c r="Y87" i="89" l="1"/>
  <c r="X88" i="89"/>
  <c r="Y88" i="89" l="1"/>
  <c r="T25" i="109"/>
  <c r="N25" i="109"/>
  <c r="M25" i="109"/>
  <c r="L25" i="109"/>
  <c r="K25" i="109"/>
  <c r="T31" i="108"/>
  <c r="K31" i="108"/>
  <c r="R40" i="108"/>
  <c r="Q40" i="108"/>
  <c r="K40" i="108"/>
  <c r="L40" i="108" s="1"/>
  <c r="J39" i="108"/>
  <c r="R39" i="108"/>
  <c r="Q39" i="108"/>
  <c r="K39" i="108"/>
  <c r="Q32" i="109"/>
  <c r="K32" i="109"/>
  <c r="T40" i="108" l="1"/>
  <c r="AD40" i="108" s="1"/>
  <c r="V40" i="108"/>
  <c r="L39" i="108"/>
  <c r="T39" i="108"/>
  <c r="U39" i="108" s="1"/>
  <c r="Z39" i="108" s="1"/>
  <c r="V39" i="108"/>
  <c r="L32" i="109"/>
  <c r="U32" i="109"/>
  <c r="V32" i="109"/>
  <c r="Q33" i="109"/>
  <c r="K33" i="109"/>
  <c r="M14" i="109"/>
  <c r="Z12" i="109" s="1"/>
  <c r="Q15" i="109"/>
  <c r="Q16" i="109"/>
  <c r="K17" i="109"/>
  <c r="M17" i="109" s="1"/>
  <c r="L17" i="109"/>
  <c r="Q17" i="109"/>
  <c r="V17" i="109" s="1"/>
  <c r="R17" i="109"/>
  <c r="K18" i="109"/>
  <c r="L18" i="109"/>
  <c r="Q18" i="109"/>
  <c r="R18" i="109"/>
  <c r="K19" i="109"/>
  <c r="M19" i="109" s="1"/>
  <c r="L19" i="109"/>
  <c r="Q19" i="109"/>
  <c r="R19" i="109"/>
  <c r="V19" i="109"/>
  <c r="K20" i="109"/>
  <c r="L20" i="109"/>
  <c r="Q20" i="109"/>
  <c r="V20" i="109" s="1"/>
  <c r="R20" i="109"/>
  <c r="K21" i="109"/>
  <c r="L21" i="109"/>
  <c r="Q21" i="109"/>
  <c r="R21" i="109"/>
  <c r="V21" i="109"/>
  <c r="K22" i="109"/>
  <c r="L22" i="109"/>
  <c r="Q22" i="109"/>
  <c r="R22" i="109"/>
  <c r="K23" i="109"/>
  <c r="L23" i="109"/>
  <c r="Q23" i="109"/>
  <c r="V23" i="109" s="1"/>
  <c r="R23" i="109"/>
  <c r="K24" i="109"/>
  <c r="L24" i="109" s="1"/>
  <c r="Q24" i="109"/>
  <c r="R24" i="109"/>
  <c r="Q27" i="109"/>
  <c r="K28" i="109"/>
  <c r="R28" i="109"/>
  <c r="V28" i="109"/>
  <c r="K29" i="109"/>
  <c r="L29" i="109"/>
  <c r="R29" i="109"/>
  <c r="U29" i="109"/>
  <c r="Z29" i="109" s="1"/>
  <c r="V29" i="109"/>
  <c r="K30" i="109"/>
  <c r="L30" i="109" s="1"/>
  <c r="Q30" i="109"/>
  <c r="R30" i="109"/>
  <c r="K31" i="109"/>
  <c r="L31" i="109" s="1"/>
  <c r="R31" i="109"/>
  <c r="L33" i="109" l="1"/>
  <c r="K35" i="109"/>
  <c r="K34" i="109"/>
  <c r="AA40" i="108"/>
  <c r="U40" i="108"/>
  <c r="Z40" i="108" s="1"/>
  <c r="W32" i="109"/>
  <c r="X32" i="109" s="1"/>
  <c r="Z32" i="109"/>
  <c r="W39" i="108"/>
  <c r="X39" i="108" s="1"/>
  <c r="AD39" i="108"/>
  <c r="AA39" i="108"/>
  <c r="N32" i="109"/>
  <c r="M18" i="109"/>
  <c r="N18" i="109" s="1"/>
  <c r="M31" i="109"/>
  <c r="N31" i="109" s="1"/>
  <c r="U19" i="109"/>
  <c r="N17" i="109"/>
  <c r="M32" i="109"/>
  <c r="M22" i="109"/>
  <c r="N22" i="109" s="1"/>
  <c r="M29" i="109"/>
  <c r="N29" i="109" s="1"/>
  <c r="M23" i="109"/>
  <c r="N23" i="109" s="1"/>
  <c r="M28" i="109"/>
  <c r="N28" i="109" s="1"/>
  <c r="N19" i="109"/>
  <c r="L28" i="109"/>
  <c r="M30" i="109"/>
  <c r="N30" i="109" s="1"/>
  <c r="U21" i="109"/>
  <c r="W21" i="109" s="1"/>
  <c r="X21" i="109" s="1"/>
  <c r="AK21" i="109" s="1"/>
  <c r="U28" i="109"/>
  <c r="M33" i="109"/>
  <c r="M24" i="109"/>
  <c r="N24" i="109" s="1"/>
  <c r="U30" i="109"/>
  <c r="Z30" i="109" s="1"/>
  <c r="U22" i="109"/>
  <c r="Z22" i="109" s="1"/>
  <c r="U17" i="109"/>
  <c r="V33" i="109"/>
  <c r="M20" i="109"/>
  <c r="K26" i="109"/>
  <c r="M21" i="109"/>
  <c r="N21" i="109" s="1"/>
  <c r="T33" i="109"/>
  <c r="V22" i="109"/>
  <c r="W29" i="109"/>
  <c r="X29" i="109" s="1"/>
  <c r="U23" i="109"/>
  <c r="Z23" i="109" s="1"/>
  <c r="V31" i="109"/>
  <c r="V24" i="109"/>
  <c r="V18" i="109"/>
  <c r="L26" i="109"/>
  <c r="V30" i="109"/>
  <c r="N20" i="109"/>
  <c r="U20" i="109"/>
  <c r="Y32" i="109" l="1"/>
  <c r="AK32" i="109"/>
  <c r="W30" i="109"/>
  <c r="X30" i="109" s="1"/>
  <c r="AK30" i="109" s="1"/>
  <c r="Y29" i="109"/>
  <c r="AK29" i="109"/>
  <c r="L34" i="109"/>
  <c r="L35" i="109"/>
  <c r="N33" i="109"/>
  <c r="M35" i="109"/>
  <c r="M34" i="109"/>
  <c r="T35" i="109"/>
  <c r="T34" i="109"/>
  <c r="W40" i="108"/>
  <c r="X40" i="108" s="1"/>
  <c r="U31" i="109"/>
  <c r="W31" i="109" s="1"/>
  <c r="X31" i="109" s="1"/>
  <c r="AK31" i="109" s="1"/>
  <c r="W17" i="109"/>
  <c r="X17" i="109" s="1"/>
  <c r="W22" i="109"/>
  <c r="X22" i="109" s="1"/>
  <c r="T26" i="109"/>
  <c r="AA20" i="109"/>
  <c r="Z17" i="109"/>
  <c r="N26" i="109"/>
  <c r="M26" i="109"/>
  <c r="U24" i="109"/>
  <c r="U33" i="109"/>
  <c r="Y21" i="109"/>
  <c r="Z28" i="109"/>
  <c r="W28" i="109"/>
  <c r="X28" i="109" s="1"/>
  <c r="AK28" i="109" s="1"/>
  <c r="U18" i="109"/>
  <c r="W23" i="109"/>
  <c r="X23" i="109" s="1"/>
  <c r="Z21" i="109"/>
  <c r="Y30" i="109"/>
  <c r="Z20" i="109"/>
  <c r="W20" i="109"/>
  <c r="X20" i="109" s="1"/>
  <c r="Z19" i="109"/>
  <c r="W19" i="109"/>
  <c r="X19" i="109" s="1"/>
  <c r="R90" i="103"/>
  <c r="Q90" i="103"/>
  <c r="K90" i="103"/>
  <c r="K89" i="103"/>
  <c r="R88" i="103"/>
  <c r="Q88" i="103"/>
  <c r="K88" i="103"/>
  <c r="Q86" i="103"/>
  <c r="Q87" i="103"/>
  <c r="K91" i="103"/>
  <c r="Q91" i="103"/>
  <c r="R91" i="103"/>
  <c r="K26" i="89"/>
  <c r="R83" i="89"/>
  <c r="Q83" i="89"/>
  <c r="L83" i="89"/>
  <c r="R84" i="89"/>
  <c r="Q84" i="89"/>
  <c r="K84" i="89"/>
  <c r="L84" i="89" s="1"/>
  <c r="R82" i="89"/>
  <c r="Q82" i="89"/>
  <c r="K82" i="89"/>
  <c r="R81" i="89"/>
  <c r="Q81" i="89"/>
  <c r="V81" i="89" s="1"/>
  <c r="K81" i="89"/>
  <c r="L81" i="89" s="1"/>
  <c r="R76" i="89"/>
  <c r="Q76" i="89"/>
  <c r="K76" i="89"/>
  <c r="L76" i="89" s="1"/>
  <c r="R75" i="89"/>
  <c r="Q75" i="89"/>
  <c r="K75" i="89"/>
  <c r="L75" i="89" s="1"/>
  <c r="R74" i="89"/>
  <c r="Q74" i="89"/>
  <c r="V74" i="89" s="1"/>
  <c r="K74" i="89"/>
  <c r="R73" i="89"/>
  <c r="Q73" i="89"/>
  <c r="V73" i="89" s="1"/>
  <c r="K73" i="89"/>
  <c r="R72" i="89"/>
  <c r="Q72" i="89"/>
  <c r="V72" i="89" s="1"/>
  <c r="K72" i="89"/>
  <c r="R71" i="89"/>
  <c r="Q71" i="89"/>
  <c r="K71" i="89"/>
  <c r="R70" i="89"/>
  <c r="Q70" i="89"/>
  <c r="K70" i="89"/>
  <c r="L70" i="89" s="1"/>
  <c r="R69" i="89"/>
  <c r="Q69" i="89"/>
  <c r="K69" i="89"/>
  <c r="L69" i="89" s="1"/>
  <c r="R68" i="89"/>
  <c r="Q68" i="89"/>
  <c r="K68" i="89"/>
  <c r="R67" i="89"/>
  <c r="Q67" i="89"/>
  <c r="V67" i="89" s="1"/>
  <c r="K67" i="89"/>
  <c r="R79" i="89"/>
  <c r="Q79" i="89"/>
  <c r="K79" i="89"/>
  <c r="L79" i="89" s="1"/>
  <c r="R78" i="89"/>
  <c r="Q78" i="89"/>
  <c r="K78" i="89"/>
  <c r="R77" i="89"/>
  <c r="Q77" i="89"/>
  <c r="K77" i="89"/>
  <c r="R66" i="89"/>
  <c r="Q66" i="89"/>
  <c r="V66" i="89" s="1"/>
  <c r="K66" i="89"/>
  <c r="R65" i="89"/>
  <c r="Q65" i="89"/>
  <c r="K65" i="89"/>
  <c r="R56" i="89"/>
  <c r="Q56" i="89"/>
  <c r="K56" i="89"/>
  <c r="L56" i="89" s="1"/>
  <c r="R55" i="89"/>
  <c r="Q55" i="89"/>
  <c r="K55" i="89"/>
  <c r="R54" i="89"/>
  <c r="Q54" i="89"/>
  <c r="V54" i="89" s="1"/>
  <c r="K54" i="89"/>
  <c r="L54" i="89" s="1"/>
  <c r="R53" i="89"/>
  <c r="Q53" i="89"/>
  <c r="V53" i="89" s="1"/>
  <c r="K53" i="89"/>
  <c r="R52" i="89"/>
  <c r="Q52" i="89"/>
  <c r="V52" i="89" s="1"/>
  <c r="K52" i="89"/>
  <c r="L52" i="89" s="1"/>
  <c r="R60" i="89"/>
  <c r="Q60" i="89"/>
  <c r="K60" i="89"/>
  <c r="L60" i="89" s="1"/>
  <c r="R59" i="89"/>
  <c r="Q59" i="89"/>
  <c r="K59" i="89"/>
  <c r="L59" i="89" s="1"/>
  <c r="R58" i="89"/>
  <c r="Q58" i="89"/>
  <c r="K58" i="89"/>
  <c r="L58" i="89" s="1"/>
  <c r="R57" i="89"/>
  <c r="Q57" i="89"/>
  <c r="K57" i="89"/>
  <c r="L57" i="89" s="1"/>
  <c r="K42" i="89"/>
  <c r="R43" i="89"/>
  <c r="Q43" i="89"/>
  <c r="K43" i="89"/>
  <c r="L43" i="89" s="1"/>
  <c r="R46" i="89"/>
  <c r="Q46" i="89"/>
  <c r="K46" i="89"/>
  <c r="R45" i="89"/>
  <c r="Q45" i="89"/>
  <c r="V45" i="89" s="1"/>
  <c r="K45" i="89"/>
  <c r="R44" i="89"/>
  <c r="Q44" i="89"/>
  <c r="K44" i="89"/>
  <c r="R39" i="89"/>
  <c r="Q39" i="89"/>
  <c r="K39" i="89"/>
  <c r="L39" i="89" s="1"/>
  <c r="R38" i="89"/>
  <c r="Q38" i="89"/>
  <c r="K38" i="89"/>
  <c r="L38" i="89" s="1"/>
  <c r="R37" i="89"/>
  <c r="Q37" i="89"/>
  <c r="K37" i="89"/>
  <c r="R36" i="89"/>
  <c r="Q36" i="89"/>
  <c r="K36" i="89"/>
  <c r="L36" i="89" s="1"/>
  <c r="R35" i="89"/>
  <c r="Q35" i="89"/>
  <c r="V35" i="89" s="1"/>
  <c r="K35" i="89"/>
  <c r="R34" i="89"/>
  <c r="Q34" i="89"/>
  <c r="V34" i="89" s="1"/>
  <c r="K34" i="89"/>
  <c r="R33" i="89"/>
  <c r="Q33" i="89"/>
  <c r="V33" i="89" s="1"/>
  <c r="K33" i="89"/>
  <c r="R32" i="89"/>
  <c r="Q32" i="89"/>
  <c r="K32" i="89"/>
  <c r="L32" i="89" s="1"/>
  <c r="R31" i="89"/>
  <c r="Q31" i="89"/>
  <c r="K31" i="89"/>
  <c r="R30" i="89"/>
  <c r="Q30" i="89"/>
  <c r="K30" i="89"/>
  <c r="L30" i="89" s="1"/>
  <c r="B21" i="91"/>
  <c r="B20" i="91"/>
  <c r="B19" i="91"/>
  <c r="B18" i="91"/>
  <c r="Q20" i="104"/>
  <c r="Q25" i="104"/>
  <c r="Q28" i="104"/>
  <c r="N19" i="99"/>
  <c r="M19" i="99"/>
  <c r="L19" i="99"/>
  <c r="K19" i="99"/>
  <c r="AA33" i="109" l="1"/>
  <c r="AA30" i="109"/>
  <c r="AA28" i="109"/>
  <c r="AA31" i="109"/>
  <c r="AA29" i="109"/>
  <c r="Y23" i="109"/>
  <c r="AK23" i="109"/>
  <c r="Y22" i="109"/>
  <c r="AK22" i="109"/>
  <c r="Y20" i="109"/>
  <c r="AK20" i="109"/>
  <c r="Y19" i="109"/>
  <c r="AK19" i="109"/>
  <c r="Z18" i="109"/>
  <c r="U25" i="109"/>
  <c r="L88" i="103"/>
  <c r="K92" i="103"/>
  <c r="L91" i="103"/>
  <c r="M91" i="103" s="1"/>
  <c r="N34" i="109"/>
  <c r="N35" i="109"/>
  <c r="AK17" i="109"/>
  <c r="AA32" i="109"/>
  <c r="Z31" i="109"/>
  <c r="U35" i="109"/>
  <c r="U34" i="109"/>
  <c r="Y31" i="109"/>
  <c r="AA21" i="109"/>
  <c r="AA22" i="109"/>
  <c r="U26" i="109"/>
  <c r="Y17" i="109"/>
  <c r="AA19" i="109"/>
  <c r="W18" i="109"/>
  <c r="X18" i="109" s="1"/>
  <c r="AA17" i="109"/>
  <c r="AA24" i="109"/>
  <c r="AA23" i="109"/>
  <c r="Y28" i="109"/>
  <c r="AA18" i="109"/>
  <c r="W33" i="109"/>
  <c r="X33" i="109" s="1"/>
  <c r="Z33" i="109"/>
  <c r="W24" i="109"/>
  <c r="X24" i="109" s="1"/>
  <c r="Z24" i="109"/>
  <c r="L90" i="103"/>
  <c r="T90" i="103"/>
  <c r="U90" i="103" s="1"/>
  <c r="Z90" i="103" s="1"/>
  <c r="L89" i="103"/>
  <c r="V90" i="103"/>
  <c r="V89" i="103"/>
  <c r="T88" i="103"/>
  <c r="V88" i="103"/>
  <c r="T91" i="103"/>
  <c r="U91" i="103" s="1"/>
  <c r="V91" i="103"/>
  <c r="U81" i="89"/>
  <c r="Z81" i="89" s="1"/>
  <c r="U83" i="89"/>
  <c r="Z83" i="89" s="1"/>
  <c r="V83" i="89"/>
  <c r="U82" i="89"/>
  <c r="Z82" i="89" s="1"/>
  <c r="V82" i="89"/>
  <c r="V84" i="89"/>
  <c r="L82" i="89"/>
  <c r="U77" i="89"/>
  <c r="Z77" i="89" s="1"/>
  <c r="U68" i="89"/>
  <c r="Z68" i="89" s="1"/>
  <c r="U74" i="89"/>
  <c r="W74" i="89" s="1"/>
  <c r="X74" i="89" s="1"/>
  <c r="AK74" i="89" s="1"/>
  <c r="V68" i="89"/>
  <c r="U67" i="89"/>
  <c r="U73" i="89"/>
  <c r="U69" i="89"/>
  <c r="Z69" i="89" s="1"/>
  <c r="U75" i="89"/>
  <c r="Z75" i="89" s="1"/>
  <c r="V77" i="89"/>
  <c r="V69" i="89"/>
  <c r="V75" i="89"/>
  <c r="L73" i="89"/>
  <c r="V70" i="89"/>
  <c r="L68" i="89"/>
  <c r="L74" i="89"/>
  <c r="V71" i="89"/>
  <c r="U72" i="89"/>
  <c r="L71" i="89"/>
  <c r="U70" i="89"/>
  <c r="Z70" i="89" s="1"/>
  <c r="L67" i="89"/>
  <c r="U71" i="89"/>
  <c r="Z71" i="89" s="1"/>
  <c r="V76" i="89"/>
  <c r="L72" i="89"/>
  <c r="U78" i="89"/>
  <c r="L65" i="89"/>
  <c r="V78" i="89"/>
  <c r="U79" i="89"/>
  <c r="Z79" i="89" s="1"/>
  <c r="L66" i="89"/>
  <c r="V79" i="89"/>
  <c r="L77" i="89"/>
  <c r="U65" i="89"/>
  <c r="Z65" i="89" s="1"/>
  <c r="L78" i="89"/>
  <c r="V65" i="89"/>
  <c r="U66" i="89"/>
  <c r="Z66" i="89" s="1"/>
  <c r="U44" i="89"/>
  <c r="Z44" i="89" s="1"/>
  <c r="U55" i="89"/>
  <c r="U54" i="89"/>
  <c r="Z54" i="89" s="1"/>
  <c r="U52" i="89"/>
  <c r="U53" i="89"/>
  <c r="V55" i="89"/>
  <c r="L53" i="89"/>
  <c r="V56" i="89"/>
  <c r="L55" i="89"/>
  <c r="V59" i="89"/>
  <c r="V60" i="89"/>
  <c r="U58" i="89"/>
  <c r="Z58" i="89" s="1"/>
  <c r="V58" i="89"/>
  <c r="V57" i="89"/>
  <c r="U43" i="89"/>
  <c r="Z43" i="89" s="1"/>
  <c r="V43" i="89"/>
  <c r="V44" i="89"/>
  <c r="U45" i="89"/>
  <c r="Z45" i="89" s="1"/>
  <c r="V46" i="89"/>
  <c r="L44" i="89"/>
  <c r="L45" i="89"/>
  <c r="L46" i="89"/>
  <c r="U36" i="89"/>
  <c r="Z36" i="89" s="1"/>
  <c r="V39" i="89"/>
  <c r="U34" i="89"/>
  <c r="Z34" i="89" s="1"/>
  <c r="V36" i="89"/>
  <c r="L35" i="89"/>
  <c r="U31" i="89"/>
  <c r="Z31" i="89" s="1"/>
  <c r="L34" i="89"/>
  <c r="V31" i="89"/>
  <c r="V37" i="89"/>
  <c r="V32" i="89"/>
  <c r="U33" i="89"/>
  <c r="Z33" i="89" s="1"/>
  <c r="V38" i="89"/>
  <c r="L33" i="89"/>
  <c r="U37" i="89"/>
  <c r="L37" i="89"/>
  <c r="L31" i="89"/>
  <c r="U35" i="89"/>
  <c r="Z35" i="89" s="1"/>
  <c r="V30" i="89"/>
  <c r="AD30" i="108"/>
  <c r="AA30" i="108"/>
  <c r="R30" i="108"/>
  <c r="Q30" i="108"/>
  <c r="L30" i="108"/>
  <c r="Y24" i="109" l="1"/>
  <c r="X25" i="109"/>
  <c r="X26" i="109"/>
  <c r="AK24" i="109"/>
  <c r="Y18" i="109"/>
  <c r="Y26" i="109" s="1"/>
  <c r="Z26" i="109" s="1"/>
  <c r="AA26" i="109" s="1"/>
  <c r="AK18" i="109"/>
  <c r="L92" i="103"/>
  <c r="N91" i="103"/>
  <c r="B23" i="91"/>
  <c r="C29" i="110"/>
  <c r="Y33" i="109"/>
  <c r="X35" i="109"/>
  <c r="D29" i="110" s="1"/>
  <c r="X34" i="109"/>
  <c r="AK33" i="109"/>
  <c r="AK35" i="109" s="1"/>
  <c r="Y35" i="109"/>
  <c r="Z35" i="109" s="1"/>
  <c r="AA35" i="109" s="1"/>
  <c r="Y25" i="109"/>
  <c r="Y34" i="109"/>
  <c r="U89" i="103"/>
  <c r="Z89" i="103" s="1"/>
  <c r="T92" i="103"/>
  <c r="U88" i="103"/>
  <c r="Z88" i="103" s="1"/>
  <c r="W90" i="103"/>
  <c r="X90" i="103" s="1"/>
  <c r="AK90" i="103" s="1"/>
  <c r="W88" i="103"/>
  <c r="X88" i="103" s="1"/>
  <c r="AK88" i="103" s="1"/>
  <c r="W91" i="103"/>
  <c r="X91" i="103" s="1"/>
  <c r="Z91" i="103"/>
  <c r="W83" i="89"/>
  <c r="X83" i="89" s="1"/>
  <c r="AK83" i="89" s="1"/>
  <c r="W68" i="89"/>
  <c r="X68" i="89" s="1"/>
  <c r="AK68" i="89" s="1"/>
  <c r="W81" i="89"/>
  <c r="X81" i="89" s="1"/>
  <c r="AK81" i="89" s="1"/>
  <c r="W82" i="89"/>
  <c r="X82" i="89" s="1"/>
  <c r="AK82" i="89" s="1"/>
  <c r="W79" i="89"/>
  <c r="X79" i="89" s="1"/>
  <c r="AK79" i="89" s="1"/>
  <c r="U84" i="89"/>
  <c r="Z84" i="89" s="1"/>
  <c r="Z72" i="89"/>
  <c r="W72" i="89"/>
  <c r="X72" i="89" s="1"/>
  <c r="AK72" i="89" s="1"/>
  <c r="W70" i="89"/>
  <c r="X70" i="89" s="1"/>
  <c r="AK70" i="89" s="1"/>
  <c r="W75" i="89"/>
  <c r="X75" i="89" s="1"/>
  <c r="AK75" i="89" s="1"/>
  <c r="Z73" i="89"/>
  <c r="W73" i="89"/>
  <c r="X73" i="89" s="1"/>
  <c r="AK73" i="89" s="1"/>
  <c r="Z67" i="89"/>
  <c r="W67" i="89"/>
  <c r="X67" i="89" s="1"/>
  <c r="AK67" i="89" s="1"/>
  <c r="W69" i="89"/>
  <c r="X69" i="89" s="1"/>
  <c r="AK69" i="89" s="1"/>
  <c r="W78" i="89"/>
  <c r="X78" i="89" s="1"/>
  <c r="AK78" i="89" s="1"/>
  <c r="W71" i="89"/>
  <c r="X71" i="89" s="1"/>
  <c r="AK71" i="89" s="1"/>
  <c r="U76" i="89"/>
  <c r="Z74" i="89"/>
  <c r="Z78" i="89"/>
  <c r="W77" i="89"/>
  <c r="X77" i="89" s="1"/>
  <c r="AK77" i="89" s="1"/>
  <c r="W65" i="89"/>
  <c r="X65" i="89" s="1"/>
  <c r="AK65" i="89" s="1"/>
  <c r="W66" i="89"/>
  <c r="X66" i="89" s="1"/>
  <c r="AK66" i="89" s="1"/>
  <c r="Z55" i="89"/>
  <c r="W55" i="89"/>
  <c r="X55" i="89" s="1"/>
  <c r="AK55" i="89" s="1"/>
  <c r="Z52" i="89"/>
  <c r="W52" i="89"/>
  <c r="X52" i="89" s="1"/>
  <c r="AK52" i="89" s="1"/>
  <c r="Z53" i="89"/>
  <c r="W53" i="89"/>
  <c r="X53" i="89" s="1"/>
  <c r="AK53" i="89" s="1"/>
  <c r="W58" i="89"/>
  <c r="X58" i="89" s="1"/>
  <c r="AK58" i="89" s="1"/>
  <c r="W54" i="89"/>
  <c r="X54" i="89" s="1"/>
  <c r="AK54" i="89" s="1"/>
  <c r="U56" i="89"/>
  <c r="U59" i="89"/>
  <c r="U60" i="89"/>
  <c r="Z60" i="89" s="1"/>
  <c r="U57" i="89"/>
  <c r="W44" i="89"/>
  <c r="X44" i="89" s="1"/>
  <c r="AK44" i="89" s="1"/>
  <c r="W43" i="89"/>
  <c r="X43" i="89" s="1"/>
  <c r="AK43" i="89" s="1"/>
  <c r="W45" i="89"/>
  <c r="X45" i="89" s="1"/>
  <c r="AK45" i="89" s="1"/>
  <c r="U46" i="89"/>
  <c r="W34" i="89"/>
  <c r="X34" i="89" s="1"/>
  <c r="AK34" i="89" s="1"/>
  <c r="W36" i="89"/>
  <c r="X36" i="89" s="1"/>
  <c r="AK36" i="89" s="1"/>
  <c r="U39" i="89"/>
  <c r="W35" i="89"/>
  <c r="X35" i="89" s="1"/>
  <c r="AK35" i="89" s="1"/>
  <c r="W31" i="89"/>
  <c r="X31" i="89" s="1"/>
  <c r="AK31" i="89" s="1"/>
  <c r="W37" i="89"/>
  <c r="X37" i="89" s="1"/>
  <c r="AK37" i="89" s="1"/>
  <c r="Z37" i="89"/>
  <c r="U32" i="89"/>
  <c r="W33" i="89"/>
  <c r="X33" i="89" s="1"/>
  <c r="AK33" i="89" s="1"/>
  <c r="U38" i="89"/>
  <c r="Z38" i="89" s="1"/>
  <c r="U30" i="89"/>
  <c r="U30" i="108"/>
  <c r="Z30" i="108" s="1"/>
  <c r="V30" i="108"/>
  <c r="AL37" i="109" l="1"/>
  <c r="AL38" i="109"/>
  <c r="AL39" i="109" s="1"/>
  <c r="Y91" i="103"/>
  <c r="AK91" i="103"/>
  <c r="E29" i="110"/>
  <c r="W30" i="108"/>
  <c r="X30" i="108" s="1"/>
  <c r="C23" i="91"/>
  <c r="W89" i="103"/>
  <c r="X89" i="103" s="1"/>
  <c r="U92" i="103"/>
  <c r="W84" i="89"/>
  <c r="X84" i="89" s="1"/>
  <c r="AK84" i="89" s="1"/>
  <c r="Z76" i="89"/>
  <c r="W76" i="89"/>
  <c r="X76" i="89" s="1"/>
  <c r="AK76" i="89" s="1"/>
  <c r="W56" i="89"/>
  <c r="X56" i="89" s="1"/>
  <c r="AK56" i="89" s="1"/>
  <c r="Z56" i="89"/>
  <c r="W60" i="89"/>
  <c r="X60" i="89" s="1"/>
  <c r="AK60" i="89" s="1"/>
  <c r="Z59" i="89"/>
  <c r="W59" i="89"/>
  <c r="X59" i="89" s="1"/>
  <c r="AK59" i="89" s="1"/>
  <c r="W57" i="89"/>
  <c r="X57" i="89" s="1"/>
  <c r="AK57" i="89" s="1"/>
  <c r="Z57" i="89"/>
  <c r="Z46" i="89"/>
  <c r="W46" i="89"/>
  <c r="X46" i="89" s="1"/>
  <c r="AK46" i="89" s="1"/>
  <c r="Z39" i="89"/>
  <c r="W39" i="89"/>
  <c r="X39" i="89" s="1"/>
  <c r="AK39" i="89" s="1"/>
  <c r="W38" i="89"/>
  <c r="X38" i="89" s="1"/>
  <c r="AK38" i="89" s="1"/>
  <c r="Z32" i="89"/>
  <c r="W32" i="89"/>
  <c r="X32" i="89" s="1"/>
  <c r="AK32" i="89" s="1"/>
  <c r="Z30" i="89"/>
  <c r="W30" i="89"/>
  <c r="X30" i="89" s="1"/>
  <c r="AK30" i="89" s="1"/>
  <c r="S28" i="103"/>
  <c r="X92" i="103" l="1"/>
  <c r="AK89" i="103"/>
  <c r="F29" i="110"/>
  <c r="S83" i="103"/>
  <c r="S84" i="103" l="1"/>
  <c r="Q42" i="108"/>
  <c r="K42" i="108"/>
  <c r="K43" i="108" s="1"/>
  <c r="Q38" i="108"/>
  <c r="Q36" i="108"/>
  <c r="K36" i="108"/>
  <c r="K37" i="108" s="1"/>
  <c r="Q35" i="108"/>
  <c r="Q33" i="108"/>
  <c r="K33" i="108"/>
  <c r="K34" i="108" s="1"/>
  <c r="Q32" i="108"/>
  <c r="V42" i="108" l="1"/>
  <c r="T42" i="108"/>
  <c r="T43" i="108" s="1"/>
  <c r="L42" i="108"/>
  <c r="L43" i="108" s="1"/>
  <c r="V36" i="108"/>
  <c r="T36" i="108"/>
  <c r="T37" i="108" s="1"/>
  <c r="L36" i="108"/>
  <c r="L37" i="108" s="1"/>
  <c r="T33" i="108"/>
  <c r="T34" i="108" s="1"/>
  <c r="V33" i="108"/>
  <c r="L33" i="108"/>
  <c r="L34" i="108" s="1"/>
  <c r="U42" i="108" l="1"/>
  <c r="U43" i="108" s="1"/>
  <c r="U36" i="108"/>
  <c r="U37" i="108" s="1"/>
  <c r="AD42" i="108"/>
  <c r="AA42" i="108"/>
  <c r="AA36" i="108"/>
  <c r="AD36" i="108"/>
  <c r="W36" i="108"/>
  <c r="X36" i="108" s="1"/>
  <c r="X37" i="108" s="1"/>
  <c r="AD33" i="108"/>
  <c r="AA33" i="108"/>
  <c r="U33" i="108"/>
  <c r="U34" i="108" s="1"/>
  <c r="Z36" i="108" l="1"/>
  <c r="Z42" i="108"/>
  <c r="W42" i="108"/>
  <c r="X42" i="108" s="1"/>
  <c r="X43" i="108" s="1"/>
  <c r="Z33" i="108"/>
  <c r="W33" i="108"/>
  <c r="X33" i="108" s="1"/>
  <c r="X34" i="108" s="1"/>
  <c r="R29" i="108" l="1"/>
  <c r="Q29" i="108"/>
  <c r="V29" i="108" s="1"/>
  <c r="Q28" i="108"/>
  <c r="R26" i="108"/>
  <c r="Q26" i="108"/>
  <c r="K26" i="108"/>
  <c r="K27" i="108" s="1"/>
  <c r="Q25" i="108"/>
  <c r="Q21" i="105"/>
  <c r="Q23" i="108"/>
  <c r="K23" i="108"/>
  <c r="K24" i="108" s="1"/>
  <c r="Q22" i="108"/>
  <c r="Q20" i="108"/>
  <c r="K20" i="108"/>
  <c r="K21" i="108" s="1"/>
  <c r="Q19" i="108"/>
  <c r="R17" i="108"/>
  <c r="Q17" i="108"/>
  <c r="K17" i="108"/>
  <c r="Q16" i="108"/>
  <c r="Q15" i="108"/>
  <c r="M14" i="108"/>
  <c r="Z12" i="108"/>
  <c r="M10" i="108"/>
  <c r="M40" i="108" l="1"/>
  <c r="M41" i="108"/>
  <c r="K18" i="108"/>
  <c r="K44" i="108"/>
  <c r="N40" i="108"/>
  <c r="Y40" i="108"/>
  <c r="M42" i="108"/>
  <c r="Y42" i="108" s="1"/>
  <c r="M39" i="108"/>
  <c r="M30" i="108"/>
  <c r="L20" i="108"/>
  <c r="L21" i="108" s="1"/>
  <c r="M33" i="108"/>
  <c r="M34" i="108" s="1"/>
  <c r="M36" i="108"/>
  <c r="M37" i="108" s="1"/>
  <c r="L17" i="108"/>
  <c r="L29" i="108"/>
  <c r="L31" i="108" s="1"/>
  <c r="L26" i="108"/>
  <c r="L27" i="108" s="1"/>
  <c r="T27" i="108"/>
  <c r="V26" i="108"/>
  <c r="L23" i="108"/>
  <c r="L24" i="108" s="1"/>
  <c r="V17" i="108"/>
  <c r="T20" i="108"/>
  <c r="T21" i="108" s="1"/>
  <c r="V20" i="108"/>
  <c r="T23" i="108"/>
  <c r="T24" i="108" s="1"/>
  <c r="V23" i="108"/>
  <c r="T17" i="108"/>
  <c r="L18" i="108" l="1"/>
  <c r="L44" i="108"/>
  <c r="Y41" i="108"/>
  <c r="N41" i="108"/>
  <c r="T18" i="108"/>
  <c r="AA17" i="108" s="1"/>
  <c r="T44" i="108"/>
  <c r="M43" i="108"/>
  <c r="Y43" i="108" s="1"/>
  <c r="M20" i="108"/>
  <c r="M21" i="108" s="1"/>
  <c r="Y34" i="108"/>
  <c r="N42" i="108"/>
  <c r="N30" i="108"/>
  <c r="Y30" i="108"/>
  <c r="N39" i="108"/>
  <c r="Y39" i="108"/>
  <c r="Y33" i="108"/>
  <c r="N33" i="108"/>
  <c r="N34" i="108" s="1"/>
  <c r="AD20" i="108"/>
  <c r="M17" i="108"/>
  <c r="M18" i="108" s="1"/>
  <c r="M26" i="108"/>
  <c r="M27" i="108" s="1"/>
  <c r="Y37" i="108"/>
  <c r="N36" i="108"/>
  <c r="N37" i="108" s="1"/>
  <c r="Y36" i="108"/>
  <c r="U26" i="108"/>
  <c r="U27" i="108" s="1"/>
  <c r="AD29" i="108"/>
  <c r="AA29" i="108"/>
  <c r="U29" i="108"/>
  <c r="U31" i="108" s="1"/>
  <c r="M29" i="108"/>
  <c r="M31" i="108" s="1"/>
  <c r="AD26" i="108"/>
  <c r="AA26" i="108"/>
  <c r="M23" i="108"/>
  <c r="M24" i="108" s="1"/>
  <c r="U23" i="108"/>
  <c r="U24" i="108" s="1"/>
  <c r="N17" i="108"/>
  <c r="N18" i="108" s="1"/>
  <c r="U17" i="108"/>
  <c r="AD17" i="108"/>
  <c r="U20" i="108"/>
  <c r="U21" i="108" s="1"/>
  <c r="AA23" i="108"/>
  <c r="AD23" i="108"/>
  <c r="AA20" i="108"/>
  <c r="U18" i="108" l="1"/>
  <c r="U44" i="108"/>
  <c r="N20" i="108"/>
  <c r="N21" i="108" s="1"/>
  <c r="M44" i="108"/>
  <c r="N43" i="108"/>
  <c r="N26" i="108"/>
  <c r="N27" i="108" s="1"/>
  <c r="W26" i="108"/>
  <c r="X26" i="108" s="1"/>
  <c r="AK26" i="108" s="1"/>
  <c r="AK44" i="108" s="1"/>
  <c r="Z26" i="108"/>
  <c r="W29" i="108"/>
  <c r="X29" i="108" s="1"/>
  <c r="X31" i="108" s="1"/>
  <c r="Z29" i="108"/>
  <c r="N29" i="108"/>
  <c r="N31" i="108" s="1"/>
  <c r="Z20" i="108"/>
  <c r="W23" i="108"/>
  <c r="X23" i="108" s="1"/>
  <c r="X24" i="108" s="1"/>
  <c r="Z23" i="108"/>
  <c r="Z17" i="108"/>
  <c r="W20" i="108"/>
  <c r="X20" i="108" s="1"/>
  <c r="X21" i="108" s="1"/>
  <c r="N23" i="108"/>
  <c r="N24" i="108" s="1"/>
  <c r="W17" i="108"/>
  <c r="X17" i="108" s="1"/>
  <c r="R26" i="105"/>
  <c r="Q26" i="105"/>
  <c r="V26" i="105" s="1"/>
  <c r="K26" i="105"/>
  <c r="X27" i="108" l="1"/>
  <c r="Y27" i="108" s="1"/>
  <c r="X18" i="108"/>
  <c r="X44" i="108"/>
  <c r="N44" i="108"/>
  <c r="Y26" i="108"/>
  <c r="B22" i="91"/>
  <c r="Y24" i="108"/>
  <c r="Y18" i="108"/>
  <c r="Y31" i="108"/>
  <c r="Y29" i="108"/>
  <c r="Y20" i="108"/>
  <c r="Y21" i="108"/>
  <c r="Y23" i="108"/>
  <c r="Y17" i="108"/>
  <c r="T26" i="105"/>
  <c r="AD26" i="105" s="1"/>
  <c r="L26" i="105"/>
  <c r="D28" i="110" l="1"/>
  <c r="E28" i="110" s="1"/>
  <c r="F28" i="110" s="1"/>
  <c r="AL47" i="108"/>
  <c r="AL48" i="108" s="1"/>
  <c r="AL46" i="108"/>
  <c r="Y44" i="108"/>
  <c r="C22" i="91" s="1"/>
  <c r="D22" i="91" s="1"/>
  <c r="E22" i="91" s="1"/>
  <c r="U26" i="105"/>
  <c r="AA26" i="105"/>
  <c r="Z44" i="108" l="1"/>
  <c r="AA44" i="108" s="1"/>
  <c r="Z26" i="105"/>
  <c r="W26" i="105"/>
  <c r="X26" i="105" s="1"/>
  <c r="D23" i="91" l="1"/>
  <c r="E23" i="91" s="1"/>
  <c r="O28" i="91"/>
  <c r="Q25" i="105"/>
  <c r="K25" i="105"/>
  <c r="Q24" i="105"/>
  <c r="Q22" i="105"/>
  <c r="V22" i="105" s="1"/>
  <c r="K22" i="105"/>
  <c r="V21" i="105"/>
  <c r="K21" i="105"/>
  <c r="Q20" i="105"/>
  <c r="K20" i="105"/>
  <c r="K23" i="105" s="1"/>
  <c r="R40" i="89"/>
  <c r="Q40" i="89"/>
  <c r="V40" i="89" s="1"/>
  <c r="K40" i="89"/>
  <c r="K17" i="105"/>
  <c r="Q19" i="105"/>
  <c r="Q17" i="105"/>
  <c r="Q16" i="105"/>
  <c r="Q15" i="105"/>
  <c r="M14" i="105"/>
  <c r="M26" i="105" s="1"/>
  <c r="Z12" i="105"/>
  <c r="M10" i="105"/>
  <c r="V50" i="89"/>
  <c r="K50" i="89"/>
  <c r="L50" i="89" s="1"/>
  <c r="N26" i="105" l="1"/>
  <c r="Y26" i="105"/>
  <c r="K28" i="105"/>
  <c r="K18" i="105"/>
  <c r="L25" i="105"/>
  <c r="L27" i="105" s="1"/>
  <c r="K27" i="105"/>
  <c r="M25" i="105"/>
  <c r="M27" i="105" s="1"/>
  <c r="V25" i="105"/>
  <c r="T25" i="105"/>
  <c r="T22" i="105"/>
  <c r="AD21" i="105"/>
  <c r="L22" i="105"/>
  <c r="M22" i="105" s="1"/>
  <c r="L21" i="105"/>
  <c r="M21" i="105" s="1"/>
  <c r="T20" i="105"/>
  <c r="AD20" i="105" s="1"/>
  <c r="V20" i="105"/>
  <c r="L20" i="105"/>
  <c r="L40" i="89"/>
  <c r="U40" i="89"/>
  <c r="L17" i="105"/>
  <c r="T17" i="105"/>
  <c r="T18" i="105" s="1"/>
  <c r="V17" i="105"/>
  <c r="U50" i="89"/>
  <c r="Z50" i="89" s="1"/>
  <c r="L28" i="105" l="1"/>
  <c r="L18" i="105"/>
  <c r="L23" i="105"/>
  <c r="AD22" i="105"/>
  <c r="T23" i="105"/>
  <c r="T27" i="105"/>
  <c r="T28" i="105"/>
  <c r="U25" i="105"/>
  <c r="W25" i="105" s="1"/>
  <c r="X25" i="105" s="1"/>
  <c r="N25" i="105"/>
  <c r="N27" i="105" s="1"/>
  <c r="AA17" i="105"/>
  <c r="AA25" i="105"/>
  <c r="AD25" i="105"/>
  <c r="AD17" i="105"/>
  <c r="M17" i="105"/>
  <c r="M20" i="105"/>
  <c r="M23" i="105" s="1"/>
  <c r="AA22" i="105"/>
  <c r="U22" i="105"/>
  <c r="AA21" i="105"/>
  <c r="U21" i="105"/>
  <c r="Z21" i="105" s="1"/>
  <c r="N22" i="105"/>
  <c r="N21" i="105"/>
  <c r="AA20" i="105"/>
  <c r="U20" i="105"/>
  <c r="Z40" i="89"/>
  <c r="W40" i="89"/>
  <c r="X40" i="89" s="1"/>
  <c r="AK40" i="89" s="1"/>
  <c r="U17" i="105"/>
  <c r="U18" i="105" s="1"/>
  <c r="W50" i="89"/>
  <c r="X50" i="89" s="1"/>
  <c r="AK50" i="89" s="1"/>
  <c r="Z25" i="105" l="1"/>
  <c r="N17" i="105"/>
  <c r="Z17" i="105" s="1"/>
  <c r="M18" i="105"/>
  <c r="M28" i="105"/>
  <c r="U23" i="105"/>
  <c r="X27" i="105"/>
  <c r="U28" i="105"/>
  <c r="U27" i="105"/>
  <c r="Y25" i="105"/>
  <c r="Y27" i="105"/>
  <c r="W17" i="105"/>
  <c r="X17" i="105" s="1"/>
  <c r="X18" i="105" s="1"/>
  <c r="N20" i="105"/>
  <c r="N23" i="105" s="1"/>
  <c r="Z20" i="105"/>
  <c r="Z22" i="105"/>
  <c r="W22" i="105"/>
  <c r="X22" i="105" s="1"/>
  <c r="W21" i="105"/>
  <c r="X21" i="105" s="1"/>
  <c r="W20" i="105"/>
  <c r="X20" i="105" s="1"/>
  <c r="AD24" i="102"/>
  <c r="S75" i="103"/>
  <c r="Y21" i="105" l="1"/>
  <c r="N18" i="105"/>
  <c r="N28" i="105"/>
  <c r="Y22" i="105"/>
  <c r="X23" i="105"/>
  <c r="Y23" i="105" s="1"/>
  <c r="X28" i="105"/>
  <c r="Y18" i="105"/>
  <c r="Y17" i="105"/>
  <c r="Y20" i="105"/>
  <c r="Q34" i="104"/>
  <c r="AL30" i="105" l="1"/>
  <c r="AL31" i="105"/>
  <c r="AL32" i="105" s="1"/>
  <c r="D27" i="110"/>
  <c r="E27" i="110" s="1"/>
  <c r="F27" i="110" s="1"/>
  <c r="Y28" i="105"/>
  <c r="R35" i="104"/>
  <c r="Q35" i="104"/>
  <c r="K35" i="104"/>
  <c r="K36" i="104" s="1"/>
  <c r="R23" i="104"/>
  <c r="Q23" i="104"/>
  <c r="V23" i="104" s="1"/>
  <c r="K23" i="104"/>
  <c r="R22" i="104"/>
  <c r="Q22" i="104"/>
  <c r="K22" i="104"/>
  <c r="R21" i="104"/>
  <c r="Q21" i="104"/>
  <c r="K21" i="104"/>
  <c r="Z28" i="105" l="1"/>
  <c r="AA28" i="105" s="1"/>
  <c r="C21" i="91"/>
  <c r="D21" i="91" s="1"/>
  <c r="E21" i="91" s="1"/>
  <c r="K24" i="104"/>
  <c r="V35" i="104"/>
  <c r="L35" i="104"/>
  <c r="L36" i="104" s="1"/>
  <c r="L23" i="104"/>
  <c r="T22" i="104"/>
  <c r="V22" i="104"/>
  <c r="L22" i="104"/>
  <c r="T21" i="104"/>
  <c r="T24" i="104" s="1"/>
  <c r="V21" i="104"/>
  <c r="L21" i="104"/>
  <c r="L24" i="104" l="1"/>
  <c r="U35" i="104"/>
  <c r="W35" i="104" s="1"/>
  <c r="X35" i="104" s="1"/>
  <c r="AK35" i="104" s="1"/>
  <c r="T36" i="104"/>
  <c r="AA35" i="104" s="1"/>
  <c r="AD35" i="104"/>
  <c r="U21" i="104"/>
  <c r="U23" i="104"/>
  <c r="AA21" i="104"/>
  <c r="U22" i="104"/>
  <c r="W22" i="104" s="1"/>
  <c r="X22" i="104" s="1"/>
  <c r="Y22" i="104" s="1"/>
  <c r="AA22" i="104"/>
  <c r="AD23" i="104"/>
  <c r="AD22" i="104"/>
  <c r="AD21" i="104"/>
  <c r="U24" i="104" l="1"/>
  <c r="X36" i="104"/>
  <c r="U36" i="104"/>
  <c r="W23" i="104"/>
  <c r="X23" i="104" s="1"/>
  <c r="AK23" i="104" s="1"/>
  <c r="Y35" i="104"/>
  <c r="W21" i="104"/>
  <c r="X21" i="104" s="1"/>
  <c r="X24" i="104" s="1"/>
  <c r="AA23" i="104"/>
  <c r="R18" i="104"/>
  <c r="Q18" i="104"/>
  <c r="K18" i="104"/>
  <c r="Q31" i="104"/>
  <c r="R32" i="104"/>
  <c r="Q32" i="104"/>
  <c r="K32" i="104"/>
  <c r="K33" i="104" s="1"/>
  <c r="R29" i="104"/>
  <c r="Q29" i="104"/>
  <c r="K29" i="104"/>
  <c r="K30" i="104" s="1"/>
  <c r="Y23" i="104" l="1"/>
  <c r="Y21" i="104"/>
  <c r="L18" i="104"/>
  <c r="AD18" i="104"/>
  <c r="V18" i="104"/>
  <c r="T32" i="104"/>
  <c r="V32" i="104"/>
  <c r="L32" i="104"/>
  <c r="L33" i="104" s="1"/>
  <c r="V29" i="104"/>
  <c r="L29" i="104"/>
  <c r="L30" i="104" s="1"/>
  <c r="Q26" i="104"/>
  <c r="K26" i="104"/>
  <c r="K27" i="104" s="1"/>
  <c r="AD32" i="104" l="1"/>
  <c r="T33" i="104"/>
  <c r="T30" i="104"/>
  <c r="AA29" i="104" s="1"/>
  <c r="AD29" i="104"/>
  <c r="AA32" i="104"/>
  <c r="AA33" i="104"/>
  <c r="U29" i="104"/>
  <c r="U30" i="104" s="1"/>
  <c r="U18" i="104"/>
  <c r="U32" i="104"/>
  <c r="U33" i="104" s="1"/>
  <c r="T26" i="104"/>
  <c r="T27" i="104" s="1"/>
  <c r="V26" i="104"/>
  <c r="L26" i="104"/>
  <c r="L27" i="104" s="1"/>
  <c r="AA26" i="104" l="1"/>
  <c r="AD26" i="104"/>
  <c r="W18" i="104"/>
  <c r="AK18" i="104" s="1"/>
  <c r="W29" i="104"/>
  <c r="X29" i="104" s="1"/>
  <c r="W32" i="104"/>
  <c r="X32" i="104" s="1"/>
  <c r="X33" i="104" s="1"/>
  <c r="Y18" i="104"/>
  <c r="U26" i="104"/>
  <c r="U27" i="104" s="1"/>
  <c r="X30" i="104" l="1"/>
  <c r="AK29" i="104"/>
  <c r="Y29" i="104"/>
  <c r="Y32" i="104"/>
  <c r="W26" i="104"/>
  <c r="X26" i="104" s="1"/>
  <c r="X27" i="104" s="1"/>
  <c r="Y26" i="104" l="1"/>
  <c r="R17" i="104"/>
  <c r="Q17" i="104"/>
  <c r="K17" i="104"/>
  <c r="Q16" i="104"/>
  <c r="Q15" i="104"/>
  <c r="M14" i="104"/>
  <c r="Z12" i="104"/>
  <c r="M10" i="104"/>
  <c r="K37" i="104" l="1"/>
  <c r="K19" i="104"/>
  <c r="M23" i="104"/>
  <c r="N23" i="104" s="1"/>
  <c r="M35" i="104"/>
  <c r="M18" i="104"/>
  <c r="M21" i="104"/>
  <c r="M22" i="104"/>
  <c r="N22" i="104" s="1"/>
  <c r="Z22" i="104" s="1"/>
  <c r="M32" i="104"/>
  <c r="M33" i="104" s="1"/>
  <c r="M26" i="104"/>
  <c r="M27" i="104" s="1"/>
  <c r="Y27" i="104" s="1"/>
  <c r="M29" i="104"/>
  <c r="M30" i="104" s="1"/>
  <c r="V17" i="104"/>
  <c r="L17" i="104"/>
  <c r="T19" i="104" l="1"/>
  <c r="AA18" i="104" s="1"/>
  <c r="L37" i="104"/>
  <c r="L19" i="104"/>
  <c r="M24" i="104"/>
  <c r="Y24" i="104" s="1"/>
  <c r="M36" i="104"/>
  <c r="Y36" i="104" s="1"/>
  <c r="N35" i="104"/>
  <c r="N18" i="104"/>
  <c r="Z23" i="104"/>
  <c r="Y33" i="104"/>
  <c r="N29" i="104"/>
  <c r="N30" i="104" s="1"/>
  <c r="Y30" i="104"/>
  <c r="N21" i="104"/>
  <c r="N24" i="104" s="1"/>
  <c r="N32" i="104"/>
  <c r="N33" i="104" s="1"/>
  <c r="AD17" i="104"/>
  <c r="N26" i="104"/>
  <c r="N27" i="104" s="1"/>
  <c r="U17" i="104"/>
  <c r="M17" i="104"/>
  <c r="K18" i="102"/>
  <c r="M37" i="104" l="1"/>
  <c r="M19" i="104"/>
  <c r="U37" i="104"/>
  <c r="U19" i="104"/>
  <c r="N36" i="104"/>
  <c r="Z35" i="104"/>
  <c r="Z18" i="104"/>
  <c r="Z29" i="104"/>
  <c r="Z21" i="104"/>
  <c r="AA17" i="104"/>
  <c r="N17" i="104"/>
  <c r="Z32" i="104"/>
  <c r="W17" i="104"/>
  <c r="AK37" i="104" s="1"/>
  <c r="Z26" i="104"/>
  <c r="N37" i="104" l="1"/>
  <c r="N19" i="104"/>
  <c r="X19" i="104"/>
  <c r="Y19" i="104" s="1"/>
  <c r="Z17" i="104"/>
  <c r="Y17" i="104"/>
  <c r="Y37" i="104" s="1"/>
  <c r="C20" i="91" s="1"/>
  <c r="AL39" i="104" l="1"/>
  <c r="D26" i="110"/>
  <c r="E26" i="110" s="1"/>
  <c r="F26" i="110" s="1"/>
  <c r="AL40" i="104"/>
  <c r="AL41" i="104" s="1"/>
  <c r="D20" i="91"/>
  <c r="E20" i="91" s="1"/>
  <c r="Z37" i="104"/>
  <c r="AA37" i="104" s="1"/>
  <c r="S20" i="89"/>
  <c r="R24" i="89"/>
  <c r="Q24" i="89"/>
  <c r="K24" i="89"/>
  <c r="R19" i="89"/>
  <c r="Q19" i="89"/>
  <c r="V19" i="89" s="1"/>
  <c r="K19" i="89"/>
  <c r="R27" i="102"/>
  <c r="Q27" i="102"/>
  <c r="K27" i="102"/>
  <c r="R21" i="102"/>
  <c r="Q21" i="102"/>
  <c r="K21" i="102"/>
  <c r="L21" i="102" s="1"/>
  <c r="L27" i="102" l="1"/>
  <c r="L24" i="89"/>
  <c r="U24" i="89"/>
  <c r="V24" i="89"/>
  <c r="L19" i="89"/>
  <c r="U19" i="89"/>
  <c r="T27" i="102"/>
  <c r="AA27" i="102" s="1"/>
  <c r="V27" i="102"/>
  <c r="AA21" i="102"/>
  <c r="V21" i="102"/>
  <c r="Z24" i="89" l="1"/>
  <c r="Z19" i="89"/>
  <c r="U27" i="102"/>
  <c r="Z27" i="102" s="1"/>
  <c r="W24" i="89"/>
  <c r="X24" i="89" s="1"/>
  <c r="AK24" i="89" s="1"/>
  <c r="W19" i="89"/>
  <c r="X19" i="89" s="1"/>
  <c r="AK19" i="89" s="1"/>
  <c r="U21" i="102"/>
  <c r="Z21" i="102" s="1"/>
  <c r="W21" i="102" l="1"/>
  <c r="X21" i="102" s="1"/>
  <c r="AK21" i="102" s="1"/>
  <c r="W27" i="102"/>
  <c r="X27" i="102" s="1"/>
  <c r="Q26" i="102"/>
  <c r="K26" i="102"/>
  <c r="P106" i="103"/>
  <c r="P85" i="103"/>
  <c r="P69" i="103"/>
  <c r="P62" i="103"/>
  <c r="P55" i="103"/>
  <c r="P51" i="103"/>
  <c r="P46" i="103"/>
  <c r="P40" i="103"/>
  <c r="P25" i="103"/>
  <c r="Q23" i="102"/>
  <c r="K23" i="102"/>
  <c r="L23" i="102" s="1"/>
  <c r="L26" i="102" l="1"/>
  <c r="AA26" i="102"/>
  <c r="V26" i="102"/>
  <c r="T23" i="102"/>
  <c r="AA23" i="102" s="1"/>
  <c r="V23" i="102"/>
  <c r="R103" i="103"/>
  <c r="Q103" i="103"/>
  <c r="K103" i="103"/>
  <c r="L103" i="103" s="1"/>
  <c r="R82" i="103"/>
  <c r="Q82" i="103"/>
  <c r="K82" i="103"/>
  <c r="R83" i="103"/>
  <c r="Q83" i="103"/>
  <c r="K83" i="103"/>
  <c r="Q19" i="102"/>
  <c r="K19" i="102"/>
  <c r="L19" i="102" s="1"/>
  <c r="K38" i="103"/>
  <c r="U26" i="102" l="1"/>
  <c r="U23" i="102"/>
  <c r="V103" i="103"/>
  <c r="AD103" i="103"/>
  <c r="L82" i="103"/>
  <c r="T82" i="103"/>
  <c r="U82" i="103" s="1"/>
  <c r="Z82" i="103" s="1"/>
  <c r="V82" i="103"/>
  <c r="L83" i="103"/>
  <c r="AD83" i="103"/>
  <c r="V83" i="103"/>
  <c r="AD19" i="102"/>
  <c r="V19" i="102"/>
  <c r="AA19" i="102" l="1"/>
  <c r="Z26" i="102"/>
  <c r="W26" i="102"/>
  <c r="X26" i="102" s="1"/>
  <c r="AK26" i="102" s="1"/>
  <c r="Z23" i="102"/>
  <c r="W23" i="102"/>
  <c r="X23" i="102" s="1"/>
  <c r="U103" i="103"/>
  <c r="Z103" i="103" s="1"/>
  <c r="U19" i="102"/>
  <c r="W82" i="103"/>
  <c r="X82" i="103" s="1"/>
  <c r="AK82" i="103" s="1"/>
  <c r="U83" i="103"/>
  <c r="Z19" i="102" l="1"/>
  <c r="W19" i="102"/>
  <c r="X19" i="102" s="1"/>
  <c r="AK19" i="102" s="1"/>
  <c r="W103" i="103"/>
  <c r="X103" i="103" s="1"/>
  <c r="AK103" i="103" s="1"/>
  <c r="Z83" i="103"/>
  <c r="W83" i="103"/>
  <c r="X83" i="103" s="1"/>
  <c r="AK83" i="103" s="1"/>
  <c r="R105" i="103" l="1"/>
  <c r="Q105" i="103"/>
  <c r="V105" i="103" s="1"/>
  <c r="K105" i="103"/>
  <c r="L105" i="103" s="1"/>
  <c r="R104" i="103"/>
  <c r="Q104" i="103"/>
  <c r="K104" i="103"/>
  <c r="R102" i="103"/>
  <c r="Q102" i="103"/>
  <c r="V102" i="103" s="1"/>
  <c r="K102" i="103"/>
  <c r="Q101" i="103"/>
  <c r="T101" i="103" s="1"/>
  <c r="AD101" i="103" s="1"/>
  <c r="K101" i="103"/>
  <c r="R100" i="103"/>
  <c r="Q100" i="103"/>
  <c r="V100" i="103" s="1"/>
  <c r="K100" i="103"/>
  <c r="Q99" i="103"/>
  <c r="V99" i="103" s="1"/>
  <c r="K99" i="103"/>
  <c r="L99" i="103" s="1"/>
  <c r="V98" i="103"/>
  <c r="K98" i="103"/>
  <c r="Q97" i="103"/>
  <c r="K97" i="103"/>
  <c r="L97" i="103" s="1"/>
  <c r="Q96" i="103"/>
  <c r="K96" i="103"/>
  <c r="L96" i="103" s="1"/>
  <c r="K95" i="103"/>
  <c r="Q94" i="103"/>
  <c r="Q93" i="103"/>
  <c r="R84" i="103"/>
  <c r="Q84" i="103"/>
  <c r="V84" i="103" s="1"/>
  <c r="K84" i="103"/>
  <c r="R81" i="103"/>
  <c r="Q81" i="103"/>
  <c r="K81" i="103"/>
  <c r="L81" i="103" s="1"/>
  <c r="Q80" i="103"/>
  <c r="K80" i="103"/>
  <c r="L80" i="103" s="1"/>
  <c r="R79" i="103"/>
  <c r="Q79" i="103"/>
  <c r="V79" i="103" s="1"/>
  <c r="K79" i="103"/>
  <c r="L79" i="103" s="1"/>
  <c r="V78" i="103"/>
  <c r="K78" i="103"/>
  <c r="R77" i="103"/>
  <c r="Q77" i="103"/>
  <c r="K77" i="103"/>
  <c r="L77" i="103" s="1"/>
  <c r="R76" i="103"/>
  <c r="Q76" i="103"/>
  <c r="K76" i="103"/>
  <c r="L76" i="103" s="1"/>
  <c r="R75" i="103"/>
  <c r="Q75" i="103"/>
  <c r="K75" i="103"/>
  <c r="L75" i="103" s="1"/>
  <c r="R74" i="103"/>
  <c r="Q74" i="103"/>
  <c r="K74" i="103"/>
  <c r="L74" i="103" s="1"/>
  <c r="R73" i="103"/>
  <c r="Q73" i="103"/>
  <c r="K73" i="103"/>
  <c r="K72" i="103"/>
  <c r="K85" i="103" s="1"/>
  <c r="Q71" i="103"/>
  <c r="Q70" i="103"/>
  <c r="R68" i="103"/>
  <c r="Q68" i="103"/>
  <c r="K68" i="103"/>
  <c r="R67" i="103"/>
  <c r="Q67" i="103"/>
  <c r="K67" i="103"/>
  <c r="R66" i="103"/>
  <c r="Q66" i="103"/>
  <c r="K66" i="103"/>
  <c r="L66" i="103" s="1"/>
  <c r="R65" i="103"/>
  <c r="Q65" i="103"/>
  <c r="K65" i="103"/>
  <c r="Q64" i="103"/>
  <c r="Q63" i="103"/>
  <c r="Q61" i="103"/>
  <c r="V61" i="103" s="1"/>
  <c r="K61" i="103"/>
  <c r="R60" i="103"/>
  <c r="Q60" i="103"/>
  <c r="K60" i="103"/>
  <c r="L60" i="103" s="1"/>
  <c r="R59" i="103"/>
  <c r="Q59" i="103"/>
  <c r="K59" i="103"/>
  <c r="V58" i="103"/>
  <c r="T58" i="103"/>
  <c r="K58" i="103"/>
  <c r="K62" i="103" s="1"/>
  <c r="Q57" i="103"/>
  <c r="Q56" i="103"/>
  <c r="R54" i="103"/>
  <c r="Q54" i="103"/>
  <c r="K54" i="103"/>
  <c r="K55" i="103" s="1"/>
  <c r="Q53" i="103"/>
  <c r="Q52" i="103"/>
  <c r="R50" i="103"/>
  <c r="Q50" i="103"/>
  <c r="K50" i="103"/>
  <c r="R49" i="103"/>
  <c r="Q49" i="103"/>
  <c r="K49" i="103"/>
  <c r="K51" i="103" s="1"/>
  <c r="Q48" i="103"/>
  <c r="Q47" i="103"/>
  <c r="K45" i="103"/>
  <c r="L45" i="103" s="1"/>
  <c r="Q44" i="103"/>
  <c r="K44" i="103"/>
  <c r="V43" i="103"/>
  <c r="K43" i="103"/>
  <c r="Q42" i="103"/>
  <c r="Q41" i="103"/>
  <c r="Q39" i="103"/>
  <c r="V39" i="103" s="1"/>
  <c r="K39" i="103"/>
  <c r="R38" i="103"/>
  <c r="Q38" i="103"/>
  <c r="V38" i="103" s="1"/>
  <c r="R37" i="103"/>
  <c r="Q37" i="103"/>
  <c r="K37" i="103"/>
  <c r="L37" i="103" s="1"/>
  <c r="R36" i="103"/>
  <c r="Q36" i="103"/>
  <c r="K36" i="103"/>
  <c r="Q35" i="103"/>
  <c r="V35" i="103" s="1"/>
  <c r="K35" i="103"/>
  <c r="Q34" i="103"/>
  <c r="V34" i="103" s="1"/>
  <c r="K34" i="103"/>
  <c r="Q33" i="103"/>
  <c r="T33" i="103" s="1"/>
  <c r="AA33" i="103" s="1"/>
  <c r="K33" i="103"/>
  <c r="L33" i="103" s="1"/>
  <c r="Q32" i="103"/>
  <c r="K32" i="103"/>
  <c r="Q31" i="103"/>
  <c r="V31" i="103" s="1"/>
  <c r="K31" i="103"/>
  <c r="Q30" i="103"/>
  <c r="K30" i="103"/>
  <c r="K29" i="103"/>
  <c r="L29" i="103" s="1"/>
  <c r="Q29" i="103"/>
  <c r="V29" i="103" s="1"/>
  <c r="R28" i="103"/>
  <c r="Q28" i="103"/>
  <c r="K28" i="103"/>
  <c r="Q27" i="103"/>
  <c r="Q26" i="103"/>
  <c r="Q24" i="103"/>
  <c r="K24" i="103"/>
  <c r="L24" i="103" s="1"/>
  <c r="Q23" i="103"/>
  <c r="V23" i="103" s="1"/>
  <c r="K23" i="103"/>
  <c r="Q22" i="103"/>
  <c r="K22" i="103"/>
  <c r="L22" i="103" s="1"/>
  <c r="R21" i="103"/>
  <c r="Q21" i="103"/>
  <c r="K21" i="103"/>
  <c r="R20" i="103"/>
  <c r="Q20" i="103"/>
  <c r="V20" i="103" s="1"/>
  <c r="K20" i="103"/>
  <c r="L20" i="103" s="1"/>
  <c r="R19" i="103"/>
  <c r="Q19" i="103"/>
  <c r="K19" i="103"/>
  <c r="L19" i="103" s="1"/>
  <c r="R18" i="103"/>
  <c r="Q18" i="103"/>
  <c r="K18" i="103"/>
  <c r="R17" i="103"/>
  <c r="Q17" i="103"/>
  <c r="K17" i="103"/>
  <c r="Q16" i="103"/>
  <c r="Q15" i="103"/>
  <c r="M14" i="103"/>
  <c r="Z12" i="103"/>
  <c r="M10" i="103"/>
  <c r="P29" i="102"/>
  <c r="Q16" i="102"/>
  <c r="R28" i="102"/>
  <c r="Q28" i="102"/>
  <c r="K28" i="102"/>
  <c r="R25" i="102"/>
  <c r="Q25" i="102"/>
  <c r="K25" i="102"/>
  <c r="L25" i="102" s="1"/>
  <c r="K24" i="102"/>
  <c r="Q22" i="102"/>
  <c r="V22" i="102" s="1"/>
  <c r="K22" i="102"/>
  <c r="L22" i="102" s="1"/>
  <c r="R20" i="102"/>
  <c r="Q20" i="102"/>
  <c r="K20" i="102"/>
  <c r="L20" i="102" s="1"/>
  <c r="V17" i="102"/>
  <c r="R17" i="102"/>
  <c r="K17" i="102"/>
  <c r="Q15" i="102"/>
  <c r="M14" i="102"/>
  <c r="Z12" i="102"/>
  <c r="M10" i="102"/>
  <c r="Q17" i="99"/>
  <c r="V17" i="99" s="1"/>
  <c r="Q15" i="99"/>
  <c r="Q16" i="99"/>
  <c r="K106" i="103" l="1"/>
  <c r="K69" i="103"/>
  <c r="K46" i="103"/>
  <c r="K40" i="103"/>
  <c r="K107" i="103"/>
  <c r="K25" i="103"/>
  <c r="M88" i="103"/>
  <c r="N88" i="103" s="1"/>
  <c r="M90" i="103"/>
  <c r="M89" i="103"/>
  <c r="AD17" i="102"/>
  <c r="K29" i="102"/>
  <c r="K30" i="102"/>
  <c r="L68" i="103"/>
  <c r="M68" i="103" s="1"/>
  <c r="L102" i="103"/>
  <c r="M102" i="103" s="1"/>
  <c r="L24" i="102"/>
  <c r="M27" i="102"/>
  <c r="L101" i="103"/>
  <c r="M101" i="103" s="1"/>
  <c r="M21" i="102"/>
  <c r="M26" i="102"/>
  <c r="L18" i="102"/>
  <c r="M18" i="102" s="1"/>
  <c r="AA17" i="102"/>
  <c r="M23" i="102"/>
  <c r="M103" i="103"/>
  <c r="N103" i="103" s="1"/>
  <c r="V72" i="103"/>
  <c r="L49" i="103"/>
  <c r="L51" i="103" s="1"/>
  <c r="V28" i="103"/>
  <c r="L95" i="103"/>
  <c r="V54" i="103"/>
  <c r="V55" i="103" s="1"/>
  <c r="M83" i="103"/>
  <c r="N83" i="103" s="1"/>
  <c r="M82" i="103"/>
  <c r="M19" i="102"/>
  <c r="N19" i="102" s="1"/>
  <c r="T77" i="103"/>
  <c r="U101" i="103"/>
  <c r="M80" i="103"/>
  <c r="N80" i="103" s="1"/>
  <c r="T21" i="103"/>
  <c r="V101" i="103"/>
  <c r="L54" i="103"/>
  <c r="L55" i="103" s="1"/>
  <c r="M29" i="103"/>
  <c r="N29" i="103" s="1"/>
  <c r="T22" i="103"/>
  <c r="M75" i="103"/>
  <c r="N75" i="103" s="1"/>
  <c r="L17" i="103"/>
  <c r="U36" i="103"/>
  <c r="T100" i="103"/>
  <c r="T34" i="103"/>
  <c r="AA34" i="103" s="1"/>
  <c r="U43" i="103"/>
  <c r="V77" i="103"/>
  <c r="M76" i="103"/>
  <c r="N76" i="103" s="1"/>
  <c r="L43" i="103"/>
  <c r="T59" i="103"/>
  <c r="L30" i="103"/>
  <c r="M30" i="103" s="1"/>
  <c r="N30" i="103" s="1"/>
  <c r="L36" i="103"/>
  <c r="M36" i="103" s="1"/>
  <c r="AD23" i="103"/>
  <c r="AD99" i="103"/>
  <c r="V60" i="103"/>
  <c r="T54" i="103"/>
  <c r="T55" i="103" s="1"/>
  <c r="AD39" i="103"/>
  <c r="L44" i="103"/>
  <c r="M44" i="103" s="1"/>
  <c r="N44" i="103" s="1"/>
  <c r="V73" i="103"/>
  <c r="T31" i="103"/>
  <c r="U31" i="103" s="1"/>
  <c r="Z31" i="103" s="1"/>
  <c r="M74" i="103"/>
  <c r="N74" i="103" s="1"/>
  <c r="L104" i="103"/>
  <c r="M104" i="103" s="1"/>
  <c r="N104" i="103" s="1"/>
  <c r="V21" i="103"/>
  <c r="L58" i="103"/>
  <c r="L62" i="103" s="1"/>
  <c r="T78" i="103"/>
  <c r="T61" i="103"/>
  <c r="V22" i="103"/>
  <c r="L59" i="103"/>
  <c r="T67" i="103"/>
  <c r="L84" i="103"/>
  <c r="M84" i="103" s="1"/>
  <c r="N84" i="103" s="1"/>
  <c r="T20" i="103"/>
  <c r="U20" i="103" s="1"/>
  <c r="M37" i="103"/>
  <c r="N37" i="103" s="1"/>
  <c r="U79" i="103"/>
  <c r="V95" i="103"/>
  <c r="L50" i="103"/>
  <c r="L23" i="103"/>
  <c r="M23" i="103" s="1"/>
  <c r="N23" i="103" s="1"/>
  <c r="V67" i="103"/>
  <c r="V33" i="103"/>
  <c r="M66" i="103"/>
  <c r="N66" i="103" s="1"/>
  <c r="M60" i="103"/>
  <c r="N60" i="103" s="1"/>
  <c r="L32" i="103"/>
  <c r="L28" i="103"/>
  <c r="L31" i="103"/>
  <c r="V17" i="103"/>
  <c r="U75" i="103"/>
  <c r="Z75" i="103" s="1"/>
  <c r="V80" i="103"/>
  <c r="T80" i="103"/>
  <c r="AD80" i="103" s="1"/>
  <c r="L98" i="103"/>
  <c r="M19" i="103"/>
  <c r="N19" i="103" s="1"/>
  <c r="M22" i="103"/>
  <c r="N22" i="103" s="1"/>
  <c r="V32" i="103"/>
  <c r="T32" i="103"/>
  <c r="V49" i="103"/>
  <c r="M96" i="103"/>
  <c r="N96" i="103" s="1"/>
  <c r="V45" i="103"/>
  <c r="V74" i="103"/>
  <c r="M79" i="103"/>
  <c r="N79" i="103" s="1"/>
  <c r="V19" i="103"/>
  <c r="U19" i="103"/>
  <c r="Z19" i="103" s="1"/>
  <c r="L39" i="103"/>
  <c r="M39" i="103" s="1"/>
  <c r="N39" i="103" s="1"/>
  <c r="V59" i="103"/>
  <c r="T65" i="103"/>
  <c r="V104" i="103"/>
  <c r="AD104" i="103"/>
  <c r="L35" i="103"/>
  <c r="L21" i="103"/>
  <c r="M21" i="103" s="1"/>
  <c r="N21" i="103" s="1"/>
  <c r="L18" i="103"/>
  <c r="M18" i="103" s="1"/>
  <c r="V76" i="103"/>
  <c r="M81" i="103"/>
  <c r="N81" i="103" s="1"/>
  <c r="M45" i="103"/>
  <c r="N45" i="103" s="1"/>
  <c r="L61" i="103"/>
  <c r="M61" i="103" s="1"/>
  <c r="N61" i="103" s="1"/>
  <c r="V30" i="103"/>
  <c r="T30" i="103"/>
  <c r="U30" i="103" s="1"/>
  <c r="Z30" i="103" s="1"/>
  <c r="V97" i="103"/>
  <c r="AD97" i="103"/>
  <c r="V24" i="103"/>
  <c r="U24" i="103"/>
  <c r="Z24" i="103" s="1"/>
  <c r="L34" i="103"/>
  <c r="M34" i="103" s="1"/>
  <c r="AD37" i="103"/>
  <c r="V37" i="103"/>
  <c r="M20" i="103"/>
  <c r="N20" i="103" s="1"/>
  <c r="U33" i="103"/>
  <c r="M33" i="103"/>
  <c r="N33" i="103" s="1"/>
  <c r="V44" i="103"/>
  <c r="V50" i="103"/>
  <c r="T50" i="103"/>
  <c r="L72" i="103"/>
  <c r="M97" i="103"/>
  <c r="N97" i="103" s="1"/>
  <c r="V65" i="103"/>
  <c r="L67" i="103"/>
  <c r="M67" i="103" s="1"/>
  <c r="V18" i="103"/>
  <c r="T18" i="103"/>
  <c r="M24" i="103"/>
  <c r="N24" i="103" s="1"/>
  <c r="T29" i="103"/>
  <c r="L38" i="103"/>
  <c r="U58" i="103"/>
  <c r="L65" i="103"/>
  <c r="V68" i="103"/>
  <c r="V75" i="103"/>
  <c r="V81" i="103"/>
  <c r="T81" i="103"/>
  <c r="V36" i="103"/>
  <c r="V66" i="103"/>
  <c r="AD66" i="103"/>
  <c r="V96" i="103"/>
  <c r="U102" i="103"/>
  <c r="M105" i="103"/>
  <c r="N105" i="103" s="1"/>
  <c r="M77" i="103"/>
  <c r="N77" i="103" s="1"/>
  <c r="M99" i="103"/>
  <c r="L73" i="103"/>
  <c r="L78" i="103"/>
  <c r="L100" i="103"/>
  <c r="AD38" i="103"/>
  <c r="T98" i="103"/>
  <c r="AD98" i="103" s="1"/>
  <c r="T22" i="102"/>
  <c r="M25" i="102"/>
  <c r="N25" i="102" s="1"/>
  <c r="M24" i="102"/>
  <c r="V25" i="102"/>
  <c r="T25" i="102"/>
  <c r="T24" i="102"/>
  <c r="V24" i="102"/>
  <c r="V18" i="102"/>
  <c r="AD18" i="102"/>
  <c r="U17" i="102"/>
  <c r="M20" i="102"/>
  <c r="V20" i="102"/>
  <c r="T20" i="102"/>
  <c r="L28" i="102"/>
  <c r="M28" i="102" s="1"/>
  <c r="N28" i="102" s="1"/>
  <c r="V28" i="102"/>
  <c r="AD28" i="102"/>
  <c r="L17" i="102"/>
  <c r="M22" i="102"/>
  <c r="N22" i="102" s="1"/>
  <c r="L106" i="103" l="1"/>
  <c r="T62" i="103"/>
  <c r="AA61" i="103" s="1"/>
  <c r="L85" i="103"/>
  <c r="L69" i="103"/>
  <c r="L46" i="103"/>
  <c r="Y88" i="103"/>
  <c r="M92" i="103"/>
  <c r="AD50" i="103"/>
  <c r="T51" i="103"/>
  <c r="T106" i="103"/>
  <c r="AD45" i="103"/>
  <c r="T46" i="103"/>
  <c r="T85" i="103"/>
  <c r="AA82" i="103" s="1"/>
  <c r="AD68" i="103"/>
  <c r="T69" i="103"/>
  <c r="T25" i="103"/>
  <c r="AA17" i="103" s="1"/>
  <c r="L40" i="103"/>
  <c r="L107" i="103"/>
  <c r="L25" i="103"/>
  <c r="T40" i="103"/>
  <c r="AA32" i="103" s="1"/>
  <c r="T107" i="103"/>
  <c r="N89" i="103"/>
  <c r="Y89" i="103"/>
  <c r="Y90" i="103"/>
  <c r="N90" i="103"/>
  <c r="AA50" i="103"/>
  <c r="N99" i="103"/>
  <c r="AD72" i="103"/>
  <c r="AD28" i="103"/>
  <c r="AD54" i="103"/>
  <c r="U61" i="103"/>
  <c r="Z61" i="103" s="1"/>
  <c r="AD61" i="103"/>
  <c r="U67" i="103"/>
  <c r="W67" i="103" s="1"/>
  <c r="X67" i="103" s="1"/>
  <c r="AD67" i="103"/>
  <c r="U77" i="103"/>
  <c r="Z77" i="103" s="1"/>
  <c r="AD77" i="103"/>
  <c r="AA35" i="103"/>
  <c r="U22" i="103"/>
  <c r="W22" i="103" s="1"/>
  <c r="X22" i="103" s="1"/>
  <c r="AK22" i="103" s="1"/>
  <c r="T29" i="102"/>
  <c r="AA29" i="102" s="1"/>
  <c r="T30" i="102"/>
  <c r="AA30" i="102" s="1"/>
  <c r="L29" i="102"/>
  <c r="L30" i="102"/>
  <c r="U96" i="103"/>
  <c r="Z96" i="103" s="1"/>
  <c r="AD96" i="103"/>
  <c r="AD95" i="103"/>
  <c r="U78" i="103"/>
  <c r="Z78" i="103" s="1"/>
  <c r="AD78" i="103"/>
  <c r="N68" i="103"/>
  <c r="N27" i="102"/>
  <c r="U60" i="103"/>
  <c r="AA25" i="102"/>
  <c r="U73" i="103"/>
  <c r="W73" i="103" s="1"/>
  <c r="X73" i="103" s="1"/>
  <c r="AK73" i="103" s="1"/>
  <c r="N102" i="103"/>
  <c r="AA22" i="102"/>
  <c r="U23" i="103"/>
  <c r="Z23" i="103" s="1"/>
  <c r="U44" i="103"/>
  <c r="W44" i="103" s="1"/>
  <c r="X44" i="103" s="1"/>
  <c r="AK44" i="103" s="1"/>
  <c r="U59" i="103"/>
  <c r="U38" i="103"/>
  <c r="U81" i="103"/>
  <c r="Z101" i="103"/>
  <c r="N24" i="102"/>
  <c r="Y27" i="102"/>
  <c r="W43" i="103"/>
  <c r="X43" i="103" s="1"/>
  <c r="AK43" i="103" s="1"/>
  <c r="U32" i="103"/>
  <c r="N101" i="103"/>
  <c r="U84" i="103"/>
  <c r="W84" i="103" s="1"/>
  <c r="X84" i="103" s="1"/>
  <c r="AK84" i="103" s="1"/>
  <c r="U21" i="103"/>
  <c r="U39" i="103"/>
  <c r="W39" i="103" s="1"/>
  <c r="X39" i="103" s="1"/>
  <c r="AK39" i="103" s="1"/>
  <c r="N26" i="102"/>
  <c r="Y26" i="102"/>
  <c r="N21" i="102"/>
  <c r="Y21" i="102"/>
  <c r="N18" i="102"/>
  <c r="AA18" i="102"/>
  <c r="U95" i="103"/>
  <c r="N23" i="102"/>
  <c r="Y23" i="102"/>
  <c r="Y103" i="103"/>
  <c r="M49" i="103"/>
  <c r="Y83" i="103"/>
  <c r="U72" i="103"/>
  <c r="M43" i="103"/>
  <c r="M46" i="103" s="1"/>
  <c r="M95" i="103"/>
  <c r="U20" i="102"/>
  <c r="W20" i="102" s="1"/>
  <c r="X20" i="102" s="1"/>
  <c r="AA20" i="102"/>
  <c r="U28" i="102"/>
  <c r="Z28" i="102" s="1"/>
  <c r="AA28" i="102"/>
  <c r="U24" i="102"/>
  <c r="AA24" i="102"/>
  <c r="Y82" i="103"/>
  <c r="N82" i="103"/>
  <c r="Y19" i="102"/>
  <c r="W101" i="103"/>
  <c r="X101" i="103" s="1"/>
  <c r="AK101" i="103" s="1"/>
  <c r="M50" i="103"/>
  <c r="N50" i="103" s="1"/>
  <c r="U35" i="103"/>
  <c r="N20" i="102"/>
  <c r="M54" i="103"/>
  <c r="M55" i="103" s="1"/>
  <c r="U99" i="103"/>
  <c r="W99" i="103" s="1"/>
  <c r="X99" i="103" s="1"/>
  <c r="N36" i="103"/>
  <c r="U54" i="103"/>
  <c r="U55" i="103" s="1"/>
  <c r="U100" i="103"/>
  <c r="Z100" i="103" s="1"/>
  <c r="M98" i="103"/>
  <c r="U97" i="103"/>
  <c r="Z97" i="103" s="1"/>
  <c r="U105" i="103"/>
  <c r="Z36" i="103"/>
  <c r="W36" i="103"/>
  <c r="X36" i="103" s="1"/>
  <c r="W58" i="103"/>
  <c r="X58" i="103" s="1"/>
  <c r="M17" i="103"/>
  <c r="U34" i="103"/>
  <c r="W34" i="103" s="1"/>
  <c r="X34" i="103" s="1"/>
  <c r="M58" i="103"/>
  <c r="W75" i="103"/>
  <c r="X75" i="103" s="1"/>
  <c r="U65" i="103"/>
  <c r="Z43" i="103"/>
  <c r="AA45" i="103"/>
  <c r="AA43" i="103"/>
  <c r="AA44" i="103"/>
  <c r="V40" i="103"/>
  <c r="U45" i="103"/>
  <c r="U28" i="103"/>
  <c r="W102" i="103"/>
  <c r="X102" i="103" s="1"/>
  <c r="AK102" i="103" s="1"/>
  <c r="Z102" i="103"/>
  <c r="W79" i="103"/>
  <c r="X79" i="103" s="1"/>
  <c r="Z79" i="103"/>
  <c r="N18" i="103"/>
  <c r="M59" i="103"/>
  <c r="N59" i="103" s="1"/>
  <c r="V62" i="103"/>
  <c r="W31" i="103"/>
  <c r="X31" i="103" s="1"/>
  <c r="AK31" i="103" s="1"/>
  <c r="AA54" i="103"/>
  <c r="M31" i="103"/>
  <c r="N31" i="103" s="1"/>
  <c r="U18" i="103"/>
  <c r="Z18" i="103" s="1"/>
  <c r="W19" i="103"/>
  <c r="X19" i="103" s="1"/>
  <c r="U49" i="103"/>
  <c r="M73" i="103"/>
  <c r="W24" i="103"/>
  <c r="X24" i="103" s="1"/>
  <c r="M100" i="103"/>
  <c r="N100" i="103" s="1"/>
  <c r="M32" i="103"/>
  <c r="M35" i="103"/>
  <c r="N35" i="103" s="1"/>
  <c r="M28" i="103"/>
  <c r="U50" i="103"/>
  <c r="M78" i="103"/>
  <c r="N78" i="103" s="1"/>
  <c r="Z20" i="103"/>
  <c r="W20" i="103"/>
  <c r="X20" i="103" s="1"/>
  <c r="N67" i="103"/>
  <c r="U37" i="103"/>
  <c r="V46" i="103"/>
  <c r="U17" i="103"/>
  <c r="U80" i="103"/>
  <c r="Z58" i="103"/>
  <c r="U29" i="103"/>
  <c r="W33" i="103"/>
  <c r="X33" i="103" s="1"/>
  <c r="Z33" i="103"/>
  <c r="U66" i="103"/>
  <c r="U104" i="103"/>
  <c r="Z104" i="103" s="1"/>
  <c r="V51" i="103"/>
  <c r="M72" i="103"/>
  <c r="N34" i="103"/>
  <c r="V69" i="103"/>
  <c r="U74" i="103"/>
  <c r="U68" i="103"/>
  <c r="AA65" i="103"/>
  <c r="M65" i="103"/>
  <c r="M69" i="103" s="1"/>
  <c r="M38" i="103"/>
  <c r="N38" i="103" s="1"/>
  <c r="V85" i="103"/>
  <c r="U76" i="103"/>
  <c r="V25" i="103"/>
  <c r="U98" i="103"/>
  <c r="W30" i="103"/>
  <c r="X30" i="103" s="1"/>
  <c r="Z17" i="102"/>
  <c r="M17" i="102"/>
  <c r="U22" i="102"/>
  <c r="W17" i="102"/>
  <c r="U18" i="102"/>
  <c r="U25" i="102"/>
  <c r="M106" i="103" l="1"/>
  <c r="M62" i="103"/>
  <c r="M85" i="103"/>
  <c r="N92" i="103"/>
  <c r="U51" i="103"/>
  <c r="U69" i="103"/>
  <c r="Y67" i="103"/>
  <c r="AK67" i="103"/>
  <c r="Z59" i="103"/>
  <c r="U62" i="103"/>
  <c r="Y99" i="103"/>
  <c r="AK99" i="103"/>
  <c r="AK58" i="103"/>
  <c r="Y34" i="103"/>
  <c r="AK34" i="103"/>
  <c r="Y75" i="103"/>
  <c r="AK75" i="103"/>
  <c r="Y20" i="103"/>
  <c r="AK20" i="103"/>
  <c r="Y33" i="103"/>
  <c r="AK33" i="103"/>
  <c r="Y30" i="103"/>
  <c r="AK30" i="103"/>
  <c r="Y19" i="103"/>
  <c r="AK19" i="103"/>
  <c r="Y79" i="103"/>
  <c r="AK79" i="103"/>
  <c r="Y36" i="103"/>
  <c r="AK36" i="103"/>
  <c r="Y24" i="103"/>
  <c r="AK24" i="103"/>
  <c r="U85" i="103"/>
  <c r="Z105" i="103"/>
  <c r="U106" i="103"/>
  <c r="U25" i="103"/>
  <c r="M51" i="103"/>
  <c r="U46" i="103"/>
  <c r="M40" i="103"/>
  <c r="M107" i="103"/>
  <c r="M25" i="103"/>
  <c r="U40" i="103"/>
  <c r="U107" i="103"/>
  <c r="W61" i="103"/>
  <c r="X61" i="103" s="1"/>
  <c r="Z67" i="103"/>
  <c r="W96" i="103"/>
  <c r="X96" i="103" s="1"/>
  <c r="AK96" i="103" s="1"/>
  <c r="W78" i="103"/>
  <c r="X78" i="103" s="1"/>
  <c r="W77" i="103"/>
  <c r="X77" i="103" s="1"/>
  <c r="W60" i="103"/>
  <c r="X60" i="103" s="1"/>
  <c r="AK60" i="103" s="1"/>
  <c r="Z35" i="103"/>
  <c r="Y22" i="103"/>
  <c r="Z22" i="103"/>
  <c r="U30" i="102"/>
  <c r="U29" i="102"/>
  <c r="M30" i="102"/>
  <c r="M29" i="102"/>
  <c r="Z76" i="103"/>
  <c r="Z50" i="103"/>
  <c r="W45" i="103"/>
  <c r="X45" i="103" s="1"/>
  <c r="Z60" i="103"/>
  <c r="Z25" i="102"/>
  <c r="Z73" i="103"/>
  <c r="Y102" i="103"/>
  <c r="Z66" i="103"/>
  <c r="W38" i="103"/>
  <c r="X38" i="103" s="1"/>
  <c r="Z38" i="103"/>
  <c r="W23" i="103"/>
  <c r="X23" i="103" s="1"/>
  <c r="AK23" i="103" s="1"/>
  <c r="Y44" i="103"/>
  <c r="Z44" i="103"/>
  <c r="Z28" i="103"/>
  <c r="W59" i="103"/>
  <c r="X59" i="103" s="1"/>
  <c r="Z84" i="103"/>
  <c r="Z81" i="103"/>
  <c r="W81" i="103"/>
  <c r="X81" i="103" s="1"/>
  <c r="Y101" i="103"/>
  <c r="Z24" i="102"/>
  <c r="Z32" i="103"/>
  <c r="N32" i="103"/>
  <c r="W32" i="103"/>
  <c r="X32" i="103" s="1"/>
  <c r="W72" i="103"/>
  <c r="X72" i="103" s="1"/>
  <c r="AK72" i="103" s="1"/>
  <c r="W95" i="103"/>
  <c r="X95" i="103" s="1"/>
  <c r="AK95" i="103" s="1"/>
  <c r="Y84" i="103"/>
  <c r="W21" i="103"/>
  <c r="X21" i="103" s="1"/>
  <c r="AK21" i="103" s="1"/>
  <c r="Z21" i="103"/>
  <c r="Y39" i="103"/>
  <c r="Z39" i="103"/>
  <c r="Z18" i="102"/>
  <c r="Z95" i="103"/>
  <c r="AA67" i="103"/>
  <c r="N17" i="102"/>
  <c r="W24" i="102"/>
  <c r="X24" i="102" s="1"/>
  <c r="W28" i="102"/>
  <c r="X28" i="102" s="1"/>
  <c r="Z20" i="102"/>
  <c r="Z72" i="103"/>
  <c r="AA103" i="103"/>
  <c r="N49" i="103"/>
  <c r="N51" i="103" s="1"/>
  <c r="N43" i="103"/>
  <c r="N46" i="103" s="1"/>
  <c r="AA105" i="103"/>
  <c r="N95" i="103"/>
  <c r="N106" i="103" s="1"/>
  <c r="Y43" i="103"/>
  <c r="AA80" i="103"/>
  <c r="AA83" i="103"/>
  <c r="W35" i="103"/>
  <c r="X35" i="103" s="1"/>
  <c r="AK35" i="103" s="1"/>
  <c r="Y58" i="103"/>
  <c r="AA30" i="103"/>
  <c r="AA49" i="103"/>
  <c r="AA104" i="103"/>
  <c r="AA97" i="103"/>
  <c r="AA96" i="103"/>
  <c r="AA100" i="103"/>
  <c r="Z99" i="103"/>
  <c r="N54" i="103"/>
  <c r="N55" i="103" s="1"/>
  <c r="AA102" i="103"/>
  <c r="Y20" i="102"/>
  <c r="AA98" i="103"/>
  <c r="AA38" i="103"/>
  <c r="N98" i="103"/>
  <c r="W105" i="103"/>
  <c r="X105" i="103" s="1"/>
  <c r="AK105" i="103" s="1"/>
  <c r="AA81" i="103"/>
  <c r="Y73" i="103"/>
  <c r="Z34" i="103"/>
  <c r="Z54" i="103"/>
  <c r="W100" i="103"/>
  <c r="X100" i="103" s="1"/>
  <c r="W54" i="103"/>
  <c r="X54" i="103" s="1"/>
  <c r="Y31" i="103"/>
  <c r="W97" i="103"/>
  <c r="X97" i="103" s="1"/>
  <c r="AA76" i="103"/>
  <c r="W76" i="103"/>
  <c r="X76" i="103" s="1"/>
  <c r="AK76" i="103" s="1"/>
  <c r="AA95" i="103"/>
  <c r="AA101" i="103"/>
  <c r="AA99" i="103"/>
  <c r="AA75" i="103"/>
  <c r="AA74" i="103"/>
  <c r="Z45" i="103"/>
  <c r="N72" i="103"/>
  <c r="N65" i="103"/>
  <c r="N69" i="103" s="1"/>
  <c r="N58" i="103"/>
  <c r="N62" i="103" s="1"/>
  <c r="W65" i="103"/>
  <c r="X65" i="103" s="1"/>
  <c r="AK65" i="103" s="1"/>
  <c r="W28" i="103"/>
  <c r="X28" i="103" s="1"/>
  <c r="AK28" i="103" s="1"/>
  <c r="Z65" i="103"/>
  <c r="N17" i="103"/>
  <c r="AA60" i="103"/>
  <c r="AA59" i="103"/>
  <c r="AA58" i="103"/>
  <c r="W18" i="103"/>
  <c r="X18" i="103" s="1"/>
  <c r="W104" i="103"/>
  <c r="X104" i="103" s="1"/>
  <c r="AA24" i="103"/>
  <c r="Z68" i="103"/>
  <c r="W68" i="103"/>
  <c r="X68" i="103" s="1"/>
  <c r="AK68" i="103" s="1"/>
  <c r="N73" i="103"/>
  <c r="AA19" i="103"/>
  <c r="W50" i="103"/>
  <c r="X50" i="103" s="1"/>
  <c r="AK50" i="103" s="1"/>
  <c r="AA66" i="103"/>
  <c r="W17" i="103"/>
  <c r="Z17" i="103"/>
  <c r="W66" i="103"/>
  <c r="X66" i="103" s="1"/>
  <c r="AK66" i="103" s="1"/>
  <c r="AA18" i="103"/>
  <c r="Z74" i="103"/>
  <c r="W80" i="103"/>
  <c r="X80" i="103" s="1"/>
  <c r="AK80" i="103" s="1"/>
  <c r="Z80" i="103"/>
  <c r="AA77" i="103"/>
  <c r="AA72" i="103"/>
  <c r="AA78" i="103"/>
  <c r="AA79" i="103"/>
  <c r="AA73" i="103"/>
  <c r="AA68" i="103"/>
  <c r="W49" i="103"/>
  <c r="X49" i="103" s="1"/>
  <c r="Z49" i="103"/>
  <c r="Z98" i="103"/>
  <c r="W98" i="103"/>
  <c r="X98" i="103" s="1"/>
  <c r="AK98" i="103" s="1"/>
  <c r="N28" i="103"/>
  <c r="AA31" i="103"/>
  <c r="AA39" i="103"/>
  <c r="AA36" i="103"/>
  <c r="AA28" i="103"/>
  <c r="Z29" i="103"/>
  <c r="W29" i="103"/>
  <c r="X29" i="103" s="1"/>
  <c r="AK29" i="103" s="1"/>
  <c r="AA29" i="103"/>
  <c r="W37" i="103"/>
  <c r="X37" i="103" s="1"/>
  <c r="Z37" i="103"/>
  <c r="AA84" i="103"/>
  <c r="AA37" i="103"/>
  <c r="W74" i="103"/>
  <c r="X74" i="103" s="1"/>
  <c r="AK74" i="103" s="1"/>
  <c r="AA21" i="103"/>
  <c r="AA20" i="103"/>
  <c r="AA22" i="103"/>
  <c r="AA23" i="103"/>
  <c r="X17" i="102"/>
  <c r="AK17" i="102" s="1"/>
  <c r="Z22" i="102"/>
  <c r="W22" i="102"/>
  <c r="X22" i="102" s="1"/>
  <c r="W18" i="102"/>
  <c r="X18" i="102" s="1"/>
  <c r="AK18" i="102" s="1"/>
  <c r="W25" i="102"/>
  <c r="X25" i="102" s="1"/>
  <c r="Y28" i="102" l="1"/>
  <c r="AK28" i="102"/>
  <c r="AK30" i="102" s="1"/>
  <c r="N85" i="103"/>
  <c r="X69" i="103"/>
  <c r="Y69" i="103" s="1"/>
  <c r="Y61" i="103"/>
  <c r="AK61" i="103"/>
  <c r="Y78" i="103"/>
  <c r="AK78" i="103"/>
  <c r="Y77" i="103"/>
  <c r="AK77" i="103"/>
  <c r="Y38" i="103"/>
  <c r="AK38" i="103"/>
  <c r="Y59" i="103"/>
  <c r="X62" i="103"/>
  <c r="AK59" i="103"/>
  <c r="X85" i="103"/>
  <c r="Y85" i="103" s="1"/>
  <c r="AK81" i="103"/>
  <c r="Y32" i="103"/>
  <c r="AK32" i="103"/>
  <c r="Y100" i="103"/>
  <c r="AK100" i="103"/>
  <c r="X55" i="103"/>
  <c r="Y55" i="103" s="1"/>
  <c r="AK54" i="103"/>
  <c r="Y18" i="103"/>
  <c r="AK18" i="103"/>
  <c r="Y104" i="103"/>
  <c r="AK104" i="103"/>
  <c r="Y96" i="103"/>
  <c r="Y37" i="103"/>
  <c r="AK37" i="103"/>
  <c r="X51" i="103"/>
  <c r="Y51" i="103" s="1"/>
  <c r="AK49" i="103"/>
  <c r="Y97" i="103"/>
  <c r="AK97" i="103"/>
  <c r="Y45" i="103"/>
  <c r="AK45" i="103"/>
  <c r="Y105" i="103"/>
  <c r="X106" i="103"/>
  <c r="Y106" i="103" s="1"/>
  <c r="X46" i="103"/>
  <c r="Y46" i="103" s="1"/>
  <c r="N40" i="103"/>
  <c r="N107" i="103"/>
  <c r="C22" i="110" s="1"/>
  <c r="N25" i="103"/>
  <c r="X40" i="103"/>
  <c r="Y40" i="103" s="1"/>
  <c r="B17" i="91"/>
  <c r="Y62" i="103"/>
  <c r="Y60" i="103"/>
  <c r="Y35" i="103"/>
  <c r="X29" i="102"/>
  <c r="X30" i="102"/>
  <c r="N30" i="102"/>
  <c r="N29" i="102"/>
  <c r="Y76" i="103"/>
  <c r="Y50" i="103"/>
  <c r="Y68" i="103"/>
  <c r="Y25" i="102"/>
  <c r="Y66" i="103"/>
  <c r="Y22" i="102"/>
  <c r="Y80" i="103"/>
  <c r="Y23" i="103"/>
  <c r="Y28" i="103"/>
  <c r="Y81" i="103"/>
  <c r="Y95" i="103"/>
  <c r="Y24" i="102"/>
  <c r="Y72" i="103"/>
  <c r="Y65" i="103"/>
  <c r="Y21" i="103"/>
  <c r="Y18" i="102"/>
  <c r="Y17" i="102"/>
  <c r="Y54" i="103"/>
  <c r="Y74" i="103"/>
  <c r="Y98" i="103"/>
  <c r="X17" i="103"/>
  <c r="Y29" i="103"/>
  <c r="Y49" i="103"/>
  <c r="AL32" i="102" l="1"/>
  <c r="D23" i="110"/>
  <c r="E23" i="110" s="1"/>
  <c r="F23" i="110" s="1"/>
  <c r="AL33" i="102"/>
  <c r="AL34" i="102" s="1"/>
  <c r="X25" i="103"/>
  <c r="Y25" i="103" s="1"/>
  <c r="AK17" i="103"/>
  <c r="AK107" i="103" s="1"/>
  <c r="X107" i="103"/>
  <c r="Y30" i="102"/>
  <c r="C18" i="91" s="1"/>
  <c r="Y29" i="102"/>
  <c r="Y17" i="103"/>
  <c r="Y107" i="103" s="1"/>
  <c r="D22" i="110" l="1"/>
  <c r="AL110" i="103"/>
  <c r="AL111" i="103" s="1"/>
  <c r="AL109" i="103"/>
  <c r="C17" i="91"/>
  <c r="Z30" i="102"/>
  <c r="D18" i="91"/>
  <c r="E18" i="91" s="1"/>
  <c r="E22" i="110" l="1"/>
  <c r="Z107" i="103"/>
  <c r="AA107" i="103" s="1"/>
  <c r="R17" i="99"/>
  <c r="K17" i="99"/>
  <c r="K18" i="99" s="1"/>
  <c r="M14" i="99"/>
  <c r="Z12" i="99"/>
  <c r="M10" i="99"/>
  <c r="F22" i="110" l="1"/>
  <c r="L17" i="99"/>
  <c r="L18" i="99" s="1"/>
  <c r="T19" i="99"/>
  <c r="AD17" i="99" l="1"/>
  <c r="T18" i="99"/>
  <c r="AA17" i="99"/>
  <c r="U17" i="99"/>
  <c r="U19" i="99" s="1"/>
  <c r="M17" i="99"/>
  <c r="M18" i="99" s="1"/>
  <c r="U18" i="99" l="1"/>
  <c r="W17" i="99"/>
  <c r="X17" i="99" s="1"/>
  <c r="N17" i="99"/>
  <c r="N18" i="99" s="1"/>
  <c r="X19" i="99" l="1"/>
  <c r="AK17" i="99"/>
  <c r="AK19" i="99" s="1"/>
  <c r="X18" i="99"/>
  <c r="B26" i="91"/>
  <c r="Z17" i="99"/>
  <c r="Y17" i="99"/>
  <c r="Y19" i="99" s="1"/>
  <c r="AL21" i="99" l="1"/>
  <c r="AL22" i="99"/>
  <c r="AL23" i="99" s="1"/>
  <c r="D24" i="110"/>
  <c r="Z19" i="99"/>
  <c r="AA19" i="99" s="1"/>
  <c r="C19" i="91"/>
  <c r="Y18" i="99"/>
  <c r="E24" i="110" l="1"/>
  <c r="D19" i="91"/>
  <c r="E19" i="91" s="1"/>
  <c r="C26" i="91"/>
  <c r="D26" i="91" s="1"/>
  <c r="F24" i="110" l="1"/>
  <c r="R80" i="89"/>
  <c r="Q80" i="89"/>
  <c r="V80" i="89" s="1"/>
  <c r="K80" i="89"/>
  <c r="V64" i="89"/>
  <c r="K64" i="89"/>
  <c r="Q63" i="89"/>
  <c r="K63" i="89"/>
  <c r="R62" i="89"/>
  <c r="Q62" i="89"/>
  <c r="K62" i="89"/>
  <c r="R61" i="89"/>
  <c r="Q61" i="89"/>
  <c r="L61" i="89"/>
  <c r="R51" i="89"/>
  <c r="Q51" i="89"/>
  <c r="K51" i="89"/>
  <c r="R49" i="89"/>
  <c r="Q49" i="89"/>
  <c r="V49" i="89" s="1"/>
  <c r="K49" i="89"/>
  <c r="R48" i="89"/>
  <c r="Q48" i="89"/>
  <c r="K48" i="89"/>
  <c r="L48" i="89" s="1"/>
  <c r="R47" i="89"/>
  <c r="Q47" i="89"/>
  <c r="V47" i="89" s="1"/>
  <c r="K47" i="89"/>
  <c r="R42" i="89"/>
  <c r="Q42" i="89"/>
  <c r="V42" i="89" s="1"/>
  <c r="R41" i="89"/>
  <c r="Q41" i="89"/>
  <c r="K41" i="89"/>
  <c r="L41" i="89" s="1"/>
  <c r="R29" i="89"/>
  <c r="Q29" i="89"/>
  <c r="K29" i="89"/>
  <c r="R28" i="89"/>
  <c r="Q28" i="89"/>
  <c r="K28" i="89"/>
  <c r="L28" i="89" s="1"/>
  <c r="R27" i="89"/>
  <c r="Q27" i="89"/>
  <c r="K27" i="89"/>
  <c r="R26" i="89"/>
  <c r="Q26" i="89"/>
  <c r="V26" i="89" s="1"/>
  <c r="R25" i="89"/>
  <c r="Q25" i="89"/>
  <c r="K25" i="89"/>
  <c r="L25" i="89" s="1"/>
  <c r="R23" i="89"/>
  <c r="Q23" i="89"/>
  <c r="V23" i="89" s="1"/>
  <c r="K23" i="89"/>
  <c r="R22" i="89"/>
  <c r="Q22" i="89"/>
  <c r="K22" i="89"/>
  <c r="R21" i="89"/>
  <c r="Q21" i="89"/>
  <c r="R20" i="89"/>
  <c r="Q20" i="89"/>
  <c r="K20" i="89"/>
  <c r="V18" i="89"/>
  <c r="K18" i="89"/>
  <c r="Q16" i="89"/>
  <c r="Q15" i="89"/>
  <c r="M14" i="89"/>
  <c r="M83" i="89" s="1"/>
  <c r="Z12" i="89"/>
  <c r="M10" i="89"/>
  <c r="L18" i="89" l="1"/>
  <c r="N83" i="89"/>
  <c r="Y83" i="89"/>
  <c r="M84" i="89"/>
  <c r="M81" i="89"/>
  <c r="M82" i="89"/>
  <c r="M75" i="89"/>
  <c r="M69" i="89"/>
  <c r="M70" i="89"/>
  <c r="M76" i="89"/>
  <c r="M73" i="89"/>
  <c r="M68" i="89"/>
  <c r="M72" i="89"/>
  <c r="M74" i="89"/>
  <c r="M71" i="89"/>
  <c r="M67" i="89"/>
  <c r="M79" i="89"/>
  <c r="M77" i="89"/>
  <c r="M66" i="89"/>
  <c r="M65" i="89"/>
  <c r="M78" i="89"/>
  <c r="M52" i="89"/>
  <c r="M56" i="89"/>
  <c r="M54" i="89"/>
  <c r="M55" i="89"/>
  <c r="M53" i="89"/>
  <c r="M60" i="89"/>
  <c r="M59" i="89"/>
  <c r="M57" i="89"/>
  <c r="Y57" i="89" s="1"/>
  <c r="M58" i="89"/>
  <c r="U25" i="89"/>
  <c r="Z25" i="89" s="1"/>
  <c r="M43" i="89"/>
  <c r="M44" i="89"/>
  <c r="M45" i="89"/>
  <c r="M46" i="89"/>
  <c r="M39" i="89"/>
  <c r="N39" i="89" s="1"/>
  <c r="M36" i="89"/>
  <c r="M38" i="89"/>
  <c r="M34" i="89"/>
  <c r="M32" i="89"/>
  <c r="M31" i="89"/>
  <c r="M37" i="89"/>
  <c r="M35" i="89"/>
  <c r="M33" i="89"/>
  <c r="M40" i="89"/>
  <c r="N40" i="89" s="1"/>
  <c r="M30" i="89"/>
  <c r="M50" i="89"/>
  <c r="N50" i="89" s="1"/>
  <c r="M24" i="89"/>
  <c r="N24" i="89" s="1"/>
  <c r="M19" i="89"/>
  <c r="U48" i="89"/>
  <c r="Z48" i="89" s="1"/>
  <c r="U26" i="89"/>
  <c r="Z26" i="89" s="1"/>
  <c r="V17" i="89"/>
  <c r="J21" i="89"/>
  <c r="S21" i="89" s="1"/>
  <c r="U49" i="89"/>
  <c r="V25" i="89"/>
  <c r="S28" i="89"/>
  <c r="V48" i="89"/>
  <c r="M28" i="89"/>
  <c r="N28" i="89" s="1"/>
  <c r="U51" i="89"/>
  <c r="Z51" i="89" s="1"/>
  <c r="V51" i="89"/>
  <c r="L22" i="89"/>
  <c r="M22" i="89" s="1"/>
  <c r="N22" i="89" s="1"/>
  <c r="L62" i="89"/>
  <c r="M62" i="89" s="1"/>
  <c r="T27" i="89"/>
  <c r="V27" i="89"/>
  <c r="M61" i="89"/>
  <c r="N61" i="89" s="1"/>
  <c r="V20" i="89"/>
  <c r="L29" i="89"/>
  <c r="M29" i="89" s="1"/>
  <c r="L63" i="89"/>
  <c r="L23" i="89"/>
  <c r="M41" i="89"/>
  <c r="N41" i="89" s="1"/>
  <c r="L17" i="89"/>
  <c r="V28" i="89"/>
  <c r="V61" i="89"/>
  <c r="U62" i="89"/>
  <c r="L26" i="89"/>
  <c r="M26" i="89" s="1"/>
  <c r="L49" i="89"/>
  <c r="M49" i="89" s="1"/>
  <c r="M18" i="89"/>
  <c r="V22" i="89"/>
  <c r="T23" i="89"/>
  <c r="U42" i="89"/>
  <c r="V62" i="89"/>
  <c r="U64" i="89"/>
  <c r="Z64" i="89" s="1"/>
  <c r="L42" i="89"/>
  <c r="M42" i="89" s="1"/>
  <c r="N42" i="89" s="1"/>
  <c r="U29" i="89"/>
  <c r="Z29" i="89" s="1"/>
  <c r="U22" i="89"/>
  <c r="M25" i="89"/>
  <c r="N25" i="89" s="1"/>
  <c r="M48" i="89"/>
  <c r="N48" i="89" s="1"/>
  <c r="V29" i="89"/>
  <c r="L20" i="89"/>
  <c r="L27" i="89"/>
  <c r="M27" i="89" s="1"/>
  <c r="V41" i="89"/>
  <c r="U47" i="89"/>
  <c r="L51" i="89"/>
  <c r="M51" i="89" s="1"/>
  <c r="V63" i="89"/>
  <c r="U80" i="89"/>
  <c r="Z80" i="89" s="1"/>
  <c r="L47" i="89"/>
  <c r="L64" i="89"/>
  <c r="M64" i="89" s="1"/>
  <c r="L80" i="89"/>
  <c r="M80" i="89" s="1"/>
  <c r="N80" i="89" s="1"/>
  <c r="V21" i="89"/>
  <c r="N18" i="89" l="1"/>
  <c r="U18" i="89"/>
  <c r="Z18" i="89" s="1"/>
  <c r="Y82" i="89"/>
  <c r="N82" i="89"/>
  <c r="N81" i="89"/>
  <c r="Y81" i="89"/>
  <c r="N84" i="89"/>
  <c r="Y84" i="89"/>
  <c r="Y71" i="89"/>
  <c r="N71" i="89"/>
  <c r="Y74" i="89"/>
  <c r="N74" i="89"/>
  <c r="N68" i="89"/>
  <c r="Y68" i="89"/>
  <c r="Y73" i="89"/>
  <c r="N73" i="89"/>
  <c r="N76" i="89"/>
  <c r="Y76" i="89"/>
  <c r="N70" i="89"/>
  <c r="Y70" i="89"/>
  <c r="N72" i="89"/>
  <c r="Y72" i="89"/>
  <c r="N69" i="89"/>
  <c r="Y69" i="89"/>
  <c r="Y67" i="89"/>
  <c r="N67" i="89"/>
  <c r="N75" i="89"/>
  <c r="Y75" i="89"/>
  <c r="N78" i="89"/>
  <c r="Y78" i="89"/>
  <c r="N65" i="89"/>
  <c r="Y65" i="89"/>
  <c r="N66" i="89"/>
  <c r="Y66" i="89"/>
  <c r="N77" i="89"/>
  <c r="Y77" i="89"/>
  <c r="N79" i="89"/>
  <c r="Y79" i="89"/>
  <c r="Y53" i="89"/>
  <c r="N53" i="89"/>
  <c r="N55" i="89"/>
  <c r="Y55" i="89"/>
  <c r="N54" i="89"/>
  <c r="Y54" i="89"/>
  <c r="N56" i="89"/>
  <c r="Y56" i="89"/>
  <c r="N52" i="89"/>
  <c r="Y52" i="89"/>
  <c r="N57" i="89"/>
  <c r="N59" i="89"/>
  <c r="Y59" i="89"/>
  <c r="N60" i="89"/>
  <c r="Y60" i="89"/>
  <c r="N58" i="89"/>
  <c r="Y58" i="89"/>
  <c r="Y24" i="89"/>
  <c r="N43" i="89"/>
  <c r="Y43" i="89"/>
  <c r="N46" i="89"/>
  <c r="Y46" i="89"/>
  <c r="N45" i="89"/>
  <c r="Y45" i="89"/>
  <c r="N44" i="89"/>
  <c r="Y44" i="89"/>
  <c r="Y39" i="89"/>
  <c r="N37" i="89"/>
  <c r="Y37" i="89"/>
  <c r="N33" i="89"/>
  <c r="Y33" i="89"/>
  <c r="Y35" i="89"/>
  <c r="N35" i="89"/>
  <c r="N34" i="89"/>
  <c r="Y34" i="89"/>
  <c r="Y31" i="89"/>
  <c r="N31" i="89"/>
  <c r="N32" i="89"/>
  <c r="Y32" i="89"/>
  <c r="N38" i="89"/>
  <c r="Y38" i="89"/>
  <c r="Y36" i="89"/>
  <c r="N36" i="89"/>
  <c r="Y40" i="89"/>
  <c r="N30" i="89"/>
  <c r="Y30" i="89"/>
  <c r="Y50" i="89"/>
  <c r="U61" i="89"/>
  <c r="Z61" i="89" s="1"/>
  <c r="AA50" i="89"/>
  <c r="U17" i="89"/>
  <c r="N19" i="89"/>
  <c r="Y19" i="89"/>
  <c r="M17" i="89"/>
  <c r="Z49" i="89"/>
  <c r="W49" i="89"/>
  <c r="X49" i="89" s="1"/>
  <c r="K21" i="89"/>
  <c r="K89" i="89" s="1"/>
  <c r="U41" i="89"/>
  <c r="Z41" i="89" s="1"/>
  <c r="W25" i="89"/>
  <c r="X25" i="89" s="1"/>
  <c r="U23" i="89"/>
  <c r="W51" i="89"/>
  <c r="X51" i="89" s="1"/>
  <c r="W64" i="89"/>
  <c r="X64" i="89" s="1"/>
  <c r="N26" i="89"/>
  <c r="M23" i="89"/>
  <c r="N64" i="89"/>
  <c r="N49" i="89"/>
  <c r="N29" i="89"/>
  <c r="M47" i="89"/>
  <c r="N47" i="89" s="1"/>
  <c r="Z42" i="89"/>
  <c r="W42" i="89"/>
  <c r="X42" i="89" s="1"/>
  <c r="Z62" i="89"/>
  <c r="W62" i="89"/>
  <c r="X62" i="89" s="1"/>
  <c r="Z47" i="89"/>
  <c r="W47" i="89"/>
  <c r="X47" i="89" s="1"/>
  <c r="AK47" i="89" s="1"/>
  <c r="Z22" i="89"/>
  <c r="W22" i="89"/>
  <c r="X22" i="89" s="1"/>
  <c r="N51" i="89"/>
  <c r="N62" i="89"/>
  <c r="N27" i="89"/>
  <c r="U20" i="89"/>
  <c r="W26" i="89"/>
  <c r="X26" i="89" s="1"/>
  <c r="W80" i="89"/>
  <c r="X80" i="89" s="1"/>
  <c r="M20" i="89"/>
  <c r="N20" i="89" s="1"/>
  <c r="W29" i="89"/>
  <c r="X29" i="89" s="1"/>
  <c r="U27" i="89"/>
  <c r="Z27" i="89" s="1"/>
  <c r="U63" i="89"/>
  <c r="M63" i="89"/>
  <c r="N63" i="89" s="1"/>
  <c r="W48" i="89"/>
  <c r="X48" i="89" s="1"/>
  <c r="Y49" i="89" l="1"/>
  <c r="AK49" i="89"/>
  <c r="Y25" i="89"/>
  <c r="AK25" i="89"/>
  <c r="Y51" i="89"/>
  <c r="AK51" i="89"/>
  <c r="Y64" i="89"/>
  <c r="AK64" i="89"/>
  <c r="Y42" i="89"/>
  <c r="AK42" i="89"/>
  <c r="Y62" i="89"/>
  <c r="AK62" i="89"/>
  <c r="Y22" i="89"/>
  <c r="AK22" i="89"/>
  <c r="Y26" i="89"/>
  <c r="AK26" i="89"/>
  <c r="Y80" i="89"/>
  <c r="AK80" i="89"/>
  <c r="Y29" i="89"/>
  <c r="AK29" i="89"/>
  <c r="Y48" i="89"/>
  <c r="AK48" i="89"/>
  <c r="K85" i="89"/>
  <c r="W18" i="89"/>
  <c r="X18" i="89" s="1"/>
  <c r="Z17" i="89"/>
  <c r="W23" i="89"/>
  <c r="X23" i="89" s="1"/>
  <c r="W61" i="89"/>
  <c r="X61" i="89" s="1"/>
  <c r="W17" i="89"/>
  <c r="X17" i="89" s="1"/>
  <c r="AK17" i="89" s="1"/>
  <c r="N17" i="89"/>
  <c r="W41" i="89"/>
  <c r="X41" i="89" s="1"/>
  <c r="L21" i="89"/>
  <c r="Z23" i="89"/>
  <c r="U21" i="89"/>
  <c r="N23" i="89"/>
  <c r="W27" i="89"/>
  <c r="X27" i="89" s="1"/>
  <c r="Y47" i="89"/>
  <c r="Z63" i="89"/>
  <c r="W63" i="89"/>
  <c r="X63" i="89" s="1"/>
  <c r="W20" i="89"/>
  <c r="X20" i="89" s="1"/>
  <c r="AK20" i="89" s="1"/>
  <c r="Z20" i="89"/>
  <c r="Y18" i="89" l="1"/>
  <c r="AK18" i="89"/>
  <c r="Y23" i="89"/>
  <c r="AK23" i="89"/>
  <c r="Y61" i="89"/>
  <c r="AK61" i="89"/>
  <c r="Y41" i="89"/>
  <c r="AK41" i="89"/>
  <c r="Y27" i="89"/>
  <c r="AK27" i="89"/>
  <c r="Y63" i="89"/>
  <c r="AK63" i="89"/>
  <c r="L89" i="89"/>
  <c r="L85" i="89"/>
  <c r="M21" i="89"/>
  <c r="Y17" i="89"/>
  <c r="Z21" i="89"/>
  <c r="W21" i="89"/>
  <c r="X21" i="89" s="1"/>
  <c r="AK21" i="89" s="1"/>
  <c r="Y20" i="89"/>
  <c r="M85" i="89" l="1"/>
  <c r="M89" i="89"/>
  <c r="N21" i="89"/>
  <c r="Y21" i="89"/>
  <c r="N85" i="89" l="1"/>
  <c r="N89" i="89"/>
  <c r="B28" i="91" s="1"/>
  <c r="E26" i="91"/>
  <c r="B29" i="91" l="1"/>
  <c r="K30" i="91" s="1"/>
  <c r="D17" i="91"/>
  <c r="E17" i="91" s="1"/>
  <c r="T85" i="89" l="1"/>
  <c r="AA83" i="89" s="1"/>
  <c r="T89" i="89"/>
  <c r="AA91" i="103"/>
  <c r="U28" i="89"/>
  <c r="U89" i="89" l="1"/>
  <c r="U85" i="89"/>
  <c r="AA81" i="89"/>
  <c r="AA82" i="89"/>
  <c r="AA84" i="89"/>
  <c r="AA73" i="89"/>
  <c r="AA67" i="89"/>
  <c r="AA68" i="89"/>
  <c r="AA74" i="89"/>
  <c r="AA76" i="89"/>
  <c r="AA72" i="89"/>
  <c r="AA75" i="89"/>
  <c r="AA69" i="89"/>
  <c r="AA70" i="89"/>
  <c r="AA71" i="89"/>
  <c r="AA77" i="89"/>
  <c r="AA66" i="89"/>
  <c r="AA79" i="89"/>
  <c r="AA78" i="89"/>
  <c r="AA65" i="89"/>
  <c r="AA53" i="89"/>
  <c r="AA55" i="89"/>
  <c r="AA52" i="89"/>
  <c r="AA54" i="89"/>
  <c r="AA56" i="89"/>
  <c r="AA59" i="89"/>
  <c r="AA60" i="89"/>
  <c r="AA57" i="89"/>
  <c r="AA58" i="89"/>
  <c r="AA43" i="89"/>
  <c r="AA45" i="89"/>
  <c r="AA44" i="89"/>
  <c r="AA46" i="89"/>
  <c r="AA39" i="89"/>
  <c r="AA36" i="89"/>
  <c r="AA34" i="89"/>
  <c r="AA37" i="89"/>
  <c r="AA38" i="89"/>
  <c r="AA35" i="89"/>
  <c r="AA31" i="89"/>
  <c r="AA33" i="89"/>
  <c r="AA32" i="89"/>
  <c r="AA40" i="89"/>
  <c r="AA30" i="89"/>
  <c r="AA41" i="89"/>
  <c r="AA64" i="89"/>
  <c r="AA20" i="89"/>
  <c r="AA29" i="89"/>
  <c r="AA27" i="89"/>
  <c r="AA26" i="89"/>
  <c r="AA19" i="89"/>
  <c r="AA48" i="89"/>
  <c r="AA63" i="89"/>
  <c r="AA47" i="89"/>
  <c r="AA42" i="89"/>
  <c r="AA28" i="89"/>
  <c r="AA18" i="89"/>
  <c r="AA22" i="89"/>
  <c r="AA61" i="89"/>
  <c r="AA25" i="89"/>
  <c r="AA51" i="89"/>
  <c r="Z28" i="89"/>
  <c r="W28" i="89"/>
  <c r="X28" i="89" s="1"/>
  <c r="AK28" i="89" s="1"/>
  <c r="AK89" i="89" s="1"/>
  <c r="AA24" i="89"/>
  <c r="AA80" i="89"/>
  <c r="AA23" i="89"/>
  <c r="AA17" i="89"/>
  <c r="AA62" i="89"/>
  <c r="AA49" i="89"/>
  <c r="X89" i="89" l="1"/>
  <c r="X85" i="89"/>
  <c r="Y92" i="103"/>
  <c r="Y28" i="89"/>
  <c r="Y89" i="89" s="1"/>
  <c r="D25" i="110" l="1"/>
  <c r="D35" i="110" s="1"/>
  <c r="AL92" i="89"/>
  <c r="AL93" i="89" s="1"/>
  <c r="AL91" i="89"/>
  <c r="Y85" i="89"/>
  <c r="C28" i="91"/>
  <c r="C29" i="91" s="1"/>
  <c r="Z89" i="89"/>
  <c r="AA89" i="89" s="1"/>
  <c r="F62" i="110" l="1"/>
  <c r="E25" i="110"/>
  <c r="E35" i="110" s="1"/>
  <c r="F35" i="110" s="1"/>
  <c r="D28" i="91"/>
  <c r="E28" i="91" s="1"/>
  <c r="F25" i="110" l="1"/>
  <c r="D29" i="91"/>
  <c r="E29" i="91" s="1"/>
  <c r="F43" i="1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 Iglezias</author>
  </authors>
  <commentList>
    <comment ref="T25" authorId="0" shapeId="0" xr:uid="{D6CF917D-50DE-4A9B-A997-6622E8DA2C84}">
      <text>
        <r>
          <rPr>
            <b/>
            <sz val="9"/>
            <color indexed="81"/>
            <rFont val="Segoe UI"/>
            <family val="2"/>
          </rPr>
          <t>Carol Iglezias:</t>
        </r>
        <r>
          <rPr>
            <sz val="9"/>
            <color indexed="81"/>
            <rFont val="Segoe UI"/>
            <family val="2"/>
          </rPr>
          <t xml:space="preserve">
Fantasia do gênio</t>
        </r>
      </text>
    </comment>
    <comment ref="T26" authorId="0" shapeId="0" xr:uid="{4B0C8B79-5279-44DC-94B2-DA313434B89A}">
      <text>
        <r>
          <rPr>
            <b/>
            <sz val="9"/>
            <color indexed="81"/>
            <rFont val="Segoe UI"/>
            <family val="2"/>
          </rPr>
          <t>Carol Iglezias:</t>
        </r>
        <r>
          <rPr>
            <sz val="9"/>
            <color indexed="81"/>
            <rFont val="Segoe UI"/>
            <family val="2"/>
          </rPr>
          <t xml:space="preserve">
Fantasia do gênio</t>
        </r>
      </text>
    </comment>
    <comment ref="T43" authorId="0" shapeId="0" xr:uid="{6B09604C-8152-4F07-BA7C-A7F61312F305}">
      <text>
        <r>
          <rPr>
            <b/>
            <sz val="9"/>
            <color indexed="81"/>
            <rFont val="Segoe UI"/>
            <family val="2"/>
          </rPr>
          <t>Carol Iglezia
Cartão Bela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 Iglezias</author>
  </authors>
  <commentList>
    <comment ref="T21" authorId="0" shapeId="0" xr:uid="{58D79EF7-1C49-4F33-B01A-222629005498}">
      <text>
        <r>
          <rPr>
            <b/>
            <sz val="9"/>
            <color indexed="81"/>
            <rFont val="Segoe UI"/>
            <family val="2"/>
          </rPr>
          <t>Carol Iglezias:</t>
        </r>
        <r>
          <rPr>
            <sz val="9"/>
            <color indexed="81"/>
            <rFont val="Segoe UI"/>
            <family val="2"/>
          </rPr>
          <t xml:space="preserve">
cartão oggi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 Iglezias</author>
  </authors>
  <commentList>
    <comment ref="T20" authorId="0" shapeId="0" xr:uid="{9E9E98D8-10A7-4C71-8F08-122BEAEC816F}">
      <text>
        <r>
          <rPr>
            <b/>
            <sz val="9"/>
            <color indexed="81"/>
            <rFont val="Segoe UI"/>
            <family val="2"/>
          </rPr>
          <t>Carol Iglezias:</t>
        </r>
        <r>
          <rPr>
            <sz val="9"/>
            <color indexed="81"/>
            <rFont val="Segoe UI"/>
            <family val="2"/>
          </rPr>
          <t xml:space="preserve">
Hotel</t>
        </r>
      </text>
    </comment>
  </commentList>
</comments>
</file>

<file path=xl/sharedStrings.xml><?xml version="1.0" encoding="utf-8"?>
<sst xmlns="http://schemas.openxmlformats.org/spreadsheetml/2006/main" count="3681" uniqueCount="960">
  <si>
    <t>ORÇAMENTO 5.1</t>
  </si>
  <si>
    <t>Oggi Comunicação e Eventos</t>
  </si>
  <si>
    <t>CÓDIGO DO JOB: LT_056</t>
  </si>
  <si>
    <t>CLIENTE:  LACTALIS</t>
  </si>
  <si>
    <t>EVENTO: CONVENÇÃO DE VENDAS 2026</t>
  </si>
  <si>
    <t>LOCAL: BOURBON ATIBAIA</t>
  </si>
  <si>
    <t>DATA: 13, 14 E 15 DE JANEIRO</t>
  </si>
  <si>
    <t>ATENDIMENTO: NILSON MIGUEL/FERNANDA PINHEIRO</t>
  </si>
  <si>
    <t>PRODUTOR: CAROL IGLEZIAS/AMANDA ASCARRUNZ</t>
  </si>
  <si>
    <t>NOME PLANILHA: LT_056_CONVENÇÃO DPA 2026</t>
  </si>
  <si>
    <t>CUSTOS (valor de custo c/ NF ou recibo)</t>
  </si>
  <si>
    <t>DIFERENÇA NF (Lucro)</t>
  </si>
  <si>
    <t>ENCARGOS PUBLI</t>
  </si>
  <si>
    <t>SOLICITAÇÃO DE PAGAMENTO</t>
  </si>
  <si>
    <t>FORNECEDOR</t>
  </si>
  <si>
    <t>Solicitado</t>
  </si>
  <si>
    <t>PAGAMENTOS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</si>
  <si>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</si>
  <si>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</si>
  <si>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</si>
  <si>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</si>
  <si>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</si>
  <si>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</si>
  <si>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</si>
  <si>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</si>
  <si>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</si>
  <si>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</si>
  <si>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</si>
  <si>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</si>
  <si>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</si>
  <si>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</si>
  <si>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</si>
  <si>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</si>
  <si>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</si>
  <si>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</si>
  <si>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</si>
  <si>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</si>
  <si>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</si>
  <si>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</si>
  <si>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Peso</t>
  </si>
  <si>
    <t>Valor Total</t>
  </si>
  <si>
    <t>Saldo</t>
  </si>
  <si>
    <t>Data</t>
  </si>
  <si>
    <t>Fornecedor</t>
  </si>
  <si>
    <t>CPF/CNPJ</t>
  </si>
  <si>
    <t>Vazio</t>
  </si>
  <si>
    <t>PENDENTE</t>
  </si>
  <si>
    <t>EFETUADO</t>
  </si>
  <si>
    <t>GRUPO</t>
  </si>
  <si>
    <t>INTERNOS</t>
  </si>
  <si>
    <t>1.1</t>
  </si>
  <si>
    <t>SUBGRUPO</t>
  </si>
  <si>
    <t>INTERNO</t>
  </si>
  <si>
    <t>AGENCIAMENTO</t>
  </si>
  <si>
    <t>IMPOSTOS</t>
  </si>
  <si>
    <t>Marg.</t>
  </si>
  <si>
    <t>1.1.1</t>
  </si>
  <si>
    <t>ITEM</t>
  </si>
  <si>
    <t>FAT.OGGI</t>
  </si>
  <si>
    <t>PLANEJAMENTO</t>
  </si>
  <si>
    <t>Custo para o planejamento do projeto</t>
  </si>
  <si>
    <t>1.1.2</t>
  </si>
  <si>
    <t>CRIAÇÃO DO KV</t>
  </si>
  <si>
    <t xml:space="preserve">Custo para criação de KV </t>
  </si>
  <si>
    <t>1.1.3</t>
  </si>
  <si>
    <t>DESDOBRAMENTO DE PEÇAS</t>
  </si>
  <si>
    <t>Crachás, Backdrop, Totem, Cartas de Boas vindas, Agenda QR Code, Template PPT, Ficha de Palco.</t>
  </si>
  <si>
    <t>1.1.4</t>
  </si>
  <si>
    <t>PLANTA BAIXA</t>
  </si>
  <si>
    <t xml:space="preserve">Planta baixa </t>
  </si>
  <si>
    <t>1.1.5</t>
  </si>
  <si>
    <t>3D</t>
  </si>
  <si>
    <t>Layout 3d da sala com a implantação do KV + festa</t>
  </si>
  <si>
    <t>1.1.6</t>
  </si>
  <si>
    <t>ATENDIMENTO</t>
  </si>
  <si>
    <t>Atendimento ao cliente, reuniões, alinhamento e fluxo interno</t>
  </si>
  <si>
    <t>1.1.7</t>
  </si>
  <si>
    <t>PRODUTOR</t>
  </si>
  <si>
    <t>Produtor executivo dedicado, responsável pela pré-produção, implementação do projeto e pós produção</t>
  </si>
  <si>
    <t xml:space="preserve">_x000D_
</t>
  </si>
  <si>
    <t>1.1.8</t>
  </si>
  <si>
    <t>ASSIST. DE PRODUÇÃO</t>
  </si>
  <si>
    <t>Suporte e acompanhamento junto ao produtor executivo;</t>
  </si>
  <si>
    <t>SUBTOTAL SUBGRUPO</t>
  </si>
  <si>
    <t>Subtotal INTERNO</t>
  </si>
  <si>
    <t>ESTRUTURA</t>
  </si>
  <si>
    <t>2.1</t>
  </si>
  <si>
    <t>2.1.1</t>
  </si>
  <si>
    <t>OPERACIONAL</t>
  </si>
  <si>
    <t xml:space="preserve">CENOGRAFIA - PALCO </t>
  </si>
  <si>
    <t>Palco principal 15,00 x 4,00m x 0,60 + passarela de 14,00 x 2,00m x 0,60 + palco anexo 4,00 x 4,00 x 0,60 revestidos com piso carpete forração preta. 04 escadas sendo 2 laterais palco anexo 1,50m x 0,60m + 2 frontais palco principal 4,00 x 0,60m + cobled branco
borda de palco e degraus c/ dimmer - Medidas 15,00 x 4,00 x 0,60</t>
  </si>
  <si>
    <t>2.1.2</t>
  </si>
  <si>
    <t>CENOGRAFIA - FUNDO DE PALCO</t>
  </si>
  <si>
    <t>Backdrop Fundo de palco Lona impressa - Medidas 6,00 x 4,60
Backdrop Lateral Pontas Lona Impressa  - Medidas 4,00 x 3,00</t>
  </si>
  <si>
    <t>2.1.3</t>
  </si>
  <si>
    <t>CENOGRAFIA - COMUNICAÇÃO LEDS LATERAIS</t>
  </si>
  <si>
    <t xml:space="preserve">Backdrop revestido em bagum preto com cobled e logo em xps. Estrutura fixada no boxtruss da técnica Medidas - 8,00 x 4,60 </t>
  </si>
  <si>
    <t>2.1.4</t>
  </si>
  <si>
    <t>CENOGRAFIA - FECHAMENTO HOUSE MIX</t>
  </si>
  <si>
    <t>Trainel de madeira com acabamento em napa preta, frente e laterais. - Medidas 15,00 x 1,50 x 1,00</t>
  </si>
  <si>
    <t>2.1.5</t>
  </si>
  <si>
    <t xml:space="preserve">CENOGRAFIA - BACKDROP PHOTO OPORTUNITTY </t>
  </si>
  <si>
    <t xml:space="preserve">Painel de madeira com lona impressa aplicada, pesos para sustentação e fechamentos laterais em bagum preto - Meidas 5,00 x 2,50 </t>
  </si>
  <si>
    <t>2.1.6</t>
  </si>
  <si>
    <t>CENOGRAFIA - CREDENCIAMENTO - BACKDROP</t>
  </si>
  <si>
    <t>Painel de madeira com lona impressa aplicada, pesos para sustentação e fechamentos  laterais em bagum preto - medidas  5,00 x 2,50m</t>
  </si>
  <si>
    <t>2.1.7</t>
  </si>
  <si>
    <t>CENOGRAFIA - CREDENCIAMENTO - BALCÃO</t>
  </si>
  <si>
    <t>Balcão em Madeira construído revestido adesivo com Logomarca em recorte MDF tamanho proporcional sanca com led RGB - medidas  2,70 x 1,10m</t>
  </si>
  <si>
    <t>2.1.8</t>
  </si>
  <si>
    <t>CENOGRAFIA - TOTENS INFORMATIVOS</t>
  </si>
  <si>
    <t>Totem de madeira adesivado autoportante, comunicação dos dois lados. - medidas  0,60 x 1,60m</t>
  </si>
  <si>
    <t>2.1.9</t>
  </si>
  <si>
    <t>CENOGRAFIA - DOCUMENTAÇÃO E LOGÍSTICA</t>
  </si>
  <si>
    <t>Palco, Fechamento credenciamento, Laterais palco, House mix, Totens, Backdrop fotos, ativação Galbani e logística</t>
  </si>
  <si>
    <t>2.1.10</t>
  </si>
  <si>
    <t xml:space="preserve">PAINEL LED  </t>
  </si>
  <si>
    <t xml:space="preserve">01 Painel 7x4m 
02 painéis 6,50x3,50m 
04 Tvs de retorno 
Gerenciamento completo 
TV House - Cortesia </t>
  </si>
  <si>
    <t>2.1.11</t>
  </si>
  <si>
    <t>TÉCNICA PLENÁRIA</t>
  </si>
  <si>
    <t xml:space="preserve">Sonorização  Plenária 
Equipamentos de sonorização rider Banda 
Iluminação completa Plenária + Happy Hour + Festa + Foyer
Equipe Técnica
01 Andaime
01 Genie
</t>
  </si>
  <si>
    <t>2.1.12</t>
  </si>
  <si>
    <t>GERADOR
30% LDB/30% Itambé/40%DPA</t>
  </si>
  <si>
    <t>Divido para os 03 eventos Gerador em Uso + Backup Standby - 400 KVA
11/Jan MONTAGEM 3 horas MONTAGEM
12/Jan EVENTO 12 horas 7:00 às 19:00 12 horas 7:00 às 19:00
13/Jan EVENTO 18 horas 7:00 às 1:00 18 horas 7:00 às 1:00
14/Jan EVENTO 16 horas 7:00 às 23:00 16 horas 7:00 às 23:00
15/Jan EVENTO 18 horas 7:00 às 1:00 18 horas 7:00 às 1:00
Total 67 horas</t>
  </si>
  <si>
    <t>_x000D_
_x000D_
CHUBB SEGUROS BRASIL S.A._x000D_
OGGI COMUNICACAO, EVENTOS E PROMOCOES SOCIEDADE UNIPESSOAL LTDA_x000D_
IMMERGY ENERGIA LTDA.</t>
  </si>
  <si>
    <t>_x000D_
_x000D_
03.502.099/0001-18_x000D_
07.559.587/0001-12_x000D_
18.855.126/0001-03</t>
  </si>
  <si>
    <t>Subtotal ESTRUTURA</t>
  </si>
  <si>
    <t>MATERIAL GRÁFICO</t>
  </si>
  <si>
    <t>3.1</t>
  </si>
  <si>
    <t>3.1.1</t>
  </si>
  <si>
    <t xml:space="preserve">CREDENCIAL- Faca Especial </t>
  </si>
  <si>
    <t>Crachá 10x15cm 4x0 plastificação rigida faca especial</t>
  </si>
  <si>
    <t>3.1.2</t>
  </si>
  <si>
    <t>CORDÃO</t>
  </si>
  <si>
    <t>Cordão</t>
  </si>
  <si>
    <t>3.1.3</t>
  </si>
  <si>
    <t>FICHA DE PALCO</t>
  </si>
  <si>
    <t>Fichas de palco A5 4x0 CF350G + Acetato</t>
  </si>
  <si>
    <t>_x000D_
_x000D_
SK COPIADORA E IMPRESSAO DIGITAL LTDA</t>
  </si>
  <si>
    <t>_x000D_
_x000D_
08.750.285/0001-90</t>
  </si>
  <si>
    <t>Subtotal MATERIAL GRÁFICO</t>
  </si>
  <si>
    <t>TAXAS</t>
  </si>
  <si>
    <t>4.1</t>
  </si>
  <si>
    <t>4.1.1</t>
  </si>
  <si>
    <t>SEGURO</t>
  </si>
  <si>
    <t xml:space="preserve">Cobre os danos corporais ou materiais causados a terceiros em razão de acidentes relacionados à realização do evento. </t>
  </si>
  <si>
    <t>4.1.2</t>
  </si>
  <si>
    <t>ECAD</t>
  </si>
  <si>
    <t xml:space="preserve">Taxa obrigatória (sujeito a alteração de valor) </t>
  </si>
  <si>
    <t>_x000D_
ESCRITORIO CENTRAL DE ARRECADACAO E DISTRIBUICAO ECAD</t>
  </si>
  <si>
    <t>_x000D_
00.474.973/0001-62</t>
  </si>
  <si>
    <t xml:space="preserve">Subtotal </t>
  </si>
  <si>
    <t>5.1</t>
  </si>
  <si>
    <t>RSVP e CREDENCIAMENTO</t>
  </si>
  <si>
    <t>5.1.1</t>
  </si>
  <si>
    <t xml:space="preserve">RSVP + Controle RL (Base) </t>
  </si>
  <si>
    <t xml:space="preserve">Formulário para Cadastro de Distribuidores e gerenciamento </t>
  </si>
  <si>
    <t xml:space="preserve">_x000D_
_x000D_
</t>
  </si>
  <si>
    <t>6.1</t>
  </si>
  <si>
    <t xml:space="preserve">ITENS PERSONALIZADOS E DINÂMICAS </t>
  </si>
  <si>
    <t>6.1.1</t>
  </si>
  <si>
    <t>CAMISETAS</t>
  </si>
  <si>
    <t>6.1.2</t>
  </si>
  <si>
    <t>POLOS</t>
  </si>
  <si>
    <t>6.1.3</t>
  </si>
  <si>
    <t>FIGURINO DANI SALOMÃO</t>
  </si>
  <si>
    <t>Figurino composto por bermuda cargo, lycra ou camiseta, sapato aquático, colete, capacete e remo (itens cenográficos e funcionais para atividade de remo).</t>
  </si>
  <si>
    <t>6.1.4</t>
  </si>
  <si>
    <t xml:space="preserve">TROFÉUS </t>
  </si>
  <si>
    <t xml:space="preserve">Premiação Lactalis trofeu com design especial com modelagem do KV </t>
  </si>
  <si>
    <t xml:space="preserve">Subtotal ITENS PERSONALIZADOS E DINÂMICAS </t>
  </si>
  <si>
    <t>FESTA</t>
  </si>
  <si>
    <t>7.1</t>
  </si>
  <si>
    <t xml:space="preserve">FESTA </t>
  </si>
  <si>
    <t>7.1.1</t>
  </si>
  <si>
    <t>RIDER TECNICO</t>
  </si>
  <si>
    <t xml:space="preserve">Rider da banda </t>
  </si>
  <si>
    <t>7.1.2</t>
  </si>
  <si>
    <t>DJ HAPPY HOUR</t>
  </si>
  <si>
    <t>DJ para tocar durante o Happy Hour</t>
  </si>
  <si>
    <t>7.1.3</t>
  </si>
  <si>
    <t>DJ FESTA</t>
  </si>
  <si>
    <t>DJ após a apresentação da banda - Duração: 3h30</t>
  </si>
  <si>
    <t>_x000D_
_x000D_
ANA PAULA VITULLO SERRONI 32740008848</t>
  </si>
  <si>
    <t>_x000D_
_x000D_
24.079.565/0001-74</t>
  </si>
  <si>
    <t>7.1.4</t>
  </si>
  <si>
    <t>MOBILIÁRIO FESTA</t>
  </si>
  <si>
    <t xml:space="preserve">Mobiliário para a montagem do lounge da festa </t>
  </si>
  <si>
    <t>_x000D_
FABIANO FARIA SANTO</t>
  </si>
  <si>
    <t>_x000D_
02.982.745/0001-29</t>
  </si>
  <si>
    <t>Subtotal FESTA</t>
  </si>
  <si>
    <t>SERVIÇOS</t>
  </si>
  <si>
    <t>8.1</t>
  </si>
  <si>
    <t>8.1.1</t>
  </si>
  <si>
    <t>PROMOTORAS</t>
  </si>
  <si>
    <t>Promotoras - Credenciamento e suporte plenária</t>
  </si>
  <si>
    <t>_x000D_
_x000D_
AS CASTING E EVENTOS LTDA</t>
  </si>
  <si>
    <t>_x000D_
_x000D_
31.861.514/0001-65</t>
  </si>
  <si>
    <t>8.1.2</t>
  </si>
  <si>
    <t>AMBULÂNCIA
50% LDB/50% DPA</t>
  </si>
  <si>
    <t>Montagem 11/01| Unid. Básica | - alimentação não inclusa</t>
  </si>
  <si>
    <t>8.1.3</t>
  </si>
  <si>
    <t>Evento 12 e 13 | Unid. Básica | - alimentação não inclusa</t>
  </si>
  <si>
    <t>8.1.4</t>
  </si>
  <si>
    <t>AMBULÂNCIA
50% Itambé/50% DPA</t>
  </si>
  <si>
    <t>Evento 14 e 15 | Unid. Básica | - alimentação não inclusa</t>
  </si>
  <si>
    <t>8.1.5</t>
  </si>
  <si>
    <t>AMBULÂNCIA UTI
50% Itambé/50% DPA</t>
  </si>
  <si>
    <t>Festa de confraternização 15/03 - Ambulância UTI - 20h às 24h - alimentação não inclusa</t>
  </si>
  <si>
    <t>8.1.6</t>
  </si>
  <si>
    <t>RADIO HT</t>
  </si>
  <si>
    <t>Locação de rádio + frete (20 rádios)</t>
  </si>
  <si>
    <t>8.1.7</t>
  </si>
  <si>
    <t>CARREGADOR</t>
  </si>
  <si>
    <t xml:space="preserve">Carregadores para montagem, evento e desmontagem </t>
  </si>
  <si>
    <t>8.1.8</t>
  </si>
  <si>
    <t>UNIFILAS</t>
  </si>
  <si>
    <t>Unifilas + cabeças unifilas</t>
  </si>
  <si>
    <t>8.1.9</t>
  </si>
  <si>
    <t>FOTÓGRAFO</t>
  </si>
  <si>
    <t>Fotográfo para capatação de imagens no plenária + happy + festa de confraternização - Ajustado de 2.200,00 para 2.000,00</t>
  </si>
  <si>
    <t>_x000D_
_x000D_
FOTOSINTESE FOTOGRAFIAS LTDA.</t>
  </si>
  <si>
    <t>_x000D_
_x000D_
07.698.329/0001-17</t>
  </si>
  <si>
    <t>8.1.10</t>
  </si>
  <si>
    <t>VÍDEOS</t>
  </si>
  <si>
    <t>Abertura e vinhetas</t>
  </si>
  <si>
    <t>8.1.11</t>
  </si>
  <si>
    <t>Incentivos</t>
  </si>
  <si>
    <t>8.1.12</t>
  </si>
  <si>
    <t>Resultados</t>
  </si>
  <si>
    <t>8.1.13</t>
  </si>
  <si>
    <t>VIDEO MAKER</t>
  </si>
  <si>
    <t>Edição de vídeo com os melhores momentos, com entrega de 1 clipe de até 5 min, inlcuindo: 
- Trilha sonora inclusa (c/ direito de utilização na internet
- até 3 versões inclusas à partir do 1º corte (V1)
- Correção de cor básica</t>
  </si>
  <si>
    <t>Subtotal SERVIÇOS</t>
  </si>
  <si>
    <t>9.1</t>
  </si>
  <si>
    <t>9.1.1</t>
  </si>
  <si>
    <t>PRODUTOR DE A&amp;B</t>
  </si>
  <si>
    <t xml:space="preserve">Produtor de A&amp;B cuidando de todas demandas </t>
  </si>
  <si>
    <t>_x000D_
_x000D_
FERNANDA BANDEIRA DE OLIVEIRA 28033743824</t>
  </si>
  <si>
    <t>_x000D_
_x000D_
21.274.457/0001-64</t>
  </si>
  <si>
    <t>PRODUTOR MONTAGEM</t>
  </si>
  <si>
    <t xml:space="preserve">Responsável pelo montagem | evento | desmontagem </t>
  </si>
  <si>
    <t>_x000D_
JVAL PRODUCOES E EVENTOS LTDA</t>
  </si>
  <si>
    <t>_x000D_
63.138.852/0001-60</t>
  </si>
  <si>
    <t>9.1.3</t>
  </si>
  <si>
    <t>PRODUTOR OPERACIONAL</t>
  </si>
  <si>
    <t>Serviços | Logistica/Demandas Hotel | Credenciamento e Salas/Plenária | Ativações</t>
  </si>
  <si>
    <t>_x000D_
FERNANDA RODRIGUES TUMANI 81132530091_x000D_
FLAVIA MINA MORENO 40600844846</t>
  </si>
  <si>
    <t>_x000D_
15.333.207/0001-55_x000D_
19.545.245/0001-22</t>
  </si>
  <si>
    <t>9.1.4</t>
  </si>
  <si>
    <t>PRODUTOR RUNNING</t>
  </si>
  <si>
    <t>Produtor com carro para atender as demandas extras e emergenciais.</t>
  </si>
  <si>
    <t>_x000D_
62.300.360 LUCAS FELIPE FERREIRA MARQUES MESSIAS</t>
  </si>
  <si>
    <t>_x000D_
62.300.360/0001-66</t>
  </si>
  <si>
    <t>9.1.5</t>
  </si>
  <si>
    <t>DIRETOR ARTÍSTICO</t>
  </si>
  <si>
    <t>Responsável pela house, palco, ensaios e garantir que todos os elementos do evento estejam em sintonia, de forma a criar uma experiência inesquecível para os participantes</t>
  </si>
  <si>
    <t>_x000D_
_x000D_
273.099.508-01</t>
  </si>
  <si>
    <t>ROTERISTA PARA EVENTO</t>
  </si>
  <si>
    <t xml:space="preserve">Roteiro do Evento </t>
  </si>
  <si>
    <t>DIRETOR TÉCNICO</t>
  </si>
  <si>
    <t>Direção Tecnica do Evento. Ensaio e Evento</t>
  </si>
  <si>
    <t>_x000D_
_x000D_
223.591.108-02</t>
  </si>
  <si>
    <t>SONOPLASTA</t>
  </si>
  <si>
    <t>**CORTESIA**</t>
  </si>
  <si>
    <t>PPT SLIDES APRESENTAÇÃO</t>
  </si>
  <si>
    <t>Desenvolvimento de até 300 slides. Diagramação e animação, seleção e tratamento de imagens e padronização profissional.</t>
  </si>
  <si>
    <t xml:space="preserve">_x000D_
_x000D_
_x000D_
</t>
  </si>
  <si>
    <t>PPT SUPORTE DE EVENTOS</t>
  </si>
  <si>
    <t>Suporte ao Evento para 3 diárias de evento + 01 diária de ensaio
Acompanhamento no evento e ajustes finais -  1 notebook + 1 backup</t>
  </si>
  <si>
    <t>_x000D_
54.191.636 FELIPE BAFFA SIFUENTES</t>
  </si>
  <si>
    <t>_x000D_
54.191.636/0001-97</t>
  </si>
  <si>
    <t>CUSTOS OPERACIONAIS</t>
  </si>
  <si>
    <t>Verba para custos não provisionados</t>
  </si>
  <si>
    <t>Subtotal OPERACIONAL</t>
  </si>
  <si>
    <t>Marg. Lucro</t>
  </si>
  <si>
    <t>Lucro</t>
  </si>
  <si>
    <t>SUBTOTAL PLANILHA</t>
  </si>
  <si>
    <t xml:space="preserve">TOTAL </t>
  </si>
  <si>
    <t>TOTAL</t>
  </si>
  <si>
    <t>FAT.CLIENTE</t>
  </si>
  <si>
    <t>BANDA BAILE</t>
  </si>
  <si>
    <t>BANDA LIVE KARAOKE
Cantor/Apresentador, Cantora/Apresentadora, Baterista, Contrabaixista, Tecladista, Guitarrista, Técnico de som, Operador de vídeo, Assistente de palco, App com 10.000 músicas, Letras Sincronizadas.
Duração de até 2h</t>
  </si>
  <si>
    <t>HOTEL</t>
  </si>
  <si>
    <t>BOURBON ATIBAIA - PERÍODO DE 14 A 16 DE JANEIRO</t>
  </si>
  <si>
    <t>Hospedagem</t>
  </si>
  <si>
    <t>Taxas ISS</t>
  </si>
  <si>
    <t>Serviços do Hotel</t>
  </si>
  <si>
    <t>Abertura de porta</t>
  </si>
  <si>
    <t xml:space="preserve">Internet - House - 50 megas </t>
  </si>
  <si>
    <t>1.1.9</t>
  </si>
  <si>
    <t>1.1.10</t>
  </si>
  <si>
    <t>1.1.11</t>
  </si>
  <si>
    <t>Locação de Sala</t>
  </si>
  <si>
    <t>1.1.12</t>
  </si>
  <si>
    <t xml:space="preserve">Sala de apoio </t>
  </si>
  <si>
    <t>1.1.13</t>
  </si>
  <si>
    <t>Espaço Coquetel  (Dia 02 | 14/01) - Foyer Garden</t>
  </si>
  <si>
    <t>1.1.14</t>
  </si>
  <si>
    <t xml:space="preserve">Espaço Coquetel  (Dia 03 | 15/01) - Virada de sala </t>
  </si>
  <si>
    <t>1.1.15</t>
  </si>
  <si>
    <t>Alimentação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</si>
  <si>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</si>
  <si>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</si>
  <si>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</si>
  <si>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</si>
  <si>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</si>
  <si>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</si>
  <si>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</si>
  <si>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</si>
  <si>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</si>
  <si>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Bebidas</t>
  </si>
  <si>
    <t>1.1.25</t>
  </si>
  <si>
    <t>1.1.26</t>
  </si>
  <si>
    <t>Almoço (Dia 03 | Dia 15/01)
Buffet do Chef -  inclui bebidas não alcoólicas servidas durante a refeição (água, refrigerante e suco)</t>
  </si>
  <si>
    <t>1.1.27</t>
  </si>
  <si>
    <t>1.1.28</t>
  </si>
  <si>
    <t>1.1.29</t>
  </si>
  <si>
    <t>Subtotal HOTEL</t>
  </si>
  <si>
    <t>Subtotal HOTEL - PERÍODO DE 13 A 14 DE JANEIRO</t>
  </si>
  <si>
    <t>1.2</t>
  </si>
  <si>
    <t xml:space="preserve">ALIMENTAÇÃO E HOSPEDAGEM EQUIPE </t>
  </si>
  <si>
    <t>1.2.1</t>
  </si>
  <si>
    <t>ALIMENTAÇÃO EQUIPE</t>
  </si>
  <si>
    <t>Alimentação 10 refeições (almoço e jantar) por pessoa total x 27 pessoas (10 pessoas equipe House mix, 10 equipe de produção, 02 promotoras, 02 ambulância, 01 fotografo, 01 video maker e 01 manutenção cenografia)</t>
  </si>
  <si>
    <t>1.2.2</t>
  </si>
  <si>
    <t>HOSPEDAGEM EQUIPE</t>
  </si>
  <si>
    <t>1.2.3</t>
  </si>
  <si>
    <t>Hospedagem para produtores Operacionais (05 Quartos duplo - 8 produtores + Diretor artistico + Assistente + Roterista + PPT) - Check-in 12/01 e check-out 16/01 -  - 5 quartos x 4 diárias no valor 1.107,00</t>
  </si>
  <si>
    <t>Hospedagem Equipe Video Maker + fotográfo  (01 Quarto duplo) - Check-in 14/01 e check-out 16/01 - 1 quarto x 5 diárias no valor 1.107,00</t>
  </si>
  <si>
    <t>Hospedagem Equipe Interna (03 Quartos singles) - Check-in 11/01 e check-out 16/01 - 3 quartos x 5 diárias no valor 975,00</t>
  </si>
  <si>
    <t>SUBTOTAL GRUPO</t>
  </si>
  <si>
    <t>EXTRA</t>
  </si>
  <si>
    <t xml:space="preserve">QR Code </t>
  </si>
  <si>
    <t>QR Code Credencial</t>
  </si>
  <si>
    <t>• QR Code direcionado para: Página da Agenda do Evento
• URL de destino (exemplo com domínio genérico).
•  A hospedagem contempla o período do evento e o prazo necessário para atualizações da agenda. 
• Estão contempladas até 3 alterações espeitado o escopo definido neste orçamento.</t>
  </si>
  <si>
    <t xml:space="preserve">QR Code Ativação Plenária 
</t>
  </si>
  <si>
    <t>1. Criação de QR Code Dinâmico
• QR Code exclusivo para a plenária
• Redirecionamento para formulário online responsivo
2. Desenvolvimento de Formulário Digital
• Campo para envio de palavras e mensagens
• Testes de funcionamento e usabilidade
3. Hospedagem e Gestão da Ativação
• Hospedagem do formulário em plataforma segura
• Monitoramento durante o período da plenária
4. Curadoria e Organização do Conteúdo
• Consolidação das mensagens recebidas
• Entrega do material organizado para uso no vídeo final
5. Suporte Técnico
• Suporte remoto antes e durante a ativação
• Ajustes operacionais, se necessários, no dia do evento</t>
  </si>
  <si>
    <t xml:space="preserve">Subtotal QR Code </t>
  </si>
  <si>
    <t>Criação</t>
  </si>
  <si>
    <t>Criação Carta de Boas Vindas Distribuidores</t>
  </si>
  <si>
    <t>Contempladas até 3 alterações.</t>
  </si>
  <si>
    <t>Criação Quadro Reconhecimento Distribuidores</t>
  </si>
  <si>
    <t xml:space="preserve">Criação Sacola Credenciamento </t>
  </si>
  <si>
    <t>Subtotal Criação</t>
  </si>
  <si>
    <t>1.3</t>
  </si>
  <si>
    <t>Material Gráfico</t>
  </si>
  <si>
    <t>1.3.1</t>
  </si>
  <si>
    <t>CHECÃO</t>
  </si>
  <si>
    <t xml:space="preserve">Cheque Premiação com adesivo aplicado no OS. 
Medida: 60X120CM </t>
  </si>
  <si>
    <t>_x000D_
_x000D_
_x000D_
SK COPIADORA E IMPRESSAO DIGITAL LTDA</t>
  </si>
  <si>
    <t>_x000D_
_x000D_
_x000D_
08.750.285/0001-90</t>
  </si>
  <si>
    <t>Subtotal Material Gráfico</t>
  </si>
  <si>
    <t>1.4</t>
  </si>
  <si>
    <t xml:space="preserve">Kit Credenciamento </t>
  </si>
  <si>
    <t>1.4.1</t>
  </si>
  <si>
    <t>Sacola Credenciamento</t>
  </si>
  <si>
    <t>SACOLAS TNT                                                                                                                                                                                                                              Altura :  41,2 cm| Largura :  37,2 cm | Profundidade : 8,6 cm| Comprimento :  Alça ponta a ponta: 67cm
Arte: 01 arte na frente</t>
  </si>
  <si>
    <t xml:space="preserve">Subtotal Kit Credenciamento </t>
  </si>
  <si>
    <t>1.5</t>
  </si>
  <si>
    <t>Reconhecimento Distribuidores</t>
  </si>
  <si>
    <t>1.5.1</t>
  </si>
  <si>
    <t>Quadro DPA Reconhecimento</t>
  </si>
  <si>
    <t>Material MDF com fita de borda, adesivo no fundo para fazer a arte e vidro na frente.
Tamanho 25x25 
+ 25 anos = 13 quadros
+ 35 anos = 16 quadros
total 29 quadros</t>
  </si>
  <si>
    <t>_x000D_
_x000D_
_x000D_
DAZAIN MAKERS LTDA</t>
  </si>
  <si>
    <t>_x000D_
_x000D_
_x000D_
59.728.367/0001-79</t>
  </si>
  <si>
    <t>Subtotal Reconhecimento Distribuidores</t>
  </si>
  <si>
    <t>1.6</t>
  </si>
  <si>
    <t xml:space="preserve">Fantasia - Gênio Danilo </t>
  </si>
  <si>
    <t>1.6.1</t>
  </si>
  <si>
    <t>Fantasia - Gênio</t>
  </si>
  <si>
    <t>Fantasia masculina do gênio Chamyto Personalizado – colete azul marinho, calça azul fumo, sapato dourado pontudo e acessórios (braceletes e chapéu)</t>
  </si>
  <si>
    <t xml:space="preserve">Subtotal Fantasia Gênio - Danilo </t>
  </si>
  <si>
    <t>PRESENTE ANIVERSARIANTES</t>
  </si>
  <si>
    <t>Kopenhagem</t>
  </si>
  <si>
    <t xml:space="preserve"> 1º Opção: Combo Nuts e Mil Delícias</t>
  </si>
  <si>
    <t>Operacional</t>
  </si>
  <si>
    <t xml:space="preserve">_x000D_
_x000D_
FERNANDA BANDEIRA DE OLIVEIRA 28033743824_x000D_
</t>
  </si>
  <si>
    <t xml:space="preserve">_x000D_
_x000D_
21.274.457/0001-64_x000D_
</t>
  </si>
  <si>
    <t>_x000D_
FERNANDA RODRIGUES TUMANI 81132530091_x000D_
FLAVIA MINA MORENO 40600844846_x000D_
21.168.156 LUCELIA LIMA GOMES</t>
  </si>
  <si>
    <t>_x000D_
15.333.207/0001-55_x000D_
19.545.245/0001-22_x000D_
21.168.156/0001-56</t>
  </si>
  <si>
    <t>Intercon</t>
  </si>
  <si>
    <t>Eartec com 5 fones Single</t>
  </si>
  <si>
    <t>1.3.2</t>
  </si>
  <si>
    <t xml:space="preserve">WhatsApp - Monitorado </t>
  </si>
  <si>
    <t xml:space="preserve">WhatsApp para envio de comunicações para os participantes </t>
  </si>
  <si>
    <t>ORÇAMENTO 5.2</t>
  </si>
  <si>
    <t xml:space="preserve"> </t>
  </si>
  <si>
    <t xml:space="preserve">   </t>
  </si>
  <si>
    <t>TRANSFER DPA</t>
  </si>
  <si>
    <t>3 ônibus GRU/Bourbon Atibaia</t>
  </si>
  <si>
    <t>Ônibus Lactals/Bourbon Atibaia</t>
  </si>
  <si>
    <t>Subtotal TRANSFER DPA</t>
  </si>
  <si>
    <t>TOTAL TRANSFER DPA</t>
  </si>
  <si>
    <t>CONVENÇÃO DPA 2026</t>
  </si>
  <si>
    <t>Principal</t>
  </si>
  <si>
    <t>Itens Novos</t>
  </si>
  <si>
    <t>Atração</t>
  </si>
  <si>
    <t>Extra 1</t>
  </si>
  <si>
    <t xml:space="preserve">Extra 2 </t>
  </si>
  <si>
    <t>Transfer</t>
  </si>
  <si>
    <t xml:space="preserve">Desconto Concedido Planejamento </t>
  </si>
  <si>
    <t>Desconto Concedido Atendimento</t>
  </si>
  <si>
    <t xml:space="preserve">Aprovado c/ palestrante </t>
  </si>
  <si>
    <t>Subtotal 1</t>
  </si>
  <si>
    <t>Aprovado com extras</t>
  </si>
  <si>
    <t>Bourbon Atibaia</t>
  </si>
  <si>
    <t>Total 1 = Subtotal 1 + Bourbon Atibaia</t>
  </si>
  <si>
    <t>+</t>
  </si>
  <si>
    <t>Índice</t>
  </si>
  <si>
    <t>Grupo</t>
  </si>
  <si>
    <t>Subgrupo</t>
  </si>
  <si>
    <t>Resumo</t>
  </si>
  <si>
    <t>Descrição</t>
  </si>
  <si>
    <t>Data da Solicitação</t>
  </si>
  <si>
    <t>Solicitante</t>
  </si>
  <si>
    <t>Aprovação</t>
  </si>
  <si>
    <t>CNPJ</t>
  </si>
  <si>
    <t>RAZÃO SOCIAL</t>
  </si>
  <si>
    <t>CONTATO</t>
  </si>
  <si>
    <t>16/12/2025</t>
  </si>
  <si>
    <t>Amanda Ascarru</t>
  </si>
  <si>
    <t>Isabela Ferrei</t>
  </si>
  <si>
    <t>R$ 0,00</t>
  </si>
  <si>
    <t/>
  </si>
  <si>
    <t xml:space="preserve">CREDENCIAL - Opção 2 </t>
  </si>
  <si>
    <t xml:space="preserve">Crachá 10x15cm 4x0 plastificação rigida </t>
  </si>
  <si>
    <t>17/12/2025</t>
  </si>
  <si>
    <t>Sonorização  Plenária 
Equipamentos de sonorização rider Banda 
Iluminação completa Plenária + Happy Hour + Festa + Foyer
Equipe Técnica</t>
  </si>
  <si>
    <t>Nilson Miguel</t>
  </si>
  <si>
    <t>DIGITAL</t>
  </si>
  <si>
    <t>19/12/2025</t>
  </si>
  <si>
    <t>22/12/2025</t>
  </si>
  <si>
    <t xml:space="preserve">Peterson </t>
  </si>
  <si>
    <t>ITENS NOVOS</t>
  </si>
  <si>
    <t>Equipe Técnica
Hospedagem + Logistica</t>
  </si>
  <si>
    <t>23/12/2025</t>
  </si>
  <si>
    <t>am</t>
  </si>
  <si>
    <t>Premiação Lactalis trofeu com design especial com modelagem do KV - Custo estimado</t>
  </si>
  <si>
    <t>26/12/2025</t>
  </si>
  <si>
    <t>30/12/2025</t>
  </si>
  <si>
    <t>Amanda</t>
  </si>
  <si>
    <t>02/01/2026</t>
  </si>
  <si>
    <t>AMANDA</t>
  </si>
  <si>
    <t>54.191.636/0001-97</t>
  </si>
  <si>
    <t>54.191.636 FELIPE BAFFA SIFUENTES</t>
  </si>
  <si>
    <t>(11) 9370-3876</t>
  </si>
  <si>
    <t>AMANDA ASCARRU</t>
  </si>
  <si>
    <t>24.079.565/0001-74</t>
  </si>
  <si>
    <t>ANA PAULA VITULLO SERRONI 32740008848</t>
  </si>
  <si>
    <t>(11) 3501-7348</t>
  </si>
  <si>
    <t>15.333.207/0001-55</t>
  </si>
  <si>
    <t>FERNANDA RODRIGUES TUMANI 81132530091</t>
  </si>
  <si>
    <t>(11) 9794-9489</t>
  </si>
  <si>
    <t>05/01/2026</t>
  </si>
  <si>
    <t>Isabela</t>
  </si>
  <si>
    <t>223.591.108-02</t>
  </si>
  <si>
    <t>BRUNA</t>
  </si>
  <si>
    <t>03.502.099/0001-18</t>
  </si>
  <si>
    <t>CHUBB SEGUROS BRASIL S.A.</t>
  </si>
  <si>
    <t>(11) 4504-4400</t>
  </si>
  <si>
    <t>ISABELA</t>
  </si>
  <si>
    <t>07.559.587/0001-12</t>
  </si>
  <si>
    <t>OGGI COMUNICACAO, EVENTOS E PROMOCOES SOCIEDADE UNIPESSOAL LTDA</t>
  </si>
  <si>
    <t>(11) 2605-6345</t>
  </si>
  <si>
    <t>18.855.126/0001-03</t>
  </si>
  <si>
    <t>IMMERGY ENERGIA LTDA.</t>
  </si>
  <si>
    <t>(11) 9708-1074 / (11) 2774-7200</t>
  </si>
  <si>
    <t xml:space="preserve">UNIFORME ASSIS. </t>
  </si>
  <si>
    <t xml:space="preserve">Calça e camiseta </t>
  </si>
  <si>
    <t>06/01/2026</t>
  </si>
  <si>
    <t>36.399.600/0001-11</t>
  </si>
  <si>
    <t>ATELIER L&amp;M CONFECCOES LTDA</t>
  </si>
  <si>
    <t>(11) 2618-1258</t>
  </si>
  <si>
    <t>31.861.514/0001-65</t>
  </si>
  <si>
    <t>AS CASTING E EVENTOS LTDA</t>
  </si>
  <si>
    <t>(11) 6573-9913</t>
  </si>
  <si>
    <t>63.138.852/0001-60</t>
  </si>
  <si>
    <t>JVAL PRODUCOES E EVENTOS LTDA</t>
  </si>
  <si>
    <t>(11) 7450-3759</t>
  </si>
  <si>
    <t>19.545.245/0001-22</t>
  </si>
  <si>
    <t>FLAVIA MINA MORENO 40600844846</t>
  </si>
  <si>
    <t>(11) 8164-7652</t>
  </si>
  <si>
    <t>21.274.457/0001-64</t>
  </si>
  <si>
    <t>FERNANDA BANDEIRA DE OLIVEIRA 28033743824</t>
  </si>
  <si>
    <t>(11) 8147-2464</t>
  </si>
  <si>
    <t>62.300.360/0001-66</t>
  </si>
  <si>
    <t>62.300.360 LUCAS FELIPE FERREIRA MARQUES MESSIAS</t>
  </si>
  <si>
    <t>(11) 6308-9638</t>
  </si>
  <si>
    <t>08.750.285/0001-90</t>
  </si>
  <si>
    <t>SK COPIADORA E IMPRESSAO DIGITAL LTDA</t>
  </si>
  <si>
    <t>(11) 2905-7107</t>
  </si>
  <si>
    <t>CARTA DE BOAS VINDAS</t>
  </si>
  <si>
    <t>Cartas de boas vindas A4 4x4) CF150G</t>
  </si>
  <si>
    <t>08/01/2026</t>
  </si>
  <si>
    <t>NILSON</t>
  </si>
  <si>
    <t>R$ 24.000,00</t>
  </si>
  <si>
    <t>273.099.508-01</t>
  </si>
  <si>
    <t>R$ 750,00</t>
  </si>
  <si>
    <t>21.168.156/0001-56</t>
  </si>
  <si>
    <t>21.168.156 LUCELIA LIMA GOMES</t>
  </si>
  <si>
    <t>(11) 2702-6988</t>
  </si>
  <si>
    <t>07.698.329/0001-17</t>
  </si>
  <si>
    <t>FOTOSINTESE FOTOGRAFIAS LTDA.</t>
  </si>
  <si>
    <t>(11) 5549-3666</t>
  </si>
  <si>
    <t>09/01/2026</t>
  </si>
  <si>
    <t>R$ 15.500,00</t>
  </si>
  <si>
    <t>02.982.745/0001-29</t>
  </si>
  <si>
    <t>FABIANO FARIA SANTO</t>
  </si>
  <si>
    <t>(11) 3966-6339</t>
  </si>
  <si>
    <t>PAISAGISMO (Custo estimado)</t>
  </si>
  <si>
    <t>Arecas de aprox 1,80m. de alt. em vaso de barro com acabamento em casca de pinus;</t>
  </si>
  <si>
    <t>R$ 6.250,00</t>
  </si>
  <si>
    <t>48.486.579/0001-70</t>
  </si>
  <si>
    <t>R.H INACIO PAISAGISMO</t>
  </si>
  <si>
    <t>(11) 4028-0212</t>
  </si>
  <si>
    <t>R$ 9.470,01</t>
  </si>
  <si>
    <t>00.474.973/0001-62</t>
  </si>
  <si>
    <t>ESCRITORIO CENTRAL DE ARRECADACAO E DISTRIBUICAO ECAD</t>
  </si>
  <si>
    <t>(21) 3505-8500</t>
  </si>
  <si>
    <t>R$ 20.880,00</t>
  </si>
  <si>
    <t>59.728.367/0001-79</t>
  </si>
  <si>
    <t>DAZAIN MAKERS LTDA</t>
  </si>
  <si>
    <t>(11) 9908-0111</t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</si>
  <si>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</si>
  <si>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</si>
  <si>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</si>
  <si>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</si>
  <si>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</si>
  <si>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</si>
  <si>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</si>
  <si>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</si>
  <si>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</si>
  <si>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</si>
  <si>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 X ) Pessoa Jurídica</t>
  </si>
  <si>
    <t>() Pessoa Jurídica</t>
  </si>
  <si>
    <t>Razão Social</t>
  </si>
  <si>
    <t>Fantasia:</t>
  </si>
  <si>
    <t>Banco:</t>
  </si>
  <si>
    <t>Agência</t>
  </si>
  <si>
    <t>Conta:</t>
  </si>
  <si>
    <t>Pix:</t>
  </si>
  <si>
    <t>CNPJ:</t>
  </si>
  <si>
    <t>CPF:</t>
  </si>
  <si>
    <t>Contato:</t>
  </si>
  <si>
    <t>Celular:</t>
  </si>
  <si>
    <t>Parcela</t>
  </si>
  <si>
    <t>Valor</t>
  </si>
  <si>
    <t>Forma de Pagamento</t>
  </si>
  <si>
    <t>1ª</t>
  </si>
  <si>
    <t>(   ) Boleto</t>
  </si>
  <si>
    <t>(   ) Depósito</t>
  </si>
  <si>
    <t>(   ) Pix</t>
  </si>
  <si>
    <t>2ª</t>
  </si>
  <si>
    <t>3ª</t>
  </si>
  <si>
    <t>4ª</t>
  </si>
  <si>
    <t>OBSERVAÇÕES</t>
  </si>
  <si>
    <t>APROVAÇÕES</t>
  </si>
  <si>
    <t>_x000D_
R.H INACIO PAISAGISMO</t>
  </si>
  <si>
    <t>_x000D_
48.486.579/0001-70</t>
  </si>
  <si>
    <t>NECESSIDADES ARTÍSTICAS</t>
  </si>
  <si>
    <t>Necessidades da banda com o camarim e o deslocamento até o local do evento</t>
  </si>
  <si>
    <t xml:space="preserve">ADEREÇOS </t>
  </si>
  <si>
    <t>Reserva de verba para compra de adereços para a festa de confraternização</t>
  </si>
  <si>
    <t>CENOGRAFIA - PHOTO OPPORTUNITY</t>
  </si>
  <si>
    <t>Backdrop chapeado de madeira com aplicação de lona imprressa e laterrais em  bagum - medidas 4,00 x 2,50 e bote MDF em recorte com aprox. 3,30 a 4,00 - medidas +remos</t>
  </si>
  <si>
    <t xml:space="preserve">PROMOTORA </t>
  </si>
  <si>
    <t>Ativação de Photo Opportunity</t>
  </si>
  <si>
    <t>_x000D_
ATELIER L&amp;M CONFECCOES LTDA</t>
  </si>
  <si>
    <t>_x000D_
36.399.600/0001-11</t>
  </si>
  <si>
    <t>Happy Hour 14/03 - Ambulância UTI - 19h às 23h - alimentação não inclusa</t>
  </si>
  <si>
    <t>MAQUIAGEM E CABELO</t>
  </si>
  <si>
    <t xml:space="preserve">Maquiagem para a Dani Salomão </t>
  </si>
  <si>
    <t>CONTEINER REFRIGERADO
30% LDB/30% Itambé/40%DPA</t>
  </si>
  <si>
    <t>CUSTOS DE VT
33% LDB/33% Itambé/33%DPA</t>
  </si>
  <si>
    <t xml:space="preserve">Verba para reuniões e VT </t>
  </si>
  <si>
    <t>19/01/2026</t>
  </si>
  <si>
    <t xml:space="preserve">_x000D_
SK COPIADORA E IMPRESSAO DIGITAL LTDA_x000D_
</t>
  </si>
  <si>
    <t xml:space="preserve">_x000D_
08.750.285/0001-90_x000D_
</t>
  </si>
  <si>
    <t xml:space="preserve">_x000D_
_x000D_
_x000D_
_x000D_
</t>
  </si>
  <si>
    <t xml:space="preserve">IMPRESSORA </t>
  </si>
  <si>
    <t>05 Diárias Impressora lase color 1.000 Pag.
01 Transformador 220 Volts
01 Frete ida e volta</t>
  </si>
  <si>
    <t xml:space="preserve">PPT </t>
  </si>
  <si>
    <t>Diagramação e animação, seleção e tratamento de imagens e padronização profissional. EXTRA</t>
  </si>
  <si>
    <t>PONTO ELETRÕNICO</t>
  </si>
  <si>
    <t>Ponto eletrônico</t>
  </si>
  <si>
    <t>20/01/2026</t>
  </si>
  <si>
    <t>PAISAGISMO</t>
  </si>
  <si>
    <t>Presente Melhor Vendedor</t>
  </si>
  <si>
    <t>CÚPULA CAPACETE</t>
  </si>
  <si>
    <t>Cúpula de acrílico com base em madeira para capacete</t>
  </si>
  <si>
    <t>21/01/2026</t>
  </si>
  <si>
    <t xml:space="preserve">_x000D_
_x000D_
FERNANDA BANDEIRA DE OLIVEIRA 28033743824_x000D_
_x000D_
</t>
  </si>
  <si>
    <t xml:space="preserve">_x000D_
_x000D_
21.274.457/0001-64_x000D_
_x000D_
</t>
  </si>
  <si>
    <t>Extra 3</t>
  </si>
  <si>
    <t>LOCUÇÃO VÍDEOS</t>
  </si>
  <si>
    <t>Vídeos de Abertura e de Resultados</t>
  </si>
  <si>
    <t xml:space="preserve">BUZINAS PARA ABERTURA DE PLENÁRIA </t>
  </si>
  <si>
    <t>Apito, recoco reco entre outros...</t>
  </si>
  <si>
    <t>TROFÉU - MELHOR REGIONAL</t>
  </si>
  <si>
    <t>1.7</t>
  </si>
  <si>
    <t>1.7.1</t>
  </si>
  <si>
    <t>PRESENTE - STAFFs</t>
  </si>
  <si>
    <t>CHOCOLATE CACAU SHOW</t>
  </si>
  <si>
    <t>Troféu grande</t>
  </si>
  <si>
    <t>1.5.2</t>
  </si>
  <si>
    <t>1.8</t>
  </si>
  <si>
    <t>1.8.1</t>
  </si>
  <si>
    <t>23/01/2026</t>
  </si>
  <si>
    <t>L_056_CONVENÇÃO DPA 2026._23.01_10h00_Convenção DPA.xlsm</t>
  </si>
  <si>
    <t xml:space="preserve">Subtotal Impressora </t>
  </si>
  <si>
    <t>Subtotal PPT</t>
  </si>
  <si>
    <t>Subtotal Serviços</t>
  </si>
  <si>
    <t>Subtotal Melhor Vendedor</t>
  </si>
  <si>
    <t xml:space="preserve">Subtotal Vídeos </t>
  </si>
  <si>
    <t>Subtotal Buzinas abertura de plenária</t>
  </si>
  <si>
    <t>Subtotal Melhor regional</t>
  </si>
  <si>
    <t>Subtotal Presente Staff's</t>
  </si>
  <si>
    <t>Personalização de Frigobar</t>
  </si>
  <si>
    <t>Estacionamento com seguro</t>
  </si>
  <si>
    <t>Extras dia 11/01</t>
  </si>
  <si>
    <t>Jantar</t>
  </si>
  <si>
    <t xml:space="preserve">Água galão </t>
  </si>
  <si>
    <t xml:space="preserve">Térmica de café </t>
  </si>
  <si>
    <t xml:space="preserve">Almoço </t>
  </si>
  <si>
    <t xml:space="preserve">Jantar </t>
  </si>
  <si>
    <t xml:space="preserve">Rechaud pão de queijo </t>
  </si>
  <si>
    <t xml:space="preserve">Red Bull </t>
  </si>
  <si>
    <t>Extras dia 12/01</t>
  </si>
  <si>
    <t>Extras dia 13/01</t>
  </si>
  <si>
    <t xml:space="preserve">Taxa rolha </t>
  </si>
  <si>
    <t xml:space="preserve">Pipa água aromatizada </t>
  </si>
  <si>
    <t xml:space="preserve">Água copo </t>
  </si>
  <si>
    <t>Extras dia 14/01</t>
  </si>
  <si>
    <t>V.TT Chateau Caban</t>
  </si>
  <si>
    <t xml:space="preserve">V.BC Loggia Pinot Grigio </t>
  </si>
  <si>
    <t xml:space="preserve">Água garrafa c/ gás </t>
  </si>
  <si>
    <t xml:space="preserve">ESP. Cava Freixenet </t>
  </si>
  <si>
    <t xml:space="preserve">ESP. Amadeu Moscatel </t>
  </si>
  <si>
    <t xml:space="preserve">Heineken lata </t>
  </si>
  <si>
    <t xml:space="preserve">Stella lata </t>
  </si>
  <si>
    <t xml:space="preserve">Salada Ceasar </t>
  </si>
  <si>
    <t xml:space="preserve">Heineken zero </t>
  </si>
  <si>
    <t xml:space="preserve">Refrigerantes </t>
  </si>
  <si>
    <t xml:space="preserve">Red bull </t>
  </si>
  <si>
    <t>Extras dia 15/01</t>
  </si>
  <si>
    <t>EXTRAS</t>
  </si>
  <si>
    <t>Almoço</t>
  </si>
  <si>
    <t xml:space="preserve">Room bar (Consumo apartamentos) </t>
  </si>
  <si>
    <t xml:space="preserve">Extras autorizados (Alimentos e bebidas ) </t>
  </si>
  <si>
    <t>Estacionamento (AILTON LIMA)</t>
  </si>
  <si>
    <t>1.1.30</t>
  </si>
  <si>
    <t>1.1.31</t>
  </si>
  <si>
    <t>1.1.32</t>
  </si>
  <si>
    <t>1.1.33</t>
  </si>
  <si>
    <t>1.1.34</t>
  </si>
  <si>
    <t>1.1.35</t>
  </si>
  <si>
    <t>1.1.36</t>
  </si>
  <si>
    <t>1.1.37</t>
  </si>
  <si>
    <t>1.1.38</t>
  </si>
  <si>
    <t>1.1.39</t>
  </si>
  <si>
    <t>1.1.40</t>
  </si>
  <si>
    <t>1.1.41</t>
  </si>
  <si>
    <t>1.1.42</t>
  </si>
  <si>
    <t>1.1.43</t>
  </si>
  <si>
    <t>1.1.44</t>
  </si>
  <si>
    <t>1.1.45</t>
  </si>
  <si>
    <t>1.1.46</t>
  </si>
  <si>
    <t>1.1.47</t>
  </si>
  <si>
    <t>1.1.48</t>
  </si>
  <si>
    <t>1.1.49</t>
  </si>
  <si>
    <t>1.1.50</t>
  </si>
  <si>
    <t>1.1.51</t>
  </si>
  <si>
    <t>1.1.52</t>
  </si>
  <si>
    <t>1.1.53</t>
  </si>
  <si>
    <t>1.1.54</t>
  </si>
  <si>
    <t>1.1.55</t>
  </si>
  <si>
    <t>1.1.56</t>
  </si>
  <si>
    <t>1.1.57</t>
  </si>
  <si>
    <t>1.1.58</t>
  </si>
  <si>
    <t>1.1.59</t>
  </si>
  <si>
    <t>1.1.60</t>
  </si>
  <si>
    <t>1.1.61</t>
  </si>
  <si>
    <t>1.1.62</t>
  </si>
  <si>
    <t>1.1.63</t>
  </si>
  <si>
    <t>1.1.64</t>
  </si>
  <si>
    <t>1.1.65</t>
  </si>
  <si>
    <t>1.1.66</t>
  </si>
  <si>
    <t>1.1.67</t>
  </si>
  <si>
    <t>1.1.68</t>
  </si>
  <si>
    <t>10.1</t>
  </si>
  <si>
    <t>10.1.1</t>
  </si>
  <si>
    <t>10.1.2</t>
  </si>
  <si>
    <t>10.1.3</t>
  </si>
  <si>
    <t>10.1.4</t>
  </si>
  <si>
    <t>10.1.5</t>
  </si>
  <si>
    <t>10.1.6</t>
  </si>
  <si>
    <t>10.1.7</t>
  </si>
  <si>
    <t>10.1.8</t>
  </si>
  <si>
    <t>10.1.9</t>
  </si>
  <si>
    <t>10.1.10</t>
  </si>
  <si>
    <t>10.1.11</t>
  </si>
  <si>
    <t>Aeroporto GRU</t>
  </si>
  <si>
    <t>Carro executivo sedan  partindo do Aeroporto Internacional de Guarulhos para Bourbon Resort Atibaia</t>
  </si>
  <si>
    <t>Ônibus executivo retorono Atibaia &gt; Aeroporto GRU</t>
  </si>
  <si>
    <t>Subtotal EXTRAS</t>
  </si>
  <si>
    <t>1.2.4</t>
  </si>
  <si>
    <t>Aeroporto &gt; Hotel
Hotel &gt; Aeroporto</t>
  </si>
  <si>
    <t>Van executiva partindo do Aeroporto Internacional de Guarulhos para Bourbon Resort Atibaia</t>
  </si>
  <si>
    <t>02 Vans à disposição - custo diario 100 km de franquia.
Excedente R$ 7,50 km extra.</t>
  </si>
  <si>
    <t>Transfer 6 -16/01/2026</t>
  </si>
  <si>
    <t>02 Ônibus Bourbon atibaia/ SP</t>
  </si>
  <si>
    <t>Transfer 5 -16/01/2026</t>
  </si>
  <si>
    <t>01 Ônibus Bourbon atibaia/ SP</t>
  </si>
  <si>
    <t>Transfer 4 -15/01/2026</t>
  </si>
  <si>
    <t>01 Van Bourbon Atibaia/SP</t>
  </si>
  <si>
    <t>Transfer 3 -15/01/2026</t>
  </si>
  <si>
    <t>Carro executivo</t>
  </si>
  <si>
    <t>Carro executivo 13/01/2026</t>
  </si>
  <si>
    <t>Van - custo diario 100 km de franquia. Excedente R$ 7,50 km extra.</t>
  </si>
  <si>
    <t>Van diária (13/14 e 15 de Jan/2026)</t>
  </si>
  <si>
    <t>Transfer 2 - 13/01/26</t>
  </si>
  <si>
    <t>Transfer 1 - 13/01/26</t>
  </si>
  <si>
    <t>.</t>
  </si>
  <si>
    <t>Hotel &gt; Aeroporto</t>
  </si>
  <si>
    <t>Carro executivo sedan partindo de São Paulo para Bourbon Atibaia</t>
  </si>
  <si>
    <t>Sonorização  Plenária 
Equipamentos de sonorização rider Banda 
Iluminação completa Plenária + Happy Hour + Festa + Foyer
Equipe Técnica
01 Andaime
01 Genie</t>
  </si>
  <si>
    <t>Logística</t>
  </si>
  <si>
    <t>Envio do capacete e troféu para 02 endereços RJ, transporte rodoviário dedicado.</t>
  </si>
  <si>
    <t>PREMIAÇÃO</t>
  </si>
  <si>
    <t xml:space="preserve">Premiação para Melhor vendedora </t>
  </si>
  <si>
    <t>1.8.2</t>
  </si>
  <si>
    <t>1.8.3</t>
  </si>
  <si>
    <t>1.2.5</t>
  </si>
  <si>
    <t>1.2.6</t>
  </si>
  <si>
    <t xml:space="preserve">Subtotal ALIMENTAÇÃO E HOSPEDAGEM EQUIPE </t>
  </si>
  <si>
    <t>Extras dia 16/01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</si>
  <si>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</si>
  <si>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</si>
  <si>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</si>
  <si>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</si>
  <si>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</si>
  <si>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</si>
  <si>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</si>
  <si>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</si>
  <si>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</si>
  <si>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r>
      <t xml:space="preserve">Camiseta básica, em tecido meia malha, 100% algodão, cor a escolher, estampa em silk frente, 4 cores, frente e manga </t>
    </r>
    <r>
      <rPr>
        <sz val="16"/>
        <color rgb="FFFF0000"/>
        <rFont val="Trebuchet MS"/>
        <family val="2"/>
      </rPr>
      <t>(Responsabilidade do cliente)</t>
    </r>
  </si>
  <si>
    <r>
      <t xml:space="preserve">Polo,  Piquet, 50% algodão 50% poliester,  estampa em silk frente, 4 cores </t>
    </r>
    <r>
      <rPr>
        <sz val="16"/>
        <color rgb="FFFF0000"/>
        <rFont val="Trebuchet MS"/>
        <family val="2"/>
      </rPr>
      <t>(Responsabilidade do cliente)</t>
    </r>
  </si>
  <si>
    <t>ATRAÇÃO</t>
  </si>
  <si>
    <t>BOURBON</t>
  </si>
  <si>
    <t>EXTRA 1</t>
  </si>
  <si>
    <t>EXTRA 2</t>
  </si>
  <si>
    <t>EXTRA 3</t>
  </si>
  <si>
    <t xml:space="preserve">TRANSFER </t>
  </si>
  <si>
    <r>
      <t xml:space="preserve">Locação de conteiner refrigerado para o acondicionamento dos produtos Lactalis durante o evento. </t>
    </r>
    <r>
      <rPr>
        <sz val="16"/>
        <color rgb="FFFF0000"/>
        <rFont val="Trebuchet MS"/>
        <family val="2"/>
      </rPr>
      <t>**Valor não considerado na somatória**</t>
    </r>
  </si>
  <si>
    <r>
      <rPr>
        <sz val="18"/>
        <color rgb="FF000000"/>
        <rFont val="Trebuchet MS"/>
        <family val="2"/>
      </rPr>
      <t xml:space="preserve">Quarto Single - Incluso Café da manhã
Check-in: </t>
    </r>
    <r>
      <rPr>
        <b/>
        <sz val="18"/>
        <color rgb="FFFF0000"/>
        <rFont val="Trebuchet MS"/>
        <family val="2"/>
      </rPr>
      <t>13/01</t>
    </r>
    <r>
      <rPr>
        <sz val="18"/>
        <color rgb="FF000000"/>
        <rFont val="Trebuchet MS"/>
        <family val="2"/>
      </rPr>
      <t xml:space="preserve"> a partir das 16h00 || Check-out: </t>
    </r>
    <r>
      <rPr>
        <b/>
        <sz val="18"/>
        <color rgb="FFFF0000"/>
        <rFont val="Trebuchet MS"/>
        <family val="2"/>
      </rPr>
      <t>16/01</t>
    </r>
    <r>
      <rPr>
        <sz val="18"/>
        <color rgb="FF000000"/>
        <rFont val="Trebuchet MS"/>
        <family val="2"/>
      </rPr>
      <t xml:space="preserve"> até às 12h00</t>
    </r>
  </si>
  <si>
    <r>
      <rPr>
        <sz val="18"/>
        <color rgb="FF000000"/>
        <rFont val="Trebuchet MS"/>
        <family val="2"/>
      </rPr>
      <t xml:space="preserve">Quarto Duplo - Incluso Café da manhã
Check-in: </t>
    </r>
    <r>
      <rPr>
        <b/>
        <sz val="18"/>
        <color rgb="FFFF0000"/>
        <rFont val="Trebuchet MS"/>
        <family val="2"/>
      </rPr>
      <t>13/01</t>
    </r>
    <r>
      <rPr>
        <sz val="18"/>
        <color rgb="FF000000"/>
        <rFont val="Trebuchet MS"/>
        <family val="2"/>
      </rPr>
      <t xml:space="preserve"> a partir das 16h00 || Check-out: </t>
    </r>
    <r>
      <rPr>
        <b/>
        <sz val="18"/>
        <color rgb="FFFF0000"/>
        <rFont val="Trebuchet MS"/>
        <family val="2"/>
      </rPr>
      <t>16/01</t>
    </r>
    <r>
      <rPr>
        <sz val="18"/>
        <color rgb="FF000000"/>
        <rFont val="Trebuchet MS"/>
        <family val="2"/>
      </rPr>
      <t xml:space="preserve"> até às 12h00</t>
    </r>
  </si>
  <si>
    <r>
      <t xml:space="preserve">Reserva de 12 quartos no total para colaboradores da SPOT pagos diretamente por eles (22 pax)
2 Quarto Single + 10 Quartos Duplos 
Check-in: </t>
    </r>
    <r>
      <rPr>
        <b/>
        <sz val="18"/>
        <color rgb="FFFF0000"/>
        <rFont val="Trebuchet MS"/>
        <family val="2"/>
      </rPr>
      <t>13/01</t>
    </r>
    <r>
      <rPr>
        <sz val="18"/>
        <color theme="1"/>
        <rFont val="Trebuchet MS"/>
        <family val="2"/>
      </rPr>
      <t xml:space="preserve"> a partir das 16h00 || Check-out: </t>
    </r>
    <r>
      <rPr>
        <b/>
        <sz val="18"/>
        <color rgb="FFFF0000"/>
        <rFont val="Trebuchet MS"/>
        <family val="2"/>
      </rPr>
      <t>16/01</t>
    </r>
    <r>
      <rPr>
        <sz val="18"/>
        <color theme="1"/>
        <rFont val="Trebuchet MS"/>
        <family val="2"/>
      </rPr>
      <t xml:space="preserve"> até às 12h00</t>
    </r>
  </si>
  <si>
    <r>
      <rPr>
        <sz val="18"/>
        <color rgb="FF000000"/>
        <rFont val="Trebuchet MS"/>
        <family val="2"/>
      </rPr>
      <t xml:space="preserve">Reserva de 90 quartos no total para distribuidores pagos diretamente por eles (150 pax)
30 Quarto Single + 60 Quartos Duplos 
Check-in: </t>
    </r>
    <r>
      <rPr>
        <b/>
        <sz val="18"/>
        <color rgb="FFFF0000"/>
        <rFont val="Trebuchet MS"/>
        <family val="2"/>
      </rPr>
      <t>13/01</t>
    </r>
    <r>
      <rPr>
        <sz val="18"/>
        <color rgb="FF000000"/>
        <rFont val="Trebuchet MS"/>
        <family val="2"/>
      </rPr>
      <t xml:space="preserve"> a partir das 16h00 || Check-out: </t>
    </r>
    <r>
      <rPr>
        <b/>
        <sz val="18"/>
        <color rgb="FFFF0000"/>
        <rFont val="Trebuchet MS"/>
        <family val="2"/>
      </rPr>
      <t>15/01</t>
    </r>
    <r>
      <rPr>
        <sz val="18"/>
        <color rgb="FF000000"/>
        <rFont val="Trebuchet MS"/>
        <family val="2"/>
      </rPr>
      <t xml:space="preserve"> até às 12h00</t>
    </r>
  </si>
  <si>
    <r>
      <rPr>
        <sz val="18"/>
        <rFont val="Trebuchet MS"/>
        <family val="2"/>
      </rPr>
      <t xml:space="preserve">Plenária - Ballroom Garden 1 + 2 - Metragem 1.218,02 m², pé direito 7,50m
(02 dias de montagem | Dia 11 e 12/01 + 03 dias de evento | Dia 13, 14 e 15/01)
</t>
    </r>
    <r>
      <rPr>
        <sz val="18"/>
        <color theme="1"/>
        <rFont val="Trebuchet MS"/>
        <family val="2"/>
      </rPr>
      <t xml:space="preserve">
</t>
    </r>
    <r>
      <rPr>
        <b/>
        <u/>
        <sz val="18"/>
        <color theme="1"/>
        <rFont val="Trebuchet MS"/>
        <family val="2"/>
      </rPr>
      <t xml:space="preserve">Agenda </t>
    </r>
    <r>
      <rPr>
        <b/>
        <sz val="18"/>
        <color theme="1"/>
        <rFont val="Trebuchet MS"/>
        <family val="2"/>
      </rPr>
      <t xml:space="preserve">
Dia 01 (Dia 13/01) - Início 14h | </t>
    </r>
    <r>
      <rPr>
        <sz val="18"/>
        <color theme="1"/>
        <rFont val="Trebuchet MS"/>
        <family val="2"/>
      </rPr>
      <t xml:space="preserve">Coffee tarde | Jantar (230 DPA + 150 FORN = 380 PAX)
</t>
    </r>
    <r>
      <rPr>
        <b/>
        <sz val="18"/>
        <color theme="1"/>
        <rFont val="Trebuchet MS"/>
        <family val="2"/>
      </rPr>
      <t xml:space="preserve">Dia 02 (Dia 14/01) - </t>
    </r>
    <r>
      <rPr>
        <sz val="18"/>
        <color theme="1"/>
        <rFont val="Trebuchet MS"/>
        <family val="2"/>
      </rPr>
      <t xml:space="preserve">Coffee break manhã | Almoço | Coffee tarde | Jantar/HH com pacote de bebidas por 3h de cerveja (230 DPA + 150 FORN = 380 PAX)
</t>
    </r>
    <r>
      <rPr>
        <b/>
        <sz val="18"/>
        <color theme="1"/>
        <rFont val="Trebuchet MS"/>
        <family val="2"/>
      </rPr>
      <t xml:space="preserve">Dia 03 (Dia 15/01) - </t>
    </r>
    <r>
      <rPr>
        <sz val="18"/>
        <color theme="1"/>
        <rFont val="Trebuchet MS"/>
        <family val="2"/>
      </rPr>
      <t xml:space="preserve">Coffee break manhã | Almoço | Tarde livre | Festa de confraternização com pacote de bebidas alcoólicas com cerveja, drinks e espumante. Serviço de bebida por 5hs (230 DPA = 230 PAX)
</t>
    </r>
    <r>
      <rPr>
        <b/>
        <sz val="18"/>
        <color theme="1"/>
        <rFont val="Trebuchet MS"/>
        <family val="2"/>
      </rPr>
      <t>Dia 04 (Dia 16/01)</t>
    </r>
    <r>
      <rPr>
        <sz val="18"/>
        <color theme="1"/>
        <rFont val="Trebuchet MS"/>
        <family val="2"/>
      </rPr>
      <t xml:space="preserve"> - Checkout</t>
    </r>
  </si>
  <si>
    <r>
      <t xml:space="preserve">Almoço (Dia 01 | Dia 13/01)
</t>
    </r>
    <r>
      <rPr>
        <sz val="18"/>
        <color theme="1"/>
        <rFont val="Trebuchet MS"/>
        <family val="2"/>
      </rPr>
      <t>Buffet do Chef</t>
    </r>
    <r>
      <rPr>
        <b/>
        <sz val="18"/>
        <color theme="1"/>
        <rFont val="Trebuchet MS"/>
        <family val="2"/>
      </rPr>
      <t xml:space="preserve"> -  inclui bebidas não alcoólicas servidas durante a refeição (água, refrigerante e suco)</t>
    </r>
  </si>
  <si>
    <r>
      <rPr>
        <b/>
        <sz val="18"/>
        <color rgb="FF000000"/>
        <rFont val="Trebuchet MS"/>
        <family val="2"/>
      </rPr>
      <t xml:space="preserve">Coffee Break Dia 01 | Dia 13/01 Tarde
</t>
    </r>
    <r>
      <rPr>
        <sz val="18"/>
        <color rgb="FF000000"/>
        <rFont val="Trebuchet MS"/>
        <family val="2"/>
      </rPr>
      <t>Opcao 1 - Café, Chá, Leite, Chocolate, Suco de Laranja, Pão de Queijo, Coxinha de frango e Cuca de Abacaxi</t>
    </r>
  </si>
  <si>
    <r>
      <t xml:space="preserve">Jantar (Dia 01 | Dia 13/01) 
</t>
    </r>
    <r>
      <rPr>
        <sz val="18"/>
        <color theme="1"/>
        <rFont val="Trebuchet MS"/>
        <family val="2"/>
      </rPr>
      <t>Buffet do Chef</t>
    </r>
    <r>
      <rPr>
        <b/>
        <sz val="18"/>
        <color theme="1"/>
        <rFont val="Trebuchet MS"/>
        <family val="2"/>
      </rPr>
      <t xml:space="preserve"> -  inclui bebidas não alcoólicas servidas durante a refeição (água, refrigerante e suco)</t>
    </r>
  </si>
  <si>
    <r>
      <t xml:space="preserve">Almoço (Dia 02 | Dia 14/01)
</t>
    </r>
    <r>
      <rPr>
        <sz val="18"/>
        <color theme="1"/>
        <rFont val="Trebuchet MS"/>
        <family val="2"/>
      </rPr>
      <t>Buffet do Chef</t>
    </r>
    <r>
      <rPr>
        <b/>
        <sz val="18"/>
        <color theme="1"/>
        <rFont val="Trebuchet MS"/>
        <family val="2"/>
      </rPr>
      <t xml:space="preserve"> -  inclui bebidas não alcoólicas servidas durante a refeição (água, refrigerante e suco)</t>
    </r>
  </si>
  <si>
    <r>
      <rPr>
        <b/>
        <sz val="18"/>
        <color theme="1"/>
        <rFont val="Trebuchet MS"/>
        <family val="2"/>
      </rPr>
      <t>Coffee Break (Dia 02 | Dia 14/01 Manhã e Tarde)</t>
    </r>
    <r>
      <rPr>
        <sz val="18"/>
        <color theme="1"/>
        <rFont val="Trebuchet MS"/>
        <family val="2"/>
      </rPr>
      <t xml:space="preserve">
Opcao 1 - Café, Chá, Leite, Chocolate, Suco de Laranja, Pão de Queijo, Coxinha de frango e Cuca de Abacaxi</t>
    </r>
  </si>
  <si>
    <r>
      <t xml:space="preserve">Jantar (Dia 02 | Dia 14/01) 
</t>
    </r>
    <r>
      <rPr>
        <sz val="18"/>
        <color theme="1"/>
        <rFont val="Trebuchet MS"/>
        <family val="2"/>
      </rPr>
      <t>Buffet do Chef</t>
    </r>
    <r>
      <rPr>
        <b/>
        <sz val="18"/>
        <color theme="1"/>
        <rFont val="Trebuchet MS"/>
        <family val="2"/>
      </rPr>
      <t xml:space="preserve"> -  inclui bebidas não alcoólicas servidas durante a refeição (água, refrigerante e suco)</t>
    </r>
  </si>
  <si>
    <r>
      <t xml:space="preserve">Coquetel (Dia 02 | Dia 14/01)
Mesa de queijos
</t>
    </r>
    <r>
      <rPr>
        <sz val="18"/>
        <color theme="1"/>
        <rFont val="Trebuchet MS"/>
        <family val="2"/>
      </rPr>
      <t>12 cestas de pães; 6 geleia de pimenta; 6 geleia frutas vermelhas; 6 cesta frutas frescas; 12 patê de ricota com tomate seco; 12 patê ervas finas; 12 antepasto de berinjela; 12 porções frutas secas; 13 focaccia sal grosso</t>
    </r>
  </si>
  <si>
    <r>
      <rPr>
        <b/>
        <sz val="18"/>
        <rFont val="Trebuchet MS"/>
        <family val="2"/>
      </rPr>
      <t>Coquetel (Dia 02 | Dia 14/01) - Happy Hour - Pacote de bebidas - 3 horas de duração</t>
    </r>
    <r>
      <rPr>
        <sz val="18"/>
        <rFont val="Trebuchet MS"/>
        <family val="2"/>
      </rPr>
      <t xml:space="preserve">
Open Bar II - Água Mineral, Refrigerante, Suco de Frutas, Cerveja Heineken</t>
    </r>
  </si>
  <si>
    <r>
      <rPr>
        <b/>
        <sz val="18"/>
        <color theme="1"/>
        <rFont val="Trebuchet MS"/>
        <family val="2"/>
      </rPr>
      <t>Coffee Break Dia 03 | Dia 15/01 Manhã e tarde</t>
    </r>
    <r>
      <rPr>
        <sz val="18"/>
        <color theme="1"/>
        <rFont val="Trebuchet MS"/>
        <family val="2"/>
      </rPr>
      <t xml:space="preserve">
Opcao 1 - Café, Chá, Leite, Chocolate, Suco de Laranja, Pão de Queijo, Coxinha de frango e Cuca de Abacaxi</t>
    </r>
  </si>
  <si>
    <r>
      <t xml:space="preserve">Jantar (Dia 03 | Dia 15/01) 
</t>
    </r>
    <r>
      <rPr>
        <sz val="18"/>
        <color theme="1"/>
        <rFont val="Trebuchet MS"/>
        <family val="2"/>
      </rPr>
      <t>Buffet do Chef -  inclui bebidas não alcoólicas servidas durante a refeição (água, refrigerante e suco)</t>
    </r>
  </si>
  <si>
    <r>
      <t xml:space="preserve">Festa de Confraternização  (Dia 03 | Dia 15/01)
Mesa de queijos
</t>
    </r>
    <r>
      <rPr>
        <sz val="18"/>
        <color theme="1"/>
        <rFont val="Trebuchet MS"/>
        <family val="2"/>
      </rPr>
      <t>12 cestas de pães; 6 geleia de pimenta; 6 geleia frutas vermelhas; 6 cesta frutas frescas; 12 patê de ricota com tomate seco; 12 patê ervas finas; 12 antepasto de berinjela; 12 porções frutas secas; 13 focaccia sal grosso</t>
    </r>
  </si>
  <si>
    <r>
      <rPr>
        <b/>
        <sz val="18"/>
        <rFont val="Trebuchet MS"/>
        <family val="2"/>
      </rPr>
      <t>Jantar  (Dia 03 | Dia 15/01) - Festa de Confraternização - Pacote de bebidas alcoólicas por 4h</t>
    </r>
    <r>
      <rPr>
        <sz val="18"/>
        <rFont val="Trebuchet MS"/>
        <family val="2"/>
      </rPr>
      <t xml:space="preserve">
Open Bar VI - Água Mineral, Refrigerante, Suco de Frutas, Cerveja Heineken, Caipirinha, Caipiroska, Sakeroska</t>
    </r>
  </si>
  <si>
    <r>
      <t xml:space="preserve">Locução Vídeos - </t>
    </r>
    <r>
      <rPr>
        <b/>
        <sz val="14"/>
        <color rgb="FFFF0000"/>
        <rFont val="Trebuchet MS"/>
        <family val="2"/>
      </rPr>
      <t>Cortesia</t>
    </r>
    <r>
      <rPr>
        <b/>
        <sz val="14"/>
        <rFont val="Trebuchet MS"/>
        <family val="2"/>
      </rPr>
      <t xml:space="preserve"> </t>
    </r>
  </si>
  <si>
    <r>
      <t xml:space="preserve">Vídeo 30' com melhores momentos - </t>
    </r>
    <r>
      <rPr>
        <b/>
        <sz val="14"/>
        <color rgb="FFFF0000"/>
        <rFont val="Trebuchet MS"/>
        <family val="2"/>
      </rPr>
      <t>Cortesia</t>
    </r>
    <r>
      <rPr>
        <b/>
        <sz val="14"/>
        <rFont val="Trebuchet MS"/>
        <family val="2"/>
      </rPr>
      <t xml:space="preserve"> </t>
    </r>
  </si>
  <si>
    <r>
      <rPr>
        <b/>
        <sz val="14"/>
        <rFont val="Trebuchet MS"/>
        <family val="2"/>
      </rPr>
      <t>Caixa de Som JBL PartyBox Stage 320</t>
    </r>
    <r>
      <rPr>
        <sz val="14"/>
        <rFont val="Trebuchet MS"/>
        <family val="2"/>
      </rPr>
      <t xml:space="preserve">
Caixa de som portátil JBL PartyBox Stage 320 com JBL Pro Sound potente, show de luzes sincronizado, entradas para microfone e guitarra, bateria de até 18h e resistência a respingos.</t>
    </r>
  </si>
  <si>
    <r>
      <t>NOME PLANILHA: TRANSFER DPA</t>
    </r>
    <r>
      <rPr>
        <b/>
        <sz val="16"/>
        <color theme="0" tint="-0.249977111117893"/>
        <rFont val="Trebuchet MS"/>
        <family val="2"/>
      </rPr>
      <t xml:space="preserve"> </t>
    </r>
  </si>
  <si>
    <t xml:space="preserve">NOME </t>
  </si>
  <si>
    <t>LUIZA TAVORA</t>
  </si>
  <si>
    <t>CARTÃO ISABELA</t>
  </si>
  <si>
    <t>BRUNO MELO</t>
  </si>
  <si>
    <t>EDGARD ROJANO</t>
  </si>
  <si>
    <t>CAROL IGLEZIAS</t>
  </si>
  <si>
    <t>ISABELA FERREIRA</t>
  </si>
  <si>
    <t>DANIEL FERRAZ</t>
  </si>
  <si>
    <t>MOLINA</t>
  </si>
  <si>
    <t>VIVIANE VIERA</t>
  </si>
  <si>
    <t>ALBERTO VENTURA</t>
  </si>
  <si>
    <t>SK COPIADORA</t>
  </si>
  <si>
    <t>YGIFTS</t>
  </si>
  <si>
    <t>BRUNA LORENCINI</t>
  </si>
  <si>
    <t>ANA PAULA</t>
  </si>
  <si>
    <t>HGB CONNECT</t>
  </si>
  <si>
    <t>SUPLICY DESIGN</t>
  </si>
  <si>
    <t>TANYTHI LUCIANI</t>
  </si>
  <si>
    <t>IH VIROU</t>
  </si>
  <si>
    <t>JAQUELINE BRUM</t>
  </si>
  <si>
    <t>LEONARDO T. CRAVO</t>
  </si>
  <si>
    <t>DAZAIN VISION</t>
  </si>
  <si>
    <t>DAZAIN STUDIO</t>
  </si>
  <si>
    <t>CHUBB</t>
  </si>
  <si>
    <t>DAZAIN MAKERS</t>
  </si>
  <si>
    <t>MARCOS JORGE - THIAGO MONTELI</t>
  </si>
  <si>
    <t xml:space="preserve">FOTOSINTESE </t>
  </si>
  <si>
    <t>SELF MADE</t>
  </si>
  <si>
    <t>R.H. INACIO</t>
  </si>
  <si>
    <t>ALBERTO VENTURA - felipe baffa</t>
  </si>
  <si>
    <t>MVJ LOCAÇÕES</t>
  </si>
  <si>
    <t>DA ORIKASSA</t>
  </si>
  <si>
    <t>MW LED</t>
  </si>
  <si>
    <t>DUO CENOGRAFIA</t>
  </si>
  <si>
    <t>LIVE KARAOKE</t>
  </si>
  <si>
    <t>CRIACOM</t>
  </si>
  <si>
    <t>DANIEL ROGER</t>
  </si>
  <si>
    <t>VICTOR SATKUNA - MAISA SAMPAIO - LARA SAMPAIO - ISABELLY COSTA -PEDRO DE CAMARGO - ANDRE AIRES</t>
  </si>
  <si>
    <t>ATELIER L&amp;M</t>
  </si>
  <si>
    <t>APARECIDA JOSE - ALESSANDRO</t>
  </si>
  <si>
    <t>LOGÍSTICA</t>
  </si>
  <si>
    <t>Contratação de Keni para logística</t>
  </si>
  <si>
    <t xml:space="preserve">SK COPIADORA </t>
  </si>
  <si>
    <t>BASTOS INDUSTRIA</t>
  </si>
  <si>
    <t>IMMERGY ENERGIA</t>
  </si>
  <si>
    <t>MOREIRA E FIORDA</t>
  </si>
  <si>
    <t xml:space="preserve">LUCIANA GOMES </t>
  </si>
  <si>
    <t>WBL GRAFICA</t>
  </si>
  <si>
    <t>MB2 AUDIOVISUAL</t>
  </si>
  <si>
    <t>FABIANO FARIA</t>
  </si>
  <si>
    <t>EASY MOBI</t>
  </si>
  <si>
    <t>YLA VITORIA</t>
  </si>
  <si>
    <t>BRUNO PARRA - JVAL PRODUÇÕES</t>
  </si>
  <si>
    <t>LUCELIA LIMA - FERNANDA BANDEIRA</t>
  </si>
  <si>
    <t>LUCAS FELIPE - JAQUELINE BRUN - FLAVIA MINA - FERNANDA RODRIGUES</t>
  </si>
  <si>
    <t>GAFICA E EDITORA</t>
  </si>
  <si>
    <t>FARO HOTEL</t>
  </si>
  <si>
    <t>RODOLFO VALENTINO</t>
  </si>
  <si>
    <t>SONSER ENTRETENIMENTO</t>
  </si>
  <si>
    <t>TIAGO EVENTOS - LIDER PLATAFORMA - JPZ TELECOM</t>
  </si>
  <si>
    <t>BOOURBON</t>
  </si>
  <si>
    <t>AMANDA REZENDE</t>
  </si>
  <si>
    <t xml:space="preserve">SELF MADE - TOZZINI </t>
  </si>
  <si>
    <t>AMANDA REZENDE - AS CASTING - WAGNER</t>
  </si>
  <si>
    <t>SILVANA GUARNIERI</t>
  </si>
  <si>
    <t>NOTA FISCAL 2638</t>
  </si>
  <si>
    <t>NOTA FISCAL 2646</t>
  </si>
  <si>
    <t>NOTA FISCAL 2645</t>
  </si>
  <si>
    <t>NOTA DE DÉBITO 14</t>
  </si>
  <si>
    <t>NOTA DE DÉBITO 15</t>
  </si>
  <si>
    <t>NOTA FISCAL 2716</t>
  </si>
  <si>
    <t>NOTA DE DÉBITO 22</t>
  </si>
  <si>
    <t>NOTA FISCAL 2715</t>
  </si>
  <si>
    <t>NOTA FISCAL 2726</t>
  </si>
  <si>
    <t>NOTA FISCAL 2727</t>
  </si>
  <si>
    <t>NOTA FISCAL 2728</t>
  </si>
  <si>
    <t>NOTA FISCAL 2729</t>
  </si>
  <si>
    <t>NOTA FISCAL 2730</t>
  </si>
  <si>
    <t>NOTA DE DÉBITO 25</t>
  </si>
  <si>
    <t>NOTA DE DÉBITO 26</t>
  </si>
  <si>
    <t>NOTA DE DÉBITO 29</t>
  </si>
  <si>
    <t>NOTA FISCAL 2799</t>
  </si>
  <si>
    <t>ND</t>
  </si>
  <si>
    <t>NOTA DE DÉBITO 12</t>
  </si>
  <si>
    <t>NOTA DE DÉBITO 13</t>
  </si>
  <si>
    <t xml:space="preserve">CRIAÇÃO </t>
  </si>
  <si>
    <t>Criação e desenvolvimento de ativações imersivas e interativas com cenografia personalizada, jogos, brindes e experiências sensoriais que reforçam o propósito e o engajamento das marcas.</t>
  </si>
  <si>
    <t>Layout 3d com implementação das ativações</t>
  </si>
  <si>
    <t>Subtotal</t>
  </si>
  <si>
    <t>ATIVAÇÕES CHAMYTO</t>
  </si>
  <si>
    <t>Chamyto</t>
  </si>
  <si>
    <t>CENOGRAFIA</t>
  </si>
  <si>
    <t>Casa do Gênio - Frente da lâmpada em recorte adesivada nas medidas 6m largura x 3,15m e interior nas medidas 1,8m altura x 1m de largura comunicação impressa e acabamento externo em veludo.</t>
  </si>
  <si>
    <t xml:space="preserve">Ambientação interna - 5 Almofadas, 1 porta retrato, 1 Lampada do gênio, 1 Mesa de Centro, 1 Cortina Interna azul e Cortina Vermelha </t>
  </si>
  <si>
    <t>Personagem em MDF 15mm recorte especial e adesivo impresso aplicado -  1,80 x prop.</t>
  </si>
  <si>
    <t>Tapete</t>
  </si>
  <si>
    <t xml:space="preserve">Fantasia Gênio - Calças brancas e colete azul + cintura corda, adornos chapéu, sapato e lâmpada </t>
  </si>
  <si>
    <t>ATIVAÇÕES CHANDELLE</t>
  </si>
  <si>
    <t xml:space="preserve"> Pote Gigante </t>
  </si>
  <si>
    <t>Backdrop chapeado de madeira com aplicação de lona imprressa e laterrais em  bagum - medidas 4,00 x 2,50 + Piso elevado 0,03 de mdf revestido com carpete forração</t>
  </si>
  <si>
    <t xml:space="preserve">Pote de chandele em MDF adesivado, aplicação de adesivo impresso com acrílico simulando o produto dentro do pote escorrendo até o colher em recorte com iluminação de led por trás </t>
  </si>
  <si>
    <t>Mockup Pote de doce de leite e almofada para sentar</t>
  </si>
  <si>
    <t>3.1.4</t>
  </si>
  <si>
    <t>Mockup Protein - Construido em MDF com aplicação de adesivo - medidas  1,00 x 1,00 x 2,00</t>
  </si>
  <si>
    <t>ATIVAÇÕES NESTLE GREGO</t>
  </si>
  <si>
    <t>Universo Grego</t>
  </si>
  <si>
    <t>Backdrop chapeado de madeira com aplicação de lona imprressa e laterais em  bagum - medidas 4,00 x 2,50 + Piso elevado 0,03 de mdf revestido com adesivo laminado</t>
  </si>
  <si>
    <t>Placa recorte especial MDF com aplicação de adesivo com iluminação de led por trás - medidas  1,25 x 1,25</t>
  </si>
  <si>
    <t>4.1.3</t>
  </si>
  <si>
    <t>ATIVAÇÂO</t>
  </si>
  <si>
    <t xml:space="preserve">Estátua viva </t>
  </si>
  <si>
    <t>FECHAMENTO</t>
  </si>
  <si>
    <t>Fechamento</t>
  </si>
  <si>
    <t>Fechamento em estrutura de madeira e bagum com aplicação do logo em PS</t>
  </si>
  <si>
    <t>KIT MARKETING</t>
  </si>
  <si>
    <t>BRINDE</t>
  </si>
  <si>
    <t>SACOLA PERSONALIZADA</t>
  </si>
  <si>
    <t>SACOLA medidas 40Ax56Lx14P , em papel Duplex 250g., impressão em 4 cores nas duas faces iguais, Ilhoses e Alças em Nylon pretas, reforço no fundo em papel duplex 250g.</t>
  </si>
  <si>
    <r>
      <t xml:space="preserve">CARTÃO </t>
    </r>
    <r>
      <rPr>
        <b/>
        <sz val="12"/>
        <color rgb="FFFF0000"/>
        <rFont val="Trebuchet MS"/>
        <family val="2"/>
      </rPr>
      <t>***Responsabilidade Cliente**</t>
    </r>
  </si>
  <si>
    <t>Cartão impresso A5 4x0 CF300G</t>
  </si>
  <si>
    <r>
      <t xml:space="preserve">CARTELA DE ADESIVOS </t>
    </r>
    <r>
      <rPr>
        <b/>
        <sz val="12"/>
        <color rgb="FFFF0000"/>
        <rFont val="Trebuchet MS"/>
        <family val="2"/>
      </rPr>
      <t>***Responsabilidade Cliente**</t>
    </r>
  </si>
  <si>
    <t>Cartela De Adesivo Em Vinil Branco Nas Medidas 15x21cm (A5) Em 4x0 Cores Acabamento: Refile E Pacote</t>
  </si>
  <si>
    <r>
      <t>POWER BANK</t>
    </r>
    <r>
      <rPr>
        <b/>
        <sz val="12"/>
        <color rgb="FFFF0000"/>
        <rFont val="Trebuchet MS"/>
        <family val="2"/>
      </rPr>
      <t xml:space="preserve"> ***Responsabilidade Cliente**</t>
    </r>
  </si>
  <si>
    <t>Responsabilidade do cliente</t>
  </si>
  <si>
    <t>NF FATURADA em 18/12</t>
  </si>
  <si>
    <t>ATIVAÇÕES</t>
  </si>
  <si>
    <t>ATIVAÇÕES GALBANI</t>
  </si>
  <si>
    <t>Galbani</t>
  </si>
  <si>
    <t>Construção do carrinho personalizado e entregue ao cliente ao final do evento</t>
  </si>
  <si>
    <t>Locação da Lambreta para o periodo do evento com frete incluso</t>
  </si>
  <si>
    <t>_x000D_
_x000D_
LUPA RETRO LOCACOES LTDA</t>
  </si>
  <si>
    <t>_x000D_
_x000D_
43.959.687/0001-08</t>
  </si>
  <si>
    <t xml:space="preserve">Capacete personalizado </t>
  </si>
  <si>
    <t>Potes personalizados Cartão Triplex Certificado 300g, tamanho 60x80mm, 4x0 - Colorido Frente</t>
  </si>
  <si>
    <t>UNIFORME</t>
  </si>
  <si>
    <t>Avental azul com logo Galbani colorido</t>
  </si>
  <si>
    <t>NF FATURADA em 19/12</t>
  </si>
  <si>
    <t>ATIVAÇÂO INSUMOS</t>
  </si>
  <si>
    <t xml:space="preserve">Ativação durante os coffee breaks 
14/01 (manhã e tarde) 
Mini ciabatta/Tomate italiano (cortado em fatias)/Alface romana  ou lisa/ Rúcula/ Cenoura ralada/Nozes picadas/Milho cozido ( lata - grãos) </t>
  </si>
  <si>
    <t>Ativação durante o coquetel 370 pax - R$ 60 por pessoa - 3 horas de serviço</t>
  </si>
  <si>
    <t xml:space="preserve">Ativação durante os coffee breaks 
15/01 (manhã) </t>
  </si>
  <si>
    <t xml:space="preserve"> TRIPLO ZERO</t>
  </si>
  <si>
    <t xml:space="preserve">Triplo Zero </t>
  </si>
  <si>
    <t xml:space="preserve">ATIVAÇÃO </t>
  </si>
  <si>
    <t>2 Bike Energia + 2 Módulos Fita LED (valor negociado)</t>
  </si>
  <si>
    <t xml:space="preserve">
Desenvolvimento de Software + Totem Interativo Touch 
(valor negociado)
Desenvolvimento Front / Back-End
02 Totens Interativo Touch ScrenTela de 43'
Envio de Dados Coletados após Evento
Promotor de Interação
Personalização Estrutura com Marca ou Tema do Evento
Briefing do Jogo: 
- Tela de descanso (Logo ou Vídeo Institucional) 
- Tela de Cadastro (Nome, e-mail e Telefone)
- Ranking Automático
Equipe de Suporte
1 Promotor para assistência e interação com os convidados
1 Suporte On-line para eventuais problemas</t>
  </si>
  <si>
    <t>Internet para comunicação entre os totens para unificação dos rankings - 100 megas para os dias de ativação</t>
  </si>
  <si>
    <t>PROMOTORA</t>
  </si>
  <si>
    <t>_x000D_
AS CASTING E EVENTOS LTDA</t>
  </si>
  <si>
    <t>_x000D_
31.861.514/0001-65</t>
  </si>
  <si>
    <t xml:space="preserve">Camiseta com logo </t>
  </si>
  <si>
    <t xml:space="preserve">Subtotal Triplo Zero </t>
  </si>
  <si>
    <t>Subtotal Triplo Zero (AGUARDANDO ATUALIZAÇÂO DE CUSTOS DA NOVA SUGESTÃO)</t>
  </si>
  <si>
    <r>
      <t>BRINDE - ATIVAÇÃO TRIPLO ZERO</t>
    </r>
    <r>
      <rPr>
        <b/>
        <sz val="14"/>
        <color rgb="FFFF0000"/>
        <rFont val="Trebuchet MS"/>
        <family val="2"/>
      </rPr>
      <t xml:space="preserve"> </t>
    </r>
    <r>
      <rPr>
        <b/>
        <sz val="14"/>
        <color rgb="FFFFFF00"/>
        <rFont val="Trebuchet MS"/>
        <family val="2"/>
      </rPr>
      <t>***Responsabilidade Cliente**</t>
    </r>
  </si>
  <si>
    <r>
      <t xml:space="preserve">Iphone </t>
    </r>
    <r>
      <rPr>
        <sz val="12"/>
        <color rgb="FFFF0000"/>
        <rFont val="Trebuchet MS"/>
        <family val="2"/>
      </rPr>
      <t>***Responsabilidade Cliente**</t>
    </r>
  </si>
  <si>
    <t>1° Lugar - Apple iPhone 17 128GB Preto</t>
  </si>
  <si>
    <r>
      <t xml:space="preserve">Aplle watch </t>
    </r>
    <r>
      <rPr>
        <sz val="12"/>
        <color rgb="FFFF0000"/>
        <rFont val="Trebuchet MS"/>
        <family val="2"/>
      </rPr>
      <t>***Responsabilidade Cliente**</t>
    </r>
  </si>
  <si>
    <t>2° Lugar - Apple Watch SE 3 GPS - Caixa meia-noite de alumínio – 40 mm - Pulseira esportiva meia-noite</t>
  </si>
  <si>
    <r>
      <t xml:space="preserve">Kindle </t>
    </r>
    <r>
      <rPr>
        <sz val="12"/>
        <color rgb="FFFF0000"/>
        <rFont val="Trebuchet MS"/>
        <family val="2"/>
      </rPr>
      <t>***Responsabilidade Cliente**</t>
    </r>
  </si>
  <si>
    <t>3° Lugar</t>
  </si>
  <si>
    <t>ATIVAÇÕES EXTRAS</t>
  </si>
  <si>
    <t>Mockup Inflável</t>
  </si>
  <si>
    <t>3m de altura com Motor 110v ou 220v e Bolsa de transporte</t>
  </si>
  <si>
    <t>Bateco</t>
  </si>
  <si>
    <t xml:space="preserve">Bateco personalizado 
Altura :  40 cm / Largura :  44,5 cm / Profundidade :  9 cm / Comprimento :  Alça: 53 cm 
Personalização: 02 cores </t>
  </si>
  <si>
    <t>1.3.3</t>
  </si>
  <si>
    <t>Camisetas</t>
  </si>
  <si>
    <t>Dry fit 100% poliamida</t>
  </si>
  <si>
    <t>1.3.4</t>
  </si>
  <si>
    <t xml:space="preserve">Bolas Gigante </t>
  </si>
  <si>
    <t>03 Bolas Infláveis Gigantes 1m de diâmetro com Logos Personalizados do Triplo Zero</t>
  </si>
  <si>
    <t>1.3.5</t>
  </si>
  <si>
    <t>Bexiga Inflável</t>
  </si>
  <si>
    <t>05 arranjos com 03 balões com logos personalizados do Triplo Zero</t>
  </si>
  <si>
    <t>EXTRAS ATIVAÇÕES</t>
  </si>
  <si>
    <t xml:space="preserve">Fechamento dos estandes em tecido </t>
  </si>
  <si>
    <t xml:space="preserve">Locação de Unifilas para isolamento </t>
  </si>
  <si>
    <t>GALBANI</t>
  </si>
  <si>
    <t xml:space="preserve">Promotoras para montagem dos lanches </t>
  </si>
  <si>
    <t>Produtor de montagem e acompanhamento das ativações</t>
  </si>
  <si>
    <t>GALBANI - HOTEL</t>
  </si>
  <si>
    <t>TRIPLO ZERO</t>
  </si>
  <si>
    <t>PLANILHA DE ATIVAÇÃO</t>
  </si>
  <si>
    <t>custos 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</si>
</sst>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</numFmts>
  <fonts count="10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Trebuchet MS"/>
      <family val="2"/>
    </font>
    <font>
      <b/>
      <sz val="14"/>
      <color theme="0"/>
      <name val="Trebuchet MS"/>
      <family val="2"/>
    </font>
    <font>
      <b/>
      <sz val="12"/>
      <color theme="0"/>
      <name val="Trebuchet MS"/>
      <family val="2"/>
    </font>
    <font>
      <b/>
      <sz val="10"/>
      <color theme="0"/>
      <name val="Trebuchet MS"/>
      <family val="2"/>
    </font>
    <font>
      <b/>
      <sz val="16"/>
      <color theme="0"/>
      <name val="Trebuchet MS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D0000"/>
      <name val="Calibri"/>
      <family val="2"/>
      <scheme val="minor"/>
    </font>
    <font>
      <b/>
      <sz val="8"/>
      <name val="Trebuchet MS"/>
      <family val="2"/>
    </font>
    <font>
      <b/>
      <sz val="8"/>
      <color theme="1"/>
      <name val="Gadugi"/>
      <family val="2"/>
    </font>
    <font>
      <b/>
      <sz val="8"/>
      <color theme="1"/>
      <name val="Trebuchet MS"/>
      <family val="2"/>
    </font>
    <font>
      <b/>
      <sz val="11"/>
      <color rgb="FF000000"/>
      <name val="Aptos"/>
      <family val="2"/>
    </font>
    <font>
      <sz val="12"/>
      <color rgb="FF00B0F0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sz val="16"/>
      <color rgb="FF00B0F0"/>
      <name val="Trebuchet MS"/>
      <family val="2"/>
    </font>
    <font>
      <sz val="16"/>
      <name val="Trebuchet MS"/>
      <family val="2"/>
    </font>
    <font>
      <sz val="16"/>
      <color theme="4"/>
      <name val="Trebuchet MS"/>
      <family val="2"/>
    </font>
    <font>
      <sz val="16"/>
      <color rgb="FFFF0000"/>
      <name val="Calibri"/>
      <family val="2"/>
      <scheme val="minor"/>
    </font>
    <font>
      <b/>
      <sz val="16"/>
      <color rgb="FF000000"/>
      <name val="Trebuchet MS"/>
      <family val="2"/>
    </font>
    <font>
      <sz val="16"/>
      <color rgb="FF000000"/>
      <name val="Trebuchet MS"/>
      <family val="2"/>
    </font>
    <font>
      <sz val="16"/>
      <color rgb="FFFF0000"/>
      <name val="Trebuchet MS"/>
      <family val="2"/>
    </font>
    <font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Gadugi"/>
      <family val="2"/>
    </font>
    <font>
      <b/>
      <sz val="14"/>
      <color indexed="63"/>
      <name val="Trebuchet MS"/>
      <family val="2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sz val="14"/>
      <color rgb="FF00B0F0"/>
      <name val="Trebuchet MS"/>
      <family val="2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name val="Trebuchet MS"/>
      <family val="2"/>
    </font>
    <font>
      <b/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indexed="63"/>
      <name val="Trebuchet MS"/>
      <family val="2"/>
    </font>
    <font>
      <sz val="18"/>
      <color theme="0"/>
      <name val="Calibri"/>
      <family val="2"/>
      <scheme val="minor"/>
    </font>
    <font>
      <b/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sz val="18"/>
      <color theme="1"/>
      <name val="Trebuchet MS"/>
      <family val="2"/>
    </font>
    <font>
      <b/>
      <sz val="18"/>
      <color theme="0"/>
      <name val="Trebuchet MS"/>
      <family val="2"/>
    </font>
    <font>
      <sz val="18"/>
      <color rgb="FF000000"/>
      <name val="Trebuchet MS"/>
      <family val="2"/>
    </font>
    <font>
      <sz val="18"/>
      <color theme="4"/>
      <name val="Trebuchet MS"/>
      <family val="2"/>
    </font>
    <font>
      <sz val="18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8"/>
      <color rgb="FF00B050"/>
      <name val="Trebuchet MS"/>
      <family val="2"/>
    </font>
    <font>
      <sz val="18"/>
      <color rgb="FFED0000"/>
      <name val="Trebuchet MS"/>
      <family val="2"/>
    </font>
    <font>
      <b/>
      <u/>
      <sz val="18"/>
      <color theme="1"/>
      <name val="Trebuchet MS"/>
      <family val="2"/>
    </font>
    <font>
      <sz val="18"/>
      <color rgb="FFFF0000"/>
      <name val="Trebuchet MS"/>
      <family val="2"/>
    </font>
    <font>
      <b/>
      <sz val="18"/>
      <color rgb="FF000000"/>
      <name val="Trebuchet MS"/>
      <family val="2"/>
    </font>
    <font>
      <b/>
      <sz val="16"/>
      <color theme="0" tint="-0.249977111117893"/>
      <name val="Trebuchet MS"/>
      <family val="2"/>
    </font>
    <font>
      <sz val="8"/>
      <name val="Calibri"/>
      <family val="2"/>
      <scheme val="minor"/>
    </font>
    <font>
      <sz val="12"/>
      <color rgb="FFFF0000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sz val="12"/>
      <name val="Trebuchet MS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2"/>
      <color theme="3"/>
      <name val="Trebuchet MS"/>
      <family val="2"/>
    </font>
    <font>
      <sz val="12"/>
      <color rgb="FF000000"/>
      <name val="Trebuchet MS"/>
      <family val="2"/>
    </font>
    <font>
      <b/>
      <sz val="11"/>
      <color rgb="FFFFFFFF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2"/>
      <color theme="4"/>
      <name val="Trebuchet MS"/>
      <family val="2"/>
    </font>
    <font>
      <b/>
      <sz val="14"/>
      <color rgb="FFFFFF00"/>
      <name val="Trebuchet MS"/>
      <family val="2"/>
    </font>
    <font>
      <b/>
      <i/>
      <sz val="12"/>
      <color rgb="FF000000"/>
      <name val="Aptos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AA48"/>
        <bgColor indexed="64"/>
      </patternFill>
    </fill>
  </fills>
  <borders count="118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7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3" fillId="0" borderId="0" applyFont="0" applyFill="0" applyBorder="0" applyAlignment="0" applyProtection="0"/>
    <xf numFmtId="0" fontId="14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7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11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2" fillId="0" borderId="16" xfId="0" applyFont="1" applyBorder="1"/>
    <xf numFmtId="0" fontId="2" fillId="0" borderId="20" xfId="0" applyFont="1" applyBorder="1"/>
    <xf numFmtId="0" fontId="0" fillId="0" borderId="2" xfId="0" applyBorder="1" applyAlignment="1">
      <alignment horizontal="left"/>
    </xf>
    <xf numFmtId="0" fontId="0" fillId="0" borderId="22" xfId="0" applyBorder="1" applyAlignment="1">
      <alignment horizontal="left"/>
    </xf>
    <xf numFmtId="0" fontId="2" fillId="0" borderId="23" xfId="0" applyFont="1" applyBorder="1"/>
    <xf numFmtId="0" fontId="2" fillId="0" borderId="23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27" xfId="0" applyFont="1" applyBorder="1"/>
    <xf numFmtId="0" fontId="2" fillId="0" borderId="2" xfId="0" applyFont="1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0" xfId="0" applyAlignment="1">
      <alignment horizontal="right"/>
    </xf>
    <xf numFmtId="0" fontId="12" fillId="4" borderId="32" xfId="0" applyFont="1" applyFill="1" applyBorder="1"/>
    <xf numFmtId="0" fontId="12" fillId="4" borderId="33" xfId="0" applyFont="1" applyFill="1" applyBorder="1"/>
    <xf numFmtId="0" fontId="0" fillId="0" borderId="0" xfId="1" applyNumberFormat="1" applyFont="1"/>
    <xf numFmtId="0" fontId="15" fillId="0" borderId="0" xfId="0" applyFont="1"/>
    <xf numFmtId="165" fontId="9" fillId="6" borderId="35" xfId="4" applyFont="1" applyFill="1" applyBorder="1" applyAlignment="1">
      <alignment horizontal="center" vertical="center" wrapText="1"/>
    </xf>
    <xf numFmtId="164" fontId="6" fillId="0" borderId="0" xfId="2" applyNumberFormat="1" applyFont="1" applyAlignment="1">
      <alignment horizontal="left" vertical="center"/>
    </xf>
    <xf numFmtId="166" fontId="9" fillId="0" borderId="37" xfId="4" applyNumberFormat="1" applyFont="1" applyBorder="1" applyAlignment="1">
      <alignment horizontal="center" vertical="center" wrapText="1"/>
    </xf>
    <xf numFmtId="164" fontId="6" fillId="0" borderId="17" xfId="2" applyNumberFormat="1" applyFont="1" applyBorder="1" applyAlignment="1" applyProtection="1">
      <alignment horizontal="left" vertical="center"/>
      <protection locked="0"/>
    </xf>
    <xf numFmtId="164" fontId="6" fillId="0" borderId="19" xfId="2" applyNumberFormat="1" applyFont="1" applyBorder="1" applyAlignment="1" applyProtection="1">
      <alignment horizontal="left" vertical="center"/>
      <protection locked="0"/>
    </xf>
    <xf numFmtId="164" fontId="6" fillId="0" borderId="28" xfId="2" applyNumberFormat="1" applyFont="1" applyBorder="1" applyAlignment="1" applyProtection="1">
      <alignment horizontal="left" vertical="center"/>
      <protection locked="0"/>
    </xf>
    <xf numFmtId="164" fontId="6" fillId="0" borderId="29" xfId="2" applyNumberFormat="1" applyFont="1" applyBorder="1" applyAlignment="1" applyProtection="1">
      <alignment horizontal="left" vertical="center"/>
      <protection locked="0"/>
    </xf>
    <xf numFmtId="0" fontId="7" fillId="0" borderId="22" xfId="2" applyFont="1" applyBorder="1" applyAlignment="1" applyProtection="1">
      <alignment horizontal="left" vertical="center"/>
      <protection locked="0"/>
    </xf>
    <xf numFmtId="0" fontId="6" fillId="0" borderId="22" xfId="2" applyFont="1" applyBorder="1" applyAlignment="1" applyProtection="1">
      <alignment horizontal="left" vertical="center"/>
      <protection locked="0"/>
    </xf>
    <xf numFmtId="14" fontId="7" fillId="0" borderId="29" xfId="2" applyNumberFormat="1" applyFont="1" applyBorder="1" applyAlignment="1" applyProtection="1">
      <alignment horizontal="left" vertical="center"/>
      <protection locked="0"/>
    </xf>
    <xf numFmtId="164" fontId="6" fillId="0" borderId="36" xfId="2" applyNumberFormat="1" applyFont="1" applyBorder="1" applyAlignment="1" applyProtection="1">
      <alignment horizontal="left" vertical="center"/>
      <protection locked="0"/>
    </xf>
    <xf numFmtId="0" fontId="6" fillId="0" borderId="26" xfId="2" applyFont="1" applyBorder="1" applyAlignment="1" applyProtection="1">
      <alignment horizontal="left" vertical="center"/>
      <protection locked="0"/>
    </xf>
    <xf numFmtId="10" fontId="9" fillId="6" borderId="42" xfId="5" applyNumberFormat="1" applyFont="1" applyFill="1" applyBorder="1" applyAlignment="1">
      <alignment horizontal="center" vertical="center" wrapText="1"/>
    </xf>
    <xf numFmtId="10" fontId="9" fillId="6" borderId="43" xfId="5" applyNumberFormat="1" applyFont="1" applyFill="1" applyBorder="1" applyAlignment="1">
      <alignment horizontal="center" vertical="center" wrapText="1"/>
    </xf>
    <xf numFmtId="165" fontId="9" fillId="6" borderId="44" xfId="4" applyFont="1" applyFill="1" applyBorder="1" applyAlignment="1">
      <alignment horizontal="center" vertical="center" wrapText="1"/>
    </xf>
    <xf numFmtId="165" fontId="9" fillId="6" borderId="43" xfId="4" applyFont="1" applyFill="1" applyBorder="1" applyAlignment="1">
      <alignment horizontal="center" vertical="center" wrapText="1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45" xfId="4" applyNumberFormat="1" applyFont="1" applyFill="1" applyBorder="1" applyAlignment="1">
      <alignment horizontal="center" vertical="center"/>
    </xf>
    <xf numFmtId="10" fontId="19" fillId="6" borderId="49" xfId="1" applyNumberFormat="1" applyFont="1" applyFill="1" applyBorder="1" applyAlignment="1">
      <alignment horizontal="center" vertical="center" wrapText="1"/>
    </xf>
    <xf numFmtId="0" fontId="4" fillId="6" borderId="48" xfId="3" applyFont="1" applyFill="1" applyBorder="1" applyAlignment="1">
      <alignment horizontal="left" vertical="center"/>
    </xf>
    <xf numFmtId="0" fontId="4" fillId="6" borderId="49" xfId="3" applyFont="1" applyFill="1" applyBorder="1" applyAlignment="1">
      <alignment horizontal="center" vertical="center"/>
    </xf>
    <xf numFmtId="0" fontId="19" fillId="6" borderId="49" xfId="3" applyFont="1" applyFill="1" applyBorder="1" applyAlignment="1">
      <alignment horizontal="center" vertical="center"/>
    </xf>
    <xf numFmtId="169" fontId="19" fillId="6" borderId="49" xfId="3" applyNumberFormat="1" applyFont="1" applyFill="1" applyBorder="1" applyAlignment="1">
      <alignment horizontal="center" vertical="center" wrapText="1"/>
    </xf>
    <xf numFmtId="0" fontId="19" fillId="6" borderId="50" xfId="3" applyFont="1" applyFill="1" applyBorder="1" applyAlignment="1">
      <alignment horizontal="center" vertical="center" wrapText="1"/>
    </xf>
    <xf numFmtId="0" fontId="19" fillId="6" borderId="51" xfId="3" applyFont="1" applyFill="1" applyBorder="1" applyAlignment="1">
      <alignment horizontal="center" vertical="center" wrapText="1"/>
    </xf>
    <xf numFmtId="37" fontId="9" fillId="6" borderId="48" xfId="3" applyNumberFormat="1" applyFont="1" applyFill="1" applyBorder="1" applyAlignment="1">
      <alignment horizontal="center" vertical="center"/>
    </xf>
    <xf numFmtId="37" fontId="9" fillId="6" borderId="49" xfId="3" applyNumberFormat="1" applyFont="1" applyFill="1" applyBorder="1" applyAlignment="1">
      <alignment horizontal="center" vertical="center"/>
    </xf>
    <xf numFmtId="40" fontId="9" fillId="6" borderId="49" xfId="4" applyNumberFormat="1" applyFont="1" applyFill="1" applyBorder="1" applyAlignment="1">
      <alignment horizontal="center" vertical="center"/>
    </xf>
    <xf numFmtId="165" fontId="9" fillId="6" borderId="49" xfId="4" applyFont="1" applyFill="1" applyBorder="1" applyAlignment="1">
      <alignment horizontal="right" vertical="center"/>
    </xf>
    <xf numFmtId="40" fontId="9" fillId="6" borderId="49" xfId="4" applyNumberFormat="1" applyFont="1" applyFill="1" applyBorder="1" applyAlignment="1">
      <alignment horizontal="center" vertical="center" wrapText="1"/>
    </xf>
    <xf numFmtId="10" fontId="9" fillId="6" borderId="49" xfId="5" applyNumberFormat="1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165" fontId="9" fillId="6" borderId="51" xfId="4" applyFont="1" applyFill="1" applyBorder="1" applyAlignment="1">
      <alignment horizontal="center" vertical="center" wrapText="1"/>
    </xf>
    <xf numFmtId="0" fontId="22" fillId="0" borderId="56" xfId="0" applyFont="1" applyBorder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19" fillId="10" borderId="50" xfId="0" applyFont="1" applyFill="1" applyBorder="1" applyAlignment="1">
      <alignment horizontal="center" vertical="center"/>
    </xf>
    <xf numFmtId="0" fontId="19" fillId="10" borderId="49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10" borderId="57" xfId="0" applyFont="1" applyFill="1" applyBorder="1" applyAlignment="1">
      <alignment horizontal="center" vertical="center"/>
    </xf>
    <xf numFmtId="0" fontId="22" fillId="0" borderId="39" xfId="0" applyFont="1" applyBorder="1" applyAlignment="1">
      <alignment horizontal="left" vertical="center" wrapText="1"/>
    </xf>
    <xf numFmtId="0" fontId="22" fillId="0" borderId="41" xfId="0" applyFont="1" applyBorder="1" applyAlignment="1">
      <alignment horizontal="left" vertical="center" wrapText="1"/>
    </xf>
    <xf numFmtId="44" fontId="18" fillId="13" borderId="63" xfId="8" applyFont="1" applyFill="1" applyBorder="1" applyAlignment="1">
      <alignment vertical="center"/>
    </xf>
    <xf numFmtId="44" fontId="18" fillId="14" borderId="57" xfId="8" applyFont="1" applyFill="1" applyBorder="1" applyAlignment="1">
      <alignment vertical="center"/>
    </xf>
    <xf numFmtId="9" fontId="18" fillId="13" borderId="6" xfId="1" applyFont="1" applyFill="1" applyBorder="1" applyAlignment="1">
      <alignment vertical="center"/>
    </xf>
    <xf numFmtId="44" fontId="18" fillId="13" borderId="6" xfId="8" applyFont="1" applyFill="1" applyBorder="1" applyAlignment="1">
      <alignment vertical="center"/>
    </xf>
    <xf numFmtId="44" fontId="18" fillId="14" borderId="63" xfId="8" applyFont="1" applyFill="1" applyBorder="1" applyAlignment="1">
      <alignment vertical="center"/>
    </xf>
    <xf numFmtId="0" fontId="18" fillId="14" borderId="57" xfId="2" quotePrefix="1" applyFont="1" applyFill="1" applyBorder="1" applyAlignment="1">
      <alignment horizontal="center" vertical="center"/>
    </xf>
    <xf numFmtId="3" fontId="18" fillId="14" borderId="57" xfId="2" quotePrefix="1" applyNumberFormat="1" applyFont="1" applyFill="1" applyBorder="1" applyAlignment="1">
      <alignment horizontal="center" vertical="center"/>
    </xf>
    <xf numFmtId="44" fontId="18" fillId="14" borderId="57" xfId="8" quotePrefix="1" applyFont="1" applyFill="1" applyBorder="1" applyAlignment="1">
      <alignment vertical="center"/>
    </xf>
    <xf numFmtId="10" fontId="18" fillId="12" borderId="30" xfId="0" applyNumberFormat="1" applyFont="1" applyFill="1" applyBorder="1" applyAlignment="1">
      <alignment horizontal="center" vertical="center"/>
    </xf>
    <xf numFmtId="44" fontId="23" fillId="9" borderId="0" xfId="0" applyNumberFormat="1" applyFont="1" applyFill="1" applyAlignment="1">
      <alignment horizontal="right"/>
    </xf>
    <xf numFmtId="44" fontId="16" fillId="12" borderId="0" xfId="0" applyNumberFormat="1" applyFont="1" applyFill="1"/>
    <xf numFmtId="0" fontId="0" fillId="13" borderId="0" xfId="0" applyFill="1"/>
    <xf numFmtId="44" fontId="16" fillId="13" borderId="0" xfId="0" applyNumberFormat="1" applyFont="1" applyFill="1"/>
    <xf numFmtId="0" fontId="26" fillId="15" borderId="5" xfId="0" applyFont="1" applyFill="1" applyBorder="1"/>
    <xf numFmtId="0" fontId="26" fillId="15" borderId="34" xfId="0" applyFont="1" applyFill="1" applyBorder="1"/>
    <xf numFmtId="44" fontId="26" fillId="15" borderId="34" xfId="0" applyNumberFormat="1" applyFont="1" applyFill="1" applyBorder="1"/>
    <xf numFmtId="9" fontId="26" fillId="15" borderId="12" xfId="1" applyFont="1" applyFill="1" applyBorder="1"/>
    <xf numFmtId="10" fontId="18" fillId="12" borderId="62" xfId="0" applyNumberFormat="1" applyFont="1" applyFill="1" applyBorder="1" applyAlignment="1">
      <alignment horizontal="center" vertical="center"/>
    </xf>
    <xf numFmtId="170" fontId="23" fillId="9" borderId="0" xfId="0" applyNumberFormat="1" applyFont="1" applyFill="1" applyAlignment="1">
      <alignment horizontal="right"/>
    </xf>
    <xf numFmtId="170" fontId="23" fillId="9" borderId="15" xfId="0" applyNumberFormat="1" applyFont="1" applyFill="1" applyBorder="1" applyAlignment="1">
      <alignment horizontal="right"/>
    </xf>
    <xf numFmtId="9" fontId="26" fillId="15" borderId="13" xfId="1" applyFont="1" applyFill="1" applyBorder="1"/>
    <xf numFmtId="44" fontId="0" fillId="0" borderId="0" xfId="0" applyNumberFormat="1"/>
    <xf numFmtId="0" fontId="2" fillId="0" borderId="0" xfId="0" applyFont="1" applyAlignment="1">
      <alignment horizontal="left" vertical="center"/>
    </xf>
    <xf numFmtId="170" fontId="2" fillId="0" borderId="0" xfId="0" applyNumberFormat="1" applyFont="1" applyAlignment="1">
      <alignment horizontal="right" vertical="center"/>
    </xf>
    <xf numFmtId="0" fontId="2" fillId="0" borderId="58" xfId="0" applyFont="1" applyBorder="1" applyAlignment="1">
      <alignment horizontal="left" vertical="center"/>
    </xf>
    <xf numFmtId="170" fontId="29" fillId="0" borderId="0" xfId="0" applyNumberFormat="1" applyFont="1"/>
    <xf numFmtId="9" fontId="21" fillId="0" borderId="0" xfId="1" applyFont="1" applyAlignment="1">
      <alignment horizontal="left"/>
    </xf>
    <xf numFmtId="0" fontId="20" fillId="16" borderId="92" xfId="0" applyFont="1" applyFill="1" applyBorder="1" applyAlignment="1">
      <alignment horizontal="left" vertical="center"/>
    </xf>
    <xf numFmtId="0" fontId="27" fillId="0" borderId="0" xfId="0" applyFont="1"/>
    <xf numFmtId="49" fontId="30" fillId="0" borderId="0" xfId="2" applyNumberFormat="1" applyFont="1" applyAlignment="1">
      <alignment horizontal="left" vertical="center" wrapText="1"/>
    </xf>
    <xf numFmtId="0" fontId="30" fillId="0" borderId="0" xfId="2" applyFont="1" applyAlignment="1">
      <alignment horizontal="left" vertical="center" wrapText="1"/>
    </xf>
    <xf numFmtId="0" fontId="27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49" fontId="27" fillId="0" borderId="0" xfId="0" applyNumberFormat="1" applyFont="1"/>
    <xf numFmtId="0" fontId="32" fillId="5" borderId="0" xfId="0" applyFont="1" applyFill="1"/>
    <xf numFmtId="49" fontId="32" fillId="5" borderId="0" xfId="0" applyNumberFormat="1" applyFont="1" applyFill="1"/>
    <xf numFmtId="0" fontId="22" fillId="0" borderId="39" xfId="0" applyFont="1" applyBorder="1" applyAlignment="1">
      <alignment horizontal="left" vertical="center"/>
    </xf>
    <xf numFmtId="49" fontId="22" fillId="0" borderId="40" xfId="0" applyNumberFormat="1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18" fillId="0" borderId="52" xfId="0" applyFont="1" applyBorder="1" applyAlignment="1">
      <alignment horizontal="left" vertical="center" wrapText="1"/>
    </xf>
    <xf numFmtId="44" fontId="25" fillId="15" borderId="10" xfId="8" applyFont="1" applyFill="1" applyBorder="1" applyAlignment="1">
      <alignment horizontal="center"/>
    </xf>
    <xf numFmtId="49" fontId="18" fillId="0" borderId="40" xfId="0" applyNumberFormat="1" applyFont="1" applyBorder="1" applyAlignment="1">
      <alignment horizontal="left" vertical="center" wrapText="1"/>
    </xf>
    <xf numFmtId="9" fontId="0" fillId="13" borderId="0" xfId="0" applyNumberFormat="1" applyFill="1"/>
    <xf numFmtId="170" fontId="29" fillId="14" borderId="0" xfId="0" applyNumberFormat="1" applyFont="1" applyFill="1"/>
    <xf numFmtId="9" fontId="21" fillId="14" borderId="0" xfId="1" applyFont="1" applyFill="1" applyAlignment="1">
      <alignment horizontal="left"/>
    </xf>
    <xf numFmtId="0" fontId="0" fillId="14" borderId="0" xfId="0" applyFill="1"/>
    <xf numFmtId="0" fontId="22" fillId="19" borderId="39" xfId="0" applyFont="1" applyFill="1" applyBorder="1" applyAlignment="1">
      <alignment horizontal="left" vertical="center" wrapText="1"/>
    </xf>
    <xf numFmtId="0" fontId="0" fillId="19" borderId="0" xfId="0" applyFill="1"/>
    <xf numFmtId="1" fontId="18" fillId="19" borderId="61" xfId="0" applyNumberFormat="1" applyFont="1" applyFill="1" applyBorder="1" applyAlignment="1">
      <alignment horizontal="center" vertical="center"/>
    </xf>
    <xf numFmtId="1" fontId="18" fillId="19" borderId="57" xfId="0" applyNumberFormat="1" applyFont="1" applyFill="1" applyBorder="1" applyAlignment="1">
      <alignment horizontal="center" vertical="center"/>
    </xf>
    <xf numFmtId="44" fontId="18" fillId="19" borderId="57" xfId="8" applyFont="1" applyFill="1" applyBorder="1" applyAlignment="1">
      <alignment vertical="center"/>
    </xf>
    <xf numFmtId="0" fontId="2" fillId="0" borderId="64" xfId="0" applyFont="1" applyBorder="1" applyAlignment="1">
      <alignment horizontal="left" vertical="center"/>
    </xf>
    <xf numFmtId="171" fontId="19" fillId="6" borderId="48" xfId="1" applyNumberFormat="1" applyFont="1" applyFill="1" applyBorder="1" applyAlignment="1">
      <alignment horizontal="center" vertical="center" wrapText="1"/>
    </xf>
    <xf numFmtId="8" fontId="18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6" fillId="15" borderId="11" xfId="0" applyNumberFormat="1" applyFont="1" applyFill="1" applyBorder="1"/>
    <xf numFmtId="49" fontId="18" fillId="14" borderId="40" xfId="0" applyNumberFormat="1" applyFont="1" applyFill="1" applyBorder="1" applyAlignment="1">
      <alignment horizontal="left" vertical="center" wrapText="1"/>
    </xf>
    <xf numFmtId="0" fontId="22" fillId="14" borderId="41" xfId="0" applyFont="1" applyFill="1" applyBorder="1" applyAlignment="1">
      <alignment horizontal="left" vertical="center" wrapText="1"/>
    </xf>
    <xf numFmtId="0" fontId="22" fillId="14" borderId="39" xfId="0" applyFont="1" applyFill="1" applyBorder="1" applyAlignment="1">
      <alignment horizontal="left" vertical="center" wrapText="1"/>
    </xf>
    <xf numFmtId="0" fontId="26" fillId="15" borderId="10" xfId="0" applyFont="1" applyFill="1" applyBorder="1"/>
    <xf numFmtId="0" fontId="26" fillId="15" borderId="11" xfId="0" applyFont="1" applyFill="1" applyBorder="1"/>
    <xf numFmtId="0" fontId="19" fillId="10" borderId="97" xfId="0" applyFont="1" applyFill="1" applyBorder="1" applyAlignment="1">
      <alignment horizontal="center" vertical="center"/>
    </xf>
    <xf numFmtId="0" fontId="0" fillId="0" borderId="97" xfId="0" applyBorder="1"/>
    <xf numFmtId="170" fontId="29" fillId="14" borderId="11" xfId="0" applyNumberFormat="1" applyFont="1" applyFill="1" applyBorder="1"/>
    <xf numFmtId="8" fontId="18" fillId="11" borderId="6" xfId="0" applyNumberFormat="1" applyFont="1" applyFill="1" applyBorder="1"/>
    <xf numFmtId="44" fontId="18" fillId="11" borderId="8" xfId="0" applyNumberFormat="1" applyFont="1" applyFill="1" applyBorder="1"/>
    <xf numFmtId="14" fontId="18" fillId="11" borderId="9" xfId="0" applyNumberFormat="1" applyFont="1" applyFill="1" applyBorder="1"/>
    <xf numFmtId="0" fontId="0" fillId="0" borderId="0" xfId="0" applyAlignment="1">
      <alignment wrapText="1"/>
    </xf>
    <xf numFmtId="0" fontId="18" fillId="11" borderId="6" xfId="0" applyFont="1" applyFill="1" applyBorder="1" applyAlignment="1">
      <alignment wrapText="1"/>
    </xf>
    <xf numFmtId="0" fontId="18" fillId="11" borderId="9" xfId="0" applyFont="1" applyFill="1" applyBorder="1" applyAlignment="1">
      <alignment wrapText="1"/>
    </xf>
    <xf numFmtId="44" fontId="0" fillId="0" borderId="0" xfId="8" applyFont="1"/>
    <xf numFmtId="44" fontId="0" fillId="14" borderId="59" xfId="8" applyFont="1" applyFill="1" applyBorder="1" applyAlignment="1">
      <alignment horizontal="right" vertical="center"/>
    </xf>
    <xf numFmtId="44" fontId="0" fillId="14" borderId="65" xfId="8" applyFont="1" applyFill="1" applyBorder="1" applyAlignment="1">
      <alignment horizontal="right" vertical="center"/>
    </xf>
    <xf numFmtId="44" fontId="0" fillId="14" borderId="57" xfId="8" applyFont="1" applyFill="1" applyBorder="1" applyAlignment="1">
      <alignment horizontal="right" vertical="center"/>
    </xf>
    <xf numFmtId="44" fontId="21" fillId="14" borderId="65" xfId="8" applyFont="1" applyFill="1" applyBorder="1" applyAlignment="1">
      <alignment horizontal="right" vertical="center"/>
    </xf>
    <xf numFmtId="44" fontId="20" fillId="16" borderId="93" xfId="8" applyFont="1" applyFill="1" applyBorder="1" applyAlignment="1">
      <alignment horizontal="right" vertical="center"/>
    </xf>
    <xf numFmtId="49" fontId="19" fillId="0" borderId="89" xfId="2" applyNumberFormat="1" applyFont="1" applyBorder="1" applyAlignment="1" applyProtection="1">
      <alignment horizontal="left" vertical="center" wrapText="1"/>
      <protection locked="0"/>
    </xf>
    <xf numFmtId="49" fontId="19" fillId="0" borderId="40" xfId="2" applyNumberFormat="1" applyFont="1" applyBorder="1" applyAlignment="1" applyProtection="1">
      <alignment horizontal="left" vertical="center" wrapText="1"/>
      <protection locked="0"/>
    </xf>
    <xf numFmtId="44" fontId="23" fillId="9" borderId="0" xfId="8" applyFont="1" applyFill="1" applyBorder="1" applyAlignment="1">
      <alignment horizontal="right"/>
    </xf>
    <xf numFmtId="44" fontId="16" fillId="12" borderId="0" xfId="8" applyFont="1" applyFill="1" applyBorder="1" applyAlignment="1">
      <alignment vertical="center"/>
    </xf>
    <xf numFmtId="44" fontId="16" fillId="13" borderId="0" xfId="8" applyFont="1" applyFill="1" applyBorder="1" applyAlignment="1">
      <alignment vertical="center"/>
    </xf>
    <xf numFmtId="44" fontId="16" fillId="13" borderId="15" xfId="8" applyFont="1" applyFill="1" applyBorder="1" applyAlignment="1">
      <alignment vertical="center"/>
    </xf>
    <xf numFmtId="170" fontId="23" fillId="9" borderId="54" xfId="8" applyNumberFormat="1" applyFont="1" applyFill="1" applyBorder="1" applyAlignment="1">
      <alignment horizontal="right"/>
    </xf>
    <xf numFmtId="170" fontId="23" fillId="9" borderId="55" xfId="8" applyNumberFormat="1" applyFont="1" applyFill="1" applyBorder="1" applyAlignment="1">
      <alignment horizontal="right"/>
    </xf>
    <xf numFmtId="170" fontId="23" fillId="9" borderId="85" xfId="8" applyNumberFormat="1" applyFont="1" applyFill="1" applyBorder="1" applyAlignment="1">
      <alignment horizontal="right"/>
    </xf>
    <xf numFmtId="170" fontId="23" fillId="9" borderId="15" xfId="8" applyNumberFormat="1" applyFont="1" applyFill="1" applyBorder="1" applyAlignment="1">
      <alignment horizontal="right"/>
    </xf>
    <xf numFmtId="0" fontId="19" fillId="0" borderId="61" xfId="2" applyFont="1" applyBorder="1" applyAlignment="1">
      <alignment horizontal="left" vertical="center" wrapText="1"/>
    </xf>
    <xf numFmtId="0" fontId="18" fillId="0" borderId="57" xfId="2" applyFont="1" applyBorder="1" applyAlignment="1">
      <alignment horizontal="left" vertical="center" wrapText="1"/>
    </xf>
    <xf numFmtId="0" fontId="26" fillId="15" borderId="12" xfId="0" applyFont="1" applyFill="1" applyBorder="1"/>
    <xf numFmtId="0" fontId="26" fillId="15" borderId="13" xfId="0" applyFont="1" applyFill="1" applyBorder="1"/>
    <xf numFmtId="44" fontId="26" fillId="15" borderId="13" xfId="0" applyNumberFormat="1" applyFont="1" applyFill="1" applyBorder="1"/>
    <xf numFmtId="44" fontId="26" fillId="15" borderId="101" xfId="0" applyNumberFormat="1" applyFont="1" applyFill="1" applyBorder="1"/>
    <xf numFmtId="44" fontId="26" fillId="15" borderId="0" xfId="0" applyNumberFormat="1" applyFont="1" applyFill="1"/>
    <xf numFmtId="9" fontId="26" fillId="15" borderId="14" xfId="1" applyFont="1" applyFill="1" applyBorder="1"/>
    <xf numFmtId="44" fontId="26" fillId="15" borderId="15" xfId="8" applyFont="1" applyFill="1" applyBorder="1"/>
    <xf numFmtId="168" fontId="2" fillId="0" borderId="100" xfId="1" applyNumberFormat="1" applyFont="1" applyBorder="1"/>
    <xf numFmtId="44" fontId="26" fillId="15" borderId="100" xfId="0" applyNumberFormat="1" applyFont="1" applyFill="1" applyBorder="1"/>
    <xf numFmtId="0" fontId="0" fillId="0" borderId="101" xfId="0" applyBorder="1"/>
    <xf numFmtId="44" fontId="0" fillId="14" borderId="0" xfId="8" applyFont="1" applyFill="1"/>
    <xf numFmtId="0" fontId="26" fillId="15" borderId="34" xfId="0" applyFont="1" applyFill="1" applyBorder="1" applyAlignment="1">
      <alignment horizontal="center"/>
    </xf>
    <xf numFmtId="0" fontId="26" fillId="15" borderId="5" xfId="0" applyFont="1" applyFill="1" applyBorder="1" applyAlignment="1">
      <alignment horizontal="center"/>
    </xf>
    <xf numFmtId="0" fontId="2" fillId="0" borderId="61" xfId="0" applyFont="1" applyBorder="1" applyAlignment="1">
      <alignment horizontal="left" vertical="center"/>
    </xf>
    <xf numFmtId="44" fontId="20" fillId="16" borderId="103" xfId="8" applyFont="1" applyFill="1" applyBorder="1" applyAlignment="1">
      <alignment horizontal="right" vertical="center"/>
    </xf>
    <xf numFmtId="0" fontId="2" fillId="14" borderId="58" xfId="0" applyFont="1" applyFill="1" applyBorder="1" applyAlignment="1">
      <alignment horizontal="left" vertical="center"/>
    </xf>
    <xf numFmtId="44" fontId="16" fillId="13" borderId="57" xfId="8" applyFont="1" applyFill="1" applyBorder="1" applyAlignment="1">
      <alignment vertical="center"/>
    </xf>
    <xf numFmtId="44" fontId="23" fillId="9" borderId="57" xfId="8" applyFont="1" applyFill="1" applyBorder="1" applyAlignment="1">
      <alignment horizontal="right"/>
    </xf>
    <xf numFmtId="44" fontId="16" fillId="12" borderId="57" xfId="8" applyFont="1" applyFill="1" applyBorder="1" applyAlignment="1">
      <alignment vertical="center"/>
    </xf>
    <xf numFmtId="44" fontId="23" fillId="9" borderId="62" xfId="8" applyFont="1" applyFill="1" applyBorder="1" applyAlignment="1">
      <alignment horizontal="right"/>
    </xf>
    <xf numFmtId="44" fontId="16" fillId="12" borderId="62" xfId="8" applyFont="1" applyFill="1" applyBorder="1" applyAlignment="1">
      <alignment vertical="center"/>
    </xf>
    <xf numFmtId="44" fontId="16" fillId="13" borderId="62" xfId="8" applyFont="1" applyFill="1" applyBorder="1" applyAlignment="1">
      <alignment vertical="center"/>
    </xf>
    <xf numFmtId="44" fontId="16" fillId="13" borderId="73" xfId="8" applyFont="1" applyFill="1" applyBorder="1" applyAlignment="1">
      <alignment vertical="center"/>
    </xf>
    <xf numFmtId="4" fontId="33" fillId="0" borderId="0" xfId="0" applyNumberFormat="1" applyFont="1"/>
    <xf numFmtId="44" fontId="0" fillId="14" borderId="0" xfId="0" applyNumberFormat="1" applyFill="1"/>
    <xf numFmtId="0" fontId="18" fillId="0" borderId="89" xfId="0" applyFont="1" applyBorder="1" applyAlignment="1">
      <alignment horizontal="left" vertical="center" wrapText="1"/>
    </xf>
    <xf numFmtId="44" fontId="26" fillId="15" borderId="107" xfId="0" applyNumberFormat="1" applyFont="1" applyFill="1" applyBorder="1"/>
    <xf numFmtId="44" fontId="26" fillId="15" borderId="108" xfId="8" applyFont="1" applyFill="1" applyBorder="1"/>
    <xf numFmtId="44" fontId="25" fillId="15" borderId="110" xfId="8" applyFont="1" applyFill="1" applyBorder="1" applyAlignment="1">
      <alignment horizontal="center"/>
    </xf>
    <xf numFmtId="44" fontId="26" fillId="15" borderId="110" xfId="0" applyNumberFormat="1" applyFont="1" applyFill="1" applyBorder="1"/>
    <xf numFmtId="44" fontId="26" fillId="15" borderId="112" xfId="8" applyFont="1" applyFill="1" applyBorder="1"/>
    <xf numFmtId="44" fontId="26" fillId="15" borderId="113" xfId="0" applyNumberFormat="1" applyFont="1" applyFill="1" applyBorder="1"/>
    <xf numFmtId="44" fontId="26" fillId="15" borderId="113" xfId="8" applyFont="1" applyFill="1" applyBorder="1"/>
    <xf numFmtId="0" fontId="26" fillId="15" borderId="11" xfId="0" applyFont="1" applyFill="1" applyBorder="1" applyAlignment="1">
      <alignment horizontal="center"/>
    </xf>
    <xf numFmtId="0" fontId="26" fillId="15" borderId="10" xfId="0" applyFont="1" applyFill="1" applyBorder="1" applyAlignment="1">
      <alignment horizontal="center"/>
    </xf>
    <xf numFmtId="44" fontId="28" fillId="20" borderId="63" xfId="8" applyFont="1" applyFill="1" applyBorder="1" applyAlignment="1">
      <alignment horizontal="center" vertical="center"/>
    </xf>
    <xf numFmtId="44" fontId="28" fillId="20" borderId="63" xfId="0" applyNumberFormat="1" applyFont="1" applyFill="1" applyBorder="1" applyAlignment="1">
      <alignment horizontal="center" vertical="center"/>
    </xf>
    <xf numFmtId="44" fontId="28" fillId="20" borderId="47" xfId="0" applyNumberFormat="1" applyFont="1" applyFill="1" applyBorder="1" applyAlignment="1">
      <alignment horizontal="left" vertical="center"/>
    </xf>
    <xf numFmtId="44" fontId="28" fillId="20" borderId="60" xfId="8" applyFont="1" applyFill="1" applyBorder="1" applyAlignment="1">
      <alignment horizontal="left" vertical="center"/>
    </xf>
    <xf numFmtId="44" fontId="34" fillId="19" borderId="57" xfId="8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16" fontId="18" fillId="23" borderId="10" xfId="0" applyNumberFormat="1" applyFont="1" applyFill="1" applyBorder="1"/>
    <xf numFmtId="16" fontId="18" fillId="23" borderId="11" xfId="0" applyNumberFormat="1" applyFont="1" applyFill="1" applyBorder="1"/>
    <xf numFmtId="16" fontId="18" fillId="24" borderId="12" xfId="0" applyNumberFormat="1" applyFont="1" applyFill="1" applyBorder="1"/>
    <xf numFmtId="16" fontId="18" fillId="24" borderId="13" xfId="0" applyNumberFormat="1" applyFont="1" applyFill="1" applyBorder="1"/>
    <xf numFmtId="0" fontId="18" fillId="25" borderId="14" xfId="0" applyFont="1" applyFill="1" applyBorder="1" applyAlignment="1">
      <alignment horizontal="right"/>
    </xf>
    <xf numFmtId="0" fontId="18" fillId="25" borderId="0" xfId="0" applyFont="1" applyFill="1" applyAlignment="1">
      <alignment horizontal="right"/>
    </xf>
    <xf numFmtId="0" fontId="24" fillId="16" borderId="12" xfId="0" applyFont="1" applyFill="1" applyBorder="1"/>
    <xf numFmtId="0" fontId="24" fillId="16" borderId="13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9" fillId="26" borderId="57" xfId="0" applyFont="1" applyFill="1" applyBorder="1" applyAlignment="1">
      <alignment horizontal="center"/>
    </xf>
    <xf numFmtId="164" fontId="4" fillId="0" borderId="57" xfId="2" applyNumberFormat="1" applyFont="1" applyBorder="1" applyAlignment="1" applyProtection="1">
      <alignment horizontal="left" vertical="center"/>
      <protection locked="0"/>
    </xf>
    <xf numFmtId="44" fontId="19" fillId="0" borderId="57" xfId="0" applyNumberFormat="1" applyFont="1" applyBorder="1"/>
    <xf numFmtId="9" fontId="19" fillId="0" borderId="57" xfId="1" applyFont="1" applyBorder="1" applyAlignment="1">
      <alignment horizontal="center"/>
    </xf>
    <xf numFmtId="44" fontId="19" fillId="26" borderId="57" xfId="0" applyNumberFormat="1" applyFont="1" applyFill="1" applyBorder="1" applyAlignment="1">
      <alignment horizontal="center"/>
    </xf>
    <xf numFmtId="0" fontId="19" fillId="0" borderId="44" xfId="0" applyFont="1" applyBorder="1"/>
    <xf numFmtId="9" fontId="19" fillId="0" borderId="43" xfId="1" applyFont="1" applyBorder="1" applyAlignment="1">
      <alignment horizontal="center"/>
    </xf>
    <xf numFmtId="0" fontId="19" fillId="0" borderId="84" xfId="0" applyFont="1" applyBorder="1"/>
    <xf numFmtId="0" fontId="19" fillId="0" borderId="0" xfId="0" applyFont="1"/>
    <xf numFmtId="0" fontId="35" fillId="0" borderId="0" xfId="0" applyFont="1" applyAlignment="1">
      <alignment horizontal="left"/>
    </xf>
    <xf numFmtId="49" fontId="36" fillId="0" borderId="0" xfId="2" applyNumberFormat="1" applyFont="1" applyAlignment="1">
      <alignment horizontal="left" vertical="center" wrapText="1"/>
    </xf>
    <xf numFmtId="0" fontId="36" fillId="0" borderId="0" xfId="2" applyFont="1" applyAlignment="1">
      <alignment horizontal="left" vertical="center" wrapText="1"/>
    </xf>
    <xf numFmtId="0" fontId="35" fillId="0" borderId="0" xfId="0" applyFont="1"/>
    <xf numFmtId="44" fontId="35" fillId="0" borderId="0" xfId="0" applyNumberFormat="1" applyFont="1"/>
    <xf numFmtId="0" fontId="37" fillId="0" borderId="0" xfId="0" applyFont="1" applyAlignment="1">
      <alignment horizontal="left"/>
    </xf>
    <xf numFmtId="164" fontId="36" fillId="0" borderId="0" xfId="2" applyNumberFormat="1" applyFont="1" applyAlignment="1">
      <alignment horizontal="left" vertical="center"/>
    </xf>
    <xf numFmtId="164" fontId="36" fillId="0" borderId="17" xfId="2" applyNumberFormat="1" applyFont="1" applyBorder="1" applyAlignment="1" applyProtection="1">
      <alignment horizontal="left" vertical="center"/>
      <protection locked="0"/>
    </xf>
    <xf numFmtId="164" fontId="36" fillId="0" borderId="19" xfId="2" applyNumberFormat="1" applyFont="1" applyBorder="1" applyAlignment="1" applyProtection="1">
      <alignment horizontal="left" vertical="center"/>
      <protection locked="0"/>
    </xf>
    <xf numFmtId="164" fontId="36" fillId="0" borderId="28" xfId="2" applyNumberFormat="1" applyFont="1" applyBorder="1" applyAlignment="1" applyProtection="1">
      <alignment horizontal="left" vertical="center"/>
      <protection locked="0"/>
    </xf>
    <xf numFmtId="164" fontId="36" fillId="0" borderId="29" xfId="2" applyNumberFormat="1" applyFont="1" applyBorder="1" applyAlignment="1" applyProtection="1">
      <alignment horizontal="left" vertical="center"/>
      <protection locked="0"/>
    </xf>
    <xf numFmtId="0" fontId="36" fillId="0" borderId="22" xfId="2" applyFont="1" applyBorder="1" applyAlignment="1" applyProtection="1">
      <alignment horizontal="left" vertical="center"/>
      <protection locked="0"/>
    </xf>
    <xf numFmtId="14" fontId="36" fillId="0" borderId="29" xfId="2" applyNumberFormat="1" applyFont="1" applyBorder="1" applyAlignment="1" applyProtection="1">
      <alignment horizontal="left" vertical="center"/>
      <protection locked="0"/>
    </xf>
    <xf numFmtId="164" fontId="36" fillId="0" borderId="36" xfId="2" applyNumberFormat="1" applyFont="1" applyBorder="1" applyAlignment="1" applyProtection="1">
      <alignment horizontal="left" vertical="center"/>
      <protection locked="0"/>
    </xf>
    <xf numFmtId="0" fontId="36" fillId="0" borderId="26" xfId="2" applyFont="1" applyBorder="1" applyAlignment="1" applyProtection="1">
      <alignment horizontal="left" vertical="center"/>
      <protection locked="0"/>
    </xf>
    <xf numFmtId="49" fontId="35" fillId="0" borderId="0" xfId="0" applyNumberFormat="1" applyFont="1" applyAlignment="1">
      <alignment horizontal="left"/>
    </xf>
    <xf numFmtId="0" fontId="35" fillId="0" borderId="0" xfId="1" applyNumberFormat="1" applyFont="1"/>
    <xf numFmtId="165" fontId="38" fillId="6" borderId="35" xfId="4" applyFont="1" applyFill="1" applyBorder="1" applyAlignment="1">
      <alignment horizontal="center" vertical="center" wrapText="1"/>
    </xf>
    <xf numFmtId="168" fontId="39" fillId="0" borderId="100" xfId="1" applyNumberFormat="1" applyFont="1" applyBorder="1"/>
    <xf numFmtId="166" fontId="38" fillId="0" borderId="37" xfId="4" applyNumberFormat="1" applyFont="1" applyBorder="1" applyAlignment="1">
      <alignment horizontal="center" vertical="center" wrapText="1"/>
    </xf>
    <xf numFmtId="0" fontId="40" fillId="5" borderId="0" xfId="0" applyFont="1" applyFill="1" applyAlignment="1">
      <alignment horizontal="left"/>
    </xf>
    <xf numFmtId="49" fontId="40" fillId="5" borderId="0" xfId="0" applyNumberFormat="1" applyFont="1" applyFill="1" applyAlignment="1">
      <alignment horizontal="left"/>
    </xf>
    <xf numFmtId="0" fontId="41" fillId="0" borderId="0" xfId="0" applyFont="1"/>
    <xf numFmtId="0" fontId="42" fillId="0" borderId="39" xfId="0" applyFont="1" applyBorder="1" applyAlignment="1">
      <alignment horizontal="left" vertical="center"/>
    </xf>
    <xf numFmtId="49" fontId="42" fillId="0" borderId="40" xfId="0" applyNumberFormat="1" applyFont="1" applyBorder="1" applyAlignment="1">
      <alignment horizontal="left" vertical="center"/>
    </xf>
    <xf numFmtId="0" fontId="42" fillId="0" borderId="41" xfId="0" applyFont="1" applyBorder="1" applyAlignment="1">
      <alignment horizontal="left" vertical="center"/>
    </xf>
    <xf numFmtId="0" fontId="42" fillId="0" borderId="39" xfId="0" applyFont="1" applyBorder="1" applyAlignment="1">
      <alignment horizontal="left" vertical="center" wrapText="1"/>
    </xf>
    <xf numFmtId="0" fontId="36" fillId="6" borderId="48" xfId="3" applyFont="1" applyFill="1" applyBorder="1" applyAlignment="1">
      <alignment horizontal="left" vertical="center"/>
    </xf>
    <xf numFmtId="0" fontId="36" fillId="6" borderId="49" xfId="3" applyFont="1" applyFill="1" applyBorder="1" applyAlignment="1">
      <alignment horizontal="center" vertical="center"/>
    </xf>
    <xf numFmtId="0" fontId="40" fillId="6" borderId="49" xfId="3" applyFont="1" applyFill="1" applyBorder="1" applyAlignment="1">
      <alignment horizontal="center" vertical="center"/>
    </xf>
    <xf numFmtId="169" fontId="40" fillId="6" borderId="49" xfId="3" applyNumberFormat="1" applyFont="1" applyFill="1" applyBorder="1" applyAlignment="1">
      <alignment horizontal="center" vertical="center" wrapText="1"/>
    </xf>
    <xf numFmtId="0" fontId="40" fillId="6" borderId="50" xfId="3" applyFont="1" applyFill="1" applyBorder="1" applyAlignment="1">
      <alignment horizontal="center" vertical="center" wrapText="1"/>
    </xf>
    <xf numFmtId="171" fontId="40" fillId="6" borderId="48" xfId="1" applyNumberFormat="1" applyFont="1" applyFill="1" applyBorder="1" applyAlignment="1">
      <alignment horizontal="center" vertical="center" wrapText="1"/>
    </xf>
    <xf numFmtId="10" fontId="40" fillId="6" borderId="49" xfId="1" applyNumberFormat="1" applyFont="1" applyFill="1" applyBorder="1" applyAlignment="1">
      <alignment horizontal="center" vertical="center" wrapText="1"/>
    </xf>
    <xf numFmtId="0" fontId="40" fillId="6" borderId="51" xfId="3" applyFont="1" applyFill="1" applyBorder="1" applyAlignment="1">
      <alignment horizontal="center" vertical="center" wrapText="1"/>
    </xf>
    <xf numFmtId="37" fontId="38" fillId="6" borderId="48" xfId="3" applyNumberFormat="1" applyFont="1" applyFill="1" applyBorder="1" applyAlignment="1">
      <alignment horizontal="center" vertical="center"/>
    </xf>
    <xf numFmtId="37" fontId="38" fillId="6" borderId="49" xfId="3" applyNumberFormat="1" applyFont="1" applyFill="1" applyBorder="1" applyAlignment="1">
      <alignment horizontal="center" vertical="center"/>
    </xf>
    <xf numFmtId="40" fontId="38" fillId="6" borderId="49" xfId="4" applyNumberFormat="1" applyFont="1" applyFill="1" applyBorder="1" applyAlignment="1">
      <alignment horizontal="center" vertical="center"/>
    </xf>
    <xf numFmtId="165" fontId="38" fillId="6" borderId="49" xfId="4" applyFont="1" applyFill="1" applyBorder="1" applyAlignment="1">
      <alignment horizontal="right" vertical="center"/>
    </xf>
    <xf numFmtId="40" fontId="38" fillId="6" borderId="49" xfId="4" applyNumberFormat="1" applyFont="1" applyFill="1" applyBorder="1" applyAlignment="1">
      <alignment horizontal="center" vertical="center" wrapText="1"/>
    </xf>
    <xf numFmtId="10" fontId="38" fillId="6" borderId="49" xfId="5" applyNumberFormat="1" applyFont="1" applyFill="1" applyBorder="1" applyAlignment="1">
      <alignment horizontal="center" vertical="center" wrapText="1"/>
    </xf>
    <xf numFmtId="165" fontId="38" fillId="6" borderId="49" xfId="4" applyFont="1" applyFill="1" applyBorder="1" applyAlignment="1">
      <alignment horizontal="center" vertical="center" wrapText="1"/>
    </xf>
    <xf numFmtId="165" fontId="38" fillId="6" borderId="51" xfId="4" applyFont="1" applyFill="1" applyBorder="1" applyAlignment="1">
      <alignment horizontal="center" vertical="center" wrapText="1"/>
    </xf>
    <xf numFmtId="10" fontId="38" fillId="6" borderId="42" xfId="5" applyNumberFormat="1" applyFont="1" applyFill="1" applyBorder="1" applyAlignment="1">
      <alignment horizontal="center" vertical="center" wrapText="1"/>
    </xf>
    <xf numFmtId="10" fontId="38" fillId="6" borderId="43" xfId="5" applyNumberFormat="1" applyFont="1" applyFill="1" applyBorder="1" applyAlignment="1">
      <alignment horizontal="center" vertical="center" wrapText="1"/>
    </xf>
    <xf numFmtId="165" fontId="38" fillId="6" borderId="44" xfId="4" applyFont="1" applyFill="1" applyBorder="1" applyAlignment="1">
      <alignment horizontal="center" vertical="center" wrapText="1"/>
    </xf>
    <xf numFmtId="165" fontId="38" fillId="6" borderId="43" xfId="4" applyFont="1" applyFill="1" applyBorder="1" applyAlignment="1">
      <alignment horizontal="center" vertical="center" wrapText="1"/>
    </xf>
    <xf numFmtId="37" fontId="38" fillId="6" borderId="3" xfId="3" applyNumberFormat="1" applyFont="1" applyFill="1" applyBorder="1" applyAlignment="1">
      <alignment horizontal="center" vertical="center"/>
    </xf>
    <xf numFmtId="40" fontId="38" fillId="6" borderId="45" xfId="4" applyNumberFormat="1" applyFont="1" applyFill="1" applyBorder="1" applyAlignment="1">
      <alignment horizontal="center" vertical="center"/>
    </xf>
    <xf numFmtId="0" fontId="42" fillId="0" borderId="52" xfId="0" applyFont="1" applyBorder="1" applyAlignment="1">
      <alignment horizontal="left" vertical="center" wrapText="1"/>
    </xf>
    <xf numFmtId="49" fontId="42" fillId="0" borderId="40" xfId="0" applyNumberFormat="1" applyFont="1" applyBorder="1" applyAlignment="1">
      <alignment horizontal="left" vertical="center" wrapText="1"/>
    </xf>
    <xf numFmtId="0" fontId="42" fillId="0" borderId="53" xfId="0" applyFont="1" applyBorder="1" applyAlignment="1">
      <alignment horizontal="left" vertical="center" wrapText="1"/>
    </xf>
    <xf numFmtId="10" fontId="38" fillId="6" borderId="54" xfId="5" applyNumberFormat="1" applyFont="1" applyFill="1" applyBorder="1" applyAlignment="1">
      <alignment horizontal="center" vertical="center" wrapText="1"/>
    </xf>
    <xf numFmtId="10" fontId="38" fillId="6" borderId="55" xfId="5" applyNumberFormat="1" applyFont="1" applyFill="1" applyBorder="1" applyAlignment="1">
      <alignment horizontal="center" vertical="center" wrapText="1"/>
    </xf>
    <xf numFmtId="165" fontId="38" fillId="6" borderId="0" xfId="4" applyFont="1" applyFill="1" applyBorder="1" applyAlignment="1">
      <alignment horizontal="center" vertical="center" wrapText="1"/>
    </xf>
    <xf numFmtId="37" fontId="38" fillId="6" borderId="0" xfId="3" applyNumberFormat="1" applyFont="1" applyFill="1" applyAlignment="1">
      <alignment horizontal="center" vertical="center"/>
    </xf>
    <xf numFmtId="40" fontId="38" fillId="6" borderId="0" xfId="4" applyNumberFormat="1" applyFont="1" applyFill="1" applyBorder="1" applyAlignment="1">
      <alignment horizontal="center" vertical="center"/>
    </xf>
    <xf numFmtId="0" fontId="42" fillId="0" borderId="56" xfId="0" applyFont="1" applyBorder="1" applyAlignment="1">
      <alignment horizontal="left" vertical="center" wrapText="1"/>
    </xf>
    <xf numFmtId="0" fontId="42" fillId="0" borderId="0" xfId="0" applyFont="1" applyAlignment="1">
      <alignment horizontal="left" vertical="center" wrapText="1"/>
    </xf>
    <xf numFmtId="0" fontId="40" fillId="10" borderId="50" xfId="0" applyFont="1" applyFill="1" applyBorder="1" applyAlignment="1">
      <alignment horizontal="center" vertical="center"/>
    </xf>
    <xf numFmtId="0" fontId="40" fillId="10" borderId="49" xfId="0" applyFont="1" applyFill="1" applyBorder="1" applyAlignment="1">
      <alignment horizontal="center" vertical="center"/>
    </xf>
    <xf numFmtId="0" fontId="40" fillId="10" borderId="97" xfId="0" applyFont="1" applyFill="1" applyBorder="1" applyAlignment="1">
      <alignment horizontal="center" vertical="center"/>
    </xf>
    <xf numFmtId="44" fontId="39" fillId="0" borderId="0" xfId="0" applyNumberFormat="1" applyFont="1" applyAlignment="1">
      <alignment horizontal="center" vertical="center"/>
    </xf>
    <xf numFmtId="0" fontId="39" fillId="10" borderId="9" xfId="0" applyFont="1" applyFill="1" applyBorder="1" applyAlignment="1">
      <alignment horizontal="center" vertical="center"/>
    </xf>
    <xf numFmtId="0" fontId="39" fillId="10" borderId="57" xfId="0" applyFont="1" applyFill="1" applyBorder="1" applyAlignment="1">
      <alignment horizontal="center" vertical="center"/>
    </xf>
    <xf numFmtId="0" fontId="42" fillId="0" borderId="41" xfId="0" applyFont="1" applyBorder="1" applyAlignment="1">
      <alignment horizontal="left" vertical="center" wrapText="1"/>
    </xf>
    <xf numFmtId="0" fontId="40" fillId="14" borderId="58" xfId="0" applyFont="1" applyFill="1" applyBorder="1" applyAlignment="1">
      <alignment horizontal="left" vertical="center" wrapText="1"/>
    </xf>
    <xf numFmtId="0" fontId="42" fillId="14" borderId="59" xfId="0" applyFont="1" applyFill="1" applyBorder="1" applyAlignment="1">
      <alignment horizontal="left" vertical="center" wrapText="1"/>
    </xf>
    <xf numFmtId="0" fontId="42" fillId="14" borderId="59" xfId="0" applyFont="1" applyFill="1" applyBorder="1" applyAlignment="1">
      <alignment horizontal="center" vertical="center"/>
    </xf>
    <xf numFmtId="44" fontId="42" fillId="14" borderId="59" xfId="8" applyFont="1" applyFill="1" applyBorder="1" applyAlignment="1">
      <alignment vertical="center"/>
    </xf>
    <xf numFmtId="44" fontId="42" fillId="0" borderId="59" xfId="8" applyFont="1" applyBorder="1" applyAlignment="1">
      <alignment vertical="center"/>
    </xf>
    <xf numFmtId="44" fontId="42" fillId="0" borderId="49" xfId="8" applyFont="1" applyBorder="1" applyAlignment="1">
      <alignment vertical="center"/>
    </xf>
    <xf numFmtId="44" fontId="42" fillId="0" borderId="51" xfId="8" applyFont="1" applyBorder="1" applyAlignment="1">
      <alignment vertical="center"/>
    </xf>
    <xf numFmtId="1" fontId="42" fillId="11" borderId="58" xfId="0" applyNumberFormat="1" applyFont="1" applyFill="1" applyBorder="1" applyAlignment="1">
      <alignment horizontal="center" vertical="center"/>
    </xf>
    <xf numFmtId="1" fontId="42" fillId="11" borderId="59" xfId="0" applyNumberFormat="1" applyFont="1" applyFill="1" applyBorder="1" applyAlignment="1">
      <alignment horizontal="center" vertical="center"/>
    </xf>
    <xf numFmtId="44" fontId="45" fillId="11" borderId="59" xfId="8" applyFont="1" applyFill="1" applyBorder="1" applyAlignment="1">
      <alignment vertical="center"/>
    </xf>
    <xf numFmtId="44" fontId="42" fillId="12" borderId="59" xfId="8" applyFont="1" applyFill="1" applyBorder="1" applyAlignment="1">
      <alignment vertical="center"/>
    </xf>
    <xf numFmtId="9" fontId="42" fillId="13" borderId="59" xfId="1" applyFont="1" applyFill="1" applyBorder="1" applyAlignment="1">
      <alignment vertical="center"/>
    </xf>
    <xf numFmtId="44" fontId="42" fillId="13" borderId="59" xfId="8" applyFont="1" applyFill="1" applyBorder="1" applyAlignment="1">
      <alignment vertical="center"/>
    </xf>
    <xf numFmtId="44" fontId="42" fillId="13" borderId="60" xfId="8" applyFont="1" applyFill="1" applyBorder="1" applyAlignment="1">
      <alignment vertical="center"/>
    </xf>
    <xf numFmtId="10" fontId="42" fillId="12" borderId="9" xfId="0" applyNumberFormat="1" applyFont="1" applyFill="1" applyBorder="1" applyAlignment="1">
      <alignment horizontal="center" vertical="center"/>
    </xf>
    <xf numFmtId="10" fontId="42" fillId="12" borderId="57" xfId="0" applyNumberFormat="1" applyFont="1" applyFill="1" applyBorder="1" applyAlignment="1">
      <alignment horizontal="center" vertical="center"/>
    </xf>
    <xf numFmtId="0" fontId="40" fillId="0" borderId="61" xfId="0" applyFont="1" applyBorder="1" applyAlignment="1">
      <alignment horizontal="left" vertical="center" wrapText="1"/>
    </xf>
    <xf numFmtId="0" fontId="42" fillId="0" borderId="57" xfId="0" applyFont="1" applyBorder="1" applyAlignment="1">
      <alignment horizontal="left" vertical="center" wrapText="1"/>
    </xf>
    <xf numFmtId="0" fontId="42" fillId="0" borderId="57" xfId="0" applyFont="1" applyBorder="1" applyAlignment="1">
      <alignment horizontal="center" vertical="center"/>
    </xf>
    <xf numFmtId="44" fontId="42" fillId="0" borderId="57" xfId="8" applyFont="1" applyFill="1" applyBorder="1" applyAlignment="1">
      <alignment vertical="center"/>
    </xf>
    <xf numFmtId="44" fontId="42" fillId="0" borderId="57" xfId="8" applyFont="1" applyBorder="1" applyAlignment="1">
      <alignment vertical="center"/>
    </xf>
    <xf numFmtId="44" fontId="42" fillId="0" borderId="62" xfId="8" applyFont="1" applyBorder="1" applyAlignment="1">
      <alignment vertical="center"/>
    </xf>
    <xf numFmtId="44" fontId="42" fillId="0" borderId="47" xfId="8" applyFont="1" applyBorder="1" applyAlignment="1">
      <alignment vertical="center"/>
    </xf>
    <xf numFmtId="1" fontId="42" fillId="11" borderId="61" xfId="0" applyNumberFormat="1" applyFont="1" applyFill="1" applyBorder="1" applyAlignment="1">
      <alignment horizontal="center" vertical="center"/>
    </xf>
    <xf numFmtId="1" fontId="42" fillId="11" borderId="57" xfId="0" applyNumberFormat="1" applyFont="1" applyFill="1" applyBorder="1" applyAlignment="1">
      <alignment horizontal="center" vertical="center"/>
    </xf>
    <xf numFmtId="44" fontId="42" fillId="11" borderId="57" xfId="8" applyFont="1" applyFill="1" applyBorder="1" applyAlignment="1">
      <alignment vertical="center"/>
    </xf>
    <xf numFmtId="44" fontId="42" fillId="12" borderId="57" xfId="8" applyFont="1" applyFill="1" applyBorder="1" applyAlignment="1">
      <alignment vertical="center"/>
    </xf>
    <xf numFmtId="9" fontId="42" fillId="13" borderId="57" xfId="1" applyFont="1" applyFill="1" applyBorder="1" applyAlignment="1">
      <alignment vertical="center"/>
    </xf>
    <xf numFmtId="44" fontId="42" fillId="13" borderId="57" xfId="8" applyFont="1" applyFill="1" applyBorder="1" applyAlignment="1">
      <alignment vertical="center"/>
    </xf>
    <xf numFmtId="44" fontId="42" fillId="13" borderId="63" xfId="8" applyFont="1" applyFill="1" applyBorder="1" applyAlignment="1">
      <alignment vertical="center"/>
    </xf>
    <xf numFmtId="44" fontId="45" fillId="11" borderId="57" xfId="8" applyFont="1" applyFill="1" applyBorder="1" applyAlignment="1">
      <alignment vertical="center"/>
    </xf>
    <xf numFmtId="0" fontId="36" fillId="0" borderId="61" xfId="0" applyFont="1" applyBorder="1" applyAlignment="1">
      <alignment horizontal="left" vertical="center" wrapText="1"/>
    </xf>
    <xf numFmtId="44" fontId="42" fillId="0" borderId="63" xfId="8" applyFont="1" applyBorder="1" applyAlignment="1">
      <alignment vertical="center"/>
    </xf>
    <xf numFmtId="44" fontId="46" fillId="11" borderId="57" xfId="8" applyFont="1" applyFill="1" applyBorder="1" applyAlignment="1">
      <alignment vertical="center"/>
    </xf>
    <xf numFmtId="1" fontId="42" fillId="11" borderId="64" xfId="0" applyNumberFormat="1" applyFont="1" applyFill="1" applyBorder="1" applyAlignment="1">
      <alignment horizontal="center" vertical="center"/>
    </xf>
    <xf numFmtId="1" fontId="42" fillId="11" borderId="65" xfId="0" applyNumberFormat="1" applyFont="1" applyFill="1" applyBorder="1" applyAlignment="1">
      <alignment horizontal="center" vertical="center"/>
    </xf>
    <xf numFmtId="44" fontId="42" fillId="11" borderId="65" xfId="8" applyFont="1" applyFill="1" applyBorder="1" applyAlignment="1">
      <alignment vertical="center"/>
    </xf>
    <xf numFmtId="44" fontId="42" fillId="12" borderId="65" xfId="8" applyFont="1" applyFill="1" applyBorder="1" applyAlignment="1">
      <alignment vertical="center"/>
    </xf>
    <xf numFmtId="9" fontId="42" fillId="13" borderId="65" xfId="1" applyFont="1" applyFill="1" applyBorder="1" applyAlignment="1">
      <alignment vertical="center"/>
    </xf>
    <xf numFmtId="44" fontId="42" fillId="13" borderId="65" xfId="8" applyFont="1" applyFill="1" applyBorder="1" applyAlignment="1">
      <alignment vertical="center"/>
    </xf>
    <xf numFmtId="44" fontId="42" fillId="13" borderId="66" xfId="8" applyFont="1" applyFill="1" applyBorder="1" applyAlignment="1">
      <alignment vertical="center"/>
    </xf>
    <xf numFmtId="8" fontId="42" fillId="11" borderId="6" xfId="0" applyNumberFormat="1" applyFont="1" applyFill="1" applyBorder="1"/>
    <xf numFmtId="44" fontId="42" fillId="11" borderId="8" xfId="0" applyNumberFormat="1" applyFont="1" applyFill="1" applyBorder="1"/>
    <xf numFmtId="14" fontId="42" fillId="11" borderId="9" xfId="0" applyNumberFormat="1" applyFont="1" applyFill="1" applyBorder="1"/>
    <xf numFmtId="0" fontId="42" fillId="11" borderId="6" xfId="0" applyFont="1" applyFill="1" applyBorder="1" applyAlignment="1">
      <alignment wrapText="1"/>
    </xf>
    <xf numFmtId="0" fontId="42" fillId="11" borderId="9" xfId="0" applyFont="1" applyFill="1" applyBorder="1" applyAlignment="1">
      <alignment wrapText="1"/>
    </xf>
    <xf numFmtId="0" fontId="40" fillId="0" borderId="64" xfId="0" applyFont="1" applyBorder="1" applyAlignment="1">
      <alignment horizontal="left" vertical="center" wrapText="1"/>
    </xf>
    <xf numFmtId="0" fontId="42" fillId="14" borderId="65" xfId="2" applyFont="1" applyFill="1" applyBorder="1" applyAlignment="1">
      <alignment horizontal="left" vertical="center" wrapText="1"/>
    </xf>
    <xf numFmtId="0" fontId="42" fillId="0" borderId="65" xfId="0" applyFont="1" applyBorder="1" applyAlignment="1">
      <alignment horizontal="center" vertical="center"/>
    </xf>
    <xf numFmtId="44" fontId="42" fillId="0" borderId="65" xfId="8" applyFont="1" applyFill="1" applyBorder="1" applyAlignment="1">
      <alignment vertical="center"/>
    </xf>
    <xf numFmtId="44" fontId="42" fillId="0" borderId="65" xfId="8" applyFont="1" applyBorder="1" applyAlignment="1">
      <alignment vertical="center"/>
    </xf>
    <xf numFmtId="44" fontId="42" fillId="0" borderId="66" xfId="8" applyFont="1" applyBorder="1" applyAlignment="1">
      <alignment vertical="center"/>
    </xf>
    <xf numFmtId="1" fontId="42" fillId="11" borderId="67" xfId="0" applyNumberFormat="1" applyFont="1" applyFill="1" applyBorder="1" applyAlignment="1">
      <alignment horizontal="center" vertical="center"/>
    </xf>
    <xf numFmtId="1" fontId="42" fillId="11" borderId="36" xfId="0" applyNumberFormat="1" applyFont="1" applyFill="1" applyBorder="1" applyAlignment="1">
      <alignment horizontal="center" vertical="center"/>
    </xf>
    <xf numFmtId="44" fontId="45" fillId="11" borderId="36" xfId="8" applyFont="1" applyFill="1" applyBorder="1" applyAlignment="1">
      <alignment vertical="center"/>
    </xf>
    <xf numFmtId="44" fontId="42" fillId="12" borderId="36" xfId="8" applyFont="1" applyFill="1" applyBorder="1" applyAlignment="1">
      <alignment vertical="center"/>
    </xf>
    <xf numFmtId="9" fontId="42" fillId="13" borderId="36" xfId="1" applyFont="1" applyFill="1" applyBorder="1" applyAlignment="1">
      <alignment vertical="center"/>
    </xf>
    <xf numFmtId="44" fontId="42" fillId="13" borderId="36" xfId="8" applyFont="1" applyFill="1" applyBorder="1" applyAlignment="1">
      <alignment vertical="center"/>
    </xf>
    <xf numFmtId="170" fontId="26" fillId="9" borderId="13" xfId="8" applyNumberFormat="1" applyFont="1" applyFill="1" applyBorder="1" applyAlignment="1">
      <alignment horizontal="right"/>
    </xf>
    <xf numFmtId="170" fontId="26" fillId="9" borderId="101" xfId="8" applyNumberFormat="1" applyFont="1" applyFill="1" applyBorder="1" applyAlignment="1">
      <alignment horizontal="right"/>
    </xf>
    <xf numFmtId="44" fontId="26" fillId="9" borderId="69" xfId="8" applyFont="1" applyFill="1" applyBorder="1" applyAlignment="1">
      <alignment horizontal="right"/>
    </xf>
    <xf numFmtId="44" fontId="40" fillId="12" borderId="69" xfId="8" applyFont="1" applyFill="1" applyBorder="1" applyAlignment="1">
      <alignment vertical="center"/>
    </xf>
    <xf numFmtId="9" fontId="42" fillId="13" borderId="69" xfId="1" applyFont="1" applyFill="1" applyBorder="1" applyAlignment="1">
      <alignment vertical="center"/>
    </xf>
    <xf numFmtId="44" fontId="42" fillId="13" borderId="69" xfId="8" applyFont="1" applyFill="1" applyBorder="1" applyAlignment="1">
      <alignment vertical="center"/>
    </xf>
    <xf numFmtId="44" fontId="40" fillId="13" borderId="69" xfId="8" applyFont="1" applyFill="1" applyBorder="1" applyAlignment="1">
      <alignment vertical="center"/>
    </xf>
    <xf numFmtId="44" fontId="40" fillId="13" borderId="70" xfId="8" applyFont="1" applyFill="1" applyBorder="1" applyAlignment="1">
      <alignment vertical="center"/>
    </xf>
    <xf numFmtId="0" fontId="40" fillId="0" borderId="46" xfId="0" applyFont="1" applyBorder="1" applyAlignment="1">
      <alignment horizontal="left" vertical="center" wrapText="1"/>
    </xf>
    <xf numFmtId="0" fontId="42" fillId="0" borderId="62" xfId="0" applyFont="1" applyBorder="1" applyAlignment="1">
      <alignment horizontal="left" vertical="center" wrapText="1"/>
    </xf>
    <xf numFmtId="0" fontId="42" fillId="0" borderId="62" xfId="0" applyFont="1" applyBorder="1" applyAlignment="1">
      <alignment horizontal="center" vertical="center"/>
    </xf>
    <xf numFmtId="44" fontId="42" fillId="14" borderId="62" xfId="8" applyFont="1" applyFill="1" applyBorder="1" applyAlignment="1">
      <alignment vertical="center"/>
    </xf>
    <xf numFmtId="1" fontId="42" fillId="11" borderId="72" xfId="0" applyNumberFormat="1" applyFont="1" applyFill="1" applyBorder="1" applyAlignment="1">
      <alignment horizontal="center" vertical="center"/>
    </xf>
    <xf numFmtId="1" fontId="42" fillId="11" borderId="73" xfId="0" applyNumberFormat="1" applyFont="1" applyFill="1" applyBorder="1" applyAlignment="1">
      <alignment horizontal="center" vertical="center"/>
    </xf>
    <xf numFmtId="44" fontId="45" fillId="11" borderId="73" xfId="8" applyFont="1" applyFill="1" applyBorder="1" applyAlignment="1">
      <alignment vertical="center"/>
    </xf>
    <xf numFmtId="44" fontId="42" fillId="12" borderId="73" xfId="8" applyFont="1" applyFill="1" applyBorder="1" applyAlignment="1">
      <alignment vertical="center"/>
    </xf>
    <xf numFmtId="9" fontId="42" fillId="13" borderId="73" xfId="1" applyFont="1" applyFill="1" applyBorder="1" applyAlignment="1">
      <alignment vertical="center"/>
    </xf>
    <xf numFmtId="44" fontId="42" fillId="13" borderId="73" xfId="8" applyFont="1" applyFill="1" applyBorder="1" applyAlignment="1">
      <alignment vertical="center"/>
    </xf>
    <xf numFmtId="44" fontId="42" fillId="13" borderId="47" xfId="8" applyFont="1" applyFill="1" applyBorder="1" applyAlignment="1">
      <alignment vertical="center"/>
    </xf>
    <xf numFmtId="44" fontId="42" fillId="11" borderId="73" xfId="8" applyFont="1" applyFill="1" applyBorder="1" applyAlignment="1">
      <alignment vertical="center"/>
    </xf>
    <xf numFmtId="0" fontId="42" fillId="14" borderId="62" xfId="0" applyFont="1" applyFill="1" applyBorder="1" applyAlignment="1">
      <alignment horizontal="center" vertical="center"/>
    </xf>
    <xf numFmtId="0" fontId="35" fillId="0" borderId="39" xfId="0" applyFont="1" applyBorder="1" applyAlignment="1">
      <alignment horizontal="left" vertical="center" wrapText="1"/>
    </xf>
    <xf numFmtId="0" fontId="35" fillId="0" borderId="41" xfId="0" applyFont="1" applyBorder="1" applyAlignment="1">
      <alignment horizontal="left" vertical="center" wrapText="1"/>
    </xf>
    <xf numFmtId="0" fontId="42" fillId="11" borderId="73" xfId="18" applyNumberFormat="1" applyFont="1" applyFill="1" applyBorder="1" applyAlignment="1">
      <alignment horizontal="center" vertical="center"/>
    </xf>
    <xf numFmtId="44" fontId="47" fillId="11" borderId="73" xfId="8" applyFont="1" applyFill="1" applyBorder="1" applyAlignment="1">
      <alignment vertical="center"/>
    </xf>
    <xf numFmtId="0" fontId="36" fillId="14" borderId="46" xfId="0" applyFont="1" applyFill="1" applyBorder="1" applyAlignment="1">
      <alignment horizontal="left" vertical="center" wrapText="1"/>
    </xf>
    <xf numFmtId="44" fontId="48" fillId="0" borderId="0" xfId="0" applyNumberFormat="1" applyFont="1"/>
    <xf numFmtId="0" fontId="48" fillId="0" borderId="0" xfId="0" applyFont="1"/>
    <xf numFmtId="1" fontId="46" fillId="11" borderId="75" xfId="0" applyNumberFormat="1" applyFont="1" applyFill="1" applyBorder="1" applyAlignment="1">
      <alignment horizontal="center" vertical="center"/>
    </xf>
    <xf numFmtId="1" fontId="46" fillId="11" borderId="6" xfId="0" applyNumberFormat="1" applyFont="1" applyFill="1" applyBorder="1" applyAlignment="1">
      <alignment horizontal="center" vertical="center"/>
    </xf>
    <xf numFmtId="44" fontId="45" fillId="11" borderId="6" xfId="8" applyFont="1" applyFill="1" applyBorder="1" applyAlignment="1">
      <alignment vertical="center"/>
    </xf>
    <xf numFmtId="44" fontId="46" fillId="12" borderId="6" xfId="8" applyFont="1" applyFill="1" applyBorder="1" applyAlignment="1">
      <alignment vertical="center"/>
    </xf>
    <xf numFmtId="9" fontId="46" fillId="13" borderId="6" xfId="1" applyFont="1" applyFill="1" applyBorder="1" applyAlignment="1">
      <alignment vertical="center"/>
    </xf>
    <xf numFmtId="44" fontId="46" fillId="13" borderId="6" xfId="8" applyFont="1" applyFill="1" applyBorder="1" applyAlignment="1">
      <alignment vertical="center"/>
    </xf>
    <xf numFmtId="44" fontId="46" fillId="13" borderId="63" xfId="8" applyFont="1" applyFill="1" applyBorder="1" applyAlignment="1">
      <alignment vertical="center"/>
    </xf>
    <xf numFmtId="10" fontId="46" fillId="12" borderId="9" xfId="0" applyNumberFormat="1" applyFont="1" applyFill="1" applyBorder="1" applyAlignment="1">
      <alignment horizontal="center" vertical="center"/>
    </xf>
    <xf numFmtId="10" fontId="46" fillId="12" borderId="57" xfId="0" applyNumberFormat="1" applyFont="1" applyFill="1" applyBorder="1" applyAlignment="1">
      <alignment horizontal="center" vertical="center"/>
    </xf>
    <xf numFmtId="170" fontId="26" fillId="9" borderId="13" xfId="0" applyNumberFormat="1" applyFont="1" applyFill="1" applyBorder="1" applyAlignment="1">
      <alignment horizontal="right"/>
    </xf>
    <xf numFmtId="170" fontId="26" fillId="9" borderId="101" xfId="0" applyNumberFormat="1" applyFont="1" applyFill="1" applyBorder="1" applyAlignment="1">
      <alignment horizontal="right"/>
    </xf>
    <xf numFmtId="44" fontId="26" fillId="9" borderId="13" xfId="0" applyNumberFormat="1" applyFont="1" applyFill="1" applyBorder="1" applyAlignment="1">
      <alignment horizontal="right"/>
    </xf>
    <xf numFmtId="44" fontId="40" fillId="12" borderId="13" xfId="0" applyNumberFormat="1" applyFont="1" applyFill="1" applyBorder="1"/>
    <xf numFmtId="9" fontId="35" fillId="13" borderId="13" xfId="0" applyNumberFormat="1" applyFont="1" applyFill="1" applyBorder="1"/>
    <xf numFmtId="0" fontId="35" fillId="13" borderId="13" xfId="0" applyFont="1" applyFill="1" applyBorder="1"/>
    <xf numFmtId="44" fontId="40" fillId="13" borderId="13" xfId="0" applyNumberFormat="1" applyFont="1" applyFill="1" applyBorder="1"/>
    <xf numFmtId="44" fontId="40" fillId="13" borderId="101" xfId="8" applyFont="1" applyFill="1" applyBorder="1"/>
    <xf numFmtId="0" fontId="49" fillId="0" borderId="61" xfId="0" applyFont="1" applyBorder="1" applyAlignment="1">
      <alignment horizontal="left" vertical="center" wrapText="1"/>
    </xf>
    <xf numFmtId="0" fontId="50" fillId="0" borderId="57" xfId="0" applyFont="1" applyBorder="1" applyAlignment="1">
      <alignment horizontal="left" vertical="center" wrapText="1"/>
    </xf>
    <xf numFmtId="0" fontId="50" fillId="0" borderId="57" xfId="0" applyFont="1" applyBorder="1" applyAlignment="1">
      <alignment horizontal="center" vertical="center"/>
    </xf>
    <xf numFmtId="44" fontId="50" fillId="17" borderId="57" xfId="0" applyNumberFormat="1" applyFont="1" applyFill="1" applyBorder="1" applyAlignment="1">
      <alignment vertical="center"/>
    </xf>
    <xf numFmtId="0" fontId="50" fillId="18" borderId="61" xfId="0" applyFont="1" applyFill="1" applyBorder="1" applyAlignment="1">
      <alignment horizontal="center" vertical="center"/>
    </xf>
    <xf numFmtId="0" fontId="50" fillId="18" borderId="57" xfId="0" applyFont="1" applyFill="1" applyBorder="1" applyAlignment="1">
      <alignment horizontal="center" vertical="center"/>
    </xf>
    <xf numFmtId="44" fontId="45" fillId="18" borderId="57" xfId="0" applyNumberFormat="1" applyFont="1" applyFill="1" applyBorder="1" applyAlignment="1">
      <alignment vertical="center"/>
    </xf>
    <xf numFmtId="0" fontId="50" fillId="18" borderId="62" xfId="0" applyFont="1" applyFill="1" applyBorder="1" applyAlignment="1">
      <alignment horizontal="center" vertical="center"/>
    </xf>
    <xf numFmtId="44" fontId="45" fillId="18" borderId="62" xfId="0" applyNumberFormat="1" applyFont="1" applyFill="1" applyBorder="1" applyAlignment="1">
      <alignment vertical="center"/>
    </xf>
    <xf numFmtId="44" fontId="26" fillId="9" borderId="74" xfId="8" applyFont="1" applyFill="1" applyBorder="1" applyAlignment="1">
      <alignment horizontal="right"/>
    </xf>
    <xf numFmtId="44" fontId="40" fillId="12" borderId="74" xfId="8" applyFont="1" applyFill="1" applyBorder="1" applyAlignment="1">
      <alignment vertical="center"/>
    </xf>
    <xf numFmtId="44" fontId="40" fillId="13" borderId="57" xfId="8" applyFont="1" applyFill="1" applyBorder="1" applyAlignment="1">
      <alignment vertical="center"/>
    </xf>
    <xf numFmtId="170" fontId="40" fillId="10" borderId="50" xfId="8" applyNumberFormat="1" applyFont="1" applyFill="1" applyBorder="1" applyAlignment="1">
      <alignment horizontal="center" vertical="center"/>
    </xf>
    <xf numFmtId="170" fontId="40" fillId="10" borderId="49" xfId="8" applyNumberFormat="1" applyFont="1" applyFill="1" applyBorder="1" applyAlignment="1">
      <alignment horizontal="center" vertical="center"/>
    </xf>
    <xf numFmtId="170" fontId="26" fillId="10" borderId="97" xfId="8" applyNumberFormat="1" applyFont="1" applyFill="1" applyBorder="1" applyAlignment="1">
      <alignment horizontal="center" vertical="center"/>
    </xf>
    <xf numFmtId="10" fontId="40" fillId="10" borderId="9" xfId="0" applyNumberFormat="1" applyFont="1" applyFill="1" applyBorder="1" applyAlignment="1">
      <alignment horizontal="center" vertical="center"/>
    </xf>
    <xf numFmtId="0" fontId="40" fillId="14" borderId="61" xfId="0" applyFont="1" applyFill="1" applyBorder="1" applyAlignment="1">
      <alignment horizontal="left" vertical="center" wrapText="1"/>
    </xf>
    <xf numFmtId="0" fontId="42" fillId="14" borderId="57" xfId="0" applyFont="1" applyFill="1" applyBorder="1" applyAlignment="1">
      <alignment horizontal="left" vertical="center" wrapText="1"/>
    </xf>
    <xf numFmtId="0" fontId="42" fillId="14" borderId="57" xfId="0" applyFont="1" applyFill="1" applyBorder="1" applyAlignment="1">
      <alignment horizontal="center" vertical="center"/>
    </xf>
    <xf numFmtId="44" fontId="42" fillId="14" borderId="57" xfId="8" applyFont="1" applyFill="1" applyBorder="1" applyAlignment="1">
      <alignment vertical="center"/>
    </xf>
    <xf numFmtId="44" fontId="46" fillId="14" borderId="62" xfId="8" applyFont="1" applyFill="1" applyBorder="1" applyAlignment="1">
      <alignment vertical="center"/>
    </xf>
    <xf numFmtId="44" fontId="46" fillId="14" borderId="47" xfId="8" applyFont="1" applyFill="1" applyBorder="1" applyAlignment="1">
      <alignment vertical="center"/>
    </xf>
    <xf numFmtId="1" fontId="42" fillId="11" borderId="6" xfId="0" applyNumberFormat="1" applyFont="1" applyFill="1" applyBorder="1" applyAlignment="1">
      <alignment horizontal="center" vertical="center"/>
    </xf>
    <xf numFmtId="44" fontId="40" fillId="13" borderId="73" xfId="8" applyFont="1" applyFill="1" applyBorder="1" applyAlignment="1">
      <alignment vertical="center"/>
    </xf>
    <xf numFmtId="44" fontId="40" fillId="13" borderId="47" xfId="8" applyFont="1" applyFill="1" applyBorder="1" applyAlignment="1">
      <alignment vertical="center"/>
    </xf>
    <xf numFmtId="0" fontId="46" fillId="0" borderId="57" xfId="0" applyFont="1" applyBorder="1" applyAlignment="1">
      <alignment horizontal="left" vertical="center" wrapText="1"/>
    </xf>
    <xf numFmtId="8" fontId="42" fillId="14" borderId="57" xfId="8" applyNumberFormat="1" applyFont="1" applyFill="1" applyBorder="1" applyAlignment="1">
      <alignment vertical="center"/>
    </xf>
    <xf numFmtId="44" fontId="46" fillId="14" borderId="57" xfId="8" applyFont="1" applyFill="1" applyBorder="1" applyAlignment="1">
      <alignment vertical="center"/>
    </xf>
    <xf numFmtId="44" fontId="46" fillId="14" borderId="63" xfId="8" applyFont="1" applyFill="1" applyBorder="1" applyAlignment="1">
      <alignment vertical="center"/>
    </xf>
    <xf numFmtId="1" fontId="42" fillId="11" borderId="75" xfId="0" applyNumberFormat="1" applyFont="1" applyFill="1" applyBorder="1" applyAlignment="1">
      <alignment horizontal="center" vertical="center"/>
    </xf>
    <xf numFmtId="8" fontId="45" fillId="11" borderId="6" xfId="8" applyNumberFormat="1" applyFont="1" applyFill="1" applyBorder="1" applyAlignment="1">
      <alignment vertical="center"/>
    </xf>
    <xf numFmtId="44" fontId="42" fillId="12" borderId="6" xfId="8" applyFont="1" applyFill="1" applyBorder="1" applyAlignment="1">
      <alignment vertical="center"/>
    </xf>
    <xf numFmtId="9" fontId="42" fillId="13" borderId="6" xfId="1" applyFont="1" applyFill="1" applyBorder="1" applyAlignment="1">
      <alignment vertical="center"/>
    </xf>
    <xf numFmtId="44" fontId="42" fillId="13" borderId="6" xfId="8" applyFont="1" applyFill="1" applyBorder="1" applyAlignment="1">
      <alignment vertical="center"/>
    </xf>
    <xf numFmtId="44" fontId="40" fillId="13" borderId="6" xfId="8" applyFont="1" applyFill="1" applyBorder="1" applyAlignment="1">
      <alignment vertical="center"/>
    </xf>
    <xf numFmtId="44" fontId="40" fillId="13" borderId="63" xfId="8" applyFont="1" applyFill="1" applyBorder="1" applyAlignment="1">
      <alignment vertical="center"/>
    </xf>
    <xf numFmtId="9" fontId="42" fillId="13" borderId="74" xfId="1" applyFont="1" applyFill="1" applyBorder="1" applyAlignment="1">
      <alignment vertical="center"/>
    </xf>
    <xf numFmtId="44" fontId="42" fillId="13" borderId="74" xfId="8" applyFont="1" applyFill="1" applyBorder="1" applyAlignment="1">
      <alignment vertical="center"/>
    </xf>
    <xf numFmtId="44" fontId="40" fillId="13" borderId="74" xfId="8" applyFont="1" applyFill="1" applyBorder="1" applyAlignment="1">
      <alignment vertical="center"/>
    </xf>
    <xf numFmtId="0" fontId="42" fillId="14" borderId="58" xfId="0" applyFont="1" applyFill="1" applyBorder="1" applyAlignment="1">
      <alignment horizontal="left" vertical="center" wrapText="1"/>
    </xf>
    <xf numFmtId="44" fontId="42" fillId="14" borderId="63" xfId="8" applyFont="1" applyFill="1" applyBorder="1" applyAlignment="1">
      <alignment vertical="center"/>
    </xf>
    <xf numFmtId="0" fontId="42" fillId="14" borderId="46" xfId="0" applyFont="1" applyFill="1" applyBorder="1" applyAlignment="1">
      <alignment horizontal="left" vertical="center" wrapText="1"/>
    </xf>
    <xf numFmtId="0" fontId="42" fillId="0" borderId="79" xfId="0" applyFont="1" applyBorder="1" applyAlignment="1">
      <alignment horizontal="left" vertical="center" wrapText="1"/>
    </xf>
    <xf numFmtId="44" fontId="42" fillId="14" borderId="47" xfId="8" applyFont="1" applyFill="1" applyBorder="1" applyAlignment="1">
      <alignment vertical="center"/>
    </xf>
    <xf numFmtId="0" fontId="42" fillId="14" borderId="61" xfId="0" applyFont="1" applyFill="1" applyBorder="1" applyAlignment="1">
      <alignment horizontal="left" vertical="center" wrapText="1"/>
    </xf>
    <xf numFmtId="0" fontId="42" fillId="0" borderId="96" xfId="0" applyFont="1" applyBorder="1" applyAlignment="1">
      <alignment horizontal="left" vertical="center" wrapText="1"/>
    </xf>
    <xf numFmtId="0" fontId="46" fillId="14" borderId="64" xfId="0" applyFont="1" applyFill="1" applyBorder="1" applyAlignment="1">
      <alignment horizontal="left" vertical="center" wrapText="1"/>
    </xf>
    <xf numFmtId="0" fontId="46" fillId="14" borderId="65" xfId="0" applyFont="1" applyFill="1" applyBorder="1" applyAlignment="1">
      <alignment horizontal="left" vertical="center" wrapText="1"/>
    </xf>
    <xf numFmtId="0" fontId="46" fillId="14" borderId="65" xfId="0" applyFont="1" applyFill="1" applyBorder="1" applyAlignment="1">
      <alignment horizontal="center" vertical="center"/>
    </xf>
    <xf numFmtId="44" fontId="46" fillId="14" borderId="65" xfId="8" applyFont="1" applyFill="1" applyBorder="1" applyAlignment="1">
      <alignment vertical="center"/>
    </xf>
    <xf numFmtId="44" fontId="46" fillId="14" borderId="66" xfId="8" applyFont="1" applyFill="1" applyBorder="1" applyAlignment="1">
      <alignment vertical="center"/>
    </xf>
    <xf numFmtId="44" fontId="52" fillId="0" borderId="0" xfId="0" applyNumberFormat="1" applyFont="1"/>
    <xf numFmtId="0" fontId="52" fillId="0" borderId="0" xfId="0" applyFont="1"/>
    <xf numFmtId="1" fontId="46" fillId="11" borderId="72" xfId="0" applyNumberFormat="1" applyFont="1" applyFill="1" applyBorder="1" applyAlignment="1">
      <alignment horizontal="center" vertical="center"/>
    </xf>
    <xf numFmtId="1" fontId="46" fillId="11" borderId="73" xfId="0" applyNumberFormat="1" applyFont="1" applyFill="1" applyBorder="1" applyAlignment="1">
      <alignment horizontal="center" vertical="center"/>
    </xf>
    <xf numFmtId="44" fontId="46" fillId="11" borderId="73" xfId="8" applyFont="1" applyFill="1" applyBorder="1" applyAlignment="1">
      <alignment vertical="center"/>
    </xf>
    <xf numFmtId="10" fontId="42" fillId="12" borderId="0" xfId="0" applyNumberFormat="1" applyFont="1" applyFill="1" applyAlignment="1">
      <alignment horizontal="center" vertical="center"/>
    </xf>
    <xf numFmtId="0" fontId="40" fillId="14" borderId="61" xfId="2" applyFont="1" applyFill="1" applyBorder="1" applyAlignment="1">
      <alignment horizontal="left" vertical="center" wrapText="1"/>
    </xf>
    <xf numFmtId="0" fontId="42" fillId="14" borderId="57" xfId="2" applyFont="1" applyFill="1" applyBorder="1" applyAlignment="1">
      <alignment horizontal="left" vertical="center" wrapText="1"/>
    </xf>
    <xf numFmtId="0" fontId="42" fillId="14" borderId="57" xfId="2" quotePrefix="1" applyFont="1" applyFill="1" applyBorder="1" applyAlignment="1">
      <alignment horizontal="center" vertical="center"/>
    </xf>
    <xf numFmtId="3" fontId="42" fillId="14" borderId="57" xfId="2" quotePrefix="1" applyNumberFormat="1" applyFont="1" applyFill="1" applyBorder="1" applyAlignment="1">
      <alignment horizontal="center" vertical="center"/>
    </xf>
    <xf numFmtId="44" fontId="42" fillId="14" borderId="57" xfId="8" quotePrefix="1" applyFont="1" applyFill="1" applyBorder="1" applyAlignment="1">
      <alignment vertical="center"/>
    </xf>
    <xf numFmtId="0" fontId="40" fillId="0" borderId="61" xfId="2" applyFont="1" applyBorder="1" applyAlignment="1">
      <alignment horizontal="left" vertical="center" wrapText="1"/>
    </xf>
    <xf numFmtId="0" fontId="46" fillId="0" borderId="57" xfId="2" applyFont="1" applyBorder="1" applyAlignment="1">
      <alignment horizontal="left" vertical="center" wrapText="1"/>
    </xf>
    <xf numFmtId="0" fontId="40" fillId="14" borderId="84" xfId="2" applyFont="1" applyFill="1" applyBorder="1" applyAlignment="1">
      <alignment horizontal="left" vertical="center" wrapText="1"/>
    </xf>
    <xf numFmtId="0" fontId="42" fillId="14" borderId="69" xfId="2" applyFont="1" applyFill="1" applyBorder="1" applyAlignment="1">
      <alignment horizontal="left" vertical="center" wrapText="1"/>
    </xf>
    <xf numFmtId="0" fontId="42" fillId="14" borderId="69" xfId="2" quotePrefix="1" applyFont="1" applyFill="1" applyBorder="1" applyAlignment="1">
      <alignment horizontal="center" vertical="center"/>
    </xf>
    <xf numFmtId="3" fontId="46" fillId="14" borderId="69" xfId="2" quotePrefix="1" applyNumberFormat="1" applyFont="1" applyFill="1" applyBorder="1" applyAlignment="1">
      <alignment horizontal="center" vertical="center"/>
    </xf>
    <xf numFmtId="44" fontId="42" fillId="14" borderId="69" xfId="8" quotePrefix="1" applyFont="1" applyFill="1" applyBorder="1" applyAlignment="1">
      <alignment vertical="center"/>
    </xf>
    <xf numFmtId="44" fontId="42" fillId="0" borderId="69" xfId="8" applyFont="1" applyBorder="1" applyAlignment="1">
      <alignment vertical="center"/>
    </xf>
    <xf numFmtId="44" fontId="42" fillId="0" borderId="70" xfId="8" applyFont="1" applyBorder="1" applyAlignment="1">
      <alignment vertical="center"/>
    </xf>
    <xf numFmtId="44" fontId="45" fillId="11" borderId="65" xfId="8" applyFont="1" applyFill="1" applyBorder="1" applyAlignment="1">
      <alignment vertical="center"/>
    </xf>
    <xf numFmtId="10" fontId="42" fillId="12" borderId="91" xfId="0" applyNumberFormat="1" applyFont="1" applyFill="1" applyBorder="1" applyAlignment="1">
      <alignment horizontal="center" vertical="center"/>
    </xf>
    <xf numFmtId="10" fontId="42" fillId="12" borderId="65" xfId="0" applyNumberFormat="1" applyFont="1" applyFill="1" applyBorder="1" applyAlignment="1">
      <alignment horizontal="center" vertical="center"/>
    </xf>
    <xf numFmtId="44" fontId="26" fillId="9" borderId="57" xfId="0" applyNumberFormat="1" applyFont="1" applyFill="1" applyBorder="1" applyAlignment="1">
      <alignment horizontal="right"/>
    </xf>
    <xf numFmtId="44" fontId="40" fillId="12" borderId="57" xfId="0" applyNumberFormat="1" applyFont="1" applyFill="1" applyBorder="1"/>
    <xf numFmtId="9" fontId="35" fillId="13" borderId="57" xfId="0" applyNumberFormat="1" applyFont="1" applyFill="1" applyBorder="1"/>
    <xf numFmtId="0" fontId="35" fillId="13" borderId="57" xfId="0" applyFont="1" applyFill="1" applyBorder="1"/>
    <xf numFmtId="44" fontId="40" fillId="13" borderId="57" xfId="0" applyNumberFormat="1" applyFont="1" applyFill="1" applyBorder="1"/>
    <xf numFmtId="44" fontId="40" fillId="13" borderId="63" xfId="8" applyFont="1" applyFill="1" applyBorder="1"/>
    <xf numFmtId="44" fontId="42" fillId="11" borderId="6" xfId="8" applyFont="1" applyFill="1" applyBorder="1" applyAlignment="1">
      <alignment vertical="center"/>
    </xf>
    <xf numFmtId="0" fontId="40" fillId="14" borderId="64" xfId="0" applyFont="1" applyFill="1" applyBorder="1" applyAlignment="1">
      <alignment horizontal="left" vertical="center" wrapText="1"/>
    </xf>
    <xf numFmtId="0" fontId="42" fillId="14" borderId="65" xfId="0" applyFont="1" applyFill="1" applyBorder="1" applyAlignment="1">
      <alignment horizontal="left" vertical="center" wrapText="1"/>
    </xf>
    <xf numFmtId="44" fontId="42" fillId="14" borderId="65" xfId="8" applyFont="1" applyFill="1" applyBorder="1" applyAlignment="1">
      <alignment vertical="center"/>
    </xf>
    <xf numFmtId="44" fontId="42" fillId="0" borderId="85" xfId="8" applyFont="1" applyBorder="1" applyAlignment="1">
      <alignment vertical="center"/>
    </xf>
    <xf numFmtId="44" fontId="42" fillId="0" borderId="86" xfId="8" applyFont="1" applyBorder="1" applyAlignment="1">
      <alignment vertical="center"/>
    </xf>
    <xf numFmtId="1" fontId="42" fillId="11" borderId="14" xfId="0" applyNumberFormat="1" applyFont="1" applyFill="1" applyBorder="1" applyAlignment="1">
      <alignment horizontal="center" vertical="center"/>
    </xf>
    <xf numFmtId="1" fontId="42" fillId="11" borderId="55" xfId="0" applyNumberFormat="1" applyFont="1" applyFill="1" applyBorder="1" applyAlignment="1">
      <alignment horizontal="center" vertical="center"/>
    </xf>
    <xf numFmtId="44" fontId="42" fillId="11" borderId="55" xfId="8" applyFont="1" applyFill="1" applyBorder="1" applyAlignment="1">
      <alignment vertical="center"/>
    </xf>
    <xf numFmtId="44" fontId="42" fillId="12" borderId="55" xfId="8" applyFont="1" applyFill="1" applyBorder="1" applyAlignment="1">
      <alignment vertical="center"/>
    </xf>
    <xf numFmtId="9" fontId="42" fillId="13" borderId="55" xfId="1" applyFont="1" applyFill="1" applyBorder="1" applyAlignment="1">
      <alignment vertical="center"/>
    </xf>
    <xf numFmtId="44" fontId="42" fillId="13" borderId="55" xfId="8" applyFont="1" applyFill="1" applyBorder="1" applyAlignment="1">
      <alignment vertical="center"/>
    </xf>
    <xf numFmtId="44" fontId="42" fillId="13" borderId="86" xfId="8" applyFont="1" applyFill="1" applyBorder="1" applyAlignment="1">
      <alignment vertical="center"/>
    </xf>
    <xf numFmtId="44" fontId="46" fillId="11" borderId="6" xfId="8" applyFont="1" applyFill="1" applyBorder="1" applyAlignment="1">
      <alignment vertical="center"/>
    </xf>
    <xf numFmtId="44" fontId="42" fillId="11" borderId="36" xfId="8" applyFont="1" applyFill="1" applyBorder="1" applyAlignment="1">
      <alignment vertical="center"/>
    </xf>
    <xf numFmtId="170" fontId="40" fillId="10" borderId="36" xfId="0" applyNumberFormat="1" applyFont="1" applyFill="1" applyBorder="1" applyAlignment="1">
      <alignment horizontal="center" vertical="center"/>
    </xf>
    <xf numFmtId="170" fontId="40" fillId="10" borderId="65" xfId="0" applyNumberFormat="1" applyFont="1" applyFill="1" applyBorder="1" applyAlignment="1">
      <alignment horizontal="center" vertical="center"/>
    </xf>
    <xf numFmtId="170" fontId="26" fillId="10" borderId="111" xfId="0" applyNumberFormat="1" applyFont="1" applyFill="1" applyBorder="1" applyAlignment="1">
      <alignment horizontal="center" vertical="center"/>
    </xf>
    <xf numFmtId="44" fontId="26" fillId="10" borderId="9" xfId="8" applyFont="1" applyFill="1" applyBorder="1" applyAlignment="1">
      <alignment horizontal="center" vertical="center"/>
    </xf>
    <xf numFmtId="44" fontId="26" fillId="10" borderId="57" xfId="8" applyFont="1" applyFill="1" applyBorder="1" applyAlignment="1">
      <alignment horizontal="center" vertical="center"/>
    </xf>
    <xf numFmtId="0" fontId="35" fillId="0" borderId="56" xfId="0" applyFont="1" applyBorder="1" applyAlignment="1">
      <alignment horizontal="left" vertical="center" wrapText="1"/>
    </xf>
    <xf numFmtId="0" fontId="40" fillId="0" borderId="92" xfId="0" applyFont="1" applyBorder="1" applyAlignment="1">
      <alignment horizontal="left" vertical="center" wrapText="1"/>
    </xf>
    <xf numFmtId="0" fontId="42" fillId="14" borderId="93" xfId="0" applyFont="1" applyFill="1" applyBorder="1" applyAlignment="1">
      <alignment horizontal="left" vertical="center" wrapText="1"/>
    </xf>
    <xf numFmtId="0" fontId="42" fillId="0" borderId="93" xfId="0" applyFont="1" applyBorder="1" applyAlignment="1">
      <alignment horizontal="center" vertical="center"/>
    </xf>
    <xf numFmtId="44" fontId="42" fillId="0" borderId="93" xfId="8" applyFont="1" applyBorder="1" applyAlignment="1">
      <alignment vertical="center"/>
    </xf>
    <xf numFmtId="44" fontId="42" fillId="0" borderId="103" xfId="8" applyFont="1" applyBorder="1" applyAlignment="1">
      <alignment vertical="center"/>
    </xf>
    <xf numFmtId="10" fontId="42" fillId="12" borderId="30" xfId="0" applyNumberFormat="1" applyFont="1" applyFill="1" applyBorder="1" applyAlignment="1">
      <alignment horizontal="center" vertical="center"/>
    </xf>
    <xf numFmtId="44" fontId="26" fillId="8" borderId="13" xfId="0" applyNumberFormat="1" applyFont="1" applyFill="1" applyBorder="1" applyAlignment="1">
      <alignment horizontal="right"/>
    </xf>
    <xf numFmtId="44" fontId="26" fillId="8" borderId="106" xfId="0" applyNumberFormat="1" applyFont="1" applyFill="1" applyBorder="1" applyAlignment="1">
      <alignment horizontal="right"/>
    </xf>
    <xf numFmtId="44" fontId="26" fillId="8" borderId="93" xfId="0" applyNumberFormat="1" applyFont="1" applyFill="1" applyBorder="1" applyAlignment="1">
      <alignment horizontal="right"/>
    </xf>
    <xf numFmtId="44" fontId="40" fillId="12" borderId="93" xfId="0" applyNumberFormat="1" applyFont="1" applyFill="1" applyBorder="1"/>
    <xf numFmtId="0" fontId="35" fillId="13" borderId="93" xfId="0" applyFont="1" applyFill="1" applyBorder="1"/>
    <xf numFmtId="44" fontId="40" fillId="13" borderId="93" xfId="0" applyNumberFormat="1" applyFont="1" applyFill="1" applyBorder="1"/>
    <xf numFmtId="44" fontId="40" fillId="13" borderId="103" xfId="8" applyFont="1" applyFill="1" applyBorder="1"/>
    <xf numFmtId="44" fontId="26" fillId="15" borderId="11" xfId="8" applyFont="1" applyFill="1" applyBorder="1" applyAlignment="1">
      <alignment horizontal="center"/>
    </xf>
    <xf numFmtId="44" fontId="26" fillId="15" borderId="97" xfId="8" applyFont="1" applyFill="1" applyBorder="1" applyAlignment="1">
      <alignment horizontal="center"/>
    </xf>
    <xf numFmtId="0" fontId="50" fillId="0" borderId="62" xfId="0" applyFont="1" applyBorder="1" applyAlignment="1">
      <alignment vertical="center" wrapText="1"/>
    </xf>
    <xf numFmtId="0" fontId="42" fillId="0" borderId="87" xfId="0" applyFont="1" applyBorder="1" applyAlignment="1">
      <alignment horizontal="left" vertical="center" wrapText="1"/>
    </xf>
    <xf numFmtId="0" fontId="42" fillId="0" borderId="88" xfId="0" applyFont="1" applyBorder="1" applyAlignment="1">
      <alignment horizontal="left" vertical="center" wrapText="1"/>
    </xf>
    <xf numFmtId="0" fontId="51" fillId="0" borderId="65" xfId="0" applyFont="1" applyBorder="1" applyAlignment="1">
      <alignment horizontal="left" vertical="center" wrapText="1"/>
    </xf>
    <xf numFmtId="0" fontId="42" fillId="14" borderId="65" xfId="0" applyFont="1" applyFill="1" applyBorder="1" applyAlignment="1">
      <alignment horizontal="center" vertical="center"/>
    </xf>
    <xf numFmtId="0" fontId="42" fillId="0" borderId="65" xfId="0" applyFont="1" applyBorder="1" applyAlignment="1">
      <alignment horizontal="left" vertical="center" wrapText="1"/>
    </xf>
    <xf numFmtId="10" fontId="42" fillId="12" borderId="62" xfId="0" applyNumberFormat="1" applyFont="1" applyFill="1" applyBorder="1" applyAlignment="1">
      <alignment horizontal="center" vertical="center"/>
    </xf>
    <xf numFmtId="170" fontId="26" fillId="9" borderId="0" xfId="0" applyNumberFormat="1" applyFont="1" applyFill="1" applyAlignment="1">
      <alignment horizontal="right"/>
    </xf>
    <xf numFmtId="170" fontId="26" fillId="9" borderId="15" xfId="0" applyNumberFormat="1" applyFont="1" applyFill="1" applyBorder="1" applyAlignment="1">
      <alignment horizontal="right"/>
    </xf>
    <xf numFmtId="44" fontId="42" fillId="0" borderId="0" xfId="0" applyNumberFormat="1" applyFont="1"/>
    <xf numFmtId="0" fontId="42" fillId="0" borderId="0" xfId="0" applyFont="1"/>
    <xf numFmtId="44" fontId="26" fillId="9" borderId="0" xfId="0" applyNumberFormat="1" applyFont="1" applyFill="1" applyAlignment="1">
      <alignment horizontal="right"/>
    </xf>
    <xf numFmtId="44" fontId="40" fillId="12" borderId="0" xfId="0" applyNumberFormat="1" applyFont="1" applyFill="1"/>
    <xf numFmtId="0" fontId="42" fillId="13" borderId="0" xfId="0" applyFont="1" applyFill="1"/>
    <xf numFmtId="44" fontId="40" fillId="13" borderId="0" xfId="0" applyNumberFormat="1" applyFont="1" applyFill="1"/>
    <xf numFmtId="44" fontId="40" fillId="13" borderId="0" xfId="8" applyFont="1" applyFill="1" applyBorder="1"/>
    <xf numFmtId="44" fontId="26" fillId="15" borderId="10" xfId="8" applyFont="1" applyFill="1" applyBorder="1" applyAlignment="1">
      <alignment horizontal="center"/>
    </xf>
    <xf numFmtId="44" fontId="26" fillId="15" borderId="110" xfId="8" applyFont="1" applyFill="1" applyBorder="1" applyAlignment="1">
      <alignment horizontal="center"/>
    </xf>
    <xf numFmtId="49" fontId="42" fillId="0" borderId="89" xfId="0" applyNumberFormat="1" applyFont="1" applyBorder="1" applyAlignment="1">
      <alignment horizontal="left" vertical="center" wrapText="1"/>
    </xf>
    <xf numFmtId="44" fontId="35" fillId="0" borderId="0" xfId="8" applyFont="1"/>
    <xf numFmtId="0" fontId="43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9" fontId="39" fillId="0" borderId="0" xfId="1" applyFont="1"/>
    <xf numFmtId="0" fontId="39" fillId="0" borderId="0" xfId="0" applyFont="1"/>
    <xf numFmtId="44" fontId="43" fillId="6" borderId="46" xfId="8" applyFont="1" applyFill="1" applyBorder="1" applyAlignment="1">
      <alignment horizontal="center" vertical="center" wrapText="1"/>
    </xf>
    <xf numFmtId="44" fontId="44" fillId="6" borderId="47" xfId="8" applyFont="1" applyFill="1" applyBorder="1" applyAlignment="1">
      <alignment horizontal="center" vertical="center" wrapText="1"/>
    </xf>
    <xf numFmtId="44" fontId="53" fillId="0" borderId="57" xfId="8" applyFont="1" applyBorder="1"/>
    <xf numFmtId="44" fontId="54" fillId="0" borderId="57" xfId="8" applyFont="1" applyBorder="1"/>
    <xf numFmtId="164" fontId="4" fillId="0" borderId="17" xfId="2" applyNumberFormat="1" applyFont="1" applyBorder="1" applyAlignment="1" applyProtection="1">
      <alignment horizontal="left" vertical="center"/>
      <protection locked="0"/>
    </xf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28" xfId="2" applyNumberFormat="1" applyFont="1" applyBorder="1" applyAlignment="1" applyProtection="1">
      <alignment horizontal="left" vertical="center"/>
      <protection locked="0"/>
    </xf>
    <xf numFmtId="164" fontId="4" fillId="0" borderId="29" xfId="2" applyNumberFormat="1" applyFont="1" applyBorder="1" applyAlignment="1" applyProtection="1">
      <alignment horizontal="left" vertical="center"/>
      <protection locked="0"/>
    </xf>
    <xf numFmtId="0" fontId="4" fillId="0" borderId="22" xfId="2" applyFont="1" applyBorder="1" applyAlignment="1" applyProtection="1">
      <alignment horizontal="left" vertical="center"/>
      <protection locked="0"/>
    </xf>
    <xf numFmtId="14" fontId="4" fillId="0" borderId="29" xfId="2" applyNumberFormat="1" applyFont="1" applyBorder="1" applyAlignment="1" applyProtection="1">
      <alignment horizontal="left" vertical="center"/>
      <protection locked="0"/>
    </xf>
    <xf numFmtId="164" fontId="4" fillId="0" borderId="36" xfId="2" applyNumberFormat="1" applyFont="1" applyBorder="1" applyAlignment="1" applyProtection="1">
      <alignment horizontal="left" vertical="center"/>
      <protection locked="0"/>
    </xf>
    <xf numFmtId="0" fontId="4" fillId="0" borderId="26" xfId="2" applyFont="1" applyBorder="1" applyAlignment="1" applyProtection="1">
      <alignment horizontal="left" vertical="center"/>
      <protection locked="0"/>
    </xf>
    <xf numFmtId="0" fontId="55" fillId="0" borderId="0" xfId="0" applyFont="1"/>
    <xf numFmtId="49" fontId="6" fillId="0" borderId="0" xfId="2" applyNumberFormat="1" applyFont="1" applyAlignment="1">
      <alignment horizontal="left" vertical="center" wrapText="1"/>
    </xf>
    <xf numFmtId="0" fontId="6" fillId="0" borderId="0" xfId="2" applyFont="1" applyAlignment="1">
      <alignment horizontal="left" vertical="center" wrapText="1"/>
    </xf>
    <xf numFmtId="44" fontId="55" fillId="0" borderId="0" xfId="0" applyNumberFormat="1" applyFont="1"/>
    <xf numFmtId="0" fontId="55" fillId="0" borderId="0" xfId="0" applyFont="1" applyAlignment="1">
      <alignment horizontal="center"/>
    </xf>
    <xf numFmtId="0" fontId="56" fillId="0" borderId="0" xfId="0" applyFont="1" applyAlignment="1">
      <alignment horizontal="center"/>
    </xf>
    <xf numFmtId="14" fontId="6" fillId="0" borderId="29" xfId="2" applyNumberFormat="1" applyFont="1" applyBorder="1" applyAlignment="1" applyProtection="1">
      <alignment horizontal="left" vertical="center"/>
      <protection locked="0"/>
    </xf>
    <xf numFmtId="49" fontId="55" fillId="0" borderId="0" xfId="0" applyNumberFormat="1" applyFont="1"/>
    <xf numFmtId="0" fontId="55" fillId="0" borderId="0" xfId="1" applyNumberFormat="1" applyFont="1"/>
    <xf numFmtId="165" fontId="57" fillId="6" borderId="35" xfId="4" applyFont="1" applyFill="1" applyBorder="1" applyAlignment="1">
      <alignment horizontal="center" vertical="center" wrapText="1"/>
    </xf>
    <xf numFmtId="168" fontId="58" fillId="0" borderId="100" xfId="1" applyNumberFormat="1" applyFont="1" applyBorder="1"/>
    <xf numFmtId="166" fontId="57" fillId="0" borderId="37" xfId="4" applyNumberFormat="1" applyFont="1" applyBorder="1" applyAlignment="1">
      <alignment horizontal="center" vertical="center" wrapText="1"/>
    </xf>
    <xf numFmtId="0" fontId="16" fillId="5" borderId="0" xfId="0" applyFont="1" applyFill="1"/>
    <xf numFmtId="49" fontId="16" fillId="5" borderId="0" xfId="0" applyNumberFormat="1" applyFont="1" applyFill="1"/>
    <xf numFmtId="0" fontId="59" fillId="0" borderId="0" xfId="0" applyFont="1"/>
    <xf numFmtId="0" fontId="60" fillId="0" borderId="39" xfId="0" applyFont="1" applyBorder="1" applyAlignment="1">
      <alignment horizontal="left" vertical="center"/>
    </xf>
    <xf numFmtId="49" fontId="60" fillId="0" borderId="40" xfId="0" applyNumberFormat="1" applyFont="1" applyBorder="1" applyAlignment="1">
      <alignment horizontal="left" vertical="center"/>
    </xf>
    <xf numFmtId="0" fontId="60" fillId="0" borderId="41" xfId="0" applyFont="1" applyBorder="1" applyAlignment="1">
      <alignment horizontal="left" vertical="center"/>
    </xf>
    <xf numFmtId="0" fontId="60" fillId="0" borderId="39" xfId="0" applyFont="1" applyBorder="1" applyAlignment="1">
      <alignment horizontal="left" vertical="center" wrapText="1"/>
    </xf>
    <xf numFmtId="0" fontId="6" fillId="6" borderId="48" xfId="3" applyFont="1" applyFill="1" applyBorder="1" applyAlignment="1">
      <alignment horizontal="left" vertical="center"/>
    </xf>
    <xf numFmtId="0" fontId="6" fillId="6" borderId="49" xfId="3" applyFont="1" applyFill="1" applyBorder="1" applyAlignment="1">
      <alignment horizontal="center" vertical="center"/>
    </xf>
    <xf numFmtId="0" fontId="16" fillId="6" borderId="49" xfId="3" applyFont="1" applyFill="1" applyBorder="1" applyAlignment="1">
      <alignment horizontal="center" vertical="center"/>
    </xf>
    <xf numFmtId="169" fontId="16" fillId="6" borderId="49" xfId="3" applyNumberFormat="1" applyFont="1" applyFill="1" applyBorder="1" applyAlignment="1">
      <alignment horizontal="center" vertical="center" wrapText="1"/>
    </xf>
    <xf numFmtId="0" fontId="16" fillId="6" borderId="50" xfId="3" applyFont="1" applyFill="1" applyBorder="1" applyAlignment="1">
      <alignment horizontal="center" vertical="center" wrapText="1"/>
    </xf>
    <xf numFmtId="171" fontId="16" fillId="6" borderId="48" xfId="1" applyNumberFormat="1" applyFont="1" applyFill="1" applyBorder="1" applyAlignment="1">
      <alignment horizontal="center" vertical="center" wrapText="1"/>
    </xf>
    <xf numFmtId="10" fontId="16" fillId="6" borderId="49" xfId="1" applyNumberFormat="1" applyFont="1" applyFill="1" applyBorder="1" applyAlignment="1">
      <alignment horizontal="center" vertical="center" wrapText="1"/>
    </xf>
    <xf numFmtId="0" fontId="16" fillId="6" borderId="51" xfId="3" applyFont="1" applyFill="1" applyBorder="1" applyAlignment="1">
      <alignment horizontal="center" vertical="center" wrapText="1"/>
    </xf>
    <xf numFmtId="37" fontId="57" fillId="6" borderId="48" xfId="3" applyNumberFormat="1" applyFont="1" applyFill="1" applyBorder="1" applyAlignment="1">
      <alignment horizontal="center" vertical="center"/>
    </xf>
    <xf numFmtId="37" fontId="57" fillId="6" borderId="49" xfId="3" applyNumberFormat="1" applyFont="1" applyFill="1" applyBorder="1" applyAlignment="1">
      <alignment horizontal="center" vertical="center"/>
    </xf>
    <xf numFmtId="40" fontId="57" fillId="6" borderId="49" xfId="4" applyNumberFormat="1" applyFont="1" applyFill="1" applyBorder="1" applyAlignment="1">
      <alignment horizontal="center" vertical="center"/>
    </xf>
    <xf numFmtId="165" fontId="57" fillId="6" borderId="49" xfId="4" applyFont="1" applyFill="1" applyBorder="1" applyAlignment="1">
      <alignment horizontal="right" vertical="center"/>
    </xf>
    <xf numFmtId="40" fontId="57" fillId="6" borderId="49" xfId="4" applyNumberFormat="1" applyFont="1" applyFill="1" applyBorder="1" applyAlignment="1">
      <alignment horizontal="center" vertical="center" wrapText="1"/>
    </xf>
    <xf numFmtId="10" fontId="57" fillId="6" borderId="49" xfId="5" applyNumberFormat="1" applyFont="1" applyFill="1" applyBorder="1" applyAlignment="1">
      <alignment horizontal="center" vertical="center" wrapText="1"/>
    </xf>
    <xf numFmtId="165" fontId="57" fillId="6" borderId="49" xfId="4" applyFont="1" applyFill="1" applyBorder="1" applyAlignment="1">
      <alignment horizontal="center" vertical="center" wrapText="1"/>
    </xf>
    <xf numFmtId="165" fontId="57" fillId="6" borderId="51" xfId="4" applyFont="1" applyFill="1" applyBorder="1" applyAlignment="1">
      <alignment horizontal="center" vertical="center" wrapText="1"/>
    </xf>
    <xf numFmtId="165" fontId="57" fillId="6" borderId="44" xfId="4" applyFont="1" applyFill="1" applyBorder="1" applyAlignment="1">
      <alignment horizontal="center" vertical="center" wrapText="1"/>
    </xf>
    <xf numFmtId="165" fontId="57" fillId="6" borderId="43" xfId="4" applyFont="1" applyFill="1" applyBorder="1" applyAlignment="1">
      <alignment horizontal="center" vertical="center" wrapText="1"/>
    </xf>
    <xf numFmtId="37" fontId="57" fillId="6" borderId="3" xfId="3" applyNumberFormat="1" applyFont="1" applyFill="1" applyBorder="1" applyAlignment="1">
      <alignment horizontal="center" vertical="center"/>
    </xf>
    <xf numFmtId="40" fontId="57" fillId="6" borderId="45" xfId="4" applyNumberFormat="1" applyFont="1" applyFill="1" applyBorder="1" applyAlignment="1">
      <alignment horizontal="center" vertical="center"/>
    </xf>
    <xf numFmtId="44" fontId="61" fillId="6" borderId="46" xfId="8" applyFont="1" applyFill="1" applyBorder="1" applyAlignment="1">
      <alignment horizontal="center" vertical="center" wrapText="1"/>
    </xf>
    <xf numFmtId="44" fontId="62" fillId="6" borderId="47" xfId="8" applyFont="1" applyFill="1" applyBorder="1" applyAlignment="1">
      <alignment horizontal="center" vertical="center" wrapText="1"/>
    </xf>
    <xf numFmtId="49" fontId="60" fillId="0" borderId="40" xfId="0" applyNumberFormat="1" applyFont="1" applyBorder="1" applyAlignment="1">
      <alignment horizontal="left" vertical="center" wrapText="1"/>
    </xf>
    <xf numFmtId="0" fontId="60" fillId="0" borderId="41" xfId="0" applyFont="1" applyBorder="1" applyAlignment="1">
      <alignment horizontal="left" vertical="center" wrapText="1"/>
    </xf>
    <xf numFmtId="10" fontId="16" fillId="10" borderId="9" xfId="0" applyNumberFormat="1" applyFont="1" applyFill="1" applyBorder="1" applyAlignment="1">
      <alignment horizontal="center" vertical="center"/>
    </xf>
    <xf numFmtId="0" fontId="58" fillId="10" borderId="57" xfId="0" applyFont="1" applyFill="1" applyBorder="1" applyAlignment="1">
      <alignment horizontal="center" vertical="center"/>
    </xf>
    <xf numFmtId="0" fontId="60" fillId="0" borderId="57" xfId="0" applyFont="1" applyBorder="1" applyAlignment="1">
      <alignment horizontal="left" vertical="center" wrapText="1"/>
    </xf>
    <xf numFmtId="1" fontId="60" fillId="11" borderId="72" xfId="0" applyNumberFormat="1" applyFont="1" applyFill="1" applyBorder="1" applyAlignment="1">
      <alignment horizontal="center" vertical="center"/>
    </xf>
    <xf numFmtId="1" fontId="60" fillId="11" borderId="73" xfId="0" applyNumberFormat="1" applyFont="1" applyFill="1" applyBorder="1" applyAlignment="1">
      <alignment horizontal="center" vertical="center"/>
    </xf>
    <xf numFmtId="9" fontId="60" fillId="13" borderId="73" xfId="1" applyFont="1" applyFill="1" applyBorder="1" applyAlignment="1">
      <alignment vertical="center"/>
    </xf>
    <xf numFmtId="44" fontId="60" fillId="13" borderId="73" xfId="8" applyFont="1" applyFill="1" applyBorder="1" applyAlignment="1">
      <alignment vertical="center"/>
    </xf>
    <xf numFmtId="44" fontId="60" fillId="13" borderId="47" xfId="8" applyFont="1" applyFill="1" applyBorder="1" applyAlignment="1">
      <alignment vertical="center"/>
    </xf>
    <xf numFmtId="10" fontId="60" fillId="12" borderId="9" xfId="0" applyNumberFormat="1" applyFont="1" applyFill="1" applyBorder="1" applyAlignment="1">
      <alignment horizontal="center" vertical="center"/>
    </xf>
    <xf numFmtId="10" fontId="60" fillId="12" borderId="57" xfId="0" applyNumberFormat="1" applyFont="1" applyFill="1" applyBorder="1" applyAlignment="1">
      <alignment horizontal="center" vertical="center"/>
    </xf>
    <xf numFmtId="8" fontId="60" fillId="11" borderId="6" xfId="0" applyNumberFormat="1" applyFont="1" applyFill="1" applyBorder="1"/>
    <xf numFmtId="44" fontId="60" fillId="11" borderId="8" xfId="0" applyNumberFormat="1" applyFont="1" applyFill="1" applyBorder="1"/>
    <xf numFmtId="14" fontId="60" fillId="11" borderId="9" xfId="0" applyNumberFormat="1" applyFont="1" applyFill="1" applyBorder="1"/>
    <xf numFmtId="0" fontId="60" fillId="11" borderId="6" xfId="0" applyFont="1" applyFill="1" applyBorder="1" applyAlignment="1">
      <alignment wrapText="1"/>
    </xf>
    <xf numFmtId="0" fontId="60" fillId="11" borderId="9" xfId="0" applyFont="1" applyFill="1" applyBorder="1" applyAlignment="1">
      <alignment wrapText="1"/>
    </xf>
    <xf numFmtId="44" fontId="64" fillId="0" borderId="57" xfId="8" applyFont="1" applyBorder="1"/>
    <xf numFmtId="44" fontId="65" fillId="0" borderId="57" xfId="8" applyFont="1" applyBorder="1"/>
    <xf numFmtId="1" fontId="60" fillId="11" borderId="57" xfId="0" applyNumberFormat="1" applyFont="1" applyFill="1" applyBorder="1" applyAlignment="1">
      <alignment horizontal="center" vertical="center"/>
    </xf>
    <xf numFmtId="44" fontId="60" fillId="11" borderId="57" xfId="8" applyFont="1" applyFill="1" applyBorder="1" applyAlignment="1">
      <alignment vertical="center"/>
    </xf>
    <xf numFmtId="44" fontId="60" fillId="12" borderId="57" xfId="8" applyFont="1" applyFill="1" applyBorder="1" applyAlignment="1">
      <alignment vertical="center"/>
    </xf>
    <xf numFmtId="9" fontId="60" fillId="13" borderId="57" xfId="1" applyFont="1" applyFill="1" applyBorder="1" applyAlignment="1">
      <alignment vertical="center"/>
    </xf>
    <xf numFmtId="44" fontId="60" fillId="13" borderId="57" xfId="8" applyFont="1" applyFill="1" applyBorder="1" applyAlignment="1">
      <alignment vertical="center"/>
    </xf>
    <xf numFmtId="44" fontId="63" fillId="11" borderId="57" xfId="8" applyFont="1" applyFill="1" applyBorder="1" applyAlignment="1">
      <alignment vertical="center"/>
    </xf>
    <xf numFmtId="0" fontId="16" fillId="0" borderId="61" xfId="0" applyFont="1" applyBorder="1" applyAlignment="1">
      <alignment horizontal="left" vertical="center" wrapText="1"/>
    </xf>
    <xf numFmtId="0" fontId="60" fillId="14" borderId="57" xfId="0" applyFont="1" applyFill="1" applyBorder="1" applyAlignment="1">
      <alignment horizontal="center" vertical="center"/>
    </xf>
    <xf numFmtId="44" fontId="60" fillId="14" borderId="57" xfId="8" applyFont="1" applyFill="1" applyBorder="1" applyAlignment="1">
      <alignment vertical="center"/>
    </xf>
    <xf numFmtId="0" fontId="60" fillId="0" borderId="56" xfId="0" applyFont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10" fontId="60" fillId="12" borderId="30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49" fontId="35" fillId="0" borderId="0" xfId="0" applyNumberFormat="1" applyFont="1"/>
    <xf numFmtId="0" fontId="40" fillId="5" borderId="0" xfId="0" applyFont="1" applyFill="1"/>
    <xf numFmtId="49" fontId="40" fillId="5" borderId="0" xfId="0" applyNumberFormat="1" applyFont="1" applyFill="1"/>
    <xf numFmtId="44" fontId="42" fillId="0" borderId="62" xfId="8" applyFont="1" applyFill="1" applyBorder="1" applyAlignment="1">
      <alignment vertical="center"/>
    </xf>
    <xf numFmtId="44" fontId="42" fillId="0" borderId="47" xfId="8" applyFont="1" applyFill="1" applyBorder="1" applyAlignment="1">
      <alignment vertical="center"/>
    </xf>
    <xf numFmtId="44" fontId="50" fillId="0" borderId="57" xfId="0" applyNumberFormat="1" applyFont="1" applyBorder="1" applyAlignment="1">
      <alignment vertical="center"/>
    </xf>
    <xf numFmtId="44" fontId="42" fillId="0" borderId="63" xfId="8" applyFont="1" applyFill="1" applyBorder="1" applyAlignment="1">
      <alignment vertical="center"/>
    </xf>
    <xf numFmtId="44" fontId="50" fillId="18" borderId="57" xfId="0" applyNumberFormat="1" applyFont="1" applyFill="1" applyBorder="1" applyAlignment="1">
      <alignment vertical="center"/>
    </xf>
    <xf numFmtId="0" fontId="42" fillId="0" borderId="57" xfId="2" applyFont="1" applyBorder="1" applyAlignment="1">
      <alignment horizontal="left" vertical="center" wrapText="1"/>
    </xf>
    <xf numFmtId="0" fontId="42" fillId="0" borderId="57" xfId="2" quotePrefix="1" applyFont="1" applyBorder="1" applyAlignment="1">
      <alignment horizontal="center" vertical="center"/>
    </xf>
    <xf numFmtId="3" fontId="42" fillId="0" borderId="57" xfId="2" quotePrefix="1" applyNumberFormat="1" applyFont="1" applyBorder="1" applyAlignment="1">
      <alignment horizontal="center" vertical="center"/>
    </xf>
    <xf numFmtId="44" fontId="42" fillId="0" borderId="57" xfId="8" quotePrefix="1" applyFont="1" applyFill="1" applyBorder="1" applyAlignment="1">
      <alignment vertical="center"/>
    </xf>
    <xf numFmtId="0" fontId="36" fillId="14" borderId="61" xfId="0" applyFont="1" applyFill="1" applyBorder="1" applyAlignment="1">
      <alignment horizontal="left" vertical="center" wrapText="1"/>
    </xf>
    <xf numFmtId="44" fontId="46" fillId="0" borderId="63" xfId="8" applyFont="1" applyFill="1" applyBorder="1" applyAlignment="1">
      <alignment vertical="center"/>
    </xf>
    <xf numFmtId="0" fontId="42" fillId="11" borderId="6" xfId="18" applyNumberFormat="1" applyFont="1" applyFill="1" applyBorder="1" applyAlignment="1">
      <alignment horizontal="center" vertical="center"/>
    </xf>
    <xf numFmtId="44" fontId="46" fillId="0" borderId="63" xfId="8" applyFont="1" applyBorder="1" applyAlignment="1">
      <alignment vertical="center"/>
    </xf>
    <xf numFmtId="44" fontId="47" fillId="11" borderId="55" xfId="8" applyFont="1" applyFill="1" applyBorder="1" applyAlignment="1">
      <alignment vertical="center"/>
    </xf>
    <xf numFmtId="0" fontId="36" fillId="14" borderId="64" xfId="0" applyFont="1" applyFill="1" applyBorder="1" applyAlignment="1">
      <alignment horizontal="left" vertical="center" wrapText="1"/>
    </xf>
    <xf numFmtId="9" fontId="35" fillId="13" borderId="0" xfId="0" applyNumberFormat="1" applyFont="1" applyFill="1"/>
    <xf numFmtId="0" fontId="35" fillId="13" borderId="0" xfId="0" applyFont="1" applyFill="1"/>
    <xf numFmtId="44" fontId="40" fillId="13" borderId="15" xfId="0" applyNumberFormat="1" applyFont="1" applyFill="1" applyBorder="1"/>
    <xf numFmtId="10" fontId="26" fillId="12" borderId="57" xfId="8" applyNumberFormat="1" applyFont="1" applyFill="1" applyBorder="1" applyAlignment="1">
      <alignment horizontal="center" vertical="center"/>
    </xf>
    <xf numFmtId="10" fontId="57" fillId="6" borderId="42" xfId="5" applyNumberFormat="1" applyFont="1" applyFill="1" applyBorder="1" applyAlignment="1">
      <alignment horizontal="center" vertical="center" wrapText="1"/>
    </xf>
    <xf numFmtId="10" fontId="57" fillId="6" borderId="43" xfId="5" applyNumberFormat="1" applyFont="1" applyFill="1" applyBorder="1" applyAlignment="1">
      <alignment horizontal="center" vertical="center" wrapText="1"/>
    </xf>
    <xf numFmtId="0" fontId="16" fillId="10" borderId="50" xfId="0" applyFont="1" applyFill="1" applyBorder="1" applyAlignment="1">
      <alignment horizontal="center" vertical="center"/>
    </xf>
    <xf numFmtId="0" fontId="16" fillId="10" borderId="49" xfId="0" applyFont="1" applyFill="1" applyBorder="1" applyAlignment="1">
      <alignment horizontal="center" vertical="center"/>
    </xf>
    <xf numFmtId="0" fontId="16" fillId="10" borderId="97" xfId="0" applyFont="1" applyFill="1" applyBorder="1" applyAlignment="1">
      <alignment horizontal="center" vertical="center"/>
    </xf>
    <xf numFmtId="0" fontId="58" fillId="10" borderId="9" xfId="0" applyFont="1" applyFill="1" applyBorder="1" applyAlignment="1">
      <alignment horizontal="center" vertical="center"/>
    </xf>
    <xf numFmtId="44" fontId="60" fillId="0" borderId="62" xfId="8" applyFont="1" applyBorder="1" applyAlignment="1">
      <alignment vertical="center"/>
    </xf>
    <xf numFmtId="44" fontId="60" fillId="0" borderId="47" xfId="8" applyFont="1" applyBorder="1" applyAlignment="1">
      <alignment vertical="center"/>
    </xf>
    <xf numFmtId="44" fontId="60" fillId="14" borderId="62" xfId="8" applyFont="1" applyFill="1" applyBorder="1" applyAlignment="1">
      <alignment vertical="center"/>
    </xf>
    <xf numFmtId="44" fontId="66" fillId="14" borderId="57" xfId="8" applyFont="1" applyFill="1" applyBorder="1" applyAlignment="1">
      <alignment vertical="center"/>
    </xf>
    <xf numFmtId="0" fontId="66" fillId="0" borderId="57" xfId="0" applyFont="1" applyBorder="1" applyAlignment="1">
      <alignment horizontal="left" vertical="center" wrapText="1"/>
    </xf>
    <xf numFmtId="44" fontId="60" fillId="14" borderId="47" xfId="8" applyFont="1" applyFill="1" applyBorder="1" applyAlignment="1">
      <alignment vertical="center"/>
    </xf>
    <xf numFmtId="10" fontId="60" fillId="12" borderId="62" xfId="0" applyNumberFormat="1" applyFont="1" applyFill="1" applyBorder="1" applyAlignment="1">
      <alignment horizontal="center" vertical="center"/>
    </xf>
    <xf numFmtId="170" fontId="55" fillId="0" borderId="0" xfId="0" applyNumberFormat="1" applyFont="1"/>
    <xf numFmtId="49" fontId="67" fillId="0" borderId="0" xfId="2" applyNumberFormat="1" applyFont="1" applyAlignment="1">
      <alignment horizontal="left" vertical="center" wrapText="1"/>
    </xf>
    <xf numFmtId="0" fontId="67" fillId="0" borderId="0" xfId="2" applyFont="1" applyAlignment="1">
      <alignment horizontal="left" vertical="center" wrapText="1"/>
    </xf>
    <xf numFmtId="0" fontId="39" fillId="0" borderId="0" xfId="0" applyFont="1" applyAlignment="1">
      <alignment horizontal="center"/>
    </xf>
    <xf numFmtId="0" fontId="39" fillId="5" borderId="0" xfId="0" applyFont="1" applyFill="1"/>
    <xf numFmtId="49" fontId="39" fillId="5" borderId="0" xfId="0" applyNumberFormat="1" applyFont="1" applyFill="1"/>
    <xf numFmtId="0" fontId="35" fillId="0" borderId="39" xfId="0" applyFont="1" applyBorder="1" applyAlignment="1">
      <alignment horizontal="left" vertical="center"/>
    </xf>
    <xf numFmtId="49" fontId="35" fillId="0" borderId="40" xfId="0" applyNumberFormat="1" applyFont="1" applyBorder="1" applyAlignment="1">
      <alignment horizontal="left" vertical="center"/>
    </xf>
    <xf numFmtId="0" fontId="35" fillId="0" borderId="41" xfId="0" applyFont="1" applyBorder="1" applyAlignment="1">
      <alignment horizontal="left" vertical="center"/>
    </xf>
    <xf numFmtId="0" fontId="42" fillId="0" borderId="46" xfId="0" applyFont="1" applyBorder="1" applyAlignment="1">
      <alignment horizontal="left" vertical="center" wrapText="1"/>
    </xf>
    <xf numFmtId="0" fontId="42" fillId="0" borderId="61" xfId="0" applyFont="1" applyBorder="1" applyAlignment="1">
      <alignment horizontal="left" vertical="center" wrapText="1"/>
    </xf>
    <xf numFmtId="44" fontId="42" fillId="14" borderId="85" xfId="8" applyFont="1" applyFill="1" applyBorder="1" applyAlignment="1">
      <alignment vertical="center"/>
    </xf>
    <xf numFmtId="170" fontId="35" fillId="0" borderId="0" xfId="0" applyNumberFormat="1" applyFont="1"/>
    <xf numFmtId="44" fontId="26" fillId="9" borderId="13" xfId="8" applyFont="1" applyFill="1" applyBorder="1" applyAlignment="1">
      <alignment horizontal="right"/>
    </xf>
    <xf numFmtId="44" fontId="40" fillId="12" borderId="13" xfId="8" applyFont="1" applyFill="1" applyBorder="1" applyAlignment="1">
      <alignment vertical="center"/>
    </xf>
    <xf numFmtId="9" fontId="42" fillId="13" borderId="13" xfId="1" applyFont="1" applyFill="1" applyBorder="1" applyAlignment="1">
      <alignment vertical="center"/>
    </xf>
    <xf numFmtId="44" fontId="42" fillId="13" borderId="13" xfId="8" applyFont="1" applyFill="1" applyBorder="1" applyAlignment="1">
      <alignment vertical="center"/>
    </xf>
    <xf numFmtId="44" fontId="40" fillId="13" borderId="13" xfId="8" applyFont="1" applyFill="1" applyBorder="1" applyAlignment="1">
      <alignment vertical="center"/>
    </xf>
    <xf numFmtId="0" fontId="68" fillId="0" borderId="0" xfId="0" applyFont="1"/>
    <xf numFmtId="49" fontId="69" fillId="0" borderId="0" xfId="2" applyNumberFormat="1" applyFont="1" applyAlignment="1">
      <alignment horizontal="left" vertical="center" wrapText="1"/>
    </xf>
    <xf numFmtId="0" fontId="69" fillId="0" borderId="0" xfId="2" applyFont="1" applyAlignment="1">
      <alignment horizontal="left" vertical="center" wrapText="1"/>
    </xf>
    <xf numFmtId="0" fontId="68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164" fontId="70" fillId="0" borderId="0" xfId="2" applyNumberFormat="1" applyFont="1" applyAlignment="1">
      <alignment horizontal="left" vertical="center"/>
    </xf>
    <xf numFmtId="164" fontId="70" fillId="0" borderId="17" xfId="2" applyNumberFormat="1" applyFont="1" applyBorder="1" applyAlignment="1" applyProtection="1">
      <alignment horizontal="left" vertical="center"/>
      <protection locked="0"/>
    </xf>
    <xf numFmtId="164" fontId="70" fillId="0" borderId="19" xfId="2" applyNumberFormat="1" applyFont="1" applyBorder="1" applyAlignment="1" applyProtection="1">
      <alignment horizontal="left" vertical="center"/>
      <protection locked="0"/>
    </xf>
    <xf numFmtId="164" fontId="70" fillId="0" borderId="28" xfId="2" applyNumberFormat="1" applyFont="1" applyBorder="1" applyAlignment="1" applyProtection="1">
      <alignment horizontal="left" vertical="center"/>
      <protection locked="0"/>
    </xf>
    <xf numFmtId="164" fontId="70" fillId="0" borderId="29" xfId="2" applyNumberFormat="1" applyFont="1" applyBorder="1" applyAlignment="1" applyProtection="1">
      <alignment horizontal="left" vertical="center"/>
      <protection locked="0"/>
    </xf>
    <xf numFmtId="0" fontId="70" fillId="0" borderId="22" xfId="2" applyFont="1" applyBorder="1" applyAlignment="1" applyProtection="1">
      <alignment horizontal="left" vertical="center"/>
      <protection locked="0"/>
    </xf>
    <xf numFmtId="14" fontId="70" fillId="0" borderId="29" xfId="2" applyNumberFormat="1" applyFont="1" applyBorder="1" applyAlignment="1" applyProtection="1">
      <alignment horizontal="left" vertical="center"/>
      <protection locked="0"/>
    </xf>
    <xf numFmtId="164" fontId="70" fillId="0" borderId="36" xfId="2" applyNumberFormat="1" applyFont="1" applyBorder="1" applyAlignment="1" applyProtection="1">
      <alignment horizontal="left" vertical="center"/>
      <protection locked="0"/>
    </xf>
    <xf numFmtId="0" fontId="70" fillId="0" borderId="26" xfId="2" applyFont="1" applyBorder="1" applyAlignment="1" applyProtection="1">
      <alignment horizontal="left" vertical="center"/>
      <protection locked="0"/>
    </xf>
    <xf numFmtId="49" fontId="68" fillId="0" borderId="0" xfId="0" applyNumberFormat="1" applyFont="1"/>
    <xf numFmtId="0" fontId="68" fillId="0" borderId="0" xfId="1" applyNumberFormat="1" applyFont="1"/>
    <xf numFmtId="165" fontId="72" fillId="6" borderId="35" xfId="4" applyFont="1" applyFill="1" applyBorder="1" applyAlignment="1">
      <alignment horizontal="center" vertical="center" wrapText="1"/>
    </xf>
    <xf numFmtId="168" fontId="71" fillId="0" borderId="100" xfId="1" applyNumberFormat="1" applyFont="1" applyBorder="1"/>
    <xf numFmtId="166" fontId="72" fillId="0" borderId="37" xfId="4" applyNumberFormat="1" applyFont="1" applyBorder="1" applyAlignment="1">
      <alignment horizontal="center" vertical="center" wrapText="1"/>
    </xf>
    <xf numFmtId="0" fontId="71" fillId="5" borderId="0" xfId="0" applyFont="1" applyFill="1"/>
    <xf numFmtId="49" fontId="71" fillId="5" borderId="0" xfId="0" applyNumberFormat="1" applyFont="1" applyFill="1"/>
    <xf numFmtId="0" fontId="73" fillId="0" borderId="0" xfId="0" applyFont="1"/>
    <xf numFmtId="0" fontId="68" fillId="0" borderId="39" xfId="0" applyFont="1" applyBorder="1" applyAlignment="1">
      <alignment horizontal="left" vertical="center"/>
    </xf>
    <xf numFmtId="49" fontId="68" fillId="0" borderId="40" xfId="0" applyNumberFormat="1" applyFont="1" applyBorder="1" applyAlignment="1">
      <alignment horizontal="left" vertical="center"/>
    </xf>
    <xf numFmtId="0" fontId="68" fillId="0" borderId="41" xfId="0" applyFont="1" applyBorder="1" applyAlignment="1">
      <alignment horizontal="left" vertical="center"/>
    </xf>
    <xf numFmtId="0" fontId="68" fillId="0" borderId="39" xfId="0" applyFont="1" applyBorder="1" applyAlignment="1">
      <alignment horizontal="left" vertical="center" wrapText="1"/>
    </xf>
    <xf numFmtId="0" fontId="70" fillId="6" borderId="48" xfId="3" applyFont="1" applyFill="1" applyBorder="1" applyAlignment="1">
      <alignment horizontal="left" vertical="center"/>
    </xf>
    <xf numFmtId="0" fontId="70" fillId="6" borderId="49" xfId="3" applyFont="1" applyFill="1" applyBorder="1" applyAlignment="1">
      <alignment horizontal="center" vertical="center"/>
    </xf>
    <xf numFmtId="0" fontId="74" fillId="6" borderId="49" xfId="3" applyFont="1" applyFill="1" applyBorder="1" applyAlignment="1">
      <alignment horizontal="center" vertical="center"/>
    </xf>
    <xf numFmtId="169" fontId="74" fillId="6" borderId="49" xfId="3" applyNumberFormat="1" applyFont="1" applyFill="1" applyBorder="1" applyAlignment="1">
      <alignment horizontal="center" vertical="center" wrapText="1"/>
    </xf>
    <xf numFmtId="0" fontId="74" fillId="6" borderId="50" xfId="3" applyFont="1" applyFill="1" applyBorder="1" applyAlignment="1">
      <alignment horizontal="center" vertical="center" wrapText="1"/>
    </xf>
    <xf numFmtId="171" fontId="74" fillId="6" borderId="48" xfId="1" applyNumberFormat="1" applyFont="1" applyFill="1" applyBorder="1" applyAlignment="1">
      <alignment horizontal="center" vertical="center" wrapText="1"/>
    </xf>
    <xf numFmtId="10" fontId="74" fillId="6" borderId="49" xfId="1" applyNumberFormat="1" applyFont="1" applyFill="1" applyBorder="1" applyAlignment="1">
      <alignment horizontal="center" vertical="center" wrapText="1"/>
    </xf>
    <xf numFmtId="0" fontId="74" fillId="6" borderId="51" xfId="3" applyFont="1" applyFill="1" applyBorder="1" applyAlignment="1">
      <alignment horizontal="center" vertical="center" wrapText="1"/>
    </xf>
    <xf numFmtId="37" fontId="72" fillId="6" borderId="48" xfId="3" applyNumberFormat="1" applyFont="1" applyFill="1" applyBorder="1" applyAlignment="1">
      <alignment horizontal="center" vertical="center"/>
    </xf>
    <xf numFmtId="37" fontId="72" fillId="6" borderId="49" xfId="3" applyNumberFormat="1" applyFont="1" applyFill="1" applyBorder="1" applyAlignment="1">
      <alignment horizontal="center" vertical="center"/>
    </xf>
    <xf numFmtId="40" fontId="72" fillId="6" borderId="49" xfId="4" applyNumberFormat="1" applyFont="1" applyFill="1" applyBorder="1" applyAlignment="1">
      <alignment horizontal="center" vertical="center"/>
    </xf>
    <xf numFmtId="165" fontId="72" fillId="6" borderId="49" xfId="4" applyFont="1" applyFill="1" applyBorder="1" applyAlignment="1">
      <alignment horizontal="right" vertical="center"/>
    </xf>
    <xf numFmtId="40" fontId="72" fillId="6" borderId="49" xfId="4" applyNumberFormat="1" applyFont="1" applyFill="1" applyBorder="1" applyAlignment="1">
      <alignment horizontal="center" vertical="center" wrapText="1"/>
    </xf>
    <xf numFmtId="10" fontId="72" fillId="6" borderId="49" xfId="5" applyNumberFormat="1" applyFont="1" applyFill="1" applyBorder="1" applyAlignment="1">
      <alignment horizontal="center" vertical="center" wrapText="1"/>
    </xf>
    <xf numFmtId="165" fontId="72" fillId="6" borderId="49" xfId="4" applyFont="1" applyFill="1" applyBorder="1" applyAlignment="1">
      <alignment horizontal="center" vertical="center" wrapText="1"/>
    </xf>
    <xf numFmtId="165" fontId="72" fillId="6" borderId="51" xfId="4" applyFont="1" applyFill="1" applyBorder="1" applyAlignment="1">
      <alignment horizontal="center" vertical="center" wrapText="1"/>
    </xf>
    <xf numFmtId="10" fontId="72" fillId="6" borderId="42" xfId="5" applyNumberFormat="1" applyFont="1" applyFill="1" applyBorder="1" applyAlignment="1">
      <alignment horizontal="center" vertical="center" wrapText="1"/>
    </xf>
    <xf numFmtId="10" fontId="72" fillId="6" borderId="43" xfId="5" applyNumberFormat="1" applyFont="1" applyFill="1" applyBorder="1" applyAlignment="1">
      <alignment horizontal="center" vertical="center" wrapText="1"/>
    </xf>
    <xf numFmtId="165" fontId="72" fillId="6" borderId="44" xfId="4" applyFont="1" applyFill="1" applyBorder="1" applyAlignment="1">
      <alignment horizontal="center" vertical="center" wrapText="1"/>
    </xf>
    <xf numFmtId="165" fontId="72" fillId="6" borderId="43" xfId="4" applyFont="1" applyFill="1" applyBorder="1" applyAlignment="1">
      <alignment horizontal="center" vertical="center" wrapText="1"/>
    </xf>
    <xf numFmtId="37" fontId="72" fillId="6" borderId="3" xfId="3" applyNumberFormat="1" applyFont="1" applyFill="1" applyBorder="1" applyAlignment="1">
      <alignment horizontal="center" vertical="center"/>
    </xf>
    <xf numFmtId="40" fontId="72" fillId="6" borderId="45" xfId="4" applyNumberFormat="1" applyFont="1" applyFill="1" applyBorder="1" applyAlignment="1">
      <alignment horizontal="center" vertical="center"/>
    </xf>
    <xf numFmtId="44" fontId="75" fillId="6" borderId="46" xfId="8" applyFont="1" applyFill="1" applyBorder="1" applyAlignment="1">
      <alignment horizontal="center" vertical="center" wrapText="1"/>
    </xf>
    <xf numFmtId="44" fontId="76" fillId="6" borderId="47" xfId="8" applyFont="1" applyFill="1" applyBorder="1" applyAlignment="1">
      <alignment horizontal="center" vertical="center" wrapText="1"/>
    </xf>
    <xf numFmtId="0" fontId="68" fillId="0" borderId="56" xfId="0" applyFont="1" applyBorder="1" applyAlignment="1">
      <alignment horizontal="left" vertical="center" wrapText="1"/>
    </xf>
    <xf numFmtId="49" fontId="77" fillId="0" borderId="40" xfId="0" applyNumberFormat="1" applyFont="1" applyBorder="1" applyAlignment="1">
      <alignment horizontal="left" vertical="center" wrapText="1"/>
    </xf>
    <xf numFmtId="0" fontId="68" fillId="0" borderId="0" xfId="0" applyFont="1" applyAlignment="1">
      <alignment horizontal="left" vertical="center" wrapText="1"/>
    </xf>
    <xf numFmtId="0" fontId="68" fillId="0" borderId="41" xfId="0" applyFont="1" applyBorder="1" applyAlignment="1">
      <alignment horizontal="left" vertical="center" wrapText="1"/>
    </xf>
    <xf numFmtId="0" fontId="74" fillId="10" borderId="50" xfId="0" applyFont="1" applyFill="1" applyBorder="1" applyAlignment="1">
      <alignment horizontal="center" vertical="center"/>
    </xf>
    <xf numFmtId="0" fontId="74" fillId="10" borderId="49" xfId="0" applyFont="1" applyFill="1" applyBorder="1" applyAlignment="1">
      <alignment horizontal="center" vertical="center"/>
    </xf>
    <xf numFmtId="0" fontId="74" fillId="10" borderId="97" xfId="0" applyFont="1" applyFill="1" applyBorder="1" applyAlignment="1">
      <alignment horizontal="center" vertical="center"/>
    </xf>
    <xf numFmtId="0" fontId="71" fillId="10" borderId="9" xfId="0" applyFont="1" applyFill="1" applyBorder="1" applyAlignment="1">
      <alignment horizontal="center" vertical="center"/>
    </xf>
    <xf numFmtId="0" fontId="71" fillId="10" borderId="57" xfId="0" applyFont="1" applyFill="1" applyBorder="1" applyAlignment="1">
      <alignment horizontal="center" vertical="center"/>
    </xf>
    <xf numFmtId="0" fontId="77" fillId="0" borderId="48" xfId="0" applyFont="1" applyBorder="1" applyAlignment="1">
      <alignment horizontal="left" vertical="center" wrapText="1"/>
    </xf>
    <xf numFmtId="0" fontId="77" fillId="0" borderId="49" xfId="0" applyFont="1" applyBorder="1" applyAlignment="1">
      <alignment horizontal="left" vertical="center" wrapText="1"/>
    </xf>
    <xf numFmtId="0" fontId="77" fillId="14" borderId="49" xfId="0" applyFont="1" applyFill="1" applyBorder="1" applyAlignment="1">
      <alignment horizontal="center" vertical="center"/>
    </xf>
    <xf numFmtId="0" fontId="77" fillId="0" borderId="49" xfId="0" applyFont="1" applyBorder="1" applyAlignment="1">
      <alignment horizontal="center" vertical="center"/>
    </xf>
    <xf numFmtId="44" fontId="77" fillId="0" borderId="49" xfId="8" applyFont="1" applyBorder="1" applyAlignment="1">
      <alignment vertical="center"/>
    </xf>
    <xf numFmtId="44" fontId="80" fillId="0" borderId="62" xfId="8" applyFont="1" applyBorder="1" applyAlignment="1">
      <alignment vertical="center"/>
    </xf>
    <xf numFmtId="44" fontId="77" fillId="0" borderId="51" xfId="8" applyFont="1" applyBorder="1" applyAlignment="1">
      <alignment vertical="center"/>
    </xf>
    <xf numFmtId="1" fontId="77" fillId="11" borderId="61" xfId="0" applyNumberFormat="1" applyFont="1" applyFill="1" applyBorder="1" applyAlignment="1">
      <alignment horizontal="center" vertical="center"/>
    </xf>
    <xf numFmtId="1" fontId="77" fillId="11" borderId="57" xfId="0" applyNumberFormat="1" applyFont="1" applyFill="1" applyBorder="1" applyAlignment="1">
      <alignment horizontal="center" vertical="center"/>
    </xf>
    <xf numFmtId="44" fontId="81" fillId="11" borderId="57" xfId="8" applyFont="1" applyFill="1" applyBorder="1" applyAlignment="1">
      <alignment vertical="center"/>
    </xf>
    <xf numFmtId="44" fontId="77" fillId="11" borderId="57" xfId="8" applyFont="1" applyFill="1" applyBorder="1" applyAlignment="1">
      <alignment vertical="center"/>
    </xf>
    <xf numFmtId="44" fontId="77" fillId="12" borderId="57" xfId="8" applyFont="1" applyFill="1" applyBorder="1" applyAlignment="1">
      <alignment vertical="center"/>
    </xf>
    <xf numFmtId="9" fontId="77" fillId="13" borderId="57" xfId="1" applyFont="1" applyFill="1" applyBorder="1" applyAlignment="1">
      <alignment vertical="center"/>
    </xf>
    <xf numFmtId="44" fontId="77" fillId="13" borderId="57" xfId="8" applyFont="1" applyFill="1" applyBorder="1" applyAlignment="1">
      <alignment vertical="center"/>
    </xf>
    <xf numFmtId="44" fontId="77" fillId="13" borderId="63" xfId="8" applyFont="1" applyFill="1" applyBorder="1" applyAlignment="1">
      <alignment vertical="center"/>
    </xf>
    <xf numFmtId="10" fontId="77" fillId="12" borderId="9" xfId="0" applyNumberFormat="1" applyFont="1" applyFill="1" applyBorder="1" applyAlignment="1">
      <alignment horizontal="center" vertical="center"/>
    </xf>
    <xf numFmtId="10" fontId="77" fillId="12" borderId="57" xfId="0" applyNumberFormat="1" applyFont="1" applyFill="1" applyBorder="1" applyAlignment="1">
      <alignment horizontal="center" vertical="center"/>
    </xf>
    <xf numFmtId="44" fontId="82" fillId="0" borderId="57" xfId="8" applyFont="1" applyBorder="1"/>
    <xf numFmtId="44" fontId="83" fillId="0" borderId="57" xfId="8" applyFont="1" applyBorder="1"/>
    <xf numFmtId="0" fontId="77" fillId="0" borderId="46" xfId="0" applyFont="1" applyBorder="1" applyAlignment="1">
      <alignment horizontal="left" vertical="center" wrapText="1"/>
    </xf>
    <xf numFmtId="0" fontId="77" fillId="0" borderId="62" xfId="0" applyFont="1" applyBorder="1" applyAlignment="1">
      <alignment horizontal="left" vertical="center" wrapText="1"/>
    </xf>
    <xf numFmtId="0" fontId="77" fillId="14" borderId="62" xfId="0" applyFont="1" applyFill="1" applyBorder="1" applyAlignment="1">
      <alignment horizontal="center" vertical="center"/>
    </xf>
    <xf numFmtId="0" fontId="77" fillId="0" borderId="62" xfId="0" applyFont="1" applyBorder="1" applyAlignment="1">
      <alignment horizontal="center" vertical="center"/>
    </xf>
    <xf numFmtId="44" fontId="77" fillId="0" borderId="62" xfId="8" applyFont="1" applyBorder="1" applyAlignment="1">
      <alignment vertical="center"/>
    </xf>
    <xf numFmtId="44" fontId="77" fillId="0" borderId="47" xfId="8" applyFont="1" applyBorder="1" applyAlignment="1">
      <alignment vertical="center"/>
    </xf>
    <xf numFmtId="0" fontId="68" fillId="0" borderId="52" xfId="0" applyFont="1" applyBorder="1" applyAlignment="1">
      <alignment horizontal="left" vertical="center" wrapText="1"/>
    </xf>
    <xf numFmtId="0" fontId="68" fillId="0" borderId="53" xfId="0" applyFont="1" applyBorder="1" applyAlignment="1">
      <alignment horizontal="left" vertical="center" wrapText="1"/>
    </xf>
    <xf numFmtId="0" fontId="77" fillId="0" borderId="61" xfId="0" applyFont="1" applyBorder="1" applyAlignment="1">
      <alignment horizontal="left" vertical="center" wrapText="1"/>
    </xf>
    <xf numFmtId="0" fontId="77" fillId="0" borderId="57" xfId="0" applyFont="1" applyBorder="1" applyAlignment="1">
      <alignment horizontal="left" vertical="center" wrapText="1"/>
    </xf>
    <xf numFmtId="0" fontId="77" fillId="0" borderId="57" xfId="0" applyFont="1" applyBorder="1" applyAlignment="1">
      <alignment horizontal="center" vertical="center"/>
    </xf>
    <xf numFmtId="44" fontId="77" fillId="0" borderId="57" xfId="8" applyFont="1" applyBorder="1" applyAlignment="1">
      <alignment vertical="center"/>
    </xf>
    <xf numFmtId="44" fontId="80" fillId="0" borderId="57" xfId="8" applyFont="1" applyBorder="1" applyAlignment="1">
      <alignment vertical="center"/>
    </xf>
    <xf numFmtId="44" fontId="77" fillId="0" borderId="63" xfId="8" applyFont="1" applyBorder="1" applyAlignment="1">
      <alignment vertical="center"/>
    </xf>
    <xf numFmtId="0" fontId="77" fillId="0" borderId="64" xfId="0" applyFont="1" applyBorder="1" applyAlignment="1">
      <alignment horizontal="left" vertical="center" wrapText="1"/>
    </xf>
    <xf numFmtId="0" fontId="77" fillId="0" borderId="65" xfId="0" applyFont="1" applyBorder="1" applyAlignment="1">
      <alignment horizontal="left" vertical="center" wrapText="1"/>
    </xf>
    <xf numFmtId="0" fontId="77" fillId="0" borderId="65" xfId="0" applyFont="1" applyBorder="1" applyAlignment="1">
      <alignment horizontal="center" vertical="center"/>
    </xf>
    <xf numFmtId="0" fontId="77" fillId="14" borderId="65" xfId="0" applyFont="1" applyFill="1" applyBorder="1" applyAlignment="1">
      <alignment horizontal="center" vertical="center"/>
    </xf>
    <xf numFmtId="44" fontId="77" fillId="14" borderId="65" xfId="8" applyFont="1" applyFill="1" applyBorder="1" applyAlignment="1">
      <alignment vertical="center"/>
    </xf>
    <xf numFmtId="44" fontId="84" fillId="0" borderId="65" xfId="8" applyFont="1" applyBorder="1" applyAlignment="1">
      <alignment vertical="center"/>
    </xf>
    <xf numFmtId="44" fontId="77" fillId="0" borderId="65" xfId="8" applyFont="1" applyBorder="1" applyAlignment="1">
      <alignment vertical="center"/>
    </xf>
    <xf numFmtId="44" fontId="77" fillId="0" borderId="66" xfId="8" applyFont="1" applyBorder="1" applyAlignment="1">
      <alignment vertical="center"/>
    </xf>
    <xf numFmtId="8" fontId="81" fillId="11" borderId="57" xfId="8" applyNumberFormat="1" applyFont="1" applyFill="1" applyBorder="1" applyAlignment="1">
      <alignment vertical="center"/>
    </xf>
    <xf numFmtId="0" fontId="85" fillId="14" borderId="62" xfId="0" applyFont="1" applyFill="1" applyBorder="1" applyAlignment="1">
      <alignment horizontal="center" vertical="center"/>
    </xf>
    <xf numFmtId="44" fontId="85" fillId="14" borderId="62" xfId="8" applyFont="1" applyFill="1" applyBorder="1" applyAlignment="1">
      <alignment vertical="center"/>
    </xf>
    <xf numFmtId="44" fontId="77" fillId="14" borderId="62" xfId="8" applyFont="1" applyFill="1" applyBorder="1" applyAlignment="1">
      <alignment vertical="center"/>
    </xf>
    <xf numFmtId="44" fontId="84" fillId="0" borderId="57" xfId="8" applyFont="1" applyBorder="1" applyAlignment="1">
      <alignment vertical="center"/>
    </xf>
    <xf numFmtId="0" fontId="68" fillId="0" borderId="88" xfId="0" applyFont="1" applyBorder="1" applyAlignment="1">
      <alignment horizontal="left" vertical="center" wrapText="1"/>
    </xf>
    <xf numFmtId="0" fontId="68" fillId="0" borderId="87" xfId="0" applyFont="1" applyBorder="1" applyAlignment="1">
      <alignment horizontal="left" vertical="center" wrapText="1"/>
    </xf>
    <xf numFmtId="0" fontId="77" fillId="0" borderId="90" xfId="0" applyFont="1" applyBorder="1" applyAlignment="1">
      <alignment horizontal="left" vertical="center" wrapText="1"/>
    </xf>
    <xf numFmtId="0" fontId="77" fillId="0" borderId="85" xfId="0" applyFont="1" applyBorder="1" applyAlignment="1">
      <alignment horizontal="left" vertical="center" wrapText="1"/>
    </xf>
    <xf numFmtId="0" fontId="77" fillId="0" borderId="85" xfId="0" applyFont="1" applyBorder="1" applyAlignment="1">
      <alignment horizontal="center" vertical="center"/>
    </xf>
    <xf numFmtId="44" fontId="77" fillId="0" borderId="85" xfId="8" applyFont="1" applyBorder="1" applyAlignment="1">
      <alignment vertical="center"/>
    </xf>
    <xf numFmtId="44" fontId="84" fillId="0" borderId="85" xfId="8" applyFont="1" applyBorder="1" applyAlignment="1">
      <alignment vertical="center"/>
    </xf>
    <xf numFmtId="10" fontId="77" fillId="12" borderId="91" xfId="0" applyNumberFormat="1" applyFont="1" applyFill="1" applyBorder="1" applyAlignment="1">
      <alignment horizontal="center" vertical="center"/>
    </xf>
    <xf numFmtId="44" fontId="81" fillId="14" borderId="62" xfId="8" applyFont="1" applyFill="1" applyBorder="1" applyAlignment="1">
      <alignment vertical="center"/>
    </xf>
    <xf numFmtId="44" fontId="81" fillId="14" borderId="47" xfId="8" applyFont="1" applyFill="1" applyBorder="1" applyAlignment="1">
      <alignment vertical="center"/>
    </xf>
    <xf numFmtId="44" fontId="74" fillId="13" borderId="57" xfId="8" applyFont="1" applyFill="1" applyBorder="1" applyAlignment="1">
      <alignment vertical="center"/>
    </xf>
    <xf numFmtId="44" fontId="74" fillId="13" borderId="63" xfId="8" applyFont="1" applyFill="1" applyBorder="1" applyAlignment="1">
      <alignment vertical="center"/>
    </xf>
    <xf numFmtId="0" fontId="77" fillId="14" borderId="61" xfId="0" applyFont="1" applyFill="1" applyBorder="1" applyAlignment="1">
      <alignment horizontal="left" vertical="center" wrapText="1"/>
    </xf>
    <xf numFmtId="0" fontId="81" fillId="14" borderId="57" xfId="0" applyFont="1" applyFill="1" applyBorder="1" applyAlignment="1">
      <alignment horizontal="left" vertical="center" wrapText="1"/>
    </xf>
    <xf numFmtId="0" fontId="77" fillId="14" borderId="57" xfId="0" applyFont="1" applyFill="1" applyBorder="1" applyAlignment="1">
      <alignment horizontal="center" vertical="center"/>
    </xf>
    <xf numFmtId="44" fontId="77" fillId="14" borderId="57" xfId="8" applyFont="1" applyFill="1" applyBorder="1" applyAlignment="1">
      <alignment vertical="center"/>
    </xf>
    <xf numFmtId="44" fontId="81" fillId="14" borderId="63" xfId="8" applyFont="1" applyFill="1" applyBorder="1" applyAlignment="1">
      <alignment vertical="center"/>
    </xf>
    <xf numFmtId="44" fontId="87" fillId="11" borderId="57" xfId="8" applyFont="1" applyFill="1" applyBorder="1" applyAlignment="1">
      <alignment vertical="center"/>
    </xf>
    <xf numFmtId="44" fontId="84" fillId="14" borderId="57" xfId="8" applyFont="1" applyFill="1" applyBorder="1" applyAlignment="1">
      <alignment vertical="center"/>
    </xf>
    <xf numFmtId="0" fontId="81" fillId="0" borderId="57" xfId="0" applyFont="1" applyBorder="1" applyAlignment="1">
      <alignment horizontal="left" vertical="center"/>
    </xf>
    <xf numFmtId="1" fontId="81" fillId="0" borderId="57" xfId="0" applyNumberFormat="1" applyFont="1" applyBorder="1" applyAlignment="1">
      <alignment horizontal="center" vertical="center"/>
    </xf>
    <xf numFmtId="167" fontId="81" fillId="21" borderId="57" xfId="0" applyNumberFormat="1" applyFont="1" applyFill="1" applyBorder="1" applyAlignment="1">
      <alignment horizontal="center" vertical="center"/>
    </xf>
    <xf numFmtId="0" fontId="81" fillId="21" borderId="57" xfId="0" applyFont="1" applyFill="1" applyBorder="1" applyAlignment="1">
      <alignment horizontal="left" vertical="center"/>
    </xf>
    <xf numFmtId="0" fontId="74" fillId="14" borderId="57" xfId="0" applyFont="1" applyFill="1" applyBorder="1" applyAlignment="1">
      <alignment horizontal="left" vertical="center" wrapText="1"/>
    </xf>
    <xf numFmtId="0" fontId="77" fillId="14" borderId="90" xfId="0" applyFont="1" applyFill="1" applyBorder="1" applyAlignment="1">
      <alignment horizontal="left" vertical="center" wrapText="1"/>
    </xf>
    <xf numFmtId="0" fontId="79" fillId="0" borderId="65" xfId="0" applyFont="1" applyBorder="1" applyAlignment="1">
      <alignment horizontal="left" vertical="center" wrapText="1"/>
    </xf>
    <xf numFmtId="44" fontId="77" fillId="14" borderId="85" xfId="8" applyFont="1" applyFill="1" applyBorder="1" applyAlignment="1">
      <alignment vertical="center"/>
    </xf>
    <xf numFmtId="44" fontId="81" fillId="14" borderId="86" xfId="8" applyFont="1" applyFill="1" applyBorder="1" applyAlignment="1">
      <alignment vertical="center"/>
    </xf>
    <xf numFmtId="0" fontId="74" fillId="14" borderId="85" xfId="0" applyFont="1" applyFill="1" applyBorder="1" applyAlignment="1">
      <alignment horizontal="left" vertical="center" wrapText="1"/>
    </xf>
    <xf numFmtId="44" fontId="81" fillId="14" borderId="57" xfId="8" applyFont="1" applyFill="1" applyBorder="1" applyAlignment="1">
      <alignment vertical="center"/>
    </xf>
    <xf numFmtId="44" fontId="77" fillId="14" borderId="63" xfId="8" applyFont="1" applyFill="1" applyBorder="1" applyAlignment="1">
      <alignment vertical="center"/>
    </xf>
    <xf numFmtId="0" fontId="81" fillId="0" borderId="57" xfId="0" applyFont="1" applyBorder="1" applyAlignment="1">
      <alignment horizontal="left" vertical="center" wrapText="1"/>
    </xf>
    <xf numFmtId="0" fontId="74" fillId="14" borderId="65" xfId="0" applyFont="1" applyFill="1" applyBorder="1" applyAlignment="1">
      <alignment horizontal="left" vertical="center" wrapText="1"/>
    </xf>
    <xf numFmtId="44" fontId="77" fillId="0" borderId="86" xfId="8" applyFont="1" applyBorder="1" applyAlignment="1">
      <alignment vertical="center"/>
    </xf>
    <xf numFmtId="44" fontId="77" fillId="14" borderId="47" xfId="8" applyFont="1" applyFill="1" applyBorder="1" applyAlignment="1">
      <alignment vertical="center"/>
    </xf>
    <xf numFmtId="10" fontId="77" fillId="12" borderId="30" xfId="0" applyNumberFormat="1" applyFont="1" applyFill="1" applyBorder="1" applyAlignment="1">
      <alignment horizontal="center" vertical="center"/>
    </xf>
    <xf numFmtId="10" fontId="77" fillId="12" borderId="62" xfId="0" applyNumberFormat="1" applyFont="1" applyFill="1" applyBorder="1" applyAlignment="1">
      <alignment horizontal="center" vertical="center"/>
    </xf>
    <xf numFmtId="44" fontId="84" fillId="19" borderId="57" xfId="8" applyFont="1" applyFill="1" applyBorder="1" applyAlignment="1">
      <alignment vertical="center"/>
    </xf>
    <xf numFmtId="170" fontId="78" fillId="9" borderId="7" xfId="0" applyNumberFormat="1" applyFont="1" applyFill="1" applyBorder="1" applyAlignment="1">
      <alignment horizontal="right"/>
    </xf>
    <xf numFmtId="170" fontId="78" fillId="9" borderId="109" xfId="0" applyNumberFormat="1" applyFont="1" applyFill="1" applyBorder="1" applyAlignment="1">
      <alignment horizontal="right"/>
    </xf>
    <xf numFmtId="170" fontId="68" fillId="0" borderId="0" xfId="0" applyNumberFormat="1" applyFont="1"/>
    <xf numFmtId="44" fontId="78" fillId="9" borderId="62" xfId="0" applyNumberFormat="1" applyFont="1" applyFill="1" applyBorder="1" applyAlignment="1">
      <alignment horizontal="right"/>
    </xf>
    <xf numFmtId="44" fontId="74" fillId="12" borderId="62" xfId="0" applyNumberFormat="1" applyFont="1" applyFill="1" applyBorder="1"/>
    <xf numFmtId="0" fontId="68" fillId="13" borderId="62" xfId="0" applyFont="1" applyFill="1" applyBorder="1"/>
    <xf numFmtId="44" fontId="74" fillId="13" borderId="62" xfId="0" applyNumberFormat="1" applyFont="1" applyFill="1" applyBorder="1"/>
    <xf numFmtId="44" fontId="74" fillId="13" borderId="47" xfId="8" applyFont="1" applyFill="1" applyBorder="1"/>
    <xf numFmtId="44" fontId="78" fillId="15" borderId="11" xfId="8" applyFont="1" applyFill="1" applyBorder="1" applyAlignment="1">
      <alignment horizontal="center"/>
    </xf>
    <xf numFmtId="44" fontId="78" fillId="15" borderId="97" xfId="8" applyFont="1" applyFill="1" applyBorder="1" applyAlignment="1">
      <alignment horizontal="center"/>
    </xf>
    <xf numFmtId="170" fontId="74" fillId="10" borderId="115" xfId="0" applyNumberFormat="1" applyFont="1" applyFill="1" applyBorder="1" applyAlignment="1">
      <alignment horizontal="center" vertical="center"/>
    </xf>
    <xf numFmtId="170" fontId="74" fillId="10" borderId="59" xfId="0" applyNumberFormat="1" applyFont="1" applyFill="1" applyBorder="1" applyAlignment="1">
      <alignment horizontal="center" vertical="center"/>
    </xf>
    <xf numFmtId="170" fontId="78" fillId="10" borderId="110" xfId="0" applyNumberFormat="1" applyFont="1" applyFill="1" applyBorder="1" applyAlignment="1">
      <alignment horizontal="center" vertical="center"/>
    </xf>
    <xf numFmtId="44" fontId="78" fillId="10" borderId="9" xfId="8" applyFont="1" applyFill="1" applyBorder="1" applyAlignment="1">
      <alignment horizontal="center" vertical="center"/>
    </xf>
    <xf numFmtId="44" fontId="78" fillId="10" borderId="57" xfId="8" applyFont="1" applyFill="1" applyBorder="1" applyAlignment="1">
      <alignment horizontal="center" vertical="center"/>
    </xf>
    <xf numFmtId="0" fontId="74" fillId="0" borderId="61" xfId="0" applyFont="1" applyBorder="1" applyAlignment="1">
      <alignment horizontal="left" vertical="center" wrapText="1"/>
    </xf>
    <xf numFmtId="0" fontId="77" fillId="14" borderId="57" xfId="0" applyFont="1" applyFill="1" applyBorder="1" applyAlignment="1">
      <alignment horizontal="left" vertical="center" wrapText="1"/>
    </xf>
    <xf numFmtId="44" fontId="68" fillId="0" borderId="0" xfId="0" applyNumberFormat="1" applyFont="1"/>
    <xf numFmtId="0" fontId="77" fillId="0" borderId="52" xfId="0" applyFont="1" applyBorder="1" applyAlignment="1">
      <alignment horizontal="left" vertical="center" wrapText="1"/>
    </xf>
    <xf numFmtId="0" fontId="77" fillId="0" borderId="53" xfId="0" applyFont="1" applyBorder="1" applyAlignment="1">
      <alignment horizontal="left" vertical="center" wrapText="1"/>
    </xf>
    <xf numFmtId="170" fontId="78" fillId="9" borderId="13" xfId="8" applyNumberFormat="1" applyFont="1" applyFill="1" applyBorder="1" applyAlignment="1">
      <alignment horizontal="right"/>
    </xf>
    <xf numFmtId="170" fontId="78" fillId="9" borderId="112" xfId="8" applyNumberFormat="1" applyFont="1" applyFill="1" applyBorder="1" applyAlignment="1">
      <alignment horizontal="right"/>
    </xf>
    <xf numFmtId="44" fontId="78" fillId="9" borderId="13" xfId="8" applyFont="1" applyFill="1" applyBorder="1" applyAlignment="1">
      <alignment horizontal="right"/>
    </xf>
    <xf numFmtId="44" fontId="74" fillId="12" borderId="13" xfId="8" applyFont="1" applyFill="1" applyBorder="1" applyAlignment="1">
      <alignment vertical="center"/>
    </xf>
    <xf numFmtId="9" fontId="77" fillId="13" borderId="13" xfId="1" applyFont="1" applyFill="1" applyBorder="1" applyAlignment="1">
      <alignment vertical="center"/>
    </xf>
    <xf numFmtId="44" fontId="77" fillId="13" borderId="13" xfId="8" applyFont="1" applyFill="1" applyBorder="1" applyAlignment="1">
      <alignment vertical="center"/>
    </xf>
    <xf numFmtId="44" fontId="74" fillId="13" borderId="13" xfId="8" applyFont="1" applyFill="1" applyBorder="1" applyAlignment="1">
      <alignment vertical="center"/>
    </xf>
    <xf numFmtId="44" fontId="74" fillId="13" borderId="112" xfId="8" applyFont="1" applyFill="1" applyBorder="1" applyAlignment="1">
      <alignment vertical="center"/>
    </xf>
    <xf numFmtId="10" fontId="77" fillId="12" borderId="0" xfId="0" applyNumberFormat="1" applyFont="1" applyFill="1" applyAlignment="1">
      <alignment horizontal="center" vertical="center"/>
    </xf>
    <xf numFmtId="49" fontId="77" fillId="0" borderId="89" xfId="0" applyNumberFormat="1" applyFont="1" applyBorder="1" applyAlignment="1">
      <alignment horizontal="left" vertical="center" wrapText="1"/>
    </xf>
    <xf numFmtId="0" fontId="78" fillId="15" borderId="12" xfId="0" applyFont="1" applyFill="1" applyBorder="1"/>
    <xf numFmtId="0" fontId="78" fillId="15" borderId="13" xfId="0" applyFont="1" applyFill="1" applyBorder="1"/>
    <xf numFmtId="44" fontId="78" fillId="15" borderId="13" xfId="0" applyNumberFormat="1" applyFont="1" applyFill="1" applyBorder="1"/>
    <xf numFmtId="44" fontId="78" fillId="15" borderId="112" xfId="0" applyNumberFormat="1" applyFont="1" applyFill="1" applyBorder="1"/>
    <xf numFmtId="9" fontId="78" fillId="15" borderId="12" xfId="1" applyFont="1" applyFill="1" applyBorder="1"/>
    <xf numFmtId="44" fontId="78" fillId="15" borderId="101" xfId="8" applyFont="1" applyFill="1" applyBorder="1"/>
    <xf numFmtId="44" fontId="71" fillId="0" borderId="0" xfId="0" applyNumberFormat="1" applyFont="1" applyAlignment="1">
      <alignment horizontal="center"/>
    </xf>
    <xf numFmtId="44" fontId="71" fillId="0" borderId="0" xfId="0" applyNumberFormat="1" applyFont="1"/>
    <xf numFmtId="0" fontId="55" fillId="0" borderId="11" xfId="0" applyFont="1" applyBorder="1"/>
    <xf numFmtId="0" fontId="60" fillId="19" borderId="39" xfId="0" applyFont="1" applyFill="1" applyBorder="1" applyAlignment="1">
      <alignment horizontal="left" vertical="center" wrapText="1"/>
    </xf>
    <xf numFmtId="49" fontId="60" fillId="14" borderId="40" xfId="0" applyNumberFormat="1" applyFont="1" applyFill="1" applyBorder="1" applyAlignment="1">
      <alignment horizontal="left" vertical="center" wrapText="1"/>
    </xf>
    <xf numFmtId="0" fontId="60" fillId="14" borderId="41" xfId="0" applyFont="1" applyFill="1" applyBorder="1" applyAlignment="1">
      <alignment horizontal="left" vertical="center" wrapText="1"/>
    </xf>
    <xf numFmtId="0" fontId="60" fillId="14" borderId="39" xfId="0" applyFont="1" applyFill="1" applyBorder="1" applyAlignment="1">
      <alignment horizontal="left" vertical="center" wrapText="1"/>
    </xf>
    <xf numFmtId="0" fontId="16" fillId="0" borderId="46" xfId="2" applyFont="1" applyBorder="1" applyAlignment="1">
      <alignment horizontal="left" vertical="center" wrapText="1"/>
    </xf>
    <xf numFmtId="0" fontId="60" fillId="0" borderId="62" xfId="2" applyFont="1" applyBorder="1" applyAlignment="1">
      <alignment horizontal="left" vertical="center" wrapText="1"/>
    </xf>
    <xf numFmtId="0" fontId="60" fillId="14" borderId="62" xfId="2" quotePrefix="1" applyFont="1" applyFill="1" applyBorder="1" applyAlignment="1">
      <alignment horizontal="center" vertical="center"/>
    </xf>
    <xf numFmtId="3" fontId="60" fillId="14" borderId="62" xfId="2" quotePrefix="1" applyNumberFormat="1" applyFont="1" applyFill="1" applyBorder="1" applyAlignment="1">
      <alignment horizontal="center" vertical="center"/>
    </xf>
    <xf numFmtId="44" fontId="60" fillId="14" borderId="62" xfId="8" quotePrefix="1" applyFont="1" applyFill="1" applyBorder="1" applyAlignment="1">
      <alignment vertical="center"/>
    </xf>
    <xf numFmtId="1" fontId="60" fillId="19" borderId="46" xfId="0" applyNumberFormat="1" applyFont="1" applyFill="1" applyBorder="1" applyAlignment="1">
      <alignment horizontal="center" vertical="center"/>
    </xf>
    <xf numFmtId="1" fontId="60" fillId="19" borderId="62" xfId="0" applyNumberFormat="1" applyFont="1" applyFill="1" applyBorder="1" applyAlignment="1">
      <alignment horizontal="center" vertical="center"/>
    </xf>
    <xf numFmtId="44" fontId="63" fillId="19" borderId="62" xfId="8" applyFont="1" applyFill="1" applyBorder="1" applyAlignment="1">
      <alignment vertical="center"/>
    </xf>
    <xf numFmtId="44" fontId="60" fillId="19" borderId="62" xfId="8" applyFont="1" applyFill="1" applyBorder="1" applyAlignment="1">
      <alignment vertical="center"/>
    </xf>
    <xf numFmtId="0" fontId="55" fillId="19" borderId="0" xfId="0" applyFont="1" applyFill="1"/>
    <xf numFmtId="0" fontId="60" fillId="19" borderId="52" xfId="0" applyFont="1" applyFill="1" applyBorder="1" applyAlignment="1">
      <alignment horizontal="left" vertical="center" wrapText="1"/>
    </xf>
    <xf numFmtId="0" fontId="60" fillId="14" borderId="53" xfId="0" applyFont="1" applyFill="1" applyBorder="1" applyAlignment="1">
      <alignment horizontal="left" vertical="center" wrapText="1"/>
    </xf>
    <xf numFmtId="0" fontId="60" fillId="14" borderId="52" xfId="0" applyFont="1" applyFill="1" applyBorder="1" applyAlignment="1">
      <alignment horizontal="left" vertical="center" wrapText="1"/>
    </xf>
    <xf numFmtId="9" fontId="60" fillId="13" borderId="0" xfId="1" applyFont="1" applyFill="1" applyBorder="1" applyAlignment="1">
      <alignment vertical="center"/>
    </xf>
    <xf numFmtId="44" fontId="60" fillId="13" borderId="0" xfId="8" applyFont="1" applyFill="1" applyBorder="1" applyAlignment="1">
      <alignment vertical="center"/>
    </xf>
    <xf numFmtId="0" fontId="60" fillId="19" borderId="87" xfId="0" applyFont="1" applyFill="1" applyBorder="1" applyAlignment="1">
      <alignment horizontal="left" vertical="center" wrapText="1"/>
    </xf>
    <xf numFmtId="0" fontId="60" fillId="14" borderId="88" xfId="0" applyFont="1" applyFill="1" applyBorder="1" applyAlignment="1">
      <alignment horizontal="left" vertical="center" wrapText="1"/>
    </xf>
    <xf numFmtId="0" fontId="60" fillId="14" borderId="87" xfId="0" applyFont="1" applyFill="1" applyBorder="1" applyAlignment="1">
      <alignment horizontal="left" vertical="center" wrapText="1"/>
    </xf>
    <xf numFmtId="44" fontId="16" fillId="10" borderId="98" xfId="8" applyFont="1" applyFill="1" applyBorder="1" applyAlignment="1">
      <alignment horizontal="center" vertical="center"/>
    </xf>
    <xf numFmtId="44" fontId="16" fillId="10" borderId="99" xfId="8" applyFont="1" applyFill="1" applyBorder="1" applyAlignment="1">
      <alignment horizontal="center" vertical="center"/>
    </xf>
    <xf numFmtId="44" fontId="16" fillId="10" borderId="100" xfId="8" applyFont="1" applyFill="1" applyBorder="1" applyAlignment="1">
      <alignment horizontal="center" vertical="center"/>
    </xf>
    <xf numFmtId="10" fontId="16" fillId="10" borderId="57" xfId="0" applyNumberFormat="1" applyFont="1" applyFill="1" applyBorder="1" applyAlignment="1">
      <alignment horizontal="center" vertical="center"/>
    </xf>
    <xf numFmtId="8" fontId="60" fillId="11" borderId="0" xfId="0" applyNumberFormat="1" applyFont="1" applyFill="1"/>
    <xf numFmtId="44" fontId="60" fillId="11" borderId="0" xfId="0" applyNumberFormat="1" applyFont="1" applyFill="1"/>
    <xf numFmtId="14" fontId="60" fillId="11" borderId="0" xfId="0" applyNumberFormat="1" applyFont="1" applyFill="1"/>
    <xf numFmtId="0" fontId="60" fillId="11" borderId="0" xfId="0" applyFont="1" applyFill="1" applyAlignment="1">
      <alignment wrapText="1"/>
    </xf>
    <xf numFmtId="0" fontId="35" fillId="0" borderId="11" xfId="0" applyFont="1" applyBorder="1"/>
    <xf numFmtId="0" fontId="42" fillId="19" borderId="39" xfId="0" applyFont="1" applyFill="1" applyBorder="1" applyAlignment="1">
      <alignment horizontal="left" vertical="center" wrapText="1"/>
    </xf>
    <xf numFmtId="49" fontId="42" fillId="14" borderId="40" xfId="0" applyNumberFormat="1" applyFont="1" applyFill="1" applyBorder="1" applyAlignment="1">
      <alignment horizontal="left" vertical="center" wrapText="1"/>
    </xf>
    <xf numFmtId="0" fontId="42" fillId="14" borderId="41" xfId="0" applyFont="1" applyFill="1" applyBorder="1" applyAlignment="1">
      <alignment horizontal="left" vertical="center" wrapText="1"/>
    </xf>
    <xf numFmtId="0" fontId="42" fillId="14" borderId="39" xfId="0" applyFont="1" applyFill="1" applyBorder="1" applyAlignment="1">
      <alignment horizontal="left" vertical="center" wrapText="1"/>
    </xf>
    <xf numFmtId="0" fontId="40" fillId="0" borderId="46" xfId="2" applyFont="1" applyBorder="1" applyAlignment="1">
      <alignment horizontal="left" vertical="center" wrapText="1"/>
    </xf>
    <xf numFmtId="0" fontId="42" fillId="0" borderId="62" xfId="2" applyFont="1" applyBorder="1" applyAlignment="1">
      <alignment horizontal="left" vertical="center" wrapText="1"/>
    </xf>
    <xf numFmtId="0" fontId="42" fillId="14" borderId="62" xfId="2" quotePrefix="1" applyFont="1" applyFill="1" applyBorder="1" applyAlignment="1">
      <alignment horizontal="center" vertical="center"/>
    </xf>
    <xf numFmtId="3" fontId="42" fillId="14" borderId="62" xfId="2" quotePrefix="1" applyNumberFormat="1" applyFont="1" applyFill="1" applyBorder="1" applyAlignment="1">
      <alignment horizontal="center" vertical="center"/>
    </xf>
    <xf numFmtId="44" fontId="42" fillId="14" borderId="62" xfId="8" quotePrefix="1" applyFont="1" applyFill="1" applyBorder="1" applyAlignment="1">
      <alignment vertical="center"/>
    </xf>
    <xf numFmtId="1" fontId="42" fillId="19" borderId="46" xfId="0" applyNumberFormat="1" applyFont="1" applyFill="1" applyBorder="1" applyAlignment="1">
      <alignment horizontal="center" vertical="center"/>
    </xf>
    <xf numFmtId="1" fontId="42" fillId="19" borderId="62" xfId="0" applyNumberFormat="1" applyFont="1" applyFill="1" applyBorder="1" applyAlignment="1">
      <alignment horizontal="center" vertical="center"/>
    </xf>
    <xf numFmtId="44" fontId="45" fillId="19" borderId="62" xfId="8" applyFont="1" applyFill="1" applyBorder="1" applyAlignment="1">
      <alignment vertical="center"/>
    </xf>
    <xf numFmtId="44" fontId="42" fillId="19" borderId="62" xfId="8" applyFont="1" applyFill="1" applyBorder="1" applyAlignment="1">
      <alignment vertical="center"/>
    </xf>
    <xf numFmtId="0" fontId="35" fillId="19" borderId="0" xfId="0" applyFont="1" applyFill="1"/>
    <xf numFmtId="1" fontId="42" fillId="19" borderId="61" xfId="0" applyNumberFormat="1" applyFont="1" applyFill="1" applyBorder="1" applyAlignment="1">
      <alignment horizontal="center" vertical="center"/>
    </xf>
    <xf numFmtId="1" fontId="42" fillId="19" borderId="57" xfId="0" applyNumberFormat="1" applyFont="1" applyFill="1" applyBorder="1" applyAlignment="1">
      <alignment horizontal="center" vertical="center"/>
    </xf>
    <xf numFmtId="44" fontId="45" fillId="19" borderId="57" xfId="8" applyFont="1" applyFill="1" applyBorder="1" applyAlignment="1">
      <alignment vertical="center"/>
    </xf>
    <xf numFmtId="44" fontId="42" fillId="19" borderId="57" xfId="8" applyFont="1" applyFill="1" applyBorder="1" applyAlignment="1">
      <alignment vertical="center"/>
    </xf>
    <xf numFmtId="0" fontId="42" fillId="19" borderId="52" xfId="0" applyFont="1" applyFill="1" applyBorder="1" applyAlignment="1">
      <alignment horizontal="left" vertical="center" wrapText="1"/>
    </xf>
    <xf numFmtId="0" fontId="42" fillId="14" borderId="53" xfId="0" applyFont="1" applyFill="1" applyBorder="1" applyAlignment="1">
      <alignment horizontal="left" vertical="center" wrapText="1"/>
    </xf>
    <xf numFmtId="0" fontId="42" fillId="14" borderId="52" xfId="0" applyFont="1" applyFill="1" applyBorder="1" applyAlignment="1">
      <alignment horizontal="left" vertical="center" wrapText="1"/>
    </xf>
    <xf numFmtId="170" fontId="26" fillId="9" borderId="54" xfId="8" applyNumberFormat="1" applyFont="1" applyFill="1" applyBorder="1" applyAlignment="1">
      <alignment horizontal="right"/>
    </xf>
    <xf numFmtId="170" fontId="26" fillId="9" borderId="55" xfId="8" applyNumberFormat="1" applyFont="1" applyFill="1" applyBorder="1" applyAlignment="1">
      <alignment horizontal="right"/>
    </xf>
    <xf numFmtId="170" fontId="26" fillId="9" borderId="85" xfId="8" applyNumberFormat="1" applyFont="1" applyFill="1" applyBorder="1" applyAlignment="1">
      <alignment horizontal="right"/>
    </xf>
    <xf numFmtId="170" fontId="26" fillId="9" borderId="15" xfId="8" applyNumberFormat="1" applyFont="1" applyFill="1" applyBorder="1" applyAlignment="1">
      <alignment horizontal="right"/>
    </xf>
    <xf numFmtId="44" fontId="26" fillId="9" borderId="0" xfId="8" applyFont="1" applyFill="1" applyBorder="1" applyAlignment="1">
      <alignment horizontal="right"/>
    </xf>
    <xf numFmtId="44" fontId="40" fillId="12" borderId="0" xfId="8" applyFont="1" applyFill="1" applyBorder="1" applyAlignment="1">
      <alignment vertical="center"/>
    </xf>
    <xf numFmtId="9" fontId="42" fillId="13" borderId="0" xfId="1" applyFont="1" applyFill="1" applyBorder="1" applyAlignment="1">
      <alignment vertical="center"/>
    </xf>
    <xf numFmtId="44" fontId="42" fillId="13" borderId="0" xfId="8" applyFont="1" applyFill="1" applyBorder="1" applyAlignment="1">
      <alignment vertical="center"/>
    </xf>
    <xf numFmtId="44" fontId="40" fillId="13" borderId="0" xfId="8" applyFont="1" applyFill="1" applyBorder="1" applyAlignment="1">
      <alignment vertical="center"/>
    </xf>
    <xf numFmtId="44" fontId="40" fillId="13" borderId="114" xfId="8" applyFont="1" applyFill="1" applyBorder="1" applyAlignment="1">
      <alignment vertical="center"/>
    </xf>
    <xf numFmtId="10" fontId="42" fillId="12" borderId="54" xfId="0" applyNumberFormat="1" applyFont="1" applyFill="1" applyBorder="1" applyAlignment="1">
      <alignment horizontal="center" vertical="center"/>
    </xf>
    <xf numFmtId="10" fontId="42" fillId="12" borderId="85" xfId="0" applyNumberFormat="1" applyFont="1" applyFill="1" applyBorder="1" applyAlignment="1">
      <alignment horizontal="center" vertical="center"/>
    </xf>
    <xf numFmtId="0" fontId="42" fillId="19" borderId="87" xfId="0" applyFont="1" applyFill="1" applyBorder="1" applyAlignment="1">
      <alignment horizontal="left" vertical="center" wrapText="1"/>
    </xf>
    <xf numFmtId="0" fontId="42" fillId="14" borderId="88" xfId="0" applyFont="1" applyFill="1" applyBorder="1" applyAlignment="1">
      <alignment horizontal="left" vertical="center" wrapText="1"/>
    </xf>
    <xf numFmtId="0" fontId="42" fillId="14" borderId="87" xfId="0" applyFont="1" applyFill="1" applyBorder="1" applyAlignment="1">
      <alignment horizontal="left" vertical="center" wrapText="1"/>
    </xf>
    <xf numFmtId="44" fontId="40" fillId="10" borderId="98" xfId="8" applyFont="1" applyFill="1" applyBorder="1" applyAlignment="1">
      <alignment horizontal="center" vertical="center"/>
    </xf>
    <xf numFmtId="44" fontId="40" fillId="10" borderId="99" xfId="8" applyFont="1" applyFill="1" applyBorder="1" applyAlignment="1">
      <alignment horizontal="center" vertical="center"/>
    </xf>
    <xf numFmtId="44" fontId="40" fillId="10" borderId="100" xfId="8" applyFont="1" applyFill="1" applyBorder="1" applyAlignment="1">
      <alignment horizontal="center" vertical="center"/>
    </xf>
    <xf numFmtId="10" fontId="40" fillId="10" borderId="57" xfId="0" applyNumberFormat="1" applyFont="1" applyFill="1" applyBorder="1" applyAlignment="1">
      <alignment horizontal="center" vertical="center"/>
    </xf>
    <xf numFmtId="0" fontId="42" fillId="19" borderId="56" xfId="0" applyFont="1" applyFill="1" applyBorder="1" applyAlignment="1">
      <alignment horizontal="left" vertical="center" wrapText="1"/>
    </xf>
    <xf numFmtId="0" fontId="42" fillId="14" borderId="0" xfId="0" applyFont="1" applyFill="1" applyAlignment="1">
      <alignment horizontal="left" vertical="center" wrapText="1"/>
    </xf>
    <xf numFmtId="0" fontId="42" fillId="14" borderId="56" xfId="0" applyFont="1" applyFill="1" applyBorder="1" applyAlignment="1">
      <alignment horizontal="left" vertical="center" wrapText="1"/>
    </xf>
    <xf numFmtId="0" fontId="40" fillId="0" borderId="64" xfId="2" applyFont="1" applyBorder="1" applyAlignment="1">
      <alignment horizontal="left" vertical="center" wrapText="1"/>
    </xf>
    <xf numFmtId="0" fontId="42" fillId="0" borderId="65" xfId="2" applyFont="1" applyBorder="1" applyAlignment="1">
      <alignment horizontal="left" vertical="center" wrapText="1"/>
    </xf>
    <xf numFmtId="0" fontId="42" fillId="14" borderId="65" xfId="2" quotePrefix="1" applyFont="1" applyFill="1" applyBorder="1" applyAlignment="1">
      <alignment horizontal="center" vertical="center"/>
    </xf>
    <xf numFmtId="3" fontId="42" fillId="14" borderId="65" xfId="2" quotePrefix="1" applyNumberFormat="1" applyFont="1" applyFill="1" applyBorder="1" applyAlignment="1">
      <alignment horizontal="center" vertical="center"/>
    </xf>
    <xf numFmtId="44" fontId="42" fillId="14" borderId="65" xfId="8" quotePrefix="1" applyFont="1" applyFill="1" applyBorder="1" applyAlignment="1">
      <alignment vertical="center"/>
    </xf>
    <xf numFmtId="44" fontId="42" fillId="14" borderId="66" xfId="8" applyFont="1" applyFill="1" applyBorder="1" applyAlignment="1">
      <alignment vertical="center"/>
    </xf>
    <xf numFmtId="44" fontId="40" fillId="13" borderId="15" xfId="8" applyFont="1" applyFill="1" applyBorder="1" applyAlignment="1">
      <alignment vertical="center"/>
    </xf>
    <xf numFmtId="0" fontId="40" fillId="0" borderId="90" xfId="2" applyFont="1" applyBorder="1" applyAlignment="1">
      <alignment horizontal="left" vertical="center" wrapText="1"/>
    </xf>
    <xf numFmtId="0" fontId="42" fillId="0" borderId="85" xfId="2" applyFont="1" applyBorder="1" applyAlignment="1">
      <alignment horizontal="left" vertical="center" wrapText="1"/>
    </xf>
    <xf numFmtId="0" fontId="42" fillId="14" borderId="85" xfId="2" quotePrefix="1" applyFont="1" applyFill="1" applyBorder="1" applyAlignment="1">
      <alignment horizontal="center" vertical="center"/>
    </xf>
    <xf numFmtId="3" fontId="42" fillId="14" borderId="85" xfId="2" quotePrefix="1" applyNumberFormat="1" applyFont="1" applyFill="1" applyBorder="1" applyAlignment="1">
      <alignment horizontal="center" vertical="center"/>
    </xf>
    <xf numFmtId="44" fontId="42" fillId="14" borderId="85" xfId="8" quotePrefix="1" applyFont="1" applyFill="1" applyBorder="1" applyAlignment="1">
      <alignment vertical="center"/>
    </xf>
    <xf numFmtId="44" fontId="42" fillId="14" borderId="86" xfId="8" applyFont="1" applyFill="1" applyBorder="1" applyAlignment="1">
      <alignment vertical="center"/>
    </xf>
    <xf numFmtId="0" fontId="40" fillId="14" borderId="90" xfId="2" applyFont="1" applyFill="1" applyBorder="1" applyAlignment="1">
      <alignment horizontal="left" vertical="center" wrapText="1"/>
    </xf>
    <xf numFmtId="0" fontId="42" fillId="14" borderId="85" xfId="2" applyFont="1" applyFill="1" applyBorder="1" applyAlignment="1">
      <alignment horizontal="left" vertical="center" wrapText="1"/>
    </xf>
    <xf numFmtId="1" fontId="42" fillId="19" borderId="64" xfId="0" applyNumberFormat="1" applyFont="1" applyFill="1" applyBorder="1" applyAlignment="1">
      <alignment horizontal="center" vertical="center"/>
    </xf>
    <xf numFmtId="1" fontId="42" fillId="19" borderId="65" xfId="0" applyNumberFormat="1" applyFont="1" applyFill="1" applyBorder="1" applyAlignment="1">
      <alignment horizontal="center" vertical="center"/>
    </xf>
    <xf numFmtId="44" fontId="45" fillId="19" borderId="65" xfId="8" applyFont="1" applyFill="1" applyBorder="1" applyAlignment="1">
      <alignment vertical="center"/>
    </xf>
    <xf numFmtId="44" fontId="42" fillId="19" borderId="65" xfId="8" applyFont="1" applyFill="1" applyBorder="1" applyAlignment="1">
      <alignment vertical="center"/>
    </xf>
    <xf numFmtId="0" fontId="40" fillId="14" borderId="64" xfId="2" applyFont="1" applyFill="1" applyBorder="1" applyAlignment="1">
      <alignment horizontal="left" vertical="center" wrapText="1"/>
    </xf>
    <xf numFmtId="170" fontId="26" fillId="9" borderId="0" xfId="8" applyNumberFormat="1" applyFont="1" applyFill="1" applyBorder="1" applyAlignment="1">
      <alignment horizontal="right"/>
    </xf>
    <xf numFmtId="44" fontId="40" fillId="13" borderId="101" xfId="8" applyFont="1" applyFill="1" applyBorder="1" applyAlignment="1">
      <alignment vertical="center"/>
    </xf>
    <xf numFmtId="8" fontId="42" fillId="11" borderId="0" xfId="0" applyNumberFormat="1" applyFont="1" applyFill="1"/>
    <xf numFmtId="44" fontId="42" fillId="11" borderId="0" xfId="0" applyNumberFormat="1" applyFont="1" applyFill="1"/>
    <xf numFmtId="14" fontId="42" fillId="11" borderId="0" xfId="0" applyNumberFormat="1" applyFont="1" applyFill="1"/>
    <xf numFmtId="0" fontId="42" fillId="11" borderId="0" xfId="0" applyFont="1" applyFill="1" applyAlignment="1">
      <alignment wrapText="1"/>
    </xf>
    <xf numFmtId="170" fontId="40" fillId="10" borderId="98" xfId="8" applyNumberFormat="1" applyFont="1" applyFill="1" applyBorder="1" applyAlignment="1">
      <alignment horizontal="center" vertical="center"/>
    </xf>
    <xf numFmtId="170" fontId="40" fillId="10" borderId="99" xfId="8" applyNumberFormat="1" applyFont="1" applyFill="1" applyBorder="1" applyAlignment="1">
      <alignment horizontal="center" vertical="center"/>
    </xf>
    <xf numFmtId="170" fontId="26" fillId="10" borderId="100" xfId="8" applyNumberFormat="1" applyFont="1" applyFill="1" applyBorder="1" applyAlignment="1">
      <alignment horizontal="center" vertical="center"/>
    </xf>
    <xf numFmtId="0" fontId="36" fillId="0" borderId="64" xfId="2" applyFont="1" applyBorder="1" applyAlignment="1">
      <alignment horizontal="left" vertical="center" wrapText="1"/>
    </xf>
    <xf numFmtId="44" fontId="46" fillId="19" borderId="57" xfId="8" applyFont="1" applyFill="1" applyBorder="1" applyAlignment="1">
      <alignment vertical="center"/>
    </xf>
    <xf numFmtId="0" fontId="16" fillId="0" borderId="58" xfId="0" applyFont="1" applyBorder="1" applyAlignment="1">
      <alignment horizontal="left" vertical="center" wrapText="1"/>
    </xf>
    <xf numFmtId="0" fontId="60" fillId="0" borderId="59" xfId="0" applyFont="1" applyBorder="1" applyAlignment="1">
      <alignment horizontal="left" vertical="center" wrapText="1"/>
    </xf>
    <xf numFmtId="0" fontId="60" fillId="14" borderId="59" xfId="0" applyFont="1" applyFill="1" applyBorder="1" applyAlignment="1">
      <alignment horizontal="center" vertical="center"/>
    </xf>
    <xf numFmtId="44" fontId="60" fillId="14" borderId="59" xfId="8" applyFont="1" applyFill="1" applyBorder="1" applyAlignment="1">
      <alignment vertical="center"/>
    </xf>
    <xf numFmtId="44" fontId="60" fillId="0" borderId="59" xfId="8" applyFont="1" applyBorder="1" applyAlignment="1">
      <alignment vertical="center"/>
    </xf>
    <xf numFmtId="44" fontId="60" fillId="0" borderId="105" xfId="8" applyFont="1" applyBorder="1" applyAlignment="1">
      <alignment vertical="center"/>
    </xf>
    <xf numFmtId="0" fontId="6" fillId="0" borderId="61" xfId="0" applyFont="1" applyBorder="1" applyAlignment="1">
      <alignment horizontal="left" vertical="center" wrapText="1"/>
    </xf>
    <xf numFmtId="0" fontId="66" fillId="14" borderId="57" xfId="0" applyFont="1" applyFill="1" applyBorder="1" applyAlignment="1">
      <alignment horizontal="center" vertical="center"/>
    </xf>
    <xf numFmtId="44" fontId="66" fillId="0" borderId="62" xfId="8" applyFont="1" applyBorder="1" applyAlignment="1">
      <alignment vertical="center"/>
    </xf>
    <xf numFmtId="44" fontId="66" fillId="0" borderId="47" xfId="8" applyFont="1" applyBorder="1" applyAlignment="1">
      <alignment vertical="center"/>
    </xf>
    <xf numFmtId="9" fontId="60" fillId="13" borderId="62" xfId="1" applyFont="1" applyFill="1" applyBorder="1" applyAlignment="1">
      <alignment vertical="center"/>
    </xf>
    <xf numFmtId="44" fontId="60" fillId="13" borderId="62" xfId="8" applyFont="1" applyFill="1" applyBorder="1" applyAlignment="1">
      <alignment vertical="center"/>
    </xf>
    <xf numFmtId="44" fontId="23" fillId="15" borderId="48" xfId="8" applyFont="1" applyFill="1" applyBorder="1" applyAlignment="1">
      <alignment horizontal="center"/>
    </xf>
    <xf numFmtId="44" fontId="23" fillId="15" borderId="105" xfId="8" applyFont="1" applyFill="1" applyBorder="1" applyAlignment="1">
      <alignment horizontal="center"/>
    </xf>
    <xf numFmtId="49" fontId="60" fillId="14" borderId="89" xfId="0" applyNumberFormat="1" applyFont="1" applyFill="1" applyBorder="1" applyAlignment="1">
      <alignment horizontal="left" vertical="center" wrapText="1"/>
    </xf>
    <xf numFmtId="0" fontId="23" fillId="15" borderId="5" xfId="2" applyFont="1" applyFill="1" applyBorder="1" applyAlignment="1">
      <alignment horizontal="left"/>
    </xf>
    <xf numFmtId="0" fontId="23" fillId="15" borderId="34" xfId="2" applyFont="1" applyFill="1" applyBorder="1" applyAlignment="1">
      <alignment horizontal="left"/>
    </xf>
    <xf numFmtId="170" fontId="23" fillId="15" borderId="34" xfId="8" applyNumberFormat="1" applyFont="1" applyFill="1" applyBorder="1" applyAlignment="1">
      <alignment horizontal="right"/>
    </xf>
    <xf numFmtId="170" fontId="23" fillId="15" borderId="104" xfId="8" applyNumberFormat="1" applyFont="1" applyFill="1" applyBorder="1" applyAlignment="1">
      <alignment horizontal="right"/>
    </xf>
    <xf numFmtId="1" fontId="23" fillId="15" borderId="5" xfId="0" applyNumberFormat="1" applyFont="1" applyFill="1" applyBorder="1" applyAlignment="1">
      <alignment horizontal="left"/>
    </xf>
    <xf numFmtId="1" fontId="23" fillId="15" borderId="34" xfId="0" applyNumberFormat="1" applyFont="1" applyFill="1" applyBorder="1" applyAlignment="1">
      <alignment horizontal="left"/>
    </xf>
    <xf numFmtId="44" fontId="23" fillId="15" borderId="34" xfId="8" applyFont="1" applyFill="1" applyBorder="1" applyAlignment="1">
      <alignment horizontal="right"/>
    </xf>
    <xf numFmtId="44" fontId="23" fillId="15" borderId="34" xfId="8" applyFont="1" applyFill="1" applyBorder="1" applyAlignment="1">
      <alignment vertical="center"/>
    </xf>
    <xf numFmtId="9" fontId="23" fillId="15" borderId="34" xfId="1" applyFont="1" applyFill="1" applyBorder="1" applyAlignment="1">
      <alignment vertical="center"/>
    </xf>
    <xf numFmtId="44" fontId="23" fillId="15" borderId="104" xfId="8" applyFont="1" applyFill="1" applyBorder="1" applyAlignment="1">
      <alignment vertical="center"/>
    </xf>
    <xf numFmtId="9" fontId="23" fillId="15" borderId="12" xfId="1" applyFont="1" applyFill="1" applyBorder="1" applyAlignment="1">
      <alignment horizontal="center" vertical="center"/>
    </xf>
    <xf numFmtId="44" fontId="23" fillId="15" borderId="106" xfId="8" applyFont="1" applyFill="1" applyBorder="1" applyAlignment="1">
      <alignment horizontal="center" vertical="center"/>
    </xf>
    <xf numFmtId="164" fontId="36" fillId="0" borderId="80" xfId="2" applyNumberFormat="1" applyFont="1" applyBorder="1" applyAlignment="1" applyProtection="1">
      <alignment horizontal="left" vertical="center"/>
      <protection locked="0"/>
    </xf>
    <xf numFmtId="164" fontId="36" fillId="0" borderId="94" xfId="2" applyNumberFormat="1" applyFont="1" applyBorder="1" applyAlignment="1" applyProtection="1">
      <alignment horizontal="left" vertical="center"/>
      <protection locked="0"/>
    </xf>
    <xf numFmtId="164" fontId="36" fillId="0" borderId="75" xfId="2" applyNumberFormat="1" applyFont="1" applyBorder="1" applyAlignment="1" applyProtection="1">
      <alignment horizontal="left" vertical="center"/>
      <protection locked="0"/>
    </xf>
    <xf numFmtId="164" fontId="36" fillId="0" borderId="83" xfId="2" applyNumberFormat="1" applyFont="1" applyBorder="1" applyAlignment="1" applyProtection="1">
      <alignment horizontal="left" vertical="center"/>
      <protection locked="0"/>
    </xf>
    <xf numFmtId="0" fontId="36" fillId="0" borderId="83" xfId="2" applyFont="1" applyBorder="1" applyAlignment="1" applyProtection="1">
      <alignment horizontal="left" vertical="center"/>
      <protection locked="0"/>
    </xf>
    <xf numFmtId="14" fontId="36" fillId="0" borderId="83" xfId="2" applyNumberFormat="1" applyFont="1" applyBorder="1" applyAlignment="1" applyProtection="1">
      <alignment horizontal="left" vertical="center"/>
      <protection locked="0"/>
    </xf>
    <xf numFmtId="164" fontId="36" fillId="0" borderId="12" xfId="2" applyNumberFormat="1" applyFont="1" applyBorder="1" applyAlignment="1" applyProtection="1">
      <alignment horizontal="left" vertical="center"/>
      <protection locked="0"/>
    </xf>
    <xf numFmtId="0" fontId="36" fillId="0" borderId="108" xfId="2" applyFont="1" applyBorder="1" applyAlignment="1" applyProtection="1">
      <alignment horizontal="left" vertical="center"/>
      <protection locked="0"/>
    </xf>
    <xf numFmtId="168" fontId="39" fillId="0" borderId="107" xfId="1" applyNumberFormat="1" applyFont="1" applyBorder="1"/>
    <xf numFmtId="0" fontId="36" fillId="6" borderId="102" xfId="3" applyFont="1" applyFill="1" applyBorder="1" applyAlignment="1">
      <alignment horizontal="left" vertical="center"/>
    </xf>
    <xf numFmtId="0" fontId="36" fillId="6" borderId="71" xfId="3" applyFont="1" applyFill="1" applyBorder="1" applyAlignment="1">
      <alignment horizontal="center" vertical="center"/>
    </xf>
    <xf numFmtId="0" fontId="40" fillId="10" borderId="110" xfId="0" applyFont="1" applyFill="1" applyBorder="1" applyAlignment="1">
      <alignment horizontal="center" vertical="center"/>
    </xf>
    <xf numFmtId="44" fontId="42" fillId="0" borderId="65" xfId="8" quotePrefix="1" applyFont="1" applyBorder="1" applyAlignment="1">
      <alignment vertical="center"/>
    </xf>
    <xf numFmtId="0" fontId="42" fillId="14" borderId="46" xfId="2" applyFont="1" applyFill="1" applyBorder="1" applyAlignment="1">
      <alignment horizontal="left" vertical="center" wrapText="1"/>
    </xf>
    <xf numFmtId="0" fontId="42" fillId="0" borderId="62" xfId="2" quotePrefix="1" applyFont="1" applyBorder="1" applyAlignment="1">
      <alignment horizontal="center" vertical="center"/>
    </xf>
    <xf numFmtId="3" fontId="42" fillId="0" borderId="62" xfId="2" quotePrefix="1" applyNumberFormat="1" applyFont="1" applyBorder="1" applyAlignment="1">
      <alignment horizontal="center" vertical="center"/>
    </xf>
    <xf numFmtId="1" fontId="42" fillId="22" borderId="72" xfId="0" applyNumberFormat="1" applyFont="1" applyFill="1" applyBorder="1" applyAlignment="1">
      <alignment horizontal="center" vertical="center"/>
    </xf>
    <xf numFmtId="1" fontId="42" fillId="22" borderId="73" xfId="0" applyNumberFormat="1" applyFont="1" applyFill="1" applyBorder="1" applyAlignment="1">
      <alignment horizontal="center" vertical="center"/>
    </xf>
    <xf numFmtId="44" fontId="42" fillId="22" borderId="62" xfId="8" quotePrefix="1" applyFont="1" applyFill="1" applyBorder="1" applyAlignment="1">
      <alignment vertical="center"/>
    </xf>
    <xf numFmtId="44" fontId="42" fillId="0" borderId="62" xfId="8" quotePrefix="1" applyFont="1" applyBorder="1" applyAlignment="1">
      <alignment vertical="center"/>
    </xf>
    <xf numFmtId="0" fontId="42" fillId="14" borderId="61" xfId="2" applyFont="1" applyFill="1" applyBorder="1" applyAlignment="1">
      <alignment horizontal="left" vertical="center" wrapText="1"/>
    </xf>
    <xf numFmtId="44" fontId="42" fillId="0" borderId="57" xfId="8" quotePrefix="1" applyFont="1" applyBorder="1" applyAlignment="1">
      <alignment vertical="center"/>
    </xf>
    <xf numFmtId="1" fontId="42" fillId="22" borderId="75" xfId="0" applyNumberFormat="1" applyFont="1" applyFill="1" applyBorder="1" applyAlignment="1">
      <alignment horizontal="center" vertical="center"/>
    </xf>
    <xf numFmtId="1" fontId="42" fillId="22" borderId="6" xfId="0" applyNumberFormat="1" applyFont="1" applyFill="1" applyBorder="1" applyAlignment="1">
      <alignment horizontal="center" vertical="center"/>
    </xf>
    <xf numFmtId="44" fontId="42" fillId="22" borderId="57" xfId="8" quotePrefix="1" applyFont="1" applyFill="1" applyBorder="1" applyAlignment="1">
      <alignment vertical="center"/>
    </xf>
    <xf numFmtId="1" fontId="51" fillId="22" borderId="75" xfId="0" applyNumberFormat="1" applyFont="1" applyFill="1" applyBorder="1" applyAlignment="1">
      <alignment horizontal="center" vertical="center"/>
    </xf>
    <xf numFmtId="1" fontId="51" fillId="22" borderId="6" xfId="0" applyNumberFormat="1" applyFont="1" applyFill="1" applyBorder="1" applyAlignment="1">
      <alignment horizontal="center" vertical="center"/>
    </xf>
    <xf numFmtId="44" fontId="51" fillId="22" borderId="57" xfId="8" quotePrefix="1" applyFont="1" applyFill="1" applyBorder="1" applyAlignment="1">
      <alignment vertical="center"/>
    </xf>
    <xf numFmtId="44" fontId="26" fillId="15" borderId="14" xfId="8" applyFont="1" applyFill="1" applyBorder="1" applyAlignment="1">
      <alignment horizontal="center"/>
    </xf>
    <xf numFmtId="44" fontId="26" fillId="15" borderId="114" xfId="8" applyFont="1" applyFill="1" applyBorder="1" applyAlignment="1">
      <alignment horizontal="center"/>
    </xf>
    <xf numFmtId="0" fontId="20" fillId="27" borderId="0" xfId="0" applyFont="1" applyFill="1"/>
    <xf numFmtId="44" fontId="20" fillId="27" borderId="0" xfId="8" applyFont="1" applyFill="1"/>
    <xf numFmtId="44" fontId="2" fillId="0" borderId="0" xfId="8" applyFont="1"/>
    <xf numFmtId="0" fontId="40" fillId="0" borderId="0" xfId="0" applyFont="1"/>
    <xf numFmtId="0" fontId="58" fillId="0" borderId="0" xfId="0" applyFont="1"/>
    <xf numFmtId="0" fontId="58" fillId="19" borderId="0" xfId="0" applyFont="1" applyFill="1"/>
    <xf numFmtId="0" fontId="2" fillId="0" borderId="0" xfId="0" applyFont="1"/>
    <xf numFmtId="0" fontId="2" fillId="19" borderId="0" xfId="0" applyFont="1" applyFill="1"/>
    <xf numFmtId="0" fontId="35" fillId="14" borderId="0" xfId="0" applyFont="1" applyFill="1"/>
    <xf numFmtId="0" fontId="36" fillId="14" borderId="61" xfId="2" applyFont="1" applyFill="1" applyBorder="1" applyAlignment="1">
      <alignment horizontal="left" vertical="center" wrapText="1"/>
    </xf>
    <xf numFmtId="0" fontId="39" fillId="19" borderId="0" xfId="0" applyFont="1" applyFill="1"/>
    <xf numFmtId="0" fontId="71" fillId="0" borderId="0" xfId="0" applyFont="1"/>
    <xf numFmtId="0" fontId="0" fillId="0" borderId="0" xfId="0" applyAlignment="1">
      <alignment horizontal="center"/>
    </xf>
    <xf numFmtId="0" fontId="67" fillId="0" borderId="0" xfId="0" applyFont="1"/>
    <xf numFmtId="44" fontId="19" fillId="0" borderId="99" xfId="8" applyFont="1" applyBorder="1" applyAlignment="1">
      <alignment horizontal="left"/>
    </xf>
    <xf numFmtId="44" fontId="19" fillId="0" borderId="99" xfId="8" applyFont="1" applyBorder="1"/>
    <xf numFmtId="44" fontId="19" fillId="26" borderId="65" xfId="8" applyFont="1" applyFill="1" applyBorder="1" applyAlignment="1">
      <alignment horizontal="center"/>
    </xf>
    <xf numFmtId="44" fontId="19" fillId="26" borderId="57" xfId="8" applyFont="1" applyFill="1" applyBorder="1"/>
    <xf numFmtId="44" fontId="19" fillId="0" borderId="69" xfId="8" applyFont="1" applyBorder="1" applyAlignment="1">
      <alignment horizontal="left"/>
    </xf>
    <xf numFmtId="0" fontId="19" fillId="26" borderId="57" xfId="0" applyFont="1" applyFill="1" applyBorder="1"/>
    <xf numFmtId="44" fontId="18" fillId="0" borderId="0" xfId="0" applyNumberFormat="1" applyFont="1"/>
    <xf numFmtId="44" fontId="91" fillId="0" borderId="0" xfId="0" applyNumberFormat="1" applyFont="1"/>
    <xf numFmtId="168" fontId="2" fillId="0" borderId="113" xfId="1" applyNumberFormat="1" applyFont="1" applyBorder="1"/>
    <xf numFmtId="166" fontId="92" fillId="6" borderId="46" xfId="4" applyNumberFormat="1" applyFont="1" applyFill="1" applyBorder="1" applyAlignment="1">
      <alignment horizontal="center" vertical="center" wrapText="1"/>
    </xf>
    <xf numFmtId="166" fontId="93" fillId="6" borderId="47" xfId="4" applyNumberFormat="1" applyFont="1" applyFill="1" applyBorder="1" applyAlignment="1">
      <alignment horizontal="center" vertical="center" wrapText="1"/>
    </xf>
    <xf numFmtId="0" fontId="22" fillId="0" borderId="52" xfId="0" applyFont="1" applyBorder="1" applyAlignment="1">
      <alignment horizontal="left" vertical="center" wrapText="1"/>
    </xf>
    <xf numFmtId="0" fontId="22" fillId="0" borderId="53" xfId="0" applyFont="1" applyBorder="1" applyAlignment="1">
      <alignment horizontal="left" vertical="center" wrapText="1"/>
    </xf>
    <xf numFmtId="10" fontId="9" fillId="6" borderId="54" xfId="5" applyNumberFormat="1" applyFont="1" applyFill="1" applyBorder="1" applyAlignment="1">
      <alignment horizontal="center" vertical="center" wrapText="1"/>
    </xf>
    <xf numFmtId="10" fontId="9" fillId="6" borderId="55" xfId="5" applyNumberFormat="1" applyFont="1" applyFill="1" applyBorder="1" applyAlignment="1">
      <alignment horizontal="center" vertical="center" wrapText="1"/>
    </xf>
    <xf numFmtId="165" fontId="9" fillId="6" borderId="0" xfId="4" applyFont="1" applyFill="1" applyBorder="1" applyAlignment="1">
      <alignment horizontal="center" vertical="center" wrapText="1"/>
    </xf>
    <xf numFmtId="37" fontId="9" fillId="6" borderId="0" xfId="3" applyNumberFormat="1" applyFont="1" applyFill="1" applyAlignment="1">
      <alignment horizontal="center" vertical="center"/>
    </xf>
    <xf numFmtId="40" fontId="9" fillId="6" borderId="0" xfId="4" applyNumberFormat="1" applyFont="1" applyFill="1" applyBorder="1" applyAlignment="1">
      <alignment horizontal="center" vertical="center"/>
    </xf>
    <xf numFmtId="166" fontId="92" fillId="6" borderId="0" xfId="4" applyNumberFormat="1" applyFont="1" applyFill="1" applyBorder="1" applyAlignment="1">
      <alignment horizontal="center" vertical="center" wrapText="1"/>
    </xf>
    <xf numFmtId="166" fontId="93" fillId="6" borderId="0" xfId="4" applyNumberFormat="1" applyFont="1" applyFill="1" applyBorder="1" applyAlignment="1">
      <alignment horizontal="center" vertical="center" wrapText="1"/>
    </xf>
    <xf numFmtId="0" fontId="19" fillId="10" borderId="110" xfId="0" applyFont="1" applyFill="1" applyBorder="1" applyAlignment="1">
      <alignment horizontal="center" vertical="center"/>
    </xf>
    <xf numFmtId="0" fontId="19" fillId="0" borderId="61" xfId="0" applyFont="1" applyBorder="1" applyAlignment="1">
      <alignment horizontal="left" vertical="center" wrapText="1"/>
    </xf>
    <xf numFmtId="0" fontId="18" fillId="0" borderId="57" xfId="0" applyFont="1" applyBorder="1" applyAlignment="1">
      <alignment horizontal="left" vertical="center" wrapText="1"/>
    </xf>
    <xf numFmtId="0" fontId="18" fillId="0" borderId="57" xfId="0" applyFont="1" applyBorder="1" applyAlignment="1">
      <alignment horizontal="center" vertical="center"/>
    </xf>
    <xf numFmtId="44" fontId="18" fillId="0" borderId="57" xfId="8" applyFont="1" applyFill="1" applyBorder="1" applyAlignment="1">
      <alignment vertical="center"/>
    </xf>
    <xf numFmtId="44" fontId="18" fillId="0" borderId="57" xfId="8" applyFont="1" applyBorder="1" applyAlignment="1">
      <alignment vertical="center"/>
    </xf>
    <xf numFmtId="44" fontId="18" fillId="0" borderId="62" xfId="8" applyFont="1" applyBorder="1" applyAlignment="1">
      <alignment vertical="center"/>
    </xf>
    <xf numFmtId="44" fontId="18" fillId="0" borderId="47" xfId="8" applyFont="1" applyBorder="1" applyAlignment="1">
      <alignment vertical="center"/>
    </xf>
    <xf numFmtId="1" fontId="18" fillId="11" borderId="61" xfId="0" applyNumberFormat="1" applyFont="1" applyFill="1" applyBorder="1" applyAlignment="1">
      <alignment horizontal="center" vertical="center"/>
    </xf>
    <xf numFmtId="1" fontId="18" fillId="11" borderId="57" xfId="0" applyNumberFormat="1" applyFont="1" applyFill="1" applyBorder="1" applyAlignment="1">
      <alignment horizontal="center" vertical="center"/>
    </xf>
    <xf numFmtId="44" fontId="18" fillId="11" borderId="57" xfId="8" applyFont="1" applyFill="1" applyBorder="1" applyAlignment="1">
      <alignment vertical="center"/>
    </xf>
    <xf numFmtId="44" fontId="18" fillId="12" borderId="57" xfId="8" applyFont="1" applyFill="1" applyBorder="1" applyAlignment="1">
      <alignment vertical="center"/>
    </xf>
    <xf numFmtId="9" fontId="18" fillId="13" borderId="57" xfId="1" applyFont="1" applyFill="1" applyBorder="1" applyAlignment="1">
      <alignment vertical="center"/>
    </xf>
    <xf numFmtId="44" fontId="18" fillId="13" borderId="57" xfId="8" applyFont="1" applyFill="1" applyBorder="1" applyAlignment="1">
      <alignment vertical="center"/>
    </xf>
    <xf numFmtId="10" fontId="18" fillId="12" borderId="9" xfId="0" applyNumberFormat="1" applyFont="1" applyFill="1" applyBorder="1" applyAlignment="1">
      <alignment horizontal="center" vertical="center"/>
    </xf>
    <xf numFmtId="10" fontId="18" fillId="12" borderId="57" xfId="0" applyNumberFormat="1" applyFont="1" applyFill="1" applyBorder="1" applyAlignment="1">
      <alignment horizontal="center" vertical="center"/>
    </xf>
    <xf numFmtId="44" fontId="18" fillId="0" borderId="63" xfId="8" applyFont="1" applyBorder="1" applyAlignment="1">
      <alignment vertical="center"/>
    </xf>
    <xf numFmtId="44" fontId="34" fillId="11" borderId="57" xfId="8" applyFont="1" applyFill="1" applyBorder="1" applyAlignment="1">
      <alignment vertical="center"/>
    </xf>
    <xf numFmtId="170" fontId="23" fillId="9" borderId="13" xfId="8" applyNumberFormat="1" applyFont="1" applyFill="1" applyBorder="1" applyAlignment="1">
      <alignment horizontal="right"/>
    </xf>
    <xf numFmtId="170" fontId="23" fillId="28" borderId="112" xfId="8" applyNumberFormat="1" applyFont="1" applyFill="1" applyBorder="1" applyAlignment="1">
      <alignment horizontal="right"/>
    </xf>
    <xf numFmtId="44" fontId="23" fillId="9" borderId="69" xfId="8" applyFont="1" applyFill="1" applyBorder="1" applyAlignment="1">
      <alignment horizontal="right"/>
    </xf>
    <xf numFmtId="44" fontId="16" fillId="12" borderId="69" xfId="8" applyFont="1" applyFill="1" applyBorder="1" applyAlignment="1">
      <alignment vertical="center"/>
    </xf>
    <xf numFmtId="9" fontId="18" fillId="13" borderId="69" xfId="1" applyFont="1" applyFill="1" applyBorder="1" applyAlignment="1">
      <alignment vertical="center"/>
    </xf>
    <xf numFmtId="44" fontId="18" fillId="13" borderId="69" xfId="8" applyFont="1" applyFill="1" applyBorder="1" applyAlignment="1">
      <alignment vertical="center"/>
    </xf>
    <xf numFmtId="44" fontId="16" fillId="13" borderId="69" xfId="8" applyFont="1" applyFill="1" applyBorder="1" applyAlignment="1">
      <alignment vertical="center"/>
    </xf>
    <xf numFmtId="44" fontId="16" fillId="13" borderId="70" xfId="8" applyFont="1" applyFill="1" applyBorder="1" applyAlignment="1">
      <alignment vertical="center"/>
    </xf>
    <xf numFmtId="0" fontId="19" fillId="10" borderId="115" xfId="0" applyFont="1" applyFill="1" applyBorder="1" applyAlignment="1">
      <alignment horizontal="center" vertical="center"/>
    </xf>
    <xf numFmtId="0" fontId="19" fillId="10" borderId="59" xfId="0" applyFont="1" applyFill="1" applyBorder="1" applyAlignment="1">
      <alignment horizontal="center" vertical="center"/>
    </xf>
    <xf numFmtId="0" fontId="19" fillId="10" borderId="94" xfId="0" applyFont="1" applyFill="1" applyBorder="1" applyAlignment="1">
      <alignment horizontal="center" vertical="center"/>
    </xf>
    <xf numFmtId="0" fontId="19" fillId="0" borderId="64" xfId="0" applyFont="1" applyBorder="1" applyAlignment="1">
      <alignment horizontal="left" vertical="center" wrapText="1"/>
    </xf>
    <xf numFmtId="0" fontId="18" fillId="0" borderId="65" xfId="0" applyFont="1" applyBorder="1" applyAlignment="1">
      <alignment horizontal="left" vertical="center" wrapText="1"/>
    </xf>
    <xf numFmtId="0" fontId="18" fillId="0" borderId="65" xfId="0" applyFont="1" applyBorder="1" applyAlignment="1">
      <alignment horizontal="center" vertical="center"/>
    </xf>
    <xf numFmtId="44" fontId="94" fillId="0" borderId="65" xfId="8" applyFont="1" applyFill="1" applyBorder="1" applyAlignment="1">
      <alignment vertical="center"/>
    </xf>
    <xf numFmtId="44" fontId="18" fillId="0" borderId="65" xfId="8" applyFont="1" applyBorder="1" applyAlignment="1">
      <alignment vertical="center"/>
    </xf>
    <xf numFmtId="44" fontId="18" fillId="0" borderId="66" xfId="8" applyFont="1" applyBorder="1" applyAlignment="1">
      <alignment vertical="center"/>
    </xf>
    <xf numFmtId="1" fontId="18" fillId="11" borderId="58" xfId="0" applyNumberFormat="1" applyFont="1" applyFill="1" applyBorder="1" applyAlignment="1">
      <alignment horizontal="center" vertical="center"/>
    </xf>
    <xf numFmtId="1" fontId="18" fillId="11" borderId="59" xfId="0" applyNumberFormat="1" applyFont="1" applyFill="1" applyBorder="1" applyAlignment="1">
      <alignment horizontal="center" vertical="center"/>
    </xf>
    <xf numFmtId="44" fontId="34" fillId="11" borderId="59" xfId="8" applyFont="1" applyFill="1" applyBorder="1" applyAlignment="1">
      <alignment vertical="center"/>
    </xf>
    <xf numFmtId="44" fontId="18" fillId="12" borderId="59" xfId="8" applyFont="1" applyFill="1" applyBorder="1" applyAlignment="1">
      <alignment vertical="center"/>
    </xf>
    <xf numFmtId="9" fontId="18" fillId="13" borderId="59" xfId="1" applyFont="1" applyFill="1" applyBorder="1" applyAlignment="1">
      <alignment vertical="center"/>
    </xf>
    <xf numFmtId="44" fontId="18" fillId="13" borderId="59" xfId="8" applyFont="1" applyFill="1" applyBorder="1" applyAlignment="1">
      <alignment vertical="center"/>
    </xf>
    <xf numFmtId="44" fontId="18" fillId="13" borderId="105" xfId="8" applyFont="1" applyFill="1" applyBorder="1" applyAlignment="1">
      <alignment vertical="center"/>
    </xf>
    <xf numFmtId="44" fontId="94" fillId="14" borderId="65" xfId="8" applyFont="1" applyFill="1" applyBorder="1" applyAlignment="1">
      <alignment vertical="center"/>
    </xf>
    <xf numFmtId="44" fontId="18" fillId="0" borderId="85" xfId="8" applyFont="1" applyBorder="1" applyAlignment="1">
      <alignment vertical="center"/>
    </xf>
    <xf numFmtId="44" fontId="18" fillId="0" borderId="86" xfId="8" applyFont="1" applyBorder="1" applyAlignment="1">
      <alignment vertical="center"/>
    </xf>
    <xf numFmtId="1" fontId="18" fillId="11" borderId="64" xfId="0" applyNumberFormat="1" applyFont="1" applyFill="1" applyBorder="1" applyAlignment="1">
      <alignment horizontal="center" vertical="center"/>
    </xf>
    <xf numFmtId="44" fontId="34" fillId="11" borderId="65" xfId="8" applyFont="1" applyFill="1" applyBorder="1" applyAlignment="1">
      <alignment vertical="center"/>
    </xf>
    <xf numFmtId="0" fontId="91" fillId="0" borderId="57" xfId="0" applyFont="1" applyBorder="1" applyAlignment="1">
      <alignment horizontal="left" vertical="center" wrapText="1"/>
    </xf>
    <xf numFmtId="44" fontId="18" fillId="14" borderId="65" xfId="8" applyFont="1" applyFill="1" applyBorder="1" applyAlignment="1">
      <alignment vertical="center"/>
    </xf>
    <xf numFmtId="0" fontId="94" fillId="0" borderId="57" xfId="0" applyFont="1" applyBorder="1" applyAlignment="1">
      <alignment horizontal="left" vertical="center" wrapText="1"/>
    </xf>
    <xf numFmtId="44" fontId="94" fillId="11" borderId="65" xfId="8" applyFont="1" applyFill="1" applyBorder="1" applyAlignment="1">
      <alignment vertical="center"/>
    </xf>
    <xf numFmtId="1" fontId="18" fillId="11" borderId="14" xfId="0" applyNumberFormat="1" applyFont="1" applyFill="1" applyBorder="1" applyAlignment="1">
      <alignment horizontal="center" vertical="center"/>
    </xf>
    <xf numFmtId="1" fontId="18" fillId="11" borderId="55" xfId="0" applyNumberFormat="1" applyFont="1" applyFill="1" applyBorder="1" applyAlignment="1">
      <alignment horizontal="center" vertical="center"/>
    </xf>
    <xf numFmtId="44" fontId="34" fillId="11" borderId="55" xfId="8" applyFont="1" applyFill="1" applyBorder="1" applyAlignment="1">
      <alignment vertical="center"/>
    </xf>
    <xf numFmtId="44" fontId="18" fillId="12" borderId="55" xfId="8" applyFont="1" applyFill="1" applyBorder="1" applyAlignment="1">
      <alignment vertical="center"/>
    </xf>
    <xf numFmtId="9" fontId="18" fillId="13" borderId="55" xfId="1" applyFont="1" applyFill="1" applyBorder="1" applyAlignment="1">
      <alignment vertical="center"/>
    </xf>
    <xf numFmtId="44" fontId="18" fillId="13" borderId="55" xfId="8" applyFont="1" applyFill="1" applyBorder="1" applyAlignment="1">
      <alignment vertical="center"/>
    </xf>
    <xf numFmtId="44" fontId="18" fillId="13" borderId="86" xfId="8" applyFont="1" applyFill="1" applyBorder="1" applyAlignment="1">
      <alignment vertical="center"/>
    </xf>
    <xf numFmtId="0" fontId="18" fillId="14" borderId="57" xfId="0" applyFont="1" applyFill="1" applyBorder="1" applyAlignment="1">
      <alignment horizontal="left" vertical="center" wrapText="1"/>
    </xf>
    <xf numFmtId="0" fontId="18" fillId="14" borderId="57" xfId="0" applyFont="1" applyFill="1" applyBorder="1" applyAlignment="1">
      <alignment horizontal="center" vertical="center"/>
    </xf>
    <xf numFmtId="44" fontId="94" fillId="14" borderId="57" xfId="8" applyFont="1" applyFill="1" applyBorder="1" applyAlignment="1">
      <alignment vertical="center"/>
    </xf>
    <xf numFmtId="1" fontId="18" fillId="11" borderId="72" xfId="0" applyNumberFormat="1" applyFont="1" applyFill="1" applyBorder="1" applyAlignment="1">
      <alignment horizontal="center" vertical="center"/>
    </xf>
    <xf numFmtId="1" fontId="18" fillId="11" borderId="73" xfId="0" applyNumberFormat="1" applyFont="1" applyFill="1" applyBorder="1" applyAlignment="1">
      <alignment horizontal="center" vertical="center"/>
    </xf>
    <xf numFmtId="44" fontId="34" fillId="11" borderId="73" xfId="8" applyFont="1" applyFill="1" applyBorder="1" applyAlignment="1">
      <alignment vertical="center"/>
    </xf>
    <xf numFmtId="44" fontId="18" fillId="12" borderId="73" xfId="8" applyFont="1" applyFill="1" applyBorder="1" applyAlignment="1">
      <alignment vertical="center"/>
    </xf>
    <xf numFmtId="9" fontId="18" fillId="13" borderId="73" xfId="1" applyFont="1" applyFill="1" applyBorder="1" applyAlignment="1">
      <alignment vertical="center"/>
    </xf>
    <xf numFmtId="44" fontId="18" fillId="13" borderId="73" xfId="8" applyFont="1" applyFill="1" applyBorder="1" applyAlignment="1">
      <alignment vertical="center"/>
    </xf>
    <xf numFmtId="44" fontId="18" fillId="13" borderId="47" xfId="8" applyFont="1" applyFill="1" applyBorder="1" applyAlignment="1">
      <alignment vertical="center"/>
    </xf>
    <xf numFmtId="44" fontId="23" fillId="9" borderId="74" xfId="8" applyFont="1" applyFill="1" applyBorder="1" applyAlignment="1">
      <alignment horizontal="right"/>
    </xf>
    <xf numFmtId="44" fontId="16" fillId="12" borderId="74" xfId="8" applyFont="1" applyFill="1" applyBorder="1" applyAlignment="1">
      <alignment vertical="center"/>
    </xf>
    <xf numFmtId="9" fontId="18" fillId="13" borderId="74" xfId="1" applyFont="1" applyFill="1" applyBorder="1" applyAlignment="1">
      <alignment vertical="center"/>
    </xf>
    <xf numFmtId="44" fontId="18" fillId="13" borderId="74" xfId="8" applyFont="1" applyFill="1" applyBorder="1" applyAlignment="1">
      <alignment vertical="center"/>
    </xf>
    <xf numFmtId="44" fontId="16" fillId="13" borderId="74" xfId="8" applyFont="1" applyFill="1" applyBorder="1" applyAlignment="1">
      <alignment vertical="center"/>
    </xf>
    <xf numFmtId="0" fontId="19" fillId="14" borderId="64" xfId="0" applyFont="1" applyFill="1" applyBorder="1" applyAlignment="1">
      <alignment horizontal="left" vertical="center" wrapText="1"/>
    </xf>
    <xf numFmtId="0" fontId="95" fillId="0" borderId="57" xfId="0" applyFont="1" applyBorder="1" applyAlignment="1">
      <alignment vertical="center" wrapText="1"/>
    </xf>
    <xf numFmtId="0" fontId="96" fillId="0" borderId="57" xfId="0" applyFont="1" applyBorder="1" applyAlignment="1">
      <alignment horizontal="center" vertical="center" wrapText="1"/>
    </xf>
    <xf numFmtId="44" fontId="96" fillId="14" borderId="57" xfId="8" applyFont="1" applyFill="1" applyBorder="1" applyAlignment="1">
      <alignment vertical="center" wrapText="1"/>
    </xf>
    <xf numFmtId="1" fontId="18" fillId="11" borderId="75" xfId="0" applyNumberFormat="1" applyFont="1" applyFill="1" applyBorder="1" applyAlignment="1">
      <alignment horizontal="center" vertical="center"/>
    </xf>
    <xf numFmtId="1" fontId="18" fillId="11" borderId="6" xfId="0" applyNumberFormat="1" applyFont="1" applyFill="1" applyBorder="1" applyAlignment="1">
      <alignment horizontal="center" vertical="center"/>
    </xf>
    <xf numFmtId="44" fontId="34" fillId="11" borderId="6" xfId="8" applyFont="1" applyFill="1" applyBorder="1" applyAlignment="1">
      <alignment vertical="center"/>
    </xf>
    <xf numFmtId="44" fontId="18" fillId="12" borderId="6" xfId="8" applyFont="1" applyFill="1" applyBorder="1" applyAlignment="1">
      <alignment vertical="center"/>
    </xf>
    <xf numFmtId="170" fontId="23" fillId="9" borderId="0" xfId="8" applyNumberFormat="1" applyFont="1" applyFill="1" applyBorder="1" applyAlignment="1">
      <alignment horizontal="right"/>
    </xf>
    <xf numFmtId="170" fontId="23" fillId="28" borderId="114" xfId="8" applyNumberFormat="1" applyFont="1" applyFill="1" applyBorder="1" applyAlignment="1">
      <alignment horizontal="right"/>
    </xf>
    <xf numFmtId="44" fontId="23" fillId="9" borderId="55" xfId="8" applyFont="1" applyFill="1" applyBorder="1" applyAlignment="1">
      <alignment horizontal="right"/>
    </xf>
    <xf numFmtId="44" fontId="16" fillId="12" borderId="55" xfId="8" applyFont="1" applyFill="1" applyBorder="1" applyAlignment="1">
      <alignment vertical="center"/>
    </xf>
    <xf numFmtId="44" fontId="16" fillId="13" borderId="55" xfId="8" applyFont="1" applyFill="1" applyBorder="1" applyAlignment="1">
      <alignment vertical="center"/>
    </xf>
    <xf numFmtId="44" fontId="16" fillId="13" borderId="86" xfId="8" applyFont="1" applyFill="1" applyBorder="1" applyAlignment="1">
      <alignment vertical="center"/>
    </xf>
    <xf numFmtId="0" fontId="18" fillId="14" borderId="65" xfId="0" applyFont="1" applyFill="1" applyBorder="1" applyAlignment="1">
      <alignment horizontal="center" vertical="center"/>
    </xf>
    <xf numFmtId="8" fontId="18" fillId="11" borderId="6" xfId="8" applyNumberFormat="1" applyFont="1" applyFill="1" applyBorder="1" applyAlignment="1">
      <alignment vertical="center"/>
    </xf>
    <xf numFmtId="44" fontId="97" fillId="29" borderId="6" xfId="8" applyFont="1" applyFill="1" applyBorder="1" applyAlignment="1">
      <alignment vertical="center"/>
    </xf>
    <xf numFmtId="8" fontId="34" fillId="11" borderId="6" xfId="8" applyNumberFormat="1" applyFont="1" applyFill="1" applyBorder="1" applyAlignment="1">
      <alignment vertical="center"/>
    </xf>
    <xf numFmtId="0" fontId="91" fillId="14" borderId="65" xfId="0" applyFont="1" applyFill="1" applyBorder="1" applyAlignment="1">
      <alignment horizontal="center" vertical="center"/>
    </xf>
    <xf numFmtId="44" fontId="98" fillId="30" borderId="57" xfId="0" applyNumberFormat="1" applyFont="1" applyFill="1" applyBorder="1" applyAlignment="1">
      <alignment vertical="center"/>
    </xf>
    <xf numFmtId="44" fontId="18" fillId="11" borderId="6" xfId="8" applyFont="1" applyFill="1" applyBorder="1" applyAlignment="1">
      <alignment vertical="center"/>
    </xf>
    <xf numFmtId="0" fontId="18" fillId="0" borderId="39" xfId="0" applyFont="1" applyBorder="1" applyAlignment="1">
      <alignment horizontal="left" vertical="center" wrapText="1"/>
    </xf>
    <xf numFmtId="49" fontId="18" fillId="0" borderId="89" xfId="0" applyNumberFormat="1" applyFont="1" applyBorder="1" applyAlignment="1">
      <alignment horizontal="left" vertical="center" wrapText="1"/>
    </xf>
    <xf numFmtId="0" fontId="18" fillId="0" borderId="41" xfId="0" applyFont="1" applyBorder="1" applyAlignment="1">
      <alignment horizontal="left" vertical="center" wrapText="1"/>
    </xf>
    <xf numFmtId="0" fontId="99" fillId="28" borderId="0" xfId="0" applyFont="1" applyFill="1" applyAlignment="1">
      <alignment horizontal="center"/>
    </xf>
    <xf numFmtId="44" fontId="100" fillId="0" borderId="0" xfId="0" applyNumberFormat="1" applyFont="1"/>
    <xf numFmtId="1" fontId="18" fillId="11" borderId="67" xfId="0" applyNumberFormat="1" applyFont="1" applyFill="1" applyBorder="1" applyAlignment="1">
      <alignment horizontal="center" vertical="center"/>
    </xf>
    <xf numFmtId="1" fontId="18" fillId="11" borderId="36" xfId="0" applyNumberFormat="1" applyFont="1" applyFill="1" applyBorder="1" applyAlignment="1">
      <alignment horizontal="center" vertical="center"/>
    </xf>
    <xf numFmtId="0" fontId="18" fillId="14" borderId="65" xfId="0" applyFont="1" applyFill="1" applyBorder="1" applyAlignment="1">
      <alignment horizontal="left" vertical="center" wrapText="1"/>
    </xf>
    <xf numFmtId="44" fontId="94" fillId="11" borderId="73" xfId="8" applyFont="1" applyFill="1" applyBorder="1" applyAlignment="1">
      <alignment vertical="center"/>
    </xf>
    <xf numFmtId="44" fontId="18" fillId="11" borderId="73" xfId="8" applyFont="1" applyFill="1" applyBorder="1" applyAlignment="1">
      <alignment vertical="center"/>
    </xf>
    <xf numFmtId="44" fontId="94" fillId="11" borderId="6" xfId="8" applyFont="1" applyFill="1" applyBorder="1" applyAlignment="1">
      <alignment vertical="center"/>
    </xf>
    <xf numFmtId="170" fontId="23" fillId="9" borderId="112" xfId="8" applyNumberFormat="1" applyFont="1" applyFill="1" applyBorder="1" applyAlignment="1">
      <alignment horizontal="right"/>
    </xf>
    <xf numFmtId="44" fontId="26" fillId="31" borderId="110" xfId="0" applyNumberFormat="1" applyFont="1" applyFill="1" applyBorder="1"/>
    <xf numFmtId="0" fontId="99" fillId="31" borderId="0" xfId="0" applyFont="1" applyFill="1" applyAlignment="1">
      <alignment horizontal="center"/>
    </xf>
    <xf numFmtId="44" fontId="0" fillId="0" borderId="0" xfId="0" applyNumberFormat="1" applyAlignment="1">
      <alignment horizontal="center"/>
    </xf>
    <xf numFmtId="44" fontId="21" fillId="0" borderId="0" xfId="0" applyNumberFormat="1" applyFont="1"/>
    <xf numFmtId="44" fontId="16" fillId="19" borderId="74" xfId="8" applyFont="1" applyFill="1" applyBorder="1" applyAlignment="1">
      <alignment horizontal="right"/>
    </xf>
    <xf numFmtId="44" fontId="103" fillId="0" borderId="65" xfId="8" applyFont="1" applyFill="1" applyBorder="1" applyAlignment="1">
      <alignment vertical="center"/>
    </xf>
    <xf numFmtId="0" fontId="94" fillId="0" borderId="57" xfId="0" applyFont="1" applyBorder="1" applyAlignment="1">
      <alignment horizontal="center" vertical="center"/>
    </xf>
    <xf numFmtId="44" fontId="94" fillId="0" borderId="57" xfId="8" applyFont="1" applyBorder="1" applyAlignment="1">
      <alignment vertical="center"/>
    </xf>
    <xf numFmtId="44" fontId="94" fillId="19" borderId="6" xfId="8" applyFont="1" applyFill="1" applyBorder="1" applyAlignment="1">
      <alignment vertical="center"/>
    </xf>
    <xf numFmtId="44" fontId="18" fillId="19" borderId="6" xfId="8" applyFont="1" applyFill="1" applyBorder="1" applyAlignment="1">
      <alignment vertical="center"/>
    </xf>
    <xf numFmtId="0" fontId="18" fillId="0" borderId="53" xfId="0" applyFont="1" applyBorder="1" applyAlignment="1">
      <alignment horizontal="left" vertical="center" wrapText="1"/>
    </xf>
    <xf numFmtId="170" fontId="23" fillId="9" borderId="78" xfId="8" applyNumberFormat="1" applyFont="1" applyFill="1" applyBorder="1" applyAlignment="1">
      <alignment horizontal="right"/>
    </xf>
    <xf numFmtId="170" fontId="23" fillId="9" borderId="116" xfId="8" applyNumberFormat="1" applyFont="1" applyFill="1" applyBorder="1" applyAlignment="1">
      <alignment horizontal="right"/>
    </xf>
    <xf numFmtId="170" fontId="23" fillId="9" borderId="93" xfId="8" applyNumberFormat="1" applyFont="1" applyFill="1" applyBorder="1" applyAlignment="1">
      <alignment horizontal="right"/>
    </xf>
    <xf numFmtId="170" fontId="23" fillId="31" borderId="112" xfId="8" applyNumberFormat="1" applyFont="1" applyFill="1" applyBorder="1" applyAlignment="1">
      <alignment horizontal="right"/>
    </xf>
    <xf numFmtId="44" fontId="23" fillId="9" borderId="77" xfId="8" applyFont="1" applyFill="1" applyBorder="1" applyAlignment="1">
      <alignment horizontal="right"/>
    </xf>
    <xf numFmtId="44" fontId="16" fillId="12" borderId="77" xfId="8" applyFont="1" applyFill="1" applyBorder="1" applyAlignment="1">
      <alignment vertical="center"/>
    </xf>
    <xf numFmtId="9" fontId="18" fillId="13" borderId="77" xfId="1" applyFont="1" applyFill="1" applyBorder="1" applyAlignment="1">
      <alignment vertical="center"/>
    </xf>
    <xf numFmtId="44" fontId="18" fillId="13" borderId="77" xfId="8" applyFont="1" applyFill="1" applyBorder="1" applyAlignment="1">
      <alignment vertical="center"/>
    </xf>
    <xf numFmtId="44" fontId="16" fillId="13" borderId="77" xfId="8" applyFont="1" applyFill="1" applyBorder="1" applyAlignment="1">
      <alignment vertical="center"/>
    </xf>
    <xf numFmtId="44" fontId="16" fillId="13" borderId="117" xfId="8" applyFont="1" applyFill="1" applyBorder="1" applyAlignment="1">
      <alignment vertical="center"/>
    </xf>
    <xf numFmtId="0" fontId="18" fillId="0" borderId="87" xfId="0" applyFont="1" applyBorder="1" applyAlignment="1">
      <alignment horizontal="left" vertical="center" wrapText="1"/>
    </xf>
    <xf numFmtId="0" fontId="18" fillId="0" borderId="88" xfId="0" applyFont="1" applyBorder="1" applyAlignment="1">
      <alignment horizontal="left" vertical="center" wrapText="1"/>
    </xf>
    <xf numFmtId="44" fontId="19" fillId="10" borderId="36" xfId="8" applyFont="1" applyFill="1" applyBorder="1" applyAlignment="1">
      <alignment horizontal="center" vertical="center"/>
    </xf>
    <xf numFmtId="44" fontId="19" fillId="10" borderId="65" xfId="8" applyFont="1" applyFill="1" applyBorder="1" applyAlignment="1">
      <alignment horizontal="center" vertical="center"/>
    </xf>
    <xf numFmtId="44" fontId="19" fillId="10" borderId="114" xfId="8" applyFont="1" applyFill="1" applyBorder="1" applyAlignment="1">
      <alignment horizontal="center" vertical="center"/>
    </xf>
    <xf numFmtId="10" fontId="19" fillId="10" borderId="57" xfId="0" applyNumberFormat="1" applyFont="1" applyFill="1" applyBorder="1" applyAlignment="1">
      <alignment horizontal="center" vertical="center"/>
    </xf>
    <xf numFmtId="0" fontId="18" fillId="0" borderId="61" xfId="0" applyFont="1" applyBorder="1" applyAlignment="1">
      <alignment horizontal="left" vertical="center" wrapText="1"/>
    </xf>
    <xf numFmtId="0" fontId="105" fillId="0" borderId="0" xfId="0" applyFont="1"/>
    <xf numFmtId="0" fontId="91" fillId="0" borderId="0" xfId="0" applyFont="1"/>
    <xf numFmtId="9" fontId="19" fillId="0" borderId="0" xfId="1" applyFont="1" applyAlignment="1">
      <alignment horizontal="center"/>
    </xf>
    <xf numFmtId="0" fontId="24" fillId="0" borderId="0" xfId="0" applyFont="1" applyAlignment="1">
      <alignment horizontal="right"/>
    </xf>
    <xf numFmtId="44" fontId="18" fillId="0" borderId="110" xfId="0" applyNumberFormat="1" applyFont="1" applyBorder="1" applyAlignment="1">
      <alignment horizontal="center" vertical="center"/>
    </xf>
    <xf numFmtId="0" fontId="18" fillId="0" borderId="112" xfId="0" applyFont="1" applyBorder="1" applyAlignment="1">
      <alignment horizontal="center" vertical="center"/>
    </xf>
    <xf numFmtId="0" fontId="19" fillId="26" borderId="10" xfId="0" applyFont="1" applyFill="1" applyBorder="1" applyAlignment="1">
      <alignment horizontal="center"/>
    </xf>
    <xf numFmtId="0" fontId="19" fillId="26" borderId="11" xfId="0" applyFont="1" applyFill="1" applyBorder="1" applyAlignment="1">
      <alignment horizontal="center"/>
    </xf>
    <xf numFmtId="0" fontId="19" fillId="26" borderId="110" xfId="0" applyFont="1" applyFill="1" applyBorder="1" applyAlignment="1">
      <alignment horizontal="center"/>
    </xf>
    <xf numFmtId="44" fontId="19" fillId="0" borderId="62" xfId="8" applyFont="1" applyBorder="1" applyAlignment="1">
      <alignment horizontal="center" vertical="center"/>
    </xf>
    <xf numFmtId="44" fontId="19" fillId="0" borderId="85" xfId="8" applyFont="1" applyBorder="1" applyAlignment="1">
      <alignment horizontal="center" vertical="center"/>
    </xf>
    <xf numFmtId="44" fontId="19" fillId="0" borderId="69" xfId="8" applyFont="1" applyBorder="1" applyAlignment="1">
      <alignment horizontal="center" vertical="center"/>
    </xf>
    <xf numFmtId="44" fontId="92" fillId="0" borderId="62" xfId="8" applyFont="1" applyBorder="1" applyAlignment="1">
      <alignment horizontal="center" vertical="center"/>
    </xf>
    <xf numFmtId="44" fontId="92" fillId="0" borderId="85" xfId="8" applyFont="1" applyBorder="1" applyAlignment="1">
      <alignment horizontal="center" vertical="center"/>
    </xf>
    <xf numFmtId="44" fontId="92" fillId="0" borderId="69" xfId="8" applyFont="1" applyBorder="1" applyAlignment="1">
      <alignment horizontal="center" vertical="center"/>
    </xf>
    <xf numFmtId="9" fontId="19" fillId="0" borderId="47" xfId="1" applyFont="1" applyBorder="1" applyAlignment="1">
      <alignment horizontal="center" vertical="center"/>
    </xf>
    <xf numFmtId="9" fontId="19" fillId="0" borderId="86" xfId="1" applyFont="1" applyBorder="1" applyAlignment="1">
      <alignment horizontal="center" vertical="center"/>
    </xf>
    <xf numFmtId="9" fontId="19" fillId="0" borderId="70" xfId="1" applyFont="1" applyBorder="1" applyAlignment="1">
      <alignment horizontal="center" vertical="center"/>
    </xf>
    <xf numFmtId="0" fontId="26" fillId="9" borderId="72" xfId="0" applyFont="1" applyFill="1" applyBorder="1" applyAlignment="1">
      <alignment horizontal="left"/>
    </xf>
    <xf numFmtId="0" fontId="26" fillId="9" borderId="7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/>
    </xf>
    <xf numFmtId="0" fontId="26" fillId="9" borderId="13" xfId="0" applyFont="1" applyFill="1" applyBorder="1" applyAlignment="1">
      <alignment horizontal="left"/>
    </xf>
    <xf numFmtId="0" fontId="26" fillId="8" borderId="14" xfId="0" applyFont="1" applyFill="1" applyBorder="1" applyAlignment="1">
      <alignment horizontal="center"/>
    </xf>
    <xf numFmtId="0" fontId="26" fillId="8" borderId="0" xfId="0" applyFont="1" applyFill="1" applyAlignment="1">
      <alignment horizontal="center"/>
    </xf>
    <xf numFmtId="0" fontId="26" fillId="8" borderId="15" xfId="0" applyFont="1" applyFill="1" applyBorder="1" applyAlignment="1">
      <alignment horizontal="center"/>
    </xf>
    <xf numFmtId="0" fontId="26" fillId="9" borderId="10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/>
    </xf>
    <xf numFmtId="0" fontId="26" fillId="9" borderId="71" xfId="0" applyFont="1" applyFill="1" applyBorder="1" applyAlignment="1">
      <alignment horizontal="left"/>
    </xf>
    <xf numFmtId="1" fontId="26" fillId="9" borderId="72" xfId="0" applyNumberFormat="1" applyFont="1" applyFill="1" applyBorder="1" applyAlignment="1">
      <alignment horizontal="left"/>
    </xf>
    <xf numFmtId="0" fontId="26" fillId="8" borderId="12" xfId="0" applyFont="1" applyFill="1" applyBorder="1" applyAlignment="1">
      <alignment horizontal="left"/>
    </xf>
    <xf numFmtId="0" fontId="26" fillId="8" borderId="13" xfId="0" applyFont="1" applyFill="1" applyBorder="1" applyAlignment="1">
      <alignment horizontal="left"/>
    </xf>
    <xf numFmtId="0" fontId="26" fillId="8" borderId="92" xfId="0" applyFont="1" applyFill="1" applyBorder="1" applyAlignment="1">
      <alignment horizontal="left"/>
    </xf>
    <xf numFmtId="0" fontId="26" fillId="8" borderId="93" xfId="0" applyFont="1" applyFill="1" applyBorder="1" applyAlignment="1">
      <alignment horizontal="left"/>
    </xf>
    <xf numFmtId="0" fontId="26" fillId="9" borderId="67" xfId="0" applyFont="1" applyFill="1" applyBorder="1" applyAlignment="1">
      <alignment horizontal="left"/>
    </xf>
    <xf numFmtId="0" fontId="26" fillId="9" borderId="95" xfId="0" applyFont="1" applyFill="1" applyBorder="1" applyAlignment="1">
      <alignment horizontal="left"/>
    </xf>
    <xf numFmtId="0" fontId="26" fillId="9" borderId="91" xfId="0" applyFont="1" applyFill="1" applyBorder="1" applyAlignment="1">
      <alignment horizontal="left"/>
    </xf>
    <xf numFmtId="0" fontId="26" fillId="9" borderId="109" xfId="0" applyFont="1" applyFill="1" applyBorder="1" applyAlignment="1">
      <alignment horizontal="left"/>
    </xf>
    <xf numFmtId="0" fontId="26" fillId="8" borderId="10" xfId="0" applyFont="1" applyFill="1" applyBorder="1" applyAlignment="1">
      <alignment horizontal="center"/>
    </xf>
    <xf numFmtId="0" fontId="26" fillId="8" borderId="11" xfId="0" applyFont="1" applyFill="1" applyBorder="1" applyAlignment="1">
      <alignment horizontal="center"/>
    </xf>
    <xf numFmtId="0" fontId="26" fillId="8" borderId="97" xfId="0" applyFont="1" applyFill="1" applyBorder="1" applyAlignment="1">
      <alignment horizontal="center"/>
    </xf>
    <xf numFmtId="8" fontId="42" fillId="0" borderId="0" xfId="0" applyNumberFormat="1" applyFont="1" applyAlignment="1">
      <alignment horizontal="center" vertical="center"/>
    </xf>
    <xf numFmtId="1" fontId="26" fillId="9" borderId="76" xfId="0" applyNumberFormat="1" applyFont="1" applyFill="1" applyBorder="1" applyAlignment="1">
      <alignment horizontal="left"/>
    </xf>
    <xf numFmtId="0" fontId="26" fillId="9" borderId="77" xfId="0" applyFont="1" applyFill="1" applyBorder="1" applyAlignment="1">
      <alignment horizontal="left"/>
    </xf>
    <xf numFmtId="0" fontId="26" fillId="9" borderId="97" xfId="0" applyFont="1" applyFill="1" applyBorder="1" applyAlignment="1">
      <alignment horizontal="left"/>
    </xf>
    <xf numFmtId="0" fontId="26" fillId="8" borderId="64" xfId="0" applyFont="1" applyFill="1" applyBorder="1" applyAlignment="1">
      <alignment horizontal="center"/>
    </xf>
    <xf numFmtId="0" fontId="26" fillId="8" borderId="65" xfId="0" applyFont="1" applyFill="1" applyBorder="1" applyAlignment="1">
      <alignment horizontal="center"/>
    </xf>
    <xf numFmtId="0" fontId="26" fillId="8" borderId="66" xfId="0" applyFont="1" applyFill="1" applyBorder="1" applyAlignment="1">
      <alignment horizontal="center"/>
    </xf>
    <xf numFmtId="0" fontId="26" fillId="9" borderId="80" xfId="0" applyFont="1" applyFill="1" applyBorder="1" applyAlignment="1">
      <alignment horizontal="left"/>
    </xf>
    <xf numFmtId="0" fontId="26" fillId="9" borderId="81" xfId="0" applyFont="1" applyFill="1" applyBorder="1" applyAlignment="1">
      <alignment horizontal="left"/>
    </xf>
    <xf numFmtId="0" fontId="26" fillId="9" borderId="82" xfId="0" applyFont="1" applyFill="1" applyBorder="1" applyAlignment="1">
      <alignment horizontal="left"/>
    </xf>
    <xf numFmtId="0" fontId="26" fillId="9" borderId="75" xfId="0" applyFont="1" applyFill="1" applyBorder="1" applyAlignment="1">
      <alignment horizontal="left"/>
    </xf>
    <xf numFmtId="0" fontId="26" fillId="9" borderId="8" xfId="0" applyFont="1" applyFill="1" applyBorder="1" applyAlignment="1">
      <alignment horizontal="left"/>
    </xf>
    <xf numFmtId="0" fontId="26" fillId="9" borderId="83" xfId="0" applyFont="1" applyFill="1" applyBorder="1" applyAlignment="1">
      <alignment horizontal="left"/>
    </xf>
    <xf numFmtId="1" fontId="26" fillId="9" borderId="61" xfId="0" applyNumberFormat="1" applyFont="1" applyFill="1" applyBorder="1" applyAlignment="1">
      <alignment horizontal="left"/>
    </xf>
    <xf numFmtId="0" fontId="26" fillId="9" borderId="57" xfId="0" applyFont="1" applyFill="1" applyBorder="1" applyAlignment="1">
      <alignment horizontal="left"/>
    </xf>
    <xf numFmtId="1" fontId="26" fillId="8" borderId="10" xfId="0" applyNumberFormat="1" applyFont="1" applyFill="1" applyBorder="1" applyAlignment="1">
      <alignment horizontal="center"/>
    </xf>
    <xf numFmtId="1" fontId="26" fillId="8" borderId="11" xfId="0" applyNumberFormat="1" applyFont="1" applyFill="1" applyBorder="1" applyAlignment="1">
      <alignment horizontal="center"/>
    </xf>
    <xf numFmtId="1" fontId="26" fillId="8" borderId="97" xfId="0" applyNumberFormat="1" applyFont="1" applyFill="1" applyBorder="1" applyAlignment="1">
      <alignment horizontal="center"/>
    </xf>
    <xf numFmtId="1" fontId="26" fillId="9" borderId="10" xfId="0" applyNumberFormat="1" applyFont="1" applyFill="1" applyBorder="1" applyAlignment="1">
      <alignment horizontal="left"/>
    </xf>
    <xf numFmtId="1" fontId="26" fillId="9" borderId="11" xfId="0" applyNumberFormat="1" applyFont="1" applyFill="1" applyBorder="1" applyAlignment="1">
      <alignment horizontal="left"/>
    </xf>
    <xf numFmtId="1" fontId="26" fillId="9" borderId="97" xfId="0" applyNumberFormat="1" applyFont="1" applyFill="1" applyBorder="1" applyAlignment="1">
      <alignment horizontal="left"/>
    </xf>
    <xf numFmtId="1" fontId="26" fillId="9" borderId="12" xfId="0" applyNumberFormat="1" applyFont="1" applyFill="1" applyBorder="1" applyAlignment="1">
      <alignment horizontal="left"/>
    </xf>
    <xf numFmtId="1" fontId="26" fillId="9" borderId="13" xfId="0" applyNumberFormat="1" applyFont="1" applyFill="1" applyBorder="1" applyAlignment="1">
      <alignment horizontal="left"/>
    </xf>
    <xf numFmtId="1" fontId="26" fillId="9" borderId="68" xfId="0" applyNumberFormat="1" applyFont="1" applyFill="1" applyBorder="1" applyAlignment="1">
      <alignment horizontal="left"/>
    </xf>
    <xf numFmtId="0" fontId="26" fillId="9" borderId="5" xfId="0" applyFont="1" applyFill="1" applyBorder="1" applyAlignment="1">
      <alignment horizontal="left" vertical="center"/>
    </xf>
    <xf numFmtId="0" fontId="26" fillId="9" borderId="34" xfId="0" applyFont="1" applyFill="1" applyBorder="1" applyAlignment="1">
      <alignment horizontal="left" vertical="center"/>
    </xf>
    <xf numFmtId="0" fontId="26" fillId="9" borderId="42" xfId="0" applyFont="1" applyFill="1" applyBorder="1" applyAlignment="1">
      <alignment horizontal="left" vertical="center"/>
    </xf>
    <xf numFmtId="1" fontId="26" fillId="8" borderId="0" xfId="0" applyNumberFormat="1" applyFont="1" applyFill="1" applyAlignment="1">
      <alignment horizontal="center"/>
    </xf>
    <xf numFmtId="1" fontId="26" fillId="8" borderId="15" xfId="0" applyNumberFormat="1" applyFont="1" applyFill="1" applyBorder="1" applyAlignment="1">
      <alignment horizontal="center"/>
    </xf>
    <xf numFmtId="0" fontId="26" fillId="9" borderId="76" xfId="0" applyFont="1" applyFill="1" applyBorder="1" applyAlignment="1">
      <alignment horizontal="left"/>
    </xf>
    <xf numFmtId="1" fontId="26" fillId="9" borderId="77" xfId="0" applyNumberFormat="1" applyFont="1" applyFill="1" applyBorder="1" applyAlignment="1">
      <alignment horizontal="left"/>
    </xf>
    <xf numFmtId="1" fontId="26" fillId="9" borderId="78" xfId="0" applyNumberFormat="1" applyFont="1" applyFill="1" applyBorder="1" applyAlignment="1">
      <alignment horizontal="left"/>
    </xf>
    <xf numFmtId="44" fontId="26" fillId="9" borderId="48" xfId="8" applyFont="1" applyFill="1" applyBorder="1" applyAlignment="1">
      <alignment horizontal="left"/>
    </xf>
    <xf numFmtId="44" fontId="26" fillId="9" borderId="49" xfId="8" applyFont="1" applyFill="1" applyBorder="1" applyAlignment="1">
      <alignment horizontal="left"/>
    </xf>
    <xf numFmtId="0" fontId="36" fillId="0" borderId="0" xfId="2" applyFont="1" applyAlignment="1">
      <alignment horizontal="left" vertical="center" wrapText="1"/>
    </xf>
    <xf numFmtId="0" fontId="36" fillId="0" borderId="0" xfId="2" applyFont="1" applyAlignment="1">
      <alignment horizontal="left" vertical="top"/>
    </xf>
    <xf numFmtId="44" fontId="38" fillId="0" borderId="37" xfId="8" applyFont="1" applyBorder="1" applyAlignment="1">
      <alignment horizontal="center" vertical="center" wrapText="1"/>
    </xf>
    <xf numFmtId="44" fontId="38" fillId="0" borderId="38" xfId="8" applyFont="1" applyBorder="1" applyAlignment="1">
      <alignment horizontal="center" vertical="center" wrapText="1"/>
    </xf>
    <xf numFmtId="0" fontId="26" fillId="8" borderId="10" xfId="3" applyFont="1" applyFill="1" applyBorder="1" applyAlignment="1">
      <alignment horizontal="center"/>
    </xf>
    <xf numFmtId="0" fontId="26" fillId="8" borderId="11" xfId="3" applyFont="1" applyFill="1" applyBorder="1" applyAlignment="1">
      <alignment horizontal="center"/>
    </xf>
    <xf numFmtId="0" fontId="26" fillId="8" borderId="97" xfId="3" applyFont="1" applyFill="1" applyBorder="1" applyAlignment="1">
      <alignment horizontal="center"/>
    </xf>
    <xf numFmtId="37" fontId="26" fillId="8" borderId="48" xfId="3" applyNumberFormat="1" applyFont="1" applyFill="1" applyBorder="1" applyAlignment="1">
      <alignment horizontal="center"/>
    </xf>
    <xf numFmtId="37" fontId="26" fillId="8" borderId="49" xfId="3" applyNumberFormat="1" applyFont="1" applyFill="1" applyBorder="1" applyAlignment="1">
      <alignment horizontal="center"/>
    </xf>
    <xf numFmtId="37" fontId="26" fillId="8" borderId="51" xfId="3" applyNumberFormat="1" applyFont="1" applyFill="1" applyBorder="1" applyAlignment="1">
      <alignment horizontal="center"/>
    </xf>
    <xf numFmtId="166" fontId="38" fillId="4" borderId="14" xfId="4" applyNumberFormat="1" applyFont="1" applyFill="1" applyBorder="1" applyAlignment="1">
      <alignment horizontal="center" vertical="center" wrapText="1"/>
    </xf>
    <xf numFmtId="166" fontId="38" fillId="4" borderId="0" xfId="4" applyNumberFormat="1" applyFont="1" applyFill="1" applyBorder="1" applyAlignment="1">
      <alignment horizontal="center" vertical="center" wrapText="1"/>
    </xf>
    <xf numFmtId="44" fontId="26" fillId="8" borderId="48" xfId="8" applyFont="1" applyFill="1" applyBorder="1" applyAlignment="1">
      <alignment horizontal="center"/>
    </xf>
    <xf numFmtId="44" fontId="26" fillId="8" borderId="49" xfId="8" applyFont="1" applyFill="1" applyBorder="1" applyAlignment="1">
      <alignment horizontal="center"/>
    </xf>
    <xf numFmtId="0" fontId="26" fillId="9" borderId="48" xfId="0" applyFont="1" applyFill="1" applyBorder="1" applyAlignment="1">
      <alignment horizontal="left"/>
    </xf>
    <xf numFmtId="0" fontId="26" fillId="9" borderId="49" xfId="0" applyFont="1" applyFill="1" applyBorder="1" applyAlignment="1">
      <alignment horizontal="left"/>
    </xf>
    <xf numFmtId="0" fontId="26" fillId="9" borderId="51" xfId="0" applyFont="1" applyFill="1" applyBorder="1" applyAlignment="1">
      <alignment horizontal="left"/>
    </xf>
    <xf numFmtId="0" fontId="38" fillId="2" borderId="3" xfId="3" applyFont="1" applyFill="1" applyBorder="1" applyAlignment="1">
      <alignment horizontal="center" vertical="center"/>
    </xf>
    <xf numFmtId="0" fontId="38" fillId="2" borderId="4" xfId="3" applyFont="1" applyFill="1" applyBorder="1" applyAlignment="1">
      <alignment horizontal="center" vertical="center"/>
    </xf>
    <xf numFmtId="0" fontId="38" fillId="2" borderId="100" xfId="3" applyFont="1" applyFill="1" applyBorder="1" applyAlignment="1">
      <alignment horizontal="center" vertical="center"/>
    </xf>
    <xf numFmtId="0" fontId="38" fillId="3" borderId="5" xfId="0" applyFont="1" applyFill="1" applyBorder="1" applyAlignment="1">
      <alignment horizontal="center" vertical="center" wrapText="1"/>
    </xf>
    <xf numFmtId="0" fontId="38" fillId="3" borderId="34" xfId="0" applyFont="1" applyFill="1" applyBorder="1" applyAlignment="1">
      <alignment horizontal="center" vertical="center" wrapText="1"/>
    </xf>
    <xf numFmtId="0" fontId="38" fillId="3" borderId="100" xfId="0" applyFont="1" applyFill="1" applyBorder="1" applyAlignment="1">
      <alignment horizontal="center" vertical="center" wrapText="1"/>
    </xf>
    <xf numFmtId="166" fontId="38" fillId="4" borderId="5" xfId="4" applyNumberFormat="1" applyFont="1" applyFill="1" applyBorder="1" applyAlignment="1">
      <alignment horizontal="center" vertical="center" wrapText="1"/>
    </xf>
    <xf numFmtId="166" fontId="38" fillId="4" borderId="34" xfId="4" applyNumberFormat="1" applyFont="1" applyFill="1" applyBorder="1" applyAlignment="1">
      <alignment horizontal="center" vertical="center" wrapText="1"/>
    </xf>
    <xf numFmtId="166" fontId="38" fillId="4" borderId="100" xfId="4" applyNumberFormat="1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left"/>
    </xf>
    <xf numFmtId="1" fontId="26" fillId="9" borderId="14" xfId="0" applyNumberFormat="1" applyFont="1" applyFill="1" applyBorder="1" applyAlignment="1">
      <alignment horizontal="left"/>
    </xf>
    <xf numFmtId="166" fontId="38" fillId="0" borderId="37" xfId="4" applyNumberFormat="1" applyFont="1" applyBorder="1" applyAlignment="1">
      <alignment horizontal="center" vertical="center" wrapText="1"/>
    </xf>
    <xf numFmtId="166" fontId="38" fillId="0" borderId="38" xfId="4" applyNumberFormat="1" applyFont="1" applyBorder="1" applyAlignment="1">
      <alignment horizontal="center" vertical="center" wrapText="1"/>
    </xf>
    <xf numFmtId="1" fontId="23" fillId="9" borderId="14" xfId="0" applyNumberFormat="1" applyFont="1" applyFill="1" applyBorder="1" applyAlignment="1">
      <alignment horizontal="left"/>
    </xf>
    <xf numFmtId="0" fontId="23" fillId="9" borderId="0" xfId="0" applyFont="1" applyFill="1" applyAlignment="1">
      <alignment horizontal="left"/>
    </xf>
    <xf numFmtId="0" fontId="23" fillId="9" borderId="14" xfId="0" applyFont="1" applyFill="1" applyBorder="1" applyAlignment="1">
      <alignment horizontal="left"/>
    </xf>
    <xf numFmtId="166" fontId="9" fillId="0" borderId="37" xfId="4" applyNumberFormat="1" applyFont="1" applyBorder="1" applyAlignment="1">
      <alignment horizontal="center" vertical="center" wrapText="1"/>
    </xf>
    <xf numFmtId="166" fontId="9" fillId="0" borderId="38" xfId="4" applyNumberFormat="1" applyFont="1" applyBorder="1" applyAlignment="1">
      <alignment horizontal="center" vertical="center" wrapText="1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100" xfId="3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 wrapText="1"/>
    </xf>
    <xf numFmtId="0" fontId="9" fillId="3" borderId="34" xfId="0" applyFont="1" applyFill="1" applyBorder="1" applyAlignment="1">
      <alignment horizontal="center" vertical="center" wrapText="1"/>
    </xf>
    <xf numFmtId="0" fontId="9" fillId="3" borderId="100" xfId="0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166" fontId="9" fillId="4" borderId="34" xfId="4" applyNumberFormat="1" applyFont="1" applyFill="1" applyBorder="1" applyAlignment="1">
      <alignment horizontal="center" vertical="center" wrapText="1"/>
    </xf>
    <xf numFmtId="166" fontId="9" fillId="4" borderId="100" xfId="4" applyNumberFormat="1" applyFont="1" applyFill="1" applyBorder="1" applyAlignment="1">
      <alignment horizontal="center" vertical="center" wrapText="1"/>
    </xf>
    <xf numFmtId="166" fontId="9" fillId="4" borderId="14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23" fillId="9" borderId="80" xfId="0" applyFont="1" applyFill="1" applyBorder="1" applyAlignment="1">
      <alignment horizontal="left"/>
    </xf>
    <xf numFmtId="0" fontId="23" fillId="9" borderId="81" xfId="0" applyFont="1" applyFill="1" applyBorder="1" applyAlignment="1">
      <alignment horizontal="left"/>
    </xf>
    <xf numFmtId="0" fontId="23" fillId="9" borderId="82" xfId="0" applyFont="1" applyFill="1" applyBorder="1" applyAlignment="1">
      <alignment horizontal="left"/>
    </xf>
    <xf numFmtId="0" fontId="23" fillId="9" borderId="94" xfId="0" applyFont="1" applyFill="1" applyBorder="1" applyAlignment="1">
      <alignment horizontal="left"/>
    </xf>
    <xf numFmtId="0" fontId="23" fillId="8" borderId="14" xfId="0" applyFont="1" applyFill="1" applyBorder="1" applyAlignment="1">
      <alignment horizontal="center"/>
    </xf>
    <xf numFmtId="0" fontId="23" fillId="8" borderId="0" xfId="0" applyFont="1" applyFill="1" applyAlignment="1">
      <alignment horizontal="center"/>
    </xf>
    <xf numFmtId="0" fontId="23" fillId="8" borderId="15" xfId="0" applyFont="1" applyFill="1" applyBorder="1" applyAlignment="1">
      <alignment horizontal="center"/>
    </xf>
    <xf numFmtId="0" fontId="23" fillId="8" borderId="90" xfId="0" applyFont="1" applyFill="1" applyBorder="1" applyAlignment="1">
      <alignment horizontal="center"/>
    </xf>
    <xf numFmtId="0" fontId="23" fillId="8" borderId="85" xfId="0" applyFont="1" applyFill="1" applyBorder="1" applyAlignment="1">
      <alignment horizontal="center"/>
    </xf>
    <xf numFmtId="0" fontId="23" fillId="8" borderId="86" xfId="0" applyFont="1" applyFill="1" applyBorder="1" applyAlignment="1">
      <alignment horizontal="center"/>
    </xf>
    <xf numFmtId="0" fontId="70" fillId="0" borderId="0" xfId="2" applyFont="1" applyAlignment="1">
      <alignment horizontal="left" vertical="center" wrapText="1"/>
    </xf>
    <xf numFmtId="0" fontId="70" fillId="0" borderId="0" xfId="2" applyFont="1" applyAlignment="1">
      <alignment horizontal="left" vertical="top"/>
    </xf>
    <xf numFmtId="0" fontId="72" fillId="2" borderId="3" xfId="3" applyFont="1" applyFill="1" applyBorder="1" applyAlignment="1">
      <alignment horizontal="center" vertical="center"/>
    </xf>
    <xf numFmtId="0" fontId="72" fillId="2" borderId="4" xfId="3" applyFont="1" applyFill="1" applyBorder="1" applyAlignment="1">
      <alignment horizontal="center" vertical="center"/>
    </xf>
    <xf numFmtId="0" fontId="72" fillId="2" borderId="100" xfId="3" applyFont="1" applyFill="1" applyBorder="1" applyAlignment="1">
      <alignment horizontal="center" vertical="center"/>
    </xf>
    <xf numFmtId="0" fontId="72" fillId="3" borderId="5" xfId="0" applyFont="1" applyFill="1" applyBorder="1" applyAlignment="1">
      <alignment horizontal="center" vertical="center" wrapText="1"/>
    </xf>
    <xf numFmtId="0" fontId="72" fillId="3" borderId="34" xfId="0" applyFont="1" applyFill="1" applyBorder="1" applyAlignment="1">
      <alignment horizontal="center" vertical="center" wrapText="1"/>
    </xf>
    <xf numFmtId="0" fontId="72" fillId="3" borderId="100" xfId="0" applyFont="1" applyFill="1" applyBorder="1" applyAlignment="1">
      <alignment horizontal="center" vertical="center" wrapText="1"/>
    </xf>
    <xf numFmtId="166" fontId="72" fillId="4" borderId="5" xfId="4" applyNumberFormat="1" applyFont="1" applyFill="1" applyBorder="1" applyAlignment="1">
      <alignment horizontal="center" vertical="center" wrapText="1"/>
    </xf>
    <xf numFmtId="166" fontId="72" fillId="4" borderId="34" xfId="4" applyNumberFormat="1" applyFont="1" applyFill="1" applyBorder="1" applyAlignment="1">
      <alignment horizontal="center" vertical="center" wrapText="1"/>
    </xf>
    <xf numFmtId="166" fontId="72" fillId="4" borderId="100" xfId="4" applyNumberFormat="1" applyFont="1" applyFill="1" applyBorder="1" applyAlignment="1">
      <alignment horizontal="center" vertical="center" wrapText="1"/>
    </xf>
    <xf numFmtId="166" fontId="72" fillId="0" borderId="37" xfId="4" applyNumberFormat="1" applyFont="1" applyBorder="1" applyAlignment="1">
      <alignment horizontal="center" vertical="center" wrapText="1"/>
    </xf>
    <xf numFmtId="166" fontId="72" fillId="0" borderId="38" xfId="4" applyNumberFormat="1" applyFont="1" applyBorder="1" applyAlignment="1">
      <alignment horizontal="center" vertical="center" wrapText="1"/>
    </xf>
    <xf numFmtId="0" fontId="78" fillId="8" borderId="10" xfId="0" applyFont="1" applyFill="1" applyBorder="1" applyAlignment="1">
      <alignment horizontal="center"/>
    </xf>
    <xf numFmtId="0" fontId="78" fillId="8" borderId="11" xfId="0" applyFont="1" applyFill="1" applyBorder="1" applyAlignment="1">
      <alignment horizontal="center"/>
    </xf>
    <xf numFmtId="0" fontId="78" fillId="8" borderId="97" xfId="0" applyFont="1" applyFill="1" applyBorder="1" applyAlignment="1">
      <alignment horizontal="center"/>
    </xf>
    <xf numFmtId="0" fontId="78" fillId="8" borderId="58" xfId="0" applyFont="1" applyFill="1" applyBorder="1" applyAlignment="1">
      <alignment horizontal="center"/>
    </xf>
    <xf numFmtId="0" fontId="78" fillId="8" borderId="59" xfId="0" applyFont="1" applyFill="1" applyBorder="1" applyAlignment="1">
      <alignment horizontal="center"/>
    </xf>
    <xf numFmtId="0" fontId="78" fillId="8" borderId="60" xfId="0" applyFont="1" applyFill="1" applyBorder="1" applyAlignment="1">
      <alignment horizontal="center"/>
    </xf>
    <xf numFmtId="0" fontId="78" fillId="9" borderId="10" xfId="0" applyFont="1" applyFill="1" applyBorder="1" applyAlignment="1">
      <alignment horizontal="left"/>
    </xf>
    <xf numFmtId="0" fontId="78" fillId="9" borderId="11" xfId="0" applyFont="1" applyFill="1" applyBorder="1" applyAlignment="1">
      <alignment horizontal="left"/>
    </xf>
    <xf numFmtId="0" fontId="78" fillId="9" borderId="97" xfId="0" applyFont="1" applyFill="1" applyBorder="1" applyAlignment="1">
      <alignment horizontal="left"/>
    </xf>
    <xf numFmtId="166" fontId="72" fillId="4" borderId="14" xfId="4" applyNumberFormat="1" applyFont="1" applyFill="1" applyBorder="1" applyAlignment="1">
      <alignment horizontal="center" vertical="center" wrapText="1"/>
    </xf>
    <xf numFmtId="166" fontId="72" fillId="4" borderId="0" xfId="4" applyNumberFormat="1" applyFont="1" applyFill="1" applyBorder="1" applyAlignment="1">
      <alignment horizontal="center" vertical="center" wrapText="1"/>
    </xf>
    <xf numFmtId="0" fontId="78" fillId="9" borderId="61" xfId="0" applyFont="1" applyFill="1" applyBorder="1" applyAlignment="1">
      <alignment horizontal="left"/>
    </xf>
    <xf numFmtId="0" fontId="78" fillId="9" borderId="57" xfId="0" applyFont="1" applyFill="1" applyBorder="1" applyAlignment="1">
      <alignment horizontal="left"/>
    </xf>
    <xf numFmtId="0" fontId="78" fillId="9" borderId="63" xfId="0" applyFont="1" applyFill="1" applyBorder="1" applyAlignment="1">
      <alignment horizontal="left"/>
    </xf>
    <xf numFmtId="44" fontId="78" fillId="8" borderId="48" xfId="8" applyFont="1" applyFill="1" applyBorder="1" applyAlignment="1">
      <alignment horizontal="center"/>
    </xf>
    <xf numFmtId="44" fontId="78" fillId="8" borderId="49" xfId="8" applyFont="1" applyFill="1" applyBorder="1" applyAlignment="1">
      <alignment horizontal="center"/>
    </xf>
    <xf numFmtId="44" fontId="78" fillId="9" borderId="48" xfId="8" applyFont="1" applyFill="1" applyBorder="1" applyAlignment="1">
      <alignment horizontal="left"/>
    </xf>
    <xf numFmtId="44" fontId="78" fillId="9" borderId="49" xfId="8" applyFont="1" applyFill="1" applyBorder="1" applyAlignment="1">
      <alignment horizontal="left"/>
    </xf>
    <xf numFmtId="0" fontId="78" fillId="9" borderId="80" xfId="0" applyFont="1" applyFill="1" applyBorder="1" applyAlignment="1">
      <alignment horizontal="left"/>
    </xf>
    <xf numFmtId="0" fontId="78" fillId="9" borderId="81" xfId="0" applyFont="1" applyFill="1" applyBorder="1" applyAlignment="1">
      <alignment horizontal="left"/>
    </xf>
    <xf numFmtId="0" fontId="78" fillId="9" borderId="82" xfId="0" applyFont="1" applyFill="1" applyBorder="1" applyAlignment="1">
      <alignment horizontal="left"/>
    </xf>
    <xf numFmtId="0" fontId="78" fillId="9" borderId="94" xfId="0" applyFont="1" applyFill="1" applyBorder="1" applyAlignment="1">
      <alignment horizontal="left"/>
    </xf>
    <xf numFmtId="0" fontId="78" fillId="9" borderId="12" xfId="0" applyFont="1" applyFill="1" applyBorder="1" applyAlignment="1">
      <alignment horizontal="left"/>
    </xf>
    <xf numFmtId="0" fontId="78" fillId="9" borderId="13" xfId="0" applyFont="1" applyFill="1" applyBorder="1" applyAlignment="1">
      <alignment horizontal="left"/>
    </xf>
    <xf numFmtId="1" fontId="78" fillId="9" borderId="76" xfId="0" applyNumberFormat="1" applyFont="1" applyFill="1" applyBorder="1" applyAlignment="1">
      <alignment horizontal="left"/>
    </xf>
    <xf numFmtId="1" fontId="78" fillId="9" borderId="77" xfId="0" applyNumberFormat="1" applyFont="1" applyFill="1" applyBorder="1" applyAlignment="1">
      <alignment horizontal="left"/>
    </xf>
    <xf numFmtId="0" fontId="78" fillId="9" borderId="72" xfId="0" applyFont="1" applyFill="1" applyBorder="1" applyAlignment="1">
      <alignment horizontal="left"/>
    </xf>
    <xf numFmtId="0" fontId="78" fillId="9" borderId="7" xfId="0" applyFont="1" applyFill="1" applyBorder="1" applyAlignment="1">
      <alignment horizontal="left"/>
    </xf>
    <xf numFmtId="0" fontId="78" fillId="9" borderId="46" xfId="0" applyFont="1" applyFill="1" applyBorder="1" applyAlignment="1">
      <alignment horizontal="left"/>
    </xf>
    <xf numFmtId="0" fontId="78" fillId="9" borderId="62" xfId="0" applyFont="1" applyFill="1" applyBorder="1" applyAlignment="1">
      <alignment horizontal="left"/>
    </xf>
    <xf numFmtId="0" fontId="26" fillId="9" borderId="5" xfId="2" applyFont="1" applyFill="1" applyBorder="1" applyAlignment="1">
      <alignment horizontal="left"/>
    </xf>
    <xf numFmtId="0" fontId="26" fillId="9" borderId="34" xfId="2" applyFont="1" applyFill="1" applyBorder="1" applyAlignment="1">
      <alignment horizontal="left"/>
    </xf>
    <xf numFmtId="0" fontId="26" fillId="9" borderId="42" xfId="2" applyFont="1" applyFill="1" applyBorder="1" applyAlignment="1">
      <alignment horizontal="left"/>
    </xf>
    <xf numFmtId="1" fontId="26" fillId="9" borderId="5" xfId="0" applyNumberFormat="1" applyFont="1" applyFill="1" applyBorder="1" applyAlignment="1">
      <alignment horizontal="left"/>
    </xf>
    <xf numFmtId="1" fontId="26" fillId="9" borderId="34" xfId="0" applyNumberFormat="1" applyFont="1" applyFill="1" applyBorder="1" applyAlignment="1">
      <alignment horizontal="left"/>
    </xf>
    <xf numFmtId="1" fontId="26" fillId="9" borderId="80" xfId="0" applyNumberFormat="1" applyFont="1" applyFill="1" applyBorder="1" applyAlignment="1">
      <alignment horizontal="left"/>
    </xf>
    <xf numFmtId="1" fontId="26" fillId="9" borderId="81" xfId="0" applyNumberFormat="1" applyFont="1" applyFill="1" applyBorder="1" applyAlignment="1">
      <alignment horizontal="left"/>
    </xf>
    <xf numFmtId="1" fontId="26" fillId="9" borderId="94" xfId="0" applyNumberFormat="1" applyFont="1" applyFill="1" applyBorder="1" applyAlignment="1">
      <alignment horizontal="left"/>
    </xf>
    <xf numFmtId="0" fontId="26" fillId="9" borderId="76" xfId="2" applyFont="1" applyFill="1" applyBorder="1" applyAlignment="1">
      <alignment horizontal="left"/>
    </xf>
    <xf numFmtId="0" fontId="26" fillId="9" borderId="77" xfId="2" applyFont="1" applyFill="1" applyBorder="1" applyAlignment="1">
      <alignment horizontal="left"/>
    </xf>
    <xf numFmtId="0" fontId="26" fillId="9" borderId="72" xfId="2" applyFont="1" applyFill="1" applyBorder="1" applyAlignment="1">
      <alignment horizontal="left"/>
    </xf>
    <xf numFmtId="0" fontId="26" fillId="9" borderId="7" xfId="2" applyFont="1" applyFill="1" applyBorder="1" applyAlignment="1">
      <alignment horizontal="left"/>
    </xf>
    <xf numFmtId="0" fontId="26" fillId="9" borderId="12" xfId="2" applyFont="1" applyFill="1" applyBorder="1" applyAlignment="1">
      <alignment horizontal="left"/>
    </xf>
    <xf numFmtId="0" fontId="26" fillId="9" borderId="13" xfId="2" applyFont="1" applyFill="1" applyBorder="1" applyAlignment="1">
      <alignment horizontal="left"/>
    </xf>
    <xf numFmtId="0" fontId="26" fillId="9" borderId="14" xfId="2" applyFont="1" applyFill="1" applyBorder="1" applyAlignment="1">
      <alignment horizontal="left"/>
    </xf>
    <xf numFmtId="0" fontId="26" fillId="9" borderId="0" xfId="2" applyFont="1" applyFill="1" applyAlignment="1">
      <alignment horizontal="left"/>
    </xf>
    <xf numFmtId="0" fontId="26" fillId="8" borderId="90" xfId="0" applyFont="1" applyFill="1" applyBorder="1" applyAlignment="1">
      <alignment horizontal="center"/>
    </xf>
    <xf numFmtId="0" fontId="26" fillId="8" borderId="85" xfId="0" applyFont="1" applyFill="1" applyBorder="1" applyAlignment="1">
      <alignment horizontal="center"/>
    </xf>
    <xf numFmtId="0" fontId="26" fillId="8" borderId="86" xfId="0" applyFont="1" applyFill="1" applyBorder="1" applyAlignment="1">
      <alignment horizontal="center"/>
    </xf>
    <xf numFmtId="0" fontId="26" fillId="9" borderId="94" xfId="0" applyFont="1" applyFill="1" applyBorder="1" applyAlignment="1">
      <alignment horizontal="left"/>
    </xf>
    <xf numFmtId="1" fontId="26" fillId="9" borderId="7" xfId="0" applyNumberFormat="1" applyFont="1" applyFill="1" applyBorder="1" applyAlignment="1">
      <alignment horizontal="left"/>
    </xf>
    <xf numFmtId="1" fontId="26" fillId="9" borderId="0" xfId="0" applyNumberFormat="1" applyFont="1" applyFill="1" applyAlignment="1">
      <alignment horizontal="left"/>
    </xf>
    <xf numFmtId="0" fontId="23" fillId="9" borderId="5" xfId="2" applyFont="1" applyFill="1" applyBorder="1" applyAlignment="1">
      <alignment horizontal="left"/>
    </xf>
    <xf numFmtId="0" fontId="23" fillId="9" borderId="34" xfId="2" applyFont="1" applyFill="1" applyBorder="1" applyAlignment="1">
      <alignment horizontal="left"/>
    </xf>
    <xf numFmtId="0" fontId="23" fillId="9" borderId="42" xfId="2" applyFont="1" applyFill="1" applyBorder="1" applyAlignment="1">
      <alignment horizontal="left"/>
    </xf>
    <xf numFmtId="1" fontId="23" fillId="9" borderId="80" xfId="0" applyNumberFormat="1" applyFont="1" applyFill="1" applyBorder="1" applyAlignment="1">
      <alignment horizontal="left"/>
    </xf>
    <xf numFmtId="1" fontId="23" fillId="9" borderId="81" xfId="0" applyNumberFormat="1" applyFont="1" applyFill="1" applyBorder="1" applyAlignment="1">
      <alignment horizontal="left"/>
    </xf>
    <xf numFmtId="1" fontId="23" fillId="9" borderId="94" xfId="0" applyNumberFormat="1" applyFont="1" applyFill="1" applyBorder="1" applyAlignment="1">
      <alignment horizontal="left"/>
    </xf>
    <xf numFmtId="0" fontId="23" fillId="9" borderId="14" xfId="2" applyFont="1" applyFill="1" applyBorder="1" applyAlignment="1">
      <alignment horizontal="left"/>
    </xf>
    <xf numFmtId="0" fontId="23" fillId="9" borderId="0" xfId="2" applyFont="1" applyFill="1" applyAlignment="1">
      <alignment horizontal="left"/>
    </xf>
    <xf numFmtId="1" fontId="23" fillId="9" borderId="62" xfId="0" applyNumberFormat="1" applyFont="1" applyFill="1" applyBorder="1" applyAlignment="1">
      <alignment horizontal="left"/>
    </xf>
    <xf numFmtId="1" fontId="23" fillId="9" borderId="0" xfId="0" applyNumberFormat="1" applyFont="1" applyFill="1" applyAlignment="1">
      <alignment horizontal="left"/>
    </xf>
    <xf numFmtId="0" fontId="6" fillId="0" borderId="0" xfId="2" applyFont="1" applyAlignment="1">
      <alignment horizontal="left" vertical="center" wrapText="1"/>
    </xf>
    <xf numFmtId="0" fontId="6" fillId="0" borderId="0" xfId="2" applyFont="1" applyAlignment="1">
      <alignment horizontal="left" vertical="top"/>
    </xf>
    <xf numFmtId="0" fontId="57" fillId="2" borderId="3" xfId="3" applyFont="1" applyFill="1" applyBorder="1" applyAlignment="1">
      <alignment horizontal="center" vertical="center"/>
    </xf>
    <xf numFmtId="0" fontId="57" fillId="2" borderId="4" xfId="3" applyFont="1" applyFill="1" applyBorder="1" applyAlignment="1">
      <alignment horizontal="center" vertical="center"/>
    </xf>
    <xf numFmtId="0" fontId="57" fillId="2" borderId="100" xfId="3" applyFont="1" applyFill="1" applyBorder="1" applyAlignment="1">
      <alignment horizontal="center" vertical="center"/>
    </xf>
    <xf numFmtId="166" fontId="57" fillId="0" borderId="37" xfId="4" applyNumberFormat="1" applyFont="1" applyBorder="1" applyAlignment="1">
      <alignment horizontal="center" vertical="center" wrapText="1"/>
    </xf>
    <xf numFmtId="166" fontId="57" fillId="0" borderId="38" xfId="4" applyNumberFormat="1" applyFont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  <xf numFmtId="0" fontId="57" fillId="3" borderId="34" xfId="0" applyFont="1" applyFill="1" applyBorder="1" applyAlignment="1">
      <alignment horizontal="center" vertical="center" wrapText="1"/>
    </xf>
    <xf numFmtId="0" fontId="57" fillId="3" borderId="100" xfId="0" applyFont="1" applyFill="1" applyBorder="1" applyAlignment="1">
      <alignment horizontal="center" vertical="center" wrapText="1"/>
    </xf>
    <xf numFmtId="166" fontId="57" fillId="4" borderId="5" xfId="4" applyNumberFormat="1" applyFont="1" applyFill="1" applyBorder="1" applyAlignment="1">
      <alignment horizontal="center" vertical="center" wrapText="1"/>
    </xf>
    <xf numFmtId="166" fontId="57" fillId="4" borderId="34" xfId="4" applyNumberFormat="1" applyFont="1" applyFill="1" applyBorder="1" applyAlignment="1">
      <alignment horizontal="center" vertical="center" wrapText="1"/>
    </xf>
    <xf numFmtId="166" fontId="57" fillId="4" borderId="100" xfId="4" applyNumberFormat="1" applyFont="1" applyFill="1" applyBorder="1" applyAlignment="1">
      <alignment horizontal="center" vertical="center" wrapText="1"/>
    </xf>
    <xf numFmtId="166" fontId="57" fillId="4" borderId="14" xfId="4" applyNumberFormat="1" applyFont="1" applyFill="1" applyBorder="1" applyAlignment="1">
      <alignment horizontal="center" vertical="center" wrapText="1"/>
    </xf>
    <xf numFmtId="166" fontId="57" fillId="4" borderId="0" xfId="4" applyNumberFormat="1" applyFont="1" applyFill="1" applyBorder="1" applyAlignment="1">
      <alignment horizontal="center" vertical="center" wrapText="1"/>
    </xf>
    <xf numFmtId="44" fontId="23" fillId="8" borderId="48" xfId="8" applyFont="1" applyFill="1" applyBorder="1" applyAlignment="1">
      <alignment horizontal="center"/>
    </xf>
    <xf numFmtId="44" fontId="23" fillId="8" borderId="49" xfId="8" applyFont="1" applyFill="1" applyBorder="1" applyAlignment="1">
      <alignment horizontal="center"/>
    </xf>
    <xf numFmtId="44" fontId="23" fillId="9" borderId="48" xfId="8" applyFont="1" applyFill="1" applyBorder="1" applyAlignment="1">
      <alignment horizontal="left"/>
    </xf>
    <xf numFmtId="44" fontId="23" fillId="9" borderId="49" xfId="8" applyFont="1" applyFill="1" applyBorder="1" applyAlignment="1">
      <alignment horizontal="left"/>
    </xf>
    <xf numFmtId="1" fontId="23" fillId="9" borderId="72" xfId="0" applyNumberFormat="1" applyFont="1" applyFill="1" applyBorder="1" applyAlignment="1">
      <alignment horizontal="left"/>
    </xf>
    <xf numFmtId="1" fontId="23" fillId="9" borderId="57" xfId="0" applyNumberFormat="1" applyFont="1" applyFill="1" applyBorder="1" applyAlignment="1">
      <alignment horizontal="left"/>
    </xf>
    <xf numFmtId="1" fontId="23" fillId="9" borderId="7" xfId="0" applyNumberFormat="1" applyFont="1" applyFill="1" applyBorder="1" applyAlignment="1">
      <alignment horizontal="left"/>
    </xf>
    <xf numFmtId="0" fontId="38" fillId="2" borderId="107" xfId="3" applyFont="1" applyFill="1" applyBorder="1" applyAlignment="1">
      <alignment horizontal="center" vertical="center"/>
    </xf>
    <xf numFmtId="0" fontId="38" fillId="3" borderId="107" xfId="0" applyFont="1" applyFill="1" applyBorder="1" applyAlignment="1">
      <alignment horizontal="center" vertical="center" wrapText="1"/>
    </xf>
    <xf numFmtId="166" fontId="38" fillId="4" borderId="107" xfId="4" applyNumberFormat="1" applyFont="1" applyFill="1" applyBorder="1" applyAlignment="1">
      <alignment horizontal="center" vertical="center" wrapText="1"/>
    </xf>
    <xf numFmtId="0" fontId="26" fillId="9" borderId="110" xfId="0" applyFont="1" applyFill="1" applyBorder="1" applyAlignment="1">
      <alignment horizontal="left"/>
    </xf>
    <xf numFmtId="0" fontId="26" fillId="9" borderId="14" xfId="0" applyFont="1" applyFill="1" applyBorder="1" applyAlignment="1">
      <alignment horizontal="left"/>
    </xf>
    <xf numFmtId="0" fontId="26" fillId="8" borderId="110" xfId="0" applyFont="1" applyFill="1" applyBorder="1" applyAlignment="1">
      <alignment horizontal="center"/>
    </xf>
    <xf numFmtId="0" fontId="26" fillId="8" borderId="48" xfId="0" applyFont="1" applyFill="1" applyBorder="1" applyAlignment="1">
      <alignment horizontal="center"/>
    </xf>
    <xf numFmtId="0" fontId="26" fillId="8" borderId="49" xfId="0" applyFont="1" applyFill="1" applyBorder="1" applyAlignment="1">
      <alignment horizontal="center"/>
    </xf>
    <xf numFmtId="0" fontId="26" fillId="8" borderId="51" xfId="0" applyFont="1" applyFill="1" applyBorder="1" applyAlignment="1">
      <alignment horizontal="center"/>
    </xf>
    <xf numFmtId="0" fontId="20" fillId="16" borderId="10" xfId="0" applyFont="1" applyFill="1" applyBorder="1" applyAlignment="1">
      <alignment horizontal="center" vertical="center"/>
    </xf>
    <xf numFmtId="0" fontId="20" fillId="16" borderId="11" xfId="0" applyFont="1" applyFill="1" applyBorder="1" applyAlignment="1">
      <alignment horizontal="center" vertical="center"/>
    </xf>
    <xf numFmtId="0" fontId="20" fillId="16" borderId="97" xfId="0" applyFont="1" applyFill="1" applyBorder="1" applyAlignment="1">
      <alignment horizontal="center" vertical="center"/>
    </xf>
    <xf numFmtId="0" fontId="23" fillId="8" borderId="10" xfId="3" applyFont="1" applyFill="1" applyBorder="1" applyAlignment="1">
      <alignment horizontal="center"/>
    </xf>
    <xf numFmtId="0" fontId="23" fillId="8" borderId="11" xfId="3" applyFont="1" applyFill="1" applyBorder="1" applyAlignment="1">
      <alignment horizontal="center"/>
    </xf>
    <xf numFmtId="0" fontId="23" fillId="8" borderId="110" xfId="3" applyFont="1" applyFill="1" applyBorder="1" applyAlignment="1">
      <alignment horizontal="center"/>
    </xf>
    <xf numFmtId="0" fontId="23" fillId="8" borderId="10" xfId="0" applyFont="1" applyFill="1" applyBorder="1" applyAlignment="1">
      <alignment horizontal="center"/>
    </xf>
    <xf numFmtId="0" fontId="23" fillId="8" borderId="11" xfId="0" applyFont="1" applyFill="1" applyBorder="1" applyAlignment="1">
      <alignment horizontal="center"/>
    </xf>
    <xf numFmtId="0" fontId="23" fillId="8" borderId="110" xfId="0" applyFont="1" applyFill="1" applyBorder="1" applyAlignment="1">
      <alignment horizontal="center"/>
    </xf>
    <xf numFmtId="0" fontId="24" fillId="9" borderId="58" xfId="0" applyFont="1" applyFill="1" applyBorder="1" applyAlignment="1">
      <alignment horizontal="left"/>
    </xf>
    <xf numFmtId="0" fontId="24" fillId="9" borderId="59" xfId="0" applyFont="1" applyFill="1" applyBorder="1" applyAlignment="1">
      <alignment horizontal="left"/>
    </xf>
    <xf numFmtId="0" fontId="23" fillId="9" borderId="10" xfId="0" applyFont="1" applyFill="1" applyBorder="1" applyAlignment="1">
      <alignment horizontal="left"/>
    </xf>
    <xf numFmtId="0" fontId="23" fillId="9" borderId="11" xfId="0" applyFont="1" applyFill="1" applyBorder="1" applyAlignment="1">
      <alignment horizontal="left"/>
    </xf>
    <xf numFmtId="0" fontId="23" fillId="9" borderId="110" xfId="0" applyFont="1" applyFill="1" applyBorder="1" applyAlignment="1">
      <alignment horizontal="left"/>
    </xf>
    <xf numFmtId="1" fontId="23" fillId="9" borderId="54" xfId="0" applyNumberFormat="1" applyFont="1" applyFill="1" applyBorder="1" applyAlignment="1">
      <alignment horizontal="left"/>
    </xf>
    <xf numFmtId="0" fontId="23" fillId="8" borderId="5" xfId="3" applyFont="1" applyFill="1" applyBorder="1" applyAlignment="1">
      <alignment horizontal="center"/>
    </xf>
    <xf numFmtId="0" fontId="23" fillId="8" borderId="34" xfId="3" applyFont="1" applyFill="1" applyBorder="1" applyAlignment="1">
      <alignment horizontal="center"/>
    </xf>
    <xf numFmtId="0" fontId="23" fillId="8" borderId="113" xfId="3" applyFont="1" applyFill="1" applyBorder="1" applyAlignment="1">
      <alignment horizontal="center"/>
    </xf>
    <xf numFmtId="1" fontId="23" fillId="8" borderId="5" xfId="0" applyNumberFormat="1" applyFont="1" applyFill="1" applyBorder="1" applyAlignment="1">
      <alignment horizontal="center"/>
    </xf>
    <xf numFmtId="1" fontId="23" fillId="8" borderId="34" xfId="0" applyNumberFormat="1" applyFont="1" applyFill="1" applyBorder="1" applyAlignment="1">
      <alignment horizontal="center"/>
    </xf>
    <xf numFmtId="1" fontId="23" fillId="8" borderId="113" xfId="0" applyNumberFormat="1" applyFont="1" applyFill="1" applyBorder="1" applyAlignment="1">
      <alignment horizontal="center"/>
    </xf>
    <xf numFmtId="0" fontId="24" fillId="9" borderId="80" xfId="0" applyFont="1" applyFill="1" applyBorder="1" applyAlignment="1">
      <alignment horizontal="left"/>
    </xf>
    <xf numFmtId="0" fontId="24" fillId="9" borderId="81" xfId="0" applyFont="1" applyFill="1" applyBorder="1" applyAlignment="1">
      <alignment horizontal="left"/>
    </xf>
    <xf numFmtId="0" fontId="24" fillId="9" borderId="82" xfId="0" applyFont="1" applyFill="1" applyBorder="1" applyAlignment="1">
      <alignment horizontal="left"/>
    </xf>
    <xf numFmtId="0" fontId="23" fillId="9" borderId="76" xfId="0" applyFont="1" applyFill="1" applyBorder="1" applyAlignment="1">
      <alignment horizontal="left"/>
    </xf>
    <xf numFmtId="0" fontId="23" fillId="9" borderId="77" xfId="0" applyFont="1" applyFill="1" applyBorder="1" applyAlignment="1">
      <alignment horizontal="left"/>
    </xf>
    <xf numFmtId="1" fontId="23" fillId="9" borderId="12" xfId="0" applyNumberFormat="1" applyFont="1" applyFill="1" applyBorder="1" applyAlignment="1">
      <alignment horizontal="left"/>
    </xf>
    <xf numFmtId="1" fontId="23" fillId="9" borderId="13" xfId="0" applyNumberFormat="1" applyFont="1" applyFill="1" applyBorder="1" applyAlignment="1">
      <alignment horizontal="left"/>
    </xf>
    <xf numFmtId="1" fontId="23" fillId="9" borderId="68" xfId="0" applyNumberFormat="1" applyFont="1" applyFill="1" applyBorder="1" applyAlignment="1">
      <alignment horizontal="left"/>
    </xf>
    <xf numFmtId="0" fontId="23" fillId="9" borderId="5" xfId="0" applyFont="1" applyFill="1" applyBorder="1" applyAlignment="1">
      <alignment horizontal="left"/>
    </xf>
    <xf numFmtId="0" fontId="23" fillId="9" borderId="34" xfId="0" applyFont="1" applyFill="1" applyBorder="1" applyAlignment="1">
      <alignment horizontal="left"/>
    </xf>
    <xf numFmtId="0" fontId="23" fillId="9" borderId="113" xfId="0" applyFont="1" applyFill="1" applyBorder="1" applyAlignment="1">
      <alignment horizontal="left"/>
    </xf>
    <xf numFmtId="37" fontId="23" fillId="8" borderId="5" xfId="3" applyNumberFormat="1" applyFont="1" applyFill="1" applyBorder="1" applyAlignment="1">
      <alignment horizontal="center"/>
    </xf>
    <xf numFmtId="37" fontId="23" fillId="8" borderId="34" xfId="3" applyNumberFormat="1" applyFont="1" applyFill="1" applyBorder="1" applyAlignment="1">
      <alignment horizontal="center"/>
    </xf>
    <xf numFmtId="37" fontId="23" fillId="8" borderId="113" xfId="3" applyNumberFormat="1" applyFont="1" applyFill="1" applyBorder="1" applyAlignment="1">
      <alignment horizontal="center"/>
    </xf>
    <xf numFmtId="0" fontId="23" fillId="9" borderId="12" xfId="0" applyFont="1" applyFill="1" applyBorder="1" applyAlignment="1">
      <alignment horizontal="left"/>
    </xf>
    <xf numFmtId="0" fontId="23" fillId="9" borderId="13" xfId="0" applyFont="1" applyFill="1" applyBorder="1" applyAlignment="1">
      <alignment horizontal="left"/>
    </xf>
    <xf numFmtId="1" fontId="23" fillId="9" borderId="76" xfId="0" applyNumberFormat="1" applyFont="1" applyFill="1" applyBorder="1" applyAlignment="1">
      <alignment horizontal="left"/>
    </xf>
    <xf numFmtId="1" fontId="23" fillId="9" borderId="77" xfId="0" applyNumberFormat="1" applyFont="1" applyFill="1" applyBorder="1" applyAlignment="1">
      <alignment horizontal="left"/>
    </xf>
    <xf numFmtId="1" fontId="23" fillId="9" borderId="78" xfId="0" applyNumberFormat="1" applyFont="1" applyFill="1" applyBorder="1" applyAlignment="1">
      <alignment horizontal="left"/>
    </xf>
    <xf numFmtId="0" fontId="9" fillId="3" borderId="113" xfId="0" applyFont="1" applyFill="1" applyBorder="1" applyAlignment="1">
      <alignment horizontal="center" vertical="center" wrapText="1"/>
    </xf>
    <xf numFmtId="166" fontId="9" fillId="4" borderId="113" xfId="4" applyNumberFormat="1" applyFont="1" applyFill="1" applyBorder="1" applyAlignment="1">
      <alignment horizontal="center" vertical="center" wrapText="1"/>
    </xf>
    <xf numFmtId="0" fontId="9" fillId="2" borderId="113" xfId="3" applyFont="1" applyFill="1" applyBorder="1" applyAlignment="1">
      <alignment horizontal="center" vertical="center"/>
    </xf>
    <xf numFmtId="0" fontId="23" fillId="8" borderId="58" xfId="0" applyFont="1" applyFill="1" applyBorder="1" applyAlignment="1">
      <alignment horizontal="center"/>
    </xf>
    <xf numFmtId="0" fontId="23" fillId="8" borderId="59" xfId="0" applyFont="1" applyFill="1" applyBorder="1" applyAlignment="1">
      <alignment horizontal="center"/>
    </xf>
    <xf numFmtId="0" fontId="23" fillId="8" borderId="105" xfId="0" applyFont="1" applyFill="1" applyBorder="1" applyAlignment="1">
      <alignment horizontal="center"/>
    </xf>
    <xf numFmtId="0" fontId="23" fillId="9" borderId="67" xfId="0" applyFont="1" applyFill="1" applyBorder="1" applyAlignment="1">
      <alignment horizontal="left"/>
    </xf>
    <xf numFmtId="0" fontId="23" fillId="9" borderId="95" xfId="0" applyFont="1" applyFill="1" applyBorder="1" applyAlignment="1">
      <alignment horizontal="left"/>
    </xf>
    <xf numFmtId="0" fontId="23" fillId="9" borderId="91" xfId="0" applyFont="1" applyFill="1" applyBorder="1" applyAlignment="1">
      <alignment horizontal="left"/>
    </xf>
    <xf numFmtId="1" fontId="23" fillId="9" borderId="67" xfId="0" applyNumberFormat="1" applyFont="1" applyFill="1" applyBorder="1" applyAlignment="1">
      <alignment horizontal="left"/>
    </xf>
    <xf numFmtId="1" fontId="23" fillId="9" borderId="95" xfId="0" applyNumberFormat="1" applyFont="1" applyFill="1" applyBorder="1" applyAlignment="1">
      <alignment horizontal="left"/>
    </xf>
    <xf numFmtId="1" fontId="23" fillId="9" borderId="91" xfId="0" applyNumberFormat="1" applyFont="1" applyFill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2" xfId="0" applyBorder="1" applyAlignment="1">
      <alignment horizontal="left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97" xfId="0" applyFont="1" applyBorder="1" applyAlignment="1">
      <alignment horizont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0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17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4" fontId="0" fillId="0" borderId="21" xfId="8" applyFont="1" applyBorder="1" applyAlignment="1">
      <alignment horizontal="center"/>
    </xf>
    <xf numFmtId="44" fontId="0" fillId="0" borderId="22" xfId="8" applyFont="1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6" xfId="8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18" fillId="0" borderId="0" xfId="8" applyFont="1"/>
    <xf numFmtId="44" fontId="92" fillId="26" borderId="57" xfId="8" applyFont="1" applyFill="1" applyBorder="1"/>
  </cellXfs>
  <cellStyles count="27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3 2 2" xfId="24" xr:uid="{A2BE427D-7C15-4BBB-9E18-121F5FDEADB3}"/>
    <cellStyle name="Moeda 3 3" xfId="20" xr:uid="{D5FA6C64-F846-4632-960B-7025B347ECD3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4 2 2 2" xfId="25" xr:uid="{A475C4AA-EBB9-47E3-99D9-5BF49BDADF20}"/>
    <cellStyle name="Moeda 4 2 3" xfId="21" xr:uid="{5E019C51-A29B-44EB-92E5-EB47F49027EA}"/>
    <cellStyle name="Moeda 5" xfId="11" xr:uid="{2124AE60-0557-4AC3-B48A-633CB17E3340}"/>
    <cellStyle name="Moeda 5 2" xfId="17" xr:uid="{0C993D40-EFA9-480A-9766-C4BE8F04E4F7}"/>
    <cellStyle name="Moeda 5 2 2" xfId="26" xr:uid="{98F969F3-7921-4983-B52A-A1781D1E0BAC}"/>
    <cellStyle name="Moeda 5 3" xfId="22" xr:uid="{02DC4C85-2406-4841-A735-9D046438A144}"/>
    <cellStyle name="Moeda 6" xfId="14" xr:uid="{574A822A-71B7-46B2-A0C3-1C5E8591DADA}"/>
    <cellStyle name="Moeda 6 2" xfId="23" xr:uid="{7A987945-9ED6-4F7A-9227-9EE70CCD041A}"/>
    <cellStyle name="Moeda 7" xfId="19" xr:uid="{9721CDF7-BD0D-453E-B56F-B4BB544DF5E1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  <cellStyle name="Vírgula" xfId="18" builtinId="3"/>
  </cellStyles>
  <dxfs count="0"/>
  <tableStyles count="0" defaultTableStyle="TableStyleMedium2" defaultPivotStyle="PivotStyleLight16"/>
  <colors>
    <mruColors>
      <color rgb="FF0476D0"/>
      <color rgb="FFFF00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643255</xdr:colOff>
      <xdr:row>0</xdr:row>
      <xdr:rowOff>152400</xdr:rowOff>
    </xdr:from>
    <xdr:to>
      <xdr:col>5</xdr:col>
      <xdr:colOff>739934</xdr:colOff>
      <xdr:row>1</xdr:row>
      <xdr:rowOff>53340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40961"/>
            </a:ext>
            <a:ext uri="{FF2B5EF4-FFF2-40B4-BE49-F238E27FC236}">
              <a16:creationId xmlns:a16="http://schemas.microsoft.com/office/drawing/2014/main" id="{A6533998-7CE6-4023-9D70-B7F2E2FA999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246221</xdr:colOff>
      <xdr:row>0</xdr:row>
      <xdr:rowOff>134781</xdr:rowOff>
    </xdr:from>
    <xdr:to>
      <xdr:col>1</xdr:col>
      <xdr:colOff>624044</xdr:colOff>
      <xdr:row>0</xdr:row>
      <xdr:rowOff>511493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7E73EAD-04BA-488C-B7C8-3BCEE21D0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4648" cy="372267"/>
        </a:xfrm>
        <a:prstGeom prst="rect">
          <a:avLst/>
        </a:prstGeom>
      </xdr:spPr>
    </xdr:pic>
    <xdr:clientData/>
  </xdr:twoCellAnchor>
  <xdr:twoCellAnchor editAs="absolute">
    <xdr:from>
      <xdr:col>46</xdr:col>
      <xdr:colOff>569345</xdr:colOff>
      <xdr:row>0</xdr:row>
      <xdr:rowOff>190500</xdr:rowOff>
    </xdr:from>
    <xdr:to>
      <xdr:col>48</xdr:col>
      <xdr:colOff>288833</xdr:colOff>
      <xdr:row>1</xdr:row>
      <xdr:rowOff>112395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40962"/>
            </a:ext>
            <a:ext uri="{FF2B5EF4-FFF2-40B4-BE49-F238E27FC236}">
              <a16:creationId xmlns:a16="http://schemas.microsoft.com/office/drawing/2014/main" id="{D387EEB1-06FD-4572-9B89-6FDCF5E6514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38304</xdr:colOff>
      <xdr:row>0</xdr:row>
      <xdr:rowOff>187011</xdr:rowOff>
    </xdr:from>
    <xdr:to>
      <xdr:col>46</xdr:col>
      <xdr:colOff>492190</xdr:colOff>
      <xdr:row>0</xdr:row>
      <xdr:rowOff>550388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A387FEC-8F14-46F5-8D19-55C508501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86477" y="179391"/>
          <a:ext cx="353217" cy="362742"/>
        </a:xfrm>
        <a:prstGeom prst="rect">
          <a:avLst/>
        </a:prstGeom>
      </xdr:spPr>
    </xdr:pic>
    <xdr:clientData/>
  </xdr:twoCellAnchor>
  <xdr:oneCellAnchor>
    <xdr:from>
      <xdr:col>12</xdr:col>
      <xdr:colOff>857250</xdr:colOff>
      <xdr:row>4</xdr:row>
      <xdr:rowOff>154781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86D05AE0-5336-4A32-A94D-BA0F28F91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82850" y="1574006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643255</xdr:colOff>
      <xdr:row>0</xdr:row>
      <xdr:rowOff>152400</xdr:rowOff>
    </xdr:from>
    <xdr:to>
      <xdr:col>5</xdr:col>
      <xdr:colOff>739934</xdr:colOff>
      <xdr:row>1</xdr:row>
      <xdr:rowOff>53340</xdr:rowOff>
    </xdr:to>
    <xdr:pic>
      <xdr:nvPicPr>
        <xdr:cNvPr id="40961" name="Label1">
          <a:extLst>
            <a:ext uri="{FF2B5EF4-FFF2-40B4-BE49-F238E27FC236}">
              <a16:creationId xmlns:a16="http://schemas.microsoft.com/office/drawing/2014/main" id="{9067D8BF-3EE4-5CD4-0E01-C03506E81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2200</xdr:colOff>
      <xdr:row>0</xdr:row>
      <xdr:rowOff>190500</xdr:rowOff>
    </xdr:from>
    <xdr:to>
      <xdr:col>48</xdr:col>
      <xdr:colOff>320402</xdr:colOff>
      <xdr:row>1</xdr:row>
      <xdr:rowOff>112395</xdr:rowOff>
    </xdr:to>
    <xdr:pic>
      <xdr:nvPicPr>
        <xdr:cNvPr id="40962" name="Label2">
          <a:extLst>
            <a:ext uri="{FF2B5EF4-FFF2-40B4-BE49-F238E27FC236}">
              <a16:creationId xmlns:a16="http://schemas.microsoft.com/office/drawing/2014/main" id="{0912F095-C78D-19A9-CD42-1E28F0A8B1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46400" y="190500"/>
          <a:ext cx="981075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645735</xdr:colOff>
      <xdr:row>0</xdr:row>
      <xdr:rowOff>152400</xdr:rowOff>
    </xdr:from>
    <xdr:to>
      <xdr:col>5</xdr:col>
      <xdr:colOff>720763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9937"/>
            </a:ext>
            <a:ext uri="{FF2B5EF4-FFF2-40B4-BE49-F238E27FC236}">
              <a16:creationId xmlns:a16="http://schemas.microsoft.com/office/drawing/2014/main" id="{749F8091-B960-47B4-9604-334E681DC89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625889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4B431E87-6F9E-4A4E-8701-8D05D9BC9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4648" cy="372267"/>
        </a:xfrm>
        <a:prstGeom prst="rect">
          <a:avLst/>
        </a:prstGeom>
      </xdr:spPr>
    </xdr:pic>
    <xdr:clientData/>
  </xdr:twoCellAnchor>
  <xdr:twoCellAnchor editAs="absolute">
    <xdr:from>
      <xdr:col>47</xdr:col>
      <xdr:colOff>384174</xdr:colOff>
      <xdr:row>0</xdr:row>
      <xdr:rowOff>190500</xdr:rowOff>
    </xdr:from>
    <xdr:to>
      <xdr:col>49</xdr:col>
      <xdr:colOff>175418</xdr:colOff>
      <xdr:row>1</xdr:row>
      <xdr:rowOff>111125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9938"/>
            </a:ext>
            <a:ext uri="{FF2B5EF4-FFF2-40B4-BE49-F238E27FC236}">
              <a16:creationId xmlns:a16="http://schemas.microsoft.com/office/drawing/2014/main" id="{295CD1C8-EEDF-47E7-9255-24CAF52D4A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550067</xdr:colOff>
      <xdr:row>0</xdr:row>
      <xdr:rowOff>185741</xdr:rowOff>
    </xdr:from>
    <xdr:to>
      <xdr:col>47</xdr:col>
      <xdr:colOff>289715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A4AABBF-4725-48B6-8C85-43B301FA2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86477" y="179391"/>
          <a:ext cx="353217" cy="362742"/>
        </a:xfrm>
        <a:prstGeom prst="rect">
          <a:avLst/>
        </a:prstGeom>
      </xdr:spPr>
    </xdr:pic>
    <xdr:clientData/>
  </xdr:twoCellAnchor>
  <xdr:oneCellAnchor>
    <xdr:from>
      <xdr:col>12</xdr:col>
      <xdr:colOff>857250</xdr:colOff>
      <xdr:row>4</xdr:row>
      <xdr:rowOff>154781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D6715205-1714-426E-9573-F2223CE8E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82850" y="1574006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645735</xdr:colOff>
      <xdr:row>0</xdr:row>
      <xdr:rowOff>152400</xdr:rowOff>
    </xdr:from>
    <xdr:to>
      <xdr:col>5</xdr:col>
      <xdr:colOff>720763</xdr:colOff>
      <xdr:row>1</xdr:row>
      <xdr:rowOff>57150</xdr:rowOff>
    </xdr:to>
    <xdr:pic>
      <xdr:nvPicPr>
        <xdr:cNvPr id="39937" name="Label1">
          <a:extLst>
            <a:ext uri="{FF2B5EF4-FFF2-40B4-BE49-F238E27FC236}">
              <a16:creationId xmlns:a16="http://schemas.microsoft.com/office/drawing/2014/main" id="{7A4FE717-5490-A3B9-EFD1-AF612D8E9E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383267</xdr:colOff>
      <xdr:row>0</xdr:row>
      <xdr:rowOff>190500</xdr:rowOff>
    </xdr:from>
    <xdr:to>
      <xdr:col>49</xdr:col>
      <xdr:colOff>246175</xdr:colOff>
      <xdr:row>1</xdr:row>
      <xdr:rowOff>111125</xdr:rowOff>
    </xdr:to>
    <xdr:pic>
      <xdr:nvPicPr>
        <xdr:cNvPr id="39938" name="Label2">
          <a:extLst>
            <a:ext uri="{FF2B5EF4-FFF2-40B4-BE49-F238E27FC236}">
              <a16:creationId xmlns:a16="http://schemas.microsoft.com/office/drawing/2014/main" id="{90DB66E9-52DC-55DE-2607-F2BCB4C7A54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46400" y="190500"/>
          <a:ext cx="1057275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152400</xdr:rowOff>
    </xdr:from>
    <xdr:to>
      <xdr:col>5</xdr:col>
      <xdr:colOff>1027158</xdr:colOff>
      <xdr:row>1</xdr:row>
      <xdr:rowOff>50165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6865"/>
            </a:ext>
            <a:ext uri="{FF2B5EF4-FFF2-40B4-BE49-F238E27FC236}">
              <a16:creationId xmlns:a16="http://schemas.microsoft.com/office/drawing/2014/main" id="{60ED2213-FEA5-4B28-AFB6-B4012728F50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246221</xdr:colOff>
      <xdr:row>0</xdr:row>
      <xdr:rowOff>134781</xdr:rowOff>
    </xdr:from>
    <xdr:to>
      <xdr:col>5</xdr:col>
      <xdr:colOff>58894</xdr:colOff>
      <xdr:row>0</xdr:row>
      <xdr:rowOff>507683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0ED3503-171C-4052-8F37-180E4148E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4648" cy="372267"/>
        </a:xfrm>
        <a:prstGeom prst="rect">
          <a:avLst/>
        </a:prstGeom>
      </xdr:spPr>
    </xdr:pic>
    <xdr:clientData/>
  </xdr:twoCellAnchor>
  <xdr:twoCellAnchor editAs="absolute">
    <xdr:from>
      <xdr:col>48</xdr:col>
      <xdr:colOff>332831</xdr:colOff>
      <xdr:row>0</xdr:row>
      <xdr:rowOff>190500</xdr:rowOff>
    </xdr:from>
    <xdr:to>
      <xdr:col>50</xdr:col>
      <xdr:colOff>79829</xdr:colOff>
      <xdr:row>1</xdr:row>
      <xdr:rowOff>97155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6866"/>
            </a:ext>
            <a:ext uri="{FF2B5EF4-FFF2-40B4-BE49-F238E27FC236}">
              <a16:creationId xmlns:a16="http://schemas.microsoft.com/office/drawing/2014/main" id="{46F261A7-DA38-4A3F-B3A0-83A570C0921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477066</xdr:colOff>
      <xdr:row>0</xdr:row>
      <xdr:rowOff>169866</xdr:rowOff>
    </xdr:from>
    <xdr:to>
      <xdr:col>48</xdr:col>
      <xdr:colOff>216691</xdr:colOff>
      <xdr:row>0</xdr:row>
      <xdr:rowOff>549753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8ACB06FF-5B31-4240-BF6C-34F87C1AC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76952" y="179391"/>
          <a:ext cx="351857" cy="362742"/>
        </a:xfrm>
        <a:prstGeom prst="rect">
          <a:avLst/>
        </a:prstGeom>
      </xdr:spPr>
    </xdr:pic>
    <xdr:clientData/>
  </xdr:twoCellAnchor>
  <xdr:oneCellAnchor>
    <xdr:from>
      <xdr:col>11</xdr:col>
      <xdr:colOff>1349375</xdr:colOff>
      <xdr:row>2</xdr:row>
      <xdr:rowOff>75406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EEA66947-E9A7-4D11-A21E-3B0E0DDB4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88500" y="1027906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95250</xdr:colOff>
      <xdr:row>0</xdr:row>
      <xdr:rowOff>152400</xdr:rowOff>
    </xdr:from>
    <xdr:to>
      <xdr:col>5</xdr:col>
      <xdr:colOff>1027158</xdr:colOff>
      <xdr:row>1</xdr:row>
      <xdr:rowOff>50165</xdr:rowOff>
    </xdr:to>
    <xdr:pic>
      <xdr:nvPicPr>
        <xdr:cNvPr id="36865" name="Label1">
          <a:extLst>
            <a:ext uri="{FF2B5EF4-FFF2-40B4-BE49-F238E27FC236}">
              <a16:creationId xmlns:a16="http://schemas.microsoft.com/office/drawing/2014/main" id="{54AEA638-3439-212D-CD35-DEBDF7BDED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48</xdr:col>
      <xdr:colOff>334464</xdr:colOff>
      <xdr:row>0</xdr:row>
      <xdr:rowOff>190500</xdr:rowOff>
    </xdr:from>
    <xdr:to>
      <xdr:col>50</xdr:col>
      <xdr:colOff>80101</xdr:colOff>
      <xdr:row>1</xdr:row>
      <xdr:rowOff>97155</xdr:rowOff>
    </xdr:to>
    <xdr:pic>
      <xdr:nvPicPr>
        <xdr:cNvPr id="36866" name="Label2">
          <a:extLst>
            <a:ext uri="{FF2B5EF4-FFF2-40B4-BE49-F238E27FC236}">
              <a16:creationId xmlns:a16="http://schemas.microsoft.com/office/drawing/2014/main" id="{3877C12B-E154-CC28-CB59-8031E215BD9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7350" y="190500"/>
          <a:ext cx="981075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643968</xdr:colOff>
      <xdr:row>0</xdr:row>
      <xdr:rowOff>149225</xdr:rowOff>
    </xdr:from>
    <xdr:to>
      <xdr:col>5</xdr:col>
      <xdr:colOff>835974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7649"/>
            </a:ext>
            <a:ext uri="{FF2B5EF4-FFF2-40B4-BE49-F238E27FC236}">
              <a16:creationId xmlns:a16="http://schemas.microsoft.com/office/drawing/2014/main" id="{59A88992-2A7D-41DE-9270-3B32382CE7B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631266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0DD901E2-934A-477E-BFB1-672D9BA6D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267" cy="372267"/>
        </a:xfrm>
        <a:prstGeom prst="rect">
          <a:avLst/>
        </a:prstGeom>
      </xdr:spPr>
    </xdr:pic>
    <xdr:clientData/>
  </xdr:twoCellAnchor>
  <xdr:twoCellAnchor editAs="absolute">
    <xdr:from>
      <xdr:col>43</xdr:col>
      <xdr:colOff>383125</xdr:colOff>
      <xdr:row>0</xdr:row>
      <xdr:rowOff>190500</xdr:rowOff>
    </xdr:from>
    <xdr:to>
      <xdr:col>45</xdr:col>
      <xdr:colOff>154677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7650"/>
            </a:ext>
            <a:ext uri="{FF2B5EF4-FFF2-40B4-BE49-F238E27FC236}">
              <a16:creationId xmlns:a16="http://schemas.microsoft.com/office/drawing/2014/main" id="{22331CFB-0343-44CA-901F-78F4B137098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42</xdr:col>
      <xdr:colOff>555078</xdr:colOff>
      <xdr:row>0</xdr:row>
      <xdr:rowOff>185741</xdr:rowOff>
    </xdr:from>
    <xdr:to>
      <xdr:col>43</xdr:col>
      <xdr:colOff>300572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FD70BF8-E535-4A49-8D77-AEC800E01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82055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651906</xdr:colOff>
      <xdr:row>0</xdr:row>
      <xdr:rowOff>149225</xdr:rowOff>
    </xdr:from>
    <xdr:to>
      <xdr:col>5</xdr:col>
      <xdr:colOff>816924</xdr:colOff>
      <xdr:row>1</xdr:row>
      <xdr:rowOff>57150</xdr:rowOff>
    </xdr:to>
    <xdr:pic>
      <xdr:nvPicPr>
        <xdr:cNvPr id="27649" name="Label1">
          <a:extLst>
            <a:ext uri="{FF2B5EF4-FFF2-40B4-BE49-F238E27FC236}">
              <a16:creationId xmlns:a16="http://schemas.microsoft.com/office/drawing/2014/main" id="{0F0F40CB-6DB0-A84B-B509-4312C555B18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42875"/>
          <a:ext cx="95250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320418</xdr:colOff>
      <xdr:row>0</xdr:row>
      <xdr:rowOff>190500</xdr:rowOff>
    </xdr:from>
    <xdr:to>
      <xdr:col>45</xdr:col>
      <xdr:colOff>116577</xdr:colOff>
      <xdr:row>1</xdr:row>
      <xdr:rowOff>130175</xdr:rowOff>
    </xdr:to>
    <xdr:pic>
      <xdr:nvPicPr>
        <xdr:cNvPr id="27650" name="Label2">
          <a:extLst>
            <a:ext uri="{FF2B5EF4-FFF2-40B4-BE49-F238E27FC236}">
              <a16:creationId xmlns:a16="http://schemas.microsoft.com/office/drawing/2014/main" id="{5A413319-7605-6B35-21A8-79E3AF59A86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7350" y="190500"/>
          <a:ext cx="9906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869156</xdr:colOff>
      <xdr:row>4</xdr:row>
      <xdr:rowOff>35719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A04C63BE-F183-400C-9816-4C0907D87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561719" y="1452563"/>
          <a:ext cx="2776118" cy="199367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152400</xdr:rowOff>
    </xdr:from>
    <xdr:to>
      <xdr:col>5</xdr:col>
      <xdr:colOff>1023983</xdr:colOff>
      <xdr:row>1</xdr:row>
      <xdr:rowOff>53340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6865"/>
            </a:ext>
            <a:ext uri="{FF2B5EF4-FFF2-40B4-BE49-F238E27FC236}">
              <a16:creationId xmlns:a16="http://schemas.microsoft.com/office/drawing/2014/main" id="{E3276A2D-8CB7-485B-9C28-E832248AB9F3}"/>
            </a:ext>
          </a:extLst>
        </xdr:cNvPr>
        <xdr:cNvSpPr/>
      </xdr:nvSpPr>
      <xdr:spPr bwMode="auto">
        <a:xfrm>
          <a:off x="674370" y="152400"/>
          <a:ext cx="956310" cy="525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246221</xdr:colOff>
      <xdr:row>0</xdr:row>
      <xdr:rowOff>134781</xdr:rowOff>
    </xdr:from>
    <xdr:to>
      <xdr:col>5</xdr:col>
      <xdr:colOff>58894</xdr:colOff>
      <xdr:row>0</xdr:row>
      <xdr:rowOff>510858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A317693-F0E3-45E3-AE2C-7CB8C3C9B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21" y="134781"/>
          <a:ext cx="391793" cy="376077"/>
        </a:xfrm>
        <a:prstGeom prst="rect">
          <a:avLst/>
        </a:prstGeom>
      </xdr:spPr>
    </xdr:pic>
    <xdr:clientData/>
  </xdr:twoCellAnchor>
  <xdr:twoCellAnchor editAs="absolute">
    <xdr:from>
      <xdr:col>48</xdr:col>
      <xdr:colOff>111789</xdr:colOff>
      <xdr:row>0</xdr:row>
      <xdr:rowOff>190500</xdr:rowOff>
    </xdr:from>
    <xdr:to>
      <xdr:col>49</xdr:col>
      <xdr:colOff>435882</xdr:colOff>
      <xdr:row>1</xdr:row>
      <xdr:rowOff>97155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6866"/>
            </a:ext>
            <a:ext uri="{FF2B5EF4-FFF2-40B4-BE49-F238E27FC236}">
              <a16:creationId xmlns:a16="http://schemas.microsoft.com/office/drawing/2014/main" id="{4B9EF195-F54B-412D-AEDE-5A90A46CF014}"/>
            </a:ext>
          </a:extLst>
        </xdr:cNvPr>
        <xdr:cNvSpPr/>
      </xdr:nvSpPr>
      <xdr:spPr bwMode="auto">
        <a:xfrm>
          <a:off x="29131804" y="190500"/>
          <a:ext cx="1015365" cy="53149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271144</xdr:colOff>
      <xdr:row>0</xdr:row>
      <xdr:rowOff>169866</xdr:rowOff>
    </xdr:from>
    <xdr:to>
      <xdr:col>47</xdr:col>
      <xdr:colOff>606157</xdr:colOff>
      <xdr:row>0</xdr:row>
      <xdr:rowOff>549753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028C11B6-6526-4389-949A-EB5FCEAFC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74603" y="169866"/>
          <a:ext cx="345597" cy="379887"/>
        </a:xfrm>
        <a:prstGeom prst="rect">
          <a:avLst/>
        </a:prstGeom>
      </xdr:spPr>
    </xdr:pic>
    <xdr:clientData/>
  </xdr:twoCellAnchor>
  <xdr:oneCellAnchor>
    <xdr:from>
      <xdr:col>12</xdr:col>
      <xdr:colOff>857250</xdr:colOff>
      <xdr:row>4</xdr:row>
      <xdr:rowOff>154781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A24EC985-9743-4F01-827D-112E59525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73350" y="1549241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95250</xdr:colOff>
      <xdr:row>0</xdr:row>
      <xdr:rowOff>152400</xdr:rowOff>
    </xdr:from>
    <xdr:to>
      <xdr:col>5</xdr:col>
      <xdr:colOff>1023983</xdr:colOff>
      <xdr:row>1</xdr:row>
      <xdr:rowOff>53340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666FBCE6-C760-4A43-A7AD-0EB2C1480F1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" y="152400"/>
          <a:ext cx="956310" cy="525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48</xdr:col>
      <xdr:colOff>110247</xdr:colOff>
      <xdr:row>0</xdr:row>
      <xdr:rowOff>190500</xdr:rowOff>
    </xdr:from>
    <xdr:to>
      <xdr:col>49</xdr:col>
      <xdr:colOff>436154</xdr:colOff>
      <xdr:row>1</xdr:row>
      <xdr:rowOff>97155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9221F6F6-927C-4C23-B1E7-BD79309FC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3437" y="190500"/>
          <a:ext cx="1014004" cy="53149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152400</xdr:rowOff>
    </xdr:from>
    <xdr:to>
      <xdr:col>5</xdr:col>
      <xdr:colOff>1023983</xdr:colOff>
      <xdr:row>1</xdr:row>
      <xdr:rowOff>46990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6865"/>
            </a:ext>
            <a:ext uri="{FF2B5EF4-FFF2-40B4-BE49-F238E27FC236}">
              <a16:creationId xmlns:a16="http://schemas.microsoft.com/office/drawing/2014/main" id="{661C603B-DA29-48F5-9C9C-33E1E8700726}"/>
            </a:ext>
          </a:extLst>
        </xdr:cNvPr>
        <xdr:cNvSpPr/>
      </xdr:nvSpPr>
      <xdr:spPr bwMode="auto">
        <a:xfrm>
          <a:off x="674370" y="152400"/>
          <a:ext cx="956310" cy="525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246221</xdr:colOff>
      <xdr:row>0</xdr:row>
      <xdr:rowOff>134781</xdr:rowOff>
    </xdr:from>
    <xdr:to>
      <xdr:col>5</xdr:col>
      <xdr:colOff>58894</xdr:colOff>
      <xdr:row>0</xdr:row>
      <xdr:rowOff>504508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686B646-4910-4E0A-A99F-FB4BAFDBB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21" y="134781"/>
          <a:ext cx="391793" cy="376077"/>
        </a:xfrm>
        <a:prstGeom prst="rect">
          <a:avLst/>
        </a:prstGeom>
      </xdr:spPr>
    </xdr:pic>
    <xdr:clientData/>
  </xdr:twoCellAnchor>
  <xdr:twoCellAnchor editAs="absolute">
    <xdr:from>
      <xdr:col>48</xdr:col>
      <xdr:colOff>238034</xdr:colOff>
      <xdr:row>0</xdr:row>
      <xdr:rowOff>190500</xdr:rowOff>
    </xdr:from>
    <xdr:to>
      <xdr:col>49</xdr:col>
      <xdr:colOff>578304</xdr:colOff>
      <xdr:row>1</xdr:row>
      <xdr:rowOff>97155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6866"/>
            </a:ext>
            <a:ext uri="{FF2B5EF4-FFF2-40B4-BE49-F238E27FC236}">
              <a16:creationId xmlns:a16="http://schemas.microsoft.com/office/drawing/2014/main" id="{68049C95-8442-4C2A-A933-6D236ED64570}"/>
            </a:ext>
          </a:extLst>
        </xdr:cNvPr>
        <xdr:cNvSpPr/>
      </xdr:nvSpPr>
      <xdr:spPr bwMode="auto">
        <a:xfrm>
          <a:off x="29131804" y="190500"/>
          <a:ext cx="1015365" cy="53149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393154</xdr:colOff>
      <xdr:row>0</xdr:row>
      <xdr:rowOff>169866</xdr:rowOff>
    </xdr:from>
    <xdr:to>
      <xdr:col>48</xdr:col>
      <xdr:colOff>126430</xdr:colOff>
      <xdr:row>0</xdr:row>
      <xdr:rowOff>549753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26EFB4A-07ED-4FF4-A7A9-E5FF3831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74603" y="169866"/>
          <a:ext cx="345597" cy="379887"/>
        </a:xfrm>
        <a:prstGeom prst="rect">
          <a:avLst/>
        </a:prstGeom>
      </xdr:spPr>
    </xdr:pic>
    <xdr:clientData/>
  </xdr:twoCellAnchor>
  <xdr:oneCellAnchor>
    <xdr:from>
      <xdr:col>11</xdr:col>
      <xdr:colOff>1127125</xdr:colOff>
      <xdr:row>2</xdr:row>
      <xdr:rowOff>75406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AD088006-426B-402A-97FB-DB22BCC97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6250" y="1027906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95250</xdr:colOff>
      <xdr:row>0</xdr:row>
      <xdr:rowOff>152400</xdr:rowOff>
    </xdr:from>
    <xdr:to>
      <xdr:col>5</xdr:col>
      <xdr:colOff>1023983</xdr:colOff>
      <xdr:row>1</xdr:row>
      <xdr:rowOff>46990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CF94F380-AA5F-4A0C-8292-087E506D38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" y="152400"/>
          <a:ext cx="956310" cy="525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48</xdr:col>
      <xdr:colOff>239667</xdr:colOff>
      <xdr:row>0</xdr:row>
      <xdr:rowOff>190500</xdr:rowOff>
    </xdr:from>
    <xdr:to>
      <xdr:col>49</xdr:col>
      <xdr:colOff>578576</xdr:colOff>
      <xdr:row>1</xdr:row>
      <xdr:rowOff>97155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C69612B1-0267-4672-A683-F96F932E9C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3437" y="190500"/>
          <a:ext cx="1014004" cy="53149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152400</xdr:rowOff>
    </xdr:from>
    <xdr:to>
      <xdr:col>5</xdr:col>
      <xdr:colOff>1023983</xdr:colOff>
      <xdr:row>1</xdr:row>
      <xdr:rowOff>53340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6865"/>
            </a:ext>
            <a:ext uri="{FF2B5EF4-FFF2-40B4-BE49-F238E27FC236}">
              <a16:creationId xmlns:a16="http://schemas.microsoft.com/office/drawing/2014/main" id="{2E650C42-29A1-4631-8317-2AC28127B063}"/>
            </a:ext>
          </a:extLst>
        </xdr:cNvPr>
        <xdr:cNvSpPr/>
      </xdr:nvSpPr>
      <xdr:spPr bwMode="auto">
        <a:xfrm>
          <a:off x="674370" y="152400"/>
          <a:ext cx="956310" cy="525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246221</xdr:colOff>
      <xdr:row>0</xdr:row>
      <xdr:rowOff>134781</xdr:rowOff>
    </xdr:from>
    <xdr:to>
      <xdr:col>5</xdr:col>
      <xdr:colOff>58894</xdr:colOff>
      <xdr:row>0</xdr:row>
      <xdr:rowOff>510858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0CBE942F-F6F8-4C90-943C-954DAA509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21" y="134781"/>
          <a:ext cx="391793" cy="376077"/>
        </a:xfrm>
        <a:prstGeom prst="rect">
          <a:avLst/>
        </a:prstGeom>
      </xdr:spPr>
    </xdr:pic>
    <xdr:clientData/>
  </xdr:twoCellAnchor>
  <xdr:twoCellAnchor editAs="absolute">
    <xdr:from>
      <xdr:col>48</xdr:col>
      <xdr:colOff>338273</xdr:colOff>
      <xdr:row>0</xdr:row>
      <xdr:rowOff>190500</xdr:rowOff>
    </xdr:from>
    <xdr:to>
      <xdr:col>50</xdr:col>
      <xdr:colOff>73478</xdr:colOff>
      <xdr:row>1</xdr:row>
      <xdr:rowOff>97155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6866"/>
            </a:ext>
            <a:ext uri="{FF2B5EF4-FFF2-40B4-BE49-F238E27FC236}">
              <a16:creationId xmlns:a16="http://schemas.microsoft.com/office/drawing/2014/main" id="{3143D6B1-0F0E-44D6-A111-536E837D253F}"/>
            </a:ext>
          </a:extLst>
        </xdr:cNvPr>
        <xdr:cNvSpPr/>
      </xdr:nvSpPr>
      <xdr:spPr bwMode="auto">
        <a:xfrm>
          <a:off x="29131804" y="190500"/>
          <a:ext cx="1015365" cy="53149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490673</xdr:colOff>
      <xdr:row>0</xdr:row>
      <xdr:rowOff>169866</xdr:rowOff>
    </xdr:from>
    <xdr:to>
      <xdr:col>48</xdr:col>
      <xdr:colOff>226669</xdr:colOff>
      <xdr:row>0</xdr:row>
      <xdr:rowOff>549753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3729813-209B-4AAA-947D-8820F4654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74603" y="169866"/>
          <a:ext cx="345597" cy="379887"/>
        </a:xfrm>
        <a:prstGeom prst="rect">
          <a:avLst/>
        </a:prstGeom>
      </xdr:spPr>
    </xdr:pic>
    <xdr:clientData/>
  </xdr:twoCellAnchor>
  <xdr:oneCellAnchor>
    <xdr:from>
      <xdr:col>11</xdr:col>
      <xdr:colOff>1047750</xdr:colOff>
      <xdr:row>2</xdr:row>
      <xdr:rowOff>59531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5AA90058-FAE7-4824-A612-E6120717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80071" y="998424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95250</xdr:colOff>
      <xdr:row>0</xdr:row>
      <xdr:rowOff>152400</xdr:rowOff>
    </xdr:from>
    <xdr:to>
      <xdr:col>5</xdr:col>
      <xdr:colOff>1023983</xdr:colOff>
      <xdr:row>1</xdr:row>
      <xdr:rowOff>53340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FE6F5996-707A-456F-BA5A-80A4AC5514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" y="152400"/>
          <a:ext cx="956310" cy="525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48</xdr:col>
      <xdr:colOff>339906</xdr:colOff>
      <xdr:row>0</xdr:row>
      <xdr:rowOff>190500</xdr:rowOff>
    </xdr:from>
    <xdr:to>
      <xdr:col>50</xdr:col>
      <xdr:colOff>73750</xdr:colOff>
      <xdr:row>1</xdr:row>
      <xdr:rowOff>97155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A42A1042-9125-42EB-9B75-A598BCD792D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3437" y="190500"/>
          <a:ext cx="1014004" cy="53149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654197" y="152400"/>
    <xdr:ext cx="827554" cy="536622"/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EA7D4C44-078A-4A2A-B7D8-49C0CD715FB2}"/>
            </a:ext>
          </a:extLst>
        </xdr:cNvPr>
        <xdr:cNvSpPr/>
      </xdr:nvSpPr>
      <xdr:spPr bwMode="auto">
        <a:xfrm>
          <a:off x="654197" y="152400"/>
          <a:ext cx="827554" cy="536622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absoluteAnchor>
  <xdr:absoluteAnchor>
    <xdr:pos x="250031" y="130971"/>
    <xdr:ext cx="351067" cy="372267"/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DED78922-9EAF-48A9-86BC-186C2EA5C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51067" cy="372267"/>
        </a:xfrm>
        <a:prstGeom prst="rect">
          <a:avLst/>
        </a:prstGeom>
      </xdr:spPr>
    </xdr:pic>
    <xdr:clientData/>
  </xdr:absoluteAnchor>
  <xdr:absoluteAnchor>
    <xdr:pos x="28387213" y="190500"/>
    <xdr:ext cx="1023062" cy="549322"/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C85A02A-46E6-4BF1-87E3-FADECEA148FE}"/>
            </a:ext>
          </a:extLst>
        </xdr:cNvPr>
        <xdr:cNvSpPr/>
      </xdr:nvSpPr>
      <xdr:spPr bwMode="auto">
        <a:xfrm>
          <a:off x="28387213" y="190500"/>
          <a:ext cx="1023062" cy="549322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absoluteAnchor>
  <xdr:absoluteAnchor>
    <xdr:pos x="27930201" y="179391"/>
    <xdr:ext cx="380809" cy="362742"/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6C15A466-B96E-4A6C-A98F-A04DFA29B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30201" y="179391"/>
          <a:ext cx="380809" cy="362742"/>
        </a:xfrm>
        <a:prstGeom prst="rect">
          <a:avLst/>
        </a:prstGeom>
      </xdr:spPr>
    </xdr:pic>
    <xdr:clientData/>
  </xdr:absoluteAnchor>
  <xdr:absoluteAnchor>
    <xdr:pos x="654197" y="152400"/>
    <xdr:ext cx="827554" cy="536622"/>
    <xdr:pic>
      <xdr:nvPicPr>
        <xdr:cNvPr id="6" name="Label1">
          <a:extLst>
            <a:ext uri="{FF2B5EF4-FFF2-40B4-BE49-F238E27FC236}">
              <a16:creationId xmlns:a16="http://schemas.microsoft.com/office/drawing/2014/main" id="{944C3A6C-8A9C-4030-AD65-2C47915D39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197" y="152400"/>
          <a:ext cx="827554" cy="536622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absoluteAnchor>
  <xdr:absoluteAnchor>
    <xdr:pos x="28387213" y="190500"/>
    <xdr:ext cx="1023062" cy="549322"/>
    <xdr:pic>
      <xdr:nvPicPr>
        <xdr:cNvPr id="7" name="Label2">
          <a:extLst>
            <a:ext uri="{FF2B5EF4-FFF2-40B4-BE49-F238E27FC236}">
              <a16:creationId xmlns:a16="http://schemas.microsoft.com/office/drawing/2014/main" id="{DE007101-1E06-4105-804D-A2B1DBAC21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87213" y="190500"/>
          <a:ext cx="1023062" cy="549322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absoluteAnchor>
  <xdr:oneCellAnchor>
    <xdr:from>
      <xdr:col>12</xdr:col>
      <xdr:colOff>206375</xdr:colOff>
      <xdr:row>3</xdr:row>
      <xdr:rowOff>6803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6847939D-0F5D-475A-BC11-21B8D7CA1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92975" y="578303"/>
          <a:ext cx="2776118" cy="1993675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676275</xdr:colOff>
      <xdr:row>0</xdr:row>
      <xdr:rowOff>152400</xdr:rowOff>
    </xdr:from>
    <xdr:to>
      <xdr:col>0</xdr:col>
      <xdr:colOff>1628775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7FB0475C-9042-455A-A797-4DAD59C0396E}"/>
            </a:ext>
          </a:extLst>
        </xdr:cNvPr>
        <xdr:cNvSpPr/>
      </xdr:nvSpPr>
      <xdr:spPr bwMode="auto">
        <a:xfrm>
          <a:off x="676275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34</xdr:col>
      <xdr:colOff>113275</xdr:colOff>
      <xdr:row>0</xdr:row>
      <xdr:rowOff>219075</xdr:rowOff>
    </xdr:from>
    <xdr:to>
      <xdr:col>35</xdr:col>
      <xdr:colOff>487283</xdr:colOff>
      <xdr:row>1</xdr:row>
      <xdr:rowOff>123825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464B1D1A-4795-4C9E-8833-51A176351D9F}"/>
            </a:ext>
          </a:extLst>
        </xdr:cNvPr>
        <xdr:cNvSpPr/>
      </xdr:nvSpPr>
      <xdr:spPr bwMode="auto">
        <a:xfrm>
          <a:off x="29144384" y="219075"/>
          <a:ext cx="971549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>
      <xdr:nvPicPr>
        <xdr:cNvPr id="5" name="Imagem 4">
          <a:extLst>
            <a:ext uri="{FF2B5EF4-FFF2-40B4-BE49-F238E27FC236}">
              <a16:creationId xmlns:a16="http://schemas.microsoft.com/office/drawing/2014/main" id="{64FE44C9-FDE9-4AC3-BBDE-55253D5AB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2</xdr:col>
      <xdr:colOff>169334</xdr:colOff>
      <xdr:row>4</xdr:row>
      <xdr:rowOff>120705</xdr:rowOff>
    </xdr:from>
    <xdr:ext cx="1949038" cy="1399706"/>
    <xdr:pic>
      <xdr:nvPicPr>
        <xdr:cNvPr id="6" name="Imagem 5">
          <a:extLst>
            <a:ext uri="{FF2B5EF4-FFF2-40B4-BE49-F238E27FC236}">
              <a16:creationId xmlns:a16="http://schemas.microsoft.com/office/drawing/2014/main" id="{D0A4FBE6-C9BD-4D04-A244-E3ADC554E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08009" y="1549455"/>
          <a:ext cx="1949038" cy="1399706"/>
        </a:xfrm>
        <a:prstGeom prst="rect">
          <a:avLst/>
        </a:prstGeom>
      </xdr:spPr>
    </xdr:pic>
    <xdr:clientData/>
  </xdr:oneCellAnchor>
  <xdr:twoCellAnchor editAs="absolute">
    <xdr:from>
      <xdr:col>34</xdr:col>
      <xdr:colOff>114333</xdr:colOff>
      <xdr:row>0</xdr:row>
      <xdr:rowOff>219075</xdr:rowOff>
    </xdr:from>
    <xdr:to>
      <xdr:col>35</xdr:col>
      <xdr:colOff>465058</xdr:colOff>
      <xdr:row>1</xdr:row>
      <xdr:rowOff>123825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52852371-38FA-43F6-A227-CBE8EE57999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45442" y="219075"/>
          <a:ext cx="967316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73025</xdr:colOff>
      <xdr:row>0</xdr:row>
      <xdr:rowOff>149225</xdr:rowOff>
    </xdr:from>
    <xdr:to>
      <xdr:col>2</xdr:col>
      <xdr:colOff>473075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B435640A-5666-41DE-8F72-7455D38C5618}"/>
            </a:ext>
          </a:extLst>
        </xdr:cNvPr>
        <xdr:cNvSpPr/>
      </xdr:nvSpPr>
      <xdr:spPr bwMode="auto">
        <a:xfrm>
          <a:off x="635000" y="139700"/>
          <a:ext cx="97155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53973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6013D68-7935-48C8-A4DA-39B0E77D4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9092" cy="375442"/>
        </a:xfrm>
        <a:prstGeom prst="rect">
          <a:avLst/>
        </a:prstGeom>
      </xdr:spPr>
    </xdr:pic>
    <xdr:clientData/>
  </xdr:twoCellAnchor>
  <xdr:twoCellAnchor editAs="absolute">
    <xdr:from>
      <xdr:col>26</xdr:col>
      <xdr:colOff>39688</xdr:colOff>
      <xdr:row>0</xdr:row>
      <xdr:rowOff>190500</xdr:rowOff>
    </xdr:from>
    <xdr:to>
      <xdr:col>26</xdr:col>
      <xdr:colOff>1085510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0722"/>
            </a:ext>
            <a:ext uri="{FF2B5EF4-FFF2-40B4-BE49-F238E27FC236}">
              <a16:creationId xmlns:a16="http://schemas.microsoft.com/office/drawing/2014/main" id="{64B97DF3-CCF8-4862-9367-BBA0B53391DE}"/>
            </a:ext>
          </a:extLst>
        </xdr:cNvPr>
        <xdr:cNvSpPr/>
      </xdr:nvSpPr>
      <xdr:spPr bwMode="auto">
        <a:xfrm>
          <a:off x="28319413" y="190500"/>
          <a:ext cx="104582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25</xdr:col>
      <xdr:colOff>910203</xdr:colOff>
      <xdr:row>0</xdr:row>
      <xdr:rowOff>185741</xdr:rowOff>
    </xdr:from>
    <xdr:to>
      <xdr:col>25</xdr:col>
      <xdr:colOff>1247545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4ABF65-48C6-476E-8CAE-15570FAFD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35803" y="182566"/>
          <a:ext cx="34686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76200</xdr:colOff>
      <xdr:row>0</xdr:row>
      <xdr:rowOff>149225</xdr:rowOff>
    </xdr:from>
    <xdr:to>
      <xdr:col>2</xdr:col>
      <xdr:colOff>457200</xdr:colOff>
      <xdr:row>1</xdr:row>
      <xdr:rowOff>57150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FA905CF-BAAB-4862-AF56-281502422DE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39700"/>
          <a:ext cx="9525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15875</xdr:colOff>
      <xdr:row>0</xdr:row>
      <xdr:rowOff>190500</xdr:rowOff>
    </xdr:from>
    <xdr:to>
      <xdr:col>26</xdr:col>
      <xdr:colOff>1064079</xdr:colOff>
      <xdr:row>1</xdr:row>
      <xdr:rowOff>130175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83BA6134-5438-4949-B7F0-38DA4CDB876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89250" y="190500"/>
          <a:ext cx="1054554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721179</xdr:colOff>
      <xdr:row>4</xdr:row>
      <xdr:rowOff>100353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127CF3FE-1206-47F1-9AF1-18EA6EB68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01600" y="1519578"/>
          <a:ext cx="2776118" cy="1993675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73025</xdr:colOff>
      <xdr:row>0</xdr:row>
      <xdr:rowOff>149225</xdr:rowOff>
    </xdr:from>
    <xdr:to>
      <xdr:col>2</xdr:col>
      <xdr:colOff>473075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E5A4D386-97A3-43CA-8E43-F322A7227541}"/>
            </a:ext>
          </a:extLst>
        </xdr:cNvPr>
        <xdr:cNvSpPr/>
      </xdr:nvSpPr>
      <xdr:spPr bwMode="auto">
        <a:xfrm>
          <a:off x="635000" y="139700"/>
          <a:ext cx="97155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53973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5A98C437-9F42-4CE8-8A50-7D8CD6CA0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9092" cy="375442"/>
        </a:xfrm>
        <a:prstGeom prst="rect">
          <a:avLst/>
        </a:prstGeom>
      </xdr:spPr>
    </xdr:pic>
    <xdr:clientData/>
  </xdr:twoCellAnchor>
  <xdr:twoCellAnchor editAs="absolute">
    <xdr:from>
      <xdr:col>22</xdr:col>
      <xdr:colOff>795791</xdr:colOff>
      <xdr:row>0</xdr:row>
      <xdr:rowOff>190500</xdr:rowOff>
    </xdr:from>
    <xdr:to>
      <xdr:col>23</xdr:col>
      <xdr:colOff>568438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0722"/>
            </a:ext>
            <a:ext uri="{FF2B5EF4-FFF2-40B4-BE49-F238E27FC236}">
              <a16:creationId xmlns:a16="http://schemas.microsoft.com/office/drawing/2014/main" id="{39CFD97F-BD0E-41FB-A8C0-9746FDBDD505}"/>
            </a:ext>
          </a:extLst>
        </xdr:cNvPr>
        <xdr:cNvSpPr/>
      </xdr:nvSpPr>
      <xdr:spPr bwMode="auto">
        <a:xfrm>
          <a:off x="28354791" y="190500"/>
          <a:ext cx="98867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22</xdr:col>
      <xdr:colOff>360021</xdr:colOff>
      <xdr:row>0</xdr:row>
      <xdr:rowOff>185741</xdr:rowOff>
    </xdr:from>
    <xdr:to>
      <xdr:col>22</xdr:col>
      <xdr:colOff>700538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0CE471CF-0A28-4817-8400-DB6667DF0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15846" y="182566"/>
          <a:ext cx="34686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76200</xdr:colOff>
      <xdr:row>0</xdr:row>
      <xdr:rowOff>149225</xdr:rowOff>
    </xdr:from>
    <xdr:to>
      <xdr:col>2</xdr:col>
      <xdr:colOff>457200</xdr:colOff>
      <xdr:row>1</xdr:row>
      <xdr:rowOff>57150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F3234362-62F6-4A8F-8B12-FAA31E90634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39700"/>
          <a:ext cx="9525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759278</xdr:colOff>
      <xdr:row>0</xdr:row>
      <xdr:rowOff>190500</xdr:rowOff>
    </xdr:from>
    <xdr:to>
      <xdr:col>23</xdr:col>
      <xdr:colOff>550182</xdr:colOff>
      <xdr:row>1</xdr:row>
      <xdr:rowOff>130175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4C06FA4-1E7E-48B4-8815-39881EE237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4628" y="190500"/>
          <a:ext cx="994229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721179</xdr:colOff>
      <xdr:row>4</xdr:row>
      <xdr:rowOff>100353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DF5AF0FC-84C5-461D-BA98-197ED1FFD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056554" y="1519578"/>
          <a:ext cx="2776118" cy="1993675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73025</xdr:colOff>
      <xdr:row>0</xdr:row>
      <xdr:rowOff>149225</xdr:rowOff>
    </xdr:from>
    <xdr:to>
      <xdr:col>2</xdr:col>
      <xdr:colOff>473075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9B5D0E68-9F92-4502-9DF4-4E46C2965907}"/>
            </a:ext>
          </a:extLst>
        </xdr:cNvPr>
        <xdr:cNvSpPr/>
      </xdr:nvSpPr>
      <xdr:spPr bwMode="auto">
        <a:xfrm>
          <a:off x="635000" y="139700"/>
          <a:ext cx="97155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53973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C0906643-F00D-4958-AD11-8A1FA2854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9092" cy="375442"/>
        </a:xfrm>
        <a:prstGeom prst="rect">
          <a:avLst/>
        </a:prstGeom>
      </xdr:spPr>
    </xdr:pic>
    <xdr:clientData/>
  </xdr:twoCellAnchor>
  <xdr:twoCellAnchor editAs="absolute">
    <xdr:from>
      <xdr:col>22</xdr:col>
      <xdr:colOff>795791</xdr:colOff>
      <xdr:row>0</xdr:row>
      <xdr:rowOff>190500</xdr:rowOff>
    </xdr:from>
    <xdr:to>
      <xdr:col>23</xdr:col>
      <xdr:colOff>568438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0722"/>
            </a:ext>
            <a:ext uri="{FF2B5EF4-FFF2-40B4-BE49-F238E27FC236}">
              <a16:creationId xmlns:a16="http://schemas.microsoft.com/office/drawing/2014/main" id="{7379918A-8D74-46DA-9147-3187D025F9E0}"/>
            </a:ext>
          </a:extLst>
        </xdr:cNvPr>
        <xdr:cNvSpPr/>
      </xdr:nvSpPr>
      <xdr:spPr bwMode="auto">
        <a:xfrm>
          <a:off x="28354791" y="190500"/>
          <a:ext cx="98867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22</xdr:col>
      <xdr:colOff>360021</xdr:colOff>
      <xdr:row>0</xdr:row>
      <xdr:rowOff>185741</xdr:rowOff>
    </xdr:from>
    <xdr:to>
      <xdr:col>22</xdr:col>
      <xdr:colOff>700538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184C16FC-F827-4B6B-AF1C-6A713332D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15846" y="182566"/>
          <a:ext cx="34686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76200</xdr:colOff>
      <xdr:row>0</xdr:row>
      <xdr:rowOff>149225</xdr:rowOff>
    </xdr:from>
    <xdr:to>
      <xdr:col>2</xdr:col>
      <xdr:colOff>457200</xdr:colOff>
      <xdr:row>1</xdr:row>
      <xdr:rowOff>57150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26DBE367-510A-4110-85F0-134D4679E2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39700"/>
          <a:ext cx="9525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759278</xdr:colOff>
      <xdr:row>0</xdr:row>
      <xdr:rowOff>190500</xdr:rowOff>
    </xdr:from>
    <xdr:to>
      <xdr:col>23</xdr:col>
      <xdr:colOff>550182</xdr:colOff>
      <xdr:row>1</xdr:row>
      <xdr:rowOff>130175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B2A4CF36-0593-4908-A9FC-AA44DA6689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4628" y="190500"/>
          <a:ext cx="994229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721179</xdr:colOff>
      <xdr:row>4</xdr:row>
      <xdr:rowOff>100353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91D98E2B-F308-4E87-9F83-8863BE8E6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056554" y="1519578"/>
          <a:ext cx="2776118" cy="1993675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73025</xdr:colOff>
      <xdr:row>0</xdr:row>
      <xdr:rowOff>149225</xdr:rowOff>
    </xdr:from>
    <xdr:to>
      <xdr:col>2</xdr:col>
      <xdr:colOff>473075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D3EBB922-F1EA-4359-A1FF-E48508EBC601}"/>
            </a:ext>
          </a:extLst>
        </xdr:cNvPr>
        <xdr:cNvSpPr/>
      </xdr:nvSpPr>
      <xdr:spPr bwMode="auto">
        <a:xfrm>
          <a:off x="635000" y="139700"/>
          <a:ext cx="97155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53973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516D4861-2B02-419B-9AEE-8F15200F6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9092" cy="375442"/>
        </a:xfrm>
        <a:prstGeom prst="rect">
          <a:avLst/>
        </a:prstGeom>
      </xdr:spPr>
    </xdr:pic>
    <xdr:clientData/>
  </xdr:twoCellAnchor>
  <xdr:twoCellAnchor editAs="absolute">
    <xdr:from>
      <xdr:col>22</xdr:col>
      <xdr:colOff>188572</xdr:colOff>
      <xdr:row>0</xdr:row>
      <xdr:rowOff>190500</xdr:rowOff>
    </xdr:from>
    <xdr:to>
      <xdr:col>22</xdr:col>
      <xdr:colOff>1178831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0722"/>
            </a:ext>
            <a:ext uri="{FF2B5EF4-FFF2-40B4-BE49-F238E27FC236}">
              <a16:creationId xmlns:a16="http://schemas.microsoft.com/office/drawing/2014/main" id="{FDAEEE78-E006-4779-A9CA-A4272394A6BC}"/>
            </a:ext>
          </a:extLst>
        </xdr:cNvPr>
        <xdr:cNvSpPr/>
      </xdr:nvSpPr>
      <xdr:spPr bwMode="auto">
        <a:xfrm>
          <a:off x="28338122" y="190500"/>
          <a:ext cx="990259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954540</xdr:colOff>
      <xdr:row>0</xdr:row>
      <xdr:rowOff>185741</xdr:rowOff>
    </xdr:from>
    <xdr:to>
      <xdr:col>22</xdr:col>
      <xdr:colOff>93319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4B63BB35-06EE-4CB3-9E75-DEF7937C5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00765" y="182566"/>
          <a:ext cx="348454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76200</xdr:colOff>
      <xdr:row>0</xdr:row>
      <xdr:rowOff>149225</xdr:rowOff>
    </xdr:from>
    <xdr:to>
      <xdr:col>2</xdr:col>
      <xdr:colOff>457200</xdr:colOff>
      <xdr:row>1</xdr:row>
      <xdr:rowOff>57150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419FCBC0-ED1B-4C85-BE63-5B8BE21A1F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39700"/>
          <a:ext cx="9525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152059</xdr:colOff>
      <xdr:row>0</xdr:row>
      <xdr:rowOff>190500</xdr:rowOff>
    </xdr:from>
    <xdr:to>
      <xdr:col>22</xdr:col>
      <xdr:colOff>1157400</xdr:colOff>
      <xdr:row>1</xdr:row>
      <xdr:rowOff>130175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7AD2FC31-4791-45B5-B9CF-3B1F59471A9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7959" y="190500"/>
          <a:ext cx="998991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721179</xdr:colOff>
      <xdr:row>4</xdr:row>
      <xdr:rowOff>100353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294FA798-1FDC-4CCB-8CA3-62B8E687A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99454" y="1519578"/>
          <a:ext cx="2776118" cy="1993675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73025</xdr:colOff>
      <xdr:row>0</xdr:row>
      <xdr:rowOff>149225</xdr:rowOff>
    </xdr:from>
    <xdr:to>
      <xdr:col>2</xdr:col>
      <xdr:colOff>473075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:a16="http://schemas.microsoft.com/office/drawing/2014/main" id="{4BB2DD5F-CDEB-47C3-9952-3EAB8DE01493}"/>
            </a:ext>
          </a:extLst>
        </xdr:cNvPr>
        <xdr:cNvSpPr/>
      </xdr:nvSpPr>
      <xdr:spPr bwMode="auto">
        <a:xfrm>
          <a:off x="635000" y="139700"/>
          <a:ext cx="97155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53973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727D082-749E-4AB0-B84C-AB421EF79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9092" cy="375442"/>
        </a:xfrm>
        <a:prstGeom prst="rect">
          <a:avLst/>
        </a:prstGeom>
      </xdr:spPr>
    </xdr:pic>
    <xdr:clientData/>
  </xdr:twoCellAnchor>
  <xdr:twoCellAnchor editAs="absolute">
    <xdr:from>
      <xdr:col>22</xdr:col>
      <xdr:colOff>795791</xdr:colOff>
      <xdr:row>0</xdr:row>
      <xdr:rowOff>190500</xdr:rowOff>
    </xdr:from>
    <xdr:to>
      <xdr:col>23</xdr:col>
      <xdr:colOff>568438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0722"/>
            </a:ext>
            <a:ext uri="{FF2B5EF4-FFF2-40B4-BE49-F238E27FC236}">
              <a16:creationId xmlns:a16="http://schemas.microsoft.com/office/drawing/2014/main" id="{254F91F2-82A9-4A8B-BE74-EE5D3BB3B689}"/>
            </a:ext>
          </a:extLst>
        </xdr:cNvPr>
        <xdr:cNvSpPr/>
      </xdr:nvSpPr>
      <xdr:spPr bwMode="auto">
        <a:xfrm>
          <a:off x="28354791" y="190500"/>
          <a:ext cx="98867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22</xdr:col>
      <xdr:colOff>360021</xdr:colOff>
      <xdr:row>0</xdr:row>
      <xdr:rowOff>185741</xdr:rowOff>
    </xdr:from>
    <xdr:to>
      <xdr:col>22</xdr:col>
      <xdr:colOff>700538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60EA7CA6-E340-47E6-8D47-AD881C467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15846" y="182566"/>
          <a:ext cx="34686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76200</xdr:colOff>
      <xdr:row>0</xdr:row>
      <xdr:rowOff>149225</xdr:rowOff>
    </xdr:from>
    <xdr:to>
      <xdr:col>2</xdr:col>
      <xdr:colOff>457200</xdr:colOff>
      <xdr:row>1</xdr:row>
      <xdr:rowOff>57150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17EF62C0-84E8-48AD-973B-CDEA7329E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39700"/>
          <a:ext cx="9525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759278</xdr:colOff>
      <xdr:row>0</xdr:row>
      <xdr:rowOff>190500</xdr:rowOff>
    </xdr:from>
    <xdr:to>
      <xdr:col>23</xdr:col>
      <xdr:colOff>550182</xdr:colOff>
      <xdr:row>1</xdr:row>
      <xdr:rowOff>130175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AF1DDD69-087A-4B33-ACAF-A5555EE5657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4628" y="190500"/>
          <a:ext cx="994229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721179</xdr:colOff>
      <xdr:row>4</xdr:row>
      <xdr:rowOff>100353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E94D071C-B1A3-429F-92F9-3DAD1C5B4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056554" y="1519578"/>
          <a:ext cx="2776118" cy="1993675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ggigrouplive-my.sharepoint.com/personal/financeiro_oggigroup_com_br/Documents/&#193;rea%20de%20Trabalho/LACTALIS/L_056_CONVEN&#199;&#195;O%20DPA%202026.ATIVA&#199;&#213;ES_FECHAMENTO.xlsm" TargetMode="External"/><Relationship Id="rId1" Type="http://schemas.openxmlformats.org/officeDocument/2006/relationships/externalLinkPath" Target="https://oggigrouplive-my.sharepoint.com/personal/financeiro_oggigroup_com_br/Documents/&#193;rea%20de%20Trabalho/LACTALIS/L_056_CONVEN&#199;&#195;O%20DPA%202026.ATIVA&#199;&#213;ES_FECH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tivações"/>
      <sheetName val="Galbani"/>
      <sheetName val="Galbani - Hotel"/>
      <sheetName val="Triplo Zero"/>
      <sheetName val="Extras"/>
      <sheetName val="TOTAL"/>
      <sheetName val="Solicitações de Pagamento"/>
      <sheetName val="ItensOrc"/>
    </sheetNames>
    <sheetDataSet>
      <sheetData sheetId="0">
        <row r="27">
          <cell r="T27">
            <v>25972.48</v>
          </cell>
          <cell r="Y27">
            <v>34141.308414315892</v>
          </cell>
        </row>
        <row r="34">
          <cell r="T34">
            <v>23140</v>
          </cell>
          <cell r="Y34">
            <v>30924.259488007956</v>
          </cell>
        </row>
        <row r="37">
          <cell r="T37">
            <v>7560</v>
          </cell>
          <cell r="Y37">
            <v>9828.2783211134592</v>
          </cell>
        </row>
        <row r="38">
          <cell r="T38">
            <v>3480</v>
          </cell>
          <cell r="Y38">
            <v>4524.1281160681001</v>
          </cell>
        </row>
      </sheetData>
      <sheetData sheetId="1">
        <row r="17">
          <cell r="T17">
            <v>7560</v>
          </cell>
        </row>
        <row r="18">
          <cell r="T18">
            <v>6500</v>
          </cell>
        </row>
      </sheetData>
      <sheetData sheetId="2"/>
      <sheetData sheetId="3">
        <row r="17">
          <cell r="T17">
            <v>6240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5CDFE-F828-4A02-A908-201BBE173309}">
  <sheetPr>
    <pageSetUpPr fitToPage="1"/>
  </sheetPr>
  <dimension ref="A1:L64"/>
  <sheetViews>
    <sheetView showGridLines="0" tabSelected="1" topLeftCell="A8" zoomScaleNormal="100" workbookViewId="0">
      <selection activeCell="D11" sqref="D11"/>
    </sheetView>
  </sheetViews>
  <sheetFormatPr defaultColWidth="8.6640625" defaultRowHeight="16.2" x14ac:dyDescent="0.35"/>
  <cols>
    <col min="1" max="1" width="18.21875" style="195" bestFit="1" customWidth="1"/>
    <col min="2" max="2" width="41.109375" style="195" customWidth="1"/>
    <col min="3" max="3" width="22.88671875" style="195" customWidth="1"/>
    <col min="4" max="4" width="21" style="195" bestFit="1" customWidth="1"/>
    <col min="5" max="5" width="20.88671875" style="195" bestFit="1" customWidth="1"/>
    <col min="6" max="6" width="18.33203125" style="196" bestFit="1" customWidth="1"/>
    <col min="7" max="7" width="15.109375" style="195" bestFit="1" customWidth="1"/>
    <col min="8" max="8" width="12.5546875" style="195" bestFit="1" customWidth="1"/>
    <col min="9" max="11" width="8.6640625" style="195"/>
    <col min="12" max="12" width="18.33203125" style="195" bestFit="1" customWidth="1"/>
    <col min="13" max="16384" width="8.6640625" style="195"/>
  </cols>
  <sheetData>
    <row r="1" spans="1:5" s="196" customFormat="1" hidden="1" x14ac:dyDescent="0.35">
      <c r="A1" s="195"/>
      <c r="B1" s="195"/>
      <c r="C1" s="195"/>
      <c r="D1" s="195"/>
      <c r="E1" s="195"/>
    </row>
    <row r="2" spans="1:5" s="196" customFormat="1" hidden="1" x14ac:dyDescent="0.35">
      <c r="A2" s="195"/>
      <c r="B2" s="195"/>
      <c r="C2" s="195"/>
      <c r="D2" s="195"/>
      <c r="E2" s="195"/>
    </row>
    <row r="3" spans="1:5" s="196" customFormat="1" hidden="1" x14ac:dyDescent="0.35">
      <c r="A3" s="195"/>
      <c r="B3" s="195"/>
      <c r="C3" s="197">
        <v>45866</v>
      </c>
      <c r="D3" s="198"/>
      <c r="E3" s="1181" t="e">
        <f>SUM(#REF!)</f>
        <v>#REF!</v>
      </c>
    </row>
    <row r="4" spans="1:5" s="196" customFormat="1" ht="15.6" hidden="1" customHeight="1" thickBot="1" x14ac:dyDescent="0.4">
      <c r="A4" s="195"/>
      <c r="B4" s="195"/>
      <c r="C4" s="199">
        <v>45867</v>
      </c>
      <c r="D4" s="200"/>
      <c r="E4" s="1182"/>
    </row>
    <row r="5" spans="1:5" s="196" customFormat="1" hidden="1" x14ac:dyDescent="0.35">
      <c r="A5" s="195"/>
      <c r="B5" s="195"/>
      <c r="C5" s="201" t="s">
        <v>737</v>
      </c>
      <c r="D5" s="202"/>
      <c r="E5" s="195"/>
    </row>
    <row r="6" spans="1:5" s="196" customFormat="1" hidden="1" x14ac:dyDescent="0.35">
      <c r="A6" s="195"/>
      <c r="B6" s="195"/>
      <c r="C6" s="201" t="s">
        <v>738</v>
      </c>
      <c r="D6" s="202"/>
      <c r="E6" s="195"/>
    </row>
    <row r="7" spans="1:5" s="196" customFormat="1" ht="16.8" hidden="1" thickBot="1" x14ac:dyDescent="0.4">
      <c r="A7" s="195"/>
      <c r="B7" s="195"/>
      <c r="C7" s="203" t="s">
        <v>279</v>
      </c>
      <c r="D7" s="204"/>
      <c r="E7" s="195"/>
    </row>
    <row r="9" spans="1:5" s="196" customFormat="1" x14ac:dyDescent="0.35">
      <c r="A9" s="195" t="s">
        <v>387</v>
      </c>
      <c r="B9" s="195"/>
      <c r="C9" s="195"/>
      <c r="D9" s="195"/>
      <c r="E9" s="195"/>
    </row>
    <row r="10" spans="1:5" s="196" customFormat="1" ht="24" customHeight="1" x14ac:dyDescent="0.35">
      <c r="A10" s="195"/>
      <c r="B10" s="195"/>
      <c r="C10" s="195"/>
      <c r="D10" s="195"/>
      <c r="E10" s="195"/>
    </row>
    <row r="12" spans="1:5" s="196" customFormat="1" ht="15" customHeight="1" x14ac:dyDescent="0.35">
      <c r="A12" s="195"/>
      <c r="B12" s="530" t="s">
        <v>2</v>
      </c>
      <c r="C12" s="531"/>
      <c r="D12" s="205"/>
      <c r="E12" s="195"/>
    </row>
    <row r="13" spans="1:5" s="196" customFormat="1" ht="15" customHeight="1" x14ac:dyDescent="0.35">
      <c r="A13" s="195"/>
      <c r="B13" s="532" t="s">
        <v>3</v>
      </c>
      <c r="C13" s="533"/>
      <c r="D13" s="205"/>
      <c r="E13" s="195"/>
    </row>
    <row r="14" spans="1:5" s="196" customFormat="1" ht="15" customHeight="1" x14ac:dyDescent="0.35">
      <c r="A14" s="195"/>
      <c r="B14" s="532" t="s">
        <v>4</v>
      </c>
      <c r="C14" s="534"/>
      <c r="D14" s="206"/>
      <c r="E14" s="195"/>
    </row>
    <row r="15" spans="1:5" s="196" customFormat="1" ht="15" customHeight="1" x14ac:dyDescent="0.35">
      <c r="A15" s="195"/>
      <c r="B15" s="532" t="s">
        <v>5</v>
      </c>
      <c r="C15" s="534"/>
      <c r="D15" s="206"/>
      <c r="E15" s="195"/>
    </row>
    <row r="16" spans="1:5" s="196" customFormat="1" ht="15" customHeight="1" x14ac:dyDescent="0.35">
      <c r="A16" s="195"/>
      <c r="B16" s="532" t="s">
        <v>6</v>
      </c>
      <c r="C16" s="535"/>
      <c r="D16" s="207"/>
      <c r="E16" s="195"/>
    </row>
    <row r="17" spans="2:7" ht="15" customHeight="1" x14ac:dyDescent="0.35">
      <c r="B17" s="532" t="s">
        <v>7</v>
      </c>
      <c r="C17" s="534"/>
      <c r="D17" s="206"/>
    </row>
    <row r="18" spans="2:7" ht="15" customHeight="1" x14ac:dyDescent="0.35">
      <c r="B18" s="532" t="s">
        <v>8</v>
      </c>
      <c r="C18" s="534"/>
      <c r="D18" s="206"/>
    </row>
    <row r="19" spans="2:7" ht="15" customHeight="1" x14ac:dyDescent="0.35">
      <c r="B19" s="536" t="s">
        <v>9</v>
      </c>
      <c r="C19" s="537"/>
      <c r="D19" s="206"/>
    </row>
    <row r="21" spans="2:7" ht="15.6" customHeight="1" x14ac:dyDescent="0.35">
      <c r="B21" s="208"/>
      <c r="C21" s="208" t="s">
        <v>739</v>
      </c>
      <c r="D21" s="208" t="s">
        <v>740</v>
      </c>
      <c r="E21" s="208" t="s">
        <v>741</v>
      </c>
    </row>
    <row r="22" spans="2:7" x14ac:dyDescent="0.35">
      <c r="B22" s="209" t="s">
        <v>742</v>
      </c>
      <c r="C22" s="210">
        <f>Principal.V1!N107</f>
        <v>1005071.0830123028</v>
      </c>
      <c r="D22" s="210">
        <f>Principal.V1!X107</f>
        <v>760228.02999999991</v>
      </c>
      <c r="E22" s="210">
        <f>C22-D22</f>
        <v>244843.05301230284</v>
      </c>
      <c r="F22" s="211">
        <f>E22*100%/C22</f>
        <v>0.24360769815253536</v>
      </c>
    </row>
    <row r="23" spans="2:7" x14ac:dyDescent="0.35">
      <c r="B23" s="209" t="s">
        <v>434</v>
      </c>
      <c r="C23" s="210">
        <f>'Itens Novos'!N30</f>
        <v>79414.00521933641</v>
      </c>
      <c r="D23" s="210">
        <f>'Itens Novos'!X30</f>
        <v>10211.5</v>
      </c>
      <c r="E23" s="210">
        <f t="shared" ref="E23:E29" si="0">C23-D23</f>
        <v>69202.50521933641</v>
      </c>
      <c r="F23" s="211">
        <f t="shared" ref="F23:F29" si="1">E23*100%/C23</f>
        <v>0.87141436863942967</v>
      </c>
    </row>
    <row r="24" spans="2:7" x14ac:dyDescent="0.35">
      <c r="B24" s="209" t="s">
        <v>748</v>
      </c>
      <c r="C24" s="210">
        <f>Atração!N19</f>
        <v>25172.598483907048</v>
      </c>
      <c r="D24" s="210">
        <f>Atração!X19</f>
        <v>147750</v>
      </c>
      <c r="E24" s="210">
        <f t="shared" si="0"/>
        <v>-122577.40151609296</v>
      </c>
      <c r="F24" s="211">
        <f t="shared" si="1"/>
        <v>-4.8694774834015337</v>
      </c>
    </row>
    <row r="25" spans="2:7" x14ac:dyDescent="0.35">
      <c r="B25" s="209" t="s">
        <v>749</v>
      </c>
      <c r="C25" s="210">
        <f>Bourbon!N89</f>
        <v>1255712.1438759794</v>
      </c>
      <c r="D25" s="210">
        <f>Bourbon!X89</f>
        <v>1612574.16</v>
      </c>
      <c r="E25" s="210">
        <f t="shared" si="0"/>
        <v>-356862.01612402056</v>
      </c>
      <c r="F25" s="211">
        <f t="shared" si="1"/>
        <v>-0.28419094126341915</v>
      </c>
    </row>
    <row r="26" spans="2:7" x14ac:dyDescent="0.35">
      <c r="B26" s="209" t="s">
        <v>750</v>
      </c>
      <c r="C26" s="210">
        <f>'Extra 1'!N37</f>
        <v>65733.378898968556</v>
      </c>
      <c r="D26" s="210">
        <f>'Extra 1'!X37</f>
        <v>75089.98</v>
      </c>
      <c r="E26" s="210">
        <f t="shared" si="0"/>
        <v>-9356.6011010314396</v>
      </c>
      <c r="F26" s="211">
        <f t="shared" si="1"/>
        <v>-0.14234170307010122</v>
      </c>
    </row>
    <row r="27" spans="2:7" x14ac:dyDescent="0.35">
      <c r="B27" s="209" t="s">
        <v>751</v>
      </c>
      <c r="C27" s="210">
        <f>'Extra 2'!N28</f>
        <v>14091.089847148007</v>
      </c>
      <c r="D27" s="210">
        <f>'Extra 2'!X28</f>
        <v>3890</v>
      </c>
      <c r="E27" s="210">
        <f t="shared" si="0"/>
        <v>10201.089847148007</v>
      </c>
      <c r="F27" s="211">
        <f t="shared" si="1"/>
        <v>0.72393902514308894</v>
      </c>
    </row>
    <row r="28" spans="2:7" x14ac:dyDescent="0.35">
      <c r="B28" s="209" t="s">
        <v>752</v>
      </c>
      <c r="C28" s="210">
        <f>'Extra 3'!N44</f>
        <v>51532.023984093452</v>
      </c>
      <c r="D28" s="210">
        <f>'Extra 3'!X44</f>
        <v>26391.93</v>
      </c>
      <c r="E28" s="210">
        <f t="shared" si="0"/>
        <v>25140.093984093452</v>
      </c>
      <c r="F28" s="211">
        <f t="shared" si="1"/>
        <v>0.48785380507960491</v>
      </c>
    </row>
    <row r="29" spans="2:7" x14ac:dyDescent="0.35">
      <c r="B29" s="209" t="s">
        <v>753</v>
      </c>
      <c r="C29" s="210">
        <f>Transfer!N35</f>
        <v>61518.267677395299</v>
      </c>
      <c r="D29" s="210">
        <f>Transfer!X35</f>
        <v>54270</v>
      </c>
      <c r="E29" s="210">
        <f t="shared" si="0"/>
        <v>7248.267677395299</v>
      </c>
      <c r="F29" s="211">
        <f t="shared" si="1"/>
        <v>0.11782301340807509</v>
      </c>
    </row>
    <row r="30" spans="2:7" x14ac:dyDescent="0.35">
      <c r="B30" s="209" t="s">
        <v>901</v>
      </c>
      <c r="C30" s="210">
        <f>Ativações!N52</f>
        <v>123881.57077171617</v>
      </c>
      <c r="D30" s="210">
        <v>0</v>
      </c>
      <c r="E30" s="210">
        <f t="shared" ref="E30:E34" si="2">C30-D30</f>
        <v>123881.57077171617</v>
      </c>
      <c r="F30" s="211">
        <f t="shared" ref="F30:F34" si="3">E30*100%/C30</f>
        <v>1</v>
      </c>
      <c r="G30" s="1178" t="s">
        <v>958</v>
      </c>
    </row>
    <row r="31" spans="2:7" x14ac:dyDescent="0.35">
      <c r="B31" s="209" t="s">
        <v>953</v>
      </c>
      <c r="C31" s="210">
        <f>Galbani!N24</f>
        <v>33189.138809494223</v>
      </c>
      <c r="D31" s="210">
        <v>0</v>
      </c>
      <c r="E31" s="210">
        <f t="shared" si="2"/>
        <v>33189.138809494223</v>
      </c>
      <c r="F31" s="211">
        <f t="shared" si="3"/>
        <v>1</v>
      </c>
      <c r="G31" s="1178" t="s">
        <v>958</v>
      </c>
    </row>
    <row r="32" spans="2:7" x14ac:dyDescent="0.35">
      <c r="B32" s="209" t="s">
        <v>956</v>
      </c>
      <c r="C32" s="210">
        <f>'Galbani - Hotel'!N21</f>
        <v>7647.3716913135331</v>
      </c>
      <c r="D32" s="210">
        <v>0</v>
      </c>
      <c r="E32" s="210">
        <f t="shared" si="2"/>
        <v>7647.3716913135331</v>
      </c>
      <c r="F32" s="211">
        <f t="shared" si="3"/>
        <v>1</v>
      </c>
      <c r="G32" s="1178" t="s">
        <v>958</v>
      </c>
    </row>
    <row r="33" spans="1:12" x14ac:dyDescent="0.35">
      <c r="B33" s="209" t="s">
        <v>957</v>
      </c>
      <c r="C33" s="210">
        <f>'Triplo Zero'!N36</f>
        <v>151194.66882067855</v>
      </c>
      <c r="D33" s="210">
        <v>0</v>
      </c>
      <c r="E33" s="210">
        <f t="shared" si="2"/>
        <v>151194.66882067855</v>
      </c>
      <c r="F33" s="211">
        <f t="shared" si="3"/>
        <v>1</v>
      </c>
      <c r="G33" s="1178" t="s">
        <v>958</v>
      </c>
      <c r="L33" s="1029"/>
    </row>
    <row r="34" spans="1:12" x14ac:dyDescent="0.35">
      <c r="B34" s="209" t="s">
        <v>646</v>
      </c>
      <c r="C34" s="210">
        <f>Extras!N22</f>
        <v>25060.177705977389</v>
      </c>
      <c r="D34" s="210">
        <v>0</v>
      </c>
      <c r="E34" s="210">
        <f t="shared" si="2"/>
        <v>25060.177705977389</v>
      </c>
      <c r="F34" s="211">
        <f t="shared" si="3"/>
        <v>1</v>
      </c>
      <c r="G34" s="1178" t="s">
        <v>958</v>
      </c>
    </row>
    <row r="35" spans="1:12" x14ac:dyDescent="0.35">
      <c r="B35" s="208" t="s">
        <v>279</v>
      </c>
      <c r="C35" s="212">
        <f>SUM(C22:C34)</f>
        <v>2899217.5187983108</v>
      </c>
      <c r="D35" s="212">
        <f>SUM(D22:D34)</f>
        <v>2690405.6</v>
      </c>
      <c r="E35" s="212">
        <f>SUM(E22:E34)</f>
        <v>208811.91879831097</v>
      </c>
      <c r="F35" s="211">
        <f>E35*100%/C35</f>
        <v>7.2023543402449111E-2</v>
      </c>
    </row>
    <row r="36" spans="1:12" hidden="1" x14ac:dyDescent="0.35"/>
    <row r="37" spans="1:12" ht="200.1" hidden="1" customHeight="1" x14ac:dyDescent="0.35"/>
    <row r="38" spans="1:12" ht="30" hidden="1" customHeight="1" x14ac:dyDescent="0.35"/>
    <row r="39" spans="1:12" hidden="1" x14ac:dyDescent="0.35"/>
    <row r="40" spans="1:12" ht="16.8" thickBot="1" x14ac:dyDescent="0.4">
      <c r="C40" s="1180" t="s">
        <v>858</v>
      </c>
      <c r="D40" s="1509"/>
    </row>
    <row r="41" spans="1:12" ht="21.9" customHeight="1" x14ac:dyDescent="0.35">
      <c r="A41" s="1029">
        <f>SUM(C43:C50)</f>
        <v>1214463.9099999999</v>
      </c>
      <c r="B41" s="1183" t="s">
        <v>743</v>
      </c>
      <c r="C41" s="1184"/>
      <c r="D41" s="1184"/>
      <c r="E41" s="1184"/>
      <c r="F41" s="1185"/>
    </row>
    <row r="42" spans="1:12" ht="21.9" customHeight="1" x14ac:dyDescent="0.35">
      <c r="B42" s="1028"/>
      <c r="C42" s="1028"/>
      <c r="D42" s="1028"/>
      <c r="E42" s="1028"/>
      <c r="F42" s="1028"/>
    </row>
    <row r="43" spans="1:12" ht="24.9" customHeight="1" thickBot="1" x14ac:dyDescent="0.4">
      <c r="B43" s="215" t="s">
        <v>859</v>
      </c>
      <c r="C43" s="1027">
        <v>232832.8</v>
      </c>
      <c r="D43" s="1186">
        <f>D35</f>
        <v>2690405.6</v>
      </c>
      <c r="E43" s="1189">
        <f>A41-D43</f>
        <v>-1475941.6900000002</v>
      </c>
      <c r="F43" s="1192">
        <f>E43*100%/D43</f>
        <v>-0.54859449073403654</v>
      </c>
    </row>
    <row r="44" spans="1:12" ht="24.9" customHeight="1" thickBot="1" x14ac:dyDescent="0.4">
      <c r="B44" s="213" t="s">
        <v>860</v>
      </c>
      <c r="C44" s="1023">
        <v>232832.8</v>
      </c>
      <c r="D44" s="1187"/>
      <c r="E44" s="1190"/>
      <c r="F44" s="1193"/>
    </row>
    <row r="45" spans="1:12" ht="24.9" customHeight="1" thickBot="1" x14ac:dyDescent="0.4">
      <c r="B45" s="213" t="s">
        <v>844</v>
      </c>
      <c r="C45" s="1023">
        <v>232832.8</v>
      </c>
      <c r="D45" s="1187"/>
      <c r="E45" s="1190"/>
      <c r="F45" s="1193"/>
    </row>
    <row r="46" spans="1:12" ht="24.9" customHeight="1" thickBot="1" x14ac:dyDescent="0.4">
      <c r="B46" s="213" t="s">
        <v>845</v>
      </c>
      <c r="C46" s="1023">
        <v>50501.599999999999</v>
      </c>
      <c r="D46" s="1187"/>
      <c r="E46" s="1190"/>
      <c r="F46" s="1193"/>
    </row>
    <row r="47" spans="1:12" ht="24.9" customHeight="1" thickBot="1" x14ac:dyDescent="0.4">
      <c r="B47" s="213" t="s">
        <v>847</v>
      </c>
      <c r="C47" s="1023">
        <v>23700</v>
      </c>
      <c r="D47" s="1187"/>
      <c r="E47" s="1190"/>
      <c r="F47" s="1193"/>
    </row>
    <row r="48" spans="1:12" ht="24.9" customHeight="1" thickBot="1" x14ac:dyDescent="0.4">
      <c r="B48" s="213" t="s">
        <v>854</v>
      </c>
      <c r="C48" s="1023">
        <v>7200</v>
      </c>
      <c r="D48" s="1187"/>
      <c r="E48" s="1190"/>
      <c r="F48" s="1193"/>
    </row>
    <row r="49" spans="2:7" ht="24.9" customHeight="1" thickBot="1" x14ac:dyDescent="0.4">
      <c r="B49" s="213" t="s">
        <v>855</v>
      </c>
      <c r="C49" s="1023">
        <v>1311</v>
      </c>
      <c r="D49" s="1187"/>
      <c r="E49" s="1190"/>
      <c r="F49" s="1193"/>
    </row>
    <row r="50" spans="2:7" ht="24.9" customHeight="1" thickBot="1" x14ac:dyDescent="0.4">
      <c r="B50" s="213" t="s">
        <v>856</v>
      </c>
      <c r="C50" s="1023">
        <v>433252.91</v>
      </c>
      <c r="D50" s="1188"/>
      <c r="E50" s="1191"/>
      <c r="F50" s="1194"/>
    </row>
    <row r="51" spans="2:7" ht="24.9" customHeight="1" thickBot="1" x14ac:dyDescent="0.4">
      <c r="B51" s="213" t="s">
        <v>841</v>
      </c>
      <c r="C51" s="1023">
        <v>123881.57</v>
      </c>
      <c r="D51" s="1024">
        <f>C51*0.15</f>
        <v>18582.235499999999</v>
      </c>
      <c r="E51" s="1024">
        <f t="shared" ref="E51:E56" si="4">C51-D51</f>
        <v>105299.33450000001</v>
      </c>
      <c r="F51" s="214">
        <f t="shared" ref="F51:F61" si="5">E51*100%/C51</f>
        <v>0.85000000000000009</v>
      </c>
    </row>
    <row r="52" spans="2:7" ht="24.9" customHeight="1" thickBot="1" x14ac:dyDescent="0.4">
      <c r="B52" s="213" t="s">
        <v>843</v>
      </c>
      <c r="C52" s="1023">
        <v>34852.339999999997</v>
      </c>
      <c r="D52" s="1024">
        <f>C52*0.15</f>
        <v>5227.8509999999997</v>
      </c>
      <c r="E52" s="1024">
        <f t="shared" si="4"/>
        <v>29624.488999999998</v>
      </c>
      <c r="F52" s="214">
        <f t="shared" si="5"/>
        <v>0.85</v>
      </c>
    </row>
    <row r="53" spans="2:7" ht="24.9" customHeight="1" thickBot="1" x14ac:dyDescent="0.4">
      <c r="B53" s="213" t="s">
        <v>842</v>
      </c>
      <c r="C53" s="1023">
        <v>73322.289999999994</v>
      </c>
      <c r="D53" s="1024">
        <f>C53*0.15</f>
        <v>10998.343499999999</v>
      </c>
      <c r="E53" s="1024">
        <f t="shared" si="4"/>
        <v>62323.946499999991</v>
      </c>
      <c r="F53" s="214">
        <f t="shared" si="5"/>
        <v>0.85</v>
      </c>
    </row>
    <row r="54" spans="2:7" ht="24.9" customHeight="1" thickBot="1" x14ac:dyDescent="0.4">
      <c r="B54" s="213" t="s">
        <v>848</v>
      </c>
      <c r="C54" s="1023">
        <v>1160441.81</v>
      </c>
      <c r="D54" s="1024">
        <f>C54*0.15</f>
        <v>174066.2715</v>
      </c>
      <c r="E54" s="1024">
        <f t="shared" si="4"/>
        <v>986375.53850000002</v>
      </c>
      <c r="F54" s="214">
        <f t="shared" si="5"/>
        <v>0.85</v>
      </c>
    </row>
    <row r="55" spans="2:7" ht="24.9" customHeight="1" thickBot="1" x14ac:dyDescent="0.4">
      <c r="B55" s="213" t="s">
        <v>846</v>
      </c>
      <c r="C55" s="1023">
        <v>1472.6</v>
      </c>
      <c r="D55" s="1024">
        <f>C55*0.15</f>
        <v>220.89</v>
      </c>
      <c r="E55" s="1024">
        <f t="shared" si="4"/>
        <v>1251.71</v>
      </c>
      <c r="F55" s="214">
        <f t="shared" si="5"/>
        <v>0.85000000000000009</v>
      </c>
    </row>
    <row r="56" spans="2:7" ht="24.9" customHeight="1" thickBot="1" x14ac:dyDescent="0.4">
      <c r="B56" s="213" t="s">
        <v>849</v>
      </c>
      <c r="C56" s="1023">
        <v>17834.29</v>
      </c>
      <c r="D56" s="1024">
        <f>C56*0.15</f>
        <v>2675.1435000000001</v>
      </c>
      <c r="E56" s="1024">
        <f t="shared" si="4"/>
        <v>15159.146500000001</v>
      </c>
      <c r="F56" s="214">
        <f t="shared" si="5"/>
        <v>0.85</v>
      </c>
    </row>
    <row r="57" spans="2:7" ht="24.9" customHeight="1" thickBot="1" x14ac:dyDescent="0.4">
      <c r="B57" s="213" t="s">
        <v>850</v>
      </c>
      <c r="C57" s="1023">
        <v>80756.59</v>
      </c>
      <c r="D57" s="1024">
        <f>C57*0.15</f>
        <v>12113.488499999999</v>
      </c>
      <c r="E57" s="1024">
        <f t="shared" ref="E57:E61" si="6">C57-D57</f>
        <v>68643.10149999999</v>
      </c>
      <c r="F57" s="214">
        <f>E57*100%/C57</f>
        <v>0.84999999999999987</v>
      </c>
    </row>
    <row r="58" spans="2:7" ht="24.9" customHeight="1" thickBot="1" x14ac:dyDescent="0.4">
      <c r="B58" s="213" t="s">
        <v>851</v>
      </c>
      <c r="C58" s="1023">
        <v>447.37</v>
      </c>
      <c r="D58" s="1024">
        <f>C58*0.15</f>
        <v>67.105499999999992</v>
      </c>
      <c r="E58" s="1024">
        <f>C58-D58</f>
        <v>380.2645</v>
      </c>
      <c r="F58" s="214">
        <f t="shared" si="5"/>
        <v>0.85</v>
      </c>
    </row>
    <row r="59" spans="2:7" ht="24.9" customHeight="1" thickBot="1" x14ac:dyDescent="0.4">
      <c r="B59" s="213" t="s">
        <v>852</v>
      </c>
      <c r="C59" s="1023">
        <v>3206.16</v>
      </c>
      <c r="D59" s="1024">
        <f>C59*0.15</f>
        <v>480.92399999999998</v>
      </c>
      <c r="E59" s="1024">
        <f t="shared" si="6"/>
        <v>2725.2359999999999</v>
      </c>
      <c r="F59" s="214">
        <f t="shared" si="5"/>
        <v>0.85</v>
      </c>
    </row>
    <row r="60" spans="2:7" ht="24.9" customHeight="1" thickBot="1" x14ac:dyDescent="0.4">
      <c r="B60" s="213" t="s">
        <v>853</v>
      </c>
      <c r="C60" s="1023">
        <v>81.459999999999994</v>
      </c>
      <c r="D60" s="1024">
        <f>C60*0.15</f>
        <v>12.218999999999999</v>
      </c>
      <c r="E60" s="1024">
        <f t="shared" si="6"/>
        <v>69.241</v>
      </c>
      <c r="F60" s="214">
        <f t="shared" si="5"/>
        <v>0.85000000000000009</v>
      </c>
    </row>
    <row r="61" spans="2:7" ht="29.4" customHeight="1" thickBot="1" x14ac:dyDescent="0.4">
      <c r="B61" s="213" t="s">
        <v>857</v>
      </c>
      <c r="C61" s="1023">
        <v>185284.68</v>
      </c>
      <c r="D61" s="1024">
        <f>C61*0.15</f>
        <v>27792.701999999997</v>
      </c>
      <c r="E61" s="1024">
        <f t="shared" si="6"/>
        <v>157491.978</v>
      </c>
      <c r="F61" s="214">
        <f t="shared" si="5"/>
        <v>0.85000000000000009</v>
      </c>
    </row>
    <row r="62" spans="2:7" ht="20.25" customHeight="1" x14ac:dyDescent="0.35">
      <c r="B62" s="216"/>
      <c r="C62" s="1025">
        <f>SUM(C43:C61)</f>
        <v>2896045.0700000003</v>
      </c>
      <c r="D62" s="1026">
        <f>SUM(D43:D61)</f>
        <v>2942642.7739999997</v>
      </c>
      <c r="E62" s="1510">
        <f>SUM(E43:E61)</f>
        <v>-46597.703999999911</v>
      </c>
      <c r="F62" s="1179">
        <f>E62*100%/C62</f>
        <v>-1.6090116995313167E-2</v>
      </c>
      <c r="G62" s="1029"/>
    </row>
    <row r="63" spans="2:7" x14ac:dyDescent="0.35">
      <c r="C63" s="1030">
        <f>C35-C62</f>
        <v>3172.4487983104773</v>
      </c>
    </row>
    <row r="64" spans="2:7" x14ac:dyDescent="0.35">
      <c r="C64" s="1029"/>
    </row>
  </sheetData>
  <autoFilter ref="B42:F42" xr:uid="{2665CDFE-F828-4A02-A908-201BBE173309}">
    <sortState xmlns:xlrd2="http://schemas.microsoft.com/office/spreadsheetml/2017/richdata2" ref="B43:F62">
      <sortCondition ref="B42"/>
    </sortState>
  </autoFilter>
  <mergeCells count="5">
    <mergeCell ref="E3:E4"/>
    <mergeCell ref="B41:F41"/>
    <mergeCell ref="D43:D50"/>
    <mergeCell ref="E43:E50"/>
    <mergeCell ref="F43:F50"/>
  </mergeCells>
  <phoneticPr fontId="90" type="noConversion"/>
  <pageMargins left="0.51181102362204722" right="0.51181102362204722" top="0.78740157480314965" bottom="0.78740157480314965" header="0.31496062992125984" footer="0.31496062992125984"/>
  <pageSetup paperSize="9" scale="58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DD39C-1916-4D3C-9707-B8338860122B}">
  <sheetPr codeName="Planilha22">
    <pageSetUpPr autoPageBreaks="0"/>
  </sheetPr>
  <dimension ref="A1:AM111"/>
  <sheetViews>
    <sheetView showGridLines="0" topLeftCell="B1" zoomScale="50" zoomScaleNormal="50" workbookViewId="0">
      <pane ySplit="1" topLeftCell="A104" activePane="bottomLeft" state="frozen"/>
      <selection activeCell="N30" sqref="N30"/>
      <selection pane="bottomLeft" activeCell="T106" sqref="T106"/>
    </sheetView>
  </sheetViews>
  <sheetFormatPr defaultColWidth="9.109375" defaultRowHeight="21" x14ac:dyDescent="0.4"/>
  <cols>
    <col min="1" max="1" width="8.44140625" style="217" hidden="1" customWidth="1"/>
    <col min="2" max="2" width="12.6640625" style="217" customWidth="1"/>
    <col min="3" max="5" width="8.44140625" style="217" hidden="1" customWidth="1"/>
    <col min="6" max="6" width="35.88671875" style="220" customWidth="1"/>
    <col min="7" max="7" width="60.5546875" style="220" customWidth="1"/>
    <col min="8" max="9" width="5.6640625" style="220" hidden="1" customWidth="1"/>
    <col min="10" max="10" width="20.109375" style="220" hidden="1" customWidth="1"/>
    <col min="11" max="11" width="26.88671875" style="220" customWidth="1"/>
    <col min="12" max="12" width="26.109375" style="220" customWidth="1"/>
    <col min="13" max="13" width="26.44140625" style="220" customWidth="1"/>
    <col min="14" max="14" width="30.109375" style="220" bestFit="1" customWidth="1"/>
    <col min="15" max="15" width="4.5546875" style="221" hidden="1" customWidth="1"/>
    <col min="16" max="16" width="1.88671875" style="220" hidden="1" customWidth="1"/>
    <col min="17" max="17" width="6.88671875" style="220" customWidth="1"/>
    <col min="18" max="18" width="6.88671875" style="220" hidden="1" customWidth="1"/>
    <col min="19" max="19" width="19.88671875" style="220" hidden="1" customWidth="1"/>
    <col min="20" max="20" width="28.109375" style="220" customWidth="1"/>
    <col min="21" max="21" width="27" style="220" hidden="1" customWidth="1"/>
    <col min="22" max="23" width="18.109375" style="220" hidden="1" customWidth="1"/>
    <col min="24" max="24" width="28.109375" style="220" customWidth="1"/>
    <col min="25" max="25" width="27.5546875" style="220" hidden="1" customWidth="1"/>
    <col min="26" max="26" width="18.6640625" style="220" hidden="1" customWidth="1"/>
    <col min="27" max="27" width="25.6640625" style="220" hidden="1" customWidth="1"/>
    <col min="28" max="28" width="38.109375" style="220" hidden="1" customWidth="1"/>
    <col min="29" max="30" width="33" style="220" hidden="1" customWidth="1"/>
    <col min="31" max="31" width="28" style="220" hidden="1" customWidth="1"/>
    <col min="32" max="32" width="1.33203125" style="220" hidden="1" customWidth="1"/>
    <col min="33" max="33" width="81.5546875" style="220" hidden="1" customWidth="1"/>
    <col min="34" max="34" width="36.6640625" style="220" hidden="1" customWidth="1"/>
    <col min="35" max="35" width="1.5546875" style="220" hidden="1" customWidth="1"/>
    <col min="36" max="36" width="20.33203125" style="220" hidden="1" customWidth="1"/>
    <col min="37" max="37" width="25.33203125" style="521" customWidth="1"/>
    <col min="38" max="38" width="24.88671875" style="521" customWidth="1"/>
    <col min="39" max="39" width="8.6640625" style="525" customWidth="1"/>
    <col min="40" max="40" width="21.33203125" style="220" customWidth="1"/>
    <col min="41" max="16384" width="9.109375" style="220"/>
  </cols>
  <sheetData>
    <row r="1" spans="1:38" ht="49.5" customHeight="1" x14ac:dyDescent="0.4">
      <c r="B1" s="218"/>
      <c r="C1" s="219"/>
      <c r="D1" s="219"/>
      <c r="F1" s="1251" t="s">
        <v>0</v>
      </c>
      <c r="G1" s="1251"/>
    </row>
    <row r="2" spans="1:38" ht="24.75" customHeight="1" x14ac:dyDescent="0.4">
      <c r="D2" s="219"/>
      <c r="F2" s="1252" t="s">
        <v>1</v>
      </c>
      <c r="G2" s="1252"/>
    </row>
    <row r="3" spans="1:38" ht="22.2" x14ac:dyDescent="0.4">
      <c r="B3" s="222"/>
      <c r="F3" s="223"/>
      <c r="G3" s="223"/>
    </row>
    <row r="4" spans="1:38" ht="22.2" x14ac:dyDescent="0.4">
      <c r="F4" s="224" t="s">
        <v>2</v>
      </c>
      <c r="G4" s="225"/>
    </row>
    <row r="5" spans="1:38" ht="22.2" x14ac:dyDescent="0.4">
      <c r="F5" s="226" t="s">
        <v>3</v>
      </c>
      <c r="G5" s="227"/>
    </row>
    <row r="6" spans="1:38" ht="22.2" x14ac:dyDescent="0.4">
      <c r="F6" s="226" t="s">
        <v>4</v>
      </c>
      <c r="G6" s="228"/>
    </row>
    <row r="7" spans="1:38" ht="21.75" customHeight="1" x14ac:dyDescent="0.4">
      <c r="F7" s="226" t="s">
        <v>5</v>
      </c>
      <c r="G7" s="228"/>
    </row>
    <row r="8" spans="1:38" ht="22.2" x14ac:dyDescent="0.4">
      <c r="F8" s="226" t="s">
        <v>6</v>
      </c>
      <c r="G8" s="229"/>
    </row>
    <row r="9" spans="1:38" ht="22.2" x14ac:dyDescent="0.4">
      <c r="F9" s="226" t="s">
        <v>7</v>
      </c>
      <c r="G9" s="228"/>
      <c r="M9" s="220">
        <v>0.80469999999999997</v>
      </c>
    </row>
    <row r="10" spans="1:38" ht="27" customHeight="1" x14ac:dyDescent="0.4">
      <c r="F10" s="226" t="s">
        <v>8</v>
      </c>
      <c r="G10" s="228"/>
      <c r="M10" s="220">
        <f>1-M9</f>
        <v>0.19530000000000003</v>
      </c>
    </row>
    <row r="11" spans="1:38" ht="22.2" x14ac:dyDescent="0.4">
      <c r="F11" s="230" t="s">
        <v>9</v>
      </c>
      <c r="G11" s="231"/>
    </row>
    <row r="12" spans="1:38" ht="22.8" hidden="1" thickBot="1" x14ac:dyDescent="0.45">
      <c r="B12" s="232"/>
      <c r="M12" s="233"/>
      <c r="Q12" s="1268" t="s">
        <v>10</v>
      </c>
      <c r="R12" s="1269"/>
      <c r="S12" s="1269"/>
      <c r="T12" s="1270"/>
      <c r="U12" s="1271" t="s">
        <v>11</v>
      </c>
      <c r="V12" s="1272"/>
      <c r="W12" s="1272"/>
      <c r="X12" s="1273"/>
      <c r="Y12" s="234" t="s">
        <v>12</v>
      </c>
      <c r="Z12" s="235" t="e">
        <f>(1/(1-#REF!))-1</f>
        <v>#REF!</v>
      </c>
      <c r="AC12" s="1274" t="s">
        <v>13</v>
      </c>
      <c r="AD12" s="1275"/>
      <c r="AE12" s="1276"/>
      <c r="AG12" s="1261" t="s">
        <v>14</v>
      </c>
      <c r="AH12" s="1262"/>
      <c r="AJ12" s="236" t="s">
        <v>15</v>
      </c>
      <c r="AK12" s="1253" t="s">
        <v>16</v>
      </c>
      <c r="AL12" s="1254"/>
    </row>
    <row r="13" spans="1:38" ht="22.8" thickBot="1" x14ac:dyDescent="0.5">
      <c r="A13" s="237" t="s">
        <v>17</v>
      </c>
      <c r="B13" s="238" t="s">
        <v>18</v>
      </c>
      <c r="C13" s="237" t="s">
        <v>19</v>
      </c>
      <c r="D13" s="237" t="s">
        <v>20</v>
      </c>
      <c r="E13" s="237" t="s">
        <v>21</v>
      </c>
      <c r="M13" s="239">
        <v>0.80469999999999997</v>
      </c>
    </row>
    <row r="14" spans="1:38" ht="35.1" customHeight="1" thickBot="1" x14ac:dyDescent="0.45">
      <c r="A14" s="240">
        <v>0</v>
      </c>
      <c r="B14" s="241"/>
      <c r="C14" s="242"/>
      <c r="D14" s="243"/>
      <c r="E14" s="243"/>
      <c r="F14" s="244" t="s">
        <v>22</v>
      </c>
      <c r="G14" s="245" t="s">
        <v>23</v>
      </c>
      <c r="H14" s="246" t="s">
        <v>24</v>
      </c>
      <c r="I14" s="246" t="s">
        <v>25</v>
      </c>
      <c r="J14" s="247" t="s">
        <v>26</v>
      </c>
      <c r="K14" s="248" t="s">
        <v>27</v>
      </c>
      <c r="L14" s="249">
        <v>7.4999999999999997E-2</v>
      </c>
      <c r="M14" s="250">
        <f>1-M13</f>
        <v>0.19530000000000003</v>
      </c>
      <c r="N14" s="251" t="s">
        <v>28</v>
      </c>
      <c r="Q14" s="252" t="s">
        <v>29</v>
      </c>
      <c r="R14" s="253" t="s">
        <v>30</v>
      </c>
      <c r="S14" s="254" t="s">
        <v>31</v>
      </c>
      <c r="T14" s="255" t="s">
        <v>32</v>
      </c>
      <c r="U14" s="256" t="s">
        <v>33</v>
      </c>
      <c r="V14" s="257" t="s">
        <v>34</v>
      </c>
      <c r="W14" s="258" t="s">
        <v>35</v>
      </c>
      <c r="X14" s="258" t="s">
        <v>36</v>
      </c>
      <c r="Y14" s="259" t="s">
        <v>37</v>
      </c>
      <c r="Z14" s="260" t="s">
        <v>38</v>
      </c>
      <c r="AA14" s="261" t="s">
        <v>39</v>
      </c>
      <c r="AC14" s="262" t="s">
        <v>40</v>
      </c>
      <c r="AD14" s="263" t="s">
        <v>41</v>
      </c>
      <c r="AE14" s="263" t="s">
        <v>42</v>
      </c>
      <c r="AG14" s="264" t="s">
        <v>43</v>
      </c>
      <c r="AH14" s="265" t="s">
        <v>44</v>
      </c>
      <c r="AI14" s="220" t="s">
        <v>45</v>
      </c>
      <c r="AJ14" s="220" t="s">
        <v>45</v>
      </c>
      <c r="AK14" s="526" t="s">
        <v>46</v>
      </c>
      <c r="AL14" s="527" t="s">
        <v>47</v>
      </c>
    </row>
    <row r="15" spans="1:38" ht="35.1" customHeight="1" thickBot="1" x14ac:dyDescent="0.5">
      <c r="A15" s="266">
        <v>1</v>
      </c>
      <c r="B15" s="267">
        <v>1</v>
      </c>
      <c r="C15" s="268" t="s">
        <v>48</v>
      </c>
      <c r="D15" s="266"/>
      <c r="E15" s="266"/>
      <c r="F15" s="1255" t="s">
        <v>49</v>
      </c>
      <c r="G15" s="1256"/>
      <c r="H15" s="1256"/>
      <c r="I15" s="1256"/>
      <c r="J15" s="1256"/>
      <c r="K15" s="1256"/>
      <c r="L15" s="1256"/>
      <c r="M15" s="1256"/>
      <c r="N15" s="1257"/>
      <c r="Q15" s="1258" t="str">
        <f>IF(F15&lt;&gt;"",F15,"")</f>
        <v>INTERNOS</v>
      </c>
      <c r="R15" s="1259"/>
      <c r="S15" s="1259"/>
      <c r="T15" s="1259"/>
      <c r="U15" s="1259"/>
      <c r="V15" s="1259"/>
      <c r="W15" s="1259"/>
      <c r="X15" s="1259"/>
      <c r="Y15" s="1260"/>
      <c r="Z15" s="269"/>
      <c r="AA15" s="270"/>
      <c r="AC15" s="271"/>
      <c r="AD15" s="271"/>
      <c r="AE15" s="271"/>
      <c r="AG15" s="272"/>
      <c r="AH15" s="273"/>
      <c r="AK15" s="1263"/>
      <c r="AL15" s="1264"/>
    </row>
    <row r="16" spans="1:38" ht="35.1" customHeight="1" thickBot="1" x14ac:dyDescent="0.5">
      <c r="A16" s="274">
        <v>2</v>
      </c>
      <c r="B16" s="267" t="s">
        <v>50</v>
      </c>
      <c r="C16" s="275" t="s">
        <v>51</v>
      </c>
      <c r="D16" s="274"/>
      <c r="E16" s="274"/>
      <c r="F16" s="1265" t="s">
        <v>52</v>
      </c>
      <c r="G16" s="1266"/>
      <c r="H16" s="1266"/>
      <c r="I16" s="1266"/>
      <c r="J16" s="1266"/>
      <c r="K16" s="1266"/>
      <c r="L16" s="276" t="s">
        <v>53</v>
      </c>
      <c r="M16" s="277" t="s">
        <v>54</v>
      </c>
      <c r="N16" s="278" t="s">
        <v>28</v>
      </c>
      <c r="O16" s="279"/>
      <c r="Q16" s="1265" t="str">
        <f>IF(F16&lt;&gt;"",F16,"")</f>
        <v>INTERNO</v>
      </c>
      <c r="R16" s="1266"/>
      <c r="S16" s="1266"/>
      <c r="T16" s="1266"/>
      <c r="U16" s="1266"/>
      <c r="V16" s="1266"/>
      <c r="W16" s="1266"/>
      <c r="X16" s="1266"/>
      <c r="Y16" s="1267"/>
      <c r="Z16" s="280" t="s">
        <v>55</v>
      </c>
      <c r="AA16" s="281" t="s">
        <v>39</v>
      </c>
      <c r="AK16" s="1249"/>
      <c r="AL16" s="1250"/>
    </row>
    <row r="17" spans="1:39" ht="120" customHeight="1" x14ac:dyDescent="0.4">
      <c r="A17" s="243">
        <v>3</v>
      </c>
      <c r="B17" s="267" t="s">
        <v>56</v>
      </c>
      <c r="C17" s="282" t="s">
        <v>57</v>
      </c>
      <c r="D17" s="243" t="s">
        <v>52</v>
      </c>
      <c r="E17" s="243" t="s">
        <v>58</v>
      </c>
      <c r="F17" s="283" t="s">
        <v>59</v>
      </c>
      <c r="G17" s="284" t="s">
        <v>60</v>
      </c>
      <c r="H17" s="285">
        <v>1</v>
      </c>
      <c r="I17" s="285">
        <v>1</v>
      </c>
      <c r="J17" s="286">
        <v>10200</v>
      </c>
      <c r="K17" s="287">
        <f t="shared" ref="K17:K23" si="0">IF(F17&lt;&gt;"",H17*I17*J17,"")</f>
        <v>10200</v>
      </c>
      <c r="L17" s="288">
        <f t="shared" ref="L17:L23" si="1">IF(K17&lt;&gt;"",IF(D17="INTERNO",0,K17*$L$14),"")</f>
        <v>0</v>
      </c>
      <c r="M17" s="288">
        <f t="shared" ref="M17:M23" si="2">IF(K17&lt;&gt;"",IF(E17="FAT.OGGI",SUM(K17:L17)*(1/(1-$M$14)-1),L17*(1/(1-$M$14)-1)),"")</f>
        <v>2475.5312538834355</v>
      </c>
      <c r="N17" s="289">
        <f t="shared" ref="N17:N23" si="3">SUM(K17:M17)</f>
        <v>12675.531253883435</v>
      </c>
      <c r="O17" s="279"/>
      <c r="Q17" s="290">
        <f t="shared" ref="Q17:R24" si="4">IF(H17&lt;&gt;"",H17,"")</f>
        <v>1</v>
      </c>
      <c r="R17" s="291">
        <f t="shared" si="4"/>
        <v>1</v>
      </c>
      <c r="S17" s="292">
        <v>4000</v>
      </c>
      <c r="T17" s="292">
        <v>17800</v>
      </c>
      <c r="U17" s="293">
        <f t="shared" ref="U17:U24" si="5">IF(Q17&lt;&gt;"",K17-T17,"")</f>
        <v>-7600</v>
      </c>
      <c r="V17" s="294">
        <f t="shared" ref="V17:V23" si="6">IF(Q17&lt;&gt;"",0%,"")</f>
        <v>0</v>
      </c>
      <c r="W17" s="295">
        <f t="shared" ref="W17:W23" si="7">IF(Q17&lt;&gt;"",V17*U17,"")</f>
        <v>0</v>
      </c>
      <c r="X17" s="295">
        <f t="shared" ref="X17:X23" si="8">IF(Q17&lt;&gt;"",W17+T17,"")</f>
        <v>17800</v>
      </c>
      <c r="Y17" s="296">
        <f t="shared" ref="Y17:Y25" si="9">IF(Q17&lt;&gt;"",X17+M17,"")</f>
        <v>20275.531253883437</v>
      </c>
      <c r="Z17" s="297">
        <f t="shared" ref="Z17:Z24" si="10">IF(Q17&lt;&gt;"",U17/K17,"")</f>
        <v>-0.74509803921568629</v>
      </c>
      <c r="AA17" s="298">
        <f t="shared" ref="AA17:AA24" si="11">T17/$T$25</f>
        <v>0.23295477745751589</v>
      </c>
      <c r="AK17" s="528">
        <f>X17-AL17</f>
        <v>0</v>
      </c>
      <c r="AL17" s="529">
        <f>13800+4000</f>
        <v>17800</v>
      </c>
      <c r="AM17" s="525" t="s">
        <v>792</v>
      </c>
    </row>
    <row r="18" spans="1:39" ht="120" customHeight="1" x14ac:dyDescent="0.4">
      <c r="A18" s="243">
        <v>4</v>
      </c>
      <c r="B18" s="267" t="s">
        <v>61</v>
      </c>
      <c r="C18" s="282" t="s">
        <v>57</v>
      </c>
      <c r="D18" s="243" t="s">
        <v>52</v>
      </c>
      <c r="E18" s="243" t="s">
        <v>58</v>
      </c>
      <c r="F18" s="299" t="s">
        <v>62</v>
      </c>
      <c r="G18" s="300" t="s">
        <v>63</v>
      </c>
      <c r="H18" s="301">
        <v>1</v>
      </c>
      <c r="I18" s="301">
        <v>1</v>
      </c>
      <c r="J18" s="302">
        <v>4600</v>
      </c>
      <c r="K18" s="303">
        <f>IF(F18&lt;&gt;"",H18*I18*J18,"")</f>
        <v>4600</v>
      </c>
      <c r="L18" s="304">
        <f t="shared" si="1"/>
        <v>0</v>
      </c>
      <c r="M18" s="304">
        <f t="shared" si="2"/>
        <v>1116.4160556729219</v>
      </c>
      <c r="N18" s="305">
        <f t="shared" si="3"/>
        <v>5716.4160556729221</v>
      </c>
      <c r="O18" s="279"/>
      <c r="Q18" s="306">
        <f t="shared" si="4"/>
        <v>1</v>
      </c>
      <c r="R18" s="307">
        <f t="shared" si="4"/>
        <v>1</v>
      </c>
      <c r="S18" s="308">
        <v>0</v>
      </c>
      <c r="T18" s="308">
        <f t="shared" ref="T18:T22" si="12">IF(Q18&lt;&gt;"",Q18*R18*S18,"")</f>
        <v>0</v>
      </c>
      <c r="U18" s="309">
        <f t="shared" si="5"/>
        <v>4600</v>
      </c>
      <c r="V18" s="310">
        <f t="shared" si="6"/>
        <v>0</v>
      </c>
      <c r="W18" s="311">
        <f t="shared" si="7"/>
        <v>0</v>
      </c>
      <c r="X18" s="311">
        <f t="shared" si="8"/>
        <v>0</v>
      </c>
      <c r="Y18" s="312">
        <f t="shared" si="9"/>
        <v>1116.4160556729219</v>
      </c>
      <c r="Z18" s="297">
        <f t="shared" si="10"/>
        <v>1</v>
      </c>
      <c r="AA18" s="298">
        <f t="shared" si="11"/>
        <v>0</v>
      </c>
      <c r="AK18" s="528">
        <f t="shared" ref="AK18:AK81" si="13">X18-AL18</f>
        <v>0</v>
      </c>
      <c r="AL18" s="529">
        <v>0</v>
      </c>
    </row>
    <row r="19" spans="1:39" ht="120" customHeight="1" x14ac:dyDescent="0.4">
      <c r="A19" s="243">
        <v>5</v>
      </c>
      <c r="B19" s="267" t="s">
        <v>64</v>
      </c>
      <c r="C19" s="282" t="s">
        <v>57</v>
      </c>
      <c r="D19" s="243" t="s">
        <v>52</v>
      </c>
      <c r="E19" s="243" t="s">
        <v>58</v>
      </c>
      <c r="F19" s="299" t="s">
        <v>65</v>
      </c>
      <c r="G19" s="300" t="s">
        <v>66</v>
      </c>
      <c r="H19" s="301">
        <v>1</v>
      </c>
      <c r="I19" s="301">
        <v>1</v>
      </c>
      <c r="J19" s="302">
        <v>8000</v>
      </c>
      <c r="K19" s="302">
        <f>IF(F19&lt;&gt;"",H19*I19*J19,"")</f>
        <v>8000</v>
      </c>
      <c r="L19" s="304">
        <f t="shared" si="1"/>
        <v>0</v>
      </c>
      <c r="M19" s="304">
        <f t="shared" si="2"/>
        <v>1941.5931403007339</v>
      </c>
      <c r="N19" s="305">
        <f t="shared" si="3"/>
        <v>9941.5931403007344</v>
      </c>
      <c r="O19" s="279"/>
      <c r="Q19" s="306">
        <f t="shared" si="4"/>
        <v>1</v>
      </c>
      <c r="R19" s="307">
        <f t="shared" si="4"/>
        <v>1</v>
      </c>
      <c r="S19" s="308">
        <v>3000</v>
      </c>
      <c r="T19" s="308">
        <v>0</v>
      </c>
      <c r="U19" s="309">
        <f t="shared" si="5"/>
        <v>8000</v>
      </c>
      <c r="V19" s="310">
        <f t="shared" si="6"/>
        <v>0</v>
      </c>
      <c r="W19" s="311">
        <f t="shared" si="7"/>
        <v>0</v>
      </c>
      <c r="X19" s="311">
        <f t="shared" si="8"/>
        <v>0</v>
      </c>
      <c r="Y19" s="312">
        <f t="shared" si="9"/>
        <v>1941.5931403007339</v>
      </c>
      <c r="Z19" s="297">
        <f t="shared" si="10"/>
        <v>1</v>
      </c>
      <c r="AA19" s="298">
        <f t="shared" si="11"/>
        <v>0</v>
      </c>
      <c r="AK19" s="528">
        <f t="shared" si="13"/>
        <v>0</v>
      </c>
      <c r="AL19" s="529">
        <v>0</v>
      </c>
    </row>
    <row r="20" spans="1:39" ht="120" customHeight="1" x14ac:dyDescent="0.4">
      <c r="A20" s="243">
        <v>6</v>
      </c>
      <c r="B20" s="267" t="s">
        <v>67</v>
      </c>
      <c r="C20" s="282" t="s">
        <v>57</v>
      </c>
      <c r="D20" s="243" t="s">
        <v>52</v>
      </c>
      <c r="E20" s="243" t="s">
        <v>58</v>
      </c>
      <c r="F20" s="299" t="s">
        <v>68</v>
      </c>
      <c r="G20" s="300" t="s">
        <v>69</v>
      </c>
      <c r="H20" s="301">
        <v>1</v>
      </c>
      <c r="I20" s="301">
        <v>1</v>
      </c>
      <c r="J20" s="302">
        <v>1800</v>
      </c>
      <c r="K20" s="302">
        <f t="shared" si="0"/>
        <v>1800</v>
      </c>
      <c r="L20" s="304">
        <f t="shared" si="1"/>
        <v>0</v>
      </c>
      <c r="M20" s="304">
        <f t="shared" si="2"/>
        <v>436.85845656766509</v>
      </c>
      <c r="N20" s="305">
        <f t="shared" si="3"/>
        <v>2236.8584565676651</v>
      </c>
      <c r="O20" s="279"/>
      <c r="Q20" s="306">
        <f t="shared" si="4"/>
        <v>1</v>
      </c>
      <c r="R20" s="307">
        <f t="shared" si="4"/>
        <v>1</v>
      </c>
      <c r="S20" s="308">
        <v>0</v>
      </c>
      <c r="T20" s="308">
        <f t="shared" si="12"/>
        <v>0</v>
      </c>
      <c r="U20" s="309">
        <f t="shared" si="5"/>
        <v>1800</v>
      </c>
      <c r="V20" s="310">
        <f t="shared" si="6"/>
        <v>0</v>
      </c>
      <c r="W20" s="311">
        <f t="shared" si="7"/>
        <v>0</v>
      </c>
      <c r="X20" s="311">
        <f t="shared" si="8"/>
        <v>0</v>
      </c>
      <c r="Y20" s="312">
        <f t="shared" si="9"/>
        <v>436.85845656766509</v>
      </c>
      <c r="Z20" s="297">
        <f t="shared" si="10"/>
        <v>1</v>
      </c>
      <c r="AA20" s="298">
        <f t="shared" si="11"/>
        <v>0</v>
      </c>
      <c r="AK20" s="528">
        <f t="shared" si="13"/>
        <v>0</v>
      </c>
      <c r="AL20" s="529">
        <v>0</v>
      </c>
    </row>
    <row r="21" spans="1:39" ht="120" customHeight="1" x14ac:dyDescent="0.4">
      <c r="A21" s="243">
        <v>7</v>
      </c>
      <c r="B21" s="267" t="s">
        <v>70</v>
      </c>
      <c r="C21" s="282" t="s">
        <v>57</v>
      </c>
      <c r="D21" s="243" t="s">
        <v>52</v>
      </c>
      <c r="E21" s="243" t="s">
        <v>58</v>
      </c>
      <c r="F21" s="299" t="s">
        <v>71</v>
      </c>
      <c r="G21" s="300" t="s">
        <v>72</v>
      </c>
      <c r="H21" s="301">
        <v>1</v>
      </c>
      <c r="I21" s="301">
        <v>1</v>
      </c>
      <c r="J21" s="302">
        <v>5400</v>
      </c>
      <c r="K21" s="302">
        <f t="shared" si="0"/>
        <v>5400</v>
      </c>
      <c r="L21" s="304">
        <f t="shared" si="1"/>
        <v>0</v>
      </c>
      <c r="M21" s="304">
        <f t="shared" si="2"/>
        <v>1310.5753697029954</v>
      </c>
      <c r="N21" s="305">
        <f t="shared" si="3"/>
        <v>6710.5753697029959</v>
      </c>
      <c r="Q21" s="306">
        <f t="shared" si="4"/>
        <v>1</v>
      </c>
      <c r="R21" s="307">
        <f t="shared" si="4"/>
        <v>1</v>
      </c>
      <c r="S21" s="313">
        <f>1333.33</f>
        <v>1333.33</v>
      </c>
      <c r="T21" s="313">
        <f t="shared" si="12"/>
        <v>1333.33</v>
      </c>
      <c r="U21" s="309">
        <f t="shared" si="5"/>
        <v>4066.67</v>
      </c>
      <c r="V21" s="310">
        <f t="shared" si="6"/>
        <v>0</v>
      </c>
      <c r="W21" s="311">
        <f t="shared" si="7"/>
        <v>0</v>
      </c>
      <c r="X21" s="311">
        <f t="shared" si="8"/>
        <v>1333.33</v>
      </c>
      <c r="Y21" s="312">
        <f t="shared" si="9"/>
        <v>2643.9053697029954</v>
      </c>
      <c r="Z21" s="297">
        <f t="shared" si="10"/>
        <v>0.75308703703703705</v>
      </c>
      <c r="AA21" s="298">
        <f t="shared" si="11"/>
        <v>1.7449752439743237E-2</v>
      </c>
      <c r="AK21" s="528">
        <f t="shared" si="13"/>
        <v>0</v>
      </c>
      <c r="AL21" s="529">
        <v>1333.33</v>
      </c>
      <c r="AM21" s="525" t="s">
        <v>792</v>
      </c>
    </row>
    <row r="22" spans="1:39" ht="120" customHeight="1" x14ac:dyDescent="0.4">
      <c r="A22" s="243">
        <v>8</v>
      </c>
      <c r="B22" s="267" t="s">
        <v>73</v>
      </c>
      <c r="C22" s="282" t="s">
        <v>57</v>
      </c>
      <c r="D22" s="243" t="s">
        <v>52</v>
      </c>
      <c r="E22" s="243" t="s">
        <v>58</v>
      </c>
      <c r="F22" s="314" t="s">
        <v>74</v>
      </c>
      <c r="G22" s="300" t="s">
        <v>75</v>
      </c>
      <c r="H22" s="301">
        <v>1</v>
      </c>
      <c r="I22" s="301">
        <v>1.5</v>
      </c>
      <c r="J22" s="302">
        <v>8250</v>
      </c>
      <c r="K22" s="302">
        <f t="shared" si="0"/>
        <v>12375</v>
      </c>
      <c r="L22" s="303">
        <f t="shared" si="1"/>
        <v>0</v>
      </c>
      <c r="M22" s="303">
        <f t="shared" si="2"/>
        <v>3003.4018889026975</v>
      </c>
      <c r="N22" s="315">
        <f t="shared" si="3"/>
        <v>15378.401888902697</v>
      </c>
      <c r="Q22" s="306">
        <f t="shared" si="4"/>
        <v>1</v>
      </c>
      <c r="R22" s="307">
        <v>2</v>
      </c>
      <c r="S22" s="316">
        <v>0</v>
      </c>
      <c r="T22" s="308">
        <f t="shared" si="12"/>
        <v>0</v>
      </c>
      <c r="U22" s="309">
        <f t="shared" si="5"/>
        <v>12375</v>
      </c>
      <c r="V22" s="310">
        <f t="shared" si="6"/>
        <v>0</v>
      </c>
      <c r="W22" s="311">
        <f t="shared" si="7"/>
        <v>0</v>
      </c>
      <c r="X22" s="311">
        <f t="shared" si="8"/>
        <v>0</v>
      </c>
      <c r="Y22" s="312">
        <f t="shared" si="9"/>
        <v>3003.4018889026975</v>
      </c>
      <c r="Z22" s="297">
        <f t="shared" si="10"/>
        <v>1</v>
      </c>
      <c r="AA22" s="298">
        <f t="shared" si="11"/>
        <v>0</v>
      </c>
      <c r="AK22" s="528">
        <f t="shared" si="13"/>
        <v>0</v>
      </c>
      <c r="AL22" s="529">
        <v>0</v>
      </c>
    </row>
    <row r="23" spans="1:39" ht="120" customHeight="1" x14ac:dyDescent="0.45">
      <c r="A23" s="274">
        <v>9</v>
      </c>
      <c r="B23" s="267" t="s">
        <v>76</v>
      </c>
      <c r="C23" s="275" t="s">
        <v>57</v>
      </c>
      <c r="D23" s="274" t="s">
        <v>52</v>
      </c>
      <c r="E23" s="274" t="s">
        <v>58</v>
      </c>
      <c r="F23" s="299" t="s">
        <v>77</v>
      </c>
      <c r="G23" s="300" t="s">
        <v>78</v>
      </c>
      <c r="H23" s="301">
        <v>1</v>
      </c>
      <c r="I23" s="301">
        <v>1.5</v>
      </c>
      <c r="J23" s="302">
        <v>8250</v>
      </c>
      <c r="K23" s="302">
        <f t="shared" si="0"/>
        <v>12375</v>
      </c>
      <c r="L23" s="303">
        <f t="shared" si="1"/>
        <v>0</v>
      </c>
      <c r="M23" s="303">
        <f t="shared" si="2"/>
        <v>3003.4018889026975</v>
      </c>
      <c r="N23" s="315">
        <f t="shared" si="3"/>
        <v>15378.401888902697</v>
      </c>
      <c r="Q23" s="317">
        <f t="shared" si="4"/>
        <v>1</v>
      </c>
      <c r="R23" s="318">
        <v>2</v>
      </c>
      <c r="S23" s="319">
        <v>16000</v>
      </c>
      <c r="T23" s="319">
        <v>47376.35</v>
      </c>
      <c r="U23" s="320">
        <f t="shared" si="5"/>
        <v>-35001.35</v>
      </c>
      <c r="V23" s="321">
        <f t="shared" si="6"/>
        <v>0</v>
      </c>
      <c r="W23" s="322">
        <f t="shared" si="7"/>
        <v>0</v>
      </c>
      <c r="X23" s="322">
        <f t="shared" si="8"/>
        <v>47376.35</v>
      </c>
      <c r="Y23" s="323">
        <f t="shared" si="9"/>
        <v>50379.751888902698</v>
      </c>
      <c r="Z23" s="297">
        <f t="shared" si="10"/>
        <v>-2.8283919191919189</v>
      </c>
      <c r="AA23" s="298">
        <f t="shared" si="11"/>
        <v>0.62003073432580802</v>
      </c>
      <c r="AC23" s="324">
        <v>0</v>
      </c>
      <c r="AD23" s="325">
        <f>T23-AC23</f>
        <v>47376.35</v>
      </c>
      <c r="AE23" s="326">
        <v>46007</v>
      </c>
      <c r="AG23" s="327" t="s">
        <v>79</v>
      </c>
      <c r="AH23" s="328" t="s">
        <v>79</v>
      </c>
      <c r="AK23" s="528">
        <f t="shared" si="13"/>
        <v>0</v>
      </c>
      <c r="AL23" s="529">
        <f>32000+4500+2000+5419.35+857+2600</f>
        <v>47376.35</v>
      </c>
      <c r="AM23" s="525" t="s">
        <v>839</v>
      </c>
    </row>
    <row r="24" spans="1:39" ht="120" customHeight="1" x14ac:dyDescent="0.4">
      <c r="A24" s="266">
        <v>10</v>
      </c>
      <c r="B24" s="267" t="s">
        <v>80</v>
      </c>
      <c r="C24" s="268" t="s">
        <v>57</v>
      </c>
      <c r="D24" s="266" t="s">
        <v>52</v>
      </c>
      <c r="E24" s="266" t="s">
        <v>58</v>
      </c>
      <c r="F24" s="329" t="s">
        <v>81</v>
      </c>
      <c r="G24" s="330" t="s">
        <v>82</v>
      </c>
      <c r="H24" s="331">
        <v>1</v>
      </c>
      <c r="I24" s="301">
        <v>1</v>
      </c>
      <c r="J24" s="332">
        <v>6500</v>
      </c>
      <c r="K24" s="333">
        <f>IF(F24&lt;&gt;"",H24*I24*J24,"")</f>
        <v>6500</v>
      </c>
      <c r="L24" s="333">
        <f>IF(K24&lt;&gt;"",IF(D24="INTERNO",0,K24*$L$14),"")</f>
        <v>0</v>
      </c>
      <c r="M24" s="333">
        <f>IF(K24&lt;&gt;"",IF(E24="FAT.OGGI",SUM(K24:L24)*(1/(1-$M$14)-1),L24*(1/(1-$M$14)-1)),"")</f>
        <v>1577.5444264943462</v>
      </c>
      <c r="N24" s="334">
        <f>SUM(K24:M24)</f>
        <v>8077.5444264943462</v>
      </c>
      <c r="Q24" s="335">
        <f t="shared" si="4"/>
        <v>1</v>
      </c>
      <c r="R24" s="336">
        <v>1</v>
      </c>
      <c r="S24" s="337">
        <v>6650</v>
      </c>
      <c r="T24" s="337">
        <v>9900</v>
      </c>
      <c r="U24" s="338">
        <f t="shared" si="5"/>
        <v>-3400</v>
      </c>
      <c r="V24" s="339">
        <f>IF(Q24&lt;&gt;"",0%,"")</f>
        <v>0</v>
      </c>
      <c r="W24" s="340">
        <f>IF(Q24&lt;&gt;"",V24*U24,"")</f>
        <v>0</v>
      </c>
      <c r="X24" s="340">
        <f>IF(Q24&lt;&gt;"",W24+T24,"")</f>
        <v>9900</v>
      </c>
      <c r="Y24" s="323">
        <f t="shared" si="9"/>
        <v>11477.544426494347</v>
      </c>
      <c r="Z24" s="297">
        <f t="shared" si="10"/>
        <v>-0.52307692307692311</v>
      </c>
      <c r="AA24" s="298">
        <f t="shared" si="11"/>
        <v>0.12956473577693298</v>
      </c>
      <c r="AK24" s="528">
        <f t="shared" si="13"/>
        <v>0</v>
      </c>
      <c r="AL24" s="529">
        <f>4500+1500+650+3250</f>
        <v>9900</v>
      </c>
      <c r="AM24" s="525" t="s">
        <v>789</v>
      </c>
    </row>
    <row r="25" spans="1:39" ht="35.1" customHeight="1" thickBot="1" x14ac:dyDescent="0.5">
      <c r="A25" s="266">
        <v>11</v>
      </c>
      <c r="B25" s="267"/>
      <c r="C25" s="268" t="s">
        <v>83</v>
      </c>
      <c r="D25" s="266"/>
      <c r="E25" s="266"/>
      <c r="F25" s="1197" t="s">
        <v>84</v>
      </c>
      <c r="G25" s="1198"/>
      <c r="H25" s="1198"/>
      <c r="I25" s="1198"/>
      <c r="J25" s="1198"/>
      <c r="K25" s="341">
        <f>SUM(K17:K24)</f>
        <v>61250</v>
      </c>
      <c r="L25" s="341">
        <f>SUM(L17:L24)</f>
        <v>0</v>
      </c>
      <c r="M25" s="341">
        <f>SUM(M17:M24)</f>
        <v>14865.322480427494</v>
      </c>
      <c r="N25" s="342">
        <f>SUM(N17:N24)</f>
        <v>76115.322480427494</v>
      </c>
      <c r="P25" s="220">
        <f>SUM(P17:P24)</f>
        <v>0</v>
      </c>
      <c r="Q25" s="1238" t="s">
        <v>84</v>
      </c>
      <c r="R25" s="1239"/>
      <c r="S25" s="1240"/>
      <c r="T25" s="343">
        <f>SUM(T17:T24)</f>
        <v>76409.679999999993</v>
      </c>
      <c r="U25" s="344">
        <f>SUM(U17:U24)</f>
        <v>-15159.68</v>
      </c>
      <c r="V25" s="345">
        <f>SUM(V17:V24)</f>
        <v>0</v>
      </c>
      <c r="W25" s="346"/>
      <c r="X25" s="347">
        <f>SUM(X17:X24)</f>
        <v>76409.679999999993</v>
      </c>
      <c r="Y25" s="348">
        <f t="shared" si="9"/>
        <v>91275.002480427487</v>
      </c>
      <c r="AK25" s="528"/>
      <c r="AL25" s="529"/>
    </row>
    <row r="26" spans="1:39" ht="35.1" customHeight="1" thickBot="1" x14ac:dyDescent="0.5">
      <c r="A26" s="274">
        <v>12</v>
      </c>
      <c r="B26" s="267">
        <v>2</v>
      </c>
      <c r="C26" s="275" t="s">
        <v>48</v>
      </c>
      <c r="D26" s="274"/>
      <c r="E26" s="274"/>
      <c r="F26" s="1199" t="s">
        <v>85</v>
      </c>
      <c r="G26" s="1200"/>
      <c r="H26" s="1200"/>
      <c r="I26" s="1200"/>
      <c r="J26" s="1200"/>
      <c r="K26" s="1200"/>
      <c r="L26" s="1200"/>
      <c r="M26" s="1200"/>
      <c r="N26" s="1201"/>
      <c r="Q26" s="1199" t="str">
        <f>IF(F26&lt;&gt;"",F26,"")</f>
        <v>ESTRUTURA</v>
      </c>
      <c r="R26" s="1200"/>
      <c r="S26" s="1200"/>
      <c r="T26" s="1200"/>
      <c r="U26" s="1200"/>
      <c r="V26" s="1200"/>
      <c r="W26" s="1200"/>
      <c r="X26" s="1200"/>
      <c r="Y26" s="1201"/>
      <c r="AK26" s="528"/>
      <c r="AL26" s="529"/>
    </row>
    <row r="27" spans="1:39" ht="35.1" customHeight="1" x14ac:dyDescent="0.45">
      <c r="A27" s="243">
        <v>13</v>
      </c>
      <c r="B27" s="267" t="s">
        <v>86</v>
      </c>
      <c r="C27" s="282" t="s">
        <v>51</v>
      </c>
      <c r="D27" s="243"/>
      <c r="E27" s="243"/>
      <c r="F27" s="1202" t="s">
        <v>85</v>
      </c>
      <c r="G27" s="1203"/>
      <c r="H27" s="1203"/>
      <c r="I27" s="1203"/>
      <c r="J27" s="1203"/>
      <c r="K27" s="1204"/>
      <c r="L27" s="276" t="s">
        <v>53</v>
      </c>
      <c r="M27" s="277" t="s">
        <v>54</v>
      </c>
      <c r="N27" s="278" t="s">
        <v>28</v>
      </c>
      <c r="Q27" s="1202" t="str">
        <f>IF(F27&lt;&gt;"",F27,"")</f>
        <v>ESTRUTURA</v>
      </c>
      <c r="R27" s="1203"/>
      <c r="S27" s="1203"/>
      <c r="T27" s="1203"/>
      <c r="U27" s="1203"/>
      <c r="V27" s="1203"/>
      <c r="W27" s="1203"/>
      <c r="X27" s="1203"/>
      <c r="Y27" s="1220"/>
      <c r="Z27" s="280" t="s">
        <v>55</v>
      </c>
      <c r="AA27" s="281" t="s">
        <v>39</v>
      </c>
      <c r="AK27" s="528"/>
      <c r="AL27" s="529"/>
    </row>
    <row r="28" spans="1:39" ht="120" customHeight="1" x14ac:dyDescent="0.45">
      <c r="A28" s="243">
        <v>14</v>
      </c>
      <c r="B28" s="267" t="s">
        <v>87</v>
      </c>
      <c r="C28" s="282" t="s">
        <v>57</v>
      </c>
      <c r="D28" s="243" t="s">
        <v>88</v>
      </c>
      <c r="E28" s="243" t="s">
        <v>58</v>
      </c>
      <c r="F28" s="349" t="s">
        <v>89</v>
      </c>
      <c r="G28" s="350" t="s">
        <v>90</v>
      </c>
      <c r="H28" s="351">
        <v>1</v>
      </c>
      <c r="I28" s="351">
        <v>1</v>
      </c>
      <c r="J28" s="304">
        <v>42000</v>
      </c>
      <c r="K28" s="352">
        <f t="shared" ref="K28:K35" si="14">IF(F28&lt;&gt;"",H28*I28*J28,"")</f>
        <v>42000</v>
      </c>
      <c r="L28" s="304">
        <f t="shared" ref="L28:L35" si="15">IF(K28&lt;&gt;"",IF(D28="INTERNO",0,K28*$L$14),"")</f>
        <v>3150</v>
      </c>
      <c r="M28" s="304">
        <f t="shared" ref="M28:M35" si="16">IF(K28&lt;&gt;"",IF(E28="FAT.OGGI",SUM(K28:L28)*(1/(1-$M$14)-1),L28*(1/(1-$M$14)-1)),"")</f>
        <v>10957.866285572267</v>
      </c>
      <c r="N28" s="305">
        <f t="shared" ref="N28:N35" si="17">SUM(K28:M28)</f>
        <v>56107.866285572265</v>
      </c>
      <c r="O28" s="1217"/>
      <c r="Q28" s="353">
        <f t="shared" ref="Q28:R32" si="18">IF(H28&lt;&gt;"",H28,"")</f>
        <v>1</v>
      </c>
      <c r="R28" s="354">
        <f t="shared" si="18"/>
        <v>1</v>
      </c>
      <c r="S28" s="355">
        <f>115466.93+3500</f>
        <v>118966.93</v>
      </c>
      <c r="T28" s="355">
        <v>118966.94</v>
      </c>
      <c r="U28" s="356">
        <f t="shared" ref="U28:U39" si="19">IF(Q28&lt;&gt;"",K28-T28,"")</f>
        <v>-76966.94</v>
      </c>
      <c r="V28" s="357">
        <f t="shared" ref="V28:V35" si="20">IF(Q28&lt;&gt;"",0%,"")</f>
        <v>0</v>
      </c>
      <c r="W28" s="358">
        <f t="shared" ref="W28:W35" si="21">IF(Q28&lt;&gt;"",V28*U28,"")</f>
        <v>0</v>
      </c>
      <c r="X28" s="358">
        <f t="shared" ref="X28:X35" si="22">IF(Q28&lt;&gt;"",W28+T28,"")</f>
        <v>118966.94</v>
      </c>
      <c r="Y28" s="359">
        <f t="shared" ref="Y28:Y40" si="23">IF(Q28&lt;&gt;"",X28+M28,"")</f>
        <v>129924.80628557227</v>
      </c>
      <c r="Z28" s="297">
        <f t="shared" ref="Z28:Z39" si="24">IF(Q28&lt;&gt;"",U28/K28,"")</f>
        <v>-1.8325461904761906</v>
      </c>
      <c r="AA28" s="298">
        <f>T28/$T$40</f>
        <v>0.28606972220489563</v>
      </c>
      <c r="AC28" s="324">
        <v>0</v>
      </c>
      <c r="AD28" s="325">
        <f>T28-AC28</f>
        <v>118966.94</v>
      </c>
      <c r="AE28" s="326">
        <v>46021</v>
      </c>
      <c r="AG28" s="327" t="s">
        <v>79</v>
      </c>
      <c r="AH28" s="328" t="s">
        <v>79</v>
      </c>
      <c r="AK28" s="528">
        <f t="shared" si="13"/>
        <v>0</v>
      </c>
      <c r="AL28" s="529">
        <f>115466.94+3500</f>
        <v>118966.94</v>
      </c>
      <c r="AM28" s="525" t="s">
        <v>809</v>
      </c>
    </row>
    <row r="29" spans="1:39" ht="120" customHeight="1" x14ac:dyDescent="0.4">
      <c r="A29" s="243">
        <v>15</v>
      </c>
      <c r="B29" s="267" t="s">
        <v>91</v>
      </c>
      <c r="C29" s="282" t="s">
        <v>57</v>
      </c>
      <c r="D29" s="243" t="s">
        <v>88</v>
      </c>
      <c r="E29" s="243" t="s">
        <v>58</v>
      </c>
      <c r="F29" s="349" t="s">
        <v>92</v>
      </c>
      <c r="G29" s="350" t="s">
        <v>93</v>
      </c>
      <c r="H29" s="351">
        <v>1</v>
      </c>
      <c r="I29" s="351">
        <v>1</v>
      </c>
      <c r="J29" s="304">
        <v>32880</v>
      </c>
      <c r="K29" s="352">
        <f t="shared" si="14"/>
        <v>32880</v>
      </c>
      <c r="L29" s="304">
        <f t="shared" si="15"/>
        <v>2466</v>
      </c>
      <c r="M29" s="304">
        <f t="shared" si="16"/>
        <v>8578.4438921337169</v>
      </c>
      <c r="N29" s="305">
        <f t="shared" si="17"/>
        <v>43924.443892133713</v>
      </c>
      <c r="O29" s="1217"/>
      <c r="Q29" s="353">
        <f t="shared" si="18"/>
        <v>1</v>
      </c>
      <c r="R29" s="354">
        <v>0</v>
      </c>
      <c r="S29" s="360">
        <v>0</v>
      </c>
      <c r="T29" s="360">
        <f t="shared" ref="T29:T34" si="25">IF(Q29&lt;&gt;"",Q29*R29*S29,"")</f>
        <v>0</v>
      </c>
      <c r="U29" s="356">
        <f t="shared" si="19"/>
        <v>32880</v>
      </c>
      <c r="V29" s="357">
        <f t="shared" si="20"/>
        <v>0</v>
      </c>
      <c r="W29" s="358">
        <f t="shared" si="21"/>
        <v>0</v>
      </c>
      <c r="X29" s="358">
        <f t="shared" si="22"/>
        <v>0</v>
      </c>
      <c r="Y29" s="359">
        <f t="shared" si="23"/>
        <v>8578.4438921337169</v>
      </c>
      <c r="Z29" s="297">
        <f t="shared" si="24"/>
        <v>1</v>
      </c>
      <c r="AA29" s="298">
        <f>T29/$T$40</f>
        <v>0</v>
      </c>
      <c r="AK29" s="528">
        <f t="shared" si="13"/>
        <v>0</v>
      </c>
      <c r="AL29" s="529">
        <v>0</v>
      </c>
    </row>
    <row r="30" spans="1:39" ht="120" customHeight="1" x14ac:dyDescent="0.4">
      <c r="A30" s="243">
        <v>16</v>
      </c>
      <c r="B30" s="267" t="s">
        <v>94</v>
      </c>
      <c r="C30" s="282" t="s">
        <v>57</v>
      </c>
      <c r="D30" s="243" t="s">
        <v>88</v>
      </c>
      <c r="E30" s="243" t="s">
        <v>58</v>
      </c>
      <c r="F30" s="349" t="s">
        <v>95</v>
      </c>
      <c r="G30" s="350" t="s">
        <v>96</v>
      </c>
      <c r="H30" s="361">
        <v>1</v>
      </c>
      <c r="I30" s="361">
        <v>1</v>
      </c>
      <c r="J30" s="352">
        <v>12000</v>
      </c>
      <c r="K30" s="352">
        <f t="shared" si="14"/>
        <v>12000</v>
      </c>
      <c r="L30" s="304">
        <f t="shared" si="15"/>
        <v>900</v>
      </c>
      <c r="M30" s="304">
        <f t="shared" si="16"/>
        <v>3130.8189387349335</v>
      </c>
      <c r="N30" s="305">
        <f t="shared" si="17"/>
        <v>16030.818938734934</v>
      </c>
      <c r="O30" s="1217"/>
      <c r="Q30" s="353">
        <f t="shared" si="18"/>
        <v>1</v>
      </c>
      <c r="R30" s="354">
        <v>0</v>
      </c>
      <c r="S30" s="360">
        <v>0</v>
      </c>
      <c r="T30" s="360">
        <f t="shared" si="25"/>
        <v>0</v>
      </c>
      <c r="U30" s="356">
        <f t="shared" si="19"/>
        <v>12000</v>
      </c>
      <c r="V30" s="357">
        <f t="shared" si="20"/>
        <v>0</v>
      </c>
      <c r="W30" s="358">
        <f t="shared" si="21"/>
        <v>0</v>
      </c>
      <c r="X30" s="358">
        <f t="shared" si="22"/>
        <v>0</v>
      </c>
      <c r="Y30" s="359">
        <f t="shared" si="23"/>
        <v>3130.8189387349335</v>
      </c>
      <c r="Z30" s="297">
        <f t="shared" si="24"/>
        <v>1</v>
      </c>
      <c r="AA30" s="298">
        <f>T30/$T$40</f>
        <v>0</v>
      </c>
      <c r="AK30" s="528">
        <f t="shared" si="13"/>
        <v>0</v>
      </c>
      <c r="AL30" s="529">
        <v>0</v>
      </c>
    </row>
    <row r="31" spans="1:39" ht="120" customHeight="1" x14ac:dyDescent="0.4">
      <c r="A31" s="243">
        <v>17</v>
      </c>
      <c r="B31" s="267" t="s">
        <v>97</v>
      </c>
      <c r="C31" s="282" t="s">
        <v>57</v>
      </c>
      <c r="D31" s="243" t="s">
        <v>88</v>
      </c>
      <c r="E31" s="243" t="s">
        <v>58</v>
      </c>
      <c r="F31" s="349" t="s">
        <v>98</v>
      </c>
      <c r="G31" s="350" t="s">
        <v>99</v>
      </c>
      <c r="H31" s="351">
        <v>1</v>
      </c>
      <c r="I31" s="351">
        <v>1</v>
      </c>
      <c r="J31" s="304">
        <v>3600</v>
      </c>
      <c r="K31" s="352">
        <f t="shared" si="14"/>
        <v>3600</v>
      </c>
      <c r="L31" s="304">
        <f t="shared" si="15"/>
        <v>270</v>
      </c>
      <c r="M31" s="304">
        <f t="shared" si="16"/>
        <v>939.24568162048001</v>
      </c>
      <c r="N31" s="305">
        <f t="shared" si="17"/>
        <v>4809.2456816204804</v>
      </c>
      <c r="O31" s="1217"/>
      <c r="Q31" s="353">
        <f t="shared" si="18"/>
        <v>1</v>
      </c>
      <c r="R31" s="354">
        <v>0</v>
      </c>
      <c r="S31" s="360">
        <v>0</v>
      </c>
      <c r="T31" s="360">
        <f t="shared" si="25"/>
        <v>0</v>
      </c>
      <c r="U31" s="356">
        <f t="shared" si="19"/>
        <v>3600</v>
      </c>
      <c r="V31" s="357">
        <f t="shared" si="20"/>
        <v>0</v>
      </c>
      <c r="W31" s="358">
        <f t="shared" si="21"/>
        <v>0</v>
      </c>
      <c r="X31" s="358">
        <f t="shared" si="22"/>
        <v>0</v>
      </c>
      <c r="Y31" s="359">
        <f t="shared" si="23"/>
        <v>939.24568162048001</v>
      </c>
      <c r="Z31" s="297">
        <f t="shared" si="24"/>
        <v>1</v>
      </c>
      <c r="AA31" s="298">
        <f>T31/$T$40</f>
        <v>0</v>
      </c>
      <c r="AK31" s="528">
        <f t="shared" si="13"/>
        <v>0</v>
      </c>
      <c r="AL31" s="529">
        <v>0</v>
      </c>
    </row>
    <row r="32" spans="1:39" ht="120" customHeight="1" x14ac:dyDescent="0.4">
      <c r="A32" s="243">
        <v>18</v>
      </c>
      <c r="B32" s="267" t="s">
        <v>100</v>
      </c>
      <c r="C32" s="282" t="s">
        <v>57</v>
      </c>
      <c r="D32" s="243" t="s">
        <v>88</v>
      </c>
      <c r="E32" s="243" t="s">
        <v>58</v>
      </c>
      <c r="F32" s="349" t="s">
        <v>101</v>
      </c>
      <c r="G32" s="350" t="s">
        <v>102</v>
      </c>
      <c r="H32" s="351">
        <v>1</v>
      </c>
      <c r="I32" s="351">
        <v>1</v>
      </c>
      <c r="J32" s="304">
        <v>3840</v>
      </c>
      <c r="K32" s="352">
        <f t="shared" si="14"/>
        <v>3840</v>
      </c>
      <c r="L32" s="304">
        <f t="shared" si="15"/>
        <v>288</v>
      </c>
      <c r="M32" s="304">
        <f t="shared" si="16"/>
        <v>1001.8620603951787</v>
      </c>
      <c r="N32" s="305">
        <f t="shared" si="17"/>
        <v>5129.8620603951786</v>
      </c>
      <c r="O32" s="1217"/>
      <c r="Q32" s="353">
        <f t="shared" si="18"/>
        <v>1</v>
      </c>
      <c r="R32" s="354">
        <v>1</v>
      </c>
      <c r="S32" s="360">
        <v>0</v>
      </c>
      <c r="T32" s="360">
        <f t="shared" si="25"/>
        <v>0</v>
      </c>
      <c r="U32" s="356">
        <f t="shared" si="19"/>
        <v>3840</v>
      </c>
      <c r="V32" s="357">
        <f t="shared" si="20"/>
        <v>0</v>
      </c>
      <c r="W32" s="358">
        <f t="shared" si="21"/>
        <v>0</v>
      </c>
      <c r="X32" s="358">
        <f t="shared" si="22"/>
        <v>0</v>
      </c>
      <c r="Y32" s="359">
        <f t="shared" si="23"/>
        <v>1001.8620603951787</v>
      </c>
      <c r="Z32" s="297">
        <f t="shared" si="24"/>
        <v>1</v>
      </c>
      <c r="AA32" s="298">
        <f>T32/$T$40</f>
        <v>0</v>
      </c>
      <c r="AK32" s="528">
        <f t="shared" si="13"/>
        <v>0</v>
      </c>
      <c r="AL32" s="529">
        <v>0</v>
      </c>
    </row>
    <row r="33" spans="1:39" ht="120" customHeight="1" x14ac:dyDescent="0.4">
      <c r="A33" s="362">
        <v>19</v>
      </c>
      <c r="B33" s="267" t="s">
        <v>103</v>
      </c>
      <c r="C33" s="363" t="s">
        <v>57</v>
      </c>
      <c r="D33" s="362" t="s">
        <v>88</v>
      </c>
      <c r="E33" s="362" t="s">
        <v>58</v>
      </c>
      <c r="F33" s="349" t="s">
        <v>104</v>
      </c>
      <c r="G33" s="350" t="s">
        <v>105</v>
      </c>
      <c r="H33" s="351">
        <v>1</v>
      </c>
      <c r="I33" s="351">
        <v>1</v>
      </c>
      <c r="J33" s="304">
        <v>2580</v>
      </c>
      <c r="K33" s="304">
        <f t="shared" si="14"/>
        <v>2580</v>
      </c>
      <c r="L33" s="304">
        <f t="shared" si="15"/>
        <v>193.5</v>
      </c>
      <c r="M33" s="304">
        <f t="shared" si="16"/>
        <v>673.12607182801071</v>
      </c>
      <c r="N33" s="305">
        <f t="shared" si="17"/>
        <v>3446.6260718280109</v>
      </c>
      <c r="O33" s="1217"/>
      <c r="Q33" s="353">
        <f t="shared" ref="Q33:Q39" si="26">IF(H33&lt;&gt;"",H33,"")</f>
        <v>1</v>
      </c>
      <c r="R33" s="364">
        <v>1</v>
      </c>
      <c r="S33" s="360">
        <v>0</v>
      </c>
      <c r="T33" s="365">
        <f t="shared" si="25"/>
        <v>0</v>
      </c>
      <c r="U33" s="356">
        <f t="shared" si="19"/>
        <v>2580</v>
      </c>
      <c r="V33" s="357">
        <f t="shared" si="20"/>
        <v>0</v>
      </c>
      <c r="W33" s="358">
        <f t="shared" si="21"/>
        <v>0</v>
      </c>
      <c r="X33" s="358">
        <f t="shared" si="22"/>
        <v>0</v>
      </c>
      <c r="Y33" s="359">
        <f t="shared" si="23"/>
        <v>673.12607182801071</v>
      </c>
      <c r="Z33" s="297">
        <f t="shared" si="24"/>
        <v>1</v>
      </c>
      <c r="AA33" s="298" t="e">
        <f>T33/$T$41</f>
        <v>#DIV/0!</v>
      </c>
      <c r="AK33" s="528">
        <f t="shared" si="13"/>
        <v>0</v>
      </c>
      <c r="AL33" s="529">
        <v>0</v>
      </c>
    </row>
    <row r="34" spans="1:39" ht="120" customHeight="1" x14ac:dyDescent="0.4">
      <c r="A34" s="362">
        <v>20</v>
      </c>
      <c r="B34" s="267" t="s">
        <v>106</v>
      </c>
      <c r="C34" s="363" t="s">
        <v>57</v>
      </c>
      <c r="D34" s="362" t="s">
        <v>88</v>
      </c>
      <c r="E34" s="362" t="s">
        <v>58</v>
      </c>
      <c r="F34" s="349" t="s">
        <v>107</v>
      </c>
      <c r="G34" s="350" t="s">
        <v>108</v>
      </c>
      <c r="H34" s="351">
        <v>1</v>
      </c>
      <c r="I34" s="351">
        <v>1</v>
      </c>
      <c r="J34" s="304">
        <v>2280</v>
      </c>
      <c r="K34" s="304">
        <f t="shared" si="14"/>
        <v>2280</v>
      </c>
      <c r="L34" s="304">
        <f t="shared" si="15"/>
        <v>171</v>
      </c>
      <c r="M34" s="304">
        <f t="shared" si="16"/>
        <v>594.85559835963727</v>
      </c>
      <c r="N34" s="305">
        <f t="shared" si="17"/>
        <v>3045.855598359637</v>
      </c>
      <c r="O34" s="1217"/>
      <c r="Q34" s="353">
        <f t="shared" si="26"/>
        <v>1</v>
      </c>
      <c r="R34" s="364">
        <v>1</v>
      </c>
      <c r="S34" s="360">
        <v>0</v>
      </c>
      <c r="T34" s="365">
        <f t="shared" si="25"/>
        <v>0</v>
      </c>
      <c r="U34" s="356">
        <f t="shared" si="19"/>
        <v>2280</v>
      </c>
      <c r="V34" s="357">
        <f t="shared" si="20"/>
        <v>0</v>
      </c>
      <c r="W34" s="358">
        <f t="shared" si="21"/>
        <v>0</v>
      </c>
      <c r="X34" s="358">
        <f t="shared" si="22"/>
        <v>0</v>
      </c>
      <c r="Y34" s="359">
        <f t="shared" si="23"/>
        <v>594.85559835963727</v>
      </c>
      <c r="Z34" s="297">
        <f t="shared" si="24"/>
        <v>1</v>
      </c>
      <c r="AA34" s="298" t="e">
        <f>T34/$T$41</f>
        <v>#DIV/0!</v>
      </c>
      <c r="AK34" s="528">
        <f t="shared" si="13"/>
        <v>0</v>
      </c>
      <c r="AL34" s="529">
        <v>0</v>
      </c>
    </row>
    <row r="35" spans="1:39" ht="120" customHeight="1" x14ac:dyDescent="0.4">
      <c r="A35" s="362">
        <v>21</v>
      </c>
      <c r="B35" s="267" t="s">
        <v>109</v>
      </c>
      <c r="C35" s="363" t="s">
        <v>57</v>
      </c>
      <c r="D35" s="362" t="s">
        <v>88</v>
      </c>
      <c r="E35" s="362" t="s">
        <v>58</v>
      </c>
      <c r="F35" s="366" t="s">
        <v>110</v>
      </c>
      <c r="G35" s="350" t="s">
        <v>111</v>
      </c>
      <c r="H35" s="351">
        <v>1</v>
      </c>
      <c r="I35" s="351">
        <v>3</v>
      </c>
      <c r="J35" s="304">
        <v>1800</v>
      </c>
      <c r="K35" s="304">
        <f t="shared" si="14"/>
        <v>5400</v>
      </c>
      <c r="L35" s="304">
        <f t="shared" si="15"/>
        <v>405</v>
      </c>
      <c r="M35" s="304">
        <f t="shared" si="16"/>
        <v>1408.8685224307201</v>
      </c>
      <c r="N35" s="305">
        <f t="shared" si="17"/>
        <v>7213.8685224307201</v>
      </c>
      <c r="O35" s="1217"/>
      <c r="Q35" s="353">
        <f t="shared" si="26"/>
        <v>1</v>
      </c>
      <c r="R35" s="364">
        <v>1</v>
      </c>
      <c r="S35" s="360">
        <v>0</v>
      </c>
      <c r="T35" s="360">
        <v>12990</v>
      </c>
      <c r="U35" s="356">
        <f t="shared" si="19"/>
        <v>-7590</v>
      </c>
      <c r="V35" s="357">
        <f t="shared" si="20"/>
        <v>0</v>
      </c>
      <c r="W35" s="358">
        <f t="shared" si="21"/>
        <v>0</v>
      </c>
      <c r="X35" s="358">
        <f t="shared" si="22"/>
        <v>12990</v>
      </c>
      <c r="Y35" s="359">
        <f t="shared" si="23"/>
        <v>14398.868522430719</v>
      </c>
      <c r="Z35" s="297">
        <f t="shared" si="24"/>
        <v>-1.4055555555555554</v>
      </c>
      <c r="AA35" s="298" t="e">
        <f>T35/$T$41</f>
        <v>#DIV/0!</v>
      </c>
      <c r="AK35" s="528">
        <f t="shared" si="13"/>
        <v>0</v>
      </c>
      <c r="AL35" s="529">
        <v>12990</v>
      </c>
      <c r="AM35" s="1022" t="s">
        <v>834</v>
      </c>
    </row>
    <row r="36" spans="1:39" ht="120" customHeight="1" x14ac:dyDescent="0.4">
      <c r="A36" s="243">
        <v>22</v>
      </c>
      <c r="B36" s="267" t="s">
        <v>112</v>
      </c>
      <c r="C36" s="282" t="s">
        <v>57</v>
      </c>
      <c r="D36" s="243" t="s">
        <v>88</v>
      </c>
      <c r="E36" s="243" t="s">
        <v>58</v>
      </c>
      <c r="F36" s="349" t="s">
        <v>113</v>
      </c>
      <c r="G36" s="350" t="s">
        <v>114</v>
      </c>
      <c r="H36" s="351">
        <v>1</v>
      </c>
      <c r="I36" s="351">
        <v>1</v>
      </c>
      <c r="J36" s="304">
        <v>26400</v>
      </c>
      <c r="K36" s="352">
        <f>IF(F36&lt;&gt;"",H36*I36*J36,"")</f>
        <v>26400</v>
      </c>
      <c r="L36" s="304">
        <f>IF(K36&lt;&gt;"",IF(D36="INTERNO",0,K36*$L$14),"")</f>
        <v>1980</v>
      </c>
      <c r="M36" s="304">
        <f>IF(K36&lt;&gt;"",IF(E36="FAT.OGGI",SUM(K36:L36)*(1/(1-$M$14)-1),L36*(1/(1-$M$14)-1)),"")</f>
        <v>6887.8016652168535</v>
      </c>
      <c r="N36" s="305">
        <f>SUM(K36:M36)</f>
        <v>35267.801665216852</v>
      </c>
      <c r="Q36" s="353">
        <f t="shared" si="26"/>
        <v>1</v>
      </c>
      <c r="R36" s="354">
        <f>IF(I36&lt;&gt;"",I36,"")</f>
        <v>1</v>
      </c>
      <c r="S36" s="355">
        <v>19290</v>
      </c>
      <c r="T36" s="355">
        <v>146755</v>
      </c>
      <c r="U36" s="356">
        <f t="shared" si="19"/>
        <v>-120355</v>
      </c>
      <c r="V36" s="357">
        <f>IF(Q36&lt;&gt;"",0%,"")</f>
        <v>0</v>
      </c>
      <c r="W36" s="358">
        <f>IF(Q36&lt;&gt;"",V36*U36,"")</f>
        <v>0</v>
      </c>
      <c r="X36" s="358">
        <f>IF(Q36&lt;&gt;"",W36+T36,"")</f>
        <v>146755</v>
      </c>
      <c r="Y36" s="359">
        <f t="shared" si="23"/>
        <v>153642.80166521686</v>
      </c>
      <c r="Z36" s="297">
        <f t="shared" si="24"/>
        <v>-4.5589015151515149</v>
      </c>
      <c r="AA36" s="298">
        <f>T36/$T$40</f>
        <v>0.35288931599131201</v>
      </c>
      <c r="AK36" s="528">
        <f t="shared" si="13"/>
        <v>0</v>
      </c>
      <c r="AL36" s="529">
        <f>1344+79380+19290+42241+4500</f>
        <v>146755</v>
      </c>
      <c r="AM36" s="525" t="s">
        <v>838</v>
      </c>
    </row>
    <row r="37" spans="1:39" ht="120" customHeight="1" x14ac:dyDescent="0.45">
      <c r="A37" s="243">
        <v>23</v>
      </c>
      <c r="B37" s="267" t="s">
        <v>115</v>
      </c>
      <c r="C37" s="282" t="s">
        <v>57</v>
      </c>
      <c r="D37" s="243" t="s">
        <v>88</v>
      </c>
      <c r="E37" s="243" t="s">
        <v>58</v>
      </c>
      <c r="F37" s="349" t="s">
        <v>116</v>
      </c>
      <c r="G37" s="350" t="s">
        <v>117</v>
      </c>
      <c r="H37" s="301">
        <v>1</v>
      </c>
      <c r="I37" s="301">
        <v>1</v>
      </c>
      <c r="J37" s="303">
        <v>65850</v>
      </c>
      <c r="K37" s="304">
        <f>IF(F37&lt;&gt;"",H37*I37*J37,"")</f>
        <v>65850</v>
      </c>
      <c r="L37" s="304">
        <f>IF(K37&lt;&gt;"",IF(D37="INTERNO",0,K37*$L$14),"")</f>
        <v>4938.75</v>
      </c>
      <c r="M37" s="304">
        <f>IF(K37&lt;&gt;"",IF(E37="FAT.OGGI",SUM(K37:L37)*(1/(1-$M$14)-1),L37*(1/(1-$M$14)-1)),"")</f>
        <v>17180.368926307947</v>
      </c>
      <c r="N37" s="305">
        <f>SUM(K37:M37)</f>
        <v>87969.118926307943</v>
      </c>
      <c r="Q37" s="353">
        <f t="shared" si="26"/>
        <v>1</v>
      </c>
      <c r="R37" s="354">
        <f>IF(I37&lt;&gt;"",I37,"")</f>
        <v>1</v>
      </c>
      <c r="S37" s="355">
        <v>41800</v>
      </c>
      <c r="T37" s="355">
        <v>91500</v>
      </c>
      <c r="U37" s="356">
        <f t="shared" si="19"/>
        <v>-25650</v>
      </c>
      <c r="V37" s="357">
        <f>IF(Q37&lt;&gt;"",0%,"")</f>
        <v>0</v>
      </c>
      <c r="W37" s="358">
        <f>IF(Q37&lt;&gt;"",V37*U37,"")</f>
        <v>0</v>
      </c>
      <c r="X37" s="358">
        <f>IF(Q37&lt;&gt;"",W37+T37,"")</f>
        <v>91500</v>
      </c>
      <c r="Y37" s="359">
        <f t="shared" si="23"/>
        <v>108680.36892630794</v>
      </c>
      <c r="Z37" s="297">
        <f t="shared" si="24"/>
        <v>-0.38952164009111617</v>
      </c>
      <c r="AA37" s="298">
        <f>T37/$T$40</f>
        <v>0.22002229847845081</v>
      </c>
      <c r="AC37" s="324">
        <v>0</v>
      </c>
      <c r="AD37" s="325">
        <f>T37-AC37</f>
        <v>91500</v>
      </c>
      <c r="AE37" s="326">
        <v>46013</v>
      </c>
      <c r="AG37" s="327" t="s">
        <v>79</v>
      </c>
      <c r="AH37" s="328" t="s">
        <v>79</v>
      </c>
      <c r="AK37" s="528">
        <f t="shared" si="13"/>
        <v>0</v>
      </c>
      <c r="AL37" s="529">
        <f>20900+20900+49700</f>
        <v>91500</v>
      </c>
      <c r="AM37" s="525" t="s">
        <v>808</v>
      </c>
    </row>
    <row r="38" spans="1:39" ht="120" customHeight="1" x14ac:dyDescent="0.45">
      <c r="A38" s="243">
        <v>24</v>
      </c>
      <c r="B38" s="267" t="s">
        <v>118</v>
      </c>
      <c r="C38" s="282" t="s">
        <v>57</v>
      </c>
      <c r="D38" s="243" t="s">
        <v>88</v>
      </c>
      <c r="E38" s="243" t="s">
        <v>58</v>
      </c>
      <c r="F38" s="349" t="s">
        <v>119</v>
      </c>
      <c r="G38" s="350" t="s">
        <v>726</v>
      </c>
      <c r="H38" s="351">
        <v>1</v>
      </c>
      <c r="I38" s="351">
        <v>1</v>
      </c>
      <c r="J38" s="352">
        <v>110315</v>
      </c>
      <c r="K38" s="352">
        <f>IF(F38&lt;&gt;"",H38*I38*J38,"")</f>
        <v>110315</v>
      </c>
      <c r="L38" s="304">
        <f>IF(K38&lt;&gt;"",IF(D38="INTERNO",0,K38*$L$14),"")</f>
        <v>8273.625</v>
      </c>
      <c r="M38" s="304">
        <f>IF(K38&lt;&gt;"",IF(E38="FAT.OGGI",SUM(K38:L38)*(1/(1-$M$14)-1),L38*(1/(1-$M$14)-1)),"")</f>
        <v>28781.357602212014</v>
      </c>
      <c r="N38" s="305">
        <f>SUM(K38:M38)</f>
        <v>147369.98260221203</v>
      </c>
      <c r="Q38" s="353">
        <f t="shared" si="26"/>
        <v>1</v>
      </c>
      <c r="R38" s="354">
        <f>IF(I38&lt;&gt;"",I38,"")</f>
        <v>1</v>
      </c>
      <c r="S38" s="355">
        <f>20900</f>
        <v>20900</v>
      </c>
      <c r="T38" s="355">
        <v>16355</v>
      </c>
      <c r="U38" s="356">
        <f t="shared" si="19"/>
        <v>93960</v>
      </c>
      <c r="V38" s="357">
        <f>IF(Q38&lt;&gt;"",0%,"")</f>
        <v>0</v>
      </c>
      <c r="W38" s="358">
        <f>IF(Q38&lt;&gt;"",V38*U38,"")</f>
        <v>0</v>
      </c>
      <c r="X38" s="358">
        <f>IF(Q38&lt;&gt;"",W38+T38,"")</f>
        <v>16355</v>
      </c>
      <c r="Y38" s="359">
        <f t="shared" si="23"/>
        <v>45136.357602212011</v>
      </c>
      <c r="Z38" s="297">
        <f t="shared" si="24"/>
        <v>0.85174273670851652</v>
      </c>
      <c r="AA38" s="298">
        <f>T38/$T$40</f>
        <v>3.9327482968470634E-2</v>
      </c>
      <c r="AC38" s="324">
        <v>0</v>
      </c>
      <c r="AD38" s="325">
        <f>T38-AC38</f>
        <v>16355</v>
      </c>
      <c r="AE38" s="326">
        <v>46041</v>
      </c>
      <c r="AG38" s="327" t="s">
        <v>157</v>
      </c>
      <c r="AH38" s="328" t="s">
        <v>157</v>
      </c>
      <c r="AK38" s="528">
        <f t="shared" si="13"/>
        <v>0</v>
      </c>
      <c r="AL38" s="529">
        <f>4400+4440+7515</f>
        <v>16355</v>
      </c>
      <c r="AM38" s="525" t="s">
        <v>835</v>
      </c>
    </row>
    <row r="39" spans="1:39" s="368" customFormat="1" ht="120" customHeight="1" x14ac:dyDescent="0.45">
      <c r="A39" s="243">
        <v>25</v>
      </c>
      <c r="B39" s="267" t="s">
        <v>121</v>
      </c>
      <c r="C39" s="282" t="s">
        <v>57</v>
      </c>
      <c r="D39" s="243" t="s">
        <v>88</v>
      </c>
      <c r="E39" s="243" t="s">
        <v>58</v>
      </c>
      <c r="F39" s="299" t="s">
        <v>122</v>
      </c>
      <c r="G39" s="300" t="s">
        <v>123</v>
      </c>
      <c r="H39" s="301">
        <v>1</v>
      </c>
      <c r="I39" s="301">
        <v>1</v>
      </c>
      <c r="J39" s="303">
        <v>22569.600000000002</v>
      </c>
      <c r="K39" s="303">
        <f>IF(F39&lt;&gt;"",H39*I39*J39,"")</f>
        <v>22569.600000000002</v>
      </c>
      <c r="L39" s="303">
        <f>IF(K39&lt;&gt;"",IF(D39="INTERNO",0,K39*$L$14),"")</f>
        <v>1692.72</v>
      </c>
      <c r="M39" s="303">
        <f>IF(K39&lt;&gt;"",IF(E39="FAT.OGGI",SUM(K39:L39)*(1/(1-$M$14)-1),L39*(1/(1-$M$14)-1)),"")</f>
        <v>5888.4442599726635</v>
      </c>
      <c r="N39" s="315">
        <f>SUM(K39:M39)</f>
        <v>30150.764259972668</v>
      </c>
      <c r="O39" s="367"/>
      <c r="Q39" s="369">
        <f t="shared" si="26"/>
        <v>1</v>
      </c>
      <c r="R39" s="370">
        <v>1</v>
      </c>
      <c r="S39" s="371">
        <v>11720</v>
      </c>
      <c r="T39" s="371">
        <v>29300</v>
      </c>
      <c r="U39" s="372">
        <f t="shared" si="19"/>
        <v>-6730.3999999999978</v>
      </c>
      <c r="V39" s="373">
        <f>IF(Q39&lt;&gt;"",0%,"")</f>
        <v>0</v>
      </c>
      <c r="W39" s="374">
        <f>IF(Q39&lt;&gt;"",V39*U39,"")</f>
        <v>0</v>
      </c>
      <c r="X39" s="374">
        <f>IF(Q39&lt;&gt;"",W39+T39,"")</f>
        <v>29300</v>
      </c>
      <c r="Y39" s="375">
        <f t="shared" si="23"/>
        <v>35188.444259972661</v>
      </c>
      <c r="Z39" s="376">
        <f t="shared" si="24"/>
        <v>-0.2982064369771727</v>
      </c>
      <c r="AA39" s="377">
        <f>T39/$T$40</f>
        <v>7.0455227818782606E-2</v>
      </c>
      <c r="AC39" s="324">
        <v>0</v>
      </c>
      <c r="AD39" s="325">
        <f>T39-AC39</f>
        <v>29300</v>
      </c>
      <c r="AE39" s="326">
        <v>46027</v>
      </c>
      <c r="AG39" s="327" t="s">
        <v>124</v>
      </c>
      <c r="AH39" s="328" t="s">
        <v>125</v>
      </c>
      <c r="AK39" s="528">
        <f t="shared" si="13"/>
        <v>0</v>
      </c>
      <c r="AL39" s="529">
        <v>29300</v>
      </c>
      <c r="AM39" s="525" t="s">
        <v>820</v>
      </c>
    </row>
    <row r="40" spans="1:39" ht="35.1" customHeight="1" thickBot="1" x14ac:dyDescent="0.5">
      <c r="A40" s="274">
        <v>26</v>
      </c>
      <c r="B40" s="267"/>
      <c r="C40" s="275" t="s">
        <v>83</v>
      </c>
      <c r="D40" s="274"/>
      <c r="E40" s="274"/>
      <c r="F40" s="1197" t="s">
        <v>126</v>
      </c>
      <c r="G40" s="1198"/>
      <c r="H40" s="1198"/>
      <c r="I40" s="1198"/>
      <c r="J40" s="1198"/>
      <c r="K40" s="378">
        <f>SUM(K28:K39)</f>
        <v>329714.59999999998</v>
      </c>
      <c r="L40" s="378">
        <f>SUM(L28:L39)</f>
        <v>24728.595000000001</v>
      </c>
      <c r="M40" s="378">
        <f>SUM(M28:M39)</f>
        <v>86023.059504784411</v>
      </c>
      <c r="N40" s="379">
        <f>SUM(N28:N39)</f>
        <v>440466.25450478442</v>
      </c>
      <c r="P40" s="220">
        <f>SUM(P28:P39)</f>
        <v>0</v>
      </c>
      <c r="Q40" s="1238" t="s">
        <v>126</v>
      </c>
      <c r="R40" s="1198"/>
      <c r="S40" s="1198"/>
      <c r="T40" s="380">
        <f>SUM(T28:T39)</f>
        <v>415866.94</v>
      </c>
      <c r="U40" s="381">
        <f>SUM(U28:U39)</f>
        <v>-86152.34</v>
      </c>
      <c r="V40" s="382">
        <f>SUM(V28:V39)</f>
        <v>0</v>
      </c>
      <c r="W40" s="383"/>
      <c r="X40" s="384">
        <f>SUM(X28:X39)</f>
        <v>415866.94</v>
      </c>
      <c r="Y40" s="385">
        <f t="shared" si="23"/>
        <v>501889.99950478441</v>
      </c>
      <c r="AK40" s="528"/>
      <c r="AL40" s="529"/>
    </row>
    <row r="41" spans="1:39" ht="35.1" customHeight="1" thickBot="1" x14ac:dyDescent="0.5">
      <c r="A41" s="243">
        <v>27</v>
      </c>
      <c r="B41" s="267">
        <v>3</v>
      </c>
      <c r="C41" s="282" t="s">
        <v>48</v>
      </c>
      <c r="D41" s="243"/>
      <c r="E41" s="243"/>
      <c r="F41" s="1199" t="s">
        <v>127</v>
      </c>
      <c r="G41" s="1200"/>
      <c r="H41" s="1200"/>
      <c r="I41" s="1200"/>
      <c r="J41" s="1200"/>
      <c r="K41" s="1200"/>
      <c r="L41" s="1200"/>
      <c r="M41" s="1200"/>
      <c r="N41" s="1201"/>
      <c r="Q41" s="1214" t="str">
        <f>IF(F41&lt;&gt;"",F41,"")</f>
        <v>MATERIAL GRÁFICO</v>
      </c>
      <c r="R41" s="1215"/>
      <c r="S41" s="1215"/>
      <c r="T41" s="1215"/>
      <c r="U41" s="1215"/>
      <c r="V41" s="1215"/>
      <c r="W41" s="1215"/>
      <c r="X41" s="1215"/>
      <c r="Y41" s="1216"/>
      <c r="AK41" s="528"/>
      <c r="AL41" s="529"/>
    </row>
    <row r="42" spans="1:39" ht="35.1" customHeight="1" x14ac:dyDescent="0.45">
      <c r="A42" s="243">
        <v>28</v>
      </c>
      <c r="B42" s="267" t="s">
        <v>128</v>
      </c>
      <c r="C42" s="282" t="s">
        <v>51</v>
      </c>
      <c r="D42" s="243"/>
      <c r="E42" s="243"/>
      <c r="F42" s="1202" t="s">
        <v>127</v>
      </c>
      <c r="G42" s="1203"/>
      <c r="H42" s="1203"/>
      <c r="I42" s="1203"/>
      <c r="J42" s="1203"/>
      <c r="K42" s="1204"/>
      <c r="L42" s="276" t="s">
        <v>53</v>
      </c>
      <c r="M42" s="277" t="s">
        <v>54</v>
      </c>
      <c r="N42" s="278" t="s">
        <v>28</v>
      </c>
      <c r="Q42" s="1202" t="str">
        <f>IF(F42&lt;&gt;"",F42,"")</f>
        <v>MATERIAL GRÁFICO</v>
      </c>
      <c r="R42" s="1203"/>
      <c r="S42" s="1203"/>
      <c r="T42" s="1203"/>
      <c r="U42" s="1203"/>
      <c r="V42" s="1203"/>
      <c r="W42" s="1203"/>
      <c r="X42" s="1203"/>
      <c r="Y42" s="1220"/>
      <c r="Z42" s="280" t="s">
        <v>55</v>
      </c>
      <c r="AA42" s="281" t="s">
        <v>39</v>
      </c>
      <c r="AK42" s="528"/>
      <c r="AL42" s="529"/>
    </row>
    <row r="43" spans="1:39" ht="120" customHeight="1" x14ac:dyDescent="0.4">
      <c r="A43" s="362">
        <v>29</v>
      </c>
      <c r="B43" s="267" t="s">
        <v>129</v>
      </c>
      <c r="C43" s="363" t="s">
        <v>57</v>
      </c>
      <c r="D43" s="362" t="s">
        <v>88</v>
      </c>
      <c r="E43" s="362" t="s">
        <v>58</v>
      </c>
      <c r="F43" s="386" t="s">
        <v>130</v>
      </c>
      <c r="G43" s="387" t="s">
        <v>131</v>
      </c>
      <c r="H43" s="388">
        <v>400</v>
      </c>
      <c r="I43" s="388">
        <v>1</v>
      </c>
      <c r="J43" s="389">
        <v>9.8175000000000008</v>
      </c>
      <c r="K43" s="303">
        <f>IF(F43&lt;&gt;"",H43*I43*J43,"")</f>
        <v>3927.0000000000005</v>
      </c>
      <c r="L43" s="303">
        <f>IF(K43&lt;&gt;"",IF(D43="INTERNO",0,K43*$L$14),"")</f>
        <v>294.52500000000003</v>
      </c>
      <c r="M43" s="303">
        <f>IF(K43&lt;&gt;"",IF(E43="FAT.OGGI",SUM(K43:L43)*(1/(1-$M$14)-1),L43*(1/(1-$M$14)-1)),"")</f>
        <v>1024.5604977010071</v>
      </c>
      <c r="N43" s="315">
        <f>SUM(K43:M43)</f>
        <v>5246.0854977010076</v>
      </c>
      <c r="Q43" s="390">
        <v>400</v>
      </c>
      <c r="R43" s="391">
        <v>1</v>
      </c>
      <c r="S43" s="392">
        <v>4.8</v>
      </c>
      <c r="T43" s="355">
        <v>0</v>
      </c>
      <c r="U43" s="356">
        <f>IF(Q43&lt;&gt;"",K43-T43,"")</f>
        <v>3927.0000000000005</v>
      </c>
      <c r="V43" s="357">
        <f>IF(Q43&lt;&gt;"",0%,"")</f>
        <v>0</v>
      </c>
      <c r="W43" s="358">
        <f>IF(Q43&lt;&gt;"",V43*U43,"")</f>
        <v>0</v>
      </c>
      <c r="X43" s="358">
        <f>IF(Q43&lt;&gt;"",W43+T43,"")</f>
        <v>0</v>
      </c>
      <c r="Y43" s="359">
        <f>IF(Q43&lt;&gt;"",X43+M43,"")</f>
        <v>1024.5604977010071</v>
      </c>
      <c r="Z43" s="297">
        <f>IF(Q43&lt;&gt;"",U43/K43,"")</f>
        <v>1</v>
      </c>
      <c r="AA43" s="298" t="e">
        <f>T43/$T$59</f>
        <v>#DIV/0!</v>
      </c>
      <c r="AK43" s="528">
        <f t="shared" si="13"/>
        <v>0</v>
      </c>
      <c r="AL43" s="529">
        <v>0</v>
      </c>
    </row>
    <row r="44" spans="1:39" ht="120" customHeight="1" x14ac:dyDescent="0.4">
      <c r="A44" s="362">
        <v>30</v>
      </c>
      <c r="B44" s="267" t="s">
        <v>132</v>
      </c>
      <c r="C44" s="363" t="s">
        <v>57</v>
      </c>
      <c r="D44" s="362" t="s">
        <v>88</v>
      </c>
      <c r="E44" s="362" t="s">
        <v>58</v>
      </c>
      <c r="F44" s="386" t="s">
        <v>133</v>
      </c>
      <c r="G44" s="387" t="s">
        <v>134</v>
      </c>
      <c r="H44" s="388">
        <v>400</v>
      </c>
      <c r="I44" s="388">
        <v>1</v>
      </c>
      <c r="J44" s="389">
        <v>6.27</v>
      </c>
      <c r="K44" s="303">
        <f>IF(F44&lt;&gt;"",H44*I44*J44,"")</f>
        <v>2508</v>
      </c>
      <c r="L44" s="303">
        <f>IF(K44&lt;&gt;"",IF(D44="INTERNO",0,K44*$L$14),"")</f>
        <v>188.1</v>
      </c>
      <c r="M44" s="303">
        <f>IF(K44&lt;&gt;"",IF(E44="FAT.OGGI",SUM(K44:L44)*(1/(1-$M$14)-1),L44*(1/(1-$M$14)-1)),"")</f>
        <v>654.341158195601</v>
      </c>
      <c r="N44" s="315">
        <f>SUM(K44:M44)</f>
        <v>3350.441158195601</v>
      </c>
      <c r="Q44" s="353">
        <f>IF(H44&lt;&gt;"",H44,"")</f>
        <v>400</v>
      </c>
      <c r="R44" s="391">
        <v>1</v>
      </c>
      <c r="S44" s="392">
        <v>5.8</v>
      </c>
      <c r="T44" s="355">
        <v>4240</v>
      </c>
      <c r="U44" s="356">
        <f>IF(Q44&lt;&gt;"",K44-T44,"")</f>
        <v>-1732</v>
      </c>
      <c r="V44" s="357">
        <f>IF(Q44&lt;&gt;"",0%,"")</f>
        <v>0</v>
      </c>
      <c r="W44" s="358">
        <f>IF(Q44&lt;&gt;"",V44*U44,"")</f>
        <v>0</v>
      </c>
      <c r="X44" s="358">
        <f>IF(Q44&lt;&gt;"",W44+T44,"")</f>
        <v>4240</v>
      </c>
      <c r="Y44" s="359">
        <f>IF(Q44&lt;&gt;"",X44+M44,"")</f>
        <v>4894.3411581956007</v>
      </c>
      <c r="Z44" s="297">
        <f>IF(Q44&lt;&gt;"",U44/K44,"")</f>
        <v>-0.6905901116427432</v>
      </c>
      <c r="AA44" s="298" t="e">
        <f>T44/$T$59</f>
        <v>#DIV/0!</v>
      </c>
      <c r="AK44" s="528">
        <f t="shared" si="13"/>
        <v>0</v>
      </c>
      <c r="AL44" s="529">
        <v>4240</v>
      </c>
      <c r="AM44" s="525" t="s">
        <v>794</v>
      </c>
    </row>
    <row r="45" spans="1:39" ht="120" customHeight="1" x14ac:dyDescent="0.45">
      <c r="A45" s="362">
        <v>31</v>
      </c>
      <c r="B45" s="267" t="s">
        <v>135</v>
      </c>
      <c r="C45" s="363" t="s">
        <v>57</v>
      </c>
      <c r="D45" s="362" t="s">
        <v>88</v>
      </c>
      <c r="E45" s="362" t="s">
        <v>58</v>
      </c>
      <c r="F45" s="386" t="s">
        <v>136</v>
      </c>
      <c r="G45" s="387" t="s">
        <v>137</v>
      </c>
      <c r="H45" s="388">
        <v>120</v>
      </c>
      <c r="I45" s="388">
        <v>1</v>
      </c>
      <c r="J45" s="389">
        <v>12.5</v>
      </c>
      <c r="K45" s="303">
        <f>IF(F45&lt;&gt;"",H45*I45*J45,"")</f>
        <v>1500</v>
      </c>
      <c r="L45" s="303">
        <f>IF(K45&lt;&gt;"",IF(D45="INTERNO",0,K45*$L$14),"")</f>
        <v>112.5</v>
      </c>
      <c r="M45" s="303">
        <f>IF(K45&lt;&gt;"",IF(E45="FAT.OGGI",SUM(K45:L45)*(1/(1-$M$14)-1),L45*(1/(1-$M$14)-1)),"")</f>
        <v>391.35236734186668</v>
      </c>
      <c r="N45" s="315">
        <f>SUM(K45:M45)</f>
        <v>2003.8523673418667</v>
      </c>
      <c r="Q45" s="353">
        <v>1</v>
      </c>
      <c r="R45" s="393">
        <v>1</v>
      </c>
      <c r="S45" s="394">
        <v>3441.5</v>
      </c>
      <c r="T45" s="355">
        <v>2849</v>
      </c>
      <c r="U45" s="309">
        <f>IF(Q45&lt;&gt;"",K45-T45,"")</f>
        <v>-1349</v>
      </c>
      <c r="V45" s="310">
        <f>IF(Q45&lt;&gt;"",0%,"")</f>
        <v>0</v>
      </c>
      <c r="W45" s="311">
        <f>IF(Q45&lt;&gt;"",V45*U45,"")</f>
        <v>0</v>
      </c>
      <c r="X45" s="311">
        <f>IF(Q45&lt;&gt;"",W45+T45,"")</f>
        <v>2849</v>
      </c>
      <c r="Y45" s="311">
        <f>IF(Q45&lt;&gt;"",X45+M45,"")</f>
        <v>3240.3523673418667</v>
      </c>
      <c r="Z45" s="297">
        <f>IF(Q45&lt;&gt;"",U45/K45,"")</f>
        <v>-0.89933333333333332</v>
      </c>
      <c r="AA45" s="298" t="e">
        <f>T45/$T$59</f>
        <v>#DIV/0!</v>
      </c>
      <c r="AC45" s="324">
        <v>0</v>
      </c>
      <c r="AD45" s="325">
        <f>T45-AC45</f>
        <v>2849</v>
      </c>
      <c r="AE45" s="326">
        <v>46028</v>
      </c>
      <c r="AG45" s="327" t="s">
        <v>138</v>
      </c>
      <c r="AH45" s="328" t="s">
        <v>139</v>
      </c>
      <c r="AK45" s="528">
        <f t="shared" si="13"/>
        <v>0</v>
      </c>
      <c r="AL45" s="529">
        <v>2849</v>
      </c>
      <c r="AM45" s="525" t="s">
        <v>787</v>
      </c>
    </row>
    <row r="46" spans="1:39" ht="35.1" customHeight="1" thickBot="1" x14ac:dyDescent="0.5">
      <c r="A46" s="274">
        <v>32</v>
      </c>
      <c r="B46" s="267"/>
      <c r="C46" s="275" t="s">
        <v>83</v>
      </c>
      <c r="D46" s="274"/>
      <c r="E46" s="274"/>
      <c r="F46" s="1197" t="s">
        <v>140</v>
      </c>
      <c r="G46" s="1198"/>
      <c r="H46" s="1198"/>
      <c r="I46" s="1198"/>
      <c r="J46" s="1198"/>
      <c r="K46" s="341">
        <f>SUM(K43:K45)</f>
        <v>7935</v>
      </c>
      <c r="L46" s="341">
        <f>SUM(L43:L45)</f>
        <v>595.125</v>
      </c>
      <c r="M46" s="341">
        <f>SUM(M43:M45)</f>
        <v>2070.2540232384749</v>
      </c>
      <c r="N46" s="342">
        <f>SUM(N43:N45)</f>
        <v>10600.379023238474</v>
      </c>
      <c r="P46" s="220">
        <f>SUM(P43:P45)</f>
        <v>0</v>
      </c>
      <c r="Q46" s="1238" t="s">
        <v>140</v>
      </c>
      <c r="R46" s="1239"/>
      <c r="S46" s="1240"/>
      <c r="T46" s="395">
        <f>SUM(T43:T45)</f>
        <v>7089</v>
      </c>
      <c r="U46" s="396">
        <f>SUM(U43:U45)</f>
        <v>846.00000000000045</v>
      </c>
      <c r="V46" s="310">
        <f>SUM(V43:V45)</f>
        <v>0</v>
      </c>
      <c r="W46" s="311"/>
      <c r="X46" s="397">
        <f>SUM(X43:X45)</f>
        <v>7089</v>
      </c>
      <c r="Y46" s="397">
        <f>IF(Q46&lt;&gt;"",X46+M46,"")</f>
        <v>9159.2540232384745</v>
      </c>
      <c r="AK46" s="528"/>
      <c r="AL46" s="529"/>
    </row>
    <row r="47" spans="1:39" ht="35.1" customHeight="1" thickBot="1" x14ac:dyDescent="0.5">
      <c r="A47" s="243">
        <v>33</v>
      </c>
      <c r="B47" s="267">
        <v>4</v>
      </c>
      <c r="C47" s="282" t="s">
        <v>48</v>
      </c>
      <c r="D47" s="243"/>
      <c r="E47" s="243"/>
      <c r="F47" s="1199" t="s">
        <v>141</v>
      </c>
      <c r="G47" s="1200"/>
      <c r="H47" s="1200"/>
      <c r="I47" s="1200"/>
      <c r="J47" s="1200"/>
      <c r="K47" s="1200"/>
      <c r="L47" s="1200"/>
      <c r="M47" s="1200"/>
      <c r="N47" s="1201"/>
      <c r="Q47" s="1232" t="str">
        <f>IF(F47&lt;&gt;"",F47,"")</f>
        <v>TAXAS</v>
      </c>
      <c r="R47" s="1233"/>
      <c r="S47" s="1233"/>
      <c r="T47" s="1233"/>
      <c r="U47" s="1233"/>
      <c r="V47" s="1244"/>
      <c r="W47" s="1244"/>
      <c r="X47" s="1244"/>
      <c r="Y47" s="1245"/>
      <c r="AK47" s="528"/>
      <c r="AL47" s="529"/>
    </row>
    <row r="48" spans="1:39" ht="35.1" customHeight="1" x14ac:dyDescent="0.45">
      <c r="A48" s="243">
        <v>34</v>
      </c>
      <c r="B48" s="267" t="s">
        <v>142</v>
      </c>
      <c r="C48" s="282" t="s">
        <v>51</v>
      </c>
      <c r="D48" s="243"/>
      <c r="E48" s="243"/>
      <c r="F48" s="1202" t="s">
        <v>141</v>
      </c>
      <c r="G48" s="1203"/>
      <c r="H48" s="1203"/>
      <c r="I48" s="1203"/>
      <c r="J48" s="1203"/>
      <c r="K48" s="1204"/>
      <c r="L48" s="398" t="s">
        <v>53</v>
      </c>
      <c r="M48" s="399" t="s">
        <v>54</v>
      </c>
      <c r="N48" s="400" t="s">
        <v>28</v>
      </c>
      <c r="Q48" s="1235" t="str">
        <f>IF(F48&lt;&gt;"",F48,"")</f>
        <v>TAXAS</v>
      </c>
      <c r="R48" s="1236"/>
      <c r="S48" s="1236"/>
      <c r="T48" s="1236"/>
      <c r="U48" s="1236"/>
      <c r="V48" s="1236"/>
      <c r="W48" s="1236"/>
      <c r="X48" s="1236"/>
      <c r="Y48" s="1237"/>
      <c r="Z48" s="401" t="s">
        <v>55</v>
      </c>
      <c r="AA48" s="281" t="s">
        <v>39</v>
      </c>
      <c r="AK48" s="528"/>
      <c r="AL48" s="529"/>
    </row>
    <row r="49" spans="1:39" ht="120" customHeight="1" x14ac:dyDescent="0.4">
      <c r="A49" s="243">
        <v>35</v>
      </c>
      <c r="B49" s="267" t="s">
        <v>143</v>
      </c>
      <c r="C49" s="282" t="s">
        <v>57</v>
      </c>
      <c r="D49" s="243" t="s">
        <v>88</v>
      </c>
      <c r="E49" s="243" t="s">
        <v>58</v>
      </c>
      <c r="F49" s="402" t="s">
        <v>144</v>
      </c>
      <c r="G49" s="403" t="s">
        <v>145</v>
      </c>
      <c r="H49" s="404">
        <v>1</v>
      </c>
      <c r="I49" s="404">
        <v>1</v>
      </c>
      <c r="J49" s="405">
        <v>1986.65</v>
      </c>
      <c r="K49" s="304">
        <f>IF(F49&lt;&gt;"",H49*I49*J49,"")</f>
        <v>1986.65</v>
      </c>
      <c r="L49" s="406">
        <f>IF(K49&lt;&gt;"",IF(D49="INTERNO",0,K49*$L$14),"")</f>
        <v>148.99875</v>
      </c>
      <c r="M49" s="406">
        <f>IF(K49&lt;&gt;"",IF(E49="FAT.OGGI",SUM(K49:L49)*(1/(1-$M$14)-1),L49*(1/(1-$M$14)-1)),"")</f>
        <v>518.32012038647963</v>
      </c>
      <c r="N49" s="407">
        <f>SUM(K49:M49)</f>
        <v>2653.9688703864799</v>
      </c>
      <c r="Q49" s="353">
        <f>IF(H49&lt;&gt;"",H49,"")</f>
        <v>1</v>
      </c>
      <c r="R49" s="408">
        <f>IF(I49&lt;&gt;"",I49,"")</f>
        <v>1</v>
      </c>
      <c r="S49" s="360">
        <v>1986.65</v>
      </c>
      <c r="T49" s="360">
        <v>1986.64</v>
      </c>
      <c r="U49" s="356">
        <f>IF(Q49&lt;&gt;"",K49-T49,"")</f>
        <v>9.9999999999909051E-3</v>
      </c>
      <c r="V49" s="357">
        <f>IF(Q49&lt;&gt;"",0%,"")</f>
        <v>0</v>
      </c>
      <c r="W49" s="358">
        <f>IF(Q49&lt;&gt;"",V49*U49,"")</f>
        <v>0</v>
      </c>
      <c r="X49" s="409">
        <f>IF(Q49&lt;&gt;"",W49+T49,"")</f>
        <v>1986.64</v>
      </c>
      <c r="Y49" s="410">
        <f>IF(Q49&lt;&gt;"",X49+M49,"")</f>
        <v>2504.9601203864795</v>
      </c>
      <c r="Z49" s="297">
        <f>IF(Q49&lt;&gt;"",U49/K49,"")</f>
        <v>5.0335992751571259E-6</v>
      </c>
      <c r="AA49" s="298">
        <f>T49/$T$51</f>
        <v>0.17340496567495736</v>
      </c>
      <c r="AK49" s="528">
        <f t="shared" si="13"/>
        <v>0</v>
      </c>
      <c r="AL49" s="529">
        <v>1986.64</v>
      </c>
      <c r="AM49" s="525" t="s">
        <v>799</v>
      </c>
    </row>
    <row r="50" spans="1:39" ht="120" customHeight="1" x14ac:dyDescent="0.45">
      <c r="A50" s="243">
        <v>36</v>
      </c>
      <c r="B50" s="267" t="s">
        <v>146</v>
      </c>
      <c r="C50" s="282" t="s">
        <v>57</v>
      </c>
      <c r="D50" s="243" t="s">
        <v>88</v>
      </c>
      <c r="E50" s="243" t="s">
        <v>58</v>
      </c>
      <c r="F50" s="299" t="s">
        <v>147</v>
      </c>
      <c r="G50" s="411" t="s">
        <v>148</v>
      </c>
      <c r="H50" s="404">
        <v>1</v>
      </c>
      <c r="I50" s="404">
        <v>1</v>
      </c>
      <c r="J50" s="412">
        <v>12871.15</v>
      </c>
      <c r="K50" s="303">
        <f>IF(F50&lt;&gt;"",H50*I50*J50,"")</f>
        <v>12871.15</v>
      </c>
      <c r="L50" s="413">
        <f>IF(K50&lt;&gt;"",IF(D50="INTERNO",0,K50*$L$14),"")</f>
        <v>965.33624999999995</v>
      </c>
      <c r="M50" s="413">
        <f>IF(K50&lt;&gt;"",IF(E50="FAT.OGGI",SUM(K50:L50)*(1/(1-$M$14)-1),L50*(1/(1-$M$14)-1)),"")</f>
        <v>3358.1033486081778</v>
      </c>
      <c r="N50" s="414">
        <f>SUM(K50:M50)</f>
        <v>17194.589598608178</v>
      </c>
      <c r="Q50" s="415">
        <f>IF(H50&lt;&gt;"",H50,"")</f>
        <v>1</v>
      </c>
      <c r="R50" s="408">
        <f>IF(I50&lt;&gt;"",I50,"")</f>
        <v>1</v>
      </c>
      <c r="S50" s="416">
        <v>9470.01</v>
      </c>
      <c r="T50" s="371">
        <f>IF(Q50&lt;&gt;"",Q50*R50*S50,"")</f>
        <v>9470.01</v>
      </c>
      <c r="U50" s="417">
        <f>IF(Q50&lt;&gt;"",K50-T50,"")</f>
        <v>3401.1399999999994</v>
      </c>
      <c r="V50" s="418">
        <f>IF(Q50&lt;&gt;"",0%,"")</f>
        <v>0</v>
      </c>
      <c r="W50" s="419">
        <f>IF(Q50&lt;&gt;"",V50*U50,"")</f>
        <v>0</v>
      </c>
      <c r="X50" s="420">
        <f>IF(Q50&lt;&gt;"",W50+T50,"")</f>
        <v>9470.01</v>
      </c>
      <c r="Y50" s="421">
        <f>IF(Q50&lt;&gt;"",X50+M50,"")</f>
        <v>12828.113348608178</v>
      </c>
      <c r="Z50" s="297">
        <f>IF(Q50&lt;&gt;"",U50/K50,"")</f>
        <v>0.26424523061264921</v>
      </c>
      <c r="AA50" s="298">
        <f>T50/$T$51</f>
        <v>0.82659503432504267</v>
      </c>
      <c r="AC50" s="324">
        <v>9470.01</v>
      </c>
      <c r="AD50" s="325">
        <f>T50-AC50</f>
        <v>0</v>
      </c>
      <c r="AE50" s="326">
        <v>46031</v>
      </c>
      <c r="AG50" s="327" t="s">
        <v>149</v>
      </c>
      <c r="AH50" s="328" t="s">
        <v>150</v>
      </c>
      <c r="AK50" s="528">
        <f t="shared" si="13"/>
        <v>0</v>
      </c>
      <c r="AL50" s="529">
        <v>9470.01</v>
      </c>
      <c r="AM50" s="525" t="s">
        <v>147</v>
      </c>
    </row>
    <row r="51" spans="1:39" ht="35.1" customHeight="1" thickBot="1" x14ac:dyDescent="0.5">
      <c r="A51" s="243">
        <v>37</v>
      </c>
      <c r="B51" s="267"/>
      <c r="C51" s="282" t="s">
        <v>83</v>
      </c>
      <c r="D51" s="243"/>
      <c r="E51" s="243"/>
      <c r="F51" s="1246" t="s">
        <v>151</v>
      </c>
      <c r="G51" s="1219"/>
      <c r="H51" s="1219"/>
      <c r="I51" s="1219"/>
      <c r="J51" s="1219"/>
      <c r="K51" s="341">
        <f>SUM(K49:K50)</f>
        <v>14857.8</v>
      </c>
      <c r="L51" s="341">
        <f>SUM(L49:L50)</f>
        <v>1114.335</v>
      </c>
      <c r="M51" s="341">
        <f>SUM(M49:M50)</f>
        <v>3876.4234689946575</v>
      </c>
      <c r="N51" s="342">
        <f>SUM(N49:N50)</f>
        <v>19848.558468994659</v>
      </c>
      <c r="P51" s="220">
        <f>SUM(P49:P50)</f>
        <v>0</v>
      </c>
      <c r="Q51" s="1218" t="s">
        <v>151</v>
      </c>
      <c r="R51" s="1247"/>
      <c r="S51" s="1248"/>
      <c r="T51" s="395">
        <f>SUM(T49:T50)</f>
        <v>11456.65</v>
      </c>
      <c r="U51" s="396">
        <f>SUM(U49:U50)</f>
        <v>3401.1499999999996</v>
      </c>
      <c r="V51" s="422">
        <f>SUM(V49:V50)</f>
        <v>0</v>
      </c>
      <c r="W51" s="423"/>
      <c r="X51" s="424">
        <f>SUM(X49:X50)</f>
        <v>11456.65</v>
      </c>
      <c r="Y51" s="348">
        <f>IF(Q51&lt;&gt;"",X51+M51,"")</f>
        <v>15333.073468994657</v>
      </c>
      <c r="AK51" s="528"/>
      <c r="AL51" s="529"/>
    </row>
    <row r="52" spans="1:39" ht="35.1" customHeight="1" thickBot="1" x14ac:dyDescent="0.5">
      <c r="A52" s="243">
        <v>38</v>
      </c>
      <c r="B52" s="267">
        <v>5</v>
      </c>
      <c r="C52" s="282" t="s">
        <v>48</v>
      </c>
      <c r="D52" s="243"/>
      <c r="E52" s="243"/>
      <c r="F52" s="1199"/>
      <c r="G52" s="1200"/>
      <c r="H52" s="1200"/>
      <c r="I52" s="1200"/>
      <c r="J52" s="1200"/>
      <c r="K52" s="1200"/>
      <c r="L52" s="1200"/>
      <c r="M52" s="1200"/>
      <c r="N52" s="1201"/>
      <c r="Q52" s="1232" t="str">
        <f>IF(F52&lt;&gt;"",F52,"")</f>
        <v/>
      </c>
      <c r="R52" s="1233"/>
      <c r="S52" s="1233"/>
      <c r="T52" s="1233"/>
      <c r="U52" s="1233"/>
      <c r="V52" s="1233"/>
      <c r="W52" s="1233"/>
      <c r="X52" s="1233"/>
      <c r="Y52" s="1234"/>
      <c r="AK52" s="528"/>
      <c r="AL52" s="529"/>
    </row>
    <row r="53" spans="1:39" ht="35.1" customHeight="1" thickBot="1" x14ac:dyDescent="0.5">
      <c r="A53" s="243">
        <v>39</v>
      </c>
      <c r="B53" s="267" t="s">
        <v>152</v>
      </c>
      <c r="C53" s="282" t="s">
        <v>51</v>
      </c>
      <c r="D53" s="243"/>
      <c r="E53" s="243"/>
      <c r="F53" s="1241" t="s">
        <v>153</v>
      </c>
      <c r="G53" s="1242"/>
      <c r="H53" s="1242"/>
      <c r="I53" s="1242"/>
      <c r="J53" s="1242"/>
      <c r="K53" s="1243"/>
      <c r="L53" s="398" t="s">
        <v>53</v>
      </c>
      <c r="M53" s="399" t="s">
        <v>54</v>
      </c>
      <c r="N53" s="400" t="s">
        <v>28</v>
      </c>
      <c r="Q53" s="1235" t="str">
        <f>IF(F53&lt;&gt;"",F53,"")</f>
        <v>RSVP e CREDENCIAMENTO</v>
      </c>
      <c r="R53" s="1236"/>
      <c r="S53" s="1236"/>
      <c r="T53" s="1236"/>
      <c r="U53" s="1236"/>
      <c r="V53" s="1236"/>
      <c r="W53" s="1236"/>
      <c r="X53" s="1236"/>
      <c r="Y53" s="1237"/>
      <c r="Z53" s="401" t="s">
        <v>55</v>
      </c>
      <c r="AA53" s="281" t="s">
        <v>39</v>
      </c>
      <c r="AK53" s="528"/>
      <c r="AL53" s="529"/>
    </row>
    <row r="54" spans="1:39" ht="120" customHeight="1" x14ac:dyDescent="0.45">
      <c r="A54" s="243">
        <v>40</v>
      </c>
      <c r="B54" s="267" t="s">
        <v>154</v>
      </c>
      <c r="C54" s="282" t="s">
        <v>57</v>
      </c>
      <c r="D54" s="243" t="s">
        <v>88</v>
      </c>
      <c r="E54" s="243" t="s">
        <v>58</v>
      </c>
      <c r="F54" s="425" t="s">
        <v>155</v>
      </c>
      <c r="G54" s="284" t="s">
        <v>156</v>
      </c>
      <c r="H54" s="285">
        <v>1</v>
      </c>
      <c r="I54" s="285">
        <v>1</v>
      </c>
      <c r="J54" s="286">
        <v>7680.7</v>
      </c>
      <c r="K54" s="405">
        <f>IF(F54&lt;&gt;"",H54*I54*J54,"")</f>
        <v>7680.7</v>
      </c>
      <c r="L54" s="405">
        <f>IF(K54&lt;&gt;"",IF(D54="INTERNO",0,K54*$L$14),"")</f>
        <v>576.05250000000001</v>
      </c>
      <c r="M54" s="405">
        <f>IF(K54&lt;&gt;"",IF(E54="FAT.OGGI",SUM(K54:L54)*(1/(1-$M$14)-1),L54*(1/(1-$M$14)-1)),"")</f>
        <v>2003.9067518951169</v>
      </c>
      <c r="N54" s="426">
        <f>SUM(K54:M54)</f>
        <v>10260.659251895118</v>
      </c>
      <c r="Q54" s="415">
        <f>IF(H54&lt;&gt;"",H54,"")</f>
        <v>1</v>
      </c>
      <c r="R54" s="408">
        <f>IF(I54&lt;&gt;"",I54,"")</f>
        <v>1</v>
      </c>
      <c r="S54" s="371">
        <v>4000</v>
      </c>
      <c r="T54" s="371">
        <f>IF(Q54&lt;&gt;"",Q54*R54*S54,"")</f>
        <v>4000</v>
      </c>
      <c r="U54" s="417">
        <f>IF(Q54&lt;&gt;"",K54-T54,"")</f>
        <v>3680.7</v>
      </c>
      <c r="V54" s="418">
        <f>IF(Q54&lt;&gt;"",0%,"")</f>
        <v>0</v>
      </c>
      <c r="W54" s="419">
        <f>IF(Q54&lt;&gt;"",V54*U54,"")</f>
        <v>0</v>
      </c>
      <c r="X54" s="420">
        <f>IF(Q54&lt;&gt;"",W54+T54,"")</f>
        <v>4000</v>
      </c>
      <c r="Y54" s="421">
        <f>IF(Q54&lt;&gt;"",X54+M54,"")</f>
        <v>6003.9067518951169</v>
      </c>
      <c r="Z54" s="297">
        <f>IF(Q54&lt;&gt;"",U54/K54,"")</f>
        <v>0.47921413412839975</v>
      </c>
      <c r="AA54" s="298">
        <f>T54/$T$55</f>
        <v>1</v>
      </c>
      <c r="AC54" s="324">
        <v>0</v>
      </c>
      <c r="AD54" s="325">
        <f>T54-AC54</f>
        <v>4000</v>
      </c>
      <c r="AE54" s="326">
        <v>46028</v>
      </c>
      <c r="AG54" s="327" t="s">
        <v>157</v>
      </c>
      <c r="AH54" s="328" t="s">
        <v>157</v>
      </c>
      <c r="AK54" s="528">
        <f t="shared" si="13"/>
        <v>0</v>
      </c>
      <c r="AL54" s="529">
        <v>4000</v>
      </c>
      <c r="AM54" s="525" t="s">
        <v>795</v>
      </c>
    </row>
    <row r="55" spans="1:39" ht="35.1" customHeight="1" thickBot="1" x14ac:dyDescent="0.5">
      <c r="A55" s="243">
        <v>41</v>
      </c>
      <c r="B55" s="267"/>
      <c r="C55" s="282" t="s">
        <v>83</v>
      </c>
      <c r="D55" s="243"/>
      <c r="E55" s="243"/>
      <c r="F55" s="1197" t="s">
        <v>151</v>
      </c>
      <c r="G55" s="1198"/>
      <c r="H55" s="1198"/>
      <c r="I55" s="1198"/>
      <c r="J55" s="1198"/>
      <c r="K55" s="341">
        <f>SUM(K54:K54)</f>
        <v>7680.7</v>
      </c>
      <c r="L55" s="341">
        <f>SUM(L54:L54)</f>
        <v>576.05250000000001</v>
      </c>
      <c r="M55" s="341">
        <f>SUM(M54:M54)</f>
        <v>2003.9067518951169</v>
      </c>
      <c r="N55" s="342">
        <f>SUM(N54:N54)</f>
        <v>10260.659251895118</v>
      </c>
      <c r="P55" s="220">
        <f>SUM(P54:P54)</f>
        <v>0</v>
      </c>
      <c r="Q55" s="1238" t="s">
        <v>151</v>
      </c>
      <c r="R55" s="1239"/>
      <c r="S55" s="1240"/>
      <c r="T55" s="395">
        <f>SUM(T54:T54)</f>
        <v>4000</v>
      </c>
      <c r="U55" s="396">
        <f>SUM(U54:U54)</f>
        <v>3680.7</v>
      </c>
      <c r="V55" s="422">
        <f>SUM(V54:V54)</f>
        <v>0</v>
      </c>
      <c r="W55" s="423"/>
      <c r="X55" s="424">
        <f>SUM(X54:X54)</f>
        <v>4000</v>
      </c>
      <c r="Y55" s="348">
        <f>IF(Q55&lt;&gt;"",X55+M55,"")</f>
        <v>6003.9067518951169</v>
      </c>
      <c r="AK55" s="528"/>
      <c r="AL55" s="529"/>
    </row>
    <row r="56" spans="1:39" ht="35.1" customHeight="1" thickBot="1" x14ac:dyDescent="0.5">
      <c r="A56" s="243">
        <v>42</v>
      </c>
      <c r="B56" s="267">
        <v>6</v>
      </c>
      <c r="C56" s="282" t="s">
        <v>48</v>
      </c>
      <c r="D56" s="243"/>
      <c r="E56" s="243"/>
      <c r="F56" s="1199"/>
      <c r="G56" s="1200"/>
      <c r="H56" s="1200"/>
      <c r="I56" s="1200"/>
      <c r="J56" s="1200"/>
      <c r="K56" s="1200"/>
      <c r="L56" s="1200"/>
      <c r="M56" s="1200"/>
      <c r="N56" s="1201"/>
      <c r="Q56" s="1232" t="str">
        <f>IF(F56&lt;&gt;"",F56,"")</f>
        <v/>
      </c>
      <c r="R56" s="1233"/>
      <c r="S56" s="1233"/>
      <c r="T56" s="1233"/>
      <c r="U56" s="1233"/>
      <c r="V56" s="1233"/>
      <c r="W56" s="1233"/>
      <c r="X56" s="1233"/>
      <c r="Y56" s="1234"/>
      <c r="AK56" s="528"/>
      <c r="AL56" s="529"/>
    </row>
    <row r="57" spans="1:39" ht="35.1" customHeight="1" x14ac:dyDescent="0.45">
      <c r="A57" s="243">
        <v>43</v>
      </c>
      <c r="B57" s="267" t="s">
        <v>158</v>
      </c>
      <c r="C57" s="282" t="s">
        <v>51</v>
      </c>
      <c r="D57" s="243"/>
      <c r="E57" s="243"/>
      <c r="F57" s="1202" t="s">
        <v>159</v>
      </c>
      <c r="G57" s="1203"/>
      <c r="H57" s="1203"/>
      <c r="I57" s="1203"/>
      <c r="J57" s="1203"/>
      <c r="K57" s="1204"/>
      <c r="L57" s="398" t="s">
        <v>53</v>
      </c>
      <c r="M57" s="399" t="s">
        <v>54</v>
      </c>
      <c r="N57" s="400" t="s">
        <v>28</v>
      </c>
      <c r="Q57" s="1235" t="str">
        <f>IF(F57&lt;&gt;"",F57,"")</f>
        <v xml:space="preserve">ITENS PERSONALIZADOS E DINÂMICAS </v>
      </c>
      <c r="R57" s="1236"/>
      <c r="S57" s="1236"/>
      <c r="T57" s="1236"/>
      <c r="U57" s="1236"/>
      <c r="V57" s="1236"/>
      <c r="W57" s="1236"/>
      <c r="X57" s="1236"/>
      <c r="Y57" s="1237"/>
      <c r="Z57" s="401" t="s">
        <v>55</v>
      </c>
      <c r="AA57" s="281" t="s">
        <v>39</v>
      </c>
      <c r="AK57" s="528"/>
      <c r="AL57" s="529"/>
    </row>
    <row r="58" spans="1:39" ht="120" customHeight="1" x14ac:dyDescent="0.4">
      <c r="A58" s="243">
        <v>44</v>
      </c>
      <c r="B58" s="267" t="s">
        <v>160</v>
      </c>
      <c r="C58" s="282" t="s">
        <v>57</v>
      </c>
      <c r="D58" s="243" t="s">
        <v>88</v>
      </c>
      <c r="E58" s="243" t="s">
        <v>58</v>
      </c>
      <c r="F58" s="427" t="s">
        <v>161</v>
      </c>
      <c r="G58" s="428" t="s">
        <v>746</v>
      </c>
      <c r="H58" s="361">
        <v>0</v>
      </c>
      <c r="I58" s="361">
        <v>1</v>
      </c>
      <c r="J58" s="352">
        <v>52</v>
      </c>
      <c r="K58" s="352">
        <f>IF(F58&lt;&gt;"",H58*I58*J58,"")</f>
        <v>0</v>
      </c>
      <c r="L58" s="352">
        <f>IF(K58&lt;&gt;"",IF(D58="INTERNO",0,K58*$L$14),"")</f>
        <v>0</v>
      </c>
      <c r="M58" s="352">
        <f>IF(K58&lt;&gt;"",IF(E58="FAT.OGGI",SUM(K58:L58)*(1/(1-$M$14)-1),L58*(1/(1-$M$14)-1)),"")</f>
        <v>0</v>
      </c>
      <c r="N58" s="429">
        <f>SUM(K58:M58)</f>
        <v>0</v>
      </c>
      <c r="Q58" s="390">
        <v>370</v>
      </c>
      <c r="R58" s="354">
        <v>0</v>
      </c>
      <c r="S58" s="360">
        <v>35</v>
      </c>
      <c r="T58" s="360">
        <f>IF(Q58&lt;&gt;"",Q58*R58*S58,"")</f>
        <v>0</v>
      </c>
      <c r="U58" s="356">
        <f>IF(Q58&lt;&gt;"",K58-T58,"")</f>
        <v>0</v>
      </c>
      <c r="V58" s="357">
        <f>IF(Q58&lt;&gt;"",0%,"")</f>
        <v>0</v>
      </c>
      <c r="W58" s="358">
        <f>IF(Q58&lt;&gt;"",V58*U58,"")</f>
        <v>0</v>
      </c>
      <c r="X58" s="358">
        <f>IF(Q58&lt;&gt;"",W58+T58,"")</f>
        <v>0</v>
      </c>
      <c r="Y58" s="359">
        <f>IF(Q58&lt;&gt;"",X58+M58,"")</f>
        <v>0</v>
      </c>
      <c r="Z58" s="297" t="e">
        <f>IF(Q58&lt;&gt;"",U58/K58,"")</f>
        <v>#DIV/0!</v>
      </c>
      <c r="AA58" s="298">
        <f>T58/$T$62</f>
        <v>0</v>
      </c>
      <c r="AK58" s="528">
        <f t="shared" si="13"/>
        <v>0</v>
      </c>
      <c r="AL58" s="529">
        <v>0</v>
      </c>
    </row>
    <row r="59" spans="1:39" ht="120" customHeight="1" x14ac:dyDescent="0.4">
      <c r="A59" s="243">
        <v>45</v>
      </c>
      <c r="B59" s="267" t="s">
        <v>162</v>
      </c>
      <c r="C59" s="282" t="s">
        <v>57</v>
      </c>
      <c r="D59" s="243" t="s">
        <v>88</v>
      </c>
      <c r="E59" s="243" t="s">
        <v>58</v>
      </c>
      <c r="F59" s="430" t="s">
        <v>163</v>
      </c>
      <c r="G59" s="431" t="s">
        <v>747</v>
      </c>
      <c r="H59" s="404">
        <v>0</v>
      </c>
      <c r="I59" s="404">
        <v>1</v>
      </c>
      <c r="J59" s="405">
        <v>63.5</v>
      </c>
      <c r="K59" s="405">
        <f>IF(F59&lt;&gt;"",H59*I59*J59,"")</f>
        <v>0</v>
      </c>
      <c r="L59" s="405">
        <f>IF(K59&lt;&gt;"",IF(D59="INTERNO",0,K59*$L$14),"")</f>
        <v>0</v>
      </c>
      <c r="M59" s="405">
        <f>IF(K59&lt;&gt;"",IF(E59="FAT.OGGI",SUM(K59:L59)*(1/(1-$M$14)-1),L59*(1/(1-$M$14)-1)),"")</f>
        <v>0</v>
      </c>
      <c r="N59" s="426">
        <f>SUM(K59:M59)</f>
        <v>0</v>
      </c>
      <c r="Q59" s="353">
        <f t="shared" ref="Q59:R61" si="27">IF(H59&lt;&gt;"",H59,"")</f>
        <v>0</v>
      </c>
      <c r="R59" s="354">
        <f t="shared" si="27"/>
        <v>1</v>
      </c>
      <c r="S59" s="360">
        <v>50</v>
      </c>
      <c r="T59" s="360">
        <f>IF(Q59&lt;&gt;"",Q59*R59*S59,"")</f>
        <v>0</v>
      </c>
      <c r="U59" s="356">
        <f>IF(Q59&lt;&gt;"",K59-T59,"")</f>
        <v>0</v>
      </c>
      <c r="V59" s="357">
        <f>IF(Q59&lt;&gt;"",0%,"")</f>
        <v>0</v>
      </c>
      <c r="W59" s="358">
        <f>IF(Q59&lt;&gt;"",V59*U59,"")</f>
        <v>0</v>
      </c>
      <c r="X59" s="358">
        <f>IF(Q59&lt;&gt;"",W59+T59,"")</f>
        <v>0</v>
      </c>
      <c r="Y59" s="359">
        <f>IF(Q59&lt;&gt;"",X59+M59,"")</f>
        <v>0</v>
      </c>
      <c r="Z59" s="297" t="e">
        <f>IF(Q59&lt;&gt;"",U59/K59,"")</f>
        <v>#DIV/0!</v>
      </c>
      <c r="AA59" s="298">
        <f>T59/$T$62</f>
        <v>0</v>
      </c>
      <c r="AK59" s="528">
        <f t="shared" si="13"/>
        <v>0</v>
      </c>
      <c r="AL59" s="529">
        <v>0</v>
      </c>
    </row>
    <row r="60" spans="1:39" ht="120" customHeight="1" x14ac:dyDescent="0.4">
      <c r="A60" s="243">
        <v>46</v>
      </c>
      <c r="B60" s="267" t="s">
        <v>164</v>
      </c>
      <c r="C60" s="282" t="s">
        <v>57</v>
      </c>
      <c r="D60" s="243" t="s">
        <v>88</v>
      </c>
      <c r="E60" s="243" t="s">
        <v>58</v>
      </c>
      <c r="F60" s="432" t="s">
        <v>165</v>
      </c>
      <c r="G60" s="433" t="s">
        <v>166</v>
      </c>
      <c r="H60" s="434">
        <v>1</v>
      </c>
      <c r="I60" s="434">
        <v>1</v>
      </c>
      <c r="J60" s="435">
        <v>1890</v>
      </c>
      <c r="K60" s="435">
        <f>IF(F60&lt;&gt;"",H60*I60*J60,"")</f>
        <v>1890</v>
      </c>
      <c r="L60" s="435">
        <f>IF(K60&lt;&gt;"",IF(D60="INTERNO",0,K60*$L$14),"")</f>
        <v>141.75</v>
      </c>
      <c r="M60" s="435">
        <f>IF(K60&lt;&gt;"",IF(E60="FAT.OGGI",SUM(K60:L60)*(1/(1-$M$14)-1),L60*(1/(1-$M$14)-1)),"")</f>
        <v>493.103982850752</v>
      </c>
      <c r="N60" s="436">
        <f>SUM(K60:M60)</f>
        <v>2524.8539828507519</v>
      </c>
      <c r="O60" s="437"/>
      <c r="P60" s="438"/>
      <c r="Q60" s="439">
        <f t="shared" si="27"/>
        <v>1</v>
      </c>
      <c r="R60" s="440">
        <f t="shared" si="27"/>
        <v>1</v>
      </c>
      <c r="S60" s="441">
        <v>1197.93</v>
      </c>
      <c r="T60" s="441">
        <v>0</v>
      </c>
      <c r="U60" s="356">
        <f>IF(Q60&lt;&gt;"",K60-T60,"")</f>
        <v>1890</v>
      </c>
      <c r="V60" s="357">
        <f>IF(Q60&lt;&gt;"",0%,"")</f>
        <v>0</v>
      </c>
      <c r="W60" s="358">
        <f>IF(Q60&lt;&gt;"",V60*U60,"")</f>
        <v>0</v>
      </c>
      <c r="X60" s="358">
        <f>IF(Q60&lt;&gt;"",W60+T60,"")</f>
        <v>0</v>
      </c>
      <c r="Y60" s="359">
        <f>IF(Q60&lt;&gt;"",X60+M60,"")</f>
        <v>493.103982850752</v>
      </c>
      <c r="Z60" s="297">
        <f>IF(Q60&lt;&gt;"",U60/K60,"")</f>
        <v>1</v>
      </c>
      <c r="AA60" s="298">
        <f>T60/$T$62</f>
        <v>0</v>
      </c>
      <c r="AK60" s="528">
        <f t="shared" si="13"/>
        <v>0</v>
      </c>
      <c r="AL60" s="529">
        <v>0</v>
      </c>
    </row>
    <row r="61" spans="1:39" ht="120" customHeight="1" x14ac:dyDescent="0.45">
      <c r="A61" s="243">
        <v>47</v>
      </c>
      <c r="B61" s="267" t="s">
        <v>167</v>
      </c>
      <c r="C61" s="282" t="s">
        <v>57</v>
      </c>
      <c r="D61" s="243" t="s">
        <v>88</v>
      </c>
      <c r="E61" s="243" t="s">
        <v>58</v>
      </c>
      <c r="F61" s="430" t="s">
        <v>168</v>
      </c>
      <c r="G61" s="403" t="s">
        <v>169</v>
      </c>
      <c r="H61" s="301">
        <v>1</v>
      </c>
      <c r="I61" s="301">
        <v>10</v>
      </c>
      <c r="J61" s="302">
        <v>650</v>
      </c>
      <c r="K61" s="405">
        <f>IF(F61&lt;&gt;"",H61*I61*J61,"")</f>
        <v>6500</v>
      </c>
      <c r="L61" s="405">
        <f>IF(K61&lt;&gt;"",IF(D61="INTERNO",0,K61*$L$14),"")</f>
        <v>487.5</v>
      </c>
      <c r="M61" s="405">
        <f>IF(K61&lt;&gt;"",IF(E61="FAT.OGGI",SUM(K61:L61)*(1/(1-$M$14)-1),L61*(1/(1-$M$14)-1)),"")</f>
        <v>1695.8602584814223</v>
      </c>
      <c r="N61" s="426">
        <f>SUM(K61:M61)</f>
        <v>8683.3602584814216</v>
      </c>
      <c r="Q61" s="415">
        <f t="shared" si="27"/>
        <v>1</v>
      </c>
      <c r="R61" s="408">
        <v>1</v>
      </c>
      <c r="S61" s="371">
        <v>1742.6</v>
      </c>
      <c r="T61" s="371">
        <f>IF(Q61&lt;&gt;"",Q61*R61*S61,"")</f>
        <v>1742.6</v>
      </c>
      <c r="U61" s="417">
        <f>IF(Q61&lt;&gt;"",K61-T61,"")</f>
        <v>4757.3999999999996</v>
      </c>
      <c r="V61" s="418">
        <f>IF(Q61&lt;&gt;"",0%,"")</f>
        <v>0</v>
      </c>
      <c r="W61" s="419">
        <f>IF(Q61&lt;&gt;"",V61*U61,"")</f>
        <v>0</v>
      </c>
      <c r="X61" s="419">
        <f>IF(Q61&lt;&gt;"",W61+T61,"")</f>
        <v>1742.6</v>
      </c>
      <c r="Y61" s="312">
        <f>IF(Q61&lt;&gt;"",X61+M61,"")</f>
        <v>3438.460258481422</v>
      </c>
      <c r="Z61" s="297">
        <f>IF(Q61&lt;&gt;"",U61/K61,"")</f>
        <v>0.73190769230769226</v>
      </c>
      <c r="AA61" s="298">
        <f>T61/$T$62</f>
        <v>1</v>
      </c>
      <c r="AC61" s="324">
        <v>0</v>
      </c>
      <c r="AD61" s="325">
        <f>T61-AC61</f>
        <v>1742.6</v>
      </c>
      <c r="AE61" s="326">
        <v>46017</v>
      </c>
      <c r="AG61" s="327" t="s">
        <v>79</v>
      </c>
      <c r="AH61" s="328" t="s">
        <v>79</v>
      </c>
      <c r="AK61" s="528">
        <f t="shared" si="13"/>
        <v>0</v>
      </c>
      <c r="AL61" s="529">
        <v>1742.6</v>
      </c>
      <c r="AM61" s="525" t="s">
        <v>797</v>
      </c>
    </row>
    <row r="62" spans="1:39" ht="35.1" customHeight="1" thickBot="1" x14ac:dyDescent="0.5">
      <c r="A62" s="266">
        <v>48</v>
      </c>
      <c r="B62" s="267"/>
      <c r="C62" s="268" t="s">
        <v>83</v>
      </c>
      <c r="D62" s="266"/>
      <c r="E62" s="266"/>
      <c r="F62" s="1197" t="s">
        <v>170</v>
      </c>
      <c r="G62" s="1198"/>
      <c r="H62" s="1198"/>
      <c r="I62" s="1198"/>
      <c r="J62" s="1198"/>
      <c r="K62" s="341">
        <f>SUM(K58:K61)</f>
        <v>8390</v>
      </c>
      <c r="L62" s="341">
        <f>SUM(L58:L61)</f>
        <v>629.25</v>
      </c>
      <c r="M62" s="341">
        <f>SUM(M58:M61)</f>
        <v>2188.9642413321744</v>
      </c>
      <c r="N62" s="342">
        <f>SUM(N58:N61)</f>
        <v>11208.214241332174</v>
      </c>
      <c r="P62" s="220">
        <f>SUM(P58:P61)</f>
        <v>0</v>
      </c>
      <c r="Q62" s="1238" t="s">
        <v>170</v>
      </c>
      <c r="R62" s="1239"/>
      <c r="S62" s="1240"/>
      <c r="T62" s="395">
        <f>SUM(T58:T61)</f>
        <v>1742.6</v>
      </c>
      <c r="U62" s="396">
        <f>SUM(U58:U61)</f>
        <v>6647.4</v>
      </c>
      <c r="V62" s="422">
        <f>SUM(V58:V61)</f>
        <v>0</v>
      </c>
      <c r="W62" s="423"/>
      <c r="X62" s="424">
        <f>SUM(X58:X61)</f>
        <v>1742.6</v>
      </c>
      <c r="Y62" s="348">
        <f>IF(Q62&lt;&gt;"",X62+M62,"")</f>
        <v>3931.5642413321743</v>
      </c>
      <c r="Z62" s="442"/>
      <c r="AK62" s="528"/>
      <c r="AL62" s="529"/>
    </row>
    <row r="63" spans="1:39" ht="35.1" customHeight="1" thickBot="1" x14ac:dyDescent="0.5">
      <c r="A63" s="274">
        <v>49</v>
      </c>
      <c r="B63" s="267">
        <v>7</v>
      </c>
      <c r="C63" s="275" t="s">
        <v>48</v>
      </c>
      <c r="D63" s="274"/>
      <c r="E63" s="274"/>
      <c r="F63" s="1199" t="s">
        <v>171</v>
      </c>
      <c r="G63" s="1200"/>
      <c r="H63" s="1200"/>
      <c r="I63" s="1200"/>
      <c r="J63" s="1200"/>
      <c r="K63" s="1200"/>
      <c r="L63" s="1200"/>
      <c r="M63" s="1200"/>
      <c r="N63" s="1201"/>
      <c r="Q63" s="1221" t="str">
        <f>IF(F63&lt;&gt;"",F63,"")</f>
        <v>FESTA</v>
      </c>
      <c r="R63" s="1222"/>
      <c r="S63" s="1222"/>
      <c r="T63" s="1222"/>
      <c r="U63" s="1222"/>
      <c r="V63" s="1222"/>
      <c r="W63" s="1222"/>
      <c r="X63" s="1222"/>
      <c r="Y63" s="1223"/>
      <c r="AK63" s="528"/>
      <c r="AL63" s="529"/>
    </row>
    <row r="64" spans="1:39" ht="35.1" customHeight="1" x14ac:dyDescent="0.45">
      <c r="A64" s="243">
        <v>50</v>
      </c>
      <c r="B64" s="267" t="s">
        <v>172</v>
      </c>
      <c r="C64" s="282" t="s">
        <v>51</v>
      </c>
      <c r="D64" s="243"/>
      <c r="E64" s="243"/>
      <c r="F64" s="1224" t="s">
        <v>173</v>
      </c>
      <c r="G64" s="1225"/>
      <c r="H64" s="1225"/>
      <c r="I64" s="1225"/>
      <c r="J64" s="1225"/>
      <c r="K64" s="1226"/>
      <c r="L64" s="276" t="s">
        <v>53</v>
      </c>
      <c r="M64" s="277" t="s">
        <v>54</v>
      </c>
      <c r="N64" s="278" t="s">
        <v>28</v>
      </c>
      <c r="Q64" s="1227" t="str">
        <f>IF(F64&lt;&gt;"",F64,"")</f>
        <v xml:space="preserve">FESTA </v>
      </c>
      <c r="R64" s="1228"/>
      <c r="S64" s="1228"/>
      <c r="T64" s="1228"/>
      <c r="U64" s="1228"/>
      <c r="V64" s="1228"/>
      <c r="W64" s="1228"/>
      <c r="X64" s="1228"/>
      <c r="Y64" s="1229"/>
      <c r="Z64" s="280" t="s">
        <v>55</v>
      </c>
      <c r="AA64" s="281" t="s">
        <v>39</v>
      </c>
      <c r="AK64" s="528"/>
      <c r="AL64" s="529"/>
    </row>
    <row r="65" spans="1:39" ht="120" customHeight="1" x14ac:dyDescent="0.4">
      <c r="A65" s="243">
        <v>51</v>
      </c>
      <c r="B65" s="267" t="s">
        <v>174</v>
      </c>
      <c r="C65" s="282" t="s">
        <v>57</v>
      </c>
      <c r="D65" s="243" t="s">
        <v>88</v>
      </c>
      <c r="E65" s="243" t="s">
        <v>58</v>
      </c>
      <c r="F65" s="443" t="s">
        <v>175</v>
      </c>
      <c r="G65" s="444" t="s">
        <v>176</v>
      </c>
      <c r="H65" s="445">
        <v>1</v>
      </c>
      <c r="I65" s="446">
        <v>1</v>
      </c>
      <c r="J65" s="447">
        <v>6500</v>
      </c>
      <c r="K65" s="304">
        <f>IF(F65&lt;&gt;"",H65*I65*J65,"")</f>
        <v>6500</v>
      </c>
      <c r="L65" s="304">
        <f>IF(K65&lt;&gt;"",IF(D65="INTERNO",0,K65*$L$14),"")</f>
        <v>487.5</v>
      </c>
      <c r="M65" s="304">
        <f>IF(K65&lt;&gt;"",IF(E65="FAT.OGGI",SUM(K65:L65)*(1/(1-$M$14)-1),L65*(1/(1-$M$14)-1)),"")</f>
        <v>1695.8602584814223</v>
      </c>
      <c r="N65" s="305">
        <f>SUM(K65:M65)</f>
        <v>8683.3602584814216</v>
      </c>
      <c r="Q65" s="306">
        <f t="shared" ref="Q65:R68" si="28">IF(H65&lt;&gt;"",H65,"")</f>
        <v>1</v>
      </c>
      <c r="R65" s="307">
        <f t="shared" si="28"/>
        <v>1</v>
      </c>
      <c r="S65" s="308">
        <v>0</v>
      </c>
      <c r="T65" s="308">
        <f>IF(Q65&lt;&gt;"",Q65*R65*S65,"")</f>
        <v>0</v>
      </c>
      <c r="U65" s="309">
        <f>IF(Q65&lt;&gt;"",K65-T65,"")</f>
        <v>6500</v>
      </c>
      <c r="V65" s="310">
        <f>IF(Q65&lt;&gt;"",0%,"")</f>
        <v>0</v>
      </c>
      <c r="W65" s="311">
        <f>IF(Q65&lt;&gt;"",V65*U65,"")</f>
        <v>0</v>
      </c>
      <c r="X65" s="311">
        <f>IF(Q65&lt;&gt;"",W65+T65,"")</f>
        <v>0</v>
      </c>
      <c r="Y65" s="312">
        <f>IF(Q65&lt;&gt;"",X65+M65,"")</f>
        <v>1695.8602584814223</v>
      </c>
      <c r="Z65" s="297">
        <f>IF(Q65&lt;&gt;"",U65/K65,"")</f>
        <v>1</v>
      </c>
      <c r="AA65" s="298" t="e">
        <f>T65/$T$76</f>
        <v>#DIV/0!</v>
      </c>
      <c r="AK65" s="528">
        <f t="shared" si="13"/>
        <v>0</v>
      </c>
      <c r="AL65" s="529">
        <v>0</v>
      </c>
    </row>
    <row r="66" spans="1:39" ht="120" customHeight="1" x14ac:dyDescent="0.45">
      <c r="A66" s="243">
        <v>52</v>
      </c>
      <c r="B66" s="267" t="s">
        <v>177</v>
      </c>
      <c r="C66" s="282" t="s">
        <v>57</v>
      </c>
      <c r="D66" s="243" t="s">
        <v>88</v>
      </c>
      <c r="E66" s="243" t="s">
        <v>58</v>
      </c>
      <c r="F66" s="448" t="s">
        <v>178</v>
      </c>
      <c r="G66" s="449" t="s">
        <v>179</v>
      </c>
      <c r="H66" s="445">
        <v>1</v>
      </c>
      <c r="I66" s="446">
        <v>1</v>
      </c>
      <c r="J66" s="447">
        <v>3000</v>
      </c>
      <c r="K66" s="304">
        <f>IF(F66&lt;&gt;"",H66*I66*J66,"")</f>
        <v>3000</v>
      </c>
      <c r="L66" s="304">
        <f>IF(K66&lt;&gt;"",IF(D66="INTERNO",0,K66*$L$14),"")</f>
        <v>225</v>
      </c>
      <c r="M66" s="304">
        <f>IF(K66&lt;&gt;"",IF(E66="FAT.OGGI",SUM(K66:L66)*(1/(1-$M$14)-1),L66*(1/(1-$M$14)-1)),"")</f>
        <v>782.70473468373336</v>
      </c>
      <c r="N66" s="305">
        <f>SUM(K66:M66)</f>
        <v>4007.7047346837335</v>
      </c>
      <c r="Q66" s="306">
        <f t="shared" si="28"/>
        <v>1</v>
      </c>
      <c r="R66" s="307">
        <f t="shared" si="28"/>
        <v>1</v>
      </c>
      <c r="S66" s="313">
        <v>5000</v>
      </c>
      <c r="T66" s="313">
        <v>0</v>
      </c>
      <c r="U66" s="309">
        <f>IF(Q66&lt;&gt;"",K66-T66,"")</f>
        <v>3000</v>
      </c>
      <c r="V66" s="310">
        <f>IF(Q66&lt;&gt;"",0%,"")</f>
        <v>0</v>
      </c>
      <c r="W66" s="311">
        <f>IF(Q66&lt;&gt;"",V66*U66,"")</f>
        <v>0</v>
      </c>
      <c r="X66" s="311">
        <f>IF(Q66&lt;&gt;"",W66+T66,"")</f>
        <v>0</v>
      </c>
      <c r="Y66" s="312">
        <f>IF(Q66&lt;&gt;"",X66+M66,"")</f>
        <v>782.70473468373336</v>
      </c>
      <c r="Z66" s="297">
        <f>IF(Q66&lt;&gt;"",U66/K66,"")</f>
        <v>1</v>
      </c>
      <c r="AA66" s="298">
        <f>T66/$T$69</f>
        <v>0</v>
      </c>
      <c r="AC66" s="324">
        <v>0</v>
      </c>
      <c r="AD66" s="325">
        <f>T66-AC66</f>
        <v>0</v>
      </c>
      <c r="AE66" s="326">
        <v>46043</v>
      </c>
      <c r="AG66" s="327" t="s">
        <v>79</v>
      </c>
      <c r="AH66" s="328" t="s">
        <v>79</v>
      </c>
      <c r="AK66" s="528">
        <f t="shared" si="13"/>
        <v>0</v>
      </c>
      <c r="AL66" s="529">
        <v>0</v>
      </c>
    </row>
    <row r="67" spans="1:39" ht="120" customHeight="1" x14ac:dyDescent="0.45">
      <c r="A67" s="243">
        <v>53</v>
      </c>
      <c r="B67" s="267" t="s">
        <v>180</v>
      </c>
      <c r="C67" s="282" t="s">
        <v>57</v>
      </c>
      <c r="D67" s="243" t="s">
        <v>88</v>
      </c>
      <c r="E67" s="243" t="s">
        <v>58</v>
      </c>
      <c r="F67" s="448" t="s">
        <v>181</v>
      </c>
      <c r="G67" s="449" t="s">
        <v>182</v>
      </c>
      <c r="H67" s="445">
        <v>1</v>
      </c>
      <c r="I67" s="446">
        <v>1</v>
      </c>
      <c r="J67" s="447">
        <v>6500</v>
      </c>
      <c r="K67" s="303">
        <f>IF(F67&lt;&gt;"",H67*I67*J67,"")</f>
        <v>6500</v>
      </c>
      <c r="L67" s="303">
        <f>IF(K67&lt;&gt;"",IF(D67="INTERNO",0,K67*$L$14),"")</f>
        <v>487.5</v>
      </c>
      <c r="M67" s="303">
        <f>IF(K67&lt;&gt;"",IF(E67="FAT.OGGI",SUM(K67:L67)*(1/(1-$M$14)-1),L67*(1/(1-$M$14)-1)),"")</f>
        <v>1695.8602584814223</v>
      </c>
      <c r="N67" s="315">
        <f>SUM(K67:M67)</f>
        <v>8683.3602584814216</v>
      </c>
      <c r="Q67" s="306">
        <f t="shared" si="28"/>
        <v>1</v>
      </c>
      <c r="R67" s="307">
        <f t="shared" si="28"/>
        <v>1</v>
      </c>
      <c r="S67" s="313">
        <v>4800</v>
      </c>
      <c r="T67" s="313">
        <f>IF(Q67&lt;&gt;"",Q67*R67*S67,"")</f>
        <v>4800</v>
      </c>
      <c r="U67" s="309">
        <f>IF(Q67&lt;&gt;"",K67-T67,"")</f>
        <v>1700</v>
      </c>
      <c r="V67" s="310">
        <f>IF(Q67&lt;&gt;"",0%,"")</f>
        <v>0</v>
      </c>
      <c r="W67" s="311">
        <f>IF(Q67&lt;&gt;"",V67*U67,"")</f>
        <v>0</v>
      </c>
      <c r="X67" s="311">
        <f>IF(Q67&lt;&gt;"",W67+T67,"")</f>
        <v>4800</v>
      </c>
      <c r="Y67" s="312">
        <f>IF(Q67&lt;&gt;"",X67+M67,"")</f>
        <v>6495.8602584814225</v>
      </c>
      <c r="Z67" s="297">
        <f>IF(Q67&lt;&gt;"",U67/K67,"")</f>
        <v>0.26153846153846155</v>
      </c>
      <c r="AA67" s="298">
        <f>T67/$T$69</f>
        <v>0.23645320197044334</v>
      </c>
      <c r="AC67" s="324">
        <v>0</v>
      </c>
      <c r="AD67" s="325">
        <f>T67-AC67</f>
        <v>4800</v>
      </c>
      <c r="AE67" s="326">
        <v>46024</v>
      </c>
      <c r="AG67" s="327" t="s">
        <v>183</v>
      </c>
      <c r="AH67" s="328" t="s">
        <v>184</v>
      </c>
      <c r="AK67" s="528">
        <f t="shared" si="13"/>
        <v>0</v>
      </c>
      <c r="AL67" s="529">
        <v>4800</v>
      </c>
      <c r="AM67" s="525" t="s">
        <v>790</v>
      </c>
    </row>
    <row r="68" spans="1:39" ht="120" customHeight="1" thickBot="1" x14ac:dyDescent="0.5">
      <c r="A68" s="274">
        <v>54</v>
      </c>
      <c r="B68" s="267" t="s">
        <v>185</v>
      </c>
      <c r="C68" s="275" t="s">
        <v>57</v>
      </c>
      <c r="D68" s="274" t="s">
        <v>88</v>
      </c>
      <c r="E68" s="274" t="s">
        <v>58</v>
      </c>
      <c r="F68" s="450" t="s">
        <v>186</v>
      </c>
      <c r="G68" s="451" t="s">
        <v>187</v>
      </c>
      <c r="H68" s="452">
        <v>1</v>
      </c>
      <c r="I68" s="453">
        <v>1</v>
      </c>
      <c r="J68" s="454">
        <v>15500</v>
      </c>
      <c r="K68" s="455">
        <f>IF(F68&lt;&gt;"",H68*I68*J68,"")</f>
        <v>15500</v>
      </c>
      <c r="L68" s="455">
        <f>IF(K68&lt;&gt;"",IF(D68="INTERNO",0,K68*$L$14),"")</f>
        <v>1162.5</v>
      </c>
      <c r="M68" s="455">
        <f>IF(K68&lt;&gt;"",IF(E68="FAT.OGGI",SUM(K68:L68)*(1/(1-$M$14)-1),L68*(1/(1-$M$14)-1)),"")</f>
        <v>4043.9744625326221</v>
      </c>
      <c r="N68" s="456">
        <f>SUM(K68:M68)</f>
        <v>20706.47446253262</v>
      </c>
      <c r="Q68" s="317">
        <f t="shared" si="28"/>
        <v>1</v>
      </c>
      <c r="R68" s="318">
        <f t="shared" si="28"/>
        <v>1</v>
      </c>
      <c r="S68" s="457">
        <v>7750</v>
      </c>
      <c r="T68" s="319">
        <v>15500</v>
      </c>
      <c r="U68" s="320">
        <f>IF(Q68&lt;&gt;"",K68-T68,"")</f>
        <v>0</v>
      </c>
      <c r="V68" s="321">
        <f>IF(Q68&lt;&gt;"",0%,"")</f>
        <v>0</v>
      </c>
      <c r="W68" s="322">
        <f>IF(Q68&lt;&gt;"",V68*U68,"")</f>
        <v>0</v>
      </c>
      <c r="X68" s="322">
        <f>IF(Q68&lt;&gt;"",W68+T68,"")</f>
        <v>15500</v>
      </c>
      <c r="Y68" s="323">
        <f>IF(Q68&lt;&gt;"",X68+M68,"")</f>
        <v>19543.97446253262</v>
      </c>
      <c r="Z68" s="458">
        <f>IF(Q68&lt;&gt;"",U68/K68,"")</f>
        <v>0</v>
      </c>
      <c r="AA68" s="459">
        <f>T68/$T$69</f>
        <v>0.76354679802955661</v>
      </c>
      <c r="AC68" s="324">
        <v>15500</v>
      </c>
      <c r="AD68" s="325">
        <f>T68-AC68</f>
        <v>0</v>
      </c>
      <c r="AE68" s="326">
        <v>46031</v>
      </c>
      <c r="AG68" s="327" t="s">
        <v>188</v>
      </c>
      <c r="AH68" s="328" t="s">
        <v>189</v>
      </c>
      <c r="AK68" s="528">
        <f t="shared" si="13"/>
        <v>0</v>
      </c>
      <c r="AL68" s="529">
        <v>15500</v>
      </c>
      <c r="AM68" s="1022" t="s">
        <v>825</v>
      </c>
    </row>
    <row r="69" spans="1:39" ht="35.1" customHeight="1" thickBot="1" x14ac:dyDescent="0.5">
      <c r="A69" s="243">
        <v>55</v>
      </c>
      <c r="B69" s="267"/>
      <c r="C69" s="282" t="s">
        <v>83</v>
      </c>
      <c r="D69" s="243"/>
      <c r="E69" s="243"/>
      <c r="F69" s="1197" t="s">
        <v>190</v>
      </c>
      <c r="G69" s="1198"/>
      <c r="H69" s="1198"/>
      <c r="I69" s="1198"/>
      <c r="J69" s="1198"/>
      <c r="K69" s="378">
        <f>SUM(K65:K68)</f>
        <v>31500</v>
      </c>
      <c r="L69" s="378">
        <f>SUM(L65:L68)</f>
        <v>2362.5</v>
      </c>
      <c r="M69" s="378">
        <f>SUM(M65:M68)</f>
        <v>8218.3997141791988</v>
      </c>
      <c r="N69" s="379">
        <f>SUM(N65:N68)</f>
        <v>42080.899714179199</v>
      </c>
      <c r="P69" s="220">
        <f>SUM(P65:P68)</f>
        <v>0</v>
      </c>
      <c r="Q69" s="1230" t="s">
        <v>190</v>
      </c>
      <c r="R69" s="1231"/>
      <c r="S69" s="1231"/>
      <c r="T69" s="460">
        <f>SUM(T65:T68)</f>
        <v>20300</v>
      </c>
      <c r="U69" s="461">
        <f>SUM(U65:U68)</f>
        <v>11200</v>
      </c>
      <c r="V69" s="462">
        <f>SUM(V65:V68)</f>
        <v>0</v>
      </c>
      <c r="W69" s="463"/>
      <c r="X69" s="464">
        <f>SUM(X65:X68)</f>
        <v>20300</v>
      </c>
      <c r="Y69" s="465">
        <f>IF(Q69&lt;&gt;"",X69+M69,"")</f>
        <v>28518.399714179199</v>
      </c>
      <c r="AK69" s="528"/>
      <c r="AL69" s="529"/>
    </row>
    <row r="70" spans="1:39" ht="35.1" customHeight="1" thickBot="1" x14ac:dyDescent="0.5">
      <c r="A70" s="243">
        <v>56</v>
      </c>
      <c r="B70" s="267">
        <v>8</v>
      </c>
      <c r="C70" s="282" t="s">
        <v>48</v>
      </c>
      <c r="D70" s="243"/>
      <c r="E70" s="243"/>
      <c r="F70" s="1199" t="s">
        <v>191</v>
      </c>
      <c r="G70" s="1200"/>
      <c r="H70" s="1200"/>
      <c r="I70" s="1200"/>
      <c r="J70" s="1200"/>
      <c r="K70" s="1200"/>
      <c r="L70" s="1200"/>
      <c r="M70" s="1200"/>
      <c r="N70" s="1201"/>
      <c r="Q70" s="1214" t="str">
        <f>IF(F70&lt;&gt;"",F70,"")</f>
        <v>SERVIÇOS</v>
      </c>
      <c r="R70" s="1215"/>
      <c r="S70" s="1215"/>
      <c r="T70" s="1215"/>
      <c r="U70" s="1215"/>
      <c r="V70" s="1215"/>
      <c r="W70" s="1215"/>
      <c r="X70" s="1215"/>
      <c r="Y70" s="1216"/>
      <c r="AK70" s="528"/>
      <c r="AL70" s="529"/>
    </row>
    <row r="71" spans="1:39" ht="35.1" customHeight="1" x14ac:dyDescent="0.45">
      <c r="A71" s="243">
        <v>57</v>
      </c>
      <c r="B71" s="267" t="s">
        <v>192</v>
      </c>
      <c r="C71" s="282" t="s">
        <v>51</v>
      </c>
      <c r="D71" s="243"/>
      <c r="E71" s="243"/>
      <c r="F71" s="1202" t="s">
        <v>191</v>
      </c>
      <c r="G71" s="1203"/>
      <c r="H71" s="1203"/>
      <c r="I71" s="1203"/>
      <c r="J71" s="1203"/>
      <c r="K71" s="1204"/>
      <c r="L71" s="276" t="s">
        <v>53</v>
      </c>
      <c r="M71" s="277" t="s">
        <v>54</v>
      </c>
      <c r="N71" s="278" t="s">
        <v>28</v>
      </c>
      <c r="Q71" s="1202" t="str">
        <f>IF(F71&lt;&gt;"",F71,"")</f>
        <v>SERVIÇOS</v>
      </c>
      <c r="R71" s="1203"/>
      <c r="S71" s="1203"/>
      <c r="T71" s="1203"/>
      <c r="U71" s="1203"/>
      <c r="V71" s="1203"/>
      <c r="W71" s="1203"/>
      <c r="X71" s="1203"/>
      <c r="Y71" s="1220"/>
      <c r="Z71" s="280" t="s">
        <v>55</v>
      </c>
      <c r="AA71" s="281" t="s">
        <v>39</v>
      </c>
      <c r="AK71" s="528"/>
      <c r="AL71" s="529"/>
    </row>
    <row r="72" spans="1:39" ht="120" customHeight="1" x14ac:dyDescent="0.45">
      <c r="A72" s="266">
        <v>58</v>
      </c>
      <c r="B72" s="267" t="s">
        <v>193</v>
      </c>
      <c r="C72" s="268" t="s">
        <v>57</v>
      </c>
      <c r="D72" s="266" t="s">
        <v>88</v>
      </c>
      <c r="E72" s="266" t="s">
        <v>58</v>
      </c>
      <c r="F72" s="299" t="s">
        <v>194</v>
      </c>
      <c r="G72" s="300" t="s">
        <v>195</v>
      </c>
      <c r="H72" s="301">
        <v>2</v>
      </c>
      <c r="I72" s="301">
        <v>3</v>
      </c>
      <c r="J72" s="405">
        <v>750</v>
      </c>
      <c r="K72" s="303">
        <f>IF(F72&lt;&gt;"",H72*I72*J72,"")</f>
        <v>4500</v>
      </c>
      <c r="L72" s="303">
        <f>IF(K72&lt;&gt;"",IF(D72="INTERNO",0,K72*$L$14),"")</f>
        <v>337.5</v>
      </c>
      <c r="M72" s="303">
        <f>IF(K72&lt;&gt;"",IF(E72="FAT.OGGI",SUM(K72:L72)*(1/(1-$M$14)-1),L72*(1/(1-$M$14)-1)),"")</f>
        <v>1174.0571020256</v>
      </c>
      <c r="N72" s="315">
        <f>SUM(K72:M72)</f>
        <v>6011.5571020256002</v>
      </c>
      <c r="Q72" s="415">
        <v>1</v>
      </c>
      <c r="R72" s="408">
        <v>1</v>
      </c>
      <c r="S72" s="371">
        <v>4500</v>
      </c>
      <c r="T72" s="466">
        <v>0</v>
      </c>
      <c r="U72" s="417">
        <f t="shared" ref="U72:U84" si="29">IF(Q72&lt;&gt;"",K72-T72,"")</f>
        <v>4500</v>
      </c>
      <c r="V72" s="418">
        <f>IF(Q72&lt;&gt;"",0%,"")</f>
        <v>0</v>
      </c>
      <c r="W72" s="419">
        <f>IF(Q72&lt;&gt;"",V72*U72,"")</f>
        <v>0</v>
      </c>
      <c r="X72" s="419">
        <f>IF(Q72&lt;&gt;"",W72+T72,"")</f>
        <v>0</v>
      </c>
      <c r="Y72" s="312">
        <f t="shared" ref="Y72:Y85" si="30">IF(Q72&lt;&gt;"",X72+M72,"")</f>
        <v>1174.0571020256</v>
      </c>
      <c r="Z72" s="297">
        <f t="shared" ref="Z72:Z84" si="31">IF(Q72&lt;&gt;"",U72/K72,"")</f>
        <v>1</v>
      </c>
      <c r="AA72" s="298">
        <f t="shared" ref="AA72:AA81" si="32">T72/$T$85</f>
        <v>0</v>
      </c>
      <c r="AC72" s="324">
        <v>0</v>
      </c>
      <c r="AD72" s="325">
        <f>T72-AC72</f>
        <v>0</v>
      </c>
      <c r="AE72" s="326">
        <v>46028</v>
      </c>
      <c r="AG72" s="327" t="s">
        <v>196</v>
      </c>
      <c r="AH72" s="328" t="s">
        <v>197</v>
      </c>
      <c r="AK72" s="528">
        <f t="shared" si="13"/>
        <v>0</v>
      </c>
      <c r="AL72" s="529">
        <v>0</v>
      </c>
    </row>
    <row r="73" spans="1:39" ht="120" customHeight="1" x14ac:dyDescent="0.4">
      <c r="A73" s="243">
        <v>59</v>
      </c>
      <c r="B73" s="267" t="s">
        <v>198</v>
      </c>
      <c r="C73" s="282" t="s">
        <v>57</v>
      </c>
      <c r="D73" s="243" t="s">
        <v>88</v>
      </c>
      <c r="E73" s="243" t="s">
        <v>58</v>
      </c>
      <c r="F73" s="402" t="s">
        <v>199</v>
      </c>
      <c r="G73" s="403" t="s">
        <v>200</v>
      </c>
      <c r="H73" s="301">
        <v>1</v>
      </c>
      <c r="I73" s="301">
        <v>1</v>
      </c>
      <c r="J73" s="405">
        <v>925</v>
      </c>
      <c r="K73" s="304">
        <f t="shared" ref="K73:K80" si="33">IF(F73&lt;&gt;"",H73*I73*J73,"")</f>
        <v>925</v>
      </c>
      <c r="L73" s="304">
        <f t="shared" ref="L73:L84" si="34">IF(K73&lt;&gt;"",IF(D73="INTERNO",0,K73*$L$14),"")</f>
        <v>69.375</v>
      </c>
      <c r="M73" s="304">
        <f t="shared" ref="M73:M84" si="35">IF(K73&lt;&gt;"",IF(E73="FAT.OGGI",SUM(K73:L73)*(1/(1-$M$14)-1),L73*(1/(1-$M$14)-1)),"")</f>
        <v>241.33395986081777</v>
      </c>
      <c r="N73" s="305">
        <f t="shared" ref="N73:N84" si="36">SUM(K73:M73)</f>
        <v>1235.7089598608177</v>
      </c>
      <c r="Q73" s="353">
        <f t="shared" ref="Q73:Q84" si="37">IF(H73&lt;&gt;"",H73,"")</f>
        <v>1</v>
      </c>
      <c r="R73" s="354">
        <f t="shared" ref="R73:R84" si="38">IF(I73&lt;&gt;"",I73,"")</f>
        <v>1</v>
      </c>
      <c r="S73" s="360">
        <v>950</v>
      </c>
      <c r="T73" s="360">
        <v>0</v>
      </c>
      <c r="U73" s="356">
        <f t="shared" si="29"/>
        <v>925</v>
      </c>
      <c r="V73" s="357">
        <f t="shared" ref="V73:V84" si="39">IF(Q73&lt;&gt;"",0%,"")</f>
        <v>0</v>
      </c>
      <c r="W73" s="358">
        <f t="shared" ref="W73:W84" si="40">IF(Q73&lt;&gt;"",V73*U73,"")</f>
        <v>0</v>
      </c>
      <c r="X73" s="358">
        <f t="shared" ref="X73:X84" si="41">IF(Q73&lt;&gt;"",W73+T73,"")</f>
        <v>0</v>
      </c>
      <c r="Y73" s="359">
        <f t="shared" si="30"/>
        <v>241.33395986081777</v>
      </c>
      <c r="Z73" s="297">
        <f t="shared" si="31"/>
        <v>1</v>
      </c>
      <c r="AA73" s="298">
        <f t="shared" si="32"/>
        <v>0</v>
      </c>
      <c r="AK73" s="528">
        <f t="shared" si="13"/>
        <v>0</v>
      </c>
      <c r="AL73" s="529">
        <v>0</v>
      </c>
    </row>
    <row r="74" spans="1:39" ht="120" customHeight="1" x14ac:dyDescent="0.4">
      <c r="A74" s="243">
        <v>60</v>
      </c>
      <c r="B74" s="267" t="s">
        <v>201</v>
      </c>
      <c r="C74" s="282" t="s">
        <v>57</v>
      </c>
      <c r="D74" s="243" t="s">
        <v>88</v>
      </c>
      <c r="E74" s="243" t="s">
        <v>58</v>
      </c>
      <c r="F74" s="402" t="s">
        <v>199</v>
      </c>
      <c r="G74" s="403" t="s">
        <v>202</v>
      </c>
      <c r="H74" s="301">
        <v>1</v>
      </c>
      <c r="I74" s="301">
        <v>1</v>
      </c>
      <c r="J74" s="405">
        <v>1850</v>
      </c>
      <c r="K74" s="304">
        <f t="shared" si="33"/>
        <v>1850</v>
      </c>
      <c r="L74" s="304">
        <f t="shared" si="34"/>
        <v>138.75</v>
      </c>
      <c r="M74" s="304">
        <f t="shared" si="35"/>
        <v>482.66791972163554</v>
      </c>
      <c r="N74" s="305">
        <f t="shared" si="36"/>
        <v>2471.4179197216354</v>
      </c>
      <c r="Q74" s="353">
        <f t="shared" si="37"/>
        <v>1</v>
      </c>
      <c r="R74" s="354">
        <f t="shared" si="38"/>
        <v>1</v>
      </c>
      <c r="S74" s="360">
        <v>950</v>
      </c>
      <c r="T74" s="360">
        <v>0</v>
      </c>
      <c r="U74" s="356">
        <f t="shared" si="29"/>
        <v>1850</v>
      </c>
      <c r="V74" s="357">
        <f t="shared" si="39"/>
        <v>0</v>
      </c>
      <c r="W74" s="358">
        <f t="shared" si="40"/>
        <v>0</v>
      </c>
      <c r="X74" s="358">
        <f t="shared" si="41"/>
        <v>0</v>
      </c>
      <c r="Y74" s="359">
        <f t="shared" si="30"/>
        <v>482.66791972163554</v>
      </c>
      <c r="Z74" s="297">
        <f t="shared" si="31"/>
        <v>1</v>
      </c>
      <c r="AA74" s="298">
        <f t="shared" si="32"/>
        <v>0</v>
      </c>
      <c r="AK74" s="528">
        <f t="shared" si="13"/>
        <v>0</v>
      </c>
      <c r="AL74" s="529">
        <v>0</v>
      </c>
    </row>
    <row r="75" spans="1:39" ht="120" customHeight="1" x14ac:dyDescent="0.4">
      <c r="A75" s="243">
        <v>61</v>
      </c>
      <c r="B75" s="267" t="s">
        <v>203</v>
      </c>
      <c r="C75" s="282" t="s">
        <v>57</v>
      </c>
      <c r="D75" s="243" t="s">
        <v>88</v>
      </c>
      <c r="E75" s="243" t="s">
        <v>58</v>
      </c>
      <c r="F75" s="402" t="s">
        <v>204</v>
      </c>
      <c r="G75" s="403" t="s">
        <v>205</v>
      </c>
      <c r="H75" s="301">
        <v>1</v>
      </c>
      <c r="I75" s="301">
        <v>1</v>
      </c>
      <c r="J75" s="405">
        <v>1850</v>
      </c>
      <c r="K75" s="304">
        <f t="shared" si="33"/>
        <v>1850</v>
      </c>
      <c r="L75" s="304">
        <f t="shared" si="34"/>
        <v>138.75</v>
      </c>
      <c r="M75" s="304">
        <f t="shared" si="35"/>
        <v>482.66791972163554</v>
      </c>
      <c r="N75" s="305">
        <f t="shared" si="36"/>
        <v>2471.4179197216354</v>
      </c>
      <c r="Q75" s="353">
        <f t="shared" si="37"/>
        <v>1</v>
      </c>
      <c r="R75" s="354">
        <f t="shared" si="38"/>
        <v>1</v>
      </c>
      <c r="S75" s="360">
        <f>J75</f>
        <v>1850</v>
      </c>
      <c r="T75" s="360">
        <v>0</v>
      </c>
      <c r="U75" s="356">
        <f t="shared" si="29"/>
        <v>1850</v>
      </c>
      <c r="V75" s="357">
        <f t="shared" si="39"/>
        <v>0</v>
      </c>
      <c r="W75" s="358">
        <f t="shared" si="40"/>
        <v>0</v>
      </c>
      <c r="X75" s="358">
        <f t="shared" si="41"/>
        <v>0</v>
      </c>
      <c r="Y75" s="359">
        <f t="shared" si="30"/>
        <v>482.66791972163554</v>
      </c>
      <c r="Z75" s="297">
        <f t="shared" si="31"/>
        <v>1</v>
      </c>
      <c r="AA75" s="298">
        <f t="shared" si="32"/>
        <v>0</v>
      </c>
      <c r="AK75" s="528">
        <f t="shared" si="13"/>
        <v>0</v>
      </c>
      <c r="AL75" s="529">
        <v>0</v>
      </c>
    </row>
    <row r="76" spans="1:39" ht="120" customHeight="1" x14ac:dyDescent="0.4">
      <c r="A76" s="243">
        <v>62</v>
      </c>
      <c r="B76" s="267" t="s">
        <v>206</v>
      </c>
      <c r="C76" s="282" t="s">
        <v>57</v>
      </c>
      <c r="D76" s="243" t="s">
        <v>88</v>
      </c>
      <c r="E76" s="243" t="s">
        <v>58</v>
      </c>
      <c r="F76" s="402" t="s">
        <v>207</v>
      </c>
      <c r="G76" s="403" t="s">
        <v>208</v>
      </c>
      <c r="H76" s="301">
        <v>1</v>
      </c>
      <c r="I76" s="301">
        <v>1</v>
      </c>
      <c r="J76" s="405">
        <v>1550</v>
      </c>
      <c r="K76" s="304">
        <f t="shared" si="33"/>
        <v>1550</v>
      </c>
      <c r="L76" s="304">
        <f t="shared" si="34"/>
        <v>116.25</v>
      </c>
      <c r="M76" s="304">
        <f t="shared" si="35"/>
        <v>404.39744625326222</v>
      </c>
      <c r="N76" s="305">
        <f t="shared" si="36"/>
        <v>2070.6474462532624</v>
      </c>
      <c r="Q76" s="353">
        <f t="shared" si="37"/>
        <v>1</v>
      </c>
      <c r="R76" s="354">
        <f t="shared" si="38"/>
        <v>1</v>
      </c>
      <c r="S76" s="360">
        <v>1800</v>
      </c>
      <c r="T76" s="360">
        <v>0</v>
      </c>
      <c r="U76" s="356">
        <f t="shared" si="29"/>
        <v>1550</v>
      </c>
      <c r="V76" s="357">
        <f t="shared" si="39"/>
        <v>0</v>
      </c>
      <c r="W76" s="358">
        <f t="shared" si="40"/>
        <v>0</v>
      </c>
      <c r="X76" s="358">
        <f t="shared" si="41"/>
        <v>0</v>
      </c>
      <c r="Y76" s="359">
        <f t="shared" si="30"/>
        <v>404.39744625326222</v>
      </c>
      <c r="Z76" s="297">
        <f t="shared" si="31"/>
        <v>1</v>
      </c>
      <c r="AA76" s="298">
        <f t="shared" si="32"/>
        <v>0</v>
      </c>
      <c r="AK76" s="528">
        <f t="shared" si="13"/>
        <v>0</v>
      </c>
      <c r="AL76" s="529">
        <v>0</v>
      </c>
    </row>
    <row r="77" spans="1:39" ht="120" customHeight="1" x14ac:dyDescent="0.45">
      <c r="A77" s="243">
        <v>63</v>
      </c>
      <c r="B77" s="267" t="s">
        <v>209</v>
      </c>
      <c r="C77" s="282" t="s">
        <v>57</v>
      </c>
      <c r="D77" s="243" t="s">
        <v>88</v>
      </c>
      <c r="E77" s="243" t="s">
        <v>58</v>
      </c>
      <c r="F77" s="402" t="s">
        <v>210</v>
      </c>
      <c r="G77" s="403" t="s">
        <v>211</v>
      </c>
      <c r="H77" s="301">
        <v>1</v>
      </c>
      <c r="I77" s="404">
        <v>1</v>
      </c>
      <c r="J77" s="405">
        <v>2750</v>
      </c>
      <c r="K77" s="304">
        <f t="shared" si="33"/>
        <v>2750</v>
      </c>
      <c r="L77" s="304">
        <f t="shared" si="34"/>
        <v>206.25</v>
      </c>
      <c r="M77" s="304">
        <f t="shared" si="35"/>
        <v>717.47934012675557</v>
      </c>
      <c r="N77" s="305">
        <f t="shared" si="36"/>
        <v>3673.7293401267557</v>
      </c>
      <c r="Q77" s="353">
        <f t="shared" si="37"/>
        <v>1</v>
      </c>
      <c r="R77" s="354">
        <f t="shared" si="38"/>
        <v>1</v>
      </c>
      <c r="S77" s="355">
        <v>6000</v>
      </c>
      <c r="T77" s="355">
        <f t="shared" ref="T77:T80" si="42">IF(Q77&lt;&gt;"",Q77*R77*S77,"")</f>
        <v>6000</v>
      </c>
      <c r="U77" s="356">
        <f t="shared" si="29"/>
        <v>-3250</v>
      </c>
      <c r="V77" s="357">
        <f t="shared" si="39"/>
        <v>0</v>
      </c>
      <c r="W77" s="358">
        <f t="shared" si="40"/>
        <v>0</v>
      </c>
      <c r="X77" s="358">
        <f t="shared" si="41"/>
        <v>6000</v>
      </c>
      <c r="Y77" s="359">
        <f t="shared" si="30"/>
        <v>6717.4793401267552</v>
      </c>
      <c r="Z77" s="297">
        <f t="shared" si="31"/>
        <v>-1.1818181818181819</v>
      </c>
      <c r="AA77" s="298">
        <f t="shared" si="32"/>
        <v>0.254612734031538</v>
      </c>
      <c r="AC77" s="324">
        <v>0</v>
      </c>
      <c r="AD77" s="325">
        <f>T77-AC77</f>
        <v>6000</v>
      </c>
      <c r="AE77" s="326">
        <v>46042</v>
      </c>
      <c r="AG77" s="327" t="s">
        <v>79</v>
      </c>
      <c r="AH77" s="328" t="s">
        <v>79</v>
      </c>
      <c r="AK77" s="528">
        <f t="shared" si="13"/>
        <v>0</v>
      </c>
      <c r="AL77" s="529">
        <v>6000</v>
      </c>
      <c r="AM77" s="525" t="s">
        <v>821</v>
      </c>
    </row>
    <row r="78" spans="1:39" ht="120" customHeight="1" x14ac:dyDescent="0.45">
      <c r="A78" s="243">
        <v>64</v>
      </c>
      <c r="B78" s="267" t="s">
        <v>212</v>
      </c>
      <c r="C78" s="282" t="s">
        <v>57</v>
      </c>
      <c r="D78" s="243" t="s">
        <v>88</v>
      </c>
      <c r="E78" s="243" t="s">
        <v>58</v>
      </c>
      <c r="F78" s="402" t="s">
        <v>213</v>
      </c>
      <c r="G78" s="403" t="s">
        <v>214</v>
      </c>
      <c r="H78" s="301">
        <v>6</v>
      </c>
      <c r="I78" s="301">
        <v>5</v>
      </c>
      <c r="J78" s="405">
        <v>340</v>
      </c>
      <c r="K78" s="303">
        <f t="shared" si="33"/>
        <v>10200</v>
      </c>
      <c r="L78" s="303">
        <f t="shared" si="34"/>
        <v>765</v>
      </c>
      <c r="M78" s="303">
        <f t="shared" si="35"/>
        <v>2661.1960979246933</v>
      </c>
      <c r="N78" s="315">
        <f t="shared" si="36"/>
        <v>13626.196097924694</v>
      </c>
      <c r="Q78" s="415">
        <v>1</v>
      </c>
      <c r="R78" s="408">
        <v>1</v>
      </c>
      <c r="S78" s="371">
        <v>8515.2000000000007</v>
      </c>
      <c r="T78" s="371">
        <f t="shared" si="42"/>
        <v>8515.2000000000007</v>
      </c>
      <c r="U78" s="417">
        <f t="shared" si="29"/>
        <v>1684.7999999999993</v>
      </c>
      <c r="V78" s="418">
        <f t="shared" si="39"/>
        <v>0</v>
      </c>
      <c r="W78" s="419">
        <f t="shared" si="40"/>
        <v>0</v>
      </c>
      <c r="X78" s="419">
        <f t="shared" si="41"/>
        <v>8515.2000000000007</v>
      </c>
      <c r="Y78" s="312">
        <f t="shared" si="30"/>
        <v>11176.396097924695</v>
      </c>
      <c r="Z78" s="297">
        <f t="shared" si="31"/>
        <v>0.16517647058823523</v>
      </c>
      <c r="AA78" s="298">
        <f t="shared" si="32"/>
        <v>0.36134639213755881</v>
      </c>
      <c r="AC78" s="324">
        <v>0</v>
      </c>
      <c r="AD78" s="325">
        <f>T78-AC78</f>
        <v>8515.2000000000007</v>
      </c>
      <c r="AE78" s="326">
        <v>46041</v>
      </c>
      <c r="AG78" s="327" t="s">
        <v>79</v>
      </c>
      <c r="AH78" s="328" t="s">
        <v>79</v>
      </c>
      <c r="AK78" s="528">
        <f t="shared" si="13"/>
        <v>0</v>
      </c>
      <c r="AL78" s="529">
        <v>8515.2000000000007</v>
      </c>
      <c r="AM78" s="525" t="s">
        <v>803</v>
      </c>
    </row>
    <row r="79" spans="1:39" ht="120" customHeight="1" x14ac:dyDescent="0.4">
      <c r="A79" s="274">
        <v>65</v>
      </c>
      <c r="B79" s="267" t="s">
        <v>215</v>
      </c>
      <c r="C79" s="275" t="s">
        <v>57</v>
      </c>
      <c r="D79" s="274" t="s">
        <v>88</v>
      </c>
      <c r="E79" s="274" t="s">
        <v>58</v>
      </c>
      <c r="F79" s="467" t="s">
        <v>216</v>
      </c>
      <c r="G79" s="468" t="s">
        <v>217</v>
      </c>
      <c r="H79" s="331">
        <v>1</v>
      </c>
      <c r="I79" s="331">
        <v>1</v>
      </c>
      <c r="J79" s="469">
        <v>1350</v>
      </c>
      <c r="K79" s="470">
        <f t="shared" si="33"/>
        <v>1350</v>
      </c>
      <c r="L79" s="470">
        <f t="shared" si="34"/>
        <v>101.25</v>
      </c>
      <c r="M79" s="470">
        <f t="shared" si="35"/>
        <v>352.21713060768002</v>
      </c>
      <c r="N79" s="471">
        <f t="shared" si="36"/>
        <v>1803.46713060768</v>
      </c>
      <c r="Q79" s="472">
        <f t="shared" si="37"/>
        <v>1</v>
      </c>
      <c r="R79" s="473">
        <f t="shared" si="38"/>
        <v>1</v>
      </c>
      <c r="S79" s="474">
        <v>0</v>
      </c>
      <c r="T79" s="474">
        <v>1950</v>
      </c>
      <c r="U79" s="475">
        <f t="shared" si="29"/>
        <v>-600</v>
      </c>
      <c r="V79" s="476">
        <f t="shared" si="39"/>
        <v>0</v>
      </c>
      <c r="W79" s="477">
        <f t="shared" si="40"/>
        <v>0</v>
      </c>
      <c r="X79" s="477">
        <f t="shared" si="41"/>
        <v>1950</v>
      </c>
      <c r="Y79" s="478">
        <f t="shared" si="30"/>
        <v>2302.2171306076798</v>
      </c>
      <c r="Z79" s="458">
        <f t="shared" si="31"/>
        <v>-0.44444444444444442</v>
      </c>
      <c r="AA79" s="459">
        <f t="shared" si="32"/>
        <v>8.274913856024986E-2</v>
      </c>
      <c r="AK79" s="528">
        <f t="shared" si="13"/>
        <v>0</v>
      </c>
      <c r="AL79" s="529">
        <v>1950</v>
      </c>
      <c r="AM79" s="1022" t="s">
        <v>826</v>
      </c>
    </row>
    <row r="80" spans="1:39" ht="120" customHeight="1" x14ac:dyDescent="0.45">
      <c r="A80" s="243">
        <v>66</v>
      </c>
      <c r="B80" s="267" t="s">
        <v>218</v>
      </c>
      <c r="C80" s="282" t="s">
        <v>57</v>
      </c>
      <c r="D80" s="243" t="s">
        <v>88</v>
      </c>
      <c r="E80" s="243" t="s">
        <v>58</v>
      </c>
      <c r="F80" s="349" t="s">
        <v>219</v>
      </c>
      <c r="G80" s="300" t="s">
        <v>220</v>
      </c>
      <c r="H80" s="301">
        <v>1</v>
      </c>
      <c r="I80" s="301">
        <v>3</v>
      </c>
      <c r="J80" s="405">
        <v>2000</v>
      </c>
      <c r="K80" s="304">
        <f t="shared" si="33"/>
        <v>6000</v>
      </c>
      <c r="L80" s="304">
        <f t="shared" si="34"/>
        <v>450</v>
      </c>
      <c r="M80" s="304">
        <f t="shared" si="35"/>
        <v>1565.4094693674667</v>
      </c>
      <c r="N80" s="305">
        <f t="shared" si="36"/>
        <v>8015.409469367467</v>
      </c>
      <c r="Q80" s="353">
        <f t="shared" si="37"/>
        <v>1</v>
      </c>
      <c r="R80" s="354">
        <v>1</v>
      </c>
      <c r="S80" s="355">
        <v>5700</v>
      </c>
      <c r="T80" s="355">
        <f t="shared" si="42"/>
        <v>5700</v>
      </c>
      <c r="U80" s="356">
        <f t="shared" si="29"/>
        <v>300</v>
      </c>
      <c r="V80" s="357">
        <f t="shared" si="39"/>
        <v>0</v>
      </c>
      <c r="W80" s="358">
        <f t="shared" si="40"/>
        <v>0</v>
      </c>
      <c r="X80" s="358">
        <f t="shared" si="41"/>
        <v>5700</v>
      </c>
      <c r="Y80" s="359">
        <f t="shared" si="30"/>
        <v>7265.409469367467</v>
      </c>
      <c r="Z80" s="297">
        <f t="shared" si="31"/>
        <v>0.05</v>
      </c>
      <c r="AA80" s="298">
        <f t="shared" si="32"/>
        <v>0.24188209732996113</v>
      </c>
      <c r="AC80" s="324">
        <v>0</v>
      </c>
      <c r="AD80" s="325">
        <f>T80-AC80</f>
        <v>5700</v>
      </c>
      <c r="AE80" s="326">
        <v>46030</v>
      </c>
      <c r="AG80" s="327" t="s">
        <v>221</v>
      </c>
      <c r="AH80" s="328" t="s">
        <v>222</v>
      </c>
      <c r="AK80" s="528">
        <f t="shared" si="13"/>
        <v>0</v>
      </c>
      <c r="AL80" s="529">
        <v>5700</v>
      </c>
      <c r="AM80" s="525" t="s">
        <v>802</v>
      </c>
    </row>
    <row r="81" spans="1:39" ht="120" customHeight="1" x14ac:dyDescent="0.4">
      <c r="A81" s="266">
        <v>67</v>
      </c>
      <c r="B81" s="267" t="s">
        <v>223</v>
      </c>
      <c r="C81" s="268" t="s">
        <v>57</v>
      </c>
      <c r="D81" s="266" t="s">
        <v>88</v>
      </c>
      <c r="E81" s="266" t="s">
        <v>58</v>
      </c>
      <c r="F81" s="299" t="s">
        <v>224</v>
      </c>
      <c r="G81" s="300" t="s">
        <v>225</v>
      </c>
      <c r="H81" s="404">
        <v>1</v>
      </c>
      <c r="I81" s="404">
        <v>1</v>
      </c>
      <c r="J81" s="405">
        <v>20600</v>
      </c>
      <c r="K81" s="303">
        <f>IF(F81&lt;&gt;"",H81*I81*J81,"")</f>
        <v>20600</v>
      </c>
      <c r="L81" s="303">
        <f>IF(K81&lt;&gt;"",IF(D81="INTERNO",0,K81*$L$14),"")</f>
        <v>1545</v>
      </c>
      <c r="M81" s="303">
        <f>IF(K81&lt;&gt;"",IF(E81="FAT.OGGI",SUM(K81:L81)*(1/(1-$M$14)-1),L81*(1/(1-$M$14)-1)),"")</f>
        <v>5374.5725114949691</v>
      </c>
      <c r="N81" s="315">
        <f>SUM(K81:M81)</f>
        <v>27519.572511494967</v>
      </c>
      <c r="Q81" s="415">
        <f t="shared" si="37"/>
        <v>1</v>
      </c>
      <c r="R81" s="408">
        <f t="shared" si="38"/>
        <v>1</v>
      </c>
      <c r="S81" s="371">
        <v>1400</v>
      </c>
      <c r="T81" s="371">
        <f>IF(Q81&lt;&gt;"",Q81*R81*S81,"")</f>
        <v>1400</v>
      </c>
      <c r="U81" s="417">
        <f t="shared" si="29"/>
        <v>19200</v>
      </c>
      <c r="V81" s="418">
        <f>IF(Q81&lt;&gt;"",0%,"")</f>
        <v>0</v>
      </c>
      <c r="W81" s="419">
        <f>IF(Q81&lt;&gt;"",V81*U81,"")</f>
        <v>0</v>
      </c>
      <c r="X81" s="419">
        <f>IF(Q81&lt;&gt;"",W81+T81,"")</f>
        <v>1400</v>
      </c>
      <c r="Y81" s="312">
        <f t="shared" si="30"/>
        <v>6774.5725114949691</v>
      </c>
      <c r="Z81" s="297">
        <f t="shared" si="31"/>
        <v>0.93203883495145634</v>
      </c>
      <c r="AA81" s="298">
        <f t="shared" si="32"/>
        <v>5.9409637940692206E-2</v>
      </c>
      <c r="AK81" s="528">
        <f t="shared" si="13"/>
        <v>0</v>
      </c>
      <c r="AL81" s="529">
        <v>1400</v>
      </c>
      <c r="AM81" s="525" t="s">
        <v>796</v>
      </c>
    </row>
    <row r="82" spans="1:39" ht="120" customHeight="1" x14ac:dyDescent="0.4">
      <c r="A82" s="266">
        <v>68</v>
      </c>
      <c r="B82" s="267" t="s">
        <v>226</v>
      </c>
      <c r="C82" s="268" t="s">
        <v>57</v>
      </c>
      <c r="D82" s="266" t="s">
        <v>88</v>
      </c>
      <c r="E82" s="266" t="s">
        <v>58</v>
      </c>
      <c r="F82" s="299" t="s">
        <v>224</v>
      </c>
      <c r="G82" s="300" t="s">
        <v>227</v>
      </c>
      <c r="H82" s="404">
        <v>1</v>
      </c>
      <c r="I82" s="404">
        <v>1</v>
      </c>
      <c r="J82" s="405">
        <v>14000</v>
      </c>
      <c r="K82" s="303">
        <f>IF(F82&lt;&gt;"",H82*I82*J82,"")</f>
        <v>14000</v>
      </c>
      <c r="L82" s="303">
        <f>IF(K82&lt;&gt;"",IF(D82="INTERNO",0,K82*$L$14),"")</f>
        <v>1050</v>
      </c>
      <c r="M82" s="303">
        <f>IF(K82&lt;&gt;"",IF(E82="FAT.OGGI",SUM(K82:L82)*(1/(1-$M$14)-1),L82*(1/(1-$M$14)-1)),"")</f>
        <v>3652.6220951907553</v>
      </c>
      <c r="N82" s="315">
        <f>SUM(K82:M82)</f>
        <v>18702.622095190756</v>
      </c>
      <c r="Q82" s="415">
        <f t="shared" si="37"/>
        <v>1</v>
      </c>
      <c r="R82" s="408">
        <f t="shared" si="38"/>
        <v>1</v>
      </c>
      <c r="S82" s="466">
        <v>0</v>
      </c>
      <c r="T82" s="466">
        <f>IF(Q82&lt;&gt;"",Q82*R82*S82,"")</f>
        <v>0</v>
      </c>
      <c r="U82" s="417">
        <f t="shared" si="29"/>
        <v>14000</v>
      </c>
      <c r="V82" s="418">
        <f>IF(Q82&lt;&gt;"",0%,"")</f>
        <v>0</v>
      </c>
      <c r="W82" s="419">
        <f>IF(Q82&lt;&gt;"",V82*U82,"")</f>
        <v>0</v>
      </c>
      <c r="X82" s="419">
        <f>IF(Q82&lt;&gt;"",W82+T82,"")</f>
        <v>0</v>
      </c>
      <c r="Y82" s="312">
        <f t="shared" si="30"/>
        <v>3652.6220951907553</v>
      </c>
      <c r="Z82" s="297">
        <f t="shared" si="31"/>
        <v>1</v>
      </c>
      <c r="AA82" s="298">
        <f>T82/$T$85</f>
        <v>0</v>
      </c>
      <c r="AK82" s="528">
        <f t="shared" ref="AK82:AK105" si="43">X82-AL82</f>
        <v>0</v>
      </c>
      <c r="AL82" s="529">
        <v>0</v>
      </c>
    </row>
    <row r="83" spans="1:39" ht="120" customHeight="1" x14ac:dyDescent="0.45">
      <c r="A83" s="266">
        <v>69</v>
      </c>
      <c r="B83" s="267" t="s">
        <v>228</v>
      </c>
      <c r="C83" s="268" t="s">
        <v>57</v>
      </c>
      <c r="D83" s="266" t="s">
        <v>88</v>
      </c>
      <c r="E83" s="266" t="s">
        <v>58</v>
      </c>
      <c r="F83" s="299" t="s">
        <v>224</v>
      </c>
      <c r="G83" s="411" t="s">
        <v>229</v>
      </c>
      <c r="H83" s="404">
        <v>1</v>
      </c>
      <c r="I83" s="404">
        <v>1</v>
      </c>
      <c r="J83" s="405">
        <v>14000</v>
      </c>
      <c r="K83" s="303">
        <f>IF(F83&lt;&gt;"",H83*I83*J83,"")</f>
        <v>14000</v>
      </c>
      <c r="L83" s="303">
        <f>IF(K83&lt;&gt;"",IF(D83="INTERNO",0,K83*$L$14),"")</f>
        <v>1050</v>
      </c>
      <c r="M83" s="303">
        <f>IF(K83&lt;&gt;"",IF(E83="FAT.OGGI",SUM(K83:L83)*(1/(1-$M$14)-1),L83*(1/(1-$M$14)-1)),"")</f>
        <v>3652.6220951907553</v>
      </c>
      <c r="N83" s="315">
        <f>SUM(K83:M83)</f>
        <v>18702.622095190756</v>
      </c>
      <c r="Q83" s="415">
        <f t="shared" si="37"/>
        <v>1</v>
      </c>
      <c r="R83" s="408">
        <f t="shared" si="38"/>
        <v>1</v>
      </c>
      <c r="S83" s="479">
        <f>1400+3476.01</f>
        <v>4876.01</v>
      </c>
      <c r="T83" s="466">
        <v>0</v>
      </c>
      <c r="U83" s="417">
        <f t="shared" si="29"/>
        <v>14000</v>
      </c>
      <c r="V83" s="418">
        <f>IF(Q83&lt;&gt;"",0%,"")</f>
        <v>0</v>
      </c>
      <c r="W83" s="419">
        <f>IF(Q83&lt;&gt;"",V83*U83,"")</f>
        <v>0</v>
      </c>
      <c r="X83" s="419">
        <f>IF(Q83&lt;&gt;"",W83+T83,"")</f>
        <v>0</v>
      </c>
      <c r="Y83" s="312">
        <f t="shared" si="30"/>
        <v>3652.6220951907553</v>
      </c>
      <c r="Z83" s="297">
        <f t="shared" si="31"/>
        <v>1</v>
      </c>
      <c r="AA83" s="298">
        <f>T83/$T$85</f>
        <v>0</v>
      </c>
      <c r="AC83" s="324">
        <v>0</v>
      </c>
      <c r="AD83" s="325">
        <f>T83-AC83</f>
        <v>0</v>
      </c>
      <c r="AE83" s="326">
        <v>46043</v>
      </c>
      <c r="AG83" s="327" t="s">
        <v>157</v>
      </c>
      <c r="AH83" s="328" t="s">
        <v>157</v>
      </c>
      <c r="AK83" s="528">
        <f t="shared" si="43"/>
        <v>0</v>
      </c>
      <c r="AL83" s="529">
        <v>0</v>
      </c>
    </row>
    <row r="84" spans="1:39" ht="120" customHeight="1" x14ac:dyDescent="0.4">
      <c r="A84" s="274">
        <v>70</v>
      </c>
      <c r="B84" s="267" t="s">
        <v>230</v>
      </c>
      <c r="C84" s="275" t="s">
        <v>57</v>
      </c>
      <c r="D84" s="274" t="s">
        <v>88</v>
      </c>
      <c r="E84" s="274" t="s">
        <v>58</v>
      </c>
      <c r="F84" s="299" t="s">
        <v>231</v>
      </c>
      <c r="G84" s="300" t="s">
        <v>232</v>
      </c>
      <c r="H84" s="301">
        <v>1</v>
      </c>
      <c r="I84" s="301">
        <v>1</v>
      </c>
      <c r="J84" s="405">
        <v>14200</v>
      </c>
      <c r="K84" s="303">
        <f>IF(F84&lt;&gt;"",H84*I84*J84,"")</f>
        <v>14200</v>
      </c>
      <c r="L84" s="303">
        <f t="shared" si="34"/>
        <v>1065</v>
      </c>
      <c r="M84" s="303">
        <f t="shared" si="35"/>
        <v>3704.8024108363379</v>
      </c>
      <c r="N84" s="315">
        <f t="shared" si="36"/>
        <v>18969.802410836339</v>
      </c>
      <c r="Q84" s="335">
        <f t="shared" si="37"/>
        <v>1</v>
      </c>
      <c r="R84" s="336">
        <f t="shared" si="38"/>
        <v>1</v>
      </c>
      <c r="S84" s="480">
        <f>1266.2+2928</f>
        <v>4194.2</v>
      </c>
      <c r="T84" s="480">
        <v>0</v>
      </c>
      <c r="U84" s="338">
        <f t="shared" si="29"/>
        <v>14200</v>
      </c>
      <c r="V84" s="339">
        <f t="shared" si="39"/>
        <v>0</v>
      </c>
      <c r="W84" s="340">
        <f t="shared" si="40"/>
        <v>0</v>
      </c>
      <c r="X84" s="340">
        <f t="shared" si="41"/>
        <v>0</v>
      </c>
      <c r="Y84" s="323">
        <f t="shared" si="30"/>
        <v>3704.8024108363379</v>
      </c>
      <c r="Z84" s="297">
        <f t="shared" si="31"/>
        <v>1</v>
      </c>
      <c r="AA84" s="298">
        <f>T84/$T$85</f>
        <v>0</v>
      </c>
      <c r="AK84" s="528">
        <f t="shared" si="43"/>
        <v>0</v>
      </c>
      <c r="AL84" s="529">
        <v>0</v>
      </c>
    </row>
    <row r="85" spans="1:39" ht="35.1" customHeight="1" thickBot="1" x14ac:dyDescent="0.5">
      <c r="A85" s="243">
        <v>71</v>
      </c>
      <c r="B85" s="267"/>
      <c r="C85" s="282" t="s">
        <v>83</v>
      </c>
      <c r="D85" s="243"/>
      <c r="E85" s="243"/>
      <c r="F85" s="1197" t="s">
        <v>233</v>
      </c>
      <c r="G85" s="1198"/>
      <c r="H85" s="1198"/>
      <c r="I85" s="1198"/>
      <c r="J85" s="1198"/>
      <c r="K85" s="378">
        <f>SUM(K72:K84)</f>
        <v>93775</v>
      </c>
      <c r="L85" s="378">
        <f>SUM(L72:L84)</f>
        <v>7033.125</v>
      </c>
      <c r="M85" s="378">
        <f>SUM(M72:M84)</f>
        <v>24466.045498322368</v>
      </c>
      <c r="N85" s="379">
        <f>SUM(N72:N84)</f>
        <v>125274.17049832238</v>
      </c>
      <c r="P85" s="220">
        <f>SUM(P72:P84)</f>
        <v>0</v>
      </c>
      <c r="Q85" s="1218" t="s">
        <v>233</v>
      </c>
      <c r="R85" s="1219"/>
      <c r="S85" s="1219"/>
      <c r="T85" s="380">
        <f>SUM(T72:T84)</f>
        <v>23565.200000000001</v>
      </c>
      <c r="U85" s="381">
        <f>SUM(U72:U84)</f>
        <v>70209.8</v>
      </c>
      <c r="V85" s="382">
        <f>SUM(V72:V84)</f>
        <v>0</v>
      </c>
      <c r="W85" s="383"/>
      <c r="X85" s="384">
        <f>SUM(X72:X84)</f>
        <v>23565.200000000001</v>
      </c>
      <c r="Y85" s="385">
        <f t="shared" si="30"/>
        <v>48031.245498322372</v>
      </c>
      <c r="AK85" s="528"/>
      <c r="AL85" s="529"/>
    </row>
    <row r="86" spans="1:39" ht="35.1" customHeight="1" x14ac:dyDescent="0.45">
      <c r="A86" s="243">
        <v>72</v>
      </c>
      <c r="B86" s="267">
        <v>9</v>
      </c>
      <c r="C86" s="282" t="s">
        <v>48</v>
      </c>
      <c r="D86" s="243"/>
      <c r="E86" s="243"/>
      <c r="F86" s="1214" t="s">
        <v>321</v>
      </c>
      <c r="G86" s="1215"/>
      <c r="H86" s="1215"/>
      <c r="I86" s="1215"/>
      <c r="J86" s="1215"/>
      <c r="K86" s="1215"/>
      <c r="L86" s="1215"/>
      <c r="M86" s="1215"/>
      <c r="N86" s="1216"/>
      <c r="Q86" s="1214" t="str">
        <f>IF(F86&lt;&gt;"",F86,"")</f>
        <v xml:space="preserve">ALIMENTAÇÃO E HOSPEDAGEM EQUIPE </v>
      </c>
      <c r="R86" s="1215"/>
      <c r="S86" s="1215"/>
      <c r="T86" s="1215"/>
      <c r="U86" s="1215"/>
      <c r="V86" s="1215"/>
      <c r="W86" s="1215"/>
      <c r="X86" s="1215"/>
      <c r="Y86" s="1216"/>
      <c r="AK86" s="528"/>
      <c r="AL86" s="529"/>
    </row>
    <row r="87" spans="1:39" ht="35.1" customHeight="1" x14ac:dyDescent="0.45">
      <c r="A87" s="362">
        <v>73</v>
      </c>
      <c r="B87" s="267" t="s">
        <v>234</v>
      </c>
      <c r="C87" s="363" t="s">
        <v>51</v>
      </c>
      <c r="D87" s="362"/>
      <c r="E87" s="362"/>
      <c r="F87" s="1210" t="s">
        <v>321</v>
      </c>
      <c r="G87" s="1211"/>
      <c r="H87" s="1211"/>
      <c r="I87" s="1211"/>
      <c r="J87" s="1211"/>
      <c r="K87" s="1212"/>
      <c r="L87" s="481" t="s">
        <v>53</v>
      </c>
      <c r="M87" s="482" t="s">
        <v>54</v>
      </c>
      <c r="N87" s="483" t="s">
        <v>28</v>
      </c>
      <c r="O87" s="220"/>
      <c r="Q87" s="1195" t="str">
        <f>IF(F87&lt;&gt;"",F87,"")</f>
        <v xml:space="preserve">ALIMENTAÇÃO E HOSPEDAGEM EQUIPE </v>
      </c>
      <c r="R87" s="1196"/>
      <c r="S87" s="1196"/>
      <c r="T87" s="1196"/>
      <c r="U87" s="1196"/>
      <c r="V87" s="1196"/>
      <c r="W87" s="1196"/>
      <c r="X87" s="1196"/>
      <c r="Y87" s="1213"/>
      <c r="Z87" s="484" t="s">
        <v>55</v>
      </c>
      <c r="AA87" s="485" t="s">
        <v>39</v>
      </c>
      <c r="AK87" s="528"/>
      <c r="AL87" s="529"/>
    </row>
    <row r="88" spans="1:39" ht="120" customHeight="1" x14ac:dyDescent="0.4">
      <c r="A88" s="243">
        <v>74</v>
      </c>
      <c r="B88" s="267" t="s">
        <v>235</v>
      </c>
      <c r="C88" s="282" t="s">
        <v>57</v>
      </c>
      <c r="D88" s="243" t="s">
        <v>88</v>
      </c>
      <c r="E88" s="243" t="s">
        <v>58</v>
      </c>
      <c r="F88" s="329" t="s">
        <v>323</v>
      </c>
      <c r="G88" s="468" t="s">
        <v>324</v>
      </c>
      <c r="H88" s="331">
        <v>30</v>
      </c>
      <c r="I88" s="331">
        <v>10</v>
      </c>
      <c r="J88" s="333">
        <v>99</v>
      </c>
      <c r="K88" s="333">
        <f>IF(F88&lt;&gt;"",H88*I88*J88,"")</f>
        <v>29700</v>
      </c>
      <c r="L88" s="333">
        <f>IF(K88&lt;&gt;"",IF(D88="INTERNO",0,K88*$L$14),"")</f>
        <v>2227.5</v>
      </c>
      <c r="M88" s="333">
        <f>IF(K88&lt;&gt;"",IF(E88="FAT.OGGI",SUM(K88:L88)*(1/(1-$M$14)-1),L88*(1/(1-$M$14)-1)),"")</f>
        <v>7748.77687336896</v>
      </c>
      <c r="N88" s="334">
        <f>SUM(K88:M88)</f>
        <v>39676.276873368959</v>
      </c>
      <c r="Q88" s="353">
        <f>IF(H88&lt;&gt;"",H88,"")</f>
        <v>30</v>
      </c>
      <c r="R88" s="354">
        <f>IF(I88&lt;&gt;"",I88,"")</f>
        <v>10</v>
      </c>
      <c r="S88" s="360">
        <v>0</v>
      </c>
      <c r="T88" s="360">
        <f>IF(Q88&lt;&gt;"",Q88*R88*S88,"")</f>
        <v>0</v>
      </c>
      <c r="U88" s="356">
        <f>IF(Q88&lt;&gt;"",K88-T88,"")</f>
        <v>29700</v>
      </c>
      <c r="V88" s="357">
        <f>IF(Q88&lt;&gt;"",0%,"")</f>
        <v>0</v>
      </c>
      <c r="W88" s="358">
        <f>IF(Q88&lt;&gt;"",V88*U88,"")</f>
        <v>0</v>
      </c>
      <c r="X88" s="358">
        <f>IF(Q88&lt;&gt;"",W88+T88,"")</f>
        <v>0</v>
      </c>
      <c r="Y88" s="359">
        <f>IF(Q88&lt;&gt;"",X88+M88,"")</f>
        <v>7748.77687336896</v>
      </c>
      <c r="Z88" s="297">
        <f>IF(Q88&lt;&gt;"",U88/K88,"")</f>
        <v>1</v>
      </c>
      <c r="AA88" s="298"/>
      <c r="AK88" s="528">
        <f t="shared" si="43"/>
        <v>0</v>
      </c>
      <c r="AL88" s="529">
        <v>0</v>
      </c>
    </row>
    <row r="89" spans="1:39" ht="120" customHeight="1" x14ac:dyDescent="0.4">
      <c r="A89" s="243">
        <v>76</v>
      </c>
      <c r="B89" s="267" t="s">
        <v>244</v>
      </c>
      <c r="C89" s="282" t="s">
        <v>57</v>
      </c>
      <c r="D89" s="243" t="s">
        <v>88</v>
      </c>
      <c r="E89" s="243" t="s">
        <v>58</v>
      </c>
      <c r="F89" s="299" t="s">
        <v>326</v>
      </c>
      <c r="G89" s="403" t="s">
        <v>328</v>
      </c>
      <c r="H89" s="301">
        <v>7</v>
      </c>
      <c r="I89" s="301">
        <v>4</v>
      </c>
      <c r="J89" s="333">
        <v>896</v>
      </c>
      <c r="K89" s="304">
        <f>IF(F89&lt;&gt;"",H89*I89*J89,"")</f>
        <v>25088</v>
      </c>
      <c r="L89" s="304">
        <f>IF(K89&lt;&gt;"",IF(D89="INTERNO",0,K89*$L$14),"")</f>
        <v>1881.6</v>
      </c>
      <c r="M89" s="304">
        <f>IF(K89&lt;&gt;"",IF(E89="FAT.OGGI",SUM(K89:L89)*(1/(1-$M$14)-1),L89*(1/(1-$M$14)-1)),"")</f>
        <v>6545.4987945818339</v>
      </c>
      <c r="N89" s="305">
        <f>SUM(K89:M89)</f>
        <v>33515.098794581834</v>
      </c>
      <c r="Q89" s="353">
        <v>1</v>
      </c>
      <c r="R89" s="354">
        <v>1</v>
      </c>
      <c r="S89" s="360">
        <v>12000</v>
      </c>
      <c r="T89" s="360">
        <v>35729.699999999997</v>
      </c>
      <c r="U89" s="356">
        <f>IF(Q89&lt;&gt;"",K89-T89,"")</f>
        <v>-10641.699999999997</v>
      </c>
      <c r="V89" s="357">
        <f>IF(Q89&lt;&gt;"",0%,"")</f>
        <v>0</v>
      </c>
      <c r="W89" s="358">
        <f>IF(Q89&lt;&gt;"",V89*U89,"")</f>
        <v>0</v>
      </c>
      <c r="X89" s="358">
        <f>IF(Q89&lt;&gt;"",W89+T89,"")</f>
        <v>35729.699999999997</v>
      </c>
      <c r="Y89" s="359">
        <f>IF(Q89&lt;&gt;"",X89+M89,"")</f>
        <v>42275.198794581833</v>
      </c>
      <c r="Z89" s="297">
        <f>IF(Q89&lt;&gt;"",U89/K89,"")</f>
        <v>-0.4241749043367346</v>
      </c>
      <c r="AA89" s="298"/>
      <c r="AK89" s="528">
        <f t="shared" si="43"/>
        <v>0</v>
      </c>
      <c r="AL89" s="529">
        <f>31318.2+4411.5</f>
        <v>35729.699999999997</v>
      </c>
      <c r="AM89" s="1022" t="s">
        <v>832</v>
      </c>
    </row>
    <row r="90" spans="1:39" ht="120" customHeight="1" x14ac:dyDescent="0.4">
      <c r="A90" s="266">
        <v>77</v>
      </c>
      <c r="B90" s="267" t="s">
        <v>249</v>
      </c>
      <c r="C90" s="268" t="s">
        <v>57</v>
      </c>
      <c r="D90" s="266" t="s">
        <v>88</v>
      </c>
      <c r="E90" s="266" t="s">
        <v>58</v>
      </c>
      <c r="F90" s="299" t="s">
        <v>326</v>
      </c>
      <c r="G90" s="403" t="s">
        <v>329</v>
      </c>
      <c r="H90" s="301">
        <v>1</v>
      </c>
      <c r="I90" s="301">
        <v>3</v>
      </c>
      <c r="J90" s="303">
        <v>896</v>
      </c>
      <c r="K90" s="303">
        <f>IF(F90&lt;&gt;"",H90*I90*J90,"")</f>
        <v>2688</v>
      </c>
      <c r="L90" s="303">
        <f>IF(K90&lt;&gt;"",IF(D90="INTERNO",0,K90*$L$14),"")</f>
        <v>201.6</v>
      </c>
      <c r="M90" s="303">
        <f>IF(K90&lt;&gt;"",IF(E90="FAT.OGGI",SUM(K90:L90)*(1/(1-$M$14)-1),L90*(1/(1-$M$14)-1)),"")</f>
        <v>701.30344227662499</v>
      </c>
      <c r="N90" s="315">
        <f>SUM(K90:M90)</f>
        <v>3590.9034422766249</v>
      </c>
      <c r="Q90" s="415">
        <f>IF(H90&lt;&gt;"",H90,"")</f>
        <v>1</v>
      </c>
      <c r="R90" s="408">
        <f>IF(I90&lt;&gt;"",I90,"")</f>
        <v>3</v>
      </c>
      <c r="S90" s="466">
        <v>0</v>
      </c>
      <c r="T90" s="466">
        <f>IF(Q90&lt;&gt;"",Q90*R90*S90,"")</f>
        <v>0</v>
      </c>
      <c r="U90" s="417">
        <f>IF(Q90&lt;&gt;"",K90-T90,"")</f>
        <v>2688</v>
      </c>
      <c r="V90" s="418">
        <f>IF(Q90&lt;&gt;"",0%,"")</f>
        <v>0</v>
      </c>
      <c r="W90" s="419">
        <f>IF(Q90&lt;&gt;"",V90*U90,"")</f>
        <v>0</v>
      </c>
      <c r="X90" s="419">
        <f>IF(Q90&lt;&gt;"",W90+T90,"")</f>
        <v>0</v>
      </c>
      <c r="Y90" s="312">
        <f>IF(Q90&lt;&gt;"",X90+M90,"")</f>
        <v>701.30344227662499</v>
      </c>
      <c r="Z90" s="297">
        <f>IF(Q90&lt;&gt;"",U90/K90,"")</f>
        <v>1</v>
      </c>
      <c r="AA90" s="298"/>
      <c r="AK90" s="528">
        <f t="shared" si="43"/>
        <v>0</v>
      </c>
      <c r="AL90" s="529">
        <v>0</v>
      </c>
    </row>
    <row r="91" spans="1:39" ht="120" customHeight="1" thickBot="1" x14ac:dyDescent="0.45">
      <c r="A91" s="362">
        <v>78</v>
      </c>
      <c r="B91" s="267" t="s">
        <v>254</v>
      </c>
      <c r="C91" s="363" t="s">
        <v>57</v>
      </c>
      <c r="D91" s="362" t="s">
        <v>88</v>
      </c>
      <c r="E91" s="486" t="s">
        <v>280</v>
      </c>
      <c r="F91" s="487" t="s">
        <v>326</v>
      </c>
      <c r="G91" s="488" t="s">
        <v>330</v>
      </c>
      <c r="H91" s="489">
        <v>3</v>
      </c>
      <c r="I91" s="489">
        <v>5</v>
      </c>
      <c r="J91" s="490">
        <v>896</v>
      </c>
      <c r="K91" s="490">
        <f>IF(F91&lt;&gt;"",H91*I91*J91,"")</f>
        <v>13440</v>
      </c>
      <c r="L91" s="303">
        <f>IF(K91&lt;&gt;"",IF(D91="INTERNO",0,K91*$L$14),"")</f>
        <v>1008</v>
      </c>
      <c r="M91" s="303">
        <f>IF(K91&lt;&gt;"",IF(E91="FAT.OGGI",SUM(K91:L91)*(1/(1-$M$14)-1),L91*(1/(1-$M$14)-1)),"")</f>
        <v>244.64073567789245</v>
      </c>
      <c r="N91" s="491">
        <f>SUM(K91:M91)</f>
        <v>14692.640735677893</v>
      </c>
      <c r="Q91" s="306">
        <f>IF(H91&lt;&gt;"",H91,"")</f>
        <v>3</v>
      </c>
      <c r="R91" s="307">
        <f>IF(I91&lt;&gt;"",I91,"")</f>
        <v>5</v>
      </c>
      <c r="S91" s="308">
        <v>0</v>
      </c>
      <c r="T91" s="308">
        <f>IF(Q91&lt;&gt;"",Q91*R91*S91,"")</f>
        <v>0</v>
      </c>
      <c r="U91" s="309">
        <f>IF(Q91&lt;&gt;"",K91-T91,"")</f>
        <v>13440</v>
      </c>
      <c r="V91" s="310">
        <f>IF(Q91&lt;&gt;"",0%,"")</f>
        <v>0</v>
      </c>
      <c r="W91" s="311">
        <f>IF(Q91&lt;&gt;"",V91*U91,"")</f>
        <v>0</v>
      </c>
      <c r="X91" s="311">
        <f>IF(Q91&lt;&gt;"",W91+T91,"")</f>
        <v>0</v>
      </c>
      <c r="Y91" s="312">
        <f>IF(Q91&lt;&gt;"",X91+M91,"")</f>
        <v>244.64073567789245</v>
      </c>
      <c r="Z91" s="492">
        <f>IF(Q91&lt;&gt;"",U91/K91,"")</f>
        <v>1</v>
      </c>
      <c r="AA91" s="298">
        <f>T91/T92</f>
        <v>0</v>
      </c>
      <c r="AK91" s="528">
        <f t="shared" si="43"/>
        <v>0</v>
      </c>
      <c r="AL91" s="529">
        <v>0</v>
      </c>
    </row>
    <row r="92" spans="1:39" ht="35.1" customHeight="1" thickBot="1" x14ac:dyDescent="0.5">
      <c r="A92" s="362">
        <v>79</v>
      </c>
      <c r="B92" s="267"/>
      <c r="C92" s="363" t="s">
        <v>331</v>
      </c>
      <c r="D92" s="362"/>
      <c r="E92" s="362"/>
      <c r="F92" s="1206" t="s">
        <v>318</v>
      </c>
      <c r="G92" s="1207"/>
      <c r="H92" s="1207"/>
      <c r="I92" s="1207"/>
      <c r="J92" s="1207"/>
      <c r="K92" s="493">
        <f>SUM(K88:K91)</f>
        <v>70916</v>
      </c>
      <c r="L92" s="493">
        <f>SUM(L88:L91)</f>
        <v>5318.7000000000007</v>
      </c>
      <c r="M92" s="493">
        <f>SUM(M88:M91)</f>
        <v>15240.219845905312</v>
      </c>
      <c r="N92" s="494">
        <f>SUM(N88:N91)</f>
        <v>91474.919845905315</v>
      </c>
      <c r="O92" s="220"/>
      <c r="Q92" s="1208" t="s">
        <v>318</v>
      </c>
      <c r="R92" s="1209"/>
      <c r="S92" s="1209"/>
      <c r="T92" s="495">
        <f>SUM(T88:T91)</f>
        <v>35729.699999999997</v>
      </c>
      <c r="U92" s="496">
        <f>SUM(U88:U91)</f>
        <v>35186.300000000003</v>
      </c>
      <c r="V92" s="497"/>
      <c r="W92" s="497"/>
      <c r="X92" s="498">
        <f>SUM(X88:X91)</f>
        <v>35729.699999999997</v>
      </c>
      <c r="Y92" s="499">
        <f>IF(Q92&lt;&gt;"",X92+M92,"")</f>
        <v>50969.919845905308</v>
      </c>
      <c r="Z92" s="500" t="s">
        <v>275</v>
      </c>
      <c r="AA92" s="501" t="s">
        <v>276</v>
      </c>
      <c r="AK92" s="528"/>
      <c r="AL92" s="529"/>
    </row>
    <row r="93" spans="1:39" ht="35.1" customHeight="1" thickBot="1" x14ac:dyDescent="0.5">
      <c r="A93" s="243">
        <v>80</v>
      </c>
      <c r="B93" s="267">
        <v>10</v>
      </c>
      <c r="C93" s="282" t="s">
        <v>48</v>
      </c>
      <c r="D93" s="243"/>
      <c r="E93" s="243"/>
      <c r="F93" s="1199" t="s">
        <v>88</v>
      </c>
      <c r="G93" s="1200"/>
      <c r="H93" s="1200"/>
      <c r="I93" s="1200"/>
      <c r="J93" s="1200"/>
      <c r="K93" s="1200"/>
      <c r="L93" s="1200"/>
      <c r="M93" s="1200"/>
      <c r="N93" s="1201"/>
      <c r="Q93" s="1214" t="str">
        <f>IF(F93&lt;&gt;"",F93,"")</f>
        <v>OPERACIONAL</v>
      </c>
      <c r="R93" s="1215"/>
      <c r="S93" s="1215"/>
      <c r="T93" s="1215"/>
      <c r="U93" s="1215"/>
      <c r="V93" s="1215"/>
      <c r="W93" s="1215"/>
      <c r="X93" s="1215"/>
      <c r="Y93" s="1216"/>
      <c r="AK93" s="528"/>
      <c r="AL93" s="529"/>
    </row>
    <row r="94" spans="1:39" ht="35.1" customHeight="1" x14ac:dyDescent="0.45">
      <c r="A94" s="243">
        <v>81</v>
      </c>
      <c r="B94" s="267" t="s">
        <v>690</v>
      </c>
      <c r="C94" s="282" t="s">
        <v>51</v>
      </c>
      <c r="D94" s="243"/>
      <c r="E94" s="243"/>
      <c r="F94" s="1202" t="s">
        <v>88</v>
      </c>
      <c r="G94" s="1203"/>
      <c r="H94" s="1203"/>
      <c r="I94" s="1203"/>
      <c r="J94" s="1203"/>
      <c r="K94" s="1204"/>
      <c r="L94" s="276" t="s">
        <v>53</v>
      </c>
      <c r="M94" s="277" t="s">
        <v>54</v>
      </c>
      <c r="N94" s="278" t="s">
        <v>28</v>
      </c>
      <c r="Q94" s="1202" t="str">
        <f>IF(F94&lt;&gt;"",F94,"")</f>
        <v>OPERACIONAL</v>
      </c>
      <c r="R94" s="1203"/>
      <c r="S94" s="1203"/>
      <c r="T94" s="1203"/>
      <c r="U94" s="1203"/>
      <c r="V94" s="1203"/>
      <c r="W94" s="1203"/>
      <c r="X94" s="1203"/>
      <c r="Y94" s="1220"/>
      <c r="Z94" s="280" t="s">
        <v>55</v>
      </c>
      <c r="AA94" s="281" t="s">
        <v>39</v>
      </c>
      <c r="AK94" s="528"/>
      <c r="AL94" s="529"/>
    </row>
    <row r="95" spans="1:39" ht="120" customHeight="1" x14ac:dyDescent="0.45">
      <c r="A95" s="243">
        <v>82</v>
      </c>
      <c r="B95" s="267" t="s">
        <v>691</v>
      </c>
      <c r="C95" s="282" t="s">
        <v>57</v>
      </c>
      <c r="D95" s="243" t="s">
        <v>88</v>
      </c>
      <c r="E95" s="243" t="s">
        <v>58</v>
      </c>
      <c r="F95" s="299" t="s">
        <v>236</v>
      </c>
      <c r="G95" s="300" t="s">
        <v>237</v>
      </c>
      <c r="H95" s="404">
        <v>2</v>
      </c>
      <c r="I95" s="404">
        <v>4</v>
      </c>
      <c r="J95" s="405">
        <v>950</v>
      </c>
      <c r="K95" s="304">
        <f t="shared" ref="K95:K105" si="44">IF(F95&lt;&gt;"",H95*I95*J95,"")</f>
        <v>7600</v>
      </c>
      <c r="L95" s="304">
        <f t="shared" ref="L95:L105" si="45">IF(K95&lt;&gt;"",IF(D95="INTERNO",0,K95*$L$14),"")</f>
        <v>570</v>
      </c>
      <c r="M95" s="304">
        <f t="shared" ref="M95:M105" si="46">IF(K95&lt;&gt;"",IF(E95="FAT.OGGI",SUM(K95:L95)*(1/(1-$M$14)-1),L95*(1/(1-$M$14)-1)),"")</f>
        <v>1982.8519945321243</v>
      </c>
      <c r="N95" s="305">
        <f t="shared" ref="N95:N105" si="47">SUM(K95:M95)</f>
        <v>10152.851994532124</v>
      </c>
      <c r="Q95" s="353">
        <v>1</v>
      </c>
      <c r="R95" s="354">
        <v>1</v>
      </c>
      <c r="S95" s="355">
        <v>29713.68</v>
      </c>
      <c r="T95" s="355">
        <v>6750</v>
      </c>
      <c r="U95" s="356">
        <f t="shared" ref="U95:U105" si="48">IF(Q95&lt;&gt;"",K95-T95,"")</f>
        <v>850</v>
      </c>
      <c r="V95" s="357">
        <f t="shared" ref="V95:V105" si="49">IF(Q95&lt;&gt;"",0%,"")</f>
        <v>0</v>
      </c>
      <c r="W95" s="358">
        <f t="shared" ref="W95:W105" si="50">IF(Q95&lt;&gt;"",V95*U95,"")</f>
        <v>0</v>
      </c>
      <c r="X95" s="358">
        <f t="shared" ref="X95:X105" si="51">IF(Q95&lt;&gt;"",W95+T95,"")</f>
        <v>6750</v>
      </c>
      <c r="Y95" s="359">
        <f t="shared" ref="Y95:Y106" si="52">IF(Q95&lt;&gt;"",X95+M95,"")</f>
        <v>8732.8519945321241</v>
      </c>
      <c r="Z95" s="297">
        <f t="shared" ref="Z95:Z105" si="53">IF(Q95&lt;&gt;"",U95/K95,"")</f>
        <v>0.1118421052631579</v>
      </c>
      <c r="AA95" s="298">
        <f t="shared" ref="AA95:AA103" si="54">T95/$T$106</f>
        <v>4.1141412726629759E-2</v>
      </c>
      <c r="AC95" s="324">
        <v>0</v>
      </c>
      <c r="AD95" s="325">
        <f>T95-AC95</f>
        <v>6750</v>
      </c>
      <c r="AE95" s="326">
        <v>46028</v>
      </c>
      <c r="AG95" s="327" t="s">
        <v>238</v>
      </c>
      <c r="AH95" s="328" t="s">
        <v>239</v>
      </c>
      <c r="AK95" s="528">
        <f t="shared" si="43"/>
        <v>0</v>
      </c>
      <c r="AL95" s="529">
        <f>3000+3000+750</f>
        <v>6750</v>
      </c>
      <c r="AM95" s="1022" t="s">
        <v>829</v>
      </c>
    </row>
    <row r="96" spans="1:39" ht="120" customHeight="1" x14ac:dyDescent="0.45">
      <c r="A96" s="243">
        <v>83</v>
      </c>
      <c r="B96" s="267" t="s">
        <v>692</v>
      </c>
      <c r="C96" s="282" t="s">
        <v>57</v>
      </c>
      <c r="D96" s="243" t="s">
        <v>88</v>
      </c>
      <c r="E96" s="243" t="s">
        <v>58</v>
      </c>
      <c r="F96" s="299" t="s">
        <v>240</v>
      </c>
      <c r="G96" s="300" t="s">
        <v>241</v>
      </c>
      <c r="H96" s="404">
        <v>1</v>
      </c>
      <c r="I96" s="404">
        <v>5</v>
      </c>
      <c r="J96" s="405">
        <v>850</v>
      </c>
      <c r="K96" s="304">
        <f t="shared" si="44"/>
        <v>4250</v>
      </c>
      <c r="L96" s="304">
        <f t="shared" si="45"/>
        <v>318.75</v>
      </c>
      <c r="M96" s="304">
        <f t="shared" si="46"/>
        <v>1108.8317074686222</v>
      </c>
      <c r="N96" s="305">
        <f t="shared" si="47"/>
        <v>5677.581707468622</v>
      </c>
      <c r="Q96" s="353">
        <f t="shared" ref="Q96:R100" si="55">IF(H96&lt;&gt;"",H96,"")</f>
        <v>1</v>
      </c>
      <c r="R96" s="354">
        <v>0</v>
      </c>
      <c r="S96" s="360">
        <v>850</v>
      </c>
      <c r="T96" s="360">
        <v>6500</v>
      </c>
      <c r="U96" s="356">
        <f t="shared" si="48"/>
        <v>-2250</v>
      </c>
      <c r="V96" s="357">
        <f t="shared" si="49"/>
        <v>0</v>
      </c>
      <c r="W96" s="358">
        <f t="shared" si="50"/>
        <v>0</v>
      </c>
      <c r="X96" s="358">
        <f t="shared" si="51"/>
        <v>6500</v>
      </c>
      <c r="Y96" s="359">
        <f t="shared" si="52"/>
        <v>7608.831707468622</v>
      </c>
      <c r="Z96" s="297">
        <f t="shared" si="53"/>
        <v>-0.52941176470588236</v>
      </c>
      <c r="AA96" s="298">
        <f t="shared" si="54"/>
        <v>3.9617656699717542E-2</v>
      </c>
      <c r="AC96" s="324">
        <v>0</v>
      </c>
      <c r="AD96" s="325">
        <f>T96-AC96</f>
        <v>6500</v>
      </c>
      <c r="AE96" s="326">
        <v>46028</v>
      </c>
      <c r="AG96" s="327" t="s">
        <v>242</v>
      </c>
      <c r="AH96" s="328" t="s">
        <v>243</v>
      </c>
      <c r="AK96" s="528">
        <f t="shared" si="43"/>
        <v>0</v>
      </c>
      <c r="AL96" s="529">
        <f>3250+3250</f>
        <v>6500</v>
      </c>
      <c r="AM96" s="1022" t="s">
        <v>828</v>
      </c>
    </row>
    <row r="97" spans="1:39" ht="120" customHeight="1" x14ac:dyDescent="0.45">
      <c r="A97" s="243">
        <v>84</v>
      </c>
      <c r="B97" s="267" t="s">
        <v>693</v>
      </c>
      <c r="C97" s="282" t="s">
        <v>57</v>
      </c>
      <c r="D97" s="243" t="s">
        <v>88</v>
      </c>
      <c r="E97" s="243" t="s">
        <v>58</v>
      </c>
      <c r="F97" s="299" t="s">
        <v>245</v>
      </c>
      <c r="G97" s="300" t="s">
        <v>246</v>
      </c>
      <c r="H97" s="404">
        <v>3</v>
      </c>
      <c r="I97" s="404">
        <v>3</v>
      </c>
      <c r="J97" s="405">
        <v>850</v>
      </c>
      <c r="K97" s="304">
        <f t="shared" si="44"/>
        <v>7650</v>
      </c>
      <c r="L97" s="304">
        <f t="shared" si="45"/>
        <v>573.75</v>
      </c>
      <c r="M97" s="304">
        <f t="shared" si="46"/>
        <v>1995.89707344352</v>
      </c>
      <c r="N97" s="305">
        <f t="shared" si="47"/>
        <v>10219.647073443521</v>
      </c>
      <c r="Q97" s="353">
        <f t="shared" si="55"/>
        <v>3</v>
      </c>
      <c r="R97" s="354">
        <v>0</v>
      </c>
      <c r="S97" s="360">
        <v>850</v>
      </c>
      <c r="T97" s="360">
        <v>9063.68</v>
      </c>
      <c r="U97" s="356">
        <f t="shared" si="48"/>
        <v>-1413.6800000000003</v>
      </c>
      <c r="V97" s="357">
        <f t="shared" si="49"/>
        <v>0</v>
      </c>
      <c r="W97" s="358">
        <f t="shared" si="50"/>
        <v>0</v>
      </c>
      <c r="X97" s="358">
        <f t="shared" si="51"/>
        <v>9063.68</v>
      </c>
      <c r="Y97" s="359">
        <f t="shared" si="52"/>
        <v>11059.577073443521</v>
      </c>
      <c r="Z97" s="297">
        <f t="shared" si="53"/>
        <v>-0.18479477124183011</v>
      </c>
      <c r="AA97" s="298">
        <f t="shared" si="54"/>
        <v>5.5243348104014753E-2</v>
      </c>
      <c r="AC97" s="324">
        <v>0</v>
      </c>
      <c r="AD97" s="325">
        <f>T97-AC97</f>
        <v>9063.68</v>
      </c>
      <c r="AE97" s="326">
        <v>46028</v>
      </c>
      <c r="AG97" s="327" t="s">
        <v>247</v>
      </c>
      <c r="AH97" s="328" t="s">
        <v>248</v>
      </c>
      <c r="AK97" s="528">
        <f t="shared" si="43"/>
        <v>0</v>
      </c>
      <c r="AL97" s="529">
        <f>1263.68+2600+2600+2600</f>
        <v>9063.68</v>
      </c>
      <c r="AM97" s="1022" t="s">
        <v>830</v>
      </c>
    </row>
    <row r="98" spans="1:39" ht="120" customHeight="1" x14ac:dyDescent="0.45">
      <c r="A98" s="243">
        <v>85</v>
      </c>
      <c r="B98" s="267" t="s">
        <v>694</v>
      </c>
      <c r="C98" s="282" t="s">
        <v>57</v>
      </c>
      <c r="D98" s="243" t="s">
        <v>88</v>
      </c>
      <c r="E98" s="243" t="s">
        <v>58</v>
      </c>
      <c r="F98" s="299" t="s">
        <v>250</v>
      </c>
      <c r="G98" s="300" t="s">
        <v>251</v>
      </c>
      <c r="H98" s="404">
        <v>1</v>
      </c>
      <c r="I98" s="404">
        <v>3</v>
      </c>
      <c r="J98" s="405">
        <v>750</v>
      </c>
      <c r="K98" s="304">
        <f t="shared" si="44"/>
        <v>2250</v>
      </c>
      <c r="L98" s="304">
        <f t="shared" si="45"/>
        <v>168.75</v>
      </c>
      <c r="M98" s="304">
        <f t="shared" si="46"/>
        <v>587.02855101279999</v>
      </c>
      <c r="N98" s="305">
        <f t="shared" si="47"/>
        <v>3005.7785510128001</v>
      </c>
      <c r="Q98" s="353">
        <v>1</v>
      </c>
      <c r="R98" s="354">
        <v>0</v>
      </c>
      <c r="S98" s="360">
        <v>750</v>
      </c>
      <c r="T98" s="360">
        <f t="shared" ref="T98" si="56">IF(Q98&lt;&gt;"",Q98*R98*S98,"")</f>
        <v>0</v>
      </c>
      <c r="U98" s="356">
        <f t="shared" si="48"/>
        <v>2250</v>
      </c>
      <c r="V98" s="357">
        <f t="shared" si="49"/>
        <v>0</v>
      </c>
      <c r="W98" s="358">
        <f t="shared" si="50"/>
        <v>0</v>
      </c>
      <c r="X98" s="358">
        <f t="shared" si="51"/>
        <v>0</v>
      </c>
      <c r="Y98" s="359">
        <f t="shared" si="52"/>
        <v>587.02855101279999</v>
      </c>
      <c r="Z98" s="297">
        <f t="shared" si="53"/>
        <v>1</v>
      </c>
      <c r="AA98" s="298">
        <f t="shared" si="54"/>
        <v>0</v>
      </c>
      <c r="AC98" s="324">
        <v>0</v>
      </c>
      <c r="AD98" s="325">
        <f>T98-AC98</f>
        <v>0</v>
      </c>
      <c r="AE98" s="326">
        <v>46028</v>
      </c>
      <c r="AG98" s="327" t="s">
        <v>252</v>
      </c>
      <c r="AH98" s="328" t="s">
        <v>253</v>
      </c>
      <c r="AK98" s="528">
        <f t="shared" si="43"/>
        <v>0</v>
      </c>
      <c r="AL98" s="529">
        <v>0</v>
      </c>
    </row>
    <row r="99" spans="1:39" ht="120" customHeight="1" x14ac:dyDescent="0.45">
      <c r="A99" s="243">
        <v>86</v>
      </c>
      <c r="B99" s="267" t="s">
        <v>695</v>
      </c>
      <c r="C99" s="282" t="s">
        <v>57</v>
      </c>
      <c r="D99" s="243" t="s">
        <v>88</v>
      </c>
      <c r="E99" s="243" t="s">
        <v>58</v>
      </c>
      <c r="F99" s="349" t="s">
        <v>255</v>
      </c>
      <c r="G99" s="502" t="s">
        <v>256</v>
      </c>
      <c r="H99" s="351">
        <v>1</v>
      </c>
      <c r="I99" s="351">
        <v>4</v>
      </c>
      <c r="J99" s="352">
        <v>6000</v>
      </c>
      <c r="K99" s="304">
        <f t="shared" si="44"/>
        <v>24000</v>
      </c>
      <c r="L99" s="304">
        <f t="shared" ref="L99:L104" si="57">IF(K99&lt;&gt;"",IF(D99="INTERNO",0,K99*$L$14),"")</f>
        <v>1800</v>
      </c>
      <c r="M99" s="304">
        <f t="shared" si="46"/>
        <v>6261.6378774698669</v>
      </c>
      <c r="N99" s="305">
        <f t="shared" si="47"/>
        <v>32061.637877469868</v>
      </c>
      <c r="Q99" s="353">
        <f t="shared" si="55"/>
        <v>1</v>
      </c>
      <c r="R99" s="354">
        <v>1</v>
      </c>
      <c r="S99" s="355">
        <v>24000</v>
      </c>
      <c r="T99" s="355">
        <v>33000</v>
      </c>
      <c r="U99" s="356">
        <f t="shared" si="48"/>
        <v>-9000</v>
      </c>
      <c r="V99" s="357">
        <f t="shared" si="49"/>
        <v>0</v>
      </c>
      <c r="W99" s="358">
        <f t="shared" si="50"/>
        <v>0</v>
      </c>
      <c r="X99" s="358">
        <f t="shared" si="51"/>
        <v>33000</v>
      </c>
      <c r="Y99" s="359">
        <f t="shared" si="52"/>
        <v>39261.637877469868</v>
      </c>
      <c r="Z99" s="297">
        <f t="shared" si="53"/>
        <v>-0.375</v>
      </c>
      <c r="AA99" s="298">
        <f t="shared" si="54"/>
        <v>0.20113579555241215</v>
      </c>
      <c r="AC99" s="324">
        <v>24000</v>
      </c>
      <c r="AD99" s="325">
        <f>T99-AC99</f>
        <v>9000</v>
      </c>
      <c r="AE99" s="326">
        <v>46030</v>
      </c>
      <c r="AG99" s="327" t="s">
        <v>157</v>
      </c>
      <c r="AH99" s="328" t="s">
        <v>257</v>
      </c>
      <c r="AK99" s="528">
        <f t="shared" si="43"/>
        <v>0</v>
      </c>
      <c r="AL99" s="529">
        <f>9000+24000</f>
        <v>33000</v>
      </c>
      <c r="AM99" s="525" t="s">
        <v>801</v>
      </c>
    </row>
    <row r="100" spans="1:39" ht="120" customHeight="1" x14ac:dyDescent="0.4">
      <c r="A100" s="243">
        <v>87</v>
      </c>
      <c r="B100" s="267" t="s">
        <v>696</v>
      </c>
      <c r="C100" s="282" t="s">
        <v>57</v>
      </c>
      <c r="D100" s="243" t="s">
        <v>88</v>
      </c>
      <c r="E100" s="243" t="s">
        <v>58</v>
      </c>
      <c r="F100" s="349" t="s">
        <v>258</v>
      </c>
      <c r="G100" s="350" t="s">
        <v>259</v>
      </c>
      <c r="H100" s="351">
        <v>1</v>
      </c>
      <c r="I100" s="351">
        <v>1</v>
      </c>
      <c r="J100" s="352">
        <v>12000</v>
      </c>
      <c r="K100" s="304">
        <f>IF(F100&lt;&gt;"",H100*I100*J100,"")</f>
        <v>12000</v>
      </c>
      <c r="L100" s="304">
        <f t="shared" si="57"/>
        <v>900</v>
      </c>
      <c r="M100" s="304">
        <f>IF(K100&lt;&gt;"",IF(E100="FAT.OGGI",SUM(K100:L100)*(1/(1-$M$14)-1),L100*(1/(1-$M$14)-1)),"")</f>
        <v>3130.8189387349335</v>
      </c>
      <c r="N100" s="305">
        <f>SUM(K100:M100)</f>
        <v>16030.818938734934</v>
      </c>
      <c r="Q100" s="353">
        <f t="shared" si="55"/>
        <v>1</v>
      </c>
      <c r="R100" s="354">
        <f t="shared" si="55"/>
        <v>1</v>
      </c>
      <c r="S100" s="360">
        <v>0</v>
      </c>
      <c r="T100" s="360">
        <f>IF(Q100&lt;&gt;"",Q100*R100*S100,"")</f>
        <v>0</v>
      </c>
      <c r="U100" s="356">
        <f t="shared" si="48"/>
        <v>12000</v>
      </c>
      <c r="V100" s="357">
        <f>IF(Q100&lt;&gt;"",0%,"")</f>
        <v>0</v>
      </c>
      <c r="W100" s="358">
        <f>IF(Q100&lt;&gt;"",V100*U100,"")</f>
        <v>0</v>
      </c>
      <c r="X100" s="358">
        <f>IF(Q100&lt;&gt;"",W100+T100,"")</f>
        <v>0</v>
      </c>
      <c r="Y100" s="359">
        <f t="shared" si="52"/>
        <v>3130.8189387349335</v>
      </c>
      <c r="Z100" s="297">
        <f t="shared" si="53"/>
        <v>1</v>
      </c>
      <c r="AA100" s="298">
        <f t="shared" si="54"/>
        <v>0</v>
      </c>
      <c r="AK100" s="528">
        <f t="shared" si="43"/>
        <v>0</v>
      </c>
      <c r="AL100" s="529">
        <v>0</v>
      </c>
    </row>
    <row r="101" spans="1:39" ht="120" customHeight="1" x14ac:dyDescent="0.45">
      <c r="A101" s="243">
        <v>88</v>
      </c>
      <c r="B101" s="267" t="s">
        <v>697</v>
      </c>
      <c r="C101" s="282" t="s">
        <v>57</v>
      </c>
      <c r="D101" s="243" t="s">
        <v>88</v>
      </c>
      <c r="E101" s="243" t="s">
        <v>58</v>
      </c>
      <c r="F101" s="299" t="s">
        <v>260</v>
      </c>
      <c r="G101" s="300" t="s">
        <v>261</v>
      </c>
      <c r="H101" s="404">
        <v>1</v>
      </c>
      <c r="I101" s="404">
        <v>3</v>
      </c>
      <c r="J101" s="405">
        <v>5800</v>
      </c>
      <c r="K101" s="405">
        <f>IF(F101&lt;&gt;"",H101*I101*J101,"")</f>
        <v>17400</v>
      </c>
      <c r="L101" s="405">
        <f t="shared" si="57"/>
        <v>1305</v>
      </c>
      <c r="M101" s="405">
        <f>IF(K101&lt;&gt;"",IF(E101="FAT.OGGI",SUM(K101:L101)*(1/(1-$M$14)-1),L101*(1/(1-$M$14)-1)),"")</f>
        <v>4539.6874611656531</v>
      </c>
      <c r="N101" s="426">
        <f>SUM(K101:M101)</f>
        <v>23244.687461165653</v>
      </c>
      <c r="Q101" s="415">
        <f>IF(H101&lt;&gt;"",H101,"")</f>
        <v>1</v>
      </c>
      <c r="R101" s="408">
        <v>1</v>
      </c>
      <c r="S101" s="371">
        <v>12500</v>
      </c>
      <c r="T101" s="371">
        <f>IF(Q101&lt;&gt;"",Q101*R101*S101,"")</f>
        <v>12500</v>
      </c>
      <c r="U101" s="417">
        <f t="shared" si="48"/>
        <v>4900</v>
      </c>
      <c r="V101" s="418">
        <f>IF(Q101&lt;&gt;"",0%,"")</f>
        <v>0</v>
      </c>
      <c r="W101" s="419">
        <f>IF(Q101&lt;&gt;"",V101*U101,"")</f>
        <v>0</v>
      </c>
      <c r="X101" s="419">
        <f>IF(Q101&lt;&gt;"",W101+T101,"")</f>
        <v>12500</v>
      </c>
      <c r="Y101" s="312">
        <f t="shared" si="52"/>
        <v>17039.687461165653</v>
      </c>
      <c r="Z101" s="297">
        <f t="shared" si="53"/>
        <v>0.28160919540229884</v>
      </c>
      <c r="AA101" s="298">
        <f t="shared" si="54"/>
        <v>7.6187801345610665E-2</v>
      </c>
      <c r="AC101" s="324">
        <v>0</v>
      </c>
      <c r="AD101" s="325">
        <f>T101-AC101</f>
        <v>12500</v>
      </c>
      <c r="AE101" s="326">
        <v>46027</v>
      </c>
      <c r="AG101" s="327" t="s">
        <v>157</v>
      </c>
      <c r="AH101" s="328" t="s">
        <v>262</v>
      </c>
      <c r="AK101" s="528">
        <f t="shared" si="43"/>
        <v>0</v>
      </c>
      <c r="AL101" s="529">
        <v>12500</v>
      </c>
      <c r="AM101" s="525" t="s">
        <v>812</v>
      </c>
    </row>
    <row r="102" spans="1:39" ht="120" customHeight="1" x14ac:dyDescent="0.4">
      <c r="A102" s="503">
        <v>89</v>
      </c>
      <c r="B102" s="267" t="s">
        <v>698</v>
      </c>
      <c r="C102" s="504" t="s">
        <v>57</v>
      </c>
      <c r="D102" s="503" t="s">
        <v>88</v>
      </c>
      <c r="E102" s="503" t="s">
        <v>58</v>
      </c>
      <c r="F102" s="329" t="s">
        <v>263</v>
      </c>
      <c r="G102" s="505" t="s">
        <v>264</v>
      </c>
      <c r="H102" s="506">
        <v>1</v>
      </c>
      <c r="I102" s="506">
        <v>0</v>
      </c>
      <c r="J102" s="469">
        <v>5000</v>
      </c>
      <c r="K102" s="333">
        <f>IF(F102&lt;&gt;"",H102*I102*J102,"")</f>
        <v>0</v>
      </c>
      <c r="L102" s="333">
        <f t="shared" si="57"/>
        <v>0</v>
      </c>
      <c r="M102" s="333">
        <f>IF(K102&lt;&gt;"",IF(E102="FAT.OGGI",SUM(K102:L102)*(1/(1-$M$14)-1),L102*(1/(1-$M$14)-1)),"")</f>
        <v>0</v>
      </c>
      <c r="N102" s="334">
        <f>SUM(K102:M102)</f>
        <v>0</v>
      </c>
      <c r="Q102" s="335">
        <f>IF(H102&lt;&gt;"",H102,"")</f>
        <v>1</v>
      </c>
      <c r="R102" s="336">
        <f>IF(I102&lt;&gt;"",I102,"")</f>
        <v>0</v>
      </c>
      <c r="S102" s="480">
        <v>2000</v>
      </c>
      <c r="T102" s="480">
        <v>5000</v>
      </c>
      <c r="U102" s="338">
        <f t="shared" si="48"/>
        <v>-5000</v>
      </c>
      <c r="V102" s="339">
        <f>IF(Q102&lt;&gt;"",0%,"")</f>
        <v>0</v>
      </c>
      <c r="W102" s="340">
        <f>IF(Q102&lt;&gt;"",V102*U102,"")</f>
        <v>0</v>
      </c>
      <c r="X102" s="340">
        <f>IF(Q102&lt;&gt;"",W102+T102,"")</f>
        <v>5000</v>
      </c>
      <c r="Y102" s="323">
        <f t="shared" si="52"/>
        <v>5000</v>
      </c>
      <c r="Z102" s="458" t="e">
        <f t="shared" si="53"/>
        <v>#DIV/0!</v>
      </c>
      <c r="AA102" s="459">
        <f t="shared" si="54"/>
        <v>3.0475120538244263E-2</v>
      </c>
      <c r="AK102" s="528">
        <f t="shared" si="43"/>
        <v>0</v>
      </c>
      <c r="AL102" s="529">
        <v>5000</v>
      </c>
      <c r="AM102" s="1022" t="s">
        <v>824</v>
      </c>
    </row>
    <row r="103" spans="1:39" ht="120" customHeight="1" x14ac:dyDescent="0.45">
      <c r="A103" s="243">
        <v>90</v>
      </c>
      <c r="B103" s="267" t="s">
        <v>699</v>
      </c>
      <c r="C103" s="282" t="s">
        <v>57</v>
      </c>
      <c r="D103" s="243" t="s">
        <v>88</v>
      </c>
      <c r="E103" s="243" t="s">
        <v>58</v>
      </c>
      <c r="F103" s="299" t="s">
        <v>265</v>
      </c>
      <c r="G103" s="300" t="s">
        <v>266</v>
      </c>
      <c r="H103" s="404">
        <v>1</v>
      </c>
      <c r="I103" s="404">
        <v>1</v>
      </c>
      <c r="J103" s="405">
        <v>45000</v>
      </c>
      <c r="K103" s="303">
        <f>IF(F103&lt;&gt;"",H103*I103*J103,"")</f>
        <v>45000</v>
      </c>
      <c r="L103" s="303">
        <f t="shared" si="57"/>
        <v>3375</v>
      </c>
      <c r="M103" s="303">
        <f>IF(K103&lt;&gt;"",IF(E103="FAT.OGGI",SUM(K103:L103)*(1/(1-$M$14)-1),L103*(1/(1-$M$14)-1)),"")</f>
        <v>11740.571020256</v>
      </c>
      <c r="N103" s="315">
        <f>SUM(K103:M103)</f>
        <v>60115.571020256</v>
      </c>
      <c r="Q103" s="415">
        <f>IF(H103&lt;&gt;"",H103,"")</f>
        <v>1</v>
      </c>
      <c r="R103" s="408">
        <f>IF(I103&lt;&gt;"",I103,"")</f>
        <v>1</v>
      </c>
      <c r="S103" s="371">
        <v>42000</v>
      </c>
      <c r="T103" s="371">
        <v>46800</v>
      </c>
      <c r="U103" s="417">
        <f t="shared" si="48"/>
        <v>-1800</v>
      </c>
      <c r="V103" s="418">
        <f>IF(Q103&lt;&gt;"",0%,"")</f>
        <v>0</v>
      </c>
      <c r="W103" s="419">
        <f>IF(Q103&lt;&gt;"",V103*U103,"")</f>
        <v>0</v>
      </c>
      <c r="X103" s="419">
        <f>IF(Q103&lt;&gt;"",W103+T103,"")</f>
        <v>46800</v>
      </c>
      <c r="Y103" s="312">
        <f t="shared" si="52"/>
        <v>58540.571020256</v>
      </c>
      <c r="Z103" s="297">
        <f t="shared" si="53"/>
        <v>-0.04</v>
      </c>
      <c r="AA103" s="298">
        <f t="shared" si="54"/>
        <v>0.28524712823796633</v>
      </c>
      <c r="AC103" s="324">
        <v>0</v>
      </c>
      <c r="AD103" s="325">
        <f>T103-AC103</f>
        <v>46800</v>
      </c>
      <c r="AE103" s="326">
        <v>46027</v>
      </c>
      <c r="AG103" s="327" t="s">
        <v>267</v>
      </c>
      <c r="AH103" s="328" t="s">
        <v>267</v>
      </c>
      <c r="AK103" s="528">
        <f t="shared" si="43"/>
        <v>0</v>
      </c>
      <c r="AL103" s="529">
        <f>42000+4800</f>
        <v>46800</v>
      </c>
      <c r="AM103" s="525" t="s">
        <v>805</v>
      </c>
    </row>
    <row r="104" spans="1:39" ht="120" customHeight="1" x14ac:dyDescent="0.45">
      <c r="A104" s="503">
        <v>91</v>
      </c>
      <c r="B104" s="267" t="s">
        <v>700</v>
      </c>
      <c r="C104" s="504" t="s">
        <v>57</v>
      </c>
      <c r="D104" s="503" t="s">
        <v>88</v>
      </c>
      <c r="E104" s="503" t="s">
        <v>58</v>
      </c>
      <c r="F104" s="329" t="s">
        <v>268</v>
      </c>
      <c r="G104" s="507" t="s">
        <v>269</v>
      </c>
      <c r="H104" s="506">
        <v>1</v>
      </c>
      <c r="I104" s="506">
        <v>4</v>
      </c>
      <c r="J104" s="469">
        <v>1600</v>
      </c>
      <c r="K104" s="333">
        <f>IF(F104&lt;&gt;"",H104*I104*J104,"")</f>
        <v>6400</v>
      </c>
      <c r="L104" s="333">
        <f t="shared" si="57"/>
        <v>480</v>
      </c>
      <c r="M104" s="333">
        <f>IF(K104&lt;&gt;"",IF(E104="FAT.OGGI",SUM(K104:L104)*(1/(1-$M$14)-1),L104*(1/(1-$M$14)-1)),"")</f>
        <v>1669.770100658631</v>
      </c>
      <c r="N104" s="334">
        <f>SUM(K104:M104)</f>
        <v>8549.7701006586303</v>
      </c>
      <c r="Q104" s="335">
        <f>IF(H104&lt;&gt;"",H104,"")</f>
        <v>1</v>
      </c>
      <c r="R104" s="336">
        <f>IF(I104&lt;&gt;"",I104,"")</f>
        <v>4</v>
      </c>
      <c r="S104" s="337">
        <v>4800</v>
      </c>
      <c r="T104" s="337">
        <v>0</v>
      </c>
      <c r="U104" s="338">
        <f t="shared" si="48"/>
        <v>6400</v>
      </c>
      <c r="V104" s="339">
        <f>IF(Q104&lt;&gt;"",0%,"")</f>
        <v>0</v>
      </c>
      <c r="W104" s="340">
        <f>IF(Q104&lt;&gt;"",V104*U104,"")</f>
        <v>0</v>
      </c>
      <c r="X104" s="340">
        <f>IF(Q104&lt;&gt;"",W104+T104,"")</f>
        <v>0</v>
      </c>
      <c r="Y104" s="323">
        <f t="shared" si="52"/>
        <v>1669.770100658631</v>
      </c>
      <c r="Z104" s="458">
        <f t="shared" si="53"/>
        <v>1</v>
      </c>
      <c r="AA104" s="459">
        <f>T104/$T$106</f>
        <v>0</v>
      </c>
      <c r="AC104" s="324">
        <v>0</v>
      </c>
      <c r="AD104" s="325">
        <f>T104-AC104</f>
        <v>0</v>
      </c>
      <c r="AE104" s="326">
        <v>46024</v>
      </c>
      <c r="AG104" s="327" t="s">
        <v>270</v>
      </c>
      <c r="AH104" s="328" t="s">
        <v>271</v>
      </c>
      <c r="AK104" s="528">
        <f t="shared" si="43"/>
        <v>0</v>
      </c>
      <c r="AL104" s="529">
        <v>0</v>
      </c>
    </row>
    <row r="105" spans="1:39" ht="120" customHeight="1" thickBot="1" x14ac:dyDescent="0.45">
      <c r="A105" s="243">
        <v>92</v>
      </c>
      <c r="B105" s="267" t="s">
        <v>701</v>
      </c>
      <c r="C105" s="282" t="s">
        <v>57</v>
      </c>
      <c r="D105" s="243" t="s">
        <v>88</v>
      </c>
      <c r="E105" s="243" t="s">
        <v>58</v>
      </c>
      <c r="F105" s="299" t="s">
        <v>272</v>
      </c>
      <c r="G105" s="403" t="s">
        <v>273</v>
      </c>
      <c r="H105" s="301">
        <v>1</v>
      </c>
      <c r="I105" s="301">
        <v>1</v>
      </c>
      <c r="J105" s="303">
        <v>6500</v>
      </c>
      <c r="K105" s="303">
        <f t="shared" si="44"/>
        <v>6500</v>
      </c>
      <c r="L105" s="303">
        <f t="shared" si="45"/>
        <v>487.5</v>
      </c>
      <c r="M105" s="303">
        <f t="shared" si="46"/>
        <v>1695.8602584814223</v>
      </c>
      <c r="N105" s="315">
        <f t="shared" si="47"/>
        <v>8683.3602584814216</v>
      </c>
      <c r="Q105" s="415">
        <f>IF(H105&lt;&gt;"",H105,"")</f>
        <v>1</v>
      </c>
      <c r="R105" s="408">
        <f>IF(I105&lt;&gt;"",I105,"")</f>
        <v>1</v>
      </c>
      <c r="S105" s="371">
        <f>976.08+47.98+3476.01+53.46+2201.82+9870+3483.33+4440+577</f>
        <v>25125.68</v>
      </c>
      <c r="T105" s="371">
        <v>44454.58</v>
      </c>
      <c r="U105" s="417">
        <f t="shared" si="48"/>
        <v>-37954.58</v>
      </c>
      <c r="V105" s="418">
        <f t="shared" si="49"/>
        <v>0</v>
      </c>
      <c r="W105" s="419">
        <f t="shared" si="50"/>
        <v>0</v>
      </c>
      <c r="X105" s="419">
        <f t="shared" si="51"/>
        <v>44454.58</v>
      </c>
      <c r="Y105" s="312">
        <f t="shared" si="52"/>
        <v>46150.440258481423</v>
      </c>
      <c r="Z105" s="492">
        <f t="shared" si="53"/>
        <v>-5.8391661538461541</v>
      </c>
      <c r="AA105" s="508">
        <f>T105/$T$106</f>
        <v>0.27095173679540452</v>
      </c>
      <c r="AK105" s="528">
        <f t="shared" si="43"/>
        <v>0</v>
      </c>
      <c r="AL105" s="529">
        <f>'CUSTOS OPERACIONAIS '!H27</f>
        <v>44454.579999999987</v>
      </c>
      <c r="AM105" s="525" t="s">
        <v>959</v>
      </c>
    </row>
    <row r="106" spans="1:39" s="512" customFormat="1" ht="35.1" customHeight="1" thickBot="1" x14ac:dyDescent="0.5">
      <c r="A106" s="243">
        <v>93</v>
      </c>
      <c r="B106" s="267"/>
      <c r="C106" s="282" t="s">
        <v>83</v>
      </c>
      <c r="D106" s="243"/>
      <c r="E106" s="243"/>
      <c r="F106" s="1195" t="s">
        <v>274</v>
      </c>
      <c r="G106" s="1196"/>
      <c r="H106" s="1196"/>
      <c r="I106" s="1196"/>
      <c r="J106" s="1196"/>
      <c r="K106" s="509">
        <f>SUM(K95:K105)</f>
        <v>133050</v>
      </c>
      <c r="L106" s="509">
        <f>SUM(L95:L105)</f>
        <v>9978.75</v>
      </c>
      <c r="M106" s="509">
        <f>SUM(M95:M105)</f>
        <v>34712.954983223572</v>
      </c>
      <c r="N106" s="510">
        <f>SUM(N95:N105)</f>
        <v>177741.70498322358</v>
      </c>
      <c r="O106" s="511"/>
      <c r="P106" s="512">
        <f>SUM(P95:P105)</f>
        <v>0</v>
      </c>
      <c r="Q106" s="1205" t="s">
        <v>274</v>
      </c>
      <c r="R106" s="1196"/>
      <c r="S106" s="1196"/>
      <c r="T106" s="513">
        <f>SUM(T95:T105)</f>
        <v>164068.26</v>
      </c>
      <c r="U106" s="514">
        <f>SUM(U95:U105)</f>
        <v>-31018.260000000002</v>
      </c>
      <c r="V106" s="515"/>
      <c r="W106" s="515"/>
      <c r="X106" s="516">
        <f>SUM(X95:X105)</f>
        <v>164068.26</v>
      </c>
      <c r="Y106" s="517">
        <f t="shared" si="52"/>
        <v>198781.21498322359</v>
      </c>
      <c r="Z106" s="518" t="s">
        <v>275</v>
      </c>
      <c r="AA106" s="519" t="s">
        <v>276</v>
      </c>
      <c r="AK106" s="528"/>
      <c r="AL106" s="529"/>
      <c r="AM106" s="1012"/>
    </row>
    <row r="107" spans="1:39" ht="35.1" customHeight="1" thickBot="1" x14ac:dyDescent="0.5">
      <c r="A107" s="243">
        <v>94</v>
      </c>
      <c r="B107" s="520"/>
      <c r="C107" s="282" t="s">
        <v>277</v>
      </c>
      <c r="D107" s="243"/>
      <c r="E107" s="243"/>
      <c r="F107" s="126" t="s">
        <v>278</v>
      </c>
      <c r="G107" s="127"/>
      <c r="H107" s="127"/>
      <c r="I107" s="127"/>
      <c r="J107" s="127"/>
      <c r="K107" s="122">
        <f>SUM(K17:K24)+SUM(K28:K39)+SUM(K43:K45)+SUM(K49:K50)+SUM(K54:K54)+SUM(K58:K61)+SUM(K65:K68)+SUM(K72:K84)+SUM(K88:K91)+SUM(K95:K105)</f>
        <v>759069.1</v>
      </c>
      <c r="L107" s="122">
        <f>SUM(L17:L24)+SUM(L28:L39)+SUM(L43:L45)+SUM(L49:L50)+SUM(L54:L54)+SUM(L58:L61)+SUM(L65:L68)+SUM(L72:L84)+SUM(L88:L91)+SUM(L95:L105)</f>
        <v>52336.432499999995</v>
      </c>
      <c r="M107" s="122">
        <f>SUM(M17:M24)+SUM(M28:M39)+SUM(M43:M45)+SUM(M49:M50)+SUM(M54:M54)+SUM(M58:M61)+SUM(M65:M68)+SUM(M72:M84)+SUM(M88:M91)+SUM(M95:M105)</f>
        <v>193665.55051230281</v>
      </c>
      <c r="N107" s="184">
        <f>SUM(N17:N24)+SUM(N28:N39)+SUM(N43:N45)+SUM(N49:N50)+SUM(N54:N54)+SUM(N58:N61)+SUM(N65:N68)+SUM(N72:N84)+SUM(N88:N91)+SUM(N95:N105)</f>
        <v>1005071.0830123028</v>
      </c>
      <c r="Q107" s="126" t="s">
        <v>279</v>
      </c>
      <c r="R107" s="127"/>
      <c r="S107" s="127"/>
      <c r="T107" s="122">
        <f>SUM(T17:T24)+SUM(T28:T39)+SUM(T43:T45)+SUM(T49:T50)+SUM(T54:T54)+SUM(T58:T61)+SUM(T65:T68)+SUM(T72:T84)+SUM(T88:T91)+SUM(T95:T105)</f>
        <v>760228.02999999991</v>
      </c>
      <c r="U107" s="122">
        <f>SUM(U17:U24)+SUM(U28:U39)+SUM(U43:U45)+SUM(U49:U50)+SUM(U54:U54)+SUM(U58:U61)+SUM(U65:U68)+SUM(U72:U84)+SUM(U88:U91)+SUM(U95:U105)</f>
        <v>-1158.9300000000003</v>
      </c>
      <c r="V107" s="127"/>
      <c r="W107" s="127"/>
      <c r="X107" s="122">
        <f>SUM(X17:X24)+SUM(X28:X39)+SUM(X43:X45)+SUM(X49:X50)+SUM(X54:X54)+SUM(X58:X61)+SUM(X65:X68)+SUM(X72:X84)+SUM(X88:X91)+SUM(X95:X105)</f>
        <v>760228.02999999991</v>
      </c>
      <c r="Y107" s="184">
        <f>SUM(Y17:Y24)+SUM(Y28:Y39)+SUM(Y43:Y45)+SUM(Y49:Y50)+SUM(Y54:Y54)+SUM(Y58:Y61)+SUM(Y65:Y68)+SUM(Y72:Y84)+SUM(Y88:Y91)+SUM(Y95:Y105)</f>
        <v>953893.58051230269</v>
      </c>
      <c r="Z107" s="160">
        <f>IF(Q107&lt;&gt;"",(N107-Y107)/N107,"")</f>
        <v>5.0919286570871934E-2</v>
      </c>
      <c r="AA107" s="182">
        <f>IF(Z107&lt;&gt;"",(N107-Y107),"")</f>
        <v>51177.502500000061</v>
      </c>
      <c r="AK107" s="528">
        <f>SUM(AK17:AK105)</f>
        <v>0</v>
      </c>
      <c r="AL107" s="529">
        <f>SUM(AL17:AL105)</f>
        <v>760228.02999999991</v>
      </c>
    </row>
    <row r="108" spans="1:39" ht="22.2" x14ac:dyDescent="0.45">
      <c r="AM108" s="522" t="s">
        <v>744</v>
      </c>
    </row>
    <row r="109" spans="1:39" ht="22.2" x14ac:dyDescent="0.45">
      <c r="AL109" s="521">
        <f>X107</f>
        <v>760228.02999999991</v>
      </c>
      <c r="AM109" s="522" t="s">
        <v>745</v>
      </c>
    </row>
    <row r="110" spans="1:39" ht="22.2" x14ac:dyDescent="0.45">
      <c r="AL110" s="521">
        <f>N107-X107</f>
        <v>244843.05301230284</v>
      </c>
      <c r="AM110" s="523" t="s">
        <v>741</v>
      </c>
    </row>
    <row r="111" spans="1:39" x14ac:dyDescent="0.4">
      <c r="AL111" s="524">
        <f>AL110*100%/N107</f>
        <v>0.24360769815253536</v>
      </c>
    </row>
  </sheetData>
  <autoFilter ref="A17:AM107" xr:uid="{703DD39C-1916-4D3C-9707-B8338860122B}"/>
  <mergeCells count="70">
    <mergeCell ref="AK16:AL16"/>
    <mergeCell ref="F1:G1"/>
    <mergeCell ref="F2:G2"/>
    <mergeCell ref="AK12:AL12"/>
    <mergeCell ref="F15:N15"/>
    <mergeCell ref="Q15:Y15"/>
    <mergeCell ref="AG12:AH12"/>
    <mergeCell ref="AK15:AL15"/>
    <mergeCell ref="F16:K16"/>
    <mergeCell ref="Q16:Y16"/>
    <mergeCell ref="Q12:T12"/>
    <mergeCell ref="U12:X12"/>
    <mergeCell ref="AC12:AE12"/>
    <mergeCell ref="F25:J25"/>
    <mergeCell ref="Q25:S25"/>
    <mergeCell ref="F26:N26"/>
    <mergeCell ref="Q26:Y26"/>
    <mergeCell ref="F27:K27"/>
    <mergeCell ref="Q27:Y27"/>
    <mergeCell ref="F46:J46"/>
    <mergeCell ref="Q46:S46"/>
    <mergeCell ref="F40:J40"/>
    <mergeCell ref="Q40:S40"/>
    <mergeCell ref="F41:N41"/>
    <mergeCell ref="Q41:Y41"/>
    <mergeCell ref="F42:K42"/>
    <mergeCell ref="Q42:Y42"/>
    <mergeCell ref="F47:N47"/>
    <mergeCell ref="Q47:Y47"/>
    <mergeCell ref="F48:K48"/>
    <mergeCell ref="Q48:Y48"/>
    <mergeCell ref="F51:J51"/>
    <mergeCell ref="Q51:S51"/>
    <mergeCell ref="F57:K57"/>
    <mergeCell ref="Q57:Y57"/>
    <mergeCell ref="F62:J62"/>
    <mergeCell ref="Q62:S62"/>
    <mergeCell ref="F52:N52"/>
    <mergeCell ref="Q52:Y52"/>
    <mergeCell ref="F53:K53"/>
    <mergeCell ref="Q53:Y53"/>
    <mergeCell ref="F55:J55"/>
    <mergeCell ref="Q55:S55"/>
    <mergeCell ref="O28:O35"/>
    <mergeCell ref="Q85:S85"/>
    <mergeCell ref="Q93:Y93"/>
    <mergeCell ref="Q94:Y94"/>
    <mergeCell ref="F70:N70"/>
    <mergeCell ref="Q70:Y70"/>
    <mergeCell ref="F71:K71"/>
    <mergeCell ref="Q71:Y71"/>
    <mergeCell ref="F63:N63"/>
    <mergeCell ref="Q63:Y63"/>
    <mergeCell ref="F64:K64"/>
    <mergeCell ref="Q64:Y64"/>
    <mergeCell ref="F69:J69"/>
    <mergeCell ref="Q69:S69"/>
    <mergeCell ref="F56:N56"/>
    <mergeCell ref="Q56:Y56"/>
    <mergeCell ref="F106:J106"/>
    <mergeCell ref="F85:J85"/>
    <mergeCell ref="F93:N93"/>
    <mergeCell ref="F94:K94"/>
    <mergeCell ref="Q106:S106"/>
    <mergeCell ref="F92:J92"/>
    <mergeCell ref="Q92:S92"/>
    <mergeCell ref="F87:K87"/>
    <mergeCell ref="Q87:Y87"/>
    <mergeCell ref="F86:N86"/>
    <mergeCell ref="Q86:Y86"/>
  </mergeCells>
  <dataValidations count="3">
    <dataValidation type="list" allowBlank="1" showInputMessage="1" showErrorMessage="1" sqref="E17:E25 E72:E84 E65:E68 E28:E39 E95:E105 E43:E62 E88:E91" xr:uid="{0D7CD5F9-14CC-4C3B-B22F-8D68447C8ACE}">
      <formula1>"FAT.OGGI,FAT.CLIENTE"</formula1>
    </dataValidation>
    <dataValidation type="list" allowBlank="1" showInputMessage="1" showErrorMessage="1" sqref="D17:D25 D72:D84 D65:D68 D28:D39 D95:D105 D43:D62 D107 D88:D91" xr:uid="{D2D04F2B-A9D9-4B4C-99BA-BA3FDD5E6580}">
      <formula1>"INTERNO,OPERACIONAL"</formula1>
    </dataValidation>
    <dataValidation type="list" allowBlank="1" showInputMessage="1" showErrorMessage="1" sqref="E107" xr:uid="{530D3BCD-601A-428C-87A4-A95BE9B8CFFB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C154E-F83F-40FF-99E1-7213E2635B06}">
  <sheetPr codeName="Planilha21">
    <pageSetUpPr autoPageBreaks="0"/>
  </sheetPr>
  <dimension ref="A1:AM34"/>
  <sheetViews>
    <sheetView showGridLines="0" topLeftCell="B23" zoomScale="50" zoomScaleNormal="50" workbookViewId="0">
      <pane xSplit="4" topLeftCell="F1" activePane="topRight" state="frozen"/>
      <selection activeCell="B1" sqref="B1"/>
      <selection pane="topRight" activeCell="T19" sqref="T19"/>
    </sheetView>
  </sheetViews>
  <sheetFormatPr defaultColWidth="9.109375" defaultRowHeight="21" x14ac:dyDescent="0.4"/>
  <cols>
    <col min="1" max="1" width="8.44140625" style="220" hidden="1" customWidth="1"/>
    <col min="2" max="2" width="13" style="220" customWidth="1"/>
    <col min="3" max="5" width="8.44140625" style="220" hidden="1" customWidth="1"/>
    <col min="6" max="6" width="35.88671875" style="220" customWidth="1"/>
    <col min="7" max="7" width="52.33203125" style="220" customWidth="1"/>
    <col min="8" max="9" width="5.6640625" style="220" hidden="1" customWidth="1"/>
    <col min="10" max="10" width="20.109375" style="220" hidden="1" customWidth="1"/>
    <col min="11" max="11" width="26.88671875" style="220" customWidth="1"/>
    <col min="12" max="12" width="26.109375" style="220" customWidth="1"/>
    <col min="13" max="13" width="26.44140625" style="220" customWidth="1"/>
    <col min="14" max="14" width="28.6640625" style="220" customWidth="1"/>
    <col min="15" max="15" width="4.5546875" style="221" hidden="1" customWidth="1"/>
    <col min="16" max="16" width="1.88671875" style="220" hidden="1" customWidth="1"/>
    <col min="17" max="17" width="9.33203125" style="220" customWidth="1"/>
    <col min="18" max="18" width="9.33203125" style="220" hidden="1" customWidth="1"/>
    <col min="19" max="19" width="26.44140625" style="220" hidden="1" customWidth="1"/>
    <col min="20" max="20" width="28.109375" style="220" customWidth="1"/>
    <col min="21" max="21" width="27" style="220" hidden="1" customWidth="1"/>
    <col min="22" max="23" width="18.109375" style="220" hidden="1" customWidth="1"/>
    <col min="24" max="24" width="28.109375" style="220" customWidth="1"/>
    <col min="25" max="25" width="27.5546875" style="220" hidden="1" customWidth="1"/>
    <col min="26" max="26" width="18.6640625" style="220" hidden="1" customWidth="1"/>
    <col min="27" max="27" width="25.6640625" style="220" hidden="1" customWidth="1"/>
    <col min="28" max="28" width="38.109375" style="220" hidden="1" customWidth="1"/>
    <col min="29" max="30" width="33" style="220" hidden="1" customWidth="1"/>
    <col min="31" max="31" width="28" style="220" hidden="1" customWidth="1"/>
    <col min="32" max="32" width="1.33203125" style="220" hidden="1" customWidth="1"/>
    <col min="33" max="33" width="81.5546875" style="220" hidden="1" customWidth="1"/>
    <col min="34" max="34" width="36.6640625" style="220" hidden="1" customWidth="1"/>
    <col min="35" max="35" width="1.5546875" style="220" hidden="1" customWidth="1"/>
    <col min="36" max="36" width="20.33203125" style="220" hidden="1" customWidth="1"/>
    <col min="37" max="37" width="25.33203125" style="220" customWidth="1"/>
    <col min="38" max="38" width="24.88671875" style="220" customWidth="1"/>
    <col min="39" max="39" width="8.6640625" style="525" customWidth="1"/>
    <col min="40" max="40" width="21.33203125" style="220" customWidth="1"/>
    <col min="41" max="16384" width="9.109375" style="220"/>
  </cols>
  <sheetData>
    <row r="1" spans="1:38" ht="49.5" customHeight="1" x14ac:dyDescent="0.4">
      <c r="B1" s="218"/>
      <c r="C1" s="219"/>
      <c r="D1" s="219"/>
      <c r="F1" s="1251" t="s">
        <v>0</v>
      </c>
      <c r="G1" s="1251"/>
    </row>
    <row r="2" spans="1:38" ht="24.75" customHeight="1" x14ac:dyDescent="0.4">
      <c r="B2" s="610"/>
      <c r="D2" s="219"/>
      <c r="F2" s="1252" t="s">
        <v>1</v>
      </c>
      <c r="G2" s="1252"/>
    </row>
    <row r="3" spans="1:38" ht="22.2" x14ac:dyDescent="0.4">
      <c r="B3" s="611"/>
      <c r="F3" s="223"/>
      <c r="G3" s="223"/>
    </row>
    <row r="4" spans="1:38" ht="22.2" x14ac:dyDescent="0.4">
      <c r="F4" s="224" t="s">
        <v>2</v>
      </c>
      <c r="G4" s="225"/>
    </row>
    <row r="5" spans="1:38" ht="22.2" x14ac:dyDescent="0.4">
      <c r="F5" s="226" t="s">
        <v>3</v>
      </c>
      <c r="G5" s="227"/>
    </row>
    <row r="6" spans="1:38" ht="22.2" x14ac:dyDescent="0.4">
      <c r="F6" s="226" t="s">
        <v>4</v>
      </c>
      <c r="G6" s="228"/>
    </row>
    <row r="7" spans="1:38" ht="21.75" customHeight="1" x14ac:dyDescent="0.4">
      <c r="F7" s="226" t="s">
        <v>5</v>
      </c>
      <c r="G7" s="228"/>
    </row>
    <row r="8" spans="1:38" ht="22.2" x14ac:dyDescent="0.4">
      <c r="F8" s="226" t="s">
        <v>6</v>
      </c>
      <c r="G8" s="229"/>
    </row>
    <row r="9" spans="1:38" ht="22.2" x14ac:dyDescent="0.4">
      <c r="F9" s="226" t="s">
        <v>7</v>
      </c>
      <c r="G9" s="228"/>
      <c r="M9" s="220">
        <v>0.80469999999999997</v>
      </c>
    </row>
    <row r="10" spans="1:38" ht="27" customHeight="1" x14ac:dyDescent="0.4">
      <c r="F10" s="226" t="s">
        <v>8</v>
      </c>
      <c r="G10" s="228"/>
      <c r="M10" s="220">
        <f>1-M9</f>
        <v>0.19530000000000003</v>
      </c>
    </row>
    <row r="11" spans="1:38" ht="22.2" x14ac:dyDescent="0.4">
      <c r="F11" s="230" t="s">
        <v>9</v>
      </c>
      <c r="G11" s="231"/>
    </row>
    <row r="12" spans="1:38" ht="22.8" hidden="1" thickBot="1" x14ac:dyDescent="0.45">
      <c r="B12" s="612"/>
      <c r="M12" s="233"/>
      <c r="Q12" s="1268" t="s">
        <v>10</v>
      </c>
      <c r="R12" s="1269"/>
      <c r="S12" s="1269"/>
      <c r="T12" s="1270"/>
      <c r="U12" s="1271" t="s">
        <v>11</v>
      </c>
      <c r="V12" s="1272"/>
      <c r="W12" s="1272"/>
      <c r="X12" s="1273"/>
      <c r="Y12" s="234" t="s">
        <v>12</v>
      </c>
      <c r="Z12" s="235" t="e">
        <f>(1/(1-#REF!))-1</f>
        <v>#REF!</v>
      </c>
      <c r="AC12" s="1274" t="s">
        <v>13</v>
      </c>
      <c r="AD12" s="1275"/>
      <c r="AE12" s="1276"/>
      <c r="AG12" s="1261" t="s">
        <v>14</v>
      </c>
      <c r="AH12" s="1262"/>
      <c r="AJ12" s="236" t="s">
        <v>15</v>
      </c>
      <c r="AK12" s="1279" t="s">
        <v>16</v>
      </c>
      <c r="AL12" s="1280"/>
    </row>
    <row r="13" spans="1:38" ht="22.8" thickBot="1" x14ac:dyDescent="0.5">
      <c r="A13" s="613" t="s">
        <v>17</v>
      </c>
      <c r="B13" s="614" t="s">
        <v>18</v>
      </c>
      <c r="C13" s="613" t="s">
        <v>19</v>
      </c>
      <c r="D13" s="613" t="s">
        <v>20</v>
      </c>
      <c r="E13" s="613" t="s">
        <v>21</v>
      </c>
      <c r="M13" s="239">
        <v>0.80469999999999997</v>
      </c>
    </row>
    <row r="14" spans="1:38" ht="45" thickBot="1" x14ac:dyDescent="0.45">
      <c r="A14" s="240">
        <v>0</v>
      </c>
      <c r="B14" s="241"/>
      <c r="C14" s="242"/>
      <c r="D14" s="243"/>
      <c r="E14" s="243"/>
      <c r="F14" s="244" t="s">
        <v>22</v>
      </c>
      <c r="G14" s="245" t="s">
        <v>23</v>
      </c>
      <c r="H14" s="246" t="s">
        <v>24</v>
      </c>
      <c r="I14" s="246" t="s">
        <v>25</v>
      </c>
      <c r="J14" s="247" t="s">
        <v>26</v>
      </c>
      <c r="K14" s="248" t="s">
        <v>27</v>
      </c>
      <c r="L14" s="249">
        <v>7.4999999999999997E-2</v>
      </c>
      <c r="M14" s="250">
        <f>1-M13</f>
        <v>0.19530000000000003</v>
      </c>
      <c r="N14" s="251" t="s">
        <v>28</v>
      </c>
      <c r="Q14" s="252" t="s">
        <v>29</v>
      </c>
      <c r="R14" s="253" t="s">
        <v>30</v>
      </c>
      <c r="S14" s="254" t="s">
        <v>31</v>
      </c>
      <c r="T14" s="255" t="s">
        <v>32</v>
      </c>
      <c r="U14" s="256" t="s">
        <v>33</v>
      </c>
      <c r="V14" s="257" t="s">
        <v>34</v>
      </c>
      <c r="W14" s="258" t="s">
        <v>35</v>
      </c>
      <c r="X14" s="258" t="s">
        <v>36</v>
      </c>
      <c r="Y14" s="259" t="s">
        <v>37</v>
      </c>
      <c r="AC14" s="262" t="s">
        <v>40</v>
      </c>
      <c r="AD14" s="263" t="s">
        <v>41</v>
      </c>
      <c r="AE14" s="263" t="s">
        <v>42</v>
      </c>
      <c r="AG14" s="264" t="s">
        <v>43</v>
      </c>
      <c r="AH14" s="265" t="s">
        <v>44</v>
      </c>
      <c r="AI14" s="220" t="s">
        <v>45</v>
      </c>
      <c r="AJ14" s="220" t="s">
        <v>45</v>
      </c>
      <c r="AK14" s="526" t="s">
        <v>46</v>
      </c>
      <c r="AL14" s="527" t="s">
        <v>47</v>
      </c>
    </row>
    <row r="15" spans="1:38" ht="36.75" customHeight="1" thickBot="1" x14ac:dyDescent="0.5">
      <c r="A15" s="266">
        <v>1</v>
      </c>
      <c r="B15" s="267">
        <v>1</v>
      </c>
      <c r="C15" s="268" t="s">
        <v>48</v>
      </c>
      <c r="D15" s="266"/>
      <c r="E15" s="266"/>
      <c r="F15" s="1255" t="s">
        <v>434</v>
      </c>
      <c r="G15" s="1256"/>
      <c r="H15" s="1256"/>
      <c r="I15" s="1256"/>
      <c r="J15" s="1256"/>
      <c r="K15" s="1256"/>
      <c r="L15" s="1256"/>
      <c r="M15" s="1256"/>
      <c r="N15" s="1257"/>
      <c r="Q15" s="1258" t="str">
        <f>IF(F15&lt;&gt;"",F15,"")</f>
        <v>ITENS NOVOS</v>
      </c>
      <c r="R15" s="1259"/>
      <c r="S15" s="1259"/>
      <c r="T15" s="1259"/>
      <c r="U15" s="1259"/>
      <c r="V15" s="1259"/>
      <c r="W15" s="1259"/>
      <c r="X15" s="1259"/>
      <c r="Y15" s="1260"/>
      <c r="AC15" s="271"/>
      <c r="AD15" s="271"/>
      <c r="AE15" s="271"/>
      <c r="AG15" s="272"/>
      <c r="AH15" s="273"/>
      <c r="AK15" s="1263"/>
      <c r="AL15" s="1264"/>
    </row>
    <row r="16" spans="1:38" ht="30" customHeight="1" x14ac:dyDescent="0.45">
      <c r="A16" s="243">
        <v>2</v>
      </c>
      <c r="B16" s="267" t="s">
        <v>50</v>
      </c>
      <c r="C16" s="282" t="s">
        <v>51</v>
      </c>
      <c r="D16" s="243"/>
      <c r="E16" s="243"/>
      <c r="F16" s="1202" t="s">
        <v>434</v>
      </c>
      <c r="G16" s="1203"/>
      <c r="H16" s="1203"/>
      <c r="I16" s="1203"/>
      <c r="J16" s="1203"/>
      <c r="K16" s="1204"/>
      <c r="L16" s="398" t="s">
        <v>53</v>
      </c>
      <c r="M16" s="399" t="s">
        <v>54</v>
      </c>
      <c r="N16" s="400" t="s">
        <v>28</v>
      </c>
      <c r="Q16" s="1235" t="str">
        <f>IF(F16&lt;&gt;"",F16,"")</f>
        <v>ITENS NOVOS</v>
      </c>
      <c r="R16" s="1236"/>
      <c r="S16" s="1236"/>
      <c r="T16" s="1236"/>
      <c r="U16" s="1236"/>
      <c r="V16" s="1236"/>
      <c r="W16" s="1236"/>
      <c r="X16" s="1236"/>
      <c r="Y16" s="1237"/>
      <c r="Z16" s="401" t="s">
        <v>55</v>
      </c>
      <c r="AA16" s="281" t="s">
        <v>39</v>
      </c>
      <c r="AK16" s="1249"/>
      <c r="AL16" s="1250"/>
    </row>
    <row r="17" spans="1:39" ht="99.9" customHeight="1" x14ac:dyDescent="0.45">
      <c r="A17" s="243">
        <v>3</v>
      </c>
      <c r="B17" s="267" t="s">
        <v>56</v>
      </c>
      <c r="C17" s="282" t="s">
        <v>57</v>
      </c>
      <c r="D17" s="243" t="s">
        <v>88</v>
      </c>
      <c r="E17" s="243" t="s">
        <v>58</v>
      </c>
      <c r="F17" s="349" t="s">
        <v>587</v>
      </c>
      <c r="G17" s="300" t="s">
        <v>511</v>
      </c>
      <c r="H17" s="301">
        <v>1</v>
      </c>
      <c r="I17" s="301">
        <v>1</v>
      </c>
      <c r="J17" s="302">
        <v>6700</v>
      </c>
      <c r="K17" s="615">
        <f t="shared" ref="K17:K27" si="0">IF(F17&lt;&gt;"",H17*I17*J17,"")</f>
        <v>6700</v>
      </c>
      <c r="L17" s="615">
        <f t="shared" ref="L17:L27" si="1">IF(K17&lt;&gt;"",IF(D17="INTERNO",0,K17*$L$14),"")</f>
        <v>502.5</v>
      </c>
      <c r="M17" s="615">
        <f t="shared" ref="M17:M27" si="2">IF(K17&lt;&gt;"",IF(E17="FAT.OGGI",SUM(K17:L17)*(1/(1-$M$14)-1),L17*(1/(1-$M$14)-1)),"")</f>
        <v>1748.0405741270044</v>
      </c>
      <c r="N17" s="616">
        <f t="shared" ref="N17:N27" si="3">SUM(K17:M17)</f>
        <v>8950.5405741270042</v>
      </c>
      <c r="Q17" s="353">
        <v>1</v>
      </c>
      <c r="R17" s="354">
        <f>IF(I17&lt;&gt;"",I17,"")</f>
        <v>1</v>
      </c>
      <c r="S17" s="355">
        <v>6250</v>
      </c>
      <c r="T17" s="355">
        <v>6125</v>
      </c>
      <c r="U17" s="356">
        <f t="shared" ref="U17:U28" si="4">IF(Q17&lt;&gt;"",K17-T17,"")</f>
        <v>575</v>
      </c>
      <c r="V17" s="357">
        <f t="shared" ref="V17:V27" si="5">IF(Q17&lt;&gt;"",0%,"")</f>
        <v>0</v>
      </c>
      <c r="W17" s="358">
        <f t="shared" ref="W17:W27" si="6">IF(Q17&lt;&gt;"",V17*U17,"")</f>
        <v>0</v>
      </c>
      <c r="X17" s="358">
        <f t="shared" ref="X17:X27" si="7">IF(Q17&lt;&gt;"",W17+T17,"")</f>
        <v>6125</v>
      </c>
      <c r="Y17" s="359">
        <f t="shared" ref="Y17:Y28" si="8">IF(Q17&lt;&gt;"",X17+M17,"")</f>
        <v>7873.0405741270042</v>
      </c>
      <c r="Z17" s="297">
        <f t="shared" ref="Z17:Z28" si="9">IF(Q17&lt;&gt;"",U17/K17,"")</f>
        <v>8.5820895522388058E-2</v>
      </c>
      <c r="AA17" s="298" t="e">
        <f>T17/#REF!</f>
        <v>#REF!</v>
      </c>
      <c r="AC17" s="324">
        <v>6250</v>
      </c>
      <c r="AD17" s="325">
        <f>T17-AC17</f>
        <v>-125</v>
      </c>
      <c r="AE17" s="326">
        <v>46031</v>
      </c>
      <c r="AG17" s="327" t="s">
        <v>558</v>
      </c>
      <c r="AH17" s="328" t="s">
        <v>559</v>
      </c>
      <c r="AK17" s="528">
        <f>X17-AL17</f>
        <v>0</v>
      </c>
      <c r="AL17" s="529">
        <v>6125</v>
      </c>
      <c r="AM17" s="525" t="s">
        <v>804</v>
      </c>
    </row>
    <row r="18" spans="1:39" ht="99.9" customHeight="1" x14ac:dyDescent="0.45">
      <c r="A18" s="362">
        <v>4</v>
      </c>
      <c r="B18" s="267" t="s">
        <v>61</v>
      </c>
      <c r="C18" s="363" t="s">
        <v>57</v>
      </c>
      <c r="D18" s="362" t="s">
        <v>88</v>
      </c>
      <c r="E18" s="362" t="s">
        <v>58</v>
      </c>
      <c r="F18" s="386" t="s">
        <v>492</v>
      </c>
      <c r="G18" s="387" t="s">
        <v>493</v>
      </c>
      <c r="H18" s="388">
        <v>400</v>
      </c>
      <c r="I18" s="388">
        <v>1</v>
      </c>
      <c r="J18" s="617">
        <v>5.1150000000000002</v>
      </c>
      <c r="K18" s="615">
        <f t="shared" si="0"/>
        <v>2046</v>
      </c>
      <c r="L18" s="302">
        <f t="shared" si="1"/>
        <v>153.44999999999999</v>
      </c>
      <c r="M18" s="302">
        <f t="shared" si="2"/>
        <v>533.80462905430613</v>
      </c>
      <c r="N18" s="618">
        <f t="shared" si="3"/>
        <v>2733.254629054306</v>
      </c>
      <c r="Q18" s="353">
        <v>570</v>
      </c>
      <c r="R18" s="391">
        <v>1</v>
      </c>
      <c r="S18" s="619">
        <v>3.95</v>
      </c>
      <c r="T18" s="360">
        <v>592.5</v>
      </c>
      <c r="U18" s="356">
        <f t="shared" si="4"/>
        <v>1453.5</v>
      </c>
      <c r="V18" s="357">
        <f t="shared" si="5"/>
        <v>0</v>
      </c>
      <c r="W18" s="358">
        <f t="shared" si="6"/>
        <v>0</v>
      </c>
      <c r="X18" s="358">
        <f t="shared" si="7"/>
        <v>592.5</v>
      </c>
      <c r="Y18" s="359">
        <f t="shared" si="8"/>
        <v>1126.3046290543061</v>
      </c>
      <c r="Z18" s="297">
        <f t="shared" si="9"/>
        <v>0.71041055718475077</v>
      </c>
      <c r="AA18" s="298" t="e">
        <f>T18/#REF!</f>
        <v>#REF!</v>
      </c>
      <c r="AC18" s="324">
        <v>0</v>
      </c>
      <c r="AD18" s="325">
        <f>T18-AC18</f>
        <v>592.5</v>
      </c>
      <c r="AE18" s="326">
        <v>46041</v>
      </c>
      <c r="AG18" s="327" t="s">
        <v>577</v>
      </c>
      <c r="AH18" s="328" t="s">
        <v>578</v>
      </c>
      <c r="AK18" s="528">
        <f t="shared" ref="AK18:AK28" si="10">X18-AL18</f>
        <v>0</v>
      </c>
      <c r="AL18" s="529">
        <f>592.5</f>
        <v>592.5</v>
      </c>
      <c r="AM18" s="525" t="s">
        <v>818</v>
      </c>
    </row>
    <row r="19" spans="1:39" ht="99.9" customHeight="1" x14ac:dyDescent="0.45">
      <c r="A19" s="362">
        <v>5</v>
      </c>
      <c r="B19" s="267" t="s">
        <v>64</v>
      </c>
      <c r="C19" s="363" t="s">
        <v>57</v>
      </c>
      <c r="D19" s="362" t="s">
        <v>88</v>
      </c>
      <c r="E19" s="362" t="s">
        <v>58</v>
      </c>
      <c r="F19" s="349" t="s">
        <v>119</v>
      </c>
      <c r="G19" s="350" t="s">
        <v>435</v>
      </c>
      <c r="H19" s="351">
        <v>1</v>
      </c>
      <c r="I19" s="351">
        <v>1</v>
      </c>
      <c r="J19" s="615">
        <v>22000</v>
      </c>
      <c r="K19" s="302">
        <f t="shared" si="0"/>
        <v>22000</v>
      </c>
      <c r="L19" s="302">
        <f t="shared" si="1"/>
        <v>1650</v>
      </c>
      <c r="M19" s="302">
        <f t="shared" si="2"/>
        <v>5739.8347210140446</v>
      </c>
      <c r="N19" s="618">
        <f t="shared" si="3"/>
        <v>29389.834721014045</v>
      </c>
      <c r="Q19" s="353">
        <f t="shared" ref="Q19:Q28" si="11">IF(H19&lt;&gt;"",H19,"")</f>
        <v>1</v>
      </c>
      <c r="R19" s="391">
        <v>1</v>
      </c>
      <c r="S19" s="619">
        <v>4400</v>
      </c>
      <c r="T19" s="360">
        <v>0</v>
      </c>
      <c r="U19" s="356">
        <f t="shared" si="4"/>
        <v>22000</v>
      </c>
      <c r="V19" s="357">
        <f t="shared" si="5"/>
        <v>0</v>
      </c>
      <c r="W19" s="358">
        <f t="shared" si="6"/>
        <v>0</v>
      </c>
      <c r="X19" s="358">
        <f t="shared" si="7"/>
        <v>0</v>
      </c>
      <c r="Y19" s="359">
        <f t="shared" si="8"/>
        <v>5739.8347210140446</v>
      </c>
      <c r="Z19" s="297">
        <f t="shared" si="9"/>
        <v>1</v>
      </c>
      <c r="AA19" s="298" t="e">
        <f>T19/#REF!</f>
        <v>#REF!</v>
      </c>
      <c r="AC19" s="324">
        <v>0</v>
      </c>
      <c r="AD19" s="325">
        <f>T19-AC19</f>
        <v>0</v>
      </c>
      <c r="AE19" s="326">
        <v>46014</v>
      </c>
      <c r="AG19" s="327" t="s">
        <v>79</v>
      </c>
      <c r="AH19" s="328" t="s">
        <v>79</v>
      </c>
      <c r="AK19" s="528">
        <f t="shared" si="10"/>
        <v>0</v>
      </c>
      <c r="AL19" s="529">
        <v>0</v>
      </c>
    </row>
    <row r="20" spans="1:39" ht="99.9" customHeight="1" x14ac:dyDescent="0.4">
      <c r="A20" s="243">
        <v>6</v>
      </c>
      <c r="B20" s="267" t="s">
        <v>67</v>
      </c>
      <c r="C20" s="282" t="s">
        <v>57</v>
      </c>
      <c r="D20" s="243" t="s">
        <v>88</v>
      </c>
      <c r="E20" s="243" t="s">
        <v>58</v>
      </c>
      <c r="F20" s="448" t="s">
        <v>560</v>
      </c>
      <c r="G20" s="620" t="s">
        <v>561</v>
      </c>
      <c r="H20" s="621">
        <v>1</v>
      </c>
      <c r="I20" s="622">
        <v>1</v>
      </c>
      <c r="J20" s="623">
        <v>3500</v>
      </c>
      <c r="K20" s="302">
        <f t="shared" si="0"/>
        <v>3500</v>
      </c>
      <c r="L20" s="302">
        <f t="shared" si="1"/>
        <v>262.5</v>
      </c>
      <c r="M20" s="302">
        <f t="shared" si="2"/>
        <v>913.15552379768883</v>
      </c>
      <c r="N20" s="618">
        <f t="shared" si="3"/>
        <v>4675.6555237976891</v>
      </c>
      <c r="Q20" s="306">
        <f t="shared" si="11"/>
        <v>1</v>
      </c>
      <c r="R20" s="307">
        <f>IF(I20&lt;&gt;"",I20,"")</f>
        <v>1</v>
      </c>
      <c r="S20" s="308">
        <v>0</v>
      </c>
      <c r="T20" s="308">
        <f t="shared" ref="T20:T27" si="12">IF(Q20&lt;&gt;"",Q20*R20*S20,"")</f>
        <v>0</v>
      </c>
      <c r="U20" s="309">
        <f t="shared" si="4"/>
        <v>3500</v>
      </c>
      <c r="V20" s="310">
        <f t="shared" si="5"/>
        <v>0</v>
      </c>
      <c r="W20" s="311">
        <f t="shared" si="6"/>
        <v>0</v>
      </c>
      <c r="X20" s="311">
        <f t="shared" si="7"/>
        <v>0</v>
      </c>
      <c r="Y20" s="312">
        <f t="shared" si="8"/>
        <v>913.15552379768883</v>
      </c>
      <c r="Z20" s="297">
        <f t="shared" si="9"/>
        <v>1</v>
      </c>
      <c r="AA20" s="298" t="e">
        <f>T20/#REF!</f>
        <v>#REF!</v>
      </c>
      <c r="AK20" s="528">
        <f t="shared" si="10"/>
        <v>0</v>
      </c>
      <c r="AL20" s="529">
        <v>0</v>
      </c>
    </row>
    <row r="21" spans="1:39" ht="99.9" customHeight="1" x14ac:dyDescent="0.4">
      <c r="A21" s="243">
        <v>7</v>
      </c>
      <c r="B21" s="267" t="s">
        <v>70</v>
      </c>
      <c r="C21" s="282" t="s">
        <v>57</v>
      </c>
      <c r="D21" s="243" t="s">
        <v>88</v>
      </c>
      <c r="E21" s="243" t="s">
        <v>58</v>
      </c>
      <c r="F21" s="624" t="s">
        <v>562</v>
      </c>
      <c r="G21" s="300" t="s">
        <v>563</v>
      </c>
      <c r="H21" s="301">
        <v>1</v>
      </c>
      <c r="I21" s="301">
        <v>1</v>
      </c>
      <c r="J21" s="302">
        <v>5000</v>
      </c>
      <c r="K21" s="302">
        <f>IF(F21&lt;&gt;"",H21*I21*J21,"")</f>
        <v>5000</v>
      </c>
      <c r="L21" s="302">
        <f>IF(K21&lt;&gt;"",IF(D21="INTERNO",0,K21*$L$14),"")</f>
        <v>375</v>
      </c>
      <c r="M21" s="302">
        <f>IF(K21&lt;&gt;"",IF(E21="FAT.OGGI",SUM(K21:L21)*(1/(1-$M$14)-1),L21*(1/(1-$M$14)-1)),"")</f>
        <v>1304.5078911395556</v>
      </c>
      <c r="N21" s="618">
        <f>SUM(K21:M21)</f>
        <v>6679.5078911395558</v>
      </c>
      <c r="Q21" s="306">
        <f>IF(H21&lt;&gt;"",H21,"")</f>
        <v>1</v>
      </c>
      <c r="R21" s="307">
        <f>IF(I21&lt;&gt;"",I21,"")</f>
        <v>1</v>
      </c>
      <c r="S21" s="313">
        <v>4801.16</v>
      </c>
      <c r="T21" s="313">
        <v>1584</v>
      </c>
      <c r="U21" s="309">
        <f>IF(Q21&lt;&gt;"",K21-T21,"")</f>
        <v>3416</v>
      </c>
      <c r="V21" s="310">
        <f>IF(Q21&lt;&gt;"",0%,"")</f>
        <v>0</v>
      </c>
      <c r="W21" s="311">
        <f>IF(Q21&lt;&gt;"",V21*U21,"")</f>
        <v>0</v>
      </c>
      <c r="X21" s="311">
        <f>IF(Q21&lt;&gt;"",W21+T21,"")</f>
        <v>1584</v>
      </c>
      <c r="Y21" s="312">
        <f>IF(Q21&lt;&gt;"",X21+M21,"")</f>
        <v>2888.5078911395558</v>
      </c>
      <c r="Z21" s="297">
        <f>IF(Q21&lt;&gt;"",U21/K21,"")</f>
        <v>0.68320000000000003</v>
      </c>
      <c r="AA21" s="298" t="e">
        <f>T21/#REF!</f>
        <v>#REF!</v>
      </c>
      <c r="AK21" s="528">
        <f t="shared" si="10"/>
        <v>0</v>
      </c>
      <c r="AL21" s="529">
        <v>1584</v>
      </c>
      <c r="AM21" s="525" t="s">
        <v>831</v>
      </c>
    </row>
    <row r="22" spans="1:39" ht="99.9" customHeight="1" x14ac:dyDescent="0.4">
      <c r="A22" s="362">
        <v>8</v>
      </c>
      <c r="B22" s="267" t="s">
        <v>73</v>
      </c>
      <c r="C22" s="363" t="s">
        <v>57</v>
      </c>
      <c r="D22" s="362" t="s">
        <v>88</v>
      </c>
      <c r="E22" s="362" t="s">
        <v>58</v>
      </c>
      <c r="F22" s="299" t="s">
        <v>564</v>
      </c>
      <c r="G22" s="300" t="s">
        <v>565</v>
      </c>
      <c r="H22" s="301">
        <v>1</v>
      </c>
      <c r="I22" s="301">
        <v>1</v>
      </c>
      <c r="J22" s="302">
        <v>8500</v>
      </c>
      <c r="K22" s="302">
        <f t="shared" si="0"/>
        <v>8500</v>
      </c>
      <c r="L22" s="302">
        <f t="shared" si="1"/>
        <v>637.5</v>
      </c>
      <c r="M22" s="302">
        <f t="shared" si="2"/>
        <v>2217.6634149372444</v>
      </c>
      <c r="N22" s="625">
        <f t="shared" si="3"/>
        <v>11355.163414937244</v>
      </c>
      <c r="Q22" s="415">
        <f t="shared" si="11"/>
        <v>1</v>
      </c>
      <c r="R22" s="626">
        <v>1</v>
      </c>
      <c r="S22" s="479">
        <v>0</v>
      </c>
      <c r="T22" s="466">
        <f t="shared" si="12"/>
        <v>0</v>
      </c>
      <c r="U22" s="417">
        <f t="shared" si="4"/>
        <v>8500</v>
      </c>
      <c r="V22" s="418">
        <f t="shared" si="5"/>
        <v>0</v>
      </c>
      <c r="W22" s="419">
        <f t="shared" si="6"/>
        <v>0</v>
      </c>
      <c r="X22" s="419">
        <f t="shared" si="7"/>
        <v>0</v>
      </c>
      <c r="Y22" s="312">
        <f t="shared" si="8"/>
        <v>2217.6634149372444</v>
      </c>
      <c r="Z22" s="297">
        <f t="shared" si="9"/>
        <v>1</v>
      </c>
      <c r="AA22" s="298" t="e">
        <f>T22/#REF!</f>
        <v>#REF!</v>
      </c>
      <c r="AK22" s="528">
        <f t="shared" si="10"/>
        <v>0</v>
      </c>
      <c r="AL22" s="529">
        <v>0</v>
      </c>
    </row>
    <row r="23" spans="1:39" ht="99.9" customHeight="1" x14ac:dyDescent="0.4">
      <c r="A23" s="362">
        <v>9</v>
      </c>
      <c r="B23" s="267" t="s">
        <v>76</v>
      </c>
      <c r="C23" s="363" t="s">
        <v>57</v>
      </c>
      <c r="D23" s="362" t="s">
        <v>88</v>
      </c>
      <c r="E23" s="362" t="s">
        <v>58</v>
      </c>
      <c r="F23" s="299" t="s">
        <v>566</v>
      </c>
      <c r="G23" s="300" t="s">
        <v>567</v>
      </c>
      <c r="H23" s="404">
        <v>1</v>
      </c>
      <c r="I23" s="404">
        <v>2</v>
      </c>
      <c r="J23" s="405">
        <v>750</v>
      </c>
      <c r="K23" s="303">
        <f t="shared" si="0"/>
        <v>1500</v>
      </c>
      <c r="L23" s="303">
        <f t="shared" si="1"/>
        <v>112.5</v>
      </c>
      <c r="M23" s="303">
        <f t="shared" si="2"/>
        <v>391.35236734186668</v>
      </c>
      <c r="N23" s="627">
        <f t="shared" si="3"/>
        <v>2003.8523673418667</v>
      </c>
      <c r="Q23" s="415">
        <f t="shared" si="11"/>
        <v>1</v>
      </c>
      <c r="R23" s="626">
        <v>1</v>
      </c>
      <c r="S23" s="466">
        <v>0</v>
      </c>
      <c r="T23" s="466">
        <f t="shared" si="12"/>
        <v>0</v>
      </c>
      <c r="U23" s="417">
        <f t="shared" si="4"/>
        <v>1500</v>
      </c>
      <c r="V23" s="418">
        <f t="shared" si="5"/>
        <v>0</v>
      </c>
      <c r="W23" s="419">
        <f t="shared" si="6"/>
        <v>0</v>
      </c>
      <c r="X23" s="419">
        <f t="shared" si="7"/>
        <v>0</v>
      </c>
      <c r="Y23" s="312">
        <f t="shared" si="8"/>
        <v>391.35236734186668</v>
      </c>
      <c r="Z23" s="297">
        <f t="shared" si="9"/>
        <v>1</v>
      </c>
      <c r="AA23" s="298" t="e">
        <f>T23/#REF!</f>
        <v>#REF!</v>
      </c>
      <c r="AK23" s="528">
        <f t="shared" si="10"/>
        <v>0</v>
      </c>
      <c r="AL23" s="529">
        <v>0</v>
      </c>
    </row>
    <row r="24" spans="1:39" ht="99.9" customHeight="1" x14ac:dyDescent="0.45">
      <c r="A24" s="274">
        <v>10</v>
      </c>
      <c r="B24" s="267" t="s">
        <v>80</v>
      </c>
      <c r="C24" s="275" t="s">
        <v>57</v>
      </c>
      <c r="D24" s="274" t="s">
        <v>88</v>
      </c>
      <c r="E24" s="274" t="s">
        <v>58</v>
      </c>
      <c r="F24" s="329" t="s">
        <v>468</v>
      </c>
      <c r="G24" s="300" t="s">
        <v>469</v>
      </c>
      <c r="H24" s="301">
        <v>2</v>
      </c>
      <c r="I24" s="301">
        <v>4</v>
      </c>
      <c r="J24" s="405">
        <v>450</v>
      </c>
      <c r="K24" s="470">
        <f t="shared" si="0"/>
        <v>3600</v>
      </c>
      <c r="L24" s="470">
        <f t="shared" si="1"/>
        <v>270</v>
      </c>
      <c r="M24" s="470">
        <f t="shared" si="2"/>
        <v>939.24568162048001</v>
      </c>
      <c r="N24" s="471">
        <f t="shared" si="3"/>
        <v>4809.2456816204804</v>
      </c>
      <c r="Q24" s="472">
        <v>1</v>
      </c>
      <c r="R24" s="473">
        <v>1</v>
      </c>
      <c r="S24" s="628">
        <v>1910</v>
      </c>
      <c r="T24" s="628">
        <f t="shared" si="12"/>
        <v>1910</v>
      </c>
      <c r="U24" s="475">
        <f t="shared" si="4"/>
        <v>1690</v>
      </c>
      <c r="V24" s="476">
        <f t="shared" si="5"/>
        <v>0</v>
      </c>
      <c r="W24" s="477">
        <f t="shared" si="6"/>
        <v>0</v>
      </c>
      <c r="X24" s="477">
        <f t="shared" si="7"/>
        <v>1910</v>
      </c>
      <c r="Y24" s="478">
        <f t="shared" si="8"/>
        <v>2849.2456816204799</v>
      </c>
      <c r="Z24" s="297">
        <f t="shared" si="9"/>
        <v>0.46944444444444444</v>
      </c>
      <c r="AA24" s="298" t="e">
        <f>T24/#REF!</f>
        <v>#REF!</v>
      </c>
      <c r="AC24" s="324">
        <v>0</v>
      </c>
      <c r="AD24" s="325">
        <f>T24-AC24</f>
        <v>1910</v>
      </c>
      <c r="AE24" s="326">
        <v>46028</v>
      </c>
      <c r="AG24" s="327" t="s">
        <v>568</v>
      </c>
      <c r="AH24" s="328" t="s">
        <v>569</v>
      </c>
      <c r="AK24" s="528">
        <f t="shared" si="10"/>
        <v>0</v>
      </c>
      <c r="AL24" s="529">
        <v>1910</v>
      </c>
      <c r="AM24" s="525" t="s">
        <v>814</v>
      </c>
    </row>
    <row r="25" spans="1:39" ht="99.9" customHeight="1" x14ac:dyDescent="0.4">
      <c r="A25" s="243">
        <v>11</v>
      </c>
      <c r="B25" s="267" t="s">
        <v>290</v>
      </c>
      <c r="C25" s="282" t="s">
        <v>57</v>
      </c>
      <c r="D25" s="243" t="s">
        <v>88</v>
      </c>
      <c r="E25" s="243" t="s">
        <v>58</v>
      </c>
      <c r="F25" s="299" t="s">
        <v>207</v>
      </c>
      <c r="G25" s="300" t="s">
        <v>570</v>
      </c>
      <c r="H25" s="301">
        <v>1</v>
      </c>
      <c r="I25" s="301">
        <v>1</v>
      </c>
      <c r="J25" s="405">
        <v>1550</v>
      </c>
      <c r="K25" s="303">
        <f t="shared" si="0"/>
        <v>1550</v>
      </c>
      <c r="L25" s="303">
        <f t="shared" si="1"/>
        <v>116.25</v>
      </c>
      <c r="M25" s="303">
        <f t="shared" si="2"/>
        <v>404.39744625326222</v>
      </c>
      <c r="N25" s="315">
        <f t="shared" si="3"/>
        <v>2070.6474462532624</v>
      </c>
      <c r="Q25" s="415">
        <f t="shared" si="11"/>
        <v>1</v>
      </c>
      <c r="R25" s="408">
        <f>IF(I25&lt;&gt;"",I25,"")</f>
        <v>1</v>
      </c>
      <c r="S25" s="466">
        <v>0</v>
      </c>
      <c r="T25" s="466">
        <f t="shared" si="12"/>
        <v>0</v>
      </c>
      <c r="U25" s="417">
        <f t="shared" si="4"/>
        <v>1550</v>
      </c>
      <c r="V25" s="418">
        <f t="shared" si="5"/>
        <v>0</v>
      </c>
      <c r="W25" s="419">
        <f t="shared" si="6"/>
        <v>0</v>
      </c>
      <c r="X25" s="419">
        <f t="shared" si="7"/>
        <v>0</v>
      </c>
      <c r="Y25" s="312">
        <f t="shared" si="8"/>
        <v>404.39744625326222</v>
      </c>
      <c r="Z25" s="297">
        <f t="shared" si="9"/>
        <v>1</v>
      </c>
      <c r="AA25" s="298" t="e">
        <f>T25/#REF!</f>
        <v>#REF!</v>
      </c>
      <c r="AK25" s="528">
        <f t="shared" si="10"/>
        <v>0</v>
      </c>
      <c r="AL25" s="529">
        <v>0</v>
      </c>
    </row>
    <row r="26" spans="1:39" ht="99.9" customHeight="1" x14ac:dyDescent="0.4">
      <c r="A26" s="503">
        <v>12</v>
      </c>
      <c r="B26" s="267" t="s">
        <v>291</v>
      </c>
      <c r="C26" s="504" t="s">
        <v>57</v>
      </c>
      <c r="D26" s="503" t="s">
        <v>88</v>
      </c>
      <c r="E26" s="503" t="s">
        <v>58</v>
      </c>
      <c r="F26" s="629" t="s">
        <v>571</v>
      </c>
      <c r="G26" s="468" t="s">
        <v>572</v>
      </c>
      <c r="H26" s="331">
        <v>1</v>
      </c>
      <c r="I26" s="331">
        <v>3</v>
      </c>
      <c r="J26" s="469">
        <v>850</v>
      </c>
      <c r="K26" s="333">
        <f t="shared" si="0"/>
        <v>2550</v>
      </c>
      <c r="L26" s="333">
        <f t="shared" si="1"/>
        <v>191.25</v>
      </c>
      <c r="M26" s="333">
        <f t="shared" si="2"/>
        <v>665.29902448117332</v>
      </c>
      <c r="N26" s="334">
        <f t="shared" si="3"/>
        <v>3406.5490244811735</v>
      </c>
      <c r="Q26" s="335">
        <f t="shared" si="11"/>
        <v>1</v>
      </c>
      <c r="R26" s="336">
        <f>IF(I26&lt;&gt;"",I26,"")</f>
        <v>3</v>
      </c>
      <c r="S26" s="480">
        <v>850</v>
      </c>
      <c r="T26" s="480">
        <v>0</v>
      </c>
      <c r="U26" s="338">
        <f t="shared" si="4"/>
        <v>2550</v>
      </c>
      <c r="V26" s="339">
        <f t="shared" si="5"/>
        <v>0</v>
      </c>
      <c r="W26" s="340">
        <f t="shared" si="6"/>
        <v>0</v>
      </c>
      <c r="X26" s="340">
        <f t="shared" si="7"/>
        <v>0</v>
      </c>
      <c r="Y26" s="323">
        <f t="shared" si="8"/>
        <v>665.29902448117332</v>
      </c>
      <c r="Z26" s="458">
        <f t="shared" si="9"/>
        <v>1</v>
      </c>
      <c r="AA26" s="298" t="e">
        <f>T26/#REF!</f>
        <v>#REF!</v>
      </c>
      <c r="AK26" s="528">
        <f t="shared" si="10"/>
        <v>0</v>
      </c>
      <c r="AL26" s="529">
        <v>0</v>
      </c>
    </row>
    <row r="27" spans="1:39" ht="99.9" customHeight="1" x14ac:dyDescent="0.4">
      <c r="A27" s="243">
        <v>13</v>
      </c>
      <c r="B27" s="267" t="s">
        <v>292</v>
      </c>
      <c r="C27" s="282" t="s">
        <v>57</v>
      </c>
      <c r="D27" s="243" t="s">
        <v>88</v>
      </c>
      <c r="E27" s="243" t="s">
        <v>58</v>
      </c>
      <c r="F27" s="329" t="s">
        <v>573</v>
      </c>
      <c r="G27" s="507" t="s">
        <v>754</v>
      </c>
      <c r="H27" s="301">
        <v>0</v>
      </c>
      <c r="I27" s="301">
        <v>1</v>
      </c>
      <c r="J27" s="405">
        <v>14700</v>
      </c>
      <c r="K27" s="303">
        <f t="shared" si="0"/>
        <v>0</v>
      </c>
      <c r="L27" s="303">
        <f t="shared" si="1"/>
        <v>0</v>
      </c>
      <c r="M27" s="303">
        <f t="shared" si="2"/>
        <v>0</v>
      </c>
      <c r="N27" s="315">
        <f t="shared" si="3"/>
        <v>0</v>
      </c>
      <c r="Q27" s="415">
        <f>IF(H27&lt;&gt;"",H27,"")</f>
        <v>0</v>
      </c>
      <c r="R27" s="408">
        <f>IF(I27&lt;&gt;"",I27,"")</f>
        <v>1</v>
      </c>
      <c r="S27" s="466">
        <v>0</v>
      </c>
      <c r="T27" s="466">
        <f t="shared" si="12"/>
        <v>0</v>
      </c>
      <c r="U27" s="417">
        <f>IF(Q27&lt;&gt;"",K27-T27,"")</f>
        <v>0</v>
      </c>
      <c r="V27" s="418">
        <f t="shared" si="5"/>
        <v>0</v>
      </c>
      <c r="W27" s="419">
        <f t="shared" si="6"/>
        <v>0</v>
      </c>
      <c r="X27" s="419">
        <f t="shared" si="7"/>
        <v>0</v>
      </c>
      <c r="Y27" s="312">
        <f>IF(Q27&lt;&gt;"",X27+M27,"")</f>
        <v>0</v>
      </c>
      <c r="Z27" s="492" t="e">
        <f>IF(Q27&lt;&gt;"",U27/K27,"")</f>
        <v>#DIV/0!</v>
      </c>
      <c r="AA27" s="298" t="e">
        <f>T27/#REF!</f>
        <v>#REF!</v>
      </c>
      <c r="AK27" s="528">
        <f t="shared" si="10"/>
        <v>0</v>
      </c>
      <c r="AL27" s="529">
        <v>0</v>
      </c>
    </row>
    <row r="28" spans="1:39" ht="99.9" customHeight="1" thickBot="1" x14ac:dyDescent="0.5">
      <c r="A28" s="243">
        <v>14</v>
      </c>
      <c r="B28" s="267" t="s">
        <v>294</v>
      </c>
      <c r="C28" s="282" t="s">
        <v>57</v>
      </c>
      <c r="D28" s="243" t="s">
        <v>88</v>
      </c>
      <c r="E28" s="243" t="s">
        <v>58</v>
      </c>
      <c r="F28" s="299" t="s">
        <v>574</v>
      </c>
      <c r="G28" s="300" t="s">
        <v>575</v>
      </c>
      <c r="H28" s="301">
        <v>1</v>
      </c>
      <c r="I28" s="301">
        <v>1</v>
      </c>
      <c r="J28" s="405">
        <v>2500</v>
      </c>
      <c r="K28" s="303">
        <f>IF(F28&lt;&gt;"",H28*I28*J28,"")</f>
        <v>2500</v>
      </c>
      <c r="L28" s="303">
        <f>IF(K28&lt;&gt;"",IF(D28="INTERNO",0,K28*$L$14),"")</f>
        <v>187.5</v>
      </c>
      <c r="M28" s="303">
        <f>IF(K28&lt;&gt;"",IF(E28="FAT.OGGI",SUM(K28:L28)*(1/(1-$M$14)-1),L28*(1/(1-$M$14)-1)),"")</f>
        <v>652.25394556977778</v>
      </c>
      <c r="N28" s="315">
        <f>SUM(K28:M28)</f>
        <v>3339.7539455697779</v>
      </c>
      <c r="Q28" s="415">
        <f t="shared" si="11"/>
        <v>1</v>
      </c>
      <c r="R28" s="408">
        <f>IF(I28&lt;&gt;"",I28,"")</f>
        <v>1</v>
      </c>
      <c r="S28" s="371">
        <f>1800</f>
        <v>1800</v>
      </c>
      <c r="T28" s="466">
        <v>0</v>
      </c>
      <c r="U28" s="417">
        <f t="shared" si="4"/>
        <v>2500</v>
      </c>
      <c r="V28" s="418">
        <f>IF(Q28&lt;&gt;"",0%,"")</f>
        <v>0</v>
      </c>
      <c r="W28" s="419">
        <f>IF(Q28&lt;&gt;"",V28*U28,"")</f>
        <v>0</v>
      </c>
      <c r="X28" s="419">
        <f>IF(Q28&lt;&gt;"",W28+T28,"")</f>
        <v>0</v>
      </c>
      <c r="Y28" s="312">
        <f t="shared" si="8"/>
        <v>652.25394556977778</v>
      </c>
      <c r="Z28" s="492">
        <f t="shared" si="9"/>
        <v>1</v>
      </c>
      <c r="AA28" s="298" t="e">
        <f>T28/#REF!</f>
        <v>#REF!</v>
      </c>
      <c r="AC28" s="324">
        <v>0</v>
      </c>
      <c r="AD28" s="325">
        <f>T28-AC28</f>
        <v>0</v>
      </c>
      <c r="AE28" s="326">
        <v>46045</v>
      </c>
      <c r="AG28" s="327" t="s">
        <v>79</v>
      </c>
      <c r="AH28" s="328" t="s">
        <v>79</v>
      </c>
      <c r="AK28" s="528">
        <f t="shared" si="10"/>
        <v>0</v>
      </c>
      <c r="AL28" s="529">
        <v>0</v>
      </c>
    </row>
    <row r="29" spans="1:39" ht="30" customHeight="1" thickBot="1" x14ac:dyDescent="0.5">
      <c r="A29" s="243">
        <v>15</v>
      </c>
      <c r="B29" s="267"/>
      <c r="C29" s="282" t="s">
        <v>83</v>
      </c>
      <c r="D29" s="243"/>
      <c r="E29" s="243"/>
      <c r="F29" s="1195" t="s">
        <v>274</v>
      </c>
      <c r="G29" s="1196"/>
      <c r="H29" s="1196"/>
      <c r="I29" s="1196"/>
      <c r="J29" s="1277"/>
      <c r="K29" s="509">
        <f>SUM(K17:K28)</f>
        <v>59446</v>
      </c>
      <c r="L29" s="509">
        <f>SUM(L17:L28)</f>
        <v>4458.45</v>
      </c>
      <c r="M29" s="509">
        <f>SUM(M17:M28)</f>
        <v>15509.555219336402</v>
      </c>
      <c r="N29" s="510">
        <f>SUM(N17:N28)</f>
        <v>79414.00521933641</v>
      </c>
      <c r="P29" s="220">
        <f>SUM(P17:P28)</f>
        <v>0</v>
      </c>
      <c r="Q29" s="1278"/>
      <c r="R29" s="1277"/>
      <c r="S29" s="1277"/>
      <c r="T29" s="513">
        <f>SUM(T17:T28)</f>
        <v>10211.5</v>
      </c>
      <c r="U29" s="514">
        <f>SUM(U17:U28)</f>
        <v>49234.5</v>
      </c>
      <c r="V29" s="630"/>
      <c r="W29" s="631"/>
      <c r="X29" s="516">
        <f>SUM(X17:X28)</f>
        <v>10211.5</v>
      </c>
      <c r="Y29" s="632">
        <f>SUM(Y17:Y28)</f>
        <v>25721.055219336402</v>
      </c>
      <c r="Z29" s="500" t="s">
        <v>275</v>
      </c>
      <c r="AA29" s="633" t="e">
        <f>T29/#REF!</f>
        <v>#REF!</v>
      </c>
      <c r="AK29" s="528">
        <v>0</v>
      </c>
      <c r="AL29" s="529">
        <v>0</v>
      </c>
    </row>
    <row r="30" spans="1:39" ht="24" customHeight="1" thickBot="1" x14ac:dyDescent="0.5">
      <c r="A30" s="243">
        <v>16</v>
      </c>
      <c r="B30" s="520"/>
      <c r="C30" s="282" t="s">
        <v>277</v>
      </c>
      <c r="D30" s="243"/>
      <c r="E30" s="243"/>
      <c r="F30" s="80" t="s">
        <v>278</v>
      </c>
      <c r="G30" s="81"/>
      <c r="H30" s="81"/>
      <c r="I30" s="81"/>
      <c r="J30" s="81"/>
      <c r="K30" s="82">
        <f>SUM(K17:K28)</f>
        <v>59446</v>
      </c>
      <c r="L30" s="82">
        <f>SUM(L17:L28)</f>
        <v>4458.45</v>
      </c>
      <c r="M30" s="82">
        <f>SUM(M17:M28)</f>
        <v>15509.555219336402</v>
      </c>
      <c r="N30" s="163">
        <f>SUM(N17:N28)</f>
        <v>79414.00521933641</v>
      </c>
      <c r="Q30" s="80" t="s">
        <v>279</v>
      </c>
      <c r="R30" s="81"/>
      <c r="S30" s="81"/>
      <c r="T30" s="82">
        <f>SUM(T17:T28)</f>
        <v>10211.5</v>
      </c>
      <c r="U30" s="82">
        <f>SUM(U17:U28)</f>
        <v>49234.5</v>
      </c>
      <c r="V30" s="81"/>
      <c r="W30" s="81"/>
      <c r="X30" s="82">
        <f>SUM(X17:X28)</f>
        <v>10211.5</v>
      </c>
      <c r="Y30" s="163">
        <f>SUM(Y17:Y28)</f>
        <v>25721.055219336402</v>
      </c>
      <c r="Z30" s="87">
        <f>IF(Q30&lt;&gt;"",(N30-Y30)/N30,"")</f>
        <v>0.67611436863942975</v>
      </c>
      <c r="AA30" s="633" t="e">
        <f>T30/#REF!</f>
        <v>#REF!</v>
      </c>
      <c r="AK30" s="528">
        <f>SUM(AK17:AK29)</f>
        <v>0</v>
      </c>
      <c r="AL30" s="529">
        <f>SUM(AL17:AL29)</f>
        <v>10211.5</v>
      </c>
    </row>
    <row r="31" spans="1:39" ht="22.2" x14ac:dyDescent="0.45">
      <c r="AL31" s="521"/>
      <c r="AM31" s="522" t="s">
        <v>744</v>
      </c>
    </row>
    <row r="32" spans="1:39" ht="22.2" x14ac:dyDescent="0.45">
      <c r="AL32" s="521">
        <f>X30</f>
        <v>10211.5</v>
      </c>
      <c r="AM32" s="522" t="s">
        <v>745</v>
      </c>
    </row>
    <row r="33" spans="38:39" ht="22.2" x14ac:dyDescent="0.45">
      <c r="AL33" s="521">
        <f>N30-X30</f>
        <v>69202.50521933641</v>
      </c>
      <c r="AM33" s="523" t="s">
        <v>741</v>
      </c>
    </row>
    <row r="34" spans="38:39" x14ac:dyDescent="0.4">
      <c r="AL34" s="524">
        <f>AL33*100%/N30</f>
        <v>0.87141436863942967</v>
      </c>
    </row>
  </sheetData>
  <mergeCells count="15">
    <mergeCell ref="F1:G1"/>
    <mergeCell ref="F2:G2"/>
    <mergeCell ref="Q12:T12"/>
    <mergeCell ref="U12:X12"/>
    <mergeCell ref="AC12:AE12"/>
    <mergeCell ref="F29:J29"/>
    <mergeCell ref="Q29:S29"/>
    <mergeCell ref="F16:K16"/>
    <mergeCell ref="Q16:Y16"/>
    <mergeCell ref="AK12:AL12"/>
    <mergeCell ref="F15:N15"/>
    <mergeCell ref="Q15:Y15"/>
    <mergeCell ref="AG12:AH12"/>
    <mergeCell ref="AK15:AL15"/>
    <mergeCell ref="AK16:AL16"/>
  </mergeCells>
  <dataValidations count="3">
    <dataValidation type="list" allowBlank="1" showInputMessage="1" showErrorMessage="1" sqref="D30 D16:D28" xr:uid="{40231799-799C-4719-85BF-18767CAB7E5A}">
      <formula1>"INTERNO,OPERACIONAL"</formula1>
    </dataValidation>
    <dataValidation type="list" allowBlank="1" showInputMessage="1" showErrorMessage="1" sqref="E30" xr:uid="{0F696CD3-D2B9-47F0-A143-69534E86F43E}">
      <formula1>"FAT.OGGI,FAT.CLIENTE "</formula1>
    </dataValidation>
    <dataValidation type="list" allowBlank="1" showInputMessage="1" showErrorMessage="1" sqref="E16:E28" xr:uid="{4BC70671-D017-4F68-A625-B3843DB3CEDC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DA11E-E0F5-42FC-AB78-29017A55D9D5}">
  <sheetPr codeName="Planilha19">
    <pageSetUpPr autoPageBreaks="0"/>
  </sheetPr>
  <dimension ref="A1:AM23"/>
  <sheetViews>
    <sheetView showGridLines="0" topLeftCell="B3" zoomScale="60" zoomScaleNormal="60" workbookViewId="0">
      <pane xSplit="4" topLeftCell="G1" activePane="topRight" state="frozen"/>
      <selection activeCell="B1" sqref="B1"/>
      <selection pane="topRight" activeCell="M21" sqref="M21"/>
    </sheetView>
  </sheetViews>
  <sheetFormatPr defaultRowHeight="14.4" x14ac:dyDescent="0.3"/>
  <cols>
    <col min="1" max="1" width="8.44140625" style="95" hidden="1" customWidth="1"/>
    <col min="2" max="2" width="8.44140625" style="95" customWidth="1"/>
    <col min="3" max="5" width="8.44140625" style="95" hidden="1" customWidth="1"/>
    <col min="6" max="6" width="35.88671875" customWidth="1"/>
    <col min="7" max="7" width="52.33203125" customWidth="1"/>
    <col min="8" max="9" width="5.6640625" hidden="1" customWidth="1"/>
    <col min="10" max="10" width="20.109375" hidden="1" customWidth="1"/>
    <col min="11" max="11" width="26.88671875" customWidth="1"/>
    <col min="12" max="12" width="22.88671875" bestFit="1" customWidth="1"/>
    <col min="13" max="13" width="26.44140625" bestFit="1" customWidth="1"/>
    <col min="14" max="14" width="28.6640625" customWidth="1"/>
    <col min="15" max="15" width="3.33203125" hidden="1" customWidth="1"/>
    <col min="16" max="16" width="1.88671875" hidden="1" customWidth="1"/>
    <col min="17" max="17" width="9.33203125" customWidth="1"/>
    <col min="18" max="18" width="9.33203125" hidden="1" customWidth="1"/>
    <col min="19" max="19" width="26.44140625" hidden="1" customWidth="1"/>
    <col min="20" max="20" width="28.109375" customWidth="1"/>
    <col min="21" max="21" width="27" hidden="1" customWidth="1"/>
    <col min="22" max="23" width="18.109375" hidden="1" customWidth="1"/>
    <col min="24" max="24" width="28.109375" customWidth="1"/>
    <col min="25" max="25" width="27.5546875" hidden="1" customWidth="1"/>
    <col min="26" max="26" width="18.6640625" hidden="1" customWidth="1"/>
    <col min="27" max="27" width="25.6640625" hidden="1" customWidth="1"/>
    <col min="28" max="28" width="38.109375" hidden="1" customWidth="1"/>
    <col min="29" max="30" width="33" hidden="1" customWidth="1"/>
    <col min="31" max="31" width="28" hidden="1" customWidth="1"/>
    <col min="32" max="32" width="1.33203125" hidden="1" customWidth="1"/>
    <col min="33" max="33" width="81.5546875" hidden="1" customWidth="1"/>
    <col min="34" max="34" width="36.6640625" hidden="1" customWidth="1"/>
    <col min="35" max="35" width="1.5546875" hidden="1" customWidth="1"/>
    <col min="36" max="36" width="20.33203125" hidden="1" customWidth="1"/>
    <col min="37" max="37" width="25.33203125" customWidth="1"/>
    <col min="38" max="38" width="24.88671875" customWidth="1"/>
    <col min="39" max="39" width="8.6640625" style="1015" customWidth="1"/>
    <col min="40" max="40" width="21.33203125" customWidth="1"/>
  </cols>
  <sheetData>
    <row r="1" spans="1:38" ht="49.5" customHeight="1" x14ac:dyDescent="0.3">
      <c r="B1" s="96"/>
      <c r="C1" s="97"/>
      <c r="D1" s="97"/>
      <c r="F1" s="1286" t="s">
        <v>0</v>
      </c>
      <c r="G1" s="1286"/>
    </row>
    <row r="2" spans="1:38" ht="24.75" customHeight="1" x14ac:dyDescent="0.3">
      <c r="B2" s="98"/>
      <c r="D2" s="97"/>
      <c r="F2" s="1287" t="s">
        <v>1</v>
      </c>
      <c r="G2" s="1287"/>
    </row>
    <row r="3" spans="1:38" ht="18" x14ac:dyDescent="0.3">
      <c r="B3" s="99"/>
      <c r="F3" s="27"/>
      <c r="G3" s="27"/>
    </row>
    <row r="4" spans="1:38" ht="18" x14ac:dyDescent="0.3">
      <c r="F4" s="29" t="s">
        <v>2</v>
      </c>
      <c r="G4" s="30"/>
    </row>
    <row r="5" spans="1:38" ht="18" x14ac:dyDescent="0.3">
      <c r="F5" s="31" t="s">
        <v>3</v>
      </c>
      <c r="G5" s="32"/>
    </row>
    <row r="6" spans="1:38" ht="18" x14ac:dyDescent="0.3">
      <c r="F6" s="31" t="s">
        <v>4</v>
      </c>
      <c r="G6" s="33"/>
    </row>
    <row r="7" spans="1:38" ht="21.75" customHeight="1" x14ac:dyDescent="0.3">
      <c r="F7" s="31" t="s">
        <v>5</v>
      </c>
      <c r="G7" s="34"/>
    </row>
    <row r="8" spans="1:38" ht="18" x14ac:dyDescent="0.3">
      <c r="F8" s="31" t="s">
        <v>6</v>
      </c>
      <c r="G8" s="35"/>
    </row>
    <row r="9" spans="1:38" ht="18" x14ac:dyDescent="0.3">
      <c r="F9" s="31" t="s">
        <v>7</v>
      </c>
      <c r="G9" s="34"/>
      <c r="M9">
        <v>0.80469999999999997</v>
      </c>
    </row>
    <row r="10" spans="1:38" ht="27" customHeight="1" x14ac:dyDescent="0.3">
      <c r="F10" s="31" t="s">
        <v>8</v>
      </c>
      <c r="G10" s="34"/>
      <c r="M10">
        <f>1-M9</f>
        <v>0.19530000000000003</v>
      </c>
    </row>
    <row r="11" spans="1:38" ht="18" x14ac:dyDescent="0.3">
      <c r="F11" s="36" t="s">
        <v>9</v>
      </c>
      <c r="G11" s="37"/>
    </row>
    <row r="12" spans="1:38" ht="16.8" hidden="1" thickBot="1" x14ac:dyDescent="0.35">
      <c r="B12" s="100"/>
      <c r="M12" s="24"/>
      <c r="Q12" s="1288" t="s">
        <v>10</v>
      </c>
      <c r="R12" s="1289"/>
      <c r="S12" s="1289"/>
      <c r="T12" s="1290"/>
      <c r="U12" s="1291" t="s">
        <v>11</v>
      </c>
      <c r="V12" s="1292"/>
      <c r="W12" s="1292"/>
      <c r="X12" s="1293"/>
      <c r="Y12" s="26" t="s">
        <v>12</v>
      </c>
      <c r="Z12" s="162" t="e">
        <f>(1/(1-#REF!))-1</f>
        <v>#REF!</v>
      </c>
      <c r="AC12" s="1294" t="s">
        <v>13</v>
      </c>
      <c r="AD12" s="1295"/>
      <c r="AE12" s="1296"/>
      <c r="AG12" s="1297" t="s">
        <v>14</v>
      </c>
      <c r="AH12" s="1298"/>
      <c r="AJ12" s="28" t="s">
        <v>15</v>
      </c>
      <c r="AK12" s="1284" t="s">
        <v>16</v>
      </c>
      <c r="AL12" s="1285"/>
    </row>
    <row r="13" spans="1:38" ht="15" thickBot="1" x14ac:dyDescent="0.35">
      <c r="A13" s="101" t="s">
        <v>17</v>
      </c>
      <c r="B13" s="102" t="s">
        <v>18</v>
      </c>
      <c r="C13" s="101" t="s">
        <v>19</v>
      </c>
      <c r="D13" s="101" t="s">
        <v>20</v>
      </c>
      <c r="E13" s="101" t="s">
        <v>21</v>
      </c>
      <c r="M13" s="25">
        <v>0.80469999999999997</v>
      </c>
    </row>
    <row r="14" spans="1:38" ht="35.1" customHeight="1" thickBot="1" x14ac:dyDescent="0.35">
      <c r="A14" s="103">
        <v>0</v>
      </c>
      <c r="B14" s="104"/>
      <c r="C14" s="105"/>
      <c r="D14" s="65"/>
      <c r="E14" s="65"/>
      <c r="F14" s="45" t="s">
        <v>22</v>
      </c>
      <c r="G14" s="46" t="s">
        <v>23</v>
      </c>
      <c r="H14" s="47" t="s">
        <v>24</v>
      </c>
      <c r="I14" s="47" t="s">
        <v>25</v>
      </c>
      <c r="J14" s="48" t="s">
        <v>26</v>
      </c>
      <c r="K14" s="49" t="s">
        <v>27</v>
      </c>
      <c r="L14" s="119">
        <v>0.05</v>
      </c>
      <c r="M14" s="44">
        <f>1-M13</f>
        <v>0.19530000000000003</v>
      </c>
      <c r="N14" s="50" t="s">
        <v>28</v>
      </c>
      <c r="Q14" s="51" t="s">
        <v>29</v>
      </c>
      <c r="R14" s="52" t="s">
        <v>30</v>
      </c>
      <c r="S14" s="53" t="s">
        <v>31</v>
      </c>
      <c r="T14" s="54" t="s">
        <v>32</v>
      </c>
      <c r="U14" s="55" t="s">
        <v>33</v>
      </c>
      <c r="V14" s="56" t="s">
        <v>34</v>
      </c>
      <c r="W14" s="57" t="s">
        <v>35</v>
      </c>
      <c r="X14" s="57" t="s">
        <v>36</v>
      </c>
      <c r="Y14" s="58" t="s">
        <v>37</v>
      </c>
      <c r="Z14" s="38" t="s">
        <v>38</v>
      </c>
      <c r="AA14" s="39" t="s">
        <v>39</v>
      </c>
      <c r="AC14" s="40" t="s">
        <v>40</v>
      </c>
      <c r="AD14" s="41" t="s">
        <v>41</v>
      </c>
      <c r="AE14" s="41" t="s">
        <v>42</v>
      </c>
      <c r="AG14" s="42" t="s">
        <v>43</v>
      </c>
      <c r="AH14" s="43" t="s">
        <v>44</v>
      </c>
      <c r="AI14" t="s">
        <v>45</v>
      </c>
      <c r="AJ14" t="s">
        <v>45</v>
      </c>
      <c r="AK14" s="526" t="s">
        <v>46</v>
      </c>
      <c r="AL14" s="527" t="s">
        <v>47</v>
      </c>
    </row>
    <row r="15" spans="1:38" ht="35.1" customHeight="1" thickBot="1" x14ac:dyDescent="0.5">
      <c r="A15" s="59">
        <v>1</v>
      </c>
      <c r="B15" s="108">
        <v>1</v>
      </c>
      <c r="C15" s="60" t="s">
        <v>48</v>
      </c>
      <c r="D15" s="59"/>
      <c r="E15" s="59"/>
      <c r="F15" s="1303" t="s">
        <v>171</v>
      </c>
      <c r="G15" s="1304"/>
      <c r="H15" s="1304"/>
      <c r="I15" s="1304"/>
      <c r="J15" s="1304"/>
      <c r="K15" s="1304"/>
      <c r="L15" s="1304"/>
      <c r="M15" s="1304"/>
      <c r="N15" s="1305"/>
      <c r="Q15" s="1306" t="str">
        <f>IF(F15&lt;&gt;"",F15,"")</f>
        <v>FESTA</v>
      </c>
      <c r="R15" s="1307"/>
      <c r="S15" s="1307"/>
      <c r="T15" s="1307"/>
      <c r="U15" s="1307"/>
      <c r="V15" s="1307"/>
      <c r="W15" s="1307"/>
      <c r="X15" s="1307"/>
      <c r="Y15" s="1308"/>
      <c r="AK15" s="1263"/>
      <c r="AL15" s="1264"/>
    </row>
    <row r="16" spans="1:38" ht="35.1" customHeight="1" x14ac:dyDescent="0.45">
      <c r="A16" s="65">
        <v>2</v>
      </c>
      <c r="B16" s="108" t="s">
        <v>50</v>
      </c>
      <c r="C16" s="66" t="s">
        <v>51</v>
      </c>
      <c r="D16" s="65"/>
      <c r="E16" s="65"/>
      <c r="F16" s="1299" t="s">
        <v>173</v>
      </c>
      <c r="G16" s="1300"/>
      <c r="H16" s="1300"/>
      <c r="I16" s="1300"/>
      <c r="J16" s="1300"/>
      <c r="K16" s="1301"/>
      <c r="L16" s="61" t="s">
        <v>53</v>
      </c>
      <c r="M16" s="62" t="s">
        <v>54</v>
      </c>
      <c r="N16" s="128" t="s">
        <v>28</v>
      </c>
      <c r="P16" s="2"/>
      <c r="Q16" s="1299" t="str">
        <f>IF(F16&lt;&gt;"",F16,"")</f>
        <v xml:space="preserve">FESTA </v>
      </c>
      <c r="R16" s="1300"/>
      <c r="S16" s="1300"/>
      <c r="T16" s="1300"/>
      <c r="U16" s="1300"/>
      <c r="V16" s="1300"/>
      <c r="W16" s="1300"/>
      <c r="X16" s="1300"/>
      <c r="Y16" s="1302"/>
      <c r="Z16" s="63" t="s">
        <v>55</v>
      </c>
      <c r="AA16" s="64" t="s">
        <v>39</v>
      </c>
      <c r="AK16" s="1249"/>
      <c r="AL16" s="1250"/>
    </row>
    <row r="17" spans="1:39" s="114" customFormat="1" ht="99.9" customHeight="1" thickBot="1" x14ac:dyDescent="0.45">
      <c r="A17" s="113">
        <v>3</v>
      </c>
      <c r="B17" s="123" t="s">
        <v>56</v>
      </c>
      <c r="C17" s="124" t="s">
        <v>57</v>
      </c>
      <c r="D17" s="125" t="s">
        <v>88</v>
      </c>
      <c r="E17" s="125" t="s">
        <v>280</v>
      </c>
      <c r="F17" s="153" t="s">
        <v>281</v>
      </c>
      <c r="G17" s="154" t="s">
        <v>282</v>
      </c>
      <c r="H17" s="72">
        <v>1</v>
      </c>
      <c r="I17" s="73">
        <v>1</v>
      </c>
      <c r="J17" s="74">
        <v>23700</v>
      </c>
      <c r="K17" s="68">
        <f>IF(F17&lt;&gt;"",H17*I17*J17,"")</f>
        <v>23700</v>
      </c>
      <c r="L17" s="68">
        <f>IF(K17&lt;&gt;"",IF(D17="INTERNO",0,K17*$L$14),"")</f>
        <v>1185</v>
      </c>
      <c r="M17" s="68">
        <f>IF(K17&lt;&gt;"",IF(E17="FAT.OGGI",SUM(K17:L17)*(1/(1-$M$14)-1),L17*(1/(1-$M$14)-1)),"")</f>
        <v>287.59848390704622</v>
      </c>
      <c r="N17" s="71">
        <f>SUM(K17:M17)</f>
        <v>25172.598483907048</v>
      </c>
      <c r="O17"/>
      <c r="P17"/>
      <c r="Q17" s="115">
        <f>IF(H17&lt;&gt;"",H17,"")</f>
        <v>1</v>
      </c>
      <c r="R17" s="116">
        <f>IF(I17&lt;&gt;"",I17,"")</f>
        <v>1</v>
      </c>
      <c r="S17" s="194">
        <v>6375</v>
      </c>
      <c r="T17" s="194">
        <v>147750</v>
      </c>
      <c r="U17" s="117">
        <f>IF(Q17&lt;&gt;"",K17-T17,"")</f>
        <v>-124050</v>
      </c>
      <c r="V17" s="69">
        <f>IF(Q17&lt;&gt;"",0%,"")</f>
        <v>0</v>
      </c>
      <c r="W17" s="70">
        <f>IF(Q17&lt;&gt;"",V17*U17,"")</f>
        <v>0</v>
      </c>
      <c r="X17" s="70">
        <f>IF(Q17&lt;&gt;"",W17+T17,"")</f>
        <v>147750</v>
      </c>
      <c r="Y17" s="67">
        <f>IF(Q17&lt;&gt;"",X17+L17,"")</f>
        <v>148935</v>
      </c>
      <c r="Z17" s="75">
        <f>IF(Q17&lt;&gt;"",U17/N17,"")</f>
        <v>-4.9279775419015923</v>
      </c>
      <c r="AA17" s="84" t="e">
        <f>T17/$Q$35</f>
        <v>#DIV/0!</v>
      </c>
      <c r="AC17" s="131">
        <v>0</v>
      </c>
      <c r="AD17" s="132">
        <f>T17-AC17</f>
        <v>147750</v>
      </c>
      <c r="AE17" s="133">
        <v>46008</v>
      </c>
      <c r="AG17" s="135" t="s">
        <v>79</v>
      </c>
      <c r="AH17" s="136" t="s">
        <v>79</v>
      </c>
      <c r="AK17" s="528">
        <f>X17-AL17</f>
        <v>0</v>
      </c>
      <c r="AL17" s="529">
        <f>12750+135000</f>
        <v>147750</v>
      </c>
      <c r="AM17" s="1016" t="s">
        <v>810</v>
      </c>
    </row>
    <row r="18" spans="1:39" ht="35.1" customHeight="1" thickBot="1" x14ac:dyDescent="0.45">
      <c r="A18" s="65">
        <v>4</v>
      </c>
      <c r="B18" s="108"/>
      <c r="C18" s="66" t="s">
        <v>83</v>
      </c>
      <c r="D18" s="65"/>
      <c r="E18" s="65"/>
      <c r="F18" s="1283" t="s">
        <v>274</v>
      </c>
      <c r="G18" s="1282"/>
      <c r="H18" s="1282"/>
      <c r="I18" s="1282"/>
      <c r="J18" s="1282"/>
      <c r="K18" s="85">
        <f>SUM(K17:K17)</f>
        <v>23700</v>
      </c>
      <c r="L18" s="85">
        <f>SUM(L17:L17)</f>
        <v>1185</v>
      </c>
      <c r="M18" s="85">
        <f>SUM(M17:M17)</f>
        <v>287.59848390704622</v>
      </c>
      <c r="N18" s="86">
        <f>SUM(N17:N17)</f>
        <v>25172.598483907048</v>
      </c>
      <c r="Q18" s="1281"/>
      <c r="R18" s="1282"/>
      <c r="S18" s="1282"/>
      <c r="T18" s="76">
        <f>SUM(T17:T17)</f>
        <v>147750</v>
      </c>
      <c r="U18" s="77">
        <f>SUM(U17:U17)</f>
        <v>-124050</v>
      </c>
      <c r="V18" s="109"/>
      <c r="W18" s="78"/>
      <c r="X18" s="79">
        <f>SUM(X17:X17)</f>
        <v>147750</v>
      </c>
      <c r="Y18" s="79">
        <f>SUM(Y17)</f>
        <v>148935</v>
      </c>
      <c r="Z18" s="107" t="s">
        <v>275</v>
      </c>
      <c r="AA18" s="183" t="s">
        <v>276</v>
      </c>
      <c r="AK18" s="528"/>
      <c r="AL18" s="529"/>
    </row>
    <row r="19" spans="1:39" ht="35.1" customHeight="1" thickBot="1" x14ac:dyDescent="0.5">
      <c r="A19" s="180">
        <v>5</v>
      </c>
      <c r="C19" s="106" t="s">
        <v>277</v>
      </c>
      <c r="D19" s="106"/>
      <c r="E19" s="106"/>
      <c r="F19" s="80" t="s">
        <v>278</v>
      </c>
      <c r="G19" s="81"/>
      <c r="H19" s="81"/>
      <c r="I19" s="81"/>
      <c r="J19" s="81"/>
      <c r="K19" s="82">
        <f>SUM(K17:K17)</f>
        <v>23700</v>
      </c>
      <c r="L19" s="82">
        <f>SUM(L17:L17)</f>
        <v>1185</v>
      </c>
      <c r="M19" s="82">
        <f>SUM(M17:M17)</f>
        <v>287.59848390704622</v>
      </c>
      <c r="N19" s="181">
        <f>SUM(N17:N17)</f>
        <v>25172.598483907048</v>
      </c>
      <c r="Q19" s="80" t="s">
        <v>279</v>
      </c>
      <c r="R19" s="81"/>
      <c r="S19" s="81"/>
      <c r="T19" s="82">
        <f>SUM(T17:T17)</f>
        <v>147750</v>
      </c>
      <c r="U19" s="82">
        <f>SUM(U17:U17)</f>
        <v>-124050</v>
      </c>
      <c r="V19" s="81"/>
      <c r="W19" s="81"/>
      <c r="X19" s="82">
        <f>SUM(X17:X17)</f>
        <v>147750</v>
      </c>
      <c r="Y19" s="181">
        <f>SUM(Y17:Y17)</f>
        <v>148935</v>
      </c>
      <c r="Z19" s="83">
        <f>IF(Q19&lt;&gt;"",(N19-Y19)/N19,"")</f>
        <v>-4.9165524804765308</v>
      </c>
      <c r="AA19" s="182">
        <f>IF(Z19&lt;&gt;"",(N19-Y19),"")</f>
        <v>-123762.40151609296</v>
      </c>
      <c r="AK19" s="528">
        <f>SUM(AK17:AK18)</f>
        <v>0</v>
      </c>
      <c r="AL19" s="529">
        <f>SUM(AL17:AL18)</f>
        <v>147750</v>
      </c>
    </row>
    <row r="20" spans="1:39" ht="22.2" x14ac:dyDescent="0.45">
      <c r="AL20" s="521"/>
      <c r="AM20" s="522" t="s">
        <v>744</v>
      </c>
    </row>
    <row r="21" spans="1:39" ht="22.2" x14ac:dyDescent="0.45">
      <c r="L21" s="121"/>
      <c r="M21" s="120"/>
      <c r="N21" s="120"/>
      <c r="AL21" s="521">
        <f>X19</f>
        <v>147750</v>
      </c>
      <c r="AM21" s="522" t="s">
        <v>745</v>
      </c>
    </row>
    <row r="22" spans="1:39" ht="22.2" x14ac:dyDescent="0.45">
      <c r="AL22" s="521">
        <f>N19-X19</f>
        <v>-122577.40151609296</v>
      </c>
      <c r="AM22" s="523" t="s">
        <v>741</v>
      </c>
    </row>
    <row r="23" spans="1:39" ht="21" x14ac:dyDescent="0.4">
      <c r="AL23" s="524">
        <f>AL22*100%/N19</f>
        <v>-4.8694774834015337</v>
      </c>
      <c r="AM23" s="525"/>
    </row>
  </sheetData>
  <mergeCells count="15">
    <mergeCell ref="Q18:S18"/>
    <mergeCell ref="F18:J18"/>
    <mergeCell ref="AK12:AL12"/>
    <mergeCell ref="F1:G1"/>
    <mergeCell ref="F2:G2"/>
    <mergeCell ref="Q12:T12"/>
    <mergeCell ref="U12:X12"/>
    <mergeCell ref="AC12:AE12"/>
    <mergeCell ref="AG12:AH12"/>
    <mergeCell ref="F16:K16"/>
    <mergeCell ref="Q16:Y16"/>
    <mergeCell ref="F15:N15"/>
    <mergeCell ref="Q15:Y15"/>
    <mergeCell ref="AK15:AL15"/>
    <mergeCell ref="AK16:AL16"/>
  </mergeCells>
  <dataValidations count="3">
    <dataValidation type="list" allowBlank="1" showInputMessage="1" showErrorMessage="1" sqref="E17" xr:uid="{52330972-74DD-4457-B9E6-8D37537E43FE}">
      <formula1>"FAT.OGGI,FAT.CLIENTE"</formula1>
    </dataValidation>
    <dataValidation type="list" allowBlank="1" showInputMessage="1" showErrorMessage="1" sqref="D17 D19" xr:uid="{52FE7DA3-F650-4D2A-B5A7-92F28681F0D5}">
      <formula1>"INTERNO,OPERACIONAL"</formula1>
    </dataValidation>
    <dataValidation type="list" allowBlank="1" showInputMessage="1" showErrorMessage="1" sqref="E19" xr:uid="{4E1689C4-6EC9-427E-8359-18CF9D92719B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3DE7-7169-49CD-AC2C-9ACF55347885}">
  <sheetPr codeName="Planilha11">
    <pageSetUpPr autoPageBreaks="0"/>
  </sheetPr>
  <dimension ref="A1:AN94"/>
  <sheetViews>
    <sheetView showGridLines="0" topLeftCell="B83" zoomScale="50" zoomScaleNormal="50" workbookViewId="0">
      <pane xSplit="4" topLeftCell="G1" activePane="topRight" state="frozen"/>
      <selection activeCell="B1" sqref="B1"/>
      <selection pane="topRight" activeCell="T18" sqref="T18"/>
    </sheetView>
  </sheetViews>
  <sheetFormatPr defaultColWidth="9.109375" defaultRowHeight="23.4" x14ac:dyDescent="0.45"/>
  <cols>
    <col min="1" max="1" width="8.33203125" style="665" hidden="1" customWidth="1"/>
    <col min="2" max="2" width="11.88671875" style="665" customWidth="1"/>
    <col min="3" max="5" width="8.33203125" style="665" hidden="1" customWidth="1"/>
    <col min="6" max="6" width="41.5546875" style="665" customWidth="1"/>
    <col min="7" max="7" width="56.33203125" style="665" customWidth="1"/>
    <col min="8" max="9" width="5.6640625" style="665" hidden="1" customWidth="1"/>
    <col min="10" max="10" width="20.109375" style="665" hidden="1" customWidth="1"/>
    <col min="11" max="11" width="32.33203125" style="665" bestFit="1" customWidth="1"/>
    <col min="12" max="12" width="27.5546875" style="665" bestFit="1" customWidth="1"/>
    <col min="13" max="13" width="27.44140625" style="665" bestFit="1" customWidth="1"/>
    <col min="14" max="14" width="32.33203125" style="665" bestFit="1" customWidth="1"/>
    <col min="15" max="15" width="4.33203125" style="665" hidden="1" customWidth="1"/>
    <col min="16" max="16" width="1.88671875" style="665" hidden="1" customWidth="1"/>
    <col min="17" max="17" width="9.33203125" style="665" customWidth="1"/>
    <col min="18" max="18" width="9.33203125" style="665" hidden="1" customWidth="1"/>
    <col min="19" max="19" width="18.88671875" style="665" hidden="1" customWidth="1"/>
    <col min="20" max="20" width="31.88671875" style="665" bestFit="1" customWidth="1"/>
    <col min="21" max="21" width="27" style="665" hidden="1" customWidth="1"/>
    <col min="22" max="23" width="18.109375" style="665" hidden="1" customWidth="1"/>
    <col min="24" max="24" width="37.88671875" style="665" customWidth="1"/>
    <col min="25" max="25" width="29.6640625" style="665" hidden="1" customWidth="1"/>
    <col min="26" max="26" width="15.88671875" style="665" hidden="1" customWidth="1"/>
    <col min="27" max="27" width="26.44140625" style="665" hidden="1" customWidth="1"/>
    <col min="28" max="28" width="38.109375" style="665" hidden="1" customWidth="1"/>
    <col min="29" max="30" width="33" style="665" hidden="1" customWidth="1"/>
    <col min="31" max="31" width="28" style="665" hidden="1" customWidth="1"/>
    <col min="32" max="32" width="1.33203125" style="665" hidden="1" customWidth="1"/>
    <col min="33" max="33" width="81.5546875" style="665" hidden="1" customWidth="1"/>
    <col min="34" max="34" width="36.6640625" style="665" hidden="1" customWidth="1"/>
    <col min="35" max="35" width="1.5546875" style="665" hidden="1" customWidth="1"/>
    <col min="36" max="36" width="20.33203125" style="665" hidden="1" customWidth="1"/>
    <col min="37" max="37" width="27.5546875" style="665" bestFit="1" customWidth="1"/>
    <col min="38" max="38" width="26.44140625" style="665" bestFit="1" customWidth="1"/>
    <col min="39" max="39" width="9.109375" style="1020"/>
    <col min="40" max="40" width="21.33203125" style="665" customWidth="1"/>
    <col min="41" max="16384" width="9.109375" style="665"/>
  </cols>
  <sheetData>
    <row r="1" spans="1:38" ht="49.5" customHeight="1" x14ac:dyDescent="0.45">
      <c r="B1" s="666"/>
      <c r="C1" s="667"/>
      <c r="D1" s="667"/>
      <c r="F1" s="1309" t="s">
        <v>0</v>
      </c>
      <c r="G1" s="1309"/>
    </row>
    <row r="2" spans="1:38" ht="24.75" customHeight="1" x14ac:dyDescent="0.45">
      <c r="B2" s="668"/>
      <c r="D2" s="667"/>
      <c r="F2" s="1310" t="s">
        <v>1</v>
      </c>
      <c r="G2" s="1310"/>
    </row>
    <row r="3" spans="1:38" x14ac:dyDescent="0.45">
      <c r="B3" s="669"/>
      <c r="F3" s="670"/>
      <c r="G3" s="670"/>
    </row>
    <row r="4" spans="1:38" x14ac:dyDescent="0.45">
      <c r="F4" s="671" t="s">
        <v>2</v>
      </c>
      <c r="G4" s="672"/>
    </row>
    <row r="5" spans="1:38" x14ac:dyDescent="0.45">
      <c r="F5" s="673" t="s">
        <v>3</v>
      </c>
      <c r="G5" s="674"/>
    </row>
    <row r="6" spans="1:38" x14ac:dyDescent="0.45">
      <c r="F6" s="673" t="s">
        <v>4</v>
      </c>
      <c r="G6" s="675"/>
    </row>
    <row r="7" spans="1:38" ht="21.75" customHeight="1" x14ac:dyDescent="0.45">
      <c r="F7" s="673" t="s">
        <v>5</v>
      </c>
      <c r="G7" s="675"/>
    </row>
    <row r="8" spans="1:38" x14ac:dyDescent="0.45">
      <c r="F8" s="673" t="s">
        <v>6</v>
      </c>
      <c r="G8" s="676"/>
    </row>
    <row r="9" spans="1:38" x14ac:dyDescent="0.45">
      <c r="F9" s="673" t="s">
        <v>7</v>
      </c>
      <c r="G9" s="675"/>
      <c r="M9" s="665">
        <v>0.80469999999999997</v>
      </c>
    </row>
    <row r="10" spans="1:38" ht="27" customHeight="1" x14ac:dyDescent="0.45">
      <c r="F10" s="673" t="s">
        <v>8</v>
      </c>
      <c r="G10" s="675"/>
      <c r="M10" s="665">
        <f>1-M9</f>
        <v>0.19530000000000003</v>
      </c>
    </row>
    <row r="11" spans="1:38" x14ac:dyDescent="0.45">
      <c r="F11" s="677" t="s">
        <v>9</v>
      </c>
      <c r="G11" s="678"/>
    </row>
    <row r="12" spans="1:38" ht="47.4" hidden="1" thickBot="1" x14ac:dyDescent="0.5">
      <c r="B12" s="679"/>
      <c r="M12" s="680"/>
      <c r="Q12" s="1311" t="s">
        <v>10</v>
      </c>
      <c r="R12" s="1312"/>
      <c r="S12" s="1312"/>
      <c r="T12" s="1313"/>
      <c r="U12" s="1314" t="s">
        <v>11</v>
      </c>
      <c r="V12" s="1315"/>
      <c r="W12" s="1315"/>
      <c r="X12" s="1316"/>
      <c r="Y12" s="681" t="s">
        <v>12</v>
      </c>
      <c r="Z12" s="682" t="e">
        <f>(1/(1-#REF!))-1</f>
        <v>#REF!</v>
      </c>
      <c r="AC12" s="1317" t="s">
        <v>13</v>
      </c>
      <c r="AD12" s="1318"/>
      <c r="AE12" s="1319"/>
      <c r="AG12" s="1331" t="s">
        <v>14</v>
      </c>
      <c r="AH12" s="1332"/>
      <c r="AJ12" s="683" t="s">
        <v>15</v>
      </c>
      <c r="AK12" s="1320" t="s">
        <v>16</v>
      </c>
      <c r="AL12" s="1321"/>
    </row>
    <row r="13" spans="1:38" ht="24" thickBot="1" x14ac:dyDescent="0.5">
      <c r="A13" s="684" t="s">
        <v>17</v>
      </c>
      <c r="B13" s="685" t="s">
        <v>18</v>
      </c>
      <c r="C13" s="684" t="s">
        <v>19</v>
      </c>
      <c r="D13" s="684" t="s">
        <v>20</v>
      </c>
      <c r="E13" s="684" t="s">
        <v>21</v>
      </c>
      <c r="M13" s="686">
        <v>0.80469999999999997</v>
      </c>
    </row>
    <row r="14" spans="1:38" ht="35.1" customHeight="1" thickBot="1" x14ac:dyDescent="0.5">
      <c r="A14" s="687">
        <v>0</v>
      </c>
      <c r="B14" s="688"/>
      <c r="C14" s="689"/>
      <c r="D14" s="690"/>
      <c r="E14" s="690"/>
      <c r="F14" s="691" t="s">
        <v>22</v>
      </c>
      <c r="G14" s="692" t="s">
        <v>23</v>
      </c>
      <c r="H14" s="693" t="s">
        <v>24</v>
      </c>
      <c r="I14" s="693" t="s">
        <v>25</v>
      </c>
      <c r="J14" s="694" t="s">
        <v>26</v>
      </c>
      <c r="K14" s="695" t="s">
        <v>27</v>
      </c>
      <c r="L14" s="696">
        <v>0.05</v>
      </c>
      <c r="M14" s="697">
        <f>1-M13</f>
        <v>0.19530000000000003</v>
      </c>
      <c r="N14" s="698" t="s">
        <v>28</v>
      </c>
      <c r="Q14" s="699" t="s">
        <v>29</v>
      </c>
      <c r="R14" s="700" t="s">
        <v>30</v>
      </c>
      <c r="S14" s="701" t="s">
        <v>31</v>
      </c>
      <c r="T14" s="702" t="s">
        <v>32</v>
      </c>
      <c r="U14" s="703" t="s">
        <v>33</v>
      </c>
      <c r="V14" s="704" t="s">
        <v>34</v>
      </c>
      <c r="W14" s="705" t="s">
        <v>35</v>
      </c>
      <c r="X14" s="705" t="s">
        <v>36</v>
      </c>
      <c r="Y14" s="706" t="s">
        <v>37</v>
      </c>
      <c r="Z14" s="707" t="s">
        <v>38</v>
      </c>
      <c r="AA14" s="708" t="s">
        <v>39</v>
      </c>
      <c r="AC14" s="709" t="s">
        <v>40</v>
      </c>
      <c r="AD14" s="710" t="s">
        <v>41</v>
      </c>
      <c r="AE14" s="710" t="s">
        <v>42</v>
      </c>
      <c r="AG14" s="711" t="s">
        <v>43</v>
      </c>
      <c r="AH14" s="712" t="s">
        <v>44</v>
      </c>
      <c r="AI14" s="665" t="s">
        <v>45</v>
      </c>
      <c r="AJ14" s="665" t="s">
        <v>45</v>
      </c>
      <c r="AK14" s="713" t="s">
        <v>46</v>
      </c>
      <c r="AL14" s="714" t="s">
        <v>47</v>
      </c>
    </row>
    <row r="15" spans="1:38" ht="35.1" customHeight="1" thickBot="1" x14ac:dyDescent="0.5">
      <c r="A15" s="715">
        <v>1</v>
      </c>
      <c r="B15" s="716">
        <v>1</v>
      </c>
      <c r="C15" s="717" t="s">
        <v>48</v>
      </c>
      <c r="D15" s="715"/>
      <c r="E15" s="715"/>
      <c r="F15" s="1322" t="s">
        <v>283</v>
      </c>
      <c r="G15" s="1323"/>
      <c r="H15" s="1323"/>
      <c r="I15" s="1323"/>
      <c r="J15" s="1323"/>
      <c r="K15" s="1323"/>
      <c r="L15" s="1323"/>
      <c r="M15" s="1323"/>
      <c r="N15" s="1324"/>
      <c r="Q15" s="1325" t="str">
        <f>IF(F15&lt;&gt;"",F15,"")</f>
        <v>HOTEL</v>
      </c>
      <c r="R15" s="1326"/>
      <c r="S15" s="1326"/>
      <c r="T15" s="1326"/>
      <c r="U15" s="1326"/>
      <c r="V15" s="1326"/>
      <c r="W15" s="1326"/>
      <c r="X15" s="1326"/>
      <c r="Y15" s="1327"/>
      <c r="AK15" s="1336"/>
      <c r="AL15" s="1337"/>
    </row>
    <row r="16" spans="1:38" ht="35.1" customHeight="1" thickBot="1" x14ac:dyDescent="0.5">
      <c r="A16" s="690">
        <v>2</v>
      </c>
      <c r="B16" s="716" t="s">
        <v>50</v>
      </c>
      <c r="C16" s="718" t="s">
        <v>51</v>
      </c>
      <c r="D16" s="690"/>
      <c r="E16" s="690"/>
      <c r="F16" s="1328" t="s">
        <v>284</v>
      </c>
      <c r="G16" s="1329"/>
      <c r="H16" s="1329"/>
      <c r="I16" s="1329"/>
      <c r="J16" s="1329"/>
      <c r="K16" s="1330"/>
      <c r="L16" s="719" t="s">
        <v>53</v>
      </c>
      <c r="M16" s="720" t="s">
        <v>54</v>
      </c>
      <c r="N16" s="721" t="s">
        <v>28</v>
      </c>
      <c r="Q16" s="1333" t="str">
        <f>IF(F16&lt;&gt;"",F16,"")</f>
        <v>BOURBON ATIBAIA - PERÍODO DE 14 A 16 DE JANEIRO</v>
      </c>
      <c r="R16" s="1334"/>
      <c r="S16" s="1334"/>
      <c r="T16" s="1334"/>
      <c r="U16" s="1334"/>
      <c r="V16" s="1334"/>
      <c r="W16" s="1334"/>
      <c r="X16" s="1334"/>
      <c r="Y16" s="1335"/>
      <c r="Z16" s="722" t="s">
        <v>55</v>
      </c>
      <c r="AA16" s="723" t="s">
        <v>39</v>
      </c>
      <c r="AK16" s="1338"/>
      <c r="AL16" s="1339"/>
    </row>
    <row r="17" spans="1:39" ht="99.9" customHeight="1" x14ac:dyDescent="0.45">
      <c r="A17" s="690">
        <v>3</v>
      </c>
      <c r="B17" s="716" t="s">
        <v>56</v>
      </c>
      <c r="C17" s="718" t="s">
        <v>57</v>
      </c>
      <c r="D17" s="690" t="s">
        <v>88</v>
      </c>
      <c r="E17" s="690" t="s">
        <v>280</v>
      </c>
      <c r="F17" s="724" t="s">
        <v>285</v>
      </c>
      <c r="G17" s="725" t="s">
        <v>755</v>
      </c>
      <c r="H17" s="726">
        <v>16</v>
      </c>
      <c r="I17" s="727">
        <v>3</v>
      </c>
      <c r="J17" s="728">
        <v>975</v>
      </c>
      <c r="K17" s="729">
        <f>IF(F17&lt;&gt;"",H17*I17*J17,"")</f>
        <v>46800</v>
      </c>
      <c r="L17" s="728">
        <f t="shared" ref="L17:L80" si="0">IF(K17&lt;&gt;"",IF(D17="INTERNO",0,K17*$L$14),"")</f>
        <v>2340</v>
      </c>
      <c r="M17" s="728">
        <f t="shared" ref="M17:M80" si="1">IF(K17&lt;&gt;"",IF(E17="FAT.OGGI",SUM(K17:L17)*(1/(1-$M$14)-1),L17*(1/(1-$M$14)-1)),"")</f>
        <v>567.9159935379646</v>
      </c>
      <c r="N17" s="730">
        <f t="shared" ref="N17:N80" si="2">SUM(K17:M17)</f>
        <v>49707.915993537965</v>
      </c>
      <c r="Q17" s="731">
        <v>16</v>
      </c>
      <c r="R17" s="732">
        <v>3</v>
      </c>
      <c r="S17" s="733">
        <v>975</v>
      </c>
      <c r="T17" s="734">
        <v>1612574.16</v>
      </c>
      <c r="U17" s="735">
        <f t="shared" ref="U17:U80" si="3">IF(Q17&lt;&gt;"",K17-T17,"")</f>
        <v>-1565774.16</v>
      </c>
      <c r="V17" s="736">
        <f t="shared" ref="V17:V80" si="4">IF(Q17&lt;&gt;"",0%,"")</f>
        <v>0</v>
      </c>
      <c r="W17" s="737">
        <f t="shared" ref="W17:W80" si="5">IF(Q17&lt;&gt;"",V17*U17,"")</f>
        <v>0</v>
      </c>
      <c r="X17" s="737">
        <f t="shared" ref="X17:X80" si="6">IF(Q17&lt;&gt;"",W17+T17,"")</f>
        <v>1612574.16</v>
      </c>
      <c r="Y17" s="738">
        <f t="shared" ref="Y17:Y85" si="7">IF(Q17&lt;&gt;"",X17+M17,"")</f>
        <v>1613142.0759935379</v>
      </c>
      <c r="Z17" s="739">
        <f t="shared" ref="Z17:Z80" si="8">IF(Q17&lt;&gt;"",U17/K17,"")</f>
        <v>-33.45671282051282</v>
      </c>
      <c r="AA17" s="740">
        <f>T17/$T$85</f>
        <v>1</v>
      </c>
      <c r="AK17" s="741">
        <f>X17-AL17</f>
        <v>0</v>
      </c>
      <c r="AL17" s="742">
        <f>3*249463.71+449662.78+53648.24+360872.01</f>
        <v>1612574.1600000001</v>
      </c>
      <c r="AM17" s="1020" t="s">
        <v>836</v>
      </c>
    </row>
    <row r="18" spans="1:39" ht="99.9" customHeight="1" x14ac:dyDescent="0.45">
      <c r="A18" s="715">
        <v>4</v>
      </c>
      <c r="B18" s="716" t="s">
        <v>61</v>
      </c>
      <c r="C18" s="718" t="s">
        <v>57</v>
      </c>
      <c r="D18" s="690" t="s">
        <v>88</v>
      </c>
      <c r="E18" s="690" t="s">
        <v>280</v>
      </c>
      <c r="F18" s="743" t="s">
        <v>285</v>
      </c>
      <c r="G18" s="744" t="s">
        <v>756</v>
      </c>
      <c r="H18" s="745">
        <v>102</v>
      </c>
      <c r="I18" s="746">
        <v>3</v>
      </c>
      <c r="J18" s="747">
        <v>1107</v>
      </c>
      <c r="K18" s="729">
        <f t="shared" ref="K18:K30" si="9">IF(F18&lt;&gt;"",H18*I18*J18,"")</f>
        <v>338742</v>
      </c>
      <c r="L18" s="747">
        <f t="shared" si="0"/>
        <v>16937.100000000002</v>
      </c>
      <c r="M18" s="747">
        <f t="shared" si="1"/>
        <v>4110.6196470734458</v>
      </c>
      <c r="N18" s="748">
        <f t="shared" si="2"/>
        <v>359789.71964707342</v>
      </c>
      <c r="Q18" s="731">
        <v>102</v>
      </c>
      <c r="R18" s="732">
        <v>3</v>
      </c>
      <c r="S18" s="733">
        <v>1107</v>
      </c>
      <c r="T18" s="734">
        <v>0</v>
      </c>
      <c r="U18" s="735">
        <f t="shared" si="3"/>
        <v>338742</v>
      </c>
      <c r="V18" s="736">
        <f t="shared" si="4"/>
        <v>0</v>
      </c>
      <c r="W18" s="737">
        <f t="shared" si="5"/>
        <v>0</v>
      </c>
      <c r="X18" s="737">
        <f t="shared" si="6"/>
        <v>0</v>
      </c>
      <c r="Y18" s="738">
        <f t="shared" si="7"/>
        <v>4110.6196470734458</v>
      </c>
      <c r="Z18" s="739">
        <f t="shared" si="8"/>
        <v>1</v>
      </c>
      <c r="AA18" s="740">
        <f>T18/$T$85</f>
        <v>0</v>
      </c>
      <c r="AK18" s="741">
        <f t="shared" ref="AK18:AK81" si="10">X18-AL18</f>
        <v>0</v>
      </c>
      <c r="AL18" s="742">
        <v>0</v>
      </c>
    </row>
    <row r="19" spans="1:39" ht="99.9" customHeight="1" x14ac:dyDescent="0.45">
      <c r="A19" s="690">
        <v>5</v>
      </c>
      <c r="B19" s="716" t="s">
        <v>64</v>
      </c>
      <c r="C19" s="718" t="s">
        <v>57</v>
      </c>
      <c r="D19" s="690" t="s">
        <v>88</v>
      </c>
      <c r="E19" s="690" t="s">
        <v>280</v>
      </c>
      <c r="F19" s="743" t="s">
        <v>285</v>
      </c>
      <c r="G19" s="744" t="s">
        <v>757</v>
      </c>
      <c r="H19" s="746">
        <v>12</v>
      </c>
      <c r="I19" s="746">
        <v>3</v>
      </c>
      <c r="J19" s="747">
        <v>0</v>
      </c>
      <c r="K19" s="747">
        <f t="shared" si="9"/>
        <v>0</v>
      </c>
      <c r="L19" s="747">
        <f>IF(K19&lt;&gt;"",IF(D19="INTERNO",0,K19*$L$14),"")</f>
        <v>0</v>
      </c>
      <c r="M19" s="747">
        <f>IF(K19&lt;&gt;"",IF(E19="FAT.OGGI",SUM(K19:L19)*(1/(1-$M$14)-1),L19*(1/(1-$M$14)-1)),"")</f>
        <v>0</v>
      </c>
      <c r="N19" s="748">
        <f>SUM(K19:M19)</f>
        <v>0</v>
      </c>
      <c r="Q19" s="731">
        <f>IF(H19&lt;&gt;"",H19,"")</f>
        <v>12</v>
      </c>
      <c r="R19" s="732">
        <f>IF(I19&lt;&gt;"",I19,"")</f>
        <v>3</v>
      </c>
      <c r="S19" s="734">
        <v>39060</v>
      </c>
      <c r="T19" s="734">
        <v>0</v>
      </c>
      <c r="U19" s="735">
        <f>IF(Q19&lt;&gt;"",K19-T19,"")</f>
        <v>0</v>
      </c>
      <c r="V19" s="736">
        <f>IF(Q19&lt;&gt;"",0%,"")</f>
        <v>0</v>
      </c>
      <c r="W19" s="737">
        <f>IF(Q19&lt;&gt;"",V19*U19,"")</f>
        <v>0</v>
      </c>
      <c r="X19" s="737">
        <f>IF(Q19&lt;&gt;"",W19+T19,"")</f>
        <v>0</v>
      </c>
      <c r="Y19" s="738">
        <f>IF(Q19&lt;&gt;"",X19+M19,"")</f>
        <v>0</v>
      </c>
      <c r="Z19" s="739" t="e">
        <f>IF(Q19&lt;&gt;"",U19/K19,"")</f>
        <v>#DIV/0!</v>
      </c>
      <c r="AA19" s="740">
        <f>T19/$T$85</f>
        <v>0</v>
      </c>
      <c r="AK19" s="741">
        <f t="shared" si="10"/>
        <v>0</v>
      </c>
      <c r="AL19" s="742">
        <v>0</v>
      </c>
    </row>
    <row r="20" spans="1:39" ht="99.9" customHeight="1" x14ac:dyDescent="0.45">
      <c r="A20" s="690">
        <v>6</v>
      </c>
      <c r="B20" s="716" t="s">
        <v>67</v>
      </c>
      <c r="C20" s="718" t="s">
        <v>57</v>
      </c>
      <c r="D20" s="690" t="s">
        <v>88</v>
      </c>
      <c r="E20" s="690" t="s">
        <v>280</v>
      </c>
      <c r="F20" s="743" t="s">
        <v>285</v>
      </c>
      <c r="G20" s="744" t="s">
        <v>758</v>
      </c>
      <c r="H20" s="746">
        <v>90</v>
      </c>
      <c r="I20" s="746">
        <v>2</v>
      </c>
      <c r="J20" s="747">
        <v>0</v>
      </c>
      <c r="K20" s="747">
        <f t="shared" si="9"/>
        <v>0</v>
      </c>
      <c r="L20" s="747">
        <f>IF(K20&lt;&gt;"",IF(D20="INTERNO",0,K20*$L$14),"")</f>
        <v>0</v>
      </c>
      <c r="M20" s="747">
        <f>IF(K20&lt;&gt;"",IF(E20="FAT.OGGI",SUM(K20:L20)*(1/(1-$M$14)-1),L20*(1/(1-$M$14)-1)),"")</f>
        <v>0</v>
      </c>
      <c r="N20" s="748">
        <f t="shared" si="2"/>
        <v>0</v>
      </c>
      <c r="Q20" s="731">
        <f t="shared" ref="Q20:R80" si="11">IF(H20&lt;&gt;"",H20,"")</f>
        <v>90</v>
      </c>
      <c r="R20" s="732">
        <f t="shared" si="11"/>
        <v>2</v>
      </c>
      <c r="S20" s="734">
        <f>30*975*2+60*2*1107</f>
        <v>191340</v>
      </c>
      <c r="T20" s="734">
        <v>0</v>
      </c>
      <c r="U20" s="735">
        <f>IF(Q20&lt;&gt;"",K20-T20,"")</f>
        <v>0</v>
      </c>
      <c r="V20" s="736">
        <f>IF(Q20&lt;&gt;"",0%,"")</f>
        <v>0</v>
      </c>
      <c r="W20" s="737">
        <f>IF(Q20&lt;&gt;"",V20*U20,"")</f>
        <v>0</v>
      </c>
      <c r="X20" s="737">
        <f>IF(Q20&lt;&gt;"",W20+T20,"")</f>
        <v>0</v>
      </c>
      <c r="Y20" s="738">
        <f>IF(Q20&lt;&gt;"",X20+M20,"")</f>
        <v>0</v>
      </c>
      <c r="Z20" s="739" t="e">
        <f>IF(Q20&lt;&gt;"",U20/K20,"")</f>
        <v>#DIV/0!</v>
      </c>
      <c r="AA20" s="740">
        <f>T20/$T$85</f>
        <v>0</v>
      </c>
      <c r="AK20" s="741">
        <f t="shared" si="10"/>
        <v>0</v>
      </c>
      <c r="AL20" s="742">
        <v>0</v>
      </c>
    </row>
    <row r="21" spans="1:39" ht="99.9" customHeight="1" x14ac:dyDescent="0.45">
      <c r="A21" s="749">
        <v>7</v>
      </c>
      <c r="B21" s="716" t="s">
        <v>70</v>
      </c>
      <c r="C21" s="750" t="s">
        <v>57</v>
      </c>
      <c r="D21" s="749" t="s">
        <v>88</v>
      </c>
      <c r="E21" s="749" t="s">
        <v>280</v>
      </c>
      <c r="F21" s="751" t="s">
        <v>285</v>
      </c>
      <c r="G21" s="752" t="s">
        <v>286</v>
      </c>
      <c r="H21" s="753">
        <v>1</v>
      </c>
      <c r="I21" s="753">
        <v>1</v>
      </c>
      <c r="J21" s="754">
        <f>SUM(K17:K20)*2%</f>
        <v>7710.84</v>
      </c>
      <c r="K21" s="755">
        <f t="shared" si="9"/>
        <v>7710.84</v>
      </c>
      <c r="L21" s="754">
        <f>IF(K21&lt;&gt;"",IF(D21="INTERNO",0,K21*$L$14),"")</f>
        <v>385.54200000000003</v>
      </c>
      <c r="M21" s="754">
        <f>IF(K21&lt;&gt;"",IF(E21="FAT.OGGI",SUM(K21:L21)*(1/(1-$M$14)-1),L21*(1/(1-$M$14)-1)),"")</f>
        <v>93.570712812228194</v>
      </c>
      <c r="N21" s="756">
        <f t="shared" si="2"/>
        <v>8189.952712812229</v>
      </c>
      <c r="Q21" s="731">
        <f t="shared" si="11"/>
        <v>1</v>
      </c>
      <c r="R21" s="732">
        <f>IF(I21&lt;&gt;"",I21,"")</f>
        <v>1</v>
      </c>
      <c r="S21" s="734">
        <f>J21</f>
        <v>7710.84</v>
      </c>
      <c r="T21" s="734">
        <v>0</v>
      </c>
      <c r="U21" s="735">
        <f>IF(Q21&lt;&gt;"",K21-T21,"")</f>
        <v>7710.84</v>
      </c>
      <c r="V21" s="736">
        <f>IF(Q21&lt;&gt;"",0%,"")</f>
        <v>0</v>
      </c>
      <c r="W21" s="737">
        <f>IF(Q21&lt;&gt;"",V21*U21,"")</f>
        <v>0</v>
      </c>
      <c r="X21" s="737">
        <f>IF(Q21&lt;&gt;"",W21+T21,"")</f>
        <v>0</v>
      </c>
      <c r="Y21" s="738">
        <f>IF(Q21&lt;&gt;"",X21+M21,"")</f>
        <v>93.570712812228194</v>
      </c>
      <c r="Z21" s="739">
        <f>IF(Q21&lt;&gt;"",U21/K21,"")</f>
        <v>1</v>
      </c>
      <c r="AA21" s="740"/>
      <c r="AK21" s="741">
        <f t="shared" si="10"/>
        <v>0</v>
      </c>
      <c r="AL21" s="742">
        <v>0</v>
      </c>
    </row>
    <row r="22" spans="1:39" ht="99.9" customHeight="1" x14ac:dyDescent="0.45">
      <c r="A22" s="715">
        <v>8</v>
      </c>
      <c r="B22" s="716" t="s">
        <v>73</v>
      </c>
      <c r="C22" s="717" t="s">
        <v>57</v>
      </c>
      <c r="D22" s="715" t="s">
        <v>88</v>
      </c>
      <c r="E22" s="715" t="s">
        <v>280</v>
      </c>
      <c r="F22" s="757" t="s">
        <v>287</v>
      </c>
      <c r="G22" s="758" t="s">
        <v>288</v>
      </c>
      <c r="H22" s="759">
        <v>1</v>
      </c>
      <c r="I22" s="760">
        <v>1</v>
      </c>
      <c r="J22" s="761">
        <v>744.19</v>
      </c>
      <c r="K22" s="762">
        <f t="shared" si="9"/>
        <v>744.19</v>
      </c>
      <c r="L22" s="763">
        <f>IF(K22&lt;&gt;"",IF(D22="INTERNO",0,K22*$L$14),"")</f>
        <v>37.209500000000006</v>
      </c>
      <c r="M22" s="763">
        <f>IF(K22&lt;&gt;"",IF(E22="FAT.OGGI",SUM(K22:L22)*(1/(1-$M$14)-1),L22*(1/(1-$M$14)-1)),"")</f>
        <v>9.0307137442525214</v>
      </c>
      <c r="N22" s="764">
        <f t="shared" si="2"/>
        <v>790.43021374425257</v>
      </c>
      <c r="Q22" s="731">
        <f t="shared" si="11"/>
        <v>1</v>
      </c>
      <c r="R22" s="732">
        <f t="shared" si="11"/>
        <v>1</v>
      </c>
      <c r="S22" s="765">
        <v>744.19</v>
      </c>
      <c r="T22" s="734">
        <v>0</v>
      </c>
      <c r="U22" s="735">
        <f>IF(Q22&lt;&gt;"",K22-T22,"")</f>
        <v>744.19</v>
      </c>
      <c r="V22" s="736">
        <f>IF(Q22&lt;&gt;"",0%,"")</f>
        <v>0</v>
      </c>
      <c r="W22" s="737">
        <f>IF(Q22&lt;&gt;"",V22*U22,"")</f>
        <v>0</v>
      </c>
      <c r="X22" s="737">
        <f>IF(Q22&lt;&gt;"",W22+T22,"")</f>
        <v>0</v>
      </c>
      <c r="Y22" s="738">
        <f>IF(Q22&lt;&gt;"",X22+M22,"")</f>
        <v>9.0307137442525214</v>
      </c>
      <c r="Z22" s="739">
        <f>IF(Q22&lt;&gt;"",U22/K22,"")</f>
        <v>1</v>
      </c>
      <c r="AA22" s="740">
        <f t="shared" ref="AA22:AA49" si="12">T22/$T$85</f>
        <v>0</v>
      </c>
      <c r="AK22" s="741">
        <f t="shared" si="10"/>
        <v>0</v>
      </c>
      <c r="AL22" s="742">
        <v>0</v>
      </c>
    </row>
    <row r="23" spans="1:39" ht="99.9" customHeight="1" x14ac:dyDescent="0.45">
      <c r="A23" s="690">
        <v>9</v>
      </c>
      <c r="B23" s="716" t="s">
        <v>76</v>
      </c>
      <c r="C23" s="718" t="s">
        <v>57</v>
      </c>
      <c r="D23" s="690" t="s">
        <v>88</v>
      </c>
      <c r="E23" s="690" t="s">
        <v>280</v>
      </c>
      <c r="F23" s="743" t="s">
        <v>287</v>
      </c>
      <c r="G23" s="744" t="s">
        <v>618</v>
      </c>
      <c r="H23" s="746">
        <v>220</v>
      </c>
      <c r="I23" s="766">
        <v>0</v>
      </c>
      <c r="J23" s="767">
        <v>33.659999999999997</v>
      </c>
      <c r="K23" s="747">
        <f t="shared" si="9"/>
        <v>0</v>
      </c>
      <c r="L23" s="747">
        <f t="shared" si="0"/>
        <v>0</v>
      </c>
      <c r="M23" s="747">
        <f t="shared" si="1"/>
        <v>0</v>
      </c>
      <c r="N23" s="748">
        <f t="shared" si="2"/>
        <v>0</v>
      </c>
      <c r="Q23" s="731">
        <f t="shared" si="11"/>
        <v>220</v>
      </c>
      <c r="R23" s="732">
        <f t="shared" si="11"/>
        <v>0</v>
      </c>
      <c r="S23" s="765">
        <v>33.659999999999997</v>
      </c>
      <c r="T23" s="734">
        <f t="shared" ref="T23:T27" si="13">IF(Q23&lt;&gt;"",Q23*R23*S23,"")</f>
        <v>0</v>
      </c>
      <c r="U23" s="735">
        <f t="shared" si="3"/>
        <v>0</v>
      </c>
      <c r="V23" s="736">
        <f t="shared" si="4"/>
        <v>0</v>
      </c>
      <c r="W23" s="737">
        <f t="shared" si="5"/>
        <v>0</v>
      </c>
      <c r="X23" s="737">
        <f t="shared" si="6"/>
        <v>0</v>
      </c>
      <c r="Y23" s="738">
        <f t="shared" si="7"/>
        <v>0</v>
      </c>
      <c r="Z23" s="739" t="e">
        <f t="shared" si="8"/>
        <v>#DIV/0!</v>
      </c>
      <c r="AA23" s="740">
        <f t="shared" si="12"/>
        <v>0</v>
      </c>
      <c r="AK23" s="741">
        <f t="shared" si="10"/>
        <v>0</v>
      </c>
      <c r="AL23" s="742">
        <v>0</v>
      </c>
    </row>
    <row r="24" spans="1:39" ht="99.9" customHeight="1" x14ac:dyDescent="0.45">
      <c r="A24" s="715">
        <v>10</v>
      </c>
      <c r="B24" s="716" t="s">
        <v>80</v>
      </c>
      <c r="C24" s="718" t="s">
        <v>57</v>
      </c>
      <c r="D24" s="690" t="s">
        <v>88</v>
      </c>
      <c r="E24" s="690" t="s">
        <v>280</v>
      </c>
      <c r="F24" s="743" t="s">
        <v>287</v>
      </c>
      <c r="G24" s="744" t="s">
        <v>289</v>
      </c>
      <c r="H24" s="746">
        <v>1</v>
      </c>
      <c r="I24" s="745">
        <v>1</v>
      </c>
      <c r="J24" s="768">
        <v>4363.5600000000004</v>
      </c>
      <c r="K24" s="769">
        <f t="shared" si="9"/>
        <v>4363.5600000000004</v>
      </c>
      <c r="L24" s="754">
        <f>IF(K24&lt;&gt;"",IF(D24="INTERNO",0,K24*$L$14),"")</f>
        <v>218.17800000000003</v>
      </c>
      <c r="M24" s="754">
        <f>IF(K24&lt;&gt;"",IF(E24="FAT.OGGI",SUM(K24:L24)*(1/(1-$M$14)-1),L24*(1/(1-$M$14)-1)),"")</f>
        <v>52.951613520566696</v>
      </c>
      <c r="N24" s="756">
        <f>SUM(K24:M24)</f>
        <v>4634.689613520567</v>
      </c>
      <c r="Q24" s="731">
        <f>IF(H24&lt;&gt;"",H24,"")</f>
        <v>1</v>
      </c>
      <c r="R24" s="732">
        <f>IF(I24&lt;&gt;"",I24,"")</f>
        <v>1</v>
      </c>
      <c r="S24" s="765">
        <v>4363.5600000000004</v>
      </c>
      <c r="T24" s="734">
        <v>0</v>
      </c>
      <c r="U24" s="735">
        <f>IF(Q24&lt;&gt;"",K24-T24,"")</f>
        <v>4363.5600000000004</v>
      </c>
      <c r="V24" s="736">
        <f>IF(Q24&lt;&gt;"",0%,"")</f>
        <v>0</v>
      </c>
      <c r="W24" s="737">
        <f>IF(Q24&lt;&gt;"",V24*U24,"")</f>
        <v>0</v>
      </c>
      <c r="X24" s="737">
        <f>IF(Q24&lt;&gt;"",W24+T24,"")</f>
        <v>0</v>
      </c>
      <c r="Y24" s="738">
        <f>IF(Q24&lt;&gt;"",X24+M24,"")</f>
        <v>52.951613520566696</v>
      </c>
      <c r="Z24" s="739">
        <f>IF(Q24&lt;&gt;"",U24/K24,"")</f>
        <v>1</v>
      </c>
      <c r="AA24" s="740">
        <f t="shared" si="12"/>
        <v>0</v>
      </c>
      <c r="AK24" s="741">
        <f t="shared" si="10"/>
        <v>0</v>
      </c>
      <c r="AL24" s="742">
        <v>0</v>
      </c>
    </row>
    <row r="25" spans="1:39" ht="99.9" customHeight="1" x14ac:dyDescent="0.45">
      <c r="A25" s="715">
        <v>11</v>
      </c>
      <c r="B25" s="716" t="s">
        <v>290</v>
      </c>
      <c r="C25" s="718" t="s">
        <v>57</v>
      </c>
      <c r="D25" s="690" t="s">
        <v>88</v>
      </c>
      <c r="E25" s="690" t="s">
        <v>280</v>
      </c>
      <c r="F25" s="751" t="s">
        <v>287</v>
      </c>
      <c r="G25" s="752" t="s">
        <v>619</v>
      </c>
      <c r="H25" s="753">
        <v>1</v>
      </c>
      <c r="I25" s="753">
        <v>1</v>
      </c>
      <c r="J25" s="754">
        <v>6948.24</v>
      </c>
      <c r="K25" s="769">
        <f t="shared" si="9"/>
        <v>6948.24</v>
      </c>
      <c r="L25" s="754">
        <f t="shared" si="0"/>
        <v>347.41200000000003</v>
      </c>
      <c r="M25" s="754">
        <f t="shared" si="1"/>
        <v>84.316594507269826</v>
      </c>
      <c r="N25" s="756">
        <f t="shared" si="2"/>
        <v>7379.9685945072697</v>
      </c>
      <c r="Q25" s="731">
        <f t="shared" si="11"/>
        <v>1</v>
      </c>
      <c r="R25" s="732">
        <f t="shared" si="11"/>
        <v>1</v>
      </c>
      <c r="S25" s="765">
        <v>6948.24</v>
      </c>
      <c r="T25" s="734">
        <v>0</v>
      </c>
      <c r="U25" s="735">
        <f t="shared" si="3"/>
        <v>6948.24</v>
      </c>
      <c r="V25" s="736">
        <f t="shared" si="4"/>
        <v>0</v>
      </c>
      <c r="W25" s="737">
        <f t="shared" si="5"/>
        <v>0</v>
      </c>
      <c r="X25" s="737">
        <f t="shared" si="6"/>
        <v>0</v>
      </c>
      <c r="Y25" s="738">
        <f t="shared" si="7"/>
        <v>84.316594507269826</v>
      </c>
      <c r="Z25" s="739">
        <f t="shared" si="8"/>
        <v>1</v>
      </c>
      <c r="AA25" s="740">
        <f t="shared" si="12"/>
        <v>0</v>
      </c>
      <c r="AK25" s="741">
        <f t="shared" si="10"/>
        <v>0</v>
      </c>
      <c r="AL25" s="742">
        <v>0</v>
      </c>
    </row>
    <row r="26" spans="1:39" ht="99.9" customHeight="1" x14ac:dyDescent="0.45">
      <c r="A26" s="690">
        <v>12</v>
      </c>
      <c r="B26" s="716" t="s">
        <v>291</v>
      </c>
      <c r="C26" s="770" t="s">
        <v>57</v>
      </c>
      <c r="D26" s="771" t="s">
        <v>88</v>
      </c>
      <c r="E26" s="690" t="s">
        <v>280</v>
      </c>
      <c r="F26" s="772" t="s">
        <v>293</v>
      </c>
      <c r="G26" s="773" t="s">
        <v>759</v>
      </c>
      <c r="H26" s="774">
        <v>1</v>
      </c>
      <c r="I26" s="774">
        <v>1</v>
      </c>
      <c r="J26" s="775">
        <v>118228</v>
      </c>
      <c r="K26" s="776">
        <f t="shared" si="9"/>
        <v>118228</v>
      </c>
      <c r="L26" s="763">
        <f t="shared" si="0"/>
        <v>5911.4000000000005</v>
      </c>
      <c r="M26" s="763">
        <f t="shared" si="1"/>
        <v>1434.6917111967198</v>
      </c>
      <c r="N26" s="764">
        <f t="shared" si="2"/>
        <v>125574.09171119671</v>
      </c>
      <c r="Q26" s="731">
        <f t="shared" si="11"/>
        <v>1</v>
      </c>
      <c r="R26" s="732">
        <f t="shared" si="11"/>
        <v>1</v>
      </c>
      <c r="S26" s="733">
        <v>118228</v>
      </c>
      <c r="T26" s="734">
        <v>0</v>
      </c>
      <c r="U26" s="735">
        <f t="shared" si="3"/>
        <v>118228</v>
      </c>
      <c r="V26" s="736">
        <f t="shared" si="4"/>
        <v>0</v>
      </c>
      <c r="W26" s="737">
        <f t="shared" si="5"/>
        <v>0</v>
      </c>
      <c r="X26" s="737">
        <f t="shared" si="6"/>
        <v>0</v>
      </c>
      <c r="Y26" s="738">
        <f t="shared" si="7"/>
        <v>1434.6917111967198</v>
      </c>
      <c r="Z26" s="777">
        <f t="shared" si="8"/>
        <v>1</v>
      </c>
      <c r="AA26" s="740">
        <f t="shared" si="12"/>
        <v>0</v>
      </c>
      <c r="AK26" s="741">
        <f t="shared" si="10"/>
        <v>0</v>
      </c>
      <c r="AL26" s="742">
        <v>0</v>
      </c>
    </row>
    <row r="27" spans="1:39" ht="99.9" customHeight="1" x14ac:dyDescent="0.45">
      <c r="A27" s="690">
        <v>13</v>
      </c>
      <c r="B27" s="716" t="s">
        <v>292</v>
      </c>
      <c r="C27" s="718" t="s">
        <v>57</v>
      </c>
      <c r="D27" s="690" t="s">
        <v>88</v>
      </c>
      <c r="E27" s="690" t="s">
        <v>280</v>
      </c>
      <c r="F27" s="743" t="s">
        <v>293</v>
      </c>
      <c r="G27" s="744" t="s">
        <v>295</v>
      </c>
      <c r="H27" s="746">
        <v>1</v>
      </c>
      <c r="I27" s="746">
        <v>0</v>
      </c>
      <c r="J27" s="747">
        <v>1892</v>
      </c>
      <c r="K27" s="747">
        <f t="shared" si="9"/>
        <v>0</v>
      </c>
      <c r="L27" s="778">
        <f t="shared" si="0"/>
        <v>0</v>
      </c>
      <c r="M27" s="778">
        <f t="shared" si="1"/>
        <v>0</v>
      </c>
      <c r="N27" s="779">
        <f t="shared" si="2"/>
        <v>0</v>
      </c>
      <c r="Q27" s="731">
        <f t="shared" si="11"/>
        <v>1</v>
      </c>
      <c r="R27" s="732">
        <f t="shared" si="11"/>
        <v>0</v>
      </c>
      <c r="S27" s="733">
        <v>1892</v>
      </c>
      <c r="T27" s="734">
        <f t="shared" si="13"/>
        <v>0</v>
      </c>
      <c r="U27" s="735">
        <f t="shared" si="3"/>
        <v>0</v>
      </c>
      <c r="V27" s="736">
        <f t="shared" si="4"/>
        <v>0</v>
      </c>
      <c r="W27" s="737">
        <f t="shared" si="5"/>
        <v>0</v>
      </c>
      <c r="X27" s="780">
        <f t="shared" si="6"/>
        <v>0</v>
      </c>
      <c r="Y27" s="781">
        <f t="shared" si="7"/>
        <v>0</v>
      </c>
      <c r="Z27" s="739" t="e">
        <f t="shared" si="8"/>
        <v>#DIV/0!</v>
      </c>
      <c r="AA27" s="740">
        <f t="shared" si="12"/>
        <v>0</v>
      </c>
      <c r="AK27" s="741">
        <f t="shared" si="10"/>
        <v>0</v>
      </c>
      <c r="AL27" s="742">
        <v>0</v>
      </c>
    </row>
    <row r="28" spans="1:39" ht="99.9" customHeight="1" x14ac:dyDescent="0.45">
      <c r="A28" s="715">
        <v>14</v>
      </c>
      <c r="B28" s="716" t="s">
        <v>294</v>
      </c>
      <c r="C28" s="718" t="s">
        <v>57</v>
      </c>
      <c r="D28" s="690" t="s">
        <v>88</v>
      </c>
      <c r="E28" s="690" t="s">
        <v>280</v>
      </c>
      <c r="F28" s="782" t="s">
        <v>293</v>
      </c>
      <c r="G28" s="783" t="s">
        <v>297</v>
      </c>
      <c r="H28" s="784">
        <v>1</v>
      </c>
      <c r="I28" s="784">
        <v>1</v>
      </c>
      <c r="J28" s="785">
        <v>0</v>
      </c>
      <c r="K28" s="785">
        <f t="shared" si="9"/>
        <v>0</v>
      </c>
      <c r="L28" s="785">
        <f t="shared" si="0"/>
        <v>0</v>
      </c>
      <c r="M28" s="785">
        <f t="shared" si="1"/>
        <v>0</v>
      </c>
      <c r="N28" s="786">
        <f t="shared" si="2"/>
        <v>0</v>
      </c>
      <c r="Q28" s="731">
        <f t="shared" si="11"/>
        <v>1</v>
      </c>
      <c r="R28" s="732">
        <f t="shared" si="11"/>
        <v>1</v>
      </c>
      <c r="S28" s="787">
        <f>-SUM(T17:T18)*10%+-SUM(T26)*5%</f>
        <v>-161257.416</v>
      </c>
      <c r="T28" s="787">
        <v>0</v>
      </c>
      <c r="U28" s="735">
        <f t="shared" si="3"/>
        <v>0</v>
      </c>
      <c r="V28" s="736">
        <f t="shared" si="4"/>
        <v>0</v>
      </c>
      <c r="W28" s="737">
        <f t="shared" si="5"/>
        <v>0</v>
      </c>
      <c r="X28" s="780">
        <f t="shared" si="6"/>
        <v>0</v>
      </c>
      <c r="Y28" s="781">
        <f t="shared" si="7"/>
        <v>0</v>
      </c>
      <c r="Z28" s="739" t="e">
        <f t="shared" si="8"/>
        <v>#DIV/0!</v>
      </c>
      <c r="AA28" s="740">
        <f t="shared" si="12"/>
        <v>0</v>
      </c>
      <c r="AK28" s="741">
        <f t="shared" si="10"/>
        <v>0</v>
      </c>
      <c r="AL28" s="742">
        <v>0</v>
      </c>
    </row>
    <row r="29" spans="1:39" ht="99.9" customHeight="1" x14ac:dyDescent="0.45">
      <c r="A29" s="715">
        <v>15</v>
      </c>
      <c r="B29" s="716" t="s">
        <v>296</v>
      </c>
      <c r="C29" s="718" t="s">
        <v>57</v>
      </c>
      <c r="D29" s="690" t="s">
        <v>88</v>
      </c>
      <c r="E29" s="690" t="s">
        <v>280</v>
      </c>
      <c r="F29" s="782" t="s">
        <v>293</v>
      </c>
      <c r="G29" s="783" t="s">
        <v>299</v>
      </c>
      <c r="H29" s="784">
        <v>1</v>
      </c>
      <c r="I29" s="784">
        <v>1</v>
      </c>
      <c r="J29" s="785">
        <v>6767</v>
      </c>
      <c r="K29" s="788">
        <f t="shared" si="9"/>
        <v>6767</v>
      </c>
      <c r="L29" s="785">
        <f t="shared" si="0"/>
        <v>338.35</v>
      </c>
      <c r="M29" s="785">
        <f t="shared" si="1"/>
        <v>82.117254877594164</v>
      </c>
      <c r="N29" s="786">
        <f t="shared" si="2"/>
        <v>7187.4672548775943</v>
      </c>
      <c r="Q29" s="731">
        <f t="shared" si="11"/>
        <v>1</v>
      </c>
      <c r="R29" s="732">
        <f t="shared" si="11"/>
        <v>1</v>
      </c>
      <c r="S29" s="733">
        <v>6767</v>
      </c>
      <c r="T29" s="734">
        <v>0</v>
      </c>
      <c r="U29" s="735">
        <f t="shared" si="3"/>
        <v>6767</v>
      </c>
      <c r="V29" s="736">
        <f t="shared" si="4"/>
        <v>0</v>
      </c>
      <c r="W29" s="737">
        <f t="shared" si="5"/>
        <v>0</v>
      </c>
      <c r="X29" s="780">
        <f t="shared" si="6"/>
        <v>0</v>
      </c>
      <c r="Y29" s="781">
        <f t="shared" si="7"/>
        <v>82.117254877594164</v>
      </c>
      <c r="Z29" s="739">
        <f t="shared" si="8"/>
        <v>1</v>
      </c>
      <c r="AA29" s="740">
        <f t="shared" si="12"/>
        <v>0</v>
      </c>
      <c r="AK29" s="741">
        <f t="shared" si="10"/>
        <v>0</v>
      </c>
      <c r="AL29" s="742">
        <v>0</v>
      </c>
    </row>
    <row r="30" spans="1:39" ht="99.9" customHeight="1" x14ac:dyDescent="0.45">
      <c r="A30" s="715">
        <v>16</v>
      </c>
      <c r="B30" s="716" t="s">
        <v>298</v>
      </c>
      <c r="C30" s="717" t="s">
        <v>57</v>
      </c>
      <c r="D30" s="715" t="s">
        <v>88</v>
      </c>
      <c r="E30" s="715" t="s">
        <v>280</v>
      </c>
      <c r="F30" s="751" t="s">
        <v>620</v>
      </c>
      <c r="G30" s="752" t="s">
        <v>621</v>
      </c>
      <c r="H30" s="753">
        <v>1</v>
      </c>
      <c r="I30" s="784">
        <v>1</v>
      </c>
      <c r="J30" s="785">
        <v>175</v>
      </c>
      <c r="K30" s="769">
        <f t="shared" si="9"/>
        <v>175</v>
      </c>
      <c r="L30" s="785">
        <f>IF(K30&lt;&gt;"",IF(D30="INTERNO",0,K30*$L$14),"")</f>
        <v>8.75</v>
      </c>
      <c r="M30" s="785">
        <f>IF(K30&lt;&gt;"",IF(E30="FAT.OGGI",SUM(K30:L30)*(1/(1-$M$14)-1),L30*(1/(1-$M$14)-1)),"")</f>
        <v>2.1236174972039277</v>
      </c>
      <c r="N30" s="786">
        <f>SUM(K30:M30)</f>
        <v>185.87361749720392</v>
      </c>
      <c r="Q30" s="731">
        <f>IF(H30&lt;&gt;"",H30,"")</f>
        <v>1</v>
      </c>
      <c r="R30" s="732">
        <f>IF(I30&lt;&gt;"",I30,"")</f>
        <v>1</v>
      </c>
      <c r="S30" s="733">
        <v>175</v>
      </c>
      <c r="T30" s="734">
        <v>0</v>
      </c>
      <c r="U30" s="735">
        <f>IF(Q30&lt;&gt;"",K30-T30,"")</f>
        <v>175</v>
      </c>
      <c r="V30" s="736">
        <f>IF(Q30&lt;&gt;"",0%,"")</f>
        <v>0</v>
      </c>
      <c r="W30" s="737">
        <f>IF(Q30&lt;&gt;"",V30*U30,"")</f>
        <v>0</v>
      </c>
      <c r="X30" s="780">
        <f>IF(Q30&lt;&gt;"",W30+T30,"")</f>
        <v>0</v>
      </c>
      <c r="Y30" s="781">
        <f>IF(Q30&lt;&gt;"",X30+M30,"")</f>
        <v>2.1236174972039277</v>
      </c>
      <c r="Z30" s="739">
        <f>IF(Q30&lt;&gt;"",U30/K30,"")</f>
        <v>1</v>
      </c>
      <c r="AA30" s="740">
        <f t="shared" si="12"/>
        <v>0</v>
      </c>
      <c r="AK30" s="741">
        <f t="shared" si="10"/>
        <v>0</v>
      </c>
      <c r="AL30" s="742">
        <v>0</v>
      </c>
    </row>
    <row r="31" spans="1:39" ht="99.9" customHeight="1" x14ac:dyDescent="0.45">
      <c r="A31" s="715">
        <v>17</v>
      </c>
      <c r="B31" s="716" t="s">
        <v>300</v>
      </c>
      <c r="C31" s="717" t="s">
        <v>57</v>
      </c>
      <c r="D31" s="715" t="s">
        <v>88</v>
      </c>
      <c r="E31" s="715" t="s">
        <v>280</v>
      </c>
      <c r="F31" s="751" t="s">
        <v>620</v>
      </c>
      <c r="G31" s="789" t="s">
        <v>622</v>
      </c>
      <c r="H31" s="784">
        <v>1</v>
      </c>
      <c r="I31" s="790">
        <v>4</v>
      </c>
      <c r="J31" s="791">
        <v>95</v>
      </c>
      <c r="K31" s="769">
        <f t="shared" ref="K31:K38" si="14">IF(F31&lt;&gt;"",H31*I31*J31,"")</f>
        <v>380</v>
      </c>
      <c r="L31" s="785">
        <f t="shared" ref="L31:L38" si="15">IF(K31&lt;&gt;"",IF(D31="INTERNO",0,K31*$L$14),"")</f>
        <v>19</v>
      </c>
      <c r="M31" s="785">
        <f t="shared" ref="M31:M38" si="16">IF(K31&lt;&gt;"",IF(E31="FAT.OGGI",SUM(K31:L31)*(1/(1-$M$14)-1),L31*(1/(1-$M$14)-1)),"")</f>
        <v>4.611283708214243</v>
      </c>
      <c r="N31" s="786">
        <f t="shared" ref="N31:N38" si="17">SUM(K31:M31)</f>
        <v>403.61128370821422</v>
      </c>
      <c r="Q31" s="731">
        <f t="shared" ref="Q31:Q38" si="18">IF(H31&lt;&gt;"",H31,"")</f>
        <v>1</v>
      </c>
      <c r="R31" s="732">
        <f t="shared" ref="R31:R38" si="19">IF(I31&lt;&gt;"",I31,"")</f>
        <v>4</v>
      </c>
      <c r="S31" s="733">
        <v>95</v>
      </c>
      <c r="T31" s="734">
        <v>0</v>
      </c>
      <c r="U31" s="735">
        <f t="shared" ref="U31:U38" si="20">IF(Q31&lt;&gt;"",K31-T31,"")</f>
        <v>380</v>
      </c>
      <c r="V31" s="736">
        <f t="shared" ref="V31:V38" si="21">IF(Q31&lt;&gt;"",0%,"")</f>
        <v>0</v>
      </c>
      <c r="W31" s="737">
        <f t="shared" ref="W31:W38" si="22">IF(Q31&lt;&gt;"",V31*U31,"")</f>
        <v>0</v>
      </c>
      <c r="X31" s="780">
        <f t="shared" ref="X31:X38" si="23">IF(Q31&lt;&gt;"",W31+T31,"")</f>
        <v>0</v>
      </c>
      <c r="Y31" s="781">
        <f t="shared" ref="Y31:Y38" si="24">IF(Q31&lt;&gt;"",X31+M31,"")</f>
        <v>4.611283708214243</v>
      </c>
      <c r="Z31" s="739">
        <f t="shared" ref="Z31:Z38" si="25">IF(Q31&lt;&gt;"",U31/K31,"")</f>
        <v>1</v>
      </c>
      <c r="AA31" s="740">
        <f t="shared" si="12"/>
        <v>0</v>
      </c>
      <c r="AK31" s="741">
        <f t="shared" si="10"/>
        <v>0</v>
      </c>
      <c r="AL31" s="742">
        <v>0</v>
      </c>
    </row>
    <row r="32" spans="1:39" ht="99.9" customHeight="1" x14ac:dyDescent="0.45">
      <c r="A32" s="715">
        <v>18</v>
      </c>
      <c r="B32" s="716" t="s">
        <v>302</v>
      </c>
      <c r="C32" s="717" t="s">
        <v>57</v>
      </c>
      <c r="D32" s="715" t="s">
        <v>88</v>
      </c>
      <c r="E32" s="715" t="s">
        <v>280</v>
      </c>
      <c r="F32" s="751" t="s">
        <v>620</v>
      </c>
      <c r="G32" s="789" t="s">
        <v>623</v>
      </c>
      <c r="H32" s="753">
        <v>1</v>
      </c>
      <c r="I32" s="790">
        <v>5</v>
      </c>
      <c r="J32" s="791">
        <v>49</v>
      </c>
      <c r="K32" s="769">
        <f t="shared" si="14"/>
        <v>245</v>
      </c>
      <c r="L32" s="785">
        <f t="shared" si="15"/>
        <v>12.25</v>
      </c>
      <c r="M32" s="785">
        <f t="shared" si="16"/>
        <v>2.9730644960854988</v>
      </c>
      <c r="N32" s="786">
        <f t="shared" si="17"/>
        <v>260.2230644960855</v>
      </c>
      <c r="Q32" s="731">
        <f t="shared" si="18"/>
        <v>1</v>
      </c>
      <c r="R32" s="732">
        <f t="shared" si="19"/>
        <v>5</v>
      </c>
      <c r="S32" s="733">
        <v>49</v>
      </c>
      <c r="T32" s="734">
        <v>0</v>
      </c>
      <c r="U32" s="735">
        <f t="shared" si="20"/>
        <v>245</v>
      </c>
      <c r="V32" s="736">
        <f t="shared" si="21"/>
        <v>0</v>
      </c>
      <c r="W32" s="737">
        <f t="shared" si="22"/>
        <v>0</v>
      </c>
      <c r="X32" s="780">
        <f t="shared" si="23"/>
        <v>0</v>
      </c>
      <c r="Y32" s="781">
        <f t="shared" si="24"/>
        <v>2.9730644960854988</v>
      </c>
      <c r="Z32" s="739">
        <f t="shared" si="25"/>
        <v>1</v>
      </c>
      <c r="AA32" s="740">
        <f t="shared" si="12"/>
        <v>0</v>
      </c>
      <c r="AK32" s="741">
        <f t="shared" si="10"/>
        <v>0</v>
      </c>
      <c r="AL32" s="742">
        <v>0</v>
      </c>
    </row>
    <row r="33" spans="1:38" ht="99.9" customHeight="1" x14ac:dyDescent="0.45">
      <c r="A33" s="715">
        <v>19</v>
      </c>
      <c r="B33" s="716" t="s">
        <v>303</v>
      </c>
      <c r="C33" s="717" t="s">
        <v>57</v>
      </c>
      <c r="D33" s="715" t="s">
        <v>88</v>
      </c>
      <c r="E33" s="715" t="s">
        <v>280</v>
      </c>
      <c r="F33" s="751" t="s">
        <v>628</v>
      </c>
      <c r="G33" s="792" t="s">
        <v>624</v>
      </c>
      <c r="H33" s="753">
        <v>1</v>
      </c>
      <c r="I33" s="790">
        <v>25</v>
      </c>
      <c r="J33" s="791">
        <v>175</v>
      </c>
      <c r="K33" s="769">
        <f t="shared" si="14"/>
        <v>4375</v>
      </c>
      <c r="L33" s="785">
        <f t="shared" si="15"/>
        <v>218.75</v>
      </c>
      <c r="M33" s="785">
        <f t="shared" si="16"/>
        <v>53.090437430098191</v>
      </c>
      <c r="N33" s="786">
        <f t="shared" si="17"/>
        <v>4646.8404374300981</v>
      </c>
      <c r="Q33" s="731">
        <f t="shared" si="18"/>
        <v>1</v>
      </c>
      <c r="R33" s="732">
        <f t="shared" si="19"/>
        <v>25</v>
      </c>
      <c r="S33" s="733">
        <v>175</v>
      </c>
      <c r="T33" s="734">
        <v>0</v>
      </c>
      <c r="U33" s="735">
        <f t="shared" si="20"/>
        <v>4375</v>
      </c>
      <c r="V33" s="736">
        <f t="shared" si="21"/>
        <v>0</v>
      </c>
      <c r="W33" s="737">
        <f t="shared" si="22"/>
        <v>0</v>
      </c>
      <c r="X33" s="780">
        <f t="shared" si="23"/>
        <v>0</v>
      </c>
      <c r="Y33" s="781">
        <f t="shared" si="24"/>
        <v>53.090437430098191</v>
      </c>
      <c r="Z33" s="739">
        <f t="shared" si="25"/>
        <v>1</v>
      </c>
      <c r="AA33" s="740">
        <f t="shared" si="12"/>
        <v>0</v>
      </c>
      <c r="AK33" s="741">
        <f t="shared" si="10"/>
        <v>0</v>
      </c>
      <c r="AL33" s="742">
        <v>0</v>
      </c>
    </row>
    <row r="34" spans="1:38" ht="99.9" customHeight="1" x14ac:dyDescent="0.45">
      <c r="A34" s="715">
        <v>20</v>
      </c>
      <c r="B34" s="716" t="s">
        <v>304</v>
      </c>
      <c r="C34" s="717" t="s">
        <v>57</v>
      </c>
      <c r="D34" s="715" t="s">
        <v>88</v>
      </c>
      <c r="E34" s="715" t="s">
        <v>280</v>
      </c>
      <c r="F34" s="751" t="s">
        <v>628</v>
      </c>
      <c r="G34" s="792" t="s">
        <v>625</v>
      </c>
      <c r="H34" s="784">
        <v>1</v>
      </c>
      <c r="I34" s="790">
        <v>4</v>
      </c>
      <c r="J34" s="791">
        <v>175</v>
      </c>
      <c r="K34" s="769">
        <f t="shared" si="14"/>
        <v>700</v>
      </c>
      <c r="L34" s="785">
        <f t="shared" si="15"/>
        <v>35</v>
      </c>
      <c r="M34" s="785">
        <f t="shared" si="16"/>
        <v>8.4944699888157107</v>
      </c>
      <c r="N34" s="786">
        <f t="shared" si="17"/>
        <v>743.49446998881569</v>
      </c>
      <c r="Q34" s="731">
        <f t="shared" si="18"/>
        <v>1</v>
      </c>
      <c r="R34" s="732">
        <f t="shared" si="19"/>
        <v>4</v>
      </c>
      <c r="S34" s="733">
        <v>175</v>
      </c>
      <c r="T34" s="734">
        <v>0</v>
      </c>
      <c r="U34" s="735">
        <f t="shared" si="20"/>
        <v>700</v>
      </c>
      <c r="V34" s="736">
        <f t="shared" si="21"/>
        <v>0</v>
      </c>
      <c r="W34" s="737">
        <f t="shared" si="22"/>
        <v>0</v>
      </c>
      <c r="X34" s="780">
        <f t="shared" si="23"/>
        <v>0</v>
      </c>
      <c r="Y34" s="781">
        <f t="shared" si="24"/>
        <v>8.4944699888157107</v>
      </c>
      <c r="Z34" s="739">
        <f t="shared" si="25"/>
        <v>1</v>
      </c>
      <c r="AA34" s="740">
        <f t="shared" si="12"/>
        <v>0</v>
      </c>
      <c r="AK34" s="741">
        <f t="shared" si="10"/>
        <v>0</v>
      </c>
      <c r="AL34" s="742">
        <v>0</v>
      </c>
    </row>
    <row r="35" spans="1:38" ht="99.9" customHeight="1" x14ac:dyDescent="0.45">
      <c r="A35" s="715">
        <v>21</v>
      </c>
      <c r="B35" s="716" t="s">
        <v>305</v>
      </c>
      <c r="C35" s="717" t="s">
        <v>57</v>
      </c>
      <c r="D35" s="715" t="s">
        <v>88</v>
      </c>
      <c r="E35" s="715" t="s">
        <v>280</v>
      </c>
      <c r="F35" s="751" t="s">
        <v>628</v>
      </c>
      <c r="G35" s="792" t="s">
        <v>626</v>
      </c>
      <c r="H35" s="753">
        <v>1</v>
      </c>
      <c r="I35" s="790">
        <v>1</v>
      </c>
      <c r="J35" s="791">
        <v>88</v>
      </c>
      <c r="K35" s="769">
        <f t="shared" si="14"/>
        <v>88</v>
      </c>
      <c r="L35" s="785">
        <f t="shared" si="15"/>
        <v>4.4000000000000004</v>
      </c>
      <c r="M35" s="785">
        <f t="shared" si="16"/>
        <v>1.0678762271654036</v>
      </c>
      <c r="N35" s="786">
        <f t="shared" si="17"/>
        <v>93.467876227165405</v>
      </c>
      <c r="Q35" s="731">
        <f t="shared" si="18"/>
        <v>1</v>
      </c>
      <c r="R35" s="732">
        <f t="shared" si="19"/>
        <v>1</v>
      </c>
      <c r="S35" s="733">
        <v>88</v>
      </c>
      <c r="T35" s="734">
        <v>0</v>
      </c>
      <c r="U35" s="735">
        <f t="shared" si="20"/>
        <v>88</v>
      </c>
      <c r="V35" s="736">
        <f t="shared" si="21"/>
        <v>0</v>
      </c>
      <c r="W35" s="737">
        <f t="shared" si="22"/>
        <v>0</v>
      </c>
      <c r="X35" s="780">
        <f t="shared" si="23"/>
        <v>0</v>
      </c>
      <c r="Y35" s="781">
        <f t="shared" si="24"/>
        <v>1.0678762271654036</v>
      </c>
      <c r="Z35" s="739">
        <f t="shared" si="25"/>
        <v>1</v>
      </c>
      <c r="AA35" s="740">
        <f t="shared" si="12"/>
        <v>0</v>
      </c>
      <c r="AK35" s="741">
        <f t="shared" si="10"/>
        <v>0</v>
      </c>
      <c r="AL35" s="742">
        <v>0</v>
      </c>
    </row>
    <row r="36" spans="1:38" ht="99.9" customHeight="1" x14ac:dyDescent="0.45">
      <c r="A36" s="715">
        <v>22</v>
      </c>
      <c r="B36" s="716" t="s">
        <v>306</v>
      </c>
      <c r="C36" s="717" t="s">
        <v>57</v>
      </c>
      <c r="D36" s="715" t="s">
        <v>88</v>
      </c>
      <c r="E36" s="715" t="s">
        <v>280</v>
      </c>
      <c r="F36" s="751" t="s">
        <v>628</v>
      </c>
      <c r="G36" s="792" t="s">
        <v>623</v>
      </c>
      <c r="H36" s="753">
        <v>1</v>
      </c>
      <c r="I36" s="790">
        <v>1</v>
      </c>
      <c r="J36" s="791">
        <v>49</v>
      </c>
      <c r="K36" s="769">
        <f t="shared" si="14"/>
        <v>49</v>
      </c>
      <c r="L36" s="785">
        <f t="shared" si="15"/>
        <v>2.4500000000000002</v>
      </c>
      <c r="M36" s="785">
        <f t="shared" si="16"/>
        <v>0.59461289921709981</v>
      </c>
      <c r="N36" s="786">
        <f t="shared" si="17"/>
        <v>52.0446128992171</v>
      </c>
      <c r="Q36" s="731">
        <f t="shared" si="18"/>
        <v>1</v>
      </c>
      <c r="R36" s="732">
        <f t="shared" si="19"/>
        <v>1</v>
      </c>
      <c r="S36" s="733">
        <v>49</v>
      </c>
      <c r="T36" s="734">
        <v>0</v>
      </c>
      <c r="U36" s="735">
        <f t="shared" si="20"/>
        <v>49</v>
      </c>
      <c r="V36" s="736">
        <f t="shared" si="21"/>
        <v>0</v>
      </c>
      <c r="W36" s="737">
        <f t="shared" si="22"/>
        <v>0</v>
      </c>
      <c r="X36" s="780">
        <f t="shared" si="23"/>
        <v>0</v>
      </c>
      <c r="Y36" s="781">
        <f t="shared" si="24"/>
        <v>0.59461289921709981</v>
      </c>
      <c r="Z36" s="739">
        <f t="shared" si="25"/>
        <v>1</v>
      </c>
      <c r="AA36" s="740">
        <f t="shared" si="12"/>
        <v>0</v>
      </c>
      <c r="AK36" s="741">
        <f t="shared" si="10"/>
        <v>0</v>
      </c>
      <c r="AL36" s="742">
        <v>0</v>
      </c>
    </row>
    <row r="37" spans="1:38" ht="99.9" customHeight="1" x14ac:dyDescent="0.45">
      <c r="A37" s="715">
        <v>23</v>
      </c>
      <c r="B37" s="716" t="s">
        <v>307</v>
      </c>
      <c r="C37" s="717" t="s">
        <v>57</v>
      </c>
      <c r="D37" s="715" t="s">
        <v>88</v>
      </c>
      <c r="E37" s="715" t="s">
        <v>280</v>
      </c>
      <c r="F37" s="751" t="s">
        <v>628</v>
      </c>
      <c r="G37" s="792" t="s">
        <v>622</v>
      </c>
      <c r="H37" s="784">
        <v>1</v>
      </c>
      <c r="I37" s="790">
        <v>1</v>
      </c>
      <c r="J37" s="791">
        <v>95</v>
      </c>
      <c r="K37" s="769">
        <f t="shared" si="14"/>
        <v>95</v>
      </c>
      <c r="L37" s="785">
        <f t="shared" si="15"/>
        <v>4.75</v>
      </c>
      <c r="M37" s="785">
        <f t="shared" si="16"/>
        <v>1.1528209270535608</v>
      </c>
      <c r="N37" s="786">
        <f t="shared" si="17"/>
        <v>100.90282092705355</v>
      </c>
      <c r="Q37" s="731">
        <f t="shared" si="18"/>
        <v>1</v>
      </c>
      <c r="R37" s="732">
        <f t="shared" si="19"/>
        <v>1</v>
      </c>
      <c r="S37" s="733">
        <v>95</v>
      </c>
      <c r="T37" s="734">
        <v>0</v>
      </c>
      <c r="U37" s="735">
        <f t="shared" si="20"/>
        <v>95</v>
      </c>
      <c r="V37" s="736">
        <f t="shared" si="21"/>
        <v>0</v>
      </c>
      <c r="W37" s="737">
        <f t="shared" si="22"/>
        <v>0</v>
      </c>
      <c r="X37" s="780">
        <f t="shared" si="23"/>
        <v>0</v>
      </c>
      <c r="Y37" s="781">
        <f t="shared" si="24"/>
        <v>1.1528209270535608</v>
      </c>
      <c r="Z37" s="739">
        <f t="shared" si="25"/>
        <v>1</v>
      </c>
      <c r="AA37" s="740">
        <f t="shared" si="12"/>
        <v>0</v>
      </c>
      <c r="AK37" s="741">
        <f t="shared" si="10"/>
        <v>0</v>
      </c>
      <c r="AL37" s="742">
        <v>0</v>
      </c>
    </row>
    <row r="38" spans="1:38" ht="99.9" customHeight="1" x14ac:dyDescent="0.45">
      <c r="A38" s="715">
        <v>24</v>
      </c>
      <c r="B38" s="716" t="s">
        <v>308</v>
      </c>
      <c r="C38" s="717" t="s">
        <v>57</v>
      </c>
      <c r="D38" s="715" t="s">
        <v>88</v>
      </c>
      <c r="E38" s="715" t="s">
        <v>280</v>
      </c>
      <c r="F38" s="751" t="s">
        <v>628</v>
      </c>
      <c r="G38" s="792" t="s">
        <v>623</v>
      </c>
      <c r="H38" s="753">
        <v>1</v>
      </c>
      <c r="I38" s="790">
        <v>7</v>
      </c>
      <c r="J38" s="791">
        <v>49</v>
      </c>
      <c r="K38" s="769">
        <f t="shared" si="14"/>
        <v>343</v>
      </c>
      <c r="L38" s="785">
        <f t="shared" si="15"/>
        <v>17.150000000000002</v>
      </c>
      <c r="M38" s="785">
        <f t="shared" si="16"/>
        <v>4.1622902945196989</v>
      </c>
      <c r="N38" s="786">
        <f t="shared" si="17"/>
        <v>364.3122902945197</v>
      </c>
      <c r="Q38" s="731">
        <f t="shared" si="18"/>
        <v>1</v>
      </c>
      <c r="R38" s="732">
        <f t="shared" si="19"/>
        <v>7</v>
      </c>
      <c r="S38" s="733">
        <v>49</v>
      </c>
      <c r="T38" s="734">
        <v>0</v>
      </c>
      <c r="U38" s="735">
        <f t="shared" si="20"/>
        <v>343</v>
      </c>
      <c r="V38" s="736">
        <f t="shared" si="21"/>
        <v>0</v>
      </c>
      <c r="W38" s="737">
        <f t="shared" si="22"/>
        <v>0</v>
      </c>
      <c r="X38" s="780">
        <f t="shared" si="23"/>
        <v>0</v>
      </c>
      <c r="Y38" s="781">
        <f t="shared" si="24"/>
        <v>4.1622902945196989</v>
      </c>
      <c r="Z38" s="739">
        <f t="shared" si="25"/>
        <v>1</v>
      </c>
      <c r="AA38" s="740">
        <f t="shared" si="12"/>
        <v>0</v>
      </c>
      <c r="AK38" s="741">
        <f t="shared" si="10"/>
        <v>0</v>
      </c>
      <c r="AL38" s="742">
        <v>0</v>
      </c>
    </row>
    <row r="39" spans="1:38" ht="99.9" customHeight="1" x14ac:dyDescent="0.45">
      <c r="A39" s="715">
        <v>25</v>
      </c>
      <c r="B39" s="716" t="s">
        <v>309</v>
      </c>
      <c r="C39" s="717" t="s">
        <v>57</v>
      </c>
      <c r="D39" s="715" t="s">
        <v>88</v>
      </c>
      <c r="E39" s="715" t="s">
        <v>280</v>
      </c>
      <c r="F39" s="751" t="s">
        <v>628</v>
      </c>
      <c r="G39" s="792" t="s">
        <v>627</v>
      </c>
      <c r="H39" s="753">
        <v>1</v>
      </c>
      <c r="I39" s="790">
        <v>4</v>
      </c>
      <c r="J39" s="791">
        <v>25</v>
      </c>
      <c r="K39" s="769">
        <f t="shared" ref="K39" si="26">IF(F39&lt;&gt;"",H39*I39*J39,"")</f>
        <v>100</v>
      </c>
      <c r="L39" s="785">
        <f t="shared" ref="L39" si="27">IF(K39&lt;&gt;"",IF(D39="INTERNO",0,K39*$L$14),"")</f>
        <v>5</v>
      </c>
      <c r="M39" s="785">
        <f t="shared" ref="M39" si="28">IF(K39&lt;&gt;"",IF(E39="FAT.OGGI",SUM(K39:L39)*(1/(1-$M$14)-1),L39*(1/(1-$M$14)-1)),"")</f>
        <v>1.2134957126879586</v>
      </c>
      <c r="N39" s="786">
        <f t="shared" ref="N39" si="29">SUM(K39:M39)</f>
        <v>106.21349571268796</v>
      </c>
      <c r="Q39" s="731">
        <f t="shared" ref="Q39" si="30">IF(H39&lt;&gt;"",H39,"")</f>
        <v>1</v>
      </c>
      <c r="R39" s="732">
        <f t="shared" ref="R39" si="31">IF(I39&lt;&gt;"",I39,"")</f>
        <v>4</v>
      </c>
      <c r="S39" s="733">
        <v>25</v>
      </c>
      <c r="T39" s="734">
        <v>0</v>
      </c>
      <c r="U39" s="735">
        <f t="shared" ref="U39" si="32">IF(Q39&lt;&gt;"",K39-T39,"")</f>
        <v>100</v>
      </c>
      <c r="V39" s="736">
        <f t="shared" ref="V39" si="33">IF(Q39&lt;&gt;"",0%,"")</f>
        <v>0</v>
      </c>
      <c r="W39" s="737">
        <f t="shared" ref="W39" si="34">IF(Q39&lt;&gt;"",V39*U39,"")</f>
        <v>0</v>
      </c>
      <c r="X39" s="780">
        <f t="shared" ref="X39" si="35">IF(Q39&lt;&gt;"",W39+T39,"")</f>
        <v>0</v>
      </c>
      <c r="Y39" s="781">
        <f t="shared" ref="Y39" si="36">IF(Q39&lt;&gt;"",X39+M39,"")</f>
        <v>1.2134957126879586</v>
      </c>
      <c r="Z39" s="739">
        <f t="shared" ref="Z39" si="37">IF(Q39&lt;&gt;"",U39/K39,"")</f>
        <v>1</v>
      </c>
      <c r="AA39" s="740">
        <f t="shared" si="12"/>
        <v>0</v>
      </c>
      <c r="AK39" s="741">
        <f t="shared" si="10"/>
        <v>0</v>
      </c>
      <c r="AL39" s="742">
        <v>0</v>
      </c>
    </row>
    <row r="40" spans="1:38" ht="99.9" customHeight="1" x14ac:dyDescent="0.45">
      <c r="A40" s="749">
        <v>26</v>
      </c>
      <c r="B40" s="716" t="s">
        <v>310</v>
      </c>
      <c r="C40" s="750" t="s">
        <v>57</v>
      </c>
      <c r="D40" s="749" t="s">
        <v>88</v>
      </c>
      <c r="E40" s="749" t="s">
        <v>280</v>
      </c>
      <c r="F40" s="782" t="s">
        <v>301</v>
      </c>
      <c r="G40" s="793" t="s">
        <v>760</v>
      </c>
      <c r="H40" s="753">
        <v>405</v>
      </c>
      <c r="I40" s="753">
        <v>1</v>
      </c>
      <c r="J40" s="754">
        <v>175</v>
      </c>
      <c r="K40" s="769">
        <f t="shared" ref="K40" si="38">IF(F40&lt;&gt;"",H40*I40*J40,"")</f>
        <v>70875</v>
      </c>
      <c r="L40" s="785">
        <f t="shared" ref="L40" si="39">IF(K40&lt;&gt;"",IF(D40="INTERNO",0,K40*$L$14),"")</f>
        <v>3543.75</v>
      </c>
      <c r="M40" s="785">
        <f t="shared" ref="M40" si="40">IF(K40&lt;&gt;"",IF(E40="FAT.OGGI",SUM(K40:L40)*(1/(1-$M$14)-1),L40*(1/(1-$M$14)-1)),"")</f>
        <v>860.06508636759065</v>
      </c>
      <c r="N40" s="786">
        <f t="shared" ref="N40" si="41">SUM(K40:M40)</f>
        <v>75278.815086367584</v>
      </c>
      <c r="Q40" s="731">
        <f t="shared" ref="Q40" si="42">IF(H40&lt;&gt;"",H40,"")</f>
        <v>405</v>
      </c>
      <c r="R40" s="732">
        <f t="shared" ref="R40" si="43">IF(I40&lt;&gt;"",I40,"")</f>
        <v>1</v>
      </c>
      <c r="S40" s="734">
        <v>175</v>
      </c>
      <c r="T40" s="734">
        <v>0</v>
      </c>
      <c r="U40" s="735">
        <f t="shared" ref="U40" si="44">IF(Q40&lt;&gt;"",K40-T40,"")</f>
        <v>70875</v>
      </c>
      <c r="V40" s="736">
        <f t="shared" ref="V40" si="45">IF(Q40&lt;&gt;"",0%,"")</f>
        <v>0</v>
      </c>
      <c r="W40" s="737">
        <f t="shared" ref="W40" si="46">IF(Q40&lt;&gt;"",V40*U40,"")</f>
        <v>0</v>
      </c>
      <c r="X40" s="780">
        <f t="shared" ref="X40" si="47">IF(Q40&lt;&gt;"",W40+T40,"")</f>
        <v>0</v>
      </c>
      <c r="Y40" s="781">
        <f t="shared" ref="Y40" si="48">IF(Q40&lt;&gt;"",X40+M40,"")</f>
        <v>860.06508636759065</v>
      </c>
      <c r="Z40" s="739">
        <f t="shared" ref="Z40" si="49">IF(Q40&lt;&gt;"",U40/K40,"")</f>
        <v>1</v>
      </c>
      <c r="AA40" s="740">
        <f t="shared" si="12"/>
        <v>0</v>
      </c>
      <c r="AK40" s="741">
        <f t="shared" si="10"/>
        <v>0</v>
      </c>
      <c r="AL40" s="742">
        <v>0</v>
      </c>
    </row>
    <row r="41" spans="1:38" ht="99.9" customHeight="1" x14ac:dyDescent="0.45">
      <c r="A41" s="715">
        <v>27</v>
      </c>
      <c r="B41" s="716" t="s">
        <v>312</v>
      </c>
      <c r="C41" s="717" t="s">
        <v>57</v>
      </c>
      <c r="D41" s="715" t="s">
        <v>88</v>
      </c>
      <c r="E41" s="715" t="s">
        <v>280</v>
      </c>
      <c r="F41" s="794" t="s">
        <v>301</v>
      </c>
      <c r="G41" s="795" t="s">
        <v>761</v>
      </c>
      <c r="H41" s="753">
        <v>370</v>
      </c>
      <c r="I41" s="753">
        <v>1</v>
      </c>
      <c r="J41" s="754">
        <v>46</v>
      </c>
      <c r="K41" s="769">
        <f>IF(F41&lt;&gt;"",H41*I41*J41,"")</f>
        <v>17020</v>
      </c>
      <c r="L41" s="796">
        <f t="shared" si="0"/>
        <v>851</v>
      </c>
      <c r="M41" s="796">
        <f t="shared" si="1"/>
        <v>206.53697029949055</v>
      </c>
      <c r="N41" s="797">
        <f t="shared" si="2"/>
        <v>18077.53697029949</v>
      </c>
      <c r="Q41" s="731">
        <f t="shared" si="11"/>
        <v>370</v>
      </c>
      <c r="R41" s="732">
        <f t="shared" si="11"/>
        <v>1</v>
      </c>
      <c r="S41" s="733">
        <v>46</v>
      </c>
      <c r="T41" s="734">
        <v>0</v>
      </c>
      <c r="U41" s="735">
        <f t="shared" si="3"/>
        <v>17020</v>
      </c>
      <c r="V41" s="736">
        <f t="shared" si="4"/>
        <v>0</v>
      </c>
      <c r="W41" s="737">
        <f t="shared" si="5"/>
        <v>0</v>
      </c>
      <c r="X41" s="780">
        <f t="shared" si="6"/>
        <v>0</v>
      </c>
      <c r="Y41" s="781">
        <f t="shared" si="7"/>
        <v>206.53697029949055</v>
      </c>
      <c r="Z41" s="739">
        <f t="shared" si="8"/>
        <v>1</v>
      </c>
      <c r="AA41" s="740">
        <f t="shared" si="12"/>
        <v>0</v>
      </c>
      <c r="AK41" s="741">
        <f t="shared" si="10"/>
        <v>0</v>
      </c>
      <c r="AL41" s="742">
        <v>0</v>
      </c>
    </row>
    <row r="42" spans="1:38" ht="99.9" customHeight="1" x14ac:dyDescent="0.45">
      <c r="A42" s="715">
        <v>28</v>
      </c>
      <c r="B42" s="716" t="s">
        <v>313</v>
      </c>
      <c r="C42" s="717" t="s">
        <v>57</v>
      </c>
      <c r="D42" s="715" t="s">
        <v>88</v>
      </c>
      <c r="E42" s="715" t="s">
        <v>280</v>
      </c>
      <c r="F42" s="782" t="s">
        <v>301</v>
      </c>
      <c r="G42" s="793" t="s">
        <v>762</v>
      </c>
      <c r="H42" s="753">
        <v>351</v>
      </c>
      <c r="I42" s="753">
        <v>1</v>
      </c>
      <c r="J42" s="754">
        <v>175</v>
      </c>
      <c r="K42" s="769">
        <f>IF(F42&lt;&gt;"",H42*I42*J42,"")</f>
        <v>61425</v>
      </c>
      <c r="L42" s="785">
        <f t="shared" si="0"/>
        <v>3071.25</v>
      </c>
      <c r="M42" s="785">
        <f t="shared" si="1"/>
        <v>745.3897415185786</v>
      </c>
      <c r="N42" s="786">
        <f t="shared" si="2"/>
        <v>65241.639741518578</v>
      </c>
      <c r="Q42" s="731">
        <f t="shared" si="11"/>
        <v>351</v>
      </c>
      <c r="R42" s="732">
        <f t="shared" si="11"/>
        <v>1</v>
      </c>
      <c r="S42" s="733">
        <v>175</v>
      </c>
      <c r="T42" s="734">
        <v>0</v>
      </c>
      <c r="U42" s="735">
        <f t="shared" si="3"/>
        <v>61425</v>
      </c>
      <c r="V42" s="736">
        <f t="shared" si="4"/>
        <v>0</v>
      </c>
      <c r="W42" s="737">
        <f t="shared" si="5"/>
        <v>0</v>
      </c>
      <c r="X42" s="780">
        <f t="shared" si="6"/>
        <v>0</v>
      </c>
      <c r="Y42" s="781">
        <f t="shared" si="7"/>
        <v>745.3897415185786</v>
      </c>
      <c r="Z42" s="777">
        <f t="shared" si="8"/>
        <v>1</v>
      </c>
      <c r="AA42" s="740">
        <f t="shared" si="12"/>
        <v>0</v>
      </c>
      <c r="AK42" s="741">
        <f t="shared" si="10"/>
        <v>0</v>
      </c>
      <c r="AL42" s="742">
        <v>0</v>
      </c>
    </row>
    <row r="43" spans="1:38" ht="99.9" customHeight="1" x14ac:dyDescent="0.45">
      <c r="A43" s="715">
        <v>29</v>
      </c>
      <c r="B43" s="716" t="s">
        <v>315</v>
      </c>
      <c r="C43" s="717" t="s">
        <v>57</v>
      </c>
      <c r="D43" s="715" t="s">
        <v>88</v>
      </c>
      <c r="E43" s="715" t="s">
        <v>280</v>
      </c>
      <c r="F43" s="751" t="s">
        <v>629</v>
      </c>
      <c r="G43" s="789" t="s">
        <v>630</v>
      </c>
      <c r="H43" s="753">
        <v>1</v>
      </c>
      <c r="I43" s="790">
        <v>8</v>
      </c>
      <c r="J43" s="791">
        <v>6</v>
      </c>
      <c r="K43" s="769">
        <f t="shared" ref="K43" si="50">IF(F43&lt;&gt;"",H43*I43*J43,"")</f>
        <v>48</v>
      </c>
      <c r="L43" s="785">
        <f t="shared" ref="L43" si="51">IF(K43&lt;&gt;"",IF(D43="INTERNO",0,K43*$L$14),"")</f>
        <v>2.4000000000000004</v>
      </c>
      <c r="M43" s="785">
        <f t="shared" ref="M43" si="52">IF(K43&lt;&gt;"",IF(E43="FAT.OGGI",SUM(K43:L43)*(1/(1-$M$14)-1),L43*(1/(1-$M$14)-1)),"")</f>
        <v>0.58247794209022019</v>
      </c>
      <c r="N43" s="786">
        <f t="shared" ref="N43" si="53">SUM(K43:M43)</f>
        <v>50.98247794209022</v>
      </c>
      <c r="Q43" s="731">
        <f t="shared" ref="Q43" si="54">IF(H43&lt;&gt;"",H43,"")</f>
        <v>1</v>
      </c>
      <c r="R43" s="732">
        <f t="shared" ref="R43" si="55">IF(I43&lt;&gt;"",I43,"")</f>
        <v>8</v>
      </c>
      <c r="S43" s="733">
        <v>6</v>
      </c>
      <c r="T43" s="734">
        <v>0</v>
      </c>
      <c r="U43" s="735">
        <f t="shared" ref="U43" si="56">IF(Q43&lt;&gt;"",K43-T43,"")</f>
        <v>48</v>
      </c>
      <c r="V43" s="736">
        <f t="shared" ref="V43" si="57">IF(Q43&lt;&gt;"",0%,"")</f>
        <v>0</v>
      </c>
      <c r="W43" s="737">
        <f t="shared" ref="W43" si="58">IF(Q43&lt;&gt;"",V43*U43,"")</f>
        <v>0</v>
      </c>
      <c r="X43" s="780">
        <f t="shared" ref="X43" si="59">IF(Q43&lt;&gt;"",W43+T43,"")</f>
        <v>0</v>
      </c>
      <c r="Y43" s="781">
        <f t="shared" ref="Y43" si="60">IF(Q43&lt;&gt;"",X43+M43,"")</f>
        <v>0.58247794209022019</v>
      </c>
      <c r="Z43" s="739">
        <f t="shared" ref="Z43" si="61">IF(Q43&lt;&gt;"",U43/K43,"")</f>
        <v>1</v>
      </c>
      <c r="AA43" s="740">
        <f t="shared" si="12"/>
        <v>0</v>
      </c>
      <c r="AK43" s="741">
        <f t="shared" si="10"/>
        <v>0</v>
      </c>
      <c r="AL43" s="742">
        <v>0</v>
      </c>
    </row>
    <row r="44" spans="1:38" ht="99.9" customHeight="1" x14ac:dyDescent="0.45">
      <c r="A44" s="715">
        <v>30</v>
      </c>
      <c r="B44" s="716" t="s">
        <v>316</v>
      </c>
      <c r="C44" s="717" t="s">
        <v>57</v>
      </c>
      <c r="D44" s="715" t="s">
        <v>88</v>
      </c>
      <c r="E44" s="715" t="s">
        <v>280</v>
      </c>
      <c r="F44" s="751" t="s">
        <v>629</v>
      </c>
      <c r="G44" s="789" t="s">
        <v>631</v>
      </c>
      <c r="H44" s="753">
        <v>1</v>
      </c>
      <c r="I44" s="790">
        <v>2</v>
      </c>
      <c r="J44" s="791">
        <v>232</v>
      </c>
      <c r="K44" s="769">
        <f t="shared" ref="K44:K46" si="62">IF(F44&lt;&gt;"",H44*I44*J44,"")</f>
        <v>464</v>
      </c>
      <c r="L44" s="785">
        <f t="shared" ref="L44:L46" si="63">IF(K44&lt;&gt;"",IF(D44="INTERNO",0,K44*$L$14),"")</f>
        <v>23.200000000000003</v>
      </c>
      <c r="M44" s="785">
        <f t="shared" ref="M44:M46" si="64">IF(K44&lt;&gt;"",IF(E44="FAT.OGGI",SUM(K44:L44)*(1/(1-$M$14)-1),L44*(1/(1-$M$14)-1)),"")</f>
        <v>5.6306201068721284</v>
      </c>
      <c r="N44" s="786">
        <f t="shared" ref="N44:N46" si="65">SUM(K44:M44)</f>
        <v>492.83062010687212</v>
      </c>
      <c r="Q44" s="731">
        <f t="shared" ref="Q44:Q46" si="66">IF(H44&lt;&gt;"",H44,"")</f>
        <v>1</v>
      </c>
      <c r="R44" s="732">
        <f t="shared" ref="R44:R46" si="67">IF(I44&lt;&gt;"",I44,"")</f>
        <v>2</v>
      </c>
      <c r="S44" s="733">
        <v>232</v>
      </c>
      <c r="T44" s="734">
        <v>0</v>
      </c>
      <c r="U44" s="735">
        <f t="shared" ref="U44:U46" si="68">IF(Q44&lt;&gt;"",K44-T44,"")</f>
        <v>464</v>
      </c>
      <c r="V44" s="736">
        <f t="shared" ref="V44:V46" si="69">IF(Q44&lt;&gt;"",0%,"")</f>
        <v>0</v>
      </c>
      <c r="W44" s="737">
        <f t="shared" ref="W44:W46" si="70">IF(Q44&lt;&gt;"",V44*U44,"")</f>
        <v>0</v>
      </c>
      <c r="X44" s="780">
        <f t="shared" ref="X44:X46" si="71">IF(Q44&lt;&gt;"",W44+T44,"")</f>
        <v>0</v>
      </c>
      <c r="Y44" s="781">
        <f t="shared" ref="Y44:Y46" si="72">IF(Q44&lt;&gt;"",X44+M44,"")</f>
        <v>5.6306201068721284</v>
      </c>
      <c r="Z44" s="739">
        <f t="shared" ref="Z44:Z46" si="73">IF(Q44&lt;&gt;"",U44/K44,"")</f>
        <v>1</v>
      </c>
      <c r="AA44" s="740">
        <f t="shared" si="12"/>
        <v>0</v>
      </c>
      <c r="AK44" s="741">
        <f t="shared" si="10"/>
        <v>0</v>
      </c>
      <c r="AL44" s="742">
        <v>0</v>
      </c>
    </row>
    <row r="45" spans="1:38" ht="99.9" customHeight="1" x14ac:dyDescent="0.45">
      <c r="A45" s="715">
        <v>31</v>
      </c>
      <c r="B45" s="716" t="s">
        <v>317</v>
      </c>
      <c r="C45" s="717" t="s">
        <v>57</v>
      </c>
      <c r="D45" s="715" t="s">
        <v>88</v>
      </c>
      <c r="E45" s="715" t="s">
        <v>280</v>
      </c>
      <c r="F45" s="751" t="s">
        <v>629</v>
      </c>
      <c r="G45" s="789" t="s">
        <v>632</v>
      </c>
      <c r="H45" s="753">
        <v>1</v>
      </c>
      <c r="I45" s="790">
        <v>500</v>
      </c>
      <c r="J45" s="791">
        <v>5</v>
      </c>
      <c r="K45" s="769">
        <f t="shared" si="62"/>
        <v>2500</v>
      </c>
      <c r="L45" s="785">
        <f t="shared" si="63"/>
        <v>125</v>
      </c>
      <c r="M45" s="785">
        <f t="shared" si="64"/>
        <v>30.337392817198968</v>
      </c>
      <c r="N45" s="786">
        <f t="shared" si="65"/>
        <v>2655.3373928171991</v>
      </c>
      <c r="Q45" s="731">
        <f t="shared" si="66"/>
        <v>1</v>
      </c>
      <c r="R45" s="732">
        <f t="shared" si="67"/>
        <v>500</v>
      </c>
      <c r="S45" s="733">
        <v>5</v>
      </c>
      <c r="T45" s="734">
        <v>0</v>
      </c>
      <c r="U45" s="735">
        <f t="shared" si="68"/>
        <v>2500</v>
      </c>
      <c r="V45" s="736">
        <f t="shared" si="69"/>
        <v>0</v>
      </c>
      <c r="W45" s="737">
        <f t="shared" si="70"/>
        <v>0</v>
      </c>
      <c r="X45" s="780">
        <f t="shared" si="71"/>
        <v>0</v>
      </c>
      <c r="Y45" s="781">
        <f t="shared" si="72"/>
        <v>30.337392817198968</v>
      </c>
      <c r="Z45" s="739">
        <f t="shared" si="73"/>
        <v>1</v>
      </c>
      <c r="AA45" s="740">
        <f t="shared" si="12"/>
        <v>0</v>
      </c>
      <c r="AK45" s="741">
        <f t="shared" si="10"/>
        <v>0</v>
      </c>
      <c r="AL45" s="742">
        <v>0</v>
      </c>
    </row>
    <row r="46" spans="1:38" ht="99.9" customHeight="1" x14ac:dyDescent="0.45">
      <c r="A46" s="715">
        <v>32</v>
      </c>
      <c r="B46" s="716" t="s">
        <v>651</v>
      </c>
      <c r="C46" s="717" t="s">
        <v>57</v>
      </c>
      <c r="D46" s="715" t="s">
        <v>88</v>
      </c>
      <c r="E46" s="715" t="s">
        <v>280</v>
      </c>
      <c r="F46" s="751" t="s">
        <v>629</v>
      </c>
      <c r="G46" s="789" t="s">
        <v>623</v>
      </c>
      <c r="H46" s="753">
        <v>1</v>
      </c>
      <c r="I46" s="790">
        <v>17</v>
      </c>
      <c r="J46" s="791">
        <v>49</v>
      </c>
      <c r="K46" s="769">
        <f t="shared" si="62"/>
        <v>833</v>
      </c>
      <c r="L46" s="785">
        <f t="shared" si="63"/>
        <v>41.650000000000006</v>
      </c>
      <c r="M46" s="785">
        <f t="shared" si="64"/>
        <v>10.108419286690697</v>
      </c>
      <c r="N46" s="786">
        <f t="shared" si="65"/>
        <v>884.7584192866907</v>
      </c>
      <c r="Q46" s="731">
        <f t="shared" si="66"/>
        <v>1</v>
      </c>
      <c r="R46" s="732">
        <f t="shared" si="67"/>
        <v>17</v>
      </c>
      <c r="S46" s="733">
        <v>49</v>
      </c>
      <c r="T46" s="734">
        <v>0</v>
      </c>
      <c r="U46" s="735">
        <f t="shared" si="68"/>
        <v>833</v>
      </c>
      <c r="V46" s="736">
        <f t="shared" si="69"/>
        <v>0</v>
      </c>
      <c r="W46" s="737">
        <f t="shared" si="70"/>
        <v>0</v>
      </c>
      <c r="X46" s="780">
        <f t="shared" si="71"/>
        <v>0</v>
      </c>
      <c r="Y46" s="781">
        <f t="shared" si="72"/>
        <v>10.108419286690697</v>
      </c>
      <c r="Z46" s="739">
        <f t="shared" si="73"/>
        <v>1</v>
      </c>
      <c r="AA46" s="740">
        <f t="shared" si="12"/>
        <v>0</v>
      </c>
      <c r="AK46" s="741">
        <f t="shared" si="10"/>
        <v>0</v>
      </c>
      <c r="AL46" s="742">
        <v>0</v>
      </c>
    </row>
    <row r="47" spans="1:38" ht="99.9" customHeight="1" x14ac:dyDescent="0.45">
      <c r="A47" s="749">
        <v>33</v>
      </c>
      <c r="B47" s="716" t="s">
        <v>652</v>
      </c>
      <c r="C47" s="750" t="s">
        <v>57</v>
      </c>
      <c r="D47" s="749" t="s">
        <v>88</v>
      </c>
      <c r="E47" s="749" t="s">
        <v>280</v>
      </c>
      <c r="F47" s="782" t="s">
        <v>301</v>
      </c>
      <c r="G47" s="798" t="s">
        <v>763</v>
      </c>
      <c r="H47" s="774">
        <v>383</v>
      </c>
      <c r="I47" s="774">
        <v>1</v>
      </c>
      <c r="J47" s="775">
        <v>175</v>
      </c>
      <c r="K47" s="769">
        <f>IF(F47&lt;&gt;"",H47*I47*J47,"")</f>
        <v>67025</v>
      </c>
      <c r="L47" s="785">
        <f t="shared" si="0"/>
        <v>3351.25</v>
      </c>
      <c r="M47" s="785">
        <f t="shared" si="1"/>
        <v>813.34550142910427</v>
      </c>
      <c r="N47" s="779">
        <f t="shared" si="2"/>
        <v>71189.59550142911</v>
      </c>
      <c r="Q47" s="731">
        <f t="shared" si="11"/>
        <v>383</v>
      </c>
      <c r="R47" s="732">
        <f t="shared" si="11"/>
        <v>1</v>
      </c>
      <c r="S47" s="734">
        <v>175</v>
      </c>
      <c r="T47" s="734">
        <v>0</v>
      </c>
      <c r="U47" s="735">
        <f t="shared" si="3"/>
        <v>67025</v>
      </c>
      <c r="V47" s="736">
        <f t="shared" si="4"/>
        <v>0</v>
      </c>
      <c r="W47" s="737">
        <f t="shared" si="5"/>
        <v>0</v>
      </c>
      <c r="X47" s="780">
        <f t="shared" si="6"/>
        <v>0</v>
      </c>
      <c r="Y47" s="781">
        <f t="shared" si="7"/>
        <v>813.34550142910427</v>
      </c>
      <c r="Z47" s="739">
        <f t="shared" si="8"/>
        <v>1</v>
      </c>
      <c r="AA47" s="740">
        <f t="shared" si="12"/>
        <v>0</v>
      </c>
      <c r="AK47" s="741">
        <f t="shared" si="10"/>
        <v>0</v>
      </c>
      <c r="AL47" s="742">
        <v>0</v>
      </c>
    </row>
    <row r="48" spans="1:38" ht="99.9" customHeight="1" x14ac:dyDescent="0.45">
      <c r="A48" s="715">
        <v>34</v>
      </c>
      <c r="B48" s="716" t="s">
        <v>653</v>
      </c>
      <c r="C48" s="717" t="s">
        <v>57</v>
      </c>
      <c r="D48" s="715" t="s">
        <v>88</v>
      </c>
      <c r="E48" s="715" t="s">
        <v>280</v>
      </c>
      <c r="F48" s="751" t="s">
        <v>301</v>
      </c>
      <c r="G48" s="752" t="s">
        <v>764</v>
      </c>
      <c r="H48" s="753">
        <v>370</v>
      </c>
      <c r="I48" s="753">
        <v>2</v>
      </c>
      <c r="J48" s="754">
        <v>46</v>
      </c>
      <c r="K48" s="769">
        <f>IF(F48&lt;&gt;"",H48*I48*J48,"")</f>
        <v>34040</v>
      </c>
      <c r="L48" s="799">
        <f>IF(K48&lt;&gt;"",IF(D48="INTERNO",0,K48*$L$14),"")</f>
        <v>1702</v>
      </c>
      <c r="M48" s="799">
        <f>IF(K48&lt;&gt;"",IF(E48="FAT.OGGI",SUM(K48:L48)*(1/(1-$M$14)-1),L48*(1/(1-$M$14)-1)),"")</f>
        <v>413.0739405989811</v>
      </c>
      <c r="N48" s="786">
        <f>SUM(K48:M48)</f>
        <v>36155.073940598981</v>
      </c>
      <c r="Q48" s="731">
        <f>IF(H48&lt;&gt;"",H48,"")</f>
        <v>370</v>
      </c>
      <c r="R48" s="732">
        <f>IF(I48&lt;&gt;"",I48,"")</f>
        <v>2</v>
      </c>
      <c r="S48" s="733">
        <v>46</v>
      </c>
      <c r="T48" s="734">
        <v>0</v>
      </c>
      <c r="U48" s="735">
        <f>IF(Q48&lt;&gt;"",K48-T48,"")</f>
        <v>34040</v>
      </c>
      <c r="V48" s="736">
        <f>IF(Q48&lt;&gt;"",0%,"")</f>
        <v>0</v>
      </c>
      <c r="W48" s="737">
        <f>IF(Q48&lt;&gt;"",V48*U48,"")</f>
        <v>0</v>
      </c>
      <c r="X48" s="780">
        <f>IF(Q48&lt;&gt;"",W48+T48,"")</f>
        <v>0</v>
      </c>
      <c r="Y48" s="781">
        <f t="shared" si="7"/>
        <v>413.0739405989811</v>
      </c>
      <c r="Z48" s="739">
        <f>IF(Q48&lt;&gt;"",U48/K48,"")</f>
        <v>1</v>
      </c>
      <c r="AA48" s="740">
        <f t="shared" si="12"/>
        <v>0</v>
      </c>
      <c r="AK48" s="741">
        <f t="shared" si="10"/>
        <v>0</v>
      </c>
      <c r="AL48" s="742">
        <v>0</v>
      </c>
    </row>
    <row r="49" spans="1:38" ht="99.9" customHeight="1" x14ac:dyDescent="0.45">
      <c r="A49" s="690">
        <v>35</v>
      </c>
      <c r="B49" s="716" t="s">
        <v>654</v>
      </c>
      <c r="C49" s="718" t="s">
        <v>57</v>
      </c>
      <c r="D49" s="690" t="s">
        <v>88</v>
      </c>
      <c r="E49" s="690" t="s">
        <v>280</v>
      </c>
      <c r="F49" s="782" t="s">
        <v>301</v>
      </c>
      <c r="G49" s="793" t="s">
        <v>765</v>
      </c>
      <c r="H49" s="784">
        <v>370</v>
      </c>
      <c r="I49" s="784">
        <v>1</v>
      </c>
      <c r="J49" s="785">
        <v>175</v>
      </c>
      <c r="K49" s="788">
        <f>IF(F49&lt;&gt;"",H49*I49*J49,"")</f>
        <v>64750</v>
      </c>
      <c r="L49" s="785">
        <f t="shared" si="0"/>
        <v>3237.5</v>
      </c>
      <c r="M49" s="785">
        <f t="shared" si="1"/>
        <v>785.73847396545318</v>
      </c>
      <c r="N49" s="800">
        <f t="shared" si="2"/>
        <v>68773.238473965452</v>
      </c>
      <c r="Q49" s="731">
        <f t="shared" si="11"/>
        <v>370</v>
      </c>
      <c r="R49" s="732">
        <f t="shared" si="11"/>
        <v>1</v>
      </c>
      <c r="S49" s="733">
        <v>175</v>
      </c>
      <c r="T49" s="734">
        <v>0</v>
      </c>
      <c r="U49" s="735">
        <f t="shared" si="3"/>
        <v>64750</v>
      </c>
      <c r="V49" s="736">
        <f t="shared" si="4"/>
        <v>0</v>
      </c>
      <c r="W49" s="737">
        <f t="shared" si="5"/>
        <v>0</v>
      </c>
      <c r="X49" s="737">
        <f t="shared" si="6"/>
        <v>0</v>
      </c>
      <c r="Y49" s="738">
        <f t="shared" si="7"/>
        <v>785.73847396545318</v>
      </c>
      <c r="Z49" s="739">
        <f t="shared" si="8"/>
        <v>1</v>
      </c>
      <c r="AA49" s="740">
        <f t="shared" si="12"/>
        <v>0</v>
      </c>
      <c r="AK49" s="741">
        <f t="shared" si="10"/>
        <v>0</v>
      </c>
      <c r="AL49" s="742">
        <v>0</v>
      </c>
    </row>
    <row r="50" spans="1:38" ht="99.9" customHeight="1" x14ac:dyDescent="0.45">
      <c r="A50" s="690">
        <v>36</v>
      </c>
      <c r="B50" s="716" t="s">
        <v>655</v>
      </c>
      <c r="C50" s="718" t="s">
        <v>57</v>
      </c>
      <c r="D50" s="690" t="s">
        <v>88</v>
      </c>
      <c r="E50" s="690" t="s">
        <v>280</v>
      </c>
      <c r="F50" s="782" t="s">
        <v>301</v>
      </c>
      <c r="G50" s="793" t="s">
        <v>766</v>
      </c>
      <c r="H50" s="784">
        <v>1</v>
      </c>
      <c r="I50" s="784">
        <v>1</v>
      </c>
      <c r="J50" s="785">
        <v>5465</v>
      </c>
      <c r="K50" s="788">
        <f t="shared" ref="K50:K64" si="74">IF(F50&lt;&gt;"",H50*I50*J50,"")</f>
        <v>5465</v>
      </c>
      <c r="L50" s="785">
        <f t="shared" ref="L50:L64" si="75">IF(K50&lt;&gt;"",IF(D50="INTERNO",0,K50*$L$14),"")</f>
        <v>273.25</v>
      </c>
      <c r="M50" s="785">
        <f t="shared" ref="M50:M64" si="76">IF(K50&lt;&gt;"",IF(E50="FAT.OGGI",SUM(K50:L50)*(1/(1-$M$14)-1),L50*(1/(1-$M$14)-1)),"")</f>
        <v>66.31754069839694</v>
      </c>
      <c r="N50" s="800">
        <f t="shared" ref="N50:N64" si="77">SUM(K50:M50)</f>
        <v>5804.5675406983974</v>
      </c>
      <c r="Q50" s="731">
        <v>1</v>
      </c>
      <c r="R50" s="732">
        <v>1</v>
      </c>
      <c r="S50" s="733">
        <v>5465</v>
      </c>
      <c r="T50" s="734">
        <v>0</v>
      </c>
      <c r="U50" s="735">
        <f t="shared" ref="U50:U64" si="78">IF(Q50&lt;&gt;"",K50-T50,"")</f>
        <v>5465</v>
      </c>
      <c r="V50" s="736">
        <f t="shared" ref="V50:V64" si="79">IF(Q50&lt;&gt;"",0%,"")</f>
        <v>0</v>
      </c>
      <c r="W50" s="737">
        <f t="shared" ref="W50:W64" si="80">IF(Q50&lt;&gt;"",V50*U50,"")</f>
        <v>0</v>
      </c>
      <c r="X50" s="737">
        <f t="shared" ref="X50:X64" si="81">IF(Q50&lt;&gt;"",W50+T50,"")</f>
        <v>0</v>
      </c>
      <c r="Y50" s="738">
        <f t="shared" si="7"/>
        <v>66.31754069839694</v>
      </c>
      <c r="Z50" s="739">
        <f t="shared" ref="Z50:Z64" si="82">IF(Q50&lt;&gt;"",U50/K50,"")</f>
        <v>1</v>
      </c>
      <c r="AA50" s="740" t="e">
        <f>T50/T61</f>
        <v>#DIV/0!</v>
      </c>
      <c r="AK50" s="741">
        <f t="shared" si="10"/>
        <v>0</v>
      </c>
      <c r="AL50" s="742">
        <v>0</v>
      </c>
    </row>
    <row r="51" spans="1:38" ht="99.9" customHeight="1" x14ac:dyDescent="0.45">
      <c r="A51" s="690">
        <v>37</v>
      </c>
      <c r="B51" s="716" t="s">
        <v>656</v>
      </c>
      <c r="C51" s="718" t="s">
        <v>57</v>
      </c>
      <c r="D51" s="690" t="s">
        <v>88</v>
      </c>
      <c r="E51" s="690" t="s">
        <v>280</v>
      </c>
      <c r="F51" s="772" t="s">
        <v>311</v>
      </c>
      <c r="G51" s="801" t="s">
        <v>767</v>
      </c>
      <c r="H51" s="753">
        <v>370</v>
      </c>
      <c r="I51" s="753">
        <v>1</v>
      </c>
      <c r="J51" s="754">
        <v>146</v>
      </c>
      <c r="K51" s="769">
        <f t="shared" si="74"/>
        <v>54020</v>
      </c>
      <c r="L51" s="754">
        <f t="shared" si="75"/>
        <v>2701</v>
      </c>
      <c r="M51" s="754">
        <f t="shared" si="76"/>
        <v>655.53038399403522</v>
      </c>
      <c r="N51" s="756">
        <f t="shared" si="77"/>
        <v>57376.530383994032</v>
      </c>
      <c r="Q51" s="731">
        <f>IF(H51&lt;&gt;"",H51,"")</f>
        <v>370</v>
      </c>
      <c r="R51" s="732">
        <f t="shared" si="11"/>
        <v>1</v>
      </c>
      <c r="S51" s="733">
        <v>146</v>
      </c>
      <c r="T51" s="734">
        <v>0</v>
      </c>
      <c r="U51" s="735">
        <f t="shared" si="78"/>
        <v>54020</v>
      </c>
      <c r="V51" s="736">
        <f t="shared" si="79"/>
        <v>0</v>
      </c>
      <c r="W51" s="737">
        <f t="shared" si="80"/>
        <v>0</v>
      </c>
      <c r="X51" s="737">
        <f t="shared" si="81"/>
        <v>0</v>
      </c>
      <c r="Y51" s="738">
        <f t="shared" ref="Y51:Y84" si="83">IF(Q51&lt;&gt;"",X51+M51,"")</f>
        <v>655.53038399403522</v>
      </c>
      <c r="Z51" s="739">
        <f t="shared" si="82"/>
        <v>1</v>
      </c>
      <c r="AA51" s="740">
        <f t="shared" ref="AA51:AA62" si="84">T51/$T$85</f>
        <v>0</v>
      </c>
      <c r="AK51" s="741">
        <f t="shared" si="10"/>
        <v>0</v>
      </c>
      <c r="AL51" s="742">
        <v>0</v>
      </c>
    </row>
    <row r="52" spans="1:38" ht="99.9" customHeight="1" x14ac:dyDescent="0.45">
      <c r="A52" s="715">
        <v>38</v>
      </c>
      <c r="B52" s="716" t="s">
        <v>657</v>
      </c>
      <c r="C52" s="717" t="s">
        <v>57</v>
      </c>
      <c r="D52" s="715" t="s">
        <v>88</v>
      </c>
      <c r="E52" s="715" t="s">
        <v>280</v>
      </c>
      <c r="F52" s="751" t="s">
        <v>633</v>
      </c>
      <c r="G52" s="789" t="s">
        <v>634</v>
      </c>
      <c r="H52" s="753">
        <v>1</v>
      </c>
      <c r="I52" s="790">
        <v>33</v>
      </c>
      <c r="J52" s="791">
        <v>136</v>
      </c>
      <c r="K52" s="769">
        <f t="shared" ref="K52:K56" si="85">IF(F52&lt;&gt;"",H52*I52*J52,"")</f>
        <v>4488</v>
      </c>
      <c r="L52" s="785">
        <f t="shared" ref="L52:L56" si="86">IF(K52&lt;&gt;"",IF(D52="INTERNO",0,K52*$L$14),"")</f>
        <v>224.4</v>
      </c>
      <c r="M52" s="785">
        <f t="shared" ref="M52:M56" si="87">IF(K52&lt;&gt;"",IF(E52="FAT.OGGI",SUM(K52:L52)*(1/(1-$M$14)-1),L52*(1/(1-$M$14)-1)),"")</f>
        <v>54.461687585435584</v>
      </c>
      <c r="N52" s="786">
        <f t="shared" ref="N52:N56" si="88">SUM(K52:M52)</f>
        <v>4766.861687585435</v>
      </c>
      <c r="Q52" s="731">
        <f t="shared" ref="Q52:Q56" si="89">IF(H52&lt;&gt;"",H52,"")</f>
        <v>1</v>
      </c>
      <c r="R52" s="732">
        <f t="shared" ref="R52:R56" si="90">IF(I52&lt;&gt;"",I52,"")</f>
        <v>33</v>
      </c>
      <c r="S52" s="733">
        <v>136</v>
      </c>
      <c r="T52" s="734">
        <v>0</v>
      </c>
      <c r="U52" s="735">
        <f t="shared" ref="U52:U56" si="91">IF(Q52&lt;&gt;"",K52-T52,"")</f>
        <v>4488</v>
      </c>
      <c r="V52" s="736">
        <f t="shared" ref="V52:V56" si="92">IF(Q52&lt;&gt;"",0%,"")</f>
        <v>0</v>
      </c>
      <c r="W52" s="737">
        <f t="shared" ref="W52:W56" si="93">IF(Q52&lt;&gt;"",V52*U52,"")</f>
        <v>0</v>
      </c>
      <c r="X52" s="780">
        <f t="shared" ref="X52:X56" si="94">IF(Q52&lt;&gt;"",W52+T52,"")</f>
        <v>0</v>
      </c>
      <c r="Y52" s="781">
        <f t="shared" ref="Y52:Y56" si="95">IF(Q52&lt;&gt;"",X52+M52,"")</f>
        <v>54.461687585435584</v>
      </c>
      <c r="Z52" s="739">
        <f t="shared" ref="Z52:Z56" si="96">IF(Q52&lt;&gt;"",U52/K52,"")</f>
        <v>1</v>
      </c>
      <c r="AA52" s="740">
        <f t="shared" si="84"/>
        <v>0</v>
      </c>
      <c r="AK52" s="741">
        <f t="shared" si="10"/>
        <v>0</v>
      </c>
      <c r="AL52" s="742">
        <v>0</v>
      </c>
    </row>
    <row r="53" spans="1:38" ht="99.9" customHeight="1" x14ac:dyDescent="0.45">
      <c r="A53" s="715">
        <v>39</v>
      </c>
      <c r="B53" s="716" t="s">
        <v>658</v>
      </c>
      <c r="C53" s="717" t="s">
        <v>57</v>
      </c>
      <c r="D53" s="715" t="s">
        <v>88</v>
      </c>
      <c r="E53" s="715" t="s">
        <v>280</v>
      </c>
      <c r="F53" s="751" t="s">
        <v>633</v>
      </c>
      <c r="G53" s="789" t="s">
        <v>635</v>
      </c>
      <c r="H53" s="753">
        <v>1</v>
      </c>
      <c r="I53" s="790">
        <v>24</v>
      </c>
      <c r="J53" s="791">
        <v>187</v>
      </c>
      <c r="K53" s="769">
        <f t="shared" si="85"/>
        <v>4488</v>
      </c>
      <c r="L53" s="785">
        <f t="shared" si="86"/>
        <v>224.4</v>
      </c>
      <c r="M53" s="785">
        <f t="shared" si="87"/>
        <v>54.461687585435584</v>
      </c>
      <c r="N53" s="786">
        <f t="shared" si="88"/>
        <v>4766.861687585435</v>
      </c>
      <c r="Q53" s="731">
        <f t="shared" si="89"/>
        <v>1</v>
      </c>
      <c r="R53" s="732">
        <f t="shared" si="90"/>
        <v>24</v>
      </c>
      <c r="S53" s="733">
        <v>187</v>
      </c>
      <c r="T53" s="734">
        <v>0</v>
      </c>
      <c r="U53" s="735">
        <f t="shared" si="91"/>
        <v>4488</v>
      </c>
      <c r="V53" s="736">
        <f t="shared" si="92"/>
        <v>0</v>
      </c>
      <c r="W53" s="737">
        <f t="shared" si="93"/>
        <v>0</v>
      </c>
      <c r="X53" s="780">
        <f t="shared" si="94"/>
        <v>0</v>
      </c>
      <c r="Y53" s="781">
        <f t="shared" si="95"/>
        <v>54.461687585435584</v>
      </c>
      <c r="Z53" s="739">
        <f t="shared" si="96"/>
        <v>1</v>
      </c>
      <c r="AA53" s="740">
        <f t="shared" si="84"/>
        <v>0</v>
      </c>
      <c r="AK53" s="741">
        <f t="shared" si="10"/>
        <v>0</v>
      </c>
      <c r="AL53" s="742">
        <v>0</v>
      </c>
    </row>
    <row r="54" spans="1:38" ht="99.9" customHeight="1" x14ac:dyDescent="0.45">
      <c r="A54" s="715">
        <v>40</v>
      </c>
      <c r="B54" s="716" t="s">
        <v>659</v>
      </c>
      <c r="C54" s="717" t="s">
        <v>57</v>
      </c>
      <c r="D54" s="715" t="s">
        <v>88</v>
      </c>
      <c r="E54" s="715" t="s">
        <v>280</v>
      </c>
      <c r="F54" s="751" t="s">
        <v>633</v>
      </c>
      <c r="G54" s="789" t="s">
        <v>623</v>
      </c>
      <c r="H54" s="753">
        <v>1</v>
      </c>
      <c r="I54" s="790">
        <v>41</v>
      </c>
      <c r="J54" s="791">
        <v>49</v>
      </c>
      <c r="K54" s="769">
        <f t="shared" si="85"/>
        <v>2009</v>
      </c>
      <c r="L54" s="785">
        <f t="shared" si="86"/>
        <v>100.45</v>
      </c>
      <c r="M54" s="785">
        <f t="shared" si="87"/>
        <v>24.379128867901091</v>
      </c>
      <c r="N54" s="786">
        <f t="shared" si="88"/>
        <v>2133.8291288679011</v>
      </c>
      <c r="Q54" s="731">
        <f t="shared" si="89"/>
        <v>1</v>
      </c>
      <c r="R54" s="732">
        <f t="shared" si="90"/>
        <v>41</v>
      </c>
      <c r="S54" s="733">
        <v>49</v>
      </c>
      <c r="T54" s="734">
        <v>0</v>
      </c>
      <c r="U54" s="735">
        <f t="shared" si="91"/>
        <v>2009</v>
      </c>
      <c r="V54" s="736">
        <f t="shared" si="92"/>
        <v>0</v>
      </c>
      <c r="W54" s="737">
        <f t="shared" si="93"/>
        <v>0</v>
      </c>
      <c r="X54" s="780">
        <f t="shared" si="94"/>
        <v>0</v>
      </c>
      <c r="Y54" s="781">
        <f t="shared" si="95"/>
        <v>24.379128867901091</v>
      </c>
      <c r="Z54" s="739">
        <f t="shared" si="96"/>
        <v>1</v>
      </c>
      <c r="AA54" s="740">
        <f t="shared" si="84"/>
        <v>0</v>
      </c>
      <c r="AK54" s="741">
        <f t="shared" si="10"/>
        <v>0</v>
      </c>
      <c r="AL54" s="742">
        <v>0</v>
      </c>
    </row>
    <row r="55" spans="1:38" ht="99.9" customHeight="1" x14ac:dyDescent="0.45">
      <c r="A55" s="715">
        <v>41</v>
      </c>
      <c r="B55" s="716" t="s">
        <v>660</v>
      </c>
      <c r="C55" s="717" t="s">
        <v>57</v>
      </c>
      <c r="D55" s="715" t="s">
        <v>88</v>
      </c>
      <c r="E55" s="715" t="s">
        <v>280</v>
      </c>
      <c r="F55" s="751" t="s">
        <v>633</v>
      </c>
      <c r="G55" s="789" t="s">
        <v>632</v>
      </c>
      <c r="H55" s="753">
        <v>1</v>
      </c>
      <c r="I55" s="790">
        <v>1733</v>
      </c>
      <c r="J55" s="791">
        <v>5</v>
      </c>
      <c r="K55" s="769">
        <f t="shared" si="85"/>
        <v>8665</v>
      </c>
      <c r="L55" s="785">
        <f t="shared" si="86"/>
        <v>433.25</v>
      </c>
      <c r="M55" s="785">
        <f t="shared" si="87"/>
        <v>105.14940350441162</v>
      </c>
      <c r="N55" s="786">
        <f t="shared" si="88"/>
        <v>9203.3994035044125</v>
      </c>
      <c r="Q55" s="731">
        <f t="shared" si="89"/>
        <v>1</v>
      </c>
      <c r="R55" s="732">
        <f t="shared" si="90"/>
        <v>1733</v>
      </c>
      <c r="S55" s="733">
        <v>5</v>
      </c>
      <c r="T55" s="734">
        <v>0</v>
      </c>
      <c r="U55" s="735">
        <f t="shared" si="91"/>
        <v>8665</v>
      </c>
      <c r="V55" s="736">
        <f t="shared" si="92"/>
        <v>0</v>
      </c>
      <c r="W55" s="737">
        <f t="shared" si="93"/>
        <v>0</v>
      </c>
      <c r="X55" s="780">
        <f t="shared" si="94"/>
        <v>0</v>
      </c>
      <c r="Y55" s="781">
        <f t="shared" si="95"/>
        <v>105.14940350441162</v>
      </c>
      <c r="Z55" s="739">
        <f t="shared" si="96"/>
        <v>1</v>
      </c>
      <c r="AA55" s="740">
        <f t="shared" si="84"/>
        <v>0</v>
      </c>
      <c r="AK55" s="741">
        <f t="shared" si="10"/>
        <v>0</v>
      </c>
      <c r="AL55" s="742">
        <v>0</v>
      </c>
    </row>
    <row r="56" spans="1:38" ht="99.9" customHeight="1" x14ac:dyDescent="0.45">
      <c r="A56" s="715">
        <v>42</v>
      </c>
      <c r="B56" s="716" t="s">
        <v>661</v>
      </c>
      <c r="C56" s="717" t="s">
        <v>57</v>
      </c>
      <c r="D56" s="715" t="s">
        <v>88</v>
      </c>
      <c r="E56" s="715" t="s">
        <v>280</v>
      </c>
      <c r="F56" s="751" t="s">
        <v>633</v>
      </c>
      <c r="G56" s="789" t="s">
        <v>636</v>
      </c>
      <c r="H56" s="753">
        <v>1</v>
      </c>
      <c r="I56" s="790">
        <v>2</v>
      </c>
      <c r="J56" s="791">
        <v>8.5</v>
      </c>
      <c r="K56" s="769">
        <f t="shared" si="85"/>
        <v>17</v>
      </c>
      <c r="L56" s="785">
        <f t="shared" si="86"/>
        <v>0.85000000000000009</v>
      </c>
      <c r="M56" s="785">
        <f t="shared" si="87"/>
        <v>0.20629427115695298</v>
      </c>
      <c r="N56" s="786">
        <f t="shared" si="88"/>
        <v>18.056294271156954</v>
      </c>
      <c r="Q56" s="731">
        <f t="shared" si="89"/>
        <v>1</v>
      </c>
      <c r="R56" s="732">
        <f t="shared" si="90"/>
        <v>2</v>
      </c>
      <c r="S56" s="733">
        <v>8.5</v>
      </c>
      <c r="T56" s="734">
        <v>0</v>
      </c>
      <c r="U56" s="735">
        <f t="shared" si="91"/>
        <v>17</v>
      </c>
      <c r="V56" s="736">
        <f t="shared" si="92"/>
        <v>0</v>
      </c>
      <c r="W56" s="737">
        <f t="shared" si="93"/>
        <v>0</v>
      </c>
      <c r="X56" s="780">
        <f t="shared" si="94"/>
        <v>0</v>
      </c>
      <c r="Y56" s="781">
        <f t="shared" si="95"/>
        <v>0.20629427115695298</v>
      </c>
      <c r="Z56" s="739">
        <f t="shared" si="96"/>
        <v>1</v>
      </c>
      <c r="AA56" s="740">
        <f t="shared" si="84"/>
        <v>0</v>
      </c>
      <c r="AK56" s="741">
        <f t="shared" si="10"/>
        <v>0</v>
      </c>
      <c r="AL56" s="742">
        <v>0</v>
      </c>
    </row>
    <row r="57" spans="1:38" ht="99.9" customHeight="1" x14ac:dyDescent="0.45">
      <c r="A57" s="715">
        <v>43</v>
      </c>
      <c r="B57" s="716" t="s">
        <v>662</v>
      </c>
      <c r="C57" s="717" t="s">
        <v>57</v>
      </c>
      <c r="D57" s="715" t="s">
        <v>88</v>
      </c>
      <c r="E57" s="715" t="s">
        <v>280</v>
      </c>
      <c r="F57" s="751" t="s">
        <v>633</v>
      </c>
      <c r="G57" s="789" t="s">
        <v>637</v>
      </c>
      <c r="H57" s="753">
        <v>1</v>
      </c>
      <c r="I57" s="790">
        <v>1</v>
      </c>
      <c r="J57" s="791">
        <v>180</v>
      </c>
      <c r="K57" s="769">
        <f>IF(F57&lt;&gt;"",H57*I57*J57,"")</f>
        <v>180</v>
      </c>
      <c r="L57" s="785">
        <f>IF(K57&lt;&gt;"",IF(D57="INTERNO",0,K57*$L$14),"")</f>
        <v>9</v>
      </c>
      <c r="M57" s="785">
        <f>IF(K57&lt;&gt;"",IF(E57="FAT.OGGI",SUM(K57:L57)*(1/(1-$M$14)-1),L57*(1/(1-$M$14)-1)),"")</f>
        <v>2.1842922828383253</v>
      </c>
      <c r="N57" s="786">
        <f t="shared" ref="N57" si="97">SUM(K57:M57)</f>
        <v>191.18429228283833</v>
      </c>
      <c r="Q57" s="731">
        <f t="shared" ref="Q57" si="98">IF(H57&lt;&gt;"",H57,"")</f>
        <v>1</v>
      </c>
      <c r="R57" s="732">
        <f>IF(I57&lt;&gt;"",I57,"")</f>
        <v>1</v>
      </c>
      <c r="S57" s="733">
        <v>180</v>
      </c>
      <c r="T57" s="734">
        <v>0</v>
      </c>
      <c r="U57" s="735">
        <f>IF(Q57&lt;&gt;"",K57-T57,"")</f>
        <v>180</v>
      </c>
      <c r="V57" s="736">
        <f>IF(Q57&lt;&gt;"",0%,"")</f>
        <v>0</v>
      </c>
      <c r="W57" s="737">
        <f>IF(Q57&lt;&gt;"",V57*U57,"")</f>
        <v>0</v>
      </c>
      <c r="X57" s="780">
        <f>IF(Q57&lt;&gt;"",W57+T57,"")</f>
        <v>0</v>
      </c>
      <c r="Y57" s="781">
        <f>IF(Q57&lt;&gt;"",X57+M57,"")</f>
        <v>2.1842922828383253</v>
      </c>
      <c r="Z57" s="739">
        <f>IF(Q57&lt;&gt;"",U57/K57,"")</f>
        <v>1</v>
      </c>
      <c r="AA57" s="740">
        <f t="shared" si="84"/>
        <v>0</v>
      </c>
      <c r="AK57" s="741">
        <f t="shared" si="10"/>
        <v>0</v>
      </c>
      <c r="AL57" s="742">
        <v>0</v>
      </c>
    </row>
    <row r="58" spans="1:38" ht="99.9" customHeight="1" x14ac:dyDescent="0.45">
      <c r="A58" s="715">
        <v>44</v>
      </c>
      <c r="B58" s="716" t="s">
        <v>663</v>
      </c>
      <c r="C58" s="717" t="s">
        <v>57</v>
      </c>
      <c r="D58" s="715" t="s">
        <v>88</v>
      </c>
      <c r="E58" s="715" t="s">
        <v>280</v>
      </c>
      <c r="F58" s="751" t="s">
        <v>633</v>
      </c>
      <c r="G58" s="789" t="s">
        <v>638</v>
      </c>
      <c r="H58" s="753">
        <v>1</v>
      </c>
      <c r="I58" s="790">
        <v>2</v>
      </c>
      <c r="J58" s="791">
        <v>180</v>
      </c>
      <c r="K58" s="769">
        <f t="shared" ref="K58:K59" si="99">IF(F58&lt;&gt;"",H58*I58*J58,"")</f>
        <v>360</v>
      </c>
      <c r="L58" s="785">
        <f t="shared" ref="L58:L59" si="100">IF(K58&lt;&gt;"",IF(D58="INTERNO",0,K58*$L$14),"")</f>
        <v>18</v>
      </c>
      <c r="M58" s="785">
        <f t="shared" ref="M58:M59" si="101">IF(K58&lt;&gt;"",IF(E58="FAT.OGGI",SUM(K58:L58)*(1/(1-$M$14)-1),L58*(1/(1-$M$14)-1)),"")</f>
        <v>4.3685845656766507</v>
      </c>
      <c r="N58" s="786">
        <f t="shared" ref="N58:N59" si="102">SUM(K58:M58)</f>
        <v>382.36858456567666</v>
      </c>
      <c r="Q58" s="731">
        <f t="shared" ref="Q58:Q59" si="103">IF(H58&lt;&gt;"",H58,"")</f>
        <v>1</v>
      </c>
      <c r="R58" s="732">
        <f t="shared" ref="R58:R59" si="104">IF(I58&lt;&gt;"",I58,"")</f>
        <v>2</v>
      </c>
      <c r="S58" s="733">
        <v>180</v>
      </c>
      <c r="T58" s="734">
        <v>0</v>
      </c>
      <c r="U58" s="735">
        <f t="shared" ref="U58:U59" si="105">IF(Q58&lt;&gt;"",K58-T58,"")</f>
        <v>360</v>
      </c>
      <c r="V58" s="736">
        <f t="shared" ref="V58:V59" si="106">IF(Q58&lt;&gt;"",0%,"")</f>
        <v>0</v>
      </c>
      <c r="W58" s="737">
        <f t="shared" ref="W58:W59" si="107">IF(Q58&lt;&gt;"",V58*U58,"")</f>
        <v>0</v>
      </c>
      <c r="X58" s="780">
        <f t="shared" ref="X58:X59" si="108">IF(Q58&lt;&gt;"",W58+T58,"")</f>
        <v>0</v>
      </c>
      <c r="Y58" s="781">
        <f t="shared" ref="Y58:Y59" si="109">IF(Q58&lt;&gt;"",X58+M58,"")</f>
        <v>4.3685845656766507</v>
      </c>
      <c r="Z58" s="739">
        <f t="shared" ref="Z58:Z59" si="110">IF(Q58&lt;&gt;"",U58/K58,"")</f>
        <v>1</v>
      </c>
      <c r="AA58" s="740">
        <f t="shared" si="84"/>
        <v>0</v>
      </c>
      <c r="AK58" s="741">
        <f t="shared" si="10"/>
        <v>0</v>
      </c>
      <c r="AL58" s="742">
        <v>0</v>
      </c>
    </row>
    <row r="59" spans="1:38" ht="99.9" customHeight="1" x14ac:dyDescent="0.45">
      <c r="A59" s="715">
        <v>45</v>
      </c>
      <c r="B59" s="716" t="s">
        <v>664</v>
      </c>
      <c r="C59" s="717" t="s">
        <v>57</v>
      </c>
      <c r="D59" s="715" t="s">
        <v>88</v>
      </c>
      <c r="E59" s="715" t="s">
        <v>280</v>
      </c>
      <c r="F59" s="751" t="s">
        <v>633</v>
      </c>
      <c r="G59" s="789" t="s">
        <v>639</v>
      </c>
      <c r="H59" s="753">
        <v>1</v>
      </c>
      <c r="I59" s="790">
        <v>34</v>
      </c>
      <c r="J59" s="791">
        <v>18</v>
      </c>
      <c r="K59" s="769">
        <f t="shared" si="99"/>
        <v>612</v>
      </c>
      <c r="L59" s="785">
        <f t="shared" si="100"/>
        <v>30.6</v>
      </c>
      <c r="M59" s="785">
        <f t="shared" si="101"/>
        <v>7.4265937616503068</v>
      </c>
      <c r="N59" s="786">
        <f t="shared" si="102"/>
        <v>650.02659376165036</v>
      </c>
      <c r="Q59" s="731">
        <f t="shared" si="103"/>
        <v>1</v>
      </c>
      <c r="R59" s="732">
        <f t="shared" si="104"/>
        <v>34</v>
      </c>
      <c r="S59" s="733">
        <v>18</v>
      </c>
      <c r="T59" s="734">
        <v>0</v>
      </c>
      <c r="U59" s="735">
        <f t="shared" si="105"/>
        <v>612</v>
      </c>
      <c r="V59" s="736">
        <f t="shared" si="106"/>
        <v>0</v>
      </c>
      <c r="W59" s="737">
        <f t="shared" si="107"/>
        <v>0</v>
      </c>
      <c r="X59" s="780">
        <f t="shared" si="108"/>
        <v>0</v>
      </c>
      <c r="Y59" s="781">
        <f t="shared" si="109"/>
        <v>7.4265937616503068</v>
      </c>
      <c r="Z59" s="739">
        <f t="shared" si="110"/>
        <v>1</v>
      </c>
      <c r="AA59" s="740">
        <f t="shared" si="84"/>
        <v>0</v>
      </c>
      <c r="AK59" s="741">
        <f t="shared" si="10"/>
        <v>0</v>
      </c>
      <c r="AL59" s="742">
        <v>0</v>
      </c>
    </row>
    <row r="60" spans="1:38" ht="99.9" customHeight="1" x14ac:dyDescent="0.45">
      <c r="A60" s="715">
        <v>46</v>
      </c>
      <c r="B60" s="716" t="s">
        <v>665</v>
      </c>
      <c r="C60" s="717" t="s">
        <v>57</v>
      </c>
      <c r="D60" s="715" t="s">
        <v>88</v>
      </c>
      <c r="E60" s="715" t="s">
        <v>280</v>
      </c>
      <c r="F60" s="751" t="s">
        <v>633</v>
      </c>
      <c r="G60" s="789" t="s">
        <v>640</v>
      </c>
      <c r="H60" s="753">
        <v>1</v>
      </c>
      <c r="I60" s="790">
        <v>16</v>
      </c>
      <c r="J60" s="791">
        <v>18</v>
      </c>
      <c r="K60" s="769">
        <f t="shared" ref="K60" si="111">IF(F60&lt;&gt;"",H60*I60*J60,"")</f>
        <v>288</v>
      </c>
      <c r="L60" s="785">
        <f t="shared" ref="L60" si="112">IF(K60&lt;&gt;"",IF(D60="INTERNO",0,K60*$L$14),"")</f>
        <v>14.4</v>
      </c>
      <c r="M60" s="785">
        <f t="shared" ref="M60" si="113">IF(K60&lt;&gt;"",IF(E60="FAT.OGGI",SUM(K60:L60)*(1/(1-$M$14)-1),L60*(1/(1-$M$14)-1)),"")</f>
        <v>3.4948676525413211</v>
      </c>
      <c r="N60" s="786">
        <f t="shared" ref="N60" si="114">SUM(K60:M60)</f>
        <v>305.89486765254128</v>
      </c>
      <c r="Q60" s="731">
        <f t="shared" ref="Q60" si="115">IF(H60&lt;&gt;"",H60,"")</f>
        <v>1</v>
      </c>
      <c r="R60" s="732">
        <f t="shared" ref="R60" si="116">IF(I60&lt;&gt;"",I60,"")</f>
        <v>16</v>
      </c>
      <c r="S60" s="733">
        <v>18</v>
      </c>
      <c r="T60" s="734">
        <v>0</v>
      </c>
      <c r="U60" s="735">
        <f t="shared" ref="U60" si="117">IF(Q60&lt;&gt;"",K60-T60,"")</f>
        <v>288</v>
      </c>
      <c r="V60" s="736">
        <f t="shared" ref="V60" si="118">IF(Q60&lt;&gt;"",0%,"")</f>
        <v>0</v>
      </c>
      <c r="W60" s="737">
        <f t="shared" ref="W60" si="119">IF(Q60&lt;&gt;"",V60*U60,"")</f>
        <v>0</v>
      </c>
      <c r="X60" s="780">
        <f t="shared" ref="X60" si="120">IF(Q60&lt;&gt;"",W60+T60,"")</f>
        <v>0</v>
      </c>
      <c r="Y60" s="781">
        <f t="shared" ref="Y60" si="121">IF(Q60&lt;&gt;"",X60+M60,"")</f>
        <v>3.4948676525413211</v>
      </c>
      <c r="Z60" s="739">
        <f t="shared" ref="Z60" si="122">IF(Q60&lt;&gt;"",U60/K60,"")</f>
        <v>1</v>
      </c>
      <c r="AA60" s="740">
        <f t="shared" si="84"/>
        <v>0</v>
      </c>
      <c r="AK60" s="741">
        <f t="shared" si="10"/>
        <v>0</v>
      </c>
      <c r="AL60" s="742">
        <v>0</v>
      </c>
    </row>
    <row r="61" spans="1:38" ht="99.9" customHeight="1" x14ac:dyDescent="0.45">
      <c r="A61" s="690">
        <v>47</v>
      </c>
      <c r="B61" s="716" t="s">
        <v>666</v>
      </c>
      <c r="C61" s="718" t="s">
        <v>57</v>
      </c>
      <c r="D61" s="690" t="s">
        <v>88</v>
      </c>
      <c r="E61" s="690" t="s">
        <v>280</v>
      </c>
      <c r="F61" s="751" t="s">
        <v>301</v>
      </c>
      <c r="G61" s="752" t="s">
        <v>768</v>
      </c>
      <c r="H61" s="753">
        <v>220</v>
      </c>
      <c r="I61" s="753">
        <v>2</v>
      </c>
      <c r="J61" s="754">
        <v>46</v>
      </c>
      <c r="K61" s="769">
        <f>IF(F61&lt;&gt;"",H61*I61*J61,"")</f>
        <v>20240</v>
      </c>
      <c r="L61" s="754">
        <f t="shared" si="75"/>
        <v>1012</v>
      </c>
      <c r="M61" s="754">
        <f t="shared" si="76"/>
        <v>245.61153224804283</v>
      </c>
      <c r="N61" s="756">
        <f t="shared" si="77"/>
        <v>21497.611532248044</v>
      </c>
      <c r="Q61" s="731">
        <f>IF(H61&lt;&gt;"",H61,"")</f>
        <v>220</v>
      </c>
      <c r="R61" s="732">
        <f t="shared" si="11"/>
        <v>2</v>
      </c>
      <c r="S61" s="733">
        <v>46</v>
      </c>
      <c r="T61" s="734">
        <v>0</v>
      </c>
      <c r="U61" s="735">
        <f t="shared" si="78"/>
        <v>20240</v>
      </c>
      <c r="V61" s="736">
        <f t="shared" si="79"/>
        <v>0</v>
      </c>
      <c r="W61" s="737">
        <f t="shared" si="80"/>
        <v>0</v>
      </c>
      <c r="X61" s="737">
        <f t="shared" si="81"/>
        <v>0</v>
      </c>
      <c r="Y61" s="738">
        <f t="shared" si="83"/>
        <v>245.61153224804283</v>
      </c>
      <c r="Z61" s="739">
        <f t="shared" si="82"/>
        <v>1</v>
      </c>
      <c r="AA61" s="740">
        <f t="shared" si="84"/>
        <v>0</v>
      </c>
      <c r="AK61" s="741">
        <f t="shared" si="10"/>
        <v>0</v>
      </c>
      <c r="AL61" s="742">
        <v>0</v>
      </c>
    </row>
    <row r="62" spans="1:38" ht="99.9" customHeight="1" x14ac:dyDescent="0.45">
      <c r="A62" s="690">
        <v>48</v>
      </c>
      <c r="B62" s="716" t="s">
        <v>667</v>
      </c>
      <c r="C62" s="718" t="s">
        <v>57</v>
      </c>
      <c r="D62" s="690" t="s">
        <v>88</v>
      </c>
      <c r="E62" s="690" t="s">
        <v>280</v>
      </c>
      <c r="F62" s="757" t="s">
        <v>301</v>
      </c>
      <c r="G62" s="802" t="s">
        <v>314</v>
      </c>
      <c r="H62" s="753">
        <v>256</v>
      </c>
      <c r="I62" s="759">
        <v>1</v>
      </c>
      <c r="J62" s="763">
        <v>175</v>
      </c>
      <c r="K62" s="776">
        <f t="shared" si="74"/>
        <v>44800</v>
      </c>
      <c r="L62" s="775">
        <f t="shared" si="75"/>
        <v>2240</v>
      </c>
      <c r="M62" s="775">
        <f t="shared" si="76"/>
        <v>543.64607928420548</v>
      </c>
      <c r="N62" s="803">
        <f t="shared" si="77"/>
        <v>47583.646079284204</v>
      </c>
      <c r="Q62" s="731">
        <f>IF(H62&lt;&gt;"",H62,"")</f>
        <v>256</v>
      </c>
      <c r="R62" s="732">
        <f t="shared" si="11"/>
        <v>1</v>
      </c>
      <c r="S62" s="733">
        <v>175</v>
      </c>
      <c r="T62" s="734">
        <v>0</v>
      </c>
      <c r="U62" s="735">
        <f t="shared" si="78"/>
        <v>44800</v>
      </c>
      <c r="V62" s="736">
        <f t="shared" si="79"/>
        <v>0</v>
      </c>
      <c r="W62" s="737">
        <f t="shared" si="80"/>
        <v>0</v>
      </c>
      <c r="X62" s="737">
        <f t="shared" si="81"/>
        <v>0</v>
      </c>
      <c r="Y62" s="738">
        <f t="shared" si="83"/>
        <v>543.64607928420548</v>
      </c>
      <c r="Z62" s="739">
        <f t="shared" si="82"/>
        <v>1</v>
      </c>
      <c r="AA62" s="740">
        <f t="shared" si="84"/>
        <v>0</v>
      </c>
      <c r="AK62" s="741">
        <f t="shared" si="10"/>
        <v>0</v>
      </c>
      <c r="AL62" s="742">
        <v>0</v>
      </c>
    </row>
    <row r="63" spans="1:38" ht="99.9" customHeight="1" x14ac:dyDescent="0.45">
      <c r="A63" s="690">
        <v>49</v>
      </c>
      <c r="B63" s="716" t="s">
        <v>668</v>
      </c>
      <c r="C63" s="718" t="s">
        <v>57</v>
      </c>
      <c r="D63" s="690" t="s">
        <v>88</v>
      </c>
      <c r="E63" s="690" t="s">
        <v>280</v>
      </c>
      <c r="F63" s="782" t="s">
        <v>301</v>
      </c>
      <c r="G63" s="793" t="s">
        <v>769</v>
      </c>
      <c r="H63" s="784">
        <v>222</v>
      </c>
      <c r="I63" s="784">
        <v>1</v>
      </c>
      <c r="J63" s="785">
        <v>175</v>
      </c>
      <c r="K63" s="788">
        <f t="shared" si="74"/>
        <v>38850</v>
      </c>
      <c r="L63" s="768">
        <f t="shared" si="75"/>
        <v>1942.5</v>
      </c>
      <c r="M63" s="768">
        <f t="shared" si="76"/>
        <v>471.44308437927191</v>
      </c>
      <c r="N63" s="804">
        <f t="shared" si="77"/>
        <v>41263.943084379272</v>
      </c>
      <c r="Q63" s="731">
        <f>IF(H63&lt;&gt;"",H63,"")</f>
        <v>222</v>
      </c>
      <c r="R63" s="732">
        <v>1</v>
      </c>
      <c r="S63" s="733">
        <v>175</v>
      </c>
      <c r="T63" s="734">
        <v>0</v>
      </c>
      <c r="U63" s="735">
        <f t="shared" si="78"/>
        <v>38850</v>
      </c>
      <c r="V63" s="736">
        <f t="shared" si="79"/>
        <v>0</v>
      </c>
      <c r="W63" s="737">
        <f t="shared" si="80"/>
        <v>0</v>
      </c>
      <c r="X63" s="737">
        <f t="shared" si="81"/>
        <v>0</v>
      </c>
      <c r="Y63" s="738">
        <f t="shared" si="83"/>
        <v>471.44308437927191</v>
      </c>
      <c r="Z63" s="739">
        <f t="shared" si="82"/>
        <v>1</v>
      </c>
      <c r="AA63" s="740">
        <f>T63/T85</f>
        <v>0</v>
      </c>
      <c r="AK63" s="741">
        <f t="shared" si="10"/>
        <v>0</v>
      </c>
      <c r="AL63" s="742">
        <v>0</v>
      </c>
    </row>
    <row r="64" spans="1:38" ht="99.9" customHeight="1" x14ac:dyDescent="0.45">
      <c r="A64" s="690">
        <v>50</v>
      </c>
      <c r="B64" s="716" t="s">
        <v>669</v>
      </c>
      <c r="C64" s="718" t="s">
        <v>57</v>
      </c>
      <c r="D64" s="690" t="s">
        <v>88</v>
      </c>
      <c r="E64" s="690" t="s">
        <v>280</v>
      </c>
      <c r="F64" s="782" t="s">
        <v>301</v>
      </c>
      <c r="G64" s="793" t="s">
        <v>770</v>
      </c>
      <c r="H64" s="784">
        <v>1</v>
      </c>
      <c r="I64" s="784">
        <v>1</v>
      </c>
      <c r="J64" s="785">
        <v>5465</v>
      </c>
      <c r="K64" s="788">
        <f t="shared" si="74"/>
        <v>5465</v>
      </c>
      <c r="L64" s="785">
        <f t="shared" si="75"/>
        <v>273.25</v>
      </c>
      <c r="M64" s="785">
        <f t="shared" si="76"/>
        <v>66.31754069839694</v>
      </c>
      <c r="N64" s="800">
        <f t="shared" si="77"/>
        <v>5804.5675406983974</v>
      </c>
      <c r="Q64" s="731">
        <v>1</v>
      </c>
      <c r="R64" s="732">
        <v>1</v>
      </c>
      <c r="S64" s="733">
        <v>5465</v>
      </c>
      <c r="T64" s="734">
        <v>0</v>
      </c>
      <c r="U64" s="735">
        <f t="shared" si="78"/>
        <v>5465</v>
      </c>
      <c r="V64" s="736">
        <f t="shared" si="79"/>
        <v>0</v>
      </c>
      <c r="W64" s="737">
        <f t="shared" si="80"/>
        <v>0</v>
      </c>
      <c r="X64" s="737">
        <f t="shared" si="81"/>
        <v>0</v>
      </c>
      <c r="Y64" s="738">
        <f t="shared" si="83"/>
        <v>66.31754069839694</v>
      </c>
      <c r="Z64" s="739">
        <f t="shared" si="82"/>
        <v>1</v>
      </c>
      <c r="AA64" s="740">
        <f>T64/T85</f>
        <v>0</v>
      </c>
      <c r="AK64" s="741">
        <f t="shared" si="10"/>
        <v>0</v>
      </c>
      <c r="AL64" s="742">
        <v>0</v>
      </c>
    </row>
    <row r="65" spans="1:38" ht="99.9" customHeight="1" x14ac:dyDescent="0.45">
      <c r="A65" s="715">
        <v>51</v>
      </c>
      <c r="B65" s="716" t="s">
        <v>670</v>
      </c>
      <c r="C65" s="717" t="s">
        <v>57</v>
      </c>
      <c r="D65" s="715" t="s">
        <v>88</v>
      </c>
      <c r="E65" s="715" t="s">
        <v>280</v>
      </c>
      <c r="F65" s="751" t="s">
        <v>645</v>
      </c>
      <c r="G65" s="789" t="s">
        <v>641</v>
      </c>
      <c r="H65" s="753">
        <v>1</v>
      </c>
      <c r="I65" s="790">
        <v>1</v>
      </c>
      <c r="J65" s="791">
        <v>45</v>
      </c>
      <c r="K65" s="769">
        <f t="shared" ref="K65:K79" si="123">IF(F65&lt;&gt;"",H65*I65*J65,"")</f>
        <v>45</v>
      </c>
      <c r="L65" s="785">
        <f t="shared" ref="L65:L79" si="124">IF(K65&lt;&gt;"",IF(D65="INTERNO",0,K65*$L$14),"")</f>
        <v>2.25</v>
      </c>
      <c r="M65" s="785">
        <f t="shared" ref="M65:M79" si="125">IF(K65&lt;&gt;"",IF(E65="FAT.OGGI",SUM(K65:L65)*(1/(1-$M$14)-1),L65*(1/(1-$M$14)-1)),"")</f>
        <v>0.54607307070958133</v>
      </c>
      <c r="N65" s="786">
        <f t="shared" ref="N65:N79" si="126">SUM(K65:M65)</f>
        <v>47.796073070709582</v>
      </c>
      <c r="Q65" s="731">
        <f t="shared" ref="Q65:Q79" si="127">IF(H65&lt;&gt;"",H65,"")</f>
        <v>1</v>
      </c>
      <c r="R65" s="732">
        <f t="shared" ref="R65:R79" si="128">IF(I65&lt;&gt;"",I65,"")</f>
        <v>1</v>
      </c>
      <c r="S65" s="733">
        <v>45</v>
      </c>
      <c r="T65" s="734">
        <v>0</v>
      </c>
      <c r="U65" s="735">
        <f t="shared" ref="U65:U79" si="129">IF(Q65&lt;&gt;"",K65-T65,"")</f>
        <v>45</v>
      </c>
      <c r="V65" s="736">
        <f t="shared" ref="V65:V79" si="130">IF(Q65&lt;&gt;"",0%,"")</f>
        <v>0</v>
      </c>
      <c r="W65" s="737">
        <f t="shared" ref="W65:W79" si="131">IF(Q65&lt;&gt;"",V65*U65,"")</f>
        <v>0</v>
      </c>
      <c r="X65" s="780">
        <f t="shared" ref="X65:X79" si="132">IF(Q65&lt;&gt;"",W65+T65,"")</f>
        <v>0</v>
      </c>
      <c r="Y65" s="781">
        <f t="shared" ref="Y65:Y79" si="133">IF(Q65&lt;&gt;"",X65+M65,"")</f>
        <v>0.54607307070958133</v>
      </c>
      <c r="Z65" s="739">
        <f t="shared" ref="Z65:Z79" si="134">IF(Q65&lt;&gt;"",U65/K65,"")</f>
        <v>1</v>
      </c>
      <c r="AA65" s="740">
        <f t="shared" ref="AA65:AA84" si="135">T65/$T$85</f>
        <v>0</v>
      </c>
      <c r="AK65" s="741">
        <f t="shared" si="10"/>
        <v>0</v>
      </c>
      <c r="AL65" s="742">
        <v>0</v>
      </c>
    </row>
    <row r="66" spans="1:38" ht="99.9" customHeight="1" x14ac:dyDescent="0.45">
      <c r="A66" s="715">
        <v>52</v>
      </c>
      <c r="B66" s="716" t="s">
        <v>671</v>
      </c>
      <c r="C66" s="717" t="s">
        <v>57</v>
      </c>
      <c r="D66" s="715" t="s">
        <v>88</v>
      </c>
      <c r="E66" s="715" t="s">
        <v>280</v>
      </c>
      <c r="F66" s="751" t="s">
        <v>645</v>
      </c>
      <c r="G66" s="789" t="s">
        <v>637</v>
      </c>
      <c r="H66" s="753">
        <v>1</v>
      </c>
      <c r="I66" s="790">
        <v>2</v>
      </c>
      <c r="J66" s="791">
        <v>180</v>
      </c>
      <c r="K66" s="769">
        <f t="shared" si="123"/>
        <v>360</v>
      </c>
      <c r="L66" s="785">
        <f t="shared" si="124"/>
        <v>18</v>
      </c>
      <c r="M66" s="785">
        <f t="shared" si="125"/>
        <v>4.3685845656766507</v>
      </c>
      <c r="N66" s="786">
        <f t="shared" si="126"/>
        <v>382.36858456567666</v>
      </c>
      <c r="Q66" s="731">
        <f t="shared" si="127"/>
        <v>1</v>
      </c>
      <c r="R66" s="732">
        <f t="shared" si="128"/>
        <v>2</v>
      </c>
      <c r="S66" s="733">
        <v>180</v>
      </c>
      <c r="T66" s="734">
        <v>0</v>
      </c>
      <c r="U66" s="735">
        <f t="shared" si="129"/>
        <v>360</v>
      </c>
      <c r="V66" s="736">
        <f t="shared" si="130"/>
        <v>0</v>
      </c>
      <c r="W66" s="737">
        <f t="shared" si="131"/>
        <v>0</v>
      </c>
      <c r="X66" s="780">
        <f t="shared" si="132"/>
        <v>0</v>
      </c>
      <c r="Y66" s="781">
        <f t="shared" si="133"/>
        <v>4.3685845656766507</v>
      </c>
      <c r="Z66" s="739">
        <f t="shared" si="134"/>
        <v>1</v>
      </c>
      <c r="AA66" s="740">
        <f t="shared" si="135"/>
        <v>0</v>
      </c>
      <c r="AK66" s="741">
        <f t="shared" si="10"/>
        <v>0</v>
      </c>
      <c r="AL66" s="742">
        <v>0</v>
      </c>
    </row>
    <row r="67" spans="1:38" ht="99.9" customHeight="1" x14ac:dyDescent="0.45">
      <c r="A67" s="715">
        <v>53</v>
      </c>
      <c r="B67" s="716" t="s">
        <v>672</v>
      </c>
      <c r="C67" s="717" t="s">
        <v>57</v>
      </c>
      <c r="D67" s="715" t="s">
        <v>88</v>
      </c>
      <c r="E67" s="715" t="s">
        <v>280</v>
      </c>
      <c r="F67" s="751" t="s">
        <v>645</v>
      </c>
      <c r="G67" s="789" t="s">
        <v>638</v>
      </c>
      <c r="H67" s="753">
        <v>1</v>
      </c>
      <c r="I67" s="790">
        <v>3</v>
      </c>
      <c r="J67" s="791">
        <v>156</v>
      </c>
      <c r="K67" s="769">
        <f t="shared" ref="K67:K76" si="136">IF(F67&lt;&gt;"",H67*I67*J67,"")</f>
        <v>468</v>
      </c>
      <c r="L67" s="785">
        <f t="shared" ref="L67:L76" si="137">IF(K67&lt;&gt;"",IF(D67="INTERNO",0,K67*$L$14),"")</f>
        <v>23.400000000000002</v>
      </c>
      <c r="M67" s="785">
        <f t="shared" ref="M67:M76" si="138">IF(K67&lt;&gt;"",IF(E67="FAT.OGGI",SUM(K67:L67)*(1/(1-$M$14)-1),L67*(1/(1-$M$14)-1)),"")</f>
        <v>5.6791599353796469</v>
      </c>
      <c r="N67" s="786">
        <f t="shared" ref="N67:N76" si="139">SUM(K67:M67)</f>
        <v>497.07915993537961</v>
      </c>
      <c r="Q67" s="731">
        <f t="shared" ref="Q67:Q76" si="140">IF(H67&lt;&gt;"",H67,"")</f>
        <v>1</v>
      </c>
      <c r="R67" s="732">
        <f t="shared" ref="R67:R76" si="141">IF(I67&lt;&gt;"",I67,"")</f>
        <v>3</v>
      </c>
      <c r="S67" s="733">
        <v>156</v>
      </c>
      <c r="T67" s="734">
        <v>0</v>
      </c>
      <c r="U67" s="735">
        <f t="shared" ref="U67:U76" si="142">IF(Q67&lt;&gt;"",K67-T67,"")</f>
        <v>468</v>
      </c>
      <c r="V67" s="736">
        <f t="shared" ref="V67:V76" si="143">IF(Q67&lt;&gt;"",0%,"")</f>
        <v>0</v>
      </c>
      <c r="W67" s="737">
        <f t="shared" ref="W67:W76" si="144">IF(Q67&lt;&gt;"",V67*U67,"")</f>
        <v>0</v>
      </c>
      <c r="X67" s="780">
        <f t="shared" ref="X67:X76" si="145">IF(Q67&lt;&gt;"",W67+T67,"")</f>
        <v>0</v>
      </c>
      <c r="Y67" s="781">
        <f t="shared" ref="Y67:Y76" si="146">IF(Q67&lt;&gt;"",X67+M67,"")</f>
        <v>5.6791599353796469</v>
      </c>
      <c r="Z67" s="739">
        <f t="shared" ref="Z67:Z76" si="147">IF(Q67&lt;&gt;"",U67/K67,"")</f>
        <v>1</v>
      </c>
      <c r="AA67" s="740">
        <f t="shared" si="135"/>
        <v>0</v>
      </c>
      <c r="AK67" s="741">
        <f t="shared" si="10"/>
        <v>0</v>
      </c>
      <c r="AL67" s="742">
        <v>0</v>
      </c>
    </row>
    <row r="68" spans="1:38" ht="99.9" customHeight="1" x14ac:dyDescent="0.45">
      <c r="A68" s="715">
        <v>54</v>
      </c>
      <c r="B68" s="716" t="s">
        <v>673</v>
      </c>
      <c r="C68" s="717" t="s">
        <v>57</v>
      </c>
      <c r="D68" s="715" t="s">
        <v>88</v>
      </c>
      <c r="E68" s="715" t="s">
        <v>280</v>
      </c>
      <c r="F68" s="751" t="s">
        <v>645</v>
      </c>
      <c r="G68" s="789" t="s">
        <v>634</v>
      </c>
      <c r="H68" s="753">
        <v>1</v>
      </c>
      <c r="I68" s="790">
        <v>16</v>
      </c>
      <c r="J68" s="791">
        <v>136</v>
      </c>
      <c r="K68" s="769">
        <f t="shared" si="136"/>
        <v>2176</v>
      </c>
      <c r="L68" s="785">
        <f t="shared" si="137"/>
        <v>108.80000000000001</v>
      </c>
      <c r="M68" s="785">
        <f t="shared" si="138"/>
        <v>26.405666708089981</v>
      </c>
      <c r="N68" s="786">
        <f t="shared" si="139"/>
        <v>2311.2056667080901</v>
      </c>
      <c r="Q68" s="731">
        <f t="shared" si="140"/>
        <v>1</v>
      </c>
      <c r="R68" s="732">
        <f t="shared" si="141"/>
        <v>16</v>
      </c>
      <c r="S68" s="733">
        <v>136</v>
      </c>
      <c r="T68" s="734">
        <v>0</v>
      </c>
      <c r="U68" s="735">
        <f t="shared" si="142"/>
        <v>2176</v>
      </c>
      <c r="V68" s="736">
        <f t="shared" si="143"/>
        <v>0</v>
      </c>
      <c r="W68" s="737">
        <f t="shared" si="144"/>
        <v>0</v>
      </c>
      <c r="X68" s="780">
        <f t="shared" si="145"/>
        <v>0</v>
      </c>
      <c r="Y68" s="781">
        <f t="shared" si="146"/>
        <v>26.405666708089981</v>
      </c>
      <c r="Z68" s="739">
        <f t="shared" si="147"/>
        <v>1</v>
      </c>
      <c r="AA68" s="740">
        <f t="shared" si="135"/>
        <v>0</v>
      </c>
      <c r="AK68" s="741">
        <f t="shared" si="10"/>
        <v>0</v>
      </c>
      <c r="AL68" s="742">
        <v>0</v>
      </c>
    </row>
    <row r="69" spans="1:38" ht="99.9" customHeight="1" x14ac:dyDescent="0.45">
      <c r="A69" s="715">
        <v>55</v>
      </c>
      <c r="B69" s="716" t="s">
        <v>674</v>
      </c>
      <c r="C69" s="717" t="s">
        <v>57</v>
      </c>
      <c r="D69" s="715" t="s">
        <v>88</v>
      </c>
      <c r="E69" s="715" t="s">
        <v>280</v>
      </c>
      <c r="F69" s="751" t="s">
        <v>645</v>
      </c>
      <c r="G69" s="789" t="s">
        <v>635</v>
      </c>
      <c r="H69" s="753">
        <v>1</v>
      </c>
      <c r="I69" s="790">
        <v>34</v>
      </c>
      <c r="J69" s="791">
        <v>187</v>
      </c>
      <c r="K69" s="769">
        <f t="shared" si="136"/>
        <v>6358</v>
      </c>
      <c r="L69" s="785">
        <f t="shared" si="137"/>
        <v>317.90000000000003</v>
      </c>
      <c r="M69" s="785">
        <f t="shared" si="138"/>
        <v>77.154057412700425</v>
      </c>
      <c r="N69" s="786">
        <f t="shared" si="139"/>
        <v>6753.0540574126999</v>
      </c>
      <c r="Q69" s="731">
        <f t="shared" si="140"/>
        <v>1</v>
      </c>
      <c r="R69" s="732">
        <f t="shared" si="141"/>
        <v>34</v>
      </c>
      <c r="S69" s="733">
        <v>187</v>
      </c>
      <c r="T69" s="734">
        <v>0</v>
      </c>
      <c r="U69" s="735">
        <f t="shared" si="142"/>
        <v>6358</v>
      </c>
      <c r="V69" s="736">
        <f t="shared" si="143"/>
        <v>0</v>
      </c>
      <c r="W69" s="737">
        <f t="shared" si="144"/>
        <v>0</v>
      </c>
      <c r="X69" s="780">
        <f t="shared" si="145"/>
        <v>0</v>
      </c>
      <c r="Y69" s="781">
        <f t="shared" si="146"/>
        <v>77.154057412700425</v>
      </c>
      <c r="Z69" s="739">
        <f t="shared" si="147"/>
        <v>1</v>
      </c>
      <c r="AA69" s="740">
        <f t="shared" si="135"/>
        <v>0</v>
      </c>
      <c r="AK69" s="741">
        <f t="shared" si="10"/>
        <v>0</v>
      </c>
      <c r="AL69" s="742">
        <v>0</v>
      </c>
    </row>
    <row r="70" spans="1:38" ht="99.9" customHeight="1" x14ac:dyDescent="0.45">
      <c r="A70" s="715">
        <v>56</v>
      </c>
      <c r="B70" s="716" t="s">
        <v>675</v>
      </c>
      <c r="C70" s="717" t="s">
        <v>57</v>
      </c>
      <c r="D70" s="715" t="s">
        <v>88</v>
      </c>
      <c r="E70" s="715" t="s">
        <v>280</v>
      </c>
      <c r="F70" s="751" t="s">
        <v>645</v>
      </c>
      <c r="G70" s="789" t="s">
        <v>642</v>
      </c>
      <c r="H70" s="753">
        <v>1</v>
      </c>
      <c r="I70" s="790">
        <v>59</v>
      </c>
      <c r="J70" s="791">
        <v>19</v>
      </c>
      <c r="K70" s="769">
        <f t="shared" si="136"/>
        <v>1121</v>
      </c>
      <c r="L70" s="785">
        <f t="shared" si="137"/>
        <v>56.050000000000004</v>
      </c>
      <c r="M70" s="785">
        <f t="shared" si="138"/>
        <v>13.603286939232017</v>
      </c>
      <c r="N70" s="786">
        <f t="shared" si="139"/>
        <v>1190.653286939232</v>
      </c>
      <c r="Q70" s="731">
        <f t="shared" si="140"/>
        <v>1</v>
      </c>
      <c r="R70" s="732">
        <f t="shared" si="141"/>
        <v>59</v>
      </c>
      <c r="S70" s="733">
        <v>19</v>
      </c>
      <c r="T70" s="734">
        <v>0</v>
      </c>
      <c r="U70" s="735">
        <f t="shared" si="142"/>
        <v>1121</v>
      </c>
      <c r="V70" s="736">
        <f t="shared" si="143"/>
        <v>0</v>
      </c>
      <c r="W70" s="737">
        <f t="shared" si="144"/>
        <v>0</v>
      </c>
      <c r="X70" s="780">
        <f t="shared" si="145"/>
        <v>0</v>
      </c>
      <c r="Y70" s="781">
        <f t="shared" si="146"/>
        <v>13.603286939232017</v>
      </c>
      <c r="Z70" s="739">
        <f t="shared" si="147"/>
        <v>1</v>
      </c>
      <c r="AA70" s="740">
        <f t="shared" si="135"/>
        <v>0</v>
      </c>
      <c r="AK70" s="741">
        <f t="shared" si="10"/>
        <v>0</v>
      </c>
      <c r="AL70" s="742">
        <v>0</v>
      </c>
    </row>
    <row r="71" spans="1:38" ht="99.9" customHeight="1" x14ac:dyDescent="0.45">
      <c r="A71" s="715">
        <v>57</v>
      </c>
      <c r="B71" s="716" t="s">
        <v>676</v>
      </c>
      <c r="C71" s="717" t="s">
        <v>57</v>
      </c>
      <c r="D71" s="715" t="s">
        <v>88</v>
      </c>
      <c r="E71" s="715" t="s">
        <v>280</v>
      </c>
      <c r="F71" s="751" t="s">
        <v>645</v>
      </c>
      <c r="G71" s="789" t="s">
        <v>639</v>
      </c>
      <c r="H71" s="753">
        <v>1</v>
      </c>
      <c r="I71" s="790">
        <v>80</v>
      </c>
      <c r="J71" s="791">
        <v>18</v>
      </c>
      <c r="K71" s="769">
        <f t="shared" si="136"/>
        <v>1440</v>
      </c>
      <c r="L71" s="785">
        <f t="shared" si="137"/>
        <v>72</v>
      </c>
      <c r="M71" s="785">
        <f t="shared" si="138"/>
        <v>17.474338262706603</v>
      </c>
      <c r="N71" s="786">
        <f t="shared" si="139"/>
        <v>1529.4743382627066</v>
      </c>
      <c r="Q71" s="731">
        <f t="shared" si="140"/>
        <v>1</v>
      </c>
      <c r="R71" s="732">
        <f t="shared" si="141"/>
        <v>80</v>
      </c>
      <c r="S71" s="733">
        <v>18</v>
      </c>
      <c r="T71" s="734">
        <v>0</v>
      </c>
      <c r="U71" s="735">
        <f t="shared" si="142"/>
        <v>1440</v>
      </c>
      <c r="V71" s="736">
        <f t="shared" si="143"/>
        <v>0</v>
      </c>
      <c r="W71" s="737">
        <f t="shared" si="144"/>
        <v>0</v>
      </c>
      <c r="X71" s="780">
        <f t="shared" si="145"/>
        <v>0</v>
      </c>
      <c r="Y71" s="781">
        <f t="shared" si="146"/>
        <v>17.474338262706603</v>
      </c>
      <c r="Z71" s="739">
        <f t="shared" si="147"/>
        <v>1</v>
      </c>
      <c r="AA71" s="740">
        <f t="shared" si="135"/>
        <v>0</v>
      </c>
      <c r="AK71" s="741">
        <f t="shared" si="10"/>
        <v>0</v>
      </c>
      <c r="AL71" s="742">
        <v>0</v>
      </c>
    </row>
    <row r="72" spans="1:38" ht="99.9" customHeight="1" x14ac:dyDescent="0.45">
      <c r="A72" s="715">
        <v>58</v>
      </c>
      <c r="B72" s="716" t="s">
        <v>677</v>
      </c>
      <c r="C72" s="717" t="s">
        <v>57</v>
      </c>
      <c r="D72" s="715" t="s">
        <v>88</v>
      </c>
      <c r="E72" s="715" t="s">
        <v>280</v>
      </c>
      <c r="F72" s="751" t="s">
        <v>645</v>
      </c>
      <c r="G72" s="789" t="s">
        <v>640</v>
      </c>
      <c r="H72" s="753">
        <v>1</v>
      </c>
      <c r="I72" s="790">
        <v>40</v>
      </c>
      <c r="J72" s="791">
        <v>18</v>
      </c>
      <c r="K72" s="769">
        <f t="shared" si="136"/>
        <v>720</v>
      </c>
      <c r="L72" s="785">
        <f t="shared" si="137"/>
        <v>36</v>
      </c>
      <c r="M72" s="785">
        <f t="shared" si="138"/>
        <v>8.7371691313533013</v>
      </c>
      <c r="N72" s="786">
        <f t="shared" si="139"/>
        <v>764.73716913135331</v>
      </c>
      <c r="Q72" s="731">
        <f t="shared" si="140"/>
        <v>1</v>
      </c>
      <c r="R72" s="732">
        <f t="shared" si="141"/>
        <v>40</v>
      </c>
      <c r="S72" s="733">
        <v>18</v>
      </c>
      <c r="T72" s="734">
        <v>0</v>
      </c>
      <c r="U72" s="735">
        <f t="shared" si="142"/>
        <v>720</v>
      </c>
      <c r="V72" s="736">
        <f t="shared" si="143"/>
        <v>0</v>
      </c>
      <c r="W72" s="737">
        <f t="shared" si="144"/>
        <v>0</v>
      </c>
      <c r="X72" s="780">
        <f t="shared" si="145"/>
        <v>0</v>
      </c>
      <c r="Y72" s="781">
        <f t="shared" si="146"/>
        <v>8.7371691313533013</v>
      </c>
      <c r="Z72" s="739">
        <f t="shared" si="147"/>
        <v>1</v>
      </c>
      <c r="AA72" s="740">
        <f t="shared" si="135"/>
        <v>0</v>
      </c>
      <c r="AK72" s="741">
        <f t="shared" si="10"/>
        <v>0</v>
      </c>
      <c r="AL72" s="742">
        <v>0</v>
      </c>
    </row>
    <row r="73" spans="1:38" ht="99.9" customHeight="1" x14ac:dyDescent="0.45">
      <c r="A73" s="715">
        <v>59</v>
      </c>
      <c r="B73" s="716" t="s">
        <v>678</v>
      </c>
      <c r="C73" s="717" t="s">
        <v>57</v>
      </c>
      <c r="D73" s="715" t="s">
        <v>88</v>
      </c>
      <c r="E73" s="715" t="s">
        <v>280</v>
      </c>
      <c r="F73" s="751" t="s">
        <v>645</v>
      </c>
      <c r="G73" s="789" t="s">
        <v>643</v>
      </c>
      <c r="H73" s="753">
        <v>1</v>
      </c>
      <c r="I73" s="790">
        <v>25</v>
      </c>
      <c r="J73" s="791">
        <v>11</v>
      </c>
      <c r="K73" s="769">
        <f t="shared" si="136"/>
        <v>275</v>
      </c>
      <c r="L73" s="785">
        <f t="shared" si="137"/>
        <v>13.75</v>
      </c>
      <c r="M73" s="785">
        <f t="shared" si="138"/>
        <v>3.3371132098918861</v>
      </c>
      <c r="N73" s="786">
        <f t="shared" si="139"/>
        <v>292.08711320989187</v>
      </c>
      <c r="Q73" s="731">
        <f t="shared" si="140"/>
        <v>1</v>
      </c>
      <c r="R73" s="732">
        <f t="shared" si="141"/>
        <v>25</v>
      </c>
      <c r="S73" s="733">
        <v>11</v>
      </c>
      <c r="T73" s="734">
        <v>0</v>
      </c>
      <c r="U73" s="735">
        <f t="shared" si="142"/>
        <v>275</v>
      </c>
      <c r="V73" s="736">
        <f t="shared" si="143"/>
        <v>0</v>
      </c>
      <c r="W73" s="737">
        <f t="shared" si="144"/>
        <v>0</v>
      </c>
      <c r="X73" s="780">
        <f t="shared" si="145"/>
        <v>0</v>
      </c>
      <c r="Y73" s="781">
        <f t="shared" si="146"/>
        <v>3.3371132098918861</v>
      </c>
      <c r="Z73" s="739">
        <f t="shared" si="147"/>
        <v>1</v>
      </c>
      <c r="AA73" s="740">
        <f t="shared" si="135"/>
        <v>0</v>
      </c>
      <c r="AK73" s="741">
        <f t="shared" si="10"/>
        <v>0</v>
      </c>
      <c r="AL73" s="742">
        <v>0</v>
      </c>
    </row>
    <row r="74" spans="1:38" ht="99.9" customHeight="1" x14ac:dyDescent="0.45">
      <c r="A74" s="715">
        <v>60</v>
      </c>
      <c r="B74" s="716" t="s">
        <v>679</v>
      </c>
      <c r="C74" s="717" t="s">
        <v>57</v>
      </c>
      <c r="D74" s="715" t="s">
        <v>88</v>
      </c>
      <c r="E74" s="715" t="s">
        <v>280</v>
      </c>
      <c r="F74" s="751" t="s">
        <v>645</v>
      </c>
      <c r="G74" s="789" t="s">
        <v>632</v>
      </c>
      <c r="H74" s="753">
        <v>1</v>
      </c>
      <c r="I74" s="790">
        <v>25</v>
      </c>
      <c r="J74" s="791">
        <v>5</v>
      </c>
      <c r="K74" s="769">
        <f t="shared" si="136"/>
        <v>125</v>
      </c>
      <c r="L74" s="785">
        <f t="shared" si="137"/>
        <v>6.25</v>
      </c>
      <c r="M74" s="785">
        <f t="shared" si="138"/>
        <v>1.5168696408599482</v>
      </c>
      <c r="N74" s="786">
        <f t="shared" si="139"/>
        <v>132.76686964085994</v>
      </c>
      <c r="Q74" s="731">
        <f t="shared" si="140"/>
        <v>1</v>
      </c>
      <c r="R74" s="732">
        <f t="shared" si="141"/>
        <v>25</v>
      </c>
      <c r="S74" s="733">
        <v>5</v>
      </c>
      <c r="T74" s="734">
        <v>0</v>
      </c>
      <c r="U74" s="735">
        <f t="shared" si="142"/>
        <v>125</v>
      </c>
      <c r="V74" s="736">
        <f t="shared" si="143"/>
        <v>0</v>
      </c>
      <c r="W74" s="737">
        <f t="shared" si="144"/>
        <v>0</v>
      </c>
      <c r="X74" s="780">
        <f t="shared" si="145"/>
        <v>0</v>
      </c>
      <c r="Y74" s="781">
        <f t="shared" si="146"/>
        <v>1.5168696408599482</v>
      </c>
      <c r="Z74" s="739">
        <f t="shared" si="147"/>
        <v>1</v>
      </c>
      <c r="AA74" s="740">
        <f t="shared" si="135"/>
        <v>0</v>
      </c>
      <c r="AK74" s="741">
        <f t="shared" si="10"/>
        <v>0</v>
      </c>
      <c r="AL74" s="742">
        <v>0</v>
      </c>
    </row>
    <row r="75" spans="1:38" ht="99.9" customHeight="1" x14ac:dyDescent="0.45">
      <c r="A75" s="715">
        <v>61</v>
      </c>
      <c r="B75" s="716" t="s">
        <v>680</v>
      </c>
      <c r="C75" s="717" t="s">
        <v>57</v>
      </c>
      <c r="D75" s="715" t="s">
        <v>88</v>
      </c>
      <c r="E75" s="715" t="s">
        <v>280</v>
      </c>
      <c r="F75" s="751" t="s">
        <v>645</v>
      </c>
      <c r="G75" s="789" t="s">
        <v>639</v>
      </c>
      <c r="H75" s="753">
        <v>1</v>
      </c>
      <c r="I75" s="790">
        <v>75</v>
      </c>
      <c r="J75" s="791">
        <v>18</v>
      </c>
      <c r="K75" s="769">
        <f t="shared" si="136"/>
        <v>1350</v>
      </c>
      <c r="L75" s="785">
        <f t="shared" si="137"/>
        <v>67.5</v>
      </c>
      <c r="M75" s="785">
        <f t="shared" si="138"/>
        <v>16.382192121287442</v>
      </c>
      <c r="N75" s="786">
        <f t="shared" si="139"/>
        <v>1433.8821921212875</v>
      </c>
      <c r="Q75" s="731">
        <f t="shared" si="140"/>
        <v>1</v>
      </c>
      <c r="R75" s="732">
        <f t="shared" si="141"/>
        <v>75</v>
      </c>
      <c r="S75" s="733">
        <v>18</v>
      </c>
      <c r="T75" s="734">
        <v>0</v>
      </c>
      <c r="U75" s="735">
        <f t="shared" si="142"/>
        <v>1350</v>
      </c>
      <c r="V75" s="736">
        <f t="shared" si="143"/>
        <v>0</v>
      </c>
      <c r="W75" s="737">
        <f t="shared" si="144"/>
        <v>0</v>
      </c>
      <c r="X75" s="780">
        <f t="shared" si="145"/>
        <v>0</v>
      </c>
      <c r="Y75" s="781">
        <f t="shared" si="146"/>
        <v>16.382192121287442</v>
      </c>
      <c r="Z75" s="739">
        <f t="shared" si="147"/>
        <v>1</v>
      </c>
      <c r="AA75" s="740">
        <f t="shared" si="135"/>
        <v>0</v>
      </c>
      <c r="AK75" s="741">
        <f t="shared" si="10"/>
        <v>0</v>
      </c>
      <c r="AL75" s="742">
        <v>0</v>
      </c>
    </row>
    <row r="76" spans="1:38" ht="99.9" customHeight="1" x14ac:dyDescent="0.45">
      <c r="A76" s="715">
        <v>62</v>
      </c>
      <c r="B76" s="716" t="s">
        <v>681</v>
      </c>
      <c r="C76" s="717" t="s">
        <v>57</v>
      </c>
      <c r="D76" s="715" t="s">
        <v>88</v>
      </c>
      <c r="E76" s="715" t="s">
        <v>280</v>
      </c>
      <c r="F76" s="751" t="s">
        <v>645</v>
      </c>
      <c r="G76" s="789" t="s">
        <v>640</v>
      </c>
      <c r="H76" s="753">
        <v>1</v>
      </c>
      <c r="I76" s="790">
        <v>25</v>
      </c>
      <c r="J76" s="791">
        <v>18</v>
      </c>
      <c r="K76" s="769">
        <f t="shared" si="136"/>
        <v>450</v>
      </c>
      <c r="L76" s="785">
        <f t="shared" si="137"/>
        <v>22.5</v>
      </c>
      <c r="M76" s="785">
        <f t="shared" si="138"/>
        <v>5.4607307070958138</v>
      </c>
      <c r="N76" s="786">
        <f t="shared" si="139"/>
        <v>477.96073070709582</v>
      </c>
      <c r="Q76" s="731">
        <f t="shared" si="140"/>
        <v>1</v>
      </c>
      <c r="R76" s="732">
        <f t="shared" si="141"/>
        <v>25</v>
      </c>
      <c r="S76" s="733">
        <v>18</v>
      </c>
      <c r="T76" s="734">
        <v>0</v>
      </c>
      <c r="U76" s="735">
        <f t="shared" si="142"/>
        <v>450</v>
      </c>
      <c r="V76" s="736">
        <f t="shared" si="143"/>
        <v>0</v>
      </c>
      <c r="W76" s="737">
        <f t="shared" si="144"/>
        <v>0</v>
      </c>
      <c r="X76" s="780">
        <f t="shared" si="145"/>
        <v>0</v>
      </c>
      <c r="Y76" s="781">
        <f t="shared" si="146"/>
        <v>5.4607307070958138</v>
      </c>
      <c r="Z76" s="739">
        <f t="shared" si="147"/>
        <v>1</v>
      </c>
      <c r="AA76" s="740">
        <f t="shared" si="135"/>
        <v>0</v>
      </c>
      <c r="AK76" s="741">
        <f t="shared" si="10"/>
        <v>0</v>
      </c>
      <c r="AL76" s="742">
        <v>0</v>
      </c>
    </row>
    <row r="77" spans="1:38" ht="99.9" customHeight="1" x14ac:dyDescent="0.45">
      <c r="A77" s="715">
        <v>63</v>
      </c>
      <c r="B77" s="716" t="s">
        <v>682</v>
      </c>
      <c r="C77" s="717" t="s">
        <v>57</v>
      </c>
      <c r="D77" s="715" t="s">
        <v>88</v>
      </c>
      <c r="E77" s="715" t="s">
        <v>280</v>
      </c>
      <c r="F77" s="751" t="s">
        <v>645</v>
      </c>
      <c r="G77" s="789" t="s">
        <v>632</v>
      </c>
      <c r="H77" s="753">
        <v>1</v>
      </c>
      <c r="I77" s="790">
        <v>1522</v>
      </c>
      <c r="J77" s="791">
        <v>5</v>
      </c>
      <c r="K77" s="769">
        <f t="shared" si="123"/>
        <v>7610</v>
      </c>
      <c r="L77" s="785">
        <f t="shared" si="124"/>
        <v>380.5</v>
      </c>
      <c r="M77" s="785">
        <f t="shared" si="125"/>
        <v>92.347023735553648</v>
      </c>
      <c r="N77" s="786">
        <f t="shared" si="126"/>
        <v>8082.8470237355541</v>
      </c>
      <c r="Q77" s="731">
        <f t="shared" si="127"/>
        <v>1</v>
      </c>
      <c r="R77" s="732">
        <f t="shared" si="128"/>
        <v>1522</v>
      </c>
      <c r="S77" s="733">
        <v>5</v>
      </c>
      <c r="T77" s="734">
        <v>0</v>
      </c>
      <c r="U77" s="735">
        <f t="shared" si="129"/>
        <v>7610</v>
      </c>
      <c r="V77" s="736">
        <f t="shared" si="130"/>
        <v>0</v>
      </c>
      <c r="W77" s="737">
        <f t="shared" si="131"/>
        <v>0</v>
      </c>
      <c r="X77" s="780">
        <f t="shared" si="132"/>
        <v>0</v>
      </c>
      <c r="Y77" s="781">
        <f t="shared" si="133"/>
        <v>92.347023735553648</v>
      </c>
      <c r="Z77" s="739">
        <f t="shared" si="134"/>
        <v>1</v>
      </c>
      <c r="AA77" s="740">
        <f t="shared" si="135"/>
        <v>0</v>
      </c>
      <c r="AK77" s="741">
        <f t="shared" si="10"/>
        <v>0</v>
      </c>
      <c r="AL77" s="742">
        <v>0</v>
      </c>
    </row>
    <row r="78" spans="1:38" ht="99.9" customHeight="1" x14ac:dyDescent="0.45">
      <c r="A78" s="715">
        <v>64</v>
      </c>
      <c r="B78" s="716" t="s">
        <v>683</v>
      </c>
      <c r="C78" s="717" t="s">
        <v>57</v>
      </c>
      <c r="D78" s="715" t="s">
        <v>88</v>
      </c>
      <c r="E78" s="715" t="s">
        <v>280</v>
      </c>
      <c r="F78" s="751" t="s">
        <v>645</v>
      </c>
      <c r="G78" s="789" t="s">
        <v>623</v>
      </c>
      <c r="H78" s="753">
        <v>1</v>
      </c>
      <c r="I78" s="790">
        <v>26</v>
      </c>
      <c r="J78" s="791">
        <v>49</v>
      </c>
      <c r="K78" s="769">
        <f t="shared" si="123"/>
        <v>1274</v>
      </c>
      <c r="L78" s="785">
        <f t="shared" si="124"/>
        <v>63.7</v>
      </c>
      <c r="M78" s="785">
        <f t="shared" si="125"/>
        <v>15.459935379644595</v>
      </c>
      <c r="N78" s="786">
        <f t="shared" si="126"/>
        <v>1353.1599353796446</v>
      </c>
      <c r="Q78" s="731">
        <f t="shared" si="127"/>
        <v>1</v>
      </c>
      <c r="R78" s="732">
        <f t="shared" si="128"/>
        <v>26</v>
      </c>
      <c r="S78" s="733">
        <v>49</v>
      </c>
      <c r="T78" s="734">
        <v>0</v>
      </c>
      <c r="U78" s="735">
        <f t="shared" si="129"/>
        <v>1274</v>
      </c>
      <c r="V78" s="736">
        <f t="shared" si="130"/>
        <v>0</v>
      </c>
      <c r="W78" s="737">
        <f t="shared" si="131"/>
        <v>0</v>
      </c>
      <c r="X78" s="780">
        <f t="shared" si="132"/>
        <v>0</v>
      </c>
      <c r="Y78" s="781">
        <f t="shared" si="133"/>
        <v>15.459935379644595</v>
      </c>
      <c r="Z78" s="739">
        <f t="shared" si="134"/>
        <v>1</v>
      </c>
      <c r="AA78" s="740">
        <f t="shared" si="135"/>
        <v>0</v>
      </c>
      <c r="AK78" s="741">
        <f t="shared" si="10"/>
        <v>0</v>
      </c>
      <c r="AL78" s="742">
        <v>0</v>
      </c>
    </row>
    <row r="79" spans="1:38" ht="99.9" customHeight="1" x14ac:dyDescent="0.45">
      <c r="A79" s="715">
        <v>65</v>
      </c>
      <c r="B79" s="716" t="s">
        <v>684</v>
      </c>
      <c r="C79" s="717" t="s">
        <v>57</v>
      </c>
      <c r="D79" s="715" t="s">
        <v>88</v>
      </c>
      <c r="E79" s="715" t="s">
        <v>280</v>
      </c>
      <c r="F79" s="751" t="s">
        <v>645</v>
      </c>
      <c r="G79" s="789" t="s">
        <v>644</v>
      </c>
      <c r="H79" s="753">
        <v>1</v>
      </c>
      <c r="I79" s="790">
        <v>100</v>
      </c>
      <c r="J79" s="791">
        <v>25</v>
      </c>
      <c r="K79" s="769">
        <f t="shared" si="123"/>
        <v>2500</v>
      </c>
      <c r="L79" s="785">
        <f t="shared" si="124"/>
        <v>125</v>
      </c>
      <c r="M79" s="785">
        <f t="shared" si="125"/>
        <v>30.337392817198968</v>
      </c>
      <c r="N79" s="786">
        <f t="shared" si="126"/>
        <v>2655.3373928171991</v>
      </c>
      <c r="Q79" s="731">
        <f t="shared" si="127"/>
        <v>1</v>
      </c>
      <c r="R79" s="732">
        <f t="shared" si="128"/>
        <v>100</v>
      </c>
      <c r="S79" s="733">
        <v>25</v>
      </c>
      <c r="T79" s="734">
        <v>0</v>
      </c>
      <c r="U79" s="735">
        <f t="shared" si="129"/>
        <v>2500</v>
      </c>
      <c r="V79" s="736">
        <f t="shared" si="130"/>
        <v>0</v>
      </c>
      <c r="W79" s="737">
        <f t="shared" si="131"/>
        <v>0</v>
      </c>
      <c r="X79" s="780">
        <f t="shared" si="132"/>
        <v>0</v>
      </c>
      <c r="Y79" s="781">
        <f t="shared" si="133"/>
        <v>30.337392817198968</v>
      </c>
      <c r="Z79" s="739">
        <f t="shared" si="134"/>
        <v>1</v>
      </c>
      <c r="AA79" s="740">
        <f t="shared" si="135"/>
        <v>0</v>
      </c>
      <c r="AK79" s="741">
        <f t="shared" si="10"/>
        <v>0</v>
      </c>
      <c r="AL79" s="742">
        <v>0</v>
      </c>
    </row>
    <row r="80" spans="1:38" ht="99.9" customHeight="1" x14ac:dyDescent="0.45">
      <c r="A80" s="715">
        <v>66</v>
      </c>
      <c r="B80" s="716" t="s">
        <v>685</v>
      </c>
      <c r="C80" s="718" t="s">
        <v>57</v>
      </c>
      <c r="D80" s="690" t="s">
        <v>88</v>
      </c>
      <c r="E80" s="690" t="s">
        <v>280</v>
      </c>
      <c r="F80" s="782" t="s">
        <v>311</v>
      </c>
      <c r="G80" s="783" t="s">
        <v>771</v>
      </c>
      <c r="H80" s="784">
        <v>220</v>
      </c>
      <c r="I80" s="784">
        <v>1</v>
      </c>
      <c r="J80" s="785">
        <v>289</v>
      </c>
      <c r="K80" s="788">
        <f>IF(F80&lt;&gt;"",H80*I80*J80,"")</f>
        <v>63580</v>
      </c>
      <c r="L80" s="785">
        <f t="shared" si="0"/>
        <v>3179</v>
      </c>
      <c r="M80" s="785">
        <f t="shared" si="1"/>
        <v>771.54057412700411</v>
      </c>
      <c r="N80" s="800">
        <f t="shared" si="2"/>
        <v>67530.540574127008</v>
      </c>
      <c r="Q80" s="731">
        <f t="shared" si="11"/>
        <v>220</v>
      </c>
      <c r="R80" s="732">
        <f t="shared" si="11"/>
        <v>1</v>
      </c>
      <c r="S80" s="733">
        <v>289</v>
      </c>
      <c r="T80" s="734">
        <v>0</v>
      </c>
      <c r="U80" s="735">
        <f t="shared" si="3"/>
        <v>63580</v>
      </c>
      <c r="V80" s="736">
        <f t="shared" si="4"/>
        <v>0</v>
      </c>
      <c r="W80" s="737">
        <f t="shared" si="5"/>
        <v>0</v>
      </c>
      <c r="X80" s="737">
        <f t="shared" si="6"/>
        <v>0</v>
      </c>
      <c r="Y80" s="738">
        <f t="shared" si="83"/>
        <v>771.54057412700411</v>
      </c>
      <c r="Z80" s="805">
        <f t="shared" si="8"/>
        <v>1</v>
      </c>
      <c r="AA80" s="806">
        <f t="shared" si="135"/>
        <v>0</v>
      </c>
      <c r="AK80" s="741">
        <f t="shared" si="10"/>
        <v>0</v>
      </c>
      <c r="AL80" s="742">
        <v>0</v>
      </c>
    </row>
    <row r="81" spans="1:40" ht="99.9" customHeight="1" x14ac:dyDescent="0.45">
      <c r="A81" s="715">
        <v>67</v>
      </c>
      <c r="B81" s="716" t="s">
        <v>686</v>
      </c>
      <c r="C81" s="717" t="s">
        <v>57</v>
      </c>
      <c r="D81" s="715" t="s">
        <v>88</v>
      </c>
      <c r="E81" s="715" t="s">
        <v>280</v>
      </c>
      <c r="F81" s="751" t="s">
        <v>736</v>
      </c>
      <c r="G81" s="789" t="s">
        <v>647</v>
      </c>
      <c r="H81" s="753">
        <v>1</v>
      </c>
      <c r="I81" s="790">
        <v>50</v>
      </c>
      <c r="J81" s="791">
        <v>175</v>
      </c>
      <c r="K81" s="807">
        <f t="shared" ref="K81:K84" si="148">IF(F81&lt;&gt;"",H81*I81*J81,"")</f>
        <v>8750</v>
      </c>
      <c r="L81" s="785">
        <f t="shared" ref="L81:L84" si="149">IF(K81&lt;&gt;"",IF(D81="INTERNO",0,K81*$L$14),"")</f>
        <v>437.5</v>
      </c>
      <c r="M81" s="785">
        <f t="shared" ref="M81:M84" si="150">IF(K81&lt;&gt;"",IF(E81="FAT.OGGI",SUM(K81:L81)*(1/(1-$M$14)-1),L81*(1/(1-$M$14)-1)),"")</f>
        <v>106.18087486019638</v>
      </c>
      <c r="N81" s="786">
        <f t="shared" ref="N81:N84" si="151">SUM(K81:M81)</f>
        <v>9293.6808748601961</v>
      </c>
      <c r="Q81" s="731">
        <f t="shared" ref="Q81:Q84" si="152">IF(H81&lt;&gt;"",H81,"")</f>
        <v>1</v>
      </c>
      <c r="R81" s="732">
        <f t="shared" ref="R81:R84" si="153">IF(I81&lt;&gt;"",I81,"")</f>
        <v>50</v>
      </c>
      <c r="S81" s="733">
        <v>175</v>
      </c>
      <c r="T81" s="734">
        <v>0</v>
      </c>
      <c r="U81" s="735">
        <f t="shared" ref="U81:U84" si="154">IF(Q81&lt;&gt;"",K81-T81,"")</f>
        <v>8750</v>
      </c>
      <c r="V81" s="736">
        <f t="shared" ref="V81:V84" si="155">IF(Q81&lt;&gt;"",0%,"")</f>
        <v>0</v>
      </c>
      <c r="W81" s="737">
        <f t="shared" ref="W81:W84" si="156">IF(Q81&lt;&gt;"",V81*U81,"")</f>
        <v>0</v>
      </c>
      <c r="X81" s="780">
        <f t="shared" ref="X81:X84" si="157">IF(Q81&lt;&gt;"",W81+T81,"")</f>
        <v>0</v>
      </c>
      <c r="Y81" s="781">
        <f t="shared" si="83"/>
        <v>106.18087486019638</v>
      </c>
      <c r="Z81" s="739">
        <f t="shared" ref="Z81:Z84" si="158">IF(Q81&lt;&gt;"",U81/K81,"")</f>
        <v>1</v>
      </c>
      <c r="AA81" s="740">
        <f t="shared" si="135"/>
        <v>0</v>
      </c>
      <c r="AK81" s="741">
        <f t="shared" si="10"/>
        <v>0</v>
      </c>
      <c r="AL81" s="742">
        <v>0</v>
      </c>
    </row>
    <row r="82" spans="1:40" ht="99.9" customHeight="1" x14ac:dyDescent="0.45">
      <c r="A82" s="715">
        <v>68</v>
      </c>
      <c r="B82" s="716" t="s">
        <v>687</v>
      </c>
      <c r="C82" s="717" t="s">
        <v>57</v>
      </c>
      <c r="D82" s="715" t="s">
        <v>88</v>
      </c>
      <c r="E82" s="715" t="s">
        <v>280</v>
      </c>
      <c r="F82" s="751" t="s">
        <v>646</v>
      </c>
      <c r="G82" s="789" t="s">
        <v>648</v>
      </c>
      <c r="H82" s="753">
        <v>1</v>
      </c>
      <c r="I82" s="790">
        <v>1</v>
      </c>
      <c r="J82" s="791">
        <v>6833.5</v>
      </c>
      <c r="K82" s="769">
        <f t="shared" si="148"/>
        <v>6833.5</v>
      </c>
      <c r="L82" s="785">
        <f t="shared" si="149"/>
        <v>341.67500000000001</v>
      </c>
      <c r="M82" s="785">
        <f t="shared" si="150"/>
        <v>82.924229526531661</v>
      </c>
      <c r="N82" s="786">
        <f t="shared" si="151"/>
        <v>7258.0992295265314</v>
      </c>
      <c r="Q82" s="731">
        <f t="shared" si="152"/>
        <v>1</v>
      </c>
      <c r="R82" s="732">
        <f t="shared" si="153"/>
        <v>1</v>
      </c>
      <c r="S82" s="733">
        <v>6833.5</v>
      </c>
      <c r="T82" s="734">
        <v>0</v>
      </c>
      <c r="U82" s="735">
        <f t="shared" si="154"/>
        <v>6833.5</v>
      </c>
      <c r="V82" s="736">
        <f t="shared" si="155"/>
        <v>0</v>
      </c>
      <c r="W82" s="737">
        <f t="shared" si="156"/>
        <v>0</v>
      </c>
      <c r="X82" s="780">
        <f t="shared" si="157"/>
        <v>0</v>
      </c>
      <c r="Y82" s="781">
        <f t="shared" si="83"/>
        <v>82.924229526531661</v>
      </c>
      <c r="Z82" s="739">
        <f t="shared" si="158"/>
        <v>1</v>
      </c>
      <c r="AA82" s="740">
        <f t="shared" si="135"/>
        <v>0</v>
      </c>
      <c r="AK82" s="741">
        <f t="shared" ref="AK82:AK87" si="159">X82-AL82</f>
        <v>0</v>
      </c>
      <c r="AL82" s="742">
        <v>0</v>
      </c>
    </row>
    <row r="83" spans="1:40" ht="99.9" customHeight="1" x14ac:dyDescent="0.45">
      <c r="A83" s="715">
        <v>69</v>
      </c>
      <c r="B83" s="716" t="s">
        <v>688</v>
      </c>
      <c r="C83" s="717" t="s">
        <v>57</v>
      </c>
      <c r="D83" s="715" t="s">
        <v>88</v>
      </c>
      <c r="E83" s="715" t="s">
        <v>280</v>
      </c>
      <c r="F83" s="751" t="s">
        <v>646</v>
      </c>
      <c r="G83" s="789" t="s">
        <v>649</v>
      </c>
      <c r="H83" s="753">
        <v>1</v>
      </c>
      <c r="I83" s="790">
        <v>1</v>
      </c>
      <c r="J83" s="791">
        <v>1835</v>
      </c>
      <c r="K83" s="807">
        <v>1835</v>
      </c>
      <c r="L83" s="785">
        <f t="shared" ref="L83" si="160">IF(K83&lt;&gt;"",IF(D83="INTERNO",0,K83*$L$14),"")</f>
        <v>91.75</v>
      </c>
      <c r="M83" s="785">
        <f t="shared" ref="M83" si="161">IF(K83&lt;&gt;"",IF(E83="FAT.OGGI",SUM(K83:L83)*(1/(1-$M$14)-1),L83*(1/(1-$M$14)-1)),"")</f>
        <v>22.267646327824043</v>
      </c>
      <c r="N83" s="786">
        <f t="shared" ref="N83" si="162">SUM(K83:M83)</f>
        <v>1949.017646327824</v>
      </c>
      <c r="Q83" s="731">
        <f t="shared" ref="Q83" si="163">IF(H83&lt;&gt;"",H83,"")</f>
        <v>1</v>
      </c>
      <c r="R83" s="732">
        <f t="shared" ref="R83" si="164">IF(I83&lt;&gt;"",I83,"")</f>
        <v>1</v>
      </c>
      <c r="S83" s="733">
        <v>1835</v>
      </c>
      <c r="T83" s="734">
        <v>0</v>
      </c>
      <c r="U83" s="735">
        <f t="shared" ref="U83" si="165">IF(Q83&lt;&gt;"",K83-T83,"")</f>
        <v>1835</v>
      </c>
      <c r="V83" s="736">
        <f t="shared" ref="V83" si="166">IF(Q83&lt;&gt;"",0%,"")</f>
        <v>0</v>
      </c>
      <c r="W83" s="737">
        <f t="shared" ref="W83" si="167">IF(Q83&lt;&gt;"",V83*U83,"")</f>
        <v>0</v>
      </c>
      <c r="X83" s="780">
        <f t="shared" ref="X83" si="168">IF(Q83&lt;&gt;"",W83+T83,"")</f>
        <v>0</v>
      </c>
      <c r="Y83" s="781">
        <f t="shared" ref="Y83" si="169">IF(Q83&lt;&gt;"",X83+M83,"")</f>
        <v>22.267646327824043</v>
      </c>
      <c r="Z83" s="739">
        <f t="shared" ref="Z83" si="170">IF(Q83&lt;&gt;"",U83/K83,"")</f>
        <v>1</v>
      </c>
      <c r="AA83" s="740">
        <f t="shared" si="135"/>
        <v>0</v>
      </c>
      <c r="AK83" s="741">
        <f t="shared" si="159"/>
        <v>0</v>
      </c>
      <c r="AL83" s="742">
        <v>0</v>
      </c>
    </row>
    <row r="84" spans="1:40" ht="99.9" customHeight="1" thickBot="1" x14ac:dyDescent="0.5">
      <c r="A84" s="715">
        <v>70</v>
      </c>
      <c r="B84" s="716" t="s">
        <v>689</v>
      </c>
      <c r="C84" s="717" t="s">
        <v>57</v>
      </c>
      <c r="D84" s="715" t="s">
        <v>88</v>
      </c>
      <c r="E84" s="715" t="s">
        <v>280</v>
      </c>
      <c r="F84" s="751" t="s">
        <v>646</v>
      </c>
      <c r="G84" s="789" t="s">
        <v>650</v>
      </c>
      <c r="H84" s="753">
        <v>1</v>
      </c>
      <c r="I84" s="790">
        <v>1</v>
      </c>
      <c r="J84" s="791">
        <v>159.12</v>
      </c>
      <c r="K84" s="755">
        <f t="shared" si="148"/>
        <v>159.12</v>
      </c>
      <c r="L84" s="785">
        <f t="shared" si="149"/>
        <v>7.9560000000000004</v>
      </c>
      <c r="M84" s="785">
        <f t="shared" si="150"/>
        <v>1.9309143780290798</v>
      </c>
      <c r="N84" s="786">
        <f t="shared" si="151"/>
        <v>169.00691437802908</v>
      </c>
      <c r="Q84" s="731">
        <f t="shared" si="152"/>
        <v>1</v>
      </c>
      <c r="R84" s="732">
        <f t="shared" si="153"/>
        <v>1</v>
      </c>
      <c r="S84" s="733">
        <v>159.12</v>
      </c>
      <c r="T84" s="734">
        <v>0</v>
      </c>
      <c r="U84" s="735">
        <f t="shared" si="154"/>
        <v>159.12</v>
      </c>
      <c r="V84" s="736">
        <f t="shared" si="155"/>
        <v>0</v>
      </c>
      <c r="W84" s="737">
        <f t="shared" si="156"/>
        <v>0</v>
      </c>
      <c r="X84" s="780">
        <f t="shared" si="157"/>
        <v>0</v>
      </c>
      <c r="Y84" s="781">
        <f t="shared" si="83"/>
        <v>1.9309143780290798</v>
      </c>
      <c r="Z84" s="739">
        <f t="shared" si="158"/>
        <v>1</v>
      </c>
      <c r="AA84" s="740">
        <f t="shared" si="135"/>
        <v>0</v>
      </c>
      <c r="AK84" s="741">
        <f t="shared" si="159"/>
        <v>0</v>
      </c>
      <c r="AL84" s="742">
        <v>0</v>
      </c>
    </row>
    <row r="85" spans="1:40" ht="35.1" customHeight="1" thickBot="1" x14ac:dyDescent="0.5">
      <c r="A85" s="690">
        <v>71</v>
      </c>
      <c r="B85" s="716"/>
      <c r="C85" s="718" t="s">
        <v>83</v>
      </c>
      <c r="D85" s="690"/>
      <c r="E85" s="690"/>
      <c r="F85" s="1348" t="s">
        <v>318</v>
      </c>
      <c r="G85" s="1349"/>
      <c r="H85" s="1349"/>
      <c r="I85" s="1349"/>
      <c r="J85" s="1349"/>
      <c r="K85" s="808">
        <f>SUM(K17:K84)</f>
        <v>1153210.4500000002</v>
      </c>
      <c r="L85" s="808">
        <f>SUM(L17:L84)</f>
        <v>57660.522500000014</v>
      </c>
      <c r="M85" s="808">
        <f>SUM(M17:M84)</f>
        <v>13994.15936901952</v>
      </c>
      <c r="N85" s="809">
        <f>SUM(N17:N84)</f>
        <v>1224865.1318690202</v>
      </c>
      <c r="O85" s="810"/>
      <c r="Q85" s="1350" t="s">
        <v>319</v>
      </c>
      <c r="R85" s="1351"/>
      <c r="S85" s="1351"/>
      <c r="T85" s="811">
        <f>SUM(T17:T84)</f>
        <v>1612574.16</v>
      </c>
      <c r="U85" s="812">
        <f>SUM(U17:U84)</f>
        <v>-459363.70999999985</v>
      </c>
      <c r="V85" s="813"/>
      <c r="W85" s="813"/>
      <c r="X85" s="814">
        <f>SUM(X17:X84)</f>
        <v>1612574.16</v>
      </c>
      <c r="Y85" s="815">
        <f t="shared" si="7"/>
        <v>1626568.3193690195</v>
      </c>
      <c r="Z85" s="816" t="s">
        <v>275</v>
      </c>
      <c r="AA85" s="817" t="s">
        <v>276</v>
      </c>
      <c r="AK85" s="741"/>
      <c r="AL85" s="742"/>
    </row>
    <row r="86" spans="1:40" ht="35.1" customHeight="1" x14ac:dyDescent="0.45">
      <c r="A86" s="749">
        <v>72</v>
      </c>
      <c r="B86" s="716" t="s">
        <v>320</v>
      </c>
      <c r="C86" s="750" t="s">
        <v>51</v>
      </c>
      <c r="D86" s="749"/>
      <c r="E86" s="749"/>
      <c r="F86" s="1340" t="s">
        <v>321</v>
      </c>
      <c r="G86" s="1341"/>
      <c r="H86" s="1341"/>
      <c r="I86" s="1341"/>
      <c r="J86" s="1341"/>
      <c r="K86" s="1342"/>
      <c r="L86" s="818" t="s">
        <v>53</v>
      </c>
      <c r="M86" s="819" t="s">
        <v>54</v>
      </c>
      <c r="N86" s="820" t="s">
        <v>28</v>
      </c>
      <c r="Q86" s="1340" t="str">
        <f>IF(F86&lt;&gt;"",F86,"")</f>
        <v xml:space="preserve">ALIMENTAÇÃO E HOSPEDAGEM EQUIPE </v>
      </c>
      <c r="R86" s="1341"/>
      <c r="S86" s="1341"/>
      <c r="T86" s="1341"/>
      <c r="U86" s="1341"/>
      <c r="V86" s="1341"/>
      <c r="W86" s="1341"/>
      <c r="X86" s="1341"/>
      <c r="Y86" s="1343"/>
      <c r="Z86" s="821" t="s">
        <v>55</v>
      </c>
      <c r="AA86" s="822" t="s">
        <v>39</v>
      </c>
      <c r="AK86" s="741"/>
      <c r="AL86" s="742"/>
    </row>
    <row r="87" spans="1:40" ht="99.9" customHeight="1" x14ac:dyDescent="0.45">
      <c r="A87" s="690">
        <v>74</v>
      </c>
      <c r="B87" s="716" t="s">
        <v>325</v>
      </c>
      <c r="C87" s="718" t="s">
        <v>57</v>
      </c>
      <c r="D87" s="690" t="s">
        <v>88</v>
      </c>
      <c r="E87" s="715" t="s">
        <v>280</v>
      </c>
      <c r="F87" s="823" t="s">
        <v>326</v>
      </c>
      <c r="G87" s="824"/>
      <c r="H87" s="753">
        <v>1</v>
      </c>
      <c r="I87" s="753">
        <v>1</v>
      </c>
      <c r="J87" s="747">
        <v>29042.46</v>
      </c>
      <c r="K87" s="729">
        <f>IF(F87&lt;&gt;"",H87*I87*J87,"")</f>
        <v>29042.46</v>
      </c>
      <c r="L87" s="785">
        <f>IF(K87&lt;&gt;"",IF(D87="INTERNO",0,K87*$L$14),"")</f>
        <v>1452.123</v>
      </c>
      <c r="M87" s="785">
        <f t="shared" ref="M87" si="171">IF(K87&lt;&gt;"",IF(E87="FAT.OGGI",SUM(K87:L87)*(1/(1-$M$14)-1),L87*(1/(1-$M$14)-1)),"")</f>
        <v>352.42900695911533</v>
      </c>
      <c r="N87" s="748">
        <f>SUM(K87:M87)</f>
        <v>30847.012006959114</v>
      </c>
      <c r="O87" s="825"/>
      <c r="Q87" s="731">
        <f t="shared" ref="Q87:R87" si="172">IF(H87&lt;&gt;"",H87,"")</f>
        <v>1</v>
      </c>
      <c r="R87" s="732">
        <f t="shared" si="172"/>
        <v>1</v>
      </c>
      <c r="S87" s="734">
        <f>J87</f>
        <v>29042.46</v>
      </c>
      <c r="T87" s="734">
        <v>0</v>
      </c>
      <c r="U87" s="735">
        <f>IF(Q87&lt;&gt;"",K87-T87,"")</f>
        <v>29042.46</v>
      </c>
      <c r="V87" s="736">
        <f>IF(Q87&lt;&gt;"",0%,"")</f>
        <v>0</v>
      </c>
      <c r="W87" s="737">
        <f>IF(Q87&lt;&gt;"",V87*U87,"")</f>
        <v>0</v>
      </c>
      <c r="X87" s="737">
        <f>IF(Q87&lt;&gt;"",W87+T87,"")</f>
        <v>0</v>
      </c>
      <c r="Y87" s="738">
        <f t="shared" ref="Y87" si="173">IF(Q87&lt;&gt;"",X87+M87,"")</f>
        <v>352.42900695911533</v>
      </c>
      <c r="Z87" s="739">
        <f>IF(Q87&lt;&gt;"",U87/K87,"")</f>
        <v>1</v>
      </c>
      <c r="AA87" s="740" t="e">
        <f>T87/$T$88</f>
        <v>#DIV/0!</v>
      </c>
      <c r="AK87" s="741">
        <f t="shared" si="159"/>
        <v>0</v>
      </c>
      <c r="AL87" s="742">
        <v>0</v>
      </c>
    </row>
    <row r="88" spans="1:40" ht="35.1" customHeight="1" thickBot="1" x14ac:dyDescent="0.5">
      <c r="A88" s="826">
        <v>75</v>
      </c>
      <c r="B88" s="716"/>
      <c r="C88" s="827" t="s">
        <v>83</v>
      </c>
      <c r="D88" s="826"/>
      <c r="E88" s="826"/>
      <c r="F88" s="1344" t="s">
        <v>735</v>
      </c>
      <c r="G88" s="1345"/>
      <c r="H88" s="1345"/>
      <c r="I88" s="1345"/>
      <c r="J88" s="1345"/>
      <c r="K88" s="828">
        <f>SUM(K87:K87)</f>
        <v>29042.46</v>
      </c>
      <c r="L88" s="828">
        <f>SUM(L87:L87)</f>
        <v>1452.123</v>
      </c>
      <c r="M88" s="828">
        <f>SUM(M87:M87)</f>
        <v>352.42900695911533</v>
      </c>
      <c r="N88" s="829">
        <f>SUM(N87:N87)</f>
        <v>30847.012006959114</v>
      </c>
      <c r="O88" s="825"/>
      <c r="Q88" s="1346" t="s">
        <v>735</v>
      </c>
      <c r="R88" s="1347"/>
      <c r="S88" s="1347"/>
      <c r="T88" s="830">
        <f>SUM(T87:T87)</f>
        <v>0</v>
      </c>
      <c r="U88" s="831">
        <f>SUM(U87:U87)</f>
        <v>29042.46</v>
      </c>
      <c r="V88" s="832"/>
      <c r="W88" s="833"/>
      <c r="X88" s="834">
        <f>SUM(X87:X87)</f>
        <v>0</v>
      </c>
      <c r="Y88" s="835">
        <f>IF(Q88&lt;&gt;"",X88+M88,"")</f>
        <v>352.42900695911533</v>
      </c>
      <c r="Z88" s="836"/>
      <c r="AA88" s="836"/>
      <c r="AK88" s="741"/>
      <c r="AL88" s="742"/>
    </row>
    <row r="89" spans="1:40" ht="35.1" customHeight="1" thickBot="1" x14ac:dyDescent="0.5">
      <c r="A89" s="771">
        <v>76</v>
      </c>
      <c r="B89" s="837"/>
      <c r="C89" s="770" t="s">
        <v>277</v>
      </c>
      <c r="D89" s="771"/>
      <c r="E89" s="771"/>
      <c r="F89" s="838" t="s">
        <v>278</v>
      </c>
      <c r="G89" s="839"/>
      <c r="H89" s="839"/>
      <c r="I89" s="839"/>
      <c r="J89" s="839"/>
      <c r="K89" s="840">
        <f>SUM(K17:K84)+SUM(K87:K87)</f>
        <v>1182252.9100000001</v>
      </c>
      <c r="L89" s="840">
        <f>SUM(L17:L84)+SUM(L87:L87)</f>
        <v>59112.645500000013</v>
      </c>
      <c r="M89" s="840">
        <f>SUM(M17:M84)+SUM(M87:M87)</f>
        <v>14346.588375978636</v>
      </c>
      <c r="N89" s="841">
        <f>SUM(N17:N84)+SUM(N87:N87)</f>
        <v>1255712.1438759794</v>
      </c>
      <c r="Q89" s="838" t="s">
        <v>279</v>
      </c>
      <c r="R89" s="839"/>
      <c r="S89" s="839"/>
      <c r="T89" s="840">
        <f>SUM(T17:T84)+SUM(T87:T87)</f>
        <v>1612574.16</v>
      </c>
      <c r="U89" s="840">
        <f>SUM(U17:U84)+SUM(U87:U87)</f>
        <v>-430321.24999999983</v>
      </c>
      <c r="V89" s="839"/>
      <c r="W89" s="839"/>
      <c r="X89" s="840">
        <f>SUM(X17:X84)+SUM(X87:X87)</f>
        <v>1612574.16</v>
      </c>
      <c r="Y89" s="841">
        <f>SUM(Y17:Y84)+SUM(Y87:Y87)</f>
        <v>1626920.748375979</v>
      </c>
      <c r="Z89" s="842">
        <f>IF(Q89&lt;&gt;"",(N89-Y89)/N89,"")</f>
        <v>-0.29561600268848093</v>
      </c>
      <c r="AA89" s="843">
        <f>IF(Z89&lt;&gt;"",(N89-Y89),"")</f>
        <v>-371208.60449999967</v>
      </c>
      <c r="AK89" s="741">
        <f>SUM(AK17:AK87)</f>
        <v>0</v>
      </c>
      <c r="AL89" s="742">
        <f>SUM(AL17:AL87)</f>
        <v>1612574.1600000001</v>
      </c>
    </row>
    <row r="90" spans="1:40" x14ac:dyDescent="0.45">
      <c r="AL90" s="521"/>
      <c r="AM90" s="522" t="s">
        <v>744</v>
      </c>
      <c r="AN90"/>
    </row>
    <row r="91" spans="1:40" x14ac:dyDescent="0.45">
      <c r="K91" s="844"/>
      <c r="AL91" s="521">
        <f>X89</f>
        <v>1612574.16</v>
      </c>
      <c r="AM91" s="522" t="s">
        <v>745</v>
      </c>
      <c r="AN91"/>
    </row>
    <row r="92" spans="1:40" x14ac:dyDescent="0.45">
      <c r="K92" s="845"/>
      <c r="AL92" s="521">
        <f>N89-X89</f>
        <v>-356862.01612402056</v>
      </c>
      <c r="AM92" s="523" t="s">
        <v>741</v>
      </c>
      <c r="AN92"/>
    </row>
    <row r="93" spans="1:40" x14ac:dyDescent="0.45">
      <c r="K93" s="825"/>
      <c r="AL93" s="524">
        <f>AL92*100%/N89</f>
        <v>-0.28419094126341915</v>
      </c>
      <c r="AM93" s="525"/>
      <c r="AN93"/>
    </row>
    <row r="94" spans="1:40" x14ac:dyDescent="0.45">
      <c r="K94" s="825"/>
    </row>
  </sheetData>
  <mergeCells count="19">
    <mergeCell ref="F86:K86"/>
    <mergeCell ref="Q86:Y86"/>
    <mergeCell ref="F88:J88"/>
    <mergeCell ref="Q88:S88"/>
    <mergeCell ref="F85:J85"/>
    <mergeCell ref="Q85:S85"/>
    <mergeCell ref="AK12:AL12"/>
    <mergeCell ref="F15:N15"/>
    <mergeCell ref="Q15:Y15"/>
    <mergeCell ref="F16:K16"/>
    <mergeCell ref="AG12:AH12"/>
    <mergeCell ref="Q16:Y16"/>
    <mergeCell ref="AK15:AL15"/>
    <mergeCell ref="AK16:AL16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E89" xr:uid="{FEB2E679-8EAA-4F86-9B30-EB9232F06BEE}">
      <formula1>"FAT.OGGI,FAT.CLIENTE "</formula1>
    </dataValidation>
    <dataValidation type="list" allowBlank="1" showInputMessage="1" showErrorMessage="1" sqref="E17:E84 E87:E88" xr:uid="{20E1295E-E321-4130-A98A-01866E88D269}">
      <formula1>"FAT.OGGI,FAT.CLIENTE"</formula1>
    </dataValidation>
    <dataValidation type="list" allowBlank="1" showInputMessage="1" showErrorMessage="1" sqref="D17:D84 D87:D89" xr:uid="{755B7C85-25A1-426B-B607-CA81370023DD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E72F-B5CB-44FF-8342-401AF4887EB9}">
  <sheetPr codeName="Planilha20">
    <pageSetUpPr autoPageBreaks="0"/>
  </sheetPr>
  <dimension ref="A1:AM41"/>
  <sheetViews>
    <sheetView showGridLines="0" topLeftCell="B35" zoomScale="55" zoomScaleNormal="55" workbookViewId="0">
      <pane xSplit="4" topLeftCell="K1" activePane="topRight" state="frozen"/>
      <selection activeCell="B1" sqref="B1"/>
      <selection pane="topRight" activeCell="N37" sqref="N37"/>
    </sheetView>
  </sheetViews>
  <sheetFormatPr defaultColWidth="9.109375" defaultRowHeight="21" x14ac:dyDescent="0.4"/>
  <cols>
    <col min="1" max="1" width="8.44140625" style="220" hidden="1" customWidth="1"/>
    <col min="2" max="2" width="8.44140625" style="220" customWidth="1"/>
    <col min="3" max="5" width="8.44140625" style="220" hidden="1" customWidth="1"/>
    <col min="6" max="6" width="35.88671875" style="220" customWidth="1"/>
    <col min="7" max="7" width="52.33203125" style="220" customWidth="1"/>
    <col min="8" max="9" width="5.6640625" style="220" hidden="1" customWidth="1"/>
    <col min="10" max="10" width="20.109375" style="220" hidden="1" customWidth="1"/>
    <col min="11" max="11" width="26.88671875" style="220" customWidth="1"/>
    <col min="12" max="12" width="22.88671875" style="220" bestFit="1" customWidth="1"/>
    <col min="13" max="13" width="26.44140625" style="220" bestFit="1" customWidth="1"/>
    <col min="14" max="14" width="28.6640625" style="220" customWidth="1"/>
    <col min="15" max="15" width="3.33203125" style="220" hidden="1" customWidth="1"/>
    <col min="16" max="16" width="1.88671875" style="220" hidden="1" customWidth="1"/>
    <col min="17" max="17" width="9.33203125" style="220" customWidth="1"/>
    <col min="18" max="18" width="9.33203125" style="220" hidden="1" customWidth="1"/>
    <col min="19" max="19" width="26.44140625" style="220" hidden="1" customWidth="1"/>
    <col min="20" max="20" width="28.109375" style="220" customWidth="1"/>
    <col min="21" max="21" width="27" style="220" hidden="1" customWidth="1"/>
    <col min="22" max="23" width="18.109375" style="220" hidden="1" customWidth="1"/>
    <col min="24" max="24" width="28.109375" style="220" customWidth="1"/>
    <col min="25" max="25" width="27.5546875" style="220" hidden="1" customWidth="1"/>
    <col min="26" max="26" width="18.6640625" style="220" hidden="1" customWidth="1"/>
    <col min="27" max="27" width="25.6640625" style="220" hidden="1" customWidth="1"/>
    <col min="28" max="28" width="38.109375" style="220" hidden="1" customWidth="1"/>
    <col min="29" max="30" width="33" style="220" hidden="1" customWidth="1"/>
    <col min="31" max="31" width="28" style="220" hidden="1" customWidth="1"/>
    <col min="32" max="32" width="1.33203125" style="220" hidden="1" customWidth="1"/>
    <col min="33" max="33" width="81.5546875" style="220" hidden="1" customWidth="1"/>
    <col min="34" max="34" width="36.6640625" style="220" hidden="1" customWidth="1"/>
    <col min="35" max="35" width="1.5546875" style="220" hidden="1" customWidth="1"/>
    <col min="36" max="36" width="20.33203125" style="220" hidden="1" customWidth="1"/>
    <col min="37" max="37" width="25.33203125" style="220" customWidth="1"/>
    <col min="38" max="38" width="24.88671875" style="220" customWidth="1"/>
    <col min="39" max="39" width="8.6640625" style="525" customWidth="1"/>
    <col min="40" max="40" width="21.33203125" style="220" customWidth="1"/>
    <col min="41" max="16384" width="9.109375" style="220"/>
  </cols>
  <sheetData>
    <row r="1" spans="1:38" ht="49.5" customHeight="1" x14ac:dyDescent="0.4">
      <c r="B1" s="218"/>
      <c r="C1" s="219"/>
      <c r="D1" s="219"/>
      <c r="F1" s="1251" t="s">
        <v>0</v>
      </c>
      <c r="G1" s="1251"/>
    </row>
    <row r="2" spans="1:38" ht="24.75" customHeight="1" x14ac:dyDescent="0.4">
      <c r="B2" s="610"/>
      <c r="D2" s="219"/>
      <c r="F2" s="1252" t="s">
        <v>1</v>
      </c>
      <c r="G2" s="1252"/>
    </row>
    <row r="3" spans="1:38" ht="22.2" x14ac:dyDescent="0.4">
      <c r="B3" s="611"/>
      <c r="F3" s="223"/>
      <c r="G3" s="223"/>
    </row>
    <row r="4" spans="1:38" ht="22.2" x14ac:dyDescent="0.4">
      <c r="F4" s="224" t="s">
        <v>2</v>
      </c>
      <c r="G4" s="225"/>
    </row>
    <row r="5" spans="1:38" ht="22.2" x14ac:dyDescent="0.4">
      <c r="F5" s="226" t="s">
        <v>3</v>
      </c>
      <c r="G5" s="227"/>
    </row>
    <row r="6" spans="1:38" ht="22.2" x14ac:dyDescent="0.4">
      <c r="F6" s="226" t="s">
        <v>4</v>
      </c>
      <c r="G6" s="228"/>
    </row>
    <row r="7" spans="1:38" ht="21.75" customHeight="1" x14ac:dyDescent="0.4">
      <c r="F7" s="226" t="s">
        <v>5</v>
      </c>
      <c r="G7" s="228"/>
    </row>
    <row r="8" spans="1:38" ht="22.2" x14ac:dyDescent="0.4">
      <c r="F8" s="226" t="s">
        <v>6</v>
      </c>
      <c r="G8" s="229"/>
    </row>
    <row r="9" spans="1:38" ht="22.2" x14ac:dyDescent="0.4">
      <c r="F9" s="226" t="s">
        <v>7</v>
      </c>
      <c r="G9" s="228"/>
      <c r="M9" s="220">
        <v>0.80469999999999997</v>
      </c>
    </row>
    <row r="10" spans="1:38" ht="27" customHeight="1" x14ac:dyDescent="0.4">
      <c r="F10" s="226" t="s">
        <v>8</v>
      </c>
      <c r="G10" s="228"/>
      <c r="M10" s="220">
        <f>1-M9</f>
        <v>0.19530000000000003</v>
      </c>
    </row>
    <row r="11" spans="1:38" ht="22.2" x14ac:dyDescent="0.4">
      <c r="F11" s="230" t="s">
        <v>9</v>
      </c>
      <c r="G11" s="231"/>
    </row>
    <row r="12" spans="1:38" ht="22.8" hidden="1" thickBot="1" x14ac:dyDescent="0.45">
      <c r="B12" s="612"/>
      <c r="M12" s="233"/>
      <c r="Q12" s="1268" t="s">
        <v>10</v>
      </c>
      <c r="R12" s="1269"/>
      <c r="S12" s="1269"/>
      <c r="T12" s="1270"/>
      <c r="U12" s="1271" t="s">
        <v>11</v>
      </c>
      <c r="V12" s="1272"/>
      <c r="W12" s="1272"/>
      <c r="X12" s="1273"/>
      <c r="Y12" s="234" t="s">
        <v>12</v>
      </c>
      <c r="Z12" s="235" t="e">
        <f>(1/(1-#REF!))-1</f>
        <v>#REF!</v>
      </c>
      <c r="AC12" s="1274" t="s">
        <v>13</v>
      </c>
      <c r="AD12" s="1275"/>
      <c r="AE12" s="1276"/>
      <c r="AG12" s="1261" t="s">
        <v>14</v>
      </c>
      <c r="AH12" s="1262"/>
      <c r="AJ12" s="236" t="s">
        <v>15</v>
      </c>
      <c r="AK12" s="1279" t="s">
        <v>16</v>
      </c>
      <c r="AL12" s="1280"/>
    </row>
    <row r="13" spans="1:38" ht="22.8" thickBot="1" x14ac:dyDescent="0.5">
      <c r="A13" s="613" t="s">
        <v>17</v>
      </c>
      <c r="B13" s="614" t="s">
        <v>18</v>
      </c>
      <c r="C13" s="613" t="s">
        <v>19</v>
      </c>
      <c r="D13" s="613" t="s">
        <v>20</v>
      </c>
      <c r="E13" s="613" t="s">
        <v>21</v>
      </c>
      <c r="M13" s="239">
        <v>0.80469999999999997</v>
      </c>
    </row>
    <row r="14" spans="1:38" ht="35.1" customHeight="1" thickBot="1" x14ac:dyDescent="0.45">
      <c r="A14" s="240">
        <v>0</v>
      </c>
      <c r="B14" s="241"/>
      <c r="C14" s="242"/>
      <c r="D14" s="243"/>
      <c r="E14" s="243"/>
      <c r="F14" s="244" t="s">
        <v>22</v>
      </c>
      <c r="G14" s="245" t="s">
        <v>23</v>
      </c>
      <c r="H14" s="246" t="s">
        <v>24</v>
      </c>
      <c r="I14" s="246" t="s">
        <v>25</v>
      </c>
      <c r="J14" s="247" t="s">
        <v>26</v>
      </c>
      <c r="K14" s="248" t="s">
        <v>27</v>
      </c>
      <c r="L14" s="249">
        <v>7.4999999999999997E-2</v>
      </c>
      <c r="M14" s="250">
        <f>1-M13</f>
        <v>0.19530000000000003</v>
      </c>
      <c r="N14" s="251" t="s">
        <v>28</v>
      </c>
      <c r="Q14" s="252" t="s">
        <v>29</v>
      </c>
      <c r="R14" s="253" t="s">
        <v>30</v>
      </c>
      <c r="S14" s="254" t="s">
        <v>31</v>
      </c>
      <c r="T14" s="255" t="s">
        <v>32</v>
      </c>
      <c r="U14" s="256" t="s">
        <v>33</v>
      </c>
      <c r="V14" s="257" t="s">
        <v>34</v>
      </c>
      <c r="W14" s="258" t="s">
        <v>35</v>
      </c>
      <c r="X14" s="258" t="s">
        <v>36</v>
      </c>
      <c r="Y14" s="259" t="s">
        <v>37</v>
      </c>
      <c r="Z14" s="260" t="s">
        <v>38</v>
      </c>
      <c r="AA14" s="261" t="s">
        <v>39</v>
      </c>
      <c r="AC14" s="262" t="s">
        <v>40</v>
      </c>
      <c r="AD14" s="263" t="s">
        <v>41</v>
      </c>
      <c r="AE14" s="263" t="s">
        <v>42</v>
      </c>
      <c r="AG14" s="264" t="s">
        <v>43</v>
      </c>
      <c r="AH14" s="265" t="s">
        <v>44</v>
      </c>
      <c r="AI14" s="220" t="s">
        <v>45</v>
      </c>
      <c r="AJ14" s="220" t="s">
        <v>45</v>
      </c>
      <c r="AK14" s="526" t="s">
        <v>46</v>
      </c>
      <c r="AL14" s="527" t="s">
        <v>47</v>
      </c>
    </row>
    <row r="15" spans="1:38" ht="35.1" customHeight="1" thickBot="1" x14ac:dyDescent="0.5">
      <c r="A15" s="274">
        <v>1</v>
      </c>
      <c r="B15" s="267">
        <v>1</v>
      </c>
      <c r="C15" s="275" t="s">
        <v>48</v>
      </c>
      <c r="D15" s="274"/>
      <c r="E15" s="274"/>
      <c r="F15" s="1199" t="s">
        <v>332</v>
      </c>
      <c r="G15" s="1200"/>
      <c r="H15" s="1200"/>
      <c r="I15" s="1200"/>
      <c r="J15" s="1200"/>
      <c r="K15" s="1200"/>
      <c r="L15" s="1200"/>
      <c r="M15" s="1200"/>
      <c r="N15" s="1201"/>
      <c r="Q15" s="1368" t="str">
        <f>IF(F15&lt;&gt;"",F15,"")</f>
        <v>EXTRA</v>
      </c>
      <c r="R15" s="1369"/>
      <c r="S15" s="1369"/>
      <c r="T15" s="1369"/>
      <c r="U15" s="1369"/>
      <c r="V15" s="1369"/>
      <c r="W15" s="1369"/>
      <c r="X15" s="1369"/>
      <c r="Y15" s="1370"/>
      <c r="AK15" s="1263"/>
      <c r="AL15" s="1264"/>
    </row>
    <row r="16" spans="1:38" ht="35.1" customHeight="1" x14ac:dyDescent="0.45">
      <c r="A16" s="243">
        <v>2</v>
      </c>
      <c r="B16" s="267" t="s">
        <v>50</v>
      </c>
      <c r="C16" s="282" t="s">
        <v>51</v>
      </c>
      <c r="D16" s="243"/>
      <c r="E16" s="243"/>
      <c r="F16" s="1224" t="s">
        <v>333</v>
      </c>
      <c r="G16" s="1225"/>
      <c r="H16" s="1225"/>
      <c r="I16" s="1225"/>
      <c r="J16" s="1225"/>
      <c r="K16" s="1226"/>
      <c r="L16" s="276" t="s">
        <v>53</v>
      </c>
      <c r="M16" s="277" t="s">
        <v>54</v>
      </c>
      <c r="N16" s="278" t="s">
        <v>28</v>
      </c>
      <c r="P16" s="877"/>
      <c r="Q16" s="1224" t="str">
        <f>IF(F16&lt;&gt;"",F16,"")</f>
        <v xml:space="preserve">QR Code </v>
      </c>
      <c r="R16" s="1225"/>
      <c r="S16" s="1225"/>
      <c r="T16" s="1225"/>
      <c r="U16" s="1225"/>
      <c r="V16" s="1225"/>
      <c r="W16" s="1225"/>
      <c r="X16" s="1225"/>
      <c r="Y16" s="1371"/>
      <c r="Z16" s="280" t="s">
        <v>55</v>
      </c>
      <c r="AA16" s="281" t="s">
        <v>39</v>
      </c>
      <c r="AK16" s="1249"/>
      <c r="AL16" s="1250"/>
    </row>
    <row r="17" spans="1:39" ht="99.9" customHeight="1" x14ac:dyDescent="0.45">
      <c r="A17" s="878">
        <v>3</v>
      </c>
      <c r="B17" s="879" t="s">
        <v>56</v>
      </c>
      <c r="C17" s="880" t="s">
        <v>57</v>
      </c>
      <c r="D17" s="881" t="s">
        <v>88</v>
      </c>
      <c r="E17" s="881" t="s">
        <v>58</v>
      </c>
      <c r="F17" s="882" t="s">
        <v>334</v>
      </c>
      <c r="G17" s="883" t="s">
        <v>335</v>
      </c>
      <c r="H17" s="884">
        <v>1</v>
      </c>
      <c r="I17" s="885">
        <v>1</v>
      </c>
      <c r="J17" s="886">
        <v>2750</v>
      </c>
      <c r="K17" s="352">
        <f>IF(F17&lt;&gt;"",H17*I17*J17,"")</f>
        <v>2750</v>
      </c>
      <c r="L17" s="352">
        <f>IF(K17&lt;&gt;"",IF(D17="INTERNO",0,K17*$L$14),"")</f>
        <v>206.25</v>
      </c>
      <c r="M17" s="352">
        <f>IF(K17&lt;&gt;"",IF(E17="FAT.OGGI",SUM(K17:L17)*(1/(1-$M$14)-1),L17*(1/(1-$M$14)-1)),"")</f>
        <v>717.47934012675557</v>
      </c>
      <c r="N17" s="429">
        <f>SUM(K17:M17)</f>
        <v>3673.7293401267557</v>
      </c>
      <c r="Q17" s="887">
        <f>IF(H17&lt;&gt;"",H17,"")</f>
        <v>1</v>
      </c>
      <c r="R17" s="888">
        <f>IF(I17&lt;&gt;"",I17,"")</f>
        <v>1</v>
      </c>
      <c r="S17" s="889">
        <v>2337.5</v>
      </c>
      <c r="T17" s="889">
        <v>35587.5</v>
      </c>
      <c r="U17" s="890">
        <f>IF(Q17&lt;&gt;"",K17-T17,"")</f>
        <v>-32837.5</v>
      </c>
      <c r="V17" s="357">
        <f>IF(Q17&lt;&gt;"",0%,"")</f>
        <v>0</v>
      </c>
      <c r="W17" s="358">
        <f>IF(Q17&lt;&gt;"",V17*U17,"")</f>
        <v>0</v>
      </c>
      <c r="X17" s="419">
        <v>35587.5</v>
      </c>
      <c r="Y17" s="359">
        <f>IF(Q17&lt;&gt;"",X17+L17,"")</f>
        <v>35793.75</v>
      </c>
      <c r="Z17" s="492">
        <f>IF(Q17&lt;&gt;"",U17/N17,"")</f>
        <v>-8.9384646934460878</v>
      </c>
      <c r="AA17" s="298">
        <f>T17/$T$19</f>
        <v>1</v>
      </c>
      <c r="AB17" s="891"/>
      <c r="AC17" s="324">
        <v>0</v>
      </c>
      <c r="AD17" s="325">
        <f>T17-AC17</f>
        <v>35587.5</v>
      </c>
      <c r="AE17" s="326">
        <v>46013</v>
      </c>
      <c r="AF17" s="891"/>
      <c r="AG17" s="327" t="s">
        <v>267</v>
      </c>
      <c r="AH17" s="328" t="s">
        <v>267</v>
      </c>
      <c r="AI17" s="891"/>
      <c r="AJ17" s="891"/>
      <c r="AK17" s="528">
        <f>X17-AL17</f>
        <v>0</v>
      </c>
      <c r="AL17" s="529">
        <f>2250+2337.5+31000</f>
        <v>35587.5</v>
      </c>
      <c r="AM17" s="525" t="s">
        <v>815</v>
      </c>
    </row>
    <row r="18" spans="1:39" ht="99.9" customHeight="1" x14ac:dyDescent="0.45">
      <c r="A18" s="878">
        <v>4</v>
      </c>
      <c r="B18" s="879" t="s">
        <v>61</v>
      </c>
      <c r="C18" s="880" t="s">
        <v>57</v>
      </c>
      <c r="D18" s="881" t="s">
        <v>88</v>
      </c>
      <c r="E18" s="881" t="s">
        <v>58</v>
      </c>
      <c r="F18" s="882" t="s">
        <v>336</v>
      </c>
      <c r="G18" s="883" t="s">
        <v>337</v>
      </c>
      <c r="H18" s="884">
        <v>1</v>
      </c>
      <c r="I18" s="885">
        <v>1</v>
      </c>
      <c r="J18" s="886">
        <v>2750</v>
      </c>
      <c r="K18" s="352">
        <f>IF(F18&lt;&gt;"",H18*I18*J18,"")</f>
        <v>2750</v>
      </c>
      <c r="L18" s="352">
        <f>IF(K18&lt;&gt;"",IF(D18="INTERNO",0,K18*$L$14),"")</f>
        <v>206.25</v>
      </c>
      <c r="M18" s="352">
        <f>IF(K18&lt;&gt;"",IF(E18="FAT.OGGI",SUM(K18:L18)*(1/(1-$M$14)-1),L18*(1/(1-$M$14)-1)),"")</f>
        <v>717.47934012675557</v>
      </c>
      <c r="N18" s="429">
        <f>SUM(K18:M18)</f>
        <v>3673.7293401267557</v>
      </c>
      <c r="Q18" s="892">
        <f>IF(H18&lt;&gt;"",H18,"")</f>
        <v>1</v>
      </c>
      <c r="R18" s="893">
        <f>IF(I18&lt;&gt;"",I18,"")</f>
        <v>1</v>
      </c>
      <c r="S18" s="894">
        <v>2250</v>
      </c>
      <c r="T18" s="894">
        <v>0</v>
      </c>
      <c r="U18" s="895">
        <f>IF(Q18&lt;&gt;"",K18-T18,"")</f>
        <v>2750</v>
      </c>
      <c r="V18" s="418">
        <f>IF(Q18&lt;&gt;"",0%,"")</f>
        <v>0</v>
      </c>
      <c r="W18" s="419">
        <f>IF(Q18&lt;&gt;"",V18*U18,"")</f>
        <v>0</v>
      </c>
      <c r="X18" s="419">
        <f>IF(Q18&lt;&gt;"",W18+T18,"")</f>
        <v>0</v>
      </c>
      <c r="Y18" s="312">
        <f>IF(Q18&lt;&gt;"",X18+L18,"")</f>
        <v>206.25</v>
      </c>
      <c r="Z18" s="297">
        <f>IF(Q18&lt;&gt;"",U18/N18,"")</f>
        <v>0.74855813953488359</v>
      </c>
      <c r="AA18" s="298">
        <f>T18/$T$19</f>
        <v>0</v>
      </c>
      <c r="AB18" s="891"/>
      <c r="AC18" s="324">
        <v>0</v>
      </c>
      <c r="AD18" s="325">
        <f>T18-AC18</f>
        <v>0</v>
      </c>
      <c r="AE18" s="326">
        <v>46041</v>
      </c>
      <c r="AF18" s="891"/>
      <c r="AG18" s="327" t="s">
        <v>579</v>
      </c>
      <c r="AH18" s="328" t="s">
        <v>579</v>
      </c>
      <c r="AI18" s="891"/>
      <c r="AJ18" s="891"/>
      <c r="AK18" s="528">
        <f t="shared" ref="AK18:AK35" si="0">X18-AL18</f>
        <v>0</v>
      </c>
      <c r="AL18" s="529">
        <v>0</v>
      </c>
    </row>
    <row r="19" spans="1:39" ht="35.1" customHeight="1" thickBot="1" x14ac:dyDescent="0.5">
      <c r="A19" s="896">
        <v>5</v>
      </c>
      <c r="B19" s="879"/>
      <c r="C19" s="897" t="s">
        <v>83</v>
      </c>
      <c r="D19" s="898"/>
      <c r="E19" s="898"/>
      <c r="F19" s="1364" t="s">
        <v>338</v>
      </c>
      <c r="G19" s="1365"/>
      <c r="H19" s="1365"/>
      <c r="I19" s="1365"/>
      <c r="J19" s="1365"/>
      <c r="K19" s="899">
        <f>SUM(K17:K18)</f>
        <v>5500</v>
      </c>
      <c r="L19" s="900">
        <f>SUM(L17:L18)</f>
        <v>412.5</v>
      </c>
      <c r="M19" s="901">
        <f>SUM(M17:M18)</f>
        <v>1434.9586802535111</v>
      </c>
      <c r="N19" s="902">
        <f>SUM(N17:N18)</f>
        <v>7347.4586802535114</v>
      </c>
      <c r="Q19" s="1238" t="s">
        <v>338</v>
      </c>
      <c r="R19" s="1239"/>
      <c r="S19" s="1239"/>
      <c r="T19" s="903">
        <f>SUM(T17:T18)</f>
        <v>35587.5</v>
      </c>
      <c r="U19" s="904">
        <f>SUM(U17:U18)</f>
        <v>-30087.5</v>
      </c>
      <c r="V19" s="905"/>
      <c r="W19" s="906"/>
      <c r="X19" s="907">
        <f>SUM(X17:X18)</f>
        <v>35587.5</v>
      </c>
      <c r="Y19" s="908">
        <f>IF(Q19&lt;&gt;"",X19+M19,"")</f>
        <v>37022.458680253512</v>
      </c>
      <c r="Z19" s="909"/>
      <c r="AA19" s="910"/>
      <c r="AB19" s="891"/>
      <c r="AC19" s="324"/>
      <c r="AD19" s="325"/>
      <c r="AE19" s="326"/>
      <c r="AF19" s="891"/>
      <c r="AG19" s="327"/>
      <c r="AH19" s="328"/>
      <c r="AI19" s="891"/>
      <c r="AJ19" s="891"/>
      <c r="AK19" s="528"/>
      <c r="AL19" s="529"/>
    </row>
    <row r="20" spans="1:39" ht="35.1" customHeight="1" thickBot="1" x14ac:dyDescent="0.5">
      <c r="A20" s="911">
        <v>6</v>
      </c>
      <c r="B20" s="879" t="s">
        <v>320</v>
      </c>
      <c r="C20" s="912" t="s">
        <v>51</v>
      </c>
      <c r="D20" s="913"/>
      <c r="E20" s="913"/>
      <c r="F20" s="1352" t="s">
        <v>339</v>
      </c>
      <c r="G20" s="1353"/>
      <c r="H20" s="1353"/>
      <c r="I20" s="1353"/>
      <c r="J20" s="1353"/>
      <c r="K20" s="1354"/>
      <c r="L20" s="914" t="s">
        <v>53</v>
      </c>
      <c r="M20" s="915" t="s">
        <v>54</v>
      </c>
      <c r="N20" s="916" t="s">
        <v>28</v>
      </c>
      <c r="Q20" s="1357" t="str">
        <f>IF(F20&lt;&gt;"",F20,"")</f>
        <v>Criação</v>
      </c>
      <c r="R20" s="1358"/>
      <c r="S20" s="1358"/>
      <c r="T20" s="1358"/>
      <c r="U20" s="1358"/>
      <c r="V20" s="1358"/>
      <c r="W20" s="1358"/>
      <c r="X20" s="1358"/>
      <c r="Y20" s="1359"/>
      <c r="Z20" s="401" t="s">
        <v>55</v>
      </c>
      <c r="AA20" s="917" t="s">
        <v>39</v>
      </c>
      <c r="AB20" s="891"/>
      <c r="AC20" s="324"/>
      <c r="AD20" s="325"/>
      <c r="AE20" s="326"/>
      <c r="AF20" s="891"/>
      <c r="AG20" s="327"/>
      <c r="AH20" s="328"/>
      <c r="AI20" s="891"/>
      <c r="AJ20" s="891"/>
      <c r="AK20" s="528"/>
      <c r="AL20" s="529"/>
    </row>
    <row r="21" spans="1:39" ht="99.9" customHeight="1" x14ac:dyDescent="0.45">
      <c r="A21" s="918">
        <v>7</v>
      </c>
      <c r="B21" s="879" t="s">
        <v>322</v>
      </c>
      <c r="C21" s="919" t="s">
        <v>57</v>
      </c>
      <c r="D21" s="920" t="s">
        <v>52</v>
      </c>
      <c r="E21" s="920" t="s">
        <v>58</v>
      </c>
      <c r="F21" s="921" t="s">
        <v>340</v>
      </c>
      <c r="G21" s="922" t="s">
        <v>341</v>
      </c>
      <c r="H21" s="923">
        <v>1</v>
      </c>
      <c r="I21" s="924">
        <v>1</v>
      </c>
      <c r="J21" s="925">
        <v>1000</v>
      </c>
      <c r="K21" s="469">
        <f>IF(F21&lt;&gt;"",H21*I21*J21,"")</f>
        <v>1000</v>
      </c>
      <c r="L21" s="469">
        <f>IF(K21&lt;&gt;"",IF(D21="INTERNO",0,K21*$L$14),"")</f>
        <v>0</v>
      </c>
      <c r="M21" s="469">
        <f>IF(K21&lt;&gt;"",IF(E21="FAT.OGGI",SUM(K21:L21)*(1/(1-$M$14)-1),L21*(1/(1-$M$14)-1)),"")</f>
        <v>242.69914253759174</v>
      </c>
      <c r="N21" s="926">
        <f>SUM(K21:M21)</f>
        <v>1242.6991425375918</v>
      </c>
      <c r="Q21" s="892">
        <f t="shared" ref="Q21:Q22" si="1">IF(H21&lt;&gt;"",H21,"")</f>
        <v>1</v>
      </c>
      <c r="R21" s="893">
        <f t="shared" ref="R21:R22" si="2">IF(I21&lt;&gt;"",I21,"")</f>
        <v>1</v>
      </c>
      <c r="S21" s="895">
        <v>0</v>
      </c>
      <c r="T21" s="895">
        <f>IF(Q21&lt;&gt;"",Q21*R21*S21,"")</f>
        <v>0</v>
      </c>
      <c r="U21" s="895">
        <f>IF(Q21&lt;&gt;"",K21-T21,"")</f>
        <v>1000</v>
      </c>
      <c r="V21" s="418">
        <f>IF(Q21&lt;&gt;"",0%,"")</f>
        <v>0</v>
      </c>
      <c r="W21" s="419">
        <f>IF(Q21&lt;&gt;"",V21*U21,"")</f>
        <v>0</v>
      </c>
      <c r="X21" s="419">
        <f>IF(Q21&lt;&gt;"",W21+T21,"")</f>
        <v>0</v>
      </c>
      <c r="Y21" s="312">
        <f>IF(Q21&lt;&gt;"",X21+L21,"")</f>
        <v>0</v>
      </c>
      <c r="Z21" s="492">
        <f>IF(Q21&lt;&gt;"",U21/N21,"")</f>
        <v>0.80469999999999986</v>
      </c>
      <c r="AA21" s="298">
        <f>T21/$T$24</f>
        <v>0</v>
      </c>
      <c r="AB21" s="891"/>
      <c r="AC21" s="324">
        <v>0</v>
      </c>
      <c r="AD21" s="325">
        <f>T21-AC21</f>
        <v>0</v>
      </c>
      <c r="AE21" s="326">
        <v>46010</v>
      </c>
      <c r="AF21" s="891"/>
      <c r="AG21" s="327" t="s">
        <v>157</v>
      </c>
      <c r="AH21" s="328" t="s">
        <v>157</v>
      </c>
      <c r="AI21" s="891"/>
      <c r="AJ21" s="891"/>
      <c r="AK21" s="528">
        <f t="shared" si="0"/>
        <v>0</v>
      </c>
      <c r="AL21" s="529">
        <v>0</v>
      </c>
    </row>
    <row r="22" spans="1:39" ht="99.9" customHeight="1" x14ac:dyDescent="0.45">
      <c r="A22" s="918">
        <v>8</v>
      </c>
      <c r="B22" s="879" t="s">
        <v>325</v>
      </c>
      <c r="C22" s="919" t="s">
        <v>57</v>
      </c>
      <c r="D22" s="920" t="s">
        <v>52</v>
      </c>
      <c r="E22" s="920" t="s">
        <v>58</v>
      </c>
      <c r="F22" s="448" t="s">
        <v>342</v>
      </c>
      <c r="G22" s="620"/>
      <c r="H22" s="445">
        <v>2</v>
      </c>
      <c r="I22" s="446">
        <v>1</v>
      </c>
      <c r="J22" s="447">
        <v>750</v>
      </c>
      <c r="K22" s="405">
        <f>IF(F22&lt;&gt;"",H22*I22*J22,"")</f>
        <v>1500</v>
      </c>
      <c r="L22" s="405">
        <f>IF(K22&lt;&gt;"",IF(D22="INTERNO",0,K22*$L$14),"")</f>
        <v>0</v>
      </c>
      <c r="M22" s="405">
        <f>IF(K22&lt;&gt;"",IF(E22="FAT.OGGI",SUM(K22:L22)*(1/(1-$M$14)-1),L22*(1/(1-$M$14)-1)),"")</f>
        <v>364.04871380638758</v>
      </c>
      <c r="N22" s="426">
        <f>SUM(K22:M22)</f>
        <v>1864.0487138063877</v>
      </c>
      <c r="Q22" s="892">
        <f t="shared" si="1"/>
        <v>2</v>
      </c>
      <c r="R22" s="893">
        <f t="shared" si="2"/>
        <v>1</v>
      </c>
      <c r="S22" s="895">
        <v>0</v>
      </c>
      <c r="T22" s="895">
        <f>IF(Q22&lt;&gt;"",Q22*R22*S22,"")</f>
        <v>0</v>
      </c>
      <c r="U22" s="895">
        <f>IF(Q22&lt;&gt;"",K22-T22,"")</f>
        <v>1500</v>
      </c>
      <c r="V22" s="418">
        <f>IF(Q22&lt;&gt;"",0%,"")</f>
        <v>0</v>
      </c>
      <c r="W22" s="419">
        <f>IF(Q22&lt;&gt;"",V22*U22,"")</f>
        <v>0</v>
      </c>
      <c r="X22" s="419">
        <f>IF(Q22&lt;&gt;"",W22+T22,"")</f>
        <v>0</v>
      </c>
      <c r="Y22" s="312">
        <f>IF(Q22&lt;&gt;"",X22+L22,"")</f>
        <v>0</v>
      </c>
      <c r="Z22" s="492">
        <f>IF(Q22&lt;&gt;"",U22/N22,"")</f>
        <v>0.80469999999999986</v>
      </c>
      <c r="AA22" s="298">
        <f>T22/$T$24</f>
        <v>0</v>
      </c>
      <c r="AB22" s="891"/>
      <c r="AC22" s="324">
        <v>0</v>
      </c>
      <c r="AD22" s="325">
        <f>T22-AC22</f>
        <v>0</v>
      </c>
      <c r="AE22" s="326">
        <v>46010</v>
      </c>
      <c r="AF22" s="891"/>
      <c r="AG22" s="327" t="s">
        <v>157</v>
      </c>
      <c r="AH22" s="328" t="s">
        <v>157</v>
      </c>
      <c r="AI22" s="891"/>
      <c r="AJ22" s="891"/>
      <c r="AK22" s="528">
        <f t="shared" si="0"/>
        <v>0</v>
      </c>
      <c r="AL22" s="529">
        <v>0</v>
      </c>
    </row>
    <row r="23" spans="1:39" ht="99.9" customHeight="1" x14ac:dyDescent="0.45">
      <c r="A23" s="918">
        <v>9</v>
      </c>
      <c r="B23" s="879" t="s">
        <v>327</v>
      </c>
      <c r="C23" s="919" t="s">
        <v>57</v>
      </c>
      <c r="D23" s="920" t="s">
        <v>52</v>
      </c>
      <c r="E23" s="920" t="s">
        <v>58</v>
      </c>
      <c r="F23" s="882" t="s">
        <v>343</v>
      </c>
      <c r="G23" s="883"/>
      <c r="H23" s="884">
        <v>1</v>
      </c>
      <c r="I23" s="885">
        <v>1</v>
      </c>
      <c r="J23" s="886">
        <v>750</v>
      </c>
      <c r="K23" s="352">
        <f>IF(F23&lt;&gt;"",H23*I23*J23,"")</f>
        <v>750</v>
      </c>
      <c r="L23" s="352">
        <f>IF(K23&lt;&gt;"",IF(D23="INTERNO",0,K23*$L$14),"")</f>
        <v>0</v>
      </c>
      <c r="M23" s="352">
        <f>IF(K23&lt;&gt;"",IF(E23="FAT.OGGI",SUM(K23:L23)*(1/(1-$M$14)-1),L23*(1/(1-$M$14)-1)),"")</f>
        <v>182.02435690319379</v>
      </c>
      <c r="N23" s="429">
        <f>SUM(K23:M23)</f>
        <v>932.02435690319385</v>
      </c>
      <c r="Q23" s="892">
        <f t="shared" ref="Q23" si="3">IF(H23&lt;&gt;"",H23,"")</f>
        <v>1</v>
      </c>
      <c r="R23" s="893">
        <f t="shared" ref="R23" si="4">IF(I23&lt;&gt;"",I23,"")</f>
        <v>1</v>
      </c>
      <c r="S23" s="895">
        <v>0</v>
      </c>
      <c r="T23" s="895">
        <v>3640</v>
      </c>
      <c r="U23" s="895">
        <f>IF(Q23&lt;&gt;"",K23-T23,"")</f>
        <v>-2890</v>
      </c>
      <c r="V23" s="418">
        <f>IF(Q23&lt;&gt;"",0%,"")</f>
        <v>0</v>
      </c>
      <c r="W23" s="419">
        <f>IF(Q23&lt;&gt;"",V23*U23,"")</f>
        <v>0</v>
      </c>
      <c r="X23" s="419">
        <f>IF(Q23&lt;&gt;"",W23+T23,"")</f>
        <v>3640</v>
      </c>
      <c r="Y23" s="312">
        <f>IF(Q23&lt;&gt;"",X23+L23,"")</f>
        <v>3640</v>
      </c>
      <c r="Z23" s="492">
        <f>IF(Q23&lt;&gt;"",U23/N23,"")</f>
        <v>-3.1007773333333328</v>
      </c>
      <c r="AA23" s="298">
        <f>T23/$T$24</f>
        <v>1</v>
      </c>
      <c r="AB23" s="891"/>
      <c r="AC23" s="324">
        <v>0</v>
      </c>
      <c r="AD23" s="325">
        <f>T23-AC23</f>
        <v>3640</v>
      </c>
      <c r="AE23" s="326">
        <v>46010</v>
      </c>
      <c r="AF23" s="891"/>
      <c r="AG23" s="327" t="s">
        <v>157</v>
      </c>
      <c r="AH23" s="328" t="s">
        <v>157</v>
      </c>
      <c r="AI23" s="891"/>
      <c r="AJ23" s="891"/>
      <c r="AK23" s="528">
        <f t="shared" si="0"/>
        <v>0</v>
      </c>
      <c r="AL23" s="529">
        <v>3640</v>
      </c>
      <c r="AM23" s="525" t="s">
        <v>811</v>
      </c>
    </row>
    <row r="24" spans="1:39" ht="35.1" customHeight="1" thickBot="1" x14ac:dyDescent="0.5">
      <c r="A24" s="896">
        <v>10</v>
      </c>
      <c r="B24" s="879"/>
      <c r="C24" s="897" t="s">
        <v>83</v>
      </c>
      <c r="D24" s="898"/>
      <c r="E24" s="898"/>
      <c r="F24" s="1364" t="s">
        <v>344</v>
      </c>
      <c r="G24" s="1365"/>
      <c r="H24" s="1365"/>
      <c r="I24" s="1365"/>
      <c r="J24" s="1365"/>
      <c r="K24" s="899">
        <f>SUM(K21:K23)</f>
        <v>3250</v>
      </c>
      <c r="L24" s="900">
        <f>SUM(L21:L23)</f>
        <v>0</v>
      </c>
      <c r="M24" s="901">
        <f>SUM(M21:M23)</f>
        <v>788.77221324717311</v>
      </c>
      <c r="N24" s="902">
        <f>SUM(N21:N23)</f>
        <v>4038.7722132471736</v>
      </c>
      <c r="Q24" s="1218" t="s">
        <v>344</v>
      </c>
      <c r="R24" s="1247"/>
      <c r="S24" s="1247"/>
      <c r="T24" s="903">
        <f>SUM(T21:T23)</f>
        <v>3640</v>
      </c>
      <c r="U24" s="904">
        <f>SUM(U21:U23)</f>
        <v>-390</v>
      </c>
      <c r="V24" s="905"/>
      <c r="W24" s="906"/>
      <c r="X24" s="907">
        <f>SUM(X21:X23)</f>
        <v>3640</v>
      </c>
      <c r="Y24" s="927">
        <f>IF(Q24&lt;&gt;"",X24+M24,"")</f>
        <v>4428.7722132471736</v>
      </c>
      <c r="Z24" s="492"/>
      <c r="AA24" s="298"/>
      <c r="AB24" s="891"/>
      <c r="AC24" s="324"/>
      <c r="AD24" s="325"/>
      <c r="AE24" s="326"/>
      <c r="AF24" s="891"/>
      <c r="AG24" s="327"/>
      <c r="AH24" s="328"/>
      <c r="AI24" s="891"/>
      <c r="AJ24" s="891"/>
      <c r="AK24" s="528"/>
      <c r="AL24" s="529"/>
    </row>
    <row r="25" spans="1:39" ht="35.1" customHeight="1" thickBot="1" x14ac:dyDescent="0.5">
      <c r="A25" s="911">
        <v>11</v>
      </c>
      <c r="B25" s="879" t="s">
        <v>345</v>
      </c>
      <c r="C25" s="912" t="s">
        <v>51</v>
      </c>
      <c r="D25" s="913"/>
      <c r="E25" s="913"/>
      <c r="F25" s="1352" t="s">
        <v>346</v>
      </c>
      <c r="G25" s="1353"/>
      <c r="H25" s="1353"/>
      <c r="I25" s="1353"/>
      <c r="J25" s="1353"/>
      <c r="K25" s="1354"/>
      <c r="L25" s="914" t="s">
        <v>53</v>
      </c>
      <c r="M25" s="915" t="s">
        <v>54</v>
      </c>
      <c r="N25" s="916" t="s">
        <v>28</v>
      </c>
      <c r="Q25" s="1357" t="str">
        <f>IF(F25&lt;&gt;"",F25,"")</f>
        <v>Material Gráfico</v>
      </c>
      <c r="R25" s="1358"/>
      <c r="S25" s="1358"/>
      <c r="T25" s="1358"/>
      <c r="U25" s="1358"/>
      <c r="V25" s="1358"/>
      <c r="W25" s="1358"/>
      <c r="X25" s="1358"/>
      <c r="Y25" s="1359"/>
      <c r="Z25" s="401" t="s">
        <v>55</v>
      </c>
      <c r="AA25" s="917" t="s">
        <v>39</v>
      </c>
      <c r="AB25" s="891"/>
      <c r="AC25" s="324"/>
      <c r="AD25" s="325"/>
      <c r="AE25" s="326"/>
      <c r="AF25" s="891"/>
      <c r="AG25" s="327"/>
      <c r="AH25" s="328"/>
      <c r="AI25" s="891"/>
      <c r="AJ25" s="891"/>
      <c r="AK25" s="528"/>
      <c r="AL25" s="529"/>
    </row>
    <row r="26" spans="1:39" ht="99.9" customHeight="1" x14ac:dyDescent="0.45">
      <c r="A26" s="918">
        <v>12</v>
      </c>
      <c r="B26" s="879" t="s">
        <v>347</v>
      </c>
      <c r="C26" s="919" t="s">
        <v>57</v>
      </c>
      <c r="D26" s="920" t="s">
        <v>88</v>
      </c>
      <c r="E26" s="920" t="s">
        <v>58</v>
      </c>
      <c r="F26" s="928" t="s">
        <v>348</v>
      </c>
      <c r="G26" s="929" t="s">
        <v>349</v>
      </c>
      <c r="H26" s="930">
        <v>1</v>
      </c>
      <c r="I26" s="931">
        <v>1</v>
      </c>
      <c r="J26" s="932">
        <v>420</v>
      </c>
      <c r="K26" s="658">
        <f>IF(F26&lt;&gt;"",H26*I26*J26,"")</f>
        <v>420</v>
      </c>
      <c r="L26" s="658">
        <f>IF(K26&lt;&gt;"",IF(D26="INTERNO",0,K26*$L$14),"")</f>
        <v>31.5</v>
      </c>
      <c r="M26" s="658">
        <f>IF(K26&lt;&gt;"",IF(E26="FAT.OGGI",SUM(K26:L26)*(1/(1-$M$14)-1),L26*(1/(1-$M$14)-1)),"")</f>
        <v>109.57866285572267</v>
      </c>
      <c r="N26" s="933">
        <f>SUM(K26:M26)</f>
        <v>561.07866285572265</v>
      </c>
      <c r="Q26" s="892">
        <f t="shared" ref="Q26:R32" si="5">IF(H26&lt;&gt;"",H26,"")</f>
        <v>1</v>
      </c>
      <c r="R26" s="893">
        <v>0</v>
      </c>
      <c r="S26" s="895">
        <v>290</v>
      </c>
      <c r="T26" s="895">
        <f>IF(Q26&lt;&gt;"",Q26*R26*S26,"")</f>
        <v>0</v>
      </c>
      <c r="U26" s="895">
        <f>IF(Q26&lt;&gt;"",K26-T26,"")</f>
        <v>420</v>
      </c>
      <c r="V26" s="418">
        <f>IF(Q26&lt;&gt;"",0%,"")</f>
        <v>0</v>
      </c>
      <c r="W26" s="419">
        <f>IF(Q26&lt;&gt;"",V26*U26,"")</f>
        <v>0</v>
      </c>
      <c r="X26" s="419">
        <f>IF(Q26&lt;&gt;"",W26+T26,"")</f>
        <v>0</v>
      </c>
      <c r="Y26" s="312">
        <f>IF(Q26&lt;&gt;"",X26+L26,"")</f>
        <v>31.5</v>
      </c>
      <c r="Z26" s="492">
        <f>IF(Q26&lt;&gt;"",U26/N26,"")</f>
        <v>0.7485581395348837</v>
      </c>
      <c r="AA26" s="298" t="e">
        <f>T26/$T$27</f>
        <v>#DIV/0!</v>
      </c>
      <c r="AB26" s="891"/>
      <c r="AC26" s="324">
        <v>0</v>
      </c>
      <c r="AD26" s="325">
        <f>T26-AC26</f>
        <v>0</v>
      </c>
      <c r="AE26" s="326">
        <v>46028</v>
      </c>
      <c r="AF26" s="891"/>
      <c r="AG26" s="327" t="s">
        <v>350</v>
      </c>
      <c r="AH26" s="328" t="s">
        <v>351</v>
      </c>
      <c r="AI26" s="891"/>
      <c r="AJ26" s="891"/>
      <c r="AK26" s="528">
        <f t="shared" si="0"/>
        <v>0</v>
      </c>
      <c r="AL26" s="529">
        <v>0</v>
      </c>
    </row>
    <row r="27" spans="1:39" ht="35.1" customHeight="1" thickBot="1" x14ac:dyDescent="0.5">
      <c r="A27" s="896">
        <v>13</v>
      </c>
      <c r="B27" s="879"/>
      <c r="C27" s="897" t="s">
        <v>83</v>
      </c>
      <c r="D27" s="898"/>
      <c r="E27" s="898"/>
      <c r="F27" s="1364" t="s">
        <v>352</v>
      </c>
      <c r="G27" s="1365"/>
      <c r="H27" s="1365"/>
      <c r="I27" s="1365"/>
      <c r="J27" s="1365"/>
      <c r="K27" s="899">
        <f>SUM(K26:K26)</f>
        <v>420</v>
      </c>
      <c r="L27" s="900">
        <f>SUM(L26:L26)</f>
        <v>31.5</v>
      </c>
      <c r="M27" s="901">
        <f>SUM(M26:M26)</f>
        <v>109.57866285572267</v>
      </c>
      <c r="N27" s="902">
        <f>SUM(N26:N26)</f>
        <v>561.07866285572265</v>
      </c>
      <c r="Q27" s="1218" t="s">
        <v>352</v>
      </c>
      <c r="R27" s="1247"/>
      <c r="S27" s="1247"/>
      <c r="T27" s="903">
        <f>SUM(T26:T26)</f>
        <v>0</v>
      </c>
      <c r="U27" s="904">
        <f>SUM(U26:U26)</f>
        <v>420</v>
      </c>
      <c r="V27" s="905"/>
      <c r="W27" s="906"/>
      <c r="X27" s="907">
        <f>SUM(X26:X26)</f>
        <v>0</v>
      </c>
      <c r="Y27" s="927">
        <f>IF(Q27&lt;&gt;"",X27+M27,"")</f>
        <v>109.57866285572267</v>
      </c>
      <c r="Z27" s="492"/>
      <c r="AA27" s="298"/>
      <c r="AB27" s="891"/>
      <c r="AC27" s="324"/>
      <c r="AD27" s="325"/>
      <c r="AE27" s="326"/>
      <c r="AF27" s="891"/>
      <c r="AG27" s="327"/>
      <c r="AH27" s="328"/>
      <c r="AI27" s="891"/>
      <c r="AJ27" s="891"/>
      <c r="AK27" s="528"/>
      <c r="AL27" s="529"/>
    </row>
    <row r="28" spans="1:39" ht="35.1" customHeight="1" thickBot="1" x14ac:dyDescent="0.5">
      <c r="A28" s="911">
        <v>14</v>
      </c>
      <c r="B28" s="879" t="s">
        <v>353</v>
      </c>
      <c r="C28" s="912" t="s">
        <v>51</v>
      </c>
      <c r="D28" s="913"/>
      <c r="E28" s="913"/>
      <c r="F28" s="1352" t="s">
        <v>354</v>
      </c>
      <c r="G28" s="1353"/>
      <c r="H28" s="1353"/>
      <c r="I28" s="1353"/>
      <c r="J28" s="1353"/>
      <c r="K28" s="1354"/>
      <c r="L28" s="914" t="s">
        <v>53</v>
      </c>
      <c r="M28" s="915" t="s">
        <v>54</v>
      </c>
      <c r="N28" s="916" t="s">
        <v>28</v>
      </c>
      <c r="Q28" s="1357" t="str">
        <f>IF(F28&lt;&gt;"",F28,"")</f>
        <v xml:space="preserve">Kit Credenciamento </v>
      </c>
      <c r="R28" s="1358"/>
      <c r="S28" s="1358"/>
      <c r="T28" s="1358"/>
      <c r="U28" s="1358"/>
      <c r="V28" s="1358"/>
      <c r="W28" s="1358"/>
      <c r="X28" s="1358"/>
      <c r="Y28" s="1359"/>
      <c r="Z28" s="401" t="s">
        <v>55</v>
      </c>
      <c r="AA28" s="917" t="s">
        <v>39</v>
      </c>
      <c r="AB28" s="891"/>
      <c r="AC28" s="324"/>
      <c r="AD28" s="325"/>
      <c r="AE28" s="326"/>
      <c r="AF28" s="891"/>
      <c r="AG28" s="327"/>
      <c r="AH28" s="328"/>
      <c r="AI28" s="891"/>
      <c r="AJ28" s="891"/>
      <c r="AK28" s="528"/>
      <c r="AL28" s="529"/>
    </row>
    <row r="29" spans="1:39" ht="99.9" customHeight="1" x14ac:dyDescent="0.45">
      <c r="A29" s="918">
        <v>15</v>
      </c>
      <c r="B29" s="879" t="s">
        <v>355</v>
      </c>
      <c r="C29" s="919" t="s">
        <v>57</v>
      </c>
      <c r="D29" s="920" t="s">
        <v>88</v>
      </c>
      <c r="E29" s="920" t="s">
        <v>58</v>
      </c>
      <c r="F29" s="934" t="s">
        <v>356</v>
      </c>
      <c r="G29" s="935" t="s">
        <v>357</v>
      </c>
      <c r="H29" s="930">
        <v>400</v>
      </c>
      <c r="I29" s="931">
        <v>1</v>
      </c>
      <c r="J29" s="932">
        <v>11.78</v>
      </c>
      <c r="K29" s="658">
        <f>IF(F29&lt;&gt;"",H29*I29*J29,"")</f>
        <v>4712</v>
      </c>
      <c r="L29" s="658">
        <f>IF(K29&lt;&gt;"",IF(D29="INTERNO",0,K29*$L$14),"")</f>
        <v>353.4</v>
      </c>
      <c r="M29" s="658">
        <f>IF(K29&lt;&gt;"",IF(E29="FAT.OGGI",SUM(K29:L29)*(1/(1-$M$14)-1),L29*(1/(1-$M$14)-1)),"")</f>
        <v>1229.3682366099169</v>
      </c>
      <c r="N29" s="933">
        <f>SUM(K29:M29)</f>
        <v>6294.7682366099161</v>
      </c>
      <c r="Q29" s="936">
        <f t="shared" si="5"/>
        <v>400</v>
      </c>
      <c r="R29" s="937">
        <f t="shared" si="5"/>
        <v>1</v>
      </c>
      <c r="S29" s="938">
        <v>8</v>
      </c>
      <c r="T29" s="938">
        <v>13910</v>
      </c>
      <c r="U29" s="939">
        <f>IF(Q29&lt;&gt;"",K29-T29,"")</f>
        <v>-9198</v>
      </c>
      <c r="V29" s="339">
        <f>IF(Q29&lt;&gt;"",0%,"")</f>
        <v>0</v>
      </c>
      <c r="W29" s="340">
        <f>IF(Q29&lt;&gt;"",V29*U29,"")</f>
        <v>0</v>
      </c>
      <c r="X29" s="340">
        <f>IF(Q29&lt;&gt;"",W29+T29,"")</f>
        <v>13910</v>
      </c>
      <c r="Y29" s="323">
        <f>IF(Q29&lt;&gt;"",X29+L29,"")</f>
        <v>14263.4</v>
      </c>
      <c r="Z29" s="492">
        <f>IF(Q29&lt;&gt;"",U29/N29,"")</f>
        <v>-1.461213448098867</v>
      </c>
      <c r="AA29" s="298">
        <f>T29/$T$30</f>
        <v>1</v>
      </c>
      <c r="AB29" s="891"/>
      <c r="AC29" s="324">
        <v>0</v>
      </c>
      <c r="AD29" s="325">
        <f>T29-AC29</f>
        <v>13910</v>
      </c>
      <c r="AE29" s="326">
        <v>46021</v>
      </c>
      <c r="AF29" s="891"/>
      <c r="AG29" s="327" t="s">
        <v>267</v>
      </c>
      <c r="AH29" s="328" t="s">
        <v>267</v>
      </c>
      <c r="AI29" s="891"/>
      <c r="AJ29" s="891"/>
      <c r="AK29" s="528">
        <f t="shared" si="0"/>
        <v>0</v>
      </c>
      <c r="AL29" s="529">
        <f>3200+6855+3855</f>
        <v>13910</v>
      </c>
      <c r="AM29" s="525" t="s">
        <v>788</v>
      </c>
    </row>
    <row r="30" spans="1:39" ht="35.1" customHeight="1" thickBot="1" x14ac:dyDescent="0.5">
      <c r="A30" s="896">
        <v>16</v>
      </c>
      <c r="B30" s="879"/>
      <c r="C30" s="897" t="s">
        <v>83</v>
      </c>
      <c r="D30" s="898"/>
      <c r="E30" s="898"/>
      <c r="F30" s="1366" t="s">
        <v>358</v>
      </c>
      <c r="G30" s="1367"/>
      <c r="H30" s="1367"/>
      <c r="I30" s="1367"/>
      <c r="J30" s="1367"/>
      <c r="K30" s="899">
        <f>SUM(K29:K29)</f>
        <v>4712</v>
      </c>
      <c r="L30" s="900">
        <f>SUM(L29:L29)</f>
        <v>353.4</v>
      </c>
      <c r="M30" s="901">
        <f>SUM(M29:M29)</f>
        <v>1229.3682366099169</v>
      </c>
      <c r="N30" s="902">
        <f>SUM(N29:N29)</f>
        <v>6294.7682366099161</v>
      </c>
      <c r="Q30" s="1205" t="s">
        <v>358</v>
      </c>
      <c r="R30" s="1372"/>
      <c r="S30" s="1372"/>
      <c r="T30" s="903">
        <f>SUM(T29:T29)</f>
        <v>13910</v>
      </c>
      <c r="U30" s="904">
        <f>SUM(U29:U29)</f>
        <v>-9198</v>
      </c>
      <c r="V30" s="905"/>
      <c r="W30" s="906"/>
      <c r="X30" s="907">
        <f>SUM(X29:X29)</f>
        <v>13910</v>
      </c>
      <c r="Y30" s="927">
        <f>IF(Q30&lt;&gt;"",X30+M30,"")</f>
        <v>15139.368236609916</v>
      </c>
      <c r="Z30" s="492"/>
      <c r="AA30" s="508"/>
      <c r="AB30" s="891"/>
      <c r="AC30" s="324"/>
      <c r="AD30" s="325"/>
      <c r="AE30" s="326"/>
      <c r="AF30" s="891"/>
      <c r="AG30" s="327"/>
      <c r="AH30" s="328"/>
      <c r="AI30" s="891"/>
      <c r="AJ30" s="891"/>
      <c r="AK30" s="528"/>
      <c r="AL30" s="529"/>
    </row>
    <row r="31" spans="1:39" ht="35.1" customHeight="1" thickBot="1" x14ac:dyDescent="0.5">
      <c r="A31" s="911">
        <v>17</v>
      </c>
      <c r="B31" s="879" t="s">
        <v>359</v>
      </c>
      <c r="C31" s="912" t="s">
        <v>51</v>
      </c>
      <c r="D31" s="913"/>
      <c r="E31" s="913"/>
      <c r="F31" s="1352" t="s">
        <v>360</v>
      </c>
      <c r="G31" s="1353"/>
      <c r="H31" s="1353"/>
      <c r="I31" s="1353"/>
      <c r="J31" s="1353"/>
      <c r="K31" s="1354"/>
      <c r="L31" s="914" t="s">
        <v>53</v>
      </c>
      <c r="M31" s="915" t="s">
        <v>54</v>
      </c>
      <c r="N31" s="916" t="s">
        <v>28</v>
      </c>
      <c r="Q31" s="1357" t="str">
        <f>IF(F31&lt;&gt;"",F31,"")</f>
        <v>Reconhecimento Distribuidores</v>
      </c>
      <c r="R31" s="1358"/>
      <c r="S31" s="1358"/>
      <c r="T31" s="1358"/>
      <c r="U31" s="1358"/>
      <c r="V31" s="1358"/>
      <c r="W31" s="1358"/>
      <c r="X31" s="1358"/>
      <c r="Y31" s="1359"/>
      <c r="Z31" s="401" t="s">
        <v>55</v>
      </c>
      <c r="AA31" s="917" t="s">
        <v>39</v>
      </c>
      <c r="AB31" s="891"/>
      <c r="AC31" s="324"/>
      <c r="AD31" s="325"/>
      <c r="AE31" s="326"/>
      <c r="AF31" s="891"/>
      <c r="AG31" s="327"/>
      <c r="AH31" s="328"/>
      <c r="AI31" s="891"/>
      <c r="AJ31" s="891"/>
      <c r="AK31" s="528"/>
      <c r="AL31" s="529"/>
    </row>
    <row r="32" spans="1:39" ht="99.9" customHeight="1" x14ac:dyDescent="0.45">
      <c r="A32" s="918">
        <v>18</v>
      </c>
      <c r="B32" s="879" t="s">
        <v>361</v>
      </c>
      <c r="C32" s="919" t="s">
        <v>57</v>
      </c>
      <c r="D32" s="920" t="s">
        <v>88</v>
      </c>
      <c r="E32" s="920" t="s">
        <v>58</v>
      </c>
      <c r="F32" s="940" t="s">
        <v>362</v>
      </c>
      <c r="G32" s="330" t="s">
        <v>363</v>
      </c>
      <c r="H32" s="923">
        <v>29</v>
      </c>
      <c r="I32" s="924">
        <v>1</v>
      </c>
      <c r="J32" s="925">
        <v>1200</v>
      </c>
      <c r="K32" s="469">
        <f>IF(F32&lt;&gt;"",H32*I32*J32,"")</f>
        <v>34800</v>
      </c>
      <c r="L32" s="469">
        <f>IF(K32&lt;&gt;"",IF(D32="INTERNO",0,K32*$L$14),"")</f>
        <v>2610</v>
      </c>
      <c r="M32" s="469">
        <f>IF(K32&lt;&gt;"",IF(E32="FAT.OGGI",SUM(K32:L32)*(1/(1-$M$14)-1),L32*(1/(1-$M$14)-1)),"")</f>
        <v>9079.3749223313062</v>
      </c>
      <c r="N32" s="926">
        <f>SUM(K32:M32)</f>
        <v>46489.374922331306</v>
      </c>
      <c r="Q32" s="892">
        <f t="shared" si="5"/>
        <v>29</v>
      </c>
      <c r="R32" s="893">
        <f t="shared" si="5"/>
        <v>1</v>
      </c>
      <c r="S32" s="894">
        <v>720</v>
      </c>
      <c r="T32" s="894">
        <f>IF(Q32&lt;&gt;"",Q32*R32*S32,"")</f>
        <v>20880</v>
      </c>
      <c r="U32" s="895">
        <f>IF(Q32&lt;&gt;"",K32-T32,"")</f>
        <v>13920</v>
      </c>
      <c r="V32" s="418">
        <f>IF(Q32&lt;&gt;"",0%,"")</f>
        <v>0</v>
      </c>
      <c r="W32" s="419">
        <f>IF(Q32&lt;&gt;"",V32*U32,"")</f>
        <v>0</v>
      </c>
      <c r="X32" s="419">
        <f>IF(Q32&lt;&gt;"",W32+T32,"")</f>
        <v>20880</v>
      </c>
      <c r="Y32" s="312">
        <f>IF(Q32&lt;&gt;"",X32+L32,"")</f>
        <v>23490</v>
      </c>
      <c r="Z32" s="492">
        <f>IF(Q32&lt;&gt;"",U32/N32,"")</f>
        <v>0.29942325581395346</v>
      </c>
      <c r="AA32" s="298">
        <f>T32/$T$36</f>
        <v>19.468894524839623</v>
      </c>
      <c r="AB32" s="891"/>
      <c r="AC32" s="324">
        <v>20880</v>
      </c>
      <c r="AD32" s="325">
        <f>T32-AC32</f>
        <v>0</v>
      </c>
      <c r="AE32" s="326">
        <v>46031</v>
      </c>
      <c r="AF32" s="891"/>
      <c r="AG32" s="327" t="s">
        <v>364</v>
      </c>
      <c r="AH32" s="328" t="s">
        <v>365</v>
      </c>
      <c r="AI32" s="891"/>
      <c r="AJ32" s="891"/>
      <c r="AK32" s="528">
        <f t="shared" si="0"/>
        <v>0</v>
      </c>
      <c r="AL32" s="529">
        <v>20880</v>
      </c>
      <c r="AM32" s="525" t="s">
        <v>800</v>
      </c>
    </row>
    <row r="33" spans="1:39" ht="35.1" customHeight="1" thickBot="1" x14ac:dyDescent="0.5">
      <c r="A33" s="878">
        <v>19</v>
      </c>
      <c r="B33" s="879"/>
      <c r="C33" s="880" t="s">
        <v>83</v>
      </c>
      <c r="D33" s="881"/>
      <c r="E33" s="881"/>
      <c r="F33" s="1362" t="s">
        <v>366</v>
      </c>
      <c r="G33" s="1363"/>
      <c r="H33" s="1363"/>
      <c r="I33" s="1363"/>
      <c r="J33" s="1363"/>
      <c r="K33" s="941">
        <f>SUM(K32:K32)</f>
        <v>34800</v>
      </c>
      <c r="L33" s="941">
        <f>SUM(L32:L32)</f>
        <v>2610</v>
      </c>
      <c r="M33" s="941">
        <f>SUM(M32:M32)</f>
        <v>9079.3749223313062</v>
      </c>
      <c r="N33" s="902">
        <f>SUM(N32:N32)</f>
        <v>46489.374922331306</v>
      </c>
      <c r="Q33" s="1218" t="s">
        <v>366</v>
      </c>
      <c r="R33" s="1247"/>
      <c r="S33" s="1247"/>
      <c r="T33" s="660">
        <f>SUM(T32:T32)</f>
        <v>20880</v>
      </c>
      <c r="U33" s="661">
        <f>SUM(U32:U32)</f>
        <v>13920</v>
      </c>
      <c r="V33" s="662"/>
      <c r="W33" s="663"/>
      <c r="X33" s="664">
        <f>SUM(X32:X32)</f>
        <v>20880</v>
      </c>
      <c r="Y33" s="942">
        <f>IF(Q33&lt;&gt;"",X33+M33,"")</f>
        <v>29959.374922331306</v>
      </c>
      <c r="Z33" s="442"/>
      <c r="AA33" s="298">
        <f>T33/$T$36</f>
        <v>19.468894524839623</v>
      </c>
      <c r="AB33" s="891"/>
      <c r="AC33" s="943"/>
      <c r="AD33" s="944"/>
      <c r="AE33" s="945"/>
      <c r="AF33" s="891"/>
      <c r="AG33" s="946"/>
      <c r="AH33" s="946"/>
      <c r="AI33" s="891"/>
      <c r="AJ33" s="891"/>
      <c r="AK33" s="528"/>
      <c r="AL33" s="529"/>
    </row>
    <row r="34" spans="1:39" ht="35.1" customHeight="1" thickBot="1" x14ac:dyDescent="0.5">
      <c r="A34" s="896">
        <v>20</v>
      </c>
      <c r="B34" s="879" t="s">
        <v>367</v>
      </c>
      <c r="C34" s="897" t="s">
        <v>51</v>
      </c>
      <c r="D34" s="898"/>
      <c r="E34" s="898"/>
      <c r="F34" s="1352" t="s">
        <v>368</v>
      </c>
      <c r="G34" s="1353"/>
      <c r="H34" s="1353"/>
      <c r="I34" s="1353"/>
      <c r="J34" s="1353"/>
      <c r="K34" s="1354"/>
      <c r="L34" s="947" t="s">
        <v>53</v>
      </c>
      <c r="M34" s="948" t="s">
        <v>54</v>
      </c>
      <c r="N34" s="949" t="s">
        <v>28</v>
      </c>
      <c r="Q34" s="1355" t="str">
        <f>IF(F34&lt;&gt;"",F34,"")</f>
        <v xml:space="preserve">Fantasia - Gênio Danilo </v>
      </c>
      <c r="R34" s="1356"/>
      <c r="S34" s="1356"/>
      <c r="T34" s="1356"/>
      <c r="U34" s="1356"/>
      <c r="V34" s="1356"/>
      <c r="W34" s="1356"/>
      <c r="X34" s="1356"/>
      <c r="Y34" s="1356"/>
      <c r="Z34" s="917" t="s">
        <v>55</v>
      </c>
      <c r="AA34" s="917" t="s">
        <v>39</v>
      </c>
      <c r="AB34" s="891"/>
      <c r="AC34" s="943"/>
      <c r="AD34" s="944"/>
      <c r="AE34" s="945"/>
      <c r="AF34" s="891"/>
      <c r="AG34" s="946"/>
      <c r="AH34" s="946"/>
      <c r="AI34" s="891"/>
      <c r="AJ34" s="891"/>
      <c r="AK34" s="528"/>
      <c r="AL34" s="529"/>
    </row>
    <row r="35" spans="1:39" ht="99.9" customHeight="1" x14ac:dyDescent="0.45">
      <c r="A35" s="918">
        <v>21</v>
      </c>
      <c r="B35" s="879" t="s">
        <v>369</v>
      </c>
      <c r="C35" s="919" t="s">
        <v>57</v>
      </c>
      <c r="D35" s="920" t="s">
        <v>88</v>
      </c>
      <c r="E35" s="920" t="s">
        <v>58</v>
      </c>
      <c r="F35" s="950" t="s">
        <v>370</v>
      </c>
      <c r="G35" s="330" t="s">
        <v>371</v>
      </c>
      <c r="H35" s="923">
        <v>1</v>
      </c>
      <c r="I35" s="924">
        <v>1</v>
      </c>
      <c r="J35" s="925">
        <v>750</v>
      </c>
      <c r="K35" s="469">
        <f>IF(F35&lt;&gt;"",H35*I35*J35,"")</f>
        <v>750</v>
      </c>
      <c r="L35" s="469">
        <f>IF(K35&lt;&gt;"",IF(D35="INTERNO",0,K35*$L$14),"")</f>
        <v>56.25</v>
      </c>
      <c r="M35" s="469">
        <f>IF(K35&lt;&gt;"",IF(E35="FAT.OGGI",SUM(K35:L35)*(1/(1-$M$14)-1),L35*(1/(1-$M$14)-1)),"")</f>
        <v>195.67618367093334</v>
      </c>
      <c r="N35" s="926">
        <f>SUM(K35:M35)</f>
        <v>1001.9261836709334</v>
      </c>
      <c r="Q35" s="892">
        <f t="shared" ref="Q35" si="6">IF(H35&lt;&gt;"",H35,"")</f>
        <v>1</v>
      </c>
      <c r="R35" s="893">
        <f t="shared" ref="R35" si="7">IF(I35&lt;&gt;"",I35,"")</f>
        <v>1</v>
      </c>
      <c r="S35" s="951">
        <v>0</v>
      </c>
      <c r="T35" s="895">
        <v>1072.48</v>
      </c>
      <c r="U35" s="895">
        <f>IF(Q35&lt;&gt;"",K35-T35,"")</f>
        <v>-322.48</v>
      </c>
      <c r="V35" s="418">
        <f>IF(Q35&lt;&gt;"",0%,"")</f>
        <v>0</v>
      </c>
      <c r="W35" s="419">
        <f>IF(Q35&lt;&gt;"",V35*U35,"")</f>
        <v>0</v>
      </c>
      <c r="X35" s="419">
        <f>IF(Q35&lt;&gt;"",W35+T35,"")</f>
        <v>1072.48</v>
      </c>
      <c r="Y35" s="312">
        <f>IF(Q35&lt;&gt;"",X35+L35,"")</f>
        <v>1128.73</v>
      </c>
      <c r="Z35" s="492">
        <f>IF(Q35&lt;&gt;"",U35/N35,"")</f>
        <v>-0.32186003844961236</v>
      </c>
      <c r="AA35" s="298">
        <f>T35/$T$36</f>
        <v>1</v>
      </c>
      <c r="AB35" s="891"/>
      <c r="AC35" s="324">
        <v>0</v>
      </c>
      <c r="AD35" s="325">
        <f>T35-AC35</f>
        <v>1072.48</v>
      </c>
      <c r="AE35" s="326">
        <v>46010</v>
      </c>
      <c r="AF35" s="891"/>
      <c r="AG35" s="327" t="s">
        <v>157</v>
      </c>
      <c r="AH35" s="328" t="s">
        <v>157</v>
      </c>
      <c r="AI35" s="891"/>
      <c r="AJ35" s="891"/>
      <c r="AK35" s="528">
        <f t="shared" si="0"/>
        <v>0</v>
      </c>
      <c r="AL35" s="529">
        <v>1072.48</v>
      </c>
      <c r="AM35" s="525" t="s">
        <v>806</v>
      </c>
    </row>
    <row r="36" spans="1:39" ht="35.1" customHeight="1" thickBot="1" x14ac:dyDescent="0.5">
      <c r="A36" s="896">
        <v>22</v>
      </c>
      <c r="B36" s="879"/>
      <c r="C36" s="897" t="s">
        <v>83</v>
      </c>
      <c r="D36" s="898"/>
      <c r="E36" s="898"/>
      <c r="F36" s="1360" t="s">
        <v>372</v>
      </c>
      <c r="G36" s="1361"/>
      <c r="H36" s="1361"/>
      <c r="I36" s="1361"/>
      <c r="J36" s="1361"/>
      <c r="K36" s="341">
        <f>SUM(K35:K35)</f>
        <v>750</v>
      </c>
      <c r="L36" s="341">
        <f>SUM(L35:L35)</f>
        <v>56.25</v>
      </c>
      <c r="M36" s="341">
        <f>SUM(M35:M35)</f>
        <v>195.67618367093334</v>
      </c>
      <c r="N36" s="342">
        <f>SUM(N35:N35)</f>
        <v>1001.9261836709334</v>
      </c>
      <c r="Q36" s="1218" t="s">
        <v>366</v>
      </c>
      <c r="R36" s="1247"/>
      <c r="S36" s="1247"/>
      <c r="T36" s="660">
        <f>SUM(T35:T35)</f>
        <v>1072.48</v>
      </c>
      <c r="U36" s="661">
        <f>SUM(U35:U35)</f>
        <v>-322.48</v>
      </c>
      <c r="V36" s="662"/>
      <c r="W36" s="663"/>
      <c r="X36" s="664">
        <f>SUM(X35:X35)</f>
        <v>1072.48</v>
      </c>
      <c r="Y36" s="942">
        <f>IF(Q36&lt;&gt;"",X36+M36,"")</f>
        <v>1268.1561836709334</v>
      </c>
      <c r="Z36" s="442"/>
      <c r="AA36" s="442"/>
      <c r="AB36" s="891"/>
      <c r="AC36" s="943"/>
      <c r="AD36" s="944"/>
      <c r="AE36" s="945"/>
      <c r="AF36" s="891"/>
      <c r="AG36" s="946"/>
      <c r="AH36" s="946"/>
      <c r="AI36" s="891"/>
      <c r="AJ36" s="891"/>
      <c r="AK36" s="528"/>
      <c r="AL36" s="529"/>
    </row>
    <row r="37" spans="1:39" ht="35.1" customHeight="1" thickBot="1" x14ac:dyDescent="0.5">
      <c r="A37" s="274">
        <v>23</v>
      </c>
      <c r="B37" s="520"/>
      <c r="C37" s="275" t="s">
        <v>277</v>
      </c>
      <c r="D37" s="274"/>
      <c r="E37" s="274"/>
      <c r="F37" s="155" t="s">
        <v>278</v>
      </c>
      <c r="G37" s="156"/>
      <c r="H37" s="156"/>
      <c r="I37" s="156"/>
      <c r="J37" s="156"/>
      <c r="K37" s="157">
        <f>SUM(K17:K18)+SUM(K21:K23)+SUM(K26:K26)+SUM(K29:K29)+SUM(K32:K32)+SUM(K35:K35)</f>
        <v>49432</v>
      </c>
      <c r="L37" s="159">
        <f>SUM(L17:L18)+SUM(L21:L23)+SUM(L26:L26)+SUM(L29:L29)+SUM(L32:L32)+SUM(L35:L35)</f>
        <v>3463.65</v>
      </c>
      <c r="M37" s="159">
        <f>SUM(M17:M18)+SUM(M21:M23)+SUM(M26:M26)+SUM(M29:M29)+SUM(M32:M32)+SUM(M35:M35)</f>
        <v>12837.728898968564</v>
      </c>
      <c r="N37" s="157">
        <f>SUM(N17:N18)+SUM(N21:N23)+SUM(N26:N26)+SUM(N29:N29)+SUM(N32:N32)+SUM(N35:N35)</f>
        <v>65733.378898968556</v>
      </c>
      <c r="Q37" s="155" t="s">
        <v>279</v>
      </c>
      <c r="R37" s="156"/>
      <c r="S37" s="156"/>
      <c r="T37" s="157">
        <f>SUM(T35,T32,T29,T26,T23,T22,T21,T17,T18)</f>
        <v>75089.98</v>
      </c>
      <c r="U37" s="157">
        <f>SUM(U17:U18)+SUM(U21:U23)+SUM(U26:U26)+SUM(U29:U29)+SUM(U32:U32)+SUM(U35:U35)</f>
        <v>-25657.98</v>
      </c>
      <c r="V37" s="156"/>
      <c r="W37" s="156"/>
      <c r="X37" s="157">
        <f>SUM(X17:X18)+SUM(X21:X23)+SUM(X26:X26)+SUM(X29:X29)+SUM(X32:X32)+SUM(X35:X35)</f>
        <v>75089.98</v>
      </c>
      <c r="Y37" s="158">
        <f>SUM(Y17:Y18)+SUM(Y21:Y23)+SUM(Y26:Y26)+SUM(Y29:Y29)+SUM(Y32:Y32)+SUM(Y35:Y35)</f>
        <v>78553.62999999999</v>
      </c>
      <c r="Z37" s="160">
        <f>IF(Q37&lt;&gt;"",(N37-Y37)/N37,"")</f>
        <v>-0.19503411076336136</v>
      </c>
      <c r="AA37" s="161">
        <f>IF(Z37&lt;&gt;"",(N37-Y37),"")</f>
        <v>-12820.251101031434</v>
      </c>
      <c r="AK37" s="528">
        <f>SUM(AK17:AK35)</f>
        <v>0</v>
      </c>
      <c r="AL37" s="529">
        <f>SUM(AL17:AL35)</f>
        <v>75089.98</v>
      </c>
    </row>
    <row r="38" spans="1:39" ht="22.2" x14ac:dyDescent="0.45">
      <c r="AL38" s="521"/>
      <c r="AM38" s="522" t="s">
        <v>744</v>
      </c>
    </row>
    <row r="39" spans="1:39" ht="22.2" x14ac:dyDescent="0.45">
      <c r="N39" s="659"/>
      <c r="AL39" s="521">
        <f>X37</f>
        <v>75089.98</v>
      </c>
      <c r="AM39" s="522" t="s">
        <v>745</v>
      </c>
    </row>
    <row r="40" spans="1:39" ht="22.2" x14ac:dyDescent="0.45">
      <c r="AL40" s="521">
        <f>N37-X37</f>
        <v>-9356.6011010314396</v>
      </c>
      <c r="AM40" s="523" t="s">
        <v>741</v>
      </c>
    </row>
    <row r="41" spans="1:39" x14ac:dyDescent="0.4">
      <c r="AL41" s="524">
        <f>AL40*100%/N37</f>
        <v>-0.14234170307010122</v>
      </c>
    </row>
  </sheetData>
  <mergeCells count="35">
    <mergeCell ref="F30:J30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8:K28"/>
    <mergeCell ref="Q28:Y28"/>
    <mergeCell ref="Q30:S30"/>
    <mergeCell ref="Q25:Y25"/>
    <mergeCell ref="F25:K25"/>
    <mergeCell ref="AK15:AL15"/>
    <mergeCell ref="AK16:AL16"/>
    <mergeCell ref="F1:G1"/>
    <mergeCell ref="F2:G2"/>
    <mergeCell ref="Q12:T12"/>
    <mergeCell ref="F27:J27"/>
    <mergeCell ref="Q27:S27"/>
    <mergeCell ref="Q24:S24"/>
    <mergeCell ref="F24:J24"/>
    <mergeCell ref="Q20:Y20"/>
    <mergeCell ref="F20:K20"/>
    <mergeCell ref="Q19:S19"/>
    <mergeCell ref="F19:J19"/>
    <mergeCell ref="F34:K34"/>
    <mergeCell ref="Q34:Y34"/>
    <mergeCell ref="F31:K31"/>
    <mergeCell ref="Q31:Y31"/>
    <mergeCell ref="F36:J36"/>
    <mergeCell ref="Q36:S36"/>
    <mergeCell ref="F33:J33"/>
    <mergeCell ref="Q33:S33"/>
  </mergeCells>
  <dataValidations disablePrompts="1" count="3">
    <dataValidation type="list" allowBlank="1" showInputMessage="1" showErrorMessage="1" sqref="D17:D37" xr:uid="{C3A3731C-B1F2-4DF3-8389-D89D2A959C2C}">
      <formula1>"INTERNO,OPERACIONAL"</formula1>
    </dataValidation>
    <dataValidation type="list" allowBlank="1" showInputMessage="1" showErrorMessage="1" sqref="E17:E36" xr:uid="{2B139DA2-B663-43BA-B3AE-EF8C32B66205}">
      <formula1>"FAT.OGGI,FAT.CLIENTE"</formula1>
    </dataValidation>
    <dataValidation type="list" allowBlank="1" showInputMessage="1" showErrorMessage="1" sqref="E37" xr:uid="{8579F152-887B-413C-BDB5-920BDFAA57F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13988-1390-485A-8062-2680A39CD953}">
  <sheetPr codeName="Planilha23">
    <pageSetUpPr autoPageBreaks="0"/>
  </sheetPr>
  <dimension ref="A1:AM32"/>
  <sheetViews>
    <sheetView showGridLines="0" topLeftCell="B24" zoomScale="50" zoomScaleNormal="50" workbookViewId="0">
      <pane xSplit="4" topLeftCell="F1" activePane="topRight" state="frozen"/>
      <selection activeCell="B1" sqref="B1"/>
      <selection pane="topRight" activeCell="N28" sqref="N28"/>
    </sheetView>
  </sheetViews>
  <sheetFormatPr defaultColWidth="9.109375" defaultRowHeight="21" x14ac:dyDescent="0.4"/>
  <cols>
    <col min="1" max="1" width="8.44140625" style="220" hidden="1" customWidth="1"/>
    <col min="2" max="2" width="8.44140625" style="220" customWidth="1"/>
    <col min="3" max="5" width="8.44140625" style="220" hidden="1" customWidth="1"/>
    <col min="6" max="6" width="35.88671875" style="220" customWidth="1"/>
    <col min="7" max="7" width="52.33203125" style="220" customWidth="1"/>
    <col min="8" max="9" width="5.6640625" style="220" hidden="1" customWidth="1"/>
    <col min="10" max="10" width="20.109375" style="220" hidden="1" customWidth="1"/>
    <col min="11" max="11" width="26.88671875" style="220" customWidth="1"/>
    <col min="12" max="12" width="22.88671875" style="220" bestFit="1" customWidth="1"/>
    <col min="13" max="13" width="26.44140625" style="220" bestFit="1" customWidth="1"/>
    <col min="14" max="14" width="28.6640625" style="220" customWidth="1"/>
    <col min="15" max="15" width="3.33203125" style="220" hidden="1" customWidth="1"/>
    <col min="16" max="16" width="1.88671875" style="220" hidden="1" customWidth="1"/>
    <col min="17" max="17" width="9.33203125" style="220" customWidth="1"/>
    <col min="18" max="18" width="9.33203125" style="220" hidden="1" customWidth="1"/>
    <col min="19" max="19" width="26.44140625" style="220" hidden="1" customWidth="1"/>
    <col min="20" max="20" width="28.109375" style="220" customWidth="1"/>
    <col min="21" max="21" width="27" style="220" hidden="1" customWidth="1"/>
    <col min="22" max="23" width="18.109375" style="220" hidden="1" customWidth="1"/>
    <col min="24" max="24" width="28.109375" style="220" customWidth="1"/>
    <col min="25" max="25" width="27.5546875" style="220" hidden="1" customWidth="1"/>
    <col min="26" max="26" width="18.6640625" style="220" hidden="1" customWidth="1"/>
    <col min="27" max="27" width="25.6640625" style="220" hidden="1" customWidth="1"/>
    <col min="28" max="28" width="38.109375" style="1017" hidden="1" customWidth="1"/>
    <col min="29" max="30" width="33" style="220" hidden="1" customWidth="1"/>
    <col min="31" max="31" width="28" style="220" hidden="1" customWidth="1"/>
    <col min="32" max="32" width="1.33203125" style="220" hidden="1" customWidth="1"/>
    <col min="33" max="33" width="81.5546875" style="220" hidden="1" customWidth="1"/>
    <col min="34" max="34" width="36.6640625" style="220" hidden="1" customWidth="1"/>
    <col min="35" max="35" width="1.5546875" style="220" hidden="1" customWidth="1"/>
    <col min="36" max="36" width="20.33203125" style="220" hidden="1" customWidth="1"/>
    <col min="37" max="37" width="25.33203125" style="220" customWidth="1"/>
    <col min="38" max="38" width="24.88671875" style="220" customWidth="1"/>
    <col min="39" max="39" width="9.109375" style="525"/>
    <col min="40" max="40" width="21.33203125" style="220" customWidth="1"/>
    <col min="41" max="16384" width="9.109375" style="220"/>
  </cols>
  <sheetData>
    <row r="1" spans="1:38" ht="49.5" customHeight="1" x14ac:dyDescent="0.4">
      <c r="B1" s="218"/>
      <c r="C1" s="219"/>
      <c r="D1" s="219"/>
      <c r="F1" s="1251" t="s">
        <v>0</v>
      </c>
      <c r="G1" s="1251"/>
    </row>
    <row r="2" spans="1:38" ht="24.75" customHeight="1" x14ac:dyDescent="0.4">
      <c r="B2" s="610"/>
      <c r="D2" s="219"/>
      <c r="F2" s="1252" t="s">
        <v>1</v>
      </c>
      <c r="G2" s="1252"/>
    </row>
    <row r="3" spans="1:38" ht="22.2" x14ac:dyDescent="0.4">
      <c r="B3" s="611"/>
      <c r="F3" s="223"/>
      <c r="G3" s="223"/>
    </row>
    <row r="4" spans="1:38" ht="22.2" x14ac:dyDescent="0.4">
      <c r="F4" s="224" t="s">
        <v>2</v>
      </c>
      <c r="G4" s="225"/>
    </row>
    <row r="5" spans="1:38" ht="22.2" x14ac:dyDescent="0.4">
      <c r="F5" s="226" t="s">
        <v>3</v>
      </c>
      <c r="G5" s="227"/>
    </row>
    <row r="6" spans="1:38" ht="22.2" x14ac:dyDescent="0.4">
      <c r="F6" s="226" t="s">
        <v>4</v>
      </c>
      <c r="G6" s="228"/>
    </row>
    <row r="7" spans="1:38" ht="21.75" customHeight="1" x14ac:dyDescent="0.4">
      <c r="F7" s="226" t="s">
        <v>5</v>
      </c>
      <c r="G7" s="228"/>
    </row>
    <row r="8" spans="1:38" ht="22.2" x14ac:dyDescent="0.4">
      <c r="F8" s="226" t="s">
        <v>6</v>
      </c>
      <c r="G8" s="229"/>
    </row>
    <row r="9" spans="1:38" ht="22.2" x14ac:dyDescent="0.4">
      <c r="F9" s="226" t="s">
        <v>7</v>
      </c>
      <c r="G9" s="228"/>
      <c r="M9" s="220">
        <v>0.80469999999999997</v>
      </c>
    </row>
    <row r="10" spans="1:38" ht="27" customHeight="1" x14ac:dyDescent="0.4">
      <c r="F10" s="226" t="s">
        <v>8</v>
      </c>
      <c r="G10" s="228"/>
      <c r="M10" s="220">
        <f>1-M9</f>
        <v>0.19530000000000003</v>
      </c>
    </row>
    <row r="11" spans="1:38" ht="22.2" x14ac:dyDescent="0.4">
      <c r="F11" s="230" t="s">
        <v>9</v>
      </c>
      <c r="G11" s="231"/>
    </row>
    <row r="12" spans="1:38" ht="22.8" hidden="1" thickBot="1" x14ac:dyDescent="0.45">
      <c r="B12" s="612"/>
      <c r="M12" s="233"/>
      <c r="Q12" s="1268" t="s">
        <v>10</v>
      </c>
      <c r="R12" s="1269"/>
      <c r="S12" s="1269"/>
      <c r="T12" s="1270"/>
      <c r="U12" s="1271" t="s">
        <v>11</v>
      </c>
      <c r="V12" s="1272"/>
      <c r="W12" s="1272"/>
      <c r="X12" s="1273"/>
      <c r="Y12" s="234" t="s">
        <v>12</v>
      </c>
      <c r="Z12" s="235" t="e">
        <f>(1/(1-#REF!))-1</f>
        <v>#REF!</v>
      </c>
      <c r="AC12" s="1274" t="s">
        <v>13</v>
      </c>
      <c r="AD12" s="1275"/>
      <c r="AE12" s="1276"/>
      <c r="AG12" s="1261" t="s">
        <v>14</v>
      </c>
      <c r="AH12" s="1262"/>
      <c r="AJ12" s="236" t="s">
        <v>15</v>
      </c>
      <c r="AK12" s="1279" t="s">
        <v>16</v>
      </c>
      <c r="AL12" s="1280"/>
    </row>
    <row r="13" spans="1:38" ht="22.8" thickBot="1" x14ac:dyDescent="0.5">
      <c r="A13" s="613" t="s">
        <v>17</v>
      </c>
      <c r="B13" s="614" t="s">
        <v>18</v>
      </c>
      <c r="C13" s="613" t="s">
        <v>19</v>
      </c>
      <c r="D13" s="613" t="s">
        <v>20</v>
      </c>
      <c r="E13" s="613" t="s">
        <v>21</v>
      </c>
      <c r="M13" s="239">
        <v>0.80469999999999997</v>
      </c>
    </row>
    <row r="14" spans="1:38" ht="45" thickBot="1" x14ac:dyDescent="0.45">
      <c r="A14" s="240">
        <v>0</v>
      </c>
      <c r="B14" s="241"/>
      <c r="C14" s="242"/>
      <c r="D14" s="243"/>
      <c r="E14" s="243"/>
      <c r="F14" s="244" t="s">
        <v>22</v>
      </c>
      <c r="G14" s="245" t="s">
        <v>23</v>
      </c>
      <c r="H14" s="246" t="s">
        <v>24</v>
      </c>
      <c r="I14" s="246" t="s">
        <v>25</v>
      </c>
      <c r="J14" s="247" t="s">
        <v>26</v>
      </c>
      <c r="K14" s="248" t="s">
        <v>27</v>
      </c>
      <c r="L14" s="249">
        <v>7.4999999999999997E-2</v>
      </c>
      <c r="M14" s="250">
        <f>1-M13</f>
        <v>0.19530000000000003</v>
      </c>
      <c r="N14" s="251" t="s">
        <v>28</v>
      </c>
      <c r="Q14" s="252" t="s">
        <v>29</v>
      </c>
      <c r="R14" s="253" t="s">
        <v>30</v>
      </c>
      <c r="S14" s="254" t="s">
        <v>31</v>
      </c>
      <c r="T14" s="255" t="s">
        <v>32</v>
      </c>
      <c r="U14" s="256" t="s">
        <v>33</v>
      </c>
      <c r="V14" s="257" t="s">
        <v>34</v>
      </c>
      <c r="W14" s="258" t="s">
        <v>35</v>
      </c>
      <c r="X14" s="258" t="s">
        <v>36</v>
      </c>
      <c r="Y14" s="259" t="s">
        <v>37</v>
      </c>
      <c r="Z14" s="260" t="s">
        <v>38</v>
      </c>
      <c r="AA14" s="261" t="s">
        <v>39</v>
      </c>
      <c r="AC14" s="262" t="s">
        <v>40</v>
      </c>
      <c r="AD14" s="263" t="s">
        <v>41</v>
      </c>
      <c r="AE14" s="263" t="s">
        <v>42</v>
      </c>
      <c r="AG14" s="264" t="s">
        <v>43</v>
      </c>
      <c r="AH14" s="265" t="s">
        <v>44</v>
      </c>
      <c r="AI14" s="220" t="s">
        <v>45</v>
      </c>
      <c r="AJ14" s="220" t="s">
        <v>45</v>
      </c>
      <c r="AK14" s="526" t="s">
        <v>46</v>
      </c>
      <c r="AL14" s="527" t="s">
        <v>47</v>
      </c>
    </row>
    <row r="15" spans="1:38" ht="36.75" customHeight="1" thickBot="1" x14ac:dyDescent="0.5">
      <c r="A15" s="274">
        <v>1</v>
      </c>
      <c r="B15" s="267">
        <v>1</v>
      </c>
      <c r="C15" s="275" t="s">
        <v>48</v>
      </c>
      <c r="D15" s="274"/>
      <c r="E15" s="274"/>
      <c r="F15" s="1199" t="s">
        <v>332</v>
      </c>
      <c r="G15" s="1200"/>
      <c r="H15" s="1200"/>
      <c r="I15" s="1200"/>
      <c r="J15" s="1200"/>
      <c r="K15" s="1200"/>
      <c r="L15" s="1200"/>
      <c r="M15" s="1200"/>
      <c r="N15" s="1201"/>
      <c r="Q15" s="1368" t="str">
        <f>IF(F15&lt;&gt;"",F15,"")</f>
        <v>EXTRA</v>
      </c>
      <c r="R15" s="1369"/>
      <c r="S15" s="1369"/>
      <c r="T15" s="1369"/>
      <c r="U15" s="1369"/>
      <c r="V15" s="1369"/>
      <c r="W15" s="1369"/>
      <c r="X15" s="1369"/>
      <c r="Y15" s="1370"/>
      <c r="AK15" s="1263"/>
      <c r="AL15" s="1264"/>
    </row>
    <row r="16" spans="1:38" ht="30" customHeight="1" x14ac:dyDescent="0.45">
      <c r="A16" s="243">
        <v>2</v>
      </c>
      <c r="B16" s="267" t="s">
        <v>50</v>
      </c>
      <c r="C16" s="282" t="s">
        <v>51</v>
      </c>
      <c r="D16" s="243"/>
      <c r="E16" s="243"/>
      <c r="F16" s="1224" t="s">
        <v>373</v>
      </c>
      <c r="G16" s="1225"/>
      <c r="H16" s="1225"/>
      <c r="I16" s="1225"/>
      <c r="J16" s="1225"/>
      <c r="K16" s="1226"/>
      <c r="L16" s="276" t="s">
        <v>53</v>
      </c>
      <c r="M16" s="277" t="s">
        <v>54</v>
      </c>
      <c r="N16" s="278" t="s">
        <v>28</v>
      </c>
      <c r="P16" s="877"/>
      <c r="Q16" s="1224" t="str">
        <f>IF(F16&lt;&gt;"",F16,"")</f>
        <v>PRESENTE ANIVERSARIANTES</v>
      </c>
      <c r="R16" s="1225"/>
      <c r="S16" s="1225"/>
      <c r="T16" s="1225"/>
      <c r="U16" s="1225"/>
      <c r="V16" s="1225"/>
      <c r="W16" s="1225"/>
      <c r="X16" s="1225"/>
      <c r="Y16" s="1371"/>
      <c r="Z16" s="280" t="s">
        <v>55</v>
      </c>
      <c r="AA16" s="281" t="s">
        <v>39</v>
      </c>
      <c r="AK16" s="1249"/>
      <c r="AL16" s="1250"/>
    </row>
    <row r="17" spans="1:39" s="891" customFormat="1" ht="116.4" customHeight="1" x14ac:dyDescent="0.45">
      <c r="A17" s="878">
        <v>3</v>
      </c>
      <c r="B17" s="879" t="s">
        <v>56</v>
      </c>
      <c r="C17" s="880" t="s">
        <v>57</v>
      </c>
      <c r="D17" s="881" t="s">
        <v>88</v>
      </c>
      <c r="E17" s="881" t="s">
        <v>58</v>
      </c>
      <c r="F17" s="1018" t="s">
        <v>374</v>
      </c>
      <c r="G17" s="620" t="s">
        <v>375</v>
      </c>
      <c r="H17" s="445">
        <v>10</v>
      </c>
      <c r="I17" s="446">
        <v>1</v>
      </c>
      <c r="J17" s="447">
        <v>179.8</v>
      </c>
      <c r="K17" s="405">
        <f>IF(F17&lt;&gt;"",H17*I17*J17,"")</f>
        <v>1798</v>
      </c>
      <c r="L17" s="405">
        <f>IF(K17&lt;&gt;"",IF(D17="INTERNO",0,K17*$L$14),"")</f>
        <v>134.85</v>
      </c>
      <c r="M17" s="405">
        <f>IF(K17&lt;&gt;"",IF(E17="FAT.OGGI",SUM(K17:L17)*(1/(1-$M$14)-1),L17*(1/(1-$M$14)-1)),"")</f>
        <v>469.10103765378415</v>
      </c>
      <c r="N17" s="426">
        <f>SUM(K17:M17)</f>
        <v>2401.9510376537842</v>
      </c>
      <c r="O17" s="220"/>
      <c r="P17" s="220"/>
      <c r="Q17" s="892">
        <f t="shared" ref="Q17" si="0">IF(H17&lt;&gt;"",H17,"")</f>
        <v>10</v>
      </c>
      <c r="R17" s="893">
        <v>0</v>
      </c>
      <c r="S17" s="895">
        <v>169.8</v>
      </c>
      <c r="T17" s="895">
        <f>IF(Q17&lt;&gt;"",Q17*R17*S17,"")</f>
        <v>0</v>
      </c>
      <c r="U17" s="895">
        <f>IF(Q17&lt;&gt;"",K17-T17,"")</f>
        <v>1798</v>
      </c>
      <c r="V17" s="418">
        <f>IF(Q17&lt;&gt;"",0%,"")</f>
        <v>0</v>
      </c>
      <c r="W17" s="419">
        <f>IF(Q17&lt;&gt;"",V17*U17,"")</f>
        <v>0</v>
      </c>
      <c r="X17" s="419">
        <f>IF(Q17&lt;&gt;"",W17+T17,"")</f>
        <v>0</v>
      </c>
      <c r="Y17" s="312">
        <f>IF(Q17&lt;&gt;"",X17+L17,"")</f>
        <v>134.85</v>
      </c>
      <c r="Z17" s="297">
        <f>IF(Q17&lt;&gt;"",U17/N17,"")</f>
        <v>0.7485581395348837</v>
      </c>
      <c r="AA17" s="298" t="e">
        <f>T17/$T$18</f>
        <v>#DIV/0!</v>
      </c>
      <c r="AB17" s="1017"/>
      <c r="AC17" s="324">
        <v>0</v>
      </c>
      <c r="AD17" s="325">
        <f>T17-AC17</f>
        <v>0</v>
      </c>
      <c r="AE17" s="326">
        <v>46013</v>
      </c>
      <c r="AG17" s="327" t="s">
        <v>267</v>
      </c>
      <c r="AH17" s="328" t="s">
        <v>267</v>
      </c>
      <c r="AK17" s="528">
        <f>X17-AL17</f>
        <v>0</v>
      </c>
      <c r="AL17" s="529">
        <v>0</v>
      </c>
      <c r="AM17" s="1019"/>
    </row>
    <row r="18" spans="1:39" s="891" customFormat="1" ht="111.6" thickBot="1" x14ac:dyDescent="0.5">
      <c r="A18" s="896">
        <v>6</v>
      </c>
      <c r="B18" s="879"/>
      <c r="C18" s="897" t="s">
        <v>83</v>
      </c>
      <c r="D18" s="898"/>
      <c r="E18" s="898"/>
      <c r="F18" s="1366" t="s">
        <v>338</v>
      </c>
      <c r="G18" s="1367"/>
      <c r="H18" s="1367"/>
      <c r="I18" s="1367"/>
      <c r="J18" s="1367"/>
      <c r="K18" s="899">
        <f>SUM(K17:K17)</f>
        <v>1798</v>
      </c>
      <c r="L18" s="900">
        <f>SUM(L17:L17)</f>
        <v>134.85</v>
      </c>
      <c r="M18" s="901">
        <f>SUM(M17:M17)</f>
        <v>469.10103765378415</v>
      </c>
      <c r="N18" s="902">
        <f>SUM(N17:N17)</f>
        <v>2401.9510376537842</v>
      </c>
      <c r="O18" s="220"/>
      <c r="P18" s="220"/>
      <c r="Q18" s="1278" t="s">
        <v>338</v>
      </c>
      <c r="R18" s="1373"/>
      <c r="S18" s="1373"/>
      <c r="T18" s="903">
        <f>SUM(T17:T17)</f>
        <v>0</v>
      </c>
      <c r="U18" s="904">
        <f>SUM(U17:U17)</f>
        <v>1798</v>
      </c>
      <c r="V18" s="905"/>
      <c r="W18" s="906"/>
      <c r="X18" s="907">
        <f>SUM(X17:X17)</f>
        <v>0</v>
      </c>
      <c r="Y18" s="908">
        <f>IF(Q18&lt;&gt;"",X18+M18,"")</f>
        <v>469.10103765378415</v>
      </c>
      <c r="Z18" s="909"/>
      <c r="AA18" s="910"/>
      <c r="AB18" s="1017"/>
      <c r="AC18" s="324"/>
      <c r="AD18" s="325"/>
      <c r="AE18" s="326"/>
      <c r="AG18" s="327"/>
      <c r="AH18" s="328"/>
      <c r="AK18" s="528"/>
      <c r="AL18" s="529"/>
      <c r="AM18" s="1019"/>
    </row>
    <row r="19" spans="1:39" s="891" customFormat="1" ht="67.2" thickBot="1" x14ac:dyDescent="0.5">
      <c r="A19" s="911">
        <v>7</v>
      </c>
      <c r="B19" s="879" t="s">
        <v>320</v>
      </c>
      <c r="C19" s="912" t="s">
        <v>51</v>
      </c>
      <c r="D19" s="913"/>
      <c r="E19" s="913"/>
      <c r="F19" s="1352" t="s">
        <v>376</v>
      </c>
      <c r="G19" s="1353"/>
      <c r="H19" s="1353"/>
      <c r="I19" s="1353"/>
      <c r="J19" s="1353"/>
      <c r="K19" s="1354"/>
      <c r="L19" s="914" t="s">
        <v>53</v>
      </c>
      <c r="M19" s="915" t="s">
        <v>54</v>
      </c>
      <c r="N19" s="916" t="s">
        <v>28</v>
      </c>
      <c r="O19" s="220"/>
      <c r="P19" s="220"/>
      <c r="Q19" s="1357" t="str">
        <f>IF(F19&lt;&gt;"",F19,"")</f>
        <v>Operacional</v>
      </c>
      <c r="R19" s="1358"/>
      <c r="S19" s="1358"/>
      <c r="T19" s="1358"/>
      <c r="U19" s="1358"/>
      <c r="V19" s="1358"/>
      <c r="W19" s="1358"/>
      <c r="X19" s="1358"/>
      <c r="Y19" s="1359"/>
      <c r="Z19" s="401" t="s">
        <v>55</v>
      </c>
      <c r="AA19" s="917" t="s">
        <v>39</v>
      </c>
      <c r="AB19" s="1017"/>
      <c r="AC19" s="324"/>
      <c r="AD19" s="325"/>
      <c r="AE19" s="326"/>
      <c r="AG19" s="327"/>
      <c r="AH19" s="328"/>
      <c r="AK19" s="528"/>
      <c r="AL19" s="529"/>
      <c r="AM19" s="1019"/>
    </row>
    <row r="20" spans="1:39" ht="120" customHeight="1" x14ac:dyDescent="0.45">
      <c r="A20" s="243">
        <v>8</v>
      </c>
      <c r="B20" s="267" t="s">
        <v>322</v>
      </c>
      <c r="C20" s="282" t="s">
        <v>57</v>
      </c>
      <c r="D20" s="243" t="s">
        <v>88</v>
      </c>
      <c r="E20" s="243" t="s">
        <v>58</v>
      </c>
      <c r="F20" s="299" t="s">
        <v>236</v>
      </c>
      <c r="G20" s="300" t="s">
        <v>237</v>
      </c>
      <c r="H20" s="404">
        <v>1</v>
      </c>
      <c r="I20" s="404">
        <v>1</v>
      </c>
      <c r="J20" s="405">
        <v>950</v>
      </c>
      <c r="K20" s="304">
        <f t="shared" ref="K20:K22" si="1">IF(F20&lt;&gt;"",H20*I20*J20,"")</f>
        <v>950</v>
      </c>
      <c r="L20" s="304">
        <f t="shared" ref="L20:L22" si="2">IF(K20&lt;&gt;"",IF(D20="INTERNO",0,K20*$L$14),"")</f>
        <v>71.25</v>
      </c>
      <c r="M20" s="304">
        <f t="shared" ref="M20:M22" si="3">IF(K20&lt;&gt;"",IF(E20="FAT.OGGI",SUM(K20:L20)*(1/(1-$M$14)-1),L20*(1/(1-$M$14)-1)),"")</f>
        <v>247.85649931651554</v>
      </c>
      <c r="N20" s="305">
        <f t="shared" ref="N20:N22" si="4">SUM(K20:M20)</f>
        <v>1269.1064993165155</v>
      </c>
      <c r="O20" s="221"/>
      <c r="Q20" s="353">
        <f t="shared" ref="Q20:Q22" si="5">IF(H20&lt;&gt;"",H20,"")</f>
        <v>1</v>
      </c>
      <c r="R20" s="354">
        <v>0</v>
      </c>
      <c r="S20" s="360">
        <v>650</v>
      </c>
      <c r="T20" s="360">
        <f t="shared" ref="T20:T22" si="6">IF(Q20&lt;&gt;"",Q20*R20*S20,"")</f>
        <v>0</v>
      </c>
      <c r="U20" s="356">
        <f t="shared" ref="U20:U22" si="7">IF(Q20&lt;&gt;"",K20-T20,"")</f>
        <v>950</v>
      </c>
      <c r="V20" s="357">
        <f t="shared" ref="V20:V22" si="8">IF(Q20&lt;&gt;"",0%,"")</f>
        <v>0</v>
      </c>
      <c r="W20" s="358">
        <f t="shared" ref="W20:W22" si="9">IF(Q20&lt;&gt;"",V20*U20,"")</f>
        <v>0</v>
      </c>
      <c r="X20" s="358">
        <f t="shared" ref="X20:X22" si="10">IF(Q20&lt;&gt;"",W20+T20,"")</f>
        <v>0</v>
      </c>
      <c r="Y20" s="359">
        <f t="shared" ref="Y20:Y22" si="11">IF(Q20&lt;&gt;"",X20+M20,"")</f>
        <v>247.85649931651554</v>
      </c>
      <c r="Z20" s="297">
        <f t="shared" ref="Z20:Z22" si="12">IF(Q20&lt;&gt;"",U20/K20,"")</f>
        <v>1</v>
      </c>
      <c r="AA20" s="298" t="e">
        <f t="shared" ref="AA20" si="13">T20/$T$89</f>
        <v>#DIV/0!</v>
      </c>
      <c r="AC20" s="324">
        <v>0</v>
      </c>
      <c r="AD20" s="325">
        <f>T20-AC20</f>
        <v>0</v>
      </c>
      <c r="AE20" s="326">
        <v>46043</v>
      </c>
      <c r="AG20" s="327" t="s">
        <v>592</v>
      </c>
      <c r="AH20" s="328" t="s">
        <v>593</v>
      </c>
      <c r="AK20" s="528">
        <f t="shared" ref="AK20:AK26" si="14">X20-AL20</f>
        <v>0</v>
      </c>
      <c r="AL20" s="529">
        <v>0</v>
      </c>
    </row>
    <row r="21" spans="1:39" ht="120" customHeight="1" x14ac:dyDescent="0.45">
      <c r="A21" s="243">
        <v>9</v>
      </c>
      <c r="B21" s="267" t="s">
        <v>325</v>
      </c>
      <c r="C21" s="282" t="s">
        <v>57</v>
      </c>
      <c r="D21" s="243" t="s">
        <v>88</v>
      </c>
      <c r="E21" s="243" t="s">
        <v>58</v>
      </c>
      <c r="F21" s="299" t="s">
        <v>245</v>
      </c>
      <c r="G21" s="300" t="s">
        <v>246</v>
      </c>
      <c r="H21" s="404">
        <v>3</v>
      </c>
      <c r="I21" s="404">
        <v>1</v>
      </c>
      <c r="J21" s="405">
        <v>850</v>
      </c>
      <c r="K21" s="304">
        <f t="shared" si="1"/>
        <v>2550</v>
      </c>
      <c r="L21" s="304">
        <f t="shared" si="2"/>
        <v>191.25</v>
      </c>
      <c r="M21" s="304">
        <f t="shared" si="3"/>
        <v>665.29902448117332</v>
      </c>
      <c r="N21" s="305">
        <f t="shared" si="4"/>
        <v>3406.5490244811735</v>
      </c>
      <c r="O21" s="221"/>
      <c r="Q21" s="353">
        <f t="shared" si="5"/>
        <v>3</v>
      </c>
      <c r="R21" s="354">
        <v>0</v>
      </c>
      <c r="S21" s="360">
        <v>633.33333333300004</v>
      </c>
      <c r="T21" s="360">
        <v>3890</v>
      </c>
      <c r="U21" s="356">
        <f t="shared" si="7"/>
        <v>-1340</v>
      </c>
      <c r="V21" s="357">
        <f t="shared" si="8"/>
        <v>0</v>
      </c>
      <c r="W21" s="358">
        <f t="shared" si="9"/>
        <v>0</v>
      </c>
      <c r="X21" s="358">
        <f t="shared" si="10"/>
        <v>3890</v>
      </c>
      <c r="Y21" s="359">
        <f t="shared" si="11"/>
        <v>4555.2990244811735</v>
      </c>
      <c r="Z21" s="297">
        <f t="shared" si="12"/>
        <v>-0.52549019607843139</v>
      </c>
      <c r="AA21" s="298" t="e">
        <f t="shared" ref="AA21:AA22" si="15">T21/$T$92</f>
        <v>#DIV/0!</v>
      </c>
      <c r="AC21" s="324">
        <v>750</v>
      </c>
      <c r="AD21" s="325">
        <f>T21-AC21</f>
        <v>3140</v>
      </c>
      <c r="AE21" s="326">
        <v>46030</v>
      </c>
      <c r="AG21" s="327" t="s">
        <v>379</v>
      </c>
      <c r="AH21" s="328" t="s">
        <v>380</v>
      </c>
      <c r="AK21" s="528">
        <f t="shared" si="14"/>
        <v>0</v>
      </c>
      <c r="AL21" s="529">
        <v>3890</v>
      </c>
      <c r="AM21" s="525" t="s">
        <v>833</v>
      </c>
    </row>
    <row r="22" spans="1:39" ht="120" customHeight="1" x14ac:dyDescent="0.45">
      <c r="A22" s="243">
        <v>10</v>
      </c>
      <c r="B22" s="267" t="s">
        <v>327</v>
      </c>
      <c r="C22" s="282" t="s">
        <v>57</v>
      </c>
      <c r="D22" s="243" t="s">
        <v>88</v>
      </c>
      <c r="E22" s="243" t="s">
        <v>58</v>
      </c>
      <c r="F22" s="299" t="s">
        <v>250</v>
      </c>
      <c r="G22" s="300" t="s">
        <v>251</v>
      </c>
      <c r="H22" s="404">
        <v>1</v>
      </c>
      <c r="I22" s="404">
        <v>1</v>
      </c>
      <c r="J22" s="405">
        <v>750</v>
      </c>
      <c r="K22" s="304">
        <f t="shared" si="1"/>
        <v>750</v>
      </c>
      <c r="L22" s="304">
        <f t="shared" si="2"/>
        <v>56.25</v>
      </c>
      <c r="M22" s="304">
        <f t="shared" si="3"/>
        <v>195.67618367093334</v>
      </c>
      <c r="N22" s="305">
        <f t="shared" si="4"/>
        <v>1001.9261836709334</v>
      </c>
      <c r="O22" s="221"/>
      <c r="Q22" s="415">
        <f t="shared" si="5"/>
        <v>1</v>
      </c>
      <c r="R22" s="408">
        <v>1</v>
      </c>
      <c r="S22" s="466">
        <v>0</v>
      </c>
      <c r="T22" s="466">
        <f t="shared" si="6"/>
        <v>0</v>
      </c>
      <c r="U22" s="417">
        <f t="shared" si="7"/>
        <v>750</v>
      </c>
      <c r="V22" s="418">
        <f t="shared" si="8"/>
        <v>0</v>
      </c>
      <c r="W22" s="419">
        <f t="shared" si="9"/>
        <v>0</v>
      </c>
      <c r="X22" s="419">
        <f t="shared" si="10"/>
        <v>0</v>
      </c>
      <c r="Y22" s="312">
        <f t="shared" si="11"/>
        <v>195.67618367093334</v>
      </c>
      <c r="Z22" s="297">
        <f t="shared" si="12"/>
        <v>1</v>
      </c>
      <c r="AA22" s="298" t="e">
        <f t="shared" si="15"/>
        <v>#DIV/0!</v>
      </c>
      <c r="AC22" s="324">
        <v>0</v>
      </c>
      <c r="AD22" s="325">
        <f>T22-AC22</f>
        <v>0</v>
      </c>
      <c r="AE22" s="326">
        <v>46028</v>
      </c>
      <c r="AG22" s="327" t="s">
        <v>252</v>
      </c>
      <c r="AH22" s="328" t="s">
        <v>253</v>
      </c>
      <c r="AK22" s="528"/>
      <c r="AL22" s="529"/>
    </row>
    <row r="23" spans="1:39" s="891" customFormat="1" ht="111.6" thickBot="1" x14ac:dyDescent="0.5">
      <c r="A23" s="896">
        <v>11</v>
      </c>
      <c r="B23" s="879"/>
      <c r="C23" s="897" t="s">
        <v>83</v>
      </c>
      <c r="D23" s="898"/>
      <c r="E23" s="898"/>
      <c r="F23" s="1366" t="s">
        <v>352</v>
      </c>
      <c r="G23" s="1367"/>
      <c r="H23" s="1367"/>
      <c r="I23" s="1367"/>
      <c r="J23" s="1367"/>
      <c r="K23" s="899">
        <f>SUM(K20:K22)</f>
        <v>4250</v>
      </c>
      <c r="L23" s="900">
        <f>SUM(L20:L22)</f>
        <v>318.75</v>
      </c>
      <c r="M23" s="901">
        <f>SUM(M20:M22)</f>
        <v>1108.8317074686222</v>
      </c>
      <c r="N23" s="902">
        <f>SUM(N20:N22)</f>
        <v>5677.581707468622</v>
      </c>
      <c r="O23" s="220"/>
      <c r="P23" s="220"/>
      <c r="Q23" s="1278" t="s">
        <v>352</v>
      </c>
      <c r="R23" s="1373"/>
      <c r="S23" s="1373"/>
      <c r="T23" s="903">
        <f>SUM(T20:T22)</f>
        <v>3890</v>
      </c>
      <c r="U23" s="904">
        <f>SUM(U20:U22)</f>
        <v>360</v>
      </c>
      <c r="V23" s="905"/>
      <c r="W23" s="906"/>
      <c r="X23" s="907">
        <f>SUM(X20:X22)</f>
        <v>3890</v>
      </c>
      <c r="Y23" s="908">
        <f>IF(Q23&lt;&gt;"",X23+M23,"")</f>
        <v>4998.831707468622</v>
      </c>
      <c r="Z23" s="909"/>
      <c r="AA23" s="459"/>
      <c r="AB23" s="1017"/>
      <c r="AC23" s="324"/>
      <c r="AD23" s="325"/>
      <c r="AE23" s="326"/>
      <c r="AG23" s="327"/>
      <c r="AH23" s="328"/>
      <c r="AK23" s="528"/>
      <c r="AL23" s="529"/>
      <c r="AM23" s="1019"/>
    </row>
    <row r="24" spans="1:39" s="891" customFormat="1" ht="67.2" thickBot="1" x14ac:dyDescent="0.5">
      <c r="A24" s="911">
        <v>12</v>
      </c>
      <c r="B24" s="879" t="s">
        <v>345</v>
      </c>
      <c r="C24" s="912" t="s">
        <v>51</v>
      </c>
      <c r="D24" s="913"/>
      <c r="E24" s="913"/>
      <c r="F24" s="1352" t="s">
        <v>191</v>
      </c>
      <c r="G24" s="1353"/>
      <c r="H24" s="1353"/>
      <c r="I24" s="1353"/>
      <c r="J24" s="1353"/>
      <c r="K24" s="1354"/>
      <c r="L24" s="914" t="s">
        <v>53</v>
      </c>
      <c r="M24" s="915" t="s">
        <v>54</v>
      </c>
      <c r="N24" s="916" t="s">
        <v>28</v>
      </c>
      <c r="O24" s="220"/>
      <c r="P24" s="220"/>
      <c r="Q24" s="1357" t="str">
        <f>IF(F24&lt;&gt;"",F24,"")</f>
        <v>SERVIÇOS</v>
      </c>
      <c r="R24" s="1358"/>
      <c r="S24" s="1358"/>
      <c r="T24" s="1358"/>
      <c r="U24" s="1358"/>
      <c r="V24" s="1358"/>
      <c r="W24" s="1358"/>
      <c r="X24" s="1358"/>
      <c r="Y24" s="1359"/>
      <c r="Z24" s="401" t="s">
        <v>55</v>
      </c>
      <c r="AA24" s="917" t="s">
        <v>39</v>
      </c>
      <c r="AB24" s="1017"/>
      <c r="AC24" s="324"/>
      <c r="AD24" s="325"/>
      <c r="AE24" s="326"/>
      <c r="AG24" s="327"/>
      <c r="AH24" s="328"/>
      <c r="AK24" s="528"/>
      <c r="AL24" s="529"/>
      <c r="AM24" s="1019"/>
    </row>
    <row r="25" spans="1:39" ht="120" customHeight="1" x14ac:dyDescent="0.45">
      <c r="A25" s="243">
        <v>13</v>
      </c>
      <c r="B25" s="267" t="s">
        <v>347</v>
      </c>
      <c r="C25" s="282" t="s">
        <v>57</v>
      </c>
      <c r="D25" s="243" t="s">
        <v>88</v>
      </c>
      <c r="E25" s="243" t="s">
        <v>58</v>
      </c>
      <c r="F25" s="299" t="s">
        <v>381</v>
      </c>
      <c r="G25" s="300" t="s">
        <v>382</v>
      </c>
      <c r="H25" s="404">
        <v>2</v>
      </c>
      <c r="I25" s="404">
        <v>1</v>
      </c>
      <c r="J25" s="405">
        <v>1250</v>
      </c>
      <c r="K25" s="304">
        <f t="shared" ref="K25" si="16">IF(F25&lt;&gt;"",H25*I25*J25,"")</f>
        <v>2500</v>
      </c>
      <c r="L25" s="304">
        <f t="shared" ref="L25" si="17">IF(K25&lt;&gt;"",IF(D25="INTERNO",0,K25*$L$14),"")</f>
        <v>187.5</v>
      </c>
      <c r="M25" s="304">
        <f t="shared" ref="M25" si="18">IF(K25&lt;&gt;"",IF(E25="FAT.OGGI",SUM(K25:L25)*(1/(1-$M$14)-1),L25*(1/(1-$M$14)-1)),"")</f>
        <v>652.25394556977778</v>
      </c>
      <c r="N25" s="305">
        <f t="shared" ref="N25" si="19">SUM(K25:M25)</f>
        <v>3339.7539455697779</v>
      </c>
      <c r="O25" s="221"/>
      <c r="Q25" s="353">
        <f t="shared" ref="Q25" si="20">IF(H25&lt;&gt;"",H25,"")</f>
        <v>2</v>
      </c>
      <c r="R25" s="354">
        <v>0</v>
      </c>
      <c r="S25" s="360">
        <v>1250</v>
      </c>
      <c r="T25" s="360">
        <f t="shared" ref="T25" si="21">IF(Q25&lt;&gt;"",Q25*R25*S25,"")</f>
        <v>0</v>
      </c>
      <c r="U25" s="356">
        <f t="shared" ref="U25" si="22">IF(Q25&lt;&gt;"",K25-T25,"")</f>
        <v>2500</v>
      </c>
      <c r="V25" s="357">
        <f t="shared" ref="V25" si="23">IF(Q25&lt;&gt;"",0%,"")</f>
        <v>0</v>
      </c>
      <c r="W25" s="358">
        <f t="shared" ref="W25" si="24">IF(Q25&lt;&gt;"",V25*U25,"")</f>
        <v>0</v>
      </c>
      <c r="X25" s="358">
        <f t="shared" ref="X25" si="25">IF(Q25&lt;&gt;"",W25+T25,"")</f>
        <v>0</v>
      </c>
      <c r="Y25" s="359">
        <f t="shared" ref="Y25" si="26">IF(Q25&lt;&gt;"",X25+M25,"")</f>
        <v>652.25394556977778</v>
      </c>
      <c r="Z25" s="297">
        <f t="shared" ref="Z25" si="27">IF(Q25&lt;&gt;"",U25/K25,"")</f>
        <v>1</v>
      </c>
      <c r="AA25" s="298" t="e">
        <f t="shared" ref="AA25" si="28">T25/$T$89</f>
        <v>#DIV/0!</v>
      </c>
      <c r="AC25" s="324">
        <v>0</v>
      </c>
      <c r="AD25" s="325">
        <f>T25-AC25</f>
        <v>0</v>
      </c>
      <c r="AE25" s="326">
        <v>46028</v>
      </c>
      <c r="AG25" s="327" t="s">
        <v>238</v>
      </c>
      <c r="AH25" s="328" t="s">
        <v>239</v>
      </c>
      <c r="AK25" s="528">
        <f t="shared" si="14"/>
        <v>0</v>
      </c>
      <c r="AL25" s="529">
        <v>0</v>
      </c>
    </row>
    <row r="26" spans="1:39" ht="120" customHeight="1" x14ac:dyDescent="0.45">
      <c r="A26" s="243">
        <v>14</v>
      </c>
      <c r="B26" s="267" t="s">
        <v>383</v>
      </c>
      <c r="C26" s="282" t="s">
        <v>57</v>
      </c>
      <c r="D26" s="243" t="s">
        <v>88</v>
      </c>
      <c r="E26" s="243" t="s">
        <v>58</v>
      </c>
      <c r="F26" s="299" t="s">
        <v>384</v>
      </c>
      <c r="G26" s="300" t="s">
        <v>385</v>
      </c>
      <c r="H26" s="404">
        <v>1</v>
      </c>
      <c r="I26" s="404">
        <v>1</v>
      </c>
      <c r="J26" s="405">
        <v>2000</v>
      </c>
      <c r="K26" s="304">
        <f t="shared" ref="K26" si="29">IF(F26&lt;&gt;"",H26*I26*J26,"")</f>
        <v>2000</v>
      </c>
      <c r="L26" s="304">
        <f t="shared" ref="L26" si="30">IF(K26&lt;&gt;"",IF(D26="INTERNO",0,K26*$L$14),"")</f>
        <v>150</v>
      </c>
      <c r="M26" s="304">
        <f t="shared" ref="M26" si="31">IF(K26&lt;&gt;"",IF(E26="FAT.OGGI",SUM(K26:L26)*(1/(1-$M$14)-1),L26*(1/(1-$M$14)-1)),"")</f>
        <v>521.8031564558222</v>
      </c>
      <c r="N26" s="305">
        <f t="shared" ref="N26" si="32">SUM(K26:M26)</f>
        <v>2671.8031564558223</v>
      </c>
      <c r="O26" s="221"/>
      <c r="Q26" s="353">
        <f t="shared" ref="Q26" si="33">IF(H26&lt;&gt;"",H26,"")</f>
        <v>1</v>
      </c>
      <c r="R26" s="354">
        <f t="shared" ref="R26" si="34">IF(I26&lt;&gt;"",I26,"")</f>
        <v>1</v>
      </c>
      <c r="S26" s="360">
        <v>0</v>
      </c>
      <c r="T26" s="360">
        <f t="shared" ref="T26" si="35">IF(Q26&lt;&gt;"",Q26*R26*S26,"")</f>
        <v>0</v>
      </c>
      <c r="U26" s="356">
        <f t="shared" ref="U26" si="36">IF(Q26&lt;&gt;"",K26-T26,"")</f>
        <v>2000</v>
      </c>
      <c r="V26" s="357">
        <f t="shared" ref="V26" si="37">IF(Q26&lt;&gt;"",0%,"")</f>
        <v>0</v>
      </c>
      <c r="W26" s="358">
        <f t="shared" ref="W26" si="38">IF(Q26&lt;&gt;"",V26*U26,"")</f>
        <v>0</v>
      </c>
      <c r="X26" s="358">
        <f t="shared" ref="X26" si="39">IF(Q26&lt;&gt;"",W26+T26,"")</f>
        <v>0</v>
      </c>
      <c r="Y26" s="359">
        <f t="shared" ref="Y26" si="40">IF(Q26&lt;&gt;"",X26+M26,"")</f>
        <v>521.8031564558222</v>
      </c>
      <c r="Z26" s="297">
        <f t="shared" ref="Z26" si="41">IF(Q26&lt;&gt;"",U26/K26,"")</f>
        <v>1</v>
      </c>
      <c r="AA26" s="298" t="e">
        <f t="shared" ref="AA26" si="42">T26/$T$89</f>
        <v>#DIV/0!</v>
      </c>
      <c r="AC26" s="324">
        <v>0</v>
      </c>
      <c r="AD26" s="325">
        <f>T26-AC26</f>
        <v>0</v>
      </c>
      <c r="AE26" s="326">
        <v>46028</v>
      </c>
      <c r="AG26" s="327" t="s">
        <v>238</v>
      </c>
      <c r="AH26" s="328" t="s">
        <v>239</v>
      </c>
      <c r="AK26" s="528">
        <f t="shared" si="14"/>
        <v>0</v>
      </c>
      <c r="AL26" s="529">
        <v>0</v>
      </c>
    </row>
    <row r="27" spans="1:39" s="891" customFormat="1" ht="111" x14ac:dyDescent="0.45">
      <c r="A27" s="896">
        <v>15</v>
      </c>
      <c r="B27" s="879"/>
      <c r="C27" s="897" t="s">
        <v>83</v>
      </c>
      <c r="D27" s="898"/>
      <c r="E27" s="898"/>
      <c r="F27" s="1366" t="s">
        <v>352</v>
      </c>
      <c r="G27" s="1367"/>
      <c r="H27" s="1367"/>
      <c r="I27" s="1367"/>
      <c r="J27" s="1367"/>
      <c r="K27" s="899">
        <f>SUM(K25:K26)</f>
        <v>4500</v>
      </c>
      <c r="L27" s="900">
        <f>SUM(L25:L26)</f>
        <v>337.5</v>
      </c>
      <c r="M27" s="901">
        <f>SUM(M25:M26)</f>
        <v>1174.0571020256</v>
      </c>
      <c r="N27" s="902">
        <f>SUM(N25:N26)</f>
        <v>6011.5571020256002</v>
      </c>
      <c r="O27" s="220"/>
      <c r="P27" s="220"/>
      <c r="Q27" s="1205" t="s">
        <v>352</v>
      </c>
      <c r="R27" s="1372"/>
      <c r="S27" s="1372"/>
      <c r="T27" s="903">
        <f>SUM(T25:T26)</f>
        <v>0</v>
      </c>
      <c r="U27" s="904">
        <f>SUM(U25:U26)</f>
        <v>4500</v>
      </c>
      <c r="V27" s="905"/>
      <c r="W27" s="906"/>
      <c r="X27" s="907">
        <f>SUM(X25:X26)</f>
        <v>0</v>
      </c>
      <c r="Y27" s="927">
        <f>IF(Q27&lt;&gt;"",X27+M27,"")</f>
        <v>1174.0571020256</v>
      </c>
      <c r="Z27" s="492"/>
      <c r="AA27" s="298"/>
      <c r="AB27" s="1017"/>
      <c r="AC27" s="324"/>
      <c r="AD27" s="325"/>
      <c r="AE27" s="326"/>
      <c r="AG27" s="327"/>
      <c r="AH27" s="328"/>
      <c r="AK27" s="528"/>
      <c r="AL27" s="529"/>
      <c r="AM27" s="1019"/>
    </row>
    <row r="28" spans="1:39" ht="30" customHeight="1" thickBot="1" x14ac:dyDescent="0.5">
      <c r="A28" s="274">
        <v>16</v>
      </c>
      <c r="B28" s="520"/>
      <c r="C28" s="275" t="s">
        <v>277</v>
      </c>
      <c r="D28" s="274"/>
      <c r="E28" s="274"/>
      <c r="F28" s="155" t="s">
        <v>278</v>
      </c>
      <c r="G28" s="156"/>
      <c r="H28" s="156"/>
      <c r="I28" s="156"/>
      <c r="J28" s="156"/>
      <c r="K28" s="157">
        <f>SUM(K17:K17)+SUM(K20:K22)+SUM(K25:K26)</f>
        <v>10548</v>
      </c>
      <c r="L28" s="159">
        <f>SUM(L17:L17)+SUM(L20:L22)+SUM(L25:L26)</f>
        <v>791.1</v>
      </c>
      <c r="M28" s="159">
        <f>SUM(M17:M17)+SUM(M20:M22)+SUM(M25:M26)</f>
        <v>2751.9898471480064</v>
      </c>
      <c r="N28" s="157">
        <f>SUM(N17:N17)+SUM(N20:N22)+SUM(N25:N26)</f>
        <v>14091.089847148007</v>
      </c>
      <c r="Q28" s="155" t="s">
        <v>279</v>
      </c>
      <c r="R28" s="156"/>
      <c r="S28" s="156"/>
      <c r="T28" s="157">
        <f>SUM(T17:T17)+SUM(T20:T22)+SUM(T25:T26)</f>
        <v>3890</v>
      </c>
      <c r="U28" s="157">
        <f>SUM(U17:U17)+SUM(U20:U22)+SUM(U25:U26)</f>
        <v>6658</v>
      </c>
      <c r="V28" s="156"/>
      <c r="W28" s="156"/>
      <c r="X28" s="157">
        <f>SUM(X17:X17)+SUM(X20:X22)+SUM(X25:X26)</f>
        <v>3890</v>
      </c>
      <c r="Y28" s="158">
        <f>SUM(Y17:Y17)+SUM(Y20:Y22)+SUM(Y25:Y26)</f>
        <v>6307.7388094942226</v>
      </c>
      <c r="Z28" s="160">
        <f>IF(Q28&lt;&gt;"",(N28-Y28)/N28,"")</f>
        <v>0.5523597622386256</v>
      </c>
      <c r="AA28" s="161">
        <f>IF(Z28&lt;&gt;"",(N28-Y28),"")</f>
        <v>7783.3510376537843</v>
      </c>
      <c r="AK28" s="528"/>
      <c r="AL28" s="529"/>
    </row>
    <row r="29" spans="1:39" ht="22.2" x14ac:dyDescent="0.45">
      <c r="AL29" s="521"/>
      <c r="AM29" s="522" t="s">
        <v>744</v>
      </c>
    </row>
    <row r="30" spans="1:39" ht="22.2" x14ac:dyDescent="0.45">
      <c r="N30" s="659"/>
      <c r="AL30" s="521">
        <f>X28</f>
        <v>3890</v>
      </c>
      <c r="AM30" s="522" t="s">
        <v>745</v>
      </c>
    </row>
    <row r="31" spans="1:39" ht="22.2" x14ac:dyDescent="0.45">
      <c r="AL31" s="521">
        <f>N28-X28</f>
        <v>10201.089847148007</v>
      </c>
      <c r="AM31" s="523" t="s">
        <v>741</v>
      </c>
    </row>
    <row r="32" spans="1:39" x14ac:dyDescent="0.4">
      <c r="AL32" s="524">
        <f>AL31*100%/N28</f>
        <v>0.72393902514308894</v>
      </c>
    </row>
  </sheetData>
  <mergeCells count="23">
    <mergeCell ref="F1:G1"/>
    <mergeCell ref="F2:G2"/>
    <mergeCell ref="Q12:T12"/>
    <mergeCell ref="U12:X12"/>
    <mergeCell ref="AC12:AE12"/>
    <mergeCell ref="F19:K19"/>
    <mergeCell ref="Q19:Y19"/>
    <mergeCell ref="AK12:AL12"/>
    <mergeCell ref="F15:N15"/>
    <mergeCell ref="Q15:Y15"/>
    <mergeCell ref="F16:K16"/>
    <mergeCell ref="Q16:Y16"/>
    <mergeCell ref="F18:J18"/>
    <mergeCell ref="Q18:S18"/>
    <mergeCell ref="AG12:AH12"/>
    <mergeCell ref="AK15:AL15"/>
    <mergeCell ref="AK16:AL16"/>
    <mergeCell ref="F24:K24"/>
    <mergeCell ref="Q24:Y24"/>
    <mergeCell ref="F27:J27"/>
    <mergeCell ref="Q27:S27"/>
    <mergeCell ref="F23:J23"/>
    <mergeCell ref="Q23:S23"/>
  </mergeCells>
  <dataValidations count="3">
    <dataValidation type="list" allowBlank="1" showInputMessage="1" showErrorMessage="1" sqref="E28" xr:uid="{08F249B8-7936-4746-8A03-1FFCB9B337F4}">
      <formula1>"FAT.OGGI,FAT.CLIENTE "</formula1>
    </dataValidation>
    <dataValidation type="list" allowBlank="1" showInputMessage="1" showErrorMessage="1" sqref="E17:E27" xr:uid="{FF69F3E6-0AC7-4F6F-8EE2-BF9663F93533}">
      <formula1>"FAT.OGGI,FAT.CLIENTE"</formula1>
    </dataValidation>
    <dataValidation type="list" allowBlank="1" showInputMessage="1" showErrorMessage="1" sqref="D17:D28" xr:uid="{71A888D9-B903-4397-B2FE-D557BBED1C2E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11F88-6CC6-49E2-ABD5-A25CE72BCEF9}">
  <sheetPr codeName="Planilha24">
    <pageSetUpPr autoPageBreaks="0"/>
  </sheetPr>
  <dimension ref="A1:AM48"/>
  <sheetViews>
    <sheetView showGridLines="0" topLeftCell="B40" zoomScale="60" zoomScaleNormal="60" workbookViewId="0">
      <pane xSplit="4" topLeftCell="M1" activePane="topRight" state="frozen"/>
      <selection activeCell="B1" sqref="B1"/>
      <selection pane="topRight" activeCell="AK44" sqref="AK44"/>
    </sheetView>
  </sheetViews>
  <sheetFormatPr defaultColWidth="9.109375" defaultRowHeight="18" x14ac:dyDescent="0.35"/>
  <cols>
    <col min="1" max="1" width="8.44140625" style="538" hidden="1" customWidth="1"/>
    <col min="2" max="2" width="8.44140625" style="538" customWidth="1"/>
    <col min="3" max="5" width="8.44140625" style="538" hidden="1" customWidth="1"/>
    <col min="6" max="6" width="35.88671875" style="538" customWidth="1"/>
    <col min="7" max="7" width="52.33203125" style="538" customWidth="1"/>
    <col min="8" max="9" width="5.6640625" style="538" hidden="1" customWidth="1"/>
    <col min="10" max="10" width="20.109375" style="538" hidden="1" customWidth="1"/>
    <col min="11" max="11" width="26.88671875" style="538" customWidth="1"/>
    <col min="12" max="12" width="22.88671875" style="538" bestFit="1" customWidth="1"/>
    <col min="13" max="13" width="26.44140625" style="538" bestFit="1" customWidth="1"/>
    <col min="14" max="14" width="28.6640625" style="538" customWidth="1"/>
    <col min="15" max="15" width="3.33203125" style="538" hidden="1" customWidth="1"/>
    <col min="16" max="16" width="1.88671875" style="538" hidden="1" customWidth="1"/>
    <col min="17" max="17" width="9.33203125" style="538" customWidth="1"/>
    <col min="18" max="18" width="9.33203125" style="538" hidden="1" customWidth="1"/>
    <col min="19" max="19" width="26.44140625" style="538" hidden="1" customWidth="1"/>
    <col min="20" max="20" width="28.109375" style="538" customWidth="1"/>
    <col min="21" max="21" width="27" style="538" hidden="1" customWidth="1"/>
    <col min="22" max="23" width="18.109375" style="538" hidden="1" customWidth="1"/>
    <col min="24" max="24" width="28.109375" style="538" customWidth="1"/>
    <col min="25" max="25" width="27.5546875" style="538" hidden="1" customWidth="1"/>
    <col min="26" max="26" width="18.6640625" style="538" hidden="1" customWidth="1"/>
    <col min="27" max="27" width="25.6640625" style="538" hidden="1" customWidth="1"/>
    <col min="28" max="28" width="38.109375" style="538" hidden="1" customWidth="1"/>
    <col min="29" max="30" width="33" style="538" hidden="1" customWidth="1"/>
    <col min="31" max="31" width="28" style="538" hidden="1" customWidth="1"/>
    <col min="32" max="32" width="1.33203125" style="538" hidden="1" customWidth="1"/>
    <col min="33" max="33" width="81.5546875" style="538" hidden="1" customWidth="1"/>
    <col min="34" max="34" width="36.6640625" style="538" hidden="1" customWidth="1"/>
    <col min="35" max="35" width="1.5546875" style="538" hidden="1" customWidth="1"/>
    <col min="36" max="36" width="20.33203125" style="538" hidden="1" customWidth="1"/>
    <col min="37" max="37" width="25.33203125" style="538" customWidth="1"/>
    <col min="38" max="38" width="24.88671875" style="538" customWidth="1"/>
    <col min="39" max="39" width="8.6640625" style="1013" customWidth="1"/>
    <col min="40" max="40" width="21.33203125" style="538" customWidth="1"/>
    <col min="41" max="16384" width="9.109375" style="538"/>
  </cols>
  <sheetData>
    <row r="1" spans="1:38" ht="49.5" customHeight="1" x14ac:dyDescent="0.35">
      <c r="B1" s="539"/>
      <c r="C1" s="540"/>
      <c r="D1" s="540"/>
      <c r="F1" s="1384" t="s">
        <v>0</v>
      </c>
      <c r="G1" s="1384"/>
    </row>
    <row r="2" spans="1:38" ht="24.75" customHeight="1" x14ac:dyDescent="0.35">
      <c r="B2" s="542"/>
      <c r="D2" s="540"/>
      <c r="F2" s="1385" t="s">
        <v>1</v>
      </c>
      <c r="G2" s="1385"/>
    </row>
    <row r="3" spans="1:38" x14ac:dyDescent="0.35">
      <c r="B3" s="543"/>
      <c r="F3" s="27"/>
      <c r="G3" s="27"/>
    </row>
    <row r="4" spans="1:38" x14ac:dyDescent="0.35">
      <c r="F4" s="29" t="s">
        <v>2</v>
      </c>
      <c r="G4" s="30"/>
    </row>
    <row r="5" spans="1:38" x14ac:dyDescent="0.35">
      <c r="F5" s="31" t="s">
        <v>3</v>
      </c>
      <c r="G5" s="32"/>
    </row>
    <row r="6" spans="1:38" x14ac:dyDescent="0.35">
      <c r="F6" s="31" t="s">
        <v>4</v>
      </c>
      <c r="G6" s="34"/>
    </row>
    <row r="7" spans="1:38" ht="21.75" customHeight="1" x14ac:dyDescent="0.35">
      <c r="F7" s="31" t="s">
        <v>5</v>
      </c>
      <c r="G7" s="34"/>
    </row>
    <row r="8" spans="1:38" x14ac:dyDescent="0.35">
      <c r="F8" s="31" t="s">
        <v>6</v>
      </c>
      <c r="G8" s="544"/>
    </row>
    <row r="9" spans="1:38" x14ac:dyDescent="0.35">
      <c r="F9" s="31" t="s">
        <v>7</v>
      </c>
      <c r="G9" s="34"/>
      <c r="M9" s="538">
        <v>0.80469999999999997</v>
      </c>
    </row>
    <row r="10" spans="1:38" ht="27" customHeight="1" x14ac:dyDescent="0.35">
      <c r="F10" s="31" t="s">
        <v>8</v>
      </c>
      <c r="G10" s="34"/>
      <c r="M10" s="538">
        <f>1-M9</f>
        <v>0.19530000000000003</v>
      </c>
    </row>
    <row r="11" spans="1:38" x14ac:dyDescent="0.35">
      <c r="F11" s="36" t="s">
        <v>9</v>
      </c>
      <c r="G11" s="37"/>
    </row>
    <row r="12" spans="1:38" ht="18.600000000000001" hidden="1" thickBot="1" x14ac:dyDescent="0.4">
      <c r="B12" s="545"/>
      <c r="M12" s="546"/>
      <c r="Q12" s="1386" t="s">
        <v>10</v>
      </c>
      <c r="R12" s="1387"/>
      <c r="S12" s="1387"/>
      <c r="T12" s="1388"/>
      <c r="U12" s="1391" t="s">
        <v>11</v>
      </c>
      <c r="V12" s="1392"/>
      <c r="W12" s="1392"/>
      <c r="X12" s="1393"/>
      <c r="Y12" s="547" t="s">
        <v>12</v>
      </c>
      <c r="Z12" s="548" t="e">
        <f>(1/(1-#REF!))-1</f>
        <v>#REF!</v>
      </c>
      <c r="AC12" s="1394" t="s">
        <v>13</v>
      </c>
      <c r="AD12" s="1395"/>
      <c r="AE12" s="1396"/>
      <c r="AG12" s="1397" t="s">
        <v>14</v>
      </c>
      <c r="AH12" s="1398"/>
      <c r="AJ12" s="549" t="s">
        <v>15</v>
      </c>
      <c r="AK12" s="1389" t="s">
        <v>16</v>
      </c>
      <c r="AL12" s="1390"/>
    </row>
    <row r="13" spans="1:38" ht="18.600000000000001" thickBot="1" x14ac:dyDescent="0.4">
      <c r="A13" s="550" t="s">
        <v>17</v>
      </c>
      <c r="B13" s="551" t="s">
        <v>18</v>
      </c>
      <c r="C13" s="550" t="s">
        <v>19</v>
      </c>
      <c r="D13" s="550" t="s">
        <v>20</v>
      </c>
      <c r="E13" s="550" t="s">
        <v>21</v>
      </c>
      <c r="M13" s="552">
        <v>0.80469999999999997</v>
      </c>
    </row>
    <row r="14" spans="1:38" ht="35.1" customHeight="1" thickBot="1" x14ac:dyDescent="0.4">
      <c r="A14" s="553">
        <v>0</v>
      </c>
      <c r="B14" s="554"/>
      <c r="C14" s="555"/>
      <c r="D14" s="556"/>
      <c r="E14" s="556"/>
      <c r="F14" s="557" t="s">
        <v>22</v>
      </c>
      <c r="G14" s="558" t="s">
        <v>23</v>
      </c>
      <c r="H14" s="559" t="s">
        <v>24</v>
      </c>
      <c r="I14" s="559" t="s">
        <v>25</v>
      </c>
      <c r="J14" s="560" t="s">
        <v>26</v>
      </c>
      <c r="K14" s="561" t="s">
        <v>27</v>
      </c>
      <c r="L14" s="562">
        <v>7.4999999999999997E-2</v>
      </c>
      <c r="M14" s="563">
        <f>1-M13</f>
        <v>0.19530000000000003</v>
      </c>
      <c r="N14" s="564" t="s">
        <v>28</v>
      </c>
      <c r="Q14" s="565" t="s">
        <v>29</v>
      </c>
      <c r="R14" s="566" t="s">
        <v>30</v>
      </c>
      <c r="S14" s="567" t="s">
        <v>31</v>
      </c>
      <c r="T14" s="568" t="s">
        <v>32</v>
      </c>
      <c r="U14" s="569" t="s">
        <v>33</v>
      </c>
      <c r="V14" s="570" t="s">
        <v>34</v>
      </c>
      <c r="W14" s="571" t="s">
        <v>35</v>
      </c>
      <c r="X14" s="571" t="s">
        <v>36</v>
      </c>
      <c r="Y14" s="572" t="s">
        <v>37</v>
      </c>
      <c r="Z14" s="634" t="s">
        <v>38</v>
      </c>
      <c r="AA14" s="635" t="s">
        <v>39</v>
      </c>
      <c r="AC14" s="573" t="s">
        <v>40</v>
      </c>
      <c r="AD14" s="574" t="s">
        <v>41</v>
      </c>
      <c r="AE14" s="574" t="s">
        <v>42</v>
      </c>
      <c r="AG14" s="575" t="s">
        <v>43</v>
      </c>
      <c r="AH14" s="576" t="s">
        <v>44</v>
      </c>
      <c r="AI14" s="538" t="s">
        <v>45</v>
      </c>
      <c r="AJ14" s="538" t="s">
        <v>45</v>
      </c>
      <c r="AK14" s="577" t="s">
        <v>46</v>
      </c>
      <c r="AL14" s="578" t="s">
        <v>47</v>
      </c>
    </row>
    <row r="15" spans="1:38" ht="35.1" customHeight="1" thickBot="1" x14ac:dyDescent="0.4">
      <c r="A15" s="607">
        <v>1</v>
      </c>
      <c r="B15" s="579">
        <v>1</v>
      </c>
      <c r="C15" s="608" t="s">
        <v>48</v>
      </c>
      <c r="D15" s="607"/>
      <c r="E15" s="607"/>
      <c r="F15" s="1303" t="s">
        <v>332</v>
      </c>
      <c r="G15" s="1304"/>
      <c r="H15" s="1304"/>
      <c r="I15" s="1304"/>
      <c r="J15" s="1304"/>
      <c r="K15" s="1304"/>
      <c r="L15" s="1304"/>
      <c r="M15" s="1304"/>
      <c r="N15" s="1305"/>
      <c r="Q15" s="1306" t="str">
        <f>IF(F15&lt;&gt;"",F15,"")</f>
        <v>EXTRA</v>
      </c>
      <c r="R15" s="1307"/>
      <c r="S15" s="1307"/>
      <c r="T15" s="1307"/>
      <c r="U15" s="1307"/>
      <c r="V15" s="1307"/>
      <c r="W15" s="1307"/>
      <c r="X15" s="1307"/>
      <c r="Y15" s="1308"/>
      <c r="AK15" s="1399"/>
      <c r="AL15" s="1400"/>
    </row>
    <row r="16" spans="1:38" ht="35.1" customHeight="1" x14ac:dyDescent="0.35">
      <c r="A16" s="556">
        <v>2</v>
      </c>
      <c r="B16" s="579" t="s">
        <v>50</v>
      </c>
      <c r="C16" s="580" t="s">
        <v>51</v>
      </c>
      <c r="D16" s="556"/>
      <c r="E16" s="556"/>
      <c r="F16" s="1299" t="s">
        <v>580</v>
      </c>
      <c r="G16" s="1300"/>
      <c r="H16" s="1300"/>
      <c r="I16" s="1300"/>
      <c r="J16" s="1300"/>
      <c r="K16" s="1301"/>
      <c r="L16" s="636" t="s">
        <v>53</v>
      </c>
      <c r="M16" s="637" t="s">
        <v>54</v>
      </c>
      <c r="N16" s="638" t="s">
        <v>28</v>
      </c>
      <c r="P16" s="846"/>
      <c r="Q16" s="1299" t="str">
        <f>IF(F16&lt;&gt;"",F16,"")</f>
        <v xml:space="preserve">IMPRESSORA </v>
      </c>
      <c r="R16" s="1300"/>
      <c r="S16" s="1300"/>
      <c r="T16" s="1300"/>
      <c r="U16" s="1300"/>
      <c r="V16" s="1300"/>
      <c r="W16" s="1300"/>
      <c r="X16" s="1300"/>
      <c r="Y16" s="1302"/>
      <c r="Z16" s="639" t="s">
        <v>55</v>
      </c>
      <c r="AA16" s="582" t="s">
        <v>39</v>
      </c>
      <c r="AK16" s="1401"/>
      <c r="AL16" s="1402"/>
    </row>
    <row r="17" spans="1:39" s="860" customFormat="1" ht="99.9" customHeight="1" x14ac:dyDescent="0.35">
      <c r="A17" s="847">
        <v>3</v>
      </c>
      <c r="B17" s="848" t="s">
        <v>56</v>
      </c>
      <c r="C17" s="849" t="s">
        <v>57</v>
      </c>
      <c r="D17" s="850" t="s">
        <v>88</v>
      </c>
      <c r="E17" s="850" t="s">
        <v>58</v>
      </c>
      <c r="F17" s="851" t="s">
        <v>580</v>
      </c>
      <c r="G17" s="852" t="s">
        <v>581</v>
      </c>
      <c r="H17" s="853">
        <v>1</v>
      </c>
      <c r="I17" s="854">
        <v>1</v>
      </c>
      <c r="J17" s="855">
        <v>2500</v>
      </c>
      <c r="K17" s="642">
        <f>IF(F17&lt;&gt;"",H17*I17*J17,"")</f>
        <v>2500</v>
      </c>
      <c r="L17" s="642">
        <f>IF(K17&lt;&gt;"",IF(D17="INTERNO",0,K17*$L$14),"")</f>
        <v>187.5</v>
      </c>
      <c r="M17" s="642">
        <f>IF(K17&lt;&gt;"",IF(E17="FAT.OGGI",SUM(K17:L17)*(1/(1-$M$14)-1),L17*(1/(1-$M$14)-1)),"")</f>
        <v>652.25394556977778</v>
      </c>
      <c r="N17" s="645">
        <f>SUM(K17:M17)</f>
        <v>3339.7539455697779</v>
      </c>
      <c r="O17" s="538"/>
      <c r="P17" s="538"/>
      <c r="Q17" s="856">
        <f t="shared" ref="Q17:R17" si="0">IF(H17&lt;&gt;"",H17,"")</f>
        <v>1</v>
      </c>
      <c r="R17" s="857">
        <f t="shared" si="0"/>
        <v>1</v>
      </c>
      <c r="S17" s="858">
        <v>1780</v>
      </c>
      <c r="T17" s="858">
        <f>IF(Q17&lt;&gt;"",Q17*R17*S17,"")</f>
        <v>1780</v>
      </c>
      <c r="U17" s="859">
        <f>IF(Q17&lt;&gt;"",K17-T17,"")</f>
        <v>720</v>
      </c>
      <c r="V17" s="586">
        <f>IF(Q17&lt;&gt;"",0%,"")</f>
        <v>0</v>
      </c>
      <c r="W17" s="587">
        <f>IF(Q17&lt;&gt;"",V17*U17,"")</f>
        <v>0</v>
      </c>
      <c r="X17" s="587">
        <f>IF(Q17&lt;&gt;"",W17+T17,"")</f>
        <v>1780</v>
      </c>
      <c r="Y17" s="588">
        <f>IF(Q17&lt;&gt;"",X17+L17,"")</f>
        <v>1967.5</v>
      </c>
      <c r="Z17" s="609">
        <f>IF(Q17&lt;&gt;"",U17/N17,"")</f>
        <v>0.21558474418604648</v>
      </c>
      <c r="AA17" s="590">
        <f>T17/$T$18</f>
        <v>1</v>
      </c>
      <c r="AC17" s="591">
        <v>0</v>
      </c>
      <c r="AD17" s="592">
        <f>T17-AC17</f>
        <v>1780</v>
      </c>
      <c r="AE17" s="593">
        <v>46041</v>
      </c>
      <c r="AG17" s="594" t="s">
        <v>579</v>
      </c>
      <c r="AH17" s="595" t="s">
        <v>579</v>
      </c>
      <c r="AK17" s="596">
        <f>X17-AL17</f>
        <v>0</v>
      </c>
      <c r="AL17" s="597">
        <v>1780</v>
      </c>
      <c r="AM17" s="1014" t="s">
        <v>791</v>
      </c>
    </row>
    <row r="18" spans="1:39" s="860" customFormat="1" ht="35.1" customHeight="1" thickBot="1" x14ac:dyDescent="0.4">
      <c r="A18" s="861">
        <v>4</v>
      </c>
      <c r="B18" s="848"/>
      <c r="C18" s="862" t="s">
        <v>83</v>
      </c>
      <c r="D18" s="863"/>
      <c r="E18" s="863"/>
      <c r="F18" s="1380" t="s">
        <v>610</v>
      </c>
      <c r="G18" s="1381"/>
      <c r="H18" s="1381"/>
      <c r="I18" s="1381"/>
      <c r="J18" s="1381"/>
      <c r="K18" s="149">
        <f>SUM(K17:K17)</f>
        <v>2500</v>
      </c>
      <c r="L18" s="150">
        <f>SUM(L17:L17)</f>
        <v>187.5</v>
      </c>
      <c r="M18" s="151">
        <f>SUM(M17:M17)</f>
        <v>652.25394556977778</v>
      </c>
      <c r="N18" s="152">
        <f>SUM(N17:N17)</f>
        <v>3339.7539455697779</v>
      </c>
      <c r="O18" s="538"/>
      <c r="P18" s="538"/>
      <c r="Q18" s="1281" t="s">
        <v>338</v>
      </c>
      <c r="R18" s="1383"/>
      <c r="S18" s="1383"/>
      <c r="T18" s="145">
        <f>SUM(T17:T17)</f>
        <v>1780</v>
      </c>
      <c r="U18" s="146">
        <f>SUM(U17:U17)</f>
        <v>720</v>
      </c>
      <c r="V18" s="864"/>
      <c r="W18" s="865"/>
      <c r="X18" s="147">
        <f>SUM(X17:X17)</f>
        <v>1780</v>
      </c>
      <c r="Y18" s="148">
        <f>IF(Q18&lt;&gt;"",X18+M18,"")</f>
        <v>2432.2539455697779</v>
      </c>
      <c r="Z18" s="609"/>
      <c r="AA18" s="646"/>
      <c r="AC18" s="591"/>
      <c r="AD18" s="592"/>
      <c r="AE18" s="593"/>
      <c r="AG18" s="594"/>
      <c r="AH18" s="595"/>
      <c r="AK18" s="596">
        <v>0</v>
      </c>
      <c r="AL18" s="597">
        <v>0</v>
      </c>
      <c r="AM18" s="1014"/>
    </row>
    <row r="19" spans="1:39" s="860" customFormat="1" ht="35.1" customHeight="1" thickBot="1" x14ac:dyDescent="0.4">
      <c r="A19" s="866">
        <v>5</v>
      </c>
      <c r="B19" s="848" t="s">
        <v>320</v>
      </c>
      <c r="C19" s="867" t="s">
        <v>51</v>
      </c>
      <c r="D19" s="868"/>
      <c r="E19" s="868"/>
      <c r="F19" s="1374" t="s">
        <v>582</v>
      </c>
      <c r="G19" s="1375"/>
      <c r="H19" s="1375"/>
      <c r="I19" s="1375"/>
      <c r="J19" s="1375"/>
      <c r="K19" s="1376"/>
      <c r="L19" s="869" t="s">
        <v>53</v>
      </c>
      <c r="M19" s="870" t="s">
        <v>54</v>
      </c>
      <c r="N19" s="871" t="s">
        <v>28</v>
      </c>
      <c r="O19" s="538"/>
      <c r="P19" s="538"/>
      <c r="Q19" s="1377" t="str">
        <f>IF(F19&lt;&gt;"",F19,"")</f>
        <v xml:space="preserve">PPT </v>
      </c>
      <c r="R19" s="1378"/>
      <c r="S19" s="1378"/>
      <c r="T19" s="1378"/>
      <c r="U19" s="1378"/>
      <c r="V19" s="1378"/>
      <c r="W19" s="1378"/>
      <c r="X19" s="1378"/>
      <c r="Y19" s="1379"/>
      <c r="Z19" s="581" t="s">
        <v>55</v>
      </c>
      <c r="AA19" s="872" t="s">
        <v>39</v>
      </c>
      <c r="AC19" s="591"/>
      <c r="AD19" s="592"/>
      <c r="AE19" s="593"/>
      <c r="AG19" s="594"/>
      <c r="AH19" s="595"/>
      <c r="AK19" s="596">
        <f t="shared" ref="AK19:AK42" si="1">X19-AL19</f>
        <v>0</v>
      </c>
      <c r="AL19" s="597">
        <v>0</v>
      </c>
      <c r="AM19" s="1014"/>
    </row>
    <row r="20" spans="1:39" ht="99.9" customHeight="1" x14ac:dyDescent="0.35">
      <c r="A20" s="556">
        <v>6</v>
      </c>
      <c r="B20" s="579" t="s">
        <v>322</v>
      </c>
      <c r="C20" s="580" t="s">
        <v>57</v>
      </c>
      <c r="D20" s="556" t="s">
        <v>88</v>
      </c>
      <c r="E20" s="556" t="s">
        <v>58</v>
      </c>
      <c r="F20" s="604" t="s">
        <v>265</v>
      </c>
      <c r="G20" s="583" t="s">
        <v>583</v>
      </c>
      <c r="H20" s="605">
        <v>84</v>
      </c>
      <c r="I20" s="605">
        <v>1</v>
      </c>
      <c r="J20" s="606">
        <v>160</v>
      </c>
      <c r="K20" s="640">
        <f t="shared" ref="K20" si="2">IF(F20&lt;&gt;"",H20*I20*J20,"")</f>
        <v>13440</v>
      </c>
      <c r="L20" s="640">
        <f t="shared" ref="L20" si="3">IF(K20&lt;&gt;"",IF(D20="INTERNO",0,K20*$L$14),"")</f>
        <v>1008</v>
      </c>
      <c r="M20" s="640">
        <f t="shared" ref="M20" si="4">IF(K20&lt;&gt;"",IF(E20="FAT.OGGI",SUM(K20:L20)*(1/(1-$M$14)-1),L20*(1/(1-$M$14)-1)),"")</f>
        <v>3506.5172113831254</v>
      </c>
      <c r="N20" s="641">
        <f t="shared" ref="N20" si="5">SUM(K20:M20)</f>
        <v>17954.517211383125</v>
      </c>
      <c r="O20" s="541"/>
      <c r="Q20" s="584">
        <f t="shared" ref="Q20" si="6">IF(H20&lt;&gt;"",H20,"")</f>
        <v>84</v>
      </c>
      <c r="R20" s="598">
        <v>1</v>
      </c>
      <c r="S20" s="603">
        <v>140</v>
      </c>
      <c r="T20" s="603">
        <f t="shared" ref="T20" si="7">IF(Q20&lt;&gt;"",Q20*R20*S20,"")</f>
        <v>11760</v>
      </c>
      <c r="U20" s="600">
        <f t="shared" ref="U20" si="8">IF(Q20&lt;&gt;"",K20-T20,"")</f>
        <v>1680</v>
      </c>
      <c r="V20" s="601">
        <f t="shared" ref="V20" si="9">IF(Q20&lt;&gt;"",0%,"")</f>
        <v>0</v>
      </c>
      <c r="W20" s="602">
        <f t="shared" ref="W20" si="10">IF(Q20&lt;&gt;"",V20*U20,"")</f>
        <v>0</v>
      </c>
      <c r="X20" s="602">
        <f t="shared" ref="X20" si="11">IF(Q20&lt;&gt;"",W20+T20,"")</f>
        <v>11760</v>
      </c>
      <c r="Y20" s="602">
        <f t="shared" ref="Y20" si="12">IF(Q20&lt;&gt;"",X20+M20,"")</f>
        <v>15266.517211383125</v>
      </c>
      <c r="Z20" s="589">
        <f t="shared" ref="Z20" si="13">IF(Q20&lt;&gt;"",U20/K20,"")</f>
        <v>0.125</v>
      </c>
      <c r="AA20" s="590" t="e">
        <f>T20/$T$105</f>
        <v>#DIV/0!</v>
      </c>
      <c r="AC20" s="591">
        <v>0</v>
      </c>
      <c r="AD20" s="592">
        <f>T20-AC20</f>
        <v>11760</v>
      </c>
      <c r="AE20" s="593">
        <v>46043</v>
      </c>
      <c r="AG20" s="594" t="s">
        <v>592</v>
      </c>
      <c r="AH20" s="595" t="s">
        <v>593</v>
      </c>
      <c r="AK20" s="596">
        <f t="shared" si="1"/>
        <v>0</v>
      </c>
      <c r="AL20" s="597">
        <v>11760</v>
      </c>
      <c r="AM20" s="1013" t="s">
        <v>786</v>
      </c>
    </row>
    <row r="21" spans="1:39" s="860" customFormat="1" ht="35.1" customHeight="1" thickBot="1" x14ac:dyDescent="0.4">
      <c r="A21" s="861">
        <v>7</v>
      </c>
      <c r="B21" s="848"/>
      <c r="C21" s="862" t="s">
        <v>83</v>
      </c>
      <c r="D21" s="863"/>
      <c r="E21" s="863"/>
      <c r="F21" s="1380" t="s">
        <v>611</v>
      </c>
      <c r="G21" s="1381"/>
      <c r="H21" s="1381"/>
      <c r="I21" s="1381"/>
      <c r="J21" s="1381"/>
      <c r="K21" s="149">
        <f>SUM(K20:K20)</f>
        <v>13440</v>
      </c>
      <c r="L21" s="150">
        <f>SUM(L20:L20)</f>
        <v>1008</v>
      </c>
      <c r="M21" s="151">
        <f>SUM(M20:M20)</f>
        <v>3506.5172113831254</v>
      </c>
      <c r="N21" s="152">
        <f>SUM(N20:N20)</f>
        <v>17954.517211383125</v>
      </c>
      <c r="O21" s="538"/>
      <c r="P21" s="538"/>
      <c r="Q21" s="1403" t="s">
        <v>352</v>
      </c>
      <c r="R21" s="1383"/>
      <c r="S21" s="1383"/>
      <c r="T21" s="145">
        <f>SUM(T20:T20)</f>
        <v>11760</v>
      </c>
      <c r="U21" s="146">
        <f>SUM(U20:U20)</f>
        <v>1680</v>
      </c>
      <c r="V21" s="864"/>
      <c r="W21" s="865"/>
      <c r="X21" s="147">
        <f>SUM(X20:X20)</f>
        <v>11760</v>
      </c>
      <c r="Y21" s="148">
        <f>IF(Q21&lt;&gt;"",X21+M21,"")</f>
        <v>15266.517211383125</v>
      </c>
      <c r="Z21" s="609"/>
      <c r="AA21" s="590"/>
      <c r="AC21" s="591"/>
      <c r="AD21" s="592"/>
      <c r="AE21" s="593"/>
      <c r="AG21" s="594"/>
      <c r="AH21" s="595"/>
      <c r="AK21" s="596">
        <v>0</v>
      </c>
      <c r="AL21" s="597">
        <v>0</v>
      </c>
      <c r="AM21" s="1014"/>
    </row>
    <row r="22" spans="1:39" s="860" customFormat="1" ht="35.1" customHeight="1" thickBot="1" x14ac:dyDescent="0.4">
      <c r="A22" s="866">
        <v>8</v>
      </c>
      <c r="B22" s="848" t="s">
        <v>345</v>
      </c>
      <c r="C22" s="867" t="s">
        <v>51</v>
      </c>
      <c r="D22" s="868"/>
      <c r="E22" s="868"/>
      <c r="F22" s="1374" t="s">
        <v>191</v>
      </c>
      <c r="G22" s="1375"/>
      <c r="H22" s="1375"/>
      <c r="I22" s="1375"/>
      <c r="J22" s="1375"/>
      <c r="K22" s="1376"/>
      <c r="L22" s="869" t="s">
        <v>53</v>
      </c>
      <c r="M22" s="870" t="s">
        <v>54</v>
      </c>
      <c r="N22" s="871" t="s">
        <v>28</v>
      </c>
      <c r="O22" s="538"/>
      <c r="P22" s="538"/>
      <c r="Q22" s="1377" t="str">
        <f>IF(F22&lt;&gt;"",F22,"")</f>
        <v>SERVIÇOS</v>
      </c>
      <c r="R22" s="1378"/>
      <c r="S22" s="1378"/>
      <c r="T22" s="1378"/>
      <c r="U22" s="1378"/>
      <c r="V22" s="1378"/>
      <c r="W22" s="1378"/>
      <c r="X22" s="1378"/>
      <c r="Y22" s="1379"/>
      <c r="Z22" s="581" t="s">
        <v>55</v>
      </c>
      <c r="AA22" s="872" t="s">
        <v>39</v>
      </c>
      <c r="AC22" s="591"/>
      <c r="AD22" s="592"/>
      <c r="AE22" s="593"/>
      <c r="AG22" s="594"/>
      <c r="AH22" s="595"/>
      <c r="AK22" s="596">
        <f t="shared" si="1"/>
        <v>0</v>
      </c>
      <c r="AL22" s="597">
        <v>0</v>
      </c>
      <c r="AM22" s="1014"/>
    </row>
    <row r="23" spans="1:39" ht="99.9" customHeight="1" x14ac:dyDescent="0.35">
      <c r="A23" s="556">
        <v>9</v>
      </c>
      <c r="B23" s="579" t="s">
        <v>347</v>
      </c>
      <c r="C23" s="580" t="s">
        <v>57</v>
      </c>
      <c r="D23" s="556" t="s">
        <v>88</v>
      </c>
      <c r="E23" s="556" t="s">
        <v>58</v>
      </c>
      <c r="F23" s="952" t="s">
        <v>584</v>
      </c>
      <c r="G23" s="953" t="s">
        <v>585</v>
      </c>
      <c r="H23" s="954">
        <v>1</v>
      </c>
      <c r="I23" s="954">
        <v>1</v>
      </c>
      <c r="J23" s="955">
        <v>1600</v>
      </c>
      <c r="K23" s="956">
        <f t="shared" ref="K23" si="14">IF(F23&lt;&gt;"",H23*I23*J23,"")</f>
        <v>1600</v>
      </c>
      <c r="L23" s="956">
        <f t="shared" ref="L23" si="15">IF(K23&lt;&gt;"",IF(D23="INTERNO",0,K23*$L$14),"")</f>
        <v>120</v>
      </c>
      <c r="M23" s="956">
        <f t="shared" ref="M23" si="16">IF(K23&lt;&gt;"",IF(E23="FAT.OGGI",SUM(K23:L23)*(1/(1-$M$14)-1),L23*(1/(1-$M$14)-1)),"")</f>
        <v>417.44252516465775</v>
      </c>
      <c r="N23" s="957">
        <f t="shared" ref="N23" si="17">SUM(K23:M23)</f>
        <v>2137.4425251646576</v>
      </c>
      <c r="O23" s="541"/>
      <c r="Q23" s="584">
        <f t="shared" ref="Q23" si="18">IF(H23&lt;&gt;"",H23,"")</f>
        <v>1</v>
      </c>
      <c r="R23" s="585">
        <v>0</v>
      </c>
      <c r="S23" s="599">
        <v>1200</v>
      </c>
      <c r="T23" s="599">
        <f t="shared" ref="T23" si="19">IF(Q23&lt;&gt;"",Q23*R23*S23,"")</f>
        <v>0</v>
      </c>
      <c r="U23" s="600">
        <f t="shared" ref="U23" si="20">IF(Q23&lt;&gt;"",K23-T23,"")</f>
        <v>1600</v>
      </c>
      <c r="V23" s="601">
        <f t="shared" ref="V23" si="21">IF(Q23&lt;&gt;"",0%,"")</f>
        <v>0</v>
      </c>
      <c r="W23" s="602">
        <f t="shared" ref="W23" si="22">IF(Q23&lt;&gt;"",V23*U23,"")</f>
        <v>0</v>
      </c>
      <c r="X23" s="602">
        <f t="shared" ref="X23" si="23">IF(Q23&lt;&gt;"",W23+T23,"")</f>
        <v>0</v>
      </c>
      <c r="Y23" s="602">
        <f t="shared" ref="Y23" si="24">IF(Q23&lt;&gt;"",X23+M23,"")</f>
        <v>417.44252516465775</v>
      </c>
      <c r="Z23" s="589">
        <f t="shared" ref="Z23" si="25">IF(Q23&lt;&gt;"",U23/K23,"")</f>
        <v>1</v>
      </c>
      <c r="AA23" s="590" t="e">
        <f>T23/$T$105</f>
        <v>#DIV/0!</v>
      </c>
      <c r="AC23" s="591">
        <v>0</v>
      </c>
      <c r="AD23" s="592">
        <f>T23-AC23</f>
        <v>0</v>
      </c>
      <c r="AE23" s="593">
        <v>46028</v>
      </c>
      <c r="AG23" s="594" t="s">
        <v>238</v>
      </c>
      <c r="AH23" s="595" t="s">
        <v>239</v>
      </c>
      <c r="AK23" s="596">
        <f t="shared" si="1"/>
        <v>0</v>
      </c>
      <c r="AL23" s="597">
        <v>0</v>
      </c>
    </row>
    <row r="24" spans="1:39" s="860" customFormat="1" ht="35.1" customHeight="1" thickBot="1" x14ac:dyDescent="0.4">
      <c r="A24" s="861">
        <v>10</v>
      </c>
      <c r="B24" s="848"/>
      <c r="C24" s="862" t="s">
        <v>83</v>
      </c>
      <c r="D24" s="863"/>
      <c r="E24" s="863"/>
      <c r="F24" s="1380" t="s">
        <v>612</v>
      </c>
      <c r="G24" s="1381"/>
      <c r="H24" s="1381"/>
      <c r="I24" s="1381"/>
      <c r="J24" s="1381"/>
      <c r="K24" s="149">
        <f>SUM(K23:K23)</f>
        <v>1600</v>
      </c>
      <c r="L24" s="150">
        <f>SUM(L23:L23)</f>
        <v>120</v>
      </c>
      <c r="M24" s="151">
        <f>SUM(M23:M23)</f>
        <v>417.44252516465775</v>
      </c>
      <c r="N24" s="152">
        <f>SUM(N23:N23)</f>
        <v>2137.4425251646576</v>
      </c>
      <c r="O24" s="538"/>
      <c r="P24" s="538"/>
      <c r="Q24" s="1403" t="s">
        <v>352</v>
      </c>
      <c r="R24" s="1405"/>
      <c r="S24" s="1383"/>
      <c r="T24" s="145">
        <f>SUM(T23:T23)</f>
        <v>0</v>
      </c>
      <c r="U24" s="146">
        <f>SUM(U23:U23)</f>
        <v>1600</v>
      </c>
      <c r="V24" s="864"/>
      <c r="W24" s="865"/>
      <c r="X24" s="147">
        <f>SUM(X23:X23)</f>
        <v>0</v>
      </c>
      <c r="Y24" s="148">
        <f>IF(Q24&lt;&gt;"",X24+M24,"")</f>
        <v>417.44252516465775</v>
      </c>
      <c r="Z24" s="609"/>
      <c r="AA24" s="590"/>
      <c r="AC24" s="591"/>
      <c r="AD24" s="592"/>
      <c r="AE24" s="593"/>
      <c r="AG24" s="594"/>
      <c r="AH24" s="595"/>
      <c r="AK24" s="596">
        <f t="shared" si="1"/>
        <v>0</v>
      </c>
      <c r="AL24" s="597">
        <v>0</v>
      </c>
      <c r="AM24" s="1014"/>
    </row>
    <row r="25" spans="1:39" s="860" customFormat="1" ht="35.1" customHeight="1" thickBot="1" x14ac:dyDescent="0.4">
      <c r="A25" s="866">
        <v>11</v>
      </c>
      <c r="B25" s="848" t="s">
        <v>353</v>
      </c>
      <c r="C25" s="867" t="s">
        <v>51</v>
      </c>
      <c r="D25" s="868"/>
      <c r="E25" s="868"/>
      <c r="F25" s="1374" t="s">
        <v>588</v>
      </c>
      <c r="G25" s="1375"/>
      <c r="H25" s="1375"/>
      <c r="I25" s="1375"/>
      <c r="J25" s="1375"/>
      <c r="K25" s="1376"/>
      <c r="L25" s="869" t="s">
        <v>53</v>
      </c>
      <c r="M25" s="870" t="s">
        <v>54</v>
      </c>
      <c r="N25" s="871" t="s">
        <v>28</v>
      </c>
      <c r="O25" s="538"/>
      <c r="P25" s="538"/>
      <c r="Q25" s="1377" t="str">
        <f>IF(F25&lt;&gt;"",F25,"")</f>
        <v>Presente Melhor Vendedor</v>
      </c>
      <c r="R25" s="1378"/>
      <c r="S25" s="1378"/>
      <c r="T25" s="1378"/>
      <c r="U25" s="1378"/>
      <c r="V25" s="1378"/>
      <c r="W25" s="1378"/>
      <c r="X25" s="1378"/>
      <c r="Y25" s="1379"/>
      <c r="Z25" s="581" t="s">
        <v>55</v>
      </c>
      <c r="AA25" s="872" t="s">
        <v>39</v>
      </c>
      <c r="AC25" s="591"/>
      <c r="AD25" s="592"/>
      <c r="AE25" s="593"/>
      <c r="AG25" s="594"/>
      <c r="AH25" s="595"/>
      <c r="AK25" s="596">
        <f t="shared" si="1"/>
        <v>0</v>
      </c>
      <c r="AL25" s="597">
        <v>0</v>
      </c>
      <c r="AM25" s="1014"/>
    </row>
    <row r="26" spans="1:39" ht="99.9" customHeight="1" x14ac:dyDescent="0.35">
      <c r="A26" s="556">
        <v>12</v>
      </c>
      <c r="B26" s="579" t="s">
        <v>355</v>
      </c>
      <c r="C26" s="580" t="s">
        <v>57</v>
      </c>
      <c r="D26" s="556" t="s">
        <v>88</v>
      </c>
      <c r="E26" s="556" t="s">
        <v>58</v>
      </c>
      <c r="F26" s="604" t="s">
        <v>589</v>
      </c>
      <c r="G26" s="583" t="s">
        <v>590</v>
      </c>
      <c r="H26" s="605">
        <v>1</v>
      </c>
      <c r="I26" s="605">
        <v>1</v>
      </c>
      <c r="J26" s="606">
        <v>1600</v>
      </c>
      <c r="K26" s="640">
        <f t="shared" ref="K26" si="26">IF(F26&lt;&gt;"",H26*I26*J26,"")</f>
        <v>1600</v>
      </c>
      <c r="L26" s="640">
        <f t="shared" ref="L26" si="27">IF(K26&lt;&gt;"",IF(D26="INTERNO",0,K26*$L$14),"")</f>
        <v>120</v>
      </c>
      <c r="M26" s="640">
        <f t="shared" ref="M26" si="28">IF(K26&lt;&gt;"",IF(E26="FAT.OGGI",SUM(K26:L26)*(1/(1-$M$14)-1),L26*(1/(1-$M$14)-1)),"")</f>
        <v>417.44252516465775</v>
      </c>
      <c r="N26" s="641">
        <f t="shared" ref="N26" si="29">SUM(K26:M26)</f>
        <v>2137.4425251646576</v>
      </c>
      <c r="O26" s="541"/>
      <c r="Q26" s="598">
        <f t="shared" ref="Q26" si="30">IF(H26&lt;&gt;"",H26,"")</f>
        <v>1</v>
      </c>
      <c r="R26" s="598">
        <f t="shared" ref="R26" si="31">IF(I26&lt;&gt;"",I26,"")</f>
        <v>1</v>
      </c>
      <c r="S26" s="603">
        <f>1280.5+200.68</f>
        <v>1481.18</v>
      </c>
      <c r="T26" s="603">
        <v>1280.5</v>
      </c>
      <c r="U26" s="600">
        <f t="shared" ref="U26" si="32">IF(Q26&lt;&gt;"",K26-T26,"")</f>
        <v>319.5</v>
      </c>
      <c r="V26" s="601">
        <f t="shared" ref="V26" si="33">IF(Q26&lt;&gt;"",0%,"")</f>
        <v>0</v>
      </c>
      <c r="W26" s="602">
        <f t="shared" ref="W26" si="34">IF(Q26&lt;&gt;"",V26*U26,"")</f>
        <v>0</v>
      </c>
      <c r="X26" s="602">
        <f t="shared" ref="X26" si="35">IF(Q26&lt;&gt;"",W26+T26,"")</f>
        <v>1280.5</v>
      </c>
      <c r="Y26" s="602">
        <f t="shared" ref="Y26" si="36">IF(Q26&lt;&gt;"",X26+M26,"")</f>
        <v>1697.9425251646578</v>
      </c>
      <c r="Z26" s="589">
        <f t="shared" ref="Z26" si="37">IF(Q26&lt;&gt;"",U26/K26,"")</f>
        <v>0.19968749999999999</v>
      </c>
      <c r="AA26" s="590" t="e">
        <f>T26/$T$105</f>
        <v>#DIV/0!</v>
      </c>
      <c r="AC26" s="591">
        <v>0</v>
      </c>
      <c r="AD26" s="592">
        <f>T26-AC26</f>
        <v>1280.5</v>
      </c>
      <c r="AE26" s="593">
        <v>46043</v>
      </c>
      <c r="AG26" s="594" t="s">
        <v>377</v>
      </c>
      <c r="AH26" s="595" t="s">
        <v>378</v>
      </c>
      <c r="AK26" s="596">
        <f t="shared" si="1"/>
        <v>0</v>
      </c>
      <c r="AL26" s="597">
        <v>1280.5</v>
      </c>
      <c r="AM26" s="1013" t="s">
        <v>798</v>
      </c>
    </row>
    <row r="27" spans="1:39" s="860" customFormat="1" ht="35.1" customHeight="1" thickBot="1" x14ac:dyDescent="0.4">
      <c r="A27" s="861">
        <v>13</v>
      </c>
      <c r="B27" s="848"/>
      <c r="C27" s="862" t="s">
        <v>83</v>
      </c>
      <c r="D27" s="863"/>
      <c r="E27" s="863"/>
      <c r="F27" s="1380" t="s">
        <v>613</v>
      </c>
      <c r="G27" s="1381"/>
      <c r="H27" s="1381"/>
      <c r="I27" s="1381"/>
      <c r="J27" s="1381"/>
      <c r="K27" s="149">
        <f>SUM(K26:K26)</f>
        <v>1600</v>
      </c>
      <c r="L27" s="150">
        <f>SUM(L26:L26)</f>
        <v>120</v>
      </c>
      <c r="M27" s="151">
        <f>SUM(M26:M26)</f>
        <v>417.44252516465775</v>
      </c>
      <c r="N27" s="152">
        <f>SUM(N26:N26)</f>
        <v>2137.4425251646576</v>
      </c>
      <c r="O27" s="538"/>
      <c r="P27" s="538"/>
      <c r="Q27" s="1404" t="s">
        <v>352</v>
      </c>
      <c r="R27" s="1404"/>
      <c r="S27" s="1404"/>
      <c r="T27" s="172">
        <f>SUM(T26:T26)</f>
        <v>1280.5</v>
      </c>
      <c r="U27" s="173">
        <f>SUM(U26:U26)</f>
        <v>319.5</v>
      </c>
      <c r="V27" s="601"/>
      <c r="W27" s="602"/>
      <c r="X27" s="171">
        <f>SUM(X26:X26)</f>
        <v>1280.5</v>
      </c>
      <c r="Y27" s="171">
        <f>IF(Q27&lt;&gt;"",X27+M27,"")</f>
        <v>1697.9425251646578</v>
      </c>
      <c r="Z27" s="609"/>
      <c r="AA27" s="590"/>
      <c r="AC27" s="591"/>
      <c r="AD27" s="592"/>
      <c r="AE27" s="593"/>
      <c r="AG27" s="594"/>
      <c r="AH27" s="595"/>
      <c r="AK27" s="596">
        <v>0</v>
      </c>
      <c r="AL27" s="597">
        <v>0</v>
      </c>
      <c r="AM27" s="1014"/>
    </row>
    <row r="28" spans="1:39" s="860" customFormat="1" ht="35.1" customHeight="1" thickBot="1" x14ac:dyDescent="0.4">
      <c r="A28" s="866">
        <v>14</v>
      </c>
      <c r="B28" s="848" t="s">
        <v>359</v>
      </c>
      <c r="C28" s="867" t="s">
        <v>51</v>
      </c>
      <c r="D28" s="868"/>
      <c r="E28" s="868"/>
      <c r="F28" s="1374" t="s">
        <v>595</v>
      </c>
      <c r="G28" s="1375"/>
      <c r="H28" s="1375"/>
      <c r="I28" s="1375"/>
      <c r="J28" s="1375"/>
      <c r="K28" s="1376"/>
      <c r="L28" s="869" t="s">
        <v>53</v>
      </c>
      <c r="M28" s="870" t="s">
        <v>54</v>
      </c>
      <c r="N28" s="871" t="s">
        <v>28</v>
      </c>
      <c r="O28" s="538"/>
      <c r="P28" s="538"/>
      <c r="Q28" s="1377" t="str">
        <f>IF(F28&lt;&gt;"",F28,"")</f>
        <v>LOCUÇÃO VÍDEOS</v>
      </c>
      <c r="R28" s="1378"/>
      <c r="S28" s="1378"/>
      <c r="T28" s="1378"/>
      <c r="U28" s="1378"/>
      <c r="V28" s="1378"/>
      <c r="W28" s="1378"/>
      <c r="X28" s="1378"/>
      <c r="Y28" s="1379"/>
      <c r="Z28" s="581" t="s">
        <v>55</v>
      </c>
      <c r="AA28" s="872" t="s">
        <v>39</v>
      </c>
      <c r="AC28" s="591"/>
      <c r="AD28" s="592"/>
      <c r="AE28" s="593"/>
      <c r="AG28" s="594"/>
      <c r="AH28" s="595"/>
      <c r="AK28" s="596">
        <f t="shared" si="1"/>
        <v>0</v>
      </c>
      <c r="AL28" s="597">
        <v>0</v>
      </c>
      <c r="AM28" s="1014"/>
    </row>
    <row r="29" spans="1:39" ht="99.9" customHeight="1" x14ac:dyDescent="0.35">
      <c r="A29" s="556">
        <v>15</v>
      </c>
      <c r="B29" s="579" t="s">
        <v>361</v>
      </c>
      <c r="C29" s="580" t="s">
        <v>57</v>
      </c>
      <c r="D29" s="556" t="s">
        <v>88</v>
      </c>
      <c r="E29" s="556" t="s">
        <v>58</v>
      </c>
      <c r="F29" s="958" t="s">
        <v>772</v>
      </c>
      <c r="G29" s="644" t="s">
        <v>596</v>
      </c>
      <c r="H29" s="959">
        <v>0</v>
      </c>
      <c r="I29" s="959">
        <v>0</v>
      </c>
      <c r="J29" s="643">
        <v>0</v>
      </c>
      <c r="K29" s="960">
        <v>0</v>
      </c>
      <c r="L29" s="960">
        <f t="shared" ref="L29" si="38">IF(K29&lt;&gt;"",IF(D29="INTERNO",0,K29*$L$14),"")</f>
        <v>0</v>
      </c>
      <c r="M29" s="960">
        <f t="shared" ref="M29" si="39">IF(K29&lt;&gt;"",IF(E29="FAT.OGGI",SUM(K29:L29)*(1/(1-$M$14)-1),L29*(1/(1-$M$14)-1)),"")</f>
        <v>0</v>
      </c>
      <c r="N29" s="961">
        <f t="shared" ref="N29" si="40">SUM(K29:M29)</f>
        <v>0</v>
      </c>
      <c r="O29" s="541"/>
      <c r="Q29" s="598">
        <f t="shared" ref="Q29" si="41">IF(H29&lt;&gt;"",H29,"")</f>
        <v>0</v>
      </c>
      <c r="R29" s="598">
        <f t="shared" ref="R29" si="42">IF(I29&lt;&gt;"",I29,"")</f>
        <v>0</v>
      </c>
      <c r="S29" s="599">
        <v>0</v>
      </c>
      <c r="T29" s="599">
        <v>0</v>
      </c>
      <c r="U29" s="600">
        <f t="shared" ref="U29" si="43">IF(Q29&lt;&gt;"",K29-T29,"")</f>
        <v>0</v>
      </c>
      <c r="V29" s="601">
        <f t="shared" ref="V29" si="44">IF(Q29&lt;&gt;"",0%,"")</f>
        <v>0</v>
      </c>
      <c r="W29" s="602">
        <f t="shared" ref="W29" si="45">IF(Q29&lt;&gt;"",V29*U29,"")</f>
        <v>0</v>
      </c>
      <c r="X29" s="602">
        <f t="shared" ref="X29" si="46">IF(Q29&lt;&gt;"",W29+T29,"")</f>
        <v>0</v>
      </c>
      <c r="Y29" s="602">
        <f t="shared" ref="Y29" si="47">IF(Q29&lt;&gt;"",X29+M29,"")</f>
        <v>0</v>
      </c>
      <c r="Z29" s="609" t="e">
        <f t="shared" ref="Z29" si="48">IF(Q29&lt;&gt;"",U29/K29,"")</f>
        <v>#DIV/0!</v>
      </c>
      <c r="AA29" s="646" t="e">
        <f>T29/$T$105</f>
        <v>#DIV/0!</v>
      </c>
      <c r="AC29" s="591">
        <v>0</v>
      </c>
      <c r="AD29" s="592">
        <f>T29-AC29</f>
        <v>0</v>
      </c>
      <c r="AE29" s="593">
        <v>46043</v>
      </c>
      <c r="AG29" s="594" t="s">
        <v>377</v>
      </c>
      <c r="AH29" s="595" t="s">
        <v>378</v>
      </c>
      <c r="AK29" s="596">
        <f t="shared" si="1"/>
        <v>0</v>
      </c>
      <c r="AL29" s="597">
        <v>0</v>
      </c>
    </row>
    <row r="30" spans="1:39" ht="99.9" customHeight="1" thickBot="1" x14ac:dyDescent="0.4">
      <c r="A30" s="556">
        <v>16</v>
      </c>
      <c r="B30" s="579" t="s">
        <v>605</v>
      </c>
      <c r="C30" s="580" t="s">
        <v>57</v>
      </c>
      <c r="D30" s="556" t="s">
        <v>88</v>
      </c>
      <c r="E30" s="556" t="s">
        <v>58</v>
      </c>
      <c r="F30" s="958" t="s">
        <v>773</v>
      </c>
      <c r="G30" s="644"/>
      <c r="H30" s="959">
        <v>0</v>
      </c>
      <c r="I30" s="959">
        <v>0</v>
      </c>
      <c r="J30" s="643">
        <v>0</v>
      </c>
      <c r="K30" s="960">
        <v>0</v>
      </c>
      <c r="L30" s="960">
        <f t="shared" ref="L30" si="49">IF(K30&lt;&gt;"",IF(D30="INTERNO",0,K30*$L$14),"")</f>
        <v>0</v>
      </c>
      <c r="M30" s="960">
        <f t="shared" ref="M30" si="50">IF(K30&lt;&gt;"",IF(E30="FAT.OGGI",SUM(K30:L30)*(1/(1-$M$14)-1),L30*(1/(1-$M$14)-1)),"")</f>
        <v>0</v>
      </c>
      <c r="N30" s="961">
        <f t="shared" ref="N30" si="51">SUM(K30:M30)</f>
        <v>0</v>
      </c>
      <c r="O30" s="541"/>
      <c r="Q30" s="598">
        <f t="shared" ref="Q30" si="52">IF(H30&lt;&gt;"",H30,"")</f>
        <v>0</v>
      </c>
      <c r="R30" s="598">
        <f t="shared" ref="R30" si="53">IF(I30&lt;&gt;"",I30,"")</f>
        <v>0</v>
      </c>
      <c r="S30" s="599">
        <v>0</v>
      </c>
      <c r="T30" s="599">
        <v>0</v>
      </c>
      <c r="U30" s="600">
        <f t="shared" ref="U30" si="54">IF(Q30&lt;&gt;"",K30-T30,"")</f>
        <v>0</v>
      </c>
      <c r="V30" s="601">
        <f t="shared" ref="V30" si="55">IF(Q30&lt;&gt;"",0%,"")</f>
        <v>0</v>
      </c>
      <c r="W30" s="602">
        <f t="shared" ref="W30" si="56">IF(Q30&lt;&gt;"",V30*U30,"")</f>
        <v>0</v>
      </c>
      <c r="X30" s="602">
        <f t="shared" ref="X30" si="57">IF(Q30&lt;&gt;"",W30+T30,"")</f>
        <v>0</v>
      </c>
      <c r="Y30" s="602">
        <f t="shared" ref="Y30" si="58">IF(Q30&lt;&gt;"",X30+M30,"")</f>
        <v>0</v>
      </c>
      <c r="Z30" s="609" t="e">
        <f t="shared" ref="Z30" si="59">IF(Q30&lt;&gt;"",U30/K30,"")</f>
        <v>#DIV/0!</v>
      </c>
      <c r="AA30" s="646" t="e">
        <f>T30/$T$105</f>
        <v>#DIV/0!</v>
      </c>
      <c r="AC30" s="591">
        <v>0</v>
      </c>
      <c r="AD30" s="592">
        <f>T30-AC30</f>
        <v>0</v>
      </c>
      <c r="AE30" s="593">
        <v>46043</v>
      </c>
      <c r="AG30" s="594" t="s">
        <v>377</v>
      </c>
      <c r="AH30" s="595" t="s">
        <v>378</v>
      </c>
      <c r="AK30" s="596">
        <f>X30-AL30</f>
        <v>0</v>
      </c>
      <c r="AL30" s="597">
        <v>0</v>
      </c>
    </row>
    <row r="31" spans="1:39" s="860" customFormat="1" ht="35.1" customHeight="1" thickBot="1" x14ac:dyDescent="0.4">
      <c r="A31" s="847">
        <v>17</v>
      </c>
      <c r="B31" s="848"/>
      <c r="C31" s="849" t="s">
        <v>83</v>
      </c>
      <c r="D31" s="850"/>
      <c r="E31" s="850"/>
      <c r="F31" s="1380" t="s">
        <v>614</v>
      </c>
      <c r="G31" s="1381"/>
      <c r="H31" s="1381"/>
      <c r="I31" s="1381"/>
      <c r="J31" s="1381"/>
      <c r="K31" s="149">
        <f>SUM(K29:K30)</f>
        <v>0</v>
      </c>
      <c r="L31" s="150">
        <f>SUM(L29:L30)</f>
        <v>0</v>
      </c>
      <c r="M31" s="151">
        <f>SUM(M29:M30)</f>
        <v>0</v>
      </c>
      <c r="N31" s="152">
        <f>SUM(N29:N30)</f>
        <v>0</v>
      </c>
      <c r="O31" s="538"/>
      <c r="P31" s="538"/>
      <c r="Q31" s="1382" t="s">
        <v>352</v>
      </c>
      <c r="R31" s="1382"/>
      <c r="S31" s="1382"/>
      <c r="T31" s="174">
        <f>SUM(T29:T30)</f>
        <v>0</v>
      </c>
      <c r="U31" s="175">
        <f>SUM(U29:U30)</f>
        <v>0</v>
      </c>
      <c r="V31" s="962"/>
      <c r="W31" s="963"/>
      <c r="X31" s="176">
        <f>SUM(X29:X30)</f>
        <v>0</v>
      </c>
      <c r="Y31" s="177">
        <f>IF(Q31&lt;&gt;"",X31+M31,"")</f>
        <v>0</v>
      </c>
      <c r="Z31" s="964" t="s">
        <v>275</v>
      </c>
      <c r="AA31" s="965" t="s">
        <v>276</v>
      </c>
      <c r="AC31" s="591"/>
      <c r="AD31" s="592"/>
      <c r="AE31" s="593"/>
      <c r="AG31" s="594"/>
      <c r="AH31" s="595"/>
      <c r="AK31" s="596">
        <f t="shared" si="1"/>
        <v>0</v>
      </c>
      <c r="AL31" s="597">
        <v>0</v>
      </c>
      <c r="AM31" s="1014"/>
    </row>
    <row r="32" spans="1:39" s="860" customFormat="1" ht="35.1" customHeight="1" thickBot="1" x14ac:dyDescent="0.4">
      <c r="A32" s="866">
        <v>18</v>
      </c>
      <c r="B32" s="848" t="s">
        <v>367</v>
      </c>
      <c r="C32" s="867" t="s">
        <v>51</v>
      </c>
      <c r="D32" s="868"/>
      <c r="E32" s="868"/>
      <c r="F32" s="1374" t="s">
        <v>597</v>
      </c>
      <c r="G32" s="1375"/>
      <c r="H32" s="1375"/>
      <c r="I32" s="1375"/>
      <c r="J32" s="1375"/>
      <c r="K32" s="1376"/>
      <c r="L32" s="869" t="s">
        <v>53</v>
      </c>
      <c r="M32" s="870" t="s">
        <v>54</v>
      </c>
      <c r="N32" s="871" t="s">
        <v>28</v>
      </c>
      <c r="O32" s="538"/>
      <c r="P32" s="538"/>
      <c r="Q32" s="1377" t="str">
        <f>IF(F32&lt;&gt;"",F32,"")</f>
        <v xml:space="preserve">BUZINAS PARA ABERTURA DE PLENÁRIA </v>
      </c>
      <c r="R32" s="1378"/>
      <c r="S32" s="1378"/>
      <c r="T32" s="1378"/>
      <c r="U32" s="1378"/>
      <c r="V32" s="1378"/>
      <c r="W32" s="1378"/>
      <c r="X32" s="1378"/>
      <c r="Y32" s="1379"/>
      <c r="Z32" s="581" t="s">
        <v>55</v>
      </c>
      <c r="AA32" s="872" t="s">
        <v>39</v>
      </c>
      <c r="AC32" s="591"/>
      <c r="AD32" s="592"/>
      <c r="AE32" s="593"/>
      <c r="AG32" s="594"/>
      <c r="AH32" s="595"/>
      <c r="AK32" s="596">
        <f t="shared" si="1"/>
        <v>0</v>
      </c>
      <c r="AL32" s="597">
        <v>0</v>
      </c>
      <c r="AM32" s="1014"/>
    </row>
    <row r="33" spans="1:39" ht="99.9" customHeight="1" thickBot="1" x14ac:dyDescent="0.4">
      <c r="A33" s="556">
        <v>19</v>
      </c>
      <c r="B33" s="579" t="s">
        <v>369</v>
      </c>
      <c r="C33" s="580" t="s">
        <v>57</v>
      </c>
      <c r="D33" s="556" t="s">
        <v>88</v>
      </c>
      <c r="E33" s="556" t="s">
        <v>58</v>
      </c>
      <c r="F33" s="958" t="s">
        <v>597</v>
      </c>
      <c r="G33" s="644" t="s">
        <v>598</v>
      </c>
      <c r="H33" s="959">
        <v>1</v>
      </c>
      <c r="I33" s="959">
        <v>1</v>
      </c>
      <c r="J33" s="643">
        <v>1000</v>
      </c>
      <c r="K33" s="960">
        <f t="shared" ref="K33" si="60">IF(F33&lt;&gt;"",H33*I33*J33,"")</f>
        <v>1000</v>
      </c>
      <c r="L33" s="960">
        <f t="shared" ref="L33" si="61">IF(K33&lt;&gt;"",IF(D33="INTERNO",0,K33*$L$14),"")</f>
        <v>75</v>
      </c>
      <c r="M33" s="960">
        <f t="shared" ref="M33" si="62">IF(K33&lt;&gt;"",IF(E33="FAT.OGGI",SUM(K33:L33)*(1/(1-$M$14)-1),L33*(1/(1-$M$14)-1)),"")</f>
        <v>260.9015782279111</v>
      </c>
      <c r="N33" s="961">
        <f t="shared" ref="N33" si="63">SUM(K33:M33)</f>
        <v>1335.9015782279112</v>
      </c>
      <c r="O33" s="541"/>
      <c r="Q33" s="598">
        <f t="shared" ref="Q33" si="64">IF(H33&lt;&gt;"",H33,"")</f>
        <v>1</v>
      </c>
      <c r="R33" s="598">
        <v>0</v>
      </c>
      <c r="S33" s="599">
        <v>557.5</v>
      </c>
      <c r="T33" s="599">
        <f t="shared" ref="T33" si="65">IF(Q33&lt;&gt;"",Q33*R33*S33,"")</f>
        <v>0</v>
      </c>
      <c r="U33" s="600">
        <f t="shared" ref="U33" si="66">IF(Q33&lt;&gt;"",K33-T33,"")</f>
        <v>1000</v>
      </c>
      <c r="V33" s="601">
        <f t="shared" ref="V33" si="67">IF(Q33&lt;&gt;"",0%,"")</f>
        <v>0</v>
      </c>
      <c r="W33" s="602">
        <f t="shared" ref="W33" si="68">IF(Q33&lt;&gt;"",V33*U33,"")</f>
        <v>0</v>
      </c>
      <c r="X33" s="602">
        <f t="shared" ref="X33" si="69">IF(Q33&lt;&gt;"",W33+T33,"")</f>
        <v>0</v>
      </c>
      <c r="Y33" s="602">
        <f t="shared" ref="Y33" si="70">IF(Q33&lt;&gt;"",X33+M33,"")</f>
        <v>260.9015782279111</v>
      </c>
      <c r="Z33" s="609">
        <f t="shared" ref="Z33" si="71">IF(Q33&lt;&gt;"",U33/K33,"")</f>
        <v>1</v>
      </c>
      <c r="AA33" s="646" t="e">
        <f>T33/$T$105</f>
        <v>#DIV/0!</v>
      </c>
      <c r="AC33" s="591">
        <v>0</v>
      </c>
      <c r="AD33" s="592">
        <f>T33-AC33</f>
        <v>0</v>
      </c>
      <c r="AE33" s="593">
        <v>46043</v>
      </c>
      <c r="AG33" s="594" t="s">
        <v>377</v>
      </c>
      <c r="AH33" s="595" t="s">
        <v>378</v>
      </c>
      <c r="AK33" s="596">
        <f t="shared" si="1"/>
        <v>0</v>
      </c>
      <c r="AL33" s="597">
        <v>0</v>
      </c>
    </row>
    <row r="34" spans="1:39" s="860" customFormat="1" ht="35.1" customHeight="1" thickBot="1" x14ac:dyDescent="0.4">
      <c r="A34" s="847">
        <v>20</v>
      </c>
      <c r="B34" s="848"/>
      <c r="C34" s="849" t="s">
        <v>83</v>
      </c>
      <c r="D34" s="850"/>
      <c r="E34" s="850"/>
      <c r="F34" s="1380" t="s">
        <v>615</v>
      </c>
      <c r="G34" s="1381"/>
      <c r="H34" s="1381"/>
      <c r="I34" s="1381"/>
      <c r="J34" s="1381"/>
      <c r="K34" s="149">
        <f>SUM(K33:K33)</f>
        <v>1000</v>
      </c>
      <c r="L34" s="150">
        <f>SUM(L33:L33)</f>
        <v>75</v>
      </c>
      <c r="M34" s="151">
        <f>SUM(M33:M33)</f>
        <v>260.9015782279111</v>
      </c>
      <c r="N34" s="152">
        <f>SUM(N33:N33)</f>
        <v>1335.9015782279112</v>
      </c>
      <c r="O34" s="538"/>
      <c r="P34" s="538"/>
      <c r="Q34" s="1382" t="s">
        <v>352</v>
      </c>
      <c r="R34" s="1382"/>
      <c r="S34" s="1382"/>
      <c r="T34" s="174">
        <f>SUM(T33:T33)</f>
        <v>0</v>
      </c>
      <c r="U34" s="175">
        <f>SUM(U33:U33)</f>
        <v>1000</v>
      </c>
      <c r="V34" s="962"/>
      <c r="W34" s="963"/>
      <c r="X34" s="176">
        <f>SUM(X33:X33)</f>
        <v>0</v>
      </c>
      <c r="Y34" s="177">
        <f>IF(Q34&lt;&gt;"",X34+M34,"")</f>
        <v>260.9015782279111</v>
      </c>
      <c r="Z34" s="964" t="s">
        <v>275</v>
      </c>
      <c r="AA34" s="965" t="s">
        <v>276</v>
      </c>
      <c r="AC34" s="591"/>
      <c r="AD34" s="592"/>
      <c r="AE34" s="593"/>
      <c r="AG34" s="594"/>
      <c r="AH34" s="595"/>
      <c r="AK34" s="596">
        <f t="shared" si="1"/>
        <v>0</v>
      </c>
      <c r="AL34" s="597">
        <v>0</v>
      </c>
      <c r="AM34" s="1014"/>
    </row>
    <row r="35" spans="1:39" s="860" customFormat="1" ht="35.1" customHeight="1" thickBot="1" x14ac:dyDescent="0.4">
      <c r="A35" s="866">
        <v>21</v>
      </c>
      <c r="B35" s="848" t="s">
        <v>600</v>
      </c>
      <c r="C35" s="867" t="s">
        <v>51</v>
      </c>
      <c r="D35" s="868"/>
      <c r="E35" s="868"/>
      <c r="F35" s="1374" t="s">
        <v>599</v>
      </c>
      <c r="G35" s="1375"/>
      <c r="H35" s="1375"/>
      <c r="I35" s="1375"/>
      <c r="J35" s="1375"/>
      <c r="K35" s="1376"/>
      <c r="L35" s="869" t="s">
        <v>53</v>
      </c>
      <c r="M35" s="870" t="s">
        <v>54</v>
      </c>
      <c r="N35" s="871" t="s">
        <v>28</v>
      </c>
      <c r="O35" s="538"/>
      <c r="P35" s="538"/>
      <c r="Q35" s="1377" t="str">
        <f>IF(F35&lt;&gt;"",F35,"")</f>
        <v>TROFÉU - MELHOR REGIONAL</v>
      </c>
      <c r="R35" s="1378"/>
      <c r="S35" s="1378"/>
      <c r="T35" s="1378"/>
      <c r="U35" s="1378"/>
      <c r="V35" s="1378"/>
      <c r="W35" s="1378"/>
      <c r="X35" s="1378"/>
      <c r="Y35" s="1379"/>
      <c r="Z35" s="581" t="s">
        <v>55</v>
      </c>
      <c r="AA35" s="872" t="s">
        <v>39</v>
      </c>
      <c r="AC35" s="591"/>
      <c r="AD35" s="592"/>
      <c r="AE35" s="593"/>
      <c r="AG35" s="594"/>
      <c r="AH35" s="595"/>
      <c r="AK35" s="596">
        <f t="shared" si="1"/>
        <v>0</v>
      </c>
      <c r="AL35" s="597">
        <v>0</v>
      </c>
      <c r="AM35" s="1014"/>
    </row>
    <row r="36" spans="1:39" ht="99.9" customHeight="1" thickBot="1" x14ac:dyDescent="0.4">
      <c r="A36" s="556">
        <v>22</v>
      </c>
      <c r="B36" s="579" t="s">
        <v>601</v>
      </c>
      <c r="C36" s="580" t="s">
        <v>57</v>
      </c>
      <c r="D36" s="556" t="s">
        <v>88</v>
      </c>
      <c r="E36" s="556" t="s">
        <v>58</v>
      </c>
      <c r="F36" s="958" t="s">
        <v>599</v>
      </c>
      <c r="G36" s="644" t="s">
        <v>604</v>
      </c>
      <c r="H36" s="959">
        <v>1</v>
      </c>
      <c r="I36" s="959">
        <v>1</v>
      </c>
      <c r="J36" s="643">
        <v>1350</v>
      </c>
      <c r="K36" s="960">
        <f t="shared" ref="K36" si="72">IF(F36&lt;&gt;"",H36*I36*J36,"")</f>
        <v>1350</v>
      </c>
      <c r="L36" s="960">
        <f t="shared" ref="L36" si="73">IF(K36&lt;&gt;"",IF(D36="INTERNO",0,K36*$L$14),"")</f>
        <v>101.25</v>
      </c>
      <c r="M36" s="960">
        <f t="shared" ref="M36" si="74">IF(K36&lt;&gt;"",IF(E36="FAT.OGGI",SUM(K36:L36)*(1/(1-$M$14)-1),L36*(1/(1-$M$14)-1)),"")</f>
        <v>352.21713060768002</v>
      </c>
      <c r="N36" s="961">
        <f t="shared" ref="N36" si="75">SUM(K36:M36)</f>
        <v>1803.46713060768</v>
      </c>
      <c r="O36" s="541"/>
      <c r="Q36" s="598">
        <f t="shared" ref="Q36" si="76">IF(H36&lt;&gt;"",H36,"")</f>
        <v>1</v>
      </c>
      <c r="R36" s="598">
        <v>0</v>
      </c>
      <c r="S36" s="599">
        <v>1069</v>
      </c>
      <c r="T36" s="599">
        <f t="shared" ref="T36" si="77">IF(Q36&lt;&gt;"",Q36*R36*S36,"")</f>
        <v>0</v>
      </c>
      <c r="U36" s="600">
        <f t="shared" ref="U36" si="78">IF(Q36&lt;&gt;"",K36-T36,"")</f>
        <v>1350</v>
      </c>
      <c r="V36" s="601">
        <f t="shared" ref="V36" si="79">IF(Q36&lt;&gt;"",0%,"")</f>
        <v>0</v>
      </c>
      <c r="W36" s="602">
        <f t="shared" ref="W36" si="80">IF(Q36&lt;&gt;"",V36*U36,"")</f>
        <v>0</v>
      </c>
      <c r="X36" s="602">
        <f t="shared" ref="X36" si="81">IF(Q36&lt;&gt;"",W36+T36,"")</f>
        <v>0</v>
      </c>
      <c r="Y36" s="602">
        <f t="shared" ref="Y36" si="82">IF(Q36&lt;&gt;"",X36+M36,"")</f>
        <v>352.21713060768002</v>
      </c>
      <c r="Z36" s="609">
        <f t="shared" ref="Z36" si="83">IF(Q36&lt;&gt;"",U36/K36,"")</f>
        <v>1</v>
      </c>
      <c r="AA36" s="646" t="e">
        <f>T36/$T$105</f>
        <v>#DIV/0!</v>
      </c>
      <c r="AC36" s="591">
        <v>0</v>
      </c>
      <c r="AD36" s="592">
        <f>T36-AC36</f>
        <v>0</v>
      </c>
      <c r="AE36" s="593">
        <v>46043</v>
      </c>
      <c r="AG36" s="594" t="s">
        <v>377</v>
      </c>
      <c r="AH36" s="595" t="s">
        <v>378</v>
      </c>
      <c r="AK36" s="596">
        <f t="shared" si="1"/>
        <v>0</v>
      </c>
      <c r="AL36" s="597">
        <v>0</v>
      </c>
    </row>
    <row r="37" spans="1:39" s="860" customFormat="1" ht="35.1" customHeight="1" thickBot="1" x14ac:dyDescent="0.4">
      <c r="A37" s="847">
        <v>23</v>
      </c>
      <c r="B37" s="848"/>
      <c r="C37" s="849" t="s">
        <v>83</v>
      </c>
      <c r="D37" s="850"/>
      <c r="E37" s="850"/>
      <c r="F37" s="1380" t="s">
        <v>616</v>
      </c>
      <c r="G37" s="1381"/>
      <c r="H37" s="1381"/>
      <c r="I37" s="1381"/>
      <c r="J37" s="1381"/>
      <c r="K37" s="149">
        <f>SUM(K36:K36)</f>
        <v>1350</v>
      </c>
      <c r="L37" s="150">
        <f>SUM(L36:L36)</f>
        <v>101.25</v>
      </c>
      <c r="M37" s="151">
        <f>SUM(M36:M36)</f>
        <v>352.21713060768002</v>
      </c>
      <c r="N37" s="152">
        <f>SUM(N36:N36)</f>
        <v>1803.46713060768</v>
      </c>
      <c r="O37" s="538"/>
      <c r="P37" s="538"/>
      <c r="Q37" s="1382" t="s">
        <v>352</v>
      </c>
      <c r="R37" s="1382"/>
      <c r="S37" s="1382"/>
      <c r="T37" s="174">
        <f>SUM(T36:T36)</f>
        <v>0</v>
      </c>
      <c r="U37" s="175">
        <f>SUM(U36:U36)</f>
        <v>1350</v>
      </c>
      <c r="V37" s="962"/>
      <c r="W37" s="963"/>
      <c r="X37" s="176">
        <f>SUM(X36:X36)</f>
        <v>0</v>
      </c>
      <c r="Y37" s="177">
        <f>IF(Q37&lt;&gt;"",X37+M37,"")</f>
        <v>352.21713060768002</v>
      </c>
      <c r="Z37" s="964" t="s">
        <v>275</v>
      </c>
      <c r="AA37" s="965" t="s">
        <v>276</v>
      </c>
      <c r="AC37" s="591"/>
      <c r="AD37" s="592"/>
      <c r="AE37" s="593"/>
      <c r="AG37" s="594"/>
      <c r="AH37" s="595"/>
      <c r="AK37" s="596">
        <f t="shared" si="1"/>
        <v>0</v>
      </c>
      <c r="AL37" s="597">
        <v>0</v>
      </c>
      <c r="AM37" s="1014"/>
    </row>
    <row r="38" spans="1:39" s="860" customFormat="1" ht="35.1" customHeight="1" thickBot="1" x14ac:dyDescent="0.4">
      <c r="A38" s="866">
        <v>24</v>
      </c>
      <c r="B38" s="848" t="s">
        <v>606</v>
      </c>
      <c r="C38" s="867" t="s">
        <v>51</v>
      </c>
      <c r="D38" s="868"/>
      <c r="E38" s="868"/>
      <c r="F38" s="1374" t="s">
        <v>602</v>
      </c>
      <c r="G38" s="1375"/>
      <c r="H38" s="1375"/>
      <c r="I38" s="1375"/>
      <c r="J38" s="1375"/>
      <c r="K38" s="1376"/>
      <c r="L38" s="869" t="s">
        <v>53</v>
      </c>
      <c r="M38" s="870" t="s">
        <v>54</v>
      </c>
      <c r="N38" s="871" t="s">
        <v>28</v>
      </c>
      <c r="O38" s="538"/>
      <c r="P38" s="538"/>
      <c r="Q38" s="1377" t="str">
        <f>IF(F38&lt;&gt;"",F38,"")</f>
        <v>PRESENTE - STAFFs</v>
      </c>
      <c r="R38" s="1378"/>
      <c r="S38" s="1378"/>
      <c r="T38" s="1378"/>
      <c r="U38" s="1378"/>
      <c r="V38" s="1378"/>
      <c r="W38" s="1378"/>
      <c r="X38" s="1378"/>
      <c r="Y38" s="1379"/>
      <c r="Z38" s="581" t="s">
        <v>55</v>
      </c>
      <c r="AA38" s="872" t="s">
        <v>39</v>
      </c>
      <c r="AC38" s="591"/>
      <c r="AD38" s="592"/>
      <c r="AE38" s="593"/>
      <c r="AG38" s="594"/>
      <c r="AH38" s="595"/>
      <c r="AK38" s="596">
        <f t="shared" si="1"/>
        <v>0</v>
      </c>
      <c r="AL38" s="597">
        <v>0</v>
      </c>
      <c r="AM38" s="1014"/>
    </row>
    <row r="39" spans="1:39" ht="99.9" customHeight="1" x14ac:dyDescent="0.35">
      <c r="A39" s="556">
        <v>25</v>
      </c>
      <c r="B39" s="579" t="s">
        <v>607</v>
      </c>
      <c r="C39" s="580" t="s">
        <v>57</v>
      </c>
      <c r="D39" s="556" t="s">
        <v>88</v>
      </c>
      <c r="E39" s="556" t="s">
        <v>58</v>
      </c>
      <c r="F39" s="958" t="s">
        <v>727</v>
      </c>
      <c r="G39" s="644" t="s">
        <v>728</v>
      </c>
      <c r="H39" s="959">
        <v>1</v>
      </c>
      <c r="I39" s="959">
        <v>1</v>
      </c>
      <c r="J39" s="643">
        <f>S39*20%+S39</f>
        <v>1885.7160000000001</v>
      </c>
      <c r="K39" s="960">
        <f t="shared" ref="K39" si="84">IF(F39&lt;&gt;"",H39*I39*J39,"")</f>
        <v>1885.7160000000001</v>
      </c>
      <c r="L39" s="960">
        <f t="shared" ref="L39" si="85">IF(K39&lt;&gt;"",IF(D39="INTERNO",0,K39*$L$14),"")</f>
        <v>141.42869999999999</v>
      </c>
      <c r="M39" s="960">
        <f t="shared" ref="M39" si="86">IF(K39&lt;&gt;"",IF(E39="FAT.OGGI",SUM(K39:L39)*(1/(1-$M$14)-1),L39*(1/(1-$M$14)-1)),"")</f>
        <v>491.98628048962365</v>
      </c>
      <c r="N39" s="961">
        <f t="shared" ref="N39" si="87">SUM(K39:M39)</f>
        <v>2519.1309804896237</v>
      </c>
      <c r="O39" s="541"/>
      <c r="Q39" s="598">
        <f t="shared" ref="Q39" si="88">IF(H39&lt;&gt;"",H39,"")</f>
        <v>1</v>
      </c>
      <c r="R39" s="598">
        <f t="shared" ref="R39" si="89">IF(I39&lt;&gt;"",I39,"")</f>
        <v>1</v>
      </c>
      <c r="S39" s="599">
        <v>1571.43</v>
      </c>
      <c r="T39" s="599">
        <f t="shared" ref="T39" si="90">IF(Q39&lt;&gt;"",Q39*R39*S39,"")</f>
        <v>1571.43</v>
      </c>
      <c r="U39" s="600">
        <f t="shared" ref="U39" si="91">IF(Q39&lt;&gt;"",K39-T39,"")</f>
        <v>314.28600000000006</v>
      </c>
      <c r="V39" s="601">
        <f t="shared" ref="V39" si="92">IF(Q39&lt;&gt;"",0%,"")</f>
        <v>0</v>
      </c>
      <c r="W39" s="602">
        <f t="shared" ref="W39" si="93">IF(Q39&lt;&gt;"",V39*U39,"")</f>
        <v>0</v>
      </c>
      <c r="X39" s="602">
        <f t="shared" ref="X39" si="94">IF(Q39&lt;&gt;"",W39+T39,"")</f>
        <v>1571.43</v>
      </c>
      <c r="Y39" s="602">
        <f t="shared" ref="Y39" si="95">IF(Q39&lt;&gt;"",X39+M39,"")</f>
        <v>2063.4162804896237</v>
      </c>
      <c r="Z39" s="609">
        <f t="shared" ref="Z39" si="96">IF(Q39&lt;&gt;"",U39/K39,"")</f>
        <v>0.16666666666666669</v>
      </c>
      <c r="AA39" s="646" t="e">
        <f>T39/$T$105</f>
        <v>#DIV/0!</v>
      </c>
      <c r="AC39" s="591">
        <v>0</v>
      </c>
      <c r="AD39" s="592">
        <f t="shared" ref="AD39:AD42" si="97">T39-AC39</f>
        <v>1571.43</v>
      </c>
      <c r="AE39" s="593">
        <v>46043</v>
      </c>
      <c r="AG39" s="594" t="s">
        <v>377</v>
      </c>
      <c r="AH39" s="595" t="s">
        <v>378</v>
      </c>
      <c r="AK39" s="596">
        <f t="shared" si="1"/>
        <v>0</v>
      </c>
      <c r="AL39" s="597">
        <v>1571.43</v>
      </c>
      <c r="AM39" s="1013" t="s">
        <v>807</v>
      </c>
    </row>
    <row r="40" spans="1:39" ht="99.9" customHeight="1" x14ac:dyDescent="0.35">
      <c r="A40" s="556">
        <v>26</v>
      </c>
      <c r="B40" s="579" t="s">
        <v>731</v>
      </c>
      <c r="C40" s="580" t="s">
        <v>57</v>
      </c>
      <c r="D40" s="556" t="s">
        <v>88</v>
      </c>
      <c r="E40" s="556" t="s">
        <v>58</v>
      </c>
      <c r="F40" s="958" t="s">
        <v>729</v>
      </c>
      <c r="G40" s="644" t="s">
        <v>730</v>
      </c>
      <c r="H40" s="959">
        <v>1</v>
      </c>
      <c r="I40" s="959">
        <v>1</v>
      </c>
      <c r="J40" s="643">
        <v>10000</v>
      </c>
      <c r="K40" s="960">
        <f t="shared" ref="K40" si="98">IF(F40&lt;&gt;"",H40*I40*J40,"")</f>
        <v>10000</v>
      </c>
      <c r="L40" s="960">
        <f t="shared" ref="L40" si="99">IF(K40&lt;&gt;"",IF(D40="INTERNO",0,K40*$L$14),"")</f>
        <v>750</v>
      </c>
      <c r="M40" s="960">
        <f t="shared" ref="M40" si="100">IF(K40&lt;&gt;"",IF(E40="FAT.OGGI",SUM(K40:L40)*(1/(1-$M$14)-1),L40*(1/(1-$M$14)-1)),"")</f>
        <v>2609.0157822791111</v>
      </c>
      <c r="N40" s="961">
        <f t="shared" ref="N40" si="101">SUM(K40:M40)</f>
        <v>13359.015782279112</v>
      </c>
      <c r="O40" s="541"/>
      <c r="Q40" s="598">
        <f t="shared" ref="Q40" si="102">IF(H40&lt;&gt;"",H40,"")</f>
        <v>1</v>
      </c>
      <c r="R40" s="598">
        <f t="shared" ref="R40" si="103">IF(I40&lt;&gt;"",I40,"")</f>
        <v>1</v>
      </c>
      <c r="S40" s="603">
        <v>10000</v>
      </c>
      <c r="T40" s="603">
        <f t="shared" ref="T40" si="104">IF(Q40&lt;&gt;"",Q40*R40*S40,"")</f>
        <v>10000</v>
      </c>
      <c r="U40" s="600">
        <f t="shared" ref="U40" si="105">IF(Q40&lt;&gt;"",K40-T40,"")</f>
        <v>0</v>
      </c>
      <c r="V40" s="601">
        <f t="shared" ref="V40" si="106">IF(Q40&lt;&gt;"",0%,"")</f>
        <v>0</v>
      </c>
      <c r="W40" s="602">
        <f t="shared" ref="W40" si="107">IF(Q40&lt;&gt;"",V40*U40,"")</f>
        <v>0</v>
      </c>
      <c r="X40" s="602">
        <f t="shared" ref="X40" si="108">IF(Q40&lt;&gt;"",W40+T40,"")</f>
        <v>10000</v>
      </c>
      <c r="Y40" s="602">
        <f t="shared" ref="Y40" si="109">IF(Q40&lt;&gt;"",X40+M40,"")</f>
        <v>12609.015782279112</v>
      </c>
      <c r="Z40" s="609">
        <f t="shared" ref="Z40" si="110">IF(Q40&lt;&gt;"",U40/K40,"")</f>
        <v>0</v>
      </c>
      <c r="AA40" s="646" t="e">
        <f>T40/$T$105</f>
        <v>#DIV/0!</v>
      </c>
      <c r="AC40" s="591">
        <v>0</v>
      </c>
      <c r="AD40" s="592">
        <f t="shared" si="97"/>
        <v>10000</v>
      </c>
      <c r="AE40" s="593">
        <v>46043</v>
      </c>
      <c r="AG40" s="594" t="s">
        <v>377</v>
      </c>
      <c r="AH40" s="595" t="s">
        <v>378</v>
      </c>
      <c r="AK40" s="596">
        <f t="shared" si="1"/>
        <v>0</v>
      </c>
      <c r="AL40" s="597">
        <v>10000</v>
      </c>
      <c r="AM40" s="1013" t="s">
        <v>822</v>
      </c>
    </row>
    <row r="41" spans="1:39" ht="99.9" customHeight="1" x14ac:dyDescent="0.35">
      <c r="A41" s="556">
        <v>26</v>
      </c>
      <c r="B41" s="579" t="s">
        <v>731</v>
      </c>
      <c r="C41" s="580" t="s">
        <v>57</v>
      </c>
      <c r="D41" s="556" t="s">
        <v>88</v>
      </c>
      <c r="E41" s="556" t="s">
        <v>58</v>
      </c>
      <c r="F41" s="958" t="s">
        <v>729</v>
      </c>
      <c r="G41" s="644" t="s">
        <v>774</v>
      </c>
      <c r="H41" s="959">
        <v>1</v>
      </c>
      <c r="I41" s="959">
        <v>1</v>
      </c>
      <c r="J41" s="643">
        <v>4499</v>
      </c>
      <c r="K41" s="960">
        <f t="shared" ref="K41" si="111">IF(F41&lt;&gt;"",H41*I41*J41,"")</f>
        <v>4499</v>
      </c>
      <c r="L41" s="960">
        <f t="shared" ref="L41" si="112">IF(K41&lt;&gt;"",IF(D41="INTERNO",0,K41*$L$14),"")</f>
        <v>337.42500000000001</v>
      </c>
      <c r="M41" s="960">
        <f t="shared" ref="M41" si="113">IF(K41&lt;&gt;"",IF(E41="FAT.OGGI",SUM(K41:L41)*(1/(1-$M$14)-1),L41*(1/(1-$M$14)-1)),"")</f>
        <v>1173.796200447372</v>
      </c>
      <c r="N41" s="961">
        <f t="shared" ref="N41" si="114">SUM(K41:M41)</f>
        <v>6010.2212004473722</v>
      </c>
      <c r="O41" s="541"/>
      <c r="Q41" s="598">
        <f t="shared" ref="Q41" si="115">IF(H41&lt;&gt;"",H41,"")</f>
        <v>1</v>
      </c>
      <c r="R41" s="598">
        <f t="shared" ref="R41" si="116">IF(I41&lt;&gt;"",I41,"")</f>
        <v>1</v>
      </c>
      <c r="S41" s="599">
        <v>3654.9</v>
      </c>
      <c r="T41" s="599">
        <v>0</v>
      </c>
      <c r="U41" s="600">
        <f t="shared" ref="U41" si="117">IF(Q41&lt;&gt;"",K41-T41,"")</f>
        <v>4499</v>
      </c>
      <c r="V41" s="601">
        <f t="shared" ref="V41" si="118">IF(Q41&lt;&gt;"",0%,"")</f>
        <v>0</v>
      </c>
      <c r="W41" s="602">
        <f t="shared" ref="W41" si="119">IF(Q41&lt;&gt;"",V41*U41,"")</f>
        <v>0</v>
      </c>
      <c r="X41" s="602">
        <f t="shared" ref="X41" si="120">IF(Q41&lt;&gt;"",W41+T41,"")</f>
        <v>0</v>
      </c>
      <c r="Y41" s="602">
        <f t="shared" ref="Y41" si="121">IF(Q41&lt;&gt;"",X41+M41,"")</f>
        <v>1173.796200447372</v>
      </c>
      <c r="Z41" s="609">
        <f t="shared" ref="Z41" si="122">IF(Q41&lt;&gt;"",U41/K41,"")</f>
        <v>1</v>
      </c>
      <c r="AA41" s="646" t="e">
        <f>T41/$T$105</f>
        <v>#DIV/0!</v>
      </c>
      <c r="AC41" s="591">
        <v>0</v>
      </c>
      <c r="AD41" s="592">
        <f t="shared" si="97"/>
        <v>0</v>
      </c>
      <c r="AE41" s="593">
        <v>46043</v>
      </c>
      <c r="AG41" s="594" t="s">
        <v>377</v>
      </c>
      <c r="AH41" s="595" t="s">
        <v>378</v>
      </c>
      <c r="AK41" s="596">
        <f t="shared" si="1"/>
        <v>0</v>
      </c>
      <c r="AL41" s="597">
        <v>0</v>
      </c>
    </row>
    <row r="42" spans="1:39" ht="99.9" customHeight="1" thickBot="1" x14ac:dyDescent="0.4">
      <c r="A42" s="556">
        <v>27</v>
      </c>
      <c r="B42" s="579" t="s">
        <v>732</v>
      </c>
      <c r="C42" s="580" t="s">
        <v>57</v>
      </c>
      <c r="D42" s="556" t="s">
        <v>88</v>
      </c>
      <c r="E42" s="556" t="s">
        <v>58</v>
      </c>
      <c r="F42" s="958" t="s">
        <v>603</v>
      </c>
      <c r="G42" s="644"/>
      <c r="H42" s="959">
        <v>1</v>
      </c>
      <c r="I42" s="959">
        <v>1</v>
      </c>
      <c r="J42" s="643">
        <v>700</v>
      </c>
      <c r="K42" s="960">
        <f t="shared" ref="K42" si="123">IF(F42&lt;&gt;"",H42*I42*J42,"")</f>
        <v>700</v>
      </c>
      <c r="L42" s="960">
        <f t="shared" ref="L42" si="124">IF(K42&lt;&gt;"",IF(D42="INTERNO",0,K42*$L$14),"")</f>
        <v>52.5</v>
      </c>
      <c r="M42" s="960">
        <f t="shared" ref="M42" si="125">IF(K42&lt;&gt;"",IF(E42="FAT.OGGI",SUM(K42:L42)*(1/(1-$M$14)-1),L42*(1/(1-$M$14)-1)),"")</f>
        <v>182.63110475953778</v>
      </c>
      <c r="N42" s="961">
        <f t="shared" ref="N42" si="126">SUM(K42:M42)</f>
        <v>935.13110475953772</v>
      </c>
      <c r="O42" s="541"/>
      <c r="Q42" s="598">
        <f t="shared" ref="Q42" si="127">IF(H42&lt;&gt;"",H42,"")</f>
        <v>1</v>
      </c>
      <c r="R42" s="598">
        <v>0</v>
      </c>
      <c r="S42" s="599">
        <v>639.6</v>
      </c>
      <c r="T42" s="599">
        <f t="shared" ref="T42" si="128">IF(Q42&lt;&gt;"",Q42*R42*S42,"")</f>
        <v>0</v>
      </c>
      <c r="U42" s="600">
        <f t="shared" ref="U42" si="129">IF(Q42&lt;&gt;"",K42-T42,"")</f>
        <v>700</v>
      </c>
      <c r="V42" s="601">
        <f t="shared" ref="V42" si="130">IF(Q42&lt;&gt;"",0%,"")</f>
        <v>0</v>
      </c>
      <c r="W42" s="602">
        <f t="shared" ref="W42" si="131">IF(Q42&lt;&gt;"",V42*U42,"")</f>
        <v>0</v>
      </c>
      <c r="X42" s="602">
        <f t="shared" ref="X42" si="132">IF(Q42&lt;&gt;"",W42+T42,"")</f>
        <v>0</v>
      </c>
      <c r="Y42" s="602">
        <f t="shared" ref="Y42" si="133">IF(Q42&lt;&gt;"",X42+M42,"")</f>
        <v>182.63110475953778</v>
      </c>
      <c r="Z42" s="609">
        <f t="shared" ref="Z42" si="134">IF(Q42&lt;&gt;"",U42/K42,"")</f>
        <v>1</v>
      </c>
      <c r="AA42" s="646" t="e">
        <f>T42/$T$105</f>
        <v>#DIV/0!</v>
      </c>
      <c r="AC42" s="591">
        <v>0</v>
      </c>
      <c r="AD42" s="592">
        <f t="shared" si="97"/>
        <v>0</v>
      </c>
      <c r="AE42" s="593">
        <v>46043</v>
      </c>
      <c r="AG42" s="594" t="s">
        <v>377</v>
      </c>
      <c r="AH42" s="595" t="s">
        <v>378</v>
      </c>
      <c r="AK42" s="596">
        <f t="shared" si="1"/>
        <v>0</v>
      </c>
      <c r="AL42" s="597">
        <v>0</v>
      </c>
    </row>
    <row r="43" spans="1:39" s="860" customFormat="1" ht="35.1" customHeight="1" thickBot="1" x14ac:dyDescent="0.4">
      <c r="A43" s="847">
        <v>28</v>
      </c>
      <c r="B43" s="848"/>
      <c r="C43" s="849" t="s">
        <v>83</v>
      </c>
      <c r="D43" s="850"/>
      <c r="E43" s="850"/>
      <c r="F43" s="1380" t="s">
        <v>617</v>
      </c>
      <c r="G43" s="1381"/>
      <c r="H43" s="1381"/>
      <c r="I43" s="1381"/>
      <c r="J43" s="1381"/>
      <c r="K43" s="149">
        <f>SUM(K39:K42)</f>
        <v>17084.716</v>
      </c>
      <c r="L43" s="150">
        <f>SUM(L39:L42)</f>
        <v>1281.3536999999999</v>
      </c>
      <c r="M43" s="151">
        <f>SUM(M39:M42)</f>
        <v>4457.4293679756456</v>
      </c>
      <c r="N43" s="152">
        <f>SUM(N39:N42)</f>
        <v>22823.499067975645</v>
      </c>
      <c r="O43" s="538"/>
      <c r="P43" s="538"/>
      <c r="Q43" s="1382" t="s">
        <v>352</v>
      </c>
      <c r="R43" s="1382"/>
      <c r="S43" s="1382"/>
      <c r="T43" s="174">
        <f>SUM(T39:T42)</f>
        <v>11571.43</v>
      </c>
      <c r="U43" s="175">
        <f>SUM(U39:U42)</f>
        <v>5513.2860000000001</v>
      </c>
      <c r="V43" s="962"/>
      <c r="W43" s="963"/>
      <c r="X43" s="176">
        <f>SUM(X39:X42)</f>
        <v>11571.43</v>
      </c>
      <c r="Y43" s="177">
        <f>IF(Q43&lt;&gt;"",X43+M43,"")</f>
        <v>16028.859367975645</v>
      </c>
      <c r="Z43" s="964" t="s">
        <v>275</v>
      </c>
      <c r="AA43" s="965" t="s">
        <v>276</v>
      </c>
      <c r="AC43" s="591"/>
      <c r="AD43" s="592"/>
      <c r="AE43" s="593"/>
      <c r="AG43" s="594"/>
      <c r="AH43" s="595"/>
      <c r="AK43" s="596">
        <v>0</v>
      </c>
      <c r="AL43" s="597">
        <v>0</v>
      </c>
      <c r="AM43" s="1014"/>
    </row>
    <row r="44" spans="1:39" s="860" customFormat="1" ht="35.1" customHeight="1" thickBot="1" x14ac:dyDescent="0.4">
      <c r="A44" s="861">
        <v>29</v>
      </c>
      <c r="B44" s="966"/>
      <c r="C44" s="862" t="s">
        <v>277</v>
      </c>
      <c r="D44" s="863"/>
      <c r="E44" s="863"/>
      <c r="F44" s="967" t="s">
        <v>278</v>
      </c>
      <c r="G44" s="968"/>
      <c r="H44" s="968"/>
      <c r="I44" s="968"/>
      <c r="J44" s="968"/>
      <c r="K44" s="969">
        <f>SUM(K17:K17)+SUM(K20:K20)+SUM(K23:K23)+SUM(K26:K26)+SUM(K29:K30)+SUM(K33:K33)+SUM(K36:K36)+SUM(K39:K42)</f>
        <v>38574.716</v>
      </c>
      <c r="L44" s="969">
        <f>SUM(L17:L17)+SUM(L20:L20)+SUM(L23:L23)+SUM(L26:L26)+SUM(L29:L30)+SUM(L33:L33)+SUM(L36:L36)+SUM(L39:L42)</f>
        <v>2893.1036999999997</v>
      </c>
      <c r="M44" s="969">
        <f>SUM(M17:M17)+SUM(M20:M20)+SUM(M23:M23)+SUM(M26:M26)+SUM(M29:M30)+SUM(M33:M33)+SUM(M36:M36)+SUM(M39:M42)</f>
        <v>10064.204284093455</v>
      </c>
      <c r="N44" s="970">
        <f>SUM(N17:N17)+SUM(N20:N20)+SUM(N23:N23)+SUM(N26:N26)+SUM(N29:N30)+SUM(N33:N33)+SUM(N36:N36)+SUM(N39:N42)</f>
        <v>51532.023984093452</v>
      </c>
      <c r="O44" s="538"/>
      <c r="P44" s="538"/>
      <c r="Q44" s="971" t="s">
        <v>279</v>
      </c>
      <c r="R44" s="972"/>
      <c r="S44" s="972"/>
      <c r="T44" s="973">
        <f>SUM(T17:T17)+SUM(T20:T20)+SUM(T23:T23)+SUM(T26:T26)+SUM(T29:T30)+SUM(T33:T33)+SUM(T36:T36)+SUM(T39:T42)</f>
        <v>26391.93</v>
      </c>
      <c r="U44" s="974">
        <f>SUM(U17:U17)+SUM(U20:U20)+SUM(U23:U23)+SUM(U26:U26)+SUM(U29:U30)+SUM(U33:U33)+SUM(U36:U36)+SUM(U39:U42)</f>
        <v>12182.786</v>
      </c>
      <c r="V44" s="975"/>
      <c r="W44" s="974"/>
      <c r="X44" s="974">
        <f>SUM(X17:X17)+SUM(X20:X20)+SUM(X23:X23)+SUM(X26:X26)+SUM(X29:X30)+SUM(X33:X33)+SUM(X36:X36)+SUM(X39:X42)</f>
        <v>26391.93</v>
      </c>
      <c r="Y44" s="976">
        <f>SUM(Y17:Y17)+SUM(Y20:Y20)+SUM(Y23:Y23)+SUM(Y26:Y26)+SUM(Y29:Y30)+SUM(Y33:Y33)+SUM(Y36:Y36)+SUM(Y39:Y42)</f>
        <v>35991.380338523675</v>
      </c>
      <c r="Z44" s="977">
        <f>IF(Q44&lt;&gt;"",(N44-Y44)/N44,"")</f>
        <v>0.30157254545963019</v>
      </c>
      <c r="AA44" s="978">
        <f>IF(Z44&lt;&gt;"",(N44-Y44),"")</f>
        <v>15540.643645569777</v>
      </c>
      <c r="AC44" s="873"/>
      <c r="AD44" s="874"/>
      <c r="AE44" s="875"/>
      <c r="AG44" s="876"/>
      <c r="AH44" s="876"/>
      <c r="AK44" s="596">
        <f>SUM(AK17:AK43)</f>
        <v>0</v>
      </c>
      <c r="AL44" s="597">
        <f>SUM(AL17:AL43)</f>
        <v>26391.93</v>
      </c>
      <c r="AM44" s="1014"/>
    </row>
    <row r="45" spans="1:39" ht="22.2" x14ac:dyDescent="0.45">
      <c r="AL45" s="521"/>
      <c r="AM45" s="522" t="s">
        <v>744</v>
      </c>
    </row>
    <row r="46" spans="1:39" ht="22.2" x14ac:dyDescent="0.45">
      <c r="N46" s="647"/>
      <c r="AL46" s="521">
        <f>X44</f>
        <v>26391.93</v>
      </c>
      <c r="AM46" s="522" t="s">
        <v>745</v>
      </c>
    </row>
    <row r="47" spans="1:39" ht="22.2" x14ac:dyDescent="0.45">
      <c r="AL47" s="521">
        <f>N44-X44</f>
        <v>25140.093984093452</v>
      </c>
      <c r="AM47" s="523" t="s">
        <v>741</v>
      </c>
    </row>
    <row r="48" spans="1:39" ht="21" x14ac:dyDescent="0.4">
      <c r="AL48" s="524">
        <f>AL47*100%/N44</f>
        <v>0.48785380507960491</v>
      </c>
      <c r="AM48" s="525"/>
    </row>
  </sheetData>
  <mergeCells count="43">
    <mergeCell ref="F25:K25"/>
    <mergeCell ref="Q25:Y25"/>
    <mergeCell ref="F27:J27"/>
    <mergeCell ref="Q27:S27"/>
    <mergeCell ref="F24:J24"/>
    <mergeCell ref="Q24:S24"/>
    <mergeCell ref="F19:K19"/>
    <mergeCell ref="Q19:Y19"/>
    <mergeCell ref="F21:J21"/>
    <mergeCell ref="Q21:S21"/>
    <mergeCell ref="F22:K22"/>
    <mergeCell ref="Q22:Y22"/>
    <mergeCell ref="AK12:AL12"/>
    <mergeCell ref="F15:N15"/>
    <mergeCell ref="Q15:Y15"/>
    <mergeCell ref="F16:K16"/>
    <mergeCell ref="Q16:Y16"/>
    <mergeCell ref="U12:X12"/>
    <mergeCell ref="AC12:AE12"/>
    <mergeCell ref="AG12:AH12"/>
    <mergeCell ref="AK15:AL15"/>
    <mergeCell ref="AK16:AL16"/>
    <mergeCell ref="F18:J18"/>
    <mergeCell ref="Q18:S18"/>
    <mergeCell ref="F1:G1"/>
    <mergeCell ref="F2:G2"/>
    <mergeCell ref="Q12:T12"/>
    <mergeCell ref="F28:K28"/>
    <mergeCell ref="Q28:Y28"/>
    <mergeCell ref="F31:J31"/>
    <mergeCell ref="Q31:S31"/>
    <mergeCell ref="F32:K32"/>
    <mergeCell ref="Q32:Y32"/>
    <mergeCell ref="F38:K38"/>
    <mergeCell ref="Q38:Y38"/>
    <mergeCell ref="F43:J43"/>
    <mergeCell ref="Q43:S43"/>
    <mergeCell ref="F34:J34"/>
    <mergeCell ref="Q34:S34"/>
    <mergeCell ref="F35:K35"/>
    <mergeCell ref="Q35:Y35"/>
    <mergeCell ref="F37:J37"/>
    <mergeCell ref="Q37:S37"/>
  </mergeCells>
  <dataValidations disablePrompts="1" count="3">
    <dataValidation type="list" allowBlank="1" showInputMessage="1" showErrorMessage="1" sqref="E44" xr:uid="{902C3661-2906-4425-BD8D-D18CC19A6D55}">
      <formula1>"FAT.OGGI,FAT.CLIENTE "</formula1>
    </dataValidation>
    <dataValidation type="list" allowBlank="1" showInputMessage="1" showErrorMessage="1" sqref="D17:D44" xr:uid="{73C2ECD6-1F24-4011-8F61-58B972F2E8E6}">
      <formula1>"INTERNO,OPERACIONAL"</formula1>
    </dataValidation>
    <dataValidation type="list" allowBlank="1" showInputMessage="1" showErrorMessage="1" sqref="E17:E43" xr:uid="{C46F9F47-ED68-45F4-871F-B6E585F24EBB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AD5CC-2ED6-4EB6-B896-27F77409DDBB}">
  <sheetPr codeName="Planilha13">
    <pageSetUpPr autoPageBreaks="0"/>
  </sheetPr>
  <dimension ref="A1:AM39"/>
  <sheetViews>
    <sheetView showGridLines="0" topLeftCell="B33" zoomScale="60" zoomScaleNormal="60" workbookViewId="0">
      <pane xSplit="4" topLeftCell="F1" activePane="topRight" state="frozen"/>
      <selection activeCell="B1" sqref="B1"/>
      <selection pane="topRight" activeCell="AP19" sqref="AP19"/>
    </sheetView>
  </sheetViews>
  <sheetFormatPr defaultColWidth="8.88671875" defaultRowHeight="21" x14ac:dyDescent="0.4"/>
  <cols>
    <col min="1" max="1" width="5" style="220" hidden="1" customWidth="1"/>
    <col min="2" max="2" width="10.6640625" style="220" customWidth="1"/>
    <col min="3" max="5" width="5" style="220" hidden="1" customWidth="1"/>
    <col min="6" max="6" width="36.109375" style="220" customWidth="1"/>
    <col min="7" max="7" width="42.6640625" style="220" bestFit="1" customWidth="1"/>
    <col min="8" max="8" width="5" style="610" hidden="1" customWidth="1"/>
    <col min="9" max="9" width="5.33203125" style="610" hidden="1" customWidth="1"/>
    <col min="10" max="10" width="17.6640625" style="220" hidden="1" customWidth="1"/>
    <col min="11" max="11" width="25" style="220" bestFit="1" customWidth="1"/>
    <col min="12" max="12" width="24.33203125" style="220" bestFit="1" customWidth="1"/>
    <col min="13" max="13" width="24.88671875" style="220" bestFit="1" customWidth="1"/>
    <col min="14" max="14" width="25" style="220" bestFit="1" customWidth="1"/>
    <col min="15" max="15" width="8.88671875" style="220" hidden="1" customWidth="1"/>
    <col min="16" max="16" width="1.88671875" style="220" hidden="1" customWidth="1"/>
    <col min="17" max="17" width="6.88671875" style="610" customWidth="1"/>
    <col min="18" max="18" width="8.109375" style="610" hidden="1" customWidth="1"/>
    <col min="19" max="19" width="17.6640625" style="220" hidden="1" customWidth="1"/>
    <col min="20" max="20" width="24.88671875" style="220" customWidth="1"/>
    <col min="21" max="21" width="24.5546875" style="220" hidden="1" customWidth="1"/>
    <col min="22" max="22" width="9.6640625" style="220" hidden="1" customWidth="1"/>
    <col min="23" max="23" width="16.109375" style="220" hidden="1" customWidth="1"/>
    <col min="24" max="24" width="27.44140625" style="220" customWidth="1"/>
    <col min="25" max="25" width="27" style="220" hidden="1" customWidth="1"/>
    <col min="26" max="26" width="14.6640625" style="220" hidden="1" customWidth="1"/>
    <col min="27" max="27" width="24.6640625" style="220" hidden="1" customWidth="1"/>
    <col min="28" max="28" width="38.109375" style="220" hidden="1" customWidth="1"/>
    <col min="29" max="29" width="14.109375" style="220" hidden="1" customWidth="1"/>
    <col min="30" max="30" width="7.6640625" style="220" hidden="1" customWidth="1"/>
    <col min="31" max="31" width="6.88671875" style="220" hidden="1" customWidth="1"/>
    <col min="32" max="32" width="1.33203125" style="220" hidden="1" customWidth="1"/>
    <col min="33" max="33" width="14" style="220" hidden="1" customWidth="1"/>
    <col min="34" max="34" width="11.6640625" style="220" hidden="1" customWidth="1"/>
    <col min="35" max="35" width="6.33203125" style="220" hidden="1" customWidth="1"/>
    <col min="36" max="36" width="12.6640625" style="220" hidden="1" customWidth="1"/>
    <col min="37" max="37" width="21.109375" style="220" bestFit="1" customWidth="1"/>
    <col min="38" max="38" width="24.88671875" style="220" bestFit="1" customWidth="1"/>
    <col min="39" max="39" width="8.88671875" style="525"/>
    <col min="40" max="40" width="21.33203125" style="220" customWidth="1"/>
    <col min="41" max="16384" width="8.88671875" style="220"/>
  </cols>
  <sheetData>
    <row r="1" spans="1:38" ht="49.5" customHeight="1" x14ac:dyDescent="0.4">
      <c r="B1" s="648"/>
      <c r="C1" s="649"/>
      <c r="D1" s="649"/>
      <c r="F1" s="1251" t="s">
        <v>386</v>
      </c>
      <c r="G1" s="1251"/>
    </row>
    <row r="2" spans="1:38" ht="24.75" customHeight="1" x14ac:dyDescent="0.4">
      <c r="B2" s="610"/>
      <c r="D2" s="649"/>
      <c r="F2" s="1252" t="s">
        <v>1</v>
      </c>
      <c r="G2" s="1252"/>
    </row>
    <row r="3" spans="1:38" ht="22.8" thickBot="1" x14ac:dyDescent="0.45">
      <c r="B3" s="650"/>
      <c r="F3" s="223"/>
      <c r="G3" s="223"/>
    </row>
    <row r="4" spans="1:38" ht="22.2" x14ac:dyDescent="0.4">
      <c r="F4" s="979" t="s">
        <v>2</v>
      </c>
      <c r="G4" s="980"/>
    </row>
    <row r="5" spans="1:38" ht="22.2" x14ac:dyDescent="0.4">
      <c r="F5" s="981" t="s">
        <v>3</v>
      </c>
      <c r="G5" s="982"/>
    </row>
    <row r="6" spans="1:38" ht="22.2" x14ac:dyDescent="0.4">
      <c r="D6" s="220" t="s">
        <v>387</v>
      </c>
      <c r="F6" s="981" t="s">
        <v>4</v>
      </c>
      <c r="G6" s="983"/>
    </row>
    <row r="7" spans="1:38" ht="21.75" customHeight="1" x14ac:dyDescent="0.4">
      <c r="F7" s="981" t="s">
        <v>5</v>
      </c>
      <c r="G7" s="983"/>
      <c r="J7" s="220" t="s">
        <v>388</v>
      </c>
    </row>
    <row r="8" spans="1:38" ht="22.2" x14ac:dyDescent="0.4">
      <c r="F8" s="981" t="s">
        <v>6</v>
      </c>
      <c r="G8" s="984"/>
    </row>
    <row r="9" spans="1:38" ht="22.2" x14ac:dyDescent="0.4">
      <c r="F9" s="981" t="s">
        <v>7</v>
      </c>
      <c r="G9" s="983"/>
      <c r="J9" s="220" t="s">
        <v>387</v>
      </c>
    </row>
    <row r="10" spans="1:38" ht="27" customHeight="1" x14ac:dyDescent="0.4">
      <c r="F10" s="981" t="s">
        <v>8</v>
      </c>
      <c r="G10" s="983"/>
    </row>
    <row r="11" spans="1:38" ht="22.8" thickBot="1" x14ac:dyDescent="0.45">
      <c r="F11" s="985" t="s">
        <v>775</v>
      </c>
      <c r="G11" s="986"/>
    </row>
    <row r="12" spans="1:38" ht="67.2" hidden="1" thickBot="1" x14ac:dyDescent="0.45">
      <c r="B12" s="612"/>
      <c r="M12" s="233"/>
      <c r="Q12" s="1268" t="s">
        <v>10</v>
      </c>
      <c r="R12" s="1269"/>
      <c r="S12" s="1269"/>
      <c r="T12" s="1406"/>
      <c r="U12" s="1271" t="s">
        <v>11</v>
      </c>
      <c r="V12" s="1272"/>
      <c r="W12" s="1272"/>
      <c r="X12" s="1407"/>
      <c r="Y12" s="234" t="s">
        <v>12</v>
      </c>
      <c r="Z12" s="987">
        <f>(1/(1-M14))-1</f>
        <v>0.24269914253759173</v>
      </c>
      <c r="AC12" s="1274" t="s">
        <v>13</v>
      </c>
      <c r="AD12" s="1275"/>
      <c r="AE12" s="1408"/>
      <c r="AG12" s="1261" t="s">
        <v>14</v>
      </c>
      <c r="AH12" s="1262"/>
      <c r="AJ12" s="236" t="s">
        <v>15</v>
      </c>
      <c r="AK12" s="1279" t="s">
        <v>16</v>
      </c>
      <c r="AL12" s="1280"/>
    </row>
    <row r="13" spans="1:38" ht="21.6" thickBot="1" x14ac:dyDescent="0.45">
      <c r="A13" s="651" t="s">
        <v>17</v>
      </c>
      <c r="B13" s="652" t="s">
        <v>18</v>
      </c>
      <c r="C13" s="651" t="s">
        <v>19</v>
      </c>
      <c r="D13" s="651" t="s">
        <v>20</v>
      </c>
      <c r="E13" s="651" t="s">
        <v>21</v>
      </c>
      <c r="M13" s="239">
        <v>0.80469999999999997</v>
      </c>
    </row>
    <row r="14" spans="1:38" ht="35.1" customHeight="1" thickBot="1" x14ac:dyDescent="0.45">
      <c r="A14" s="653">
        <v>0</v>
      </c>
      <c r="B14" s="654"/>
      <c r="C14" s="655"/>
      <c r="D14" s="362"/>
      <c r="E14" s="362"/>
      <c r="F14" s="988" t="s">
        <v>22</v>
      </c>
      <c r="G14" s="989" t="s">
        <v>23</v>
      </c>
      <c r="H14" s="246" t="s">
        <v>24</v>
      </c>
      <c r="I14" s="246" t="s">
        <v>25</v>
      </c>
      <c r="J14" s="247" t="s">
        <v>26</v>
      </c>
      <c r="K14" s="248" t="s">
        <v>27</v>
      </c>
      <c r="L14" s="249">
        <v>7.4999999999999997E-2</v>
      </c>
      <c r="M14" s="250">
        <f>1-M13</f>
        <v>0.19530000000000003</v>
      </c>
      <c r="N14" s="251" t="s">
        <v>28</v>
      </c>
      <c r="Q14" s="252" t="s">
        <v>29</v>
      </c>
      <c r="R14" s="253" t="s">
        <v>30</v>
      </c>
      <c r="S14" s="254" t="s">
        <v>31</v>
      </c>
      <c r="T14" s="255" t="s">
        <v>32</v>
      </c>
      <c r="U14" s="256" t="s">
        <v>33</v>
      </c>
      <c r="V14" s="257" t="s">
        <v>34</v>
      </c>
      <c r="W14" s="258" t="s">
        <v>35</v>
      </c>
      <c r="X14" s="258" t="s">
        <v>36</v>
      </c>
      <c r="Y14" s="259" t="s">
        <v>37</v>
      </c>
      <c r="Z14" s="260" t="s">
        <v>38</v>
      </c>
      <c r="AA14" s="261" t="s">
        <v>39</v>
      </c>
      <c r="AC14" s="262" t="s">
        <v>40</v>
      </c>
      <c r="AD14" s="263" t="s">
        <v>41</v>
      </c>
      <c r="AE14" s="263" t="s">
        <v>42</v>
      </c>
      <c r="AG14" s="264" t="s">
        <v>43</v>
      </c>
      <c r="AH14" s="265" t="s">
        <v>44</v>
      </c>
      <c r="AK14" s="526" t="s">
        <v>46</v>
      </c>
      <c r="AL14" s="527" t="s">
        <v>47</v>
      </c>
    </row>
    <row r="15" spans="1:38" ht="35.1" customHeight="1" thickBot="1" x14ac:dyDescent="0.5">
      <c r="A15" s="362">
        <v>1</v>
      </c>
      <c r="B15" s="267">
        <v>1</v>
      </c>
      <c r="C15" s="363" t="s">
        <v>48</v>
      </c>
      <c r="D15" s="362"/>
      <c r="E15" s="362"/>
      <c r="F15" s="1214" t="s">
        <v>389</v>
      </c>
      <c r="G15" s="1215"/>
      <c r="H15" s="1215"/>
      <c r="I15" s="1215"/>
      <c r="J15" s="1215"/>
      <c r="K15" s="1215"/>
      <c r="L15" s="1215"/>
      <c r="M15" s="1215"/>
      <c r="N15" s="1411"/>
      <c r="Q15" s="1412" t="str">
        <f>IF(F15&lt;&gt;"",F15,"")</f>
        <v>TRANSFER DPA</v>
      </c>
      <c r="R15" s="1413"/>
      <c r="S15" s="1413"/>
      <c r="T15" s="1413"/>
      <c r="U15" s="1413"/>
      <c r="V15" s="1413"/>
      <c r="W15" s="1413"/>
      <c r="X15" s="1413"/>
      <c r="Y15" s="1414"/>
      <c r="AK15" s="1263"/>
      <c r="AL15" s="1264"/>
    </row>
    <row r="16" spans="1:38" ht="35.1" customHeight="1" x14ac:dyDescent="0.45">
      <c r="A16" s="362">
        <v>2</v>
      </c>
      <c r="B16" s="267" t="s">
        <v>50</v>
      </c>
      <c r="C16" s="363" t="s">
        <v>51</v>
      </c>
      <c r="D16" s="362"/>
      <c r="E16" s="362"/>
      <c r="F16" s="1202" t="s">
        <v>389</v>
      </c>
      <c r="G16" s="1203"/>
      <c r="H16" s="1203"/>
      <c r="I16" s="1203"/>
      <c r="J16" s="1203"/>
      <c r="K16" s="1204"/>
      <c r="L16" s="276" t="s">
        <v>53</v>
      </c>
      <c r="M16" s="277" t="s">
        <v>54</v>
      </c>
      <c r="N16" s="990" t="s">
        <v>28</v>
      </c>
      <c r="Q16" s="1265" t="str">
        <f>IF(F16&lt;&gt;"",F16,"")</f>
        <v>TRANSFER DPA</v>
      </c>
      <c r="R16" s="1266"/>
      <c r="S16" s="1266"/>
      <c r="T16" s="1266"/>
      <c r="U16" s="1266"/>
      <c r="V16" s="1266"/>
      <c r="W16" s="1266"/>
      <c r="X16" s="1266"/>
      <c r="Y16" s="1267"/>
      <c r="Z16" s="280" t="s">
        <v>55</v>
      </c>
      <c r="AA16" s="281" t="s">
        <v>39</v>
      </c>
      <c r="AK16" s="1249"/>
      <c r="AL16" s="1250"/>
    </row>
    <row r="17" spans="1:39" ht="99.9" customHeight="1" x14ac:dyDescent="0.4">
      <c r="A17" s="362">
        <v>3</v>
      </c>
      <c r="B17" s="267" t="s">
        <v>56</v>
      </c>
      <c r="C17" s="363" t="s">
        <v>57</v>
      </c>
      <c r="D17" s="362" t="s">
        <v>88</v>
      </c>
      <c r="E17" s="362" t="s">
        <v>58</v>
      </c>
      <c r="F17" s="656" t="s">
        <v>722</v>
      </c>
      <c r="G17" s="350" t="s">
        <v>390</v>
      </c>
      <c r="H17" s="351">
        <v>3</v>
      </c>
      <c r="I17" s="351">
        <v>1</v>
      </c>
      <c r="J17" s="413">
        <v>3250</v>
      </c>
      <c r="K17" s="304">
        <f t="shared" ref="K17:K24" si="0">IF(F17&lt;&gt;"",H17*I17*J17,"")</f>
        <v>9750</v>
      </c>
      <c r="L17" s="304">
        <f t="shared" ref="L17:L24" si="1">IF(K17&lt;&gt;"",IF(D17="INTERNO",0,K17*$L$14),"")</f>
        <v>731.25</v>
      </c>
      <c r="M17" s="304">
        <f t="shared" ref="M17:M24" si="2">IF(K17&lt;&gt;"",IF(E17="FAT.OGGI",SUM(K17:L17)*(1/(1-$M$14)-1),L17*(1/(1-$M$14)-1)),0)</f>
        <v>2543.7903877221333</v>
      </c>
      <c r="N17" s="305">
        <f t="shared" ref="N17:N24" si="3">SUM(K17:M17)</f>
        <v>13025.040387722132</v>
      </c>
      <c r="Q17" s="353">
        <f t="shared" ref="Q17:R24" si="4">IF(H17&lt;&gt;"",H17,"")</f>
        <v>3</v>
      </c>
      <c r="R17" s="354">
        <f t="shared" si="4"/>
        <v>1</v>
      </c>
      <c r="S17" s="360">
        <v>2600</v>
      </c>
      <c r="T17" s="355">
        <v>44820</v>
      </c>
      <c r="U17" s="356">
        <f t="shared" ref="U17:U24" si="5">IF(Q17&lt;&gt;"",K17-T17,"")</f>
        <v>-35070</v>
      </c>
      <c r="V17" s="357">
        <f t="shared" ref="V17:V24" si="6">IF(Q17&lt;&gt;"",0%,"")</f>
        <v>0</v>
      </c>
      <c r="W17" s="358">
        <f t="shared" ref="W17:W24" si="7">IF(Q17&lt;&gt;"",V17*U17,"")</f>
        <v>0</v>
      </c>
      <c r="X17" s="358">
        <f t="shared" ref="X17:X24" si="8">IF(Q17&lt;&gt;"",W17+T17,"")</f>
        <v>44820</v>
      </c>
      <c r="Y17" s="359">
        <f t="shared" ref="Y17:Y25" si="9">IF(Q17&lt;&gt;"",X17+M17,"")</f>
        <v>47363.790387722132</v>
      </c>
      <c r="Z17" s="297">
        <f t="shared" ref="Z17:Z24" si="10">IF(Q17&lt;&gt;"", IFERROR(U17/K17, 0), 0)</f>
        <v>-3.5969230769230771</v>
      </c>
      <c r="AA17" s="298">
        <f t="shared" ref="AA17:AA24" si="11">IFERROR(T17/$T$25, "")</f>
        <v>1</v>
      </c>
      <c r="AK17" s="528">
        <f>X17-AL17</f>
        <v>0</v>
      </c>
      <c r="AL17" s="529">
        <f>7320+33150+1800+2550</f>
        <v>44820</v>
      </c>
      <c r="AM17" s="525" t="s">
        <v>784</v>
      </c>
    </row>
    <row r="18" spans="1:39" ht="99.9" customHeight="1" x14ac:dyDescent="0.4">
      <c r="A18" s="362">
        <v>4</v>
      </c>
      <c r="B18" s="267" t="s">
        <v>61</v>
      </c>
      <c r="C18" s="363" t="s">
        <v>57</v>
      </c>
      <c r="D18" s="362" t="s">
        <v>88</v>
      </c>
      <c r="E18" s="362" t="s">
        <v>58</v>
      </c>
      <c r="F18" s="656" t="s">
        <v>721</v>
      </c>
      <c r="G18" s="350" t="s">
        <v>391</v>
      </c>
      <c r="H18" s="351">
        <v>1</v>
      </c>
      <c r="I18" s="351">
        <v>1</v>
      </c>
      <c r="J18" s="413">
        <v>3450</v>
      </c>
      <c r="K18" s="304">
        <f t="shared" si="0"/>
        <v>3450</v>
      </c>
      <c r="L18" s="304">
        <f t="shared" si="1"/>
        <v>258.75</v>
      </c>
      <c r="M18" s="304">
        <f t="shared" si="2"/>
        <v>900.11044488629329</v>
      </c>
      <c r="N18" s="305">
        <f t="shared" si="3"/>
        <v>4608.8604448862934</v>
      </c>
      <c r="Q18" s="353">
        <f t="shared" si="4"/>
        <v>1</v>
      </c>
      <c r="R18" s="354">
        <f t="shared" si="4"/>
        <v>1</v>
      </c>
      <c r="S18" s="360">
        <v>2600</v>
      </c>
      <c r="T18" s="355">
        <v>0</v>
      </c>
      <c r="U18" s="356">
        <f t="shared" si="5"/>
        <v>3450</v>
      </c>
      <c r="V18" s="357">
        <f t="shared" si="6"/>
        <v>0</v>
      </c>
      <c r="W18" s="358">
        <f t="shared" si="7"/>
        <v>0</v>
      </c>
      <c r="X18" s="358">
        <f t="shared" si="8"/>
        <v>0</v>
      </c>
      <c r="Y18" s="359">
        <f t="shared" si="9"/>
        <v>900.11044488629329</v>
      </c>
      <c r="Z18" s="297">
        <f t="shared" si="10"/>
        <v>1</v>
      </c>
      <c r="AA18" s="298">
        <f t="shared" si="11"/>
        <v>0</v>
      </c>
      <c r="AK18" s="528">
        <f t="shared" ref="AK18:AK33" si="12">X18-AL18</f>
        <v>0</v>
      </c>
      <c r="AL18" s="529">
        <v>0</v>
      </c>
    </row>
    <row r="19" spans="1:39" ht="99.9" customHeight="1" x14ac:dyDescent="0.4">
      <c r="A19" s="362">
        <v>5</v>
      </c>
      <c r="B19" s="267" t="s">
        <v>64</v>
      </c>
      <c r="C19" s="363" t="s">
        <v>57</v>
      </c>
      <c r="D19" s="362" t="s">
        <v>88</v>
      </c>
      <c r="E19" s="362" t="s">
        <v>58</v>
      </c>
      <c r="F19" s="656" t="s">
        <v>720</v>
      </c>
      <c r="G19" s="350" t="s">
        <v>719</v>
      </c>
      <c r="H19" s="351">
        <v>1</v>
      </c>
      <c r="I19" s="351">
        <v>1</v>
      </c>
      <c r="J19" s="991">
        <v>1850</v>
      </c>
      <c r="K19" s="304">
        <f t="shared" si="0"/>
        <v>1850</v>
      </c>
      <c r="L19" s="304">
        <f t="shared" si="1"/>
        <v>138.75</v>
      </c>
      <c r="M19" s="304">
        <f t="shared" si="2"/>
        <v>482.66791972163554</v>
      </c>
      <c r="N19" s="305">
        <f t="shared" si="3"/>
        <v>2471.4179197216354</v>
      </c>
      <c r="Q19" s="353">
        <f t="shared" si="4"/>
        <v>1</v>
      </c>
      <c r="R19" s="354">
        <f t="shared" si="4"/>
        <v>1</v>
      </c>
      <c r="S19" s="360">
        <v>1000</v>
      </c>
      <c r="T19" s="355">
        <v>0</v>
      </c>
      <c r="U19" s="356">
        <f t="shared" si="5"/>
        <v>1850</v>
      </c>
      <c r="V19" s="357">
        <f t="shared" si="6"/>
        <v>0</v>
      </c>
      <c r="W19" s="358">
        <f t="shared" si="7"/>
        <v>0</v>
      </c>
      <c r="X19" s="358">
        <f t="shared" si="8"/>
        <v>0</v>
      </c>
      <c r="Y19" s="359">
        <f t="shared" si="9"/>
        <v>482.66791972163554</v>
      </c>
      <c r="Z19" s="297">
        <f t="shared" si="10"/>
        <v>1</v>
      </c>
      <c r="AA19" s="298">
        <f t="shared" si="11"/>
        <v>0</v>
      </c>
      <c r="AK19" s="528">
        <f t="shared" si="12"/>
        <v>0</v>
      </c>
      <c r="AL19" s="529">
        <v>0</v>
      </c>
    </row>
    <row r="20" spans="1:39" ht="99.9" customHeight="1" x14ac:dyDescent="0.4">
      <c r="A20" s="362">
        <v>6</v>
      </c>
      <c r="B20" s="267" t="s">
        <v>67</v>
      </c>
      <c r="C20" s="363" t="s">
        <v>57</v>
      </c>
      <c r="D20" s="362" t="s">
        <v>88</v>
      </c>
      <c r="E20" s="362" t="s">
        <v>58</v>
      </c>
      <c r="F20" s="656" t="s">
        <v>718</v>
      </c>
      <c r="G20" s="350" t="s">
        <v>717</v>
      </c>
      <c r="H20" s="351">
        <v>1</v>
      </c>
      <c r="I20" s="351">
        <v>1</v>
      </c>
      <c r="J20" s="303">
        <v>1280</v>
      </c>
      <c r="K20" s="304">
        <f t="shared" si="0"/>
        <v>1280</v>
      </c>
      <c r="L20" s="304">
        <f t="shared" si="1"/>
        <v>96</v>
      </c>
      <c r="M20" s="304">
        <f t="shared" si="2"/>
        <v>333.95402013172622</v>
      </c>
      <c r="N20" s="305">
        <f t="shared" si="3"/>
        <v>1709.9540201317263</v>
      </c>
      <c r="Q20" s="353">
        <f t="shared" si="4"/>
        <v>1</v>
      </c>
      <c r="R20" s="354">
        <f t="shared" si="4"/>
        <v>1</v>
      </c>
      <c r="S20" s="360">
        <v>900</v>
      </c>
      <c r="T20" s="355">
        <v>0</v>
      </c>
      <c r="U20" s="356">
        <f t="shared" si="5"/>
        <v>1280</v>
      </c>
      <c r="V20" s="357">
        <f t="shared" si="6"/>
        <v>0</v>
      </c>
      <c r="W20" s="358">
        <f t="shared" si="7"/>
        <v>0</v>
      </c>
      <c r="X20" s="358">
        <f t="shared" si="8"/>
        <v>0</v>
      </c>
      <c r="Y20" s="359">
        <f t="shared" si="9"/>
        <v>333.95402013172622</v>
      </c>
      <c r="Z20" s="297">
        <f t="shared" si="10"/>
        <v>1</v>
      </c>
      <c r="AA20" s="298">
        <f t="shared" si="11"/>
        <v>0</v>
      </c>
      <c r="AK20" s="528">
        <f t="shared" si="12"/>
        <v>0</v>
      </c>
      <c r="AL20" s="529">
        <v>0</v>
      </c>
    </row>
    <row r="21" spans="1:39" ht="99.9" customHeight="1" x14ac:dyDescent="0.4">
      <c r="A21" s="362">
        <v>7</v>
      </c>
      <c r="B21" s="267" t="s">
        <v>70</v>
      </c>
      <c r="C21" s="363" t="s">
        <v>57</v>
      </c>
      <c r="D21" s="362" t="s">
        <v>88</v>
      </c>
      <c r="E21" s="362" t="s">
        <v>58</v>
      </c>
      <c r="F21" s="656" t="s">
        <v>716</v>
      </c>
      <c r="G21" s="350" t="s">
        <v>715</v>
      </c>
      <c r="H21" s="351">
        <v>1</v>
      </c>
      <c r="I21" s="351">
        <v>1</v>
      </c>
      <c r="J21" s="991">
        <v>1850</v>
      </c>
      <c r="K21" s="304">
        <f t="shared" si="0"/>
        <v>1850</v>
      </c>
      <c r="L21" s="304">
        <f t="shared" si="1"/>
        <v>138.75</v>
      </c>
      <c r="M21" s="304">
        <f t="shared" si="2"/>
        <v>482.66791972163554</v>
      </c>
      <c r="N21" s="305">
        <f t="shared" si="3"/>
        <v>2471.4179197216354</v>
      </c>
      <c r="Q21" s="353">
        <f t="shared" si="4"/>
        <v>1</v>
      </c>
      <c r="R21" s="354">
        <f t="shared" si="4"/>
        <v>1</v>
      </c>
      <c r="S21" s="360">
        <v>1000</v>
      </c>
      <c r="T21" s="355">
        <v>0</v>
      </c>
      <c r="U21" s="356">
        <f t="shared" si="5"/>
        <v>1850</v>
      </c>
      <c r="V21" s="357">
        <f t="shared" si="6"/>
        <v>0</v>
      </c>
      <c r="W21" s="358">
        <f t="shared" si="7"/>
        <v>0</v>
      </c>
      <c r="X21" s="358">
        <f t="shared" si="8"/>
        <v>0</v>
      </c>
      <c r="Y21" s="359">
        <f t="shared" si="9"/>
        <v>482.66791972163554</v>
      </c>
      <c r="Z21" s="297">
        <f t="shared" si="10"/>
        <v>1</v>
      </c>
      <c r="AA21" s="298">
        <f t="shared" si="11"/>
        <v>0</v>
      </c>
      <c r="AK21" s="528">
        <f t="shared" si="12"/>
        <v>0</v>
      </c>
      <c r="AL21" s="529">
        <v>0</v>
      </c>
    </row>
    <row r="22" spans="1:39" ht="99.9" customHeight="1" x14ac:dyDescent="0.4">
      <c r="A22" s="362">
        <v>8</v>
      </c>
      <c r="B22" s="267" t="s">
        <v>73</v>
      </c>
      <c r="C22" s="363" t="s">
        <v>57</v>
      </c>
      <c r="D22" s="362" t="s">
        <v>88</v>
      </c>
      <c r="E22" s="362" t="s">
        <v>58</v>
      </c>
      <c r="F22" s="656" t="s">
        <v>714</v>
      </c>
      <c r="G22" s="350" t="s">
        <v>713</v>
      </c>
      <c r="H22" s="351">
        <v>1</v>
      </c>
      <c r="I22" s="351">
        <v>1</v>
      </c>
      <c r="J22" s="413">
        <v>3450</v>
      </c>
      <c r="K22" s="304">
        <f t="shared" si="0"/>
        <v>3450</v>
      </c>
      <c r="L22" s="304">
        <f t="shared" si="1"/>
        <v>258.75</v>
      </c>
      <c r="M22" s="304">
        <f t="shared" si="2"/>
        <v>900.11044488629329</v>
      </c>
      <c r="N22" s="305">
        <f t="shared" si="3"/>
        <v>4608.8604448862934</v>
      </c>
      <c r="Q22" s="353">
        <f t="shared" si="4"/>
        <v>1</v>
      </c>
      <c r="R22" s="354">
        <f t="shared" si="4"/>
        <v>1</v>
      </c>
      <c r="S22" s="360">
        <v>2600</v>
      </c>
      <c r="T22" s="355">
        <v>0</v>
      </c>
      <c r="U22" s="356">
        <f t="shared" si="5"/>
        <v>3450</v>
      </c>
      <c r="V22" s="357">
        <f t="shared" si="6"/>
        <v>0</v>
      </c>
      <c r="W22" s="358">
        <f t="shared" si="7"/>
        <v>0</v>
      </c>
      <c r="X22" s="358">
        <f t="shared" si="8"/>
        <v>0</v>
      </c>
      <c r="Y22" s="359">
        <f t="shared" si="9"/>
        <v>900.11044488629329</v>
      </c>
      <c r="Z22" s="297">
        <f t="shared" si="10"/>
        <v>1</v>
      </c>
      <c r="AA22" s="298">
        <f t="shared" si="11"/>
        <v>0</v>
      </c>
      <c r="AK22" s="528">
        <f t="shared" si="12"/>
        <v>0</v>
      </c>
      <c r="AL22" s="529">
        <v>0</v>
      </c>
    </row>
    <row r="23" spans="1:39" ht="99.9" customHeight="1" x14ac:dyDescent="0.4">
      <c r="A23" s="362">
        <v>9</v>
      </c>
      <c r="B23" s="267" t="s">
        <v>76</v>
      </c>
      <c r="C23" s="363" t="s">
        <v>57</v>
      </c>
      <c r="D23" s="362" t="s">
        <v>88</v>
      </c>
      <c r="E23" s="362" t="s">
        <v>58</v>
      </c>
      <c r="F23" s="656" t="s">
        <v>712</v>
      </c>
      <c r="G23" s="350" t="s">
        <v>711</v>
      </c>
      <c r="H23" s="351">
        <v>2</v>
      </c>
      <c r="I23" s="351">
        <v>1</v>
      </c>
      <c r="J23" s="413">
        <v>3450</v>
      </c>
      <c r="K23" s="304">
        <f t="shared" si="0"/>
        <v>6900</v>
      </c>
      <c r="L23" s="304">
        <f t="shared" si="1"/>
        <v>517.5</v>
      </c>
      <c r="M23" s="304">
        <f t="shared" si="2"/>
        <v>1800.2208897725866</v>
      </c>
      <c r="N23" s="305">
        <f t="shared" si="3"/>
        <v>9217.7208897725868</v>
      </c>
      <c r="Q23" s="353">
        <f t="shared" si="4"/>
        <v>2</v>
      </c>
      <c r="R23" s="354">
        <f t="shared" si="4"/>
        <v>1</v>
      </c>
      <c r="S23" s="360">
        <v>2600</v>
      </c>
      <c r="T23" s="355">
        <v>0</v>
      </c>
      <c r="U23" s="356">
        <f t="shared" si="5"/>
        <v>6900</v>
      </c>
      <c r="V23" s="357">
        <f t="shared" si="6"/>
        <v>0</v>
      </c>
      <c r="W23" s="358">
        <f t="shared" si="7"/>
        <v>0</v>
      </c>
      <c r="X23" s="358">
        <f t="shared" si="8"/>
        <v>0</v>
      </c>
      <c r="Y23" s="359">
        <f t="shared" si="9"/>
        <v>1800.2208897725866</v>
      </c>
      <c r="Z23" s="297">
        <f t="shared" si="10"/>
        <v>1</v>
      </c>
      <c r="AA23" s="298">
        <f t="shared" si="11"/>
        <v>0</v>
      </c>
      <c r="AK23" s="528">
        <f t="shared" si="12"/>
        <v>0</v>
      </c>
      <c r="AL23" s="529">
        <v>0</v>
      </c>
    </row>
    <row r="24" spans="1:39" ht="99.9" customHeight="1" thickBot="1" x14ac:dyDescent="0.45">
      <c r="A24" s="362">
        <v>10</v>
      </c>
      <c r="B24" s="267" t="s">
        <v>80</v>
      </c>
      <c r="C24" s="363" t="s">
        <v>57</v>
      </c>
      <c r="D24" s="362" t="s">
        <v>88</v>
      </c>
      <c r="E24" s="362" t="s">
        <v>58</v>
      </c>
      <c r="F24" s="657" t="s">
        <v>710</v>
      </c>
      <c r="G24" s="300" t="s">
        <v>709</v>
      </c>
      <c r="H24" s="301">
        <v>2</v>
      </c>
      <c r="I24" s="301">
        <v>1</v>
      </c>
      <c r="J24" s="991">
        <v>1850</v>
      </c>
      <c r="K24" s="303">
        <f t="shared" si="0"/>
        <v>3700</v>
      </c>
      <c r="L24" s="303">
        <f t="shared" si="1"/>
        <v>277.5</v>
      </c>
      <c r="M24" s="303">
        <f t="shared" si="2"/>
        <v>965.33583944327108</v>
      </c>
      <c r="N24" s="315">
        <f t="shared" si="3"/>
        <v>4942.8358394432707</v>
      </c>
      <c r="Q24" s="415">
        <f t="shared" si="4"/>
        <v>2</v>
      </c>
      <c r="R24" s="408">
        <f t="shared" si="4"/>
        <v>1</v>
      </c>
      <c r="S24" s="466">
        <v>1000</v>
      </c>
      <c r="T24" s="371">
        <v>0</v>
      </c>
      <c r="U24" s="417">
        <f t="shared" si="5"/>
        <v>3700</v>
      </c>
      <c r="V24" s="418">
        <f t="shared" si="6"/>
        <v>0</v>
      </c>
      <c r="W24" s="419">
        <f t="shared" si="7"/>
        <v>0</v>
      </c>
      <c r="X24" s="419">
        <f t="shared" si="8"/>
        <v>0</v>
      </c>
      <c r="Y24" s="312">
        <f t="shared" si="9"/>
        <v>965.33583944327108</v>
      </c>
      <c r="Z24" s="492">
        <f t="shared" si="10"/>
        <v>1</v>
      </c>
      <c r="AA24" s="508">
        <f t="shared" si="11"/>
        <v>0</v>
      </c>
      <c r="AK24" s="528">
        <f t="shared" si="12"/>
        <v>0</v>
      </c>
      <c r="AL24" s="529">
        <v>0</v>
      </c>
    </row>
    <row r="25" spans="1:39" ht="35.1" customHeight="1" thickBot="1" x14ac:dyDescent="0.5">
      <c r="A25" s="362">
        <v>11</v>
      </c>
      <c r="B25" s="267"/>
      <c r="C25" s="363" t="s">
        <v>83</v>
      </c>
      <c r="D25" s="362"/>
      <c r="E25" s="362"/>
      <c r="F25" s="1410" t="s">
        <v>392</v>
      </c>
      <c r="G25" s="1277"/>
      <c r="H25" s="1277"/>
      <c r="I25" s="1277"/>
      <c r="J25" s="1277"/>
      <c r="K25" s="509">
        <f>SUM(K17:K24)</f>
        <v>32230</v>
      </c>
      <c r="L25" s="509">
        <f>SUM(L17:L24)</f>
        <v>2417.25</v>
      </c>
      <c r="M25" s="509">
        <f>SUM(M17:M24)</f>
        <v>8408.8578662855743</v>
      </c>
      <c r="N25" s="510">
        <f>SUM(N17:N24)</f>
        <v>43056.107866285573</v>
      </c>
      <c r="Q25" s="1195" t="s">
        <v>392</v>
      </c>
      <c r="R25" s="1196"/>
      <c r="S25" s="1196"/>
      <c r="T25" s="513">
        <f>SUM(T17:T24)</f>
        <v>44820</v>
      </c>
      <c r="U25" s="514">
        <f>SUM(U17:U24)</f>
        <v>-12590</v>
      </c>
      <c r="V25" s="631"/>
      <c r="W25" s="631"/>
      <c r="X25" s="516">
        <f>SUM(X17:X24)</f>
        <v>44820</v>
      </c>
      <c r="Y25" s="517">
        <f t="shared" si="9"/>
        <v>53228.857866285573</v>
      </c>
      <c r="Z25" s="518" t="s">
        <v>275</v>
      </c>
      <c r="AA25" s="519" t="s">
        <v>276</v>
      </c>
      <c r="AK25" s="528"/>
      <c r="AL25" s="529"/>
    </row>
    <row r="26" spans="1:39" ht="35.1" customHeight="1" thickBot="1" x14ac:dyDescent="0.5">
      <c r="A26" s="362">
        <v>12</v>
      </c>
      <c r="B26" s="267"/>
      <c r="C26" s="363" t="s">
        <v>277</v>
      </c>
      <c r="D26" s="362"/>
      <c r="E26" s="362"/>
      <c r="F26" s="126" t="s">
        <v>393</v>
      </c>
      <c r="G26" s="127"/>
      <c r="H26" s="188"/>
      <c r="I26" s="188"/>
      <c r="J26" s="127"/>
      <c r="K26" s="122">
        <f>SUM(K17:K24)</f>
        <v>32230</v>
      </c>
      <c r="L26" s="122">
        <f>SUM(L17:L24)</f>
        <v>2417.25</v>
      </c>
      <c r="M26" s="122">
        <f>SUM(M17:M24)</f>
        <v>8408.8578662855743</v>
      </c>
      <c r="N26" s="184">
        <f>SUM(N17:N24)</f>
        <v>43056.107866285573</v>
      </c>
      <c r="Q26" s="189" t="s">
        <v>279</v>
      </c>
      <c r="R26" s="188"/>
      <c r="S26" s="127"/>
      <c r="T26" s="122">
        <f>SUM(T17:T24)</f>
        <v>44820</v>
      </c>
      <c r="U26" s="122">
        <f>SUM(U17:U24)</f>
        <v>-12590</v>
      </c>
      <c r="V26" s="127"/>
      <c r="W26" s="127"/>
      <c r="X26" s="122">
        <f>SUM(X17:X24)</f>
        <v>44820</v>
      </c>
      <c r="Y26" s="184">
        <f>SUM(Y17:Y24)</f>
        <v>53228.857866285573</v>
      </c>
      <c r="Z26" s="160">
        <f>IF(Q26&lt;&gt;"",(N26-Y26)/N26,"")</f>
        <v>-0.2362672917764036</v>
      </c>
      <c r="AA26" s="161">
        <f>IF(Z26&lt;&gt;"",(N26-Y26),"")</f>
        <v>-10172.75</v>
      </c>
      <c r="AK26" s="528"/>
      <c r="AL26" s="529"/>
    </row>
    <row r="27" spans="1:39" ht="35.1" customHeight="1" x14ac:dyDescent="0.45">
      <c r="A27" s="362">
        <v>13</v>
      </c>
      <c r="B27" s="267" t="s">
        <v>320</v>
      </c>
      <c r="C27" s="363" t="s">
        <v>51</v>
      </c>
      <c r="D27" s="362"/>
      <c r="E27" s="362"/>
      <c r="F27" s="1202" t="s">
        <v>646</v>
      </c>
      <c r="G27" s="1203"/>
      <c r="H27" s="1203"/>
      <c r="I27" s="1203"/>
      <c r="J27" s="1203"/>
      <c r="K27" s="1204"/>
      <c r="L27" s="276" t="s">
        <v>53</v>
      </c>
      <c r="M27" s="277" t="s">
        <v>54</v>
      </c>
      <c r="N27" s="990" t="s">
        <v>28</v>
      </c>
      <c r="Q27" s="1202" t="str">
        <f>IF(F27&lt;&gt;"",F27,"")</f>
        <v>EXTRAS</v>
      </c>
      <c r="R27" s="1203"/>
      <c r="S27" s="1203"/>
      <c r="T27" s="1203"/>
      <c r="U27" s="1203"/>
      <c r="V27" s="1203"/>
      <c r="W27" s="1203"/>
      <c r="X27" s="1203"/>
      <c r="Y27" s="1409"/>
      <c r="Z27" s="280" t="s">
        <v>55</v>
      </c>
      <c r="AA27" s="281" t="s">
        <v>39</v>
      </c>
      <c r="AK27" s="528"/>
      <c r="AL27" s="529"/>
    </row>
    <row r="28" spans="1:39" ht="99.9" customHeight="1" x14ac:dyDescent="0.4">
      <c r="A28" s="362">
        <v>14</v>
      </c>
      <c r="B28" s="267" t="s">
        <v>322</v>
      </c>
      <c r="C28" s="363" t="s">
        <v>57</v>
      </c>
      <c r="D28" s="362" t="s">
        <v>88</v>
      </c>
      <c r="E28" s="362" t="s">
        <v>58</v>
      </c>
      <c r="F28" s="992" t="s">
        <v>702</v>
      </c>
      <c r="G28" s="883" t="s">
        <v>708</v>
      </c>
      <c r="H28" s="993">
        <v>3</v>
      </c>
      <c r="I28" s="994">
        <v>1</v>
      </c>
      <c r="J28" s="991">
        <v>1850</v>
      </c>
      <c r="K28" s="304">
        <f t="shared" ref="K28:K33" si="13">IF(F28&lt;&gt;"",H28*I28*J28,"")</f>
        <v>5550</v>
      </c>
      <c r="L28" s="304">
        <f t="shared" ref="L28:L33" si="14">IF(K28&lt;&gt;"",IF(D28="INTERNO",0,K28*$L$14),"")</f>
        <v>416.25</v>
      </c>
      <c r="M28" s="304">
        <f t="shared" ref="M28:M33" si="15">IF(K28&lt;&gt;"",IF(E28="FAT.OGGI",SUM(K28:L28)*(1/(1-$M$14)-1),L28*(1/(1-$M$14)-1)),0)</f>
        <v>1448.0037591649066</v>
      </c>
      <c r="N28" s="305">
        <f t="shared" ref="N28:N33" si="16">SUM(K28:M28)</f>
        <v>7414.253759164907</v>
      </c>
      <c r="Q28" s="995">
        <v>4</v>
      </c>
      <c r="R28" s="996">
        <f>IF(I28&lt;&gt;"",I28,"")</f>
        <v>1</v>
      </c>
      <c r="S28" s="997">
        <v>1000</v>
      </c>
      <c r="T28" s="355">
        <v>4200</v>
      </c>
      <c r="U28" s="356">
        <f t="shared" ref="U28:U33" si="17">IF(Q28&lt;&gt;"",K28-T28,"")</f>
        <v>1350</v>
      </c>
      <c r="V28" s="357">
        <f t="shared" ref="V28:V33" si="18">IF(Q28&lt;&gt;"",0%,"")</f>
        <v>0</v>
      </c>
      <c r="W28" s="358">
        <f t="shared" ref="W28:W33" si="19">IF(Q28&lt;&gt;"",V28*U28,"")</f>
        <v>0</v>
      </c>
      <c r="X28" s="358">
        <f t="shared" ref="X28:X33" si="20">IF(Q28&lt;&gt;"",W28+T28,"")</f>
        <v>4200</v>
      </c>
      <c r="Y28" s="359">
        <f t="shared" ref="Y28:Y34" si="21">IF(Q28&lt;&gt;"",X28+M28,"")</f>
        <v>5648.003759164907</v>
      </c>
      <c r="Z28" s="297">
        <f t="shared" ref="Z28:Z33" si="22">IF(Q28&lt;&gt;"", IFERROR(U28/K28, 0), 0)</f>
        <v>0.24324324324324326</v>
      </c>
      <c r="AA28" s="298">
        <f t="shared" ref="AA28:AA33" si="23">IFERROR(T28/$T$34, "")</f>
        <v>0.44444444444444442</v>
      </c>
      <c r="AK28" s="528">
        <f t="shared" si="12"/>
        <v>0</v>
      </c>
      <c r="AL28" s="529">
        <f>700+700+700+700+700+700</f>
        <v>4200</v>
      </c>
      <c r="AM28" s="525" t="s">
        <v>813</v>
      </c>
    </row>
    <row r="29" spans="1:39" ht="99.9" customHeight="1" x14ac:dyDescent="0.4">
      <c r="A29" s="362">
        <v>15</v>
      </c>
      <c r="B29" s="267" t="s">
        <v>325</v>
      </c>
      <c r="C29" s="363" t="s">
        <v>57</v>
      </c>
      <c r="D29" s="362" t="s">
        <v>88</v>
      </c>
      <c r="E29" s="362" t="s">
        <v>58</v>
      </c>
      <c r="F29" s="992" t="s">
        <v>702</v>
      </c>
      <c r="G29" s="883" t="s">
        <v>703</v>
      </c>
      <c r="H29" s="993">
        <v>2</v>
      </c>
      <c r="I29" s="994">
        <v>1</v>
      </c>
      <c r="J29" s="998">
        <v>1160</v>
      </c>
      <c r="K29" s="304">
        <f t="shared" si="13"/>
        <v>2320</v>
      </c>
      <c r="L29" s="304">
        <f t="shared" si="14"/>
        <v>174</v>
      </c>
      <c r="M29" s="304">
        <f t="shared" si="15"/>
        <v>605.29166148875379</v>
      </c>
      <c r="N29" s="305">
        <f t="shared" si="16"/>
        <v>3099.2916614887536</v>
      </c>
      <c r="Q29" s="995">
        <v>3</v>
      </c>
      <c r="R29" s="996">
        <f>IF(I29&lt;&gt;"",I29,"")</f>
        <v>1</v>
      </c>
      <c r="S29" s="997">
        <v>900</v>
      </c>
      <c r="T29" s="355">
        <v>0</v>
      </c>
      <c r="U29" s="356">
        <f t="shared" si="17"/>
        <v>2320</v>
      </c>
      <c r="V29" s="357">
        <f t="shared" si="18"/>
        <v>0</v>
      </c>
      <c r="W29" s="358">
        <f t="shared" si="19"/>
        <v>0</v>
      </c>
      <c r="X29" s="358">
        <f t="shared" si="20"/>
        <v>0</v>
      </c>
      <c r="Y29" s="359">
        <f t="shared" si="21"/>
        <v>605.29166148875379</v>
      </c>
      <c r="Z29" s="297">
        <f t="shared" si="22"/>
        <v>1</v>
      </c>
      <c r="AA29" s="298">
        <f t="shared" si="23"/>
        <v>0</v>
      </c>
      <c r="AK29" s="528">
        <f t="shared" si="12"/>
        <v>0</v>
      </c>
      <c r="AL29" s="529">
        <v>0</v>
      </c>
    </row>
    <row r="30" spans="1:39" ht="99.9" customHeight="1" x14ac:dyDescent="0.4">
      <c r="A30" s="362">
        <v>16</v>
      </c>
      <c r="B30" s="267" t="s">
        <v>327</v>
      </c>
      <c r="C30" s="363" t="s">
        <v>57</v>
      </c>
      <c r="D30" s="362" t="s">
        <v>88</v>
      </c>
      <c r="E30" s="362" t="s">
        <v>58</v>
      </c>
      <c r="F30" s="992" t="s">
        <v>707</v>
      </c>
      <c r="G30" s="883" t="s">
        <v>704</v>
      </c>
      <c r="H30" s="993">
        <v>1</v>
      </c>
      <c r="I30" s="994">
        <v>1</v>
      </c>
      <c r="J30" s="413">
        <v>3450</v>
      </c>
      <c r="K30" s="304">
        <f t="shared" si="13"/>
        <v>3450</v>
      </c>
      <c r="L30" s="304">
        <f t="shared" si="14"/>
        <v>258.75</v>
      </c>
      <c r="M30" s="304">
        <f t="shared" si="15"/>
        <v>900.11044488629329</v>
      </c>
      <c r="N30" s="305">
        <f t="shared" si="16"/>
        <v>4608.8604448862934</v>
      </c>
      <c r="Q30" s="995">
        <f>IF(H30&lt;&gt;"",H30,"")</f>
        <v>1</v>
      </c>
      <c r="R30" s="996">
        <f>IF(I30&lt;&gt;"",I30,"")</f>
        <v>1</v>
      </c>
      <c r="S30" s="997">
        <v>2600</v>
      </c>
      <c r="T30" s="355">
        <v>0</v>
      </c>
      <c r="U30" s="356">
        <f t="shared" si="17"/>
        <v>3450</v>
      </c>
      <c r="V30" s="357">
        <f t="shared" si="18"/>
        <v>0</v>
      </c>
      <c r="W30" s="358">
        <f t="shared" si="19"/>
        <v>0</v>
      </c>
      <c r="X30" s="358">
        <f t="shared" si="20"/>
        <v>0</v>
      </c>
      <c r="Y30" s="359">
        <f t="shared" si="21"/>
        <v>900.11044488629329</v>
      </c>
      <c r="Z30" s="297">
        <f t="shared" si="22"/>
        <v>1</v>
      </c>
      <c r="AA30" s="298">
        <f t="shared" si="23"/>
        <v>0</v>
      </c>
      <c r="AK30" s="528">
        <f t="shared" si="12"/>
        <v>0</v>
      </c>
      <c r="AL30" s="529">
        <v>0</v>
      </c>
    </row>
    <row r="31" spans="1:39" ht="99.9" customHeight="1" x14ac:dyDescent="0.4">
      <c r="A31" s="362">
        <v>17</v>
      </c>
      <c r="B31" s="267" t="s">
        <v>706</v>
      </c>
      <c r="C31" s="363" t="s">
        <v>57</v>
      </c>
      <c r="D31" s="362" t="s">
        <v>88</v>
      </c>
      <c r="E31" s="362" t="s">
        <v>58</v>
      </c>
      <c r="F31" s="999" t="s">
        <v>724</v>
      </c>
      <c r="G31" s="620" t="s">
        <v>725</v>
      </c>
      <c r="H31" s="445">
        <v>2</v>
      </c>
      <c r="I31" s="446">
        <v>1</v>
      </c>
      <c r="J31" s="1000">
        <v>1250</v>
      </c>
      <c r="K31" s="303">
        <f t="shared" si="13"/>
        <v>2500</v>
      </c>
      <c r="L31" s="303">
        <f t="shared" si="14"/>
        <v>187.5</v>
      </c>
      <c r="M31" s="303">
        <f t="shared" si="15"/>
        <v>652.25394556977778</v>
      </c>
      <c r="N31" s="315">
        <f t="shared" si="16"/>
        <v>3339.7539455697779</v>
      </c>
      <c r="Q31" s="1001">
        <v>1</v>
      </c>
      <c r="R31" s="1002">
        <f>IF(I31&lt;&gt;"",I31,"")</f>
        <v>1</v>
      </c>
      <c r="S31" s="1003">
        <v>750</v>
      </c>
      <c r="T31" s="371">
        <v>0</v>
      </c>
      <c r="U31" s="417">
        <f t="shared" si="17"/>
        <v>2500</v>
      </c>
      <c r="V31" s="418">
        <f t="shared" si="18"/>
        <v>0</v>
      </c>
      <c r="W31" s="419">
        <f t="shared" si="19"/>
        <v>0</v>
      </c>
      <c r="X31" s="419">
        <f t="shared" si="20"/>
        <v>0</v>
      </c>
      <c r="Y31" s="312">
        <f t="shared" si="21"/>
        <v>652.25394556977778</v>
      </c>
      <c r="Z31" s="297">
        <f t="shared" si="22"/>
        <v>1</v>
      </c>
      <c r="AA31" s="298">
        <f t="shared" si="23"/>
        <v>0</v>
      </c>
      <c r="AK31" s="528">
        <f t="shared" si="12"/>
        <v>0</v>
      </c>
      <c r="AL31" s="529">
        <v>0</v>
      </c>
    </row>
    <row r="32" spans="1:39" ht="99.9" customHeight="1" x14ac:dyDescent="0.4">
      <c r="A32" s="362">
        <v>18</v>
      </c>
      <c r="B32" s="267" t="s">
        <v>733</v>
      </c>
      <c r="C32" s="363" t="s">
        <v>57</v>
      </c>
      <c r="D32" s="362" t="s">
        <v>88</v>
      </c>
      <c r="E32" s="362" t="s">
        <v>58</v>
      </c>
      <c r="F32" s="999" t="s">
        <v>723</v>
      </c>
      <c r="G32" s="620"/>
      <c r="H32" s="445">
        <v>1</v>
      </c>
      <c r="I32" s="446">
        <v>1</v>
      </c>
      <c r="J32" s="1000">
        <v>0</v>
      </c>
      <c r="K32" s="303">
        <f t="shared" si="13"/>
        <v>0</v>
      </c>
      <c r="L32" s="303">
        <f t="shared" si="14"/>
        <v>0</v>
      </c>
      <c r="M32" s="303">
        <f t="shared" si="15"/>
        <v>0</v>
      </c>
      <c r="N32" s="315">
        <f t="shared" si="16"/>
        <v>0</v>
      </c>
      <c r="Q32" s="1004">
        <f>IF(H32&lt;&gt;"",H32,"")</f>
        <v>1</v>
      </c>
      <c r="R32" s="1005">
        <v>6</v>
      </c>
      <c r="S32" s="1006">
        <v>700</v>
      </c>
      <c r="T32" s="371">
        <v>0</v>
      </c>
      <c r="U32" s="417">
        <f t="shared" si="17"/>
        <v>0</v>
      </c>
      <c r="V32" s="418">
        <f t="shared" si="18"/>
        <v>0</v>
      </c>
      <c r="W32" s="419">
        <f t="shared" si="19"/>
        <v>0</v>
      </c>
      <c r="X32" s="419">
        <f t="shared" si="20"/>
        <v>0</v>
      </c>
      <c r="Y32" s="312">
        <f t="shared" ref="Y32" si="24">IF(Q32&lt;&gt;"",X32+M32,"")</f>
        <v>0</v>
      </c>
      <c r="Z32" s="297">
        <f t="shared" si="22"/>
        <v>0</v>
      </c>
      <c r="AA32" s="298">
        <f t="shared" si="23"/>
        <v>0</v>
      </c>
      <c r="AK32" s="528">
        <f t="shared" si="12"/>
        <v>0</v>
      </c>
      <c r="AL32" s="529">
        <v>0</v>
      </c>
    </row>
    <row r="33" spans="1:39" ht="99.9" customHeight="1" x14ac:dyDescent="0.4">
      <c r="A33" s="362">
        <v>19</v>
      </c>
      <c r="B33" s="267" t="s">
        <v>734</v>
      </c>
      <c r="C33" s="363" t="s">
        <v>57</v>
      </c>
      <c r="D33" s="362" t="s">
        <v>88</v>
      </c>
      <c r="E33" s="362" t="s">
        <v>58</v>
      </c>
      <c r="F33" s="999" t="s">
        <v>816</v>
      </c>
      <c r="G33" s="620" t="s">
        <v>817</v>
      </c>
      <c r="H33" s="445">
        <v>1</v>
      </c>
      <c r="I33" s="446">
        <v>1</v>
      </c>
      <c r="J33" s="1000">
        <v>0</v>
      </c>
      <c r="K33" s="303">
        <f t="shared" si="13"/>
        <v>0</v>
      </c>
      <c r="L33" s="303">
        <f t="shared" si="14"/>
        <v>0</v>
      </c>
      <c r="M33" s="303">
        <f t="shared" si="15"/>
        <v>0</v>
      </c>
      <c r="N33" s="315">
        <f t="shared" si="16"/>
        <v>0</v>
      </c>
      <c r="Q33" s="1004">
        <f>IF(H33&lt;&gt;"",H33,"")</f>
        <v>1</v>
      </c>
      <c r="R33" s="1005">
        <v>7</v>
      </c>
      <c r="S33" s="1006">
        <v>750</v>
      </c>
      <c r="T33" s="371">
        <f t="shared" ref="T33" si="25">IF(Q33&lt;&gt;"",Q33*R33*S33,"")</f>
        <v>5250</v>
      </c>
      <c r="U33" s="417">
        <f t="shared" si="17"/>
        <v>-5250</v>
      </c>
      <c r="V33" s="418">
        <f t="shared" si="18"/>
        <v>0</v>
      </c>
      <c r="W33" s="419">
        <f t="shared" si="19"/>
        <v>0</v>
      </c>
      <c r="X33" s="419">
        <f t="shared" si="20"/>
        <v>5250</v>
      </c>
      <c r="Y33" s="312">
        <f t="shared" si="21"/>
        <v>5250</v>
      </c>
      <c r="Z33" s="297">
        <f t="shared" si="22"/>
        <v>0</v>
      </c>
      <c r="AA33" s="298">
        <f t="shared" si="23"/>
        <v>0.55555555555555558</v>
      </c>
      <c r="AK33" s="528">
        <f t="shared" si="12"/>
        <v>0</v>
      </c>
      <c r="AL33" s="529">
        <v>5250</v>
      </c>
      <c r="AM33" s="525" t="s">
        <v>840</v>
      </c>
    </row>
    <row r="34" spans="1:39" ht="35.1" customHeight="1" thickBot="1" x14ac:dyDescent="0.5">
      <c r="A34" s="243">
        <v>20</v>
      </c>
      <c r="B34" s="267"/>
      <c r="C34" s="282" t="s">
        <v>83</v>
      </c>
      <c r="D34" s="243"/>
      <c r="E34" s="243"/>
      <c r="F34" s="1410" t="s">
        <v>705</v>
      </c>
      <c r="G34" s="1277"/>
      <c r="H34" s="1277"/>
      <c r="I34" s="1277"/>
      <c r="J34" s="1277"/>
      <c r="K34" s="509">
        <f>SUM(K28:K33)</f>
        <v>13820</v>
      </c>
      <c r="L34" s="509">
        <f>SUM(L28:L33)</f>
        <v>1036.5</v>
      </c>
      <c r="M34" s="509">
        <f>SUM(M28:M33)</f>
        <v>3605.6598111097319</v>
      </c>
      <c r="N34" s="510">
        <f>SUM(N28:N33)</f>
        <v>18462.15981110973</v>
      </c>
      <c r="Q34" s="1410" t="s">
        <v>705</v>
      </c>
      <c r="R34" s="1277"/>
      <c r="S34" s="1277"/>
      <c r="T34" s="513">
        <f>SUM(T28:T33)</f>
        <v>9450</v>
      </c>
      <c r="U34" s="514">
        <f>SUM(U28:U33)</f>
        <v>4370</v>
      </c>
      <c r="V34" s="631"/>
      <c r="W34" s="631"/>
      <c r="X34" s="516">
        <f>SUM(X28:X33)</f>
        <v>9450</v>
      </c>
      <c r="Y34" s="517">
        <f t="shared" si="21"/>
        <v>13055.659811109732</v>
      </c>
      <c r="Z34" s="1007" t="s">
        <v>275</v>
      </c>
      <c r="AA34" s="1008" t="s">
        <v>276</v>
      </c>
      <c r="AK34" s="528"/>
      <c r="AL34" s="529"/>
    </row>
    <row r="35" spans="1:39" ht="35.1" customHeight="1" thickBot="1" x14ac:dyDescent="0.5">
      <c r="A35" s="266">
        <v>21</v>
      </c>
      <c r="B35" s="520"/>
      <c r="C35" s="268" t="s">
        <v>277</v>
      </c>
      <c r="D35" s="266"/>
      <c r="E35" s="266"/>
      <c r="F35" s="80" t="s">
        <v>278</v>
      </c>
      <c r="G35" s="81"/>
      <c r="H35" s="166"/>
      <c r="I35" s="166"/>
      <c r="J35" s="81"/>
      <c r="K35" s="82">
        <f>SUM(K17:K24)+SUM(K28:K33)</f>
        <v>46050</v>
      </c>
      <c r="L35" s="82">
        <f>SUM(L17:L24)+SUM(L28:L33)</f>
        <v>3453.75</v>
      </c>
      <c r="M35" s="82">
        <f>SUM(M17:M24)+SUM(M28:M33)</f>
        <v>12014.517677395306</v>
      </c>
      <c r="N35" s="187">
        <f>SUM(N17:N24)+SUM(N28:N33)</f>
        <v>61518.267677395299</v>
      </c>
      <c r="Q35" s="167" t="s">
        <v>279</v>
      </c>
      <c r="R35" s="166"/>
      <c r="S35" s="81"/>
      <c r="T35" s="82">
        <f>SUM(T17:T24)+SUM(T28:T33)</f>
        <v>54270</v>
      </c>
      <c r="U35" s="82">
        <f>SUM(U17:U24)+SUM(U28:U33)</f>
        <v>-8220</v>
      </c>
      <c r="V35" s="81"/>
      <c r="W35" s="81"/>
      <c r="X35" s="82">
        <f>SUM(X17:X24)+SUM(X28:X33)</f>
        <v>54270</v>
      </c>
      <c r="Y35" s="186">
        <f>SUM(Y17:Y24)+SUM(Y28:Y33)</f>
        <v>66284.517677395299</v>
      </c>
      <c r="Z35" s="83">
        <f>IF(Q35&lt;&gt;"",(N35-Y35)/N35,"")</f>
        <v>-7.7476986591924854E-2</v>
      </c>
      <c r="AA35" s="185">
        <f>IF(Z35&lt;&gt;"",(N35-Y35),"")</f>
        <v>-4766.25</v>
      </c>
      <c r="AK35" s="528">
        <f>SUM(AK28:AK34,AK17:AK24)</f>
        <v>0</v>
      </c>
      <c r="AL35" s="529">
        <f>SUM(AL28:AL34,AL17:AL24)</f>
        <v>54270</v>
      </c>
    </row>
    <row r="36" spans="1:39" ht="22.2" x14ac:dyDescent="0.45">
      <c r="AL36" s="521"/>
      <c r="AM36" s="522" t="s">
        <v>744</v>
      </c>
    </row>
    <row r="37" spans="1:39" ht="22.2" x14ac:dyDescent="0.45">
      <c r="AL37" s="521">
        <f>X35</f>
        <v>54270</v>
      </c>
      <c r="AM37" s="522" t="s">
        <v>745</v>
      </c>
    </row>
    <row r="38" spans="1:39" ht="22.2" x14ac:dyDescent="0.45">
      <c r="AL38" s="521">
        <f>N35-X35</f>
        <v>7248.267677395299</v>
      </c>
      <c r="AM38" s="523" t="s">
        <v>741</v>
      </c>
    </row>
    <row r="39" spans="1:39" x14ac:dyDescent="0.4">
      <c r="AL39" s="524">
        <f>AL38*100%/N35</f>
        <v>0.11782301340807509</v>
      </c>
    </row>
  </sheetData>
  <mergeCells count="19">
    <mergeCell ref="F27:K27"/>
    <mergeCell ref="Q27:Y27"/>
    <mergeCell ref="F34:J34"/>
    <mergeCell ref="Q34:S34"/>
    <mergeCell ref="AK12:AL12"/>
    <mergeCell ref="F15:N15"/>
    <mergeCell ref="Q15:Y15"/>
    <mergeCell ref="F16:K16"/>
    <mergeCell ref="Q16:Y16"/>
    <mergeCell ref="F25:J25"/>
    <mergeCell ref="AG12:AH12"/>
    <mergeCell ref="Q25:S25"/>
    <mergeCell ref="AK15:AL15"/>
    <mergeCell ref="AK16:AL16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D26 D17:D24 D35 D28:D33" xr:uid="{7893D9E2-9779-493A-A0EA-C49B35246CC7}">
      <formula1>"INTERNO,OPERACIONAL"</formula1>
    </dataValidation>
    <dataValidation type="list" allowBlank="1" showInputMessage="1" showErrorMessage="1" sqref="E17:E24 E28:E33" xr:uid="{4257561B-EE9C-451F-A68C-C6F8577E8477}">
      <formula1>"FAT.OGGI,FAT.CLIENTE"</formula1>
    </dataValidation>
    <dataValidation type="list" allowBlank="1" showInputMessage="1" showErrorMessage="1" sqref="E26 E35" xr:uid="{BEA9C7E0-DB81-465B-99CD-3ABE8ADC4288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BA1A-3EC3-4C58-AD72-ECBF5B1E82AB}">
  <dimension ref="G4:H28"/>
  <sheetViews>
    <sheetView topLeftCell="A19" workbookViewId="0">
      <selection activeCell="H22" sqref="H22"/>
    </sheetView>
  </sheetViews>
  <sheetFormatPr defaultRowHeight="14.4" x14ac:dyDescent="0.3"/>
  <cols>
    <col min="7" max="7" width="18.5546875" bestFit="1" customWidth="1"/>
    <col min="8" max="8" width="13.33203125" style="137" bestFit="1" customWidth="1"/>
  </cols>
  <sheetData>
    <row r="4" spans="7:8" x14ac:dyDescent="0.3">
      <c r="G4" s="1009" t="s">
        <v>776</v>
      </c>
      <c r="H4" s="1010" t="s">
        <v>27</v>
      </c>
    </row>
    <row r="5" spans="7:8" x14ac:dyDescent="0.3">
      <c r="G5" t="s">
        <v>777</v>
      </c>
      <c r="H5" s="137">
        <v>47.98</v>
      </c>
    </row>
    <row r="6" spans="7:8" x14ac:dyDescent="0.3">
      <c r="G6" t="s">
        <v>778</v>
      </c>
      <c r="H6" s="137">
        <v>4801.16</v>
      </c>
    </row>
    <row r="7" spans="7:8" x14ac:dyDescent="0.3">
      <c r="G7" t="s">
        <v>779</v>
      </c>
      <c r="H7" s="137">
        <v>243.2</v>
      </c>
    </row>
    <row r="8" spans="7:8" x14ac:dyDescent="0.3">
      <c r="G8" t="s">
        <v>780</v>
      </c>
      <c r="H8" s="137">
        <v>201.82</v>
      </c>
    </row>
    <row r="9" spans="7:8" x14ac:dyDescent="0.3">
      <c r="G9" t="s">
        <v>781</v>
      </c>
      <c r="H9" s="137">
        <v>5000</v>
      </c>
    </row>
    <row r="10" spans="7:8" x14ac:dyDescent="0.3">
      <c r="G10" t="s">
        <v>781</v>
      </c>
      <c r="H10" s="137">
        <v>10550</v>
      </c>
    </row>
    <row r="11" spans="7:8" x14ac:dyDescent="0.3">
      <c r="G11" t="s">
        <v>781</v>
      </c>
      <c r="H11" s="137">
        <v>605.64</v>
      </c>
    </row>
    <row r="12" spans="7:8" x14ac:dyDescent="0.3">
      <c r="G12" t="s">
        <v>782</v>
      </c>
      <c r="H12" s="137">
        <v>2050.3200000000002</v>
      </c>
    </row>
    <row r="13" spans="7:8" x14ac:dyDescent="0.3">
      <c r="G13" t="s">
        <v>782</v>
      </c>
      <c r="H13" s="137">
        <v>3483.33</v>
      </c>
    </row>
    <row r="14" spans="7:8" x14ac:dyDescent="0.3">
      <c r="G14" t="s">
        <v>782</v>
      </c>
      <c r="H14" s="137">
        <v>277.8</v>
      </c>
    </row>
    <row r="15" spans="7:8" x14ac:dyDescent="0.3">
      <c r="G15" t="s">
        <v>783</v>
      </c>
      <c r="H15" s="137">
        <v>53.46</v>
      </c>
    </row>
    <row r="16" spans="7:8" x14ac:dyDescent="0.3">
      <c r="G16" t="s">
        <v>785</v>
      </c>
      <c r="H16" s="137">
        <v>577</v>
      </c>
    </row>
    <row r="17" spans="7:8" x14ac:dyDescent="0.3">
      <c r="G17" t="s">
        <v>793</v>
      </c>
      <c r="H17" s="137">
        <v>4100</v>
      </c>
    </row>
    <row r="18" spans="7:8" x14ac:dyDescent="0.3">
      <c r="G18" t="s">
        <v>780</v>
      </c>
      <c r="H18" s="137">
        <v>2000</v>
      </c>
    </row>
    <row r="19" spans="7:8" x14ac:dyDescent="0.3">
      <c r="G19" t="s">
        <v>819</v>
      </c>
      <c r="H19" s="137">
        <v>200.68</v>
      </c>
    </row>
    <row r="20" spans="7:8" x14ac:dyDescent="0.3">
      <c r="G20" t="s">
        <v>823</v>
      </c>
      <c r="H20" s="137">
        <v>1297.99</v>
      </c>
    </row>
    <row r="21" spans="7:8" x14ac:dyDescent="0.3">
      <c r="G21" t="s">
        <v>827</v>
      </c>
      <c r="H21" s="137">
        <v>1279</v>
      </c>
    </row>
    <row r="22" spans="7:8" x14ac:dyDescent="0.3">
      <c r="G22" t="s">
        <v>778</v>
      </c>
      <c r="H22" s="137">
        <v>3682.92</v>
      </c>
    </row>
    <row r="23" spans="7:8" x14ac:dyDescent="0.3">
      <c r="G23" t="s">
        <v>837</v>
      </c>
      <c r="H23" s="137">
        <v>3476.01</v>
      </c>
    </row>
    <row r="24" spans="7:8" x14ac:dyDescent="0.3">
      <c r="G24" t="s">
        <v>781</v>
      </c>
      <c r="H24" s="137">
        <v>92.64</v>
      </c>
    </row>
    <row r="25" spans="7:8" x14ac:dyDescent="0.3">
      <c r="G25" t="s">
        <v>781</v>
      </c>
      <c r="H25" s="137">
        <v>433.63</v>
      </c>
    </row>
    <row r="27" spans="7:8" x14ac:dyDescent="0.3">
      <c r="H27" s="1011">
        <f>SUM(H5:H26)</f>
        <v>44454.579999999987</v>
      </c>
    </row>
    <row r="28" spans="7:8" x14ac:dyDescent="0.3">
      <c r="H28" s="1011"/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2A8F0-BEE5-49E0-A16A-567A961254C8}">
  <sheetPr codeName="Planilha1">
    <tabColor theme="0"/>
    <pageSetUpPr autoPageBreaks="0"/>
  </sheetPr>
  <dimension ref="A1:O46"/>
  <sheetViews>
    <sheetView showGridLines="0" zoomScale="110" zoomScaleNormal="110" workbookViewId="0">
      <pane ySplit="1" topLeftCell="A16" activePane="bottomLeft" state="frozen"/>
      <selection activeCell="G77" sqref="G77"/>
      <selection pane="bottomLeft" activeCell="J25" sqref="J25"/>
    </sheetView>
  </sheetViews>
  <sheetFormatPr defaultRowHeight="14.4" x14ac:dyDescent="0.3"/>
  <cols>
    <col min="1" max="1" width="44.6640625" customWidth="1"/>
    <col min="2" max="2" width="25.33203125" customWidth="1"/>
    <col min="3" max="3" width="25.33203125" style="88" customWidth="1"/>
    <col min="4" max="4" width="16" customWidth="1"/>
    <col min="5" max="5" width="7.6640625" customWidth="1"/>
    <col min="6" max="8" width="8.6640625" customWidth="1"/>
    <col min="9" max="9" width="13.6640625" customWidth="1"/>
    <col min="10" max="10" width="24.6640625" customWidth="1"/>
    <col min="11" max="11" width="32" customWidth="1"/>
    <col min="12" max="14" width="8.6640625" customWidth="1"/>
    <col min="15" max="15" width="14.33203125" customWidth="1"/>
    <col min="16" max="16" width="8.6640625" customWidth="1"/>
  </cols>
  <sheetData>
    <row r="1" spans="1:3" ht="49.5" customHeight="1" x14ac:dyDescent="0.3">
      <c r="A1" s="1286" t="s">
        <v>0</v>
      </c>
      <c r="B1" s="1286"/>
    </row>
    <row r="2" spans="1:3" ht="24.75" customHeight="1" x14ac:dyDescent="0.3">
      <c r="A2" s="1287" t="s">
        <v>1</v>
      </c>
      <c r="B2" s="1287"/>
    </row>
    <row r="3" spans="1:3" ht="18" x14ac:dyDescent="0.3">
      <c r="A3" s="27"/>
      <c r="B3" s="27"/>
    </row>
    <row r="4" spans="1:3" ht="18" x14ac:dyDescent="0.3">
      <c r="A4" s="29" t="s">
        <v>2</v>
      </c>
      <c r="B4" s="144"/>
    </row>
    <row r="5" spans="1:3" ht="18" x14ac:dyDescent="0.3">
      <c r="A5" s="31" t="s">
        <v>3</v>
      </c>
      <c r="B5" s="144"/>
    </row>
    <row r="6" spans="1:3" ht="18" x14ac:dyDescent="0.3">
      <c r="A6" s="31" t="s">
        <v>4</v>
      </c>
      <c r="B6" s="144"/>
    </row>
    <row r="7" spans="1:3" ht="21.75" customHeight="1" x14ac:dyDescent="0.3">
      <c r="A7" s="31" t="s">
        <v>5</v>
      </c>
      <c r="B7" s="144"/>
    </row>
    <row r="8" spans="1:3" ht="18" x14ac:dyDescent="0.3">
      <c r="A8" s="31" t="s">
        <v>6</v>
      </c>
      <c r="B8" s="144"/>
    </row>
    <row r="9" spans="1:3" ht="18" x14ac:dyDescent="0.3">
      <c r="A9" s="31" t="s">
        <v>7</v>
      </c>
      <c r="B9" s="144"/>
    </row>
    <row r="10" spans="1:3" ht="18" x14ac:dyDescent="0.3">
      <c r="A10" s="31" t="s">
        <v>8</v>
      </c>
      <c r="B10" s="144"/>
    </row>
    <row r="11" spans="1:3" ht="18" x14ac:dyDescent="0.3">
      <c r="A11" s="36" t="s">
        <v>9</v>
      </c>
      <c r="B11" s="143"/>
    </row>
    <row r="14" spans="1:3" ht="15" customHeight="1" x14ac:dyDescent="0.3"/>
    <row r="15" spans="1:3" ht="17.25" customHeight="1" thickBot="1" x14ac:dyDescent="0.35">
      <c r="A15" s="89"/>
      <c r="B15" s="90"/>
    </row>
    <row r="16" spans="1:3" ht="24" customHeight="1" thickBot="1" x14ac:dyDescent="0.35">
      <c r="A16" s="1415" t="s">
        <v>394</v>
      </c>
      <c r="B16" s="1416"/>
      <c r="C16" s="1417"/>
    </row>
    <row r="17" spans="1:15" ht="21.75" customHeight="1" x14ac:dyDescent="0.3">
      <c r="A17" s="91" t="s">
        <v>395</v>
      </c>
      <c r="B17" s="138">
        <f>Principal.V1!N107</f>
        <v>1005071.0830123028</v>
      </c>
      <c r="C17" s="190">
        <f>Principal.V1!Y107</f>
        <v>953893.58051230269</v>
      </c>
      <c r="D17" s="92">
        <f>B17-C17</f>
        <v>51177.502500000061</v>
      </c>
      <c r="E17" s="93">
        <f>(D17/B17)*100%</f>
        <v>5.0919286570871934E-2</v>
      </c>
    </row>
    <row r="18" spans="1:15" ht="21.75" customHeight="1" x14ac:dyDescent="0.3">
      <c r="A18" s="118" t="s">
        <v>396</v>
      </c>
      <c r="B18" s="139">
        <f>'Itens Novos'!N30</f>
        <v>79414.00521933641</v>
      </c>
      <c r="C18" s="190">
        <f>'Itens Novos'!Y30</f>
        <v>25721.055219336402</v>
      </c>
      <c r="D18" s="92">
        <f>B18-C18</f>
        <v>53692.950000000012</v>
      </c>
      <c r="E18" s="93">
        <f>(D18/B18)*100%</f>
        <v>0.67611436863942975</v>
      </c>
    </row>
    <row r="19" spans="1:15" ht="21.75" customHeight="1" x14ac:dyDescent="0.3">
      <c r="A19" s="118" t="s">
        <v>397</v>
      </c>
      <c r="B19" s="139">
        <f>Atração!N19</f>
        <v>25172.598483907048</v>
      </c>
      <c r="C19" s="190">
        <f>Atração!Y19</f>
        <v>148935</v>
      </c>
      <c r="D19" s="92">
        <f>B19-C19</f>
        <v>-123762.40151609296</v>
      </c>
      <c r="E19" s="93">
        <f>(D19/B19)*100%</f>
        <v>-4.9165524804765308</v>
      </c>
      <c r="I19" s="88"/>
    </row>
    <row r="20" spans="1:15" ht="21.75" customHeight="1" x14ac:dyDescent="0.3">
      <c r="A20" s="168" t="s">
        <v>398</v>
      </c>
      <c r="B20" s="140">
        <f>'Extra 1'!N37</f>
        <v>65733.378898968556</v>
      </c>
      <c r="C20" s="191">
        <f>'Extra 1'!Y37</f>
        <v>78553.62999999999</v>
      </c>
      <c r="D20" s="92">
        <f t="shared" ref="D20:D23" si="0">B20-C20</f>
        <v>-12820.251101031434</v>
      </c>
      <c r="E20" s="93">
        <f t="shared" ref="E20:E23" si="1">(D20/B20)*100%</f>
        <v>-0.19503411076336136</v>
      </c>
      <c r="I20" s="88"/>
    </row>
    <row r="21" spans="1:15" ht="21.75" customHeight="1" x14ac:dyDescent="0.3">
      <c r="A21" s="168" t="s">
        <v>399</v>
      </c>
      <c r="B21" s="140">
        <f>'Extra 2'!N28</f>
        <v>14091.089847148007</v>
      </c>
      <c r="C21" s="191">
        <f>'Extra 2'!Y28</f>
        <v>6307.7388094942226</v>
      </c>
      <c r="D21" s="92">
        <f t="shared" si="0"/>
        <v>7783.3510376537843</v>
      </c>
      <c r="E21" s="93">
        <f t="shared" si="1"/>
        <v>0.5523597622386256</v>
      </c>
      <c r="I21" s="88"/>
    </row>
    <row r="22" spans="1:15" ht="21.75" customHeight="1" x14ac:dyDescent="0.3">
      <c r="A22" s="168" t="s">
        <v>594</v>
      </c>
      <c r="B22" s="140">
        <f>'Extra 3'!N44</f>
        <v>51532.023984093452</v>
      </c>
      <c r="C22" s="191">
        <f>'Extra 3'!Y44</f>
        <v>35991.380338523675</v>
      </c>
      <c r="D22" s="92">
        <f>B22-C22</f>
        <v>15540.643645569777</v>
      </c>
      <c r="E22" s="93">
        <f t="shared" ref="E22" si="2">(D22/B22)*100%</f>
        <v>0.30157254545963019</v>
      </c>
      <c r="I22" s="88"/>
    </row>
    <row r="23" spans="1:15" ht="21.75" customHeight="1" x14ac:dyDescent="0.3">
      <c r="A23" s="168" t="s">
        <v>400</v>
      </c>
      <c r="B23" s="140">
        <f>Transfer!N35</f>
        <v>61518.267677395299</v>
      </c>
      <c r="C23" s="191">
        <f>Transfer!Y35</f>
        <v>66284.517677395299</v>
      </c>
      <c r="D23" s="92">
        <f t="shared" si="0"/>
        <v>-4766.25</v>
      </c>
      <c r="E23" s="93">
        <f t="shared" si="1"/>
        <v>-7.7476986591924854E-2</v>
      </c>
      <c r="I23" s="88"/>
    </row>
    <row r="24" spans="1:15" ht="21.75" customHeight="1" x14ac:dyDescent="0.3">
      <c r="A24" s="168" t="s">
        <v>401</v>
      </c>
      <c r="B24" s="141">
        <v>2122.59</v>
      </c>
      <c r="C24" s="192"/>
      <c r="D24" s="92"/>
      <c r="E24" s="93"/>
    </row>
    <row r="25" spans="1:15" ht="21.75" customHeight="1" x14ac:dyDescent="0.3">
      <c r="A25" s="118" t="s">
        <v>402</v>
      </c>
      <c r="B25" s="141">
        <v>3000</v>
      </c>
      <c r="C25" s="192"/>
      <c r="D25" s="92"/>
      <c r="E25" s="93"/>
      <c r="J25" t="s">
        <v>403</v>
      </c>
      <c r="K25" s="137">
        <v>2350836.62</v>
      </c>
    </row>
    <row r="26" spans="1:15" ht="24" customHeight="1" thickBot="1" x14ac:dyDescent="0.35">
      <c r="A26" s="94" t="s">
        <v>404</v>
      </c>
      <c r="B26" s="142">
        <f>SUM(B17:B23)-B24-B25</f>
        <v>1297409.8571231514</v>
      </c>
      <c r="C26" s="169">
        <f>SUM(C17:C23)</f>
        <v>1315686.9025570524</v>
      </c>
      <c r="D26" s="110">
        <f>B26-C26</f>
        <v>-18277.045433901018</v>
      </c>
      <c r="E26" s="111">
        <f>(D26/B26)*100%</f>
        <v>-1.4087333569692575E-2</v>
      </c>
      <c r="J26" t="s">
        <v>405</v>
      </c>
      <c r="K26" s="137">
        <v>2356946.61</v>
      </c>
    </row>
    <row r="27" spans="1:15" s="112" customFormat="1" ht="18" customHeight="1" thickBot="1" x14ac:dyDescent="0.35">
      <c r="A27" s="130"/>
      <c r="B27" s="130"/>
      <c r="C27" s="130"/>
      <c r="D27" s="110"/>
      <c r="E27" s="111"/>
      <c r="K27" s="165">
        <v>2432632.71</v>
      </c>
    </row>
    <row r="28" spans="1:15" ht="22.2" customHeight="1" x14ac:dyDescent="0.3">
      <c r="A28" s="170" t="s">
        <v>406</v>
      </c>
      <c r="B28" s="138">
        <f>Bourbon!N89</f>
        <v>1255712.1438759794</v>
      </c>
      <c r="C28" s="193">
        <f>Bourbon!Y89</f>
        <v>1626920.748375979</v>
      </c>
      <c r="D28" s="92">
        <f>B28-C28</f>
        <v>-371208.60449999967</v>
      </c>
      <c r="E28" s="93">
        <f>(D28/B28)*100%</f>
        <v>-0.29561600268848093</v>
      </c>
      <c r="K28" s="178">
        <v>2478360.62</v>
      </c>
      <c r="O28" s="88">
        <f>K27-K26</f>
        <v>75686.100000000093</v>
      </c>
    </row>
    <row r="29" spans="1:15" ht="24" customHeight="1" thickBot="1" x14ac:dyDescent="0.35">
      <c r="A29" s="94" t="s">
        <v>407</v>
      </c>
      <c r="B29" s="142">
        <f>B26+B28</f>
        <v>2553122.0009991308</v>
      </c>
      <c r="C29" s="169">
        <f>C26+C28</f>
        <v>2942607.6509330315</v>
      </c>
      <c r="D29" s="92">
        <f>B29-C29</f>
        <v>-389485.64993390068</v>
      </c>
      <c r="E29" s="93">
        <f>(D29/B29)*100%</f>
        <v>-0.15255269814034761</v>
      </c>
      <c r="K29" s="88"/>
    </row>
    <row r="30" spans="1:15" s="112" customFormat="1" ht="18" customHeight="1" x14ac:dyDescent="0.3">
      <c r="A30" s="130"/>
      <c r="B30" s="130"/>
      <c r="C30" s="130"/>
      <c r="D30" s="110"/>
      <c r="E30" s="111"/>
      <c r="K30" s="179">
        <f>K28-B29</f>
        <v>-74761.380999130663</v>
      </c>
    </row>
    <row r="32" spans="1:15" x14ac:dyDescent="0.3">
      <c r="K32" s="88"/>
    </row>
    <row r="35" spans="1:2" x14ac:dyDescent="0.3">
      <c r="B35" s="88"/>
    </row>
    <row r="46" spans="1:2" x14ac:dyDescent="0.3">
      <c r="A46" t="s">
        <v>408</v>
      </c>
    </row>
  </sheetData>
  <mergeCells count="3">
    <mergeCell ref="A1:B1"/>
    <mergeCell ref="A2:B2"/>
    <mergeCell ref="A16:C16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69"/>
  <sheetViews>
    <sheetView topLeftCell="D43" zoomScale="70" zoomScaleNormal="70" workbookViewId="0">
      <selection activeCell="E57" sqref="E57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2" t="s">
        <v>409</v>
      </c>
      <c r="B8" s="22" t="s">
        <v>410</v>
      </c>
      <c r="C8" s="22" t="s">
        <v>411</v>
      </c>
      <c r="D8" s="22" t="s">
        <v>412</v>
      </c>
      <c r="E8" s="22" t="s">
        <v>413</v>
      </c>
      <c r="F8" s="22" t="s">
        <v>414</v>
      </c>
      <c r="G8" s="23" t="s">
        <v>415</v>
      </c>
      <c r="H8" s="23" t="s">
        <v>416</v>
      </c>
      <c r="I8" s="23" t="s">
        <v>27</v>
      </c>
      <c r="J8" s="23" t="s">
        <v>417</v>
      </c>
      <c r="K8" s="23" t="s">
        <v>418</v>
      </c>
      <c r="L8" s="23" t="s">
        <v>419</v>
      </c>
    </row>
    <row r="9" spans="1:12" x14ac:dyDescent="0.3">
      <c r="A9">
        <v>9</v>
      </c>
      <c r="B9" t="s">
        <v>49</v>
      </c>
      <c r="C9" t="s">
        <v>52</v>
      </c>
      <c r="D9" t="s">
        <v>77</v>
      </c>
      <c r="E9" t="s">
        <v>78</v>
      </c>
      <c r="F9" t="s">
        <v>420</v>
      </c>
      <c r="G9" t="s">
        <v>421</v>
      </c>
      <c r="H9" t="s">
        <v>422</v>
      </c>
      <c r="I9" t="s">
        <v>423</v>
      </c>
      <c r="J9" t="s">
        <v>424</v>
      </c>
      <c r="K9" t="s">
        <v>424</v>
      </c>
      <c r="L9" t="s">
        <v>424</v>
      </c>
    </row>
    <row r="10" spans="1:12" x14ac:dyDescent="0.3">
      <c r="A10">
        <v>30</v>
      </c>
      <c r="B10" t="s">
        <v>127</v>
      </c>
      <c r="C10" t="s">
        <v>127</v>
      </c>
      <c r="D10" t="s">
        <v>425</v>
      </c>
      <c r="E10" t="s">
        <v>426</v>
      </c>
      <c r="F10" t="s">
        <v>427</v>
      </c>
      <c r="G10" t="s">
        <v>421</v>
      </c>
      <c r="H10" t="s">
        <v>421</v>
      </c>
      <c r="I10" t="s">
        <v>423</v>
      </c>
      <c r="J10" t="s">
        <v>424</v>
      </c>
      <c r="K10" t="s">
        <v>424</v>
      </c>
      <c r="L10" t="s">
        <v>424</v>
      </c>
    </row>
    <row r="11" spans="1:12" ht="57.6" x14ac:dyDescent="0.3">
      <c r="A11">
        <v>24</v>
      </c>
      <c r="B11" t="s">
        <v>85</v>
      </c>
      <c r="C11" t="s">
        <v>85</v>
      </c>
      <c r="D11" t="s">
        <v>119</v>
      </c>
      <c r="E11" s="134" t="s">
        <v>428</v>
      </c>
      <c r="F11" t="s">
        <v>427</v>
      </c>
      <c r="G11" t="s">
        <v>421</v>
      </c>
      <c r="H11" t="s">
        <v>421</v>
      </c>
      <c r="I11" t="s">
        <v>423</v>
      </c>
      <c r="J11" t="s">
        <v>424</v>
      </c>
      <c r="K11" t="s">
        <v>424</v>
      </c>
      <c r="L11" t="s">
        <v>424</v>
      </c>
    </row>
    <row r="12" spans="1:12" ht="72" x14ac:dyDescent="0.3">
      <c r="A12">
        <v>3</v>
      </c>
      <c r="B12" t="s">
        <v>171</v>
      </c>
      <c r="C12" t="s">
        <v>173</v>
      </c>
      <c r="D12" t="s">
        <v>281</v>
      </c>
      <c r="E12" s="134" t="s">
        <v>282</v>
      </c>
      <c r="F12" t="s">
        <v>427</v>
      </c>
      <c r="G12" t="s">
        <v>421</v>
      </c>
      <c r="H12" t="s">
        <v>429</v>
      </c>
      <c r="I12" t="s">
        <v>423</v>
      </c>
      <c r="J12" t="s">
        <v>424</v>
      </c>
      <c r="K12" t="s">
        <v>424</v>
      </c>
      <c r="L12" t="s">
        <v>424</v>
      </c>
    </row>
    <row r="13" spans="1:12" ht="72" x14ac:dyDescent="0.3">
      <c r="A13">
        <v>3</v>
      </c>
      <c r="B13" t="s">
        <v>430</v>
      </c>
      <c r="C13" t="s">
        <v>334</v>
      </c>
      <c r="D13" t="s">
        <v>333</v>
      </c>
      <c r="E13" s="134" t="s">
        <v>335</v>
      </c>
      <c r="F13" t="s">
        <v>431</v>
      </c>
      <c r="G13" t="s">
        <v>421</v>
      </c>
      <c r="H13" t="s">
        <v>421</v>
      </c>
      <c r="I13" t="s">
        <v>423</v>
      </c>
      <c r="J13" t="s">
        <v>424</v>
      </c>
      <c r="K13" t="s">
        <v>424</v>
      </c>
      <c r="L13" t="s">
        <v>424</v>
      </c>
    </row>
    <row r="14" spans="1:12" ht="72" x14ac:dyDescent="0.3">
      <c r="A14">
        <v>23</v>
      </c>
      <c r="B14" t="s">
        <v>85</v>
      </c>
      <c r="C14" t="s">
        <v>85</v>
      </c>
      <c r="D14" t="s">
        <v>116</v>
      </c>
      <c r="E14" s="134" t="s">
        <v>117</v>
      </c>
      <c r="F14" t="s">
        <v>432</v>
      </c>
      <c r="G14" t="s">
        <v>421</v>
      </c>
      <c r="H14" t="s">
        <v>433</v>
      </c>
      <c r="I14" t="s">
        <v>423</v>
      </c>
      <c r="J14" t="s">
        <v>424</v>
      </c>
      <c r="K14" t="s">
        <v>424</v>
      </c>
      <c r="L14" t="s">
        <v>424</v>
      </c>
    </row>
    <row r="15" spans="1:12" ht="72" x14ac:dyDescent="0.3">
      <c r="A15">
        <v>3</v>
      </c>
      <c r="B15" t="s">
        <v>332</v>
      </c>
      <c r="C15" t="s">
        <v>334</v>
      </c>
      <c r="D15" t="s">
        <v>333</v>
      </c>
      <c r="E15" s="134" t="s">
        <v>335</v>
      </c>
      <c r="F15" t="s">
        <v>432</v>
      </c>
      <c r="G15" t="s">
        <v>421</v>
      </c>
      <c r="H15" t="s">
        <v>421</v>
      </c>
      <c r="I15" t="s">
        <v>423</v>
      </c>
      <c r="J15" t="s">
        <v>424</v>
      </c>
      <c r="K15" t="s">
        <v>424</v>
      </c>
      <c r="L15" t="s">
        <v>424</v>
      </c>
    </row>
    <row r="16" spans="1:12" ht="28.8" x14ac:dyDescent="0.3">
      <c r="A16">
        <v>5</v>
      </c>
      <c r="B16" t="s">
        <v>434</v>
      </c>
      <c r="C16" t="s">
        <v>434</v>
      </c>
      <c r="D16" t="s">
        <v>119</v>
      </c>
      <c r="E16" s="134" t="s">
        <v>435</v>
      </c>
      <c r="F16" t="s">
        <v>436</v>
      </c>
      <c r="G16" t="s">
        <v>437</v>
      </c>
      <c r="H16" t="s">
        <v>437</v>
      </c>
      <c r="I16" t="s">
        <v>423</v>
      </c>
      <c r="J16" t="s">
        <v>424</v>
      </c>
      <c r="K16" t="s">
        <v>424</v>
      </c>
      <c r="L16" t="s">
        <v>424</v>
      </c>
    </row>
    <row r="17" spans="1:12" x14ac:dyDescent="0.3">
      <c r="A17">
        <v>47</v>
      </c>
      <c r="C17" t="s">
        <v>159</v>
      </c>
      <c r="D17" t="s">
        <v>168</v>
      </c>
      <c r="E17" t="s">
        <v>438</v>
      </c>
      <c r="F17" t="s">
        <v>439</v>
      </c>
      <c r="G17" t="s">
        <v>421</v>
      </c>
      <c r="H17" t="s">
        <v>421</v>
      </c>
      <c r="I17" t="s">
        <v>423</v>
      </c>
      <c r="J17" t="s">
        <v>424</v>
      </c>
      <c r="K17" t="s">
        <v>424</v>
      </c>
      <c r="L17" t="s">
        <v>424</v>
      </c>
    </row>
    <row r="18" spans="1:12" ht="72" x14ac:dyDescent="0.3">
      <c r="A18">
        <v>14</v>
      </c>
      <c r="B18" t="s">
        <v>85</v>
      </c>
      <c r="C18" t="s">
        <v>85</v>
      </c>
      <c r="D18" t="s">
        <v>89</v>
      </c>
      <c r="E18" s="134" t="s">
        <v>90</v>
      </c>
      <c r="F18" t="s">
        <v>440</v>
      </c>
      <c r="G18" t="s">
        <v>421</v>
      </c>
      <c r="H18" t="s">
        <v>422</v>
      </c>
      <c r="I18" t="s">
        <v>423</v>
      </c>
      <c r="J18" t="s">
        <v>424</v>
      </c>
      <c r="K18" t="s">
        <v>424</v>
      </c>
      <c r="L18" t="s">
        <v>424</v>
      </c>
    </row>
    <row r="19" spans="1:12" ht="57.6" x14ac:dyDescent="0.3">
      <c r="A19">
        <v>15</v>
      </c>
      <c r="B19" t="s">
        <v>332</v>
      </c>
      <c r="C19" t="s">
        <v>354</v>
      </c>
      <c r="D19" t="s">
        <v>356</v>
      </c>
      <c r="E19" s="134" t="s">
        <v>357</v>
      </c>
      <c r="F19" t="s">
        <v>440</v>
      </c>
      <c r="G19" t="s">
        <v>421</v>
      </c>
      <c r="H19" t="s">
        <v>441</v>
      </c>
      <c r="I19" t="s">
        <v>423</v>
      </c>
      <c r="J19" t="s">
        <v>424</v>
      </c>
      <c r="K19" t="s">
        <v>424</v>
      </c>
      <c r="L19" t="s">
        <v>424</v>
      </c>
    </row>
    <row r="20" spans="1:12" x14ac:dyDescent="0.3">
      <c r="A20">
        <v>74</v>
      </c>
      <c r="B20" t="s">
        <v>88</v>
      </c>
      <c r="C20" t="s">
        <v>88</v>
      </c>
      <c r="D20" t="s">
        <v>236</v>
      </c>
      <c r="E20" t="s">
        <v>237</v>
      </c>
      <c r="F20" t="s">
        <v>442</v>
      </c>
      <c r="G20" t="s">
        <v>443</v>
      </c>
      <c r="H20" t="s">
        <v>443</v>
      </c>
      <c r="I20" t="s">
        <v>423</v>
      </c>
      <c r="J20" t="s">
        <v>424</v>
      </c>
      <c r="K20" t="s">
        <v>424</v>
      </c>
      <c r="L20" t="s">
        <v>424</v>
      </c>
    </row>
    <row r="21" spans="1:12" ht="28.8" x14ac:dyDescent="0.3">
      <c r="A21">
        <v>83</v>
      </c>
      <c r="B21" t="s">
        <v>88</v>
      </c>
      <c r="C21" t="s">
        <v>88</v>
      </c>
      <c r="D21" t="s">
        <v>268</v>
      </c>
      <c r="E21" s="134" t="s">
        <v>269</v>
      </c>
      <c r="F21" t="s">
        <v>442</v>
      </c>
      <c r="G21" t="s">
        <v>443</v>
      </c>
      <c r="H21" t="s">
        <v>443</v>
      </c>
      <c r="I21" t="s">
        <v>423</v>
      </c>
      <c r="J21" t="s">
        <v>444</v>
      </c>
      <c r="K21" t="s">
        <v>445</v>
      </c>
      <c r="L21" t="s">
        <v>446</v>
      </c>
    </row>
    <row r="22" spans="1:12" x14ac:dyDescent="0.3">
      <c r="A22">
        <v>53</v>
      </c>
      <c r="B22" t="s">
        <v>171</v>
      </c>
      <c r="C22" t="s">
        <v>173</v>
      </c>
      <c r="D22" t="s">
        <v>181</v>
      </c>
      <c r="E22" t="s">
        <v>182</v>
      </c>
      <c r="F22" t="s">
        <v>442</v>
      </c>
      <c r="G22" t="s">
        <v>447</v>
      </c>
      <c r="H22" t="s">
        <v>447</v>
      </c>
      <c r="I22" t="s">
        <v>423</v>
      </c>
      <c r="J22" t="s">
        <v>424</v>
      </c>
      <c r="K22" t="s">
        <v>424</v>
      </c>
      <c r="L22" t="s">
        <v>424</v>
      </c>
    </row>
    <row r="23" spans="1:12" x14ac:dyDescent="0.3">
      <c r="A23">
        <v>53</v>
      </c>
      <c r="B23" t="s">
        <v>171</v>
      </c>
      <c r="C23" t="s">
        <v>173</v>
      </c>
      <c r="D23" t="s">
        <v>181</v>
      </c>
      <c r="E23" t="s">
        <v>182</v>
      </c>
      <c r="F23" t="s">
        <v>442</v>
      </c>
      <c r="G23" t="s">
        <v>443</v>
      </c>
      <c r="H23" t="s">
        <v>443</v>
      </c>
      <c r="I23" t="s">
        <v>423</v>
      </c>
      <c r="J23" t="s">
        <v>448</v>
      </c>
      <c r="K23" t="s">
        <v>449</v>
      </c>
      <c r="L23" t="s">
        <v>450</v>
      </c>
    </row>
    <row r="24" spans="1:12" x14ac:dyDescent="0.3">
      <c r="A24">
        <v>76</v>
      </c>
      <c r="B24" t="s">
        <v>88</v>
      </c>
      <c r="C24" t="s">
        <v>88</v>
      </c>
      <c r="D24" t="s">
        <v>245</v>
      </c>
      <c r="E24" t="s">
        <v>246</v>
      </c>
      <c r="F24" t="s">
        <v>442</v>
      </c>
      <c r="G24" t="s">
        <v>443</v>
      </c>
      <c r="H24" t="s">
        <v>443</v>
      </c>
      <c r="I24" t="s">
        <v>423</v>
      </c>
      <c r="J24" t="s">
        <v>451</v>
      </c>
      <c r="K24" t="s">
        <v>452</v>
      </c>
      <c r="L24" t="s">
        <v>453</v>
      </c>
    </row>
    <row r="25" spans="1:12" x14ac:dyDescent="0.3">
      <c r="A25">
        <v>80</v>
      </c>
      <c r="B25" t="s">
        <v>88</v>
      </c>
      <c r="C25" t="s">
        <v>88</v>
      </c>
      <c r="D25" t="s">
        <v>260</v>
      </c>
      <c r="E25" t="s">
        <v>261</v>
      </c>
      <c r="F25" t="s">
        <v>454</v>
      </c>
      <c r="G25" t="s">
        <v>441</v>
      </c>
      <c r="H25" t="s">
        <v>455</v>
      </c>
      <c r="I25" t="s">
        <v>423</v>
      </c>
      <c r="J25" t="s">
        <v>424</v>
      </c>
      <c r="K25" t="s">
        <v>424</v>
      </c>
      <c r="L25" t="s">
        <v>424</v>
      </c>
    </row>
    <row r="26" spans="1:12" x14ac:dyDescent="0.3">
      <c r="A26">
        <v>80</v>
      </c>
      <c r="B26" t="s">
        <v>88</v>
      </c>
      <c r="C26" t="s">
        <v>88</v>
      </c>
      <c r="D26" t="s">
        <v>260</v>
      </c>
      <c r="E26" t="s">
        <v>261</v>
      </c>
      <c r="F26" t="s">
        <v>454</v>
      </c>
      <c r="G26" t="s">
        <v>424</v>
      </c>
      <c r="H26" t="s">
        <v>424</v>
      </c>
      <c r="I26" t="s">
        <v>423</v>
      </c>
      <c r="J26" t="s">
        <v>456</v>
      </c>
      <c r="K26" t="s">
        <v>424</v>
      </c>
      <c r="L26" t="s">
        <v>424</v>
      </c>
    </row>
    <row r="27" spans="1:12" ht="100.8" x14ac:dyDescent="0.3">
      <c r="A27">
        <v>25</v>
      </c>
      <c r="B27" t="s">
        <v>85</v>
      </c>
      <c r="C27" t="s">
        <v>85</v>
      </c>
      <c r="D27" s="134" t="s">
        <v>122</v>
      </c>
      <c r="E27" s="134" t="s">
        <v>123</v>
      </c>
      <c r="F27" t="s">
        <v>454</v>
      </c>
      <c r="G27" t="s">
        <v>457</v>
      </c>
      <c r="H27" t="s">
        <v>443</v>
      </c>
      <c r="I27" t="s">
        <v>423</v>
      </c>
      <c r="J27" t="s">
        <v>424</v>
      </c>
      <c r="K27" t="s">
        <v>424</v>
      </c>
      <c r="L27" t="s">
        <v>424</v>
      </c>
    </row>
    <row r="28" spans="1:12" ht="100.8" x14ac:dyDescent="0.3">
      <c r="A28">
        <v>25</v>
      </c>
      <c r="B28" t="s">
        <v>85</v>
      </c>
      <c r="C28" t="s">
        <v>85</v>
      </c>
      <c r="D28" s="134" t="s">
        <v>122</v>
      </c>
      <c r="E28" s="134" t="s">
        <v>123</v>
      </c>
      <c r="F28" t="s">
        <v>454</v>
      </c>
      <c r="G28" t="s">
        <v>457</v>
      </c>
      <c r="H28" t="s">
        <v>443</v>
      </c>
      <c r="I28" t="s">
        <v>423</v>
      </c>
      <c r="J28" t="s">
        <v>458</v>
      </c>
      <c r="K28" t="s">
        <v>459</v>
      </c>
      <c r="L28" t="s">
        <v>460</v>
      </c>
    </row>
    <row r="29" spans="1:12" x14ac:dyDescent="0.3">
      <c r="A29">
        <v>82</v>
      </c>
      <c r="B29" t="s">
        <v>88</v>
      </c>
      <c r="C29" t="s">
        <v>88</v>
      </c>
      <c r="D29" t="s">
        <v>265</v>
      </c>
      <c r="E29" t="s">
        <v>266</v>
      </c>
      <c r="F29" t="s">
        <v>454</v>
      </c>
      <c r="G29" t="s">
        <v>457</v>
      </c>
      <c r="H29" t="s">
        <v>461</v>
      </c>
      <c r="I29" t="s">
        <v>423</v>
      </c>
      <c r="J29" t="s">
        <v>424</v>
      </c>
      <c r="K29" t="s">
        <v>424</v>
      </c>
      <c r="L29" t="s">
        <v>424</v>
      </c>
    </row>
    <row r="30" spans="1:12" x14ac:dyDescent="0.3">
      <c r="A30">
        <v>82</v>
      </c>
      <c r="B30" t="s">
        <v>88</v>
      </c>
      <c r="C30" t="s">
        <v>88</v>
      </c>
      <c r="D30" t="s">
        <v>265</v>
      </c>
      <c r="E30" t="s">
        <v>266</v>
      </c>
      <c r="F30" t="s">
        <v>454</v>
      </c>
      <c r="G30" t="s">
        <v>443</v>
      </c>
      <c r="H30" t="s">
        <v>461</v>
      </c>
      <c r="I30" t="s">
        <v>423</v>
      </c>
      <c r="J30" t="s">
        <v>424</v>
      </c>
      <c r="K30" t="s">
        <v>424</v>
      </c>
      <c r="L30" t="s">
        <v>424</v>
      </c>
    </row>
    <row r="31" spans="1:12" x14ac:dyDescent="0.3">
      <c r="A31">
        <v>82</v>
      </c>
      <c r="B31" t="s">
        <v>88</v>
      </c>
      <c r="C31" t="s">
        <v>88</v>
      </c>
      <c r="D31" t="s">
        <v>265</v>
      </c>
      <c r="E31" t="s">
        <v>266</v>
      </c>
      <c r="F31" t="s">
        <v>454</v>
      </c>
      <c r="G31" t="s">
        <v>443</v>
      </c>
      <c r="H31" t="s">
        <v>461</v>
      </c>
      <c r="I31" t="s">
        <v>423</v>
      </c>
      <c r="J31" t="s">
        <v>424</v>
      </c>
      <c r="K31" t="s">
        <v>424</v>
      </c>
      <c r="L31" t="s">
        <v>424</v>
      </c>
    </row>
    <row r="32" spans="1:12" ht="100.8" x14ac:dyDescent="0.3">
      <c r="A32">
        <v>25</v>
      </c>
      <c r="B32" t="s">
        <v>85</v>
      </c>
      <c r="C32" t="s">
        <v>85</v>
      </c>
      <c r="D32" s="134" t="s">
        <v>122</v>
      </c>
      <c r="E32" s="134" t="s">
        <v>123</v>
      </c>
      <c r="F32" t="s">
        <v>454</v>
      </c>
      <c r="G32" t="s">
        <v>443</v>
      </c>
      <c r="H32" t="s">
        <v>461</v>
      </c>
      <c r="I32" t="s">
        <v>423</v>
      </c>
      <c r="J32" t="s">
        <v>462</v>
      </c>
      <c r="K32" t="s">
        <v>463</v>
      </c>
      <c r="L32" t="s">
        <v>464</v>
      </c>
    </row>
    <row r="33" spans="1:12" ht="100.8" x14ac:dyDescent="0.3">
      <c r="A33">
        <v>25</v>
      </c>
      <c r="B33" t="s">
        <v>85</v>
      </c>
      <c r="C33" t="s">
        <v>85</v>
      </c>
      <c r="D33" s="134" t="s">
        <v>122</v>
      </c>
      <c r="E33" s="134" t="s">
        <v>123</v>
      </c>
      <c r="F33" t="s">
        <v>454</v>
      </c>
      <c r="G33" t="s">
        <v>443</v>
      </c>
      <c r="H33" t="s">
        <v>461</v>
      </c>
      <c r="I33" t="s">
        <v>423</v>
      </c>
      <c r="J33" t="s">
        <v>465</v>
      </c>
      <c r="K33" t="s">
        <v>466</v>
      </c>
      <c r="L33" t="s">
        <v>467</v>
      </c>
    </row>
    <row r="34" spans="1:12" x14ac:dyDescent="0.3">
      <c r="A34">
        <v>10</v>
      </c>
      <c r="B34" t="s">
        <v>434</v>
      </c>
      <c r="C34" t="s">
        <v>434</v>
      </c>
      <c r="D34" t="s">
        <v>468</v>
      </c>
      <c r="E34" t="s">
        <v>469</v>
      </c>
      <c r="F34" t="s">
        <v>470</v>
      </c>
      <c r="G34" t="s">
        <v>443</v>
      </c>
      <c r="H34" t="s">
        <v>443</v>
      </c>
      <c r="I34" t="s">
        <v>423</v>
      </c>
      <c r="J34" t="s">
        <v>471</v>
      </c>
      <c r="K34" t="s">
        <v>472</v>
      </c>
      <c r="L34" t="s">
        <v>473</v>
      </c>
    </row>
    <row r="35" spans="1:12" x14ac:dyDescent="0.3">
      <c r="A35">
        <v>58</v>
      </c>
      <c r="B35" t="s">
        <v>191</v>
      </c>
      <c r="C35" t="s">
        <v>191</v>
      </c>
      <c r="D35" t="s">
        <v>194</v>
      </c>
      <c r="E35" t="s">
        <v>195</v>
      </c>
      <c r="F35" t="s">
        <v>470</v>
      </c>
      <c r="G35" t="s">
        <v>443</v>
      </c>
      <c r="H35" t="s">
        <v>443</v>
      </c>
      <c r="I35" t="s">
        <v>423</v>
      </c>
      <c r="J35" t="s">
        <v>424</v>
      </c>
      <c r="K35" t="s">
        <v>424</v>
      </c>
      <c r="L35" t="s">
        <v>424</v>
      </c>
    </row>
    <row r="36" spans="1:12" x14ac:dyDescent="0.3">
      <c r="A36">
        <v>58</v>
      </c>
      <c r="B36" t="s">
        <v>191</v>
      </c>
      <c r="C36" t="s">
        <v>191</v>
      </c>
      <c r="D36" t="s">
        <v>194</v>
      </c>
      <c r="E36" t="s">
        <v>195</v>
      </c>
      <c r="F36" t="s">
        <v>470</v>
      </c>
      <c r="G36" t="s">
        <v>443</v>
      </c>
      <c r="H36" t="s">
        <v>443</v>
      </c>
      <c r="I36" t="s">
        <v>423</v>
      </c>
      <c r="J36" t="s">
        <v>474</v>
      </c>
      <c r="K36" t="s">
        <v>475</v>
      </c>
      <c r="L36" t="s">
        <v>476</v>
      </c>
    </row>
    <row r="37" spans="1:12" x14ac:dyDescent="0.3">
      <c r="A37">
        <v>75</v>
      </c>
      <c r="B37" t="s">
        <v>88</v>
      </c>
      <c r="C37" t="s">
        <v>88</v>
      </c>
      <c r="D37" t="s">
        <v>240</v>
      </c>
      <c r="E37" t="s">
        <v>241</v>
      </c>
      <c r="F37" t="s">
        <v>470</v>
      </c>
      <c r="G37" t="s">
        <v>443</v>
      </c>
      <c r="H37" t="s">
        <v>443</v>
      </c>
      <c r="I37" t="s">
        <v>423</v>
      </c>
      <c r="J37" t="s">
        <v>477</v>
      </c>
      <c r="K37" t="s">
        <v>478</v>
      </c>
      <c r="L37" t="s">
        <v>479</v>
      </c>
    </row>
    <row r="38" spans="1:12" x14ac:dyDescent="0.3">
      <c r="A38">
        <v>76</v>
      </c>
      <c r="B38" t="s">
        <v>88</v>
      </c>
      <c r="C38" t="s">
        <v>88</v>
      </c>
      <c r="D38" t="s">
        <v>245</v>
      </c>
      <c r="E38" t="s">
        <v>246</v>
      </c>
      <c r="F38" t="s">
        <v>470</v>
      </c>
      <c r="G38" t="s">
        <v>443</v>
      </c>
      <c r="H38" t="s">
        <v>443</v>
      </c>
      <c r="I38" t="s">
        <v>423</v>
      </c>
      <c r="J38" t="s">
        <v>480</v>
      </c>
      <c r="K38" t="s">
        <v>481</v>
      </c>
      <c r="L38" t="s">
        <v>482</v>
      </c>
    </row>
    <row r="39" spans="1:12" x14ac:dyDescent="0.3">
      <c r="A39">
        <v>74</v>
      </c>
      <c r="B39" t="s">
        <v>88</v>
      </c>
      <c r="C39" t="s">
        <v>88</v>
      </c>
      <c r="D39" t="s">
        <v>236</v>
      </c>
      <c r="E39" t="s">
        <v>237</v>
      </c>
      <c r="F39" t="s">
        <v>470</v>
      </c>
      <c r="G39" t="s">
        <v>443</v>
      </c>
      <c r="H39" t="s">
        <v>443</v>
      </c>
      <c r="I39" t="s">
        <v>423</v>
      </c>
      <c r="J39" t="s">
        <v>483</v>
      </c>
      <c r="K39" t="s">
        <v>484</v>
      </c>
      <c r="L39" t="s">
        <v>485</v>
      </c>
    </row>
    <row r="40" spans="1:12" x14ac:dyDescent="0.3">
      <c r="A40">
        <v>77</v>
      </c>
      <c r="B40" t="s">
        <v>88</v>
      </c>
      <c r="C40" t="s">
        <v>88</v>
      </c>
      <c r="D40" t="s">
        <v>250</v>
      </c>
      <c r="E40" t="s">
        <v>251</v>
      </c>
      <c r="F40" t="s">
        <v>470</v>
      </c>
      <c r="G40" t="s">
        <v>443</v>
      </c>
      <c r="H40" t="s">
        <v>443</v>
      </c>
      <c r="I40" t="s">
        <v>423</v>
      </c>
      <c r="J40" t="s">
        <v>486</v>
      </c>
      <c r="K40" t="s">
        <v>487</v>
      </c>
      <c r="L40" t="s">
        <v>488</v>
      </c>
    </row>
    <row r="41" spans="1:12" x14ac:dyDescent="0.3">
      <c r="A41">
        <v>40</v>
      </c>
      <c r="C41" t="s">
        <v>153</v>
      </c>
      <c r="D41" t="s">
        <v>155</v>
      </c>
      <c r="E41" t="s">
        <v>156</v>
      </c>
      <c r="F41" t="s">
        <v>470</v>
      </c>
      <c r="G41" t="s">
        <v>443</v>
      </c>
      <c r="H41" t="s">
        <v>443</v>
      </c>
      <c r="I41" t="s">
        <v>423</v>
      </c>
      <c r="J41" t="s">
        <v>424</v>
      </c>
      <c r="K41" t="s">
        <v>424</v>
      </c>
      <c r="L41" t="s">
        <v>424</v>
      </c>
    </row>
    <row r="42" spans="1:12" x14ac:dyDescent="0.3">
      <c r="A42">
        <v>40</v>
      </c>
      <c r="C42" t="s">
        <v>153</v>
      </c>
      <c r="D42" t="s">
        <v>155</v>
      </c>
      <c r="E42" t="s">
        <v>156</v>
      </c>
      <c r="F42" t="s">
        <v>470</v>
      </c>
      <c r="G42" t="s">
        <v>443</v>
      </c>
      <c r="H42" t="s">
        <v>443</v>
      </c>
      <c r="I42" t="s">
        <v>423</v>
      </c>
      <c r="J42" t="s">
        <v>424</v>
      </c>
      <c r="K42" t="s">
        <v>424</v>
      </c>
      <c r="L42" t="s">
        <v>424</v>
      </c>
    </row>
    <row r="43" spans="1:12" x14ac:dyDescent="0.3">
      <c r="A43">
        <v>31</v>
      </c>
      <c r="B43" t="s">
        <v>127</v>
      </c>
      <c r="C43" t="s">
        <v>127</v>
      </c>
      <c r="D43" t="s">
        <v>136</v>
      </c>
      <c r="E43" t="s">
        <v>137</v>
      </c>
      <c r="F43" t="s">
        <v>470</v>
      </c>
      <c r="G43" t="s">
        <v>443</v>
      </c>
      <c r="H43" t="s">
        <v>443</v>
      </c>
      <c r="I43" t="s">
        <v>423</v>
      </c>
      <c r="J43" t="s">
        <v>424</v>
      </c>
      <c r="K43" t="s">
        <v>424</v>
      </c>
      <c r="L43" t="s">
        <v>424</v>
      </c>
    </row>
    <row r="44" spans="1:12" x14ac:dyDescent="0.3">
      <c r="A44">
        <v>31</v>
      </c>
      <c r="B44" t="s">
        <v>127</v>
      </c>
      <c r="C44" t="s">
        <v>127</v>
      </c>
      <c r="D44" t="s">
        <v>136</v>
      </c>
      <c r="E44" t="s">
        <v>137</v>
      </c>
      <c r="F44" t="s">
        <v>470</v>
      </c>
      <c r="G44" t="s">
        <v>443</v>
      </c>
      <c r="H44" t="s">
        <v>443</v>
      </c>
      <c r="I44" t="s">
        <v>423</v>
      </c>
      <c r="J44" t="s">
        <v>489</v>
      </c>
      <c r="K44" t="s">
        <v>490</v>
      </c>
      <c r="L44" t="s">
        <v>491</v>
      </c>
    </row>
    <row r="45" spans="1:12" x14ac:dyDescent="0.3">
      <c r="A45">
        <v>4</v>
      </c>
      <c r="B45" t="s">
        <v>434</v>
      </c>
      <c r="C45" t="s">
        <v>434</v>
      </c>
      <c r="D45" t="s">
        <v>492</v>
      </c>
      <c r="E45" t="s">
        <v>493</v>
      </c>
      <c r="F45" t="s">
        <v>470</v>
      </c>
      <c r="G45" t="s">
        <v>443</v>
      </c>
      <c r="H45" t="s">
        <v>443</v>
      </c>
      <c r="I45" t="s">
        <v>423</v>
      </c>
      <c r="J45" t="s">
        <v>489</v>
      </c>
      <c r="K45" t="s">
        <v>490</v>
      </c>
      <c r="L45" t="s">
        <v>491</v>
      </c>
    </row>
    <row r="46" spans="1:12" ht="28.8" x14ac:dyDescent="0.3">
      <c r="A46">
        <v>12</v>
      </c>
      <c r="B46" t="s">
        <v>332</v>
      </c>
      <c r="C46" t="s">
        <v>346</v>
      </c>
      <c r="D46" t="s">
        <v>348</v>
      </c>
      <c r="E46" s="134" t="s">
        <v>349</v>
      </c>
      <c r="F46" t="s">
        <v>470</v>
      </c>
      <c r="G46" t="s">
        <v>443</v>
      </c>
      <c r="H46" t="s">
        <v>443</v>
      </c>
      <c r="I46" t="s">
        <v>423</v>
      </c>
      <c r="J46" t="s">
        <v>489</v>
      </c>
      <c r="K46" t="s">
        <v>490</v>
      </c>
      <c r="L46" t="s">
        <v>491</v>
      </c>
    </row>
    <row r="47" spans="1:12" x14ac:dyDescent="0.3">
      <c r="A47">
        <v>78</v>
      </c>
      <c r="B47" t="s">
        <v>88</v>
      </c>
      <c r="C47" t="s">
        <v>88</v>
      </c>
      <c r="D47" t="s">
        <v>255</v>
      </c>
      <c r="E47" t="s">
        <v>256</v>
      </c>
      <c r="F47" t="s">
        <v>494</v>
      </c>
      <c r="G47" t="s">
        <v>443</v>
      </c>
      <c r="H47" t="s">
        <v>495</v>
      </c>
      <c r="I47" t="s">
        <v>423</v>
      </c>
      <c r="J47" t="s">
        <v>424</v>
      </c>
      <c r="K47" t="s">
        <v>424</v>
      </c>
      <c r="L47" t="s">
        <v>424</v>
      </c>
    </row>
    <row r="48" spans="1:12" x14ac:dyDescent="0.3">
      <c r="A48">
        <v>78</v>
      </c>
      <c r="B48" t="s">
        <v>88</v>
      </c>
      <c r="C48" t="s">
        <v>88</v>
      </c>
      <c r="D48" t="s">
        <v>255</v>
      </c>
      <c r="E48" t="s">
        <v>256</v>
      </c>
      <c r="F48" t="s">
        <v>494</v>
      </c>
      <c r="G48" t="s">
        <v>443</v>
      </c>
      <c r="H48" t="s">
        <v>495</v>
      </c>
      <c r="I48" t="s">
        <v>496</v>
      </c>
      <c r="J48" t="s">
        <v>497</v>
      </c>
      <c r="K48" t="s">
        <v>424</v>
      </c>
      <c r="L48" t="s">
        <v>424</v>
      </c>
    </row>
    <row r="49" spans="1:12" x14ac:dyDescent="0.3">
      <c r="A49">
        <v>8</v>
      </c>
      <c r="B49" t="s">
        <v>332</v>
      </c>
      <c r="C49" t="s">
        <v>376</v>
      </c>
      <c r="D49" t="s">
        <v>236</v>
      </c>
      <c r="E49" t="s">
        <v>237</v>
      </c>
      <c r="F49" t="s">
        <v>494</v>
      </c>
      <c r="G49" t="s">
        <v>443</v>
      </c>
      <c r="H49" t="s">
        <v>443</v>
      </c>
      <c r="I49" t="s">
        <v>423</v>
      </c>
      <c r="J49" t="s">
        <v>424</v>
      </c>
      <c r="K49" t="s">
        <v>424</v>
      </c>
      <c r="L49" t="s">
        <v>424</v>
      </c>
    </row>
    <row r="50" spans="1:12" x14ac:dyDescent="0.3">
      <c r="A50">
        <v>9</v>
      </c>
      <c r="B50" t="s">
        <v>332</v>
      </c>
      <c r="C50" t="s">
        <v>376</v>
      </c>
      <c r="D50" t="s">
        <v>245</v>
      </c>
      <c r="E50" t="s">
        <v>246</v>
      </c>
      <c r="F50" t="s">
        <v>494</v>
      </c>
      <c r="G50" t="s">
        <v>443</v>
      </c>
      <c r="H50" t="s">
        <v>443</v>
      </c>
      <c r="I50" t="s">
        <v>498</v>
      </c>
      <c r="J50" t="s">
        <v>499</v>
      </c>
      <c r="K50" t="s">
        <v>500</v>
      </c>
      <c r="L50" t="s">
        <v>501</v>
      </c>
    </row>
    <row r="51" spans="1:12" x14ac:dyDescent="0.3">
      <c r="A51">
        <v>66</v>
      </c>
      <c r="B51" t="s">
        <v>191</v>
      </c>
      <c r="C51" t="s">
        <v>191</v>
      </c>
      <c r="D51" t="s">
        <v>219</v>
      </c>
      <c r="E51" t="s">
        <v>220</v>
      </c>
      <c r="F51" t="s">
        <v>494</v>
      </c>
      <c r="G51" t="s">
        <v>443</v>
      </c>
      <c r="H51" t="s">
        <v>495</v>
      </c>
      <c r="I51" t="s">
        <v>423</v>
      </c>
      <c r="J51" t="s">
        <v>424</v>
      </c>
      <c r="K51" t="s">
        <v>424</v>
      </c>
      <c r="L51" t="s">
        <v>424</v>
      </c>
    </row>
    <row r="52" spans="1:12" x14ac:dyDescent="0.3">
      <c r="A52">
        <v>66</v>
      </c>
      <c r="B52" t="s">
        <v>191</v>
      </c>
      <c r="C52" t="s">
        <v>191</v>
      </c>
      <c r="D52" t="s">
        <v>219</v>
      </c>
      <c r="E52" t="s">
        <v>220</v>
      </c>
      <c r="F52" t="s">
        <v>494</v>
      </c>
      <c r="G52" t="s">
        <v>443</v>
      </c>
      <c r="H52" t="s">
        <v>495</v>
      </c>
      <c r="I52" t="s">
        <v>423</v>
      </c>
      <c r="J52" t="s">
        <v>502</v>
      </c>
      <c r="K52" t="s">
        <v>503</v>
      </c>
      <c r="L52" t="s">
        <v>504</v>
      </c>
    </row>
    <row r="53" spans="1:12" x14ac:dyDescent="0.3">
      <c r="A53">
        <v>54</v>
      </c>
      <c r="B53" t="s">
        <v>171</v>
      </c>
      <c r="C53" t="s">
        <v>173</v>
      </c>
      <c r="D53" t="s">
        <v>186</v>
      </c>
      <c r="E53" t="s">
        <v>187</v>
      </c>
      <c r="F53" t="s">
        <v>505</v>
      </c>
      <c r="G53" t="s">
        <v>443</v>
      </c>
      <c r="H53" t="s">
        <v>495</v>
      </c>
      <c r="I53" t="s">
        <v>506</v>
      </c>
      <c r="J53" t="s">
        <v>507</v>
      </c>
      <c r="K53" t="s">
        <v>508</v>
      </c>
      <c r="L53" t="s">
        <v>509</v>
      </c>
    </row>
    <row r="54" spans="1:12" x14ac:dyDescent="0.3">
      <c r="A54">
        <v>3</v>
      </c>
      <c r="B54" t="s">
        <v>434</v>
      </c>
      <c r="C54" t="s">
        <v>434</v>
      </c>
      <c r="D54" t="s">
        <v>510</v>
      </c>
      <c r="E54" t="s">
        <v>511</v>
      </c>
      <c r="F54" t="s">
        <v>505</v>
      </c>
      <c r="G54" t="s">
        <v>443</v>
      </c>
      <c r="H54" t="s">
        <v>495</v>
      </c>
      <c r="I54" t="s">
        <v>512</v>
      </c>
      <c r="J54" t="s">
        <v>513</v>
      </c>
      <c r="K54" t="s">
        <v>514</v>
      </c>
      <c r="L54" t="s">
        <v>515</v>
      </c>
    </row>
    <row r="55" spans="1:12" x14ac:dyDescent="0.3">
      <c r="A55">
        <v>36</v>
      </c>
      <c r="B55" t="s">
        <v>141</v>
      </c>
      <c r="C55" t="s">
        <v>141</v>
      </c>
      <c r="D55" t="s">
        <v>147</v>
      </c>
      <c r="E55" t="s">
        <v>148</v>
      </c>
      <c r="F55" t="s">
        <v>505</v>
      </c>
      <c r="G55" t="s">
        <v>443</v>
      </c>
      <c r="H55" t="s">
        <v>495</v>
      </c>
      <c r="I55" t="s">
        <v>516</v>
      </c>
      <c r="J55" t="s">
        <v>517</v>
      </c>
      <c r="K55" t="s">
        <v>518</v>
      </c>
      <c r="L55" t="s">
        <v>519</v>
      </c>
    </row>
    <row r="56" spans="1:12" ht="72" x14ac:dyDescent="0.3">
      <c r="A56">
        <v>18</v>
      </c>
      <c r="B56" t="s">
        <v>332</v>
      </c>
      <c r="C56" t="s">
        <v>360</v>
      </c>
      <c r="D56" t="s">
        <v>362</v>
      </c>
      <c r="E56" s="134" t="s">
        <v>363</v>
      </c>
      <c r="F56" t="s">
        <v>505</v>
      </c>
      <c r="G56" t="s">
        <v>443</v>
      </c>
      <c r="H56" t="s">
        <v>495</v>
      </c>
      <c r="I56" t="s">
        <v>520</v>
      </c>
      <c r="J56" t="s">
        <v>521</v>
      </c>
      <c r="K56" t="s">
        <v>522</v>
      </c>
      <c r="L56" t="s">
        <v>523</v>
      </c>
    </row>
    <row r="57" spans="1:12" ht="100.8" x14ac:dyDescent="0.3">
      <c r="A57">
        <v>24</v>
      </c>
      <c r="B57" t="s">
        <v>85</v>
      </c>
      <c r="C57" t="s">
        <v>85</v>
      </c>
      <c r="D57" t="s">
        <v>119</v>
      </c>
      <c r="E57" s="134" t="s">
        <v>120</v>
      </c>
      <c r="F57" t="s">
        <v>576</v>
      </c>
      <c r="G57" t="s">
        <v>421</v>
      </c>
      <c r="H57" t="s">
        <v>421</v>
      </c>
      <c r="I57" t="s">
        <v>423</v>
      </c>
      <c r="J57" t="s">
        <v>424</v>
      </c>
      <c r="K57" t="s">
        <v>424</v>
      </c>
      <c r="L57" t="s">
        <v>424</v>
      </c>
    </row>
    <row r="58" spans="1:12" x14ac:dyDescent="0.3">
      <c r="A58">
        <v>4</v>
      </c>
      <c r="B58" t="s">
        <v>434</v>
      </c>
      <c r="C58" t="s">
        <v>434</v>
      </c>
      <c r="D58" t="s">
        <v>492</v>
      </c>
      <c r="E58" t="s">
        <v>493</v>
      </c>
      <c r="F58" t="s">
        <v>576</v>
      </c>
      <c r="G58" t="s">
        <v>421</v>
      </c>
      <c r="H58" t="s">
        <v>421</v>
      </c>
      <c r="I58" t="s">
        <v>423</v>
      </c>
      <c r="J58" t="s">
        <v>424</v>
      </c>
      <c r="K58" t="s">
        <v>424</v>
      </c>
      <c r="L58" t="s">
        <v>424</v>
      </c>
    </row>
    <row r="59" spans="1:12" ht="216" x14ac:dyDescent="0.3">
      <c r="A59">
        <v>4</v>
      </c>
      <c r="B59" t="s">
        <v>332</v>
      </c>
      <c r="C59" t="s">
        <v>333</v>
      </c>
      <c r="D59" s="134" t="s">
        <v>336</v>
      </c>
      <c r="E59" s="134" t="s">
        <v>337</v>
      </c>
      <c r="F59" t="s">
        <v>576</v>
      </c>
      <c r="G59" t="s">
        <v>421</v>
      </c>
      <c r="H59" t="s">
        <v>421</v>
      </c>
      <c r="I59" t="s">
        <v>423</v>
      </c>
      <c r="J59" t="s">
        <v>424</v>
      </c>
      <c r="K59" t="s">
        <v>424</v>
      </c>
      <c r="L59" t="s">
        <v>424</v>
      </c>
    </row>
    <row r="60" spans="1:12" ht="43.2" x14ac:dyDescent="0.3">
      <c r="A60">
        <v>3</v>
      </c>
      <c r="B60" t="s">
        <v>332</v>
      </c>
      <c r="C60" t="s">
        <v>580</v>
      </c>
      <c r="D60" t="s">
        <v>580</v>
      </c>
      <c r="E60" s="134" t="s">
        <v>581</v>
      </c>
      <c r="F60" t="s">
        <v>576</v>
      </c>
      <c r="G60" t="s">
        <v>421</v>
      </c>
      <c r="H60" t="s">
        <v>421</v>
      </c>
      <c r="I60" t="s">
        <v>423</v>
      </c>
      <c r="J60" t="s">
        <v>424</v>
      </c>
      <c r="K60" t="s">
        <v>424</v>
      </c>
      <c r="L60" t="s">
        <v>424</v>
      </c>
    </row>
    <row r="61" spans="1:12" x14ac:dyDescent="0.3">
      <c r="A61">
        <v>64</v>
      </c>
      <c r="B61" t="s">
        <v>191</v>
      </c>
      <c r="C61" t="s">
        <v>191</v>
      </c>
      <c r="D61" t="s">
        <v>213</v>
      </c>
      <c r="E61" t="s">
        <v>214</v>
      </c>
      <c r="F61" t="s">
        <v>576</v>
      </c>
      <c r="G61" t="s">
        <v>421</v>
      </c>
      <c r="H61" t="s">
        <v>422</v>
      </c>
      <c r="I61" t="s">
        <v>423</v>
      </c>
      <c r="J61" t="s">
        <v>424</v>
      </c>
      <c r="K61" t="s">
        <v>424</v>
      </c>
      <c r="L61" t="s">
        <v>424</v>
      </c>
    </row>
    <row r="62" spans="1:12" x14ac:dyDescent="0.3">
      <c r="A62">
        <v>63</v>
      </c>
      <c r="B62" t="s">
        <v>191</v>
      </c>
      <c r="C62" t="s">
        <v>191</v>
      </c>
      <c r="D62" t="s">
        <v>210</v>
      </c>
      <c r="E62" t="s">
        <v>211</v>
      </c>
      <c r="F62" t="s">
        <v>586</v>
      </c>
      <c r="G62" t="s">
        <v>421</v>
      </c>
      <c r="H62" t="s">
        <v>422</v>
      </c>
      <c r="I62" t="s">
        <v>423</v>
      </c>
      <c r="J62" t="s">
        <v>424</v>
      </c>
      <c r="K62" t="s">
        <v>424</v>
      </c>
      <c r="L62" t="s">
        <v>424</v>
      </c>
    </row>
    <row r="63" spans="1:12" x14ac:dyDescent="0.3">
      <c r="A63">
        <v>52</v>
      </c>
      <c r="B63" t="s">
        <v>171</v>
      </c>
      <c r="C63" t="s">
        <v>173</v>
      </c>
      <c r="D63" t="s">
        <v>178</v>
      </c>
      <c r="E63" t="s">
        <v>179</v>
      </c>
      <c r="F63" t="s">
        <v>591</v>
      </c>
      <c r="G63" t="s">
        <v>421</v>
      </c>
      <c r="H63" t="s">
        <v>421</v>
      </c>
      <c r="I63" t="s">
        <v>423</v>
      </c>
      <c r="J63" t="s">
        <v>424</v>
      </c>
      <c r="K63" t="s">
        <v>424</v>
      </c>
      <c r="L63" t="s">
        <v>424</v>
      </c>
    </row>
    <row r="64" spans="1:12" x14ac:dyDescent="0.3">
      <c r="A64">
        <v>12</v>
      </c>
      <c r="B64" t="s">
        <v>332</v>
      </c>
      <c r="C64" t="s">
        <v>588</v>
      </c>
      <c r="D64" t="s">
        <v>589</v>
      </c>
      <c r="E64" t="s">
        <v>590</v>
      </c>
      <c r="F64" t="s">
        <v>591</v>
      </c>
      <c r="G64" t="s">
        <v>421</v>
      </c>
      <c r="H64" t="s">
        <v>421</v>
      </c>
      <c r="I64" t="s">
        <v>423</v>
      </c>
      <c r="J64" t="s">
        <v>424</v>
      </c>
      <c r="K64" t="s">
        <v>424</v>
      </c>
      <c r="L64" t="s">
        <v>424</v>
      </c>
    </row>
    <row r="65" spans="1:12" x14ac:dyDescent="0.3">
      <c r="A65">
        <v>8</v>
      </c>
      <c r="B65" t="s">
        <v>332</v>
      </c>
      <c r="C65" t="s">
        <v>376</v>
      </c>
      <c r="D65" t="s">
        <v>236</v>
      </c>
      <c r="E65" t="s">
        <v>237</v>
      </c>
      <c r="F65" t="s">
        <v>591</v>
      </c>
      <c r="G65" t="s">
        <v>421</v>
      </c>
      <c r="H65" t="s">
        <v>421</v>
      </c>
      <c r="I65" t="s">
        <v>423</v>
      </c>
      <c r="J65" t="s">
        <v>424</v>
      </c>
      <c r="K65" t="s">
        <v>424</v>
      </c>
      <c r="L65" t="s">
        <v>424</v>
      </c>
    </row>
    <row r="66" spans="1:12" x14ac:dyDescent="0.3">
      <c r="A66">
        <v>69</v>
      </c>
      <c r="B66" t="s">
        <v>191</v>
      </c>
      <c r="C66" t="s">
        <v>191</v>
      </c>
      <c r="D66" t="s">
        <v>224</v>
      </c>
      <c r="E66" t="s">
        <v>229</v>
      </c>
      <c r="F66" t="s">
        <v>591</v>
      </c>
      <c r="G66" t="s">
        <v>421</v>
      </c>
      <c r="H66" t="s">
        <v>421</v>
      </c>
      <c r="I66" t="s">
        <v>423</v>
      </c>
      <c r="J66" t="s">
        <v>424</v>
      </c>
      <c r="K66" t="s">
        <v>424</v>
      </c>
      <c r="L66" t="s">
        <v>424</v>
      </c>
    </row>
    <row r="67" spans="1:12" x14ac:dyDescent="0.3">
      <c r="A67">
        <v>6</v>
      </c>
      <c r="B67" t="s">
        <v>332</v>
      </c>
      <c r="C67" t="s">
        <v>582</v>
      </c>
      <c r="D67" t="s">
        <v>265</v>
      </c>
      <c r="E67" t="s">
        <v>583</v>
      </c>
      <c r="F67" t="s">
        <v>591</v>
      </c>
      <c r="G67" t="s">
        <v>421</v>
      </c>
      <c r="H67" t="s">
        <v>421</v>
      </c>
      <c r="I67" t="s">
        <v>423</v>
      </c>
      <c r="J67" t="s">
        <v>424</v>
      </c>
      <c r="K67" t="s">
        <v>424</v>
      </c>
      <c r="L67" t="s">
        <v>424</v>
      </c>
    </row>
    <row r="68" spans="1:12" x14ac:dyDescent="0.3">
      <c r="A68">
        <v>69</v>
      </c>
      <c r="B68" t="s">
        <v>191</v>
      </c>
      <c r="C68" t="s">
        <v>191</v>
      </c>
      <c r="D68" t="s">
        <v>224</v>
      </c>
      <c r="E68" t="s">
        <v>229</v>
      </c>
      <c r="F68" t="s">
        <v>591</v>
      </c>
      <c r="G68" t="s">
        <v>421</v>
      </c>
      <c r="H68" t="s">
        <v>421</v>
      </c>
      <c r="I68" t="s">
        <v>423</v>
      </c>
      <c r="J68" t="s">
        <v>424</v>
      </c>
      <c r="K68" t="s">
        <v>424</v>
      </c>
      <c r="L68" t="s">
        <v>424</v>
      </c>
    </row>
    <row r="69" spans="1:12" ht="28.8" x14ac:dyDescent="0.3">
      <c r="A69">
        <v>14</v>
      </c>
      <c r="B69" t="s">
        <v>434</v>
      </c>
      <c r="C69" t="s">
        <v>434</v>
      </c>
      <c r="D69" s="134" t="s">
        <v>574</v>
      </c>
      <c r="E69" t="s">
        <v>575</v>
      </c>
      <c r="F69" t="s">
        <v>608</v>
      </c>
      <c r="G69" t="s">
        <v>421</v>
      </c>
      <c r="H69" t="s">
        <v>421</v>
      </c>
      <c r="I69" t="s">
        <v>423</v>
      </c>
      <c r="J69" t="s">
        <v>424</v>
      </c>
      <c r="K69" t="s">
        <v>424</v>
      </c>
      <c r="L69" t="s">
        <v>424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58DAB-7151-4659-B83B-665D3C515034}">
  <sheetPr codeName="Planilha25">
    <pageSetUpPr autoPageBreaks="0"/>
  </sheetPr>
  <dimension ref="A1:AL56"/>
  <sheetViews>
    <sheetView showGridLines="0" zoomScale="80" zoomScaleNormal="80" workbookViewId="0">
      <pane ySplit="1" topLeftCell="A36" activePane="bottomLeft" state="frozen"/>
      <selection activeCell="AA1" sqref="AA1:AA1048576"/>
      <selection pane="bottomLeft" activeCell="X18" sqref="X18"/>
    </sheetView>
  </sheetViews>
  <sheetFormatPr defaultRowHeight="14.4" x14ac:dyDescent="0.3"/>
  <cols>
    <col min="1" max="5" width="8.5546875" style="95" customWidth="1"/>
    <col min="6" max="6" width="43.88671875" customWidth="1"/>
    <col min="7" max="7" width="73.109375" customWidth="1"/>
    <col min="8" max="8" width="6.33203125" style="1021" customWidth="1"/>
    <col min="9" max="9" width="5.6640625" style="1021" customWidth="1"/>
    <col min="10" max="10" width="20.109375" customWidth="1"/>
    <col min="11" max="11" width="26.88671875" hidden="1" customWidth="1"/>
    <col min="12" max="12" width="26.109375" hidden="1" customWidth="1"/>
    <col min="13" max="13" width="25.6640625" hidden="1" customWidth="1"/>
    <col min="14" max="14" width="28.6640625" customWidth="1"/>
    <col min="15" max="15" width="3.33203125" customWidth="1"/>
    <col min="16" max="16" width="1.88671875" customWidth="1"/>
    <col min="17" max="18" width="8.5546875" style="1021" customWidth="1"/>
    <col min="19" max="19" width="18.88671875" customWidth="1"/>
    <col min="20" max="20" width="26.33203125" customWidth="1"/>
    <col min="21" max="21" width="27" customWidth="1"/>
    <col min="22" max="23" width="18.109375" customWidth="1"/>
    <col min="24" max="24" width="26.44140625" bestFit="1" customWidth="1"/>
    <col min="25" max="25" width="27.5546875" customWidth="1"/>
    <col min="26" max="26" width="18.6640625" customWidth="1"/>
    <col min="27" max="27" width="25.6640625" customWidth="1"/>
    <col min="28" max="28" width="38.10937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40" max="40" width="21.33203125" customWidth="1"/>
  </cols>
  <sheetData>
    <row r="1" spans="1:38" ht="49.5" customHeight="1" x14ac:dyDescent="0.3">
      <c r="B1" s="96"/>
      <c r="C1" s="97"/>
      <c r="D1" s="97"/>
      <c r="F1" s="1286" t="s">
        <v>0</v>
      </c>
      <c r="G1" s="1286"/>
    </row>
    <row r="2" spans="1:38" ht="24.75" customHeight="1" x14ac:dyDescent="0.3">
      <c r="B2" s="98"/>
      <c r="D2" s="97"/>
      <c r="F2" s="1287" t="s">
        <v>1</v>
      </c>
      <c r="G2" s="1287"/>
    </row>
    <row r="3" spans="1:38" ht="18" x14ac:dyDescent="0.3">
      <c r="B3" s="99"/>
      <c r="F3" s="27"/>
      <c r="G3" s="27"/>
    </row>
    <row r="4" spans="1:38" ht="18" x14ac:dyDescent="0.3">
      <c r="F4" s="29" t="s">
        <v>2</v>
      </c>
      <c r="G4" s="30"/>
    </row>
    <row r="5" spans="1:38" ht="18" x14ac:dyDescent="0.3">
      <c r="F5" s="31" t="s">
        <v>3</v>
      </c>
      <c r="G5" s="32"/>
    </row>
    <row r="6" spans="1:38" ht="18" x14ac:dyDescent="0.3">
      <c r="F6" s="31" t="s">
        <v>4</v>
      </c>
      <c r="G6" s="33"/>
    </row>
    <row r="7" spans="1:38" ht="21.75" customHeight="1" x14ac:dyDescent="0.3">
      <c r="F7" s="31" t="s">
        <v>5</v>
      </c>
      <c r="G7" s="34"/>
    </row>
    <row r="8" spans="1:38" ht="18" x14ac:dyDescent="0.3">
      <c r="F8" s="31" t="s">
        <v>6</v>
      </c>
      <c r="G8" s="35"/>
    </row>
    <row r="9" spans="1:38" ht="18" x14ac:dyDescent="0.3">
      <c r="F9" s="31" t="s">
        <v>7</v>
      </c>
      <c r="G9" s="34"/>
      <c r="M9">
        <v>0.80469999999999997</v>
      </c>
    </row>
    <row r="10" spans="1:38" ht="27" customHeight="1" x14ac:dyDescent="0.3">
      <c r="F10" s="31" t="s">
        <v>8</v>
      </c>
      <c r="G10" s="34"/>
      <c r="M10">
        <f>1-M9</f>
        <v>0.19530000000000003</v>
      </c>
    </row>
    <row r="11" spans="1:38" ht="18.600000000000001" thickBot="1" x14ac:dyDescent="0.35">
      <c r="F11" s="36" t="s">
        <v>9</v>
      </c>
      <c r="G11" s="37"/>
    </row>
    <row r="12" spans="1:38" ht="16.8" thickBot="1" x14ac:dyDescent="0.35">
      <c r="B12" s="100"/>
      <c r="M12" s="24"/>
      <c r="Q12" s="1288" t="s">
        <v>10</v>
      </c>
      <c r="R12" s="1289"/>
      <c r="S12" s="1289"/>
      <c r="T12" s="1457"/>
      <c r="U12" s="1291" t="s">
        <v>11</v>
      </c>
      <c r="V12" s="1292"/>
      <c r="W12" s="1292"/>
      <c r="X12" s="1455"/>
      <c r="Y12" s="26" t="s">
        <v>12</v>
      </c>
      <c r="Z12" s="1031" t="e">
        <f>(1/(1-#REF!))-1</f>
        <v>#REF!</v>
      </c>
      <c r="AC12" s="1294" t="s">
        <v>13</v>
      </c>
      <c r="AD12" s="1295"/>
      <c r="AE12" s="1456"/>
      <c r="AG12" s="1297" t="s">
        <v>14</v>
      </c>
      <c r="AH12" s="1298"/>
      <c r="AJ12" s="28" t="s">
        <v>15</v>
      </c>
      <c r="AK12" s="1284" t="s">
        <v>16</v>
      </c>
      <c r="AL12" s="1285"/>
    </row>
    <row r="13" spans="1:38" ht="15" thickBot="1" x14ac:dyDescent="0.35">
      <c r="A13" s="101" t="s">
        <v>17</v>
      </c>
      <c r="B13" s="102" t="s">
        <v>18</v>
      </c>
      <c r="C13" s="101" t="s">
        <v>19</v>
      </c>
      <c r="D13" s="101" t="s">
        <v>20</v>
      </c>
      <c r="E13" s="101" t="s">
        <v>21</v>
      </c>
      <c r="M13" s="25">
        <v>0.80469999999999997</v>
      </c>
    </row>
    <row r="14" spans="1:38" ht="33" thickBot="1" x14ac:dyDescent="0.35">
      <c r="A14" s="103">
        <v>0</v>
      </c>
      <c r="B14" s="104"/>
      <c r="C14" s="105"/>
      <c r="D14" s="65"/>
      <c r="E14" s="65"/>
      <c r="F14" s="45" t="s">
        <v>22</v>
      </c>
      <c r="G14" s="46" t="s">
        <v>23</v>
      </c>
      <c r="H14" s="47" t="s">
        <v>24</v>
      </c>
      <c r="I14" s="47" t="s">
        <v>25</v>
      </c>
      <c r="J14" s="48" t="s">
        <v>26</v>
      </c>
      <c r="K14" s="49" t="s">
        <v>27</v>
      </c>
      <c r="L14" s="119">
        <v>7.4999999999999997E-2</v>
      </c>
      <c r="M14" s="44">
        <f>1-M13</f>
        <v>0.19530000000000003</v>
      </c>
      <c r="N14" s="50" t="s">
        <v>28</v>
      </c>
      <c r="Q14" s="51" t="s">
        <v>29</v>
      </c>
      <c r="R14" s="52" t="s">
        <v>30</v>
      </c>
      <c r="S14" s="53" t="s">
        <v>31</v>
      </c>
      <c r="T14" s="54" t="s">
        <v>32</v>
      </c>
      <c r="U14" s="55" t="s">
        <v>33</v>
      </c>
      <c r="V14" s="56" t="s">
        <v>34</v>
      </c>
      <c r="W14" s="57" t="s">
        <v>35</v>
      </c>
      <c r="X14" s="57" t="s">
        <v>36</v>
      </c>
      <c r="Y14" s="58" t="s">
        <v>37</v>
      </c>
      <c r="Z14" s="38" t="s">
        <v>38</v>
      </c>
      <c r="AA14" s="39" t="s">
        <v>39</v>
      </c>
      <c r="AC14" s="40" t="s">
        <v>40</v>
      </c>
      <c r="AD14" s="41" t="s">
        <v>41</v>
      </c>
      <c r="AE14" s="41" t="s">
        <v>42</v>
      </c>
      <c r="AG14" s="42" t="s">
        <v>43</v>
      </c>
      <c r="AH14" s="43" t="s">
        <v>44</v>
      </c>
      <c r="AI14" t="s">
        <v>45</v>
      </c>
      <c r="AJ14" t="s">
        <v>45</v>
      </c>
      <c r="AK14" s="1032" t="s">
        <v>46</v>
      </c>
      <c r="AL14" s="1033" t="s">
        <v>47</v>
      </c>
    </row>
    <row r="15" spans="1:38" ht="36.75" customHeight="1" thickBot="1" x14ac:dyDescent="0.4">
      <c r="A15" s="1034">
        <v>1</v>
      </c>
      <c r="B15" s="108">
        <v>1</v>
      </c>
      <c r="C15" s="1035" t="s">
        <v>48</v>
      </c>
      <c r="D15" s="1034"/>
      <c r="E15" s="1034"/>
      <c r="F15" s="1430" t="s">
        <v>49</v>
      </c>
      <c r="G15" s="1431"/>
      <c r="H15" s="1431"/>
      <c r="I15" s="1431"/>
      <c r="J15" s="1431"/>
      <c r="K15" s="1431"/>
      <c r="L15" s="1431"/>
      <c r="M15" s="1431"/>
      <c r="N15" s="1432"/>
      <c r="Q15" s="1447" t="str">
        <f>IF(F15&lt;&gt;"",F15,"")</f>
        <v>INTERNOS</v>
      </c>
      <c r="R15" s="1448"/>
      <c r="S15" s="1448"/>
      <c r="T15" s="1448"/>
      <c r="U15" s="1448"/>
      <c r="V15" s="1448"/>
      <c r="W15" s="1448"/>
      <c r="X15" s="1448"/>
      <c r="Y15" s="1449"/>
      <c r="Z15" s="1036"/>
      <c r="AA15" s="1037"/>
      <c r="AC15" s="1038"/>
      <c r="AD15" s="1038"/>
      <c r="AE15" s="1038"/>
      <c r="AG15" s="1039"/>
      <c r="AH15" s="1040"/>
      <c r="AK15" s="1041"/>
      <c r="AL15" s="1042"/>
    </row>
    <row r="16" spans="1:38" ht="30" customHeight="1" x14ac:dyDescent="0.35">
      <c r="A16" s="59">
        <v>2</v>
      </c>
      <c r="B16" s="108" t="s">
        <v>50</v>
      </c>
      <c r="C16" s="60" t="s">
        <v>51</v>
      </c>
      <c r="D16" s="59"/>
      <c r="E16" s="59"/>
      <c r="F16" s="1436" t="s">
        <v>52</v>
      </c>
      <c r="G16" s="1437"/>
      <c r="H16" s="1437"/>
      <c r="I16" s="1437"/>
      <c r="J16" s="1437"/>
      <c r="K16" s="1438"/>
      <c r="L16" s="61" t="s">
        <v>53</v>
      </c>
      <c r="M16" s="62" t="s">
        <v>54</v>
      </c>
      <c r="N16" s="1043" t="s">
        <v>28</v>
      </c>
      <c r="Q16" s="1299" t="str">
        <f>IF(F16&lt;&gt;"",F16,"")</f>
        <v>INTERNO</v>
      </c>
      <c r="R16" s="1300"/>
      <c r="S16" s="1300"/>
      <c r="T16" s="1300"/>
      <c r="U16" s="1300"/>
      <c r="V16" s="1300"/>
      <c r="W16" s="1300"/>
      <c r="X16" s="1300"/>
      <c r="Y16" s="1302"/>
      <c r="Z16" s="63" t="s">
        <v>55</v>
      </c>
      <c r="AA16" s="64" t="s">
        <v>39</v>
      </c>
    </row>
    <row r="17" spans="1:38" ht="48.6" x14ac:dyDescent="0.3">
      <c r="A17" s="65">
        <v>3</v>
      </c>
      <c r="B17" s="108" t="s">
        <v>56</v>
      </c>
      <c r="C17" s="66" t="s">
        <v>57</v>
      </c>
      <c r="D17" s="65" t="s">
        <v>52</v>
      </c>
      <c r="E17" s="65" t="s">
        <v>58</v>
      </c>
      <c r="F17" s="1044" t="s">
        <v>861</v>
      </c>
      <c r="G17" s="1045" t="s">
        <v>862</v>
      </c>
      <c r="H17" s="1046">
        <v>1</v>
      </c>
      <c r="I17" s="1046">
        <v>1</v>
      </c>
      <c r="J17" s="1047">
        <v>6500</v>
      </c>
      <c r="K17" s="1048">
        <f>IF(F17&lt;&gt;"",H17*I17*J17,"")</f>
        <v>6500</v>
      </c>
      <c r="L17" s="1049">
        <f t="shared" ref="L17:L18" si="0">IF(K17&lt;&gt;"",IF(D17="INTERNO",0,K17*$L$14),"")</f>
        <v>0</v>
      </c>
      <c r="M17" s="1049">
        <f t="shared" ref="M17:M18" si="1">IF(K17&lt;&gt;"",IF(E17="FAT.OGGI",SUM(K17:L17)*(1/(1-$M$14)-1),L17*(1/(1-$M$14)-1)),"")</f>
        <v>1577.5444264943462</v>
      </c>
      <c r="N17" s="1050">
        <f>SUM(K17:M17)</f>
        <v>8077.5444264943462</v>
      </c>
      <c r="Q17" s="1051">
        <f t="shared" ref="Q17:R18" si="2">IF(H17&lt;&gt;"",H17,"")</f>
        <v>1</v>
      </c>
      <c r="R17" s="1052">
        <f t="shared" si="2"/>
        <v>1</v>
      </c>
      <c r="S17" s="1053">
        <v>0</v>
      </c>
      <c r="T17" s="1053">
        <f t="shared" ref="T17:T18" si="3">IF(Q17&lt;&gt;"",Q17*R17*S17,"")</f>
        <v>0</v>
      </c>
      <c r="U17" s="1054">
        <f t="shared" ref="U17:U18" si="4">IF(Q17&lt;&gt;"",K17-T17,"")</f>
        <v>6500</v>
      </c>
      <c r="V17" s="1055">
        <f t="shared" ref="V17:V18" si="5">IF(Q17&lt;&gt;"",0%,"")</f>
        <v>0</v>
      </c>
      <c r="W17" s="1056">
        <f t="shared" ref="W17:W18" si="6">IF(Q17&lt;&gt;"",V17*U17,"")</f>
        <v>0</v>
      </c>
      <c r="X17" s="1056">
        <f t="shared" ref="X17:X18" si="7">IF(Q17&lt;&gt;"",W17+T17,"")</f>
        <v>0</v>
      </c>
      <c r="Y17" s="67">
        <f t="shared" ref="Y17:Y19" si="8">IF(Q17&lt;&gt;"",X17+M17,"")</f>
        <v>1577.5444264943462</v>
      </c>
      <c r="Z17" s="1057">
        <f t="shared" ref="Z17:Z18" si="9">IF(Q17&lt;&gt;"",U17/K17,"")</f>
        <v>1</v>
      </c>
      <c r="AA17" s="1058" t="e">
        <f>T17/#REF!</f>
        <v>#REF!</v>
      </c>
    </row>
    <row r="18" spans="1:38" ht="16.2" x14ac:dyDescent="0.3">
      <c r="A18" s="65">
        <v>4</v>
      </c>
      <c r="B18" s="108" t="s">
        <v>61</v>
      </c>
      <c r="C18" s="66" t="s">
        <v>57</v>
      </c>
      <c r="D18" s="65" t="s">
        <v>52</v>
      </c>
      <c r="E18" s="65" t="s">
        <v>58</v>
      </c>
      <c r="F18" s="1044" t="s">
        <v>71</v>
      </c>
      <c r="G18" s="1045" t="s">
        <v>863</v>
      </c>
      <c r="H18" s="1046">
        <v>1</v>
      </c>
      <c r="I18" s="1046">
        <v>1</v>
      </c>
      <c r="J18" s="1047">
        <v>4500</v>
      </c>
      <c r="K18" s="1048">
        <f t="shared" ref="K18" si="10">IF(F18&lt;&gt;"",H18*I18*J18,"")</f>
        <v>4500</v>
      </c>
      <c r="L18" s="1048">
        <f t="shared" si="0"/>
        <v>0</v>
      </c>
      <c r="M18" s="1048">
        <f t="shared" si="1"/>
        <v>1092.1461414191629</v>
      </c>
      <c r="N18" s="1059">
        <f t="shared" ref="N18" si="11">SUM(K18:M18)</f>
        <v>5592.1461414191626</v>
      </c>
      <c r="Q18" s="1051">
        <f t="shared" si="2"/>
        <v>1</v>
      </c>
      <c r="R18" s="1052">
        <f t="shared" si="2"/>
        <v>1</v>
      </c>
      <c r="S18" s="1060">
        <v>4100</v>
      </c>
      <c r="T18" s="1060">
        <f t="shared" si="3"/>
        <v>4100</v>
      </c>
      <c r="U18" s="1054">
        <f t="shared" si="4"/>
        <v>400</v>
      </c>
      <c r="V18" s="1055">
        <f t="shared" si="5"/>
        <v>0</v>
      </c>
      <c r="W18" s="1056">
        <f t="shared" si="6"/>
        <v>0</v>
      </c>
      <c r="X18" s="1056">
        <f t="shared" si="7"/>
        <v>4100</v>
      </c>
      <c r="Y18" s="67">
        <f t="shared" si="8"/>
        <v>5192.1461414191626</v>
      </c>
      <c r="Z18" s="1057">
        <f t="shared" si="9"/>
        <v>8.8888888888888892E-2</v>
      </c>
      <c r="AA18" s="1058" t="e">
        <f>T18/#REF!</f>
        <v>#REF!</v>
      </c>
    </row>
    <row r="19" spans="1:38" ht="30" customHeight="1" thickBot="1" x14ac:dyDescent="0.4">
      <c r="A19" s="1034">
        <v>5</v>
      </c>
      <c r="B19" s="108"/>
      <c r="C19" s="1035" t="s">
        <v>83</v>
      </c>
      <c r="D19" s="1034"/>
      <c r="E19" s="1034"/>
      <c r="F19" s="1439" t="s">
        <v>864</v>
      </c>
      <c r="G19" s="1440"/>
      <c r="H19" s="1440"/>
      <c r="I19" s="1440"/>
      <c r="J19" s="1440"/>
      <c r="K19" s="1061">
        <f>SUM(K17:K18)</f>
        <v>11000</v>
      </c>
      <c r="L19" s="1061">
        <f>SUM(L17:L18)</f>
        <v>0</v>
      </c>
      <c r="M19" s="1061">
        <f>SUM(M17:M18)</f>
        <v>2669.6905679135089</v>
      </c>
      <c r="N19" s="1062">
        <f>SUM(N17:N18)</f>
        <v>13669.690567913509</v>
      </c>
      <c r="Q19" s="1452" t="s">
        <v>84</v>
      </c>
      <c r="R19" s="1453"/>
      <c r="S19" s="1454"/>
      <c r="T19" s="1063">
        <f>SUM(T17:T18)</f>
        <v>4100</v>
      </c>
      <c r="U19" s="1064">
        <f>SUM(U17:U18)</f>
        <v>6900</v>
      </c>
      <c r="V19" s="1065"/>
      <c r="W19" s="1066"/>
      <c r="X19" s="1067">
        <f>SUM(X17:X18)</f>
        <v>4100</v>
      </c>
      <c r="Y19" s="1068">
        <f t="shared" si="8"/>
        <v>6769.6905679135089</v>
      </c>
    </row>
    <row r="20" spans="1:38" ht="36.75" customHeight="1" thickBot="1" x14ac:dyDescent="0.4">
      <c r="A20" s="1034">
        <v>6</v>
      </c>
      <c r="B20" s="108">
        <v>2</v>
      </c>
      <c r="C20" s="1035" t="s">
        <v>48</v>
      </c>
      <c r="D20" s="1034"/>
      <c r="E20" s="1034"/>
      <c r="F20" s="1430" t="s">
        <v>865</v>
      </c>
      <c r="G20" s="1431"/>
      <c r="H20" s="1431"/>
      <c r="I20" s="1431"/>
      <c r="J20" s="1431"/>
      <c r="K20" s="1431"/>
      <c r="L20" s="1431"/>
      <c r="M20" s="1431"/>
      <c r="N20" s="1432"/>
      <c r="Q20" s="1447" t="str">
        <f>IF(F20&lt;&gt;"",F20,"")</f>
        <v>ATIVAÇÕES CHAMYTO</v>
      </c>
      <c r="R20" s="1448"/>
      <c r="S20" s="1448"/>
      <c r="T20" s="1448"/>
      <c r="U20" s="1448"/>
      <c r="V20" s="1448"/>
      <c r="W20" s="1448"/>
      <c r="X20" s="1448"/>
      <c r="Y20" s="1449"/>
      <c r="Z20" s="1036"/>
      <c r="AA20" s="1037"/>
      <c r="AC20" s="1038"/>
      <c r="AD20" s="1038"/>
      <c r="AE20" s="1038"/>
      <c r="AG20" s="1039"/>
      <c r="AH20" s="1040"/>
      <c r="AK20" s="1041"/>
      <c r="AL20" s="1042"/>
    </row>
    <row r="21" spans="1:38" ht="30" customHeight="1" thickBot="1" x14ac:dyDescent="0.4">
      <c r="A21" s="59">
        <v>7</v>
      </c>
      <c r="B21" s="108" t="s">
        <v>86</v>
      </c>
      <c r="C21" s="60" t="s">
        <v>51</v>
      </c>
      <c r="D21" s="59"/>
      <c r="E21" s="59"/>
      <c r="F21" s="1436" t="s">
        <v>866</v>
      </c>
      <c r="G21" s="1437"/>
      <c r="H21" s="1437"/>
      <c r="I21" s="1437"/>
      <c r="J21" s="1437"/>
      <c r="K21" s="1438"/>
      <c r="L21" s="1069" t="s">
        <v>53</v>
      </c>
      <c r="M21" s="1070" t="s">
        <v>54</v>
      </c>
      <c r="N21" s="1071" t="s">
        <v>28</v>
      </c>
      <c r="Q21" s="1444" t="str">
        <f>IF(F21&lt;&gt;"",F21,"")</f>
        <v>Chamyto</v>
      </c>
      <c r="R21" s="1445"/>
      <c r="S21" s="1445"/>
      <c r="T21" s="1445"/>
      <c r="U21" s="1445"/>
      <c r="V21" s="1445"/>
      <c r="W21" s="1445"/>
      <c r="X21" s="1445"/>
      <c r="Y21" s="1446"/>
      <c r="Z21" s="63" t="s">
        <v>55</v>
      </c>
      <c r="AA21" s="64" t="s">
        <v>39</v>
      </c>
    </row>
    <row r="22" spans="1:38" ht="48.6" x14ac:dyDescent="0.3">
      <c r="A22" s="65">
        <v>8</v>
      </c>
      <c r="B22" s="108" t="s">
        <v>87</v>
      </c>
      <c r="C22" s="66" t="s">
        <v>57</v>
      </c>
      <c r="D22" s="65" t="s">
        <v>88</v>
      </c>
      <c r="E22" s="65" t="s">
        <v>58</v>
      </c>
      <c r="F22" s="1072" t="s">
        <v>867</v>
      </c>
      <c r="G22" s="1073" t="s">
        <v>868</v>
      </c>
      <c r="H22" s="1074">
        <v>1</v>
      </c>
      <c r="I22" s="1074">
        <v>1</v>
      </c>
      <c r="J22" s="1075">
        <v>23900</v>
      </c>
      <c r="K22" s="1076">
        <f t="shared" ref="K22:K23" si="12">IF(F22&lt;&gt;"",H22*I22*J22,"")</f>
        <v>23900</v>
      </c>
      <c r="L22" s="1076">
        <f t="shared" ref="L22:L26" si="13">IF(K22&lt;&gt;"",IF(D22="INTERNO",0,K22*$L$14),"")</f>
        <v>1792.5</v>
      </c>
      <c r="M22" s="1076">
        <f t="shared" ref="M22:M26" si="14">IF(K22&lt;&gt;"",IF(E22="FAT.OGGI",SUM(K22:L22)*(1/(1-$M$14)-1),L22*(1/(1-$M$14)-1)),"")</f>
        <v>6235.5477196470756</v>
      </c>
      <c r="N22" s="1077">
        <f t="shared" ref="N22:N26" si="15">SUM(K22:M22)</f>
        <v>31928.047719647075</v>
      </c>
      <c r="Q22" s="1078">
        <f t="shared" ref="Q22:R26" si="16">IF(H22&lt;&gt;"",H22,"")</f>
        <v>1</v>
      </c>
      <c r="R22" s="1079">
        <f t="shared" si="16"/>
        <v>1</v>
      </c>
      <c r="S22" s="1080">
        <v>20000</v>
      </c>
      <c r="T22" s="1080">
        <f t="shared" ref="T22:T26" si="17">IF(Q22&lt;&gt;"",Q22*R22*S22,"")</f>
        <v>20000</v>
      </c>
      <c r="U22" s="1081">
        <f t="shared" ref="U22:U26" si="18">IF(Q22&lt;&gt;"",K22-T22,"")</f>
        <v>3900</v>
      </c>
      <c r="V22" s="1082">
        <f t="shared" ref="V22:V26" si="19">IF(Q22&lt;&gt;"",0%,"")</f>
        <v>0</v>
      </c>
      <c r="W22" s="1083">
        <f t="shared" ref="W22:W26" si="20">IF(Q22&lt;&gt;"",V22*U22,"")</f>
        <v>0</v>
      </c>
      <c r="X22" s="1083">
        <f t="shared" ref="X22:X26" si="21">IF(Q22&lt;&gt;"",W22+T22,"")</f>
        <v>20000</v>
      </c>
      <c r="Y22" s="1084">
        <f t="shared" ref="Y22:Y27" si="22">IF(Q22&lt;&gt;"",X22+M22,"")</f>
        <v>26235.547719647075</v>
      </c>
      <c r="Z22" s="1057">
        <f t="shared" ref="Z22:Z26" si="23">IF(Q22&lt;&gt;"",U22/K22,"")</f>
        <v>0.16317991631799164</v>
      </c>
      <c r="AA22" s="1058">
        <f>T22/$T$27</f>
        <v>0.7700458331279878</v>
      </c>
    </row>
    <row r="23" spans="1:38" ht="32.4" x14ac:dyDescent="0.3">
      <c r="A23" s="65">
        <v>9</v>
      </c>
      <c r="B23" s="108" t="s">
        <v>91</v>
      </c>
      <c r="C23" s="66" t="s">
        <v>57</v>
      </c>
      <c r="D23" s="65" t="s">
        <v>88</v>
      </c>
      <c r="E23" s="65" t="s">
        <v>58</v>
      </c>
      <c r="F23" s="1072" t="s">
        <v>867</v>
      </c>
      <c r="G23" s="1073" t="s">
        <v>869</v>
      </c>
      <c r="H23" s="1074">
        <v>1</v>
      </c>
      <c r="I23" s="1074">
        <v>1</v>
      </c>
      <c r="J23" s="1085">
        <v>4200</v>
      </c>
      <c r="K23" s="1076">
        <f t="shared" si="12"/>
        <v>4200</v>
      </c>
      <c r="L23" s="1086">
        <f t="shared" si="13"/>
        <v>315</v>
      </c>
      <c r="M23" s="1086">
        <f t="shared" si="14"/>
        <v>1095.7866285572265</v>
      </c>
      <c r="N23" s="1087">
        <f t="shared" si="15"/>
        <v>5610.7866285572263</v>
      </c>
      <c r="Q23" s="1088">
        <f t="shared" si="16"/>
        <v>1</v>
      </c>
      <c r="R23" s="1052">
        <f t="shared" si="16"/>
        <v>1</v>
      </c>
      <c r="S23" s="1089">
        <v>2500</v>
      </c>
      <c r="T23" s="1060">
        <f t="shared" si="17"/>
        <v>2500</v>
      </c>
      <c r="U23" s="1054">
        <f t="shared" si="18"/>
        <v>1700</v>
      </c>
      <c r="V23" s="1055">
        <f t="shared" si="19"/>
        <v>0</v>
      </c>
      <c r="W23" s="1056">
        <f t="shared" si="20"/>
        <v>0</v>
      </c>
      <c r="X23" s="1056">
        <f t="shared" si="21"/>
        <v>2500</v>
      </c>
      <c r="Y23" s="67">
        <f t="shared" si="22"/>
        <v>3595.7866285572263</v>
      </c>
      <c r="Z23" s="1057">
        <f t="shared" si="23"/>
        <v>0.40476190476190477</v>
      </c>
      <c r="AA23" s="1058">
        <f>T23/$T$27</f>
        <v>9.6255729140998475E-2</v>
      </c>
    </row>
    <row r="24" spans="1:38" ht="32.4" x14ac:dyDescent="0.3">
      <c r="A24" s="65">
        <v>10</v>
      </c>
      <c r="B24" s="108" t="s">
        <v>94</v>
      </c>
      <c r="C24" s="66" t="s">
        <v>57</v>
      </c>
      <c r="D24" s="65" t="s">
        <v>88</v>
      </c>
      <c r="E24" s="65" t="s">
        <v>58</v>
      </c>
      <c r="F24" s="1072" t="s">
        <v>867</v>
      </c>
      <c r="G24" s="1045" t="s">
        <v>870</v>
      </c>
      <c r="H24" s="1046">
        <v>1</v>
      </c>
      <c r="I24" s="1046">
        <v>1</v>
      </c>
      <c r="J24" s="1075">
        <v>2760</v>
      </c>
      <c r="K24" s="1048">
        <f>IF(F24&lt;&gt;"",H24*I24*J24,"")</f>
        <v>2760</v>
      </c>
      <c r="L24" s="1049">
        <f t="shared" si="13"/>
        <v>207</v>
      </c>
      <c r="M24" s="1049">
        <f t="shared" si="14"/>
        <v>720.0883559090347</v>
      </c>
      <c r="N24" s="1050">
        <f t="shared" si="15"/>
        <v>3687.0883559090348</v>
      </c>
      <c r="Q24" s="1051">
        <f t="shared" si="16"/>
        <v>1</v>
      </c>
      <c r="R24" s="1052">
        <f t="shared" si="16"/>
        <v>1</v>
      </c>
      <c r="S24" s="1089">
        <f>(2000)*20%+(2000)</f>
        <v>2400</v>
      </c>
      <c r="T24" s="1060">
        <f t="shared" si="17"/>
        <v>2400</v>
      </c>
      <c r="U24" s="1054">
        <f t="shared" si="18"/>
        <v>360</v>
      </c>
      <c r="V24" s="1055">
        <f t="shared" si="19"/>
        <v>0</v>
      </c>
      <c r="W24" s="1056">
        <f t="shared" si="20"/>
        <v>0</v>
      </c>
      <c r="X24" s="1056">
        <f t="shared" si="21"/>
        <v>2400</v>
      </c>
      <c r="Y24" s="67">
        <f t="shared" si="22"/>
        <v>3120.0883559090348</v>
      </c>
      <c r="Z24" s="1057">
        <f t="shared" si="23"/>
        <v>0.13043478260869565</v>
      </c>
      <c r="AA24" s="1058">
        <f>T24/$T$27</f>
        <v>9.2405499975358532E-2</v>
      </c>
    </row>
    <row r="25" spans="1:38" ht="24" x14ac:dyDescent="0.3">
      <c r="A25" s="65">
        <v>11</v>
      </c>
      <c r="B25" s="108" t="s">
        <v>97</v>
      </c>
      <c r="C25" s="66" t="s">
        <v>57</v>
      </c>
      <c r="D25" s="65" t="s">
        <v>88</v>
      </c>
      <c r="E25" s="65" t="s">
        <v>58</v>
      </c>
      <c r="F25" s="1072" t="s">
        <v>871</v>
      </c>
      <c r="G25" s="1090"/>
      <c r="H25" s="1046">
        <v>1</v>
      </c>
      <c r="I25" s="1046">
        <v>1</v>
      </c>
      <c r="J25" s="1091">
        <v>0</v>
      </c>
      <c r="K25" s="1048">
        <f>IF(F25&lt;&gt;"",H25*I25*J25,"")</f>
        <v>0</v>
      </c>
      <c r="L25" s="1049">
        <f t="shared" si="13"/>
        <v>0</v>
      </c>
      <c r="M25" s="1049">
        <f t="shared" si="14"/>
        <v>0</v>
      </c>
      <c r="N25" s="1050">
        <f t="shared" si="15"/>
        <v>0</v>
      </c>
      <c r="Q25" s="1051">
        <f t="shared" si="16"/>
        <v>1</v>
      </c>
      <c r="R25" s="1052">
        <f t="shared" si="16"/>
        <v>1</v>
      </c>
      <c r="S25" s="1089">
        <v>1072.48</v>
      </c>
      <c r="T25" s="1060">
        <v>1072.48</v>
      </c>
      <c r="U25" s="1054">
        <f>IF(Q25&lt;&gt;"",K25-T25,"")</f>
        <v>-1072.48</v>
      </c>
      <c r="V25" s="1055">
        <f t="shared" si="19"/>
        <v>0</v>
      </c>
      <c r="W25" s="1056">
        <f t="shared" si="20"/>
        <v>0</v>
      </c>
      <c r="X25" s="1056">
        <f t="shared" si="21"/>
        <v>1072.48</v>
      </c>
      <c r="Y25" s="67">
        <f t="shared" si="22"/>
        <v>1072.48</v>
      </c>
      <c r="Z25" s="1057" t="e">
        <f t="shared" si="23"/>
        <v>#DIV/0!</v>
      </c>
      <c r="AA25" s="1058">
        <f>T25/$T$27</f>
        <v>4.1292937755655221E-2</v>
      </c>
    </row>
    <row r="26" spans="1:38" ht="32.4" x14ac:dyDescent="0.3">
      <c r="A26" s="65">
        <v>11</v>
      </c>
      <c r="B26" s="108" t="s">
        <v>97</v>
      </c>
      <c r="C26" s="66" t="s">
        <v>57</v>
      </c>
      <c r="D26" s="65" t="s">
        <v>88</v>
      </c>
      <c r="E26" s="65" t="s">
        <v>58</v>
      </c>
      <c r="F26" s="1044" t="s">
        <v>867</v>
      </c>
      <c r="G26" s="1092" t="s">
        <v>872</v>
      </c>
      <c r="H26" s="1046">
        <v>1</v>
      </c>
      <c r="I26" s="1046">
        <v>1</v>
      </c>
      <c r="J26" s="68">
        <v>450</v>
      </c>
      <c r="K26" s="1048">
        <f>IF(F26&lt;&gt;"",H26*I26*J26,"")</f>
        <v>450</v>
      </c>
      <c r="L26" s="1048">
        <f t="shared" si="13"/>
        <v>33.75</v>
      </c>
      <c r="M26" s="1048">
        <f t="shared" si="14"/>
        <v>117.40571020256</v>
      </c>
      <c r="N26" s="1059">
        <f t="shared" si="15"/>
        <v>601.15571020256004</v>
      </c>
      <c r="Q26" s="1051">
        <f t="shared" si="16"/>
        <v>1</v>
      </c>
      <c r="R26" s="1052">
        <v>0</v>
      </c>
      <c r="S26" s="1093">
        <v>550</v>
      </c>
      <c r="T26" s="1053">
        <f t="shared" si="17"/>
        <v>0</v>
      </c>
      <c r="U26" s="1054">
        <f t="shared" si="18"/>
        <v>450</v>
      </c>
      <c r="V26" s="1055">
        <f t="shared" si="19"/>
        <v>0</v>
      </c>
      <c r="W26" s="1056">
        <f t="shared" si="20"/>
        <v>0</v>
      </c>
      <c r="X26" s="1056">
        <f t="shared" si="21"/>
        <v>0</v>
      </c>
      <c r="Y26" s="67">
        <f t="shared" si="22"/>
        <v>117.40571020256</v>
      </c>
      <c r="Z26" s="1057">
        <f t="shared" si="23"/>
        <v>1</v>
      </c>
      <c r="AA26" s="1058">
        <f>T26/$T$27</f>
        <v>0</v>
      </c>
    </row>
    <row r="27" spans="1:38" ht="30" customHeight="1" thickBot="1" x14ac:dyDescent="0.4">
      <c r="A27" s="1034">
        <v>12</v>
      </c>
      <c r="B27" s="108"/>
      <c r="C27" s="1035" t="s">
        <v>83</v>
      </c>
      <c r="D27" s="1034"/>
      <c r="E27" s="1034"/>
      <c r="F27" s="1450" t="s">
        <v>864</v>
      </c>
      <c r="G27" s="1451"/>
      <c r="H27" s="1451"/>
      <c r="I27" s="1451"/>
      <c r="J27" s="1451"/>
      <c r="K27" s="1061">
        <f>SUM(K22:K26)</f>
        <v>31310</v>
      </c>
      <c r="L27" s="1061">
        <f>SUM(L22:L26)</f>
        <v>2348.25</v>
      </c>
      <c r="M27" s="1061">
        <f>SUM(M22:M26)</f>
        <v>8168.8284143158962</v>
      </c>
      <c r="N27" s="1062">
        <f>SUM(N22:N26)</f>
        <v>41827.078414315896</v>
      </c>
      <c r="Q27" s="1452" t="s">
        <v>84</v>
      </c>
      <c r="R27" s="1453"/>
      <c r="S27" s="1454"/>
      <c r="T27" s="1063">
        <f>SUM(T22:T26)</f>
        <v>25972.48</v>
      </c>
      <c r="U27" s="1064">
        <f>SUM(U22:U26)</f>
        <v>5337.52</v>
      </c>
      <c r="V27" s="1065"/>
      <c r="W27" s="1066"/>
      <c r="X27" s="1067">
        <f>SUM(X22:X26)</f>
        <v>25972.48</v>
      </c>
      <c r="Y27" s="1068">
        <f t="shared" si="22"/>
        <v>34141.308414315892</v>
      </c>
    </row>
    <row r="28" spans="1:38" ht="36.75" customHeight="1" thickBot="1" x14ac:dyDescent="0.4">
      <c r="A28" s="65">
        <v>13</v>
      </c>
      <c r="B28" s="108">
        <v>3</v>
      </c>
      <c r="C28" s="66" t="s">
        <v>48</v>
      </c>
      <c r="D28" s="65"/>
      <c r="E28" s="65"/>
      <c r="F28" s="1430" t="s">
        <v>873</v>
      </c>
      <c r="G28" s="1431"/>
      <c r="H28" s="1431"/>
      <c r="I28" s="1431"/>
      <c r="J28" s="1431"/>
      <c r="K28" s="1431"/>
      <c r="L28" s="1431"/>
      <c r="M28" s="1431"/>
      <c r="N28" s="1432"/>
      <c r="Q28" s="1433" t="str">
        <f>IF(F28&lt;&gt;"",F28,"")</f>
        <v>ATIVAÇÕES CHANDELLE</v>
      </c>
      <c r="R28" s="1434"/>
      <c r="S28" s="1434"/>
      <c r="T28" s="1434"/>
      <c r="U28" s="1434"/>
      <c r="V28" s="1434"/>
      <c r="W28" s="1434"/>
      <c r="X28" s="1434"/>
      <c r="Y28" s="1435"/>
    </row>
    <row r="29" spans="1:38" ht="30" customHeight="1" thickBot="1" x14ac:dyDescent="0.4">
      <c r="A29" s="65">
        <v>14</v>
      </c>
      <c r="B29" s="108" t="s">
        <v>128</v>
      </c>
      <c r="C29" s="66" t="s">
        <v>51</v>
      </c>
      <c r="D29" s="65"/>
      <c r="E29" s="65"/>
      <c r="F29" s="1436" t="s">
        <v>874</v>
      </c>
      <c r="G29" s="1437"/>
      <c r="H29" s="1437"/>
      <c r="I29" s="1437"/>
      <c r="J29" s="1437"/>
      <c r="K29" s="1438"/>
      <c r="L29" s="61" t="s">
        <v>53</v>
      </c>
      <c r="M29" s="62" t="s">
        <v>54</v>
      </c>
      <c r="N29" s="1043" t="s">
        <v>28</v>
      </c>
      <c r="Q29" s="1444" t="str">
        <f>IF(F29&lt;&gt;"",F29,"")</f>
        <v xml:space="preserve"> Pote Gigante </v>
      </c>
      <c r="R29" s="1445"/>
      <c r="S29" s="1445"/>
      <c r="T29" s="1445"/>
      <c r="U29" s="1445"/>
      <c r="V29" s="1445"/>
      <c r="W29" s="1445"/>
      <c r="X29" s="1445"/>
      <c r="Y29" s="1446"/>
      <c r="Z29" s="63" t="s">
        <v>55</v>
      </c>
      <c r="AA29" s="64" t="s">
        <v>39</v>
      </c>
    </row>
    <row r="30" spans="1:38" ht="48.6" x14ac:dyDescent="0.3">
      <c r="A30" s="65">
        <v>15</v>
      </c>
      <c r="B30" s="108" t="s">
        <v>129</v>
      </c>
      <c r="C30" s="66" t="s">
        <v>57</v>
      </c>
      <c r="D30" s="65" t="s">
        <v>88</v>
      </c>
      <c r="E30" s="65" t="s">
        <v>58</v>
      </c>
      <c r="F30" s="1072" t="s">
        <v>867</v>
      </c>
      <c r="G30" s="1073" t="s">
        <v>875</v>
      </c>
      <c r="H30" s="1074">
        <v>1</v>
      </c>
      <c r="I30" s="1074">
        <v>1</v>
      </c>
      <c r="J30" s="1075">
        <v>7176</v>
      </c>
      <c r="K30" s="1076">
        <f t="shared" ref="K30" si="24">IF(F30&lt;&gt;"",H30*I30*J30,"")</f>
        <v>7176</v>
      </c>
      <c r="L30" s="1048">
        <f>IF(K30&lt;&gt;"",IF(D30="INTERNO",0,K30*$L$14),"")</f>
        <v>538.19999999999993</v>
      </c>
      <c r="M30" s="1048">
        <f>IF(K30&lt;&gt;"",IF(E30="FAT.OGGI",SUM(K30:L30)*(1/(1-$M$14)-1),L30*(1/(1-$M$14)-1)),"")</f>
        <v>1872.2297253634902</v>
      </c>
      <c r="N30" s="1059">
        <f>SUM(K30:M30)</f>
        <v>9586.4297253634904</v>
      </c>
      <c r="Q30" s="1094">
        <f>IF(H30&lt;&gt;"",H30,"")</f>
        <v>1</v>
      </c>
      <c r="R30" s="1095">
        <f>IF(I30&lt;&gt;"",I30,"")</f>
        <v>1</v>
      </c>
      <c r="S30" s="1089">
        <f>(3400+1800)*20%+(3400+1800)</f>
        <v>6240</v>
      </c>
      <c r="T30" s="1096">
        <f>IF(Q30&lt;&gt;"",Q30*R30*S30,"")</f>
        <v>6240</v>
      </c>
      <c r="U30" s="1097">
        <f>IF(Q30&lt;&gt;"",K30-T30,"")</f>
        <v>936</v>
      </c>
      <c r="V30" s="1098">
        <f>IF(Q30&lt;&gt;"",0%,"")</f>
        <v>0</v>
      </c>
      <c r="W30" s="1099">
        <f>IF(Q30&lt;&gt;"",V30*U30,"")</f>
        <v>0</v>
      </c>
      <c r="X30" s="1099">
        <f>IF(Q30&lt;&gt;"",W30+T30,"")</f>
        <v>6240</v>
      </c>
      <c r="Y30" s="1100">
        <f>IF(Q30&lt;&gt;"",X30+M30,"")</f>
        <v>8112.2297253634897</v>
      </c>
      <c r="Z30" s="1057">
        <f>IF(Q30&lt;&gt;"",U30/K30,"")</f>
        <v>0.13043478260869565</v>
      </c>
      <c r="AA30" s="1058">
        <f>T30/T34</f>
        <v>0.2696629213483146</v>
      </c>
    </row>
    <row r="31" spans="1:38" ht="48.6" x14ac:dyDescent="0.3">
      <c r="A31" s="65">
        <v>16</v>
      </c>
      <c r="B31" s="108" t="s">
        <v>132</v>
      </c>
      <c r="C31" s="66" t="s">
        <v>57</v>
      </c>
      <c r="D31" s="65" t="s">
        <v>88</v>
      </c>
      <c r="E31" s="65" t="s">
        <v>58</v>
      </c>
      <c r="F31" s="1072" t="s">
        <v>867</v>
      </c>
      <c r="G31" s="1101" t="s">
        <v>876</v>
      </c>
      <c r="H31" s="1102">
        <v>1</v>
      </c>
      <c r="I31" s="1102">
        <v>1</v>
      </c>
      <c r="J31" s="1103">
        <v>9100</v>
      </c>
      <c r="K31" s="68">
        <f>IF(F31&lt;&gt;"",H31*I31*J31,"")</f>
        <v>9100</v>
      </c>
      <c r="L31" s="1048">
        <f>IF(K31&lt;&gt;"",IF(D31="INTERNO",0,K31*$L$14),"")</f>
        <v>682.5</v>
      </c>
      <c r="M31" s="1048">
        <f>IF(K31&lt;&gt;"",IF(E31="FAT.OGGI",SUM(K31:L31)*(1/(1-$M$14)-1),L31*(1/(1-$M$14)-1)),"")</f>
        <v>2374.2043618739913</v>
      </c>
      <c r="N31" s="1059">
        <f>SUM(K31:M31)</f>
        <v>12156.704361873992</v>
      </c>
      <c r="Q31" s="1104">
        <f>IF(H31&lt;&gt;"",H31,"")</f>
        <v>1</v>
      </c>
      <c r="R31" s="1105">
        <f>IF(I31&lt;&gt;"",I31,"")</f>
        <v>1</v>
      </c>
      <c r="S31" s="1060">
        <v>6500</v>
      </c>
      <c r="T31" s="1106">
        <f t="shared" ref="T31:T33" si="25">IF(Q31&lt;&gt;"",Q31*R31*S31,"")</f>
        <v>6500</v>
      </c>
      <c r="U31" s="1107">
        <f t="shared" ref="U31:U33" si="26">IF(Q31&lt;&gt;"",K31-T31,"")</f>
        <v>2600</v>
      </c>
      <c r="V31" s="1108">
        <f t="shared" ref="V31:V33" si="27">IF(Q31&lt;&gt;"",0%,"")</f>
        <v>0</v>
      </c>
      <c r="W31" s="1109">
        <f t="shared" ref="W31:W33" si="28">IF(Q31&lt;&gt;"",V31*U31,"")</f>
        <v>0</v>
      </c>
      <c r="X31" s="1109">
        <f t="shared" ref="X31:X33" si="29">IF(Q31&lt;&gt;"",W31+T31,"")</f>
        <v>6500</v>
      </c>
      <c r="Y31" s="1110">
        <f t="shared" ref="Y31:Y33" si="30">IF(Q31&lt;&gt;"",X31+M31,"")</f>
        <v>8874.2043618739917</v>
      </c>
      <c r="Z31" s="1057">
        <f t="shared" ref="Z31:Z33" si="31">IF(Q31&lt;&gt;"",U31/K31,"")</f>
        <v>0.2857142857142857</v>
      </c>
      <c r="AA31" s="1058" t="e">
        <f>T31/#REF!</f>
        <v>#REF!</v>
      </c>
    </row>
    <row r="32" spans="1:38" ht="24" x14ac:dyDescent="0.3">
      <c r="A32" s="65">
        <v>17</v>
      </c>
      <c r="B32" s="108" t="s">
        <v>135</v>
      </c>
      <c r="C32" s="66" t="s">
        <v>57</v>
      </c>
      <c r="D32" s="65" t="s">
        <v>88</v>
      </c>
      <c r="E32" s="65" t="s">
        <v>58</v>
      </c>
      <c r="F32" s="1072" t="s">
        <v>867</v>
      </c>
      <c r="G32" s="1045" t="s">
        <v>877</v>
      </c>
      <c r="H32" s="1046">
        <v>1</v>
      </c>
      <c r="I32" s="1046">
        <v>1</v>
      </c>
      <c r="J32" s="1075">
        <v>7350</v>
      </c>
      <c r="K32" s="1048">
        <f>IF(F32&lt;&gt;"",H32*I32*J32,"")</f>
        <v>7350</v>
      </c>
      <c r="L32" s="1048">
        <f t="shared" ref="L32:L33" si="32">IF(K32&lt;&gt;"",IF(D32="INTERNO",0,K32*$L$14),"")</f>
        <v>551.25</v>
      </c>
      <c r="M32" s="1048">
        <f t="shared" ref="M32:M33" si="33">IF(K32&lt;&gt;"",IF(E32="FAT.OGGI",SUM(K32:L32)*(1/(1-$M$14)-1),L32*(1/(1-$M$14)-1)),"")</f>
        <v>1917.6265999751467</v>
      </c>
      <c r="N32" s="1059">
        <f t="shared" ref="N32:N33" si="34">SUM(K32:M32)</f>
        <v>9818.8765999751467</v>
      </c>
      <c r="Q32" s="1104">
        <f t="shared" ref="Q32:R33" si="35">IF(H32&lt;&gt;"",H32,"")</f>
        <v>1</v>
      </c>
      <c r="R32" s="1105">
        <f t="shared" si="35"/>
        <v>1</v>
      </c>
      <c r="S32" s="1060">
        <f>4500*20%+4500</f>
        <v>5400</v>
      </c>
      <c r="T32" s="1106">
        <f t="shared" si="25"/>
        <v>5400</v>
      </c>
      <c r="U32" s="1107">
        <f t="shared" si="26"/>
        <v>1950</v>
      </c>
      <c r="V32" s="1108">
        <f t="shared" si="27"/>
        <v>0</v>
      </c>
      <c r="W32" s="1109">
        <f t="shared" si="28"/>
        <v>0</v>
      </c>
      <c r="X32" s="1109">
        <f t="shared" si="29"/>
        <v>5400</v>
      </c>
      <c r="Y32" s="1110">
        <f t="shared" si="30"/>
        <v>7317.6265999751467</v>
      </c>
      <c r="Z32" s="1057">
        <f t="shared" si="31"/>
        <v>0.26530612244897961</v>
      </c>
      <c r="AA32" s="1058" t="e">
        <f>T32/#REF!</f>
        <v>#REF!</v>
      </c>
    </row>
    <row r="33" spans="1:27" ht="32.4" x14ac:dyDescent="0.3">
      <c r="A33" s="65">
        <v>18</v>
      </c>
      <c r="B33" s="108" t="s">
        <v>878</v>
      </c>
      <c r="C33" s="66" t="s">
        <v>57</v>
      </c>
      <c r="D33" s="65" t="s">
        <v>88</v>
      </c>
      <c r="E33" s="65" t="s">
        <v>58</v>
      </c>
      <c r="F33" s="1072" t="s">
        <v>867</v>
      </c>
      <c r="G33" s="1045" t="s">
        <v>879</v>
      </c>
      <c r="H33" s="1046">
        <v>1</v>
      </c>
      <c r="I33" s="1046">
        <v>1</v>
      </c>
      <c r="J33" s="1075">
        <v>6210</v>
      </c>
      <c r="K33" s="1048">
        <f>IF(F33&lt;&gt;"",H33*I33*J33,"")</f>
        <v>6210</v>
      </c>
      <c r="L33" s="1048">
        <f t="shared" si="32"/>
        <v>465.75</v>
      </c>
      <c r="M33" s="1048">
        <f t="shared" si="33"/>
        <v>1620.198800795328</v>
      </c>
      <c r="N33" s="1059">
        <f t="shared" si="34"/>
        <v>8295.9488007953278</v>
      </c>
      <c r="Q33" s="1104">
        <f t="shared" si="35"/>
        <v>1</v>
      </c>
      <c r="R33" s="1105">
        <f t="shared" si="35"/>
        <v>1</v>
      </c>
      <c r="S33" s="1060">
        <v>5000</v>
      </c>
      <c r="T33" s="1106">
        <f t="shared" si="25"/>
        <v>5000</v>
      </c>
      <c r="U33" s="1107">
        <f t="shared" si="26"/>
        <v>1210</v>
      </c>
      <c r="V33" s="1108">
        <f t="shared" si="27"/>
        <v>0</v>
      </c>
      <c r="W33" s="1109">
        <f t="shared" si="28"/>
        <v>0</v>
      </c>
      <c r="X33" s="1109">
        <f t="shared" si="29"/>
        <v>5000</v>
      </c>
      <c r="Y33" s="1110">
        <f t="shared" si="30"/>
        <v>6620.1988007953278</v>
      </c>
      <c r="Z33" s="1057">
        <f t="shared" si="31"/>
        <v>0.19484702093397746</v>
      </c>
      <c r="AA33" s="1058" t="e">
        <f>T33/#REF!</f>
        <v>#REF!</v>
      </c>
    </row>
    <row r="34" spans="1:27" ht="30" customHeight="1" thickBot="1" x14ac:dyDescent="0.4">
      <c r="A34" s="59">
        <v>19</v>
      </c>
      <c r="B34" s="108"/>
      <c r="C34" s="60" t="s">
        <v>83</v>
      </c>
      <c r="D34" s="59"/>
      <c r="E34" s="59"/>
      <c r="F34" s="1439" t="s">
        <v>151</v>
      </c>
      <c r="G34" s="1440"/>
      <c r="H34" s="1440"/>
      <c r="I34" s="1440"/>
      <c r="J34" s="1440"/>
      <c r="K34" s="1061">
        <f>SUM(K30:K33)</f>
        <v>29836</v>
      </c>
      <c r="L34" s="1061">
        <f>SUM(L30:L33)</f>
        <v>2237.6999999999998</v>
      </c>
      <c r="M34" s="1061">
        <f>SUM(M30:M33)</f>
        <v>7784.259488007956</v>
      </c>
      <c r="N34" s="1062">
        <f>SUM(N30:N33)</f>
        <v>39857.959488007953</v>
      </c>
      <c r="Q34" s="1441" t="s">
        <v>140</v>
      </c>
      <c r="R34" s="1442"/>
      <c r="S34" s="1443"/>
      <c r="T34" s="1111">
        <f>SUM(T30:T33)</f>
        <v>23140</v>
      </c>
      <c r="U34" s="1112">
        <f>SUM(U30:U33)</f>
        <v>6696</v>
      </c>
      <c r="V34" s="1113"/>
      <c r="W34" s="1114"/>
      <c r="X34" s="1115">
        <f>SUM(X30:X33)</f>
        <v>23140</v>
      </c>
      <c r="Y34" s="1068">
        <f>IF(Q34&lt;&gt;"",X34+M34,"")</f>
        <v>30924.259488007956</v>
      </c>
    </row>
    <row r="35" spans="1:27" ht="36.75" customHeight="1" thickBot="1" x14ac:dyDescent="0.4">
      <c r="A35" s="65">
        <v>20</v>
      </c>
      <c r="B35" s="108">
        <v>4</v>
      </c>
      <c r="C35" s="66" t="s">
        <v>48</v>
      </c>
      <c r="D35" s="65"/>
      <c r="E35" s="65"/>
      <c r="F35" s="1430" t="s">
        <v>880</v>
      </c>
      <c r="G35" s="1431"/>
      <c r="H35" s="1431"/>
      <c r="I35" s="1431"/>
      <c r="J35" s="1431"/>
      <c r="K35" s="1431"/>
      <c r="L35" s="1431"/>
      <c r="M35" s="1431"/>
      <c r="N35" s="1432"/>
      <c r="Q35" s="1433" t="str">
        <f>IF(F35&lt;&gt;"",F35,"")</f>
        <v>ATIVAÇÕES NESTLE GREGO</v>
      </c>
      <c r="R35" s="1434"/>
      <c r="S35" s="1434"/>
      <c r="T35" s="1434"/>
      <c r="U35" s="1434"/>
      <c r="V35" s="1434"/>
      <c r="W35" s="1434"/>
      <c r="X35" s="1434"/>
      <c r="Y35" s="1435"/>
    </row>
    <row r="36" spans="1:27" ht="30" customHeight="1" x14ac:dyDescent="0.35">
      <c r="A36" s="65">
        <v>21</v>
      </c>
      <c r="B36" s="108" t="s">
        <v>142</v>
      </c>
      <c r="C36" s="66" t="s">
        <v>51</v>
      </c>
      <c r="D36" s="65"/>
      <c r="E36" s="65"/>
      <c r="F36" s="1436" t="s">
        <v>881</v>
      </c>
      <c r="G36" s="1437"/>
      <c r="H36" s="1437"/>
      <c r="I36" s="1437"/>
      <c r="J36" s="1437"/>
      <c r="K36" s="1438"/>
      <c r="L36" s="61" t="s">
        <v>53</v>
      </c>
      <c r="M36" s="62" t="s">
        <v>54</v>
      </c>
      <c r="N36" s="1043" t="s">
        <v>28</v>
      </c>
      <c r="Q36" s="1299" t="str">
        <f>IF(F36&lt;&gt;"",F36,"")</f>
        <v>Universo Grego</v>
      </c>
      <c r="R36" s="1300"/>
      <c r="S36" s="1300"/>
      <c r="T36" s="1300"/>
      <c r="U36" s="1300"/>
      <c r="V36" s="1300"/>
      <c r="W36" s="1300"/>
      <c r="X36" s="1300"/>
      <c r="Y36" s="1302"/>
      <c r="Z36" s="63" t="s">
        <v>55</v>
      </c>
      <c r="AA36" s="64" t="s">
        <v>39</v>
      </c>
    </row>
    <row r="37" spans="1:27" ht="48.6" x14ac:dyDescent="0.3">
      <c r="A37" s="65">
        <v>22</v>
      </c>
      <c r="B37" s="108" t="s">
        <v>143</v>
      </c>
      <c r="C37" s="66" t="s">
        <v>57</v>
      </c>
      <c r="D37" s="65" t="s">
        <v>88</v>
      </c>
      <c r="E37" s="65" t="s">
        <v>58</v>
      </c>
      <c r="F37" s="1072" t="s">
        <v>867</v>
      </c>
      <c r="G37" s="1073" t="s">
        <v>882</v>
      </c>
      <c r="H37" s="1074">
        <v>1</v>
      </c>
      <c r="I37" s="1074">
        <v>1</v>
      </c>
      <c r="J37" s="1075">
        <v>8694</v>
      </c>
      <c r="K37" s="1076">
        <f>IF(F37&lt;&gt;"",H37*I37*J37,"")</f>
        <v>8694</v>
      </c>
      <c r="L37" s="1048">
        <f>IF(K37&lt;&gt;"",IF(D37="INTERNO",0,K37*$L$14),"")</f>
        <v>652.04999999999995</v>
      </c>
      <c r="M37" s="1048">
        <f>IF(K37&lt;&gt;"",IF(E37="FAT.OGGI",SUM(K37:L37)*(1/(1-$M$14)-1),L37*(1/(1-$M$14)-1)),"")</f>
        <v>2268.2783211134588</v>
      </c>
      <c r="N37" s="1059">
        <f>SUM(K37:M37)</f>
        <v>11614.328321113459</v>
      </c>
      <c r="Q37" s="1094">
        <f>IF(H37&lt;&gt;"",H37,"")</f>
        <v>1</v>
      </c>
      <c r="R37" s="1095">
        <f>IF(I37&lt;&gt;"",I37,"")</f>
        <v>1</v>
      </c>
      <c r="S37" s="1089">
        <f>(3400+2900)*20%+(3400+2900)</f>
        <v>7560</v>
      </c>
      <c r="T37" s="1096">
        <f>IF(Q37&lt;&gt;"",Q37*R37*S37,"")</f>
        <v>7560</v>
      </c>
      <c r="U37" s="1097">
        <f>IF(Q37&lt;&gt;"",K37-T37,"")</f>
        <v>1134</v>
      </c>
      <c r="V37" s="1098">
        <f>IF(Q37&lt;&gt;"",0%,"")</f>
        <v>0</v>
      </c>
      <c r="W37" s="1099">
        <f>IF(Q37&lt;&gt;"",V37*U37,"")</f>
        <v>0</v>
      </c>
      <c r="X37" s="1099">
        <f>IF(Q37&lt;&gt;"",W37+T37,"")</f>
        <v>7560</v>
      </c>
      <c r="Y37" s="1100">
        <f>IF(Q37&lt;&gt;"",X37+M37,"")</f>
        <v>9828.2783211134592</v>
      </c>
      <c r="Z37" s="1057">
        <f>IF(Q37&lt;&gt;"",U37/K37,"")</f>
        <v>0.13043478260869565</v>
      </c>
      <c r="AA37" s="1058">
        <f>T37/T40</f>
        <v>0.50636302746148698</v>
      </c>
    </row>
    <row r="38" spans="1:27" ht="32.4" x14ac:dyDescent="0.3">
      <c r="A38" s="65">
        <v>23</v>
      </c>
      <c r="B38" s="108" t="s">
        <v>146</v>
      </c>
      <c r="C38" s="66" t="s">
        <v>57</v>
      </c>
      <c r="D38" s="65" t="s">
        <v>88</v>
      </c>
      <c r="E38" s="65" t="s">
        <v>58</v>
      </c>
      <c r="F38" s="1072" t="s">
        <v>867</v>
      </c>
      <c r="G38" s="1045" t="s">
        <v>883</v>
      </c>
      <c r="H38" s="1046">
        <v>1</v>
      </c>
      <c r="I38" s="1046">
        <v>1</v>
      </c>
      <c r="J38" s="1075">
        <v>4002</v>
      </c>
      <c r="K38" s="1048">
        <f t="shared" ref="K38:K39" si="36">IF(F38&lt;&gt;"",H38*I38*J38,"")</f>
        <v>4002</v>
      </c>
      <c r="L38" s="1048">
        <f t="shared" ref="L38:L39" si="37">IF(K38&lt;&gt;"",IF(D38="INTERNO",0,K38*$L$14),"")</f>
        <v>300.14999999999998</v>
      </c>
      <c r="M38" s="1048">
        <f t="shared" ref="M38:M39" si="38">IF(K38&lt;&gt;"",IF(E38="FAT.OGGI",SUM(K38:L38)*(1/(1-$M$14)-1),L38*(1/(1-$M$14)-1)),"")</f>
        <v>1044.1281160681001</v>
      </c>
      <c r="N38" s="1059">
        <f t="shared" ref="N38:N39" si="39">SUM(K38:M38)</f>
        <v>5346.2781160680997</v>
      </c>
      <c r="Q38" s="1104">
        <f t="shared" ref="Q38:R39" si="40">IF(H38&lt;&gt;"",H38,"")</f>
        <v>1</v>
      </c>
      <c r="R38" s="1105">
        <f t="shared" si="40"/>
        <v>1</v>
      </c>
      <c r="S38" s="1060">
        <f>2900*20%+2900</f>
        <v>3480</v>
      </c>
      <c r="T38" s="1106">
        <f t="shared" ref="T38:T39" si="41">IF(Q38&lt;&gt;"",Q38*R38*S38,"")</f>
        <v>3480</v>
      </c>
      <c r="U38" s="1107">
        <f t="shared" ref="U38:U39" si="42">IF(Q38&lt;&gt;"",K38-T38,"")</f>
        <v>522</v>
      </c>
      <c r="V38" s="1108">
        <f t="shared" ref="V38:V39" si="43">IF(Q38&lt;&gt;"",0%,"")</f>
        <v>0</v>
      </c>
      <c r="W38" s="1109">
        <f t="shared" ref="W38:W39" si="44">IF(Q38&lt;&gt;"",V38*U38,"")</f>
        <v>0</v>
      </c>
      <c r="X38" s="1109">
        <f t="shared" ref="X38:X39" si="45">IF(Q38&lt;&gt;"",W38+T38,"")</f>
        <v>3480</v>
      </c>
      <c r="Y38" s="1110">
        <f t="shared" ref="Y38:Y39" si="46">IF(Q38&lt;&gt;"",X38+M38,"")</f>
        <v>4524.1281160681001</v>
      </c>
      <c r="Z38" s="1057">
        <f t="shared" ref="Z38:Z39" si="47">IF(Q38&lt;&gt;"",U38/K38,"")</f>
        <v>0.13043478260869565</v>
      </c>
      <c r="AA38" s="1058" t="e">
        <f>T38/#REF!</f>
        <v>#REF!</v>
      </c>
    </row>
    <row r="39" spans="1:27" ht="24" x14ac:dyDescent="0.3">
      <c r="A39" s="65">
        <v>24</v>
      </c>
      <c r="B39" s="108" t="s">
        <v>884</v>
      </c>
      <c r="C39" s="66" t="s">
        <v>57</v>
      </c>
      <c r="D39" s="65" t="s">
        <v>88</v>
      </c>
      <c r="E39" s="65" t="s">
        <v>58</v>
      </c>
      <c r="F39" s="1116" t="s">
        <v>885</v>
      </c>
      <c r="G39" s="1117" t="s">
        <v>886</v>
      </c>
      <c r="H39" s="1118">
        <v>1</v>
      </c>
      <c r="I39" s="1118">
        <v>1</v>
      </c>
      <c r="J39" s="1119">
        <v>4890</v>
      </c>
      <c r="K39" s="1048">
        <f t="shared" si="36"/>
        <v>4890</v>
      </c>
      <c r="L39" s="1048">
        <f t="shared" si="37"/>
        <v>366.75</v>
      </c>
      <c r="M39" s="1048">
        <f t="shared" si="38"/>
        <v>1275.8087175344854</v>
      </c>
      <c r="N39" s="1059">
        <f t="shared" si="39"/>
        <v>6532.5587175344854</v>
      </c>
      <c r="Q39" s="1120">
        <f t="shared" si="40"/>
        <v>1</v>
      </c>
      <c r="R39" s="1121">
        <v>1</v>
      </c>
      <c r="S39" s="1122">
        <v>3890</v>
      </c>
      <c r="T39" s="1122">
        <f t="shared" si="41"/>
        <v>3890</v>
      </c>
      <c r="U39" s="1123">
        <f t="shared" si="42"/>
        <v>1000</v>
      </c>
      <c r="V39" s="69">
        <f t="shared" si="43"/>
        <v>0</v>
      </c>
      <c r="W39" s="70">
        <f t="shared" si="44"/>
        <v>0</v>
      </c>
      <c r="X39" s="70">
        <f t="shared" si="45"/>
        <v>3890</v>
      </c>
      <c r="Y39" s="67">
        <f t="shared" si="46"/>
        <v>5165.8087175344854</v>
      </c>
      <c r="Z39" s="1057">
        <f t="shared" si="47"/>
        <v>0.20449897750511248</v>
      </c>
      <c r="AA39" s="1058">
        <f>T39/T40</f>
        <v>0.26054922973878097</v>
      </c>
    </row>
    <row r="40" spans="1:27" ht="30" customHeight="1" thickBot="1" x14ac:dyDescent="0.4">
      <c r="A40" s="59">
        <v>25</v>
      </c>
      <c r="B40" s="108"/>
      <c r="C40" s="60" t="s">
        <v>83</v>
      </c>
      <c r="D40" s="59"/>
      <c r="E40" s="59"/>
      <c r="F40" s="1439" t="s">
        <v>151</v>
      </c>
      <c r="G40" s="1440"/>
      <c r="H40" s="1440"/>
      <c r="I40" s="1440"/>
      <c r="J40" s="1440"/>
      <c r="K40" s="1124">
        <f>SUM(K37:K39)</f>
        <v>17586</v>
      </c>
      <c r="L40" s="1124">
        <f>SUM(L37:L39)</f>
        <v>1318.9499999999998</v>
      </c>
      <c r="M40" s="1124">
        <f>SUM(M37:M39)</f>
        <v>4588.2151547160447</v>
      </c>
      <c r="N40" s="1125">
        <f>SUM(N37:N39)</f>
        <v>23493.165154716044</v>
      </c>
      <c r="Q40" s="1441" t="s">
        <v>140</v>
      </c>
      <c r="R40" s="1442"/>
      <c r="S40" s="1443"/>
      <c r="T40" s="1126">
        <f>SUM(T37:T39)</f>
        <v>14930</v>
      </c>
      <c r="U40" s="1127">
        <f>SUM(U37:U39)</f>
        <v>2656</v>
      </c>
      <c r="V40" s="1098"/>
      <c r="W40" s="1099"/>
      <c r="X40" s="1128">
        <f>SUM(X37:X39)</f>
        <v>14930</v>
      </c>
      <c r="Y40" s="1129">
        <f>IF(Q40&lt;&gt;"",X40+M40,"")</f>
        <v>19518.215154716047</v>
      </c>
    </row>
    <row r="41" spans="1:27" ht="36.75" customHeight="1" thickBot="1" x14ac:dyDescent="0.4">
      <c r="A41" s="65">
        <v>26</v>
      </c>
      <c r="B41" s="108">
        <v>5</v>
      </c>
      <c r="C41" s="66" t="s">
        <v>48</v>
      </c>
      <c r="D41" s="65"/>
      <c r="E41" s="65"/>
      <c r="F41" s="1418" t="s">
        <v>867</v>
      </c>
      <c r="G41" s="1419"/>
      <c r="H41" s="1419"/>
      <c r="I41" s="1419"/>
      <c r="J41" s="1419"/>
      <c r="K41" s="1419"/>
      <c r="L41" s="1419"/>
      <c r="M41" s="1419"/>
      <c r="N41" s="1420"/>
      <c r="Q41" s="1421" t="str">
        <f>IF(F41&lt;&gt;"",F41,"")</f>
        <v>CENOGRAFIA</v>
      </c>
      <c r="R41" s="1422"/>
      <c r="S41" s="1422"/>
      <c r="T41" s="1422"/>
      <c r="U41" s="1422"/>
      <c r="V41" s="1422"/>
      <c r="W41" s="1422"/>
      <c r="X41" s="1422"/>
      <c r="Y41" s="1423"/>
    </row>
    <row r="42" spans="1:27" ht="30" customHeight="1" x14ac:dyDescent="0.35">
      <c r="A42" s="65">
        <v>27</v>
      </c>
      <c r="B42" s="108" t="s">
        <v>152</v>
      </c>
      <c r="C42" s="66" t="s">
        <v>51</v>
      </c>
      <c r="D42" s="65"/>
      <c r="E42" s="65"/>
      <c r="F42" s="1424" t="s">
        <v>887</v>
      </c>
      <c r="G42" s="1425"/>
      <c r="H42" s="1425"/>
      <c r="I42" s="1425"/>
      <c r="J42" s="1425"/>
      <c r="K42" s="1425"/>
      <c r="L42" s="61" t="s">
        <v>53</v>
      </c>
      <c r="M42" s="62" t="s">
        <v>54</v>
      </c>
      <c r="N42" s="1043" t="s">
        <v>28</v>
      </c>
      <c r="Q42" s="1426" t="str">
        <f>IF(F42&lt;&gt;"",F42,"")</f>
        <v>FECHAMENTO</v>
      </c>
      <c r="R42" s="1427"/>
      <c r="S42" s="1427"/>
      <c r="T42" s="1427"/>
      <c r="U42" s="1427"/>
      <c r="V42" s="1427"/>
      <c r="W42" s="1427"/>
      <c r="X42" s="1427"/>
      <c r="Y42" s="1428"/>
      <c r="Z42" s="63" t="s">
        <v>55</v>
      </c>
      <c r="AA42" s="64" t="s">
        <v>39</v>
      </c>
    </row>
    <row r="43" spans="1:27" ht="33" thickBot="1" x14ac:dyDescent="0.35">
      <c r="A43" s="65">
        <v>28</v>
      </c>
      <c r="B43" s="108" t="s">
        <v>154</v>
      </c>
      <c r="C43" s="66" t="s">
        <v>57</v>
      </c>
      <c r="D43" s="65" t="s">
        <v>88</v>
      </c>
      <c r="E43" s="65" t="s">
        <v>58</v>
      </c>
      <c r="F43" s="1072" t="s">
        <v>888</v>
      </c>
      <c r="G43" s="1073" t="s">
        <v>889</v>
      </c>
      <c r="H43" s="1074">
        <v>1</v>
      </c>
      <c r="I43" s="1130">
        <v>0</v>
      </c>
      <c r="J43" s="1076">
        <v>5250</v>
      </c>
      <c r="K43" s="1076">
        <f>IF(F43&lt;&gt;"",H43*I43*J43,"")</f>
        <v>0</v>
      </c>
      <c r="L43" s="1048">
        <f>IF(K43&lt;&gt;"",IF(D43="INTERNO",0,K43*$L$14),"")</f>
        <v>0</v>
      </c>
      <c r="M43" s="1048">
        <f>IF(K43&lt;&gt;"",IF(E43="FAT.OGGI",SUM(K43:L43)*(1/(1-$M$14)-1),L43*(1/(1-$M$14)-1)),"")</f>
        <v>0</v>
      </c>
      <c r="N43" s="1059">
        <f>SUM(K43:M43)</f>
        <v>0</v>
      </c>
      <c r="Q43" s="1051">
        <v>1</v>
      </c>
      <c r="R43" s="1121">
        <v>0</v>
      </c>
      <c r="S43" s="1131">
        <v>1375.48</v>
      </c>
      <c r="T43" s="1132">
        <f>IF(Q43&lt;&gt;"",Q43*R43*S43,"")</f>
        <v>0</v>
      </c>
      <c r="U43" s="1123">
        <f>IF(Q43&lt;&gt;"",K43-T43,"")</f>
        <v>0</v>
      </c>
      <c r="V43" s="69">
        <f>IF(Q43&lt;&gt;"",0%,"")</f>
        <v>0</v>
      </c>
      <c r="W43" s="70">
        <f>IF(Q43&lt;&gt;"",V43*U43,"")</f>
        <v>0</v>
      </c>
      <c r="X43" s="70">
        <f>IF(Q43&lt;&gt;"",W43+T43,"")</f>
        <v>0</v>
      </c>
      <c r="Y43" s="67">
        <f>IF(Q43&lt;&gt;"",X43+M43,"")</f>
        <v>0</v>
      </c>
      <c r="Z43" s="75" t="e">
        <f>IF(Q43&lt;&gt;"",U43/K43,"")</f>
        <v>#DIV/0!</v>
      </c>
      <c r="AA43" s="84" t="e">
        <f>T43/#REF!</f>
        <v>#REF!</v>
      </c>
    </row>
    <row r="44" spans="1:27" ht="30" customHeight="1" thickBot="1" x14ac:dyDescent="0.4">
      <c r="A44" s="59">
        <v>29</v>
      </c>
      <c r="B44" s="108"/>
      <c r="C44" s="60" t="s">
        <v>83</v>
      </c>
      <c r="D44" s="59"/>
      <c r="E44" s="59"/>
      <c r="F44" s="1283" t="s">
        <v>151</v>
      </c>
      <c r="G44" s="1282"/>
      <c r="H44" s="1282"/>
      <c r="I44" s="1282"/>
      <c r="J44" s="1282"/>
      <c r="K44" s="1124">
        <f>SUM(K43:K43)</f>
        <v>0</v>
      </c>
      <c r="L44" s="1124">
        <f>SUM(L43:L43)</f>
        <v>0</v>
      </c>
      <c r="M44" s="1124">
        <f>SUM(M43:M43)</f>
        <v>0</v>
      </c>
      <c r="N44" s="1124">
        <f>SUM(N43:N43)</f>
        <v>0</v>
      </c>
      <c r="Q44" s="1281" t="s">
        <v>140</v>
      </c>
      <c r="R44" s="1383"/>
      <c r="S44" s="1429"/>
      <c r="T44" s="1126">
        <f>SUM(T43:T43)</f>
        <v>0</v>
      </c>
      <c r="U44" s="1127">
        <f>SUM(U43:U43)</f>
        <v>0</v>
      </c>
      <c r="V44" s="1098"/>
      <c r="W44" s="1099"/>
      <c r="X44" s="1128">
        <f>SUM(X43:X43)</f>
        <v>0</v>
      </c>
      <c r="Y44" s="1128">
        <f>IF(Q44&lt;&gt;"",X44+M44,"")</f>
        <v>0</v>
      </c>
      <c r="Z44" s="107" t="s">
        <v>275</v>
      </c>
      <c r="AA44" s="183" t="s">
        <v>276</v>
      </c>
    </row>
    <row r="45" spans="1:27" ht="36.75" customHeight="1" thickBot="1" x14ac:dyDescent="0.4">
      <c r="A45" s="65">
        <v>30</v>
      </c>
      <c r="B45" s="108">
        <v>6</v>
      </c>
      <c r="C45" s="66" t="s">
        <v>48</v>
      </c>
      <c r="D45" s="65"/>
      <c r="E45" s="65"/>
      <c r="F45" s="1418" t="s">
        <v>890</v>
      </c>
      <c r="G45" s="1419"/>
      <c r="H45" s="1419"/>
      <c r="I45" s="1419"/>
      <c r="J45" s="1419"/>
      <c r="K45" s="1419"/>
      <c r="L45" s="1419"/>
      <c r="M45" s="1419"/>
      <c r="N45" s="1420"/>
      <c r="Q45" s="1421" t="str">
        <f>IF(F45&lt;&gt;"",F45,"")</f>
        <v>KIT MARKETING</v>
      </c>
      <c r="R45" s="1422"/>
      <c r="S45" s="1422"/>
      <c r="T45" s="1422"/>
      <c r="U45" s="1422"/>
      <c r="V45" s="1422"/>
      <c r="W45" s="1422"/>
      <c r="X45" s="1422"/>
      <c r="Y45" s="1423"/>
    </row>
    <row r="46" spans="1:27" ht="30" customHeight="1" x14ac:dyDescent="0.35">
      <c r="A46" s="65">
        <v>31</v>
      </c>
      <c r="B46" s="108" t="s">
        <v>158</v>
      </c>
      <c r="C46" s="66" t="s">
        <v>51</v>
      </c>
      <c r="D46" s="65"/>
      <c r="E46" s="65"/>
      <c r="F46" s="1424" t="s">
        <v>891</v>
      </c>
      <c r="G46" s="1425"/>
      <c r="H46" s="1425"/>
      <c r="I46" s="1425"/>
      <c r="J46" s="1425"/>
      <c r="K46" s="1425"/>
      <c r="L46" s="61" t="s">
        <v>53</v>
      </c>
      <c r="M46" s="62" t="s">
        <v>54</v>
      </c>
      <c r="N46" s="1043" t="s">
        <v>28</v>
      </c>
      <c r="Q46" s="1426" t="str">
        <f>IF(F46&lt;&gt;"",F46,"")</f>
        <v>BRINDE</v>
      </c>
      <c r="R46" s="1427"/>
      <c r="S46" s="1427"/>
      <c r="T46" s="1427"/>
      <c r="U46" s="1427"/>
      <c r="V46" s="1427"/>
      <c r="W46" s="1427"/>
      <c r="X46" s="1427"/>
      <c r="Y46" s="1428"/>
      <c r="Z46" s="63" t="s">
        <v>55</v>
      </c>
      <c r="AA46" s="64" t="s">
        <v>39</v>
      </c>
    </row>
    <row r="47" spans="1:27" ht="48.6" x14ac:dyDescent="0.3">
      <c r="A47" s="65">
        <v>32</v>
      </c>
      <c r="B47" s="108" t="s">
        <v>160</v>
      </c>
      <c r="C47" s="66" t="s">
        <v>57</v>
      </c>
      <c r="D47" s="65" t="s">
        <v>88</v>
      </c>
      <c r="E47" s="65" t="s">
        <v>58</v>
      </c>
      <c r="F47" s="1072" t="s">
        <v>892</v>
      </c>
      <c r="G47" s="1073" t="s">
        <v>893</v>
      </c>
      <c r="H47" s="1074">
        <v>400</v>
      </c>
      <c r="I47" s="1130">
        <v>1</v>
      </c>
      <c r="J47" s="1076">
        <v>9.42</v>
      </c>
      <c r="K47" s="1076">
        <f>IF(F47&lt;&gt;"",H47*I47*J47,"")</f>
        <v>3768</v>
      </c>
      <c r="L47" s="1048">
        <f>IF(K47&lt;&gt;"",IF(D47="INTERNO",0,K47*$L$14),"")</f>
        <v>282.59999999999997</v>
      </c>
      <c r="M47" s="1048">
        <f>IF(K47&lt;&gt;"",IF(E47="FAT.OGGI",SUM(K47:L47)*(1/(1-$M$14)-1),L47*(1/(1-$M$14)-1)),"")</f>
        <v>983.07714676276908</v>
      </c>
      <c r="N47" s="1059">
        <f>SUM(K47:M47)</f>
        <v>5033.6771467627686</v>
      </c>
      <c r="Q47" s="1051">
        <v>1</v>
      </c>
      <c r="R47" s="1121">
        <f>IF(I47&lt;&gt;"",I47,"")</f>
        <v>1</v>
      </c>
      <c r="S47" s="1133">
        <v>9.35</v>
      </c>
      <c r="T47" s="1122">
        <f>1820*2</f>
        <v>3640</v>
      </c>
      <c r="U47" s="1123">
        <f>IF(Q47&lt;&gt;"",K47-T47,"")</f>
        <v>128</v>
      </c>
      <c r="V47" s="69">
        <f>IF(Q47&lt;&gt;"",0%,"")</f>
        <v>0</v>
      </c>
      <c r="W47" s="70">
        <f>IF(Q47&lt;&gt;"",V47*U47,"")</f>
        <v>0</v>
      </c>
      <c r="X47" s="70">
        <f>IF(Q47&lt;&gt;"",W47+T47,"")</f>
        <v>3640</v>
      </c>
      <c r="Y47" s="67">
        <f>IF(Q47&lt;&gt;"",X47+M47,"")</f>
        <v>4623.0771467627692</v>
      </c>
      <c r="Z47" s="75">
        <f>IF(Q47&lt;&gt;"",U47/K47,"")</f>
        <v>3.3970276008492568E-2</v>
      </c>
      <c r="AA47" s="84" t="e">
        <f>T47/#REF!</f>
        <v>#REF!</v>
      </c>
    </row>
    <row r="48" spans="1:27" ht="24" x14ac:dyDescent="0.3">
      <c r="A48" s="65">
        <v>33</v>
      </c>
      <c r="B48" s="108" t="s">
        <v>162</v>
      </c>
      <c r="C48" s="66" t="s">
        <v>57</v>
      </c>
      <c r="D48" s="65" t="s">
        <v>88</v>
      </c>
      <c r="E48" s="65" t="s">
        <v>58</v>
      </c>
      <c r="F48" s="1072" t="s">
        <v>894</v>
      </c>
      <c r="G48" s="1073" t="s">
        <v>895</v>
      </c>
      <c r="H48" s="1074">
        <v>400</v>
      </c>
      <c r="I48" s="1134">
        <v>0</v>
      </c>
      <c r="J48" s="1135">
        <v>7.8599999999999994</v>
      </c>
      <c r="K48" s="1076">
        <f>IF(F48&lt;&gt;"",H48*I48*J48,"")</f>
        <v>0</v>
      </c>
      <c r="L48" s="1048">
        <f>IF(K48&lt;&gt;"",IF(D48="INTERNO",0,K48*$L$14),"")</f>
        <v>0</v>
      </c>
      <c r="M48" s="1048">
        <f>IF(K48&lt;&gt;"",IF(E48="FAT.OGGI",SUM(K48:L48)*(1/(1-$M$14)-1),L48*(1/(1-$M$14)-1)),"")</f>
        <v>0</v>
      </c>
      <c r="N48" s="1059">
        <f>SUM(K48:M48)</f>
        <v>0</v>
      </c>
      <c r="Q48" s="1051">
        <f t="shared" ref="Q48:Q50" si="48">IF(H48&lt;&gt;"",H48,"")</f>
        <v>400</v>
      </c>
      <c r="R48" s="1121">
        <f>IF(I48&lt;&gt;"",I48,"")</f>
        <v>0</v>
      </c>
      <c r="S48" s="1131">
        <v>6</v>
      </c>
      <c r="T48" s="1136">
        <f>IF(Q48&lt;&gt;"",Q48*R48*S48,"")</f>
        <v>0</v>
      </c>
      <c r="U48" s="1123">
        <f>IF(Q48&lt;&gt;"",K48-T48,"")</f>
        <v>0</v>
      </c>
      <c r="V48" s="69">
        <f>IF(Q48&lt;&gt;"",0%,"")</f>
        <v>0</v>
      </c>
      <c r="W48" s="70">
        <f>IF(Q48&lt;&gt;"",V48*U48,"")</f>
        <v>0</v>
      </c>
      <c r="X48" s="70">
        <f>IF(Q48&lt;&gt;"",W48+T48,"")</f>
        <v>0</v>
      </c>
      <c r="Y48" s="67">
        <f>IF(Q48&lt;&gt;"",X48+M48,"")</f>
        <v>0</v>
      </c>
      <c r="Z48" s="75" t="e">
        <f>IF(Q48&lt;&gt;"",U48/K48,"")</f>
        <v>#DIV/0!</v>
      </c>
      <c r="AA48" s="84" t="e">
        <f>T48/#REF!</f>
        <v>#REF!</v>
      </c>
    </row>
    <row r="49" spans="1:27" ht="32.4" x14ac:dyDescent="0.3">
      <c r="A49" s="65">
        <v>34</v>
      </c>
      <c r="B49" s="108" t="s">
        <v>164</v>
      </c>
      <c r="C49" s="66" t="s">
        <v>57</v>
      </c>
      <c r="D49" s="65" t="s">
        <v>88</v>
      </c>
      <c r="E49" s="65" t="s">
        <v>58</v>
      </c>
      <c r="F49" s="1072" t="s">
        <v>896</v>
      </c>
      <c r="G49" s="1073" t="s">
        <v>897</v>
      </c>
      <c r="H49" s="1074">
        <v>400</v>
      </c>
      <c r="I49" s="1134">
        <v>0</v>
      </c>
      <c r="J49" s="1076">
        <v>5.08</v>
      </c>
      <c r="K49" s="1076">
        <f>IF(F49&lt;&gt;"",H49*I49*J49,"")</f>
        <v>0</v>
      </c>
      <c r="L49" s="1048">
        <f>IF(K49&lt;&gt;"",IF(D49="INTERNO",0,K49*$L$14),"")</f>
        <v>0</v>
      </c>
      <c r="M49" s="1048">
        <f>IF(K49&lt;&gt;"",IF(E49="FAT.OGGI",SUM(K49:L49)*(1/(1-$M$14)-1),L49*(1/(1-$M$14)-1)),"")</f>
        <v>0</v>
      </c>
      <c r="N49" s="1059">
        <f>SUM(K49:M49)</f>
        <v>0</v>
      </c>
      <c r="Q49" s="1051">
        <f t="shared" si="48"/>
        <v>400</v>
      </c>
      <c r="R49" s="1121">
        <f>IF(I49&lt;&gt;"",I49,"")</f>
        <v>0</v>
      </c>
      <c r="S49" s="1131">
        <v>4.2</v>
      </c>
      <c r="T49" s="1136">
        <f>IF(Q49&lt;&gt;"",Q49*R49*S49,"")</f>
        <v>0</v>
      </c>
      <c r="U49" s="1123">
        <f>IF(Q49&lt;&gt;"",K49-T49,"")</f>
        <v>0</v>
      </c>
      <c r="V49" s="69">
        <f>IF(Q49&lt;&gt;"",0%,"")</f>
        <v>0</v>
      </c>
      <c r="W49" s="70">
        <f>IF(Q49&lt;&gt;"",V49*U49,"")</f>
        <v>0</v>
      </c>
      <c r="X49" s="70">
        <f>IF(Q49&lt;&gt;"",W49+T49,"")</f>
        <v>0</v>
      </c>
      <c r="Y49" s="67">
        <f>IF(Q49&lt;&gt;"",X49+M49,"")</f>
        <v>0</v>
      </c>
      <c r="Z49" s="75" t="e">
        <f>IF(Q49&lt;&gt;"",U49/K49,"")</f>
        <v>#DIV/0!</v>
      </c>
      <c r="AA49" s="84" t="e">
        <f>T49/#REF!</f>
        <v>#REF!</v>
      </c>
    </row>
    <row r="50" spans="1:27" ht="33" thickBot="1" x14ac:dyDescent="0.35">
      <c r="A50" s="65">
        <v>35</v>
      </c>
      <c r="B50" s="108" t="s">
        <v>167</v>
      </c>
      <c r="C50" s="66" t="s">
        <v>57</v>
      </c>
      <c r="D50" s="65" t="s">
        <v>88</v>
      </c>
      <c r="E50" s="65" t="s">
        <v>58</v>
      </c>
      <c r="F50" s="1072" t="s">
        <v>898</v>
      </c>
      <c r="G50" s="1073" t="s">
        <v>899</v>
      </c>
      <c r="H50" s="1074">
        <v>400</v>
      </c>
      <c r="I50" s="1134">
        <v>0</v>
      </c>
      <c r="J50" s="1076">
        <v>0</v>
      </c>
      <c r="K50" s="1076">
        <f>IF(F50&lt;&gt;"",H50*I50*J50,"")</f>
        <v>0</v>
      </c>
      <c r="L50" s="1048">
        <f>IF(K50&lt;&gt;"",IF(D50="INTERNO",0,K50*$L$14),"")</f>
        <v>0</v>
      </c>
      <c r="M50" s="1048">
        <f>IF(K50&lt;&gt;"",IF(E50="FAT.OGGI",SUM(K50:L50)*(1/(1-$M$14)-1),L50*(1/(1-$M$14)-1)),"")</f>
        <v>0</v>
      </c>
      <c r="N50" s="1059">
        <f>SUM(K50:M50)</f>
        <v>0</v>
      </c>
      <c r="Q50" s="1051">
        <f t="shared" si="48"/>
        <v>400</v>
      </c>
      <c r="R50" s="1121">
        <f>IF(I50&lt;&gt;"",I50,"")</f>
        <v>0</v>
      </c>
      <c r="S50" s="1131">
        <v>0</v>
      </c>
      <c r="T50" s="1136">
        <f>IF(Q50&lt;&gt;"",Q50*R50*S50,"")</f>
        <v>0</v>
      </c>
      <c r="U50" s="1123">
        <f>IF(Q50&lt;&gt;"",K50-T50,"")</f>
        <v>0</v>
      </c>
      <c r="V50" s="69">
        <f>IF(Q50&lt;&gt;"",0%,"")</f>
        <v>0</v>
      </c>
      <c r="W50" s="70">
        <f>IF(Q50&lt;&gt;"",V50*U50,"")</f>
        <v>0</v>
      </c>
      <c r="X50" s="70">
        <f>IF(Q50&lt;&gt;"",W50+T50,"")</f>
        <v>0</v>
      </c>
      <c r="Y50" s="67">
        <f>IF(Q50&lt;&gt;"",X50+M50,"")</f>
        <v>0</v>
      </c>
      <c r="Z50" s="75" t="e">
        <f>IF(Q50&lt;&gt;"",U50/K50,"")</f>
        <v>#DIV/0!</v>
      </c>
      <c r="AA50" s="84" t="e">
        <f>T50/#REF!</f>
        <v>#REF!</v>
      </c>
    </row>
    <row r="51" spans="1:27" ht="30" customHeight="1" thickBot="1" x14ac:dyDescent="0.4">
      <c r="A51" s="59">
        <v>36</v>
      </c>
      <c r="B51" s="108"/>
      <c r="C51" s="60" t="s">
        <v>83</v>
      </c>
      <c r="D51" s="59"/>
      <c r="E51" s="59"/>
      <c r="F51" s="1283" t="s">
        <v>151</v>
      </c>
      <c r="G51" s="1282"/>
      <c r="H51" s="1282"/>
      <c r="I51" s="1282"/>
      <c r="J51" s="1282"/>
      <c r="K51" s="1124">
        <f>SUM(K47:K50)</f>
        <v>3768</v>
      </c>
      <c r="L51" s="1124">
        <f>SUM(L47:L50)</f>
        <v>282.59999999999997</v>
      </c>
      <c r="M51" s="1124">
        <f>SUM(M47:M50)</f>
        <v>983.07714676276908</v>
      </c>
      <c r="N51" s="1125">
        <f>SUM(N47:N50)</f>
        <v>5033.6771467627686</v>
      </c>
      <c r="Q51" s="1281" t="s">
        <v>140</v>
      </c>
      <c r="R51" s="1383"/>
      <c r="S51" s="1429"/>
      <c r="T51" s="1126">
        <f>SUM(T47:T50)</f>
        <v>3640</v>
      </c>
      <c r="U51" s="1127">
        <f>SUM(U47:U50)</f>
        <v>128</v>
      </c>
      <c r="V51" s="1098"/>
      <c r="W51" s="1099"/>
      <c r="X51" s="1128">
        <f>SUM(X47:X50)</f>
        <v>3640</v>
      </c>
      <c r="Y51" s="1128">
        <f>IF(Q51&lt;&gt;"",X51+M51,"")</f>
        <v>4623.0771467627692</v>
      </c>
      <c r="Z51" s="107" t="s">
        <v>275</v>
      </c>
      <c r="AA51" s="183" t="s">
        <v>276</v>
      </c>
    </row>
    <row r="52" spans="1:27" ht="33.75" customHeight="1" thickBot="1" x14ac:dyDescent="0.5">
      <c r="A52" s="1137">
        <v>37</v>
      </c>
      <c r="B52" s="1138"/>
      <c r="C52" s="1139" t="s">
        <v>277</v>
      </c>
      <c r="D52" s="1137"/>
      <c r="E52" s="1137"/>
      <c r="F52" s="126" t="s">
        <v>278</v>
      </c>
      <c r="G52" s="127"/>
      <c r="H52" s="188"/>
      <c r="I52" s="188"/>
      <c r="J52" s="127"/>
      <c r="K52" s="122">
        <f>SUM(K17:K18)+SUM(K22:K26)+SUM(K30:K33)+SUM(K37:K39)+SUM(K43:K43)+SUM(K47:K50)</f>
        <v>93500</v>
      </c>
      <c r="L52" s="122">
        <f>SUM(L17:L18)+SUM(L22:L26)+SUM(L30:L33)+SUM(L37:L39)+SUM(L43:L43)+SUM(L47:L50)</f>
        <v>6187.5</v>
      </c>
      <c r="M52" s="122">
        <f>SUM(M17:M18)+SUM(M22:M26)+SUM(M30:M33)+SUM(M37:M39)+SUM(M43:M43)+SUM(M47:M50)</f>
        <v>24194.070771716175</v>
      </c>
      <c r="N52" s="184">
        <f>SUM(N17:N18)+SUM(N22:N26)+SUM(N30:N33)+SUM(N37:N39)+SUM(N43:N43)+SUM(N47:N50)</f>
        <v>123881.57077171617</v>
      </c>
      <c r="Q52" s="189" t="s">
        <v>279</v>
      </c>
      <c r="R52" s="188"/>
      <c r="S52" s="127"/>
      <c r="T52" s="122">
        <f>SUM(T17:T18)+SUM(T22:T26)+SUM(T30:T33)+SUM(T37:T39)+SUM(T43:T43)+SUM(T47:T50)</f>
        <v>71782.48</v>
      </c>
      <c r="U52" s="122">
        <f>SUM(U17:U18)+SUM(U22:U26)+SUM(U30:U33)+SUM(U37:U39)+SUM(U43:U43)+SUM(U47:U50)</f>
        <v>21717.52</v>
      </c>
      <c r="V52" s="127"/>
      <c r="W52" s="127"/>
      <c r="X52" s="122">
        <f>SUM(X17:X18)+SUM(X22:X26)+SUM(X30:X33)+SUM(X37:X39)+SUM(X43:X43)+SUM(X47:X50)</f>
        <v>71782.48</v>
      </c>
      <c r="Y52" s="184">
        <f>SUM(Y17:Y18)+SUM(Y22:Y26)+SUM(Y30:Y33)+SUM(Y37:Y39)+SUM(Y43:Y43)+SUM(Y47:Y50)</f>
        <v>95976.550771716182</v>
      </c>
      <c r="Z52" s="160">
        <f>IF(Q52&lt;&gt;"",(N52-Y52)/N52,"")</f>
        <v>0.22525561975172403</v>
      </c>
      <c r="AA52" s="185">
        <f>IF(Z52&lt;&gt;"",(N52-Y52),"")</f>
        <v>27905.01999999999</v>
      </c>
    </row>
    <row r="54" spans="1:27" x14ac:dyDescent="0.3">
      <c r="N54" s="1140" t="s">
        <v>900</v>
      </c>
    </row>
    <row r="56" spans="1:27" x14ac:dyDescent="0.3">
      <c r="L56" s="1141"/>
      <c r="T56" s="88">
        <f>T22+T23+T24+T30+T31+T32+T33+T37+T38+[1]Galbani!T17+[1]Galbani!T18+'[1]Triplo Zero'!T17</f>
        <v>79380</v>
      </c>
    </row>
  </sheetData>
  <mergeCells count="43">
    <mergeCell ref="F19:J19"/>
    <mergeCell ref="Q19:S19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0:N20"/>
    <mergeCell ref="Q20:Y20"/>
    <mergeCell ref="F21:K21"/>
    <mergeCell ref="Q21:Y21"/>
    <mergeCell ref="F27:J27"/>
    <mergeCell ref="Q27:S27"/>
    <mergeCell ref="F28:N28"/>
    <mergeCell ref="Q28:Y28"/>
    <mergeCell ref="F29:K29"/>
    <mergeCell ref="Q29:Y29"/>
    <mergeCell ref="F34:J34"/>
    <mergeCell ref="Q34:S34"/>
    <mergeCell ref="F35:N35"/>
    <mergeCell ref="Q35:Y35"/>
    <mergeCell ref="F36:K36"/>
    <mergeCell ref="Q36:Y36"/>
    <mergeCell ref="F40:J40"/>
    <mergeCell ref="Q40:S40"/>
    <mergeCell ref="F41:N41"/>
    <mergeCell ref="Q41:Y41"/>
    <mergeCell ref="F42:K42"/>
    <mergeCell ref="Q42:Y42"/>
    <mergeCell ref="F44:J44"/>
    <mergeCell ref="Q44:S44"/>
    <mergeCell ref="F45:N45"/>
    <mergeCell ref="Q45:Y45"/>
    <mergeCell ref="F46:K46"/>
    <mergeCell ref="Q46:Y46"/>
    <mergeCell ref="F51:J51"/>
    <mergeCell ref="Q51:S51"/>
  </mergeCells>
  <dataValidations count="3">
    <dataValidation type="list" allowBlank="1" showInputMessage="1" showErrorMessage="1" sqref="E17:E19 E30:E35 E37:E40 E43:E44 E47:E51 E22:E28" xr:uid="{9B44F41B-AE1D-4550-926A-988F0516F1FF}">
      <formula1>"FAT.OGGI,FAT.CLIENTE"</formula1>
    </dataValidation>
    <dataValidation type="list" allowBlank="1" showInputMessage="1" showErrorMessage="1" sqref="D17:D19 D30:D35 D37:D40 D43:D44 D47:D52 D22:D28" xr:uid="{EEF8856B-C6DE-4C4A-99BB-99284315D09A}">
      <formula1>"INTERNO,OPERACIONAL"</formula1>
    </dataValidation>
    <dataValidation type="list" allowBlank="1" showInputMessage="1" showErrorMessage="1" sqref="E52" xr:uid="{0E6F4494-C474-46CE-9F75-2E7778159841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B7982-0385-4F08-8C05-D3CBA1153DBE}">
  <sheetPr codeName="Planilha26">
    <pageSetUpPr autoPageBreaks="0"/>
  </sheetPr>
  <dimension ref="A1:AL30"/>
  <sheetViews>
    <sheetView showGridLines="0" topLeftCell="G1" zoomScale="70" zoomScaleNormal="70" workbookViewId="0">
      <pane ySplit="1" topLeftCell="A16" activePane="bottomLeft" state="frozen"/>
      <selection activeCell="AA1" sqref="AA1:AA1048576"/>
      <selection pane="bottomLeft" activeCell="T22" sqref="T22"/>
    </sheetView>
  </sheetViews>
  <sheetFormatPr defaultRowHeight="14.4" x14ac:dyDescent="0.3"/>
  <cols>
    <col min="1" max="5" width="8.5546875" style="95" customWidth="1"/>
    <col min="6" max="6" width="43.88671875" customWidth="1"/>
    <col min="7" max="7" width="73.109375" customWidth="1"/>
    <col min="8" max="8" width="6.33203125" style="1021" customWidth="1"/>
    <col min="9" max="9" width="5.6640625" style="1021" customWidth="1"/>
    <col min="10" max="10" width="20.109375" customWidth="1"/>
    <col min="11" max="11" width="26.88671875" customWidth="1"/>
    <col min="12" max="12" width="26.109375" customWidth="1"/>
    <col min="13" max="13" width="25.6640625" customWidth="1"/>
    <col min="14" max="14" width="28.6640625" customWidth="1"/>
    <col min="15" max="15" width="3.33203125" customWidth="1"/>
    <col min="16" max="16" width="1.88671875" customWidth="1"/>
    <col min="17" max="18" width="9.33203125" style="1021" customWidth="1"/>
    <col min="19" max="19" width="18.88671875" customWidth="1"/>
    <col min="20" max="20" width="26.33203125" customWidth="1"/>
    <col min="21" max="21" width="27" customWidth="1"/>
    <col min="22" max="23" width="18.109375" customWidth="1"/>
    <col min="24" max="24" width="26.44140625" bestFit="1" customWidth="1"/>
    <col min="25" max="25" width="27.5546875" customWidth="1"/>
    <col min="26" max="26" width="18.6640625" customWidth="1"/>
    <col min="27" max="27" width="25.6640625" customWidth="1"/>
    <col min="28" max="28" width="38.10937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40" max="40" width="21.33203125" customWidth="1"/>
  </cols>
  <sheetData>
    <row r="1" spans="1:38" ht="49.5" customHeight="1" x14ac:dyDescent="0.3">
      <c r="B1" s="96"/>
      <c r="C1" s="97"/>
      <c r="D1" s="97"/>
      <c r="F1" s="1286" t="s">
        <v>0</v>
      </c>
      <c r="G1" s="1286"/>
    </row>
    <row r="2" spans="1:38" ht="24.75" customHeight="1" x14ac:dyDescent="0.3">
      <c r="B2" s="98"/>
      <c r="D2" s="97"/>
      <c r="F2" s="1287" t="s">
        <v>1</v>
      </c>
      <c r="G2" s="1287"/>
    </row>
    <row r="3" spans="1:38" ht="18" x14ac:dyDescent="0.3">
      <c r="B3" s="99"/>
      <c r="F3" s="27"/>
      <c r="G3" s="27"/>
    </row>
    <row r="4" spans="1:38" ht="18" x14ac:dyDescent="0.3">
      <c r="F4" s="29" t="s">
        <v>2</v>
      </c>
      <c r="G4" s="30"/>
    </row>
    <row r="5" spans="1:38" ht="18" x14ac:dyDescent="0.3">
      <c r="F5" s="31" t="s">
        <v>3</v>
      </c>
      <c r="G5" s="32"/>
    </row>
    <row r="6" spans="1:38" ht="18" x14ac:dyDescent="0.3">
      <c r="F6" s="31" t="s">
        <v>4</v>
      </c>
      <c r="G6" s="33"/>
    </row>
    <row r="7" spans="1:38" ht="21.75" customHeight="1" x14ac:dyDescent="0.3">
      <c r="F7" s="31" t="s">
        <v>5</v>
      </c>
      <c r="G7" s="34"/>
    </row>
    <row r="8" spans="1:38" ht="18" x14ac:dyDescent="0.3">
      <c r="F8" s="31" t="s">
        <v>6</v>
      </c>
      <c r="G8" s="35"/>
    </row>
    <row r="9" spans="1:38" ht="18" x14ac:dyDescent="0.3">
      <c r="F9" s="31" t="s">
        <v>7</v>
      </c>
      <c r="G9" s="34"/>
      <c r="M9">
        <v>0.80469999999999997</v>
      </c>
    </row>
    <row r="10" spans="1:38" ht="27" customHeight="1" x14ac:dyDescent="0.3">
      <c r="F10" s="31" t="s">
        <v>8</v>
      </c>
      <c r="G10" s="34"/>
      <c r="M10">
        <f>1-M9</f>
        <v>0.19530000000000003</v>
      </c>
    </row>
    <row r="11" spans="1:38" ht="18.600000000000001" thickBot="1" x14ac:dyDescent="0.35">
      <c r="F11" s="36" t="s">
        <v>9</v>
      </c>
      <c r="G11" s="37"/>
    </row>
    <row r="12" spans="1:38" ht="16.8" thickBot="1" x14ac:dyDescent="0.35">
      <c r="B12" s="100"/>
      <c r="M12" s="24"/>
      <c r="Q12" s="1288" t="s">
        <v>10</v>
      </c>
      <c r="R12" s="1289"/>
      <c r="S12" s="1289"/>
      <c r="T12" s="1457"/>
      <c r="U12" s="1291" t="s">
        <v>11</v>
      </c>
      <c r="V12" s="1292"/>
      <c r="W12" s="1292"/>
      <c r="X12" s="1455"/>
      <c r="Y12" s="26" t="s">
        <v>12</v>
      </c>
      <c r="Z12" s="1031" t="e">
        <f>(1/(1-#REF!))-1</f>
        <v>#REF!</v>
      </c>
      <c r="AC12" s="1294" t="s">
        <v>13</v>
      </c>
      <c r="AD12" s="1295"/>
      <c r="AE12" s="1456"/>
      <c r="AG12" s="1297" t="s">
        <v>14</v>
      </c>
      <c r="AH12" s="1298"/>
      <c r="AJ12" s="28" t="s">
        <v>15</v>
      </c>
      <c r="AK12" s="1284" t="s">
        <v>16</v>
      </c>
      <c r="AL12" s="1285"/>
    </row>
    <row r="13" spans="1:38" ht="15" thickBot="1" x14ac:dyDescent="0.35">
      <c r="A13" s="101" t="s">
        <v>17</v>
      </c>
      <c r="B13" s="102" t="s">
        <v>18</v>
      </c>
      <c r="C13" s="101" t="s">
        <v>19</v>
      </c>
      <c r="D13" s="101" t="s">
        <v>20</v>
      </c>
      <c r="E13" s="101" t="s">
        <v>21</v>
      </c>
      <c r="M13" s="25">
        <v>0.80469999999999997</v>
      </c>
    </row>
    <row r="14" spans="1:38" ht="33" thickBot="1" x14ac:dyDescent="0.35">
      <c r="A14" s="103">
        <v>0</v>
      </c>
      <c r="B14" s="104"/>
      <c r="C14" s="105"/>
      <c r="D14" s="65"/>
      <c r="E14" s="65"/>
      <c r="F14" s="45" t="s">
        <v>22</v>
      </c>
      <c r="G14" s="46" t="s">
        <v>23</v>
      </c>
      <c r="H14" s="47" t="s">
        <v>24</v>
      </c>
      <c r="I14" s="47" t="s">
        <v>25</v>
      </c>
      <c r="J14" s="48" t="s">
        <v>26</v>
      </c>
      <c r="K14" s="49" t="s">
        <v>27</v>
      </c>
      <c r="L14" s="119">
        <v>7.4999999999999997E-2</v>
      </c>
      <c r="M14" s="44">
        <f>1-M13</f>
        <v>0.19530000000000003</v>
      </c>
      <c r="N14" s="50" t="s">
        <v>28</v>
      </c>
      <c r="Q14" s="51" t="s">
        <v>29</v>
      </c>
      <c r="R14" s="52" t="s">
        <v>30</v>
      </c>
      <c r="S14" s="53" t="s">
        <v>31</v>
      </c>
      <c r="T14" s="54" t="s">
        <v>32</v>
      </c>
      <c r="U14" s="55" t="s">
        <v>33</v>
      </c>
      <c r="V14" s="56" t="s">
        <v>34</v>
      </c>
      <c r="W14" s="57" t="s">
        <v>35</v>
      </c>
      <c r="X14" s="57" t="s">
        <v>36</v>
      </c>
      <c r="Y14" s="58" t="s">
        <v>37</v>
      </c>
      <c r="Z14" s="38" t="s">
        <v>38</v>
      </c>
      <c r="AA14" s="39" t="s">
        <v>39</v>
      </c>
      <c r="AC14" s="40" t="s">
        <v>40</v>
      </c>
      <c r="AD14" s="41" t="s">
        <v>41</v>
      </c>
      <c r="AE14" s="41" t="s">
        <v>42</v>
      </c>
      <c r="AG14" s="42" t="s">
        <v>43</v>
      </c>
      <c r="AH14" s="43" t="s">
        <v>44</v>
      </c>
      <c r="AI14" t="s">
        <v>45</v>
      </c>
      <c r="AJ14" t="s">
        <v>45</v>
      </c>
      <c r="AK14" s="1032" t="s">
        <v>46</v>
      </c>
      <c r="AL14" s="1033" t="s">
        <v>47</v>
      </c>
    </row>
    <row r="15" spans="1:38" ht="36.75" customHeight="1" thickBot="1" x14ac:dyDescent="0.4">
      <c r="A15" s="65">
        <v>1</v>
      </c>
      <c r="B15" s="108">
        <v>1</v>
      </c>
      <c r="C15" s="66" t="s">
        <v>48</v>
      </c>
      <c r="D15" s="65"/>
      <c r="E15" s="65"/>
      <c r="F15" s="1418" t="s">
        <v>902</v>
      </c>
      <c r="G15" s="1419"/>
      <c r="H15" s="1419"/>
      <c r="I15" s="1419"/>
      <c r="J15" s="1419"/>
      <c r="K15" s="1419"/>
      <c r="L15" s="1419"/>
      <c r="M15" s="1419"/>
      <c r="N15" s="1420"/>
      <c r="Q15" s="1458" t="str">
        <f>IF(F15&lt;&gt;"",F15,"")</f>
        <v>ATIVAÇÕES GALBANI</v>
      </c>
      <c r="R15" s="1459"/>
      <c r="S15" s="1459"/>
      <c r="T15" s="1459"/>
      <c r="U15" s="1459"/>
      <c r="V15" s="1459"/>
      <c r="W15" s="1459"/>
      <c r="X15" s="1459"/>
      <c r="Y15" s="1460"/>
    </row>
    <row r="16" spans="1:38" ht="30" customHeight="1" x14ac:dyDescent="0.35">
      <c r="A16" s="65">
        <v>2</v>
      </c>
      <c r="B16" s="108" t="s">
        <v>50</v>
      </c>
      <c r="C16" s="66" t="s">
        <v>51</v>
      </c>
      <c r="D16" s="65"/>
      <c r="E16" s="65"/>
      <c r="F16" s="1424" t="s">
        <v>903</v>
      </c>
      <c r="G16" s="1425"/>
      <c r="H16" s="1425"/>
      <c r="I16" s="1425"/>
      <c r="J16" s="1425"/>
      <c r="K16" s="1425"/>
      <c r="L16" s="61" t="s">
        <v>53</v>
      </c>
      <c r="M16" s="62" t="s">
        <v>54</v>
      </c>
      <c r="N16" s="1043" t="s">
        <v>28</v>
      </c>
      <c r="Q16" s="1299" t="str">
        <f>IF(F16&lt;&gt;"",F16,"")</f>
        <v>Galbani</v>
      </c>
      <c r="R16" s="1300"/>
      <c r="S16" s="1300"/>
      <c r="T16" s="1300"/>
      <c r="U16" s="1300"/>
      <c r="V16" s="1300"/>
      <c r="W16" s="1300"/>
      <c r="X16" s="1300"/>
      <c r="Y16" s="1302"/>
      <c r="Z16" s="63" t="s">
        <v>55</v>
      </c>
      <c r="AA16" s="64" t="s">
        <v>39</v>
      </c>
    </row>
    <row r="17" spans="1:34" ht="48.6" x14ac:dyDescent="0.3">
      <c r="A17" s="59">
        <v>3</v>
      </c>
      <c r="B17" s="108" t="s">
        <v>56</v>
      </c>
      <c r="C17" s="60" t="s">
        <v>57</v>
      </c>
      <c r="D17" s="59" t="s">
        <v>88</v>
      </c>
      <c r="E17" s="59" t="s">
        <v>58</v>
      </c>
      <c r="F17" s="1072" t="s">
        <v>867</v>
      </c>
      <c r="G17" s="1073" t="s">
        <v>882</v>
      </c>
      <c r="H17" s="1074">
        <v>1</v>
      </c>
      <c r="I17" s="1074">
        <v>1</v>
      </c>
      <c r="J17" s="1075">
        <v>8694</v>
      </c>
      <c r="K17" s="1076">
        <f>IF(F17&lt;&gt;"",H17*I17*J17,"")</f>
        <v>8694</v>
      </c>
      <c r="L17" s="1048">
        <f>IF(K17&lt;&gt;"",IF(D17="INTERNO",0,K17*$L$14),"")</f>
        <v>652.04999999999995</v>
      </c>
      <c r="M17" s="1048">
        <f>IF(K17&lt;&gt;"",IF(E17="FAT.OGGI",SUM(K17:L17)*(1/(1-$M$14)-1),L17*(1/(1-$M$14)-1)),"")</f>
        <v>2268.2783211134588</v>
      </c>
      <c r="N17" s="1059">
        <f>SUM(K17:M17)</f>
        <v>11614.328321113459</v>
      </c>
      <c r="Q17" s="1142">
        <f t="shared" ref="Q17:R21" si="0">IF(H17&lt;&gt;"",H17,"")</f>
        <v>1</v>
      </c>
      <c r="R17" s="1143">
        <f t="shared" si="0"/>
        <v>1</v>
      </c>
      <c r="S17" s="1089">
        <f>(3400+2900)*20%+(3400+2900)</f>
        <v>7560</v>
      </c>
      <c r="T17" s="1096">
        <f>IF(Q17&lt;&gt;"",Q17*R17*S17,"")</f>
        <v>7560</v>
      </c>
      <c r="U17" s="1097">
        <f>IF(Q17&lt;&gt;"",K17-T17,"")</f>
        <v>1134</v>
      </c>
      <c r="V17" s="1098">
        <f>IF(Q17&lt;&gt;"",0%,"")</f>
        <v>0</v>
      </c>
      <c r="W17" s="1099">
        <f>IF(Q17&lt;&gt;"",V17*U17,"")</f>
        <v>0</v>
      </c>
      <c r="X17" s="1099">
        <f>IF(Q17&lt;&gt;"",W17+T17,"")</f>
        <v>7560</v>
      </c>
      <c r="Y17" s="1100">
        <f>IF(Q17&lt;&gt;"",X17+M17,"")</f>
        <v>9828.2783211134592</v>
      </c>
      <c r="Z17" s="1057">
        <f>IF(Q17&lt;&gt;"",U17/K17,"")</f>
        <v>0.13043478260869565</v>
      </c>
      <c r="AA17" s="1058">
        <f>T17/T23</f>
        <v>0.4293505391586433</v>
      </c>
    </row>
    <row r="18" spans="1:34" ht="32.4" x14ac:dyDescent="0.3">
      <c r="A18" s="65">
        <v>4</v>
      </c>
      <c r="B18" s="108" t="s">
        <v>61</v>
      </c>
      <c r="C18" s="66" t="s">
        <v>57</v>
      </c>
      <c r="D18" s="65" t="s">
        <v>88</v>
      </c>
      <c r="E18" s="65" t="s">
        <v>58</v>
      </c>
      <c r="F18" s="1116" t="s">
        <v>867</v>
      </c>
      <c r="G18" s="1144" t="s">
        <v>904</v>
      </c>
      <c r="H18" s="1074">
        <v>1</v>
      </c>
      <c r="I18" s="1130">
        <v>1</v>
      </c>
      <c r="J18" s="1085">
        <v>8180</v>
      </c>
      <c r="K18" s="1076">
        <f>IF(F18&lt;&gt;"",H18*I18*J18,"")</f>
        <v>8180</v>
      </c>
      <c r="L18" s="1076">
        <f>IF(K18&lt;&gt;"",IF(D18="INTERNO",0,K18*$L$14),"")</f>
        <v>613.5</v>
      </c>
      <c r="M18" s="1076">
        <f>IF(K18&lt;&gt;"",IF(E18="FAT.OGGI",SUM(K18:L18)*(1/(1-$M$14)-1),L18*(1/(1-$M$14)-1)),"")</f>
        <v>2134.1749099043127</v>
      </c>
      <c r="N18" s="1077">
        <f>SUM(K18:M18)</f>
        <v>10927.674909904312</v>
      </c>
      <c r="Q18" s="1120">
        <f t="shared" si="0"/>
        <v>1</v>
      </c>
      <c r="R18" s="1052">
        <f t="shared" si="0"/>
        <v>1</v>
      </c>
      <c r="S18" s="1089">
        <v>6500</v>
      </c>
      <c r="T18" s="1106">
        <f t="shared" ref="T18:T22" si="1">IF(Q18&lt;&gt;"",Q18*R18*S18,"")</f>
        <v>6500</v>
      </c>
      <c r="U18" s="1107">
        <f t="shared" ref="U18:U22" si="2">IF(Q18&lt;&gt;"",K18-T18,"")</f>
        <v>1680</v>
      </c>
      <c r="V18" s="1108">
        <f t="shared" ref="V18:V22" si="3">IF(Q18&lt;&gt;"",0%,"")</f>
        <v>0</v>
      </c>
      <c r="W18" s="1109">
        <f t="shared" ref="W18:W22" si="4">IF(Q18&lt;&gt;"",V18*U18,"")</f>
        <v>0</v>
      </c>
      <c r="X18" s="1109">
        <f t="shared" ref="X18:X22" si="5">IF(Q18&lt;&gt;"",W18+T18,"")</f>
        <v>6500</v>
      </c>
      <c r="Y18" s="1110">
        <f t="shared" ref="Y18:Y22" si="6">IF(Q18&lt;&gt;"",X18+M18,"")</f>
        <v>8634.1749099043118</v>
      </c>
      <c r="Z18" s="1057">
        <f t="shared" ref="Z18:Z22" si="7">IF(Q18&lt;&gt;"",U18/K18,"")</f>
        <v>0.20537897310513448</v>
      </c>
      <c r="AA18" s="1058">
        <f>T18/T23</f>
        <v>0.36915059583745785</v>
      </c>
    </row>
    <row r="19" spans="1:34" ht="26.25" customHeight="1" x14ac:dyDescent="0.35">
      <c r="A19" s="65">
        <v>5</v>
      </c>
      <c r="B19" s="108" t="s">
        <v>64</v>
      </c>
      <c r="C19" s="66" t="s">
        <v>57</v>
      </c>
      <c r="D19" s="65" t="s">
        <v>88</v>
      </c>
      <c r="E19" s="65" t="s">
        <v>58</v>
      </c>
      <c r="F19" s="1116" t="s">
        <v>867</v>
      </c>
      <c r="G19" s="1092" t="s">
        <v>905</v>
      </c>
      <c r="H19" s="1046">
        <v>1</v>
      </c>
      <c r="I19" s="1102">
        <v>1</v>
      </c>
      <c r="J19" s="68">
        <v>5400</v>
      </c>
      <c r="K19" s="1048">
        <f t="shared" ref="K19:K22" si="8">IF(F19&lt;&gt;"",H19*I19*J19,"")</f>
        <v>5400</v>
      </c>
      <c r="L19" s="1048">
        <f t="shared" ref="L19:L22" si="9">IF(K19&lt;&gt;"",IF(D19="INTERNO",0,K19*$L$14),"")</f>
        <v>405</v>
      </c>
      <c r="M19" s="1048">
        <f t="shared" ref="M19:M22" si="10">IF(K19&lt;&gt;"",IF(E19="FAT.OGGI",SUM(K19:L19)*(1/(1-$M$14)-1),L19*(1/(1-$M$14)-1)),"")</f>
        <v>1408.8685224307201</v>
      </c>
      <c r="N19" s="1059">
        <f t="shared" ref="N19:N22" si="11">SUM(K19:M19)</f>
        <v>7213.8685224307201</v>
      </c>
      <c r="Q19" s="1104">
        <f t="shared" si="0"/>
        <v>1</v>
      </c>
      <c r="R19" s="1105">
        <f t="shared" si="0"/>
        <v>1</v>
      </c>
      <c r="S19" s="1106">
        <v>2250</v>
      </c>
      <c r="T19" s="1106">
        <f t="shared" si="1"/>
        <v>2250</v>
      </c>
      <c r="U19" s="1107">
        <f t="shared" si="2"/>
        <v>3150</v>
      </c>
      <c r="V19" s="1108">
        <f t="shared" si="3"/>
        <v>0</v>
      </c>
      <c r="W19" s="1109">
        <f t="shared" si="4"/>
        <v>0</v>
      </c>
      <c r="X19" s="1109">
        <f t="shared" si="5"/>
        <v>2250</v>
      </c>
      <c r="Y19" s="1110">
        <f t="shared" si="6"/>
        <v>3658.8685224307201</v>
      </c>
      <c r="Z19" s="1057">
        <f t="shared" si="7"/>
        <v>0.58333333333333337</v>
      </c>
      <c r="AA19" s="1058">
        <f>T19/T23</f>
        <v>0.12778289855912003</v>
      </c>
      <c r="AC19" s="131">
        <v>0</v>
      </c>
      <c r="AD19" s="132">
        <f>T19-AC19</f>
        <v>2250</v>
      </c>
      <c r="AE19" s="133">
        <v>46028</v>
      </c>
      <c r="AG19" s="135" t="s">
        <v>906</v>
      </c>
      <c r="AH19" s="136" t="s">
        <v>907</v>
      </c>
    </row>
    <row r="20" spans="1:34" ht="26.25" customHeight="1" x14ac:dyDescent="0.3">
      <c r="A20" s="65">
        <v>6</v>
      </c>
      <c r="B20" s="108" t="s">
        <v>67</v>
      </c>
      <c r="C20" s="66" t="s">
        <v>57</v>
      </c>
      <c r="D20" s="65" t="s">
        <v>88</v>
      </c>
      <c r="E20" s="65" t="s">
        <v>58</v>
      </c>
      <c r="F20" s="1116" t="s">
        <v>867</v>
      </c>
      <c r="G20" s="1045" t="s">
        <v>908</v>
      </c>
      <c r="H20" s="1046">
        <v>1</v>
      </c>
      <c r="I20" s="1102">
        <v>1</v>
      </c>
      <c r="J20" s="68">
        <v>450</v>
      </c>
      <c r="K20" s="1048">
        <f t="shared" si="8"/>
        <v>450</v>
      </c>
      <c r="L20" s="1048">
        <f t="shared" si="9"/>
        <v>33.75</v>
      </c>
      <c r="M20" s="1048">
        <f t="shared" si="10"/>
        <v>117.40571020256</v>
      </c>
      <c r="N20" s="1059">
        <f t="shared" si="11"/>
        <v>601.15571020256004</v>
      </c>
      <c r="Q20" s="1104">
        <f t="shared" si="0"/>
        <v>1</v>
      </c>
      <c r="R20" s="1105">
        <f t="shared" si="0"/>
        <v>1</v>
      </c>
      <c r="S20" s="1145">
        <v>0</v>
      </c>
      <c r="T20" s="1146">
        <f t="shared" si="1"/>
        <v>0</v>
      </c>
      <c r="U20" s="1107">
        <f t="shared" si="2"/>
        <v>450</v>
      </c>
      <c r="V20" s="1108">
        <f t="shared" si="3"/>
        <v>0</v>
      </c>
      <c r="W20" s="1109">
        <f t="shared" si="4"/>
        <v>0</v>
      </c>
      <c r="X20" s="1109">
        <f t="shared" si="5"/>
        <v>0</v>
      </c>
      <c r="Y20" s="1110">
        <f t="shared" si="6"/>
        <v>117.40571020256</v>
      </c>
      <c r="Z20" s="1057">
        <f t="shared" si="7"/>
        <v>1</v>
      </c>
      <c r="AA20" s="1058" t="e">
        <f>T20/#REF!</f>
        <v>#REF!</v>
      </c>
    </row>
    <row r="21" spans="1:34" ht="32.4" x14ac:dyDescent="0.3">
      <c r="A21" s="65">
        <v>7</v>
      </c>
      <c r="B21" s="108" t="s">
        <v>70</v>
      </c>
      <c r="C21" s="66" t="s">
        <v>57</v>
      </c>
      <c r="D21" s="65" t="s">
        <v>88</v>
      </c>
      <c r="E21" s="65" t="s">
        <v>58</v>
      </c>
      <c r="F21" s="1116" t="s">
        <v>885</v>
      </c>
      <c r="G21" s="1045" t="s">
        <v>909</v>
      </c>
      <c r="H21" s="1046">
        <v>1000</v>
      </c>
      <c r="I21" s="1102">
        <v>1</v>
      </c>
      <c r="J21" s="68">
        <v>1.49</v>
      </c>
      <c r="K21" s="1048">
        <f t="shared" si="8"/>
        <v>1490</v>
      </c>
      <c r="L21" s="1048">
        <f t="shared" si="9"/>
        <v>111.75</v>
      </c>
      <c r="M21" s="1048">
        <f t="shared" si="10"/>
        <v>388.74335155958755</v>
      </c>
      <c r="N21" s="1059">
        <f t="shared" si="11"/>
        <v>1990.4933515595876</v>
      </c>
      <c r="Q21" s="1104">
        <v>1000</v>
      </c>
      <c r="R21" s="1105">
        <f t="shared" si="0"/>
        <v>1</v>
      </c>
      <c r="S21" s="1106">
        <v>1.29799</v>
      </c>
      <c r="T21" s="1106">
        <f>IF(Q21&lt;&gt;"",Q21*R21*S21,"")</f>
        <v>1297.99</v>
      </c>
      <c r="U21" s="1107">
        <f t="shared" si="2"/>
        <v>192.01</v>
      </c>
      <c r="V21" s="1108">
        <f t="shared" si="3"/>
        <v>0</v>
      </c>
      <c r="W21" s="1109">
        <f t="shared" si="4"/>
        <v>0</v>
      </c>
      <c r="X21" s="1109">
        <f t="shared" si="5"/>
        <v>1297.99</v>
      </c>
      <c r="Y21" s="1110">
        <f t="shared" si="6"/>
        <v>1686.7333515595876</v>
      </c>
      <c r="Z21" s="1057">
        <f t="shared" si="7"/>
        <v>0.12886577181208053</v>
      </c>
      <c r="AA21" s="1058" t="e">
        <f>T21/#REF!</f>
        <v>#REF!</v>
      </c>
    </row>
    <row r="22" spans="1:34" ht="24" x14ac:dyDescent="0.3">
      <c r="A22" s="65">
        <v>8</v>
      </c>
      <c r="B22" s="108" t="s">
        <v>73</v>
      </c>
      <c r="C22" s="66" t="s">
        <v>57</v>
      </c>
      <c r="D22" s="65" t="s">
        <v>88</v>
      </c>
      <c r="E22" s="65" t="s">
        <v>58</v>
      </c>
      <c r="F22" s="1044" t="s">
        <v>910</v>
      </c>
      <c r="G22" s="1101" t="s">
        <v>911</v>
      </c>
      <c r="H22" s="1046">
        <v>6</v>
      </c>
      <c r="I22" s="1102">
        <v>1</v>
      </c>
      <c r="J22" s="68">
        <v>105</v>
      </c>
      <c r="K22" s="1048">
        <f t="shared" si="8"/>
        <v>630</v>
      </c>
      <c r="L22" s="1048">
        <f t="shared" si="9"/>
        <v>47.25</v>
      </c>
      <c r="M22" s="1048">
        <f t="shared" si="10"/>
        <v>164.36799428358401</v>
      </c>
      <c r="N22" s="1059">
        <f t="shared" si="11"/>
        <v>841.61799428358404</v>
      </c>
      <c r="Q22" s="1120">
        <v>5</v>
      </c>
      <c r="R22" s="1121">
        <v>0</v>
      </c>
      <c r="S22" s="1147">
        <v>90</v>
      </c>
      <c r="T22" s="1136">
        <f t="shared" si="1"/>
        <v>0</v>
      </c>
      <c r="U22" s="1123">
        <f t="shared" si="2"/>
        <v>630</v>
      </c>
      <c r="V22" s="69">
        <f t="shared" si="3"/>
        <v>0</v>
      </c>
      <c r="W22" s="70">
        <f t="shared" si="4"/>
        <v>0</v>
      </c>
      <c r="X22" s="70">
        <f t="shared" si="5"/>
        <v>0</v>
      </c>
      <c r="Y22" s="67">
        <f t="shared" si="6"/>
        <v>164.36799428358401</v>
      </c>
      <c r="Z22" s="1057">
        <f t="shared" si="7"/>
        <v>1</v>
      </c>
      <c r="AA22" s="1058">
        <f>T22/T23</f>
        <v>0</v>
      </c>
    </row>
    <row r="23" spans="1:34" ht="30" customHeight="1" thickBot="1" x14ac:dyDescent="0.4">
      <c r="A23" s="59">
        <v>9</v>
      </c>
      <c r="B23" s="108"/>
      <c r="C23" s="60" t="s">
        <v>83</v>
      </c>
      <c r="D23" s="59"/>
      <c r="E23" s="59"/>
      <c r="F23" s="1450" t="s">
        <v>151</v>
      </c>
      <c r="G23" s="1451"/>
      <c r="H23" s="1451"/>
      <c r="I23" s="1451"/>
      <c r="J23" s="1451"/>
      <c r="K23" s="1061">
        <f>SUM(K17:K22)</f>
        <v>24844</v>
      </c>
      <c r="L23" s="1061">
        <f>SUM(L17:L22)</f>
        <v>1863.3</v>
      </c>
      <c r="M23" s="1061">
        <f>SUM(M17:M22)</f>
        <v>6481.8388094942229</v>
      </c>
      <c r="N23" s="1148">
        <f>SUM(N17:N22)</f>
        <v>33189.138809494223</v>
      </c>
      <c r="Q23" s="1441" t="s">
        <v>140</v>
      </c>
      <c r="R23" s="1442"/>
      <c r="S23" s="1443"/>
      <c r="T23" s="1111">
        <f>SUM(T17:T22)</f>
        <v>17607.990000000002</v>
      </c>
      <c r="U23" s="1112">
        <f>SUM(U17:U22)</f>
        <v>7236.01</v>
      </c>
      <c r="V23" s="1113"/>
      <c r="W23" s="1114"/>
      <c r="X23" s="1115">
        <f>SUM(X17:X22)</f>
        <v>17607.990000000002</v>
      </c>
      <c r="Y23" s="1068">
        <f>IF(Q23&lt;&gt;"",X23+M23,"")</f>
        <v>24089.828809494225</v>
      </c>
    </row>
    <row r="24" spans="1:34" ht="33.75" customHeight="1" thickBot="1" x14ac:dyDescent="0.5">
      <c r="A24" s="1137">
        <v>10</v>
      </c>
      <c r="B24" s="1138"/>
      <c r="C24" s="1139" t="s">
        <v>277</v>
      </c>
      <c r="D24" s="1137"/>
      <c r="E24" s="1137"/>
      <c r="F24" s="126" t="s">
        <v>278</v>
      </c>
      <c r="G24" s="127"/>
      <c r="H24" s="188"/>
      <c r="I24" s="188"/>
      <c r="J24" s="127"/>
      <c r="K24" s="122">
        <f>SUM(K17:K22)</f>
        <v>24844</v>
      </c>
      <c r="L24" s="122">
        <f>SUM(L17:L22)</f>
        <v>1863.3</v>
      </c>
      <c r="M24" s="122">
        <f>SUM(M17:M22)</f>
        <v>6481.8388094942229</v>
      </c>
      <c r="N24" s="1149">
        <f>SUM(N17:N22)</f>
        <v>33189.138809494223</v>
      </c>
      <c r="Q24" s="189" t="s">
        <v>279</v>
      </c>
      <c r="R24" s="188"/>
      <c r="S24" s="127"/>
      <c r="T24" s="122">
        <f>SUM(T17:T22)</f>
        <v>17607.990000000002</v>
      </c>
      <c r="U24" s="122">
        <f>SUM(U17:U22)</f>
        <v>7236.01</v>
      </c>
      <c r="V24" s="127"/>
      <c r="W24" s="127"/>
      <c r="X24" s="122">
        <f>SUM(X17:X22)</f>
        <v>17607.990000000002</v>
      </c>
      <c r="Y24" s="184">
        <f>SUM(Y17:Y22)</f>
        <v>24089.828809494225</v>
      </c>
      <c r="Z24" s="160">
        <f>IF(Q24&lt;&gt;"",(N24-Y24)/N24,"")</f>
        <v>0.27416529402073581</v>
      </c>
      <c r="AA24" s="185">
        <f>IF(Z24&lt;&gt;"",(N24-Y24),"")</f>
        <v>9099.3099999999977</v>
      </c>
    </row>
    <row r="26" spans="1:34" x14ac:dyDescent="0.3">
      <c r="N26" s="1150" t="s">
        <v>912</v>
      </c>
    </row>
    <row r="27" spans="1:34" x14ac:dyDescent="0.3">
      <c r="K27" s="1141"/>
      <c r="S27" s="88">
        <f>[1]Ativações!Y27+[1]Ativações!Y34+[1]Ativações!Y37+[1]Ativações!Y38</f>
        <v>79417.97433950541</v>
      </c>
      <c r="T27" s="1151">
        <f>[1]Ativações!T27+[1]Ativações!T34+[1]Ativações!T37+[1]Ativações!T38</f>
        <v>60152.479999999996</v>
      </c>
    </row>
    <row r="28" spans="1:34" x14ac:dyDescent="0.3">
      <c r="S28" s="88">
        <f>S17+S18</f>
        <v>14060</v>
      </c>
      <c r="T28" s="88">
        <f>T17+T18</f>
        <v>14060</v>
      </c>
    </row>
    <row r="29" spans="1:34" x14ac:dyDescent="0.3">
      <c r="S29" s="88">
        <f>'[1]Triplo Zero'!T17</f>
        <v>6240</v>
      </c>
      <c r="T29" s="88">
        <f>'[1]Triplo Zero'!T17</f>
        <v>6240</v>
      </c>
    </row>
    <row r="30" spans="1:34" x14ac:dyDescent="0.3">
      <c r="S30" s="1152">
        <f>SUM(S27:S29)</f>
        <v>99717.97433950541</v>
      </c>
      <c r="T30" s="88">
        <f>SUM(T27:T29)</f>
        <v>80452.479999999996</v>
      </c>
    </row>
  </sheetData>
  <mergeCells count="13">
    <mergeCell ref="AK12:AL12"/>
    <mergeCell ref="F15:N15"/>
    <mergeCell ref="Q15:Y15"/>
    <mergeCell ref="F16:K16"/>
    <mergeCell ref="Q16:Y16"/>
    <mergeCell ref="U12:X12"/>
    <mergeCell ref="AC12:AE12"/>
    <mergeCell ref="AG12:AH12"/>
    <mergeCell ref="F23:J23"/>
    <mergeCell ref="Q23:S23"/>
    <mergeCell ref="F1:G1"/>
    <mergeCell ref="F2:G2"/>
    <mergeCell ref="Q12:T12"/>
  </mergeCells>
  <dataValidations count="3">
    <dataValidation type="list" allowBlank="1" showInputMessage="1" showErrorMessage="1" sqref="D17:D24" xr:uid="{6D3A28D0-4F53-4178-855B-B34A3B1C5688}">
      <formula1>"INTERNO,OPERACIONAL"</formula1>
    </dataValidation>
    <dataValidation type="list" allowBlank="1" showInputMessage="1" showErrorMessage="1" sqref="E17:E23" xr:uid="{05710039-31A0-46C9-BE1C-3DA3205B7433}">
      <formula1>"FAT.OGGI,FAT.CLIENTE"</formula1>
    </dataValidation>
    <dataValidation type="list" allowBlank="1" showInputMessage="1" showErrorMessage="1" sqref="E24" xr:uid="{289FB51E-C2E2-43C4-AE23-97DCB46B28EA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5408-41C9-438C-B39A-9BC9AD4088FB}">
  <sheetPr codeName="Planilha27">
    <tabColor rgb="FFFF0000"/>
    <pageSetUpPr autoPageBreaks="0"/>
  </sheetPr>
  <dimension ref="A1:AL27"/>
  <sheetViews>
    <sheetView showGridLines="0" topLeftCell="G1" zoomScale="70" zoomScaleNormal="70" workbookViewId="0">
      <pane ySplit="1" topLeftCell="A17" activePane="bottomLeft" state="frozen"/>
      <selection activeCell="AA1" sqref="AA1:AA1048576"/>
      <selection pane="bottomLeft" activeCell="T20" sqref="T20"/>
    </sheetView>
  </sheetViews>
  <sheetFormatPr defaultRowHeight="14.4" x14ac:dyDescent="0.3"/>
  <cols>
    <col min="1" max="5" width="8.5546875" style="95" customWidth="1"/>
    <col min="6" max="6" width="43.88671875" customWidth="1"/>
    <col min="7" max="7" width="73.109375" customWidth="1"/>
    <col min="8" max="8" width="6.33203125" style="1021" customWidth="1"/>
    <col min="9" max="9" width="5.6640625" style="1021" customWidth="1"/>
    <col min="10" max="10" width="20.109375" customWidth="1"/>
    <col min="11" max="11" width="26.88671875" customWidth="1"/>
    <col min="12" max="12" width="26.109375" customWidth="1"/>
    <col min="13" max="13" width="25.6640625" customWidth="1"/>
    <col min="14" max="14" width="28.6640625" customWidth="1"/>
    <col min="15" max="15" width="3.33203125" customWidth="1"/>
    <col min="16" max="16" width="1.88671875" customWidth="1"/>
    <col min="17" max="18" width="9.33203125" style="1021" customWidth="1"/>
    <col min="19" max="19" width="18.88671875" customWidth="1"/>
    <col min="20" max="20" width="26.33203125" customWidth="1"/>
    <col min="21" max="21" width="27" customWidth="1"/>
    <col min="22" max="23" width="18.109375" customWidth="1"/>
    <col min="24" max="24" width="26.44140625" bestFit="1" customWidth="1"/>
    <col min="25" max="25" width="27.5546875" customWidth="1"/>
    <col min="26" max="26" width="18.6640625" customWidth="1"/>
    <col min="27" max="27" width="25.6640625" customWidth="1"/>
    <col min="28" max="28" width="38.10937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40" max="40" width="21.33203125" customWidth="1"/>
  </cols>
  <sheetData>
    <row r="1" spans="1:38" ht="49.5" customHeight="1" x14ac:dyDescent="0.3">
      <c r="B1" s="96"/>
      <c r="C1" s="97"/>
      <c r="D1" s="97"/>
      <c r="F1" s="1286" t="s">
        <v>0</v>
      </c>
      <c r="G1" s="1286"/>
    </row>
    <row r="2" spans="1:38" ht="24.75" customHeight="1" x14ac:dyDescent="0.3">
      <c r="B2" s="98"/>
      <c r="D2" s="97"/>
      <c r="F2" s="1287" t="s">
        <v>1</v>
      </c>
      <c r="G2" s="1287"/>
    </row>
    <row r="3" spans="1:38" ht="18" x14ac:dyDescent="0.3">
      <c r="B3" s="99"/>
      <c r="F3" s="27"/>
      <c r="G3" s="27"/>
    </row>
    <row r="4" spans="1:38" ht="18" x14ac:dyDescent="0.3">
      <c r="F4" s="29" t="s">
        <v>2</v>
      </c>
      <c r="G4" s="30"/>
    </row>
    <row r="5" spans="1:38" ht="18" x14ac:dyDescent="0.3">
      <c r="F5" s="31" t="s">
        <v>3</v>
      </c>
      <c r="G5" s="32"/>
    </row>
    <row r="6" spans="1:38" ht="18" x14ac:dyDescent="0.3">
      <c r="F6" s="31" t="s">
        <v>4</v>
      </c>
      <c r="G6" s="33"/>
    </row>
    <row r="7" spans="1:38" ht="21.75" customHeight="1" x14ac:dyDescent="0.3">
      <c r="F7" s="31" t="s">
        <v>5</v>
      </c>
      <c r="G7" s="34"/>
    </row>
    <row r="8" spans="1:38" ht="18" x14ac:dyDescent="0.3">
      <c r="F8" s="31" t="s">
        <v>6</v>
      </c>
      <c r="G8" s="35"/>
    </row>
    <row r="9" spans="1:38" ht="18" x14ac:dyDescent="0.3">
      <c r="F9" s="31" t="s">
        <v>7</v>
      </c>
      <c r="G9" s="34"/>
      <c r="M9">
        <v>0.80469999999999997</v>
      </c>
    </row>
    <row r="10" spans="1:38" ht="27" customHeight="1" x14ac:dyDescent="0.3">
      <c r="F10" s="31" t="s">
        <v>8</v>
      </c>
      <c r="G10" s="34"/>
      <c r="M10">
        <f>1-M9</f>
        <v>0.19530000000000003</v>
      </c>
    </row>
    <row r="11" spans="1:38" ht="18.600000000000001" thickBot="1" x14ac:dyDescent="0.35">
      <c r="F11" s="36" t="s">
        <v>9</v>
      </c>
      <c r="G11" s="37"/>
    </row>
    <row r="12" spans="1:38" ht="16.8" thickBot="1" x14ac:dyDescent="0.35">
      <c r="B12" s="100"/>
      <c r="M12" s="24"/>
      <c r="Q12" s="1288" t="s">
        <v>10</v>
      </c>
      <c r="R12" s="1289"/>
      <c r="S12" s="1289"/>
      <c r="T12" s="1457"/>
      <c r="U12" s="1291" t="s">
        <v>11</v>
      </c>
      <c r="V12" s="1292"/>
      <c r="W12" s="1292"/>
      <c r="X12" s="1455"/>
      <c r="Y12" s="26" t="s">
        <v>12</v>
      </c>
      <c r="Z12" s="1031" t="e">
        <f>(1/(1-#REF!))-1</f>
        <v>#REF!</v>
      </c>
      <c r="AC12" s="1294" t="s">
        <v>13</v>
      </c>
      <c r="AD12" s="1295"/>
      <c r="AE12" s="1456"/>
      <c r="AG12" s="1297" t="s">
        <v>14</v>
      </c>
      <c r="AH12" s="1298"/>
      <c r="AJ12" s="28" t="s">
        <v>15</v>
      </c>
      <c r="AK12" s="1284" t="s">
        <v>16</v>
      </c>
      <c r="AL12" s="1285"/>
    </row>
    <row r="13" spans="1:38" ht="15" thickBot="1" x14ac:dyDescent="0.35">
      <c r="A13" s="101" t="s">
        <v>17</v>
      </c>
      <c r="B13" s="102" t="s">
        <v>18</v>
      </c>
      <c r="C13" s="101" t="s">
        <v>19</v>
      </c>
      <c r="D13" s="101" t="s">
        <v>20</v>
      </c>
      <c r="E13" s="101" t="s">
        <v>21</v>
      </c>
      <c r="M13" s="25">
        <v>0.80469999999999997</v>
      </c>
    </row>
    <row r="14" spans="1:38" ht="33" thickBot="1" x14ac:dyDescent="0.35">
      <c r="A14" s="103">
        <v>0</v>
      </c>
      <c r="B14" s="104"/>
      <c r="C14" s="105"/>
      <c r="D14" s="65"/>
      <c r="E14" s="65"/>
      <c r="F14" s="45" t="s">
        <v>22</v>
      </c>
      <c r="G14" s="46" t="s">
        <v>23</v>
      </c>
      <c r="H14" s="47" t="s">
        <v>24</v>
      </c>
      <c r="I14" s="47" t="s">
        <v>25</v>
      </c>
      <c r="J14" s="48" t="s">
        <v>26</v>
      </c>
      <c r="K14" s="49" t="s">
        <v>27</v>
      </c>
      <c r="L14" s="119">
        <v>0.05</v>
      </c>
      <c r="M14" s="44">
        <f>1-M13</f>
        <v>0.19530000000000003</v>
      </c>
      <c r="N14" s="50" t="s">
        <v>28</v>
      </c>
      <c r="Q14" s="51" t="s">
        <v>29</v>
      </c>
      <c r="R14" s="52" t="s">
        <v>30</v>
      </c>
      <c r="S14" s="53" t="s">
        <v>31</v>
      </c>
      <c r="T14" s="54" t="s">
        <v>32</v>
      </c>
      <c r="U14" s="55" t="s">
        <v>33</v>
      </c>
      <c r="V14" s="56" t="s">
        <v>34</v>
      </c>
      <c r="W14" s="57" t="s">
        <v>35</v>
      </c>
      <c r="X14" s="57" t="s">
        <v>36</v>
      </c>
      <c r="Y14" s="58" t="s">
        <v>37</v>
      </c>
      <c r="Z14" s="38" t="s">
        <v>38</v>
      </c>
      <c r="AA14" s="39" t="s">
        <v>39</v>
      </c>
      <c r="AC14" s="40" t="s">
        <v>40</v>
      </c>
      <c r="AD14" s="41" t="s">
        <v>41</v>
      </c>
      <c r="AE14" s="41" t="s">
        <v>42</v>
      </c>
      <c r="AG14" s="42" t="s">
        <v>43</v>
      </c>
      <c r="AH14" s="43" t="s">
        <v>44</v>
      </c>
      <c r="AI14" t="s">
        <v>45</v>
      </c>
      <c r="AJ14" t="s">
        <v>45</v>
      </c>
      <c r="AK14" s="1032" t="s">
        <v>46</v>
      </c>
      <c r="AL14" s="1033" t="s">
        <v>47</v>
      </c>
    </row>
    <row r="15" spans="1:38" ht="36.75" customHeight="1" thickBot="1" x14ac:dyDescent="0.4">
      <c r="A15" s="65">
        <v>1</v>
      </c>
      <c r="B15" s="108">
        <v>1</v>
      </c>
      <c r="C15" s="66" t="s">
        <v>48</v>
      </c>
      <c r="D15" s="65"/>
      <c r="E15" s="65"/>
      <c r="F15" s="1418" t="s">
        <v>902</v>
      </c>
      <c r="G15" s="1419"/>
      <c r="H15" s="1419"/>
      <c r="I15" s="1419"/>
      <c r="J15" s="1419"/>
      <c r="K15" s="1419"/>
      <c r="L15" s="1419"/>
      <c r="M15" s="1419"/>
      <c r="N15" s="1420"/>
      <c r="Q15" s="1458" t="str">
        <f>IF(F15&lt;&gt;"",F15,"")</f>
        <v>ATIVAÇÕES GALBANI</v>
      </c>
      <c r="R15" s="1459"/>
      <c r="S15" s="1459"/>
      <c r="T15" s="1459"/>
      <c r="U15" s="1459"/>
      <c r="V15" s="1459"/>
      <c r="W15" s="1459"/>
      <c r="X15" s="1459"/>
      <c r="Y15" s="1460"/>
    </row>
    <row r="16" spans="1:38" ht="30" customHeight="1" x14ac:dyDescent="0.35">
      <c r="A16" s="65">
        <v>2</v>
      </c>
      <c r="B16" s="108" t="s">
        <v>50</v>
      </c>
      <c r="C16" s="66" t="s">
        <v>51</v>
      </c>
      <c r="D16" s="65"/>
      <c r="E16" s="65"/>
      <c r="F16" s="1424" t="s">
        <v>903</v>
      </c>
      <c r="G16" s="1425"/>
      <c r="H16" s="1425"/>
      <c r="I16" s="1425"/>
      <c r="J16" s="1425"/>
      <c r="K16" s="1425"/>
      <c r="L16" s="61" t="s">
        <v>53</v>
      </c>
      <c r="M16" s="62" t="s">
        <v>54</v>
      </c>
      <c r="N16" s="1043" t="s">
        <v>28</v>
      </c>
      <c r="Q16" s="1299" t="str">
        <f>IF(F16&lt;&gt;"",F16,"")</f>
        <v>Galbani</v>
      </c>
      <c r="R16" s="1300"/>
      <c r="S16" s="1300"/>
      <c r="T16" s="1300"/>
      <c r="U16" s="1300"/>
      <c r="V16" s="1300"/>
      <c r="W16" s="1300"/>
      <c r="X16" s="1300"/>
      <c r="Y16" s="1302"/>
      <c r="Z16" s="63" t="s">
        <v>55</v>
      </c>
      <c r="AA16" s="64" t="s">
        <v>39</v>
      </c>
    </row>
    <row r="17" spans="1:27" ht="97.2" x14ac:dyDescent="0.3">
      <c r="A17" s="65">
        <v>8</v>
      </c>
      <c r="B17" s="108" t="s">
        <v>73</v>
      </c>
      <c r="C17" s="66" t="s">
        <v>57</v>
      </c>
      <c r="D17" s="65" t="s">
        <v>88</v>
      </c>
      <c r="E17" s="65" t="s">
        <v>280</v>
      </c>
      <c r="F17" s="1116" t="s">
        <v>913</v>
      </c>
      <c r="G17" s="1045" t="s">
        <v>914</v>
      </c>
      <c r="H17" s="1046">
        <v>40</v>
      </c>
      <c r="I17" s="1102">
        <v>2</v>
      </c>
      <c r="J17" s="68">
        <v>30</v>
      </c>
      <c r="K17" s="1048">
        <f t="shared" ref="K17:K19" si="0">IF(F17&lt;&gt;"",H17*I17*J17,"")</f>
        <v>2400</v>
      </c>
      <c r="L17" s="1048">
        <f t="shared" ref="L17:L19" si="1">IF(K17&lt;&gt;"",IF(D17="INTERNO",0,K17*$L$14),"")</f>
        <v>120</v>
      </c>
      <c r="M17" s="1048">
        <f t="shared" ref="M17:M19" si="2">IF(K17&lt;&gt;"",IF(E17="FAT.OGGI",SUM(K17:L17)*(1/(1-$M$14)-1),L17*(1/(1-$M$14)-1)),"")</f>
        <v>29.123897104511009</v>
      </c>
      <c r="N17" s="1059">
        <f t="shared" ref="N17:N19" si="3">SUM(K17:M17)</f>
        <v>2549.1238971045109</v>
      </c>
      <c r="Q17" s="1104">
        <f t="shared" ref="Q17:R19" si="4">IF(H17&lt;&gt;"",H17,"")</f>
        <v>40</v>
      </c>
      <c r="R17" s="1105">
        <f t="shared" si="4"/>
        <v>2</v>
      </c>
      <c r="S17" s="1145">
        <f>J17</f>
        <v>30</v>
      </c>
      <c r="T17" s="1146">
        <f t="shared" ref="T17:T19" si="5">IF(Q17&lt;&gt;"",Q17*R17*S17,"")</f>
        <v>2400</v>
      </c>
      <c r="U17" s="1107">
        <f t="shared" ref="U17:U19" si="6">IF(Q17&lt;&gt;"",K17-T17,"")</f>
        <v>0</v>
      </c>
      <c r="V17" s="1108">
        <f t="shared" ref="V17:V19" si="7">IF(Q17&lt;&gt;"",0%,"")</f>
        <v>0</v>
      </c>
      <c r="W17" s="1109">
        <f t="shared" ref="W17:W19" si="8">IF(Q17&lt;&gt;"",V17*U17,"")</f>
        <v>0</v>
      </c>
      <c r="X17" s="1109">
        <f t="shared" ref="X17:X19" si="9">IF(Q17&lt;&gt;"",W17+T17,"")</f>
        <v>2400</v>
      </c>
      <c r="Y17" s="1110">
        <f t="shared" ref="Y17:Y19" si="10">IF(Q17&lt;&gt;"",X17+M17,"")</f>
        <v>2429.1238971045109</v>
      </c>
      <c r="Z17" s="1057">
        <f t="shared" ref="Z17:Z19" si="11">IF(Q17&lt;&gt;"",U17/K17,"")</f>
        <v>0</v>
      </c>
      <c r="AA17" s="1058" t="e">
        <f>T17/#REF!</f>
        <v>#REF!</v>
      </c>
    </row>
    <row r="18" spans="1:27" ht="32.4" x14ac:dyDescent="0.3">
      <c r="A18" s="65">
        <v>8</v>
      </c>
      <c r="B18" s="108" t="s">
        <v>73</v>
      </c>
      <c r="C18" s="66" t="s">
        <v>57</v>
      </c>
      <c r="D18" s="65" t="s">
        <v>88</v>
      </c>
      <c r="E18" s="65" t="s">
        <v>280</v>
      </c>
      <c r="F18" s="1116" t="s">
        <v>913</v>
      </c>
      <c r="G18" s="1045" t="s">
        <v>915</v>
      </c>
      <c r="H18" s="1046">
        <v>120</v>
      </c>
      <c r="I18" s="1102">
        <v>1</v>
      </c>
      <c r="J18" s="68">
        <v>30</v>
      </c>
      <c r="K18" s="1048">
        <f t="shared" si="0"/>
        <v>3600</v>
      </c>
      <c r="L18" s="1048">
        <f t="shared" si="1"/>
        <v>180</v>
      </c>
      <c r="M18" s="1048">
        <f t="shared" si="2"/>
        <v>43.68584565676651</v>
      </c>
      <c r="N18" s="1059">
        <f t="shared" si="3"/>
        <v>3823.6858456567666</v>
      </c>
      <c r="Q18" s="1104">
        <f t="shared" si="4"/>
        <v>120</v>
      </c>
      <c r="R18" s="1105">
        <f t="shared" si="4"/>
        <v>1</v>
      </c>
      <c r="S18" s="1145">
        <f>J18</f>
        <v>30</v>
      </c>
      <c r="T18" s="1146">
        <f t="shared" si="5"/>
        <v>3600</v>
      </c>
      <c r="U18" s="1107">
        <f t="shared" si="6"/>
        <v>0</v>
      </c>
      <c r="V18" s="1108">
        <f t="shared" si="7"/>
        <v>0</v>
      </c>
      <c r="W18" s="1109">
        <f t="shared" si="8"/>
        <v>0</v>
      </c>
      <c r="X18" s="1109">
        <f t="shared" si="9"/>
        <v>3600</v>
      </c>
      <c r="Y18" s="1110">
        <f t="shared" si="10"/>
        <v>3643.6858456567666</v>
      </c>
      <c r="Z18" s="1057">
        <f t="shared" si="11"/>
        <v>0</v>
      </c>
      <c r="AA18" s="1058" t="e">
        <f>T18/#REF!</f>
        <v>#REF!</v>
      </c>
    </row>
    <row r="19" spans="1:27" ht="26.25" customHeight="1" x14ac:dyDescent="0.3">
      <c r="A19" s="65">
        <v>8</v>
      </c>
      <c r="B19" s="108" t="s">
        <v>73</v>
      </c>
      <c r="C19" s="66" t="s">
        <v>57</v>
      </c>
      <c r="D19" s="65" t="s">
        <v>88</v>
      </c>
      <c r="E19" s="65" t="s">
        <v>280</v>
      </c>
      <c r="F19" s="1116" t="s">
        <v>913</v>
      </c>
      <c r="G19" s="1092" t="s">
        <v>916</v>
      </c>
      <c r="H19" s="1046">
        <v>40</v>
      </c>
      <c r="I19" s="1102">
        <v>1</v>
      </c>
      <c r="J19" s="68">
        <v>30</v>
      </c>
      <c r="K19" s="1048">
        <f t="shared" si="0"/>
        <v>1200</v>
      </c>
      <c r="L19" s="1048">
        <f t="shared" si="1"/>
        <v>60</v>
      </c>
      <c r="M19" s="1048">
        <f t="shared" si="2"/>
        <v>14.561948552255505</v>
      </c>
      <c r="N19" s="1059">
        <f t="shared" si="3"/>
        <v>1274.5619485522554</v>
      </c>
      <c r="Q19" s="1104">
        <f t="shared" si="4"/>
        <v>40</v>
      </c>
      <c r="R19" s="1105">
        <f t="shared" si="4"/>
        <v>1</v>
      </c>
      <c r="S19" s="1145">
        <f>J19</f>
        <v>30</v>
      </c>
      <c r="T19" s="1146">
        <f t="shared" si="5"/>
        <v>1200</v>
      </c>
      <c r="U19" s="1107">
        <f t="shared" si="6"/>
        <v>0</v>
      </c>
      <c r="V19" s="1108">
        <f t="shared" si="7"/>
        <v>0</v>
      </c>
      <c r="W19" s="1109">
        <f t="shared" si="8"/>
        <v>0</v>
      </c>
      <c r="X19" s="1109">
        <f t="shared" si="9"/>
        <v>1200</v>
      </c>
      <c r="Y19" s="1110">
        <f t="shared" si="10"/>
        <v>1214.5619485522554</v>
      </c>
      <c r="Z19" s="1057">
        <f t="shared" si="11"/>
        <v>0</v>
      </c>
      <c r="AA19" s="1058" t="e">
        <f>T19/#REF!</f>
        <v>#REF!</v>
      </c>
    </row>
    <row r="20" spans="1:27" ht="30" customHeight="1" thickBot="1" x14ac:dyDescent="0.4">
      <c r="A20" s="59">
        <v>10</v>
      </c>
      <c r="B20" s="108"/>
      <c r="C20" s="60" t="s">
        <v>83</v>
      </c>
      <c r="D20" s="59"/>
      <c r="E20" s="59"/>
      <c r="F20" s="1450" t="s">
        <v>151</v>
      </c>
      <c r="G20" s="1451"/>
      <c r="H20" s="1451"/>
      <c r="I20" s="1451"/>
      <c r="J20" s="1451"/>
      <c r="K20" s="1061">
        <f>SUM(K17:K19)</f>
        <v>7200</v>
      </c>
      <c r="L20" s="1061">
        <f>SUM(L17:L19)</f>
        <v>360</v>
      </c>
      <c r="M20" s="1061">
        <f>SUM(M17:M19)</f>
        <v>87.37169131353302</v>
      </c>
      <c r="N20" s="1148">
        <f>SUM(N17:N19)</f>
        <v>7647.3716913135331</v>
      </c>
      <c r="Q20" s="1441" t="s">
        <v>140</v>
      </c>
      <c r="R20" s="1442"/>
      <c r="S20" s="1443"/>
      <c r="T20" s="1153">
        <f>SUM(T17:T19)</f>
        <v>7200</v>
      </c>
      <c r="U20" s="1112">
        <f>SUM(U17:U19)</f>
        <v>0</v>
      </c>
      <c r="V20" s="1113"/>
      <c r="W20" s="1114"/>
      <c r="X20" s="1115">
        <f>SUM(X17:X19)</f>
        <v>7200</v>
      </c>
      <c r="Y20" s="1068">
        <f>IF(Q20&lt;&gt;"",X20+M20,"")</f>
        <v>7287.3716913135331</v>
      </c>
    </row>
    <row r="21" spans="1:27" ht="33.75" customHeight="1" thickBot="1" x14ac:dyDescent="0.5">
      <c r="A21" s="1137">
        <v>11</v>
      </c>
      <c r="B21" s="1138"/>
      <c r="C21" s="1139" t="s">
        <v>277</v>
      </c>
      <c r="D21" s="1137"/>
      <c r="E21" s="1137"/>
      <c r="F21" s="126" t="s">
        <v>278</v>
      </c>
      <c r="G21" s="127"/>
      <c r="H21" s="188"/>
      <c r="I21" s="188"/>
      <c r="J21" s="127"/>
      <c r="K21" s="122">
        <f>SUM(K17:K19)</f>
        <v>7200</v>
      </c>
      <c r="L21" s="122">
        <f>SUM(L17:L19)</f>
        <v>360</v>
      </c>
      <c r="M21" s="122">
        <f>SUM(M17:M19)</f>
        <v>87.37169131353302</v>
      </c>
      <c r="N21" s="184">
        <f>SUM(N17:N19)</f>
        <v>7647.3716913135331</v>
      </c>
      <c r="Q21" s="189" t="s">
        <v>279</v>
      </c>
      <c r="R21" s="188"/>
      <c r="S21" s="127"/>
      <c r="T21" s="122">
        <f>SUM(T17:T19)</f>
        <v>7200</v>
      </c>
      <c r="U21" s="122">
        <f>SUM(U17:U19)</f>
        <v>0</v>
      </c>
      <c r="V21" s="127"/>
      <c r="W21" s="127"/>
      <c r="X21" s="122">
        <f>SUM(X17:X19)</f>
        <v>7200</v>
      </c>
      <c r="Y21" s="184">
        <f>SUM(Y17:Y19)</f>
        <v>7287.3716913135331</v>
      </c>
      <c r="Z21" s="160">
        <f>IF(Q21&lt;&gt;"",(N21-Y21)/N21,"")</f>
        <v>4.7074997074997071E-2</v>
      </c>
      <c r="AA21" s="185">
        <f>IF(Z21&lt;&gt;"",(N21-Y21),"")</f>
        <v>360</v>
      </c>
    </row>
    <row r="24" spans="1:27" x14ac:dyDescent="0.3">
      <c r="K24" s="1141"/>
      <c r="S24" s="88"/>
      <c r="T24" s="1151"/>
    </row>
    <row r="25" spans="1:27" x14ac:dyDescent="0.3">
      <c r="S25" s="88"/>
      <c r="T25" s="88"/>
    </row>
    <row r="26" spans="1:27" x14ac:dyDescent="0.3">
      <c r="S26" s="88"/>
      <c r="T26" s="88"/>
    </row>
    <row r="27" spans="1:27" x14ac:dyDescent="0.3">
      <c r="S27" s="1152"/>
      <c r="T27" s="88"/>
    </row>
  </sheetData>
  <mergeCells count="13">
    <mergeCell ref="AK12:AL12"/>
    <mergeCell ref="F15:N15"/>
    <mergeCell ref="Q15:Y15"/>
    <mergeCell ref="F16:K16"/>
    <mergeCell ref="Q16:Y16"/>
    <mergeCell ref="U12:X12"/>
    <mergeCell ref="AC12:AE12"/>
    <mergeCell ref="AG12:AH12"/>
    <mergeCell ref="F20:J20"/>
    <mergeCell ref="Q20:S20"/>
    <mergeCell ref="F1:G1"/>
    <mergeCell ref="F2:G2"/>
    <mergeCell ref="Q12:T12"/>
  </mergeCells>
  <dataValidations count="3">
    <dataValidation type="list" allowBlank="1" showInputMessage="1" showErrorMessage="1" sqref="E17:E20" xr:uid="{D85F9979-B606-4D1A-A863-9CFE1874213A}">
      <formula1>"FAT.OGGI,FAT.CLIENTE"</formula1>
    </dataValidation>
    <dataValidation type="list" allowBlank="1" showInputMessage="1" showErrorMessage="1" sqref="D17:D21" xr:uid="{CCA501DB-7A93-4B0E-B1FC-E7803FE6D37E}">
      <formula1>"INTERNO,OPERACIONAL"</formula1>
    </dataValidation>
    <dataValidation type="list" allowBlank="1" showInputMessage="1" showErrorMessage="1" sqref="E21" xr:uid="{BE63EE67-FCA8-4F32-B711-5AA688813247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7C6D-FD6F-4E58-B0D8-251A4B17D122}">
  <sheetPr codeName="Planilha28">
    <pageSetUpPr autoPageBreaks="0"/>
  </sheetPr>
  <dimension ref="A1:AL47"/>
  <sheetViews>
    <sheetView showGridLines="0" topLeftCell="G1" zoomScale="70" zoomScaleNormal="70" workbookViewId="0">
      <pane ySplit="1" topLeftCell="A31" activePane="bottomLeft" state="frozen"/>
      <selection activeCell="AA1" sqref="AA1:AA1048576"/>
      <selection pane="bottomLeft" activeCell="G42" sqref="G42"/>
    </sheetView>
  </sheetViews>
  <sheetFormatPr defaultRowHeight="14.4" x14ac:dyDescent="0.3"/>
  <cols>
    <col min="1" max="5" width="8.5546875" style="95" customWidth="1"/>
    <col min="6" max="6" width="43.88671875" customWidth="1"/>
    <col min="7" max="7" width="73.109375" customWidth="1"/>
    <col min="8" max="8" width="6.33203125" style="1021" customWidth="1"/>
    <col min="9" max="9" width="5.6640625" style="1021" customWidth="1"/>
    <col min="10" max="10" width="20.109375" customWidth="1"/>
    <col min="11" max="11" width="30" customWidth="1"/>
    <col min="12" max="12" width="28.109375" customWidth="1"/>
    <col min="13" max="13" width="28.109375" bestFit="1" customWidth="1"/>
    <col min="14" max="14" width="30" bestFit="1" customWidth="1"/>
    <col min="15" max="15" width="3.33203125" customWidth="1"/>
    <col min="16" max="16" width="1.88671875" customWidth="1"/>
    <col min="17" max="18" width="9.33203125" style="1021" customWidth="1"/>
    <col min="19" max="19" width="18.88671875" customWidth="1"/>
    <col min="20" max="20" width="26.33203125" customWidth="1"/>
    <col min="21" max="21" width="27" customWidth="1"/>
    <col min="22" max="23" width="18.109375" customWidth="1"/>
    <col min="24" max="24" width="26.44140625" bestFit="1" customWidth="1"/>
    <col min="25" max="25" width="27.5546875" customWidth="1"/>
    <col min="26" max="26" width="18.6640625" customWidth="1"/>
    <col min="27" max="27" width="25.6640625" customWidth="1"/>
    <col min="28" max="28" width="38.10937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40" max="40" width="21.33203125" customWidth="1"/>
  </cols>
  <sheetData>
    <row r="1" spans="1:38" ht="49.5" customHeight="1" x14ac:dyDescent="0.3">
      <c r="B1" s="96"/>
      <c r="C1" s="97"/>
      <c r="D1" s="97"/>
      <c r="F1" s="1286" t="s">
        <v>0</v>
      </c>
      <c r="G1" s="1286"/>
    </row>
    <row r="2" spans="1:38" ht="24.75" customHeight="1" x14ac:dyDescent="0.3">
      <c r="B2" s="98"/>
      <c r="D2" s="97"/>
      <c r="F2" s="1287" t="s">
        <v>1</v>
      </c>
      <c r="G2" s="1287"/>
    </row>
    <row r="3" spans="1:38" ht="18" x14ac:dyDescent="0.3">
      <c r="B3" s="99"/>
      <c r="F3" s="27"/>
      <c r="G3" s="27"/>
    </row>
    <row r="4" spans="1:38" ht="18" x14ac:dyDescent="0.3">
      <c r="F4" s="29" t="s">
        <v>2</v>
      </c>
      <c r="G4" s="30"/>
    </row>
    <row r="5" spans="1:38" ht="18" x14ac:dyDescent="0.3">
      <c r="F5" s="31" t="s">
        <v>3</v>
      </c>
      <c r="G5" s="32"/>
    </row>
    <row r="6" spans="1:38" ht="18" x14ac:dyDescent="0.3">
      <c r="F6" s="31" t="s">
        <v>4</v>
      </c>
      <c r="G6" s="33"/>
    </row>
    <row r="7" spans="1:38" ht="21.75" customHeight="1" x14ac:dyDescent="0.3">
      <c r="F7" s="31" t="s">
        <v>5</v>
      </c>
      <c r="G7" s="34"/>
    </row>
    <row r="8" spans="1:38" ht="18" x14ac:dyDescent="0.3">
      <c r="F8" s="31" t="s">
        <v>6</v>
      </c>
      <c r="G8" s="35"/>
    </row>
    <row r="9" spans="1:38" ht="18" x14ac:dyDescent="0.3">
      <c r="F9" s="31" t="s">
        <v>7</v>
      </c>
      <c r="G9" s="34"/>
      <c r="M9">
        <v>0.80469999999999997</v>
      </c>
    </row>
    <row r="10" spans="1:38" ht="27" customHeight="1" x14ac:dyDescent="0.3">
      <c r="F10" s="31" t="s">
        <v>8</v>
      </c>
      <c r="G10" s="34"/>
      <c r="M10">
        <f>1-M9</f>
        <v>0.19530000000000003</v>
      </c>
    </row>
    <row r="11" spans="1:38" ht="18.600000000000001" thickBot="1" x14ac:dyDescent="0.35">
      <c r="F11" s="36" t="s">
        <v>9</v>
      </c>
      <c r="G11" s="37"/>
    </row>
    <row r="12" spans="1:38" ht="16.8" thickBot="1" x14ac:dyDescent="0.35">
      <c r="B12" s="100"/>
      <c r="M12" s="24"/>
      <c r="Q12" s="1288" t="s">
        <v>10</v>
      </c>
      <c r="R12" s="1289"/>
      <c r="S12" s="1289"/>
      <c r="T12" s="1457"/>
      <c r="U12" s="1291" t="s">
        <v>11</v>
      </c>
      <c r="V12" s="1292"/>
      <c r="W12" s="1292"/>
      <c r="X12" s="1455"/>
      <c r="Y12" s="26" t="s">
        <v>12</v>
      </c>
      <c r="Z12" s="1031" t="e">
        <f>(1/(1-#REF!))-1</f>
        <v>#REF!</v>
      </c>
      <c r="AC12" s="1294" t="s">
        <v>13</v>
      </c>
      <c r="AD12" s="1295"/>
      <c r="AE12" s="1456"/>
      <c r="AG12" s="1297" t="s">
        <v>14</v>
      </c>
      <c r="AH12" s="1298"/>
      <c r="AJ12" s="28" t="s">
        <v>15</v>
      </c>
      <c r="AK12" s="1284" t="s">
        <v>16</v>
      </c>
      <c r="AL12" s="1285"/>
    </row>
    <row r="13" spans="1:38" ht="15" thickBot="1" x14ac:dyDescent="0.35">
      <c r="A13" s="101" t="s">
        <v>17</v>
      </c>
      <c r="B13" s="102" t="s">
        <v>18</v>
      </c>
      <c r="C13" s="101" t="s">
        <v>19</v>
      </c>
      <c r="D13" s="101" t="s">
        <v>20</v>
      </c>
      <c r="E13" s="101" t="s">
        <v>21</v>
      </c>
      <c r="M13" s="25">
        <v>0.80469999999999997</v>
      </c>
    </row>
    <row r="14" spans="1:38" ht="33" thickBot="1" x14ac:dyDescent="0.35">
      <c r="A14" s="103">
        <v>0</v>
      </c>
      <c r="B14" s="104"/>
      <c r="C14" s="105"/>
      <c r="D14" s="65"/>
      <c r="E14" s="65"/>
      <c r="F14" s="45" t="s">
        <v>22</v>
      </c>
      <c r="G14" s="46" t="s">
        <v>23</v>
      </c>
      <c r="H14" s="47" t="s">
        <v>24</v>
      </c>
      <c r="I14" s="47" t="s">
        <v>25</v>
      </c>
      <c r="J14" s="48" t="s">
        <v>26</v>
      </c>
      <c r="K14" s="49" t="s">
        <v>27</v>
      </c>
      <c r="L14" s="119">
        <v>7.4999999999999997E-2</v>
      </c>
      <c r="M14" s="44">
        <f>1-M13</f>
        <v>0.19530000000000003</v>
      </c>
      <c r="N14" s="50" t="s">
        <v>28</v>
      </c>
      <c r="Q14" s="51" t="s">
        <v>29</v>
      </c>
      <c r="R14" s="52" t="s">
        <v>30</v>
      </c>
      <c r="S14" s="53" t="s">
        <v>31</v>
      </c>
      <c r="T14" s="54" t="s">
        <v>32</v>
      </c>
      <c r="U14" s="55" t="s">
        <v>33</v>
      </c>
      <c r="V14" s="56" t="s">
        <v>34</v>
      </c>
      <c r="W14" s="57" t="s">
        <v>35</v>
      </c>
      <c r="X14" s="57" t="s">
        <v>36</v>
      </c>
      <c r="Y14" s="58" t="s">
        <v>37</v>
      </c>
      <c r="Z14" s="38" t="s">
        <v>38</v>
      </c>
      <c r="AA14" s="39" t="s">
        <v>39</v>
      </c>
      <c r="AC14" s="40" t="s">
        <v>40</v>
      </c>
      <c r="AD14" s="41" t="s">
        <v>41</v>
      </c>
      <c r="AE14" s="41" t="s">
        <v>42</v>
      </c>
      <c r="AG14" s="42" t="s">
        <v>43</v>
      </c>
      <c r="AH14" s="43" t="s">
        <v>44</v>
      </c>
      <c r="AI14" t="s">
        <v>45</v>
      </c>
      <c r="AJ14" t="s">
        <v>45</v>
      </c>
      <c r="AK14" s="1032" t="s">
        <v>46</v>
      </c>
      <c r="AL14" s="1033" t="s">
        <v>47</v>
      </c>
    </row>
    <row r="15" spans="1:38" ht="36.75" customHeight="1" thickBot="1" x14ac:dyDescent="0.4">
      <c r="A15" s="65">
        <v>1</v>
      </c>
      <c r="B15" s="108">
        <v>1</v>
      </c>
      <c r="C15" s="66" t="s">
        <v>48</v>
      </c>
      <c r="D15" s="65"/>
      <c r="E15" s="65"/>
      <c r="F15" s="1418" t="s">
        <v>917</v>
      </c>
      <c r="G15" s="1419"/>
      <c r="H15" s="1419"/>
      <c r="I15" s="1419"/>
      <c r="J15" s="1419"/>
      <c r="K15" s="1419"/>
      <c r="L15" s="1419"/>
      <c r="M15" s="1419"/>
      <c r="N15" s="1420"/>
      <c r="Q15" s="1421" t="str">
        <f>IF(F15&lt;&gt;"",F15,"")</f>
        <v xml:space="preserve"> TRIPLO ZERO</v>
      </c>
      <c r="R15" s="1422"/>
      <c r="S15" s="1422"/>
      <c r="T15" s="1422"/>
      <c r="U15" s="1422"/>
      <c r="V15" s="1422"/>
      <c r="W15" s="1422"/>
      <c r="X15" s="1422"/>
      <c r="Y15" s="1423"/>
    </row>
    <row r="16" spans="1:38" ht="30" customHeight="1" x14ac:dyDescent="0.35">
      <c r="A16" s="65">
        <v>2</v>
      </c>
      <c r="B16" s="108" t="s">
        <v>50</v>
      </c>
      <c r="C16" s="66" t="s">
        <v>51</v>
      </c>
      <c r="D16" s="65"/>
      <c r="E16" s="65"/>
      <c r="F16" s="1424" t="s">
        <v>918</v>
      </c>
      <c r="G16" s="1425"/>
      <c r="H16" s="1425"/>
      <c r="I16" s="1425"/>
      <c r="J16" s="1425"/>
      <c r="K16" s="1425"/>
      <c r="L16" s="61" t="s">
        <v>53</v>
      </c>
      <c r="M16" s="62" t="s">
        <v>54</v>
      </c>
      <c r="N16" s="1043" t="s">
        <v>28</v>
      </c>
      <c r="Q16" s="1426" t="str">
        <f>IF(F16&lt;&gt;"",F16,"")</f>
        <v xml:space="preserve">Triplo Zero </v>
      </c>
      <c r="R16" s="1427"/>
      <c r="S16" s="1427"/>
      <c r="T16" s="1427"/>
      <c r="U16" s="1427"/>
      <c r="V16" s="1427"/>
      <c r="W16" s="1427"/>
      <c r="X16" s="1427"/>
      <c r="Y16" s="1428"/>
      <c r="Z16" s="63" t="s">
        <v>55</v>
      </c>
      <c r="AA16" s="64" t="s">
        <v>39</v>
      </c>
    </row>
    <row r="17" spans="1:34" ht="48.6" x14ac:dyDescent="0.3">
      <c r="A17" s="65">
        <v>3</v>
      </c>
      <c r="B17" s="108" t="s">
        <v>56</v>
      </c>
      <c r="C17" s="66" t="s">
        <v>57</v>
      </c>
      <c r="D17" s="65" t="s">
        <v>88</v>
      </c>
      <c r="E17" s="65" t="s">
        <v>58</v>
      </c>
      <c r="F17" s="1116" t="s">
        <v>867</v>
      </c>
      <c r="G17" s="1073" t="s">
        <v>875</v>
      </c>
      <c r="H17" s="1074">
        <v>1</v>
      </c>
      <c r="I17" s="1074">
        <v>1</v>
      </c>
      <c r="J17" s="1154">
        <v>7176</v>
      </c>
      <c r="K17" s="1076">
        <f>IF(F17&lt;&gt;"",H17*I17*J17,"")</f>
        <v>7176</v>
      </c>
      <c r="L17" s="1048">
        <f>IF(K17&lt;&gt;"",IF(D17="INTERNO",0,K17*$L$14),"")</f>
        <v>538.19999999999993</v>
      </c>
      <c r="M17" s="1048">
        <f>IF(K17&lt;&gt;"",IF(E17="FAT.OGGI",SUM(K17:L17)*(1/(1-$M$14)-1),L17*(1/(1-$M$14)-1)),"")</f>
        <v>1872.2297253634902</v>
      </c>
      <c r="N17" s="1059">
        <f>SUM(K17:M17)</f>
        <v>9586.4297253634904</v>
      </c>
      <c r="Q17" s="1104">
        <f>IF(H17&lt;&gt;"",H17,"")</f>
        <v>1</v>
      </c>
      <c r="R17" s="1105">
        <f>IF(I17&lt;&gt;"",I17,"")</f>
        <v>1</v>
      </c>
      <c r="S17" s="1106">
        <v>6240</v>
      </c>
      <c r="T17" s="1106">
        <f>IF(Q17&lt;&gt;"",Q17*R17*S17,"")</f>
        <v>6240</v>
      </c>
      <c r="U17" s="1107">
        <f>IF(Q17&lt;&gt;"",K17-T17,"")</f>
        <v>936</v>
      </c>
      <c r="V17" s="1108">
        <f>IF(Q17&lt;&gt;"",0%,"")</f>
        <v>0</v>
      </c>
      <c r="W17" s="1109">
        <f>IF(Q17&lt;&gt;"",V17*U17,"")</f>
        <v>0</v>
      </c>
      <c r="X17" s="1109">
        <f>IF(Q17&lt;&gt;"",W17+T17,"")</f>
        <v>6240</v>
      </c>
      <c r="Y17" s="1110">
        <f>IF(Q17&lt;&gt;"",X17+M17,"")</f>
        <v>8112.2297253634897</v>
      </c>
      <c r="Z17" s="1057">
        <f>IF(Q17&lt;&gt;"",U17/K17,"")</f>
        <v>0.13043478260869565</v>
      </c>
      <c r="AA17" s="1058">
        <f t="shared" ref="AA17:AA22" si="0">T17/$T$23</f>
        <v>0.14953271028037382</v>
      </c>
    </row>
    <row r="18" spans="1:34" ht="24" x14ac:dyDescent="0.3">
      <c r="A18" s="65">
        <v>4</v>
      </c>
      <c r="B18" s="108" t="s">
        <v>61</v>
      </c>
      <c r="C18" s="66" t="s">
        <v>57</v>
      </c>
      <c r="D18" s="65" t="s">
        <v>88</v>
      </c>
      <c r="E18" s="65" t="s">
        <v>58</v>
      </c>
      <c r="F18" s="1116" t="s">
        <v>919</v>
      </c>
      <c r="G18" s="1045" t="s">
        <v>920</v>
      </c>
      <c r="H18" s="1046">
        <v>1</v>
      </c>
      <c r="I18" s="1046">
        <v>1</v>
      </c>
      <c r="J18" s="1048">
        <v>23700</v>
      </c>
      <c r="K18" s="1048">
        <f t="shared" ref="K18:K22" si="1">IF(F18&lt;&gt;"",H18*I18*J18,"")</f>
        <v>23700</v>
      </c>
      <c r="L18" s="1048">
        <f t="shared" ref="L18:L22" si="2">IF(K18&lt;&gt;"",IF(D18="INTERNO",0,K18*$L$14),"")</f>
        <v>1777.5</v>
      </c>
      <c r="M18" s="1048">
        <f t="shared" ref="M18:M22" si="3">IF(K18&lt;&gt;"",IF(E18="FAT.OGGI",SUM(K18:L18)*(1/(1-$M$14)-1),L18*(1/(1-$M$14)-1)),"")</f>
        <v>6183.367404001493</v>
      </c>
      <c r="N18" s="1059">
        <f t="shared" ref="N18:N22" si="4">SUM(K18:M18)</f>
        <v>31660.867404001492</v>
      </c>
      <c r="Q18" s="1120">
        <f t="shared" ref="Q18:Q22" si="5">IF(H18&lt;&gt;"",H18,"")</f>
        <v>1</v>
      </c>
      <c r="R18" s="1121">
        <v>1</v>
      </c>
      <c r="S18" s="1122">
        <v>15000</v>
      </c>
      <c r="T18" s="1122">
        <f t="shared" ref="T18:T22" si="6">IF(Q18&lt;&gt;"",Q18*R18*S18,"")</f>
        <v>15000</v>
      </c>
      <c r="U18" s="1123">
        <f t="shared" ref="U18:U22" si="7">IF(Q18&lt;&gt;"",K18-T18,"")</f>
        <v>8700</v>
      </c>
      <c r="V18" s="69">
        <f t="shared" ref="V18:V22" si="8">IF(Q18&lt;&gt;"",0%,"")</f>
        <v>0</v>
      </c>
      <c r="W18" s="70">
        <f t="shared" ref="W18:W22" si="9">IF(Q18&lt;&gt;"",V18*U18,"")</f>
        <v>0</v>
      </c>
      <c r="X18" s="70">
        <f t="shared" ref="X18:X22" si="10">IF(Q18&lt;&gt;"",W18+T18,"")</f>
        <v>15000</v>
      </c>
      <c r="Y18" s="67">
        <f t="shared" ref="Y18:Y22" si="11">IF(Q18&lt;&gt;"",X18+M18,"")</f>
        <v>21183.367404001492</v>
      </c>
      <c r="Z18" s="1057">
        <f t="shared" ref="Z18:Z22" si="12">IF(Q18&lt;&gt;"",U18/K18,"")</f>
        <v>0.36708860759493672</v>
      </c>
      <c r="AA18" s="1058">
        <f t="shared" si="0"/>
        <v>0.35945363048166784</v>
      </c>
    </row>
    <row r="19" spans="1:34" ht="291.60000000000002" x14ac:dyDescent="0.3">
      <c r="A19" s="65">
        <v>5</v>
      </c>
      <c r="B19" s="108" t="s">
        <v>64</v>
      </c>
      <c r="C19" s="66" t="s">
        <v>57</v>
      </c>
      <c r="D19" s="65" t="s">
        <v>88</v>
      </c>
      <c r="E19" s="65" t="s">
        <v>58</v>
      </c>
      <c r="F19" s="1116" t="s">
        <v>919</v>
      </c>
      <c r="G19" s="1092" t="s">
        <v>921</v>
      </c>
      <c r="H19" s="1046">
        <v>1</v>
      </c>
      <c r="I19" s="1046">
        <v>1</v>
      </c>
      <c r="J19" s="1048">
        <v>15210</v>
      </c>
      <c r="K19" s="1048">
        <f t="shared" si="1"/>
        <v>15210</v>
      </c>
      <c r="L19" s="1048">
        <f t="shared" si="2"/>
        <v>1140.75</v>
      </c>
      <c r="M19" s="1048">
        <f t="shared" si="3"/>
        <v>3968.3130048465277</v>
      </c>
      <c r="N19" s="1059">
        <f t="shared" si="4"/>
        <v>20319.063004846528</v>
      </c>
      <c r="Q19" s="1120">
        <f t="shared" si="5"/>
        <v>1</v>
      </c>
      <c r="R19" s="1121">
        <v>1</v>
      </c>
      <c r="S19" s="1122">
        <v>12990</v>
      </c>
      <c r="T19" s="1122">
        <f>IF(Q19&lt;&gt;"",Q19*R19*S19,"")</f>
        <v>12990</v>
      </c>
      <c r="U19" s="1123">
        <f t="shared" si="7"/>
        <v>2220</v>
      </c>
      <c r="V19" s="69">
        <f t="shared" si="8"/>
        <v>0</v>
      </c>
      <c r="W19" s="70">
        <f t="shared" si="9"/>
        <v>0</v>
      </c>
      <c r="X19" s="70">
        <f t="shared" si="10"/>
        <v>12990</v>
      </c>
      <c r="Y19" s="67">
        <f t="shared" si="11"/>
        <v>16958.313004846528</v>
      </c>
      <c r="Z19" s="1057">
        <f t="shared" si="12"/>
        <v>0.14595660749506903</v>
      </c>
      <c r="AA19" s="1058">
        <f t="shared" si="0"/>
        <v>0.31128684399712436</v>
      </c>
    </row>
    <row r="20" spans="1:34" ht="32.4" x14ac:dyDescent="0.3">
      <c r="A20" s="65">
        <v>6</v>
      </c>
      <c r="B20" s="108" t="s">
        <v>67</v>
      </c>
      <c r="C20" s="66" t="s">
        <v>57</v>
      </c>
      <c r="D20" s="65" t="s">
        <v>88</v>
      </c>
      <c r="E20" s="65" t="s">
        <v>58</v>
      </c>
      <c r="F20" s="1116" t="s">
        <v>919</v>
      </c>
      <c r="G20" s="1092" t="s">
        <v>922</v>
      </c>
      <c r="H20" s="1155">
        <v>1</v>
      </c>
      <c r="I20" s="1155">
        <v>1</v>
      </c>
      <c r="J20" s="1156">
        <v>5500</v>
      </c>
      <c r="K20" s="1048">
        <f t="shared" si="1"/>
        <v>5500</v>
      </c>
      <c r="L20" s="1048">
        <f t="shared" si="2"/>
        <v>412.5</v>
      </c>
      <c r="M20" s="1048">
        <f t="shared" si="3"/>
        <v>1434.9586802535111</v>
      </c>
      <c r="N20" s="1059">
        <f t="shared" si="4"/>
        <v>7347.4586802535114</v>
      </c>
      <c r="Q20" s="1120">
        <f t="shared" si="5"/>
        <v>1</v>
      </c>
      <c r="R20" s="1121">
        <v>1</v>
      </c>
      <c r="S20" s="1157">
        <v>5500</v>
      </c>
      <c r="T20" s="1158">
        <f t="shared" ref="T20" si="13">IF(Q20&lt;&gt;"",Q20*R20*S20,"")</f>
        <v>5500</v>
      </c>
      <c r="U20" s="1123">
        <f t="shared" si="7"/>
        <v>0</v>
      </c>
      <c r="V20" s="69">
        <f t="shared" si="8"/>
        <v>0</v>
      </c>
      <c r="W20" s="70">
        <f t="shared" si="9"/>
        <v>0</v>
      </c>
      <c r="X20" s="70">
        <f t="shared" si="10"/>
        <v>5500</v>
      </c>
      <c r="Y20" s="67">
        <f t="shared" si="11"/>
        <v>6934.9586802535114</v>
      </c>
      <c r="Z20" s="1057">
        <f t="shared" si="12"/>
        <v>0</v>
      </c>
      <c r="AA20" s="1058">
        <f t="shared" si="0"/>
        <v>0.13179966450994487</v>
      </c>
    </row>
    <row r="21" spans="1:34" ht="32.4" x14ac:dyDescent="0.35">
      <c r="A21" s="65">
        <v>7</v>
      </c>
      <c r="B21" s="108" t="s">
        <v>70</v>
      </c>
      <c r="C21" s="66" t="s">
        <v>57</v>
      </c>
      <c r="D21" s="65" t="s">
        <v>88</v>
      </c>
      <c r="E21" s="65" t="s">
        <v>58</v>
      </c>
      <c r="F21" s="1044" t="s">
        <v>923</v>
      </c>
      <c r="G21" s="1092"/>
      <c r="H21" s="1155">
        <v>2</v>
      </c>
      <c r="I21" s="1155">
        <v>2</v>
      </c>
      <c r="J21" s="1156">
        <v>750</v>
      </c>
      <c r="K21" s="1048">
        <f t="shared" si="1"/>
        <v>3000</v>
      </c>
      <c r="L21" s="1048">
        <f t="shared" si="2"/>
        <v>225</v>
      </c>
      <c r="M21" s="1048">
        <f t="shared" si="3"/>
        <v>782.70473468373336</v>
      </c>
      <c r="N21" s="1059">
        <f t="shared" si="4"/>
        <v>4007.7047346837335</v>
      </c>
      <c r="Q21" s="1120">
        <f t="shared" si="5"/>
        <v>2</v>
      </c>
      <c r="R21" s="1121">
        <v>2</v>
      </c>
      <c r="S21" s="1122">
        <v>500</v>
      </c>
      <c r="T21" s="1122">
        <f t="shared" si="6"/>
        <v>2000</v>
      </c>
      <c r="U21" s="1123">
        <f t="shared" si="7"/>
        <v>1000</v>
      </c>
      <c r="V21" s="69">
        <f t="shared" si="8"/>
        <v>0</v>
      </c>
      <c r="W21" s="70">
        <f t="shared" si="9"/>
        <v>0</v>
      </c>
      <c r="X21" s="70">
        <f t="shared" si="10"/>
        <v>2000</v>
      </c>
      <c r="Y21" s="67">
        <f t="shared" si="11"/>
        <v>2782.7047346837335</v>
      </c>
      <c r="Z21" s="1057">
        <f t="shared" si="12"/>
        <v>0.33333333333333331</v>
      </c>
      <c r="AA21" s="1058">
        <f t="shared" si="0"/>
        <v>4.7927150730889045E-2</v>
      </c>
      <c r="AC21" s="131">
        <v>0</v>
      </c>
      <c r="AD21" s="132">
        <f>T21-AC21</f>
        <v>2000</v>
      </c>
      <c r="AE21" s="133">
        <v>46028</v>
      </c>
      <c r="AG21" s="135" t="s">
        <v>924</v>
      </c>
      <c r="AH21" s="136" t="s">
        <v>925</v>
      </c>
    </row>
    <row r="22" spans="1:34" ht="24" x14ac:dyDescent="0.3">
      <c r="A22" s="65">
        <v>8</v>
      </c>
      <c r="B22" s="108" t="s">
        <v>73</v>
      </c>
      <c r="C22" s="66" t="s">
        <v>57</v>
      </c>
      <c r="D22" s="65" t="s">
        <v>88</v>
      </c>
      <c r="E22" s="65" t="s">
        <v>58</v>
      </c>
      <c r="F22" s="1044" t="s">
        <v>910</v>
      </c>
      <c r="G22" s="1101" t="s">
        <v>926</v>
      </c>
      <c r="H22" s="1046">
        <v>2</v>
      </c>
      <c r="I22" s="1046">
        <v>2</v>
      </c>
      <c r="J22" s="1048">
        <v>75</v>
      </c>
      <c r="K22" s="1048">
        <f t="shared" si="1"/>
        <v>300</v>
      </c>
      <c r="L22" s="1049">
        <f t="shared" si="2"/>
        <v>22.5</v>
      </c>
      <c r="M22" s="1049">
        <f t="shared" si="3"/>
        <v>78.270473468373339</v>
      </c>
      <c r="N22" s="1059">
        <f t="shared" si="4"/>
        <v>400.77047346837332</v>
      </c>
      <c r="Q22" s="1120">
        <f t="shared" si="5"/>
        <v>2</v>
      </c>
      <c r="R22" s="1121">
        <v>1</v>
      </c>
      <c r="S22" s="1147">
        <v>0</v>
      </c>
      <c r="T22" s="1136">
        <f t="shared" si="6"/>
        <v>0</v>
      </c>
      <c r="U22" s="1123">
        <f t="shared" si="7"/>
        <v>300</v>
      </c>
      <c r="V22" s="69">
        <f t="shared" si="8"/>
        <v>0</v>
      </c>
      <c r="W22" s="70">
        <f t="shared" si="9"/>
        <v>0</v>
      </c>
      <c r="X22" s="70">
        <f t="shared" si="10"/>
        <v>0</v>
      </c>
      <c r="Y22" s="67">
        <f t="shared" si="11"/>
        <v>78.270473468373339</v>
      </c>
      <c r="Z22" s="1057">
        <f t="shared" si="12"/>
        <v>1</v>
      </c>
      <c r="AA22" s="1058">
        <f t="shared" si="0"/>
        <v>0</v>
      </c>
    </row>
    <row r="23" spans="1:34" ht="34.5" customHeight="1" thickBot="1" x14ac:dyDescent="0.4">
      <c r="A23" s="106">
        <v>9</v>
      </c>
      <c r="B23" s="108"/>
      <c r="C23" s="1159" t="s">
        <v>83</v>
      </c>
      <c r="D23" s="106"/>
      <c r="E23" s="106"/>
      <c r="F23" s="1439" t="s">
        <v>927</v>
      </c>
      <c r="G23" s="1440"/>
      <c r="H23" s="1440"/>
      <c r="I23" s="1440"/>
      <c r="J23" s="1440"/>
      <c r="K23" s="1160">
        <f>SUM(K17:K22)</f>
        <v>54886</v>
      </c>
      <c r="L23" s="1161">
        <f>SUM(L17:L22)</f>
        <v>4116.45</v>
      </c>
      <c r="M23" s="1162">
        <f>SUM(M17:M22)</f>
        <v>14319.84402261713</v>
      </c>
      <c r="N23" s="1163">
        <f>SUM(N17:N22)</f>
        <v>73322.294022617134</v>
      </c>
      <c r="Q23" s="1452" t="s">
        <v>928</v>
      </c>
      <c r="R23" s="1453"/>
      <c r="S23" s="1453"/>
      <c r="T23" s="1164">
        <f>SUM(T17:T22)</f>
        <v>41730</v>
      </c>
      <c r="U23" s="1165">
        <f>SUM(U17:U22)</f>
        <v>13156</v>
      </c>
      <c r="V23" s="1166"/>
      <c r="W23" s="1167"/>
      <c r="X23" s="1168">
        <f>SUM(X17:X22)</f>
        <v>41730</v>
      </c>
      <c r="Y23" s="1169">
        <f>IF(Q23&lt;&gt;"",X23+M23,"")</f>
        <v>56049.84402261713</v>
      </c>
      <c r="Z23" s="1057"/>
      <c r="AA23" s="1058"/>
    </row>
    <row r="24" spans="1:34" ht="32.4" x14ac:dyDescent="0.35">
      <c r="A24" s="1170">
        <v>10</v>
      </c>
      <c r="B24" s="108" t="s">
        <v>320</v>
      </c>
      <c r="C24" s="1171" t="s">
        <v>51</v>
      </c>
      <c r="D24" s="1170"/>
      <c r="E24" s="1170"/>
      <c r="F24" s="1461" t="s">
        <v>929</v>
      </c>
      <c r="G24" s="1462"/>
      <c r="H24" s="1462"/>
      <c r="I24" s="1462"/>
      <c r="J24" s="1462"/>
      <c r="K24" s="1463"/>
      <c r="L24" s="1172" t="s">
        <v>53</v>
      </c>
      <c r="M24" s="1173" t="s">
        <v>54</v>
      </c>
      <c r="N24" s="1174" t="s">
        <v>28</v>
      </c>
      <c r="Q24" s="1464" t="str">
        <f>IF(F24&lt;&gt;"",F24,"")</f>
        <v>BRINDE - ATIVAÇÃO TRIPLO ZERO ***Responsabilidade Cliente**</v>
      </c>
      <c r="R24" s="1465"/>
      <c r="S24" s="1465"/>
      <c r="T24" s="1465"/>
      <c r="U24" s="1465"/>
      <c r="V24" s="1465"/>
      <c r="W24" s="1465"/>
      <c r="X24" s="1465"/>
      <c r="Y24" s="1466"/>
      <c r="Z24" s="1175" t="s">
        <v>55</v>
      </c>
      <c r="AA24" s="1175" t="s">
        <v>39</v>
      </c>
    </row>
    <row r="25" spans="1:34" ht="32.4" x14ac:dyDescent="0.3">
      <c r="A25" s="106">
        <v>11</v>
      </c>
      <c r="B25" s="108" t="s">
        <v>322</v>
      </c>
      <c r="C25" s="1159" t="s">
        <v>57</v>
      </c>
      <c r="D25" s="106" t="s">
        <v>88</v>
      </c>
      <c r="E25" s="106" t="s">
        <v>58</v>
      </c>
      <c r="F25" s="1176" t="s">
        <v>930</v>
      </c>
      <c r="G25" s="1045" t="s">
        <v>931</v>
      </c>
      <c r="H25" s="1046">
        <v>1</v>
      </c>
      <c r="I25" s="1046">
        <v>0</v>
      </c>
      <c r="J25" s="1048">
        <v>7999</v>
      </c>
      <c r="K25" s="1048">
        <f>IF(F25&lt;&gt;"",H25*I25*J25,"")</f>
        <v>0</v>
      </c>
      <c r="L25" s="1048">
        <f>IF(K25&lt;&gt;"",IF(D25="INTERNO",0,K25*$L$14),"")</f>
        <v>0</v>
      </c>
      <c r="M25" s="1048">
        <f>IF(K25&lt;&gt;"",IF(E25="FAT.OGGI",SUM(K25:L25)*(1/(1-$M$14)-1),L25*(1/(1-$M$14)-1)),"")</f>
        <v>0</v>
      </c>
      <c r="N25" s="1059">
        <f>SUM(K25:M25)</f>
        <v>0</v>
      </c>
      <c r="Q25" s="1121">
        <f t="shared" ref="Q25:R27" si="14">IF(H25&lt;&gt;"",H25,"")</f>
        <v>1</v>
      </c>
      <c r="R25" s="1121">
        <f t="shared" si="14"/>
        <v>0</v>
      </c>
      <c r="S25" s="1136">
        <v>7999</v>
      </c>
      <c r="T25" s="1136">
        <f>IF(Q25&lt;&gt;"",Q25*R25*S25,"")</f>
        <v>0</v>
      </c>
      <c r="U25" s="1123">
        <f>IF(Q25&lt;&gt;"",K25-T25,"")</f>
        <v>0</v>
      </c>
      <c r="V25" s="69">
        <f>IF(Q25&lt;&gt;"",0%,"")</f>
        <v>0</v>
      </c>
      <c r="W25" s="70">
        <f>IF(Q25&lt;&gt;"",V25*U25,"")</f>
        <v>0</v>
      </c>
      <c r="X25" s="70">
        <f>IF(Q25&lt;&gt;"",W25+T25,"")</f>
        <v>0</v>
      </c>
      <c r="Y25" s="1056">
        <f>IF(Q25&lt;&gt;"",X25+M25,"")</f>
        <v>0</v>
      </c>
      <c r="Z25" s="1058" t="e">
        <f>IF(Q25&lt;&gt;"",U25/K25,"")</f>
        <v>#DIV/0!</v>
      </c>
      <c r="AA25" s="1058">
        <f t="shared" ref="AA25:AA27" si="15">T25/$T$23</f>
        <v>0</v>
      </c>
    </row>
    <row r="26" spans="1:34" ht="32.4" x14ac:dyDescent="0.3">
      <c r="A26" s="106">
        <v>12</v>
      </c>
      <c r="B26" s="108" t="s">
        <v>325</v>
      </c>
      <c r="C26" s="1159" t="s">
        <v>57</v>
      </c>
      <c r="D26" s="106" t="s">
        <v>88</v>
      </c>
      <c r="E26" s="106" t="s">
        <v>58</v>
      </c>
      <c r="F26" s="1176" t="s">
        <v>932</v>
      </c>
      <c r="G26" s="1045" t="s">
        <v>933</v>
      </c>
      <c r="H26" s="1046">
        <v>1</v>
      </c>
      <c r="I26" s="1046">
        <v>0</v>
      </c>
      <c r="J26" s="1048">
        <v>3299</v>
      </c>
      <c r="K26" s="1048">
        <f>IF(F26&lt;&gt;"",H26*I26*J26,"")</f>
        <v>0</v>
      </c>
      <c r="L26" s="1048">
        <f>IF(K26&lt;&gt;"",IF(D26="INTERNO",0,K26*$L$14),"")</f>
        <v>0</v>
      </c>
      <c r="M26" s="1048">
        <f>IF(K26&lt;&gt;"",IF(E26="FAT.OGGI",SUM(K26:L26)*(1/(1-$M$14)-1),L26*(1/(1-$M$14)-1)),"")</f>
        <v>0</v>
      </c>
      <c r="N26" s="1059">
        <f>SUM(K26:M26)</f>
        <v>0</v>
      </c>
      <c r="Q26" s="1121">
        <f t="shared" si="14"/>
        <v>1</v>
      </c>
      <c r="R26" s="1121">
        <f t="shared" si="14"/>
        <v>0</v>
      </c>
      <c r="S26" s="1136">
        <v>3299</v>
      </c>
      <c r="T26" s="1136">
        <f>IF(Q26&lt;&gt;"",Q26*R26*S26,"")</f>
        <v>0</v>
      </c>
      <c r="U26" s="1123">
        <f>IF(Q26&lt;&gt;"",K26-T26,"")</f>
        <v>0</v>
      </c>
      <c r="V26" s="69">
        <f>IF(Q26&lt;&gt;"",0%,"")</f>
        <v>0</v>
      </c>
      <c r="W26" s="70">
        <f>IF(Q26&lt;&gt;"",V26*U26,"")</f>
        <v>0</v>
      </c>
      <c r="X26" s="70">
        <f>IF(Q26&lt;&gt;"",W26+T26,"")</f>
        <v>0</v>
      </c>
      <c r="Y26" s="1056">
        <f>IF(Q26&lt;&gt;"",X26+M26,"")</f>
        <v>0</v>
      </c>
      <c r="Z26" s="1058" t="e">
        <f>IF(Q26&lt;&gt;"",U26/K26,"")</f>
        <v>#DIV/0!</v>
      </c>
      <c r="AA26" s="1058">
        <f t="shared" si="15"/>
        <v>0</v>
      </c>
    </row>
    <row r="27" spans="1:34" ht="32.4" x14ac:dyDescent="0.3">
      <c r="A27" s="106">
        <v>13</v>
      </c>
      <c r="B27" s="108" t="s">
        <v>327</v>
      </c>
      <c r="C27" s="1159" t="s">
        <v>57</v>
      </c>
      <c r="D27" s="106" t="s">
        <v>88</v>
      </c>
      <c r="E27" s="106" t="s">
        <v>58</v>
      </c>
      <c r="F27" s="1176" t="s">
        <v>934</v>
      </c>
      <c r="G27" s="1045" t="s">
        <v>935</v>
      </c>
      <c r="H27" s="1046">
        <v>1</v>
      </c>
      <c r="I27" s="1046">
        <v>0</v>
      </c>
      <c r="J27" s="1048">
        <v>797</v>
      </c>
      <c r="K27" s="1048">
        <f>IF(F27&lt;&gt;"",H27*I27*J27,"")</f>
        <v>0</v>
      </c>
      <c r="L27" s="1048">
        <f>IF(K27&lt;&gt;"",IF(D27="INTERNO",0,K27*$L$14),"")</f>
        <v>0</v>
      </c>
      <c r="M27" s="1048">
        <f>IF(K27&lt;&gt;"",IF(E27="FAT.OGGI",SUM(K27:L27)*(1/(1-$M$14)-1),L27*(1/(1-$M$14)-1)),"")</f>
        <v>0</v>
      </c>
      <c r="N27" s="1059">
        <f>SUM(K27:M27)</f>
        <v>0</v>
      </c>
      <c r="Q27" s="1121">
        <f t="shared" si="14"/>
        <v>1</v>
      </c>
      <c r="R27" s="1121">
        <f t="shared" si="14"/>
        <v>0</v>
      </c>
      <c r="S27" s="1136">
        <v>797</v>
      </c>
      <c r="T27" s="1136">
        <f>IF(Q27&lt;&gt;"",Q27*R27*S27,"")</f>
        <v>0</v>
      </c>
      <c r="U27" s="1123">
        <f>IF(Q27&lt;&gt;"",K27-T27,"")</f>
        <v>0</v>
      </c>
      <c r="V27" s="69">
        <f>IF(Q27&lt;&gt;"",0%,"")</f>
        <v>0</v>
      </c>
      <c r="W27" s="70">
        <f>IF(Q27&lt;&gt;"",V27*U27,"")</f>
        <v>0</v>
      </c>
      <c r="X27" s="70">
        <f>IF(Q27&lt;&gt;"",W27+T27,"")</f>
        <v>0</v>
      </c>
      <c r="Y27" s="1056">
        <f>IF(Q27&lt;&gt;"",X27+M27,"")</f>
        <v>0</v>
      </c>
      <c r="Z27" s="1058" t="e">
        <f>IF(Q27&lt;&gt;"",U27/K27,"")</f>
        <v>#DIV/0!</v>
      </c>
      <c r="AA27" s="1058">
        <f t="shared" si="15"/>
        <v>0</v>
      </c>
    </row>
    <row r="28" spans="1:34" ht="30" customHeight="1" thickBot="1" x14ac:dyDescent="0.4">
      <c r="A28" s="59">
        <v>14</v>
      </c>
      <c r="B28" s="108"/>
      <c r="C28" s="60" t="s">
        <v>83</v>
      </c>
      <c r="D28" s="59"/>
      <c r="E28" s="59"/>
      <c r="F28" s="1450" t="s">
        <v>151</v>
      </c>
      <c r="G28" s="1451"/>
      <c r="H28" s="1451"/>
      <c r="I28" s="1451"/>
      <c r="J28" s="1451"/>
      <c r="K28" s="1061">
        <f>SUM(K25:K27)</f>
        <v>0</v>
      </c>
      <c r="L28" s="1061">
        <f>SUM(L25:L27)</f>
        <v>0</v>
      </c>
      <c r="M28" s="1061">
        <f>SUM(M25:M27)</f>
        <v>0</v>
      </c>
      <c r="N28" s="1148">
        <f>SUM(N25:N27)</f>
        <v>0</v>
      </c>
      <c r="Q28" s="1441" t="s">
        <v>140</v>
      </c>
      <c r="R28" s="1442"/>
      <c r="S28" s="1443"/>
      <c r="T28" s="1111">
        <f>SUM(T25:T27)</f>
        <v>0</v>
      </c>
      <c r="U28" s="1112">
        <f>SUM(U25:U27)</f>
        <v>0</v>
      </c>
      <c r="V28" s="1113"/>
      <c r="W28" s="1114"/>
      <c r="X28" s="1115">
        <f>SUM(X25:X27)</f>
        <v>0</v>
      </c>
      <c r="Y28" s="1068">
        <f t="shared" ref="Y28" si="16">IF(Q28&lt;&gt;"",X28+M28,"")</f>
        <v>0</v>
      </c>
    </row>
    <row r="29" spans="1:34" ht="30" customHeight="1" x14ac:dyDescent="0.35">
      <c r="A29" s="65">
        <v>15</v>
      </c>
      <c r="B29" s="108" t="s">
        <v>345</v>
      </c>
      <c r="C29" s="66" t="s">
        <v>51</v>
      </c>
      <c r="D29" s="65"/>
      <c r="E29" s="65"/>
      <c r="F29" s="1424" t="s">
        <v>936</v>
      </c>
      <c r="G29" s="1425"/>
      <c r="H29" s="1425"/>
      <c r="I29" s="1425"/>
      <c r="J29" s="1425"/>
      <c r="K29" s="1425"/>
      <c r="L29" s="61" t="s">
        <v>53</v>
      </c>
      <c r="M29" s="62" t="s">
        <v>54</v>
      </c>
      <c r="N29" s="1043" t="s">
        <v>28</v>
      </c>
      <c r="Q29" s="1426" t="str">
        <f>IF(F29&lt;&gt;"",F29,"")</f>
        <v>ATIVAÇÕES EXTRAS</v>
      </c>
      <c r="R29" s="1427"/>
      <c r="S29" s="1427"/>
      <c r="T29" s="1427"/>
      <c r="U29" s="1427"/>
      <c r="V29" s="1427"/>
      <c r="W29" s="1427"/>
      <c r="X29" s="1427"/>
      <c r="Y29" s="1428"/>
      <c r="Z29" s="63" t="s">
        <v>55</v>
      </c>
      <c r="AA29" s="64" t="s">
        <v>39</v>
      </c>
    </row>
    <row r="30" spans="1:34" ht="24" x14ac:dyDescent="0.3">
      <c r="A30" s="65">
        <v>16</v>
      </c>
      <c r="B30" s="108" t="s">
        <v>347</v>
      </c>
      <c r="C30" s="66" t="s">
        <v>57</v>
      </c>
      <c r="D30" s="65" t="s">
        <v>88</v>
      </c>
      <c r="E30" s="65" t="s">
        <v>58</v>
      </c>
      <c r="F30" s="1116" t="s">
        <v>937</v>
      </c>
      <c r="G30" s="1073" t="s">
        <v>938</v>
      </c>
      <c r="H30" s="1074">
        <v>1</v>
      </c>
      <c r="I30" s="1074">
        <v>1</v>
      </c>
      <c r="J30" s="1075">
        <v>3756</v>
      </c>
      <c r="K30" s="1076">
        <f>IF(F30&lt;&gt;"",H30*I30*J30,"")</f>
        <v>3756</v>
      </c>
      <c r="L30" s="1048">
        <f>IF(K30&lt;&gt;"",IF(D30="INTERNO",0,K30*$L$14),"")</f>
        <v>281.7</v>
      </c>
      <c r="M30" s="1048">
        <f>IF(K30&lt;&gt;"",IF(E30="FAT.OGGI",SUM(K30:L30)*(1/(1-$M$14)-1),L30*(1/(1-$M$14)-1)),"")</f>
        <v>979.94632782403403</v>
      </c>
      <c r="N30" s="1059">
        <f>SUM(K30:M30)</f>
        <v>5017.6463278240335</v>
      </c>
      <c r="Q30" s="1104">
        <f>IF(H30&lt;&gt;"",H30,"")</f>
        <v>1</v>
      </c>
      <c r="R30" s="1105">
        <f>IF(I30&lt;&gt;"",I30,"")</f>
        <v>1</v>
      </c>
      <c r="S30" s="1106">
        <v>2600</v>
      </c>
      <c r="T30" s="1106">
        <f>IF(Q30&lt;&gt;"",Q30*R30*S30,"")</f>
        <v>2600</v>
      </c>
      <c r="U30" s="1107">
        <f>IF(Q30&lt;&gt;"",K30-T30,"")</f>
        <v>1156</v>
      </c>
      <c r="V30" s="1108">
        <f>IF(Q30&lt;&gt;"",0%,"")</f>
        <v>0</v>
      </c>
      <c r="W30" s="1109">
        <f>IF(Q30&lt;&gt;"",V30*U30,"")</f>
        <v>0</v>
      </c>
      <c r="X30" s="1109">
        <f>IF(Q30&lt;&gt;"",W30+T30,"")</f>
        <v>2600</v>
      </c>
      <c r="Y30" s="1110">
        <f>IF(Q30&lt;&gt;"",X30+M30,"")</f>
        <v>3579.9463278240341</v>
      </c>
      <c r="Z30" s="1057">
        <f>IF(Q30&lt;&gt;"",U30/K30,"")</f>
        <v>0.30777422790202341</v>
      </c>
      <c r="AA30" s="1058">
        <f t="shared" ref="AA30:AA34" si="17">T30/$T$23</f>
        <v>6.2305295950155763E-2</v>
      </c>
    </row>
    <row r="31" spans="1:34" ht="64.8" x14ac:dyDescent="0.3">
      <c r="A31" s="65">
        <v>17</v>
      </c>
      <c r="B31" s="108" t="s">
        <v>383</v>
      </c>
      <c r="C31" s="66" t="s">
        <v>57</v>
      </c>
      <c r="D31" s="65" t="s">
        <v>88</v>
      </c>
      <c r="E31" s="65" t="s">
        <v>58</v>
      </c>
      <c r="F31" s="1116" t="s">
        <v>939</v>
      </c>
      <c r="G31" s="1045" t="s">
        <v>940</v>
      </c>
      <c r="H31" s="1102">
        <v>800</v>
      </c>
      <c r="I31" s="1046">
        <v>1</v>
      </c>
      <c r="J31" s="1048">
        <v>10.95</v>
      </c>
      <c r="K31" s="1048">
        <f t="shared" ref="K31:K34" si="18">IF(F31&lt;&gt;"",H31*I31*J31,"")</f>
        <v>8760</v>
      </c>
      <c r="L31" s="1048">
        <f t="shared" ref="L31:L34" si="19">IF(K31&lt;&gt;"",IF(D31="INTERNO",0,K31*$L$14),"")</f>
        <v>657</v>
      </c>
      <c r="M31" s="1048">
        <f t="shared" ref="M31:M34" si="20">IF(K31&lt;&gt;"",IF(E31="FAT.OGGI",SUM(K31:L31)*(1/(1-$M$14)-1),L31*(1/(1-$M$14)-1)),"")</f>
        <v>2285.4978252765013</v>
      </c>
      <c r="N31" s="1059">
        <f t="shared" ref="N31:N34" si="21">SUM(K31:M31)</f>
        <v>11702.497825276501</v>
      </c>
      <c r="Q31" s="1120">
        <f t="shared" ref="Q31" si="22">IF(H31&lt;&gt;"",H31,"")</f>
        <v>800</v>
      </c>
      <c r="R31" s="1121">
        <v>1</v>
      </c>
      <c r="S31" s="1122">
        <v>9</v>
      </c>
      <c r="T31" s="1122">
        <f t="shared" ref="T31" si="23">IF(Q31&lt;&gt;"",Q31*R31*S31,"")</f>
        <v>7200</v>
      </c>
      <c r="U31" s="1123">
        <f t="shared" ref="U31:U34" si="24">IF(Q31&lt;&gt;"",K31-T31,"")</f>
        <v>1560</v>
      </c>
      <c r="V31" s="69">
        <f t="shared" ref="V31:V34" si="25">IF(Q31&lt;&gt;"",0%,"")</f>
        <v>0</v>
      </c>
      <c r="W31" s="70">
        <f t="shared" ref="W31:W34" si="26">IF(Q31&lt;&gt;"",V31*U31,"")</f>
        <v>0</v>
      </c>
      <c r="X31" s="70">
        <f t="shared" ref="X31:X34" si="27">IF(Q31&lt;&gt;"",W31+T31,"")</f>
        <v>7200</v>
      </c>
      <c r="Y31" s="67">
        <f t="shared" ref="Y31:Y34" si="28">IF(Q31&lt;&gt;"",X31+M31,"")</f>
        <v>9485.4978252765013</v>
      </c>
      <c r="Z31" s="1057">
        <f t="shared" ref="Z31:Z34" si="29">IF(Q31&lt;&gt;"",U31/K31,"")</f>
        <v>0.17808219178082191</v>
      </c>
      <c r="AA31" s="1058">
        <f t="shared" si="17"/>
        <v>0.17253774263120059</v>
      </c>
    </row>
    <row r="32" spans="1:34" ht="24" x14ac:dyDescent="0.3">
      <c r="A32" s="65">
        <v>18</v>
      </c>
      <c r="B32" s="108" t="s">
        <v>941</v>
      </c>
      <c r="C32" s="66" t="s">
        <v>57</v>
      </c>
      <c r="D32" s="65" t="s">
        <v>88</v>
      </c>
      <c r="E32" s="65" t="s">
        <v>58</v>
      </c>
      <c r="F32" s="1116" t="s">
        <v>942</v>
      </c>
      <c r="G32" s="1045" t="s">
        <v>943</v>
      </c>
      <c r="H32" s="1102">
        <v>400</v>
      </c>
      <c r="I32" s="1102">
        <v>1</v>
      </c>
      <c r="J32" s="1048">
        <v>96.3</v>
      </c>
      <c r="K32" s="1048">
        <f t="shared" si="18"/>
        <v>38520</v>
      </c>
      <c r="L32" s="1048">
        <f t="shared" si="19"/>
        <v>2889</v>
      </c>
      <c r="M32" s="1048">
        <f t="shared" si="20"/>
        <v>10049.928793339135</v>
      </c>
      <c r="N32" s="1059">
        <f t="shared" si="21"/>
        <v>51458.928793339132</v>
      </c>
      <c r="Q32" s="1120">
        <v>400</v>
      </c>
      <c r="R32" s="1121">
        <v>1</v>
      </c>
      <c r="S32" s="1122">
        <v>75</v>
      </c>
      <c r="T32" s="1122">
        <f>IF(Q32&lt;&gt;"",Q32*R32*S32,"")+1000</f>
        <v>31000</v>
      </c>
      <c r="U32" s="1123">
        <f t="shared" si="24"/>
        <v>7520</v>
      </c>
      <c r="V32" s="69">
        <f t="shared" si="25"/>
        <v>0</v>
      </c>
      <c r="W32" s="70">
        <f t="shared" si="26"/>
        <v>0</v>
      </c>
      <c r="X32" s="70">
        <f t="shared" si="27"/>
        <v>31000</v>
      </c>
      <c r="Y32" s="67">
        <f t="shared" si="28"/>
        <v>41049.928793339132</v>
      </c>
      <c r="Z32" s="1057">
        <f t="shared" si="29"/>
        <v>0.19522326064382139</v>
      </c>
      <c r="AA32" s="1058">
        <f t="shared" si="17"/>
        <v>0.74287083632878026</v>
      </c>
    </row>
    <row r="33" spans="1:27" ht="32.4" x14ac:dyDescent="0.3">
      <c r="A33" s="65">
        <v>19</v>
      </c>
      <c r="B33" s="108" t="s">
        <v>944</v>
      </c>
      <c r="C33" s="66" t="s">
        <v>57</v>
      </c>
      <c r="D33" s="65" t="s">
        <v>88</v>
      </c>
      <c r="E33" s="65" t="s">
        <v>58</v>
      </c>
      <c r="F33" s="1116" t="s">
        <v>945</v>
      </c>
      <c r="G33" s="1045" t="s">
        <v>946</v>
      </c>
      <c r="H33" s="1102">
        <v>3</v>
      </c>
      <c r="I33" s="1102">
        <v>1</v>
      </c>
      <c r="J33" s="1048">
        <v>1652</v>
      </c>
      <c r="K33" s="1048">
        <f t="shared" si="18"/>
        <v>4956</v>
      </c>
      <c r="L33" s="1048">
        <f t="shared" si="19"/>
        <v>371.7</v>
      </c>
      <c r="M33" s="1048">
        <f t="shared" si="20"/>
        <v>1293.0282216975274</v>
      </c>
      <c r="N33" s="1059">
        <f t="shared" si="21"/>
        <v>6620.7282216975273</v>
      </c>
      <c r="Q33" s="1120">
        <v>3</v>
      </c>
      <c r="R33" s="1121">
        <v>1</v>
      </c>
      <c r="S33" s="1122">
        <v>1170</v>
      </c>
      <c r="T33" s="1122">
        <f>IF(Q33&lt;&gt;"",Q33*R33*S33,"")</f>
        <v>3510</v>
      </c>
      <c r="U33" s="1123">
        <f t="shared" si="24"/>
        <v>1446</v>
      </c>
      <c r="V33" s="69">
        <f t="shared" si="25"/>
        <v>0</v>
      </c>
      <c r="W33" s="70">
        <f t="shared" si="26"/>
        <v>0</v>
      </c>
      <c r="X33" s="70">
        <f t="shared" si="27"/>
        <v>3510</v>
      </c>
      <c r="Y33" s="67">
        <f t="shared" si="28"/>
        <v>4803.0282216975274</v>
      </c>
      <c r="Z33" s="1057">
        <f t="shared" si="29"/>
        <v>0.29176755447941888</v>
      </c>
      <c r="AA33" s="1058">
        <f t="shared" si="17"/>
        <v>8.4112149532710276E-2</v>
      </c>
    </row>
    <row r="34" spans="1:27" ht="24" x14ac:dyDescent="0.3">
      <c r="A34" s="65">
        <v>20</v>
      </c>
      <c r="B34" s="108" t="s">
        <v>947</v>
      </c>
      <c r="C34" s="66" t="s">
        <v>57</v>
      </c>
      <c r="D34" s="65" t="s">
        <v>88</v>
      </c>
      <c r="E34" s="65" t="s">
        <v>58</v>
      </c>
      <c r="F34" s="1116" t="s">
        <v>948</v>
      </c>
      <c r="G34" s="1045" t="s">
        <v>949</v>
      </c>
      <c r="H34" s="1102">
        <v>5</v>
      </c>
      <c r="I34" s="1102">
        <v>1</v>
      </c>
      <c r="J34" s="1048">
        <v>460</v>
      </c>
      <c r="K34" s="1048">
        <f t="shared" si="18"/>
        <v>2300</v>
      </c>
      <c r="L34" s="1048">
        <f t="shared" si="19"/>
        <v>172.5</v>
      </c>
      <c r="M34" s="1048">
        <f t="shared" si="20"/>
        <v>600.07362992419553</v>
      </c>
      <c r="N34" s="1059">
        <f t="shared" si="21"/>
        <v>3072.5736299241953</v>
      </c>
      <c r="Q34" s="1120">
        <v>1</v>
      </c>
      <c r="R34" s="1121">
        <v>1</v>
      </c>
      <c r="S34" s="1122">
        <v>1279</v>
      </c>
      <c r="T34" s="1122">
        <f t="shared" ref="T34" si="30">IF(Q34&lt;&gt;"",Q34*R34*S34,"")</f>
        <v>1279</v>
      </c>
      <c r="U34" s="1123">
        <f t="shared" si="24"/>
        <v>1021</v>
      </c>
      <c r="V34" s="69">
        <f t="shared" si="25"/>
        <v>0</v>
      </c>
      <c r="W34" s="70">
        <f t="shared" si="26"/>
        <v>0</v>
      </c>
      <c r="X34" s="70">
        <f t="shared" si="27"/>
        <v>1279</v>
      </c>
      <c r="Y34" s="67">
        <f t="shared" si="28"/>
        <v>1879.0736299241955</v>
      </c>
      <c r="Z34" s="1057">
        <f t="shared" si="29"/>
        <v>0.44391304347826088</v>
      </c>
      <c r="AA34" s="1058">
        <f t="shared" si="17"/>
        <v>3.0649412892403548E-2</v>
      </c>
    </row>
    <row r="35" spans="1:27" ht="34.5" customHeight="1" thickBot="1" x14ac:dyDescent="0.4">
      <c r="A35" s="106">
        <v>21</v>
      </c>
      <c r="B35" s="108"/>
      <c r="C35" s="1159" t="s">
        <v>83</v>
      </c>
      <c r="D35" s="106"/>
      <c r="E35" s="106"/>
      <c r="F35" s="1439" t="s">
        <v>927</v>
      </c>
      <c r="G35" s="1440"/>
      <c r="H35" s="1440"/>
      <c r="I35" s="1440"/>
      <c r="J35" s="1440"/>
      <c r="K35" s="1160">
        <f>SUM(K30:K34)</f>
        <v>58292</v>
      </c>
      <c r="L35" s="1161">
        <f>SUM(L30:L34)</f>
        <v>4371.8999999999996</v>
      </c>
      <c r="M35" s="1162">
        <f>SUM(M30:M34)</f>
        <v>15208.474798061396</v>
      </c>
      <c r="N35" s="1148">
        <f>SUM(N30:N34)</f>
        <v>77872.374798061399</v>
      </c>
      <c r="Q35" s="1452" t="s">
        <v>928</v>
      </c>
      <c r="R35" s="1453"/>
      <c r="S35" s="1453"/>
      <c r="T35" s="1164">
        <f>SUM(T30:T34)</f>
        <v>45589</v>
      </c>
      <c r="U35" s="1165">
        <f>SUM(U30:U34)</f>
        <v>12703</v>
      </c>
      <c r="V35" s="1166"/>
      <c r="W35" s="1167"/>
      <c r="X35" s="1168">
        <f>SUM(X30:X34)</f>
        <v>45589</v>
      </c>
      <c r="Y35" s="1169">
        <f>IF(Q35&lt;&gt;"",X35+M35,"")</f>
        <v>60797.474798061397</v>
      </c>
      <c r="Z35" s="1057"/>
      <c r="AA35" s="1058"/>
    </row>
    <row r="36" spans="1:27" ht="33.75" customHeight="1" thickBot="1" x14ac:dyDescent="0.5">
      <c r="A36" s="1137">
        <v>22</v>
      </c>
      <c r="B36" s="1138"/>
      <c r="C36" s="1139" t="s">
        <v>277</v>
      </c>
      <c r="D36" s="1137"/>
      <c r="E36" s="1137"/>
      <c r="F36" s="126" t="s">
        <v>278</v>
      </c>
      <c r="G36" s="127"/>
      <c r="H36" s="188"/>
      <c r="I36" s="188"/>
      <c r="J36" s="127"/>
      <c r="K36" s="122">
        <f>SUM(K17:K22)+SUM(K25:K27)+SUM(K30:K34)</f>
        <v>113178</v>
      </c>
      <c r="L36" s="122">
        <f>SUM(L17:L22)+SUM(L25:L27)+SUM(L30:L34)</f>
        <v>8488.3499999999985</v>
      </c>
      <c r="M36" s="122">
        <f>SUM(M17:M22)+SUM(M25:M27)+SUM(M30:M34)</f>
        <v>29528.318820678527</v>
      </c>
      <c r="N36" s="184">
        <f>SUM(N17:N22)+SUM(N25:N27)+SUM(N30:N34)</f>
        <v>151194.66882067855</v>
      </c>
      <c r="Q36" s="189" t="s">
        <v>279</v>
      </c>
      <c r="R36" s="188"/>
      <c r="S36" s="127"/>
      <c r="T36" s="122">
        <f>SUM(T17:T22)+SUM(T25:T27)+SUM(T30:T34)</f>
        <v>87319</v>
      </c>
      <c r="U36" s="122">
        <f>SUM(U17:U22)+SUM(U25:U27)+SUM(U30:U34)</f>
        <v>25859</v>
      </c>
      <c r="V36" s="127"/>
      <c r="W36" s="127"/>
      <c r="X36" s="122">
        <f>SUM(X17:X22)+SUM(X25:X27)+SUM(X30:X34)</f>
        <v>87319</v>
      </c>
      <c r="Y36" s="184">
        <f>SUM(Y17:Y22)+SUM(Y25:Y27)+SUM(Y30:Y34)</f>
        <v>116847.31882067851</v>
      </c>
      <c r="Z36" s="160">
        <f>IF(Q36&lt;&gt;"",(N36-Y36)/N36,"")</f>
        <v>0.22717302314896454</v>
      </c>
      <c r="AA36" s="185">
        <f>IF(Z36&lt;&gt;"",(N36-Y36),"")</f>
        <v>34347.350000000035</v>
      </c>
    </row>
    <row r="39" spans="1:27" x14ac:dyDescent="0.3">
      <c r="K39" s="1141"/>
      <c r="N39" s="1140" t="s">
        <v>912</v>
      </c>
    </row>
    <row r="47" spans="1:27" ht="15.6" x14ac:dyDescent="0.3">
      <c r="G47" s="1177"/>
    </row>
  </sheetData>
  <mergeCells count="21">
    <mergeCell ref="F35:J35"/>
    <mergeCell ref="Q35:S35"/>
    <mergeCell ref="F24:K24"/>
    <mergeCell ref="Q24:Y24"/>
    <mergeCell ref="F28:J28"/>
    <mergeCell ref="Q28:S28"/>
    <mergeCell ref="F29:K29"/>
    <mergeCell ref="Q29:Y29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3:J23"/>
    <mergeCell ref="Q23:S23"/>
    <mergeCell ref="F1:G1"/>
    <mergeCell ref="F2:G2"/>
    <mergeCell ref="Q12:T12"/>
  </mergeCells>
  <dataValidations count="3">
    <dataValidation type="list" allowBlank="1" showInputMessage="1" showErrorMessage="1" sqref="D17:D28 D30:D36" xr:uid="{8194EAC7-0976-43D9-A2D3-4CF592BF583E}">
      <formula1>"INTERNO,OPERACIONAL"</formula1>
    </dataValidation>
    <dataValidation type="list" allowBlank="1" showInputMessage="1" showErrorMessage="1" sqref="E17:E28 E30:E35" xr:uid="{108D2522-4A9D-469E-AD8D-A9D97911F9AD}">
      <formula1>"FAT.OGGI,FAT.CLIENTE"</formula1>
    </dataValidation>
    <dataValidation type="list" allowBlank="1" showInputMessage="1" showErrorMessage="1" sqref="E36" xr:uid="{C60C5BDC-63AD-4329-BF00-33E5514E571D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10674-D4F3-4163-97C2-05518753E636}">
  <sheetPr codeName="Planilha29">
    <pageSetUpPr autoPageBreaks="0"/>
  </sheetPr>
  <dimension ref="A1:AL26"/>
  <sheetViews>
    <sheetView showGridLines="0" topLeftCell="G1" zoomScale="70" zoomScaleNormal="70" workbookViewId="0">
      <pane ySplit="1" topLeftCell="A14" activePane="bottomLeft" state="frozen"/>
      <selection activeCell="AA1" sqref="AA1:AA1048576"/>
      <selection pane="bottomLeft" activeCell="S17" sqref="S17"/>
    </sheetView>
  </sheetViews>
  <sheetFormatPr defaultRowHeight="14.4" x14ac:dyDescent="0.3"/>
  <cols>
    <col min="1" max="5" width="8.5546875" style="95" customWidth="1"/>
    <col min="6" max="6" width="43.88671875" customWidth="1"/>
    <col min="7" max="7" width="73.109375" customWidth="1"/>
    <col min="8" max="8" width="6.33203125" style="1021" customWidth="1"/>
    <col min="9" max="9" width="5.6640625" style="1021" customWidth="1"/>
    <col min="10" max="10" width="20.109375" customWidth="1"/>
    <col min="11" max="11" width="26.88671875" customWidth="1"/>
    <col min="12" max="12" width="26.109375" customWidth="1"/>
    <col min="13" max="13" width="25.6640625" customWidth="1"/>
    <col min="14" max="14" width="28.6640625" customWidth="1"/>
    <col min="15" max="15" width="3.33203125" customWidth="1"/>
    <col min="16" max="16" width="1.88671875" customWidth="1"/>
    <col min="17" max="18" width="9.33203125" style="1021" customWidth="1"/>
    <col min="19" max="19" width="18.88671875" customWidth="1"/>
    <col min="20" max="20" width="26.33203125" customWidth="1"/>
    <col min="21" max="21" width="27" customWidth="1"/>
    <col min="22" max="23" width="18.109375" customWidth="1"/>
    <col min="24" max="24" width="26.44140625" bestFit="1" customWidth="1"/>
    <col min="25" max="25" width="27.5546875" customWidth="1"/>
    <col min="26" max="26" width="18.6640625" customWidth="1"/>
    <col min="27" max="27" width="25.6640625" customWidth="1"/>
    <col min="28" max="28" width="38.10937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40" max="40" width="21.33203125" customWidth="1"/>
  </cols>
  <sheetData>
    <row r="1" spans="1:38" ht="49.5" customHeight="1" x14ac:dyDescent="0.3">
      <c r="B1" s="96"/>
      <c r="C1" s="97"/>
      <c r="D1" s="97"/>
      <c r="F1" s="1286" t="s">
        <v>0</v>
      </c>
      <c r="G1" s="1286"/>
    </row>
    <row r="2" spans="1:38" ht="24.75" customHeight="1" x14ac:dyDescent="0.3">
      <c r="B2" s="98"/>
      <c r="D2" s="97"/>
      <c r="F2" s="1287" t="s">
        <v>1</v>
      </c>
      <c r="G2" s="1287"/>
    </row>
    <row r="3" spans="1:38" ht="18" x14ac:dyDescent="0.3">
      <c r="B3" s="99"/>
      <c r="F3" s="27"/>
      <c r="G3" s="27"/>
    </row>
    <row r="4" spans="1:38" ht="18" x14ac:dyDescent="0.3">
      <c r="F4" s="29" t="s">
        <v>2</v>
      </c>
      <c r="G4" s="30"/>
    </row>
    <row r="5" spans="1:38" ht="18" x14ac:dyDescent="0.3">
      <c r="F5" s="31" t="s">
        <v>3</v>
      </c>
      <c r="G5" s="32"/>
    </row>
    <row r="6" spans="1:38" ht="18" x14ac:dyDescent="0.3">
      <c r="F6" s="31" t="s">
        <v>4</v>
      </c>
      <c r="G6" s="33"/>
    </row>
    <row r="7" spans="1:38" ht="21.75" customHeight="1" x14ac:dyDescent="0.3">
      <c r="F7" s="31" t="s">
        <v>5</v>
      </c>
      <c r="G7" s="34"/>
    </row>
    <row r="8" spans="1:38" ht="18" x14ac:dyDescent="0.3">
      <c r="F8" s="31" t="s">
        <v>6</v>
      </c>
      <c r="G8" s="35"/>
    </row>
    <row r="9" spans="1:38" ht="18" x14ac:dyDescent="0.3">
      <c r="F9" s="31" t="s">
        <v>7</v>
      </c>
      <c r="G9" s="34"/>
      <c r="M9">
        <v>0.80469999999999997</v>
      </c>
    </row>
    <row r="10" spans="1:38" ht="27" customHeight="1" x14ac:dyDescent="0.3">
      <c r="F10" s="31" t="s">
        <v>8</v>
      </c>
      <c r="G10" s="34"/>
      <c r="M10">
        <f>1-M9</f>
        <v>0.19530000000000003</v>
      </c>
    </row>
    <row r="11" spans="1:38" ht="18.600000000000001" thickBot="1" x14ac:dyDescent="0.35">
      <c r="F11" s="36" t="s">
        <v>9</v>
      </c>
      <c r="G11" s="37"/>
    </row>
    <row r="12" spans="1:38" ht="16.8" thickBot="1" x14ac:dyDescent="0.35">
      <c r="B12" s="100"/>
      <c r="M12" s="24"/>
      <c r="Q12" s="1288" t="s">
        <v>10</v>
      </c>
      <c r="R12" s="1289"/>
      <c r="S12" s="1289"/>
      <c r="T12" s="1457"/>
      <c r="U12" s="1291" t="s">
        <v>11</v>
      </c>
      <c r="V12" s="1292"/>
      <c r="W12" s="1292"/>
      <c r="X12" s="1455"/>
      <c r="Y12" s="26" t="s">
        <v>12</v>
      </c>
      <c r="Z12" s="1031" t="e">
        <f>(1/(1-#REF!))-1</f>
        <v>#REF!</v>
      </c>
      <c r="AC12" s="1294" t="s">
        <v>13</v>
      </c>
      <c r="AD12" s="1295"/>
      <c r="AE12" s="1456"/>
      <c r="AG12" s="1297" t="s">
        <v>14</v>
      </c>
      <c r="AH12" s="1298"/>
      <c r="AJ12" s="28" t="s">
        <v>15</v>
      </c>
      <c r="AK12" s="1284" t="s">
        <v>16</v>
      </c>
      <c r="AL12" s="1285"/>
    </row>
    <row r="13" spans="1:38" ht="15" thickBot="1" x14ac:dyDescent="0.35">
      <c r="A13" s="101" t="s">
        <v>17</v>
      </c>
      <c r="B13" s="102" t="s">
        <v>18</v>
      </c>
      <c r="C13" s="101" t="s">
        <v>19</v>
      </c>
      <c r="D13" s="101" t="s">
        <v>20</v>
      </c>
      <c r="E13" s="101" t="s">
        <v>21</v>
      </c>
      <c r="M13" s="25">
        <v>0.80469999999999997</v>
      </c>
    </row>
    <row r="14" spans="1:38" ht="33" thickBot="1" x14ac:dyDescent="0.35">
      <c r="A14" s="103">
        <v>0</v>
      </c>
      <c r="B14" s="104"/>
      <c r="C14" s="105"/>
      <c r="D14" s="65"/>
      <c r="E14" s="65"/>
      <c r="F14" s="45" t="s">
        <v>22</v>
      </c>
      <c r="G14" s="46" t="s">
        <v>23</v>
      </c>
      <c r="H14" s="47" t="s">
        <v>24</v>
      </c>
      <c r="I14" s="47" t="s">
        <v>25</v>
      </c>
      <c r="J14" s="48" t="s">
        <v>26</v>
      </c>
      <c r="K14" s="49" t="s">
        <v>27</v>
      </c>
      <c r="L14" s="119">
        <v>7.4999999999999997E-2</v>
      </c>
      <c r="M14" s="44">
        <f>1-M13</f>
        <v>0.19530000000000003</v>
      </c>
      <c r="N14" s="50" t="s">
        <v>28</v>
      </c>
      <c r="Q14" s="51" t="s">
        <v>29</v>
      </c>
      <c r="R14" s="52" t="s">
        <v>30</v>
      </c>
      <c r="S14" s="53" t="s">
        <v>31</v>
      </c>
      <c r="T14" s="54" t="s">
        <v>32</v>
      </c>
      <c r="U14" s="55" t="s">
        <v>33</v>
      </c>
      <c r="V14" s="56" t="s">
        <v>34</v>
      </c>
      <c r="W14" s="57" t="s">
        <v>35</v>
      </c>
      <c r="X14" s="57" t="s">
        <v>36</v>
      </c>
      <c r="Y14" s="58" t="s">
        <v>37</v>
      </c>
      <c r="Z14" s="38" t="s">
        <v>38</v>
      </c>
      <c r="AA14" s="39" t="s">
        <v>39</v>
      </c>
      <c r="AC14" s="40" t="s">
        <v>40</v>
      </c>
      <c r="AD14" s="41" t="s">
        <v>41</v>
      </c>
      <c r="AE14" s="41" t="s">
        <v>42</v>
      </c>
      <c r="AG14" s="42" t="s">
        <v>43</v>
      </c>
      <c r="AH14" s="43" t="s">
        <v>44</v>
      </c>
      <c r="AI14" t="s">
        <v>45</v>
      </c>
      <c r="AJ14" t="s">
        <v>45</v>
      </c>
      <c r="AK14" s="1032" t="s">
        <v>46</v>
      </c>
      <c r="AL14" s="1033" t="s">
        <v>47</v>
      </c>
    </row>
    <row r="15" spans="1:38" ht="36.75" customHeight="1" thickBot="1" x14ac:dyDescent="0.4">
      <c r="A15" s="65">
        <v>1</v>
      </c>
      <c r="B15" s="108">
        <v>1</v>
      </c>
      <c r="C15" s="66" t="s">
        <v>48</v>
      </c>
      <c r="D15" s="65"/>
      <c r="E15" s="65"/>
      <c r="F15" s="1418" t="s">
        <v>950</v>
      </c>
      <c r="G15" s="1419"/>
      <c r="H15" s="1419"/>
      <c r="I15" s="1419"/>
      <c r="J15" s="1419"/>
      <c r="K15" s="1419"/>
      <c r="L15" s="1419"/>
      <c r="M15" s="1419"/>
      <c r="N15" s="1420"/>
      <c r="Q15" s="1458" t="str">
        <f>IF(F15&lt;&gt;"",F15,"")</f>
        <v>EXTRAS ATIVAÇÕES</v>
      </c>
      <c r="R15" s="1459"/>
      <c r="S15" s="1459"/>
      <c r="T15" s="1459"/>
      <c r="U15" s="1459"/>
      <c r="V15" s="1459"/>
      <c r="W15" s="1459"/>
      <c r="X15" s="1459"/>
      <c r="Y15" s="1460"/>
    </row>
    <row r="16" spans="1:38" ht="30" customHeight="1" x14ac:dyDescent="0.35">
      <c r="A16" s="65">
        <v>2</v>
      </c>
      <c r="B16" s="108" t="s">
        <v>50</v>
      </c>
      <c r="C16" s="66" t="s">
        <v>51</v>
      </c>
      <c r="D16" s="65"/>
      <c r="E16" s="65"/>
      <c r="F16" s="1424" t="s">
        <v>950</v>
      </c>
      <c r="G16" s="1425"/>
      <c r="H16" s="1425"/>
      <c r="I16" s="1425"/>
      <c r="J16" s="1425"/>
      <c r="K16" s="1425"/>
      <c r="L16" s="61" t="s">
        <v>53</v>
      </c>
      <c r="M16" s="62" t="s">
        <v>54</v>
      </c>
      <c r="N16" s="1043" t="s">
        <v>28</v>
      </c>
      <c r="Q16" s="1299" t="str">
        <f>IF(F16&lt;&gt;"",F16,"")</f>
        <v>EXTRAS ATIVAÇÕES</v>
      </c>
      <c r="R16" s="1300"/>
      <c r="S16" s="1300"/>
      <c r="T16" s="1300"/>
      <c r="U16" s="1300"/>
      <c r="V16" s="1300"/>
      <c r="W16" s="1300"/>
      <c r="X16" s="1300"/>
      <c r="Y16" s="1302"/>
      <c r="Z16" s="63" t="s">
        <v>55</v>
      </c>
      <c r="AA16" s="64" t="s">
        <v>39</v>
      </c>
    </row>
    <row r="17" spans="1:27" ht="24" x14ac:dyDescent="0.3">
      <c r="A17" s="59">
        <v>3</v>
      </c>
      <c r="B17" s="108" t="s">
        <v>56</v>
      </c>
      <c r="C17" s="60" t="s">
        <v>57</v>
      </c>
      <c r="D17" s="59" t="s">
        <v>88</v>
      </c>
      <c r="E17" s="59" t="s">
        <v>58</v>
      </c>
      <c r="F17" s="1072" t="s">
        <v>867</v>
      </c>
      <c r="G17" s="1073" t="s">
        <v>951</v>
      </c>
      <c r="H17" s="1074">
        <v>5</v>
      </c>
      <c r="I17" s="1074">
        <v>1</v>
      </c>
      <c r="J17" s="1075">
        <v>2500</v>
      </c>
      <c r="K17" s="1076">
        <f>IF(F17&lt;&gt;"",H17*I17*J17,"")</f>
        <v>12500</v>
      </c>
      <c r="L17" s="1048">
        <f>IF(K17&lt;&gt;"",IF(D17="INTERNO",0,K17*$L$14),"")</f>
        <v>937.5</v>
      </c>
      <c r="M17" s="1048">
        <f>IF(K17&lt;&gt;"",IF(E17="FAT.OGGI",SUM(K17:L17)*(1/(1-$M$14)-1),L17*(1/(1-$M$14)-1)),"")</f>
        <v>3261.269727848889</v>
      </c>
      <c r="N17" s="1059">
        <f>SUM(K17:M17)</f>
        <v>16698.769727848889</v>
      </c>
      <c r="Q17" s="1142">
        <v>1</v>
      </c>
      <c r="R17" s="1143">
        <f t="shared" ref="R17:R20" si="0">IF(I17&lt;&gt;"",I17,"")</f>
        <v>1</v>
      </c>
      <c r="S17" s="1089">
        <v>0</v>
      </c>
      <c r="T17" s="1096">
        <f>IF(Q17&lt;&gt;"",Q17*R17*S17,"")</f>
        <v>0</v>
      </c>
      <c r="U17" s="1097">
        <f>IF(Q17&lt;&gt;"",K17-T17,"")</f>
        <v>12500</v>
      </c>
      <c r="V17" s="1098">
        <f>IF(Q17&lt;&gt;"",0%,"")</f>
        <v>0</v>
      </c>
      <c r="W17" s="1099">
        <f>IF(Q17&lt;&gt;"",V17*U17,"")</f>
        <v>0</v>
      </c>
      <c r="X17" s="1099">
        <f>IF(Q17&lt;&gt;"",W17+T17,"")</f>
        <v>0</v>
      </c>
      <c r="Y17" s="1100">
        <f>IF(Q17&lt;&gt;"",X17+M17,"")</f>
        <v>3261.269727848889</v>
      </c>
      <c r="Z17" s="1057">
        <f>IF(Q17&lt;&gt;"",U17/K17,"")</f>
        <v>1</v>
      </c>
      <c r="AA17" s="1058">
        <f>T17/T21</f>
        <v>0</v>
      </c>
    </row>
    <row r="18" spans="1:27" ht="24" x14ac:dyDescent="0.3">
      <c r="A18" s="65">
        <v>4</v>
      </c>
      <c r="B18" s="108" t="s">
        <v>61</v>
      </c>
      <c r="C18" s="66" t="s">
        <v>57</v>
      </c>
      <c r="D18" s="65" t="s">
        <v>88</v>
      </c>
      <c r="E18" s="65" t="s">
        <v>58</v>
      </c>
      <c r="F18" s="1072" t="s">
        <v>867</v>
      </c>
      <c r="G18" s="1144" t="s">
        <v>952</v>
      </c>
      <c r="H18" s="1074">
        <v>1</v>
      </c>
      <c r="I18" s="1130">
        <v>1</v>
      </c>
      <c r="J18" s="1085">
        <v>2159</v>
      </c>
      <c r="K18" s="1076">
        <f>IF(F18&lt;&gt;"",H18*I18*J18,"")</f>
        <v>2159</v>
      </c>
      <c r="L18" s="1076">
        <f>IF(K18&lt;&gt;"",IF(D18="INTERNO",0,K18*$L$14),"")</f>
        <v>161.92499999999998</v>
      </c>
      <c r="M18" s="1076">
        <f>IF(K18&lt;&gt;"",IF(E18="FAT.OGGI",SUM(K18:L18)*(1/(1-$M$14)-1),L18*(1/(1-$M$14)-1)),"")</f>
        <v>563.2865073940601</v>
      </c>
      <c r="N18" s="1077">
        <f>SUM(K18:M18)</f>
        <v>2884.2115073940604</v>
      </c>
      <c r="Q18" s="1120">
        <f t="shared" ref="Q18" si="1">IF(H18&lt;&gt;"",H18,"")</f>
        <v>1</v>
      </c>
      <c r="R18" s="1052">
        <f t="shared" si="0"/>
        <v>1</v>
      </c>
      <c r="S18" s="1060">
        <v>1950</v>
      </c>
      <c r="T18" s="1122">
        <f t="shared" ref="T18:T20" si="2">IF(Q18&lt;&gt;"",Q18*R18*S18,"")</f>
        <v>1950</v>
      </c>
      <c r="U18" s="1123">
        <f t="shared" ref="U18:U20" si="3">IF(Q18&lt;&gt;"",K18-T18,"")</f>
        <v>209</v>
      </c>
      <c r="V18" s="69">
        <f t="shared" ref="V18:V20" si="4">IF(Q18&lt;&gt;"",0%,"")</f>
        <v>0</v>
      </c>
      <c r="W18" s="70">
        <f t="shared" ref="W18:W20" si="5">IF(Q18&lt;&gt;"",V18*U18,"")</f>
        <v>0</v>
      </c>
      <c r="X18" s="70">
        <f t="shared" ref="X18:X20" si="6">IF(Q18&lt;&gt;"",W18+T18,"")</f>
        <v>1950</v>
      </c>
      <c r="Y18" s="67">
        <f t="shared" ref="Y18:Y20" si="7">IF(Q18&lt;&gt;"",X18+M18,"")</f>
        <v>2513.2865073940602</v>
      </c>
      <c r="Z18" s="1057">
        <f t="shared" ref="Z18:Z20" si="8">IF(Q18&lt;&gt;"",U18/K18,"")</f>
        <v>9.6804075961093097E-2</v>
      </c>
      <c r="AA18" s="1058">
        <f>T18/T20</f>
        <v>0.6</v>
      </c>
    </row>
    <row r="19" spans="1:27" ht="24" x14ac:dyDescent="0.3">
      <c r="A19" s="65">
        <v>5</v>
      </c>
      <c r="B19" s="108" t="s">
        <v>64</v>
      </c>
      <c r="C19" s="66" t="s">
        <v>57</v>
      </c>
      <c r="D19" s="65" t="s">
        <v>88</v>
      </c>
      <c r="E19" s="65" t="s">
        <v>58</v>
      </c>
      <c r="F19" s="1072" t="s">
        <v>953</v>
      </c>
      <c r="G19" s="1144" t="s">
        <v>954</v>
      </c>
      <c r="H19" s="1074">
        <v>2</v>
      </c>
      <c r="I19" s="1130">
        <v>2</v>
      </c>
      <c r="J19" s="1085">
        <v>600</v>
      </c>
      <c r="K19" s="1076">
        <f>IF(F19&lt;&gt;"",H19*I19*J19,"")</f>
        <v>2400</v>
      </c>
      <c r="L19" s="1076">
        <f>IF(K19&lt;&gt;"",IF(D19="INTERNO",0,K19*$L$14),"")</f>
        <v>180</v>
      </c>
      <c r="M19" s="1076">
        <f>IF(K19&lt;&gt;"",IF(E19="FAT.OGGI",SUM(K19:L19)*(1/(1-$M$14)-1),L19*(1/(1-$M$14)-1)),"")</f>
        <v>626.16378774698671</v>
      </c>
      <c r="N19" s="1077">
        <f>SUM(K19:M19)</f>
        <v>3206.1637877469866</v>
      </c>
      <c r="Q19" s="1120">
        <v>1</v>
      </c>
      <c r="R19" s="1052">
        <v>1</v>
      </c>
      <c r="S19" s="1060">
        <v>1344</v>
      </c>
      <c r="T19" s="1122">
        <f t="shared" si="2"/>
        <v>1344</v>
      </c>
      <c r="U19" s="1123">
        <f t="shared" si="3"/>
        <v>1056</v>
      </c>
      <c r="V19" s="69">
        <f t="shared" si="4"/>
        <v>0</v>
      </c>
      <c r="W19" s="70">
        <f t="shared" si="5"/>
        <v>0</v>
      </c>
      <c r="X19" s="70">
        <f t="shared" si="6"/>
        <v>1344</v>
      </c>
      <c r="Y19" s="67">
        <f t="shared" si="7"/>
        <v>1970.1637877469866</v>
      </c>
      <c r="Z19" s="1057">
        <f t="shared" si="8"/>
        <v>0.44</v>
      </c>
      <c r="AA19" s="1058">
        <f>T19/T20</f>
        <v>0.41353846153846152</v>
      </c>
    </row>
    <row r="20" spans="1:27" ht="24" x14ac:dyDescent="0.3">
      <c r="A20" s="65">
        <v>6</v>
      </c>
      <c r="B20" s="108" t="s">
        <v>67</v>
      </c>
      <c r="C20" s="66" t="s">
        <v>57</v>
      </c>
      <c r="D20" s="65" t="s">
        <v>88</v>
      </c>
      <c r="E20" s="65" t="s">
        <v>58</v>
      </c>
      <c r="F20" s="1072" t="s">
        <v>88</v>
      </c>
      <c r="G20" s="1144" t="s">
        <v>955</v>
      </c>
      <c r="H20" s="1074">
        <v>2</v>
      </c>
      <c r="I20" s="1130">
        <v>1</v>
      </c>
      <c r="J20" s="1085">
        <v>850</v>
      </c>
      <c r="K20" s="1076">
        <f>IF(F20&lt;&gt;"",H20*I20*J20,"")</f>
        <v>1700</v>
      </c>
      <c r="L20" s="1076">
        <f>IF(K20&lt;&gt;"",IF(D20="INTERNO",0,K20*$L$14),"")</f>
        <v>127.5</v>
      </c>
      <c r="M20" s="1076">
        <f>IF(K20&lt;&gt;"",IF(E20="FAT.OGGI",SUM(K20:L20)*(1/(1-$M$14)-1),L20*(1/(1-$M$14)-1)),"")</f>
        <v>443.53268298744888</v>
      </c>
      <c r="N20" s="1077">
        <f>SUM(K20:M20)</f>
        <v>2271.0326829874489</v>
      </c>
      <c r="Q20" s="1120">
        <v>5</v>
      </c>
      <c r="R20" s="1052">
        <f t="shared" si="0"/>
        <v>1</v>
      </c>
      <c r="S20" s="1060">
        <v>650</v>
      </c>
      <c r="T20" s="1122">
        <f t="shared" si="2"/>
        <v>3250</v>
      </c>
      <c r="U20" s="1123">
        <f t="shared" si="3"/>
        <v>-1550</v>
      </c>
      <c r="V20" s="69">
        <f t="shared" si="4"/>
        <v>0</v>
      </c>
      <c r="W20" s="70">
        <f t="shared" si="5"/>
        <v>0</v>
      </c>
      <c r="X20" s="70">
        <f t="shared" si="6"/>
        <v>3250</v>
      </c>
      <c r="Y20" s="67">
        <f t="shared" si="7"/>
        <v>3693.5326829874489</v>
      </c>
      <c r="Z20" s="1057">
        <f t="shared" si="8"/>
        <v>-0.91176470588235292</v>
      </c>
      <c r="AA20" s="1058">
        <f>T20/T21</f>
        <v>0.49663814180929094</v>
      </c>
    </row>
    <row r="21" spans="1:27" ht="30" customHeight="1" thickBot="1" x14ac:dyDescent="0.4">
      <c r="A21" s="59">
        <v>7</v>
      </c>
      <c r="B21" s="108"/>
      <c r="C21" s="60" t="s">
        <v>83</v>
      </c>
      <c r="D21" s="59"/>
      <c r="E21" s="59"/>
      <c r="F21" s="1450" t="s">
        <v>151</v>
      </c>
      <c r="G21" s="1451"/>
      <c r="H21" s="1451"/>
      <c r="I21" s="1451"/>
      <c r="J21" s="1451"/>
      <c r="K21" s="1061">
        <f>SUM(K17:K20)</f>
        <v>18759</v>
      </c>
      <c r="L21" s="1061">
        <f>SUM(L17:L20)</f>
        <v>1406.925</v>
      </c>
      <c r="M21" s="1061">
        <f>SUM(M17:M20)</f>
        <v>4894.2527059773856</v>
      </c>
      <c r="N21" s="1148">
        <f>SUM(N17:N20)</f>
        <v>25060.177705977389</v>
      </c>
      <c r="Q21" s="1441" t="s">
        <v>140</v>
      </c>
      <c r="R21" s="1442"/>
      <c r="S21" s="1443"/>
      <c r="T21" s="1111">
        <f>SUM(T17:T20)</f>
        <v>6544</v>
      </c>
      <c r="U21" s="1112">
        <f>SUM(U17:U20)</f>
        <v>12215</v>
      </c>
      <c r="V21" s="1113"/>
      <c r="W21" s="1114"/>
      <c r="X21" s="1115">
        <f>SUM(X17:X20)</f>
        <v>6544</v>
      </c>
      <c r="Y21" s="1068">
        <f>IF(Q21&lt;&gt;"",X21+M21,"")</f>
        <v>11438.252705977386</v>
      </c>
    </row>
    <row r="22" spans="1:27" ht="33.75" customHeight="1" thickBot="1" x14ac:dyDescent="0.5">
      <c r="A22" s="1137">
        <v>8</v>
      </c>
      <c r="B22" s="1138"/>
      <c r="C22" s="1139" t="s">
        <v>277</v>
      </c>
      <c r="D22" s="1137"/>
      <c r="E22" s="1137"/>
      <c r="F22" s="126" t="s">
        <v>278</v>
      </c>
      <c r="G22" s="127"/>
      <c r="H22" s="188"/>
      <c r="I22" s="188"/>
      <c r="J22" s="127"/>
      <c r="K22" s="122">
        <f>SUM(K17:K20)</f>
        <v>18759</v>
      </c>
      <c r="L22" s="122">
        <f>SUM(L17:L20)</f>
        <v>1406.925</v>
      </c>
      <c r="M22" s="122">
        <f>SUM(M17:M20)</f>
        <v>4894.2527059773856</v>
      </c>
      <c r="N22" s="122">
        <f>SUM(N17:N20)</f>
        <v>25060.177705977389</v>
      </c>
      <c r="Q22" s="189" t="s">
        <v>279</v>
      </c>
      <c r="R22" s="188"/>
      <c r="S22" s="127"/>
      <c r="T22" s="122">
        <f>SUM(T17:T20)</f>
        <v>6544</v>
      </c>
      <c r="U22" s="122">
        <f>SUM(U17:U20)</f>
        <v>12215</v>
      </c>
      <c r="V22" s="127"/>
      <c r="W22" s="127"/>
      <c r="X22" s="122">
        <f>SUM(X17:X20)</f>
        <v>6544</v>
      </c>
      <c r="Y22" s="184">
        <f>SUM(Y17:Y20)</f>
        <v>11438.252705977386</v>
      </c>
      <c r="Z22" s="160">
        <f>IF(Q22&lt;&gt;"",(N22-Y22)/N22,"")</f>
        <v>0.54356857161275762</v>
      </c>
      <c r="AA22" s="185">
        <f>IF(Z22&lt;&gt;"",(N22-Y22),"")</f>
        <v>13621.925000000003</v>
      </c>
    </row>
    <row r="26" spans="1:27" x14ac:dyDescent="0.3">
      <c r="T26" s="88"/>
    </row>
  </sheetData>
  <mergeCells count="13">
    <mergeCell ref="AK12:AL12"/>
    <mergeCell ref="F15:N15"/>
    <mergeCell ref="Q15:Y15"/>
    <mergeCell ref="F16:K16"/>
    <mergeCell ref="Q16:Y16"/>
    <mergeCell ref="U12:X12"/>
    <mergeCell ref="AC12:AE12"/>
    <mergeCell ref="AG12:AH12"/>
    <mergeCell ref="F21:J21"/>
    <mergeCell ref="Q21:S21"/>
    <mergeCell ref="F1:G1"/>
    <mergeCell ref="F2:G2"/>
    <mergeCell ref="Q12:T12"/>
  </mergeCells>
  <dataValidations count="3">
    <dataValidation type="list" allowBlank="1" showInputMessage="1" showErrorMessage="1" sqref="E17:E21" xr:uid="{35E6EE26-9A50-40DC-AD2F-45CAC3B5BDE4}">
      <formula1>"FAT.OGGI,FAT.CLIENTE"</formula1>
    </dataValidation>
    <dataValidation type="list" allowBlank="1" showInputMessage="1" showErrorMessage="1" sqref="D17:D22" xr:uid="{2440F422-39F5-41C1-BE6E-F4D08B3D779E}">
      <formula1>"INTERNO,OPERACIONAL"</formula1>
    </dataValidation>
    <dataValidation type="list" allowBlank="1" showInputMessage="1" showErrorMessage="1" sqref="E22" xr:uid="{F6AB0D2D-6158-4E3D-9EF7-0F300A7CB307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1470" t="s">
        <v>13</v>
      </c>
      <c r="C2" s="1471"/>
      <c r="D2" s="1471"/>
      <c r="E2" s="1471"/>
      <c r="F2" s="1471"/>
      <c r="G2" s="1471"/>
      <c r="H2" s="1471"/>
      <c r="I2" s="1471"/>
      <c r="J2" s="1471"/>
      <c r="K2" s="1471"/>
      <c r="L2" s="1472"/>
    </row>
    <row r="3" spans="2:12" ht="47.4" customHeight="1" thickBot="1" x14ac:dyDescent="0.35">
      <c r="B3" s="1473" t="s">
        <v>524</v>
      </c>
      <c r="C3" s="1474"/>
      <c r="D3" s="1474"/>
      <c r="E3" s="1474"/>
      <c r="F3" s="1474"/>
      <c r="G3" s="1474"/>
      <c r="H3" s="1474"/>
      <c r="I3" s="1474"/>
      <c r="J3" s="1474"/>
      <c r="K3" s="1474"/>
      <c r="L3" s="1475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129"/>
    </row>
    <row r="6" spans="2:12" x14ac:dyDescent="0.3">
      <c r="B6" s="3"/>
      <c r="C6" s="1476" t="s">
        <v>525</v>
      </c>
      <c r="D6" s="1476"/>
      <c r="E6" s="1476"/>
      <c r="F6" s="1476"/>
      <c r="G6" s="1476"/>
      <c r="H6" s="1476"/>
      <c r="I6" s="1476"/>
      <c r="J6" s="1476"/>
      <c r="K6" s="1476"/>
      <c r="L6" s="4"/>
    </row>
    <row r="7" spans="2:12" ht="6" customHeight="1" x14ac:dyDescent="0.3">
      <c r="B7" s="3"/>
      <c r="L7" s="4"/>
    </row>
    <row r="8" spans="2:12" x14ac:dyDescent="0.3">
      <c r="B8" s="3"/>
      <c r="C8" s="5" t="s">
        <v>526</v>
      </c>
      <c r="D8" s="1477" t="s">
        <v>608</v>
      </c>
      <c r="E8" s="1478"/>
      <c r="F8" s="1478"/>
      <c r="G8" s="1478"/>
      <c r="H8" s="1478"/>
      <c r="I8" s="1478"/>
      <c r="J8" s="1478"/>
      <c r="K8" s="1479"/>
      <c r="L8" s="4"/>
    </row>
    <row r="9" spans="2:12" x14ac:dyDescent="0.3">
      <c r="B9" s="3"/>
      <c r="C9" s="6" t="s">
        <v>527</v>
      </c>
      <c r="D9" s="1467" t="s">
        <v>528</v>
      </c>
      <c r="E9" s="1468"/>
      <c r="F9" s="1468"/>
      <c r="G9" s="1468"/>
      <c r="H9" s="1468"/>
      <c r="I9" s="1468"/>
      <c r="J9" s="1468"/>
      <c r="K9" s="1469"/>
      <c r="L9" s="4"/>
    </row>
    <row r="10" spans="2:12" x14ac:dyDescent="0.3">
      <c r="B10" s="3"/>
      <c r="C10" s="6" t="s">
        <v>529</v>
      </c>
      <c r="D10" s="1467" t="s">
        <v>424</v>
      </c>
      <c r="E10" s="1468"/>
      <c r="F10" s="1468"/>
      <c r="G10" s="1468"/>
      <c r="H10" s="1468"/>
      <c r="I10" s="1468"/>
      <c r="J10" s="1468"/>
      <c r="K10" s="1469"/>
      <c r="L10" s="4"/>
    </row>
    <row r="11" spans="2:12" x14ac:dyDescent="0.3">
      <c r="B11" s="3"/>
      <c r="C11" s="6" t="s">
        <v>530</v>
      </c>
      <c r="D11" s="1467" t="s">
        <v>387</v>
      </c>
      <c r="E11" s="1468"/>
      <c r="F11" s="1468"/>
      <c r="G11" s="1468"/>
      <c r="H11" s="1468"/>
      <c r="I11" s="1468"/>
      <c r="J11" s="1468"/>
      <c r="K11" s="1469"/>
      <c r="L11" s="4"/>
    </row>
    <row r="12" spans="2:12" x14ac:dyDescent="0.3">
      <c r="B12" s="3"/>
      <c r="C12" s="9" t="s">
        <v>531</v>
      </c>
      <c r="D12" s="1480" t="s">
        <v>609</v>
      </c>
      <c r="E12" s="1481"/>
      <c r="F12" s="1481"/>
      <c r="G12" s="1481"/>
      <c r="H12" s="1482"/>
      <c r="I12" s="10" t="s">
        <v>532</v>
      </c>
      <c r="J12" s="1480" t="s">
        <v>294</v>
      </c>
      <c r="K12" s="1482"/>
      <c r="L12" s="4"/>
    </row>
    <row r="13" spans="2:12" ht="6" customHeight="1" thickBot="1" x14ac:dyDescent="0.35">
      <c r="B13" s="11"/>
      <c r="C13" s="12"/>
      <c r="D13" s="12"/>
      <c r="E13" s="12"/>
      <c r="F13" s="12"/>
      <c r="G13" s="12"/>
      <c r="H13" s="12"/>
      <c r="I13" s="12"/>
      <c r="J13" s="12"/>
      <c r="K13" s="12"/>
      <c r="L13" s="164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129"/>
    </row>
    <row r="16" spans="2:12" x14ac:dyDescent="0.3">
      <c r="B16" s="3"/>
      <c r="C16" s="1476" t="s">
        <v>533</v>
      </c>
      <c r="D16" s="1476"/>
      <c r="E16" s="1476"/>
      <c r="F16" s="1476"/>
      <c r="G16" s="1476"/>
      <c r="H16" s="1476"/>
      <c r="I16" s="1476"/>
      <c r="J16" s="1476"/>
      <c r="K16" s="1476"/>
      <c r="L16" s="4"/>
    </row>
    <row r="17" spans="2:12" ht="9" customHeight="1" x14ac:dyDescent="0.3">
      <c r="B17" s="3"/>
      <c r="L17" s="4"/>
    </row>
    <row r="18" spans="2:12" x14ac:dyDescent="0.3">
      <c r="B18" s="3"/>
      <c r="C18" s="5"/>
      <c r="D18" s="1483" t="s">
        <v>534</v>
      </c>
      <c r="E18" s="1483"/>
      <c r="F18" s="1483"/>
      <c r="G18" s="1484"/>
      <c r="H18" s="1483" t="s">
        <v>535</v>
      </c>
      <c r="I18" s="1483"/>
      <c r="J18" s="1483"/>
      <c r="K18" s="1484"/>
      <c r="L18" s="4"/>
    </row>
    <row r="19" spans="2:12" x14ac:dyDescent="0.3">
      <c r="B19" s="3"/>
      <c r="C19" s="13" t="s">
        <v>536</v>
      </c>
      <c r="D19" s="1485" t="s">
        <v>424</v>
      </c>
      <c r="E19" s="1486"/>
      <c r="F19" s="1486"/>
      <c r="G19" s="1486"/>
      <c r="H19" s="1486"/>
      <c r="I19" s="1486"/>
      <c r="J19" s="1486"/>
      <c r="K19" s="1487"/>
      <c r="L19" s="4"/>
    </row>
    <row r="20" spans="2:12" x14ac:dyDescent="0.3">
      <c r="B20" s="3"/>
      <c r="C20" s="6" t="s">
        <v>537</v>
      </c>
      <c r="D20" s="1467"/>
      <c r="E20" s="1468"/>
      <c r="F20" s="1468"/>
      <c r="G20" s="1468"/>
      <c r="H20" s="1468"/>
      <c r="I20" s="1468"/>
      <c r="J20" s="1468"/>
      <c r="K20" s="1469"/>
      <c r="L20" s="4"/>
    </row>
    <row r="21" spans="2:12" x14ac:dyDescent="0.3">
      <c r="B21" s="3"/>
      <c r="C21" s="6" t="s">
        <v>538</v>
      </c>
      <c r="D21" s="1467" t="s">
        <v>424</v>
      </c>
      <c r="E21" s="1469"/>
      <c r="F21" s="6" t="s">
        <v>539</v>
      </c>
      <c r="G21" s="14" t="s">
        <v>424</v>
      </c>
      <c r="H21" s="6" t="s">
        <v>540</v>
      </c>
      <c r="I21" s="7" t="s">
        <v>424</v>
      </c>
      <c r="J21" s="6" t="s">
        <v>541</v>
      </c>
      <c r="K21" s="8" t="s">
        <v>424</v>
      </c>
      <c r="L21" s="4"/>
    </row>
    <row r="22" spans="2:12" x14ac:dyDescent="0.3">
      <c r="B22" s="3"/>
      <c r="C22" s="6" t="s">
        <v>542</v>
      </c>
      <c r="D22" s="1467" t="s">
        <v>424</v>
      </c>
      <c r="E22" s="1468"/>
      <c r="F22" s="1468"/>
      <c r="G22" s="1469"/>
      <c r="H22" s="6" t="s">
        <v>543</v>
      </c>
      <c r="I22" s="1467"/>
      <c r="J22" s="1468"/>
      <c r="K22" s="1469"/>
      <c r="L22" s="4"/>
    </row>
    <row r="23" spans="2:12" x14ac:dyDescent="0.3">
      <c r="B23" s="3"/>
      <c r="C23" s="9" t="s">
        <v>544</v>
      </c>
      <c r="D23" s="1480" t="s">
        <v>424</v>
      </c>
      <c r="E23" s="1481"/>
      <c r="F23" s="1481"/>
      <c r="G23" s="1482"/>
      <c r="H23" s="9" t="s">
        <v>545</v>
      </c>
      <c r="I23" s="1480" t="s">
        <v>424</v>
      </c>
      <c r="J23" s="1481"/>
      <c r="K23" s="1482"/>
      <c r="L23" s="4"/>
    </row>
    <row r="24" spans="2:12" ht="6.6" customHeight="1" thickBot="1" x14ac:dyDescent="0.35">
      <c r="B24" s="11"/>
      <c r="C24" s="12"/>
      <c r="D24" s="12"/>
      <c r="E24" s="12"/>
      <c r="F24" s="12"/>
      <c r="G24" s="12"/>
      <c r="H24" s="12"/>
      <c r="I24" s="12"/>
      <c r="J24" s="12"/>
      <c r="K24" s="12"/>
      <c r="L24" s="164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129"/>
    </row>
    <row r="27" spans="2:12" x14ac:dyDescent="0.3">
      <c r="B27" s="3"/>
      <c r="C27" s="1476" t="s">
        <v>533</v>
      </c>
      <c r="D27" s="1476"/>
      <c r="E27" s="1476"/>
      <c r="F27" s="1476"/>
      <c r="G27" s="1476"/>
      <c r="H27" s="1476"/>
      <c r="I27" s="1476"/>
      <c r="J27" s="1476"/>
      <c r="K27" s="1476"/>
      <c r="L27" s="4"/>
    </row>
    <row r="28" spans="2:12" x14ac:dyDescent="0.3">
      <c r="B28" s="3"/>
      <c r="L28" s="4"/>
    </row>
    <row r="29" spans="2:12" x14ac:dyDescent="0.3">
      <c r="B29" s="3"/>
      <c r="C29" s="5" t="s">
        <v>546</v>
      </c>
      <c r="D29" s="1488" t="s">
        <v>42</v>
      </c>
      <c r="E29" s="1484"/>
      <c r="F29" s="1488" t="s">
        <v>547</v>
      </c>
      <c r="G29" s="1484"/>
      <c r="H29" s="1489" t="s">
        <v>548</v>
      </c>
      <c r="I29" s="1489"/>
      <c r="J29" s="1489"/>
      <c r="K29" s="1490"/>
      <c r="L29" s="4"/>
    </row>
    <row r="30" spans="2:12" x14ac:dyDescent="0.3">
      <c r="B30" s="3"/>
      <c r="C30" s="15" t="s">
        <v>549</v>
      </c>
      <c r="D30" s="1491" t="s">
        <v>424</v>
      </c>
      <c r="E30" s="1492"/>
      <c r="F30" s="1493" t="s">
        <v>424</v>
      </c>
      <c r="G30" s="1494"/>
      <c r="H30" s="16" t="s">
        <v>550</v>
      </c>
      <c r="I30" s="1488" t="s">
        <v>551</v>
      </c>
      <c r="J30" s="1484"/>
      <c r="K30" s="5" t="s">
        <v>552</v>
      </c>
      <c r="L30" s="4"/>
    </row>
    <row r="31" spans="2:12" x14ac:dyDescent="0.3">
      <c r="B31" s="3"/>
      <c r="C31" s="15" t="s">
        <v>553</v>
      </c>
      <c r="D31" s="1491" t="s">
        <v>424</v>
      </c>
      <c r="E31" s="1492"/>
      <c r="F31" s="1493" t="s">
        <v>424</v>
      </c>
      <c r="G31" s="1494"/>
      <c r="H31" s="15" t="s">
        <v>550</v>
      </c>
      <c r="I31" s="1497" t="s">
        <v>551</v>
      </c>
      <c r="J31" s="1498"/>
      <c r="K31" s="6" t="s">
        <v>552</v>
      </c>
      <c r="L31" s="4"/>
    </row>
    <row r="32" spans="2:12" x14ac:dyDescent="0.3">
      <c r="B32" s="3"/>
      <c r="C32" s="15" t="s">
        <v>554</v>
      </c>
      <c r="D32" s="1491" t="s">
        <v>424</v>
      </c>
      <c r="E32" s="1492"/>
      <c r="F32" s="1493" t="s">
        <v>424</v>
      </c>
      <c r="G32" s="1494"/>
      <c r="H32" s="15" t="s">
        <v>550</v>
      </c>
      <c r="I32" s="1497" t="s">
        <v>551</v>
      </c>
      <c r="J32" s="1498"/>
      <c r="K32" s="6" t="s">
        <v>552</v>
      </c>
      <c r="L32" s="4"/>
    </row>
    <row r="33" spans="2:12" x14ac:dyDescent="0.3">
      <c r="B33" s="3"/>
      <c r="C33" s="17" t="s">
        <v>555</v>
      </c>
      <c r="D33" s="1491" t="s">
        <v>424</v>
      </c>
      <c r="E33" s="1492"/>
      <c r="F33" s="1495" t="s">
        <v>424</v>
      </c>
      <c r="G33" s="1496"/>
      <c r="H33" s="15" t="s">
        <v>550</v>
      </c>
      <c r="I33" s="1497" t="s">
        <v>551</v>
      </c>
      <c r="J33" s="1498"/>
      <c r="K33" s="6" t="s">
        <v>552</v>
      </c>
      <c r="L33" s="4"/>
    </row>
    <row r="34" spans="2:12" x14ac:dyDescent="0.3">
      <c r="B34" s="3"/>
      <c r="C34" s="1499" t="s">
        <v>279</v>
      </c>
      <c r="D34" s="1500"/>
      <c r="E34" s="1501"/>
      <c r="F34" s="1502" t="s">
        <v>423</v>
      </c>
      <c r="G34" s="1503"/>
      <c r="H34" s="18"/>
      <c r="I34" s="19"/>
      <c r="J34" s="20"/>
      <c r="K34" s="18"/>
      <c r="L34" s="4"/>
    </row>
    <row r="35" spans="2:12" ht="15" thickBot="1" x14ac:dyDescent="0.35"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6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129"/>
    </row>
    <row r="38" spans="2:12" x14ac:dyDescent="0.3">
      <c r="B38" s="3"/>
      <c r="C38" s="1476" t="s">
        <v>556</v>
      </c>
      <c r="D38" s="1476"/>
      <c r="E38" s="1476"/>
      <c r="F38" s="1476"/>
      <c r="G38" s="1476"/>
      <c r="H38" s="1476"/>
      <c r="I38" s="1476"/>
      <c r="J38" s="1476"/>
      <c r="K38" s="1476"/>
      <c r="L38" s="4"/>
    </row>
    <row r="39" spans="2:12" x14ac:dyDescent="0.3">
      <c r="B39" s="3"/>
      <c r="C39" s="1507" t="s">
        <v>424</v>
      </c>
      <c r="D39" s="1507"/>
      <c r="E39" s="1507"/>
      <c r="F39" s="1507"/>
      <c r="G39" s="1507"/>
      <c r="H39" s="1507"/>
      <c r="I39" s="1507"/>
      <c r="J39" s="1507"/>
      <c r="K39" s="1507"/>
      <c r="L39" s="4"/>
    </row>
    <row r="40" spans="2:12" x14ac:dyDescent="0.3">
      <c r="B40" s="3"/>
      <c r="C40" s="1507"/>
      <c r="D40" s="1507"/>
      <c r="E40" s="1507"/>
      <c r="F40" s="1507"/>
      <c r="G40" s="1507"/>
      <c r="H40" s="1507"/>
      <c r="I40" s="1507"/>
      <c r="J40" s="1507"/>
      <c r="K40" s="1507"/>
      <c r="L40" s="4"/>
    </row>
    <row r="41" spans="2:12" x14ac:dyDescent="0.3">
      <c r="B41" s="3"/>
      <c r="C41" s="1507"/>
      <c r="D41" s="1507"/>
      <c r="E41" s="1507"/>
      <c r="F41" s="1507"/>
      <c r="G41" s="1507"/>
      <c r="H41" s="1507"/>
      <c r="I41" s="1507"/>
      <c r="J41" s="1507"/>
      <c r="K41" s="1507"/>
      <c r="L41" s="4"/>
    </row>
    <row r="42" spans="2:12" x14ac:dyDescent="0.3">
      <c r="B42" s="3"/>
      <c r="C42" s="1507"/>
      <c r="D42" s="1507"/>
      <c r="E42" s="1507"/>
      <c r="F42" s="1507"/>
      <c r="G42" s="1507"/>
      <c r="H42" s="1507"/>
      <c r="I42" s="1507"/>
      <c r="J42" s="1507"/>
      <c r="K42" s="1507"/>
      <c r="L42" s="4"/>
    </row>
    <row r="43" spans="2:12" x14ac:dyDescent="0.3">
      <c r="B43" s="3"/>
      <c r="C43" s="1507"/>
      <c r="D43" s="1507"/>
      <c r="E43" s="1507"/>
      <c r="F43" s="1507"/>
      <c r="G43" s="1507"/>
      <c r="H43" s="1507"/>
      <c r="I43" s="1507"/>
      <c r="J43" s="1507"/>
      <c r="K43" s="1507"/>
      <c r="L43" s="4"/>
    </row>
    <row r="44" spans="2:12" x14ac:dyDescent="0.3">
      <c r="B44" s="3"/>
      <c r="C44" s="1507"/>
      <c r="D44" s="1507"/>
      <c r="E44" s="1507"/>
      <c r="F44" s="1507"/>
      <c r="G44" s="1507"/>
      <c r="H44" s="1507"/>
      <c r="I44" s="1507"/>
      <c r="J44" s="1507"/>
      <c r="K44" s="1507"/>
      <c r="L44" s="4"/>
    </row>
    <row r="45" spans="2:12" x14ac:dyDescent="0.3">
      <c r="B45" s="3"/>
      <c r="C45" s="1508"/>
      <c r="D45" s="1508"/>
      <c r="E45" s="1508"/>
      <c r="F45" s="1508"/>
      <c r="G45" s="1508"/>
      <c r="H45" s="1508"/>
      <c r="I45" s="1508"/>
      <c r="J45" s="1508"/>
      <c r="K45" s="1508"/>
      <c r="L45" s="4"/>
    </row>
    <row r="46" spans="2:12" ht="8.4" customHeight="1" thickBot="1" x14ac:dyDescent="0.35"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64"/>
    </row>
    <row r="47" spans="2:12" ht="9" customHeight="1" thickBot="1" x14ac:dyDescent="0.35"/>
    <row r="48" spans="2:12" x14ac:dyDescent="0.3">
      <c r="B48" s="1504" t="s">
        <v>557</v>
      </c>
      <c r="C48" s="1505"/>
      <c r="D48" s="2"/>
      <c r="E48" s="2"/>
      <c r="F48" s="2"/>
      <c r="G48" s="2"/>
      <c r="H48" s="2"/>
      <c r="I48" s="2"/>
      <c r="J48" s="2"/>
      <c r="K48" s="2"/>
      <c r="L48" s="129"/>
    </row>
    <row r="49" spans="2:12" x14ac:dyDescent="0.3">
      <c r="B49" s="3"/>
      <c r="L49" s="4"/>
    </row>
    <row r="50" spans="2:12" x14ac:dyDescent="0.3">
      <c r="B50" s="3"/>
      <c r="C50" s="21"/>
      <c r="L50" s="4"/>
    </row>
    <row r="51" spans="2:12" x14ac:dyDescent="0.3">
      <c r="B51" s="3"/>
      <c r="C51" s="1506" t="s">
        <v>415</v>
      </c>
      <c r="D51" s="1506"/>
      <c r="E51" s="1506"/>
      <c r="F51" s="1506"/>
      <c r="H51" s="1506" t="s">
        <v>416</v>
      </c>
      <c r="I51" s="1506"/>
      <c r="J51" s="1506"/>
      <c r="K51" s="1506"/>
      <c r="L51" s="4"/>
    </row>
    <row r="52" spans="2:12" ht="15" thickBot="1" x14ac:dyDescent="0.35"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6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4bf414-7d56-47ef-876f-a064b6139123" xsi:nil="true"/>
    <lcf76f155ced4ddcb4097134ff3c332f xmlns="29a79990-ee87-4241-abc6-9e01ab9b246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62D9A0D-BB56-436E-9A73-9BCA41AFA3C0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8f4bf414-7d56-47ef-876f-a064b6139123"/>
    <ds:schemaRef ds:uri="http://schemas.microsoft.com/office/2006/documentManagement/types"/>
    <ds:schemaRef ds:uri="http://purl.org/dc/terms/"/>
    <ds:schemaRef ds:uri="http://purl.org/dc/dcmitype/"/>
    <ds:schemaRef ds:uri="29a79990-ee87-4241-abc6-9e01ab9b246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53029F6-66CB-4B8F-8F5F-E60F708FE5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FDF1B0-D230-4846-AF48-BB5D1A9803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RESUMO</vt:lpstr>
      <vt:lpstr>Principal.V1</vt:lpstr>
      <vt:lpstr>Itens Novos</vt:lpstr>
      <vt:lpstr>Atração</vt:lpstr>
      <vt:lpstr>Bourbon</vt:lpstr>
      <vt:lpstr>Extra 1</vt:lpstr>
      <vt:lpstr>Extra 2</vt:lpstr>
      <vt:lpstr>Extra 3</vt:lpstr>
      <vt:lpstr>Transfer</vt:lpstr>
      <vt:lpstr>CUSTOS OPERACIONAIS </vt:lpstr>
      <vt:lpstr>TOTAL</vt:lpstr>
      <vt:lpstr>Solicitações de Pagamento</vt:lpstr>
      <vt:lpstr>Ativações</vt:lpstr>
      <vt:lpstr>Galbani</vt:lpstr>
      <vt:lpstr>Galbani - Hotel</vt:lpstr>
      <vt:lpstr>Triplo Zero</vt:lpstr>
      <vt:lpstr>Extras</vt:lpstr>
      <vt:lpstr>Template SP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QdS</dc:creator>
  <cp:keywords/>
  <dc:description/>
  <cp:lastModifiedBy>Bruno Silva</cp:lastModifiedBy>
  <cp:revision/>
  <cp:lastPrinted>2026-04-23T19:04:56Z</cp:lastPrinted>
  <dcterms:created xsi:type="dcterms:W3CDTF">2023-09-21T21:02:20Z</dcterms:created>
  <dcterms:modified xsi:type="dcterms:W3CDTF">2026-04-28T22:45:51Z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