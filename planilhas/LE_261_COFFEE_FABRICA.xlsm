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7 julho\"/>
    </mc:Choice>
  </mc:AlternateContent>
  <xr:revisionPtr revIDLastSave="0" documentId="13_ncr:1_{06C98C91-B544-413D-8612-01BB804196EC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PRINCIPAL" sheetId="94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PRINCIPAL!$A$1:$AO$14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95" l="1"/>
  <c r="D22" i="95" s="1"/>
  <c r="D26" i="95" s="1"/>
  <c r="C21" i="95"/>
  <c r="AC26" i="94"/>
  <c r="AC28" i="94" s="1"/>
  <c r="AC21" i="94"/>
  <c r="C28" i="95"/>
  <c r="D27" i="95"/>
  <c r="E27" i="95" s="1"/>
  <c r="F27" i="95" s="1"/>
  <c r="E3" i="95"/>
  <c r="E21" i="95" l="1"/>
  <c r="F21" i="95" s="1"/>
  <c r="C22" i="95"/>
  <c r="E22" i="95" s="1"/>
  <c r="F22" i="95" s="1"/>
  <c r="E26" i="95"/>
  <c r="F26" i="95" s="1"/>
  <c r="D28" i="95"/>
  <c r="E28" i="95" s="1"/>
  <c r="F28" i="95" s="1"/>
  <c r="R22" i="94" l="1"/>
  <c r="Q22" i="94"/>
  <c r="K22" i="94"/>
  <c r="R26" i="94"/>
  <c r="Q26" i="94"/>
  <c r="K26" i="94"/>
  <c r="K27" i="94" s="1"/>
  <c r="Q25" i="94"/>
  <c r="Q24" i="94"/>
  <c r="R21" i="94"/>
  <c r="Q21" i="94"/>
  <c r="K21" i="94"/>
  <c r="K23" i="94" s="1"/>
  <c r="Q20" i="94"/>
  <c r="Q19" i="94"/>
  <c r="R17" i="94"/>
  <c r="Q17" i="94"/>
  <c r="K17" i="94"/>
  <c r="K18" i="94" s="1"/>
  <c r="Q16" i="94"/>
  <c r="Q15" i="94"/>
  <c r="K28" i="94" l="1"/>
  <c r="V22" i="94"/>
  <c r="L22" i="94"/>
  <c r="V21" i="94"/>
  <c r="V26" i="94"/>
  <c r="T27" i="94"/>
  <c r="L26" i="94"/>
  <c r="L27" i="94" s="1"/>
  <c r="L21" i="94"/>
  <c r="V17" i="94"/>
  <c r="L17" i="94"/>
  <c r="Z12" i="94"/>
  <c r="AG21" i="94" l="1"/>
  <c r="T23" i="94"/>
  <c r="AA21" i="94" s="1"/>
  <c r="T28" i="94"/>
  <c r="T18" i="94"/>
  <c r="L18" i="94"/>
  <c r="L28" i="94"/>
  <c r="W22" i="94"/>
  <c r="X22" i="94" s="1"/>
  <c r="AB22" i="94" s="1"/>
  <c r="L23" i="94"/>
  <c r="U22" i="94"/>
  <c r="Z22" i="94" s="1"/>
  <c r="AG22" i="94"/>
  <c r="M22" i="94"/>
  <c r="U21" i="94"/>
  <c r="M26" i="94"/>
  <c r="M27" i="94" s="1"/>
  <c r="AG26" i="94"/>
  <c r="U26" i="94"/>
  <c r="U27" i="94" s="1"/>
  <c r="M17" i="94"/>
  <c r="M21" i="94"/>
  <c r="U17" i="94"/>
  <c r="U23" i="94" l="1"/>
  <c r="Y22" i="94"/>
  <c r="U18" i="94"/>
  <c r="U28" i="94"/>
  <c r="M23" i="94"/>
  <c r="M28" i="94"/>
  <c r="M18" i="94"/>
  <c r="N22" i="94"/>
  <c r="W21" i="94"/>
  <c r="X21" i="94" s="1"/>
  <c r="Z21" i="94"/>
  <c r="AA26" i="94"/>
  <c r="N26" i="94"/>
  <c r="N27" i="94" s="1"/>
  <c r="W26" i="94"/>
  <c r="X26" i="94" s="1"/>
  <c r="Z26" i="94"/>
  <c r="Z17" i="94"/>
  <c r="W17" i="94"/>
  <c r="X17" i="94" s="1"/>
  <c r="AB17" i="94" s="1"/>
  <c r="N17" i="94"/>
  <c r="N21" i="94"/>
  <c r="AA17" i="94"/>
  <c r="X27" i="94" l="1"/>
  <c r="AB26" i="94"/>
  <c r="X23" i="94"/>
  <c r="AB21" i="94"/>
  <c r="AB28" i="94" s="1"/>
  <c r="X18" i="94"/>
  <c r="X28" i="94"/>
  <c r="N23" i="94"/>
  <c r="N28" i="94"/>
  <c r="N18" i="94"/>
  <c r="Y21" i="94"/>
  <c r="Y17" i="94"/>
  <c r="Y26" i="94"/>
  <c r="Y28" i="94" l="1"/>
  <c r="Y23" i="94"/>
  <c r="Y18" i="94"/>
  <c r="Y27" i="94"/>
  <c r="Z28" i="94" l="1"/>
  <c r="AA28" i="94" s="1"/>
</calcChain>
</file>

<file path=xl/sharedStrings.xml><?xml version="1.0" encoding="utf-8"?>
<sst xmlns="http://schemas.openxmlformats.org/spreadsheetml/2006/main" count="488" uniqueCount="247">
  <si>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</si>
  <si>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</si>
  <si>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</si>
  <si>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</si>
  <si>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</si>
  <si>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</si>
  <si>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</si>
  <si>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</si>
  <si>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</si>
  <si>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</si>
  <si>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</si>
  <si>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</si>
  <si>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</si>
  <si>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</si>
  <si>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</si>
  <si>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</si>
  <si>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</si>
  <si>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</si>
  <si>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</si>
  <si>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</si>
  <si>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</si>
  <si>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</si>
  <si>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</si>
  <si>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</si>
  <si>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</si>
  <si>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</si>
  <si>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</si>
  <si>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</si>
  <si>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</si>
  <si>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</si>
  <si>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</si>
  <si>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</si>
  <si>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</si>
  <si>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</si>
  <si>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</si>
  <si>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</si>
  <si>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</si>
  <si>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</si>
  <si>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</si>
  <si>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</si>
  <si>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</si>
  <si>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</si>
  <si>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</si>
  <si>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</si>
  <si>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</si>
  <si>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</si>
  <si>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</si>
  <si>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</si>
  <si>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</si>
  <si>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</si>
  <si>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</si>
  <si>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</si>
  <si>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</si>
  <si>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</si>
  <si>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</si>
  <si>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</si>
  <si>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</si>
  <si>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</si>
  <si>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</si>
  <si>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</si>
  <si>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</si>
  <si>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</si>
  <si>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</si>
  <si>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</si>
  <si>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</si>
  <si>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</si>
  <si>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</si>
  <si>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</si>
  <si>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</si>
  <si>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</si>
  <si>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</si>
  <si>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</si>
  <si>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</si>
  <si>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</si>
  <si>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</si>
  <si>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</si>
  <si>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</si>
  <si>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</si>
  <si>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</si>
  <si>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</si>
  <si>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</si>
  <si>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</si>
  <si>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</si>
  <si>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</si>
  <si>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</si>
  <si>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</si>
  <si>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</si>
  <si>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</si>
  <si>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</si>
  <si>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</si>
  <si>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</si>
  <si>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</si>
  <si>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</si>
  <si>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</si>
  <si>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</si>
  <si>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</si>
  <si>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</si>
  <si>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</si>
  <si>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</si>
  <si>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</si>
  <si>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</si>
  <si>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</si>
  <si>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</si>
  <si>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</si>
  <si>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</si>
  <si>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</si>
  <si>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</si>
  <si>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</si>
  <si>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</si>
  <si>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</si>
  <si>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</si>
  <si>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</si>
  <si>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</si>
  <si>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</si>
  <si>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SUBTOTAL SUBGRUPO</t>
  </si>
  <si>
    <t>OPERACIONAL</t>
  </si>
  <si>
    <t>FAT.CLIENTE</t>
  </si>
  <si>
    <t>SUBTOTAL PLANILHA</t>
  </si>
  <si>
    <t>BRINDES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</si>
  <si>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</si>
  <si>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</si>
  <si>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</si>
  <si>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</si>
  <si>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</si>
  <si>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</si>
  <si>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</si>
  <si>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</si>
  <si>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</si>
  <si>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</si>
  <si>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>Agasalho</t>
  </si>
  <si>
    <t>Agasalho ADIDAS  com logos em DTF;</t>
  </si>
  <si>
    <t>06/04/2026</t>
  </si>
  <si>
    <t>05.570.154/0019-61</t>
  </si>
  <si>
    <t>FASHION SHOES COMERCIO DE CALCADOS E CONFECCOES LTDA</t>
  </si>
  <si>
    <t>(48) 9606-3972</t>
  </si>
  <si>
    <t>R$ 49.800,00</t>
  </si>
  <si>
    <t xml:space="preserve">PATRICK </t>
  </si>
  <si>
    <t>16/04/2026</t>
  </si>
  <si>
    <t>296.693.618-50</t>
  </si>
  <si>
    <t xml:space="preserve">CRISTIANE VIANA </t>
  </si>
  <si>
    <t>R$ 1.275,00</t>
  </si>
  <si>
    <t xml:space="preserve">PETERSON </t>
  </si>
  <si>
    <t xml:space="preserve">INTERNOS </t>
  </si>
  <si>
    <t>FAT.OGGI</t>
  </si>
  <si>
    <t>INTERNO</t>
  </si>
  <si>
    <t>Planejamento</t>
  </si>
  <si>
    <t>Planejamento operacional;</t>
  </si>
  <si>
    <t xml:space="preserve">Subtotal INTERNOS </t>
  </si>
  <si>
    <t>STAFF</t>
  </si>
  <si>
    <t>Coordenação Presencial</t>
  </si>
  <si>
    <t>Coordenação presencial na fábrica;</t>
  </si>
  <si>
    <t>Recepcionista</t>
  </si>
  <si>
    <t>Recepcionista acompanhando o grupo SP &gt; Indu;</t>
  </si>
  <si>
    <t>3.1</t>
  </si>
  <si>
    <t>A&amp;B</t>
  </si>
  <si>
    <t>3.1.1</t>
  </si>
  <si>
    <t>Welcome Coffee</t>
  </si>
  <si>
    <t>Café da manhã de boas vindas aos visitantes na Fabrica da Lenovo;</t>
  </si>
  <si>
    <t>Almoço</t>
  </si>
  <si>
    <t>Almoço no restaurante Caipirão em Indaiatuba;</t>
  </si>
  <si>
    <t>Subtotal A&amp;B</t>
  </si>
  <si>
    <t>LOGÍSTICA</t>
  </si>
  <si>
    <t>Transfer</t>
  </si>
  <si>
    <t>Van executiva para até 15 pessoas (SP &gt; Indu);</t>
  </si>
  <si>
    <t>CUSTOS COMPLEMENTARES</t>
  </si>
  <si>
    <t>Custos operacionais</t>
  </si>
  <si>
    <t>Deslocamento da equipe até o ponto de partida, despesas da viagem, lavagens dos jalecos e de mais necessidades;</t>
  </si>
  <si>
    <t>Subtotal CUSTOS COMPLEMENTARES</t>
  </si>
  <si>
    <t xml:space="preserve">TOTAL </t>
  </si>
  <si>
    <t>Marg. Lucro</t>
  </si>
  <si>
    <t>Lucro</t>
  </si>
  <si>
    <t xml:space="preserve">VISITA A FÁBRICA </t>
  </si>
  <si>
    <t>GIOVANNI FERREIRA</t>
  </si>
  <si>
    <t>15/05/2026</t>
  </si>
  <si>
    <t>362.257.668-55</t>
  </si>
  <si>
    <t xml:space="preserve">GIOVANNI FERREIRA </t>
  </si>
  <si>
    <t>R$ 500,00</t>
  </si>
  <si>
    <t>23.217.587/0001-90</t>
  </si>
  <si>
    <t>EDUARDO ARTHUR MOLINA TRANSPORTES</t>
  </si>
  <si>
    <t>(11) 2681-7850 / (11) 2681-7850</t>
  </si>
  <si>
    <t>R$ 1.250,00</t>
  </si>
  <si>
    <t>48.492.064/0001-83</t>
  </si>
  <si>
    <t>KAMYLLE SANTOS CALDEIRA 13409993665</t>
  </si>
  <si>
    <t>(38) 9200-4933</t>
  </si>
  <si>
    <t>R$ 450,00</t>
  </si>
  <si>
    <t>18/05/2026</t>
  </si>
  <si>
    <t>301.222.808-06</t>
  </si>
  <si>
    <t xml:space="preserve">marcelo bayeux da silva </t>
  </si>
  <si>
    <t>R$ 650,00</t>
  </si>
  <si>
    <t xml:space="preserve">MARCELO BAYUX DA SILVA </t>
  </si>
  <si>
    <t>R$ 1.704,64</t>
  </si>
  <si>
    <t>08.750.285/0001-90</t>
  </si>
  <si>
    <t>SK COPIADORA E IMPRESSAO DIGITAL LTDA</t>
  </si>
  <si>
    <t>(11) 2905-7107</t>
  </si>
  <si>
    <t>R$ 207,00</t>
  </si>
  <si>
    <t>R$ 237,00</t>
  </si>
  <si>
    <t>22.843.980/0001-27</t>
  </si>
  <si>
    <t>ALERE ALIMENTACAO E SERVICOS LTDA</t>
  </si>
  <si>
    <t>(11) 4118-1919</t>
  </si>
  <si>
    <t>R$ 668,96</t>
  </si>
  <si>
    <t>15/06/2026</t>
  </si>
  <si>
    <t xml:space="preserve">MARCELO BAYEUX DA SILVA </t>
  </si>
  <si>
    <t>R$ 80,00</t>
  </si>
  <si>
    <t>_x000D_
SK COPIADORA E IMPRESSAO DIGITAL LTDA_x000D_
SK COPIADORA E IMPRESSAO DIGITAL LTDA_x000D_
SK COPIADORA E IMPRESSAO DIGITAL LTDA</t>
  </si>
  <si>
    <t>_x000D_
08.750.285/0001-90_x000D_
08.750.285/0001-90_x000D_
08.750.285/0001-90</t>
  </si>
  <si>
    <t>R$ 1.839,04</t>
  </si>
  <si>
    <t>334.928.938-05</t>
  </si>
  <si>
    <t>Renata Mendes Buzoni</t>
  </si>
  <si>
    <t>17/06/2026</t>
  </si>
  <si>
    <t>( X ) Pessoa Jurídica</t>
  </si>
  <si>
    <t>R$ 703,06</t>
  </si>
  <si>
    <t>( X ) Boleto</t>
  </si>
  <si>
    <t xml:space="preserve">Café da manhã e tarde para 15 pessoas + água e café o dia todo </t>
  </si>
  <si>
    <t xml:space="preserve">Atendimento e produção </t>
  </si>
  <si>
    <t>LE_261_COFFEE FÁBRICA</t>
  </si>
  <si>
    <t>COFEE FÁBRICA</t>
  </si>
  <si>
    <t>15.06</t>
  </si>
  <si>
    <t>1.1.1</t>
  </si>
  <si>
    <t>3.1.2</t>
  </si>
  <si>
    <t>4.1</t>
  </si>
  <si>
    <t>4.1.1</t>
  </si>
  <si>
    <t xml:space="preserve">Lunch </t>
  </si>
  <si>
    <t xml:space="preserve">Lunch - Sala Amazonas para 15 pessoas (Salada, proteina, arroz e guarnição) </t>
  </si>
  <si>
    <t xml:space="preserve">Verba para alimentação da equipe </t>
  </si>
  <si>
    <t>23/07/2026</t>
  </si>
  <si>
    <t xml:space="preserve">LE_261_COFFEE FÁBRICA VISITA A FÁBRICA </t>
  </si>
  <si>
    <t>LE_261_COFEE FÁBRICA.xlsm</t>
  </si>
  <si>
    <t>24/07/26</t>
  </si>
  <si>
    <t>R$ 1.690,94</t>
  </si>
  <si>
    <t>_x000D_
ALERE ALIMENTACAO E SERVICOS LTDA_x000D_
ALERE ALIMENTACAO E SERVICOS LTDA_x000D_
ALERE ALIMENTACAO E SERVICOS LTDA</t>
  </si>
  <si>
    <t>_x000D_
22.843.980/0001-27_x000D_
22.843.980/0001-27_x000D_
22.843.980/0001-27</t>
  </si>
  <si>
    <t>R$ 2.340,00</t>
  </si>
  <si>
    <t xml:space="preserve">VALOR REFERENTE A ALMOÇO </t>
  </si>
  <si>
    <t>_x000D_
ALERE ALIMENTACAO E SERVICOS LTDA</t>
  </si>
  <si>
    <t>_x000D_
22.843.980/0001-27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</si>
  <si>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</si>
  <si>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</si>
  <si>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</si>
  <si>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</si>
  <si>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</si>
  <si>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</si>
  <si>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</si>
  <si>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ALERE</t>
  </si>
  <si>
    <t>PATRICK - MARCELO - CLARA - SAKURA</t>
  </si>
  <si>
    <t xml:space="preserve">MARCELO </t>
  </si>
  <si>
    <t>NOTA DE DÉBITO 268</t>
  </si>
  <si>
    <t>NOTA FISCAL 3045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</si>
</sst>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00B050"/>
      <name val="Trebuchet MS"/>
      <family val="2"/>
    </font>
    <font>
      <b/>
      <sz val="18"/>
      <color rgb="FFFF0000"/>
      <name val="Trebuchet MS"/>
      <family val="2"/>
    </font>
    <font>
      <b/>
      <sz val="18"/>
      <color theme="0"/>
      <name val="Trebuchet MS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name val="Trebuchet MS"/>
      <family val="2"/>
    </font>
    <font>
      <b/>
      <sz val="12"/>
      <color theme="1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2"/>
      <color rgb="FFFF0000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6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7" fillId="4" borderId="35" xfId="0" applyFont="1" applyFill="1" applyBorder="1"/>
    <xf numFmtId="0" fontId="7" fillId="4" borderId="36" xfId="0" applyFont="1" applyFill="1" applyBorder="1"/>
    <xf numFmtId="0" fontId="10" fillId="8" borderId="41" xfId="0" applyFont="1" applyFill="1" applyBorder="1" applyAlignment="1">
      <alignment vertical="center"/>
    </xf>
    <xf numFmtId="0" fontId="12" fillId="8" borderId="41" xfId="0" applyFont="1" applyFill="1" applyBorder="1" applyAlignment="1">
      <alignment horizontal="center" vertical="center"/>
    </xf>
    <xf numFmtId="22" fontId="10" fillId="8" borderId="41" xfId="0" applyNumberFormat="1" applyFont="1" applyFill="1" applyBorder="1" applyAlignment="1">
      <alignment horizontal="center" vertical="center"/>
    </xf>
    <xf numFmtId="0" fontId="14" fillId="8" borderId="42" xfId="0" applyFont="1" applyFill="1" applyBorder="1" applyAlignment="1">
      <alignment horizontal="center" vertical="center" wrapText="1"/>
    </xf>
    <xf numFmtId="0" fontId="14" fillId="8" borderId="43" xfId="0" applyFont="1" applyFill="1" applyBorder="1" applyAlignment="1">
      <alignment horizontal="center" vertical="center" wrapText="1"/>
    </xf>
    <xf numFmtId="0" fontId="16" fillId="0" borderId="0" xfId="0" applyFont="1"/>
    <xf numFmtId="49" fontId="17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17" fillId="0" borderId="0" xfId="2" applyNumberFormat="1" applyFont="1" applyAlignment="1">
      <alignment horizontal="left" vertical="center"/>
    </xf>
    <xf numFmtId="49" fontId="16" fillId="0" borderId="0" xfId="0" applyNumberFormat="1" applyFont="1"/>
    <xf numFmtId="0" fontId="16" fillId="0" borderId="0" xfId="1" applyNumberFormat="1" applyFont="1"/>
    <xf numFmtId="165" fontId="19" fillId="6" borderId="38" xfId="4" applyFont="1" applyFill="1" applyBorder="1" applyAlignment="1">
      <alignment horizontal="center" vertical="center" wrapText="1"/>
    </xf>
    <xf numFmtId="168" fontId="20" fillId="0" borderId="5" xfId="1" applyNumberFormat="1" applyFont="1" applyBorder="1"/>
    <xf numFmtId="166" fontId="19" fillId="0" borderId="39" xfId="4" applyNumberFormat="1" applyFont="1" applyBorder="1" applyAlignment="1">
      <alignment horizontal="center" vertical="center" wrapText="1"/>
    </xf>
    <xf numFmtId="0" fontId="21" fillId="5" borderId="0" xfId="0" applyFont="1" applyFill="1"/>
    <xf numFmtId="49" fontId="21" fillId="5" borderId="0" xfId="0" applyNumberFormat="1" applyFont="1" applyFill="1"/>
    <xf numFmtId="0" fontId="22" fillId="0" borderId="0" xfId="0" applyFont="1"/>
    <xf numFmtId="0" fontId="23" fillId="0" borderId="44" xfId="0" applyFont="1" applyBorder="1" applyAlignment="1">
      <alignment horizontal="left" vertical="center"/>
    </xf>
    <xf numFmtId="49" fontId="23" fillId="0" borderId="45" xfId="0" applyNumberFormat="1" applyFont="1" applyBorder="1" applyAlignment="1">
      <alignment horizontal="left" vertical="center"/>
    </xf>
    <xf numFmtId="0" fontId="23" fillId="0" borderId="46" xfId="0" applyFont="1" applyBorder="1" applyAlignment="1">
      <alignment horizontal="left" vertical="center"/>
    </xf>
    <xf numFmtId="0" fontId="23" fillId="0" borderId="44" xfId="0" applyFont="1" applyBorder="1" applyAlignment="1">
      <alignment horizontal="left" vertical="center" wrapText="1"/>
    </xf>
    <xf numFmtId="0" fontId="17" fillId="6" borderId="53" xfId="3" applyFont="1" applyFill="1" applyBorder="1" applyAlignment="1">
      <alignment horizontal="left" vertical="center"/>
    </xf>
    <xf numFmtId="0" fontId="17" fillId="6" borderId="54" xfId="3" applyFont="1" applyFill="1" applyBorder="1" applyAlignment="1">
      <alignment horizontal="center" vertical="center"/>
    </xf>
    <xf numFmtId="0" fontId="21" fillId="6" borderId="54" xfId="3" applyFont="1" applyFill="1" applyBorder="1" applyAlignment="1">
      <alignment horizontal="center" vertical="center"/>
    </xf>
    <xf numFmtId="169" fontId="21" fillId="6" borderId="54" xfId="3" applyNumberFormat="1" applyFont="1" applyFill="1" applyBorder="1" applyAlignment="1">
      <alignment horizontal="center" vertical="center" wrapText="1"/>
    </xf>
    <xf numFmtId="0" fontId="21" fillId="6" borderId="54" xfId="3" applyFont="1" applyFill="1" applyBorder="1" applyAlignment="1">
      <alignment horizontal="center" vertical="center" wrapText="1"/>
    </xf>
    <xf numFmtId="9" fontId="21" fillId="6" borderId="54" xfId="1" applyFont="1" applyFill="1" applyBorder="1" applyAlignment="1">
      <alignment horizontal="center" vertical="center" wrapText="1"/>
    </xf>
    <xf numFmtId="10" fontId="21" fillId="6" borderId="54" xfId="1" applyNumberFormat="1" applyFont="1" applyFill="1" applyBorder="1" applyAlignment="1">
      <alignment horizontal="center" vertical="center" wrapText="1"/>
    </xf>
    <xf numFmtId="0" fontId="21" fillId="6" borderId="55" xfId="3" applyFont="1" applyFill="1" applyBorder="1" applyAlignment="1">
      <alignment horizontal="center" vertical="center" wrapText="1"/>
    </xf>
    <xf numFmtId="37" fontId="19" fillId="6" borderId="53" xfId="3" applyNumberFormat="1" applyFont="1" applyFill="1" applyBorder="1" applyAlignment="1">
      <alignment horizontal="center" vertical="center"/>
    </xf>
    <xf numFmtId="37" fontId="19" fillId="6" borderId="54" xfId="3" applyNumberFormat="1" applyFont="1" applyFill="1" applyBorder="1" applyAlignment="1">
      <alignment horizontal="center" vertical="center"/>
    </xf>
    <xf numFmtId="40" fontId="19" fillId="6" borderId="54" xfId="4" applyNumberFormat="1" applyFont="1" applyFill="1" applyBorder="1" applyAlignment="1">
      <alignment horizontal="center" vertical="center"/>
    </xf>
    <xf numFmtId="165" fontId="19" fillId="6" borderId="54" xfId="4" applyFont="1" applyFill="1" applyBorder="1" applyAlignment="1">
      <alignment horizontal="right" vertical="center"/>
    </xf>
    <xf numFmtId="40" fontId="19" fillId="6" borderId="54" xfId="4" applyNumberFormat="1" applyFont="1" applyFill="1" applyBorder="1" applyAlignment="1">
      <alignment horizontal="center" vertical="center" wrapText="1"/>
    </xf>
    <xf numFmtId="10" fontId="19" fillId="6" borderId="54" xfId="5" applyNumberFormat="1" applyFont="1" applyFill="1" applyBorder="1" applyAlignment="1">
      <alignment horizontal="center" vertical="center" wrapText="1"/>
    </xf>
    <xf numFmtId="165" fontId="19" fillId="6" borderId="54" xfId="4" applyFont="1" applyFill="1" applyBorder="1" applyAlignment="1">
      <alignment horizontal="center" vertical="center" wrapText="1"/>
    </xf>
    <xf numFmtId="165" fontId="19" fillId="6" borderId="55" xfId="4" applyFont="1" applyFill="1" applyBorder="1" applyAlignment="1">
      <alignment horizontal="center" vertical="center" wrapText="1"/>
    </xf>
    <xf numFmtId="10" fontId="19" fillId="6" borderId="47" xfId="5" applyNumberFormat="1" applyFont="1" applyFill="1" applyBorder="1" applyAlignment="1">
      <alignment horizontal="center" vertical="center" wrapText="1"/>
    </xf>
    <xf numFmtId="10" fontId="19" fillId="6" borderId="48" xfId="5" applyNumberFormat="1" applyFont="1" applyFill="1" applyBorder="1" applyAlignment="1">
      <alignment horizontal="center" vertical="center" wrapText="1"/>
    </xf>
    <xf numFmtId="166" fontId="24" fillId="6" borderId="52" xfId="4" applyNumberFormat="1" applyFont="1" applyFill="1" applyBorder="1" applyAlignment="1">
      <alignment horizontal="center" vertical="center" wrapText="1"/>
    </xf>
    <xf numFmtId="165" fontId="19" fillId="6" borderId="48" xfId="4" applyFont="1" applyFill="1" applyBorder="1" applyAlignment="1">
      <alignment horizontal="center" vertical="center" wrapText="1"/>
    </xf>
    <xf numFmtId="37" fontId="19" fillId="6" borderId="3" xfId="3" applyNumberFormat="1" applyFont="1" applyFill="1" applyBorder="1" applyAlignment="1">
      <alignment horizontal="center" vertical="center"/>
    </xf>
    <xf numFmtId="40" fontId="19" fillId="6" borderId="50" xfId="4" applyNumberFormat="1" applyFont="1" applyFill="1" applyBorder="1" applyAlignment="1">
      <alignment horizontal="center" vertical="center"/>
    </xf>
    <xf numFmtId="166" fontId="25" fillId="6" borderId="51" xfId="4" applyNumberFormat="1" applyFont="1" applyFill="1" applyBorder="1" applyAlignment="1">
      <alignment horizontal="center" vertical="center" wrapText="1"/>
    </xf>
    <xf numFmtId="49" fontId="23" fillId="0" borderId="45" xfId="0" applyNumberFormat="1" applyFont="1" applyBorder="1" applyAlignment="1">
      <alignment horizontal="left" vertical="center" wrapText="1"/>
    </xf>
    <xf numFmtId="0" fontId="23" fillId="0" borderId="46" xfId="0" applyFont="1" applyBorder="1" applyAlignment="1">
      <alignment horizontal="left" vertical="center" wrapText="1"/>
    </xf>
    <xf numFmtId="0" fontId="23" fillId="0" borderId="45" xfId="0" applyFont="1" applyBorder="1" applyAlignment="1">
      <alignment horizontal="left" vertical="center" wrapText="1"/>
    </xf>
    <xf numFmtId="0" fontId="21" fillId="11" borderId="74" xfId="0" applyFont="1" applyFill="1" applyBorder="1" applyAlignment="1">
      <alignment horizontal="center" vertical="center"/>
    </xf>
    <xf numFmtId="0" fontId="21" fillId="11" borderId="54" xfId="0" applyFont="1" applyFill="1" applyBorder="1" applyAlignment="1">
      <alignment horizontal="center" vertical="center"/>
    </xf>
    <xf numFmtId="0" fontId="21" fillId="11" borderId="69" xfId="0" applyFont="1" applyFill="1" applyBorder="1" applyAlignment="1">
      <alignment horizontal="center" vertical="center"/>
    </xf>
    <xf numFmtId="0" fontId="20" fillId="11" borderId="10" xfId="0" applyFont="1" applyFill="1" applyBorder="1" applyAlignment="1">
      <alignment horizontal="center" vertical="center"/>
    </xf>
    <xf numFmtId="0" fontId="20" fillId="11" borderId="59" xfId="0" applyFont="1" applyFill="1" applyBorder="1" applyAlignment="1">
      <alignment horizontal="center" vertical="center"/>
    </xf>
    <xf numFmtId="0" fontId="23" fillId="16" borderId="51" xfId="0" applyFont="1" applyFill="1" applyBorder="1" applyAlignment="1">
      <alignment horizontal="left" vertical="center" wrapText="1"/>
    </xf>
    <xf numFmtId="0" fontId="23" fillId="0" borderId="60" xfId="0" applyFont="1" applyBorder="1" applyAlignment="1">
      <alignment horizontal="left" vertical="center" wrapText="1"/>
    </xf>
    <xf numFmtId="0" fontId="23" fillId="0" borderId="60" xfId="0" applyFont="1" applyBorder="1" applyAlignment="1">
      <alignment horizontal="center" vertical="center"/>
    </xf>
    <xf numFmtId="44" fontId="23" fillId="0" borderId="60" xfId="8" applyFont="1" applyBorder="1" applyAlignment="1">
      <alignment vertical="center"/>
    </xf>
    <xf numFmtId="44" fontId="23" fillId="0" borderId="52" xfId="8" applyFont="1" applyBorder="1" applyAlignment="1">
      <alignment vertical="center"/>
    </xf>
    <xf numFmtId="1" fontId="23" fillId="12" borderId="68" xfId="0" applyNumberFormat="1" applyFont="1" applyFill="1" applyBorder="1" applyAlignment="1">
      <alignment vertical="center"/>
    </xf>
    <xf numFmtId="1" fontId="23" fillId="12" borderId="67" xfId="0" applyNumberFormat="1" applyFont="1" applyFill="1" applyBorder="1" applyAlignment="1">
      <alignment vertical="center"/>
    </xf>
    <xf numFmtId="44" fontId="23" fillId="12" borderId="67" xfId="8" applyFont="1" applyFill="1" applyBorder="1" applyAlignment="1">
      <alignment vertical="center"/>
    </xf>
    <xf numFmtId="44" fontId="23" fillId="14" borderId="67" xfId="8" applyFont="1" applyFill="1" applyBorder="1" applyAlignment="1">
      <alignment vertical="center"/>
    </xf>
    <xf numFmtId="9" fontId="23" fillId="13" borderId="67" xfId="1" applyFont="1" applyFill="1" applyBorder="1" applyAlignment="1">
      <alignment vertical="center"/>
    </xf>
    <xf numFmtId="44" fontId="23" fillId="13" borderId="67" xfId="8" applyFont="1" applyFill="1" applyBorder="1" applyAlignment="1">
      <alignment vertical="center"/>
    </xf>
    <xf numFmtId="44" fontId="23" fillId="13" borderId="52" xfId="8" applyFont="1" applyFill="1" applyBorder="1" applyAlignment="1">
      <alignment vertical="center"/>
    </xf>
    <xf numFmtId="10" fontId="23" fillId="14" borderId="10" xfId="0" applyNumberFormat="1" applyFont="1" applyFill="1" applyBorder="1" applyAlignment="1">
      <alignment horizontal="center" vertical="center"/>
    </xf>
    <xf numFmtId="10" fontId="23" fillId="14" borderId="7" xfId="0" applyNumberFormat="1" applyFont="1" applyFill="1" applyBorder="1" applyAlignment="1">
      <alignment horizontal="center" vertical="center"/>
    </xf>
    <xf numFmtId="170" fontId="26" fillId="10" borderId="15" xfId="0" applyNumberFormat="1" applyFont="1" applyFill="1" applyBorder="1" applyAlignment="1">
      <alignment horizontal="right"/>
    </xf>
    <xf numFmtId="170" fontId="26" fillId="10" borderId="0" xfId="0" applyNumberFormat="1" applyFont="1" applyFill="1" applyAlignment="1">
      <alignment horizontal="right"/>
    </xf>
    <xf numFmtId="170" fontId="26" fillId="10" borderId="70" xfId="0" applyNumberFormat="1" applyFont="1" applyFill="1" applyBorder="1" applyAlignment="1">
      <alignment horizontal="right"/>
    </xf>
    <xf numFmtId="44" fontId="26" fillId="10" borderId="15" xfId="0" applyNumberFormat="1" applyFont="1" applyFill="1" applyBorder="1" applyAlignment="1">
      <alignment horizontal="right"/>
    </xf>
    <xf numFmtId="44" fontId="21" fillId="14" borderId="15" xfId="0" applyNumberFormat="1" applyFont="1" applyFill="1" applyBorder="1"/>
    <xf numFmtId="0" fontId="16" fillId="13" borderId="15" xfId="0" applyFont="1" applyFill="1" applyBorder="1"/>
    <xf numFmtId="44" fontId="21" fillId="13" borderId="15" xfId="0" applyNumberFormat="1" applyFont="1" applyFill="1" applyBorder="1"/>
    <xf numFmtId="44" fontId="21" fillId="13" borderId="70" xfId="8" applyFont="1" applyFill="1" applyBorder="1"/>
    <xf numFmtId="0" fontId="20" fillId="11" borderId="7" xfId="0" applyFont="1" applyFill="1" applyBorder="1" applyAlignment="1">
      <alignment horizontal="center" vertical="center"/>
    </xf>
    <xf numFmtId="0" fontId="23" fillId="0" borderId="51" xfId="0" applyFont="1" applyBorder="1" applyAlignment="1">
      <alignment horizontal="left" vertical="center" wrapText="1"/>
    </xf>
    <xf numFmtId="1" fontId="23" fillId="12" borderId="51" xfId="0" applyNumberFormat="1" applyFont="1" applyFill="1" applyBorder="1" applyAlignment="1">
      <alignment vertical="center"/>
    </xf>
    <xf numFmtId="1" fontId="23" fillId="12" borderId="60" xfId="0" applyNumberFormat="1" applyFont="1" applyFill="1" applyBorder="1" applyAlignment="1">
      <alignment vertical="center"/>
    </xf>
    <xf numFmtId="44" fontId="23" fillId="12" borderId="60" xfId="8" applyFont="1" applyFill="1" applyBorder="1" applyAlignment="1">
      <alignment vertical="center"/>
    </xf>
    <xf numFmtId="44" fontId="23" fillId="14" borderId="60" xfId="8" applyFont="1" applyFill="1" applyBorder="1" applyAlignment="1">
      <alignment vertical="center"/>
    </xf>
    <xf numFmtId="9" fontId="23" fillId="13" borderId="60" xfId="1" applyFont="1" applyFill="1" applyBorder="1" applyAlignment="1">
      <alignment vertical="center"/>
    </xf>
    <xf numFmtId="44" fontId="23" fillId="13" borderId="60" xfId="8" applyFont="1" applyFill="1" applyBorder="1" applyAlignment="1">
      <alignment vertical="center"/>
    </xf>
    <xf numFmtId="8" fontId="23" fillId="12" borderId="9" xfId="0" applyNumberFormat="1" applyFont="1" applyFill="1" applyBorder="1"/>
    <xf numFmtId="44" fontId="23" fillId="12" borderId="9" xfId="0" applyNumberFormat="1" applyFont="1" applyFill="1" applyBorder="1"/>
    <xf numFmtId="14" fontId="23" fillId="12" borderId="10" xfId="0" applyNumberFormat="1" applyFont="1" applyFill="1" applyBorder="1"/>
    <xf numFmtId="0" fontId="23" fillId="12" borderId="7" xfId="0" applyFont="1" applyFill="1" applyBorder="1" applyAlignment="1">
      <alignment wrapText="1"/>
    </xf>
    <xf numFmtId="0" fontId="23" fillId="12" borderId="10" xfId="0" applyFont="1" applyFill="1" applyBorder="1" applyAlignment="1">
      <alignment wrapText="1"/>
    </xf>
    <xf numFmtId="0" fontId="23" fillId="0" borderId="57" xfId="0" applyFont="1" applyBorder="1" applyAlignment="1">
      <alignment horizontal="left" vertical="center" wrapText="1"/>
    </xf>
    <xf numFmtId="0" fontId="23" fillId="0" borderId="83" xfId="0" applyFont="1" applyBorder="1" applyAlignment="1">
      <alignment horizontal="left" vertical="center" wrapText="1"/>
    </xf>
    <xf numFmtId="0" fontId="23" fillId="0" borderId="59" xfId="0" applyFont="1" applyBorder="1" applyAlignment="1">
      <alignment horizontal="left" vertical="center" wrapText="1"/>
    </xf>
    <xf numFmtId="0" fontId="23" fillId="0" borderId="59" xfId="0" applyFont="1" applyBorder="1" applyAlignment="1">
      <alignment horizontal="center" vertical="center"/>
    </xf>
    <xf numFmtId="44" fontId="23" fillId="0" borderId="59" xfId="8" applyFont="1" applyBorder="1" applyAlignment="1">
      <alignment vertical="center"/>
    </xf>
    <xf numFmtId="1" fontId="23" fillId="12" borderId="7" xfId="0" applyNumberFormat="1" applyFont="1" applyFill="1" applyBorder="1" applyAlignment="1">
      <alignment vertical="center"/>
    </xf>
    <xf numFmtId="44" fontId="23" fillId="12" borderId="7" xfId="8" applyFont="1" applyFill="1" applyBorder="1" applyAlignment="1">
      <alignment vertical="center"/>
    </xf>
    <xf numFmtId="44" fontId="23" fillId="14" borderId="7" xfId="8" applyFont="1" applyFill="1" applyBorder="1" applyAlignment="1">
      <alignment vertical="center"/>
    </xf>
    <xf numFmtId="9" fontId="23" fillId="13" borderId="7" xfId="1" applyFont="1" applyFill="1" applyBorder="1" applyAlignment="1">
      <alignment vertical="center"/>
    </xf>
    <xf numFmtId="44" fontId="23" fillId="13" borderId="7" xfId="8" applyFont="1" applyFill="1" applyBorder="1" applyAlignment="1">
      <alignment vertical="center"/>
    </xf>
    <xf numFmtId="44" fontId="23" fillId="13" borderId="59" xfId="8" applyFont="1" applyFill="1" applyBorder="1" applyAlignment="1">
      <alignment vertical="center"/>
    </xf>
    <xf numFmtId="10" fontId="23" fillId="14" borderId="59" xfId="0" applyNumberFormat="1" applyFont="1" applyFill="1" applyBorder="1" applyAlignment="1">
      <alignment horizontal="center" vertical="center"/>
    </xf>
    <xf numFmtId="10" fontId="23" fillId="14" borderId="0" xfId="0" applyNumberFormat="1" applyFont="1" applyFill="1" applyAlignment="1">
      <alignment horizontal="center" vertical="center"/>
    </xf>
    <xf numFmtId="0" fontId="23" fillId="0" borderId="56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44" fontId="21" fillId="13" borderId="82" xfId="8" applyFont="1" applyFill="1" applyBorder="1"/>
    <xf numFmtId="0" fontId="23" fillId="16" borderId="72" xfId="0" applyFont="1" applyFill="1" applyBorder="1" applyAlignment="1">
      <alignment horizontal="left" vertical="center" wrapText="1"/>
    </xf>
    <xf numFmtId="44" fontId="23" fillId="0" borderId="78" xfId="8" applyFont="1" applyBorder="1" applyAlignment="1">
      <alignment vertical="center"/>
    </xf>
    <xf numFmtId="1" fontId="23" fillId="12" borderId="75" xfId="0" applyNumberFormat="1" applyFont="1" applyFill="1" applyBorder="1" applyAlignment="1">
      <alignment vertical="center"/>
    </xf>
    <xf numFmtId="44" fontId="23" fillId="13" borderId="78" xfId="8" applyFont="1" applyFill="1" applyBorder="1" applyAlignment="1">
      <alignment vertical="center"/>
    </xf>
    <xf numFmtId="10" fontId="23" fillId="14" borderId="33" xfId="0" applyNumberFormat="1" applyFont="1" applyFill="1" applyBorder="1" applyAlignment="1">
      <alignment horizontal="center" vertical="center"/>
    </xf>
    <xf numFmtId="10" fontId="23" fillId="14" borderId="67" xfId="0" applyNumberFormat="1" applyFont="1" applyFill="1" applyBorder="1" applyAlignment="1">
      <alignment horizontal="center" vertical="center"/>
    </xf>
    <xf numFmtId="170" fontId="26" fillId="10" borderId="18" xfId="0" applyNumberFormat="1" applyFont="1" applyFill="1" applyBorder="1" applyAlignment="1">
      <alignment horizontal="right"/>
    </xf>
    <xf numFmtId="44" fontId="26" fillId="10" borderId="0" xfId="0" applyNumberFormat="1" applyFont="1" applyFill="1" applyAlignment="1">
      <alignment horizontal="right"/>
    </xf>
    <xf numFmtId="44" fontId="21" fillId="14" borderId="0" xfId="0" applyNumberFormat="1" applyFont="1" applyFill="1"/>
    <xf numFmtId="0" fontId="16" fillId="13" borderId="0" xfId="0" applyFont="1" applyFill="1"/>
    <xf numFmtId="44" fontId="21" fillId="13" borderId="0" xfId="0" applyNumberFormat="1" applyFont="1" applyFill="1"/>
    <xf numFmtId="44" fontId="21" fillId="13" borderId="0" xfId="8" applyFont="1" applyFill="1" applyBorder="1"/>
    <xf numFmtId="44" fontId="26" fillId="15" borderId="11" xfId="8" applyFont="1" applyFill="1" applyBorder="1" applyAlignment="1">
      <alignment horizontal="center"/>
    </xf>
    <xf numFmtId="44" fontId="26" fillId="15" borderId="12" xfId="8" applyFont="1" applyFill="1" applyBorder="1" applyAlignment="1">
      <alignment horizontal="center"/>
    </xf>
    <xf numFmtId="49" fontId="23" fillId="0" borderId="58" xfId="0" applyNumberFormat="1" applyFont="1" applyBorder="1" applyAlignment="1">
      <alignment horizontal="left" vertical="center" wrapText="1"/>
    </xf>
    <xf numFmtId="0" fontId="26" fillId="15" borderId="66" xfId="0" applyFont="1" applyFill="1" applyBorder="1"/>
    <xf numFmtId="0" fontId="26" fillId="15" borderId="37" xfId="0" applyFont="1" applyFill="1" applyBorder="1"/>
    <xf numFmtId="0" fontId="26" fillId="15" borderId="37" xfId="0" applyFont="1" applyFill="1" applyBorder="1" applyAlignment="1">
      <alignment horizontal="center" vertical="center"/>
    </xf>
    <xf numFmtId="44" fontId="26" fillId="15" borderId="37" xfId="0" applyNumberFormat="1" applyFont="1" applyFill="1" applyBorder="1"/>
    <xf numFmtId="44" fontId="26" fillId="15" borderId="81" xfId="0" applyNumberFormat="1" applyFont="1" applyFill="1" applyBorder="1"/>
    <xf numFmtId="0" fontId="26" fillId="15" borderId="66" xfId="0" applyFont="1" applyFill="1" applyBorder="1" applyAlignment="1">
      <alignment horizontal="center" vertical="center"/>
    </xf>
    <xf numFmtId="9" fontId="26" fillId="15" borderId="14" xfId="1" applyFont="1" applyFill="1" applyBorder="1"/>
    <xf numFmtId="44" fontId="26" fillId="15" borderId="15" xfId="8" applyFont="1" applyFill="1" applyBorder="1"/>
    <xf numFmtId="4" fontId="16" fillId="0" borderId="0" xfId="0" applyNumberFormat="1" applyFont="1"/>
    <xf numFmtId="0" fontId="27" fillId="0" borderId="0" xfId="0" applyFont="1"/>
    <xf numFmtId="0" fontId="27" fillId="0" borderId="0" xfId="0" applyFont="1" applyAlignment="1">
      <alignment horizontal="center"/>
    </xf>
    <xf numFmtId="164" fontId="29" fillId="0" borderId="62" xfId="2" applyNumberFormat="1" applyFont="1" applyBorder="1" applyAlignment="1" applyProtection="1">
      <alignment horizontal="left" vertical="center"/>
      <protection locked="0"/>
    </xf>
    <xf numFmtId="164" fontId="29" fillId="0" borderId="63" xfId="2" applyNumberFormat="1" applyFont="1" applyBorder="1" applyAlignment="1" applyProtection="1">
      <alignment horizontal="left" vertical="center"/>
      <protection locked="0"/>
    </xf>
    <xf numFmtId="164" fontId="29" fillId="0" borderId="64" xfId="2" applyNumberFormat="1" applyFont="1" applyBorder="1" applyAlignment="1" applyProtection="1">
      <alignment horizontal="left" vertical="center"/>
      <protection locked="0"/>
    </xf>
    <xf numFmtId="164" fontId="29" fillId="0" borderId="65" xfId="2" applyNumberFormat="1" applyFont="1" applyBorder="1" applyAlignment="1" applyProtection="1">
      <alignment horizontal="left" vertical="center"/>
      <protection locked="0"/>
    </xf>
    <xf numFmtId="164" fontId="29" fillId="0" borderId="14" xfId="2" applyNumberFormat="1" applyFont="1" applyBorder="1" applyAlignment="1" applyProtection="1">
      <alignment horizontal="left" vertical="center"/>
      <protection locked="0"/>
    </xf>
    <xf numFmtId="164" fontId="29" fillId="0" borderId="61" xfId="2" applyNumberFormat="1" applyFont="1" applyBorder="1" applyAlignment="1" applyProtection="1">
      <alignment horizontal="left" vertical="center"/>
      <protection locked="0"/>
    </xf>
    <xf numFmtId="0" fontId="30" fillId="21" borderId="59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164" fontId="32" fillId="0" borderId="59" xfId="2" applyNumberFormat="1" applyFont="1" applyBorder="1" applyAlignment="1" applyProtection="1">
      <alignment horizontal="left" vertical="center"/>
      <protection locked="0"/>
    </xf>
    <xf numFmtId="9" fontId="30" fillId="0" borderId="59" xfId="1" applyFont="1" applyBorder="1" applyAlignment="1">
      <alignment horizontal="center"/>
    </xf>
    <xf numFmtId="0" fontId="33" fillId="0" borderId="49" xfId="0" applyFont="1" applyBorder="1"/>
    <xf numFmtId="9" fontId="33" fillId="0" borderId="48" xfId="1" applyFont="1" applyBorder="1" applyAlignment="1">
      <alignment horizontal="center"/>
    </xf>
    <xf numFmtId="0" fontId="33" fillId="0" borderId="0" xfId="0" applyFont="1"/>
    <xf numFmtId="165" fontId="19" fillId="6" borderId="47" xfId="4" applyFont="1" applyFill="1" applyBorder="1" applyAlignment="1">
      <alignment horizontal="center" vertical="center" wrapText="1"/>
    </xf>
    <xf numFmtId="166" fontId="24" fillId="0" borderId="0" xfId="4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left"/>
    </xf>
    <xf numFmtId="166" fontId="24" fillId="0" borderId="0" xfId="4" applyNumberFormat="1" applyFont="1" applyFill="1" applyBorder="1" applyAlignment="1">
      <alignment horizontal="left" vertical="center" wrapText="1"/>
    </xf>
    <xf numFmtId="0" fontId="20" fillId="0" borderId="0" xfId="0" applyFont="1" applyAlignment="1">
      <alignment horizontal="left"/>
    </xf>
    <xf numFmtId="164" fontId="17" fillId="0" borderId="62" xfId="2" applyNumberFormat="1" applyFont="1" applyBorder="1" applyAlignment="1" applyProtection="1">
      <alignment horizontal="left" vertical="center"/>
      <protection locked="0"/>
    </xf>
    <xf numFmtId="164" fontId="17" fillId="0" borderId="63" xfId="2" applyNumberFormat="1" applyFont="1" applyBorder="1" applyAlignment="1" applyProtection="1">
      <alignment horizontal="left" vertical="center"/>
      <protection locked="0"/>
    </xf>
    <xf numFmtId="164" fontId="17" fillId="0" borderId="64" xfId="2" applyNumberFormat="1" applyFont="1" applyBorder="1" applyAlignment="1" applyProtection="1">
      <alignment horizontal="left" vertical="center"/>
      <protection locked="0"/>
    </xf>
    <xf numFmtId="164" fontId="17" fillId="0" borderId="65" xfId="2" applyNumberFormat="1" applyFont="1" applyBorder="1" applyAlignment="1" applyProtection="1">
      <alignment horizontal="left" vertical="center"/>
      <protection locked="0"/>
    </xf>
    <xf numFmtId="164" fontId="17" fillId="0" borderId="14" xfId="2" applyNumberFormat="1" applyFont="1" applyBorder="1" applyAlignment="1" applyProtection="1">
      <alignment horizontal="left" vertical="center"/>
      <protection locked="0"/>
    </xf>
    <xf numFmtId="164" fontId="17" fillId="0" borderId="61" xfId="2" applyNumberFormat="1" applyFont="1" applyBorder="1" applyAlignment="1" applyProtection="1">
      <alignment horizontal="left" vertical="center"/>
      <protection locked="0"/>
    </xf>
    <xf numFmtId="44" fontId="34" fillId="0" borderId="59" xfId="0" applyNumberFormat="1" applyFont="1" applyBorder="1"/>
    <xf numFmtId="44" fontId="35" fillId="0" borderId="59" xfId="8" applyFont="1" applyBorder="1"/>
    <xf numFmtId="44" fontId="35" fillId="0" borderId="59" xfId="0" applyNumberFormat="1" applyFont="1" applyBorder="1"/>
    <xf numFmtId="44" fontId="27" fillId="0" borderId="0" xfId="8" applyFont="1"/>
    <xf numFmtId="44" fontId="27" fillId="17" borderId="11" xfId="8" applyFont="1" applyFill="1" applyBorder="1"/>
    <xf numFmtId="44" fontId="27" fillId="17" borderId="12" xfId="8" applyFont="1" applyFill="1" applyBorder="1"/>
    <xf numFmtId="44" fontId="27" fillId="18" borderId="14" xfId="8" applyFont="1" applyFill="1" applyBorder="1"/>
    <xf numFmtId="44" fontId="27" fillId="18" borderId="15" xfId="8" applyFont="1" applyFill="1" applyBorder="1"/>
    <xf numFmtId="44" fontId="27" fillId="19" borderId="17" xfId="8" applyFont="1" applyFill="1" applyBorder="1" applyAlignment="1">
      <alignment horizontal="right"/>
    </xf>
    <xf numFmtId="44" fontId="27" fillId="19" borderId="0" xfId="8" applyFont="1" applyFill="1" applyAlignment="1">
      <alignment horizontal="right"/>
    </xf>
    <xf numFmtId="44" fontId="28" fillId="20" borderId="14" xfId="8" applyFont="1" applyFill="1" applyBorder="1"/>
    <xf numFmtId="44" fontId="28" fillId="20" borderId="15" xfId="8" applyFont="1" applyFill="1" applyBorder="1"/>
    <xf numFmtId="44" fontId="29" fillId="0" borderId="0" xfId="8" applyFont="1" applyAlignment="1" applyProtection="1">
      <alignment horizontal="left" vertical="center"/>
      <protection locked="0"/>
    </xf>
    <xf numFmtId="44" fontId="30" fillId="21" borderId="59" xfId="8" applyFont="1" applyFill="1" applyBorder="1" applyAlignment="1">
      <alignment horizontal="center"/>
    </xf>
    <xf numFmtId="44" fontId="30" fillId="0" borderId="59" xfId="8" applyFont="1" applyBorder="1"/>
    <xf numFmtId="44" fontId="33" fillId="0" borderId="84" xfId="8" applyFont="1" applyBorder="1"/>
    <xf numFmtId="44" fontId="33" fillId="0" borderId="84" xfId="8" applyFont="1" applyBorder="1" applyAlignment="1">
      <alignment horizontal="center"/>
    </xf>
    <xf numFmtId="44" fontId="33" fillId="21" borderId="85" xfId="8" applyFont="1" applyFill="1" applyBorder="1" applyAlignment="1">
      <alignment horizontal="center"/>
    </xf>
    <xf numFmtId="44" fontId="33" fillId="21" borderId="59" xfId="8" applyFont="1" applyFill="1" applyBorder="1"/>
    <xf numFmtId="44" fontId="27" fillId="0" borderId="69" xfId="8" applyFont="1" applyBorder="1" applyAlignment="1">
      <alignment horizontal="center" vertical="center"/>
    </xf>
    <xf numFmtId="44" fontId="27" fillId="0" borderId="82" xfId="8" applyFont="1" applyBorder="1" applyAlignment="1">
      <alignment horizontal="center" vertical="center"/>
    </xf>
    <xf numFmtId="0" fontId="33" fillId="21" borderId="66" xfId="0" applyFont="1" applyFill="1" applyBorder="1" applyAlignment="1">
      <alignment horizontal="center"/>
    </xf>
    <xf numFmtId="0" fontId="33" fillId="21" borderId="37" xfId="0" applyFont="1" applyFill="1" applyBorder="1" applyAlignment="1">
      <alignment horizontal="center"/>
    </xf>
    <xf numFmtId="0" fontId="33" fillId="21" borderId="81" xfId="0" applyFont="1" applyFill="1" applyBorder="1" applyAlignment="1">
      <alignment horizontal="center"/>
    </xf>
    <xf numFmtId="0" fontId="26" fillId="10" borderId="86" xfId="0" applyFont="1" applyFill="1" applyBorder="1" applyAlignment="1">
      <alignment horizontal="left"/>
    </xf>
    <xf numFmtId="0" fontId="26" fillId="10" borderId="87" xfId="0" applyFont="1" applyFill="1" applyBorder="1" applyAlignment="1">
      <alignment horizontal="left"/>
    </xf>
    <xf numFmtId="0" fontId="26" fillId="10" borderId="68" xfId="0" applyFont="1" applyFill="1" applyBorder="1" applyAlignment="1">
      <alignment horizontal="left"/>
    </xf>
    <xf numFmtId="0" fontId="26" fillId="10" borderId="8" xfId="0" applyFont="1" applyFill="1" applyBorder="1" applyAlignment="1">
      <alignment horizontal="left"/>
    </xf>
    <xf numFmtId="0" fontId="26" fillId="9" borderId="56" xfId="0" applyFont="1" applyFill="1" applyBorder="1" applyAlignment="1">
      <alignment horizontal="center"/>
    </xf>
    <xf numFmtId="0" fontId="26" fillId="9" borderId="0" xfId="0" applyFont="1" applyFill="1" applyAlignment="1">
      <alignment horizontal="center"/>
    </xf>
    <xf numFmtId="0" fontId="26" fillId="9" borderId="12" xfId="0" applyFont="1" applyFill="1" applyBorder="1" applyAlignment="1">
      <alignment horizontal="center"/>
    </xf>
    <xf numFmtId="0" fontId="26" fillId="10" borderId="11" xfId="0" applyFont="1" applyFill="1" applyBorder="1" applyAlignment="1">
      <alignment horizontal="left"/>
    </xf>
    <xf numFmtId="0" fontId="26" fillId="10" borderId="12" xfId="0" applyFont="1" applyFill="1" applyBorder="1" applyAlignment="1">
      <alignment horizontal="left"/>
    </xf>
    <xf numFmtId="0" fontId="26" fillId="10" borderId="73" xfId="0" applyFont="1" applyFill="1" applyBorder="1" applyAlignment="1">
      <alignment horizontal="left"/>
    </xf>
    <xf numFmtId="0" fontId="26" fillId="10" borderId="69" xfId="0" applyFont="1" applyFill="1" applyBorder="1" applyAlignment="1">
      <alignment horizontal="left"/>
    </xf>
    <xf numFmtId="0" fontId="26" fillId="10" borderId="14" xfId="0" applyFont="1" applyFill="1" applyBorder="1" applyAlignment="1">
      <alignment horizontal="left"/>
    </xf>
    <xf numFmtId="0" fontId="26" fillId="10" borderId="15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center"/>
    </xf>
    <xf numFmtId="0" fontId="26" fillId="9" borderId="69" xfId="0" applyFont="1" applyFill="1" applyBorder="1" applyAlignment="1">
      <alignment horizontal="center"/>
    </xf>
    <xf numFmtId="0" fontId="26" fillId="9" borderId="53" xfId="0" applyFont="1" applyFill="1" applyBorder="1" applyAlignment="1">
      <alignment horizontal="center"/>
    </xf>
    <xf numFmtId="0" fontId="26" fillId="9" borderId="54" xfId="0" applyFont="1" applyFill="1" applyBorder="1" applyAlignment="1">
      <alignment horizontal="center"/>
    </xf>
    <xf numFmtId="0" fontId="26" fillId="9" borderId="55" xfId="0" applyFont="1" applyFill="1" applyBorder="1" applyAlignment="1">
      <alignment horizontal="center"/>
    </xf>
    <xf numFmtId="0" fontId="26" fillId="10" borderId="79" xfId="0" applyFont="1" applyFill="1" applyBorder="1" applyAlignment="1">
      <alignment horizontal="left"/>
    </xf>
    <xf numFmtId="0" fontId="26" fillId="10" borderId="71" xfId="0" applyFont="1" applyFill="1" applyBorder="1" applyAlignment="1">
      <alignment horizontal="left"/>
    </xf>
    <xf numFmtId="0" fontId="26" fillId="10" borderId="80" xfId="0" applyFont="1" applyFill="1" applyBorder="1" applyAlignment="1">
      <alignment horizontal="left"/>
    </xf>
    <xf numFmtId="166" fontId="19" fillId="0" borderId="39" xfId="4" applyNumberFormat="1" applyFont="1" applyBorder="1" applyAlignment="1">
      <alignment horizontal="center" vertical="center" wrapText="1"/>
    </xf>
    <xf numFmtId="166" fontId="19" fillId="0" borderId="40" xfId="4" applyNumberFormat="1" applyFont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37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166" fontId="19" fillId="4" borderId="6" xfId="4" applyNumberFormat="1" applyFont="1" applyFill="1" applyBorder="1" applyAlignment="1">
      <alignment horizontal="center" vertical="center" wrapText="1"/>
    </xf>
    <xf numFmtId="166" fontId="19" fillId="4" borderId="37" xfId="4" applyNumberFormat="1" applyFont="1" applyFill="1" applyBorder="1" applyAlignment="1">
      <alignment horizontal="center" vertical="center" wrapText="1"/>
    </xf>
    <xf numFmtId="166" fontId="19" fillId="4" borderId="5" xfId="4" applyNumberFormat="1" applyFont="1" applyFill="1" applyBorder="1" applyAlignment="1">
      <alignment horizontal="center" vertical="center" wrapText="1"/>
    </xf>
    <xf numFmtId="166" fontId="19" fillId="4" borderId="17" xfId="4" applyNumberFormat="1" applyFont="1" applyFill="1" applyBorder="1" applyAlignment="1">
      <alignment horizontal="center" vertical="center" wrapText="1"/>
    </xf>
    <xf numFmtId="166" fontId="19" fillId="4" borderId="0" xfId="4" applyNumberFormat="1" applyFont="1" applyFill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center"/>
    </xf>
    <xf numFmtId="0" fontId="26" fillId="10" borderId="76" xfId="0" applyFont="1" applyFill="1" applyBorder="1" applyAlignment="1">
      <alignment horizontal="left"/>
    </xf>
    <xf numFmtId="0" fontId="26" fillId="10" borderId="77" xfId="0" applyFont="1" applyFill="1" applyBorder="1" applyAlignment="1">
      <alignment horizontal="left"/>
    </xf>
    <xf numFmtId="0" fontId="17" fillId="0" borderId="0" xfId="2" applyFont="1" applyAlignment="1">
      <alignment horizontal="left" vertical="center" wrapText="1"/>
    </xf>
    <xf numFmtId="0" fontId="17" fillId="0" borderId="0" xfId="2" applyFont="1" applyAlignment="1">
      <alignment horizontal="left" vertical="top"/>
    </xf>
    <xf numFmtId="0" fontId="19" fillId="2" borderId="3" xfId="3" applyFont="1" applyFill="1" applyBorder="1" applyAlignment="1">
      <alignment horizontal="center" vertical="center"/>
    </xf>
    <xf numFmtId="0" fontId="19" fillId="2" borderId="4" xfId="3" applyFont="1" applyFill="1" applyBorder="1" applyAlignment="1">
      <alignment horizontal="center" vertical="center"/>
    </xf>
    <xf numFmtId="0" fontId="19" fillId="2" borderId="5" xfId="3" applyFont="1" applyFill="1" applyBorder="1" applyAlignment="1">
      <alignment horizontal="center" vertical="center"/>
    </xf>
    <xf numFmtId="0" fontId="10" fillId="8" borderId="41" xfId="0" applyFont="1" applyFill="1" applyBorder="1" applyAlignment="1">
      <alignment horizontal="left" vertical="center"/>
    </xf>
    <xf numFmtId="0" fontId="10" fillId="8" borderId="41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41" xfId="0" applyFont="1" applyFill="1" applyBorder="1" applyAlignment="1">
      <alignment horizontal="left" vertical="top"/>
    </xf>
    <xf numFmtId="0" fontId="13" fillId="8" borderId="41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44" fontId="36" fillId="0" borderId="84" xfId="8" applyFont="1" applyBorder="1"/>
    <xf numFmtId="9" fontId="36" fillId="0" borderId="48" xfId="1" applyFont="1" applyBorder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29938</xdr:colOff>
      <xdr:row>0</xdr:row>
      <xdr:rowOff>152400</xdr:rowOff>
    </xdr:from>
    <xdr:to>
      <xdr:col>5</xdr:col>
      <xdr:colOff>884482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607495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32</xdr:col>
      <xdr:colOff>1653569</xdr:colOff>
      <xdr:row>0</xdr:row>
      <xdr:rowOff>190500</xdr:rowOff>
    </xdr:from>
    <xdr:to>
      <xdr:col>33</xdr:col>
      <xdr:colOff>811382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32</xdr:col>
      <xdr:colOff>1144303</xdr:colOff>
      <xdr:row>0</xdr:row>
      <xdr:rowOff>182566</xdr:rowOff>
    </xdr:from>
    <xdr:to>
      <xdr:col>32</xdr:col>
      <xdr:colOff>1577366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29938</xdr:colOff>
      <xdr:row>0</xdr:row>
      <xdr:rowOff>152400</xdr:rowOff>
    </xdr:from>
    <xdr:to>
      <xdr:col>5</xdr:col>
      <xdr:colOff>884482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32</xdr:col>
      <xdr:colOff>1653569</xdr:colOff>
      <xdr:row>0</xdr:row>
      <xdr:rowOff>190500</xdr:rowOff>
    </xdr:from>
    <xdr:to>
      <xdr:col>33</xdr:col>
      <xdr:colOff>811382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744099</xdr:colOff>
      <xdr:row>6</xdr:row>
      <xdr:rowOff>0</xdr:rowOff>
    </xdr:from>
    <xdr:to>
      <xdr:col>13</xdr:col>
      <xdr:colOff>1609727</xdr:colOff>
      <xdr:row>11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03287" y="2226469"/>
          <a:ext cx="2523771" cy="1770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2E799-C628-4AA9-8DBD-CDBDD17AC137}">
  <dimension ref="A1:F28"/>
  <sheetViews>
    <sheetView showGridLines="0" tabSelected="1" topLeftCell="A20" zoomScaleNormal="100" workbookViewId="0">
      <selection activeCell="C28" sqref="C28:D28"/>
    </sheetView>
  </sheetViews>
  <sheetFormatPr defaultColWidth="8.6640625" defaultRowHeight="16.2" x14ac:dyDescent="0.35"/>
  <cols>
    <col min="1" max="1" width="8.6640625" style="156"/>
    <col min="2" max="2" width="30.6640625" style="156" customWidth="1"/>
    <col min="3" max="3" width="31.6640625" style="186" customWidth="1"/>
    <col min="4" max="4" width="20.44140625" style="186" customWidth="1"/>
    <col min="5" max="5" width="18.44140625" style="186" customWidth="1"/>
    <col min="6" max="6" width="11.88671875" style="157" bestFit="1" customWidth="1"/>
    <col min="7" max="7" width="12.88671875" style="156" bestFit="1" customWidth="1"/>
    <col min="8" max="8" width="12.5546875" style="156" bestFit="1" customWidth="1"/>
    <col min="9" max="16384" width="8.6640625" style="156"/>
  </cols>
  <sheetData>
    <row r="1" spans="1:5" s="157" customFormat="1" hidden="1" x14ac:dyDescent="0.35">
      <c r="A1" s="156"/>
      <c r="B1" s="156"/>
      <c r="C1" s="186"/>
      <c r="D1" s="186"/>
      <c r="E1" s="186"/>
    </row>
    <row r="2" spans="1:5" s="157" customFormat="1" hidden="1" x14ac:dyDescent="0.35">
      <c r="A2" s="156"/>
      <c r="B2" s="156"/>
      <c r="C2" s="186"/>
      <c r="D2" s="186"/>
      <c r="E2" s="186"/>
    </row>
    <row r="3" spans="1:5" s="157" customFormat="1" hidden="1" x14ac:dyDescent="0.35">
      <c r="A3" s="156"/>
      <c r="B3" s="156"/>
      <c r="C3" s="187">
        <v>45866</v>
      </c>
      <c r="D3" s="188"/>
      <c r="E3" s="202" t="e">
        <f>SUM(#REF!)</f>
        <v>#REF!</v>
      </c>
    </row>
    <row r="4" spans="1:5" s="157" customFormat="1" ht="15.6" hidden="1" customHeight="1" thickBot="1" x14ac:dyDescent="0.4">
      <c r="A4" s="156"/>
      <c r="B4" s="156"/>
      <c r="C4" s="189">
        <v>45867</v>
      </c>
      <c r="D4" s="190"/>
      <c r="E4" s="203"/>
    </row>
    <row r="5" spans="1:5" s="157" customFormat="1" hidden="1" x14ac:dyDescent="0.35">
      <c r="A5" s="156"/>
      <c r="B5" s="156"/>
      <c r="C5" s="191" t="s">
        <v>235</v>
      </c>
      <c r="D5" s="192"/>
      <c r="E5" s="186"/>
    </row>
    <row r="6" spans="1:5" s="157" customFormat="1" hidden="1" x14ac:dyDescent="0.35">
      <c r="A6" s="156"/>
      <c r="B6" s="156"/>
      <c r="C6" s="191" t="s">
        <v>236</v>
      </c>
      <c r="D6" s="192"/>
      <c r="E6" s="186"/>
    </row>
    <row r="7" spans="1:5" s="157" customFormat="1" ht="16.8" hidden="1" thickBot="1" x14ac:dyDescent="0.4">
      <c r="A7" s="156"/>
      <c r="B7" s="156"/>
      <c r="C7" s="193" t="s">
        <v>43</v>
      </c>
      <c r="D7" s="194"/>
      <c r="E7" s="186"/>
    </row>
    <row r="9" spans="1:5" s="157" customFormat="1" ht="24" customHeight="1" x14ac:dyDescent="0.35">
      <c r="A9" s="156"/>
      <c r="B9" s="156"/>
      <c r="C9" s="186"/>
      <c r="D9" s="186"/>
      <c r="E9" s="186"/>
    </row>
    <row r="10" spans="1:5" ht="16.8" thickBot="1" x14ac:dyDescent="0.4"/>
    <row r="11" spans="1:5" s="157" customFormat="1" ht="15" customHeight="1" x14ac:dyDescent="0.35">
      <c r="A11" s="156"/>
      <c r="B11" s="158" t="s">
        <v>120</v>
      </c>
      <c r="C11" s="159" t="s">
        <v>214</v>
      </c>
      <c r="D11" s="195"/>
      <c r="E11" s="186"/>
    </row>
    <row r="12" spans="1:5" s="157" customFormat="1" ht="15" customHeight="1" x14ac:dyDescent="0.35">
      <c r="A12" s="156"/>
      <c r="B12" s="160" t="s">
        <v>121</v>
      </c>
      <c r="C12" s="161" t="s">
        <v>119</v>
      </c>
      <c r="D12" s="195"/>
      <c r="E12" s="186"/>
    </row>
    <row r="13" spans="1:5" s="157" customFormat="1" ht="15" customHeight="1" x14ac:dyDescent="0.35">
      <c r="A13" s="156"/>
      <c r="B13" s="160" t="s">
        <v>122</v>
      </c>
      <c r="C13" s="161" t="s">
        <v>171</v>
      </c>
      <c r="D13" s="195"/>
      <c r="E13" s="186"/>
    </row>
    <row r="14" spans="1:5" s="157" customFormat="1" ht="15" customHeight="1" x14ac:dyDescent="0.35">
      <c r="A14" s="156"/>
      <c r="B14" s="160" t="s">
        <v>123</v>
      </c>
      <c r="C14" s="161" t="s">
        <v>215</v>
      </c>
      <c r="D14" s="195"/>
      <c r="E14" s="186"/>
    </row>
    <row r="15" spans="1:5" s="157" customFormat="1" ht="15" customHeight="1" x14ac:dyDescent="0.35">
      <c r="A15" s="156"/>
      <c r="B15" s="160" t="s">
        <v>124</v>
      </c>
      <c r="C15" s="161" t="s">
        <v>216</v>
      </c>
      <c r="D15" s="195"/>
      <c r="E15" s="186"/>
    </row>
    <row r="16" spans="1:5" ht="15" customHeight="1" x14ac:dyDescent="0.35">
      <c r="B16" s="160" t="s">
        <v>125</v>
      </c>
      <c r="C16" s="161" t="s">
        <v>172</v>
      </c>
      <c r="D16" s="195"/>
    </row>
    <row r="17" spans="2:6" ht="15" customHeight="1" x14ac:dyDescent="0.35">
      <c r="B17" s="160" t="s">
        <v>126</v>
      </c>
      <c r="C17" s="161" t="s">
        <v>172</v>
      </c>
      <c r="D17" s="195"/>
    </row>
    <row r="18" spans="2:6" ht="15" customHeight="1" thickBot="1" x14ac:dyDescent="0.4">
      <c r="B18" s="162" t="s">
        <v>127</v>
      </c>
      <c r="C18" s="163" t="s">
        <v>214</v>
      </c>
      <c r="D18" s="195"/>
    </row>
    <row r="20" spans="2:6" ht="15.6" customHeight="1" x14ac:dyDescent="0.35">
      <c r="B20" s="164"/>
      <c r="C20" s="196" t="s">
        <v>237</v>
      </c>
      <c r="D20" s="196" t="s">
        <v>238</v>
      </c>
      <c r="E20" s="196" t="s">
        <v>239</v>
      </c>
      <c r="F20" s="165"/>
    </row>
    <row r="21" spans="2:6" x14ac:dyDescent="0.35">
      <c r="B21" s="166" t="s">
        <v>240</v>
      </c>
      <c r="C21" s="197">
        <f>PRINCIPAL!N28</f>
        <v>7432.7699763887167</v>
      </c>
      <c r="D21" s="197">
        <f>PRINCIPAL!X28</f>
        <v>6141.47</v>
      </c>
      <c r="E21" s="197">
        <f>C21-D21</f>
        <v>1291.2999763887165</v>
      </c>
      <c r="F21" s="167">
        <f>E21*100%/C21</f>
        <v>0.17373065229930701</v>
      </c>
    </row>
    <row r="22" spans="2:6" x14ac:dyDescent="0.35">
      <c r="B22" s="164" t="s">
        <v>43</v>
      </c>
      <c r="C22" s="196">
        <f>SUM(C21:C21)</f>
        <v>7432.7699763887167</v>
      </c>
      <c r="D22" s="196">
        <f>SUM(D21:D21)</f>
        <v>6141.47</v>
      </c>
      <c r="E22" s="196">
        <f>C22-D22</f>
        <v>1291.2999763887165</v>
      </c>
      <c r="F22" s="167">
        <f t="shared" ref="F22" si="0">E22*100%/C22</f>
        <v>0.17373065229930701</v>
      </c>
    </row>
    <row r="24" spans="2:6" ht="16.8" thickBot="1" x14ac:dyDescent="0.4"/>
    <row r="25" spans="2:6" ht="21.9" customHeight="1" thickBot="1" x14ac:dyDescent="0.4">
      <c r="B25" s="204" t="s">
        <v>241</v>
      </c>
      <c r="C25" s="205"/>
      <c r="D25" s="205"/>
      <c r="E25" s="205"/>
      <c r="F25" s="206"/>
    </row>
    <row r="26" spans="2:6" ht="29.4" customHeight="1" thickBot="1" x14ac:dyDescent="0.4">
      <c r="B26" s="168" t="s">
        <v>245</v>
      </c>
      <c r="C26" s="197">
        <v>4500</v>
      </c>
      <c r="D26" s="198">
        <f>D22</f>
        <v>6141.47</v>
      </c>
      <c r="E26" s="294">
        <f>C26-D26</f>
        <v>-1641.4700000000003</v>
      </c>
      <c r="F26" s="295">
        <f>E26*100%/C26</f>
        <v>-0.36477111111111116</v>
      </c>
    </row>
    <row r="27" spans="2:6" ht="29.4" customHeight="1" thickBot="1" x14ac:dyDescent="0.4">
      <c r="B27" s="168" t="s">
        <v>246</v>
      </c>
      <c r="C27" s="199">
        <v>2932.77</v>
      </c>
      <c r="D27" s="198">
        <f>C27*0.15</f>
        <v>439.91550000000001</v>
      </c>
      <c r="E27" s="198">
        <f>C27-D27</f>
        <v>2492.8544999999999</v>
      </c>
      <c r="F27" s="169">
        <f>E27*100%/C27</f>
        <v>0.85</v>
      </c>
    </row>
    <row r="28" spans="2:6" ht="20.25" customHeight="1" thickBot="1" x14ac:dyDescent="0.4">
      <c r="B28" s="170"/>
      <c r="C28" s="200">
        <f>SUM(C26:C27)</f>
        <v>7432.77</v>
      </c>
      <c r="D28" s="201">
        <f>SUM(D26:D27)</f>
        <v>6581.3855000000003</v>
      </c>
      <c r="E28" s="201">
        <f>C28-D28</f>
        <v>851.38450000000012</v>
      </c>
      <c r="F28" s="169">
        <f>E28*100%/C28</f>
        <v>0.11454471213289259</v>
      </c>
    </row>
  </sheetData>
  <mergeCells count="2">
    <mergeCell ref="E3:E4"/>
    <mergeCell ref="B25:F25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O29"/>
  <sheetViews>
    <sheetView showGridLines="0" topLeftCell="B1" zoomScale="50" zoomScaleNormal="50" workbookViewId="0">
      <pane ySplit="1" topLeftCell="A2" activePane="bottomLeft" state="frozen"/>
      <selection pane="bottomLeft" activeCell="G11" sqref="F4:G11"/>
    </sheetView>
  </sheetViews>
  <sheetFormatPr defaultColWidth="8.88671875" defaultRowHeight="23.4" x14ac:dyDescent="0.45"/>
  <cols>
    <col min="1" max="1" width="5.88671875" style="31" hidden="1" customWidth="1"/>
    <col min="2" max="2" width="9.88671875" style="31" customWidth="1"/>
    <col min="3" max="3" width="11" style="31" hidden="1" customWidth="1"/>
    <col min="4" max="4" width="10.5546875" style="31" hidden="1" customWidth="1"/>
    <col min="5" max="5" width="15.109375" style="31" hidden="1" customWidth="1"/>
    <col min="6" max="6" width="39.5546875" style="31" bestFit="1" customWidth="1"/>
    <col min="7" max="7" width="59.33203125" style="31" customWidth="1"/>
    <col min="8" max="8" width="7.5546875" style="34" hidden="1" customWidth="1"/>
    <col min="9" max="9" width="9.88671875" style="34" hidden="1" customWidth="1"/>
    <col min="10" max="10" width="16.44140625" style="31" hidden="1" customWidth="1"/>
    <col min="11" max="11" width="25.88671875" style="31" customWidth="1"/>
    <col min="12" max="12" width="22.5546875" style="31" customWidth="1"/>
    <col min="13" max="13" width="23.6640625" style="31" customWidth="1"/>
    <col min="14" max="14" width="24.33203125" style="31" bestFit="1" customWidth="1"/>
    <col min="15" max="15" width="19.109375" style="31" hidden="1" customWidth="1"/>
    <col min="16" max="16" width="1.88671875" style="31" hidden="1" customWidth="1"/>
    <col min="17" max="17" width="11.33203125" style="34" bestFit="1" customWidth="1"/>
    <col min="18" max="18" width="8.44140625" style="34" hidden="1" customWidth="1"/>
    <col min="19" max="19" width="17.88671875" style="31" hidden="1" customWidth="1"/>
    <col min="20" max="20" width="26.88671875" style="31" bestFit="1" customWidth="1"/>
    <col min="21" max="21" width="24.6640625" style="31" hidden="1" customWidth="1"/>
    <col min="22" max="22" width="9.6640625" style="31" hidden="1" customWidth="1"/>
    <col min="23" max="23" width="16.109375" style="31" hidden="1" customWidth="1"/>
    <col min="24" max="24" width="27.33203125" style="31" bestFit="1" customWidth="1"/>
    <col min="25" max="25" width="26.6640625" style="31" hidden="1" customWidth="1"/>
    <col min="26" max="26" width="14.6640625" style="31" hidden="1" customWidth="1"/>
    <col min="27" max="27" width="24.6640625" style="31" hidden="1" customWidth="1"/>
    <col min="28" max="28" width="29.88671875" style="31" customWidth="1"/>
    <col min="29" max="29" width="30.6640625" style="31" customWidth="1"/>
    <col min="30" max="30" width="23.33203125" style="176" customWidth="1"/>
    <col min="31" max="31" width="25.88671875" style="31" customWidth="1"/>
    <col min="32" max="32" width="20.44140625" style="31" customWidth="1"/>
    <col min="33" max="33" width="27" style="31" customWidth="1"/>
    <col min="34" max="34" width="23.88671875" style="31" customWidth="1"/>
    <col min="35" max="35" width="1.33203125" style="31" customWidth="1"/>
    <col min="36" max="36" width="14" style="31" bestFit="1" customWidth="1"/>
    <col min="37" max="37" width="11.6640625" style="31" bestFit="1" customWidth="1"/>
    <col min="38" max="38" width="6.33203125" style="31" bestFit="1" customWidth="1"/>
    <col min="39" max="39" width="12.6640625" style="31" bestFit="1" customWidth="1"/>
    <col min="40" max="40" width="13.109375" style="31" bestFit="1" customWidth="1"/>
    <col min="41" max="41" width="13.5546875" style="31" bestFit="1" customWidth="1"/>
    <col min="42" max="42" width="8.88671875" style="31"/>
    <col min="43" max="43" width="21.33203125" style="31" customWidth="1"/>
    <col min="44" max="16384" width="8.88671875" style="31"/>
  </cols>
  <sheetData>
    <row r="1" spans="1:41" ht="49.5" customHeight="1" x14ac:dyDescent="0.45">
      <c r="B1" s="32"/>
      <c r="C1" s="33"/>
      <c r="D1" s="33"/>
      <c r="F1" s="241" t="s">
        <v>106</v>
      </c>
      <c r="G1" s="241"/>
    </row>
    <row r="2" spans="1:41" ht="24.75" customHeight="1" x14ac:dyDescent="0.45">
      <c r="B2" s="35"/>
      <c r="D2" s="33"/>
      <c r="F2" s="242" t="s">
        <v>0</v>
      </c>
      <c r="G2" s="242"/>
    </row>
    <row r="3" spans="1:41" ht="24" thickBot="1" x14ac:dyDescent="0.5">
      <c r="B3" s="36"/>
      <c r="F3" s="37"/>
      <c r="G3" s="37"/>
    </row>
    <row r="4" spans="1:41" ht="29.1" customHeight="1" x14ac:dyDescent="0.45">
      <c r="F4" s="177" t="s">
        <v>120</v>
      </c>
      <c r="G4" s="178" t="s">
        <v>214</v>
      </c>
    </row>
    <row r="5" spans="1:41" ht="27.6" customHeight="1" x14ac:dyDescent="0.45">
      <c r="F5" s="179" t="s">
        <v>121</v>
      </c>
      <c r="G5" s="180" t="s">
        <v>119</v>
      </c>
    </row>
    <row r="6" spans="1:41" ht="24.9" customHeight="1" x14ac:dyDescent="0.45">
      <c r="D6" s="31" t="s">
        <v>104</v>
      </c>
      <c r="F6" s="179" t="s">
        <v>122</v>
      </c>
      <c r="G6" s="180" t="s">
        <v>171</v>
      </c>
    </row>
    <row r="7" spans="1:41" ht="25.5" customHeight="1" x14ac:dyDescent="0.45">
      <c r="F7" s="179" t="s">
        <v>123</v>
      </c>
      <c r="G7" s="180" t="s">
        <v>215</v>
      </c>
      <c r="J7" s="31" t="s">
        <v>105</v>
      </c>
    </row>
    <row r="8" spans="1:41" ht="26.1" customHeight="1" x14ac:dyDescent="0.45">
      <c r="F8" s="179" t="s">
        <v>124</v>
      </c>
      <c r="G8" s="180" t="s">
        <v>216</v>
      </c>
    </row>
    <row r="9" spans="1:41" ht="27.6" customHeight="1" x14ac:dyDescent="0.45">
      <c r="F9" s="179" t="s">
        <v>125</v>
      </c>
      <c r="G9" s="180" t="s">
        <v>172</v>
      </c>
      <c r="J9" s="31" t="s">
        <v>104</v>
      </c>
    </row>
    <row r="10" spans="1:41" ht="27" customHeight="1" x14ac:dyDescent="0.45">
      <c r="F10" s="179" t="s">
        <v>126</v>
      </c>
      <c r="G10" s="180" t="s">
        <v>172</v>
      </c>
    </row>
    <row r="11" spans="1:41" ht="31.5" customHeight="1" thickBot="1" x14ac:dyDescent="0.5">
      <c r="F11" s="181" t="s">
        <v>127</v>
      </c>
      <c r="G11" s="182" t="s">
        <v>214</v>
      </c>
    </row>
    <row r="12" spans="1:41" ht="70.8" hidden="1" thickBot="1" x14ac:dyDescent="0.5">
      <c r="B12" s="38"/>
      <c r="M12" s="39"/>
      <c r="Q12" s="243" t="s">
        <v>1</v>
      </c>
      <c r="R12" s="244"/>
      <c r="S12" s="244"/>
      <c r="T12" s="245"/>
      <c r="U12" s="230" t="s">
        <v>2</v>
      </c>
      <c r="V12" s="231"/>
      <c r="W12" s="231"/>
      <c r="X12" s="232"/>
      <c r="Y12" s="40" t="s">
        <v>56</v>
      </c>
      <c r="Z12" s="41">
        <f>(1/(1-M14))-1</f>
        <v>0.24269914253759173</v>
      </c>
      <c r="AF12" s="233" t="s">
        <v>3</v>
      </c>
      <c r="AG12" s="234"/>
      <c r="AH12" s="235"/>
      <c r="AJ12" s="236" t="s">
        <v>58</v>
      </c>
      <c r="AK12" s="237"/>
      <c r="AM12" s="42" t="s">
        <v>60</v>
      </c>
      <c r="AN12" s="228" t="s">
        <v>59</v>
      </c>
      <c r="AO12" s="229"/>
    </row>
    <row r="13" spans="1:41" ht="24" thickBot="1" x14ac:dyDescent="0.5">
      <c r="A13" s="43" t="s">
        <v>4</v>
      </c>
      <c r="B13" s="44" t="s">
        <v>5</v>
      </c>
      <c r="C13" s="43" t="s">
        <v>6</v>
      </c>
      <c r="D13" s="43" t="s">
        <v>7</v>
      </c>
      <c r="E13" s="43" t="s">
        <v>8</v>
      </c>
      <c r="M13" s="45">
        <v>0.81</v>
      </c>
    </row>
    <row r="14" spans="1:41" ht="35.1" customHeight="1" thickBot="1" x14ac:dyDescent="0.5">
      <c r="A14" s="46">
        <v>0</v>
      </c>
      <c r="B14" s="47"/>
      <c r="C14" s="48"/>
      <c r="D14" s="49"/>
      <c r="E14" s="49"/>
      <c r="F14" s="50" t="s">
        <v>83</v>
      </c>
      <c r="G14" s="51" t="s">
        <v>84</v>
      </c>
      <c r="H14" s="52" t="s">
        <v>85</v>
      </c>
      <c r="I14" s="52" t="s">
        <v>86</v>
      </c>
      <c r="J14" s="53" t="s">
        <v>87</v>
      </c>
      <c r="K14" s="54" t="s">
        <v>9</v>
      </c>
      <c r="L14" s="55">
        <v>0.08</v>
      </c>
      <c r="M14" s="56">
        <v>0.1953</v>
      </c>
      <c r="N14" s="57" t="s">
        <v>81</v>
      </c>
      <c r="Q14" s="58" t="s">
        <v>88</v>
      </c>
      <c r="R14" s="59" t="s">
        <v>89</v>
      </c>
      <c r="S14" s="60" t="s">
        <v>90</v>
      </c>
      <c r="T14" s="61" t="s">
        <v>91</v>
      </c>
      <c r="U14" s="62" t="s">
        <v>92</v>
      </c>
      <c r="V14" s="63" t="s">
        <v>93</v>
      </c>
      <c r="W14" s="64" t="s">
        <v>94</v>
      </c>
      <c r="X14" s="64" t="s">
        <v>95</v>
      </c>
      <c r="Y14" s="65" t="s">
        <v>96</v>
      </c>
      <c r="Z14" s="66" t="s">
        <v>97</v>
      </c>
      <c r="AA14" s="67" t="s">
        <v>82</v>
      </c>
      <c r="AB14" s="72" t="s">
        <v>102</v>
      </c>
      <c r="AC14" s="68" t="s">
        <v>103</v>
      </c>
      <c r="AD14" s="175"/>
      <c r="AE14" s="172"/>
      <c r="AF14" s="171" t="s">
        <v>98</v>
      </c>
      <c r="AG14" s="69" t="s">
        <v>99</v>
      </c>
      <c r="AH14" s="69" t="s">
        <v>33</v>
      </c>
      <c r="AJ14" s="70" t="s">
        <v>100</v>
      </c>
      <c r="AK14" s="71" t="s">
        <v>101</v>
      </c>
      <c r="AN14" s="72" t="s">
        <v>102</v>
      </c>
      <c r="AO14" s="68" t="s">
        <v>103</v>
      </c>
    </row>
    <row r="15" spans="1:41" ht="35.1" customHeight="1" thickBot="1" x14ac:dyDescent="0.5">
      <c r="A15" s="49">
        <v>1</v>
      </c>
      <c r="B15" s="73">
        <v>1</v>
      </c>
      <c r="C15" s="74" t="s">
        <v>107</v>
      </c>
      <c r="D15" s="49"/>
      <c r="E15" s="75"/>
      <c r="F15" s="211" t="s">
        <v>142</v>
      </c>
      <c r="G15" s="212"/>
      <c r="H15" s="212"/>
      <c r="I15" s="212"/>
      <c r="J15" s="212"/>
      <c r="K15" s="212"/>
      <c r="L15" s="212"/>
      <c r="M15" s="212"/>
      <c r="N15" s="212"/>
      <c r="Q15" s="212" t="str">
        <f>IF(F15&lt;&gt;"",F15,"")</f>
        <v xml:space="preserve">INTERNOS </v>
      </c>
      <c r="R15" s="212"/>
      <c r="S15" s="212"/>
      <c r="T15" s="212"/>
      <c r="U15" s="212"/>
      <c r="V15" s="212"/>
      <c r="W15" s="212"/>
      <c r="X15" s="212"/>
      <c r="Y15" s="212"/>
      <c r="AB15" s="238"/>
      <c r="AC15" s="212"/>
      <c r="AD15" s="174"/>
      <c r="AE15" s="173"/>
    </row>
    <row r="16" spans="1:41" ht="35.1" customHeight="1" x14ac:dyDescent="0.45">
      <c r="A16" s="49">
        <v>2</v>
      </c>
      <c r="B16" s="73" t="s">
        <v>109</v>
      </c>
      <c r="C16" s="74" t="s">
        <v>108</v>
      </c>
      <c r="D16" s="49"/>
      <c r="E16" s="49"/>
      <c r="F16" s="214" t="s">
        <v>142</v>
      </c>
      <c r="G16" s="215"/>
      <c r="H16" s="215"/>
      <c r="I16" s="215"/>
      <c r="J16" s="215"/>
      <c r="K16" s="216"/>
      <c r="L16" s="76" t="s">
        <v>110</v>
      </c>
      <c r="M16" s="77" t="s">
        <v>111</v>
      </c>
      <c r="N16" s="78" t="s">
        <v>81</v>
      </c>
      <c r="Q16" s="214" t="str">
        <f>IF(F16&lt;&gt;"",F16,"")</f>
        <v xml:space="preserve">INTERNOS </v>
      </c>
      <c r="R16" s="215"/>
      <c r="S16" s="215"/>
      <c r="T16" s="215"/>
      <c r="U16" s="215"/>
      <c r="V16" s="215"/>
      <c r="W16" s="215"/>
      <c r="X16" s="215"/>
      <c r="Y16" s="217"/>
      <c r="Z16" s="79" t="s">
        <v>112</v>
      </c>
      <c r="AA16" s="80" t="s">
        <v>82</v>
      </c>
      <c r="AB16" s="207"/>
      <c r="AC16" s="208"/>
      <c r="AD16" s="174"/>
      <c r="AE16" s="174"/>
    </row>
    <row r="17" spans="1:37" ht="99.9" customHeight="1" x14ac:dyDescent="0.45">
      <c r="A17" s="49">
        <v>4</v>
      </c>
      <c r="B17" s="73" t="s">
        <v>217</v>
      </c>
      <c r="C17" s="74" t="s">
        <v>113</v>
      </c>
      <c r="D17" s="49" t="s">
        <v>144</v>
      </c>
      <c r="E17" s="49" t="s">
        <v>143</v>
      </c>
      <c r="F17" s="81" t="s">
        <v>213</v>
      </c>
      <c r="G17" s="82" t="s">
        <v>213</v>
      </c>
      <c r="H17" s="83">
        <v>1</v>
      </c>
      <c r="I17" s="83">
        <v>1</v>
      </c>
      <c r="J17" s="84">
        <v>2000</v>
      </c>
      <c r="K17" s="84">
        <f>IF(F17&lt;&gt;"",H17*I17*J17,"")</f>
        <v>2000</v>
      </c>
      <c r="L17" s="84">
        <f>IF(K17&lt;&gt;"",IF(D17="INTERNO",0,K17*$L$14),"")</f>
        <v>0</v>
      </c>
      <c r="M17" s="84">
        <f>IF(K17&lt;&gt;"",IF(E17="FAT.OGGI",SUM(K17:L17)*(1/(1-$M$14)-1),L17*(1/(1-$M$14)-1)),"")</f>
        <v>485.39828507518348</v>
      </c>
      <c r="N17" s="85">
        <f>SUM(K17:M17)</f>
        <v>2485.3982850751836</v>
      </c>
      <c r="Q17" s="86">
        <f t="shared" ref="Q17:R17" si="0">IF(H17&lt;&gt;"",H17,"")</f>
        <v>1</v>
      </c>
      <c r="R17" s="87">
        <f t="shared" si="0"/>
        <v>1</v>
      </c>
      <c r="S17" s="88"/>
      <c r="T17" s="88">
        <v>650</v>
      </c>
      <c r="U17" s="89">
        <f>IF(Q17&lt;&gt;"",K17-T17,"")</f>
        <v>1350</v>
      </c>
      <c r="V17" s="90">
        <f>IF(Q17&lt;&gt;"",0%,"")</f>
        <v>0</v>
      </c>
      <c r="W17" s="91">
        <f>IF(Q17&lt;&gt;"",V17*U17,"")</f>
        <v>0</v>
      </c>
      <c r="X17" s="91">
        <f>IF(Q17&lt;&gt;"",W17+T17,"")</f>
        <v>650</v>
      </c>
      <c r="Y17" s="92">
        <f>IF(Q17&lt;&gt;"",X17+M17,"")</f>
        <v>1135.3982850751836</v>
      </c>
      <c r="Z17" s="93">
        <f>IF(Q17&lt;&gt;"",U17/K17,"")</f>
        <v>0.67500000000000004</v>
      </c>
      <c r="AA17" s="94">
        <f>T17/$T$18</f>
        <v>1</v>
      </c>
      <c r="AB17" s="183">
        <f>X17-AC17</f>
        <v>0</v>
      </c>
      <c r="AC17" s="184">
        <v>650</v>
      </c>
      <c r="AD17" s="176" t="s">
        <v>244</v>
      </c>
    </row>
    <row r="18" spans="1:37" ht="35.1" customHeight="1" thickBot="1" x14ac:dyDescent="0.5">
      <c r="A18" s="49">
        <v>6</v>
      </c>
      <c r="B18" s="73"/>
      <c r="C18" s="74" t="s">
        <v>114</v>
      </c>
      <c r="D18" s="49"/>
      <c r="E18" s="49"/>
      <c r="F18" s="239" t="s">
        <v>147</v>
      </c>
      <c r="G18" s="240"/>
      <c r="H18" s="240"/>
      <c r="I18" s="240"/>
      <c r="J18" s="240"/>
      <c r="K18" s="95">
        <f>SUM(K17:K17)</f>
        <v>2000</v>
      </c>
      <c r="L18" s="96">
        <f>SUM(L17:L17)</f>
        <v>0</v>
      </c>
      <c r="M18" s="96">
        <f>SUM(M17:M17)</f>
        <v>485.39828507518348</v>
      </c>
      <c r="N18" s="97">
        <f>SUM(N17:N17)</f>
        <v>2485.3982850751836</v>
      </c>
      <c r="Q18" s="239" t="s">
        <v>147</v>
      </c>
      <c r="R18" s="240"/>
      <c r="S18" s="240"/>
      <c r="T18" s="98">
        <f>SUM(T17:T17)</f>
        <v>650</v>
      </c>
      <c r="U18" s="99">
        <f>SUM(U17:U17)</f>
        <v>1350</v>
      </c>
      <c r="V18" s="100"/>
      <c r="W18" s="100"/>
      <c r="X18" s="101">
        <f>SUM(X17:X17)</f>
        <v>650</v>
      </c>
      <c r="Y18" s="102">
        <f>IF(Q18&lt;&gt;"",X18+M18,"")</f>
        <v>1135.3982850751836</v>
      </c>
      <c r="AB18" s="183"/>
      <c r="AC18" s="184"/>
    </row>
    <row r="19" spans="1:37" ht="35.1" customHeight="1" thickBot="1" x14ac:dyDescent="0.5">
      <c r="A19" s="49">
        <v>12</v>
      </c>
      <c r="B19" s="73">
        <v>3</v>
      </c>
      <c r="C19" s="74" t="s">
        <v>107</v>
      </c>
      <c r="D19" s="49"/>
      <c r="E19" s="49"/>
      <c r="F19" s="220" t="s">
        <v>154</v>
      </c>
      <c r="G19" s="213"/>
      <c r="H19" s="213"/>
      <c r="I19" s="213"/>
      <c r="J19" s="213"/>
      <c r="K19" s="213"/>
      <c r="L19" s="213"/>
      <c r="M19" s="213"/>
      <c r="N19" s="221"/>
      <c r="Q19" s="222" t="str">
        <f>IF(F19&lt;&gt;"",F19,"")</f>
        <v>A&amp;B</v>
      </c>
      <c r="R19" s="223"/>
      <c r="S19" s="223"/>
      <c r="T19" s="223"/>
      <c r="U19" s="223"/>
      <c r="V19" s="223"/>
      <c r="W19" s="223"/>
      <c r="X19" s="223"/>
      <c r="Y19" s="224"/>
      <c r="AB19" s="183"/>
      <c r="AC19" s="184"/>
    </row>
    <row r="20" spans="1:37" ht="35.1" customHeight="1" x14ac:dyDescent="0.45">
      <c r="A20" s="49">
        <v>13</v>
      </c>
      <c r="B20" s="73" t="s">
        <v>153</v>
      </c>
      <c r="C20" s="74" t="s">
        <v>108</v>
      </c>
      <c r="D20" s="49"/>
      <c r="E20" s="49"/>
      <c r="F20" s="214" t="s">
        <v>154</v>
      </c>
      <c r="G20" s="215"/>
      <c r="H20" s="215"/>
      <c r="I20" s="215"/>
      <c r="J20" s="215"/>
      <c r="K20" s="216"/>
      <c r="L20" s="76" t="s">
        <v>110</v>
      </c>
      <c r="M20" s="77" t="s">
        <v>111</v>
      </c>
      <c r="N20" s="78" t="s">
        <v>81</v>
      </c>
      <c r="Q20" s="225" t="str">
        <f>IF(F20&lt;&gt;"",F20,"")</f>
        <v>A&amp;B</v>
      </c>
      <c r="R20" s="226"/>
      <c r="S20" s="226"/>
      <c r="T20" s="226"/>
      <c r="U20" s="226"/>
      <c r="V20" s="226"/>
      <c r="W20" s="226"/>
      <c r="X20" s="226"/>
      <c r="Y20" s="227"/>
      <c r="Z20" s="79" t="s">
        <v>112</v>
      </c>
      <c r="AA20" s="103" t="s">
        <v>82</v>
      </c>
      <c r="AB20" s="183"/>
      <c r="AC20" s="184"/>
    </row>
    <row r="21" spans="1:37" ht="99.9" customHeight="1" x14ac:dyDescent="0.45">
      <c r="A21" s="49">
        <v>14</v>
      </c>
      <c r="B21" s="73" t="s">
        <v>155</v>
      </c>
      <c r="C21" s="74" t="s">
        <v>113</v>
      </c>
      <c r="D21" s="49" t="s">
        <v>115</v>
      </c>
      <c r="E21" s="49" t="s">
        <v>116</v>
      </c>
      <c r="F21" s="104" t="s">
        <v>156</v>
      </c>
      <c r="G21" s="82" t="s">
        <v>212</v>
      </c>
      <c r="H21" s="83">
        <v>1</v>
      </c>
      <c r="I21" s="83">
        <v>1</v>
      </c>
      <c r="J21" s="84">
        <v>1690.94</v>
      </c>
      <c r="K21" s="84">
        <f>IF(F21&lt;&gt;"",H21*I21*J21,"")</f>
        <v>1690.94</v>
      </c>
      <c r="L21" s="84">
        <f>IF(K21&lt;&gt;"",IF(D21="INTERNO",0,K21*$L$14),"")</f>
        <v>135.27520000000001</v>
      </c>
      <c r="M21" s="84">
        <f>IF(K21&lt;&gt;"",IF(E21="FAT.OGGI",SUM(K21:L21)*(1/(1-$M$14)-1),L21*(1/(1-$M$14)-1)),"")</f>
        <v>32.831175046601231</v>
      </c>
      <c r="N21" s="85">
        <f>SUM(K21:M21)</f>
        <v>1859.0463750466013</v>
      </c>
      <c r="Q21" s="105">
        <f>IF(H21&lt;&gt;"",H21,"")</f>
        <v>1</v>
      </c>
      <c r="R21" s="106">
        <f>IF(I21&lt;&gt;"",I21,"")</f>
        <v>1</v>
      </c>
      <c r="S21" s="107">
        <v>1690.94</v>
      </c>
      <c r="T21" s="107">
        <v>1725.32</v>
      </c>
      <c r="U21" s="108">
        <f>IF(Q21&lt;&gt;"",K21-T21,"")</f>
        <v>-34.379999999999882</v>
      </c>
      <c r="V21" s="109">
        <f>IF(Q21&lt;&gt;"",0%,"")</f>
        <v>0</v>
      </c>
      <c r="W21" s="110">
        <f>IF(Q21&lt;&gt;"",V21*U21,"")</f>
        <v>0</v>
      </c>
      <c r="X21" s="110">
        <f>IF(Q21&lt;&gt;"",W21+T21,"")</f>
        <v>1725.32</v>
      </c>
      <c r="Y21" s="92">
        <f>IF(Q21&lt;&gt;"",X21+M21,"")</f>
        <v>1758.1511750466011</v>
      </c>
      <c r="Z21" s="93">
        <f>IF(Q21&lt;&gt;"",U21/K21,"")</f>
        <v>-2.0331886406377446E-2</v>
      </c>
      <c r="AA21" s="94">
        <f>T21/$T$23</f>
        <v>0.41949091757863688</v>
      </c>
      <c r="AB21" s="183">
        <f t="shared" ref="AB21:AB26" si="1">X21-AC21</f>
        <v>0</v>
      </c>
      <c r="AC21" s="184">
        <f>1725.32</f>
        <v>1725.32</v>
      </c>
      <c r="AD21" s="176" t="s">
        <v>242</v>
      </c>
      <c r="AF21" s="111">
        <v>3062.96</v>
      </c>
      <c r="AG21" s="112">
        <f>T21-AF21</f>
        <v>-1337.64</v>
      </c>
      <c r="AH21" s="113">
        <v>46226</v>
      </c>
      <c r="AJ21" s="114" t="s">
        <v>229</v>
      </c>
      <c r="AK21" s="115" t="s">
        <v>230</v>
      </c>
    </row>
    <row r="22" spans="1:37" ht="99.9" customHeight="1" x14ac:dyDescent="0.45">
      <c r="A22" s="116">
        <v>15</v>
      </c>
      <c r="B22" s="73" t="s">
        <v>218</v>
      </c>
      <c r="C22" s="117" t="s">
        <v>113</v>
      </c>
      <c r="D22" s="49" t="s">
        <v>115</v>
      </c>
      <c r="E22" s="49" t="s">
        <v>116</v>
      </c>
      <c r="F22" s="118" t="s">
        <v>221</v>
      </c>
      <c r="G22" s="118" t="s">
        <v>222</v>
      </c>
      <c r="H22" s="119">
        <v>1</v>
      </c>
      <c r="I22" s="119">
        <v>1</v>
      </c>
      <c r="J22" s="120">
        <v>2340</v>
      </c>
      <c r="K22" s="120">
        <f>IF(F22&lt;&gt;"",H22*I22*J22,"")</f>
        <v>2340</v>
      </c>
      <c r="L22" s="120">
        <f>IF(K22&lt;&gt;"",IF(D22="INTERNO",0,K22*$L$14),"")</f>
        <v>187.20000000000002</v>
      </c>
      <c r="M22" s="120">
        <f>IF(K22&lt;&gt;"",IF(E22="FAT.OGGI",SUM(K22:L22)*(1/(1-$M$14)-1),L22*(1/(1-$M$14)-1)),"")</f>
        <v>45.433279483037175</v>
      </c>
      <c r="N22" s="120">
        <f>SUM(K22:M22)</f>
        <v>2572.6332794830369</v>
      </c>
      <c r="Q22" s="121">
        <f>IF(H22&lt;&gt;"",H22,"")</f>
        <v>1</v>
      </c>
      <c r="R22" s="121">
        <f>IF(I22&lt;&gt;"",I22,"")</f>
        <v>1</v>
      </c>
      <c r="S22" s="122">
        <v>2340</v>
      </c>
      <c r="T22" s="122">
        <v>2387.5700000000002</v>
      </c>
      <c r="U22" s="123">
        <f>IF(Q22&lt;&gt;"",K22-T22,"")</f>
        <v>-47.570000000000164</v>
      </c>
      <c r="V22" s="124">
        <f>IF(Q22&lt;&gt;"",0%,"")</f>
        <v>0</v>
      </c>
      <c r="W22" s="125">
        <f>IF(Q22&lt;&gt;"",V22*U22,"")</f>
        <v>0</v>
      </c>
      <c r="X22" s="125">
        <f>IF(Q22&lt;&gt;"",W22+T22,"")</f>
        <v>2387.5700000000002</v>
      </c>
      <c r="Y22" s="126">
        <f>IF(Q22&lt;&gt;"",X22+M22,"")</f>
        <v>2433.0032794830372</v>
      </c>
      <c r="Z22" s="127">
        <f>IF(Q22&lt;&gt;"",U22/K22,"")</f>
        <v>-2.0329059829059901E-2</v>
      </c>
      <c r="AA22" s="128"/>
      <c r="AB22" s="183">
        <f t="shared" si="1"/>
        <v>0</v>
      </c>
      <c r="AC22" s="184">
        <v>2387.5700000000002</v>
      </c>
      <c r="AD22" s="176" t="s">
        <v>242</v>
      </c>
      <c r="AF22" s="111">
        <v>2340</v>
      </c>
      <c r="AG22" s="112">
        <f>T22-AF22</f>
        <v>47.570000000000164</v>
      </c>
      <c r="AH22" s="113">
        <v>46226</v>
      </c>
      <c r="AJ22" s="114" t="s">
        <v>233</v>
      </c>
      <c r="AK22" s="115" t="s">
        <v>234</v>
      </c>
    </row>
    <row r="23" spans="1:37" ht="35.1" customHeight="1" thickBot="1" x14ac:dyDescent="0.5">
      <c r="A23" s="129">
        <v>16</v>
      </c>
      <c r="B23" s="73"/>
      <c r="C23" s="130" t="s">
        <v>114</v>
      </c>
      <c r="D23" s="129"/>
      <c r="E23" s="129"/>
      <c r="F23" s="218" t="s">
        <v>160</v>
      </c>
      <c r="G23" s="219"/>
      <c r="H23" s="219"/>
      <c r="I23" s="219"/>
      <c r="J23" s="219"/>
      <c r="K23" s="95">
        <f>SUM(K21:K22)</f>
        <v>4030.94</v>
      </c>
      <c r="L23" s="96">
        <f>SUM(L21:L22)</f>
        <v>322.47520000000003</v>
      </c>
      <c r="M23" s="96">
        <f>SUM(M21:M22)</f>
        <v>78.264454529638414</v>
      </c>
      <c r="N23" s="97">
        <f>SUM(N21:N22)</f>
        <v>4431.6796545296384</v>
      </c>
      <c r="Q23" s="218" t="s">
        <v>160</v>
      </c>
      <c r="R23" s="219"/>
      <c r="S23" s="219"/>
      <c r="T23" s="98">
        <f>SUM(T21:T22)</f>
        <v>4112.8900000000003</v>
      </c>
      <c r="U23" s="99">
        <f>SUM(U21:U22)</f>
        <v>-81.950000000000045</v>
      </c>
      <c r="V23" s="100"/>
      <c r="W23" s="100"/>
      <c r="X23" s="101">
        <f>SUM(X21:X22)</f>
        <v>4112.8900000000003</v>
      </c>
      <c r="Y23" s="131">
        <f>IF(Q23&lt;&gt;"",X23+M23,"")</f>
        <v>4191.1544545296383</v>
      </c>
      <c r="AB23" s="183"/>
      <c r="AC23" s="184"/>
    </row>
    <row r="24" spans="1:37" ht="35.1" customHeight="1" thickBot="1" x14ac:dyDescent="0.5">
      <c r="A24" s="49">
        <v>21</v>
      </c>
      <c r="B24" s="73">
        <v>4</v>
      </c>
      <c r="C24" s="74" t="s">
        <v>107</v>
      </c>
      <c r="D24" s="49"/>
      <c r="E24" s="75"/>
      <c r="F24" s="211" t="s">
        <v>164</v>
      </c>
      <c r="G24" s="212"/>
      <c r="H24" s="212"/>
      <c r="I24" s="212"/>
      <c r="J24" s="212"/>
      <c r="K24" s="212"/>
      <c r="L24" s="212"/>
      <c r="M24" s="212"/>
      <c r="N24" s="212"/>
      <c r="Q24" s="213" t="str">
        <f>IF(F24&lt;&gt;"",F24,"")</f>
        <v>CUSTOS COMPLEMENTARES</v>
      </c>
      <c r="R24" s="213"/>
      <c r="S24" s="213"/>
      <c r="T24" s="213"/>
      <c r="U24" s="213"/>
      <c r="V24" s="213"/>
      <c r="W24" s="213"/>
      <c r="X24" s="213"/>
      <c r="Y24" s="213"/>
      <c r="AB24" s="183"/>
      <c r="AC24" s="184"/>
    </row>
    <row r="25" spans="1:37" ht="35.1" customHeight="1" x14ac:dyDescent="0.45">
      <c r="A25" s="49">
        <v>22</v>
      </c>
      <c r="B25" s="73" t="s">
        <v>219</v>
      </c>
      <c r="C25" s="74" t="s">
        <v>108</v>
      </c>
      <c r="D25" s="49"/>
      <c r="E25" s="49"/>
      <c r="F25" s="214" t="s">
        <v>164</v>
      </c>
      <c r="G25" s="215"/>
      <c r="H25" s="215"/>
      <c r="I25" s="215"/>
      <c r="J25" s="215"/>
      <c r="K25" s="216"/>
      <c r="L25" s="76" t="s">
        <v>110</v>
      </c>
      <c r="M25" s="77" t="s">
        <v>111</v>
      </c>
      <c r="N25" s="78" t="s">
        <v>81</v>
      </c>
      <c r="Q25" s="214" t="str">
        <f>IF(F25&lt;&gt;"",F25,"")</f>
        <v>CUSTOS COMPLEMENTARES</v>
      </c>
      <c r="R25" s="215"/>
      <c r="S25" s="215"/>
      <c r="T25" s="215"/>
      <c r="U25" s="215"/>
      <c r="V25" s="215"/>
      <c r="W25" s="215"/>
      <c r="X25" s="215"/>
      <c r="Y25" s="217"/>
      <c r="Z25" s="79" t="s">
        <v>112</v>
      </c>
      <c r="AA25" s="103" t="s">
        <v>82</v>
      </c>
      <c r="AB25" s="183"/>
      <c r="AC25" s="184"/>
    </row>
    <row r="26" spans="1:37" ht="99.9" customHeight="1" thickBot="1" x14ac:dyDescent="0.5">
      <c r="A26" s="49">
        <v>24</v>
      </c>
      <c r="B26" s="73" t="s">
        <v>220</v>
      </c>
      <c r="C26" s="74" t="s">
        <v>113</v>
      </c>
      <c r="D26" s="49" t="s">
        <v>115</v>
      </c>
      <c r="E26" s="49" t="s">
        <v>116</v>
      </c>
      <c r="F26" s="132" t="s">
        <v>165</v>
      </c>
      <c r="G26" s="118" t="s">
        <v>223</v>
      </c>
      <c r="H26" s="119">
        <v>1</v>
      </c>
      <c r="I26" s="119">
        <v>1</v>
      </c>
      <c r="J26" s="120">
        <v>469.06</v>
      </c>
      <c r="K26" s="120">
        <f>IF(F26&lt;&gt;"",H26*I26*J26,"")</f>
        <v>469.06</v>
      </c>
      <c r="L26" s="120">
        <f>IF(K26&lt;&gt;"",IF(D26="INTERNO",0,K26*$L$14),"")</f>
        <v>37.524799999999999</v>
      </c>
      <c r="M26" s="84">
        <f>IF(K26&lt;&gt;"",IF(E27="FAT.OGGI",SUM(K26:L26)*(1/(1-$M$14)-1),L26*(1/(1-$M$14)-1)),"")</f>
        <v>9.1072367838946224</v>
      </c>
      <c r="N26" s="133">
        <f>SUM(K26:M26)</f>
        <v>515.69203678389465</v>
      </c>
      <c r="Q26" s="134">
        <f>IF(H26&lt;&gt;"",H26,"")</f>
        <v>1</v>
      </c>
      <c r="R26" s="121">
        <f>IF(I26&lt;&gt;"",I26,"")</f>
        <v>1</v>
      </c>
      <c r="S26" s="122">
        <v>1101.4000000000001</v>
      </c>
      <c r="T26" s="122">
        <v>1378.58</v>
      </c>
      <c r="U26" s="123">
        <f>IF(Q26&lt;&gt;"",K26-T26,"")</f>
        <v>-909.52</v>
      </c>
      <c r="V26" s="124">
        <f>IF(Q26&lt;&gt;"",0%,"")</f>
        <v>0</v>
      </c>
      <c r="W26" s="125">
        <f>IF(Q26&lt;&gt;"",V26*U26,"")</f>
        <v>0</v>
      </c>
      <c r="X26" s="125">
        <f>IF(Q26&lt;&gt;"",W26+T26,"")</f>
        <v>1378.58</v>
      </c>
      <c r="Y26" s="135">
        <f>IF(Q26&lt;&gt;"",X26+M26,"")</f>
        <v>1387.6872367838946</v>
      </c>
      <c r="Z26" s="136">
        <f>IF(Q26&lt;&gt;"",U26/K26,"")</f>
        <v>-1.9390269901505137</v>
      </c>
      <c r="AA26" s="137">
        <f>T26/$T$27</f>
        <v>1</v>
      </c>
      <c r="AB26" s="183">
        <f t="shared" si="1"/>
        <v>0</v>
      </c>
      <c r="AC26" s="184">
        <f>68.93+198.2+195.49+915.96</f>
        <v>1378.58</v>
      </c>
      <c r="AD26" s="176" t="s">
        <v>243</v>
      </c>
      <c r="AF26" s="111">
        <v>524</v>
      </c>
      <c r="AG26" s="112">
        <f>T26-AF26</f>
        <v>854.57999999999993</v>
      </c>
      <c r="AH26" s="113">
        <v>46188</v>
      </c>
      <c r="AJ26" s="114" t="s">
        <v>203</v>
      </c>
      <c r="AK26" s="115" t="s">
        <v>204</v>
      </c>
    </row>
    <row r="27" spans="1:37" ht="35.1" customHeight="1" thickBot="1" x14ac:dyDescent="0.5">
      <c r="A27" s="49">
        <v>25</v>
      </c>
      <c r="B27" s="73"/>
      <c r="C27" s="74" t="s">
        <v>114</v>
      </c>
      <c r="D27" s="49"/>
      <c r="E27" s="49"/>
      <c r="F27" s="209" t="s">
        <v>167</v>
      </c>
      <c r="G27" s="210"/>
      <c r="H27" s="210"/>
      <c r="I27" s="210"/>
      <c r="J27" s="210"/>
      <c r="K27" s="96">
        <f>SUM(K26:K26)</f>
        <v>469.06</v>
      </c>
      <c r="L27" s="96">
        <f>SUM(L26:L26)</f>
        <v>37.524799999999999</v>
      </c>
      <c r="M27" s="96">
        <f>SUM(M26:M26)</f>
        <v>9.1072367838946224</v>
      </c>
      <c r="N27" s="138">
        <f>SUM(N26:N26)</f>
        <v>515.69203678389465</v>
      </c>
      <c r="Q27" s="209" t="s">
        <v>167</v>
      </c>
      <c r="R27" s="210"/>
      <c r="S27" s="210"/>
      <c r="T27" s="139">
        <f>SUM(T26:T26)</f>
        <v>1378.58</v>
      </c>
      <c r="U27" s="140">
        <f>SUM(U26:U26)</f>
        <v>-909.52</v>
      </c>
      <c r="V27" s="141"/>
      <c r="W27" s="141"/>
      <c r="X27" s="142">
        <f>SUM(X26:X26)</f>
        <v>1378.58</v>
      </c>
      <c r="Y27" s="143">
        <f>IF(Q27&lt;&gt;"",X27+M27,"")</f>
        <v>1387.6872367838946</v>
      </c>
      <c r="Z27" s="144" t="s">
        <v>169</v>
      </c>
      <c r="AA27" s="145" t="s">
        <v>170</v>
      </c>
      <c r="AB27" s="183"/>
      <c r="AC27" s="184"/>
    </row>
    <row r="28" spans="1:37" ht="35.1" customHeight="1" thickBot="1" x14ac:dyDescent="0.5">
      <c r="A28" s="116">
        <v>26</v>
      </c>
      <c r="B28" s="146"/>
      <c r="C28" s="117" t="s">
        <v>117</v>
      </c>
      <c r="D28" s="116"/>
      <c r="E28" s="116"/>
      <c r="F28" s="147" t="s">
        <v>168</v>
      </c>
      <c r="G28" s="148"/>
      <c r="H28" s="149"/>
      <c r="I28" s="149"/>
      <c r="J28" s="148"/>
      <c r="K28" s="150">
        <f>SUM(K17:K17)+SUM(K21:K22)+SUM(K26:K26)</f>
        <v>6500.0000000000009</v>
      </c>
      <c r="L28" s="150">
        <f>SUM(L17:L17)+SUM(L21:L22)+SUM(L26:L26)</f>
        <v>360</v>
      </c>
      <c r="M28" s="150">
        <f>SUM(M17:M17)+SUM(M21:M22)+SUM(M26:M26)</f>
        <v>572.7699763887166</v>
      </c>
      <c r="N28" s="151">
        <f>SUM(N17:N17)+SUM(N21:N22)+SUM(N26:N26)</f>
        <v>7432.7699763887167</v>
      </c>
      <c r="Q28" s="152" t="s">
        <v>43</v>
      </c>
      <c r="R28" s="149"/>
      <c r="S28" s="148"/>
      <c r="T28" s="150">
        <f>SUM(T17:T17)+SUM(T21:T22)+SUM(T26:T26)</f>
        <v>6141.47</v>
      </c>
      <c r="U28" s="150">
        <f>SUM(U17:U17)+SUM(U21:U22)+SUM(U26:U26)</f>
        <v>358.53</v>
      </c>
      <c r="V28" s="148"/>
      <c r="W28" s="148"/>
      <c r="X28" s="150">
        <f>SUM(X17:X17)+SUM(X21:X22)+SUM(X26:X26)</f>
        <v>6141.47</v>
      </c>
      <c r="Y28" s="151">
        <f>SUM(Y17:Y17)+SUM(Y21:Y22)+SUM(Y26:Y26)</f>
        <v>6714.239976388717</v>
      </c>
      <c r="Z28" s="153">
        <f>IF(Q28&lt;&gt;"",(N28-Y28)/N28,"")</f>
        <v>9.6670555160796798E-2</v>
      </c>
      <c r="AA28" s="154">
        <f>IF(Z28&lt;&gt;"",(N28-Y28),"")</f>
        <v>718.52999999999975</v>
      </c>
      <c r="AB28" s="183">
        <f>SUM(AB17:AB27)</f>
        <v>0</v>
      </c>
      <c r="AC28" s="185">
        <f>SUM(AC17:AC27)</f>
        <v>6141.4699999999993</v>
      </c>
    </row>
    <row r="29" spans="1:37" x14ac:dyDescent="0.45">
      <c r="N29" s="155"/>
    </row>
  </sheetData>
  <autoFilter ref="A1:AO14" xr:uid="{107B9E09-8154-459A-AE62-6A4242823A27}">
    <filterColumn colId="5" showButton="0"/>
  </autoFilter>
  <mergeCells count="27">
    <mergeCell ref="Q16:Y16"/>
    <mergeCell ref="F1:G1"/>
    <mergeCell ref="F2:G2"/>
    <mergeCell ref="Q12:T12"/>
    <mergeCell ref="AN12:AO12"/>
    <mergeCell ref="U12:X12"/>
    <mergeCell ref="AF12:AH12"/>
    <mergeCell ref="AJ12:AK12"/>
    <mergeCell ref="F15:N15"/>
    <mergeCell ref="Q15:Y15"/>
    <mergeCell ref="AB15:AC15"/>
    <mergeCell ref="AB16:AC16"/>
    <mergeCell ref="F27:J27"/>
    <mergeCell ref="Q27:S27"/>
    <mergeCell ref="F24:N24"/>
    <mergeCell ref="Q24:Y24"/>
    <mergeCell ref="F25:K25"/>
    <mergeCell ref="Q25:Y25"/>
    <mergeCell ref="F23:J23"/>
    <mergeCell ref="Q23:S23"/>
    <mergeCell ref="F19:N19"/>
    <mergeCell ref="Q19:Y19"/>
    <mergeCell ref="F20:K20"/>
    <mergeCell ref="Q20:Y20"/>
    <mergeCell ref="F18:J18"/>
    <mergeCell ref="Q18:S18"/>
    <mergeCell ref="F16:K16"/>
  </mergeCells>
  <dataValidations disablePrompts="1" count="3">
    <dataValidation type="list" allowBlank="1" showInputMessage="1" showErrorMessage="1" sqref="D26 D28 D17 D21:D22" xr:uid="{3945270D-0615-4A00-9546-F09BDD9BCFF5}">
      <formula1>"INTERNO,OPERACIONAL"</formula1>
    </dataValidation>
    <dataValidation type="list" allowBlank="1" showInputMessage="1" showErrorMessage="1" sqref="E26 E17 E21:E22" xr:uid="{E7B2B5DE-16C4-4C55-9400-39E2F795D6EE}">
      <formula1>"FAT.OGGI,FAT.CLIENTE"</formula1>
    </dataValidation>
    <dataValidation type="list" allowBlank="1" showInputMessage="1" showErrorMessage="1" sqref="E28" xr:uid="{2C424478-5EFA-4550-8C67-E8F530535121}">
      <formula1>"FAT.OGGI,FAT.CLIENTE "</formula1>
    </dataValidation>
  </dataValidations>
  <pageMargins left="0.19685039370078741" right="0.11811023622047245" top="0.39370078740157483" bottom="0.39370078740157483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27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12</v>
      </c>
      <c r="B9" t="s">
        <v>118</v>
      </c>
      <c r="C9" t="s">
        <v>118</v>
      </c>
      <c r="D9" t="s">
        <v>129</v>
      </c>
      <c r="E9" t="s">
        <v>130</v>
      </c>
      <c r="F9" t="s">
        <v>131</v>
      </c>
      <c r="G9" t="s">
        <v>128</v>
      </c>
      <c r="H9" t="s">
        <v>136</v>
      </c>
      <c r="I9" t="s">
        <v>135</v>
      </c>
      <c r="J9" t="s">
        <v>132</v>
      </c>
      <c r="K9" t="s">
        <v>133</v>
      </c>
      <c r="L9" t="s">
        <v>134</v>
      </c>
    </row>
    <row r="10" spans="1:12" x14ac:dyDescent="0.3">
      <c r="A10">
        <v>12</v>
      </c>
      <c r="B10" t="s">
        <v>118</v>
      </c>
      <c r="C10" t="s">
        <v>118</v>
      </c>
      <c r="D10" t="s">
        <v>129</v>
      </c>
      <c r="E10" t="s">
        <v>130</v>
      </c>
      <c r="F10" t="s">
        <v>137</v>
      </c>
      <c r="G10" t="s">
        <v>128</v>
      </c>
      <c r="H10" t="s">
        <v>141</v>
      </c>
      <c r="I10" t="s">
        <v>140</v>
      </c>
      <c r="J10" t="s">
        <v>138</v>
      </c>
      <c r="K10" t="s">
        <v>139</v>
      </c>
      <c r="L10" t="s">
        <v>11</v>
      </c>
    </row>
    <row r="11" spans="1:12" x14ac:dyDescent="0.3">
      <c r="A11">
        <v>3</v>
      </c>
      <c r="B11" t="s">
        <v>142</v>
      </c>
      <c r="C11" t="s">
        <v>142</v>
      </c>
      <c r="D11" t="s">
        <v>145</v>
      </c>
      <c r="E11" t="s">
        <v>146</v>
      </c>
      <c r="F11" t="s">
        <v>173</v>
      </c>
      <c r="G11" t="s">
        <v>172</v>
      </c>
      <c r="H11" t="s">
        <v>11</v>
      </c>
      <c r="I11" t="s">
        <v>176</v>
      </c>
      <c r="J11" t="s">
        <v>174</v>
      </c>
      <c r="K11" t="s">
        <v>175</v>
      </c>
      <c r="L11" t="s">
        <v>11</v>
      </c>
    </row>
    <row r="12" spans="1:12" x14ac:dyDescent="0.3">
      <c r="A12">
        <v>19</v>
      </c>
      <c r="B12" t="s">
        <v>161</v>
      </c>
      <c r="C12" t="s">
        <v>161</v>
      </c>
      <c r="D12" t="s">
        <v>162</v>
      </c>
      <c r="E12" t="s">
        <v>163</v>
      </c>
      <c r="F12" t="s">
        <v>173</v>
      </c>
      <c r="G12" t="s">
        <v>172</v>
      </c>
      <c r="H12" t="s">
        <v>11</v>
      </c>
      <c r="I12" t="s">
        <v>180</v>
      </c>
      <c r="J12" t="s">
        <v>177</v>
      </c>
      <c r="K12" t="s">
        <v>178</v>
      </c>
      <c r="L12" t="s">
        <v>179</v>
      </c>
    </row>
    <row r="13" spans="1:12" x14ac:dyDescent="0.3">
      <c r="A13">
        <v>10</v>
      </c>
      <c r="B13" t="s">
        <v>148</v>
      </c>
      <c r="C13" t="s">
        <v>148</v>
      </c>
      <c r="D13" t="s">
        <v>151</v>
      </c>
      <c r="E13" t="s">
        <v>152</v>
      </c>
      <c r="F13" t="s">
        <v>173</v>
      </c>
      <c r="G13" t="s">
        <v>172</v>
      </c>
      <c r="H13" t="s">
        <v>11</v>
      </c>
      <c r="I13" t="s">
        <v>184</v>
      </c>
      <c r="J13" t="s">
        <v>181</v>
      </c>
      <c r="K13" t="s">
        <v>182</v>
      </c>
      <c r="L13" t="s">
        <v>183</v>
      </c>
    </row>
    <row r="14" spans="1:12" x14ac:dyDescent="0.3">
      <c r="A14">
        <v>9</v>
      </c>
      <c r="B14" t="s">
        <v>148</v>
      </c>
      <c r="C14" t="s">
        <v>148</v>
      </c>
      <c r="D14" t="s">
        <v>149</v>
      </c>
      <c r="E14" t="s">
        <v>150</v>
      </c>
      <c r="F14" t="s">
        <v>185</v>
      </c>
      <c r="G14" t="s">
        <v>172</v>
      </c>
      <c r="H14" t="s">
        <v>11</v>
      </c>
      <c r="I14" t="s">
        <v>188</v>
      </c>
      <c r="J14" t="s">
        <v>186</v>
      </c>
      <c r="K14" t="s">
        <v>187</v>
      </c>
      <c r="L14" t="s">
        <v>11</v>
      </c>
    </row>
    <row r="15" spans="1:12" x14ac:dyDescent="0.3">
      <c r="A15">
        <v>15</v>
      </c>
      <c r="B15" t="s">
        <v>154</v>
      </c>
      <c r="C15" t="s">
        <v>154</v>
      </c>
      <c r="D15" t="s">
        <v>158</v>
      </c>
      <c r="E15" t="s">
        <v>159</v>
      </c>
      <c r="F15" t="s">
        <v>185</v>
      </c>
      <c r="G15" t="s">
        <v>172</v>
      </c>
      <c r="H15" t="s">
        <v>11</v>
      </c>
      <c r="I15" t="s">
        <v>190</v>
      </c>
      <c r="J15" t="s">
        <v>186</v>
      </c>
      <c r="K15" t="s">
        <v>189</v>
      </c>
      <c r="L15" t="s">
        <v>11</v>
      </c>
    </row>
    <row r="16" spans="1:12" x14ac:dyDescent="0.3">
      <c r="A16">
        <v>24</v>
      </c>
      <c r="B16" t="s">
        <v>164</v>
      </c>
      <c r="C16" t="s">
        <v>164</v>
      </c>
      <c r="D16" t="s">
        <v>165</v>
      </c>
      <c r="E16" t="s">
        <v>166</v>
      </c>
      <c r="F16" t="s">
        <v>185</v>
      </c>
      <c r="G16" t="s">
        <v>172</v>
      </c>
      <c r="H16" t="s">
        <v>11</v>
      </c>
      <c r="I16" t="s">
        <v>194</v>
      </c>
      <c r="J16" t="s">
        <v>191</v>
      </c>
      <c r="K16" t="s">
        <v>192</v>
      </c>
      <c r="L16" t="s">
        <v>193</v>
      </c>
    </row>
    <row r="17" spans="1:12" x14ac:dyDescent="0.3">
      <c r="A17">
        <v>24</v>
      </c>
      <c r="B17" t="s">
        <v>164</v>
      </c>
      <c r="C17" t="s">
        <v>164</v>
      </c>
      <c r="D17" t="s">
        <v>165</v>
      </c>
      <c r="E17" t="s">
        <v>166</v>
      </c>
      <c r="F17" t="s">
        <v>185</v>
      </c>
      <c r="G17" t="s">
        <v>172</v>
      </c>
      <c r="H17" t="s">
        <v>11</v>
      </c>
      <c r="I17" t="s">
        <v>195</v>
      </c>
      <c r="J17" t="s">
        <v>191</v>
      </c>
      <c r="K17" t="s">
        <v>192</v>
      </c>
      <c r="L17" t="s">
        <v>193</v>
      </c>
    </row>
    <row r="18" spans="1:12" x14ac:dyDescent="0.3">
      <c r="A18">
        <v>14</v>
      </c>
      <c r="B18" t="s">
        <v>154</v>
      </c>
      <c r="C18" t="s">
        <v>154</v>
      </c>
      <c r="D18" t="s">
        <v>156</v>
      </c>
      <c r="E18" t="s">
        <v>157</v>
      </c>
      <c r="F18" t="s">
        <v>185</v>
      </c>
      <c r="G18" t="s">
        <v>172</v>
      </c>
      <c r="H18" t="s">
        <v>11</v>
      </c>
      <c r="I18" t="s">
        <v>199</v>
      </c>
      <c r="J18" t="s">
        <v>196</v>
      </c>
      <c r="K18" t="s">
        <v>197</v>
      </c>
      <c r="L18" t="s">
        <v>198</v>
      </c>
    </row>
    <row r="19" spans="1:12" x14ac:dyDescent="0.3">
      <c r="A19">
        <v>3</v>
      </c>
      <c r="B19" t="s">
        <v>142</v>
      </c>
      <c r="C19" t="s">
        <v>142</v>
      </c>
      <c r="D19" t="s">
        <v>145</v>
      </c>
      <c r="E19" t="s">
        <v>146</v>
      </c>
      <c r="F19" t="s">
        <v>200</v>
      </c>
      <c r="G19" t="s">
        <v>172</v>
      </c>
      <c r="H19" t="s">
        <v>11</v>
      </c>
      <c r="I19" t="s">
        <v>176</v>
      </c>
      <c r="J19" t="s">
        <v>174</v>
      </c>
      <c r="K19" t="s">
        <v>175</v>
      </c>
      <c r="L19" t="s">
        <v>11</v>
      </c>
    </row>
    <row r="20" spans="1:12" x14ac:dyDescent="0.3">
      <c r="A20">
        <v>19</v>
      </c>
      <c r="B20" t="s">
        <v>161</v>
      </c>
      <c r="C20" t="s">
        <v>161</v>
      </c>
      <c r="D20" t="s">
        <v>162</v>
      </c>
      <c r="E20" t="s">
        <v>163</v>
      </c>
      <c r="F20" t="s">
        <v>200</v>
      </c>
      <c r="G20" t="s">
        <v>172</v>
      </c>
      <c r="H20" t="s">
        <v>11</v>
      </c>
      <c r="I20" t="s">
        <v>180</v>
      </c>
      <c r="J20" t="s">
        <v>177</v>
      </c>
      <c r="K20" t="s">
        <v>178</v>
      </c>
      <c r="L20" t="s">
        <v>179</v>
      </c>
    </row>
    <row r="21" spans="1:12" x14ac:dyDescent="0.3">
      <c r="A21">
        <v>9</v>
      </c>
      <c r="B21" t="s">
        <v>148</v>
      </c>
      <c r="C21" t="s">
        <v>148</v>
      </c>
      <c r="D21" t="s">
        <v>149</v>
      </c>
      <c r="E21" t="s">
        <v>150</v>
      </c>
      <c r="F21" t="s">
        <v>200</v>
      </c>
      <c r="G21" t="s">
        <v>172</v>
      </c>
      <c r="H21" t="s">
        <v>11</v>
      </c>
      <c r="I21" t="s">
        <v>188</v>
      </c>
      <c r="J21" t="s">
        <v>186</v>
      </c>
      <c r="K21" t="s">
        <v>201</v>
      </c>
      <c r="L21" t="s">
        <v>11</v>
      </c>
    </row>
    <row r="22" spans="1:12" x14ac:dyDescent="0.3">
      <c r="A22">
        <v>24</v>
      </c>
      <c r="B22" t="s">
        <v>164</v>
      </c>
      <c r="C22" t="s">
        <v>164</v>
      </c>
      <c r="D22" t="s">
        <v>165</v>
      </c>
      <c r="E22" t="s">
        <v>166</v>
      </c>
      <c r="F22" t="s">
        <v>200</v>
      </c>
      <c r="G22" t="s">
        <v>172</v>
      </c>
      <c r="H22" t="s">
        <v>11</v>
      </c>
      <c r="I22" t="s">
        <v>202</v>
      </c>
      <c r="J22" t="s">
        <v>191</v>
      </c>
      <c r="K22" t="s">
        <v>192</v>
      </c>
      <c r="L22" t="s">
        <v>193</v>
      </c>
    </row>
    <row r="23" spans="1:12" x14ac:dyDescent="0.3">
      <c r="A23">
        <v>15</v>
      </c>
      <c r="B23" t="s">
        <v>154</v>
      </c>
      <c r="C23" t="s">
        <v>154</v>
      </c>
      <c r="D23" t="s">
        <v>158</v>
      </c>
      <c r="E23" t="s">
        <v>159</v>
      </c>
      <c r="F23" t="s">
        <v>200</v>
      </c>
      <c r="G23" t="s">
        <v>172</v>
      </c>
      <c r="H23" t="s">
        <v>11</v>
      </c>
      <c r="I23" t="s">
        <v>205</v>
      </c>
      <c r="J23" t="s">
        <v>186</v>
      </c>
      <c r="K23" t="s">
        <v>201</v>
      </c>
      <c r="L23" t="s">
        <v>11</v>
      </c>
    </row>
    <row r="24" spans="1:12" x14ac:dyDescent="0.3">
      <c r="A24">
        <v>10</v>
      </c>
      <c r="B24" t="s">
        <v>148</v>
      </c>
      <c r="C24" t="s">
        <v>148</v>
      </c>
      <c r="D24" t="s">
        <v>151</v>
      </c>
      <c r="E24" t="s">
        <v>152</v>
      </c>
      <c r="F24" t="s">
        <v>200</v>
      </c>
      <c r="G24" t="s">
        <v>172</v>
      </c>
      <c r="H24" t="s">
        <v>11</v>
      </c>
      <c r="I24" t="s">
        <v>184</v>
      </c>
      <c r="J24" t="s">
        <v>206</v>
      </c>
      <c r="K24" t="s">
        <v>207</v>
      </c>
      <c r="L24" t="s">
        <v>11</v>
      </c>
    </row>
    <row r="25" spans="1:12" x14ac:dyDescent="0.3">
      <c r="A25">
        <v>14</v>
      </c>
      <c r="B25" t="s">
        <v>154</v>
      </c>
      <c r="C25" t="s">
        <v>154</v>
      </c>
      <c r="D25" t="s">
        <v>156</v>
      </c>
      <c r="E25" t="s">
        <v>157</v>
      </c>
      <c r="F25" t="s">
        <v>208</v>
      </c>
      <c r="G25" t="s">
        <v>172</v>
      </c>
      <c r="H25" t="s">
        <v>11</v>
      </c>
      <c r="I25" t="s">
        <v>210</v>
      </c>
      <c r="J25" t="s">
        <v>196</v>
      </c>
      <c r="K25" t="s">
        <v>197</v>
      </c>
      <c r="L25" t="s">
        <v>198</v>
      </c>
    </row>
    <row r="26" spans="1:12" x14ac:dyDescent="0.3">
      <c r="A26">
        <v>14</v>
      </c>
      <c r="B26" t="s">
        <v>154</v>
      </c>
      <c r="C26" t="s">
        <v>154</v>
      </c>
      <c r="D26" t="s">
        <v>156</v>
      </c>
      <c r="E26" t="s">
        <v>212</v>
      </c>
      <c r="F26" t="s">
        <v>224</v>
      </c>
      <c r="G26" t="s">
        <v>172</v>
      </c>
      <c r="H26" t="s">
        <v>11</v>
      </c>
      <c r="I26" t="s">
        <v>228</v>
      </c>
      <c r="J26" t="s">
        <v>196</v>
      </c>
      <c r="K26" t="s">
        <v>197</v>
      </c>
      <c r="L26" t="s">
        <v>198</v>
      </c>
    </row>
    <row r="27" spans="1:12" x14ac:dyDescent="0.3">
      <c r="A27">
        <v>15</v>
      </c>
      <c r="B27" t="s">
        <v>154</v>
      </c>
      <c r="C27" t="s">
        <v>154</v>
      </c>
      <c r="D27" t="s">
        <v>221</v>
      </c>
      <c r="E27" t="s">
        <v>222</v>
      </c>
      <c r="F27" t="s">
        <v>224</v>
      </c>
      <c r="G27" t="s">
        <v>172</v>
      </c>
      <c r="H27" t="s">
        <v>11</v>
      </c>
      <c r="I27" t="s">
        <v>231</v>
      </c>
      <c r="J27" t="s">
        <v>196</v>
      </c>
      <c r="K27" t="s">
        <v>197</v>
      </c>
      <c r="L27" t="s">
        <v>198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47" t="s">
        <v>11</v>
      </c>
      <c r="B1" s="247"/>
      <c r="C1" s="247"/>
      <c r="D1" s="249" t="s">
        <v>61</v>
      </c>
      <c r="E1" s="249"/>
      <c r="F1" s="249"/>
      <c r="G1" s="249"/>
      <c r="H1" s="249"/>
      <c r="I1" s="249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48"/>
      <c r="B2" s="248"/>
      <c r="C2" s="248"/>
      <c r="D2" s="247" t="s">
        <v>62</v>
      </c>
      <c r="E2" s="247"/>
      <c r="F2" s="247"/>
      <c r="G2" s="247"/>
      <c r="H2" s="247"/>
      <c r="I2" s="247"/>
      <c r="J2" s="26"/>
      <c r="K2" s="26"/>
      <c r="L2" s="26"/>
      <c r="M2" s="26"/>
      <c r="N2" s="26"/>
      <c r="O2" s="250" t="s">
        <v>63</v>
      </c>
    </row>
    <row r="3" spans="1:15" x14ac:dyDescent="0.3">
      <c r="A3" s="248"/>
      <c r="B3" s="248"/>
      <c r="C3" s="248"/>
      <c r="D3" s="247" t="s">
        <v>64</v>
      </c>
      <c r="E3" s="247"/>
      <c r="F3" s="247"/>
      <c r="G3" s="247"/>
      <c r="H3" s="247"/>
      <c r="I3" s="247"/>
      <c r="J3" s="26"/>
      <c r="K3" s="26"/>
      <c r="L3" s="26"/>
      <c r="M3" s="26"/>
      <c r="N3" s="26"/>
      <c r="O3" s="251"/>
    </row>
    <row r="4" spans="1:15" x14ac:dyDescent="0.3">
      <c r="A4" s="248"/>
      <c r="B4" s="248"/>
      <c r="C4" s="248"/>
      <c r="D4" s="247" t="s">
        <v>65</v>
      </c>
      <c r="E4" s="247"/>
      <c r="F4" s="247"/>
      <c r="G4" s="247"/>
      <c r="H4" s="247"/>
      <c r="I4" s="247"/>
      <c r="J4" s="26"/>
      <c r="K4" s="26"/>
      <c r="L4" s="26"/>
      <c r="M4" s="26"/>
      <c r="N4" s="26"/>
      <c r="O4" s="251"/>
    </row>
    <row r="5" spans="1:15" x14ac:dyDescent="0.3">
      <c r="A5" s="248"/>
      <c r="B5" s="248"/>
      <c r="C5" s="248"/>
      <c r="D5" s="247" t="s">
        <v>66</v>
      </c>
      <c r="E5" s="247"/>
      <c r="F5" s="247"/>
      <c r="G5" s="247"/>
      <c r="H5" s="247"/>
      <c r="I5" s="247"/>
      <c r="J5" s="26"/>
      <c r="K5" s="26"/>
      <c r="L5" s="26"/>
      <c r="M5" s="26"/>
      <c r="N5" s="26"/>
      <c r="O5" s="251"/>
    </row>
    <row r="6" spans="1:15" x14ac:dyDescent="0.3">
      <c r="A6" s="248"/>
      <c r="B6" s="248"/>
      <c r="C6" s="248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51"/>
    </row>
    <row r="7" spans="1:15" x14ac:dyDescent="0.3">
      <c r="A7" s="248"/>
      <c r="B7" s="248"/>
      <c r="C7" s="248"/>
      <c r="D7" s="247" t="s">
        <v>67</v>
      </c>
      <c r="E7" s="247"/>
      <c r="F7" s="247"/>
      <c r="G7" s="247"/>
      <c r="H7" s="247"/>
      <c r="I7" s="247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46" t="s">
        <v>68</v>
      </c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85" t="s">
        <v>3</v>
      </c>
      <c r="C2" s="286"/>
      <c r="D2" s="286"/>
      <c r="E2" s="286"/>
      <c r="F2" s="286"/>
      <c r="G2" s="286"/>
      <c r="H2" s="286"/>
      <c r="I2" s="286"/>
      <c r="J2" s="286"/>
      <c r="K2" s="286"/>
      <c r="L2" s="287"/>
    </row>
    <row r="3" spans="2:12" ht="47.4" customHeight="1" thickBot="1" x14ac:dyDescent="0.35">
      <c r="B3" s="288" t="s">
        <v>12</v>
      </c>
      <c r="C3" s="289"/>
      <c r="D3" s="289"/>
      <c r="E3" s="289"/>
      <c r="F3" s="289"/>
      <c r="G3" s="289"/>
      <c r="H3" s="289"/>
      <c r="I3" s="289"/>
      <c r="J3" s="289"/>
      <c r="K3" s="289"/>
      <c r="L3" s="290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57" t="s">
        <v>13</v>
      </c>
      <c r="D6" s="257"/>
      <c r="E6" s="257"/>
      <c r="F6" s="257"/>
      <c r="G6" s="257"/>
      <c r="H6" s="257"/>
      <c r="I6" s="257"/>
      <c r="J6" s="257"/>
      <c r="K6" s="25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91" t="s">
        <v>224</v>
      </c>
      <c r="E8" s="292"/>
      <c r="F8" s="292"/>
      <c r="G8" s="292"/>
      <c r="H8" s="292"/>
      <c r="I8" s="292"/>
      <c r="J8" s="292"/>
      <c r="K8" s="293"/>
      <c r="L8" s="5"/>
    </row>
    <row r="9" spans="2:12" x14ac:dyDescent="0.3">
      <c r="B9" s="4"/>
      <c r="C9" s="7" t="s">
        <v>15</v>
      </c>
      <c r="D9" s="278" t="s">
        <v>16</v>
      </c>
      <c r="E9" s="279"/>
      <c r="F9" s="279"/>
      <c r="G9" s="279"/>
      <c r="H9" s="279"/>
      <c r="I9" s="279"/>
      <c r="J9" s="279"/>
      <c r="K9" s="280"/>
      <c r="L9" s="5"/>
    </row>
    <row r="10" spans="2:12" x14ac:dyDescent="0.3">
      <c r="B10" s="4"/>
      <c r="C10" s="7" t="s">
        <v>17</v>
      </c>
      <c r="D10" s="278" t="s">
        <v>119</v>
      </c>
      <c r="E10" s="279"/>
      <c r="F10" s="279"/>
      <c r="G10" s="279"/>
      <c r="H10" s="279"/>
      <c r="I10" s="279"/>
      <c r="J10" s="279"/>
      <c r="K10" s="280"/>
      <c r="L10" s="5"/>
    </row>
    <row r="11" spans="2:12" x14ac:dyDescent="0.3">
      <c r="B11" s="4"/>
      <c r="C11" s="7" t="s">
        <v>18</v>
      </c>
      <c r="D11" s="278" t="s">
        <v>225</v>
      </c>
      <c r="E11" s="279"/>
      <c r="F11" s="279"/>
      <c r="G11" s="279"/>
      <c r="H11" s="279"/>
      <c r="I11" s="279"/>
      <c r="J11" s="279"/>
      <c r="K11" s="280"/>
      <c r="L11" s="5"/>
    </row>
    <row r="12" spans="2:12" x14ac:dyDescent="0.3">
      <c r="B12" s="4"/>
      <c r="C12" s="10" t="s">
        <v>19</v>
      </c>
      <c r="D12" s="275" t="s">
        <v>226</v>
      </c>
      <c r="E12" s="276"/>
      <c r="F12" s="276"/>
      <c r="G12" s="276"/>
      <c r="H12" s="277"/>
      <c r="I12" s="11" t="s">
        <v>20</v>
      </c>
      <c r="J12" s="275" t="s">
        <v>218</v>
      </c>
      <c r="K12" s="277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57" t="s">
        <v>21</v>
      </c>
      <c r="D16" s="257"/>
      <c r="E16" s="257"/>
      <c r="F16" s="257"/>
      <c r="G16" s="257"/>
      <c r="H16" s="257"/>
      <c r="I16" s="257"/>
      <c r="J16" s="257"/>
      <c r="K16" s="25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81" t="s">
        <v>209</v>
      </c>
      <c r="E18" s="281"/>
      <c r="F18" s="281"/>
      <c r="G18" s="272"/>
      <c r="H18" s="281" t="s">
        <v>22</v>
      </c>
      <c r="I18" s="281"/>
      <c r="J18" s="281"/>
      <c r="K18" s="272"/>
      <c r="L18" s="5"/>
    </row>
    <row r="19" spans="2:12" x14ac:dyDescent="0.3">
      <c r="B19" s="4"/>
      <c r="C19" s="15" t="s">
        <v>23</v>
      </c>
      <c r="D19" s="282" t="s">
        <v>197</v>
      </c>
      <c r="E19" s="283"/>
      <c r="F19" s="283"/>
      <c r="G19" s="283"/>
      <c r="H19" s="283"/>
      <c r="I19" s="283"/>
      <c r="J19" s="283"/>
      <c r="K19" s="284"/>
      <c r="L19" s="5"/>
    </row>
    <row r="20" spans="2:12" x14ac:dyDescent="0.3">
      <c r="B20" s="4"/>
      <c r="C20" s="7" t="s">
        <v>24</v>
      </c>
      <c r="D20" s="278"/>
      <c r="E20" s="279"/>
      <c r="F20" s="279"/>
      <c r="G20" s="279"/>
      <c r="H20" s="279"/>
      <c r="I20" s="279"/>
      <c r="J20" s="279"/>
      <c r="K20" s="280"/>
      <c r="L20" s="5"/>
    </row>
    <row r="21" spans="2:12" x14ac:dyDescent="0.3">
      <c r="B21" s="4"/>
      <c r="C21" s="7" t="s">
        <v>25</v>
      </c>
      <c r="D21" s="278" t="s">
        <v>11</v>
      </c>
      <c r="E21" s="280"/>
      <c r="F21" s="7" t="s">
        <v>57</v>
      </c>
      <c r="G21" s="16" t="s">
        <v>11</v>
      </c>
      <c r="H21" s="7" t="s">
        <v>26</v>
      </c>
      <c r="I21" s="8" t="s">
        <v>11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78" t="s">
        <v>196</v>
      </c>
      <c r="E22" s="279"/>
      <c r="F22" s="279"/>
      <c r="G22" s="280"/>
      <c r="H22" s="7" t="s">
        <v>29</v>
      </c>
      <c r="I22" s="278"/>
      <c r="J22" s="279"/>
      <c r="K22" s="280"/>
      <c r="L22" s="5"/>
    </row>
    <row r="23" spans="2:12" x14ac:dyDescent="0.3">
      <c r="B23" s="4"/>
      <c r="C23" s="10" t="s">
        <v>30</v>
      </c>
      <c r="D23" s="275" t="s">
        <v>198</v>
      </c>
      <c r="E23" s="276"/>
      <c r="F23" s="276"/>
      <c r="G23" s="277"/>
      <c r="H23" s="10" t="s">
        <v>31</v>
      </c>
      <c r="I23" s="275" t="s">
        <v>11</v>
      </c>
      <c r="J23" s="276"/>
      <c r="K23" s="277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57" t="s">
        <v>21</v>
      </c>
      <c r="D27" s="257"/>
      <c r="E27" s="257"/>
      <c r="F27" s="257"/>
      <c r="G27" s="257"/>
      <c r="H27" s="257"/>
      <c r="I27" s="257"/>
      <c r="J27" s="257"/>
      <c r="K27" s="257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71" t="s">
        <v>33</v>
      </c>
      <c r="E29" s="272"/>
      <c r="F29" s="271" t="s">
        <v>34</v>
      </c>
      <c r="G29" s="272"/>
      <c r="H29" s="273" t="s">
        <v>35</v>
      </c>
      <c r="I29" s="273"/>
      <c r="J29" s="273"/>
      <c r="K29" s="274"/>
      <c r="L29" s="5"/>
    </row>
    <row r="30" spans="2:12" x14ac:dyDescent="0.3">
      <c r="B30" s="4"/>
      <c r="C30" s="17" t="s">
        <v>36</v>
      </c>
      <c r="D30" s="258" t="s">
        <v>227</v>
      </c>
      <c r="E30" s="259"/>
      <c r="F30" s="260" t="s">
        <v>231</v>
      </c>
      <c r="G30" s="261"/>
      <c r="H30" s="18" t="s">
        <v>211</v>
      </c>
      <c r="I30" s="271" t="s">
        <v>40</v>
      </c>
      <c r="J30" s="272"/>
      <c r="K30" s="6" t="s">
        <v>38</v>
      </c>
      <c r="L30" s="5"/>
    </row>
    <row r="31" spans="2:12" x14ac:dyDescent="0.3">
      <c r="B31" s="4"/>
      <c r="C31" s="17" t="s">
        <v>39</v>
      </c>
      <c r="D31" s="258" t="s">
        <v>11</v>
      </c>
      <c r="E31" s="259"/>
      <c r="F31" s="260" t="s">
        <v>11</v>
      </c>
      <c r="G31" s="261"/>
      <c r="H31" s="17" t="s">
        <v>37</v>
      </c>
      <c r="I31" s="262" t="s">
        <v>40</v>
      </c>
      <c r="J31" s="263"/>
      <c r="K31" s="7" t="s">
        <v>38</v>
      </c>
      <c r="L31" s="5"/>
    </row>
    <row r="32" spans="2:12" x14ac:dyDescent="0.3">
      <c r="B32" s="4"/>
      <c r="C32" s="17" t="s">
        <v>41</v>
      </c>
      <c r="D32" s="258" t="s">
        <v>11</v>
      </c>
      <c r="E32" s="259"/>
      <c r="F32" s="260" t="s">
        <v>11</v>
      </c>
      <c r="G32" s="261"/>
      <c r="H32" s="17" t="s">
        <v>37</v>
      </c>
      <c r="I32" s="262" t="s">
        <v>40</v>
      </c>
      <c r="J32" s="263"/>
      <c r="K32" s="7" t="s">
        <v>38</v>
      </c>
      <c r="L32" s="5"/>
    </row>
    <row r="33" spans="2:12" x14ac:dyDescent="0.3">
      <c r="B33" s="4"/>
      <c r="C33" s="19" t="s">
        <v>42</v>
      </c>
      <c r="D33" s="258" t="s">
        <v>11</v>
      </c>
      <c r="E33" s="259"/>
      <c r="F33" s="264" t="s">
        <v>11</v>
      </c>
      <c r="G33" s="265"/>
      <c r="H33" s="17" t="s">
        <v>37</v>
      </c>
      <c r="I33" s="262" t="s">
        <v>40</v>
      </c>
      <c r="J33" s="263"/>
      <c r="K33" s="7" t="s">
        <v>38</v>
      </c>
      <c r="L33" s="5"/>
    </row>
    <row r="34" spans="2:12" x14ac:dyDescent="0.3">
      <c r="B34" s="4"/>
      <c r="C34" s="266" t="s">
        <v>43</v>
      </c>
      <c r="D34" s="267"/>
      <c r="E34" s="268"/>
      <c r="F34" s="269" t="s">
        <v>231</v>
      </c>
      <c r="G34" s="270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57" t="s">
        <v>44</v>
      </c>
      <c r="D38" s="257"/>
      <c r="E38" s="257"/>
      <c r="F38" s="257"/>
      <c r="G38" s="257"/>
      <c r="H38" s="257"/>
      <c r="I38" s="257"/>
      <c r="J38" s="257"/>
      <c r="K38" s="257"/>
      <c r="L38" s="5"/>
    </row>
    <row r="39" spans="2:12" x14ac:dyDescent="0.3">
      <c r="B39" s="4"/>
      <c r="C39" s="255" t="s">
        <v>232</v>
      </c>
      <c r="D39" s="255"/>
      <c r="E39" s="255"/>
      <c r="F39" s="255"/>
      <c r="G39" s="255"/>
      <c r="H39" s="255"/>
      <c r="I39" s="255"/>
      <c r="J39" s="255"/>
      <c r="K39" s="255"/>
      <c r="L39" s="5"/>
    </row>
    <row r="40" spans="2:12" x14ac:dyDescent="0.3">
      <c r="B40" s="4"/>
      <c r="C40" s="255"/>
      <c r="D40" s="255"/>
      <c r="E40" s="255"/>
      <c r="F40" s="255"/>
      <c r="G40" s="255"/>
      <c r="H40" s="255"/>
      <c r="I40" s="255"/>
      <c r="J40" s="255"/>
      <c r="K40" s="255"/>
      <c r="L40" s="5"/>
    </row>
    <row r="41" spans="2:12" x14ac:dyDescent="0.3">
      <c r="B41" s="4"/>
      <c r="C41" s="255"/>
      <c r="D41" s="255"/>
      <c r="E41" s="255"/>
      <c r="F41" s="255"/>
      <c r="G41" s="255"/>
      <c r="H41" s="255"/>
      <c r="I41" s="255"/>
      <c r="J41" s="255"/>
      <c r="K41" s="255"/>
      <c r="L41" s="5"/>
    </row>
    <row r="42" spans="2:12" x14ac:dyDescent="0.3">
      <c r="B42" s="4"/>
      <c r="C42" s="255"/>
      <c r="D42" s="255"/>
      <c r="E42" s="255"/>
      <c r="F42" s="255"/>
      <c r="G42" s="255"/>
      <c r="H42" s="255"/>
      <c r="I42" s="255"/>
      <c r="J42" s="255"/>
      <c r="K42" s="255"/>
      <c r="L42" s="5"/>
    </row>
    <row r="43" spans="2:12" x14ac:dyDescent="0.3">
      <c r="B43" s="4"/>
      <c r="C43" s="255"/>
      <c r="D43" s="255"/>
      <c r="E43" s="255"/>
      <c r="F43" s="255"/>
      <c r="G43" s="255"/>
      <c r="H43" s="255"/>
      <c r="I43" s="255"/>
      <c r="J43" s="255"/>
      <c r="K43" s="255"/>
      <c r="L43" s="5"/>
    </row>
    <row r="44" spans="2:12" x14ac:dyDescent="0.3">
      <c r="B44" s="4"/>
      <c r="C44" s="255"/>
      <c r="D44" s="255"/>
      <c r="E44" s="255"/>
      <c r="F44" s="255"/>
      <c r="G44" s="255"/>
      <c r="H44" s="255"/>
      <c r="I44" s="255"/>
      <c r="J44" s="255"/>
      <c r="K44" s="255"/>
      <c r="L44" s="5"/>
    </row>
    <row r="45" spans="2:12" x14ac:dyDescent="0.3">
      <c r="B45" s="4"/>
      <c r="C45" s="256"/>
      <c r="D45" s="256"/>
      <c r="E45" s="256"/>
      <c r="F45" s="256"/>
      <c r="G45" s="256"/>
      <c r="H45" s="256"/>
      <c r="I45" s="256"/>
      <c r="J45" s="256"/>
      <c r="K45" s="256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52" t="s">
        <v>45</v>
      </c>
      <c r="C48" s="253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54" t="s">
        <v>46</v>
      </c>
      <c r="D51" s="254"/>
      <c r="E51" s="254"/>
      <c r="F51" s="254"/>
      <c r="H51" s="254" t="s">
        <v>47</v>
      </c>
      <c r="I51" s="254"/>
      <c r="J51" s="254"/>
      <c r="K51" s="254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4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2026-08-19T20:45:22Z</cp:lastPrinted>
  <dcterms:created xsi:type="dcterms:W3CDTF">2023-09-21T21:02:20Z</dcterms:created>
  <dcterms:modified xsi:type="dcterms:W3CDTF">2026-08-31T16:11:52Z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