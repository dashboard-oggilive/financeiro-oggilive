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D:\OGGI LIVE\Fechamentos\2026\JOBS\OGGI\01 janeiro\"/>
    </mc:Choice>
  </mc:AlternateContent>
  <xr:revisionPtr revIDLastSave="0" documentId="13_ncr:1_{7B034DFF-4373-472D-8939-941E8DD22EFA}" xr6:coauthVersionLast="47" xr6:coauthVersionMax="47" xr10:uidLastSave="{00000000-0000-0000-0000-000000000000}"/>
  <bookViews>
    <workbookView xWindow="28692" yWindow="-108" windowWidth="29016" windowHeight="15696" tabRatio="821" activeTab="1" xr2:uid="{83D4A4F0-59AC-45D6-BDA2-9A1B100CD857}"/>
  </bookViews>
  <sheets>
    <sheet name="PRINCIPAL" sheetId="95" r:id="rId1"/>
    <sheet name="RESUMO " sheetId="96" r:id="rId2"/>
    <sheet name="ItensOrc" sheetId="76" state="hidden" r:id="rId3"/>
    <sheet name="Template SP" sheetId="3" state="hidden" r:id="rId4"/>
  </sheets>
  <definedNames>
    <definedName name="_xlnm._FilterDatabase" localSheetId="0" hidden="1">PRINCIPAL!$A$14:$AH$14</definedName>
    <definedName name="itensorc_desconto" localSheetId="2">ItensOrc!$M:$M</definedName>
    <definedName name="itensorc_desconto">#REF!</definedName>
    <definedName name="itensorc_descricao" localSheetId="2">ItensOrc!$D:$D</definedName>
    <definedName name="itensorc_descricao">#REF!</definedName>
    <definedName name="itensorc_encargos" localSheetId="2">ItensOrc!$N:$N</definedName>
    <definedName name="itensorc_encargos">#REF!</definedName>
    <definedName name="itensorc_especifica" localSheetId="2">ItensOrc!$O:$O</definedName>
    <definedName name="itensorc_especifica">#REF!</definedName>
    <definedName name="itensorc_item" localSheetId="2">ItensOrc!$C:$C</definedName>
    <definedName name="itensorc_item">#REF!</definedName>
    <definedName name="itensorc_lancamento" localSheetId="2">ItensOrc!$B:$B</definedName>
    <definedName name="itensorc_lancamento">#REF!</definedName>
    <definedName name="itensorc_percentualhonorarios" localSheetId="2">ItensOrc!$L:$L</definedName>
    <definedName name="itensorc_percentualhonorarios">#REF!</definedName>
    <definedName name="itensorc_quantidade" localSheetId="2">ItensOrc!$E:$E</definedName>
    <definedName name="itensorc_quantidade">#REF!</definedName>
    <definedName name="itensorc_situacao" localSheetId="2">ItensOrc!$H:$H</definedName>
    <definedName name="itensorc_situacao">#REF!</definedName>
    <definedName name="itensorc_subtipo" localSheetId="2">ItensOrc!$K:$K</definedName>
    <definedName name="itensorc_subtipo">#REF!</definedName>
    <definedName name="itensorc_tiporeceita" localSheetId="2">ItensOrc!$A:$A</definedName>
    <definedName name="itensorc_tiporeceita">#REF!</definedName>
    <definedName name="itensorc_valor" localSheetId="2">ItensOrc!$G:$G</definedName>
    <definedName name="itensorc_valor">#REF!</definedName>
    <definedName name="itensorc_valorfornecedor" localSheetId="2">ItensOrc!$I:$I</definedName>
    <definedName name="itensorc_valorfornecedor">#REF!</definedName>
    <definedName name="itensorc_valorfornecedorunitario" localSheetId="2">ItensOrc!$J:$J</definedName>
    <definedName name="itensorc_valorfornecedorunitario">#REF!</definedName>
    <definedName name="itensorc_valorunitario" localSheetId="2">ItensOrc!$F:$F</definedName>
    <definedName name="itensorc_valorunitari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6" l="1"/>
  <c r="C17" i="96"/>
  <c r="E17" i="96" s="1"/>
  <c r="E3" i="96"/>
  <c r="D18" i="96" l="1"/>
  <c r="C18" i="96"/>
  <c r="F17" i="96"/>
  <c r="E18" i="96"/>
  <c r="F18" i="96" s="1"/>
  <c r="AF49" i="95" l="1"/>
  <c r="AF48" i="95"/>
  <c r="AF47" i="95"/>
  <c r="AF46" i="95"/>
  <c r="AF45" i="95"/>
  <c r="AE45" i="95"/>
  <c r="S43" i="95"/>
  <c r="AF26" i="95"/>
  <c r="AF23" i="95"/>
  <c r="AE23" i="95" s="1"/>
  <c r="S30" i="95"/>
  <c r="AE19" i="95"/>
  <c r="AE20" i="95"/>
  <c r="AE31" i="95"/>
  <c r="AE32" i="95"/>
  <c r="AE34" i="95"/>
  <c r="AE38" i="95"/>
  <c r="AE39" i="95"/>
  <c r="AE40" i="95"/>
  <c r="AE41" i="95"/>
  <c r="AE42" i="95"/>
  <c r="AE18" i="95"/>
  <c r="AE17" i="95"/>
  <c r="AD23" i="95"/>
  <c r="AF44" i="95" l="1"/>
  <c r="N44" i="95"/>
  <c r="M44" i="95"/>
  <c r="L44" i="95"/>
  <c r="K44" i="95"/>
  <c r="X20" i="95"/>
  <c r="U20" i="95"/>
  <c r="T20" i="95"/>
  <c r="N20" i="95"/>
  <c r="M20" i="95"/>
  <c r="L20" i="95"/>
  <c r="K20" i="95"/>
  <c r="X19" i="95"/>
  <c r="U19" i="95"/>
  <c r="T19" i="95"/>
  <c r="N19" i="95"/>
  <c r="M19" i="95"/>
  <c r="L19" i="95"/>
  <c r="K19" i="95"/>
  <c r="R43" i="95"/>
  <c r="Q43" i="95"/>
  <c r="K43" i="95"/>
  <c r="L43" i="95" s="1"/>
  <c r="R42" i="95"/>
  <c r="K42" i="95"/>
  <c r="L42" i="95" s="1"/>
  <c r="R41" i="95"/>
  <c r="T41" i="95"/>
  <c r="V41" i="95"/>
  <c r="K41" i="95"/>
  <c r="R40" i="95"/>
  <c r="Q40" i="95"/>
  <c r="V40" i="95"/>
  <c r="T40" i="95"/>
  <c r="K40" i="95"/>
  <c r="R39" i="95"/>
  <c r="K39" i="95"/>
  <c r="R38" i="95"/>
  <c r="Q38" i="95"/>
  <c r="K38" i="95"/>
  <c r="Q37" i="95"/>
  <c r="Q36" i="95"/>
  <c r="M43" i="95" l="1"/>
  <c r="N43" i="95" s="1"/>
  <c r="T43" i="95"/>
  <c r="V43" i="95"/>
  <c r="U40" i="95"/>
  <c r="W40" i="95" s="1"/>
  <c r="X40" i="95" s="1"/>
  <c r="U41" i="95"/>
  <c r="Z41" i="95" s="1"/>
  <c r="M42" i="95"/>
  <c r="N42" i="95" s="1"/>
  <c r="L41" i="95"/>
  <c r="L40" i="95"/>
  <c r="L39" i="95"/>
  <c r="M39" i="95" s="1"/>
  <c r="N39" i="95" s="1"/>
  <c r="L38" i="95"/>
  <c r="M38" i="95" s="1"/>
  <c r="N38" i="95" s="1"/>
  <c r="T42" i="95"/>
  <c r="U42" i="95" s="1"/>
  <c r="Z42" i="95" s="1"/>
  <c r="V42" i="95"/>
  <c r="V39" i="95"/>
  <c r="T39" i="95"/>
  <c r="U39" i="95" s="1"/>
  <c r="Z39" i="95" s="1"/>
  <c r="T38" i="95"/>
  <c r="U38" i="95" s="1"/>
  <c r="V38" i="95"/>
  <c r="U43" i="95" l="1"/>
  <c r="T44" i="95"/>
  <c r="AA43" i="95"/>
  <c r="W42" i="95"/>
  <c r="X42" i="95" s="1"/>
  <c r="Y42" i="95" s="1"/>
  <c r="Z40" i="95"/>
  <c r="W41" i="95"/>
  <c r="X41" i="95" s="1"/>
  <c r="W39" i="95"/>
  <c r="X39" i="95" s="1"/>
  <c r="Y39" i="95" s="1"/>
  <c r="Z38" i="95"/>
  <c r="W38" i="95"/>
  <c r="X38" i="95" s="1"/>
  <c r="Y38" i="95" s="1"/>
  <c r="M41" i="95"/>
  <c r="M40" i="95"/>
  <c r="AA40" i="95" l="1"/>
  <c r="AA38" i="95"/>
  <c r="AA39" i="95"/>
  <c r="AA42" i="95"/>
  <c r="AA41" i="95"/>
  <c r="Z43" i="95"/>
  <c r="U44" i="95"/>
  <c r="W43" i="95"/>
  <c r="X43" i="95" s="1"/>
  <c r="N41" i="95"/>
  <c r="Y41" i="95"/>
  <c r="N40" i="95"/>
  <c r="Y40" i="95"/>
  <c r="R34" i="95"/>
  <c r="Q34" i="95"/>
  <c r="V34" i="95" s="1"/>
  <c r="K34" i="95"/>
  <c r="L34" i="95" s="1"/>
  <c r="R33" i="95"/>
  <c r="Q33" i="95"/>
  <c r="K33" i="95"/>
  <c r="R32" i="95"/>
  <c r="Q32" i="95"/>
  <c r="K32" i="95"/>
  <c r="L32" i="95" s="1"/>
  <c r="R31" i="95"/>
  <c r="Q31" i="95"/>
  <c r="K31" i="95"/>
  <c r="L31" i="95" s="1"/>
  <c r="R30" i="95"/>
  <c r="Q30" i="95"/>
  <c r="K30" i="95"/>
  <c r="Q29" i="95"/>
  <c r="Q28" i="95"/>
  <c r="R26" i="95"/>
  <c r="Q26" i="95"/>
  <c r="V26" i="95" s="1"/>
  <c r="K26" i="95"/>
  <c r="Q25" i="95"/>
  <c r="K25" i="95"/>
  <c r="Q24" i="95"/>
  <c r="V24" i="95" s="1"/>
  <c r="K24" i="95"/>
  <c r="R23" i="95"/>
  <c r="Q23" i="95"/>
  <c r="K23" i="95"/>
  <c r="K27" i="95" s="1"/>
  <c r="Q22" i="95"/>
  <c r="Q21" i="95"/>
  <c r="R18" i="95"/>
  <c r="Q18" i="95"/>
  <c r="V18" i="95" s="1"/>
  <c r="K18" i="95"/>
  <c r="R17" i="95"/>
  <c r="Q17" i="95"/>
  <c r="K17" i="95"/>
  <c r="Q16" i="95"/>
  <c r="Q15" i="95"/>
  <c r="Z12" i="95"/>
  <c r="AE43" i="95" l="1"/>
  <c r="X44" i="95"/>
  <c r="Y44" i="95" s="1"/>
  <c r="Y43" i="95"/>
  <c r="K45" i="95"/>
  <c r="K35" i="95"/>
  <c r="L30" i="95"/>
  <c r="L23" i="95"/>
  <c r="L27" i="95" s="1"/>
  <c r="T26" i="95"/>
  <c r="T25" i="95"/>
  <c r="V25" i="95"/>
  <c r="U26" i="95"/>
  <c r="Z26" i="95" s="1"/>
  <c r="M31" i="95"/>
  <c r="N31" i="95" s="1"/>
  <c r="T30" i="95"/>
  <c r="L33" i="95"/>
  <c r="L24" i="95"/>
  <c r="M24" i="95" s="1"/>
  <c r="N24" i="95" s="1"/>
  <c r="V30" i="95"/>
  <c r="L25" i="95"/>
  <c r="M25" i="95" s="1"/>
  <c r="V31" i="95"/>
  <c r="T32" i="95"/>
  <c r="M34" i="95"/>
  <c r="N34" i="95" s="1"/>
  <c r="T23" i="95"/>
  <c r="V23" i="95"/>
  <c r="L17" i="95"/>
  <c r="L26" i="95"/>
  <c r="M26" i="95" s="1"/>
  <c r="V32" i="95"/>
  <c r="T33" i="95"/>
  <c r="M32" i="95"/>
  <c r="N32" i="95" s="1"/>
  <c r="T31" i="95"/>
  <c r="U31" i="95" s="1"/>
  <c r="Z31" i="95" s="1"/>
  <c r="T24" i="95"/>
  <c r="L18" i="95"/>
  <c r="M18" i="95" s="1"/>
  <c r="N18" i="95" s="1"/>
  <c r="V17" i="95"/>
  <c r="U24" i="95"/>
  <c r="Z24" i="95" s="1"/>
  <c r="M30" i="95"/>
  <c r="V33" i="95"/>
  <c r="T34" i="95"/>
  <c r="T17" i="95"/>
  <c r="T18" i="95"/>
  <c r="U18" i="95" s="1"/>
  <c r="W24" i="95" l="1"/>
  <c r="X24" i="95" s="1"/>
  <c r="AE24" i="95" s="1"/>
  <c r="T27" i="95"/>
  <c r="U33" i="95"/>
  <c r="T35" i="95"/>
  <c r="AA33" i="95" s="1"/>
  <c r="T45" i="95"/>
  <c r="M33" i="95"/>
  <c r="L45" i="95"/>
  <c r="L35" i="95"/>
  <c r="U23" i="95"/>
  <c r="M17" i="95"/>
  <c r="U25" i="95"/>
  <c r="Z25" i="95" s="1"/>
  <c r="M23" i="95"/>
  <c r="M27" i="95" s="1"/>
  <c r="AA17" i="95"/>
  <c r="AD30" i="95"/>
  <c r="N25" i="95"/>
  <c r="W31" i="95"/>
  <c r="X31" i="95" s="1"/>
  <c r="Y31" i="95" s="1"/>
  <c r="N26" i="95"/>
  <c r="Z33" i="95"/>
  <c r="W33" i="95"/>
  <c r="X33" i="95" s="1"/>
  <c r="AE33" i="95" s="1"/>
  <c r="Z18" i="95"/>
  <c r="W18" i="95"/>
  <c r="X18" i="95" s="1"/>
  <c r="Y18" i="95" s="1"/>
  <c r="Y24" i="95"/>
  <c r="W26" i="95"/>
  <c r="X26" i="95" s="1"/>
  <c r="U34" i="95"/>
  <c r="U45" i="95" s="1"/>
  <c r="N17" i="95"/>
  <c r="U30" i="95"/>
  <c r="U17" i="95"/>
  <c r="U32" i="95"/>
  <c r="Z32" i="95" s="1"/>
  <c r="N30" i="95"/>
  <c r="W25" i="95" l="1"/>
  <c r="X25" i="95" s="1"/>
  <c r="Y25" i="95"/>
  <c r="AE25" i="95"/>
  <c r="U27" i="95"/>
  <c r="Y26" i="95"/>
  <c r="AE26" i="95"/>
  <c r="Z23" i="95"/>
  <c r="U35" i="95"/>
  <c r="Y33" i="95"/>
  <c r="N33" i="95"/>
  <c r="M45" i="95"/>
  <c r="M35" i="95"/>
  <c r="W23" i="95"/>
  <c r="X23" i="95" s="1"/>
  <c r="X27" i="95" s="1"/>
  <c r="Y27" i="95"/>
  <c r="N23" i="95"/>
  <c r="N27" i="95" s="1"/>
  <c r="W30" i="95"/>
  <c r="X30" i="95" s="1"/>
  <c r="Y23" i="95"/>
  <c r="AA31" i="95"/>
  <c r="AA32" i="95"/>
  <c r="AA34" i="95"/>
  <c r="Z17" i="95"/>
  <c r="Z34" i="95"/>
  <c r="W34" i="95"/>
  <c r="X34" i="95" s="1"/>
  <c r="Y34" i="95" s="1"/>
  <c r="AA30" i="95"/>
  <c r="W17" i="95"/>
  <c r="X17" i="95" s="1"/>
  <c r="Z30" i="95"/>
  <c r="W32" i="95"/>
  <c r="X32" i="95" s="1"/>
  <c r="Y32" i="95" s="1"/>
  <c r="Y30" i="95" l="1"/>
  <c r="Y45" i="95" s="1"/>
  <c r="Z45" i="95" s="1"/>
  <c r="AA45" i="95" s="1"/>
  <c r="AE30" i="95"/>
  <c r="AE44" i="95" s="1"/>
  <c r="X45" i="95"/>
  <c r="X35" i="95"/>
  <c r="N35" i="95"/>
  <c r="N45" i="95"/>
  <c r="Y19" i="95"/>
  <c r="Y20" i="95"/>
  <c r="Y17" i="95"/>
  <c r="Y35" i="95"/>
</calcChain>
</file>

<file path=xl/sharedStrings.xml><?xml version="1.0" encoding="utf-8"?>
<sst xmlns="http://schemas.openxmlformats.org/spreadsheetml/2006/main" count="471" uniqueCount="258">
  <si>
    <t>ORÇAMENTO 5.0</t>
  </si>
  <si>
    <t>Oggi Comunicação e Eventos</t>
  </si>
  <si>
    <t>CÓDIGO DO JOB:</t>
  </si>
  <si>
    <t xml:space="preserve">WHP_39_ </t>
  </si>
  <si>
    <t>CLIENTE</t>
  </si>
  <si>
    <t>WHIRLPOOL</t>
  </si>
  <si>
    <t>EVENTO:</t>
  </si>
  <si>
    <t>LOCAL:</t>
  </si>
  <si>
    <t xml:space="preserve">SÃO PAULO  </t>
  </si>
  <si>
    <t>DATA:</t>
  </si>
  <si>
    <t xml:space="preserve">17 DE NOVEMBRO  </t>
  </si>
  <si>
    <t>ATENDIMENTO:</t>
  </si>
  <si>
    <t xml:space="preserve">GISELA </t>
  </si>
  <si>
    <t>PRODUTOR:</t>
  </si>
  <si>
    <t xml:space="preserve">GIOVANNI </t>
  </si>
  <si>
    <t>NOME PLANILHA:</t>
  </si>
  <si>
    <t>CUSTOS (valor de custo c/ NF ou recibo)</t>
  </si>
  <si>
    <t>DIFERENÇA NF (Lucro)</t>
  </si>
  <si>
    <t>ENCARGOS PUBLI</t>
  </si>
  <si>
    <t>Solicitado</t>
  </si>
  <si>
    <t>PAGAMENTOS</t>
  </si>
  <si>
    <t>ÍNDICE</t>
  </si>
  <si>
    <t>ÍNDICE PUBLI</t>
  </si>
  <si>
    <t>CATEGORIA</t>
  </si>
  <si>
    <t>TIPO DE CUSTOS</t>
  </si>
  <si>
    <t>TIPO DE FATURAMENTO</t>
  </si>
  <si>
    <t>RESUMO</t>
  </si>
  <si>
    <t>DESCRITIVO</t>
  </si>
  <si>
    <t>Qtd</t>
  </si>
  <si>
    <t>Diária</t>
  </si>
  <si>
    <t>R$ unit</t>
  </si>
  <si>
    <t>VALOR</t>
  </si>
  <si>
    <t>SUBTOTAL</t>
  </si>
  <si>
    <t>QTDE</t>
  </si>
  <si>
    <t>DIÁRIA</t>
  </si>
  <si>
    <t>VL. UNIT.</t>
  </si>
  <si>
    <t>SUB TOTAL</t>
  </si>
  <si>
    <t>DIFERENÇA</t>
  </si>
  <si>
    <t>% NOTA</t>
  </si>
  <si>
    <t>CUSTO NOTA</t>
  </si>
  <si>
    <t>CUSTO TOTAL (custo + dif. NF)</t>
  </si>
  <si>
    <t>CUSTO TOTAL + IMPOSTOS</t>
  </si>
  <si>
    <t>Margem</t>
  </si>
  <si>
    <t>Peso</t>
  </si>
  <si>
    <t>Vazio</t>
  </si>
  <si>
    <t>PENDENTE</t>
  </si>
  <si>
    <t>EFETUADO</t>
  </si>
  <si>
    <t>GRUPO</t>
  </si>
  <si>
    <t>INTERNOS OGGI</t>
  </si>
  <si>
    <t>1.1</t>
  </si>
  <si>
    <t>SUBGRUPO</t>
  </si>
  <si>
    <t>INTERNOS</t>
  </si>
  <si>
    <t>AGENCIAMENTO</t>
  </si>
  <si>
    <t>IMPOSTOS</t>
  </si>
  <si>
    <t>Marg.</t>
  </si>
  <si>
    <t>1.1.1</t>
  </si>
  <si>
    <t>ITEM</t>
  </si>
  <si>
    <t>INTERNO</t>
  </si>
  <si>
    <t>FAT.OGGI</t>
  </si>
  <si>
    <t xml:space="preserve">GERENCIAMENTO DE PROJETO </t>
  </si>
  <si>
    <t xml:space="preserve">Coordenação e desenvolvimento do projeto (gerenciamento: prazos/ implantação/ equipe, acompanhamento e feed back final)| </t>
  </si>
  <si>
    <t>1.1.2</t>
  </si>
  <si>
    <t>ATENDIMENO</t>
  </si>
  <si>
    <t xml:space="preserve">Atendimento ao cliente </t>
  </si>
  <si>
    <t>SUBTOTAL SUBGRUPO</t>
  </si>
  <si>
    <t>Subtotal INTERNOS</t>
  </si>
  <si>
    <t>SUBTOTAL GRUPO</t>
  </si>
  <si>
    <t>Subtotal INTERNOS OGGI</t>
  </si>
  <si>
    <t>OPERACIONAL</t>
  </si>
  <si>
    <t>2.1</t>
  </si>
  <si>
    <t xml:space="preserve">OPERACIONAL </t>
  </si>
  <si>
    <t>2.1.1</t>
  </si>
  <si>
    <t xml:space="preserve">ARTISTA </t>
  </si>
  <si>
    <t>TITO</t>
  </si>
  <si>
    <t>2.1.2</t>
  </si>
  <si>
    <t>LOGÍSTICA SP</t>
  </si>
  <si>
    <t xml:space="preserve">Logística das peças para inauguração da loja + logística de devolução </t>
  </si>
  <si>
    <t>2.1.3</t>
  </si>
  <si>
    <t>PRODUTOR</t>
  </si>
  <si>
    <t>Produtor responsável pelo acompanhamento da ação</t>
  </si>
  <si>
    <t>2.1.4</t>
  </si>
  <si>
    <t xml:space="preserve">CUSTOS OPERACIONAIS </t>
  </si>
  <si>
    <t xml:space="preserve">Transporte, material, alimentação de equipe </t>
  </si>
  <si>
    <t xml:space="preserve">Subtotal OPERACIONAL </t>
  </si>
  <si>
    <t>Subtotal EVENTO</t>
  </si>
  <si>
    <t>MINI RETRÔ</t>
  </si>
  <si>
    <t>3.1</t>
  </si>
  <si>
    <t>3.1.1</t>
  </si>
  <si>
    <t>Frigobar Brastemp Retrô</t>
  </si>
  <si>
    <t>Classic Black  220V</t>
  </si>
  <si>
    <t>3.1.2</t>
  </si>
  <si>
    <t>Classic Red  220V</t>
  </si>
  <si>
    <t>3.1.3</t>
  </si>
  <si>
    <t>Classic White  220V</t>
  </si>
  <si>
    <t>3.1.4</t>
  </si>
  <si>
    <t>Marsala Wine  220V</t>
  </si>
  <si>
    <t>3.1.5</t>
  </si>
  <si>
    <t xml:space="preserve">Midnight Blue 220V </t>
  </si>
  <si>
    <t>Subtotal MINI RETRÔ</t>
  </si>
  <si>
    <t xml:space="preserve">Subtotal </t>
  </si>
  <si>
    <t>Marg. Lucro</t>
  </si>
  <si>
    <t>Lucro</t>
  </si>
  <si>
    <t xml:space="preserve">CENOGRAFIA </t>
  </si>
  <si>
    <t>4.1</t>
  </si>
  <si>
    <t>4.1.1</t>
  </si>
  <si>
    <t xml:space="preserve">SUPORTE CILINDRO G </t>
  </si>
  <si>
    <t xml:space="preserve">Produzido em madeira laminado e acabamento com adesivo impresso </t>
  </si>
  <si>
    <t>4.1.2</t>
  </si>
  <si>
    <t xml:space="preserve">SUPORTE CILINDRO P </t>
  </si>
  <si>
    <t>4.1.3</t>
  </si>
  <si>
    <t xml:space="preserve">LETRA CAIXA B </t>
  </si>
  <si>
    <t xml:space="preserve">produzido em XPS 25mm com OS  adesivado na frente </t>
  </si>
  <si>
    <t>4.1.4</t>
  </si>
  <si>
    <t>4.1.5</t>
  </si>
  <si>
    <t xml:space="preserve">EXPLORADOR </t>
  </si>
  <si>
    <t>4.1.6</t>
  </si>
  <si>
    <t xml:space="preserve">Mão de obra e montagem </t>
  </si>
  <si>
    <t>Mão de obra e montagem e logística da empresa de cenografa e ART/RRT</t>
  </si>
  <si>
    <t xml:space="preserve">Subtotal CENOGRAFIA </t>
  </si>
  <si>
    <t>SUBTOTAL PLANILHA</t>
  </si>
  <si>
    <t>TOTAL</t>
  </si>
  <si>
    <t>Grupo</t>
  </si>
  <si>
    <t>Descrição</t>
  </si>
  <si>
    <t>Solicitante</t>
  </si>
  <si>
    <t>Aprovação</t>
  </si>
  <si>
    <t/>
  </si>
  <si>
    <t>24/11/2025</t>
  </si>
  <si>
    <t>R$ 48.000,00</t>
  </si>
  <si>
    <t>21.110.215/0001-35</t>
  </si>
  <si>
    <t>FERRARA DESIGN LTDA</t>
  </si>
  <si>
    <t>(11) 9999-9999 / (11) 3138-8250</t>
  </si>
  <si>
    <t>RAZÃO SOCIAL:OGGI COMUN. E EV. PROMO. UNIPESSOAL LTDA</t>
  </si>
  <si>
    <t xml:space="preserve">ENDEREÇO:R. ALMIRANTE PEREIRA GUIMARÃES, 327 - </t>
  </si>
  <si>
    <t>OC
38</t>
  </si>
  <si>
    <t>FONE: (11) 3871-5555  SÃO PAULO SP</t>
  </si>
  <si>
    <t>CNPJ: 07.559.587/0001-12</t>
  </si>
  <si>
    <t>INSCRIÇÃO MUNICIPAL: 3.441.108.9</t>
  </si>
  <si>
    <t>E-MAIL:</t>
  </si>
  <si>
    <t>Identificador=38-38-61b77ade14fb9af7e586617fa2e6823e374b1745</t>
  </si>
  <si>
    <t>Tipo Receita</t>
  </si>
  <si>
    <t>Lançamento</t>
  </si>
  <si>
    <t>Item do Orçamento</t>
  </si>
  <si>
    <t>Quantidade</t>
  </si>
  <si>
    <t>Valor Unitário</t>
  </si>
  <si>
    <t>Valor</t>
  </si>
  <si>
    <t>Situação</t>
  </si>
  <si>
    <t>Valor Fornecedor</t>
  </si>
  <si>
    <t>Subtipo</t>
  </si>
  <si>
    <t>Honorários</t>
  </si>
  <si>
    <t>Desconto</t>
  </si>
  <si>
    <t>Encargos</t>
  </si>
  <si>
    <t>Especificação</t>
  </si>
  <si>
    <t xml:space="preserve">  1</t>
  </si>
  <si>
    <t>CUSTOS INTERNOS</t>
  </si>
  <si>
    <t>Aguardando Aprovação</t>
  </si>
  <si>
    <t>PM</t>
  </si>
  <si>
    <t>0,00%</t>
  </si>
  <si>
    <t xml:space="preserve">  1.  1</t>
  </si>
  <si>
    <t>PRODUÇÃO</t>
  </si>
  <si>
    <t>ServicosInternos</t>
  </si>
  <si>
    <t xml:space="preserve">  1.  1.  1</t>
  </si>
  <si>
    <t>Planejamento</t>
  </si>
  <si>
    <t>8,00%</t>
  </si>
  <si>
    <t>Planejamento do Job</t>
  </si>
  <si>
    <t xml:space="preserve">  1.  1.  2</t>
  </si>
  <si>
    <t>Produção executiva</t>
  </si>
  <si>
    <t>Peterson</t>
  </si>
  <si>
    <t xml:space="preserve">  1.  1.  3</t>
  </si>
  <si>
    <t>DIREÇÃO DE PRODUÇÃO</t>
  </si>
  <si>
    <t>Resp. pela gestão executiva operacional da ação. Pré Produção, implementação do projeto e pós produção.</t>
  </si>
  <si>
    <t>ServicosTerceiros</t>
  </si>
  <si>
    <t xml:space="preserve">  1.  1.  4</t>
  </si>
  <si>
    <t>CORTESIA LED</t>
  </si>
  <si>
    <t xml:space="preserve">  1.  1.  5</t>
  </si>
  <si>
    <t>HEAD DE ATENDIMENTO</t>
  </si>
  <si>
    <t xml:space="preserve">Resp. pela interface de atendimento junto ao cliente, elaboração de plano estratégico para briefing interno da agencia após reunião de Brainstorming,  alinhamentos gerais, fluxo interno, alterações e condução de pauta. </t>
  </si>
  <si>
    <t xml:space="preserve">  1.  1.  6</t>
  </si>
  <si>
    <t>BANDA</t>
  </si>
  <si>
    <t>PG</t>
  </si>
  <si>
    <t>15,00%</t>
  </si>
  <si>
    <t xml:space="preserve">  1.  2</t>
  </si>
  <si>
    <t>Operacional</t>
  </si>
  <si>
    <t xml:space="preserve">  1.  2.  1</t>
  </si>
  <si>
    <t>BUFFET</t>
  </si>
  <si>
    <t>Coffee Break - 20pax
Coffee Break Chegada - 350 pax
Coffee Break tarde - 350 pax 
Coquetel Happy Hour - 350 pax
Estação Permanente - Café e agua plenária</t>
  </si>
  <si>
    <t xml:space="preserve">  1.  2.  2</t>
  </si>
  <si>
    <t>BAR</t>
  </si>
  <si>
    <t>Serviço de cerveja, prosecco
contratado para 300 pax</t>
  </si>
  <si>
    <t xml:space="preserve">  2</t>
  </si>
  <si>
    <t>ARTISTICO</t>
  </si>
  <si>
    <t xml:space="preserve">  2.  1</t>
  </si>
  <si>
    <t>ATRAÇÃO</t>
  </si>
  <si>
    <t xml:space="preserve">  2.  1.  1</t>
  </si>
  <si>
    <t>MUSICO</t>
  </si>
  <si>
    <t xml:space="preserve">  2.  1.  2</t>
  </si>
  <si>
    <t>(*)Fim dos Itens</t>
  </si>
  <si>
    <t>Linhas iniciais de 1 a 9 e que contem o (*) não podem ser excluídas</t>
  </si>
  <si>
    <t>Para novos itens não preencher o campo Lançamento</t>
  </si>
  <si>
    <t>SOLICITAÇÃO DE PAGAMENTO</t>
  </si>
  <si>
    <t>PREENCHER OS CAMPOS CORRETAMENTE</t>
  </si>
  <si>
    <t>DADOS DO JOB</t>
  </si>
  <si>
    <t>Data:</t>
  </si>
  <si>
    <t>Contratante:</t>
  </si>
  <si>
    <t>Oggi Eventos</t>
  </si>
  <si>
    <t>Cliente:</t>
  </si>
  <si>
    <t>Job:</t>
  </si>
  <si>
    <t xml:space="preserve">WHP_39_  PERSONALIZAÇÃO RETOZINHA PARA MAGALU </t>
  </si>
  <si>
    <t>Planilha:</t>
  </si>
  <si>
    <t>WHP_39_PERSONALIZAÇÃO RETOZINHA PARA MAGALU.xlsx</t>
  </si>
  <si>
    <t>Item:</t>
  </si>
  <si>
    <t>DADOS PARA PAGAMENTO</t>
  </si>
  <si>
    <t>( X ) Pessoa Jurídica</t>
  </si>
  <si>
    <t>() Pessoa Jurídica</t>
  </si>
  <si>
    <t>Razão Social</t>
  </si>
  <si>
    <t>Fantasia:</t>
  </si>
  <si>
    <t>Banco:</t>
  </si>
  <si>
    <t>ITAU</t>
  </si>
  <si>
    <t>Agência</t>
  </si>
  <si>
    <t>1608</t>
  </si>
  <si>
    <t>Conta:</t>
  </si>
  <si>
    <t>45279-1</t>
  </si>
  <si>
    <t>Pix:</t>
  </si>
  <si>
    <t>CNPJ:</t>
  </si>
  <si>
    <t>CPF:</t>
  </si>
  <si>
    <t>Contato:</t>
  </si>
  <si>
    <t>Celular:</t>
  </si>
  <si>
    <t>Parcela</t>
  </si>
  <si>
    <t>Data</t>
  </si>
  <si>
    <t>Forma de Pagamento</t>
  </si>
  <si>
    <t>1ª</t>
  </si>
  <si>
    <t>27/11/25</t>
  </si>
  <si>
    <t>(   ) Boleto</t>
  </si>
  <si>
    <t>( X ) Depósito</t>
  </si>
  <si>
    <t>(   ) Pix</t>
  </si>
  <si>
    <t>2ª</t>
  </si>
  <si>
    <t>(   ) Depósito</t>
  </si>
  <si>
    <t>3ª</t>
  </si>
  <si>
    <t>4ª</t>
  </si>
  <si>
    <t>OBSERVAÇÕES</t>
  </si>
  <si>
    <t xml:space="preserve">VALOR REFERENTE A PERSONALIZAÇÃO DAS GELADERIAS PELO ARTISTA PLÁSTICO </t>
  </si>
  <si>
    <t>APROVAÇÕES</t>
  </si>
  <si>
    <t>FAST SHOP</t>
  </si>
  <si>
    <t>ISABELA CARTÃO</t>
  </si>
  <si>
    <t>FERRARA DESIGN</t>
  </si>
  <si>
    <t xml:space="preserve">MARCELO  BAYERX / CLAUDIA NEVES / RONALDO TRIGUEIRO / ORIKASSA TRANSPORTE </t>
  </si>
  <si>
    <t xml:space="preserve">MARCELO  BAYERX </t>
  </si>
  <si>
    <t xml:space="preserve">TOTAL WHP_39_PERSONALIZAÇÃO RETRÔZINHA PARA MAGALU </t>
  </si>
  <si>
    <t xml:space="preserve">WHP_39_PERSONALIZAÇÃO RETRÔZINHA PARA MAGALU </t>
  </si>
  <si>
    <t xml:space="preserve">PERSONALIZAÇÃO RETRÔZINHA PARA MAGALU </t>
  </si>
  <si>
    <t>DANI VIEIRA CENOGRAFIA</t>
  </si>
  <si>
    <t>NF 2662</t>
  </si>
  <si>
    <t>CUSTO TOTAL</t>
  </si>
  <si>
    <t>LUCRO</t>
  </si>
  <si>
    <t>VÍDEO</t>
  </si>
  <si>
    <t>STUDIO ROCA</t>
  </si>
  <si>
    <t>VENDA</t>
  </si>
  <si>
    <t xml:space="preserve">CUSTO 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</si>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</sst>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&quot;/&quot;00&quot;/&quot;0000"/>
    <numFmt numFmtId="165" formatCode="_(&quot;R$ &quot;* #,##0.00_);_(&quot;R$ &quot;* \(#,##0.00\);_(&quot;R$ &quot;* &quot;-&quot;??_);_(@_)"/>
    <numFmt numFmtId="166" formatCode="_-[$R$-416]\ * #,##0.00_-;\-[$R$-416]\ * #,##0.00_-;_-[$R$-416]\ * &quot;-&quot;??_-;_-@_-"/>
    <numFmt numFmtId="167" formatCode="_-&quot;R$&quot;* #,##0.00_-;\-&quot;R$&quot;* #,##0.00_-;_-&quot;R$&quot;* &quot;-&quot;??_-;_-@_-"/>
    <numFmt numFmtId="168" formatCode="_(&quot;R$&quot;* #,##0.00_);_(&quot;R$&quot;* \(#,##0.00\);_(&quot;R$&quot;* &quot;-&quot;??_);_(@_)"/>
    <numFmt numFmtId="169" formatCode="0.000000000%"/>
    <numFmt numFmtId="170" formatCode="&quot;R$&quot;\ #,##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rebuchet MS"/>
      <family val="2"/>
    </font>
    <font>
      <b/>
      <sz val="20"/>
      <name val="Trebuchet MS"/>
      <family val="2"/>
    </font>
    <font>
      <b/>
      <sz val="14"/>
      <name val="Trebuchet MS"/>
      <family val="2"/>
    </font>
    <font>
      <b/>
      <sz val="13"/>
      <name val="Trebuchet MS"/>
      <family val="2"/>
    </font>
    <font>
      <sz val="11"/>
      <name val="Verdana"/>
      <family val="2"/>
    </font>
    <font>
      <b/>
      <sz val="12"/>
      <color indexed="63"/>
      <name val="Trebuchet MS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rebuchet MS"/>
      <family val="2"/>
    </font>
    <font>
      <b/>
      <sz val="12"/>
      <color rgb="FFFF0000"/>
      <name val="Trebuchet MS"/>
      <family val="2"/>
    </font>
    <font>
      <b/>
      <sz val="12"/>
      <color rgb="FF00B050"/>
      <name val="Trebuchet MS"/>
      <family val="2"/>
    </font>
    <font>
      <sz val="8"/>
      <color rgb="FFFFFFFF"/>
      <name val="Arial"/>
      <family val="2"/>
    </font>
    <font>
      <b/>
      <sz val="10"/>
      <color rgb="FFFFFFFF"/>
      <name val="Arial"/>
      <family val="2"/>
    </font>
    <font>
      <sz val="12"/>
      <color rgb="FFFFFFFF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Verdana"/>
      <family val="2"/>
    </font>
    <font>
      <b/>
      <sz val="14"/>
      <color theme="0"/>
      <name val="Trebuchet MS"/>
      <family val="2"/>
    </font>
    <font>
      <sz val="8"/>
      <color theme="1"/>
      <name val="Calibri"/>
      <family val="2"/>
      <scheme val="minor"/>
    </font>
    <font>
      <b/>
      <sz val="8"/>
      <name val="Trebuchet MS"/>
      <family val="2"/>
    </font>
    <font>
      <b/>
      <sz val="8"/>
      <color theme="1"/>
      <name val="Gadugi"/>
      <family val="2"/>
    </font>
    <font>
      <b/>
      <sz val="8"/>
      <color theme="1"/>
      <name val="Trebuchet MS"/>
      <family val="2"/>
    </font>
    <font>
      <sz val="8"/>
      <color theme="1"/>
      <name val="Trebuchet MS"/>
      <family val="2"/>
    </font>
    <font>
      <sz val="18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8"/>
      <color theme="0"/>
      <name val="Trebuchet MS"/>
      <family val="2"/>
    </font>
    <font>
      <b/>
      <sz val="18"/>
      <color theme="1"/>
      <name val="Trebuchet MS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Trebuchet MS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964F"/>
        <bgColor indexed="64"/>
      </patternFill>
    </fill>
    <fill>
      <patternFill patternType="solid">
        <fgColor rgb="FF0476D0"/>
      </patternFill>
    </fill>
    <fill>
      <patternFill patternType="solid">
        <fgColor rgb="FFF0F0F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A9A9A9"/>
      </top>
      <bottom/>
      <diagonal/>
    </border>
    <border>
      <left style="thin">
        <color rgb="FFBFD7ED"/>
      </left>
      <right/>
      <top style="thin">
        <color rgb="FFBFD7ED"/>
      </top>
      <bottom/>
      <diagonal/>
    </border>
    <border>
      <left style="thin">
        <color rgb="FFBFD7ED"/>
      </left>
      <right style="thin">
        <color rgb="FFBFD7ED"/>
      </right>
      <top style="thin">
        <color rgb="FFBFD7ED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8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5">
    <xf numFmtId="0" fontId="0" fillId="0" borderId="0" xfId="0"/>
    <xf numFmtId="10" fontId="9" fillId="5" borderId="9" xfId="5" applyNumberFormat="1" applyFont="1" applyFill="1" applyBorder="1" applyAlignment="1">
      <alignment horizontal="center" vertical="center" wrapText="1"/>
    </xf>
    <xf numFmtId="10" fontId="9" fillId="5" borderId="10" xfId="5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/>
    <xf numFmtId="0" fontId="2" fillId="0" borderId="25" xfId="0" applyFont="1" applyBorder="1"/>
    <xf numFmtId="0" fontId="0" fillId="0" borderId="2" xfId="0" applyBorder="1" applyAlignment="1">
      <alignment horizontal="left"/>
    </xf>
    <xf numFmtId="0" fontId="0" fillId="0" borderId="27" xfId="0" applyBorder="1" applyAlignment="1">
      <alignment horizontal="left"/>
    </xf>
    <xf numFmtId="0" fontId="2" fillId="0" borderId="28" xfId="0" applyFont="1" applyBorder="1"/>
    <xf numFmtId="0" fontId="2" fillId="0" borderId="28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2" fillId="0" borderId="32" xfId="0" applyFont="1" applyBorder="1"/>
    <xf numFmtId="0" fontId="2" fillId="0" borderId="2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0" xfId="0" applyAlignment="1">
      <alignment horizontal="right"/>
    </xf>
    <xf numFmtId="9" fontId="11" fillId="5" borderId="37" xfId="1" applyFont="1" applyFill="1" applyBorder="1" applyAlignment="1">
      <alignment horizontal="center" vertical="center" wrapText="1"/>
    </xf>
    <xf numFmtId="10" fontId="11" fillId="5" borderId="37" xfId="1" applyNumberFormat="1" applyFont="1" applyFill="1" applyBorder="1" applyAlignment="1">
      <alignment horizontal="center" vertical="center" wrapText="1"/>
    </xf>
    <xf numFmtId="0" fontId="4" fillId="5" borderId="38" xfId="3" applyFont="1" applyFill="1" applyBorder="1" applyAlignment="1">
      <alignment horizontal="left" vertical="center"/>
    </xf>
    <xf numFmtId="0" fontId="4" fillId="5" borderId="37" xfId="3" applyFont="1" applyFill="1" applyBorder="1" applyAlignment="1">
      <alignment horizontal="center" vertical="center"/>
    </xf>
    <xf numFmtId="0" fontId="11" fillId="5" borderId="37" xfId="3" applyFont="1" applyFill="1" applyBorder="1" applyAlignment="1">
      <alignment horizontal="center" vertical="center"/>
    </xf>
    <xf numFmtId="167" fontId="11" fillId="5" borderId="37" xfId="3" applyNumberFormat="1" applyFont="1" applyFill="1" applyBorder="1" applyAlignment="1">
      <alignment horizontal="center" vertical="center" wrapText="1"/>
    </xf>
    <xf numFmtId="0" fontId="11" fillId="5" borderId="37" xfId="3" applyFont="1" applyFill="1" applyBorder="1" applyAlignment="1">
      <alignment horizontal="center" vertical="center" wrapText="1"/>
    </xf>
    <xf numFmtId="0" fontId="11" fillId="5" borderId="39" xfId="3" applyFont="1" applyFill="1" applyBorder="1" applyAlignment="1">
      <alignment horizontal="center" vertical="center" wrapText="1"/>
    </xf>
    <xf numFmtId="37" fontId="9" fillId="5" borderId="40" xfId="3" applyNumberFormat="1" applyFont="1" applyFill="1" applyBorder="1" applyAlignment="1">
      <alignment horizontal="center" vertical="center"/>
    </xf>
    <xf numFmtId="37" fontId="9" fillId="5" borderId="41" xfId="3" applyNumberFormat="1" applyFont="1" applyFill="1" applyBorder="1" applyAlignment="1">
      <alignment horizontal="center" vertical="center"/>
    </xf>
    <xf numFmtId="40" fontId="9" fillId="5" borderId="41" xfId="4" applyNumberFormat="1" applyFont="1" applyFill="1" applyBorder="1" applyAlignment="1">
      <alignment horizontal="center" vertical="center"/>
    </xf>
    <xf numFmtId="165" fontId="9" fillId="5" borderId="42" xfId="4" applyFont="1" applyFill="1" applyBorder="1" applyAlignment="1">
      <alignment horizontal="right" vertical="center"/>
    </xf>
    <xf numFmtId="40" fontId="9" fillId="5" borderId="43" xfId="4" applyNumberFormat="1" applyFont="1" applyFill="1" applyBorder="1" applyAlignment="1">
      <alignment horizontal="center" vertical="center" wrapText="1"/>
    </xf>
    <xf numFmtId="10" fontId="9" fillId="5" borderId="41" xfId="5" applyNumberFormat="1" applyFont="1" applyFill="1" applyBorder="1" applyAlignment="1">
      <alignment horizontal="center" vertical="center" wrapText="1"/>
    </xf>
    <xf numFmtId="165" fontId="9" fillId="5" borderId="44" xfId="4" applyFont="1" applyFill="1" applyBorder="1" applyAlignment="1">
      <alignment horizontal="center" vertical="center" wrapText="1"/>
    </xf>
    <xf numFmtId="165" fontId="9" fillId="5" borderId="45" xfId="4" applyFont="1" applyFill="1" applyBorder="1" applyAlignment="1">
      <alignment horizontal="center" vertical="center" wrapText="1"/>
    </xf>
    <xf numFmtId="0" fontId="0" fillId="0" borderId="0" xfId="1" applyNumberFormat="1" applyFont="1"/>
    <xf numFmtId="0" fontId="16" fillId="0" borderId="0" xfId="0" applyFont="1"/>
    <xf numFmtId="165" fontId="9" fillId="5" borderId="47" xfId="4" applyFont="1" applyFill="1" applyBorder="1" applyAlignment="1">
      <alignment horizontal="center" vertical="center" wrapText="1"/>
    </xf>
    <xf numFmtId="164" fontId="6" fillId="0" borderId="0" xfId="2" applyNumberFormat="1" applyFont="1" applyAlignment="1">
      <alignment horizontal="left" vertical="center"/>
    </xf>
    <xf numFmtId="166" fontId="9" fillId="0" borderId="51" xfId="4" applyNumberFormat="1" applyFont="1" applyBorder="1" applyAlignment="1">
      <alignment horizontal="center" vertical="center" wrapText="1"/>
    </xf>
    <xf numFmtId="166" fontId="18" fillId="5" borderId="49" xfId="4" applyNumberFormat="1" applyFont="1" applyFill="1" applyBorder="1" applyAlignment="1">
      <alignment horizontal="center" vertical="center" wrapText="1"/>
    </xf>
    <xf numFmtId="166" fontId="19" fillId="5" borderId="50" xfId="4" applyNumberFormat="1" applyFont="1" applyFill="1" applyBorder="1" applyAlignment="1">
      <alignment horizontal="center" vertical="center" wrapText="1"/>
    </xf>
    <xf numFmtId="0" fontId="20" fillId="7" borderId="53" xfId="0" applyFont="1" applyFill="1" applyBorder="1" applyAlignment="1">
      <alignment vertical="center"/>
    </xf>
    <xf numFmtId="0" fontId="22" fillId="7" borderId="53" xfId="0" applyFont="1" applyFill="1" applyBorder="1" applyAlignment="1">
      <alignment horizontal="center" vertical="center"/>
    </xf>
    <xf numFmtId="22" fontId="20" fillId="7" borderId="53" xfId="0" applyNumberFormat="1" applyFont="1" applyFill="1" applyBorder="1" applyAlignment="1">
      <alignment horizontal="center" vertical="center"/>
    </xf>
    <xf numFmtId="0" fontId="24" fillId="7" borderId="54" xfId="0" applyFont="1" applyFill="1" applyBorder="1" applyAlignment="1">
      <alignment horizontal="center" vertical="center" wrapText="1"/>
    </xf>
    <xf numFmtId="0" fontId="24" fillId="7" borderId="55" xfId="0" applyFont="1" applyFill="1" applyBorder="1" applyAlignment="1">
      <alignment horizontal="center" vertical="center" wrapText="1"/>
    </xf>
    <xf numFmtId="0" fontId="0" fillId="8" borderId="56" xfId="0" applyFill="1" applyBorder="1" applyAlignment="1">
      <alignment vertical="center"/>
    </xf>
    <xf numFmtId="0" fontId="0" fillId="8" borderId="56" xfId="0" applyFill="1" applyBorder="1" applyAlignment="1">
      <alignment horizontal="right" vertical="center"/>
    </xf>
    <xf numFmtId="4" fontId="0" fillId="8" borderId="56" xfId="0" applyNumberFormat="1" applyFill="1" applyBorder="1" applyAlignment="1">
      <alignment horizontal="right" vertical="center"/>
    </xf>
    <xf numFmtId="9" fontId="0" fillId="8" borderId="56" xfId="0" applyNumberFormat="1" applyFill="1" applyBorder="1" applyAlignment="1">
      <alignment horizontal="right" vertical="center"/>
    </xf>
    <xf numFmtId="0" fontId="0" fillId="8" borderId="57" xfId="0" applyFill="1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6" xfId="0" applyBorder="1" applyAlignment="1">
      <alignment horizontal="right" vertical="center"/>
    </xf>
    <xf numFmtId="4" fontId="0" fillId="0" borderId="56" xfId="0" applyNumberFormat="1" applyBorder="1" applyAlignment="1">
      <alignment horizontal="right" vertical="center"/>
    </xf>
    <xf numFmtId="9" fontId="0" fillId="0" borderId="56" xfId="0" applyNumberFormat="1" applyBorder="1" applyAlignment="1">
      <alignment horizontal="right" vertical="center"/>
    </xf>
    <xf numFmtId="0" fontId="0" fillId="0" borderId="57" xfId="0" applyBorder="1" applyAlignment="1">
      <alignment vertical="center"/>
    </xf>
    <xf numFmtId="0" fontId="0" fillId="0" borderId="57" xfId="0" applyBorder="1" applyAlignment="1">
      <alignment vertical="center" wrapText="1"/>
    </xf>
    <xf numFmtId="0" fontId="0" fillId="8" borderId="57" xfId="0" applyFill="1" applyBorder="1" applyAlignment="1">
      <alignment vertical="center" wrapText="1"/>
    </xf>
    <xf numFmtId="0" fontId="0" fillId="8" borderId="58" xfId="0" applyFill="1" applyBorder="1" applyAlignment="1">
      <alignment vertical="center"/>
    </xf>
    <xf numFmtId="0" fontId="0" fillId="8" borderId="58" xfId="0" applyFill="1" applyBorder="1" applyAlignment="1">
      <alignment horizontal="right" vertical="center"/>
    </xf>
    <xf numFmtId="4" fontId="0" fillId="8" borderId="58" xfId="0" applyNumberFormat="1" applyFill="1" applyBorder="1" applyAlignment="1">
      <alignment horizontal="right" vertical="center"/>
    </xf>
    <xf numFmtId="9" fontId="0" fillId="8" borderId="58" xfId="0" applyNumberFormat="1" applyFill="1" applyBorder="1" applyAlignment="1">
      <alignment horizontal="right" vertical="center"/>
    </xf>
    <xf numFmtId="0" fontId="0" fillId="8" borderId="59" xfId="0" applyFill="1" applyBorder="1" applyAlignment="1">
      <alignment vertical="center"/>
    </xf>
    <xf numFmtId="164" fontId="6" fillId="0" borderId="22" xfId="2" applyNumberFormat="1" applyFont="1" applyBorder="1" applyAlignment="1" applyProtection="1">
      <alignment horizontal="left" vertical="center"/>
      <protection locked="0"/>
    </xf>
    <xf numFmtId="164" fontId="6" fillId="0" borderId="24" xfId="2" applyNumberFormat="1" applyFont="1" applyBorder="1" applyAlignment="1" applyProtection="1">
      <alignment horizontal="left" vertical="center"/>
      <protection locked="0"/>
    </xf>
    <xf numFmtId="164" fontId="6" fillId="0" borderId="33" xfId="2" applyNumberFormat="1" applyFont="1" applyBorder="1" applyAlignment="1" applyProtection="1">
      <alignment horizontal="left" vertical="center"/>
      <protection locked="0"/>
    </xf>
    <xf numFmtId="164" fontId="6" fillId="0" borderId="34" xfId="2" applyNumberFormat="1" applyFont="1" applyBorder="1" applyAlignment="1" applyProtection="1">
      <alignment horizontal="left" vertical="center"/>
      <protection locked="0"/>
    </xf>
    <xf numFmtId="0" fontId="7" fillId="0" borderId="27" xfId="2" applyFont="1" applyBorder="1" applyAlignment="1" applyProtection="1">
      <alignment horizontal="left" vertical="center"/>
      <protection locked="0"/>
    </xf>
    <xf numFmtId="0" fontId="6" fillId="0" borderId="27" xfId="2" applyFont="1" applyBorder="1" applyAlignment="1" applyProtection="1">
      <alignment horizontal="left" vertical="center"/>
      <protection locked="0"/>
    </xf>
    <xf numFmtId="14" fontId="7" fillId="0" borderId="34" xfId="2" applyNumberFormat="1" applyFont="1" applyBorder="1" applyAlignment="1" applyProtection="1">
      <alignment horizontal="left" vertical="center"/>
      <protection locked="0"/>
    </xf>
    <xf numFmtId="164" fontId="6" fillId="0" borderId="48" xfId="2" applyNumberFormat="1" applyFont="1" applyBorder="1" applyAlignment="1" applyProtection="1">
      <alignment horizontal="left" vertical="center"/>
      <protection locked="0"/>
    </xf>
    <xf numFmtId="0" fontId="6" fillId="0" borderId="31" xfId="2" applyFont="1" applyBorder="1" applyAlignment="1" applyProtection="1">
      <alignment horizontal="left" vertical="center"/>
      <protection locked="0"/>
    </xf>
    <xf numFmtId="0" fontId="10" fillId="0" borderId="61" xfId="0" applyFont="1" applyBorder="1" applyAlignment="1">
      <alignment horizontal="left" vertical="center" wrapText="1"/>
    </xf>
    <xf numFmtId="0" fontId="10" fillId="0" borderId="63" xfId="0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0" fontId="11" fillId="11" borderId="68" xfId="0" applyFont="1" applyFill="1" applyBorder="1" applyAlignment="1">
      <alignment horizontal="center" vertical="center"/>
    </xf>
    <xf numFmtId="0" fontId="11" fillId="11" borderId="37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7" fillId="0" borderId="0" xfId="0" applyFont="1"/>
    <xf numFmtId="49" fontId="28" fillId="0" borderId="0" xfId="2" applyNumberFormat="1" applyFont="1" applyAlignment="1">
      <alignment horizontal="left" vertical="center" wrapText="1"/>
    </xf>
    <xf numFmtId="0" fontId="28" fillId="0" borderId="0" xfId="2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49" fontId="27" fillId="0" borderId="0" xfId="0" applyNumberFormat="1" applyFont="1"/>
    <xf numFmtId="0" fontId="30" fillId="4" borderId="0" xfId="0" applyFont="1" applyFill="1"/>
    <xf numFmtId="49" fontId="30" fillId="4" borderId="0" xfId="0" applyNumberFormat="1" applyFont="1" applyFill="1"/>
    <xf numFmtId="0" fontId="31" fillId="0" borderId="6" xfId="0" applyFont="1" applyBorder="1" applyAlignment="1">
      <alignment horizontal="left" vertical="center"/>
    </xf>
    <xf numFmtId="49" fontId="31" fillId="0" borderId="7" xfId="0" applyNumberFormat="1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60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31" fillId="0" borderId="64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10" fillId="0" borderId="6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2" fillId="11" borderId="77" xfId="0" applyFont="1" applyFill="1" applyBorder="1" applyAlignment="1">
      <alignment horizontal="center" vertical="center"/>
    </xf>
    <xf numFmtId="0" fontId="31" fillId="0" borderId="76" xfId="0" applyFont="1" applyBorder="1" applyAlignment="1">
      <alignment horizontal="left" vertical="center" wrapText="1"/>
    </xf>
    <xf numFmtId="0" fontId="31" fillId="0" borderId="78" xfId="0" applyFont="1" applyBorder="1" applyAlignment="1">
      <alignment horizontal="left" vertical="center" wrapText="1"/>
    </xf>
    <xf numFmtId="169" fontId="2" fillId="0" borderId="83" xfId="1" applyNumberFormat="1" applyFont="1" applyBorder="1"/>
    <xf numFmtId="0" fontId="11" fillId="11" borderId="84" xfId="0" applyFont="1" applyFill="1" applyBorder="1" applyAlignment="1">
      <alignment horizontal="center" vertical="center"/>
    </xf>
    <xf numFmtId="0" fontId="0" fillId="0" borderId="85" xfId="0" applyBorder="1"/>
    <xf numFmtId="0" fontId="0" fillId="0" borderId="84" xfId="0" applyBorder="1"/>
    <xf numFmtId="0" fontId="26" fillId="10" borderId="15" xfId="0" applyFont="1" applyFill="1" applyBorder="1" applyAlignment="1">
      <alignment horizontal="left"/>
    </xf>
    <xf numFmtId="0" fontId="26" fillId="10" borderId="16" xfId="0" applyFont="1" applyFill="1" applyBorder="1" applyAlignment="1">
      <alignment horizontal="left"/>
    </xf>
    <xf numFmtId="0" fontId="26" fillId="10" borderId="67" xfId="0" applyFont="1" applyFill="1" applyBorder="1" applyAlignment="1">
      <alignment horizontal="left"/>
    </xf>
    <xf numFmtId="0" fontId="26" fillId="9" borderId="15" xfId="0" applyFont="1" applyFill="1" applyBorder="1" applyAlignment="1">
      <alignment horizontal="center"/>
    </xf>
    <xf numFmtId="0" fontId="26" fillId="9" borderId="16" xfId="0" applyFont="1" applyFill="1" applyBorder="1" applyAlignment="1">
      <alignment horizontal="center"/>
    </xf>
    <xf numFmtId="0" fontId="26" fillId="9" borderId="84" xfId="0" applyFont="1" applyFill="1" applyBorder="1" applyAlignment="1">
      <alignment horizontal="center"/>
    </xf>
    <xf numFmtId="0" fontId="26" fillId="10" borderId="66" xfId="0" applyFont="1" applyFill="1" applyBorder="1" applyAlignment="1">
      <alignment horizontal="left"/>
    </xf>
    <xf numFmtId="0" fontId="26" fillId="10" borderId="77" xfId="0" applyFont="1" applyFill="1" applyBorder="1" applyAlignment="1">
      <alignment horizontal="left"/>
    </xf>
    <xf numFmtId="0" fontId="26" fillId="10" borderId="73" xfId="0" applyFont="1" applyFill="1" applyBorder="1" applyAlignment="1">
      <alignment horizontal="left"/>
    </xf>
    <xf numFmtId="0" fontId="26" fillId="9" borderId="71" xfId="0" applyFont="1" applyFill="1" applyBorder="1" applyAlignment="1">
      <alignment horizontal="center"/>
    </xf>
    <xf numFmtId="0" fontId="26" fillId="9" borderId="69" xfId="0" applyFont="1" applyFill="1" applyBorder="1" applyAlignment="1">
      <alignment horizontal="center"/>
    </xf>
    <xf numFmtId="0" fontId="26" fillId="9" borderId="72" xfId="0" applyFont="1" applyFill="1" applyBorder="1" applyAlignment="1">
      <alignment horizont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top"/>
    </xf>
    <xf numFmtId="0" fontId="9" fillId="2" borderId="3" xfId="3" applyFont="1" applyFill="1" applyBorder="1" applyAlignment="1">
      <alignment horizontal="center" vertical="center"/>
    </xf>
    <xf numFmtId="0" fontId="9" fillId="2" borderId="4" xfId="3" applyFont="1" applyFill="1" applyBorder="1" applyAlignment="1">
      <alignment horizontal="center" vertical="center"/>
    </xf>
    <xf numFmtId="0" fontId="9" fillId="2" borderId="83" xfId="3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83" xfId="0" applyFont="1" applyFill="1" applyBorder="1" applyAlignment="1">
      <alignment horizontal="center" vertical="center" wrapText="1"/>
    </xf>
    <xf numFmtId="166" fontId="9" fillId="0" borderId="51" xfId="4" applyNumberFormat="1" applyFont="1" applyBorder="1" applyAlignment="1">
      <alignment horizontal="center" vertical="center" wrapText="1"/>
    </xf>
    <xf numFmtId="166" fontId="9" fillId="0" borderId="52" xfId="4" applyNumberFormat="1" applyFont="1" applyBorder="1" applyAlignment="1">
      <alignment horizontal="center" vertical="center" wrapText="1"/>
    </xf>
    <xf numFmtId="0" fontId="20" fillId="7" borderId="53" xfId="0" applyFont="1" applyFill="1" applyBorder="1" applyAlignment="1">
      <alignment horizontal="left" vertical="center"/>
    </xf>
    <xf numFmtId="0" fontId="20" fillId="7" borderId="53" xfId="0" applyFont="1" applyFill="1" applyBorder="1" applyAlignment="1">
      <alignment vertical="center"/>
    </xf>
    <xf numFmtId="0" fontId="20" fillId="7" borderId="0" xfId="0" applyFont="1" applyFill="1" applyAlignment="1">
      <alignment vertical="center"/>
    </xf>
    <xf numFmtId="0" fontId="21" fillId="7" borderId="53" xfId="0" applyFont="1" applyFill="1" applyBorder="1" applyAlignment="1">
      <alignment horizontal="left" vertical="top"/>
    </xf>
    <xf numFmtId="0" fontId="23" fillId="7" borderId="53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0" fillId="0" borderId="2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7" xfId="0" applyBorder="1" applyAlignment="1">
      <alignment horizontal="left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4" xfId="0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44" fontId="0" fillId="0" borderId="26" xfId="8" applyFont="1" applyBorder="1" applyAlignment="1">
      <alignment horizontal="center"/>
    </xf>
    <xf numFmtId="44" fontId="0" fillId="0" borderId="27" xfId="8" applyFont="1" applyBorder="1" applyAlignment="1">
      <alignment horizontal="center"/>
    </xf>
    <xf numFmtId="44" fontId="0" fillId="0" borderId="29" xfId="8" applyFont="1" applyBorder="1" applyAlignment="1">
      <alignment horizontal="center"/>
    </xf>
    <xf numFmtId="44" fontId="0" fillId="0" borderId="31" xfId="8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2" fillId="16" borderId="77" xfId="0" applyFont="1" applyFill="1" applyBorder="1" applyAlignment="1">
      <alignment horizontal="left" vertical="center" wrapText="1"/>
    </xf>
    <xf numFmtId="0" fontId="32" fillId="0" borderId="77" xfId="0" applyFont="1" applyBorder="1" applyAlignment="1">
      <alignment horizontal="left" vertical="center" wrapText="1"/>
    </xf>
    <xf numFmtId="0" fontId="32" fillId="0" borderId="77" xfId="0" applyFont="1" applyBorder="1" applyAlignment="1">
      <alignment horizontal="center" vertical="center"/>
    </xf>
    <xf numFmtId="44" fontId="32" fillId="0" borderId="77" xfId="8" applyFont="1" applyBorder="1" applyAlignment="1">
      <alignment vertical="center"/>
    </xf>
    <xf numFmtId="44" fontId="32" fillId="0" borderId="64" xfId="8" applyFont="1" applyBorder="1" applyAlignment="1">
      <alignment vertical="center"/>
    </xf>
    <xf numFmtId="44" fontId="32" fillId="0" borderId="50" xfId="8" applyFont="1" applyBorder="1" applyAlignment="1">
      <alignment vertical="center"/>
    </xf>
    <xf numFmtId="3" fontId="33" fillId="0" borderId="0" xfId="0" applyNumberFormat="1" applyFont="1"/>
    <xf numFmtId="0" fontId="33" fillId="0" borderId="0" xfId="0" applyFont="1"/>
    <xf numFmtId="1" fontId="32" fillId="12" borderId="49" xfId="0" applyNumberFormat="1" applyFont="1" applyFill="1" applyBorder="1" applyAlignment="1">
      <alignment vertical="center"/>
    </xf>
    <xf numFmtId="1" fontId="32" fillId="12" borderId="64" xfId="0" applyNumberFormat="1" applyFont="1" applyFill="1" applyBorder="1" applyAlignment="1">
      <alignment vertical="center"/>
    </xf>
    <xf numFmtId="44" fontId="32" fillId="12" borderId="64" xfId="8" applyFont="1" applyFill="1" applyBorder="1" applyAlignment="1">
      <alignment vertical="center"/>
    </xf>
    <xf numFmtId="44" fontId="32" fillId="14" borderId="64" xfId="8" applyFont="1" applyFill="1" applyBorder="1" applyAlignment="1">
      <alignment vertical="center"/>
    </xf>
    <xf numFmtId="9" fontId="32" fillId="13" borderId="64" xfId="1" applyFont="1" applyFill="1" applyBorder="1" applyAlignment="1">
      <alignment vertical="center"/>
    </xf>
    <xf numFmtId="44" fontId="32" fillId="13" borderId="64" xfId="8" applyFont="1" applyFill="1" applyBorder="1" applyAlignment="1">
      <alignment vertical="center"/>
    </xf>
    <xf numFmtId="44" fontId="32" fillId="13" borderId="50" xfId="8" applyFont="1" applyFill="1" applyBorder="1" applyAlignment="1">
      <alignment vertical="center"/>
    </xf>
    <xf numFmtId="10" fontId="32" fillId="14" borderId="14" xfId="0" applyNumberFormat="1" applyFont="1" applyFill="1" applyBorder="1" applyAlignment="1">
      <alignment horizontal="center" vertical="center"/>
    </xf>
    <xf numFmtId="10" fontId="32" fillId="14" borderId="77" xfId="0" applyNumberFormat="1" applyFont="1" applyFill="1" applyBorder="1" applyAlignment="1">
      <alignment horizontal="center" vertical="center"/>
    </xf>
    <xf numFmtId="1" fontId="32" fillId="12" borderId="11" xfId="0" applyNumberFormat="1" applyFont="1" applyFill="1" applyBorder="1" applyAlignment="1">
      <alignment vertical="center"/>
    </xf>
    <xf numFmtId="44" fontId="32" fillId="12" borderId="11" xfId="8" applyFont="1" applyFill="1" applyBorder="1" applyAlignment="1">
      <alignment vertical="center"/>
    </xf>
    <xf numFmtId="44" fontId="32" fillId="14" borderId="11" xfId="8" applyFont="1" applyFill="1" applyBorder="1" applyAlignment="1">
      <alignment vertical="center"/>
    </xf>
    <xf numFmtId="9" fontId="32" fillId="13" borderId="11" xfId="1" applyFont="1" applyFill="1" applyBorder="1" applyAlignment="1">
      <alignment vertical="center"/>
    </xf>
    <xf numFmtId="44" fontId="32" fillId="13" borderId="11" xfId="8" applyFont="1" applyFill="1" applyBorder="1" applyAlignment="1">
      <alignment vertical="center"/>
    </xf>
    <xf numFmtId="44" fontId="32" fillId="13" borderId="77" xfId="8" applyFont="1" applyFill="1" applyBorder="1" applyAlignment="1">
      <alignment vertical="center"/>
    </xf>
    <xf numFmtId="10" fontId="32" fillId="14" borderId="0" xfId="0" applyNumberFormat="1" applyFont="1" applyFill="1" applyAlignment="1">
      <alignment horizontal="center" vertical="center"/>
    </xf>
    <xf numFmtId="0" fontId="34" fillId="10" borderId="17" xfId="0" applyFont="1" applyFill="1" applyBorder="1" applyAlignment="1">
      <alignment horizontal="left"/>
    </xf>
    <xf numFmtId="0" fontId="34" fillId="10" borderId="18" xfId="0" applyFont="1" applyFill="1" applyBorder="1" applyAlignment="1">
      <alignment horizontal="left"/>
    </xf>
    <xf numFmtId="170" fontId="34" fillId="10" borderId="18" xfId="0" applyNumberFormat="1" applyFont="1" applyFill="1" applyBorder="1" applyAlignment="1">
      <alignment horizontal="right"/>
    </xf>
    <xf numFmtId="170" fontId="34" fillId="10" borderId="85" xfId="0" applyNumberFormat="1" applyFont="1" applyFill="1" applyBorder="1" applyAlignment="1">
      <alignment horizontal="right"/>
    </xf>
    <xf numFmtId="0" fontId="34" fillId="10" borderId="74" xfId="0" applyFont="1" applyFill="1" applyBorder="1" applyAlignment="1">
      <alignment horizontal="left"/>
    </xf>
    <xf numFmtId="0" fontId="34" fillId="10" borderId="70" xfId="0" applyFont="1" applyFill="1" applyBorder="1" applyAlignment="1">
      <alignment horizontal="left"/>
    </xf>
    <xf numFmtId="44" fontId="34" fillId="10" borderId="70" xfId="0" applyNumberFormat="1" applyFont="1" applyFill="1" applyBorder="1" applyAlignment="1">
      <alignment horizontal="right"/>
    </xf>
    <xf numFmtId="44" fontId="35" fillId="14" borderId="70" xfId="0" applyNumberFormat="1" applyFont="1" applyFill="1" applyBorder="1"/>
    <xf numFmtId="0" fontId="33" fillId="13" borderId="70" xfId="0" applyFont="1" applyFill="1" applyBorder="1"/>
    <xf numFmtId="44" fontId="35" fillId="13" borderId="70" xfId="0" applyNumberFormat="1" applyFont="1" applyFill="1" applyBorder="1"/>
    <xf numFmtId="44" fontId="35" fillId="13" borderId="75" xfId="8" applyFont="1" applyFill="1" applyBorder="1"/>
    <xf numFmtId="0" fontId="34" fillId="9" borderId="15" xfId="0" applyFont="1" applyFill="1" applyBorder="1" applyAlignment="1">
      <alignment horizontal="left"/>
    </xf>
    <xf numFmtId="0" fontId="34" fillId="9" borderId="16" xfId="0" applyFont="1" applyFill="1" applyBorder="1" applyAlignment="1">
      <alignment horizontal="left"/>
    </xf>
    <xf numFmtId="44" fontId="34" fillId="9" borderId="0" xfId="0" applyNumberFormat="1" applyFont="1" applyFill="1" applyAlignment="1">
      <alignment horizontal="right"/>
    </xf>
    <xf numFmtId="44" fontId="34" fillId="9" borderId="20" xfId="0" applyNumberFormat="1" applyFont="1" applyFill="1" applyBorder="1" applyAlignment="1">
      <alignment horizontal="right"/>
    </xf>
    <xf numFmtId="0" fontId="34" fillId="9" borderId="49" xfId="0" applyFont="1" applyFill="1" applyBorder="1" applyAlignment="1">
      <alignment horizontal="left"/>
    </xf>
    <xf numFmtId="0" fontId="34" fillId="9" borderId="64" xfId="0" applyFont="1" applyFill="1" applyBorder="1" applyAlignment="1">
      <alignment horizontal="left"/>
    </xf>
    <xf numFmtId="44" fontId="34" fillId="9" borderId="64" xfId="0" applyNumberFormat="1" applyFont="1" applyFill="1" applyBorder="1" applyAlignment="1">
      <alignment horizontal="right"/>
    </xf>
    <xf numFmtId="44" fontId="35" fillId="14" borderId="64" xfId="0" applyNumberFormat="1" applyFont="1" applyFill="1" applyBorder="1"/>
    <xf numFmtId="0" fontId="33" fillId="13" borderId="64" xfId="0" applyFont="1" applyFill="1" applyBorder="1"/>
    <xf numFmtId="44" fontId="35" fillId="13" borderId="64" xfId="0" applyNumberFormat="1" applyFont="1" applyFill="1" applyBorder="1"/>
    <xf numFmtId="44" fontId="35" fillId="13" borderId="50" xfId="8" applyFont="1" applyFill="1" applyBorder="1"/>
    <xf numFmtId="0" fontId="34" fillId="9" borderId="15" xfId="0" applyFont="1" applyFill="1" applyBorder="1" applyAlignment="1">
      <alignment horizontal="center"/>
    </xf>
    <xf numFmtId="0" fontId="34" fillId="9" borderId="16" xfId="0" applyFont="1" applyFill="1" applyBorder="1" applyAlignment="1">
      <alignment horizontal="center"/>
    </xf>
    <xf numFmtId="0" fontId="34" fillId="9" borderId="84" xfId="0" applyFont="1" applyFill="1" applyBorder="1" applyAlignment="1">
      <alignment horizontal="center"/>
    </xf>
    <xf numFmtId="0" fontId="34" fillId="9" borderId="38" xfId="0" applyFont="1" applyFill="1" applyBorder="1" applyAlignment="1">
      <alignment horizontal="center"/>
    </xf>
    <xf numFmtId="0" fontId="34" fillId="9" borderId="37" xfId="0" applyFont="1" applyFill="1" applyBorder="1" applyAlignment="1">
      <alignment horizontal="center"/>
    </xf>
    <xf numFmtId="0" fontId="34" fillId="9" borderId="39" xfId="0" applyFont="1" applyFill="1" applyBorder="1" applyAlignment="1">
      <alignment horizontal="center"/>
    </xf>
    <xf numFmtId="0" fontId="34" fillId="10" borderId="15" xfId="0" applyFont="1" applyFill="1" applyBorder="1" applyAlignment="1">
      <alignment horizontal="left"/>
    </xf>
    <xf numFmtId="0" fontId="34" fillId="10" borderId="16" xfId="0" applyFont="1" applyFill="1" applyBorder="1" applyAlignment="1">
      <alignment horizontal="left"/>
    </xf>
    <xf numFmtId="0" fontId="34" fillId="10" borderId="67" xfId="0" applyFont="1" applyFill="1" applyBorder="1" applyAlignment="1">
      <alignment horizontal="left"/>
    </xf>
    <xf numFmtId="0" fontId="35" fillId="11" borderId="68" xfId="0" applyFont="1" applyFill="1" applyBorder="1" applyAlignment="1">
      <alignment horizontal="center" vertical="center"/>
    </xf>
    <xf numFmtId="0" fontId="35" fillId="11" borderId="37" xfId="0" applyFont="1" applyFill="1" applyBorder="1" applyAlignment="1">
      <alignment horizontal="center" vertical="center"/>
    </xf>
    <xf numFmtId="0" fontId="35" fillId="11" borderId="84" xfId="0" applyFont="1" applyFill="1" applyBorder="1" applyAlignment="1">
      <alignment horizontal="center" vertical="center"/>
    </xf>
    <xf numFmtId="0" fontId="34" fillId="10" borderId="71" xfId="0" applyFont="1" applyFill="1" applyBorder="1" applyAlignment="1">
      <alignment horizontal="left"/>
    </xf>
    <xf numFmtId="0" fontId="34" fillId="10" borderId="69" xfId="0" applyFont="1" applyFill="1" applyBorder="1" applyAlignment="1">
      <alignment horizontal="left"/>
    </xf>
    <xf numFmtId="0" fontId="34" fillId="10" borderId="72" xfId="0" applyFont="1" applyFill="1" applyBorder="1" applyAlignment="1">
      <alignment horizontal="left"/>
    </xf>
    <xf numFmtId="0" fontId="36" fillId="11" borderId="14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2" fillId="0" borderId="77" xfId="0" applyFont="1" applyBorder="1" applyAlignment="1">
      <alignment vertical="center"/>
    </xf>
    <xf numFmtId="0" fontId="36" fillId="0" borderId="0" xfId="0" applyFont="1"/>
    <xf numFmtId="8" fontId="32" fillId="12" borderId="11" xfId="0" applyNumberFormat="1" applyFont="1" applyFill="1" applyBorder="1"/>
    <xf numFmtId="44" fontId="32" fillId="12" borderId="13" xfId="0" applyNumberFormat="1" applyFont="1" applyFill="1" applyBorder="1"/>
    <xf numFmtId="0" fontId="32" fillId="16" borderId="81" xfId="0" applyFont="1" applyFill="1" applyBorder="1" applyAlignment="1">
      <alignment horizontal="left" vertical="center" wrapText="1"/>
    </xf>
    <xf numFmtId="0" fontId="32" fillId="0" borderId="65" xfId="0" applyFont="1" applyBorder="1" applyAlignment="1">
      <alignment horizontal="left" vertical="center" wrapText="1"/>
    </xf>
    <xf numFmtId="0" fontId="32" fillId="0" borderId="65" xfId="0" applyFont="1" applyBorder="1" applyAlignment="1">
      <alignment vertical="center"/>
    </xf>
    <xf numFmtId="44" fontId="32" fillId="0" borderId="65" xfId="8" applyFont="1" applyBorder="1" applyAlignment="1">
      <alignment vertical="center"/>
    </xf>
    <xf numFmtId="44" fontId="32" fillId="0" borderId="82" xfId="8" applyFont="1" applyBorder="1" applyAlignment="1">
      <alignment vertical="center"/>
    </xf>
    <xf numFmtId="1" fontId="32" fillId="12" borderId="19" xfId="0" applyNumberFormat="1" applyFont="1" applyFill="1" applyBorder="1" applyAlignment="1">
      <alignment vertical="center"/>
    </xf>
    <xf numFmtId="1" fontId="32" fillId="12" borderId="78" xfId="0" applyNumberFormat="1" applyFont="1" applyFill="1" applyBorder="1" applyAlignment="1">
      <alignment vertical="center"/>
    </xf>
    <xf numFmtId="44" fontId="32" fillId="12" borderId="78" xfId="8" applyFont="1" applyFill="1" applyBorder="1" applyAlignment="1">
      <alignment vertical="center"/>
    </xf>
    <xf numFmtId="44" fontId="32" fillId="14" borderId="78" xfId="8" applyFont="1" applyFill="1" applyBorder="1" applyAlignment="1">
      <alignment vertical="center"/>
    </xf>
    <xf numFmtId="9" fontId="32" fillId="13" borderId="78" xfId="1" applyFont="1" applyFill="1" applyBorder="1" applyAlignment="1">
      <alignment vertical="center"/>
    </xf>
    <xf numFmtId="44" fontId="32" fillId="13" borderId="78" xfId="8" applyFont="1" applyFill="1" applyBorder="1" applyAlignment="1">
      <alignment vertical="center"/>
    </xf>
    <xf numFmtId="44" fontId="32" fillId="13" borderId="82" xfId="8" applyFont="1" applyFill="1" applyBorder="1" applyAlignment="1">
      <alignment vertical="center"/>
    </xf>
    <xf numFmtId="0" fontId="32" fillId="16" borderId="66" xfId="0" applyFont="1" applyFill="1" applyBorder="1" applyAlignment="1">
      <alignment horizontal="left" vertical="center" wrapText="1"/>
    </xf>
    <xf numFmtId="44" fontId="32" fillId="0" borderId="73" xfId="8" applyFont="1" applyBorder="1" applyAlignment="1">
      <alignment vertical="center"/>
    </xf>
    <xf numFmtId="1" fontId="32" fillId="12" borderId="80" xfId="0" applyNumberFormat="1" applyFont="1" applyFill="1" applyBorder="1" applyAlignment="1">
      <alignment vertical="center"/>
    </xf>
    <xf numFmtId="44" fontId="32" fillId="13" borderId="73" xfId="8" applyFont="1" applyFill="1" applyBorder="1" applyAlignment="1">
      <alignment vertical="center"/>
    </xf>
    <xf numFmtId="0" fontId="34" fillId="10" borderId="19" xfId="0" applyFont="1" applyFill="1" applyBorder="1" applyAlignment="1">
      <alignment horizontal="left"/>
    </xf>
    <xf numFmtId="0" fontId="34" fillId="10" borderId="0" xfId="0" applyFont="1" applyFill="1" applyAlignment="1">
      <alignment horizontal="left"/>
    </xf>
    <xf numFmtId="170" fontId="34" fillId="10" borderId="0" xfId="0" applyNumberFormat="1" applyFont="1" applyFill="1" applyAlignment="1">
      <alignment horizontal="right"/>
    </xf>
    <xf numFmtId="170" fontId="34" fillId="10" borderId="20" xfId="0" applyNumberFormat="1" applyFont="1" applyFill="1" applyBorder="1" applyAlignment="1">
      <alignment horizontal="right"/>
    </xf>
    <xf numFmtId="0" fontId="34" fillId="10" borderId="81" xfId="0" applyFont="1" applyFill="1" applyBorder="1" applyAlignment="1">
      <alignment horizontal="left"/>
    </xf>
    <xf numFmtId="0" fontId="34" fillId="10" borderId="65" xfId="0" applyFont="1" applyFill="1" applyBorder="1" applyAlignment="1">
      <alignment horizontal="left"/>
    </xf>
    <xf numFmtId="44" fontId="34" fillId="10" borderId="65" xfId="0" applyNumberFormat="1" applyFont="1" applyFill="1" applyBorder="1" applyAlignment="1">
      <alignment horizontal="right"/>
    </xf>
    <xf numFmtId="44" fontId="35" fillId="14" borderId="65" xfId="0" applyNumberFormat="1" applyFont="1" applyFill="1" applyBorder="1"/>
    <xf numFmtId="0" fontId="33" fillId="13" borderId="65" xfId="0" applyFont="1" applyFill="1" applyBorder="1"/>
    <xf numFmtId="44" fontId="35" fillId="13" borderId="65" xfId="0" applyNumberFormat="1" applyFont="1" applyFill="1" applyBorder="1"/>
    <xf numFmtId="44" fontId="35" fillId="13" borderId="82" xfId="8" applyFont="1" applyFill="1" applyBorder="1"/>
    <xf numFmtId="0" fontId="34" fillId="9" borderId="60" xfId="0" applyFont="1" applyFill="1" applyBorder="1" applyAlignment="1">
      <alignment horizontal="center"/>
    </xf>
    <xf numFmtId="0" fontId="34" fillId="9" borderId="0" xfId="0" applyFont="1" applyFill="1" applyAlignment="1">
      <alignment horizontal="center"/>
    </xf>
    <xf numFmtId="0" fontId="34" fillId="10" borderId="84" xfId="0" applyFont="1" applyFill="1" applyBorder="1" applyAlignment="1">
      <alignment horizontal="left"/>
    </xf>
    <xf numFmtId="0" fontId="32" fillId="0" borderId="49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2" fillId="0" borderId="64" xfId="0" applyFont="1" applyBorder="1" applyAlignment="1">
      <alignment vertical="center"/>
    </xf>
    <xf numFmtId="1" fontId="32" fillId="12" borderId="79" xfId="0" applyNumberFormat="1" applyFont="1" applyFill="1" applyBorder="1" applyAlignment="1">
      <alignment vertical="center"/>
    </xf>
    <xf numFmtId="1" fontId="32" fillId="12" borderId="76" xfId="0" applyNumberFormat="1" applyFont="1" applyFill="1" applyBorder="1" applyAlignment="1">
      <alignment vertical="center"/>
    </xf>
    <xf numFmtId="44" fontId="32" fillId="12" borderId="76" xfId="8" applyFont="1" applyFill="1" applyBorder="1" applyAlignment="1">
      <alignment vertical="center"/>
    </xf>
    <xf numFmtId="44" fontId="32" fillId="14" borderId="76" xfId="8" applyFont="1" applyFill="1" applyBorder="1" applyAlignment="1">
      <alignment vertical="center"/>
    </xf>
    <xf numFmtId="9" fontId="32" fillId="13" borderId="76" xfId="1" applyFont="1" applyFill="1" applyBorder="1" applyAlignment="1">
      <alignment vertical="center"/>
    </xf>
    <xf numFmtId="44" fontId="32" fillId="13" borderId="76" xfId="8" applyFont="1" applyFill="1" applyBorder="1" applyAlignment="1">
      <alignment vertical="center"/>
    </xf>
    <xf numFmtId="0" fontId="32" fillId="0" borderId="66" xfId="0" applyFont="1" applyBorder="1" applyAlignment="1">
      <alignment horizontal="left" vertical="center" wrapText="1"/>
    </xf>
    <xf numFmtId="10" fontId="32" fillId="14" borderId="35" xfId="0" applyNumberFormat="1" applyFont="1" applyFill="1" applyBorder="1" applyAlignment="1">
      <alignment horizontal="center" vertical="center"/>
    </xf>
    <xf numFmtId="10" fontId="32" fillId="14" borderId="64" xfId="0" applyNumberFormat="1" applyFont="1" applyFill="1" applyBorder="1" applyAlignment="1">
      <alignment horizontal="center" vertical="center"/>
    </xf>
    <xf numFmtId="0" fontId="34" fillId="10" borderId="79" xfId="0" applyFont="1" applyFill="1" applyBorder="1" applyAlignment="1">
      <alignment horizontal="left"/>
    </xf>
    <xf numFmtId="0" fontId="34" fillId="10" borderId="12" xfId="0" applyFont="1" applyFill="1" applyBorder="1" applyAlignment="1">
      <alignment horizontal="left"/>
    </xf>
    <xf numFmtId="44" fontId="34" fillId="10" borderId="0" xfId="0" applyNumberFormat="1" applyFont="1" applyFill="1" applyAlignment="1">
      <alignment horizontal="right"/>
    </xf>
    <xf numFmtId="44" fontId="35" fillId="14" borderId="0" xfId="0" applyNumberFormat="1" applyFont="1" applyFill="1"/>
    <xf numFmtId="0" fontId="33" fillId="13" borderId="0" xfId="0" applyFont="1" applyFill="1"/>
    <xf numFmtId="44" fontId="35" fillId="13" borderId="0" xfId="0" applyNumberFormat="1" applyFont="1" applyFill="1"/>
    <xf numFmtId="44" fontId="35" fillId="13" borderId="0" xfId="8" applyFont="1" applyFill="1" applyBorder="1"/>
    <xf numFmtId="44" fontId="34" fillId="15" borderId="15" xfId="8" applyFont="1" applyFill="1" applyBorder="1" applyAlignment="1">
      <alignment horizontal="center"/>
    </xf>
    <xf numFmtId="44" fontId="34" fillId="15" borderId="84" xfId="8" applyFont="1" applyFill="1" applyBorder="1" applyAlignment="1">
      <alignment horizontal="center"/>
    </xf>
    <xf numFmtId="0" fontId="34" fillId="15" borderId="5" xfId="0" applyFont="1" applyFill="1" applyBorder="1"/>
    <xf numFmtId="0" fontId="34" fillId="15" borderId="46" xfId="0" applyFont="1" applyFill="1" applyBorder="1"/>
    <xf numFmtId="44" fontId="34" fillId="15" borderId="46" xfId="0" applyNumberFormat="1" applyFont="1" applyFill="1" applyBorder="1"/>
    <xf numFmtId="44" fontId="34" fillId="15" borderId="83" xfId="0" applyNumberFormat="1" applyFont="1" applyFill="1" applyBorder="1"/>
    <xf numFmtId="9" fontId="34" fillId="15" borderId="17" xfId="1" applyFont="1" applyFill="1" applyBorder="1"/>
    <xf numFmtId="44" fontId="34" fillId="15" borderId="85" xfId="8" applyFont="1" applyFill="1" applyBorder="1"/>
    <xf numFmtId="0" fontId="0" fillId="0" borderId="0" xfId="0" applyAlignment="1">
      <alignment horizontal="center" vertical="center"/>
    </xf>
    <xf numFmtId="0" fontId="0" fillId="0" borderId="77" xfId="0" applyBorder="1" applyAlignment="1">
      <alignment horizontal="center" vertical="center"/>
    </xf>
    <xf numFmtId="170" fontId="40" fillId="0" borderId="77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70" fontId="38" fillId="0" borderId="7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0" fontId="0" fillId="0" borderId="0" xfId="0" applyNumberFormat="1"/>
    <xf numFmtId="170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170" fontId="37" fillId="0" borderId="64" xfId="0" applyNumberFormat="1" applyFont="1" applyBorder="1" applyAlignment="1">
      <alignment horizontal="center" vertical="center"/>
    </xf>
    <xf numFmtId="170" fontId="39" fillId="0" borderId="64" xfId="0" applyNumberFormat="1" applyFont="1" applyBorder="1" applyAlignment="1">
      <alignment horizontal="center" vertical="center"/>
    </xf>
    <xf numFmtId="170" fontId="37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170" fontId="37" fillId="16" borderId="10" xfId="0" applyNumberFormat="1" applyFont="1" applyFill="1" applyBorder="1" applyAlignment="1">
      <alignment horizontal="center" vertical="center"/>
    </xf>
    <xf numFmtId="170" fontId="36" fillId="16" borderId="5" xfId="0" applyNumberFormat="1" applyFont="1" applyFill="1" applyBorder="1" applyAlignment="1">
      <alignment horizontal="center" vertical="center"/>
    </xf>
    <xf numFmtId="9" fontId="36" fillId="0" borderId="0" xfId="1" applyFont="1" applyAlignment="1">
      <alignment horizontal="center" vertical="center"/>
    </xf>
    <xf numFmtId="0" fontId="42" fillId="0" borderId="0" xfId="0" applyFont="1"/>
    <xf numFmtId="0" fontId="42" fillId="0" borderId="0" xfId="0" applyFont="1" applyAlignment="1">
      <alignment horizontal="center"/>
    </xf>
    <xf numFmtId="16" fontId="42" fillId="17" borderId="15" xfId="0" applyNumberFormat="1" applyFont="1" applyFill="1" applyBorder="1"/>
    <xf numFmtId="16" fontId="42" fillId="17" borderId="16" xfId="0" applyNumberFormat="1" applyFont="1" applyFill="1" applyBorder="1"/>
    <xf numFmtId="44" fontId="42" fillId="0" borderId="84" xfId="0" applyNumberFormat="1" applyFont="1" applyBorder="1" applyAlignment="1">
      <alignment horizontal="center" vertical="center"/>
    </xf>
    <xf numFmtId="16" fontId="42" fillId="18" borderId="17" xfId="0" applyNumberFormat="1" applyFont="1" applyFill="1" applyBorder="1"/>
    <xf numFmtId="16" fontId="42" fillId="18" borderId="18" xfId="0" applyNumberFormat="1" applyFont="1" applyFill="1" applyBorder="1"/>
    <xf numFmtId="0" fontId="42" fillId="0" borderId="85" xfId="0" applyFont="1" applyBorder="1" applyAlignment="1">
      <alignment horizontal="center" vertical="center"/>
    </xf>
    <xf numFmtId="0" fontId="42" fillId="19" borderId="19" xfId="0" applyFont="1" applyFill="1" applyBorder="1" applyAlignment="1">
      <alignment horizontal="right"/>
    </xf>
    <xf numFmtId="0" fontId="42" fillId="19" borderId="0" xfId="0" applyFont="1" applyFill="1" applyAlignment="1">
      <alignment horizontal="right"/>
    </xf>
    <xf numFmtId="0" fontId="26" fillId="20" borderId="17" xfId="0" applyFont="1" applyFill="1" applyBorder="1"/>
    <xf numFmtId="0" fontId="26" fillId="20" borderId="18" xfId="0" applyFont="1" applyFill="1" applyBorder="1"/>
    <xf numFmtId="0" fontId="6" fillId="0" borderId="0" xfId="2" applyFont="1" applyAlignment="1" applyProtection="1">
      <alignment horizontal="left" vertical="center"/>
      <protection locked="0"/>
    </xf>
    <xf numFmtId="14" fontId="6" fillId="0" borderId="0" xfId="2" applyNumberFormat="1" applyFont="1" applyAlignment="1" applyProtection="1">
      <alignment horizontal="left" vertical="center"/>
      <protection locked="0"/>
    </xf>
    <xf numFmtId="0" fontId="42" fillId="16" borderId="0" xfId="0" applyFont="1" applyFill="1"/>
    <xf numFmtId="164" fontId="6" fillId="0" borderId="77" xfId="2" applyNumberFormat="1" applyFont="1" applyBorder="1" applyAlignment="1" applyProtection="1">
      <alignment horizontal="left" vertical="center"/>
      <protection locked="0"/>
    </xf>
    <xf numFmtId="44" fontId="17" fillId="0" borderId="77" xfId="0" applyNumberFormat="1" applyFont="1" applyBorder="1"/>
    <xf numFmtId="9" fontId="17" fillId="0" borderId="10" xfId="1" applyFont="1" applyBorder="1" applyAlignment="1">
      <alignment horizontal="center"/>
    </xf>
    <xf numFmtId="44" fontId="17" fillId="16" borderId="0" xfId="0" applyNumberFormat="1" applyFont="1" applyFill="1"/>
    <xf numFmtId="44" fontId="42" fillId="0" borderId="0" xfId="0" applyNumberFormat="1" applyFont="1"/>
    <xf numFmtId="0" fontId="6" fillId="0" borderId="88" xfId="2" applyFont="1" applyBorder="1" applyAlignment="1" applyProtection="1">
      <alignment horizontal="left" vertical="center"/>
      <protection locked="0"/>
    </xf>
    <xf numFmtId="14" fontId="7" fillId="0" borderId="87" xfId="2" applyNumberFormat="1" applyFont="1" applyBorder="1" applyAlignment="1" applyProtection="1">
      <alignment horizontal="left" vertical="center"/>
      <protection locked="0"/>
    </xf>
    <xf numFmtId="0" fontId="6" fillId="0" borderId="89" xfId="2" applyFont="1" applyBorder="1" applyAlignment="1" applyProtection="1">
      <alignment horizontal="left" vertical="center"/>
      <protection locked="0"/>
    </xf>
    <xf numFmtId="0" fontId="7" fillId="0" borderId="86" xfId="2" applyFont="1" applyBorder="1" applyAlignment="1" applyProtection="1">
      <alignment horizontal="left" vertical="center"/>
      <protection locked="0"/>
    </xf>
    <xf numFmtId="0" fontId="26" fillId="11" borderId="77" xfId="0" applyFont="1" applyFill="1" applyBorder="1" applyAlignment="1">
      <alignment horizontal="center"/>
    </xf>
    <xf numFmtId="0" fontId="17" fillId="11" borderId="77" xfId="0" applyFont="1" applyFill="1" applyBorder="1" applyAlignment="1">
      <alignment horizontal="center"/>
    </xf>
    <xf numFmtId="44" fontId="17" fillId="11" borderId="77" xfId="0" applyNumberFormat="1" applyFont="1" applyFill="1" applyBorder="1" applyAlignment="1">
      <alignment horizontal="center"/>
    </xf>
  </cellXfs>
  <cellStyles count="18">
    <cellStyle name="Moeda" xfId="8" builtinId="4"/>
    <cellStyle name="Moeda 2" xfId="4" xr:uid="{88D8EF41-8435-41DD-B95B-CB2197D8CF8B}"/>
    <cellStyle name="Moeda 3" xfId="9" xr:uid="{18A079E9-578A-4840-BD6F-5C55BE5AE376}"/>
    <cellStyle name="Moeda 3 2" xfId="15" xr:uid="{53D7C568-CC58-4B15-B9DD-1867C128147F}"/>
    <cellStyle name="Moeda 4" xfId="6" xr:uid="{87039FAF-445E-422B-A516-66BA7E305CF9}"/>
    <cellStyle name="Moeda 4 2" xfId="10" xr:uid="{636A40C2-255F-46EF-84CA-98953AE8866B}"/>
    <cellStyle name="Moeda 4 2 2" xfId="16" xr:uid="{7BDB4489-6168-4BE0-A964-5DE628ED1876}"/>
    <cellStyle name="Moeda 5" xfId="11" xr:uid="{2124AE60-0557-4AC3-B48A-633CB17E3340}"/>
    <cellStyle name="Moeda 5 2" xfId="17" xr:uid="{0C993D40-EFA9-480A-9766-C4BE8F04E4F7}"/>
    <cellStyle name="Moeda 6" xfId="14" xr:uid="{574A822A-71B7-46B2-A0C3-1C5E8591DADA}"/>
    <cellStyle name="Normal" xfId="0" builtinId="0"/>
    <cellStyle name="Normal 2" xfId="2" xr:uid="{BD42359E-6099-413E-81D2-0E0BA4C03DB2}"/>
    <cellStyle name="Normal 3" xfId="7" xr:uid="{68151FFA-A329-4F7F-B412-27BE57253D9C}"/>
    <cellStyle name="Normal 3 2" xfId="13" xr:uid="{EDD1A25C-4E09-47DE-9478-AA6861AFB48F}"/>
    <cellStyle name="Normal 6" xfId="12" xr:uid="{2888F636-9924-454F-857E-E38553BD81CD}"/>
    <cellStyle name="Normal_Plan1" xfId="3" xr:uid="{ABCD160A-D73A-4213-9DF3-17A45862579B}"/>
    <cellStyle name="Porcentagem" xfId="1" builtinId="5"/>
    <cellStyle name="Porcentagem 2" xfId="5" xr:uid="{58C97418-D6D1-4F2E-95E9-1B0ADE8B90D4}"/>
  </cellStyles>
  <dxfs count="0"/>
  <tableStyles count="0" defaultTableStyle="TableStyleMedium2" defaultPivotStyle="PivotStyleLight16"/>
  <colors>
    <mruColors>
      <color rgb="FFFFFF66"/>
      <color rgb="FFCCFFCC"/>
      <color rgb="FF0099FF"/>
      <color rgb="FF99FF99"/>
      <color rgb="FFFFFFFF"/>
      <color rgb="FF0476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673100</xdr:colOff>
          <xdr:row>0</xdr:row>
          <xdr:rowOff>137160</xdr:rowOff>
        </xdr:from>
        <xdr:to>
          <xdr:col>5</xdr:col>
          <xdr:colOff>1620520</xdr:colOff>
          <xdr:row>1</xdr:row>
          <xdr:rowOff>53340</xdr:rowOff>
        </xdr:to>
        <xdr:sp macro="" textlink="">
          <xdr:nvSpPr>
            <xdr:cNvPr id="57345" name="Label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0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5</xdr:col>
      <xdr:colOff>250031</xdr:colOff>
      <xdr:row>0</xdr:row>
      <xdr:rowOff>130971</xdr:rowOff>
    </xdr:from>
    <xdr:to>
      <xdr:col>5</xdr:col>
      <xdr:colOff>619123</xdr:colOff>
      <xdr:row>0</xdr:row>
      <xdr:rowOff>500063</xdr:rowOff>
    </xdr:to>
    <xdr:pic macro="[0]!ChamaForm_Menu">
      <xdr:nvPicPr>
        <xdr:cNvPr id="2" name="Imagem 1">
          <a:extLst>
            <a:ext uri="{FF2B5EF4-FFF2-40B4-BE49-F238E27FC236}">
              <a16:creationId xmlns:a16="http://schemas.microsoft.com/office/drawing/2014/main" id="{A131B518-C716-4BCA-8C62-944CDF2E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1" y="130971"/>
          <a:ext cx="369092" cy="3690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32</xdr:col>
          <xdr:colOff>1859280</xdr:colOff>
          <xdr:row>0</xdr:row>
          <xdr:rowOff>175260</xdr:rowOff>
        </xdr:from>
        <xdr:to>
          <xdr:col>32</xdr:col>
          <xdr:colOff>2814320</xdr:colOff>
          <xdr:row>1</xdr:row>
          <xdr:rowOff>99060</xdr:rowOff>
        </xdr:to>
        <xdr:sp macro="" textlink="">
          <xdr:nvSpPr>
            <xdr:cNvPr id="57346" name="Label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0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32</xdr:col>
      <xdr:colOff>1436120</xdr:colOff>
      <xdr:row>0</xdr:row>
      <xdr:rowOff>176216</xdr:rowOff>
    </xdr:from>
    <xdr:to>
      <xdr:col>32</xdr:col>
      <xdr:colOff>1808953</xdr:colOff>
      <xdr:row>0</xdr:row>
      <xdr:rowOff>545308</xdr:rowOff>
    </xdr:to>
    <xdr:pic macro="[0]!ChamaForm_Menu">
      <xdr:nvPicPr>
        <xdr:cNvPr id="3" name="Imagem 2">
          <a:extLst>
            <a:ext uri="{FF2B5EF4-FFF2-40B4-BE49-F238E27FC236}">
              <a16:creationId xmlns:a16="http://schemas.microsoft.com/office/drawing/2014/main" id="{4F4B109B-D9CE-488F-9443-51EC7211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7370" y="176216"/>
          <a:ext cx="372833" cy="369092"/>
        </a:xfrm>
        <a:prstGeom prst="rect">
          <a:avLst/>
        </a:prstGeom>
      </xdr:spPr>
    </xdr:pic>
    <xdr:clientData/>
  </xdr:twoCellAnchor>
  <xdr:twoCellAnchor editAs="oneCell">
    <xdr:from>
      <xdr:col>7</xdr:col>
      <xdr:colOff>218964</xdr:colOff>
      <xdr:row>3</xdr:row>
      <xdr:rowOff>77732</xdr:rowOff>
    </xdr:from>
    <xdr:to>
      <xdr:col>9</xdr:col>
      <xdr:colOff>1586826</xdr:colOff>
      <xdr:row>10</xdr:row>
      <xdr:rowOff>154370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717126F-A3FC-4354-828D-762824F2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464" y="1258832"/>
          <a:ext cx="2256862" cy="1899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238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7000" cy="1238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49</xdr:row>
      <xdr:rowOff>137160</xdr:rowOff>
    </xdr:from>
    <xdr:to>
      <xdr:col>5</xdr:col>
      <xdr:colOff>259080</xdr:colOff>
      <xdr:row>49</xdr:row>
      <xdr:rowOff>137160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396240" y="8717280"/>
          <a:ext cx="199644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487680</xdr:colOff>
      <xdr:row>49</xdr:row>
      <xdr:rowOff>137160</xdr:rowOff>
    </xdr:from>
    <xdr:to>
      <xdr:col>10</xdr:col>
      <xdr:colOff>472440</xdr:colOff>
      <xdr:row>49</xdr:row>
      <xdr:rowOff>137160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3665220" y="8717280"/>
          <a:ext cx="187452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53340</xdr:colOff>
      <xdr:row>1</xdr:row>
      <xdr:rowOff>91440</xdr:rowOff>
    </xdr:from>
    <xdr:ext cx="916651" cy="861060"/>
    <xdr:pic>
      <xdr:nvPicPr>
        <xdr:cNvPr id="4" name="Picture 2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0640" y="198120"/>
          <a:ext cx="916651" cy="861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rtlCol="0" anchor="t">
        <a:noAutofit/>
      </a:bodyPr>
      <a:lstStyle>
        <a:defPPr algn="ctr">
          <a:defRPr sz="1600" b="0">
            <a:latin typeface="Abadi" panose="020B0604020104020204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2D5F-2487-4972-A79F-555803572B78}">
  <sheetPr codeName="Planilha18">
    <pageSetUpPr autoPageBreaks="0"/>
  </sheetPr>
  <dimension ref="A1:AG80"/>
  <sheetViews>
    <sheetView showGridLines="0" topLeftCell="G1" zoomScale="60" zoomScaleNormal="60" workbookViewId="0">
      <pane ySplit="1" topLeftCell="A39" activePane="bottomLeft" state="frozen"/>
      <selection activeCell="AC1" sqref="AC1"/>
      <selection pane="bottomLeft" activeCell="G4" sqref="G4:G11"/>
    </sheetView>
  </sheetViews>
  <sheetFormatPr defaultRowHeight="14.4" x14ac:dyDescent="0.3"/>
  <cols>
    <col min="1" max="1" width="9.88671875" style="84" hidden="1" customWidth="1"/>
    <col min="2" max="2" width="11.44140625" style="84" hidden="1" customWidth="1"/>
    <col min="3" max="3" width="10.44140625" style="84" hidden="1" customWidth="1"/>
    <col min="4" max="4" width="20.109375" style="84" hidden="1" customWidth="1"/>
    <col min="5" max="5" width="11.109375" style="84" hidden="1" customWidth="1"/>
    <col min="6" max="6" width="32.109375" customWidth="1"/>
    <col min="7" max="7" width="70.44140625" bestFit="1" customWidth="1"/>
    <col min="8" max="8" width="5.109375" customWidth="1"/>
    <col min="9" max="9" width="7.33203125" customWidth="1"/>
    <col min="10" max="10" width="23.5546875" bestFit="1" customWidth="1"/>
    <col min="11" max="11" width="27.44140625" customWidth="1"/>
    <col min="12" max="12" width="28.88671875" customWidth="1"/>
    <col min="13" max="13" width="26.5546875" bestFit="1" customWidth="1"/>
    <col min="14" max="14" width="29.88671875" customWidth="1"/>
    <col min="15" max="15" width="0.33203125" hidden="1" customWidth="1"/>
    <col min="16" max="16" width="1" hidden="1" customWidth="1"/>
    <col min="17" max="17" width="10.5546875" bestFit="1" customWidth="1"/>
    <col min="18" max="18" width="7.77734375" bestFit="1" customWidth="1"/>
    <col min="19" max="19" width="23.5546875" bestFit="1" customWidth="1"/>
    <col min="20" max="20" width="27.33203125" customWidth="1"/>
    <col min="21" max="21" width="22.33203125" hidden="1" customWidth="1"/>
    <col min="22" max="22" width="24.5546875" hidden="1" customWidth="1"/>
    <col min="23" max="23" width="22.44140625" hidden="1" customWidth="1"/>
    <col min="24" max="24" width="27.109375" customWidth="1"/>
    <col min="25" max="25" width="27.5546875" hidden="1" customWidth="1"/>
    <col min="26" max="26" width="22.5546875" hidden="1" customWidth="1"/>
    <col min="27" max="27" width="22.109375" hidden="1" customWidth="1"/>
    <col min="28" max="28" width="38.109375" hidden="1" customWidth="1"/>
    <col min="29" max="29" width="1.5546875" hidden="1" customWidth="1"/>
    <col min="30" max="30" width="20.33203125" hidden="1" customWidth="1"/>
    <col min="31" max="31" width="25.33203125" style="310" bestFit="1" customWidth="1"/>
    <col min="32" max="32" width="24.88671875" style="310" bestFit="1" customWidth="1"/>
    <col min="33" max="33" width="54" style="314" bestFit="1" customWidth="1"/>
    <col min="34" max="34" width="21.33203125" customWidth="1"/>
  </cols>
  <sheetData>
    <row r="1" spans="1:32" ht="49.5" customHeight="1" x14ac:dyDescent="0.3">
      <c r="B1" s="85"/>
      <c r="C1" s="86"/>
      <c r="D1" s="86"/>
      <c r="F1" s="128" t="s">
        <v>0</v>
      </c>
      <c r="G1" s="128"/>
    </row>
    <row r="2" spans="1:32" ht="24.75" customHeight="1" x14ac:dyDescent="0.3">
      <c r="B2" s="87"/>
      <c r="D2" s="86"/>
      <c r="F2" s="129" t="s">
        <v>1</v>
      </c>
      <c r="G2" s="129"/>
    </row>
    <row r="3" spans="1:32" ht="18" x14ac:dyDescent="0.3">
      <c r="B3" s="88"/>
      <c r="F3" s="43"/>
      <c r="G3" s="43"/>
    </row>
    <row r="4" spans="1:32" ht="18" x14ac:dyDescent="0.3">
      <c r="F4" s="69" t="s">
        <v>2</v>
      </c>
      <c r="G4" s="70" t="s">
        <v>3</v>
      </c>
    </row>
    <row r="5" spans="1:32" ht="18" x14ac:dyDescent="0.3">
      <c r="F5" s="71" t="s">
        <v>4</v>
      </c>
      <c r="G5" s="72" t="s">
        <v>5</v>
      </c>
    </row>
    <row r="6" spans="1:32" ht="18" x14ac:dyDescent="0.3">
      <c r="F6" s="71" t="s">
        <v>6</v>
      </c>
      <c r="G6" s="73" t="s">
        <v>248</v>
      </c>
    </row>
    <row r="7" spans="1:32" ht="21.75" customHeight="1" x14ac:dyDescent="0.3">
      <c r="F7" s="71" t="s">
        <v>7</v>
      </c>
      <c r="G7" s="74" t="s">
        <v>8</v>
      </c>
    </row>
    <row r="8" spans="1:32" ht="18" x14ac:dyDescent="0.3">
      <c r="F8" s="71" t="s">
        <v>9</v>
      </c>
      <c r="G8" s="75" t="s">
        <v>10</v>
      </c>
    </row>
    <row r="9" spans="1:32" ht="18" x14ac:dyDescent="0.3">
      <c r="F9" s="71" t="s">
        <v>11</v>
      </c>
      <c r="G9" s="74" t="s">
        <v>12</v>
      </c>
    </row>
    <row r="10" spans="1:32" ht="27" customHeight="1" x14ac:dyDescent="0.3">
      <c r="F10" s="71" t="s">
        <v>13</v>
      </c>
      <c r="G10" s="74" t="s">
        <v>14</v>
      </c>
    </row>
    <row r="11" spans="1:32" ht="18.600000000000001" thickBot="1" x14ac:dyDescent="0.35">
      <c r="F11" s="76" t="s">
        <v>15</v>
      </c>
      <c r="G11" s="77" t="s">
        <v>247</v>
      </c>
    </row>
    <row r="12" spans="1:32" ht="16.8" thickBot="1" x14ac:dyDescent="0.35">
      <c r="B12" s="89"/>
      <c r="M12" s="40"/>
      <c r="Q12" s="130" t="s">
        <v>16</v>
      </c>
      <c r="R12" s="131"/>
      <c r="S12" s="131"/>
      <c r="T12" s="132"/>
      <c r="U12" s="133" t="s">
        <v>17</v>
      </c>
      <c r="V12" s="134"/>
      <c r="W12" s="134"/>
      <c r="X12" s="135"/>
      <c r="Y12" s="42" t="s">
        <v>18</v>
      </c>
      <c r="Z12" s="112">
        <f>(1/(1-M14))-1</f>
        <v>0.20962864400629</v>
      </c>
      <c r="AD12" s="44" t="s">
        <v>19</v>
      </c>
      <c r="AE12" s="136" t="s">
        <v>20</v>
      </c>
      <c r="AF12" s="137"/>
    </row>
    <row r="13" spans="1:32" ht="15" thickBot="1" x14ac:dyDescent="0.35">
      <c r="A13" s="90" t="s">
        <v>21</v>
      </c>
      <c r="B13" s="91" t="s">
        <v>22</v>
      </c>
      <c r="C13" s="90" t="s">
        <v>23</v>
      </c>
      <c r="D13" s="90" t="s">
        <v>24</v>
      </c>
      <c r="E13" s="90" t="s">
        <v>25</v>
      </c>
      <c r="M13" s="41">
        <v>0.80469999999999997</v>
      </c>
    </row>
    <row r="14" spans="1:32" ht="33" thickBot="1" x14ac:dyDescent="0.35">
      <c r="A14" s="92">
        <v>0</v>
      </c>
      <c r="B14" s="93"/>
      <c r="C14" s="94"/>
      <c r="D14" s="95"/>
      <c r="E14" s="96"/>
      <c r="F14" s="26" t="s">
        <v>26</v>
      </c>
      <c r="G14" s="27" t="s">
        <v>27</v>
      </c>
      <c r="H14" s="28" t="s">
        <v>28</v>
      </c>
      <c r="I14" s="28" t="s">
        <v>29</v>
      </c>
      <c r="J14" s="29" t="s">
        <v>30</v>
      </c>
      <c r="K14" s="30" t="s">
        <v>31</v>
      </c>
      <c r="L14" s="24">
        <v>0.08</v>
      </c>
      <c r="M14" s="25">
        <v>0.17330000000000001</v>
      </c>
      <c r="N14" s="31" t="s">
        <v>32</v>
      </c>
      <c r="Q14" s="32" t="s">
        <v>33</v>
      </c>
      <c r="R14" s="33" t="s">
        <v>34</v>
      </c>
      <c r="S14" s="34" t="s">
        <v>35</v>
      </c>
      <c r="T14" s="35" t="s">
        <v>36</v>
      </c>
      <c r="U14" s="36" t="s">
        <v>37</v>
      </c>
      <c r="V14" s="37" t="s">
        <v>38</v>
      </c>
      <c r="W14" s="38" t="s">
        <v>39</v>
      </c>
      <c r="X14" s="39" t="s">
        <v>40</v>
      </c>
      <c r="Y14" s="39" t="s">
        <v>41</v>
      </c>
      <c r="Z14" s="1" t="s">
        <v>42</v>
      </c>
      <c r="AA14" s="2" t="s">
        <v>43</v>
      </c>
      <c r="AC14" t="s">
        <v>44</v>
      </c>
      <c r="AD14" t="s">
        <v>44</v>
      </c>
      <c r="AE14" s="45" t="s">
        <v>45</v>
      </c>
      <c r="AF14" s="46" t="s">
        <v>46</v>
      </c>
    </row>
    <row r="15" spans="1:32" ht="18.600000000000001" thickBot="1" x14ac:dyDescent="0.4">
      <c r="A15" s="95">
        <v>1</v>
      </c>
      <c r="B15" s="80">
        <v>1</v>
      </c>
      <c r="C15" s="97" t="s">
        <v>47</v>
      </c>
      <c r="D15" s="95"/>
      <c r="E15" s="95"/>
      <c r="F15" s="119" t="s">
        <v>48</v>
      </c>
      <c r="G15" s="120"/>
      <c r="H15" s="120"/>
      <c r="I15" s="120"/>
      <c r="J15" s="120"/>
      <c r="K15" s="120"/>
      <c r="L15" s="120"/>
      <c r="M15" s="120"/>
      <c r="N15" s="121"/>
      <c r="Q15" s="125" t="str">
        <f>IF(F15&lt;&gt;"",F15,"")</f>
        <v>INTERNOS OGGI</v>
      </c>
      <c r="R15" s="126"/>
      <c r="S15" s="126"/>
      <c r="T15" s="126"/>
      <c r="U15" s="126"/>
      <c r="V15" s="126"/>
      <c r="W15" s="126"/>
      <c r="X15" s="126"/>
      <c r="Y15" s="127"/>
      <c r="AE15" s="311"/>
      <c r="AF15" s="311"/>
    </row>
    <row r="16" spans="1:32" ht="18" x14ac:dyDescent="0.35">
      <c r="A16" s="95">
        <v>2</v>
      </c>
      <c r="B16" s="80" t="s">
        <v>49</v>
      </c>
      <c r="C16" s="97" t="s">
        <v>50</v>
      </c>
      <c r="D16" s="95"/>
      <c r="E16" s="95"/>
      <c r="F16" s="116" t="s">
        <v>51</v>
      </c>
      <c r="G16" s="117"/>
      <c r="H16" s="117"/>
      <c r="I16" s="117"/>
      <c r="J16" s="117"/>
      <c r="K16" s="118"/>
      <c r="L16" s="81" t="s">
        <v>52</v>
      </c>
      <c r="M16" s="82" t="s">
        <v>53</v>
      </c>
      <c r="N16" s="113" t="s">
        <v>32</v>
      </c>
      <c r="Q16" s="122" t="str">
        <f>IF(F16&lt;&gt;"",F16,"")</f>
        <v>INTERNOS</v>
      </c>
      <c r="R16" s="123"/>
      <c r="S16" s="123"/>
      <c r="T16" s="123"/>
      <c r="U16" s="123"/>
      <c r="V16" s="123"/>
      <c r="W16" s="123"/>
      <c r="X16" s="123"/>
      <c r="Y16" s="124"/>
      <c r="Z16" s="83" t="s">
        <v>54</v>
      </c>
      <c r="AA16" s="109" t="s">
        <v>43</v>
      </c>
      <c r="AE16" s="311"/>
      <c r="AF16" s="311"/>
    </row>
    <row r="17" spans="1:33" ht="93.6" x14ac:dyDescent="0.45">
      <c r="A17" s="95">
        <v>3</v>
      </c>
      <c r="B17" s="80" t="s">
        <v>55</v>
      </c>
      <c r="C17" s="97" t="s">
        <v>56</v>
      </c>
      <c r="D17" s="95" t="s">
        <v>57</v>
      </c>
      <c r="E17" s="95" t="s">
        <v>58</v>
      </c>
      <c r="F17" s="186" t="s">
        <v>59</v>
      </c>
      <c r="G17" s="187" t="s">
        <v>60</v>
      </c>
      <c r="H17" s="188">
        <v>1</v>
      </c>
      <c r="I17" s="188">
        <v>1</v>
      </c>
      <c r="J17" s="189">
        <v>4000</v>
      </c>
      <c r="K17" s="190">
        <f>IF(F17&lt;&gt;"",H17*I17*J17,"")</f>
        <v>4000</v>
      </c>
      <c r="L17" s="190">
        <f>IF(K17&lt;&gt;"",IF(D17="INTERNO",0,K17*$L$14),"")</f>
        <v>0</v>
      </c>
      <c r="M17" s="190">
        <f>IF(K17&lt;&gt;"",IF(E17="FAT.OGGI",SUM(K17:L17)*(1/(1-$M$14)-1),L17*(1/(1-$M$14)-1)),"")</f>
        <v>838.51457602515995</v>
      </c>
      <c r="N17" s="191">
        <f>SUM(K17:M17)</f>
        <v>4838.5145760251598</v>
      </c>
      <c r="O17" s="192"/>
      <c r="P17" s="193"/>
      <c r="Q17" s="194">
        <f t="shared" ref="Q17:R17" si="0">IF(H17&lt;&gt;"",H17,"")</f>
        <v>1</v>
      </c>
      <c r="R17" s="195">
        <f t="shared" si="0"/>
        <v>1</v>
      </c>
      <c r="S17" s="196">
        <v>0</v>
      </c>
      <c r="T17" s="196">
        <f>IF(Q17&lt;&gt;"",Q17*R17*S17,"")</f>
        <v>0</v>
      </c>
      <c r="U17" s="197">
        <f>IF(Q17&lt;&gt;"",K17-T17,"")</f>
        <v>4000</v>
      </c>
      <c r="V17" s="198">
        <f>IF(Q17&lt;&gt;"",0%,"")</f>
        <v>0</v>
      </c>
      <c r="W17" s="199">
        <f>IF(Q17&lt;&gt;"",V17*U17,"")</f>
        <v>0</v>
      </c>
      <c r="X17" s="199">
        <f>IF(Q17&lt;&gt;"",W17+T17,"")</f>
        <v>0</v>
      </c>
      <c r="Y17" s="200">
        <f t="shared" ref="Y17:Y20" si="1">IF(Q17&lt;&gt;"",X17+M17,"")</f>
        <v>838.51457602515995</v>
      </c>
      <c r="Z17" s="201">
        <f>IF(Q17&lt;&gt;"",U17/K17,"")</f>
        <v>1</v>
      </c>
      <c r="AA17" s="202" t="e">
        <f>T17/$T$19</f>
        <v>#DIV/0!</v>
      </c>
      <c r="AB17" s="193"/>
      <c r="AC17" s="193"/>
      <c r="AD17" s="193"/>
      <c r="AE17" s="312">
        <f>X17-AF17</f>
        <v>0</v>
      </c>
      <c r="AF17" s="316"/>
    </row>
    <row r="18" spans="1:33" ht="23.4" x14ac:dyDescent="0.45">
      <c r="A18" s="78">
        <v>5</v>
      </c>
      <c r="B18" s="80" t="s">
        <v>61</v>
      </c>
      <c r="C18" s="79" t="s">
        <v>56</v>
      </c>
      <c r="D18" s="95" t="s">
        <v>57</v>
      </c>
      <c r="E18" s="95" t="s">
        <v>58</v>
      </c>
      <c r="F18" s="186" t="s">
        <v>62</v>
      </c>
      <c r="G18" s="187" t="s">
        <v>63</v>
      </c>
      <c r="H18" s="188">
        <v>1</v>
      </c>
      <c r="I18" s="188">
        <v>1</v>
      </c>
      <c r="J18" s="189">
        <v>2000</v>
      </c>
      <c r="K18" s="189">
        <f>IF(F18&lt;&gt;"",H18*I18*J18,"")</f>
        <v>2000</v>
      </c>
      <c r="L18" s="189">
        <f>IF(K18&lt;&gt;"",IF(D18="INTERNO",0,K18*$L$14),"")</f>
        <v>0</v>
      </c>
      <c r="M18" s="189">
        <f>IF(K18&lt;&gt;"",IF(E18="FAT.OGGI",SUM(K18:L18)*(1/(1-$M$14)-1),L18*(1/(1-$M$14)-1)),"")</f>
        <v>419.25728801257998</v>
      </c>
      <c r="N18" s="189">
        <f>SUM(K18:M18)</f>
        <v>2419.2572880125799</v>
      </c>
      <c r="O18" s="192"/>
      <c r="P18" s="193"/>
      <c r="Q18" s="203">
        <f>IF(H18&lt;&gt;"",H18,"")</f>
        <v>1</v>
      </c>
      <c r="R18" s="203">
        <f>IF(I18&lt;&gt;"",I18,"")</f>
        <v>1</v>
      </c>
      <c r="S18" s="204"/>
      <c r="T18" s="204">
        <f>IF(Q18&lt;&gt;"",Q18*R18*S18,"")</f>
        <v>0</v>
      </c>
      <c r="U18" s="205">
        <f>IF(Q18&lt;&gt;"",K18-T18,"")</f>
        <v>2000</v>
      </c>
      <c r="V18" s="206">
        <f>IF(Q18&lt;&gt;"",0%,"")</f>
        <v>0</v>
      </c>
      <c r="W18" s="207">
        <f>IF(Q18&lt;&gt;"",V18*U18,"")</f>
        <v>0</v>
      </c>
      <c r="X18" s="207">
        <f>IF(Q18&lt;&gt;"",W18+T18,"")</f>
        <v>0</v>
      </c>
      <c r="Y18" s="208">
        <f>IF(Q18&lt;&gt;"",X18+M18,"")</f>
        <v>419.25728801257998</v>
      </c>
      <c r="Z18" s="202">
        <f>IF(Q18&lt;&gt;"",U18/K18,"")</f>
        <v>1</v>
      </c>
      <c r="AA18" s="209"/>
      <c r="AB18" s="193"/>
      <c r="AC18" s="193"/>
      <c r="AD18" s="193"/>
      <c r="AE18" s="312">
        <f>X18-AF18</f>
        <v>0</v>
      </c>
      <c r="AF18" s="316"/>
    </row>
    <row r="19" spans="1:33" ht="24.6" thickBot="1" x14ac:dyDescent="0.5">
      <c r="A19" s="98">
        <v>7</v>
      </c>
      <c r="B19" s="80"/>
      <c r="C19" s="99" t="s">
        <v>64</v>
      </c>
      <c r="D19" s="98"/>
      <c r="E19" s="98"/>
      <c r="F19" s="210" t="s">
        <v>65</v>
      </c>
      <c r="G19" s="211"/>
      <c r="H19" s="211"/>
      <c r="I19" s="211"/>
      <c r="J19" s="211"/>
      <c r="K19" s="212">
        <f>SUM(K17:K18)</f>
        <v>6000</v>
      </c>
      <c r="L19" s="212">
        <f>SUM(L17:L18)</f>
        <v>0</v>
      </c>
      <c r="M19" s="212">
        <f>SUM(M17:M18)</f>
        <v>1257.77186403774</v>
      </c>
      <c r="N19" s="213">
        <f>SUM(N17:N18)</f>
        <v>7257.7718640377398</v>
      </c>
      <c r="O19" s="193"/>
      <c r="P19" s="193"/>
      <c r="Q19" s="214" t="s">
        <v>65</v>
      </c>
      <c r="R19" s="215"/>
      <c r="S19" s="215"/>
      <c r="T19" s="216">
        <f>SUM(T17:T18)</f>
        <v>0</v>
      </c>
      <c r="U19" s="217">
        <f>SUM(U17:U18)</f>
        <v>6000</v>
      </c>
      <c r="V19" s="218"/>
      <c r="W19" s="218"/>
      <c r="X19" s="219">
        <f>SUM(X17:X18)</f>
        <v>0</v>
      </c>
      <c r="Y19" s="220">
        <f t="shared" si="1"/>
        <v>1257.77186403774</v>
      </c>
      <c r="Z19" s="193"/>
      <c r="AA19" s="193"/>
      <c r="AB19" s="193"/>
      <c r="AC19" s="193"/>
      <c r="AD19" s="193"/>
      <c r="AE19" s="312">
        <f t="shared" ref="AE19:AE43" si="2">X19-AF19</f>
        <v>0</v>
      </c>
      <c r="AF19" s="316"/>
    </row>
    <row r="20" spans="1:33" ht="24.6" thickBot="1" x14ac:dyDescent="0.5">
      <c r="A20" s="95">
        <v>8</v>
      </c>
      <c r="B20" s="80"/>
      <c r="C20" s="97" t="s">
        <v>66</v>
      </c>
      <c r="D20" s="95"/>
      <c r="E20" s="95"/>
      <c r="F20" s="221" t="s">
        <v>67</v>
      </c>
      <c r="G20" s="222"/>
      <c r="H20" s="222"/>
      <c r="I20" s="222"/>
      <c r="J20" s="222"/>
      <c r="K20" s="223">
        <f>SUM(K17:K18)</f>
        <v>6000</v>
      </c>
      <c r="L20" s="223">
        <f>SUM(L17:L18)</f>
        <v>0</v>
      </c>
      <c r="M20" s="223">
        <f>SUM(M17:M18)</f>
        <v>1257.77186403774</v>
      </c>
      <c r="N20" s="224">
        <f>SUM(N17:N18)</f>
        <v>7257.7718640377398</v>
      </c>
      <c r="O20" s="193"/>
      <c r="P20" s="193"/>
      <c r="Q20" s="225" t="s">
        <v>67</v>
      </c>
      <c r="R20" s="226"/>
      <c r="S20" s="226"/>
      <c r="T20" s="227">
        <f>SUM(T17:T18)</f>
        <v>0</v>
      </c>
      <c r="U20" s="228">
        <f>SUM(U17:U18)</f>
        <v>6000</v>
      </c>
      <c r="V20" s="229"/>
      <c r="W20" s="229"/>
      <c r="X20" s="230">
        <f>SUM(X17:X18)</f>
        <v>0</v>
      </c>
      <c r="Y20" s="231">
        <f t="shared" si="1"/>
        <v>1257.77186403774</v>
      </c>
      <c r="Z20" s="193"/>
      <c r="AA20" s="193"/>
      <c r="AB20" s="193"/>
      <c r="AC20" s="193"/>
      <c r="AD20" s="193"/>
      <c r="AE20" s="312">
        <f t="shared" si="2"/>
        <v>0</v>
      </c>
      <c r="AF20" s="316"/>
    </row>
    <row r="21" spans="1:33" ht="24" thickBot="1" x14ac:dyDescent="0.5">
      <c r="A21" s="100">
        <v>9</v>
      </c>
      <c r="B21" s="80">
        <v>2</v>
      </c>
      <c r="C21" s="97" t="s">
        <v>47</v>
      </c>
      <c r="D21" s="95"/>
      <c r="E21" s="95"/>
      <c r="F21" s="232" t="s">
        <v>68</v>
      </c>
      <c r="G21" s="233"/>
      <c r="H21" s="233"/>
      <c r="I21" s="233"/>
      <c r="J21" s="233"/>
      <c r="K21" s="233"/>
      <c r="L21" s="233"/>
      <c r="M21" s="233"/>
      <c r="N21" s="234"/>
      <c r="O21" s="193"/>
      <c r="P21" s="193"/>
      <c r="Q21" s="235" t="str">
        <f>IF(F21&lt;&gt;"",F21,"")</f>
        <v>OPERACIONAL</v>
      </c>
      <c r="R21" s="236"/>
      <c r="S21" s="236"/>
      <c r="T21" s="236"/>
      <c r="U21" s="236"/>
      <c r="V21" s="236"/>
      <c r="W21" s="236"/>
      <c r="X21" s="236"/>
      <c r="Y21" s="237"/>
      <c r="Z21" s="193"/>
      <c r="AA21" s="193"/>
      <c r="AB21" s="193"/>
      <c r="AC21" s="193"/>
      <c r="AD21" s="193"/>
      <c r="AE21" s="312"/>
      <c r="AF21" s="316"/>
    </row>
    <row r="22" spans="1:33" ht="23.4" x14ac:dyDescent="0.45">
      <c r="A22" s="100">
        <v>10</v>
      </c>
      <c r="B22" s="80" t="s">
        <v>69</v>
      </c>
      <c r="C22" s="97" t="s">
        <v>50</v>
      </c>
      <c r="D22" s="95"/>
      <c r="E22" s="95"/>
      <c r="F22" s="238" t="s">
        <v>70</v>
      </c>
      <c r="G22" s="239"/>
      <c r="H22" s="239"/>
      <c r="I22" s="239"/>
      <c r="J22" s="239"/>
      <c r="K22" s="240"/>
      <c r="L22" s="241" t="s">
        <v>52</v>
      </c>
      <c r="M22" s="242" t="s">
        <v>53</v>
      </c>
      <c r="N22" s="243" t="s">
        <v>32</v>
      </c>
      <c r="O22" s="193"/>
      <c r="P22" s="193"/>
      <c r="Q22" s="244" t="str">
        <f>IF(F22&lt;&gt;"",F22,"")</f>
        <v xml:space="preserve">OPERACIONAL </v>
      </c>
      <c r="R22" s="245"/>
      <c r="S22" s="245"/>
      <c r="T22" s="245"/>
      <c r="U22" s="245"/>
      <c r="V22" s="245"/>
      <c r="W22" s="245"/>
      <c r="X22" s="245"/>
      <c r="Y22" s="246"/>
      <c r="Z22" s="247" t="s">
        <v>54</v>
      </c>
      <c r="AA22" s="248" t="s">
        <v>43</v>
      </c>
      <c r="AB22" s="193"/>
      <c r="AC22" s="193"/>
      <c r="AD22" s="193"/>
      <c r="AE22" s="312"/>
      <c r="AF22" s="316"/>
    </row>
    <row r="23" spans="1:33" ht="44.4" customHeight="1" x14ac:dyDescent="0.45">
      <c r="A23" s="100">
        <v>13</v>
      </c>
      <c r="B23" s="80" t="s">
        <v>71</v>
      </c>
      <c r="C23" s="104" t="s">
        <v>56</v>
      </c>
      <c r="D23" s="105" t="s">
        <v>68</v>
      </c>
      <c r="E23" s="110" t="s">
        <v>58</v>
      </c>
      <c r="F23" s="186" t="s">
        <v>72</v>
      </c>
      <c r="G23" s="187" t="s">
        <v>73</v>
      </c>
      <c r="H23" s="249">
        <v>1</v>
      </c>
      <c r="I23" s="249">
        <v>1</v>
      </c>
      <c r="J23" s="189">
        <v>50000</v>
      </c>
      <c r="K23" s="189">
        <f>IF(F23&lt;&gt;"",H23*I23*J23,"")</f>
        <v>50000</v>
      </c>
      <c r="L23" s="189">
        <f>IF(K23&lt;&gt;"",IF(D23="INTERNO",0,K23*$L$14),"")</f>
        <v>4000</v>
      </c>
      <c r="M23" s="189">
        <f>IF(K23&lt;&gt;"",IF(E23="FAT.OGGI",SUM(K23:L23)*(1/(1-$M$14)-1),L23*(1/(1-$M$14)-1)),"")</f>
        <v>11319.946776339661</v>
      </c>
      <c r="N23" s="189">
        <f>SUM(K23:M23)</f>
        <v>65319.946776339661</v>
      </c>
      <c r="O23" s="193"/>
      <c r="P23" s="193"/>
      <c r="Q23" s="194">
        <f t="shared" ref="Q23:R26" si="3">IF(H23&lt;&gt;"",H23,"")</f>
        <v>1</v>
      </c>
      <c r="R23" s="195">
        <f t="shared" si="3"/>
        <v>1</v>
      </c>
      <c r="S23" s="196">
        <v>48000</v>
      </c>
      <c r="T23" s="196">
        <f>IF(Q23&lt;&gt;"",Q23*R23*S23,"")</f>
        <v>48000</v>
      </c>
      <c r="U23" s="197">
        <f>IF(Q23&lt;&gt;"",K23-T23,"")</f>
        <v>2000</v>
      </c>
      <c r="V23" s="198">
        <f>IF(Q23&lt;&gt;"",0%,"")</f>
        <v>0</v>
      </c>
      <c r="W23" s="199">
        <f>IF(Q23&lt;&gt;"",V23*U23,"")</f>
        <v>0</v>
      </c>
      <c r="X23" s="199">
        <f>IF(Q23&lt;&gt;"",W23+T23,"")</f>
        <v>48000</v>
      </c>
      <c r="Y23" s="200">
        <f t="shared" ref="Y23:Y27" si="4">IF(Q23&lt;&gt;"",X23+M23,"")</f>
        <v>59319.946776339661</v>
      </c>
      <c r="Z23" s="201">
        <f>IF(Q23&lt;&gt;"",U23/K23,"")</f>
        <v>0.04</v>
      </c>
      <c r="AA23" s="202"/>
      <c r="AB23" s="250"/>
      <c r="AC23" s="251">
        <v>48000</v>
      </c>
      <c r="AD23" s="252">
        <f>T23-AC23</f>
        <v>0</v>
      </c>
      <c r="AE23" s="312">
        <f t="shared" si="2"/>
        <v>0</v>
      </c>
      <c r="AF23" s="316">
        <f>24000+24000</f>
        <v>48000</v>
      </c>
      <c r="AG23" s="315" t="s">
        <v>243</v>
      </c>
    </row>
    <row r="24" spans="1:33" ht="45.9" customHeight="1" x14ac:dyDescent="0.45">
      <c r="A24" s="101">
        <v>14</v>
      </c>
      <c r="B24" s="80" t="s">
        <v>74</v>
      </c>
      <c r="C24" s="102" t="s">
        <v>56</v>
      </c>
      <c r="D24" s="106" t="s">
        <v>68</v>
      </c>
      <c r="E24" s="110" t="s">
        <v>58</v>
      </c>
      <c r="F24" s="253" t="s">
        <v>75</v>
      </c>
      <c r="G24" s="254" t="s">
        <v>76</v>
      </c>
      <c r="H24" s="255">
        <v>1</v>
      </c>
      <c r="I24" s="255">
        <v>1</v>
      </c>
      <c r="J24" s="256">
        <v>6000</v>
      </c>
      <c r="K24" s="256">
        <f>IF(F24&lt;&gt;"",H24*I24*J24,"")</f>
        <v>6000</v>
      </c>
      <c r="L24" s="256">
        <f>IF(K24&lt;&gt;"",IF(D24="INTERNO",0,K24*$L$14),"")</f>
        <v>480</v>
      </c>
      <c r="M24" s="256">
        <f>IF(K24&lt;&gt;"",IF(E24="FAT.OGGI",SUM(K24:L24)*(1/(1-$M$14)-1),L24*(1/(1-$M$14)-1)),"")</f>
        <v>1358.3936131607593</v>
      </c>
      <c r="N24" s="257">
        <f>SUM(K24:M24)</f>
        <v>7838.3936131607588</v>
      </c>
      <c r="O24" s="193"/>
      <c r="P24" s="193"/>
      <c r="Q24" s="258">
        <f t="shared" si="3"/>
        <v>1</v>
      </c>
      <c r="R24" s="259">
        <v>0</v>
      </c>
      <c r="S24" s="260">
        <v>3000</v>
      </c>
      <c r="T24" s="260">
        <f>IF(Q24&lt;&gt;"",Q24*R24*S24,"")</f>
        <v>0</v>
      </c>
      <c r="U24" s="261">
        <f>IF(Q24&lt;&gt;"",K24-T24,"")</f>
        <v>6000</v>
      </c>
      <c r="V24" s="262">
        <f>IF(Q24&lt;&gt;"",0%,"")</f>
        <v>0</v>
      </c>
      <c r="W24" s="263">
        <f>IF(Q24&lt;&gt;"",V24*U24,"")</f>
        <v>0</v>
      </c>
      <c r="X24" s="263">
        <f>IF(Q24&lt;&gt;"",W24+T24,"")</f>
        <v>0</v>
      </c>
      <c r="Y24" s="264">
        <f t="shared" si="4"/>
        <v>1358.3936131607593</v>
      </c>
      <c r="Z24" s="201">
        <f>IF(Q24&lt;&gt;"",U24/K24,"")</f>
        <v>1</v>
      </c>
      <c r="AA24" s="202"/>
      <c r="AB24" s="250"/>
      <c r="AC24" s="193"/>
      <c r="AD24" s="193"/>
      <c r="AE24" s="312">
        <f t="shared" si="2"/>
        <v>0</v>
      </c>
      <c r="AF24" s="316"/>
    </row>
    <row r="25" spans="1:33" ht="45.9" customHeight="1" x14ac:dyDescent="0.45">
      <c r="A25" s="78">
        <v>15</v>
      </c>
      <c r="B25" s="80" t="s">
        <v>77</v>
      </c>
      <c r="C25" s="79" t="s">
        <v>56</v>
      </c>
      <c r="D25" s="106" t="s">
        <v>68</v>
      </c>
      <c r="E25" s="110" t="s">
        <v>58</v>
      </c>
      <c r="F25" s="265" t="s">
        <v>78</v>
      </c>
      <c r="G25" s="187" t="s">
        <v>79</v>
      </c>
      <c r="H25" s="249">
        <v>1</v>
      </c>
      <c r="I25" s="249">
        <v>3</v>
      </c>
      <c r="J25" s="189">
        <v>850</v>
      </c>
      <c r="K25" s="189">
        <f>IF(F25&lt;&gt;"",H25*I25*J25,"")</f>
        <v>2550</v>
      </c>
      <c r="L25" s="189">
        <f>IF(K25&lt;&gt;"",IF(D25="INTERNO",0,K25*$L$14),"")</f>
        <v>204</v>
      </c>
      <c r="M25" s="189">
        <f>IF(K25&lt;&gt;"",IF(E25="FAT.OGGI",SUM(K25:L25)*(1/(1-$M$14)-1),L25*(1/(1-$M$14)-1)),"")</f>
        <v>577.31728559332271</v>
      </c>
      <c r="N25" s="266">
        <f>SUM(K25:M25)</f>
        <v>3331.3172855933226</v>
      </c>
      <c r="O25" s="193"/>
      <c r="P25" s="193"/>
      <c r="Q25" s="267">
        <f>IF(H25&lt;&gt;"",H25,"")</f>
        <v>1</v>
      </c>
      <c r="R25" s="203">
        <v>1</v>
      </c>
      <c r="S25" s="204">
        <v>500</v>
      </c>
      <c r="T25" s="204">
        <f>IF(Q25&lt;&gt;"",Q25*R25*S25,"")</f>
        <v>500</v>
      </c>
      <c r="U25" s="205">
        <f>IF(Q25&lt;&gt;"",K25-T25,"")</f>
        <v>2050</v>
      </c>
      <c r="V25" s="206">
        <f>IF(Q25&lt;&gt;"",0%,"")</f>
        <v>0</v>
      </c>
      <c r="W25" s="207">
        <f>IF(Q25&lt;&gt;"",V25*U25,"")</f>
        <v>0</v>
      </c>
      <c r="X25" s="207">
        <f>IF(Q25&lt;&gt;"",W25+T25,"")</f>
        <v>500</v>
      </c>
      <c r="Y25" s="268">
        <f t="shared" si="4"/>
        <v>1077.3172855933226</v>
      </c>
      <c r="Z25" s="201">
        <f>IF(Q25&lt;&gt;"",U25/K25,"")</f>
        <v>0.80392156862745101</v>
      </c>
      <c r="AA25" s="202"/>
      <c r="AB25" s="250"/>
      <c r="AC25" s="193"/>
      <c r="AD25" s="193"/>
      <c r="AE25" s="312">
        <f t="shared" si="2"/>
        <v>0</v>
      </c>
      <c r="AF25" s="316">
        <v>500</v>
      </c>
      <c r="AG25" s="315" t="s">
        <v>245</v>
      </c>
    </row>
    <row r="26" spans="1:33" ht="46.8" x14ac:dyDescent="0.45">
      <c r="A26" s="101">
        <v>15</v>
      </c>
      <c r="B26" s="80" t="s">
        <v>80</v>
      </c>
      <c r="C26" s="102" t="s">
        <v>56</v>
      </c>
      <c r="D26" s="106" t="s">
        <v>68</v>
      </c>
      <c r="E26" s="111" t="s">
        <v>58</v>
      </c>
      <c r="F26" s="253" t="s">
        <v>81</v>
      </c>
      <c r="G26" s="254" t="s">
        <v>82</v>
      </c>
      <c r="H26" s="255">
        <v>1</v>
      </c>
      <c r="I26" s="255">
        <v>1</v>
      </c>
      <c r="J26" s="256">
        <v>1000</v>
      </c>
      <c r="K26" s="256">
        <f>IF(F26&lt;&gt;"",H26*I26*J26,"")</f>
        <v>1000</v>
      </c>
      <c r="L26" s="256">
        <f>IF(K26&lt;&gt;"",IF(D26="INTERNO",0,K26*$L$14),"")</f>
        <v>80</v>
      </c>
      <c r="M26" s="256">
        <f>IF(K26&lt;&gt;"",IF(E26="FAT.OGGI",SUM(K26:L26)*(1/(1-$M$14)-1),L26*(1/(1-$M$14)-1)),"")</f>
        <v>226.3989355267932</v>
      </c>
      <c r="N26" s="257">
        <f>SUM(K26:M26)</f>
        <v>1306.3989355267931</v>
      </c>
      <c r="O26" s="193"/>
      <c r="P26" s="193"/>
      <c r="Q26" s="258">
        <f t="shared" si="3"/>
        <v>1</v>
      </c>
      <c r="R26" s="259">
        <f t="shared" si="3"/>
        <v>1</v>
      </c>
      <c r="S26" s="260">
        <v>2257.6799999999998</v>
      </c>
      <c r="T26" s="260">
        <f>IF(Q26&lt;&gt;"",Q26*R26*S26,"")</f>
        <v>2257.6799999999998</v>
      </c>
      <c r="U26" s="261">
        <f>IF(Q26&lt;&gt;"",K26-T26,"")</f>
        <v>-1257.6799999999998</v>
      </c>
      <c r="V26" s="262">
        <f>IF(Q26&lt;&gt;"",0%,"")</f>
        <v>0</v>
      </c>
      <c r="W26" s="263">
        <f>IF(Q26&lt;&gt;"",V26*U26,"")</f>
        <v>0</v>
      </c>
      <c r="X26" s="263">
        <f>IF(Q26&lt;&gt;"",W26+T26,"")</f>
        <v>2257.6799999999998</v>
      </c>
      <c r="Y26" s="264">
        <f t="shared" si="4"/>
        <v>2484.078935526793</v>
      </c>
      <c r="Z26" s="201">
        <f>IF(Q26&lt;&gt;"",U26/K26,"")</f>
        <v>-1.2576799999999999</v>
      </c>
      <c r="AA26" s="202"/>
      <c r="AB26" s="250"/>
      <c r="AC26" s="193"/>
      <c r="AD26" s="193"/>
      <c r="AE26" s="312">
        <f t="shared" si="2"/>
        <v>0</v>
      </c>
      <c r="AF26" s="316">
        <f>70.55+101.75+250+1835.38</f>
        <v>2257.6800000000003</v>
      </c>
      <c r="AG26" s="317" t="s">
        <v>244</v>
      </c>
    </row>
    <row r="27" spans="1:33" ht="29.4" customHeight="1" x14ac:dyDescent="0.45">
      <c r="A27" s="101">
        <v>29</v>
      </c>
      <c r="B27" s="80"/>
      <c r="C27" s="102" t="s">
        <v>64</v>
      </c>
      <c r="D27" s="101"/>
      <c r="E27" s="101"/>
      <c r="F27" s="269" t="s">
        <v>83</v>
      </c>
      <c r="G27" s="270"/>
      <c r="H27" s="270"/>
      <c r="I27" s="270"/>
      <c r="J27" s="270"/>
      <c r="K27" s="271">
        <f>SUM(K23:K26)</f>
        <v>59550</v>
      </c>
      <c r="L27" s="271">
        <f>SUM(L23:L26)</f>
        <v>4764</v>
      </c>
      <c r="M27" s="271">
        <f>SUM(M23:M26)</f>
        <v>13482.056610620535</v>
      </c>
      <c r="N27" s="272">
        <f>SUM(N23:N26)</f>
        <v>77796.056610620537</v>
      </c>
      <c r="O27" s="193"/>
      <c r="P27" s="193"/>
      <c r="Q27" s="273" t="s">
        <v>84</v>
      </c>
      <c r="R27" s="274"/>
      <c r="S27" s="274"/>
      <c r="T27" s="275">
        <f>SUM(T23:T26)</f>
        <v>50757.68</v>
      </c>
      <c r="U27" s="276">
        <f>SUM(U23:U26)</f>
        <v>8792.32</v>
      </c>
      <c r="V27" s="277"/>
      <c r="W27" s="277"/>
      <c r="X27" s="278">
        <f>SUM(X23:X26)</f>
        <v>50757.68</v>
      </c>
      <c r="Y27" s="279">
        <f t="shared" si="4"/>
        <v>64239.736610620537</v>
      </c>
      <c r="Z27" s="193"/>
      <c r="AA27" s="202"/>
      <c r="AB27" s="193"/>
      <c r="AC27" s="193"/>
      <c r="AD27" s="193"/>
      <c r="AE27" s="312"/>
      <c r="AF27" s="316"/>
    </row>
    <row r="28" spans="1:33" ht="24" thickBot="1" x14ac:dyDescent="0.5">
      <c r="A28" s="100">
        <v>30</v>
      </c>
      <c r="B28" s="80">
        <v>3</v>
      </c>
      <c r="C28" s="103" t="s">
        <v>47</v>
      </c>
      <c r="D28" s="100"/>
      <c r="E28" s="108"/>
      <c r="F28" s="280" t="s">
        <v>85</v>
      </c>
      <c r="G28" s="281"/>
      <c r="H28" s="281"/>
      <c r="I28" s="281"/>
      <c r="J28" s="281"/>
      <c r="K28" s="281"/>
      <c r="L28" s="281"/>
      <c r="M28" s="281"/>
      <c r="N28" s="281"/>
      <c r="O28" s="193"/>
      <c r="P28" s="193"/>
      <c r="Q28" s="281" t="str">
        <f>IF(F28&lt;&gt;"",F28,"")</f>
        <v>MINI RETRÔ</v>
      </c>
      <c r="R28" s="281"/>
      <c r="S28" s="281"/>
      <c r="T28" s="281"/>
      <c r="U28" s="281"/>
      <c r="V28" s="281"/>
      <c r="W28" s="281"/>
      <c r="X28" s="281"/>
      <c r="Y28" s="281"/>
      <c r="Z28" s="193"/>
      <c r="AA28" s="193"/>
      <c r="AB28" s="193"/>
      <c r="AC28" s="193"/>
      <c r="AD28" s="193"/>
      <c r="AE28" s="312"/>
      <c r="AF28" s="316"/>
    </row>
    <row r="29" spans="1:33" ht="32.4" x14ac:dyDescent="0.45">
      <c r="A29" s="100">
        <v>31</v>
      </c>
      <c r="B29" s="80" t="s">
        <v>86</v>
      </c>
      <c r="C29" s="103" t="s">
        <v>50</v>
      </c>
      <c r="D29" s="100"/>
      <c r="E29" s="100"/>
      <c r="F29" s="238" t="s">
        <v>85</v>
      </c>
      <c r="G29" s="239"/>
      <c r="H29" s="239"/>
      <c r="I29" s="239"/>
      <c r="J29" s="239"/>
      <c r="K29" s="240"/>
      <c r="L29" s="241" t="s">
        <v>52</v>
      </c>
      <c r="M29" s="242" t="s">
        <v>53</v>
      </c>
      <c r="N29" s="243" t="s">
        <v>32</v>
      </c>
      <c r="O29" s="193"/>
      <c r="P29" s="193"/>
      <c r="Q29" s="238" t="str">
        <f>IF(F29&lt;&gt;"",F29,"")</f>
        <v>MINI RETRÔ</v>
      </c>
      <c r="R29" s="239"/>
      <c r="S29" s="239"/>
      <c r="T29" s="239"/>
      <c r="U29" s="239"/>
      <c r="V29" s="239"/>
      <c r="W29" s="239"/>
      <c r="X29" s="239"/>
      <c r="Y29" s="282"/>
      <c r="Z29" s="247" t="s">
        <v>54</v>
      </c>
      <c r="AA29" s="248" t="s">
        <v>43</v>
      </c>
      <c r="AB29" s="193"/>
      <c r="AC29" s="193"/>
      <c r="AD29" s="193"/>
      <c r="AE29" s="312"/>
      <c r="AF29" s="316"/>
    </row>
    <row r="30" spans="1:33" ht="40.5" customHeight="1" x14ac:dyDescent="0.45">
      <c r="A30" s="100">
        <v>32</v>
      </c>
      <c r="B30" s="80" t="s">
        <v>87</v>
      </c>
      <c r="C30" s="103" t="s">
        <v>56</v>
      </c>
      <c r="D30" s="100" t="s">
        <v>68</v>
      </c>
      <c r="E30" s="100" t="s">
        <v>58</v>
      </c>
      <c r="F30" s="283" t="s">
        <v>88</v>
      </c>
      <c r="G30" s="284" t="s">
        <v>89</v>
      </c>
      <c r="H30" s="285">
        <v>1</v>
      </c>
      <c r="I30" s="285">
        <v>1</v>
      </c>
      <c r="J30" s="190">
        <v>1596.38</v>
      </c>
      <c r="K30" s="190">
        <f>IF(F30&lt;&gt;"",H30*I30*J30,"")</f>
        <v>1596.38</v>
      </c>
      <c r="L30" s="190">
        <f>IF(K30&lt;&gt;"",IF(D30="INTERNO",0,K30*$L$14),"")</f>
        <v>127.71040000000001</v>
      </c>
      <c r="M30" s="190">
        <f>IF(K30&lt;&gt;"",IF(E30="FAT.OGGI",SUM(K30:L30)*(1/(1-$M$14)-1),L30*(1/(1-$M$14)-1)),"")</f>
        <v>361.41873269626211</v>
      </c>
      <c r="N30" s="191">
        <f>SUM(K30:M30)</f>
        <v>2085.509132696262</v>
      </c>
      <c r="O30" s="193"/>
      <c r="P30" s="193"/>
      <c r="Q30" s="286">
        <f t="shared" ref="Q30:R34" si="5">IF(H30&lt;&gt;"",H30,"")</f>
        <v>1</v>
      </c>
      <c r="R30" s="287">
        <f t="shared" si="5"/>
        <v>1</v>
      </c>
      <c r="S30" s="288">
        <f>1540.68+336.77</f>
        <v>1877.45</v>
      </c>
      <c r="T30" s="288">
        <f>IF(Q30&lt;&gt;"",Q30*R30*S30,"")</f>
        <v>1877.45</v>
      </c>
      <c r="U30" s="289">
        <f>IF(Q30&lt;&gt;"",K30-T30,"")</f>
        <v>-281.06999999999994</v>
      </c>
      <c r="V30" s="290">
        <f>IF(Q30&lt;&gt;"",0%,"")</f>
        <v>0</v>
      </c>
      <c r="W30" s="291">
        <f>IF(Q30&lt;&gt;"",V30*U30,"")</f>
        <v>0</v>
      </c>
      <c r="X30" s="291">
        <f>IF(Q30&lt;&gt;"",W30+T30,"")</f>
        <v>1877.45</v>
      </c>
      <c r="Y30" s="200">
        <f t="shared" ref="Y30:Y35" si="6">IF(Q30&lt;&gt;"",X30+M30,"")</f>
        <v>2238.8687326962622</v>
      </c>
      <c r="Z30" s="201">
        <f>IF(Q30&lt;&gt;"",U30/K30,"")</f>
        <v>-0.17606710181786286</v>
      </c>
      <c r="AA30" s="202">
        <f>T30/$T$35</f>
        <v>0.21204252935356652</v>
      </c>
      <c r="AB30" s="193"/>
      <c r="AC30" s="251">
        <v>3998.99</v>
      </c>
      <c r="AD30" s="252">
        <f>T30-AC30</f>
        <v>-2121.54</v>
      </c>
      <c r="AE30" s="312">
        <f t="shared" si="2"/>
        <v>0</v>
      </c>
      <c r="AF30" s="316">
        <v>1877.45</v>
      </c>
      <c r="AG30" s="315" t="s">
        <v>242</v>
      </c>
    </row>
    <row r="31" spans="1:33" ht="46.8" x14ac:dyDescent="0.45">
      <c r="A31" s="100">
        <v>33</v>
      </c>
      <c r="B31" s="80" t="s">
        <v>90</v>
      </c>
      <c r="C31" s="103" t="s">
        <v>56</v>
      </c>
      <c r="D31" s="100" t="s">
        <v>68</v>
      </c>
      <c r="E31" s="100" t="s">
        <v>58</v>
      </c>
      <c r="F31" s="283" t="s">
        <v>88</v>
      </c>
      <c r="G31" s="284" t="s">
        <v>91</v>
      </c>
      <c r="H31" s="285">
        <v>1</v>
      </c>
      <c r="I31" s="285">
        <v>1</v>
      </c>
      <c r="J31" s="190">
        <v>1462.11</v>
      </c>
      <c r="K31" s="190">
        <f>IF(F31&lt;&gt;"",H31*I31*J31,"")</f>
        <v>1462.11</v>
      </c>
      <c r="L31" s="190">
        <f>IF(K31&lt;&gt;"",IF(D31="INTERNO",0,K31*$L$14),"")</f>
        <v>116.96879999999999</v>
      </c>
      <c r="M31" s="190">
        <f>IF(K31&lt;&gt;"",IF(E31="FAT.OGGI",SUM(K31:L31)*(1/(1-$M$14)-1),L31*(1/(1-$M$14)-1)),"")</f>
        <v>331.02014762307954</v>
      </c>
      <c r="N31" s="191">
        <f>SUM(K31:M31)</f>
        <v>1910.0989476230793</v>
      </c>
      <c r="O31" s="193"/>
      <c r="P31" s="193"/>
      <c r="Q31" s="286">
        <f t="shared" si="5"/>
        <v>1</v>
      </c>
      <c r="R31" s="287">
        <f t="shared" si="5"/>
        <v>1</v>
      </c>
      <c r="S31" s="288">
        <v>1478.15</v>
      </c>
      <c r="T31" s="288">
        <f>IF(Q31&lt;&gt;"",Q31*R31*S31,"")</f>
        <v>1478.15</v>
      </c>
      <c r="U31" s="289">
        <f>IF(Q31&lt;&gt;"",K31-T31,"")</f>
        <v>-16.040000000000191</v>
      </c>
      <c r="V31" s="290">
        <f>IF(Q31&lt;&gt;"",0%,"")</f>
        <v>0</v>
      </c>
      <c r="W31" s="291">
        <f>IF(Q31&lt;&gt;"",V31*U31,"")</f>
        <v>0</v>
      </c>
      <c r="X31" s="291">
        <f>IF(Q31&lt;&gt;"",W31+T31,"")</f>
        <v>1478.15</v>
      </c>
      <c r="Y31" s="200">
        <f t="shared" si="6"/>
        <v>1809.1701476230796</v>
      </c>
      <c r="Z31" s="201">
        <f>IF(Q31&lt;&gt;"",U31/K31,"")</f>
        <v>-1.0970446820006833E-2</v>
      </c>
      <c r="AA31" s="202">
        <f>T31/$T$35</f>
        <v>0.16694487989771997</v>
      </c>
      <c r="AB31" s="193"/>
      <c r="AC31" s="193"/>
      <c r="AD31" s="193"/>
      <c r="AE31" s="312">
        <f t="shared" si="2"/>
        <v>0</v>
      </c>
      <c r="AF31" s="316">
        <v>1478.15</v>
      </c>
      <c r="AG31" s="315" t="s">
        <v>242</v>
      </c>
    </row>
    <row r="32" spans="1:33" ht="46.8" x14ac:dyDescent="0.45">
      <c r="A32" s="100">
        <v>34</v>
      </c>
      <c r="B32" s="80" t="s">
        <v>92</v>
      </c>
      <c r="C32" s="103" t="s">
        <v>56</v>
      </c>
      <c r="D32" s="100" t="s">
        <v>68</v>
      </c>
      <c r="E32" s="100" t="s">
        <v>58</v>
      </c>
      <c r="F32" s="283" t="s">
        <v>88</v>
      </c>
      <c r="G32" s="284" t="s">
        <v>93</v>
      </c>
      <c r="H32" s="285">
        <v>1</v>
      </c>
      <c r="I32" s="285">
        <v>1</v>
      </c>
      <c r="J32" s="190">
        <v>1625.7</v>
      </c>
      <c r="K32" s="190">
        <f>IF(F32&lt;&gt;"",H32*I32*J32,"")</f>
        <v>1625.7</v>
      </c>
      <c r="L32" s="190">
        <f>IF(K32&lt;&gt;"",IF(D32="INTERNO",0,K32*$L$14),"")</f>
        <v>130.05600000000001</v>
      </c>
      <c r="M32" s="190">
        <f>IF(K32&lt;&gt;"",IF(E32="FAT.OGGI",SUM(K32:L32)*(1/(1-$M$14)-1),L32*(1/(1-$M$14)-1)),"")</f>
        <v>368.05674948590774</v>
      </c>
      <c r="N32" s="191">
        <f>SUM(K32:M32)</f>
        <v>2123.8127494859077</v>
      </c>
      <c r="O32" s="193"/>
      <c r="P32" s="193"/>
      <c r="Q32" s="286">
        <f t="shared" si="5"/>
        <v>1</v>
      </c>
      <c r="R32" s="287">
        <f t="shared" si="5"/>
        <v>1</v>
      </c>
      <c r="S32" s="288">
        <v>1499.53</v>
      </c>
      <c r="T32" s="288">
        <f>IF(Q32&lt;&gt;"",Q32*R32*S32,"")</f>
        <v>1499.53</v>
      </c>
      <c r="U32" s="289">
        <f>IF(Q32&lt;&gt;"",K32-T32,"")</f>
        <v>126.17000000000007</v>
      </c>
      <c r="V32" s="290">
        <f>IF(Q32&lt;&gt;"",0%,"")</f>
        <v>0</v>
      </c>
      <c r="W32" s="291">
        <f>IF(Q32&lt;&gt;"",V32*U32,"")</f>
        <v>0</v>
      </c>
      <c r="X32" s="291">
        <f>IF(Q32&lt;&gt;"",W32+T32,"")</f>
        <v>1499.53</v>
      </c>
      <c r="Y32" s="200">
        <f t="shared" si="6"/>
        <v>1867.5867494859076</v>
      </c>
      <c r="Z32" s="201">
        <f>IF(Q32&lt;&gt;"",U32/K32,"")</f>
        <v>7.7609645075967321E-2</v>
      </c>
      <c r="AA32" s="202">
        <f>T32/$T$35</f>
        <v>0.1693595749775246</v>
      </c>
      <c r="AB32" s="193"/>
      <c r="AC32" s="193"/>
      <c r="AD32" s="193"/>
      <c r="AE32" s="312">
        <f t="shared" si="2"/>
        <v>0</v>
      </c>
      <c r="AF32" s="316">
        <v>1499.53</v>
      </c>
      <c r="AG32" s="315" t="s">
        <v>242</v>
      </c>
    </row>
    <row r="33" spans="1:33" ht="46.8" x14ac:dyDescent="0.45">
      <c r="A33" s="100">
        <v>35</v>
      </c>
      <c r="B33" s="80" t="s">
        <v>94</v>
      </c>
      <c r="C33" s="103" t="s">
        <v>56</v>
      </c>
      <c r="D33" s="100" t="s">
        <v>68</v>
      </c>
      <c r="E33" s="100" t="s">
        <v>58</v>
      </c>
      <c r="F33" s="283" t="s">
        <v>88</v>
      </c>
      <c r="G33" s="284" t="s">
        <v>95</v>
      </c>
      <c r="H33" s="285">
        <v>1</v>
      </c>
      <c r="I33" s="285">
        <v>1</v>
      </c>
      <c r="J33" s="190">
        <v>1999</v>
      </c>
      <c r="K33" s="190">
        <f>IF(F33&lt;&gt;"",H33*I33*J33,"")</f>
        <v>1999</v>
      </c>
      <c r="L33" s="190">
        <f>IF(K33&lt;&gt;"",IF(D33="INTERNO",0,K33*$L$14),"")</f>
        <v>159.92000000000002</v>
      </c>
      <c r="M33" s="190">
        <f>IF(K33&lt;&gt;"",IF(E33="FAT.OGGI",SUM(K33:L33)*(1/(1-$M$14)-1),L33*(1/(1-$M$14)-1)),"")</f>
        <v>452.5714721180596</v>
      </c>
      <c r="N33" s="191">
        <f>SUM(K33:M33)</f>
        <v>2611.4914721180598</v>
      </c>
      <c r="O33" s="193"/>
      <c r="P33" s="193"/>
      <c r="Q33" s="286">
        <f t="shared" si="5"/>
        <v>1</v>
      </c>
      <c r="R33" s="287">
        <f t="shared" si="5"/>
        <v>1</v>
      </c>
      <c r="S33" s="288">
        <v>1999.99</v>
      </c>
      <c r="T33" s="288">
        <f>IF(Q33&lt;&gt;"",Q33*R33*S33,"")</f>
        <v>1999.99</v>
      </c>
      <c r="U33" s="289">
        <f>IF(Q33&lt;&gt;"",K33-T33,"")</f>
        <v>-0.99000000000000909</v>
      </c>
      <c r="V33" s="290">
        <f>IF(Q33&lt;&gt;"",0%,"")</f>
        <v>0</v>
      </c>
      <c r="W33" s="291">
        <f>IF(Q33&lt;&gt;"",V33*U33,"")</f>
        <v>0</v>
      </c>
      <c r="X33" s="291">
        <f>IF(Q33&lt;&gt;"",W33+T33,"")</f>
        <v>1999.99</v>
      </c>
      <c r="Y33" s="200">
        <f t="shared" si="6"/>
        <v>2452.5614721180596</v>
      </c>
      <c r="Z33" s="201">
        <f>IF(Q33&lt;&gt;"",U33/K33,"")</f>
        <v>-4.9524762381191053E-4</v>
      </c>
      <c r="AA33" s="202">
        <f>T33/$T$35</f>
        <v>0.2258824140626059</v>
      </c>
      <c r="AB33" s="193"/>
      <c r="AC33" s="193"/>
      <c r="AD33" s="193"/>
      <c r="AE33" s="312">
        <f t="shared" si="2"/>
        <v>0</v>
      </c>
      <c r="AF33" s="316">
        <v>1999.99</v>
      </c>
      <c r="AG33" s="315" t="s">
        <v>241</v>
      </c>
    </row>
    <row r="34" spans="1:33" ht="47.4" thickBot="1" x14ac:dyDescent="0.5">
      <c r="A34" s="100">
        <v>36</v>
      </c>
      <c r="B34" s="80" t="s">
        <v>96</v>
      </c>
      <c r="C34" s="103" t="s">
        <v>56</v>
      </c>
      <c r="D34" s="100" t="s">
        <v>68</v>
      </c>
      <c r="E34" s="100" t="s">
        <v>58</v>
      </c>
      <c r="F34" s="292" t="s">
        <v>88</v>
      </c>
      <c r="G34" s="187" t="s">
        <v>97</v>
      </c>
      <c r="H34" s="249">
        <v>1</v>
      </c>
      <c r="I34" s="249">
        <v>1</v>
      </c>
      <c r="J34" s="189">
        <v>1999</v>
      </c>
      <c r="K34" s="189">
        <f>IF(F34&lt;&gt;"",H34*I34*J34,"")</f>
        <v>1999</v>
      </c>
      <c r="L34" s="189">
        <f>IF(K34&lt;&gt;"",IF(D34="INTERNO",0,K34*$L$14),"")</f>
        <v>159.92000000000002</v>
      </c>
      <c r="M34" s="189">
        <f>IF(K34&lt;&gt;"",IF(E34="FAT.OGGI",SUM(K34:L34)*(1/(1-$M$14)-1),L34*(1/(1-$M$14)-1)),"")</f>
        <v>452.5714721180596</v>
      </c>
      <c r="N34" s="266">
        <f>SUM(K34:M34)</f>
        <v>2611.4914721180598</v>
      </c>
      <c r="O34" s="193"/>
      <c r="P34" s="193"/>
      <c r="Q34" s="267">
        <f t="shared" si="5"/>
        <v>1</v>
      </c>
      <c r="R34" s="203">
        <f t="shared" si="5"/>
        <v>1</v>
      </c>
      <c r="S34" s="204">
        <v>1999</v>
      </c>
      <c r="T34" s="204">
        <f>IF(Q34&lt;&gt;"",Q34*R34*S34,"")</f>
        <v>1999</v>
      </c>
      <c r="U34" s="205">
        <f>IF(Q34&lt;&gt;"",K34-T34,"")</f>
        <v>0</v>
      </c>
      <c r="V34" s="206">
        <f>IF(Q34&lt;&gt;"",0%,"")</f>
        <v>0</v>
      </c>
      <c r="W34" s="207">
        <f>IF(Q34&lt;&gt;"",V34*U34,"")</f>
        <v>0</v>
      </c>
      <c r="X34" s="207">
        <f>IF(Q34&lt;&gt;"",W34+T34,"")</f>
        <v>1999</v>
      </c>
      <c r="Y34" s="268">
        <f t="shared" si="6"/>
        <v>2451.5714721180598</v>
      </c>
      <c r="Z34" s="293">
        <f>IF(Q34&lt;&gt;"",U34/K34,"")</f>
        <v>0</v>
      </c>
      <c r="AA34" s="294">
        <f>T34/$T$35</f>
        <v>0.22577060170858315</v>
      </c>
      <c r="AB34" s="193"/>
      <c r="AC34" s="193"/>
      <c r="AD34" s="193"/>
      <c r="AE34" s="312">
        <f t="shared" si="2"/>
        <v>0</v>
      </c>
      <c r="AF34" s="316">
        <v>1999</v>
      </c>
      <c r="AG34" s="315" t="s">
        <v>241</v>
      </c>
    </row>
    <row r="35" spans="1:33" ht="39.9" customHeight="1" x14ac:dyDescent="0.45">
      <c r="A35" s="100">
        <v>37</v>
      </c>
      <c r="B35" s="80"/>
      <c r="C35" s="103" t="s">
        <v>64</v>
      </c>
      <c r="D35" s="100"/>
      <c r="E35" s="100"/>
      <c r="F35" s="295" t="s">
        <v>98</v>
      </c>
      <c r="G35" s="296"/>
      <c r="H35" s="296"/>
      <c r="I35" s="296"/>
      <c r="J35" s="296"/>
      <c r="K35" s="271">
        <f>SUM(K30:K34)</f>
        <v>8682.1899999999987</v>
      </c>
      <c r="L35" s="271">
        <f>SUM(L30:L34)</f>
        <v>694.5752</v>
      </c>
      <c r="M35" s="271">
        <f>SUM(M30:M34)</f>
        <v>1965.6385740413684</v>
      </c>
      <c r="N35" s="272">
        <f>SUM(N30:N34)</f>
        <v>11342.403774041368</v>
      </c>
      <c r="O35" s="193"/>
      <c r="P35" s="193"/>
      <c r="Q35" s="295" t="s">
        <v>99</v>
      </c>
      <c r="R35" s="296"/>
      <c r="S35" s="296"/>
      <c r="T35" s="297">
        <f>SUM(T30:T34)</f>
        <v>8854.119999999999</v>
      </c>
      <c r="U35" s="298">
        <f>SUM(U30:U34)</f>
        <v>-171.93000000000006</v>
      </c>
      <c r="V35" s="299"/>
      <c r="W35" s="299"/>
      <c r="X35" s="300">
        <f>SUM(X30:X34)</f>
        <v>8854.119999999999</v>
      </c>
      <c r="Y35" s="301">
        <f t="shared" si="6"/>
        <v>10819.758574041367</v>
      </c>
      <c r="Z35" s="302" t="s">
        <v>100</v>
      </c>
      <c r="AA35" s="303" t="s">
        <v>101</v>
      </c>
      <c r="AB35" s="193"/>
      <c r="AC35" s="193"/>
      <c r="AD35" s="193"/>
      <c r="AE35" s="312"/>
      <c r="AF35" s="316"/>
    </row>
    <row r="36" spans="1:33" ht="24" thickBot="1" x14ac:dyDescent="0.5">
      <c r="A36" s="100">
        <v>38</v>
      </c>
      <c r="B36" s="80">
        <v>4</v>
      </c>
      <c r="C36" s="103" t="s">
        <v>47</v>
      </c>
      <c r="D36" s="100"/>
      <c r="E36" s="108"/>
      <c r="F36" s="280" t="s">
        <v>102</v>
      </c>
      <c r="G36" s="281"/>
      <c r="H36" s="281"/>
      <c r="I36" s="281"/>
      <c r="J36" s="281"/>
      <c r="K36" s="281"/>
      <c r="L36" s="281"/>
      <c r="M36" s="281"/>
      <c r="N36" s="281"/>
      <c r="O36" s="193"/>
      <c r="P36" s="193"/>
      <c r="Q36" s="281" t="str">
        <f>IF(F36&lt;&gt;"",F36,"")</f>
        <v xml:space="preserve">CENOGRAFIA </v>
      </c>
      <c r="R36" s="281"/>
      <c r="S36" s="281"/>
      <c r="T36" s="281"/>
      <c r="U36" s="281"/>
      <c r="V36" s="281"/>
      <c r="W36" s="281"/>
      <c r="X36" s="281"/>
      <c r="Y36" s="281"/>
      <c r="Z36" s="193"/>
      <c r="AA36" s="193"/>
      <c r="AB36" s="193"/>
      <c r="AC36" s="193"/>
      <c r="AD36" s="193"/>
      <c r="AE36" s="312"/>
      <c r="AF36" s="316"/>
    </row>
    <row r="37" spans="1:33" ht="32.4" x14ac:dyDescent="0.45">
      <c r="A37" s="100">
        <v>39</v>
      </c>
      <c r="B37" s="80" t="s">
        <v>103</v>
      </c>
      <c r="C37" s="103" t="s">
        <v>50</v>
      </c>
      <c r="D37" s="100"/>
      <c r="E37" s="100"/>
      <c r="F37" s="238" t="s">
        <v>102</v>
      </c>
      <c r="G37" s="239"/>
      <c r="H37" s="239"/>
      <c r="I37" s="239"/>
      <c r="J37" s="239"/>
      <c r="K37" s="240"/>
      <c r="L37" s="241" t="s">
        <v>52</v>
      </c>
      <c r="M37" s="242" t="s">
        <v>53</v>
      </c>
      <c r="N37" s="243" t="s">
        <v>32</v>
      </c>
      <c r="O37" s="193"/>
      <c r="P37" s="193"/>
      <c r="Q37" s="238" t="str">
        <f>IF(F37&lt;&gt;"",F37,"")</f>
        <v xml:space="preserve">CENOGRAFIA </v>
      </c>
      <c r="R37" s="239"/>
      <c r="S37" s="239"/>
      <c r="T37" s="239"/>
      <c r="U37" s="239"/>
      <c r="V37" s="239"/>
      <c r="W37" s="239"/>
      <c r="X37" s="239"/>
      <c r="Y37" s="282"/>
      <c r="Z37" s="247" t="s">
        <v>54</v>
      </c>
      <c r="AA37" s="248" t="s">
        <v>43</v>
      </c>
      <c r="AB37" s="193"/>
      <c r="AC37" s="193"/>
      <c r="AD37" s="193"/>
      <c r="AE37" s="312"/>
      <c r="AF37" s="316"/>
    </row>
    <row r="38" spans="1:33" ht="46.8" x14ac:dyDescent="0.45">
      <c r="A38" s="100">
        <v>40</v>
      </c>
      <c r="B38" s="80" t="s">
        <v>104</v>
      </c>
      <c r="C38" s="103" t="s">
        <v>56</v>
      </c>
      <c r="D38" s="100" t="s">
        <v>68</v>
      </c>
      <c r="E38" s="100" t="s">
        <v>58</v>
      </c>
      <c r="F38" s="283" t="s">
        <v>105</v>
      </c>
      <c r="G38" s="284" t="s">
        <v>106</v>
      </c>
      <c r="H38" s="285">
        <v>1</v>
      </c>
      <c r="I38" s="285">
        <v>1</v>
      </c>
      <c r="J38" s="190">
        <v>1123</v>
      </c>
      <c r="K38" s="190">
        <f t="shared" ref="K38:K43" si="7">IF(F38&lt;&gt;"",H38*I38*J38,"")</f>
        <v>1123</v>
      </c>
      <c r="L38" s="190">
        <f t="shared" ref="L38:L43" si="8">IF(K38&lt;&gt;"",IF(D38="INTERNO",0,K38*$L$14),"")</f>
        <v>89.84</v>
      </c>
      <c r="M38" s="190">
        <f t="shared" ref="M38:M43" si="9">IF(K38&lt;&gt;"",IF(E38="FAT.OGGI",SUM(K38:L38)*(1/(1-$M$14)-1),L38*(1/(1-$M$14)-1)),"")</f>
        <v>254.24600459658873</v>
      </c>
      <c r="N38" s="191">
        <f t="shared" ref="N38:N43" si="10">SUM(K38:M38)</f>
        <v>1467.0860045965887</v>
      </c>
      <c r="O38" s="193"/>
      <c r="P38" s="193"/>
      <c r="Q38" s="286">
        <f>IF(H38&lt;&gt;"",H38,"")</f>
        <v>1</v>
      </c>
      <c r="R38" s="287">
        <f>IF(I38&lt;&gt;"",I38,"")</f>
        <v>1</v>
      </c>
      <c r="S38" s="288">
        <v>936</v>
      </c>
      <c r="T38" s="288">
        <f t="shared" ref="T38:T43" si="11">IF(Q38&lt;&gt;"",Q38*R38*S38,"")</f>
        <v>936</v>
      </c>
      <c r="U38" s="289">
        <f t="shared" ref="U38:U43" si="12">IF(Q38&lt;&gt;"",K38-T38,"")</f>
        <v>187</v>
      </c>
      <c r="V38" s="290">
        <f t="shared" ref="V38:V43" si="13">IF(Q38&lt;&gt;"",0%,"")</f>
        <v>0</v>
      </c>
      <c r="W38" s="291">
        <f t="shared" ref="W38:W43" si="14">IF(Q38&lt;&gt;"",V38*U38,"")</f>
        <v>0</v>
      </c>
      <c r="X38" s="291">
        <f t="shared" ref="X38:X43" si="15">IF(Q38&lt;&gt;"",W38+T38,"")</f>
        <v>936</v>
      </c>
      <c r="Y38" s="200">
        <f t="shared" ref="Y38:Y44" si="16">IF(Q38&lt;&gt;"",X38+M38,"")</f>
        <v>1190.2460045965888</v>
      </c>
      <c r="Z38" s="201">
        <f t="shared" ref="Z38:Z43" si="17">IF(Q38&lt;&gt;"",U38/K38,"")</f>
        <v>0.16651825467497774</v>
      </c>
      <c r="AA38" s="202">
        <f t="shared" ref="AA38:AA43" si="18">T38/$T$44</f>
        <v>6.0801922795849096E-2</v>
      </c>
      <c r="AB38" s="193"/>
      <c r="AC38" s="193"/>
      <c r="AD38" s="193"/>
      <c r="AE38" s="312">
        <f t="shared" si="2"/>
        <v>0</v>
      </c>
      <c r="AF38" s="316">
        <v>936</v>
      </c>
      <c r="AG38" s="315" t="s">
        <v>249</v>
      </c>
    </row>
    <row r="39" spans="1:33" ht="46.8" x14ac:dyDescent="0.45">
      <c r="A39" s="100">
        <v>41</v>
      </c>
      <c r="B39" s="80" t="s">
        <v>107</v>
      </c>
      <c r="C39" s="103" t="s">
        <v>56</v>
      </c>
      <c r="D39" s="100" t="s">
        <v>68</v>
      </c>
      <c r="E39" s="100" t="s">
        <v>58</v>
      </c>
      <c r="F39" s="283" t="s">
        <v>108</v>
      </c>
      <c r="G39" s="284" t="s">
        <v>106</v>
      </c>
      <c r="H39" s="285">
        <v>3</v>
      </c>
      <c r="I39" s="285">
        <v>1</v>
      </c>
      <c r="J39" s="190">
        <v>940</v>
      </c>
      <c r="K39" s="190">
        <f t="shared" si="7"/>
        <v>2820</v>
      </c>
      <c r="L39" s="190">
        <f t="shared" si="8"/>
        <v>225.6</v>
      </c>
      <c r="M39" s="190">
        <f t="shared" si="9"/>
        <v>638.44499818555676</v>
      </c>
      <c r="N39" s="191">
        <f t="shared" si="10"/>
        <v>3684.0449981855568</v>
      </c>
      <c r="O39" s="193"/>
      <c r="P39" s="193"/>
      <c r="Q39" s="286">
        <v>1</v>
      </c>
      <c r="R39" s="287">
        <f>IF(I39&lt;&gt;"",I39,"")</f>
        <v>1</v>
      </c>
      <c r="S39" s="288">
        <v>2349</v>
      </c>
      <c r="T39" s="288">
        <f t="shared" si="11"/>
        <v>2349</v>
      </c>
      <c r="U39" s="289">
        <f t="shared" si="12"/>
        <v>471</v>
      </c>
      <c r="V39" s="290">
        <f t="shared" si="13"/>
        <v>0</v>
      </c>
      <c r="W39" s="291">
        <f t="shared" si="14"/>
        <v>0</v>
      </c>
      <c r="X39" s="291">
        <f t="shared" si="15"/>
        <v>2349</v>
      </c>
      <c r="Y39" s="200">
        <f t="shared" si="16"/>
        <v>2987.4449981855569</v>
      </c>
      <c r="Z39" s="201">
        <f t="shared" si="17"/>
        <v>0.16702127659574467</v>
      </c>
      <c r="AA39" s="202">
        <f t="shared" si="18"/>
        <v>0.15258944086265977</v>
      </c>
      <c r="AB39" s="193"/>
      <c r="AC39" s="193"/>
      <c r="AD39" s="193"/>
      <c r="AE39" s="312">
        <f t="shared" si="2"/>
        <v>0</v>
      </c>
      <c r="AF39" s="316">
        <v>2349</v>
      </c>
      <c r="AG39" s="315" t="s">
        <v>249</v>
      </c>
    </row>
    <row r="40" spans="1:33" ht="46.8" x14ac:dyDescent="0.45">
      <c r="A40" s="100">
        <v>42</v>
      </c>
      <c r="B40" s="80" t="s">
        <v>109</v>
      </c>
      <c r="C40" s="103" t="s">
        <v>56</v>
      </c>
      <c r="D40" s="100" t="s">
        <v>68</v>
      </c>
      <c r="E40" s="100" t="s">
        <v>58</v>
      </c>
      <c r="F40" s="283" t="s">
        <v>110</v>
      </c>
      <c r="G40" s="284" t="s">
        <v>111</v>
      </c>
      <c r="H40" s="285">
        <v>1</v>
      </c>
      <c r="I40" s="285">
        <v>1</v>
      </c>
      <c r="J40" s="190">
        <v>967</v>
      </c>
      <c r="K40" s="190">
        <f t="shared" si="7"/>
        <v>967</v>
      </c>
      <c r="L40" s="190">
        <f t="shared" si="8"/>
        <v>77.36</v>
      </c>
      <c r="M40" s="190">
        <f t="shared" si="9"/>
        <v>218.92777065440902</v>
      </c>
      <c r="N40" s="191">
        <f t="shared" si="10"/>
        <v>1263.2877706544089</v>
      </c>
      <c r="O40" s="193"/>
      <c r="P40" s="193"/>
      <c r="Q40" s="286">
        <f>IF(H40&lt;&gt;"",H40,"")</f>
        <v>1</v>
      </c>
      <c r="R40" s="287">
        <f>IF(I40&lt;&gt;"",I40,"")</f>
        <v>1</v>
      </c>
      <c r="S40" s="288">
        <v>806</v>
      </c>
      <c r="T40" s="288">
        <f t="shared" si="11"/>
        <v>806</v>
      </c>
      <c r="U40" s="289">
        <f t="shared" si="12"/>
        <v>161</v>
      </c>
      <c r="V40" s="290">
        <f t="shared" si="13"/>
        <v>0</v>
      </c>
      <c r="W40" s="291">
        <f t="shared" si="14"/>
        <v>0</v>
      </c>
      <c r="X40" s="291">
        <f t="shared" si="15"/>
        <v>806</v>
      </c>
      <c r="Y40" s="200">
        <f t="shared" si="16"/>
        <v>1024.927770654409</v>
      </c>
      <c r="Z40" s="201">
        <f t="shared" si="17"/>
        <v>0.16649431230610134</v>
      </c>
      <c r="AA40" s="202">
        <f t="shared" si="18"/>
        <v>5.2357211296425614E-2</v>
      </c>
      <c r="AB40" s="193"/>
      <c r="AC40" s="193"/>
      <c r="AD40" s="193"/>
      <c r="AE40" s="312">
        <f t="shared" si="2"/>
        <v>0</v>
      </c>
      <c r="AF40" s="316">
        <v>806</v>
      </c>
      <c r="AG40" s="315" t="s">
        <v>249</v>
      </c>
    </row>
    <row r="41" spans="1:33" ht="46.8" x14ac:dyDescent="0.45">
      <c r="A41" s="100">
        <v>43</v>
      </c>
      <c r="B41" s="80" t="s">
        <v>112</v>
      </c>
      <c r="C41" s="103" t="s">
        <v>56</v>
      </c>
      <c r="D41" s="100" t="s">
        <v>68</v>
      </c>
      <c r="E41" s="100" t="s">
        <v>58</v>
      </c>
      <c r="F41" s="283" t="s">
        <v>110</v>
      </c>
      <c r="G41" s="284" t="s">
        <v>111</v>
      </c>
      <c r="H41" s="285">
        <v>3</v>
      </c>
      <c r="I41" s="285">
        <v>1</v>
      </c>
      <c r="J41" s="190">
        <v>738</v>
      </c>
      <c r="K41" s="190">
        <f t="shared" si="7"/>
        <v>2214</v>
      </c>
      <c r="L41" s="190">
        <f t="shared" si="8"/>
        <v>177.12</v>
      </c>
      <c r="M41" s="190">
        <f t="shared" si="9"/>
        <v>501.24724325632013</v>
      </c>
      <c r="N41" s="191">
        <f t="shared" si="10"/>
        <v>2892.3672432563199</v>
      </c>
      <c r="O41" s="193"/>
      <c r="P41" s="193"/>
      <c r="Q41" s="286">
        <v>1</v>
      </c>
      <c r="R41" s="287">
        <f>IF(I41&lt;&gt;"",I41,"")</f>
        <v>1</v>
      </c>
      <c r="S41" s="288">
        <v>1845</v>
      </c>
      <c r="T41" s="288">
        <f t="shared" si="11"/>
        <v>1845</v>
      </c>
      <c r="U41" s="289">
        <f t="shared" si="12"/>
        <v>369</v>
      </c>
      <c r="V41" s="290">
        <f t="shared" si="13"/>
        <v>0</v>
      </c>
      <c r="W41" s="291">
        <f t="shared" si="14"/>
        <v>0</v>
      </c>
      <c r="X41" s="291">
        <f t="shared" si="15"/>
        <v>1845</v>
      </c>
      <c r="Y41" s="200">
        <f t="shared" si="16"/>
        <v>2346.24724325632</v>
      </c>
      <c r="Z41" s="201">
        <f t="shared" si="17"/>
        <v>0.16666666666666666</v>
      </c>
      <c r="AA41" s="202">
        <f t="shared" si="18"/>
        <v>0.11984994397258716</v>
      </c>
      <c r="AB41" s="193"/>
      <c r="AC41" s="193"/>
      <c r="AD41" s="193"/>
      <c r="AE41" s="312">
        <f t="shared" si="2"/>
        <v>0</v>
      </c>
      <c r="AF41" s="316">
        <v>1845</v>
      </c>
      <c r="AG41" s="315" t="s">
        <v>249</v>
      </c>
    </row>
    <row r="42" spans="1:33" ht="46.8" x14ac:dyDescent="0.45">
      <c r="A42" s="100">
        <v>44</v>
      </c>
      <c r="B42" s="80" t="s">
        <v>113</v>
      </c>
      <c r="C42" s="103" t="s">
        <v>56</v>
      </c>
      <c r="D42" s="100" t="s">
        <v>68</v>
      </c>
      <c r="E42" s="100" t="s">
        <v>58</v>
      </c>
      <c r="F42" s="283" t="s">
        <v>114</v>
      </c>
      <c r="G42" s="284" t="s">
        <v>111</v>
      </c>
      <c r="H42" s="285">
        <v>3</v>
      </c>
      <c r="I42" s="285">
        <v>1</v>
      </c>
      <c r="J42" s="190">
        <v>738</v>
      </c>
      <c r="K42" s="190">
        <f t="shared" si="7"/>
        <v>2214</v>
      </c>
      <c r="L42" s="190">
        <f t="shared" si="8"/>
        <v>177.12</v>
      </c>
      <c r="M42" s="190">
        <f t="shared" si="9"/>
        <v>501.24724325632013</v>
      </c>
      <c r="N42" s="191">
        <f t="shared" si="10"/>
        <v>2892.3672432563199</v>
      </c>
      <c r="O42" s="193"/>
      <c r="P42" s="193"/>
      <c r="Q42" s="286">
        <v>1</v>
      </c>
      <c r="R42" s="287">
        <f>IF(I42&lt;&gt;"",I42,"")</f>
        <v>1</v>
      </c>
      <c r="S42" s="288">
        <v>1845</v>
      </c>
      <c r="T42" s="288">
        <f t="shared" si="11"/>
        <v>1845</v>
      </c>
      <c r="U42" s="289">
        <f t="shared" si="12"/>
        <v>369</v>
      </c>
      <c r="V42" s="290">
        <f t="shared" si="13"/>
        <v>0</v>
      </c>
      <c r="W42" s="291">
        <f t="shared" si="14"/>
        <v>0</v>
      </c>
      <c r="X42" s="291">
        <f t="shared" si="15"/>
        <v>1845</v>
      </c>
      <c r="Y42" s="200">
        <f t="shared" si="16"/>
        <v>2346.24724325632</v>
      </c>
      <c r="Z42" s="201">
        <f t="shared" si="17"/>
        <v>0.16666666666666666</v>
      </c>
      <c r="AA42" s="202">
        <f t="shared" si="18"/>
        <v>0.11984994397258716</v>
      </c>
      <c r="AB42" s="193"/>
      <c r="AC42" s="193"/>
      <c r="AD42" s="193"/>
      <c r="AE42" s="312">
        <f t="shared" si="2"/>
        <v>0</v>
      </c>
      <c r="AF42" s="316">
        <v>1845</v>
      </c>
      <c r="AG42" s="315" t="s">
        <v>249</v>
      </c>
    </row>
    <row r="43" spans="1:33" ht="47.4" thickBot="1" x14ac:dyDescent="0.5">
      <c r="A43" s="100">
        <v>45</v>
      </c>
      <c r="B43" s="80" t="s">
        <v>115</v>
      </c>
      <c r="C43" s="103" t="s">
        <v>56</v>
      </c>
      <c r="D43" s="100" t="s">
        <v>68</v>
      </c>
      <c r="E43" s="100" t="s">
        <v>58</v>
      </c>
      <c r="F43" s="292" t="s">
        <v>116</v>
      </c>
      <c r="G43" s="187" t="s">
        <v>117</v>
      </c>
      <c r="H43" s="249">
        <v>1</v>
      </c>
      <c r="I43" s="249">
        <v>1</v>
      </c>
      <c r="J43" s="189">
        <v>6100</v>
      </c>
      <c r="K43" s="189">
        <f t="shared" si="7"/>
        <v>6100</v>
      </c>
      <c r="L43" s="189">
        <f t="shared" si="8"/>
        <v>488</v>
      </c>
      <c r="M43" s="189">
        <f t="shared" si="9"/>
        <v>1381.0335067134386</v>
      </c>
      <c r="N43" s="266">
        <f t="shared" si="10"/>
        <v>7969.0335067134383</v>
      </c>
      <c r="O43" s="193"/>
      <c r="P43" s="193"/>
      <c r="Q43" s="267">
        <f>IF(H43&lt;&gt;"",H43,"")</f>
        <v>1</v>
      </c>
      <c r="R43" s="203">
        <f>IF(I43&lt;&gt;"",I43,"")</f>
        <v>1</v>
      </c>
      <c r="S43" s="204">
        <f>6100+1513.25</f>
        <v>7613.25</v>
      </c>
      <c r="T43" s="204">
        <f t="shared" si="11"/>
        <v>7613.25</v>
      </c>
      <c r="U43" s="205">
        <f t="shared" si="12"/>
        <v>-1513.25</v>
      </c>
      <c r="V43" s="206">
        <f t="shared" si="13"/>
        <v>0</v>
      </c>
      <c r="W43" s="207">
        <f t="shared" si="14"/>
        <v>0</v>
      </c>
      <c r="X43" s="207">
        <f t="shared" si="15"/>
        <v>7613.25</v>
      </c>
      <c r="Y43" s="268">
        <f t="shared" si="16"/>
        <v>8994.2835067134383</v>
      </c>
      <c r="Z43" s="293">
        <f t="shared" si="17"/>
        <v>-0.24807377049180329</v>
      </c>
      <c r="AA43" s="294">
        <f t="shared" si="18"/>
        <v>0.49455153709989119</v>
      </c>
      <c r="AB43" s="193"/>
      <c r="AC43" s="193"/>
      <c r="AD43" s="193"/>
      <c r="AE43" s="312">
        <f t="shared" si="2"/>
        <v>0</v>
      </c>
      <c r="AF43" s="316">
        <v>7613.25</v>
      </c>
      <c r="AG43" s="315" t="s">
        <v>249</v>
      </c>
    </row>
    <row r="44" spans="1:33" ht="24.9" customHeight="1" thickBot="1" x14ac:dyDescent="0.5">
      <c r="A44" s="100">
        <v>46</v>
      </c>
      <c r="B44" s="78"/>
      <c r="C44" s="100" t="s">
        <v>64</v>
      </c>
      <c r="D44" s="100"/>
      <c r="E44" s="100"/>
      <c r="F44" s="295" t="s">
        <v>118</v>
      </c>
      <c r="G44" s="296"/>
      <c r="H44" s="296"/>
      <c r="I44" s="296"/>
      <c r="J44" s="296"/>
      <c r="K44" s="271">
        <f>SUM(K38:K43)</f>
        <v>15438</v>
      </c>
      <c r="L44" s="271">
        <f>SUM(L38:L43)</f>
        <v>1235.04</v>
      </c>
      <c r="M44" s="271">
        <f>SUM(M38:M43)</f>
        <v>3495.1467666626331</v>
      </c>
      <c r="N44" s="272">
        <f>SUM(N38:N43)</f>
        <v>20168.186766662631</v>
      </c>
      <c r="O44" s="193"/>
      <c r="P44" s="193"/>
      <c r="Q44" s="295" t="s">
        <v>118</v>
      </c>
      <c r="R44" s="296"/>
      <c r="S44" s="296"/>
      <c r="T44" s="297">
        <f>SUM(T38:T43)</f>
        <v>15394.25</v>
      </c>
      <c r="U44" s="298">
        <f>SUM(U38:U43)</f>
        <v>43.75</v>
      </c>
      <c r="V44" s="299"/>
      <c r="W44" s="299"/>
      <c r="X44" s="300">
        <f>SUM(X38:X43)</f>
        <v>15394.25</v>
      </c>
      <c r="Y44" s="301">
        <f t="shared" si="16"/>
        <v>18889.396766662634</v>
      </c>
      <c r="Z44" s="302" t="s">
        <v>100</v>
      </c>
      <c r="AA44" s="303" t="s">
        <v>101</v>
      </c>
      <c r="AB44" s="193"/>
      <c r="AC44" s="193"/>
      <c r="AD44" s="193"/>
      <c r="AE44" s="321">
        <f>SUM(AE17:AE43)</f>
        <v>0</v>
      </c>
      <c r="AF44" s="322">
        <f>SUM(AF17:AF43)</f>
        <v>75006.049999999988</v>
      </c>
    </row>
    <row r="45" spans="1:33" ht="65.400000000000006" thickBot="1" x14ac:dyDescent="0.5">
      <c r="A45" s="107">
        <v>47</v>
      </c>
      <c r="C45" s="78" t="s">
        <v>119</v>
      </c>
      <c r="D45" s="78"/>
      <c r="E45" s="78"/>
      <c r="F45" s="304" t="s">
        <v>246</v>
      </c>
      <c r="G45" s="305"/>
      <c r="H45" s="305"/>
      <c r="I45" s="305"/>
      <c r="J45" s="305"/>
      <c r="K45" s="306">
        <f>SUM(K17:K18)+SUM(K23:K26)+SUM(K30:K34)+SUM(K38:K43)</f>
        <v>89670.19</v>
      </c>
      <c r="L45" s="306">
        <f>SUM(L17:L18)+SUM(L23:L26)+SUM(L30:L34)+SUM(L38:L43)</f>
        <v>6693.6152000000002</v>
      </c>
      <c r="M45" s="306">
        <f>SUM(M17:M18)+SUM(M23:M26)+SUM(M30:M34)+SUM(M38:M43)</f>
        <v>20200.613815362278</v>
      </c>
      <c r="N45" s="307">
        <f>SUM(N17:N18)+SUM(N23:N26)+SUM(N30:N34)+SUM(N38:N43)</f>
        <v>116564.41901536228</v>
      </c>
      <c r="O45" s="193"/>
      <c r="P45" s="193"/>
      <c r="Q45" s="304" t="s">
        <v>120</v>
      </c>
      <c r="R45" s="305"/>
      <c r="S45" s="305"/>
      <c r="T45" s="306">
        <f>SUM(T17:T18)+SUM(T23:T26)+SUM(T30:T34)+SUM(T38:T43)</f>
        <v>75006.05</v>
      </c>
      <c r="U45" s="306">
        <f>SUM(U17:U18)+SUM(U23:U26)+SUM(U30:U34)+SUM(U38:U43)</f>
        <v>14664.14</v>
      </c>
      <c r="V45" s="305"/>
      <c r="W45" s="305"/>
      <c r="X45" s="306">
        <f>SUM(X17:X18)+SUM(X23:X26)+SUM(X30:X34)+SUM(X38:X43)</f>
        <v>75006.05</v>
      </c>
      <c r="Y45" s="307">
        <f>SUM(Y17:Y18)+SUM(Y23:Y26)+SUM(Y30:Y34)+SUM(Y38:Y43)</f>
        <v>95206.663815362292</v>
      </c>
      <c r="Z45" s="308">
        <f>IF(Q45&lt;&gt;"",(N45-Y45)/N45,"")</f>
        <v>0.18322705488014487</v>
      </c>
      <c r="AA45" s="309">
        <f>IF(Z45&lt;&gt;"",(N45-Y45),"")</f>
        <v>21357.755199999985</v>
      </c>
      <c r="AB45" s="193"/>
      <c r="AC45" s="193"/>
      <c r="AD45" s="193"/>
      <c r="AE45" s="326">
        <f>AE44</f>
        <v>0</v>
      </c>
      <c r="AF45" s="325">
        <f>AF44</f>
        <v>75006.049999999988</v>
      </c>
    </row>
    <row r="46" spans="1:33" ht="47.4" customHeight="1" x14ac:dyDescent="0.3">
      <c r="N46" s="318"/>
      <c r="AE46" s="313"/>
      <c r="AF46" s="323">
        <f>N47*0.15</f>
        <v>18824.518499999998</v>
      </c>
      <c r="AG46" s="324" t="s">
        <v>53</v>
      </c>
    </row>
    <row r="47" spans="1:33" ht="47.4" customHeight="1" x14ac:dyDescent="0.3">
      <c r="M47" s="320" t="s">
        <v>250</v>
      </c>
      <c r="N47" s="319">
        <v>125496.79</v>
      </c>
      <c r="AE47" s="313"/>
      <c r="AF47" s="323">
        <f>AF45+AF46</f>
        <v>93830.568499999994</v>
      </c>
      <c r="AG47" s="324" t="s">
        <v>251</v>
      </c>
    </row>
    <row r="48" spans="1:33" ht="47.4" customHeight="1" x14ac:dyDescent="0.3">
      <c r="N48" s="318"/>
      <c r="AE48" s="313"/>
      <c r="AF48" s="319">
        <f>N47-AF47</f>
        <v>31666.2215</v>
      </c>
      <c r="AG48" s="315" t="s">
        <v>252</v>
      </c>
    </row>
    <row r="49" spans="14:32" ht="47.4" customHeight="1" x14ac:dyDescent="0.3">
      <c r="N49" s="318"/>
      <c r="AE49" s="313"/>
      <c r="AF49" s="327">
        <f>AF48*100%/N47</f>
        <v>0.25232694398000138</v>
      </c>
    </row>
    <row r="50" spans="14:32" ht="47.4" customHeight="1" x14ac:dyDescent="0.3">
      <c r="N50" s="318"/>
      <c r="AE50" s="313"/>
      <c r="AF50" s="313"/>
    </row>
    <row r="51" spans="14:32" ht="47.4" customHeight="1" x14ac:dyDescent="0.3">
      <c r="AE51" s="313"/>
      <c r="AF51" s="313"/>
    </row>
    <row r="52" spans="14:32" ht="47.4" customHeight="1" x14ac:dyDescent="0.3">
      <c r="AE52" s="313"/>
      <c r="AF52" s="313"/>
    </row>
    <row r="53" spans="14:32" ht="47.4" customHeight="1" x14ac:dyDescent="0.3">
      <c r="AE53" s="313"/>
      <c r="AF53" s="313"/>
    </row>
    <row r="54" spans="14:32" ht="47.4" customHeight="1" x14ac:dyDescent="0.3">
      <c r="AE54" s="313"/>
      <c r="AF54" s="313"/>
    </row>
    <row r="55" spans="14:32" ht="47.4" customHeight="1" x14ac:dyDescent="0.3">
      <c r="AE55" s="313"/>
      <c r="AF55" s="313"/>
    </row>
    <row r="56" spans="14:32" ht="47.4" customHeight="1" x14ac:dyDescent="0.3"/>
    <row r="57" spans="14:32" ht="47.4" customHeight="1" x14ac:dyDescent="0.3"/>
    <row r="58" spans="14:32" ht="47.4" customHeight="1" x14ac:dyDescent="0.3"/>
    <row r="59" spans="14:32" ht="47.4" customHeight="1" x14ac:dyDescent="0.3"/>
    <row r="60" spans="14:32" ht="47.4" customHeight="1" x14ac:dyDescent="0.3"/>
    <row r="61" spans="14:32" ht="47.4" customHeight="1" x14ac:dyDescent="0.3"/>
    <row r="62" spans="14:32" ht="47.4" customHeight="1" x14ac:dyDescent="0.3"/>
    <row r="63" spans="14:32" ht="47.4" customHeight="1" x14ac:dyDescent="0.3"/>
    <row r="64" spans="14:32" ht="47.4" customHeight="1" x14ac:dyDescent="0.3"/>
    <row r="65" ht="47.4" customHeight="1" x14ac:dyDescent="0.3"/>
    <row r="66" ht="47.4" customHeight="1" x14ac:dyDescent="0.3"/>
    <row r="67" ht="47.4" customHeight="1" x14ac:dyDescent="0.3"/>
    <row r="68" ht="47.4" customHeight="1" x14ac:dyDescent="0.3"/>
    <row r="69" ht="47.4" customHeight="1" x14ac:dyDescent="0.3"/>
    <row r="70" ht="47.4" customHeight="1" x14ac:dyDescent="0.3"/>
    <row r="71" ht="47.4" customHeight="1" x14ac:dyDescent="0.3"/>
    <row r="72" ht="47.4" customHeight="1" x14ac:dyDescent="0.3"/>
    <row r="73" ht="47.4" customHeight="1" x14ac:dyDescent="0.3"/>
    <row r="74" ht="47.4" customHeight="1" x14ac:dyDescent="0.3"/>
    <row r="75" ht="47.4" customHeight="1" x14ac:dyDescent="0.3"/>
    <row r="76" ht="47.4" customHeight="1" x14ac:dyDescent="0.3"/>
    <row r="77" ht="47.4" customHeight="1" x14ac:dyDescent="0.3"/>
    <row r="78" ht="47.4" customHeight="1" x14ac:dyDescent="0.3"/>
    <row r="79" ht="47.4" customHeight="1" x14ac:dyDescent="0.3"/>
    <row r="80" ht="47.4" customHeight="1" x14ac:dyDescent="0.3"/>
  </sheetData>
  <mergeCells count="31">
    <mergeCell ref="F1:G1"/>
    <mergeCell ref="F2:G2"/>
    <mergeCell ref="Q12:T12"/>
    <mergeCell ref="U12:X12"/>
    <mergeCell ref="AE12:AF12"/>
    <mergeCell ref="F16:K16"/>
    <mergeCell ref="Q16:Y16"/>
    <mergeCell ref="F19:J19"/>
    <mergeCell ref="Q19:S19"/>
    <mergeCell ref="F15:N15"/>
    <mergeCell ref="Q15:Y15"/>
    <mergeCell ref="F20:J20"/>
    <mergeCell ref="Q20:S20"/>
    <mergeCell ref="F21:N21"/>
    <mergeCell ref="Q21:Y21"/>
    <mergeCell ref="F22:K22"/>
    <mergeCell ref="Q22:Y22"/>
    <mergeCell ref="F35:J35"/>
    <mergeCell ref="Q35:S35"/>
    <mergeCell ref="F27:J27"/>
    <mergeCell ref="Q27:S27"/>
    <mergeCell ref="F28:N28"/>
    <mergeCell ref="Q28:Y28"/>
    <mergeCell ref="F29:K29"/>
    <mergeCell ref="Q29:Y29"/>
    <mergeCell ref="F37:K37"/>
    <mergeCell ref="Q37:Y37"/>
    <mergeCell ref="F36:N36"/>
    <mergeCell ref="Q36:Y36"/>
    <mergeCell ref="F44:J44"/>
    <mergeCell ref="Q44:S44"/>
  </mergeCells>
  <dataValidations disablePrompts="1" count="3">
    <dataValidation type="list" allowBlank="1" showInputMessage="1" showErrorMessage="1" sqref="E17:E18 E30:E34 E23:E26 E38:E43" xr:uid="{620FA21A-CB08-4C74-8FFD-AB5BB58BD993}">
      <formula1>"FAT.OGGI,FAT.CLIENTE"</formula1>
    </dataValidation>
    <dataValidation type="list" allowBlank="1" showInputMessage="1" showErrorMessage="1" sqref="D17:D18 D30:D34 D23:D26 D38:D43 D45" xr:uid="{6CD461AB-7C90-454D-9EF8-EB191E796F4F}">
      <formula1>"INTERNO,OPERACIONAL"</formula1>
    </dataValidation>
    <dataValidation type="list" allowBlank="1" showInputMessage="1" showErrorMessage="1" sqref="E45" xr:uid="{52E8D2DF-D137-43A0-B09A-BF9C4D8CF420}">
      <formula1>"FAT.OGGI,FAT.CLIENTE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  <controls>
    <mc:AlternateContent xmlns:mc="http://schemas.openxmlformats.org/markup-compatibility/2006">
      <mc:Choice Requires="x14">
        <control shapeId="57345" r:id="rId4" name="Label1">
          <controlPr defaultSize="0" autoLine="0" r:id="rId5">
            <anchor>
              <from>
                <xdr:col>5</xdr:col>
                <xdr:colOff>670560</xdr:colOff>
                <xdr:row>0</xdr:row>
                <xdr:rowOff>137160</xdr:rowOff>
              </from>
              <to>
                <xdr:col>5</xdr:col>
                <xdr:colOff>1623060</xdr:colOff>
                <xdr:row>1</xdr:row>
                <xdr:rowOff>53340</xdr:rowOff>
              </to>
            </anchor>
          </controlPr>
        </control>
      </mc:Choice>
      <mc:Fallback>
        <control shapeId="57345" r:id="rId4" name="Label1"/>
      </mc:Fallback>
    </mc:AlternateContent>
    <mc:AlternateContent xmlns:mc="http://schemas.openxmlformats.org/markup-compatibility/2006">
      <mc:Choice Requires="x14">
        <control shapeId="57346" r:id="rId6" name="Label2">
          <controlPr defaultSize="0" autoLine="0" r:id="rId7">
            <anchor>
              <from>
                <xdr:col>32</xdr:col>
                <xdr:colOff>1851660</xdr:colOff>
                <xdr:row>0</xdr:row>
                <xdr:rowOff>175260</xdr:rowOff>
              </from>
              <to>
                <xdr:col>32</xdr:col>
                <xdr:colOff>2819400</xdr:colOff>
                <xdr:row>1</xdr:row>
                <xdr:rowOff>99060</xdr:rowOff>
              </to>
            </anchor>
          </controlPr>
        </control>
      </mc:Choice>
      <mc:Fallback>
        <control shapeId="57346" r:id="rId6" name="Label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DE18-6E0F-4BA7-9F46-3EDD5B53F25B}">
  <dimension ref="A1:I22"/>
  <sheetViews>
    <sheetView showGridLines="0" tabSelected="1" topLeftCell="A8" zoomScale="87" zoomScaleNormal="87" workbookViewId="0">
      <selection activeCell="I14" sqref="I14"/>
    </sheetView>
  </sheetViews>
  <sheetFormatPr defaultColWidth="8.77734375" defaultRowHeight="18" x14ac:dyDescent="0.35"/>
  <cols>
    <col min="1" max="1" width="19" style="342" bestFit="1" customWidth="1"/>
    <col min="2" max="2" width="70.33203125" style="328" bestFit="1" customWidth="1"/>
    <col min="3" max="3" width="25.109375" style="328" customWidth="1"/>
    <col min="4" max="4" width="25" style="328" customWidth="1"/>
    <col min="5" max="5" width="20.5546875" style="328" customWidth="1"/>
    <col min="6" max="6" width="14.109375" style="329" customWidth="1"/>
    <col min="7" max="7" width="12.77734375" style="328" bestFit="1" customWidth="1"/>
    <col min="8" max="8" width="12.6640625" style="328" bestFit="1" customWidth="1"/>
    <col min="9" max="9" width="19" style="328" bestFit="1" customWidth="1"/>
    <col min="10" max="16384" width="8.77734375" style="328"/>
  </cols>
  <sheetData>
    <row r="1" spans="1:9" hidden="1" x14ac:dyDescent="0.35"/>
    <row r="2" spans="1:9" hidden="1" x14ac:dyDescent="0.35"/>
    <row r="3" spans="1:9" hidden="1" x14ac:dyDescent="0.35">
      <c r="C3" s="330">
        <v>45866</v>
      </c>
      <c r="D3" s="331"/>
      <c r="E3" s="332" t="e">
        <f>SUM(#REF!)</f>
        <v>#REF!</v>
      </c>
    </row>
    <row r="4" spans="1:9" ht="15.45" hidden="1" customHeight="1" thickBot="1" x14ac:dyDescent="0.4">
      <c r="C4" s="333">
        <v>45867</v>
      </c>
      <c r="D4" s="334"/>
      <c r="E4" s="335"/>
    </row>
    <row r="5" spans="1:9" hidden="1" x14ac:dyDescent="0.35">
      <c r="C5" s="336" t="s">
        <v>253</v>
      </c>
      <c r="D5" s="337"/>
    </row>
    <row r="6" spans="1:9" hidden="1" x14ac:dyDescent="0.35">
      <c r="C6" s="336" t="s">
        <v>254</v>
      </c>
      <c r="D6" s="337"/>
    </row>
    <row r="7" spans="1:9" ht="18.600000000000001" hidden="1" thickBot="1" x14ac:dyDescent="0.4">
      <c r="C7" s="338" t="s">
        <v>120</v>
      </c>
      <c r="D7" s="339"/>
    </row>
    <row r="8" spans="1:9" ht="13.95" customHeight="1" thickBot="1" x14ac:dyDescent="0.4"/>
    <row r="9" spans="1:9" s="329" customFormat="1" ht="19.95" customHeight="1" x14ac:dyDescent="0.35">
      <c r="A9" s="342"/>
      <c r="B9" s="351" t="s">
        <v>248</v>
      </c>
      <c r="C9" s="340"/>
      <c r="D9" s="340"/>
      <c r="E9" s="328"/>
      <c r="G9" s="328"/>
      <c r="H9" s="328"/>
      <c r="I9" s="328"/>
    </row>
    <row r="10" spans="1:9" s="329" customFormat="1" ht="19.95" customHeight="1" x14ac:dyDescent="0.35">
      <c r="A10" s="342"/>
      <c r="B10" s="348" t="s">
        <v>8</v>
      </c>
      <c r="C10" s="340"/>
      <c r="D10" s="340"/>
      <c r="E10" s="328"/>
      <c r="G10" s="328"/>
      <c r="H10" s="328"/>
      <c r="I10" s="328"/>
    </row>
    <row r="11" spans="1:9" s="329" customFormat="1" ht="19.95" customHeight="1" x14ac:dyDescent="0.35">
      <c r="A11" s="342"/>
      <c r="B11" s="349" t="s">
        <v>10</v>
      </c>
      <c r="C11" s="340"/>
      <c r="D11" s="341"/>
      <c r="E11" s="328"/>
      <c r="G11" s="328"/>
      <c r="H11" s="328"/>
      <c r="I11" s="328"/>
    </row>
    <row r="12" spans="1:9" s="329" customFormat="1" ht="19.95" customHeight="1" x14ac:dyDescent="0.35">
      <c r="A12" s="342"/>
      <c r="B12" s="348" t="s">
        <v>12</v>
      </c>
      <c r="C12" s="340"/>
      <c r="D12" s="340"/>
      <c r="E12" s="328"/>
      <c r="G12" s="328"/>
      <c r="H12" s="328"/>
      <c r="I12" s="328"/>
    </row>
    <row r="13" spans="1:9" s="329" customFormat="1" ht="19.95" customHeight="1" x14ac:dyDescent="0.35">
      <c r="A13" s="342"/>
      <c r="B13" s="348" t="s">
        <v>14</v>
      </c>
      <c r="C13" s="340"/>
      <c r="D13" s="340"/>
      <c r="E13" s="328"/>
      <c r="G13" s="328"/>
      <c r="H13" s="328"/>
      <c r="I13" s="328"/>
    </row>
    <row r="14" spans="1:9" s="329" customFormat="1" ht="19.95" customHeight="1" thickBot="1" x14ac:dyDescent="0.4">
      <c r="A14" s="342"/>
      <c r="B14" s="350" t="s">
        <v>247</v>
      </c>
      <c r="C14" s="340"/>
      <c r="D14" s="340"/>
      <c r="E14" s="328"/>
      <c r="G14" s="328"/>
      <c r="H14" s="328"/>
      <c r="I14" s="328"/>
    </row>
    <row r="15" spans="1:9" ht="13.5" customHeight="1" x14ac:dyDescent="0.35"/>
    <row r="16" spans="1:9" ht="19.95" customHeight="1" thickBot="1" x14ac:dyDescent="0.4">
      <c r="B16" s="352"/>
      <c r="C16" s="353" t="s">
        <v>255</v>
      </c>
      <c r="D16" s="353" t="s">
        <v>256</v>
      </c>
      <c r="E16" s="353" t="s">
        <v>252</v>
      </c>
    </row>
    <row r="17" spans="2:6" ht="21.45" customHeight="1" thickBot="1" x14ac:dyDescent="0.4">
      <c r="B17" s="343" t="s">
        <v>257</v>
      </c>
      <c r="C17" s="344">
        <f>PRINCIPAL!N47</f>
        <v>125496.79</v>
      </c>
      <c r="D17" s="344">
        <f>PRINCIPAL!AF47</f>
        <v>93830.568499999994</v>
      </c>
      <c r="E17" s="344">
        <f>C17-D17</f>
        <v>31666.2215</v>
      </c>
      <c r="F17" s="345">
        <f>E17*100%/C17</f>
        <v>0.25232694398000138</v>
      </c>
    </row>
    <row r="18" spans="2:6" ht="19.95" customHeight="1" thickBot="1" x14ac:dyDescent="0.4">
      <c r="B18" s="353" t="s">
        <v>120</v>
      </c>
      <c r="C18" s="354">
        <f>SUM(C17:C17)</f>
        <v>125496.79</v>
      </c>
      <c r="D18" s="354">
        <f>SUM(D17:D17)</f>
        <v>93830.568499999994</v>
      </c>
      <c r="E18" s="354">
        <f>SUM(E17:E17)</f>
        <v>31666.2215</v>
      </c>
      <c r="F18" s="345">
        <f t="shared" ref="F18" si="0">E18*100%/C18</f>
        <v>0.25232694398000138</v>
      </c>
    </row>
    <row r="19" spans="2:6" ht="199.95" hidden="1" customHeight="1" x14ac:dyDescent="0.35"/>
    <row r="20" spans="2:6" x14ac:dyDescent="0.35">
      <c r="C20" s="346"/>
    </row>
    <row r="21" spans="2:6" ht="8.5500000000000007" hidden="1" customHeight="1" x14ac:dyDescent="0.35">
      <c r="C21" s="346"/>
    </row>
    <row r="22" spans="2:6" x14ac:dyDescent="0.35">
      <c r="B22" s="347"/>
    </row>
  </sheetData>
  <mergeCells count="1">
    <mergeCell ref="E3:E4"/>
  </mergeCells>
  <pageMargins left="0.51181102362204722" right="0.51181102362204722" top="0.78740157480314965" bottom="0.78740157480314965" header="0.31496062992125984" footer="0.31496062992125984"/>
  <pageSetup paperSize="9" scale="8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A351-E9F1-4E5C-8A08-61072E4C8BD4}">
  <sheetPr codeName="Planilha7"/>
  <dimension ref="A1:O28"/>
  <sheetViews>
    <sheetView zoomScaleNormal="100" workbookViewId="0">
      <selection activeCell="D17" sqref="D17"/>
    </sheetView>
  </sheetViews>
  <sheetFormatPr defaultRowHeight="14.4" x14ac:dyDescent="0.3"/>
  <cols>
    <col min="1" max="1" width="35.33203125" customWidth="1"/>
    <col min="2" max="3" width="20.33203125" customWidth="1"/>
    <col min="4" max="4" width="40.44140625" customWidth="1"/>
    <col min="5" max="5" width="17.6640625" customWidth="1"/>
    <col min="6" max="7" width="15.109375" customWidth="1"/>
    <col min="8" max="8" width="25.33203125" customWidth="1"/>
    <col min="9" max="10" width="15.109375" customWidth="1"/>
    <col min="11" max="11" width="10.109375" customWidth="1"/>
    <col min="12" max="12" width="15.109375" customWidth="1"/>
    <col min="13" max="13" width="12.6640625" customWidth="1"/>
    <col min="14" max="14" width="15.109375" customWidth="1"/>
    <col min="15" max="15" width="40.44140625" customWidth="1"/>
  </cols>
  <sheetData>
    <row r="1" spans="1:15" ht="15" x14ac:dyDescent="0.3">
      <c r="A1" s="139" t="s">
        <v>125</v>
      </c>
      <c r="B1" s="139"/>
      <c r="C1" s="139"/>
      <c r="D1" s="141" t="s">
        <v>131</v>
      </c>
      <c r="E1" s="141"/>
      <c r="F1" s="141"/>
      <c r="G1" s="141"/>
      <c r="H1" s="141"/>
      <c r="I1" s="141"/>
      <c r="J1" s="47" t="s">
        <v>125</v>
      </c>
      <c r="K1" s="47" t="s">
        <v>125</v>
      </c>
      <c r="L1" s="47" t="s">
        <v>125</v>
      </c>
      <c r="M1" s="47" t="s">
        <v>125</v>
      </c>
      <c r="N1" s="47" t="s">
        <v>125</v>
      </c>
      <c r="O1" s="48" t="s">
        <v>125</v>
      </c>
    </row>
    <row r="2" spans="1:15" x14ac:dyDescent="0.3">
      <c r="A2" s="140"/>
      <c r="B2" s="140"/>
      <c r="C2" s="140"/>
      <c r="D2" s="139" t="s">
        <v>132</v>
      </c>
      <c r="E2" s="139"/>
      <c r="F2" s="139"/>
      <c r="G2" s="139"/>
      <c r="H2" s="139"/>
      <c r="I2" s="139"/>
      <c r="J2" s="47"/>
      <c r="K2" s="47"/>
      <c r="L2" s="47"/>
      <c r="M2" s="47"/>
      <c r="N2" s="47"/>
      <c r="O2" s="142" t="s">
        <v>133</v>
      </c>
    </row>
    <row r="3" spans="1:15" x14ac:dyDescent="0.3">
      <c r="A3" s="140"/>
      <c r="B3" s="140"/>
      <c r="C3" s="140"/>
      <c r="D3" s="139" t="s">
        <v>134</v>
      </c>
      <c r="E3" s="139"/>
      <c r="F3" s="139"/>
      <c r="G3" s="139"/>
      <c r="H3" s="139"/>
      <c r="I3" s="139"/>
      <c r="J3" s="47"/>
      <c r="K3" s="47"/>
      <c r="L3" s="47"/>
      <c r="M3" s="47"/>
      <c r="N3" s="47"/>
      <c r="O3" s="143"/>
    </row>
    <row r="4" spans="1:15" x14ac:dyDescent="0.3">
      <c r="A4" s="140"/>
      <c r="B4" s="140"/>
      <c r="C4" s="140"/>
      <c r="D4" s="139" t="s">
        <v>135</v>
      </c>
      <c r="E4" s="139"/>
      <c r="F4" s="139"/>
      <c r="G4" s="139"/>
      <c r="H4" s="139"/>
      <c r="I4" s="139"/>
      <c r="J4" s="47"/>
      <c r="K4" s="47"/>
      <c r="L4" s="47"/>
      <c r="M4" s="47"/>
      <c r="N4" s="47"/>
      <c r="O4" s="143"/>
    </row>
    <row r="5" spans="1:15" x14ac:dyDescent="0.3">
      <c r="A5" s="140"/>
      <c r="B5" s="140"/>
      <c r="C5" s="140"/>
      <c r="D5" s="139" t="s">
        <v>136</v>
      </c>
      <c r="E5" s="139"/>
      <c r="F5" s="139"/>
      <c r="G5" s="139"/>
      <c r="H5" s="139"/>
      <c r="I5" s="139"/>
      <c r="J5" s="47"/>
      <c r="K5" s="47"/>
      <c r="L5" s="47"/>
      <c r="M5" s="47"/>
      <c r="N5" s="47"/>
      <c r="O5" s="143"/>
    </row>
    <row r="6" spans="1:15" x14ac:dyDescent="0.3">
      <c r="A6" s="140"/>
      <c r="B6" s="140"/>
      <c r="C6" s="140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143"/>
    </row>
    <row r="7" spans="1:15" x14ac:dyDescent="0.3">
      <c r="A7" s="140"/>
      <c r="B7" s="140"/>
      <c r="C7" s="140"/>
      <c r="D7" s="139" t="s">
        <v>137</v>
      </c>
      <c r="E7" s="139"/>
      <c r="F7" s="139"/>
      <c r="G7" s="139"/>
      <c r="H7" s="139"/>
      <c r="I7" s="139"/>
      <c r="J7" s="47"/>
      <c r="K7" s="47"/>
      <c r="L7" s="47"/>
      <c r="M7" s="47"/>
      <c r="N7" s="47"/>
      <c r="O7" s="49">
        <v>45264.482613275461</v>
      </c>
    </row>
    <row r="8" spans="1:15" x14ac:dyDescent="0.3">
      <c r="A8" s="138" t="s">
        <v>138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</row>
    <row r="9" spans="1:15" ht="27.6" x14ac:dyDescent="0.3">
      <c r="A9" s="50" t="s">
        <v>139</v>
      </c>
      <c r="B9" s="50" t="s">
        <v>140</v>
      </c>
      <c r="C9" s="50" t="s">
        <v>141</v>
      </c>
      <c r="D9" s="50" t="s">
        <v>122</v>
      </c>
      <c r="E9" s="50" t="s">
        <v>142</v>
      </c>
      <c r="F9" s="50" t="s">
        <v>143</v>
      </c>
      <c r="G9" s="50" t="s">
        <v>144</v>
      </c>
      <c r="H9" s="50" t="s">
        <v>145</v>
      </c>
      <c r="I9" s="50" t="s">
        <v>146</v>
      </c>
      <c r="J9" s="50" t="s">
        <v>143</v>
      </c>
      <c r="K9" s="50" t="s">
        <v>147</v>
      </c>
      <c r="L9" s="50" t="s">
        <v>148</v>
      </c>
      <c r="M9" s="50" t="s">
        <v>149</v>
      </c>
      <c r="N9" s="50" t="s">
        <v>150</v>
      </c>
      <c r="O9" s="51" t="s">
        <v>151</v>
      </c>
    </row>
    <row r="10" spans="1:15" x14ac:dyDescent="0.3">
      <c r="A10" s="52" t="s">
        <v>121</v>
      </c>
      <c r="B10" s="53">
        <v>1</v>
      </c>
      <c r="C10" s="52" t="s">
        <v>152</v>
      </c>
      <c r="D10" s="52" t="s">
        <v>153</v>
      </c>
      <c r="E10" s="52">
        <v>1</v>
      </c>
      <c r="F10" s="54">
        <v>20000</v>
      </c>
      <c r="G10" s="54">
        <v>20000</v>
      </c>
      <c r="H10" s="52" t="s">
        <v>154</v>
      </c>
      <c r="I10" s="54">
        <v>9900</v>
      </c>
      <c r="J10" s="54">
        <v>9900</v>
      </c>
      <c r="K10" s="54" t="s">
        <v>155</v>
      </c>
      <c r="L10" s="55" t="s">
        <v>156</v>
      </c>
      <c r="M10" s="55" t="s">
        <v>156</v>
      </c>
      <c r="N10" s="54">
        <v>0</v>
      </c>
      <c r="O10" s="56" t="s">
        <v>125</v>
      </c>
    </row>
    <row r="11" spans="1:15" x14ac:dyDescent="0.3">
      <c r="A11" s="57" t="s">
        <v>121</v>
      </c>
      <c r="B11" s="58">
        <v>2</v>
      </c>
      <c r="C11" s="57" t="s">
        <v>157</v>
      </c>
      <c r="D11" s="57" t="s">
        <v>158</v>
      </c>
      <c r="E11" s="57">
        <v>1</v>
      </c>
      <c r="F11" s="59">
        <v>11500</v>
      </c>
      <c r="G11" s="59">
        <v>11500</v>
      </c>
      <c r="H11" s="57" t="s">
        <v>154</v>
      </c>
      <c r="I11" s="59">
        <v>7400</v>
      </c>
      <c r="J11" s="59">
        <v>7400</v>
      </c>
      <c r="K11" s="59" t="s">
        <v>155</v>
      </c>
      <c r="L11" s="60" t="s">
        <v>156</v>
      </c>
      <c r="M11" s="60" t="s">
        <v>156</v>
      </c>
      <c r="N11" s="59">
        <v>0</v>
      </c>
      <c r="O11" s="61" t="s">
        <v>125</v>
      </c>
    </row>
    <row r="12" spans="1:15" x14ac:dyDescent="0.3">
      <c r="A12" s="52" t="s">
        <v>159</v>
      </c>
      <c r="B12" s="53">
        <v>3</v>
      </c>
      <c r="C12" s="52" t="s">
        <v>160</v>
      </c>
      <c r="D12" s="52" t="s">
        <v>161</v>
      </c>
      <c r="E12" s="52">
        <v>1</v>
      </c>
      <c r="F12" s="54">
        <v>1000</v>
      </c>
      <c r="G12" s="54">
        <v>1000</v>
      </c>
      <c r="H12" s="52" t="s">
        <v>154</v>
      </c>
      <c r="I12" s="54">
        <v>900</v>
      </c>
      <c r="J12" s="54">
        <v>900</v>
      </c>
      <c r="K12" s="54" t="s">
        <v>155</v>
      </c>
      <c r="L12" s="55" t="s">
        <v>162</v>
      </c>
      <c r="M12" s="55" t="s">
        <v>156</v>
      </c>
      <c r="N12" s="54">
        <v>0</v>
      </c>
      <c r="O12" s="56" t="s">
        <v>163</v>
      </c>
    </row>
    <row r="13" spans="1:15" x14ac:dyDescent="0.3">
      <c r="A13" s="57" t="s">
        <v>159</v>
      </c>
      <c r="B13" s="58">
        <v>4</v>
      </c>
      <c r="C13" s="57" t="s">
        <v>164</v>
      </c>
      <c r="D13" s="57" t="s">
        <v>165</v>
      </c>
      <c r="E13" s="57">
        <v>1</v>
      </c>
      <c r="F13" s="59">
        <v>2000</v>
      </c>
      <c r="G13" s="59">
        <v>2000</v>
      </c>
      <c r="H13" s="57" t="s">
        <v>154</v>
      </c>
      <c r="I13" s="59">
        <v>500</v>
      </c>
      <c r="J13" s="59">
        <v>500</v>
      </c>
      <c r="K13" s="59" t="s">
        <v>155</v>
      </c>
      <c r="L13" s="60" t="s">
        <v>162</v>
      </c>
      <c r="M13" s="60" t="s">
        <v>156</v>
      </c>
      <c r="N13" s="59">
        <v>0</v>
      </c>
      <c r="O13" s="61" t="s">
        <v>166</v>
      </c>
    </row>
    <row r="14" spans="1:15" x14ac:dyDescent="0.3">
      <c r="A14" s="52" t="s">
        <v>159</v>
      </c>
      <c r="B14" s="53">
        <v>5</v>
      </c>
      <c r="C14" s="52" t="s">
        <v>167</v>
      </c>
      <c r="D14" s="52" t="s">
        <v>168</v>
      </c>
      <c r="E14" s="52">
        <v>1</v>
      </c>
      <c r="F14" s="54">
        <v>4000</v>
      </c>
      <c r="G14" s="54">
        <v>4000</v>
      </c>
      <c r="H14" s="52" t="s">
        <v>154</v>
      </c>
      <c r="I14" s="54">
        <v>2000</v>
      </c>
      <c r="J14" s="54">
        <v>2000</v>
      </c>
      <c r="K14" s="54" t="s">
        <v>155</v>
      </c>
      <c r="L14" s="55" t="s">
        <v>162</v>
      </c>
      <c r="M14" s="55" t="s">
        <v>156</v>
      </c>
      <c r="N14" s="54">
        <v>0</v>
      </c>
      <c r="O14" s="56" t="s">
        <v>169</v>
      </c>
    </row>
    <row r="15" spans="1:15" x14ac:dyDescent="0.3">
      <c r="A15" s="57" t="s">
        <v>170</v>
      </c>
      <c r="B15" s="58">
        <v>6</v>
      </c>
      <c r="C15" s="57" t="s">
        <v>171</v>
      </c>
      <c r="D15" s="57" t="s">
        <v>172</v>
      </c>
      <c r="E15" s="57">
        <v>1</v>
      </c>
      <c r="F15" s="59">
        <v>0</v>
      </c>
      <c r="G15" s="59">
        <v>0</v>
      </c>
      <c r="H15" s="57" t="s">
        <v>154</v>
      </c>
      <c r="I15" s="59">
        <v>1000</v>
      </c>
      <c r="J15" s="59">
        <v>1000</v>
      </c>
      <c r="K15" s="59" t="s">
        <v>155</v>
      </c>
      <c r="L15" s="60" t="s">
        <v>162</v>
      </c>
      <c r="M15" s="60" t="s">
        <v>156</v>
      </c>
      <c r="N15" s="59">
        <v>0</v>
      </c>
      <c r="O15" s="61" t="s">
        <v>125</v>
      </c>
    </row>
    <row r="16" spans="1:15" x14ac:dyDescent="0.3">
      <c r="A16" s="52" t="s">
        <v>159</v>
      </c>
      <c r="B16" s="53">
        <v>7</v>
      </c>
      <c r="C16" s="52" t="s">
        <v>173</v>
      </c>
      <c r="D16" s="52" t="s">
        <v>174</v>
      </c>
      <c r="E16" s="52">
        <v>1</v>
      </c>
      <c r="F16" s="54">
        <v>2000</v>
      </c>
      <c r="G16" s="54">
        <v>2000</v>
      </c>
      <c r="H16" s="52" t="s">
        <v>154</v>
      </c>
      <c r="I16" s="54">
        <v>1000</v>
      </c>
      <c r="J16" s="54">
        <v>1000</v>
      </c>
      <c r="K16" s="54" t="s">
        <v>155</v>
      </c>
      <c r="L16" s="55" t="s">
        <v>162</v>
      </c>
      <c r="M16" s="55" t="s">
        <v>156</v>
      </c>
      <c r="N16" s="54">
        <v>0</v>
      </c>
      <c r="O16" s="56" t="s">
        <v>175</v>
      </c>
    </row>
    <row r="17" spans="1:15" x14ac:dyDescent="0.3">
      <c r="A17" s="57" t="s">
        <v>170</v>
      </c>
      <c r="B17" s="58">
        <v>14</v>
      </c>
      <c r="C17" s="57" t="s">
        <v>176</v>
      </c>
      <c r="D17" s="57" t="s">
        <v>177</v>
      </c>
      <c r="E17" s="57">
        <v>1</v>
      </c>
      <c r="F17" s="59">
        <v>2500</v>
      </c>
      <c r="G17" s="59">
        <v>2500</v>
      </c>
      <c r="H17" s="57" t="s">
        <v>154</v>
      </c>
      <c r="I17" s="59">
        <v>2000</v>
      </c>
      <c r="J17" s="59">
        <v>2000</v>
      </c>
      <c r="K17" s="59" t="s">
        <v>178</v>
      </c>
      <c r="L17" s="60" t="s">
        <v>179</v>
      </c>
      <c r="M17" s="60" t="s">
        <v>156</v>
      </c>
      <c r="N17" s="59">
        <v>0</v>
      </c>
      <c r="O17" s="61" t="s">
        <v>125</v>
      </c>
    </row>
    <row r="18" spans="1:15" x14ac:dyDescent="0.3">
      <c r="A18" s="52" t="s">
        <v>121</v>
      </c>
      <c r="B18" s="53">
        <v>8</v>
      </c>
      <c r="C18" s="52" t="s">
        <v>180</v>
      </c>
      <c r="D18" s="52" t="s">
        <v>181</v>
      </c>
      <c r="E18" s="52">
        <v>1</v>
      </c>
      <c r="F18" s="54">
        <v>8500</v>
      </c>
      <c r="G18" s="54">
        <v>8500</v>
      </c>
      <c r="H18" s="52" t="s">
        <v>154</v>
      </c>
      <c r="I18" s="54">
        <v>2500</v>
      </c>
      <c r="J18" s="54">
        <v>2500</v>
      </c>
      <c r="K18" s="54" t="s">
        <v>155</v>
      </c>
      <c r="L18" s="55" t="s">
        <v>156</v>
      </c>
      <c r="M18" s="55" t="s">
        <v>156</v>
      </c>
      <c r="N18" s="54">
        <v>0</v>
      </c>
      <c r="O18" s="56" t="s">
        <v>125</v>
      </c>
    </row>
    <row r="19" spans="1:15" ht="72" x14ac:dyDescent="0.3">
      <c r="A19" s="57" t="s">
        <v>159</v>
      </c>
      <c r="B19" s="58">
        <v>9</v>
      </c>
      <c r="C19" s="57" t="s">
        <v>182</v>
      </c>
      <c r="D19" s="57" t="s">
        <v>183</v>
      </c>
      <c r="E19" s="57">
        <v>2</v>
      </c>
      <c r="F19" s="59">
        <v>2000</v>
      </c>
      <c r="G19" s="59">
        <v>4000</v>
      </c>
      <c r="H19" s="57" t="s">
        <v>154</v>
      </c>
      <c r="I19" s="59">
        <v>1000</v>
      </c>
      <c r="J19" s="59">
        <v>500</v>
      </c>
      <c r="K19" s="59" t="s">
        <v>155</v>
      </c>
      <c r="L19" s="60" t="s">
        <v>162</v>
      </c>
      <c r="M19" s="60" t="s">
        <v>156</v>
      </c>
      <c r="N19" s="59">
        <v>0</v>
      </c>
      <c r="O19" s="62" t="s">
        <v>184</v>
      </c>
    </row>
    <row r="20" spans="1:15" ht="28.8" x14ac:dyDescent="0.3">
      <c r="A20" s="52" t="s">
        <v>159</v>
      </c>
      <c r="B20" s="53">
        <v>10</v>
      </c>
      <c r="C20" s="52" t="s">
        <v>185</v>
      </c>
      <c r="D20" s="52" t="s">
        <v>186</v>
      </c>
      <c r="E20" s="52">
        <v>3</v>
      </c>
      <c r="F20" s="54">
        <v>1500</v>
      </c>
      <c r="G20" s="54">
        <v>4500</v>
      </c>
      <c r="H20" s="52" t="s">
        <v>154</v>
      </c>
      <c r="I20" s="54">
        <v>1500</v>
      </c>
      <c r="J20" s="54">
        <v>500</v>
      </c>
      <c r="K20" s="54" t="s">
        <v>155</v>
      </c>
      <c r="L20" s="55" t="s">
        <v>162</v>
      </c>
      <c r="M20" s="55" t="s">
        <v>156</v>
      </c>
      <c r="N20" s="54">
        <v>0</v>
      </c>
      <c r="O20" s="63" t="s">
        <v>187</v>
      </c>
    </row>
    <row r="21" spans="1:15" x14ac:dyDescent="0.3">
      <c r="A21" s="57" t="s">
        <v>121</v>
      </c>
      <c r="B21" s="58">
        <v>11</v>
      </c>
      <c r="C21" s="57" t="s">
        <v>188</v>
      </c>
      <c r="D21" s="57" t="s">
        <v>189</v>
      </c>
      <c r="E21" s="57">
        <v>1</v>
      </c>
      <c r="F21" s="59">
        <v>7000</v>
      </c>
      <c r="G21" s="59">
        <v>7000</v>
      </c>
      <c r="H21" s="57" t="s">
        <v>154</v>
      </c>
      <c r="I21" s="59">
        <v>300</v>
      </c>
      <c r="J21" s="59">
        <v>300</v>
      </c>
      <c r="K21" s="59" t="s">
        <v>155</v>
      </c>
      <c r="L21" s="60" t="s">
        <v>156</v>
      </c>
      <c r="M21" s="60" t="s">
        <v>156</v>
      </c>
      <c r="N21" s="59">
        <v>0</v>
      </c>
      <c r="O21" s="61" t="s">
        <v>125</v>
      </c>
    </row>
    <row r="22" spans="1:15" x14ac:dyDescent="0.3">
      <c r="A22" s="52" t="s">
        <v>121</v>
      </c>
      <c r="B22" s="53">
        <v>12</v>
      </c>
      <c r="C22" s="52" t="s">
        <v>190</v>
      </c>
      <c r="D22" s="52" t="s">
        <v>191</v>
      </c>
      <c r="E22" s="52">
        <v>1</v>
      </c>
      <c r="F22" s="54">
        <v>7000</v>
      </c>
      <c r="G22" s="54">
        <v>7000</v>
      </c>
      <c r="H22" s="52" t="s">
        <v>154</v>
      </c>
      <c r="I22" s="54">
        <v>300</v>
      </c>
      <c r="J22" s="54">
        <v>300</v>
      </c>
      <c r="K22" s="54" t="s">
        <v>155</v>
      </c>
      <c r="L22" s="55" t="s">
        <v>156</v>
      </c>
      <c r="M22" s="55" t="s">
        <v>156</v>
      </c>
      <c r="N22" s="54">
        <v>0</v>
      </c>
      <c r="O22" s="56" t="s">
        <v>125</v>
      </c>
    </row>
    <row r="23" spans="1:15" x14ac:dyDescent="0.3">
      <c r="A23" s="57" t="s">
        <v>159</v>
      </c>
      <c r="B23" s="58">
        <v>13</v>
      </c>
      <c r="C23" s="57" t="s">
        <v>192</v>
      </c>
      <c r="D23" s="57" t="s">
        <v>193</v>
      </c>
      <c r="E23" s="57">
        <v>1</v>
      </c>
      <c r="F23" s="59">
        <v>5000</v>
      </c>
      <c r="G23" s="59">
        <v>5000</v>
      </c>
      <c r="H23" s="57" t="s">
        <v>154</v>
      </c>
      <c r="I23" s="59">
        <v>200</v>
      </c>
      <c r="J23" s="59">
        <v>200</v>
      </c>
      <c r="K23" s="59" t="s">
        <v>155</v>
      </c>
      <c r="L23" s="60" t="s">
        <v>162</v>
      </c>
      <c r="M23" s="60" t="s">
        <v>156</v>
      </c>
      <c r="N23" s="59">
        <v>0</v>
      </c>
      <c r="O23" s="61" t="s">
        <v>125</v>
      </c>
    </row>
    <row r="24" spans="1:15" x14ac:dyDescent="0.3">
      <c r="A24" s="52" t="s">
        <v>159</v>
      </c>
      <c r="B24" s="53">
        <v>15</v>
      </c>
      <c r="C24" s="52" t="s">
        <v>194</v>
      </c>
      <c r="D24" s="52" t="s">
        <v>177</v>
      </c>
      <c r="E24" s="52">
        <v>1</v>
      </c>
      <c r="F24" s="54">
        <v>2000</v>
      </c>
      <c r="G24" s="54">
        <v>2000</v>
      </c>
      <c r="H24" s="52" t="s">
        <v>154</v>
      </c>
      <c r="I24" s="54">
        <v>100</v>
      </c>
      <c r="J24" s="54">
        <v>100</v>
      </c>
      <c r="K24" s="54" t="s">
        <v>155</v>
      </c>
      <c r="L24" s="55" t="s">
        <v>162</v>
      </c>
      <c r="M24" s="55" t="s">
        <v>156</v>
      </c>
      <c r="N24" s="54">
        <v>0</v>
      </c>
      <c r="O24" s="56" t="s">
        <v>125</v>
      </c>
    </row>
    <row r="25" spans="1:15" x14ac:dyDescent="0.3">
      <c r="A25" s="57"/>
      <c r="B25" s="58"/>
      <c r="C25" s="57"/>
      <c r="D25" s="57"/>
      <c r="E25" s="57"/>
      <c r="F25" s="59"/>
      <c r="G25" s="59"/>
      <c r="H25" s="57"/>
      <c r="I25" s="59"/>
      <c r="J25" s="59"/>
      <c r="K25" s="59"/>
      <c r="L25" s="60"/>
      <c r="M25" s="60"/>
      <c r="N25" s="59"/>
      <c r="O25" s="61"/>
    </row>
    <row r="26" spans="1:15" x14ac:dyDescent="0.3">
      <c r="A26" s="52" t="s">
        <v>195</v>
      </c>
      <c r="B26" s="53"/>
      <c r="C26" s="52"/>
      <c r="D26" s="52"/>
      <c r="E26" s="52"/>
      <c r="F26" s="54"/>
      <c r="G26" s="54"/>
      <c r="H26" s="52"/>
      <c r="I26" s="54"/>
      <c r="J26" s="54"/>
      <c r="K26" s="54"/>
      <c r="L26" s="55"/>
      <c r="M26" s="55"/>
      <c r="N26" s="54"/>
      <c r="O26" s="56"/>
    </row>
    <row r="27" spans="1:15" x14ac:dyDescent="0.3">
      <c r="A27" s="57" t="s">
        <v>196</v>
      </c>
      <c r="B27" s="58"/>
      <c r="C27" s="57"/>
      <c r="D27" s="57"/>
      <c r="E27" s="57"/>
      <c r="F27" s="59"/>
      <c r="G27" s="59"/>
      <c r="H27" s="57"/>
      <c r="I27" s="59"/>
      <c r="J27" s="59"/>
      <c r="K27" s="59"/>
      <c r="L27" s="60"/>
      <c r="M27" s="60"/>
      <c r="N27" s="59"/>
      <c r="O27" s="61"/>
    </row>
    <row r="28" spans="1:15" x14ac:dyDescent="0.3">
      <c r="A28" s="64" t="s">
        <v>197</v>
      </c>
      <c r="B28" s="65"/>
      <c r="C28" s="64"/>
      <c r="D28" s="64"/>
      <c r="E28" s="64"/>
      <c r="F28" s="66"/>
      <c r="G28" s="66"/>
      <c r="H28" s="64"/>
      <c r="I28" s="66"/>
      <c r="J28" s="66"/>
      <c r="K28" s="66"/>
      <c r="L28" s="67"/>
      <c r="M28" s="67"/>
      <c r="N28" s="66"/>
      <c r="O28" s="68"/>
    </row>
  </sheetData>
  <mergeCells count="9">
    <mergeCell ref="A8:O8"/>
    <mergeCell ref="A1:C7"/>
    <mergeCell ref="D1:I1"/>
    <mergeCell ref="D2:I2"/>
    <mergeCell ref="O2:O6"/>
    <mergeCell ref="D3:I3"/>
    <mergeCell ref="D4:I4"/>
    <mergeCell ref="D5:I5"/>
    <mergeCell ref="D7:I7"/>
  </mergeCells>
  <pageMargins left="0.7" right="0.7" top="0.75" bottom="0.75" header="0.3" footer="0.3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1ACB-2A33-4DFE-B05C-79C718CF6527}">
  <sheetPr codeName="Planilha5"/>
  <dimension ref="B1:L52"/>
  <sheetViews>
    <sheetView showGridLines="0" topLeftCell="A14" workbookViewId="0">
      <selection activeCell="F31" sqref="F31:G31"/>
    </sheetView>
  </sheetViews>
  <sheetFormatPr defaultRowHeight="14.4" x14ac:dyDescent="0.3"/>
  <cols>
    <col min="1" max="2" width="1.6640625" customWidth="1"/>
    <col min="3" max="3" width="12.44140625" customWidth="1"/>
    <col min="4" max="4" width="4.6640625" customWidth="1"/>
    <col min="5" max="5" width="10.6640625" customWidth="1"/>
    <col min="6" max="6" width="7.6640625" bestFit="1" customWidth="1"/>
    <col min="7" max="7" width="11" customWidth="1"/>
    <col min="8" max="8" width="11.109375" customWidth="1"/>
    <col min="9" max="9" width="11.6640625" customWidth="1"/>
    <col min="10" max="10" width="4.6640625" customWidth="1"/>
    <col min="11" max="11" width="14.5546875" customWidth="1"/>
    <col min="12" max="12" width="1.6640625" customWidth="1"/>
  </cols>
  <sheetData>
    <row r="1" spans="2:12" ht="8.4" customHeight="1" thickBot="1" x14ac:dyDescent="0.35"/>
    <row r="2" spans="2:12" ht="38.4" customHeight="1" x14ac:dyDescent="0.4">
      <c r="B2" s="147" t="s">
        <v>198</v>
      </c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2:12" ht="47.4" customHeight="1" thickBot="1" x14ac:dyDescent="0.35">
      <c r="B3" s="150" t="s">
        <v>199</v>
      </c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2:12" ht="7.2" customHeight="1" thickBot="1" x14ac:dyDescent="0.35"/>
    <row r="5" spans="2:12" x14ac:dyDescent="0.3">
      <c r="B5" s="3"/>
      <c r="C5" s="4"/>
      <c r="D5" s="4"/>
      <c r="E5" s="4"/>
      <c r="F5" s="4"/>
      <c r="G5" s="4"/>
      <c r="H5" s="4"/>
      <c r="I5" s="4"/>
      <c r="J5" s="4"/>
      <c r="K5" s="4"/>
      <c r="L5" s="115"/>
    </row>
    <row r="6" spans="2:12" x14ac:dyDescent="0.3">
      <c r="B6" s="5"/>
      <c r="C6" s="153" t="s">
        <v>200</v>
      </c>
      <c r="D6" s="153"/>
      <c r="E6" s="153"/>
      <c r="F6" s="153"/>
      <c r="G6" s="153"/>
      <c r="H6" s="153"/>
      <c r="I6" s="153"/>
      <c r="J6" s="153"/>
      <c r="K6" s="153"/>
      <c r="L6" s="6"/>
    </row>
    <row r="7" spans="2:12" ht="6" customHeight="1" x14ac:dyDescent="0.3">
      <c r="B7" s="5"/>
      <c r="L7" s="6"/>
    </row>
    <row r="8" spans="2:12" x14ac:dyDescent="0.3">
      <c r="B8" s="5"/>
      <c r="C8" s="7" t="s">
        <v>201</v>
      </c>
      <c r="D8" s="154" t="s">
        <v>126</v>
      </c>
      <c r="E8" s="155"/>
      <c r="F8" s="155"/>
      <c r="G8" s="155"/>
      <c r="H8" s="155"/>
      <c r="I8" s="155"/>
      <c r="J8" s="155"/>
      <c r="K8" s="156"/>
      <c r="L8" s="6"/>
    </row>
    <row r="9" spans="2:12" x14ac:dyDescent="0.3">
      <c r="B9" s="5"/>
      <c r="C9" s="8" t="s">
        <v>202</v>
      </c>
      <c r="D9" s="144" t="s">
        <v>203</v>
      </c>
      <c r="E9" s="145"/>
      <c r="F9" s="145"/>
      <c r="G9" s="145"/>
      <c r="H9" s="145"/>
      <c r="I9" s="145"/>
      <c r="J9" s="145"/>
      <c r="K9" s="146"/>
      <c r="L9" s="6"/>
    </row>
    <row r="10" spans="2:12" x14ac:dyDescent="0.3">
      <c r="B10" s="5"/>
      <c r="C10" s="8" t="s">
        <v>204</v>
      </c>
      <c r="D10" s="144" t="s">
        <v>5</v>
      </c>
      <c r="E10" s="145"/>
      <c r="F10" s="145"/>
      <c r="G10" s="145"/>
      <c r="H10" s="145"/>
      <c r="I10" s="145"/>
      <c r="J10" s="145"/>
      <c r="K10" s="146"/>
      <c r="L10" s="6"/>
    </row>
    <row r="11" spans="2:12" x14ac:dyDescent="0.3">
      <c r="B11" s="5"/>
      <c r="C11" s="8" t="s">
        <v>205</v>
      </c>
      <c r="D11" s="144" t="s">
        <v>206</v>
      </c>
      <c r="E11" s="145"/>
      <c r="F11" s="145"/>
      <c r="G11" s="145"/>
      <c r="H11" s="145"/>
      <c r="I11" s="145"/>
      <c r="J11" s="145"/>
      <c r="K11" s="146"/>
      <c r="L11" s="6"/>
    </row>
    <row r="12" spans="2:12" x14ac:dyDescent="0.3">
      <c r="B12" s="5"/>
      <c r="C12" s="11" t="s">
        <v>207</v>
      </c>
      <c r="D12" s="157" t="s">
        <v>208</v>
      </c>
      <c r="E12" s="158"/>
      <c r="F12" s="158"/>
      <c r="G12" s="158"/>
      <c r="H12" s="159"/>
      <c r="I12" s="12" t="s">
        <v>209</v>
      </c>
      <c r="J12" s="157" t="s">
        <v>71</v>
      </c>
      <c r="K12" s="159"/>
      <c r="L12" s="6"/>
    </row>
    <row r="13" spans="2:12" ht="6" customHeight="1" thickBot="1" x14ac:dyDescent="0.35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14"/>
    </row>
    <row r="14" spans="2:12" ht="7.2" customHeight="1" thickBot="1" x14ac:dyDescent="0.35"/>
    <row r="15" spans="2:12" ht="7.95" customHeight="1" x14ac:dyDescent="0.3">
      <c r="B15" s="3"/>
      <c r="C15" s="4"/>
      <c r="D15" s="4"/>
      <c r="E15" s="4"/>
      <c r="F15" s="4"/>
      <c r="G15" s="4"/>
      <c r="H15" s="4"/>
      <c r="I15" s="4"/>
      <c r="J15" s="4"/>
      <c r="K15" s="4"/>
      <c r="L15" s="115"/>
    </row>
    <row r="16" spans="2:12" x14ac:dyDescent="0.3">
      <c r="B16" s="5"/>
      <c r="C16" s="153" t="s">
        <v>210</v>
      </c>
      <c r="D16" s="153"/>
      <c r="E16" s="153"/>
      <c r="F16" s="153"/>
      <c r="G16" s="153"/>
      <c r="H16" s="153"/>
      <c r="I16" s="153"/>
      <c r="J16" s="153"/>
      <c r="K16" s="153"/>
      <c r="L16" s="6"/>
    </row>
    <row r="17" spans="2:12" ht="9" customHeight="1" x14ac:dyDescent="0.3">
      <c r="B17" s="5"/>
      <c r="L17" s="6"/>
    </row>
    <row r="18" spans="2:12" x14ac:dyDescent="0.3">
      <c r="B18" s="5"/>
      <c r="C18" s="7"/>
      <c r="D18" s="160" t="s">
        <v>211</v>
      </c>
      <c r="E18" s="160"/>
      <c r="F18" s="160"/>
      <c r="G18" s="161"/>
      <c r="H18" s="160" t="s">
        <v>212</v>
      </c>
      <c r="I18" s="160"/>
      <c r="J18" s="160"/>
      <c r="K18" s="161"/>
      <c r="L18" s="6"/>
    </row>
    <row r="19" spans="2:12" x14ac:dyDescent="0.3">
      <c r="B19" s="5"/>
      <c r="C19" s="15" t="s">
        <v>213</v>
      </c>
      <c r="D19" s="162" t="s">
        <v>129</v>
      </c>
      <c r="E19" s="163"/>
      <c r="F19" s="163"/>
      <c r="G19" s="163"/>
      <c r="H19" s="163"/>
      <c r="I19" s="163"/>
      <c r="J19" s="163"/>
      <c r="K19" s="164"/>
      <c r="L19" s="6"/>
    </row>
    <row r="20" spans="2:12" x14ac:dyDescent="0.3">
      <c r="B20" s="5"/>
      <c r="C20" s="8" t="s">
        <v>214</v>
      </c>
      <c r="D20" s="144"/>
      <c r="E20" s="145"/>
      <c r="F20" s="145"/>
      <c r="G20" s="145"/>
      <c r="H20" s="145"/>
      <c r="I20" s="145"/>
      <c r="J20" s="145"/>
      <c r="K20" s="146"/>
      <c r="L20" s="6"/>
    </row>
    <row r="21" spans="2:12" x14ac:dyDescent="0.3">
      <c r="B21" s="5"/>
      <c r="C21" s="8" t="s">
        <v>215</v>
      </c>
      <c r="D21" s="144" t="s">
        <v>216</v>
      </c>
      <c r="E21" s="146"/>
      <c r="F21" s="8" t="s">
        <v>217</v>
      </c>
      <c r="G21" s="16" t="s">
        <v>218</v>
      </c>
      <c r="H21" s="8" t="s">
        <v>219</v>
      </c>
      <c r="I21" s="9" t="s">
        <v>220</v>
      </c>
      <c r="J21" s="8" t="s">
        <v>221</v>
      </c>
      <c r="K21" s="10" t="s">
        <v>125</v>
      </c>
      <c r="L21" s="6"/>
    </row>
    <row r="22" spans="2:12" x14ac:dyDescent="0.3">
      <c r="B22" s="5"/>
      <c r="C22" s="8" t="s">
        <v>222</v>
      </c>
      <c r="D22" s="144" t="s">
        <v>128</v>
      </c>
      <c r="E22" s="145"/>
      <c r="F22" s="145"/>
      <c r="G22" s="146"/>
      <c r="H22" s="8" t="s">
        <v>223</v>
      </c>
      <c r="I22" s="144"/>
      <c r="J22" s="145"/>
      <c r="K22" s="146"/>
      <c r="L22" s="6"/>
    </row>
    <row r="23" spans="2:12" x14ac:dyDescent="0.3">
      <c r="B23" s="5"/>
      <c r="C23" s="11" t="s">
        <v>224</v>
      </c>
      <c r="D23" s="157" t="s">
        <v>130</v>
      </c>
      <c r="E23" s="158"/>
      <c r="F23" s="158"/>
      <c r="G23" s="159"/>
      <c r="H23" s="11" t="s">
        <v>225</v>
      </c>
      <c r="I23" s="157" t="s">
        <v>125</v>
      </c>
      <c r="J23" s="158"/>
      <c r="K23" s="159"/>
      <c r="L23" s="6"/>
    </row>
    <row r="24" spans="2:12" ht="6.6" customHeight="1" thickBot="1" x14ac:dyDescent="0.35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14"/>
    </row>
    <row r="25" spans="2:12" ht="5.4" customHeight="1" thickBot="1" x14ac:dyDescent="0.35"/>
    <row r="26" spans="2:12" ht="7.95" customHeight="1" x14ac:dyDescent="0.3">
      <c r="B26" s="3"/>
      <c r="C26" s="4"/>
      <c r="D26" s="4"/>
      <c r="E26" s="4"/>
      <c r="F26" s="4"/>
      <c r="G26" s="4"/>
      <c r="H26" s="4"/>
      <c r="I26" s="4"/>
      <c r="J26" s="4"/>
      <c r="K26" s="4"/>
      <c r="L26" s="115"/>
    </row>
    <row r="27" spans="2:12" x14ac:dyDescent="0.3">
      <c r="B27" s="5"/>
      <c r="C27" s="153" t="s">
        <v>210</v>
      </c>
      <c r="D27" s="153"/>
      <c r="E27" s="153"/>
      <c r="F27" s="153"/>
      <c r="G27" s="153"/>
      <c r="H27" s="153"/>
      <c r="I27" s="153"/>
      <c r="J27" s="153"/>
      <c r="K27" s="153"/>
      <c r="L27" s="6"/>
    </row>
    <row r="28" spans="2:12" x14ac:dyDescent="0.3">
      <c r="B28" s="5"/>
      <c r="L28" s="6"/>
    </row>
    <row r="29" spans="2:12" x14ac:dyDescent="0.3">
      <c r="B29" s="5"/>
      <c r="C29" s="7" t="s">
        <v>226</v>
      </c>
      <c r="D29" s="165" t="s">
        <v>227</v>
      </c>
      <c r="E29" s="161"/>
      <c r="F29" s="165" t="s">
        <v>144</v>
      </c>
      <c r="G29" s="161"/>
      <c r="H29" s="166" t="s">
        <v>228</v>
      </c>
      <c r="I29" s="166"/>
      <c r="J29" s="166"/>
      <c r="K29" s="167"/>
      <c r="L29" s="6"/>
    </row>
    <row r="30" spans="2:12" x14ac:dyDescent="0.3">
      <c r="B30" s="5"/>
      <c r="C30" s="17" t="s">
        <v>229</v>
      </c>
      <c r="D30" s="168" t="s">
        <v>230</v>
      </c>
      <c r="E30" s="169"/>
      <c r="F30" s="170" t="s">
        <v>127</v>
      </c>
      <c r="G30" s="171"/>
      <c r="H30" s="18" t="s">
        <v>231</v>
      </c>
      <c r="I30" s="165" t="s">
        <v>232</v>
      </c>
      <c r="J30" s="161"/>
      <c r="K30" s="7" t="s">
        <v>233</v>
      </c>
      <c r="L30" s="6"/>
    </row>
    <row r="31" spans="2:12" x14ac:dyDescent="0.3">
      <c r="B31" s="5"/>
      <c r="C31" s="17" t="s">
        <v>234</v>
      </c>
      <c r="D31" s="168" t="s">
        <v>125</v>
      </c>
      <c r="E31" s="169"/>
      <c r="F31" s="170" t="s">
        <v>125</v>
      </c>
      <c r="G31" s="171"/>
      <c r="H31" s="17" t="s">
        <v>231</v>
      </c>
      <c r="I31" s="174" t="s">
        <v>235</v>
      </c>
      <c r="J31" s="175"/>
      <c r="K31" s="8" t="s">
        <v>233</v>
      </c>
      <c r="L31" s="6"/>
    </row>
    <row r="32" spans="2:12" x14ac:dyDescent="0.3">
      <c r="B32" s="5"/>
      <c r="C32" s="17" t="s">
        <v>236</v>
      </c>
      <c r="D32" s="168" t="s">
        <v>125</v>
      </c>
      <c r="E32" s="169"/>
      <c r="F32" s="170" t="s">
        <v>125</v>
      </c>
      <c r="G32" s="171"/>
      <c r="H32" s="17" t="s">
        <v>231</v>
      </c>
      <c r="I32" s="174" t="s">
        <v>235</v>
      </c>
      <c r="J32" s="175"/>
      <c r="K32" s="8" t="s">
        <v>233</v>
      </c>
      <c r="L32" s="6"/>
    </row>
    <row r="33" spans="2:12" x14ac:dyDescent="0.3">
      <c r="B33" s="5"/>
      <c r="C33" s="19" t="s">
        <v>237</v>
      </c>
      <c r="D33" s="168" t="s">
        <v>125</v>
      </c>
      <c r="E33" s="169"/>
      <c r="F33" s="172" t="s">
        <v>125</v>
      </c>
      <c r="G33" s="173"/>
      <c r="H33" s="17" t="s">
        <v>231</v>
      </c>
      <c r="I33" s="174" t="s">
        <v>235</v>
      </c>
      <c r="J33" s="175"/>
      <c r="K33" s="8" t="s">
        <v>233</v>
      </c>
      <c r="L33" s="6"/>
    </row>
    <row r="34" spans="2:12" x14ac:dyDescent="0.3">
      <c r="B34" s="5"/>
      <c r="C34" s="176" t="s">
        <v>120</v>
      </c>
      <c r="D34" s="177"/>
      <c r="E34" s="178"/>
      <c r="F34" s="179" t="s">
        <v>127</v>
      </c>
      <c r="G34" s="180"/>
      <c r="H34" s="20"/>
      <c r="I34" s="21"/>
      <c r="J34" s="22"/>
      <c r="K34" s="20"/>
      <c r="L34" s="6"/>
    </row>
    <row r="35" spans="2:12" ht="4.5" customHeight="1" thickBot="1" x14ac:dyDescent="0.35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14"/>
    </row>
    <row r="36" spans="2:12" ht="5.0999999999999996" customHeight="1" thickBot="1" x14ac:dyDescent="0.35"/>
    <row r="37" spans="2:12" ht="6" customHeight="1" x14ac:dyDescent="0.3">
      <c r="B37" s="3"/>
      <c r="C37" s="4"/>
      <c r="D37" s="4"/>
      <c r="E37" s="4"/>
      <c r="F37" s="4"/>
      <c r="G37" s="4"/>
      <c r="H37" s="4"/>
      <c r="I37" s="4"/>
      <c r="J37" s="4"/>
      <c r="K37" s="4"/>
      <c r="L37" s="115"/>
    </row>
    <row r="38" spans="2:12" x14ac:dyDescent="0.3">
      <c r="B38" s="5"/>
      <c r="C38" s="153" t="s">
        <v>238</v>
      </c>
      <c r="D38" s="153"/>
      <c r="E38" s="153"/>
      <c r="F38" s="153"/>
      <c r="G38" s="153"/>
      <c r="H38" s="153"/>
      <c r="I38" s="153"/>
      <c r="J38" s="153"/>
      <c r="K38" s="153"/>
      <c r="L38" s="6"/>
    </row>
    <row r="39" spans="2:12" x14ac:dyDescent="0.3">
      <c r="B39" s="5"/>
      <c r="C39" s="184" t="s">
        <v>239</v>
      </c>
      <c r="D39" s="184"/>
      <c r="E39" s="184"/>
      <c r="F39" s="184"/>
      <c r="G39" s="184"/>
      <c r="H39" s="184"/>
      <c r="I39" s="184"/>
      <c r="J39" s="184"/>
      <c r="K39" s="184"/>
      <c r="L39" s="6"/>
    </row>
    <row r="40" spans="2:12" x14ac:dyDescent="0.3">
      <c r="B40" s="5"/>
      <c r="C40" s="184"/>
      <c r="D40" s="184"/>
      <c r="E40" s="184"/>
      <c r="F40" s="184"/>
      <c r="G40" s="184"/>
      <c r="H40" s="184"/>
      <c r="I40" s="184"/>
      <c r="J40" s="184"/>
      <c r="K40" s="184"/>
      <c r="L40" s="6"/>
    </row>
    <row r="41" spans="2:12" x14ac:dyDescent="0.3">
      <c r="B41" s="5"/>
      <c r="C41" s="184"/>
      <c r="D41" s="184"/>
      <c r="E41" s="184"/>
      <c r="F41" s="184"/>
      <c r="G41" s="184"/>
      <c r="H41" s="184"/>
      <c r="I41" s="184"/>
      <c r="J41" s="184"/>
      <c r="K41" s="184"/>
      <c r="L41" s="6"/>
    </row>
    <row r="42" spans="2:12" x14ac:dyDescent="0.3">
      <c r="B42" s="5"/>
      <c r="C42" s="184"/>
      <c r="D42" s="184"/>
      <c r="E42" s="184"/>
      <c r="F42" s="184"/>
      <c r="G42" s="184"/>
      <c r="H42" s="184"/>
      <c r="I42" s="184"/>
      <c r="J42" s="184"/>
      <c r="K42" s="184"/>
      <c r="L42" s="6"/>
    </row>
    <row r="43" spans="2:12" x14ac:dyDescent="0.3">
      <c r="B43" s="5"/>
      <c r="C43" s="184"/>
      <c r="D43" s="184"/>
      <c r="E43" s="184"/>
      <c r="F43" s="184"/>
      <c r="G43" s="184"/>
      <c r="H43" s="184"/>
      <c r="I43" s="184"/>
      <c r="J43" s="184"/>
      <c r="K43" s="184"/>
      <c r="L43" s="6"/>
    </row>
    <row r="44" spans="2:12" x14ac:dyDescent="0.3">
      <c r="B44" s="5"/>
      <c r="C44" s="184"/>
      <c r="D44" s="184"/>
      <c r="E44" s="184"/>
      <c r="F44" s="184"/>
      <c r="G44" s="184"/>
      <c r="H44" s="184"/>
      <c r="I44" s="184"/>
      <c r="J44" s="184"/>
      <c r="K44" s="184"/>
      <c r="L44" s="6"/>
    </row>
    <row r="45" spans="2:12" x14ac:dyDescent="0.3">
      <c r="B45" s="5"/>
      <c r="C45" s="185"/>
      <c r="D45" s="185"/>
      <c r="E45" s="185"/>
      <c r="F45" s="185"/>
      <c r="G45" s="185"/>
      <c r="H45" s="185"/>
      <c r="I45" s="185"/>
      <c r="J45" s="185"/>
      <c r="K45" s="185"/>
      <c r="L45" s="6"/>
    </row>
    <row r="46" spans="2:12" ht="8.4" customHeight="1" thickBot="1" x14ac:dyDescent="0.35"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14"/>
    </row>
    <row r="47" spans="2:12" ht="9" customHeight="1" thickBot="1" x14ac:dyDescent="0.35"/>
    <row r="48" spans="2:12" x14ac:dyDescent="0.3">
      <c r="B48" s="181" t="s">
        <v>240</v>
      </c>
      <c r="C48" s="182"/>
      <c r="D48" s="4"/>
      <c r="E48" s="4"/>
      <c r="F48" s="4"/>
      <c r="G48" s="4"/>
      <c r="H48" s="4"/>
      <c r="I48" s="4"/>
      <c r="J48" s="4"/>
      <c r="K48" s="4"/>
      <c r="L48" s="115"/>
    </row>
    <row r="49" spans="2:12" x14ac:dyDescent="0.3">
      <c r="B49" s="5"/>
      <c r="L49" s="6"/>
    </row>
    <row r="50" spans="2:12" x14ac:dyDescent="0.3">
      <c r="B50" s="5"/>
      <c r="C50" s="23"/>
      <c r="L50" s="6"/>
    </row>
    <row r="51" spans="2:12" x14ac:dyDescent="0.3">
      <c r="B51" s="5"/>
      <c r="C51" s="183" t="s">
        <v>123</v>
      </c>
      <c r="D51" s="183"/>
      <c r="E51" s="183"/>
      <c r="F51" s="183"/>
      <c r="H51" s="183" t="s">
        <v>124</v>
      </c>
      <c r="I51" s="183"/>
      <c r="J51" s="183"/>
      <c r="K51" s="183"/>
      <c r="L51" s="6"/>
    </row>
    <row r="52" spans="2:12" ht="15" thickBot="1" x14ac:dyDescent="0.35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14"/>
    </row>
  </sheetData>
  <mergeCells count="42">
    <mergeCell ref="B48:C48"/>
    <mergeCell ref="C51:F51"/>
    <mergeCell ref="H51:K51"/>
    <mergeCell ref="C39:K45"/>
    <mergeCell ref="C38:K38"/>
    <mergeCell ref="D31:E31"/>
    <mergeCell ref="F31:G31"/>
    <mergeCell ref="I31:J31"/>
    <mergeCell ref="D32:E32"/>
    <mergeCell ref="F32:G32"/>
    <mergeCell ref="I32:J32"/>
    <mergeCell ref="D33:E33"/>
    <mergeCell ref="F33:G33"/>
    <mergeCell ref="I33:J33"/>
    <mergeCell ref="C34:E34"/>
    <mergeCell ref="F34:G34"/>
    <mergeCell ref="C27:K27"/>
    <mergeCell ref="D29:E29"/>
    <mergeCell ref="F29:G29"/>
    <mergeCell ref="H29:K29"/>
    <mergeCell ref="D30:E30"/>
    <mergeCell ref="F30:G30"/>
    <mergeCell ref="I30:J30"/>
    <mergeCell ref="D23:G23"/>
    <mergeCell ref="I23:K23"/>
    <mergeCell ref="D11:K11"/>
    <mergeCell ref="D12:H12"/>
    <mergeCell ref="J12:K12"/>
    <mergeCell ref="C16:K16"/>
    <mergeCell ref="D18:G18"/>
    <mergeCell ref="H18:K18"/>
    <mergeCell ref="D19:K19"/>
    <mergeCell ref="D20:K20"/>
    <mergeCell ref="D21:E21"/>
    <mergeCell ref="D22:G22"/>
    <mergeCell ref="I22:K22"/>
    <mergeCell ref="D10:K10"/>
    <mergeCell ref="B2:L2"/>
    <mergeCell ref="B3:L3"/>
    <mergeCell ref="C6:K6"/>
    <mergeCell ref="D8:K8"/>
    <mergeCell ref="D9:K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88C4C5C67B1C40A7414AD25E2D3AE6" ma:contentTypeVersion="13" ma:contentTypeDescription="Crie um novo documento." ma:contentTypeScope="" ma:versionID="1b5178e88f018b74586964b6babab4f8">
  <xsd:schema xmlns:xsd="http://www.w3.org/2001/XMLSchema" xmlns:xs="http://www.w3.org/2001/XMLSchema" xmlns:p="http://schemas.microsoft.com/office/2006/metadata/properties" xmlns:ns2="29a79990-ee87-4241-abc6-9e01ab9b2464" xmlns:ns3="8f4bf414-7d56-47ef-876f-a064b6139123" targetNamespace="http://schemas.microsoft.com/office/2006/metadata/properties" ma:root="true" ma:fieldsID="266d05339a4efad8584a7b69e9357b72" ns2:_="" ns3:_="">
    <xsd:import namespace="29a79990-ee87-4241-abc6-9e01ab9b2464"/>
    <xsd:import namespace="8f4bf414-7d56-47ef-876f-a064b6139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79990-ee87-4241-abc6-9e01ab9b2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d800daa-7c7e-4072-b01c-3023f6f7a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bf414-7d56-47ef-876f-a064b61391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9cacdc-4c80-4a01-81af-803e241e380a}" ma:internalName="TaxCatchAll" ma:showField="CatchAllData" ma:web="8f4bf414-7d56-47ef-876f-a064b6139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4bf414-7d56-47ef-876f-a064b6139123" xsi:nil="true"/>
    <lcf76f155ced4ddcb4097134ff3c332f xmlns="29a79990-ee87-4241-abc6-9e01ab9b2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A719E-479E-41E4-8A33-6AFDA9F259D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594F7A-9581-4C4E-9CC2-32B499E7F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a79990-ee87-4241-abc6-9e01ab9b2464"/>
    <ds:schemaRef ds:uri="8f4bf414-7d56-47ef-876f-a064b6139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0C96F-FFE4-4967-B409-B785F94A4C7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F90721-8242-48E8-A82E-6572DD530E71}">
  <ds:schemaRefs>
    <ds:schemaRef ds:uri="http://schemas.microsoft.com/office/2006/metadata/properties"/>
    <ds:schemaRef ds:uri="http://schemas.microsoft.com/office/infopath/2007/PartnerControls"/>
    <ds:schemaRef ds:uri="8f4bf414-7d56-47ef-876f-a064b6139123"/>
    <ds:schemaRef ds:uri="29a79990-ee87-4241-abc6-9e01ab9b24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15</vt:i4>
      </vt:variant>
    </vt:vector>
  </HeadingPairs>
  <TitlesOfParts>
    <vt:vector size="19" baseType="lpstr">
      <vt:lpstr>PRINCIPAL</vt:lpstr>
      <vt:lpstr>RESUMO </vt:lpstr>
      <vt:lpstr>ItensOrc</vt:lpstr>
      <vt:lpstr>Template SP</vt:lpstr>
      <vt:lpstr>ItensOrc!itensorc_desconto</vt:lpstr>
      <vt:lpstr>ItensOrc!itensorc_descricao</vt:lpstr>
      <vt:lpstr>ItensOrc!itensorc_encargos</vt:lpstr>
      <vt:lpstr>ItensOrc!itensorc_especifica</vt:lpstr>
      <vt:lpstr>ItensOrc!itensorc_item</vt:lpstr>
      <vt:lpstr>ItensOrc!itensorc_lancamento</vt:lpstr>
      <vt:lpstr>ItensOrc!itensorc_percentualhonorarios</vt:lpstr>
      <vt:lpstr>ItensOrc!itensorc_quantidade</vt:lpstr>
      <vt:lpstr>ItensOrc!itensorc_situacao</vt:lpstr>
      <vt:lpstr>ItensOrc!itensorc_subtipo</vt:lpstr>
      <vt:lpstr>ItensOrc!itensorc_tiporeceita</vt:lpstr>
      <vt:lpstr>ItensOrc!itensorc_valor</vt:lpstr>
      <vt:lpstr>ItensOrc!itensorc_valorfornecedor</vt:lpstr>
      <vt:lpstr>ItensOrc!itensorc_valorfornecedorunitario</vt:lpstr>
      <vt:lpstr>ItensOrc!itensorc_valorunitario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QdS</dc:creator>
  <cp:keywords/>
  <dc:description/>
  <cp:lastModifiedBy>Bruno Silva</cp:lastModifiedBy>
  <cp:revision/>
  <dcterms:created xsi:type="dcterms:W3CDTF">2023-09-21T21:02:20Z</dcterms:created>
  <dcterms:modified xsi:type="dcterms:W3CDTF">2026-02-23T21:17:36Z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0x010100F388C4C5C67B1C40A7414AD25E2D3AE6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