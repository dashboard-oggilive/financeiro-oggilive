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7 julho\"/>
    </mc:Choice>
  </mc:AlternateContent>
  <xr:revisionPtr revIDLastSave="0" documentId="13_ncr:1_{4B19C13C-F2B7-458F-8DA0-EC0D430713A7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103" r:id="rId1"/>
    <sheet name="PRINCIPAL" sheetId="88" r:id="rId2"/>
    <sheet name="HOSPEDAGEM" sheetId="102" r:id="rId3"/>
    <sheet name="TOTAL" sheetId="101" r:id="rId4"/>
    <sheet name="ItensOrc" sheetId="76" state="hidden" r:id="rId5"/>
  </sheets>
  <externalReferences>
    <externalReference r:id="rId6"/>
  </externalReferences>
  <definedNames>
    <definedName name="_xlnm._FilterDatabase" localSheetId="2" hidden="1">HOSPEDAGEM!$F$1:$F$19</definedName>
    <definedName name="_xlnm._FilterDatabase" localSheetId="1" hidden="1">PRINCIPAL!$A$17:$AD$75</definedName>
    <definedName name="_xleta.SUM" hidden="1" xlm="1">#NAME?</definedName>
    <definedName name="Descricao">[1]!Tabela4[Descrição (opcional)]</definedName>
    <definedName name="Entrada">[1]!tb_entradas[Entradas]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  <definedName name="Saída">[1]!tb_saidas[Saídas]</definedName>
    <definedName name="Saldo_Inici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0" i="103" l="1"/>
  <c r="E30" i="103"/>
  <c r="E29" i="103"/>
  <c r="D29" i="103"/>
  <c r="C33" i="103"/>
  <c r="E32" i="103"/>
  <c r="C23" i="103"/>
  <c r="AC73" i="88"/>
  <c r="F30" i="103"/>
  <c r="E31" i="103"/>
  <c r="C32" i="103"/>
  <c r="D23" i="103"/>
  <c r="C22" i="103"/>
  <c r="AC69" i="88"/>
  <c r="AC66" i="88"/>
  <c r="AC75" i="88"/>
  <c r="E3" i="103"/>
  <c r="C24" i="103" l="1"/>
  <c r="E23" i="103"/>
  <c r="F23" i="103" s="1"/>
  <c r="R24" i="102" l="1"/>
  <c r="Q24" i="102"/>
  <c r="K24" i="102"/>
  <c r="K25" i="102" s="1"/>
  <c r="T57" i="88"/>
  <c r="R17" i="102"/>
  <c r="Q17" i="102"/>
  <c r="K17" i="102"/>
  <c r="K19" i="102" s="1"/>
  <c r="Q16" i="102"/>
  <c r="Q15" i="102"/>
  <c r="AA12" i="102"/>
  <c r="M10" i="102"/>
  <c r="R40" i="88"/>
  <c r="Q40" i="88"/>
  <c r="V40" i="88" s="1"/>
  <c r="K40" i="88"/>
  <c r="Q43" i="88"/>
  <c r="Q42" i="88"/>
  <c r="R38" i="88"/>
  <c r="Q38" i="88"/>
  <c r="K38" i="88"/>
  <c r="R37" i="88"/>
  <c r="Q37" i="88"/>
  <c r="K37" i="88"/>
  <c r="R39" i="88"/>
  <c r="Q39" i="88"/>
  <c r="K39" i="88"/>
  <c r="L39" i="88" s="1"/>
  <c r="R52" i="88"/>
  <c r="Q52" i="88"/>
  <c r="K52" i="88"/>
  <c r="R28" i="88"/>
  <c r="Q28" i="88"/>
  <c r="K28" i="88"/>
  <c r="L28" i="88" s="1"/>
  <c r="K18" i="102" l="1"/>
  <c r="T24" i="102"/>
  <c r="U24" i="102" s="1"/>
  <c r="U25" i="102" s="1"/>
  <c r="V24" i="102"/>
  <c r="L24" i="102"/>
  <c r="L25" i="102" s="1"/>
  <c r="V17" i="102"/>
  <c r="L17" i="102"/>
  <c r="U40" i="88"/>
  <c r="W40" i="88" s="1"/>
  <c r="X40" i="88" s="1"/>
  <c r="AB40" i="88" s="1"/>
  <c r="L40" i="88"/>
  <c r="U52" i="88"/>
  <c r="Z52" i="88" s="1"/>
  <c r="L38" i="88"/>
  <c r="M38" i="88" s="1"/>
  <c r="V38" i="88"/>
  <c r="V37" i="88"/>
  <c r="L37" i="88"/>
  <c r="M37" i="88" s="1"/>
  <c r="M39" i="88"/>
  <c r="N39" i="88" s="1"/>
  <c r="V39" i="88"/>
  <c r="L52" i="88"/>
  <c r="M52" i="88" s="1"/>
  <c r="V52" i="88"/>
  <c r="M28" i="88"/>
  <c r="N28" i="88" s="1"/>
  <c r="U28" i="88"/>
  <c r="V28" i="88"/>
  <c r="L18" i="102" l="1"/>
  <c r="L19" i="102"/>
  <c r="W24" i="102"/>
  <c r="X24" i="102" s="1"/>
  <c r="X25" i="102"/>
  <c r="T25" i="102"/>
  <c r="Z24" i="102"/>
  <c r="M24" i="102"/>
  <c r="M25" i="102" s="1"/>
  <c r="T19" i="102"/>
  <c r="T18" i="102"/>
  <c r="AA17" i="102" s="1"/>
  <c r="M17" i="102"/>
  <c r="U17" i="102"/>
  <c r="Z40" i="88"/>
  <c r="M40" i="88"/>
  <c r="U37" i="88"/>
  <c r="Z37" i="88" s="1"/>
  <c r="U38" i="88"/>
  <c r="W38" i="88" s="1"/>
  <c r="X38" i="88" s="1"/>
  <c r="U39" i="88"/>
  <c r="Z39" i="88" s="1"/>
  <c r="N38" i="88"/>
  <c r="N37" i="88"/>
  <c r="W52" i="88"/>
  <c r="X52" i="88" s="1"/>
  <c r="N52" i="88"/>
  <c r="Z28" i="88"/>
  <c r="W28" i="88"/>
  <c r="X28" i="88" s="1"/>
  <c r="Y38" i="88" l="1"/>
  <c r="AB38" i="88"/>
  <c r="Y52" i="88"/>
  <c r="AB52" i="88"/>
  <c r="Y28" i="88"/>
  <c r="AB28" i="88"/>
  <c r="AA24" i="102"/>
  <c r="Y24" i="102"/>
  <c r="Y25" i="102"/>
  <c r="N24" i="102"/>
  <c r="N25" i="102" s="1"/>
  <c r="U19" i="102"/>
  <c r="U18" i="102"/>
  <c r="M18" i="102"/>
  <c r="M19" i="102"/>
  <c r="W17" i="102"/>
  <c r="X17" i="102" s="1"/>
  <c r="AB17" i="102" s="1"/>
  <c r="Z17" i="102"/>
  <c r="N17" i="102"/>
  <c r="Z38" i="88"/>
  <c r="N40" i="88"/>
  <c r="Y40" i="88"/>
  <c r="W37" i="88"/>
  <c r="X37" i="88" s="1"/>
  <c r="W39" i="88"/>
  <c r="X39" i="88" s="1"/>
  <c r="Y37" i="88" l="1"/>
  <c r="AB37" i="88"/>
  <c r="Y39" i="88"/>
  <c r="AB39" i="88"/>
  <c r="X19" i="102"/>
  <c r="AB19" i="102" s="1"/>
  <c r="X18" i="102"/>
  <c r="N19" i="102"/>
  <c r="N18" i="102"/>
  <c r="Y17" i="102"/>
  <c r="Y19" i="102" s="1"/>
  <c r="Q46" i="88"/>
  <c r="K46" i="88"/>
  <c r="R65" i="88"/>
  <c r="Q65" i="88"/>
  <c r="K65" i="88"/>
  <c r="L65" i="88" s="1"/>
  <c r="V45" i="88"/>
  <c r="K45" i="88"/>
  <c r="Y18" i="102" l="1"/>
  <c r="AB18" i="102"/>
  <c r="Z19" i="102"/>
  <c r="AA19" i="102" s="1"/>
  <c r="T46" i="88"/>
  <c r="U46" i="88" s="1"/>
  <c r="Z46" i="88" s="1"/>
  <c r="V46" i="88"/>
  <c r="L46" i="88"/>
  <c r="M46" i="88" s="1"/>
  <c r="U65" i="88"/>
  <c r="V65" i="88"/>
  <c r="M65" i="88"/>
  <c r="N65" i="88" s="1"/>
  <c r="T45" i="88"/>
  <c r="L45" i="88"/>
  <c r="M45" i="88" s="1"/>
  <c r="U45" i="88" l="1"/>
  <c r="Z45" i="88" s="1"/>
  <c r="W46" i="88"/>
  <c r="X46" i="88" s="1"/>
  <c r="N46" i="88"/>
  <c r="Z65" i="88"/>
  <c r="W65" i="88"/>
  <c r="X65" i="88" s="1"/>
  <c r="N45" i="88"/>
  <c r="W45" i="88"/>
  <c r="X45" i="88" s="1"/>
  <c r="AB45" i="88" s="1"/>
  <c r="Y46" i="88" l="1"/>
  <c r="AB46" i="88"/>
  <c r="Y65" i="88"/>
  <c r="AB65" i="88"/>
  <c r="Y45" i="88"/>
  <c r="Q56" i="88"/>
  <c r="K50" i="88" l="1"/>
  <c r="R50" i="88"/>
  <c r="Q50" i="88"/>
  <c r="V50" i="88" l="1"/>
  <c r="L50" i="88"/>
  <c r="U50" i="88" l="1"/>
  <c r="M50" i="88"/>
  <c r="W50" i="88" l="1"/>
  <c r="X50" i="88" s="1"/>
  <c r="Z50" i="88"/>
  <c r="N50" i="88"/>
  <c r="AB50" i="88" l="1"/>
  <c r="Y50" i="88"/>
  <c r="R72" i="88" l="1"/>
  <c r="Q72" i="88"/>
  <c r="K72" i="88"/>
  <c r="L72" i="88" l="1"/>
  <c r="U72" i="88"/>
  <c r="V72" i="88"/>
  <c r="Q71" i="88"/>
  <c r="Q70" i="88"/>
  <c r="R69" i="88"/>
  <c r="Q69" i="88"/>
  <c r="R73" i="88"/>
  <c r="Q73" i="88"/>
  <c r="K73" i="88"/>
  <c r="K71" i="88"/>
  <c r="L71" i="88" s="1"/>
  <c r="K70" i="88"/>
  <c r="L70" i="88" s="1"/>
  <c r="M70" i="88" s="1"/>
  <c r="N70" i="88" s="1"/>
  <c r="K69" i="88"/>
  <c r="K27" i="88"/>
  <c r="V27" i="88"/>
  <c r="R56" i="88"/>
  <c r="K56" i="88"/>
  <c r="K57" i="88" s="1"/>
  <c r="Q26" i="88"/>
  <c r="K26" i="88"/>
  <c r="R44" i="88"/>
  <c r="V44" i="88"/>
  <c r="K44" i="88"/>
  <c r="K47" i="88" s="1"/>
  <c r="R60" i="88"/>
  <c r="Q60" i="88"/>
  <c r="V60" i="88" s="1"/>
  <c r="K60" i="88"/>
  <c r="K61" i="88" s="1"/>
  <c r="Q59" i="88"/>
  <c r="Q58" i="88"/>
  <c r="R51" i="88"/>
  <c r="Q51" i="88"/>
  <c r="K51" i="88"/>
  <c r="K53" i="88" s="1"/>
  <c r="Q49" i="88"/>
  <c r="Q48" i="88"/>
  <c r="R36" i="88"/>
  <c r="Q36" i="88"/>
  <c r="V36" i="88" s="1"/>
  <c r="K36" i="88"/>
  <c r="K41" i="88" s="1"/>
  <c r="Q35" i="88"/>
  <c r="Q34" i="88"/>
  <c r="Q68" i="88"/>
  <c r="V68" i="88" s="1"/>
  <c r="R68" i="88"/>
  <c r="K68" i="88"/>
  <c r="K32" i="88"/>
  <c r="K33" i="88" s="1"/>
  <c r="R32" i="88"/>
  <c r="Q32" i="88"/>
  <c r="Q31" i="88"/>
  <c r="Q30" i="88"/>
  <c r="R67" i="88"/>
  <c r="Q67" i="88"/>
  <c r="K67" i="88"/>
  <c r="R66" i="88"/>
  <c r="Q66" i="88"/>
  <c r="K66" i="88"/>
  <c r="R64" i="88"/>
  <c r="Q64" i="88"/>
  <c r="K64" i="88"/>
  <c r="Q63" i="88"/>
  <c r="V25" i="88"/>
  <c r="T25" i="88"/>
  <c r="T29" i="88" s="1"/>
  <c r="K25" i="88"/>
  <c r="Z23" i="88"/>
  <c r="V21" i="88"/>
  <c r="Q20" i="88"/>
  <c r="Q19" i="88"/>
  <c r="V18" i="88"/>
  <c r="Q17" i="88"/>
  <c r="K21" i="88"/>
  <c r="K20" i="88"/>
  <c r="K19" i="88"/>
  <c r="K18" i="88"/>
  <c r="K17" i="88"/>
  <c r="Q16" i="88"/>
  <c r="Q15" i="88"/>
  <c r="K74" i="88" l="1"/>
  <c r="K29" i="88"/>
  <c r="K22" i="88"/>
  <c r="K75" i="88"/>
  <c r="L18" i="88"/>
  <c r="M18" i="88" s="1"/>
  <c r="U56" i="88"/>
  <c r="U57" i="88" s="1"/>
  <c r="L66" i="88"/>
  <c r="M66" i="88" s="1"/>
  <c r="Z72" i="88"/>
  <c r="W72" i="88"/>
  <c r="X72" i="88" s="1"/>
  <c r="AB72" i="88" s="1"/>
  <c r="M72" i="88"/>
  <c r="T70" i="88"/>
  <c r="U70" i="88" s="1"/>
  <c r="Z70" i="88" s="1"/>
  <c r="V70" i="88"/>
  <c r="L73" i="88"/>
  <c r="M73" i="88" s="1"/>
  <c r="M71" i="88"/>
  <c r="N71" i="88" s="1"/>
  <c r="L69" i="88"/>
  <c r="V69" i="88"/>
  <c r="U73" i="88"/>
  <c r="V73" i="88"/>
  <c r="V71" i="88"/>
  <c r="U71" i="88"/>
  <c r="Z71" i="88" s="1"/>
  <c r="U27" i="88"/>
  <c r="W27" i="88" s="1"/>
  <c r="X27" i="88" s="1"/>
  <c r="AB27" i="88" s="1"/>
  <c r="L27" i="88"/>
  <c r="M27" i="88" s="1"/>
  <c r="L56" i="88"/>
  <c r="L57" i="88" s="1"/>
  <c r="V56" i="88"/>
  <c r="L26" i="88"/>
  <c r="V26" i="88"/>
  <c r="T44" i="88"/>
  <c r="T47" i="88" s="1"/>
  <c r="L44" i="88"/>
  <c r="L47" i="88" s="1"/>
  <c r="T53" i="88"/>
  <c r="T61" i="88"/>
  <c r="L60" i="88"/>
  <c r="L61" i="88" s="1"/>
  <c r="V51" i="88"/>
  <c r="L51" i="88"/>
  <c r="L53" i="88" s="1"/>
  <c r="T41" i="88"/>
  <c r="L36" i="88"/>
  <c r="L41" i="88" s="1"/>
  <c r="L68" i="88"/>
  <c r="M68" i="88" s="1"/>
  <c r="N68" i="88" s="1"/>
  <c r="V32" i="88"/>
  <c r="T33" i="88"/>
  <c r="L32" i="88"/>
  <c r="L33" i="88" s="1"/>
  <c r="V67" i="88"/>
  <c r="V66" i="88"/>
  <c r="V64" i="88"/>
  <c r="L67" i="88"/>
  <c r="L64" i="88"/>
  <c r="U25" i="88"/>
  <c r="L25" i="88"/>
  <c r="L29" i="88" s="1"/>
  <c r="U21" i="88"/>
  <c r="U18" i="88"/>
  <c r="Z24" i="88"/>
  <c r="AA24" i="88"/>
  <c r="V20" i="88"/>
  <c r="V19" i="88"/>
  <c r="V17" i="88"/>
  <c r="L21" i="88"/>
  <c r="L20" i="88"/>
  <c r="M20" i="88" s="1"/>
  <c r="L19" i="88"/>
  <c r="M19" i="88" s="1"/>
  <c r="L17" i="88"/>
  <c r="M10" i="88"/>
  <c r="T74" i="88" l="1"/>
  <c r="L74" i="88"/>
  <c r="T22" i="88"/>
  <c r="AA17" i="88" s="1"/>
  <c r="T75" i="88"/>
  <c r="L22" i="88"/>
  <c r="L75" i="88"/>
  <c r="M36" i="88"/>
  <c r="M41" i="88" s="1"/>
  <c r="AA25" i="88"/>
  <c r="M26" i="88"/>
  <c r="M44" i="88"/>
  <c r="M47" i="88" s="1"/>
  <c r="U44" i="88"/>
  <c r="U47" i="88" s="1"/>
  <c r="W21" i="88"/>
  <c r="X21" i="88" s="1"/>
  <c r="AB21" i="88" s="1"/>
  <c r="M21" i="88"/>
  <c r="N18" i="88"/>
  <c r="U51" i="88"/>
  <c r="U53" i="88" s="1"/>
  <c r="M51" i="88"/>
  <c r="M53" i="88" s="1"/>
  <c r="N72" i="88"/>
  <c r="U36" i="88"/>
  <c r="U41" i="88" s="1"/>
  <c r="N66" i="88"/>
  <c r="U69" i="88"/>
  <c r="Y72" i="88"/>
  <c r="W70" i="88"/>
  <c r="X70" i="88" s="1"/>
  <c r="Z73" i="88"/>
  <c r="W73" i="88"/>
  <c r="X73" i="88" s="1"/>
  <c r="N73" i="88"/>
  <c r="W71" i="88"/>
  <c r="X71" i="88" s="1"/>
  <c r="M69" i="88"/>
  <c r="Z27" i="88"/>
  <c r="N27" i="88"/>
  <c r="Y27" i="88"/>
  <c r="M56" i="88"/>
  <c r="M57" i="88" s="1"/>
  <c r="U26" i="88"/>
  <c r="M64" i="88"/>
  <c r="M60" i="88"/>
  <c r="M61" i="88" s="1"/>
  <c r="U60" i="88"/>
  <c r="U61" i="88" s="1"/>
  <c r="U32" i="88"/>
  <c r="U33" i="88" s="1"/>
  <c r="U68" i="88"/>
  <c r="M32" i="88"/>
  <c r="M33" i="88" s="1"/>
  <c r="M25" i="88"/>
  <c r="M29" i="88" s="1"/>
  <c r="U67" i="88"/>
  <c r="U66" i="88"/>
  <c r="U64" i="88"/>
  <c r="M67" i="88"/>
  <c r="W25" i="88"/>
  <c r="X25" i="88" s="1"/>
  <c r="AB25" i="88" s="1"/>
  <c r="Z25" i="88"/>
  <c r="Z21" i="88"/>
  <c r="Z18" i="88"/>
  <c r="W18" i="88"/>
  <c r="X18" i="88" s="1"/>
  <c r="AB18" i="88" s="1"/>
  <c r="U20" i="88"/>
  <c r="U19" i="88"/>
  <c r="U17" i="88"/>
  <c r="N19" i="88"/>
  <c r="N20" i="88"/>
  <c r="M17" i="88"/>
  <c r="AA12" i="88"/>
  <c r="U22" i="88" l="1"/>
  <c r="M74" i="88"/>
  <c r="U74" i="88"/>
  <c r="Y70" i="88"/>
  <c r="AB70" i="88"/>
  <c r="Y73" i="88"/>
  <c r="AB73" i="88"/>
  <c r="M22" i="88"/>
  <c r="M75" i="88"/>
  <c r="Y71" i="88"/>
  <c r="AB71" i="88"/>
  <c r="U29" i="88"/>
  <c r="U75" i="88"/>
  <c r="W44" i="88"/>
  <c r="X44" i="88" s="1"/>
  <c r="AA36" i="88"/>
  <c r="AA37" i="88"/>
  <c r="AA38" i="88"/>
  <c r="AA39" i="88"/>
  <c r="Y21" i="88"/>
  <c r="N36" i="88"/>
  <c r="N41" i="88" s="1"/>
  <c r="Z36" i="88"/>
  <c r="N26" i="88"/>
  <c r="Z26" i="88"/>
  <c r="N44" i="88"/>
  <c r="N47" i="88" s="1"/>
  <c r="Z44" i="88"/>
  <c r="Z69" i="88"/>
  <c r="N21" i="88"/>
  <c r="Y18" i="88"/>
  <c r="Z51" i="88"/>
  <c r="W51" i="88"/>
  <c r="X51" i="88" s="1"/>
  <c r="N51" i="88"/>
  <c r="N53" i="88" s="1"/>
  <c r="N67" i="88"/>
  <c r="W36" i="88"/>
  <c r="X36" i="88" s="1"/>
  <c r="W69" i="88"/>
  <c r="X69" i="88" s="1"/>
  <c r="N69" i="88"/>
  <c r="W56" i="88"/>
  <c r="X56" i="88" s="1"/>
  <c r="N56" i="88"/>
  <c r="N57" i="88" s="1"/>
  <c r="W26" i="88"/>
  <c r="X26" i="88" s="1"/>
  <c r="Z56" i="88"/>
  <c r="N64" i="88"/>
  <c r="N74" i="88" s="1"/>
  <c r="N60" i="88"/>
  <c r="N61" i="88" s="1"/>
  <c r="W60" i="88"/>
  <c r="X60" i="88" s="1"/>
  <c r="Z60" i="88"/>
  <c r="AA60" i="88"/>
  <c r="AA51" i="88"/>
  <c r="AA32" i="88"/>
  <c r="N32" i="88"/>
  <c r="N33" i="88" s="1"/>
  <c r="AA19" i="88"/>
  <c r="AA20" i="88"/>
  <c r="AA18" i="88"/>
  <c r="AA21" i="88"/>
  <c r="N25" i="88"/>
  <c r="Z68" i="88"/>
  <c r="W68" i="88"/>
  <c r="X68" i="88" s="1"/>
  <c r="AA68" i="88"/>
  <c r="W32" i="88"/>
  <c r="X32" i="88" s="1"/>
  <c r="Z32" i="88"/>
  <c r="Z67" i="88"/>
  <c r="W67" i="88"/>
  <c r="X67" i="88" s="1"/>
  <c r="AB67" i="88" s="1"/>
  <c r="W66" i="88"/>
  <c r="X66" i="88" s="1"/>
  <c r="AB66" i="88" s="1"/>
  <c r="Z66" i="88"/>
  <c r="W64" i="88"/>
  <c r="X64" i="88" s="1"/>
  <c r="AB64" i="88" s="1"/>
  <c r="Z64" i="88"/>
  <c r="AA64" i="88"/>
  <c r="AA66" i="88"/>
  <c r="AA67" i="88"/>
  <c r="Y25" i="88"/>
  <c r="W20" i="88"/>
  <c r="X20" i="88" s="1"/>
  <c r="Z20" i="88"/>
  <c r="W19" i="88"/>
  <c r="X19" i="88" s="1"/>
  <c r="AB19" i="88" s="1"/>
  <c r="Z19" i="88"/>
  <c r="W17" i="88"/>
  <c r="X17" i="88" s="1"/>
  <c r="Z17" i="88"/>
  <c r="N17" i="88"/>
  <c r="N29" i="88" l="1"/>
  <c r="AB44" i="88"/>
  <c r="X47" i="88"/>
  <c r="AB51" i="88"/>
  <c r="X53" i="88"/>
  <c r="AB36" i="88"/>
  <c r="X41" i="88"/>
  <c r="AB60" i="88"/>
  <c r="X61" i="88"/>
  <c r="Y68" i="88"/>
  <c r="AB68" i="88"/>
  <c r="AB32" i="88"/>
  <c r="X33" i="88"/>
  <c r="Y20" i="88"/>
  <c r="AB20" i="88"/>
  <c r="AB17" i="88"/>
  <c r="X22" i="88"/>
  <c r="N22" i="88"/>
  <c r="N75" i="88"/>
  <c r="D16" i="101" s="1"/>
  <c r="AB69" i="88"/>
  <c r="X74" i="88"/>
  <c r="AB56" i="88"/>
  <c r="X57" i="88"/>
  <c r="AB26" i="88"/>
  <c r="X29" i="88"/>
  <c r="Y29" i="88" s="1"/>
  <c r="X75" i="88"/>
  <c r="Y51" i="88"/>
  <c r="Y22" i="88"/>
  <c r="Y44" i="88"/>
  <c r="Y41" i="88"/>
  <c r="Y74" i="88"/>
  <c r="Y47" i="88"/>
  <c r="Y36" i="88"/>
  <c r="Y26" i="88"/>
  <c r="Y69" i="88"/>
  <c r="Y61" i="88"/>
  <c r="Y57" i="88"/>
  <c r="Y33" i="88"/>
  <c r="Y67" i="88"/>
  <c r="Y66" i="88"/>
  <c r="Y56" i="88"/>
  <c r="Y64" i="88"/>
  <c r="Y60" i="88"/>
  <c r="Y53" i="88"/>
  <c r="Y32" i="88"/>
  <c r="Y19" i="88"/>
  <c r="Y17" i="88"/>
  <c r="AB75" i="88" l="1"/>
  <c r="D22" i="103"/>
  <c r="AC79" i="88"/>
  <c r="AC80" i="88" s="1"/>
  <c r="AC78" i="88"/>
  <c r="Y75" i="88"/>
  <c r="Z75" i="88" s="1"/>
  <c r="AA75" i="88" s="1"/>
  <c r="D17" i="101"/>
  <c r="D19" i="101" s="1"/>
  <c r="E22" i="103" l="1"/>
  <c r="D24" i="103"/>
  <c r="E16" i="101"/>
  <c r="E24" i="103" l="1"/>
  <c r="F24" i="103" s="1"/>
  <c r="F22" i="103"/>
  <c r="D32" i="103"/>
  <c r="E17" i="101"/>
  <c r="E18" i="101" s="1"/>
  <c r="F18" i="101" s="1"/>
  <c r="F32" i="103" l="1"/>
  <c r="F29" i="103"/>
</calcChain>
</file>

<file path=xl/sharedStrings.xml><?xml version="1.0" encoding="utf-8"?>
<sst xmlns="http://schemas.openxmlformats.org/spreadsheetml/2006/main" count="642" uniqueCount="296">
  <si>
    <t>Oggi Comunicação e Eventos</t>
  </si>
  <si>
    <t>CUSTOS (valor de custo c/ NF ou recibo)</t>
  </si>
  <si>
    <t>DIFERENÇA NF (Lucro)</t>
  </si>
  <si>
    <t>ÍNDICE</t>
  </si>
  <si>
    <t>ÍNDICE PUBLI</t>
  </si>
  <si>
    <t>CATEGORIA</t>
  </si>
  <si>
    <t>TIPO DE CUSTOS</t>
  </si>
  <si>
    <t>TIPO DE FATURAMENTO</t>
  </si>
  <si>
    <t>VALOR</t>
  </si>
  <si>
    <t/>
  </si>
  <si>
    <t>Valor</t>
  </si>
  <si>
    <t>TOTAL</t>
  </si>
  <si>
    <t>Grupo</t>
  </si>
  <si>
    <t>Descrição</t>
  </si>
  <si>
    <t>ENCARGOS PUBLI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</si>
  <si>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</si>
  <si>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</si>
  <si>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</si>
  <si>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</si>
  <si>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</si>
  <si>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</si>
  <si>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</si>
  <si>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</si>
  <si>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</si>
  <si>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</si>
  <si>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</si>
  <si>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</si>
  <si>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</si>
  <si>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</si>
  <si>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</si>
  <si>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</si>
  <si>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</si>
  <si>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</si>
  <si>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</si>
  <si>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</si>
  <si>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</si>
  <si>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</si>
  <si>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</si>
  <si>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</si>
  <si>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</si>
  <si>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</si>
  <si>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</si>
  <si>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</si>
  <si>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</si>
  <si>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</si>
  <si>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</si>
  <si>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</si>
  <si>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</si>
  <si>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</si>
  <si>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</si>
  <si>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</si>
  <si>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</si>
  <si>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</si>
  <si>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</si>
  <si>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</si>
  <si>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</si>
  <si>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</si>
  <si>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</si>
  <si>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</si>
  <si>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</si>
  <si>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</si>
  <si>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</si>
  <si>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</si>
  <si>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</si>
  <si>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</si>
  <si>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</si>
  <si>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</si>
  <si>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</si>
  <si>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</si>
  <si>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</si>
  <si>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</si>
  <si>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</si>
  <si>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</si>
  <si>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</si>
  <si>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</si>
  <si>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</si>
  <si>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</si>
  <si>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</si>
  <si>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</si>
  <si>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</si>
  <si>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</si>
  <si>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ORÇAMENTO 5.1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</si>
  <si>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</si>
  <si>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</si>
  <si>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</si>
  <si>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</si>
  <si>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</si>
  <si>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</si>
  <si>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</si>
  <si>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</si>
  <si>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</si>
  <si>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</si>
  <si>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</si>
  <si>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</si>
  <si>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</si>
  <si>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</si>
  <si>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</si>
  <si>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</si>
  <si>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</si>
  <si>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1.1.2</t>
  </si>
  <si>
    <t xml:space="preserve"> </t>
  </si>
  <si>
    <t>GRUPO</t>
  </si>
  <si>
    <t>SUBGRUPO</t>
  </si>
  <si>
    <t>1.1</t>
  </si>
  <si>
    <t>AGENCIAMENTO</t>
  </si>
  <si>
    <t>IMPOSTOS</t>
  </si>
  <si>
    <t>Marg.</t>
  </si>
  <si>
    <t>ITEM</t>
  </si>
  <si>
    <t>1.1.1</t>
  </si>
  <si>
    <t>2.1</t>
  </si>
  <si>
    <t>2.1.1</t>
  </si>
  <si>
    <t>2.1.2</t>
  </si>
  <si>
    <t>2.1.3</t>
  </si>
  <si>
    <t>SUBTOTAL SUBGRUPO</t>
  </si>
  <si>
    <t>INTERNO</t>
  </si>
  <si>
    <t>FAT.OGGI</t>
  </si>
  <si>
    <t xml:space="preserve">Criação </t>
  </si>
  <si>
    <t>OPERACIONAL</t>
  </si>
  <si>
    <t>FAT.CLIENTE</t>
  </si>
  <si>
    <t xml:space="preserve">INTERNOS  </t>
  </si>
  <si>
    <t xml:space="preserve">INTERNOS </t>
  </si>
  <si>
    <t>PRODUTOR: PATRICK BAYEUX</t>
  </si>
  <si>
    <t>ATENDIMENTO: FERNANDA PINHEIRO</t>
  </si>
  <si>
    <t xml:space="preserve">CLIENTE: LENOVO </t>
  </si>
  <si>
    <t>1.1.3</t>
  </si>
  <si>
    <t>1.1.4</t>
  </si>
  <si>
    <t>1.1.5</t>
  </si>
  <si>
    <t>Atendimento</t>
  </si>
  <si>
    <t>Produtor Executivo</t>
  </si>
  <si>
    <t>Responsável pela concepção, orçamento, cronograma macro, viabilidade financeira e negociação com clientes e/ou stakeholders;</t>
  </si>
  <si>
    <t>Responsável por ser a ponte principal entre o cliente e a equipe interna (produção, criação, planejamento). Atua desde o briefing inicial, passando pela venda da ideia, acompanhamento do planejamento, execução no dia do evento (in loco) e pós-evento, garantindo a satisfação do cliente e a qualidade da entrega;</t>
  </si>
  <si>
    <t>Focado em conectar o evento ao público-alvo, detalhando conceito, objetivos, público, linkando (temática, cenografia, tecnologia, sensorial) e experiência. Além de criação de KV e peças;</t>
  </si>
  <si>
    <t>Assistente de Produção</t>
  </si>
  <si>
    <t>Produtor Financeiro</t>
  </si>
  <si>
    <t>Dá o suporte atuando desde a cotação com fornecedores e controle de cronogramas até o suporte logístico no local, incluindo montagem/desmontagem, comunicação com equipes, atendimento a clientes e controle de materiais, garantindo que todas as etapas ocorram dentro do prazo e dos objetivos do projeto;</t>
  </si>
  <si>
    <t>Responsável por resolver a sazonalidade, o descasamento entre o alto volume de pagamentos a fornecedores (antes do evento) e o recebimento das receitas. Além de ser responsável por todo processo de prestação de conta e faturamento;</t>
  </si>
  <si>
    <t>LOCAL</t>
  </si>
  <si>
    <t>Subtotal LOCAL</t>
  </si>
  <si>
    <t>3.1</t>
  </si>
  <si>
    <t>3.1.1</t>
  </si>
  <si>
    <t xml:space="preserve">Subtotal INTERNOS  </t>
  </si>
  <si>
    <t>Subtotal BUFFET</t>
  </si>
  <si>
    <t>A&amp;B | BUFFET</t>
  </si>
  <si>
    <t>LOCAL | LOCAÇÃO</t>
  </si>
  <si>
    <t>4.1</t>
  </si>
  <si>
    <t>4.1.1</t>
  </si>
  <si>
    <t>4.1.2</t>
  </si>
  <si>
    <t>4.1.3</t>
  </si>
  <si>
    <t>TIME | STAFF</t>
  </si>
  <si>
    <t>STAFF</t>
  </si>
  <si>
    <t>Diretor Artístico</t>
  </si>
  <si>
    <t>Técnico de som</t>
  </si>
  <si>
    <t>Produtor de montagem e desmontagem</t>
  </si>
  <si>
    <t>Produtores Operacionais</t>
  </si>
  <si>
    <t>Equipe de Carregadores</t>
  </si>
  <si>
    <t>Responsável pela concepção criativa do evento, definindo linguagem, estética, narrativa e experiência do público, em alinhamento com os objetivos do cliente;</t>
  </si>
  <si>
    <t>Responsável pela montagem, operação e desmontagem dos sistemas de áudio, garantindo qualidade sonora para palco, público e transmissão, quando aplicável;</t>
  </si>
  <si>
    <t>Responsável pela coordenação das equipes, cronogramas e processos de montagem e desmontagem, garantindo cumprimento de prazos e segurança operacional;</t>
  </si>
  <si>
    <t>Eletricista</t>
  </si>
  <si>
    <t>Responsável pela instalação, operação, monitoramento e desmontagem das redes elétricas temporárias do evento, garantindo fornecimento seguro de energia para equipamentos, estruturas e áreas operacionais, conforme normas técnicas e de segurança;</t>
  </si>
  <si>
    <t>Subtotal STAFF</t>
  </si>
  <si>
    <t>SUBTOTAL PLANILHA</t>
  </si>
  <si>
    <t xml:space="preserve">TOTAL </t>
  </si>
  <si>
    <t>Marg. Lucro</t>
  </si>
  <si>
    <t>Lucro</t>
  </si>
  <si>
    <t>TAXAS</t>
  </si>
  <si>
    <t>Seguro</t>
  </si>
  <si>
    <t>Seguro do evento;</t>
  </si>
  <si>
    <t>5.1</t>
  </si>
  <si>
    <t>5.1.1</t>
  </si>
  <si>
    <t>5.1.2</t>
  </si>
  <si>
    <t>Radios</t>
  </si>
  <si>
    <t>Rádio comunicador, com carregadores e baterias extras;</t>
  </si>
  <si>
    <t>CENOGRAFIA</t>
  </si>
  <si>
    <t>AUDIOVISUAL</t>
  </si>
  <si>
    <t>6.1</t>
  </si>
  <si>
    <t>6.1.1</t>
  </si>
  <si>
    <t>7.1</t>
  </si>
  <si>
    <t>8.1</t>
  </si>
  <si>
    <t>8.1.1</t>
  </si>
  <si>
    <t>Subtotal CENOGRAFIA</t>
  </si>
  <si>
    <t>Subtotal TAXAS</t>
  </si>
  <si>
    <t>Subtotal AUDIOVISUAL</t>
  </si>
  <si>
    <t>A&amp;B</t>
  </si>
  <si>
    <t>7.1.1</t>
  </si>
  <si>
    <t>Embaixadinha</t>
  </si>
  <si>
    <t>Subtotal ARTISTICO</t>
  </si>
  <si>
    <t>Custos Operacionais</t>
  </si>
  <si>
    <t>4.1.4</t>
  </si>
  <si>
    <t>Logistica</t>
  </si>
  <si>
    <t>Inclui despesas com equipe, logística, suporte técnico e demais necessidades operacionais não previstas;</t>
  </si>
  <si>
    <t>4.1.5</t>
  </si>
  <si>
    <t>Mobiliário Plenária</t>
  </si>
  <si>
    <t>CÓDIGO DO JOB: LE_237</t>
  </si>
  <si>
    <t>LOCAL: PLANTA INDU</t>
  </si>
  <si>
    <t>DATA DO EVENTO: 13.04</t>
  </si>
  <si>
    <t>NOME PLANILHA: LE_237_EVENTO FABRICA.mkt</t>
  </si>
  <si>
    <t>Locação cedida pelo cliente | área de Doca na planta de Indu.</t>
  </si>
  <si>
    <t>Gerador</t>
  </si>
  <si>
    <t>Climatizadores</t>
  </si>
  <si>
    <t>Climatizadores a água;</t>
  </si>
  <si>
    <t>Palco/Plenária</t>
  </si>
  <si>
    <t>250 Cadeiras plenária;</t>
  </si>
  <si>
    <t>Fábrica Indu</t>
  </si>
  <si>
    <t>Painel de Led</t>
  </si>
  <si>
    <t>Som</t>
  </si>
  <si>
    <t>Verba de camarim para atendimento nas salas com diretores e palestrantes;</t>
  </si>
  <si>
    <t>08 Poltronas e mesa baixa para água;</t>
  </si>
  <si>
    <t>Mobiliário Backstage</t>
  </si>
  <si>
    <t>A&amp;B | CAMARIM</t>
  </si>
  <si>
    <t>Responsáveis pela execução e acompanhamento das operações no local do evento, apoiando logística, fornecedores, equipes e demandas emergenciais</t>
  </si>
  <si>
    <t>Transfer para equipe SP &gt; INDU &gt; SP e alimentação;</t>
  </si>
  <si>
    <t>Engenheiro de Segurança</t>
  </si>
  <si>
    <t>Responsável por planejar, implementar e monitorar medidas de prevenção de riscos, garantindo a integridade do público e da equipe. Atua na análise de perigos, elaboração de planos de emergência e conformidade com normas de segurança.</t>
  </si>
  <si>
    <t>PRINICPAL</t>
  </si>
  <si>
    <t>EVENTO: EVENTO FABRICA</t>
  </si>
  <si>
    <t>19 97407-9690</t>
  </si>
  <si>
    <t>Frete</t>
  </si>
  <si>
    <t>Entrega e retirada de cadeiras (Considerando a entrega no dia 13.04 e retirada 14.04 após as 18h)</t>
  </si>
  <si>
    <t>Responsável pelo transporte, carga e descarga de equipamentos, materiais e cenografia, apoiando as equipes técnicas na montagem e desmontagem do evento;
Escala:
Montagem 04 apoios;
Desmontagem 04 apoios;</t>
  </si>
  <si>
    <t>Locação de gerador de 120kva;
Incluso: Frete, 25 MTS de cabos, Instalação e Operador;</t>
  </si>
  <si>
    <t>19 97401-3200</t>
  </si>
  <si>
    <t>Entrega e retirada (Considerando a entrega no dia 13.04 e retirada 14.04 após as 18h)</t>
  </si>
  <si>
    <t>2.1.4</t>
  </si>
  <si>
    <t>5.1.3</t>
  </si>
  <si>
    <t>Luz</t>
  </si>
  <si>
    <t>20 pontos de luz arquitetural com canhões PAR LED 18x18 RGBWA;</t>
  </si>
  <si>
    <t>Locação de equipamentos de som profissional:
08 caixas de som QSC K12
02 subwoofers 1x18
01 mesa de som Yamaha MG16
04 microfones sem fio Phenyx Pro Digital
01 sistema de antenas externas com distribuidor e pás
02 sistemas de microfones headset
01 main power
01 técnico de áudio
01 DJ com seus respectivos equipamentos:
* Controladora Pioneer
* Notebook
* Fone de ouvido</t>
  </si>
  <si>
    <t>House Mix</t>
  </si>
  <si>
    <t>01 housetécnica em madeira e tecido medindo 6,00x1,50;</t>
  </si>
  <si>
    <t>Dog house</t>
  </si>
  <si>
    <t>Dog house para retorno das tvs;</t>
  </si>
  <si>
    <t>Fechamento Led</t>
  </si>
  <si>
    <t>MOBILIARIO</t>
  </si>
  <si>
    <t>6.1.2</t>
  </si>
  <si>
    <t>6.1.3</t>
  </si>
  <si>
    <t>9.1</t>
  </si>
  <si>
    <t>9.1.1</t>
  </si>
  <si>
    <t>9.1.2</t>
  </si>
  <si>
    <t>9.1.3</t>
  </si>
  <si>
    <t>9.1.4</t>
  </si>
  <si>
    <t>9.1.5</t>
  </si>
  <si>
    <t>9.1.6</t>
  </si>
  <si>
    <t>9.1.7</t>
  </si>
  <si>
    <t>9.1.8</t>
  </si>
  <si>
    <t>9.1.9</t>
  </si>
  <si>
    <t>9.1.10</t>
  </si>
  <si>
    <t>Logistica Cenografia</t>
  </si>
  <si>
    <t>Custo de logistica do time de Ceno e materiais. (Considerando: montagem, evento e desmontagem);</t>
  </si>
  <si>
    <t>Palco simples em praticavel, medindo 10x4 com altura de 0,60cm;
Acabamento em grama sintética 72m². Considerando palco, saia do palco e rodapé do led;</t>
  </si>
  <si>
    <t>Fechamentos laterias no painel de led;</t>
  </si>
  <si>
    <t>Marisa Cintra e Bruno com embaixadinhas;</t>
  </si>
  <si>
    <t>Painel de Led P2, medindo 10,00 x 4,50;</t>
  </si>
  <si>
    <t>Dimitry 11 11 97373-7356</t>
  </si>
  <si>
    <t>Anisio 19 99214-0068</t>
  </si>
  <si>
    <t>Guilherme Rental 11 94743-4981</t>
  </si>
  <si>
    <t>Anisio 19 99214-0068
Bruno 11 97205-0503</t>
  </si>
  <si>
    <t>Bruno 11 97205-0503</t>
  </si>
  <si>
    <t>Cacá Diniz 11 97198-7178</t>
  </si>
  <si>
    <t>21 98415-6756</t>
  </si>
  <si>
    <t>Molina</t>
  </si>
  <si>
    <t>HOSPEDAGEM</t>
  </si>
  <si>
    <t>Hospedagem</t>
  </si>
  <si>
    <t>Hospedagem | Hotel Vitoria;</t>
  </si>
  <si>
    <t>Subtotal HOSPEDAGEM</t>
  </si>
  <si>
    <t>DATA DO EVENTO: 14.04</t>
  </si>
  <si>
    <t>Hospedagem | RJ -  17/04 às 10h e saída dia 20/04 às 16h;</t>
  </si>
  <si>
    <t>PAGAMENTOS</t>
  </si>
  <si>
    <t>PENDENTE</t>
  </si>
  <si>
    <t>EFETUADO</t>
  </si>
  <si>
    <t>IMPOSTO</t>
  </si>
  <si>
    <t>LUCRO TOTAL</t>
  </si>
  <si>
    <t>LUCRO</t>
  </si>
  <si>
    <t>VÍDEO</t>
  </si>
  <si>
    <t>STUDIO ROCA</t>
  </si>
  <si>
    <t>VENDA</t>
  </si>
  <si>
    <t xml:space="preserve">CUSTO </t>
  </si>
  <si>
    <t>NOTAS EMITIDAS E ND EMITIDAS</t>
  </si>
  <si>
    <t>VETOR T7</t>
  </si>
  <si>
    <t>S M KEKES LOCAÇÕES</t>
  </si>
  <si>
    <t>ALERE</t>
  </si>
  <si>
    <t>PRINCIPAL</t>
  </si>
  <si>
    <t xml:space="preserve">DANIEL LIMA - ISABELA FERREIRA - GIOVANNI - MARCELO BAYEUX - </t>
  </si>
  <si>
    <t>EDUARDO MOLINA</t>
  </si>
  <si>
    <t>RENTAL LOCAÇÕES</t>
  </si>
  <si>
    <t>ANTONIO CARLOS</t>
  </si>
  <si>
    <t>WATERLIGHT</t>
  </si>
  <si>
    <t>GILSON PEREIRA - DANIEL LIMA - MARCELO BAYEUX - MARIA EMILIA - KAMYLLE - ANDRE DE SENNA</t>
  </si>
  <si>
    <t>MARISA CINTRA</t>
  </si>
  <si>
    <t>CHUBB</t>
  </si>
  <si>
    <t>TOZZINI</t>
  </si>
  <si>
    <t>MR LOCAÇÕES</t>
  </si>
  <si>
    <t>MW LED</t>
  </si>
  <si>
    <t>ANISIO DE CARVALHO</t>
  </si>
  <si>
    <t>NOTA DE BÉBITO - 252</t>
  </si>
  <si>
    <t>NOTA FISCAL 2876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</si>
</sst>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(&quot;R$&quot;* #,##0.00_);_(&quot;R$&quot;* \(#,##0.00\);_(&quot;R$&quot;* &quot;-&quot;??_);_(@_)"/>
    <numFmt numFmtId="167" formatCode="0.000000000%"/>
    <numFmt numFmtId="168" formatCode="_-&quot;R$&quot;* #,##0.00_-;\-&quot;R$&quot;* #,##0.00_-;_-&quot;R$&quot;* &quot;-&quot;??_-;_-@_-"/>
    <numFmt numFmtId="169" formatCode="&quot;R$&quot;\ #,##0.00"/>
    <numFmt numFmtId="170" formatCode="[$$-409]#,##0.00"/>
    <numFmt numFmtId="171" formatCode="_-[$R$-416]\ * #,##0.00_-;\-[$R$-416]\ * #,##0.00_-;_-[$R$-416]\ * &quot;-&quot;??_-;_-@_-"/>
  </numFmts>
  <fonts count="5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sz val="11"/>
      <name val="Verdana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4"/>
      <color theme="1"/>
      <name val="Gadugi"/>
      <family val="2"/>
    </font>
    <font>
      <sz val="10"/>
      <name val="Verdana"/>
      <family val="2"/>
    </font>
    <font>
      <b/>
      <sz val="14"/>
      <color theme="0"/>
      <name val="Trebuchet MS"/>
      <family val="2"/>
    </font>
    <font>
      <sz val="14"/>
      <name val="Trebuchet MS"/>
      <family val="2"/>
    </font>
    <font>
      <sz val="13"/>
      <name val="Trebuchet MS"/>
      <family val="2"/>
    </font>
    <font>
      <b/>
      <sz val="10"/>
      <color theme="0"/>
      <name val="Trebuchet MS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Trebuchet MS"/>
      <family val="2"/>
    </font>
    <font>
      <b/>
      <sz val="10"/>
      <name val="Trebuchet MS"/>
      <family val="2"/>
    </font>
    <font>
      <b/>
      <sz val="11"/>
      <color theme="0"/>
      <name val="Trebuchet MS"/>
      <family val="2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b/>
      <sz val="11"/>
      <name val="Trebuchet MS"/>
      <family val="2"/>
    </font>
    <font>
      <sz val="12"/>
      <name val="Trebuchet MS"/>
      <family val="2"/>
    </font>
    <font>
      <sz val="18"/>
      <color theme="1"/>
      <name val="Calibri"/>
      <family val="2"/>
      <scheme val="minor"/>
    </font>
    <font>
      <b/>
      <sz val="18"/>
      <name val="Trebuchet MS"/>
      <family val="2"/>
    </font>
    <font>
      <b/>
      <sz val="18"/>
      <color theme="1"/>
      <name val="Calibri"/>
      <family val="2"/>
      <scheme val="minor"/>
    </font>
    <font>
      <b/>
      <sz val="18"/>
      <color theme="1"/>
      <name val="Gadugi"/>
      <family val="2"/>
    </font>
    <font>
      <sz val="18"/>
      <name val="Trebuchet MS"/>
      <family val="2"/>
    </font>
    <font>
      <b/>
      <sz val="18"/>
      <color indexed="63"/>
      <name val="Trebuchet MS"/>
      <family val="2"/>
    </font>
    <font>
      <b/>
      <sz val="18"/>
      <color theme="1"/>
      <name val="Trebuchet MS"/>
      <family val="2"/>
    </font>
    <font>
      <sz val="18"/>
      <color theme="0"/>
      <name val="Calibri"/>
      <family val="2"/>
      <scheme val="minor"/>
    </font>
    <font>
      <sz val="18"/>
      <color theme="1"/>
      <name val="Trebuchet MS"/>
      <family val="2"/>
    </font>
    <font>
      <sz val="18"/>
      <color indexed="63"/>
      <name val="Trebuchet MS"/>
      <family val="2"/>
    </font>
    <font>
      <b/>
      <sz val="18"/>
      <color theme="0"/>
      <name val="Trebuchet MS"/>
      <family val="2"/>
    </font>
    <font>
      <b/>
      <sz val="18"/>
      <color rgb="FFFF0000"/>
      <name val="Trebuchet MS"/>
      <family val="2"/>
    </font>
    <font>
      <b/>
      <sz val="18"/>
      <color rgb="FF00B050"/>
      <name val="Trebuchet MS"/>
      <family val="2"/>
    </font>
    <font>
      <b/>
      <sz val="18"/>
      <color rgb="FFFF0000"/>
      <name val="Calibri"/>
      <family val="2"/>
      <scheme val="minor"/>
    </font>
    <font>
      <sz val="18"/>
      <color rgb="FF00B050"/>
      <name val="Calibri"/>
      <family val="2"/>
      <scheme val="minor"/>
    </font>
    <font>
      <sz val="18"/>
      <color theme="0"/>
      <name val="Trebuchet MS"/>
      <family val="2"/>
    </font>
    <font>
      <b/>
      <sz val="14"/>
      <color indexed="63"/>
      <name val="Trebuchet MS"/>
      <family val="2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Trebuchet MS"/>
      <family val="2"/>
    </font>
    <font>
      <sz val="14"/>
      <color indexed="63"/>
      <name val="Trebuchet MS"/>
      <family val="2"/>
    </font>
    <font>
      <sz val="14"/>
      <color theme="0"/>
      <name val="Trebuchet MS"/>
      <family val="2"/>
    </font>
    <font>
      <sz val="11"/>
      <color rgb="FFFF0000"/>
      <name val="Trebuchet MS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97">
    <border>
      <left/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 style="hair">
        <color indexed="64"/>
      </bottom>
      <diagonal/>
    </border>
  </borders>
  <cellStyleXfs count="26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5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7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57">
    <xf numFmtId="0" fontId="0" fillId="0" borderId="0" xfId="0"/>
    <xf numFmtId="0" fontId="8" fillId="4" borderId="0" xfId="0" applyFont="1" applyFill="1"/>
    <xf numFmtId="49" fontId="8" fillId="4" borderId="0" xfId="0" applyNumberFormat="1" applyFont="1" applyFill="1"/>
    <xf numFmtId="164" fontId="4" fillId="0" borderId="0" xfId="2" applyNumberFormat="1" applyFont="1" applyAlignment="1">
      <alignment horizontal="left" vertical="center"/>
    </xf>
    <xf numFmtId="0" fontId="9" fillId="6" borderId="21" xfId="0" applyFont="1" applyFill="1" applyBorder="1" applyAlignment="1">
      <alignment vertical="center"/>
    </xf>
    <xf numFmtId="0" fontId="11" fillId="6" borderId="21" xfId="0" applyFont="1" applyFill="1" applyBorder="1" applyAlignment="1">
      <alignment horizontal="center" vertical="center"/>
    </xf>
    <xf numFmtId="22" fontId="9" fillId="6" borderId="21" xfId="0" applyNumberFormat="1" applyFont="1" applyFill="1" applyBorder="1" applyAlignment="1">
      <alignment horizontal="center" vertical="center"/>
    </xf>
    <xf numFmtId="0" fontId="13" fillId="6" borderId="22" xfId="0" applyFont="1" applyFill="1" applyBorder="1" applyAlignment="1">
      <alignment horizontal="center" vertical="center" wrapText="1"/>
    </xf>
    <xf numFmtId="0" fontId="13" fillId="6" borderId="23" xfId="0" applyFont="1" applyFill="1" applyBorder="1" applyAlignment="1">
      <alignment horizontal="center" vertical="center" wrapText="1"/>
    </xf>
    <xf numFmtId="0" fontId="0" fillId="7" borderId="24" xfId="0" applyFill="1" applyBorder="1" applyAlignment="1">
      <alignment vertical="center"/>
    </xf>
    <xf numFmtId="0" fontId="0" fillId="7" borderId="24" xfId="0" applyFill="1" applyBorder="1" applyAlignment="1">
      <alignment horizontal="right" vertical="center"/>
    </xf>
    <xf numFmtId="4" fontId="0" fillId="7" borderId="24" xfId="0" applyNumberFormat="1" applyFill="1" applyBorder="1" applyAlignment="1">
      <alignment horizontal="right" vertical="center"/>
    </xf>
    <xf numFmtId="9" fontId="0" fillId="7" borderId="24" xfId="0" applyNumberFormat="1" applyFill="1" applyBorder="1" applyAlignment="1">
      <alignment horizontal="right" vertical="center"/>
    </xf>
    <xf numFmtId="0" fontId="0" fillId="7" borderId="25" xfId="0" applyFill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4" xfId="0" applyBorder="1" applyAlignment="1">
      <alignment horizontal="right" vertical="center"/>
    </xf>
    <xf numFmtId="4" fontId="0" fillId="0" borderId="24" xfId="0" applyNumberFormat="1" applyBorder="1" applyAlignment="1">
      <alignment horizontal="right" vertical="center"/>
    </xf>
    <xf numFmtId="9" fontId="0" fillId="0" borderId="24" xfId="0" applyNumberFormat="1" applyBorder="1" applyAlignment="1">
      <alignment horizontal="right" vertical="center"/>
    </xf>
    <xf numFmtId="0" fontId="0" fillId="0" borderId="25" xfId="0" applyBorder="1" applyAlignment="1">
      <alignment vertical="center"/>
    </xf>
    <xf numFmtId="0" fontId="0" fillId="0" borderId="25" xfId="0" applyBorder="1" applyAlignment="1">
      <alignment vertical="center" wrapText="1"/>
    </xf>
    <xf numFmtId="0" fontId="0" fillId="7" borderId="25" xfId="0" applyFill="1" applyBorder="1" applyAlignment="1">
      <alignment vertical="center" wrapText="1"/>
    </xf>
    <xf numFmtId="0" fontId="0" fillId="7" borderId="26" xfId="0" applyFill="1" applyBorder="1" applyAlignment="1">
      <alignment vertical="center"/>
    </xf>
    <xf numFmtId="0" fontId="0" fillId="7" borderId="26" xfId="0" applyFill="1" applyBorder="1" applyAlignment="1">
      <alignment horizontal="right" vertical="center"/>
    </xf>
    <xf numFmtId="4" fontId="0" fillId="7" borderId="26" xfId="0" applyNumberFormat="1" applyFill="1" applyBorder="1" applyAlignment="1">
      <alignment horizontal="right" vertical="center"/>
    </xf>
    <xf numFmtId="9" fontId="0" fillId="7" borderId="26" xfId="0" applyNumberFormat="1" applyFill="1" applyBorder="1" applyAlignment="1">
      <alignment horizontal="right" vertical="center"/>
    </xf>
    <xf numFmtId="0" fontId="0" fillId="7" borderId="27" xfId="0" applyFill="1" applyBorder="1" applyAlignment="1">
      <alignment vertical="center"/>
    </xf>
    <xf numFmtId="0" fontId="14" fillId="0" borderId="0" xfId="0" applyFont="1" applyAlignment="1">
      <alignment horizontal="center"/>
    </xf>
    <xf numFmtId="164" fontId="17" fillId="0" borderId="13" xfId="2" applyNumberFormat="1" applyFont="1" applyBorder="1" applyAlignment="1" applyProtection="1">
      <alignment horizontal="left" vertical="center"/>
      <protection locked="0"/>
    </xf>
    <xf numFmtId="164" fontId="17" fillId="0" borderId="17" xfId="2" applyNumberFormat="1" applyFont="1" applyBorder="1" applyAlignment="1" applyProtection="1">
      <alignment horizontal="left" vertical="center"/>
      <protection locked="0"/>
    </xf>
    <xf numFmtId="0" fontId="18" fillId="0" borderId="14" xfId="2" applyFont="1" applyBorder="1" applyAlignment="1" applyProtection="1">
      <alignment horizontal="left" vertical="center"/>
      <protection locked="0"/>
    </xf>
    <xf numFmtId="0" fontId="17" fillId="0" borderId="14" xfId="2" applyFont="1" applyBorder="1" applyAlignment="1" applyProtection="1">
      <alignment horizontal="left" vertical="center"/>
      <protection locked="0"/>
    </xf>
    <xf numFmtId="14" fontId="18" fillId="0" borderId="17" xfId="2" applyNumberFormat="1" applyFont="1" applyBorder="1" applyAlignment="1" applyProtection="1">
      <alignment horizontal="left" vertical="center"/>
      <protection locked="0"/>
    </xf>
    <xf numFmtId="169" fontId="16" fillId="9" borderId="11" xfId="8" applyNumberFormat="1" applyFont="1" applyFill="1" applyBorder="1" applyAlignment="1">
      <alignment horizontal="right"/>
    </xf>
    <xf numFmtId="164" fontId="17" fillId="0" borderId="12" xfId="2" applyNumberFormat="1" applyFont="1" applyBorder="1" applyAlignment="1" applyProtection="1">
      <alignment horizontal="left" vertical="center"/>
      <protection locked="0"/>
    </xf>
    <xf numFmtId="164" fontId="17" fillId="0" borderId="16" xfId="2" applyNumberFormat="1" applyFont="1" applyBorder="1" applyAlignment="1" applyProtection="1">
      <alignment horizontal="left" vertical="center"/>
      <protection locked="0"/>
    </xf>
    <xf numFmtId="164" fontId="17" fillId="0" borderId="20" xfId="2" applyNumberFormat="1" applyFont="1" applyBorder="1" applyAlignment="1" applyProtection="1">
      <alignment horizontal="left" vertical="center"/>
      <protection locked="0"/>
    </xf>
    <xf numFmtId="0" fontId="17" fillId="0" borderId="15" xfId="2" applyFont="1" applyBorder="1" applyAlignment="1" applyProtection="1">
      <alignment horizontal="left" vertical="center"/>
      <protection locked="0"/>
    </xf>
    <xf numFmtId="44" fontId="8" fillId="13" borderId="11" xfId="8" applyFont="1" applyFill="1" applyBorder="1" applyAlignment="1">
      <alignment vertical="center"/>
    </xf>
    <xf numFmtId="44" fontId="16" fillId="9" borderId="11" xfId="8" applyFont="1" applyFill="1" applyBorder="1" applyAlignment="1">
      <alignment horizontal="right"/>
    </xf>
    <xf numFmtId="44" fontId="8" fillId="14" borderId="11" xfId="8" applyFont="1" applyFill="1" applyBorder="1" applyAlignment="1">
      <alignment vertical="center"/>
    </xf>
    <xf numFmtId="44" fontId="20" fillId="0" borderId="0" xfId="0" applyNumberFormat="1" applyFont="1"/>
    <xf numFmtId="169" fontId="16" fillId="9" borderId="89" xfId="8" applyNumberFormat="1" applyFont="1" applyFill="1" applyBorder="1" applyAlignment="1">
      <alignment horizontal="right"/>
    </xf>
    <xf numFmtId="44" fontId="8" fillId="13" borderId="89" xfId="8" applyFont="1" applyFill="1" applyBorder="1" applyAlignment="1">
      <alignment vertical="center"/>
    </xf>
    <xf numFmtId="0" fontId="0" fillId="0" borderId="46" xfId="0" applyBorder="1" applyAlignment="1">
      <alignment vertical="center"/>
    </xf>
    <xf numFmtId="44" fontId="0" fillId="0" borderId="61" xfId="0" applyNumberFormat="1" applyBorder="1" applyAlignment="1">
      <alignment vertical="center"/>
    </xf>
    <xf numFmtId="44" fontId="0" fillId="0" borderId="0" xfId="0" applyNumberFormat="1" applyAlignment="1">
      <alignment vertical="center"/>
    </xf>
    <xf numFmtId="44" fontId="0" fillId="0" borderId="8" xfId="0" applyNumberFormat="1" applyBorder="1" applyAlignment="1">
      <alignment vertical="center"/>
    </xf>
    <xf numFmtId="44" fontId="21" fillId="16" borderId="87" xfId="0" applyNumberFormat="1" applyFont="1" applyFill="1" applyBorder="1" applyAlignment="1">
      <alignment vertical="center"/>
    </xf>
    <xf numFmtId="0" fontId="21" fillId="16" borderId="84" xfId="0" applyFont="1" applyFill="1" applyBorder="1" applyAlignment="1">
      <alignment horizontal="left" vertical="center"/>
    </xf>
    <xf numFmtId="9" fontId="20" fillId="0" borderId="0" xfId="1" applyFont="1" applyAlignment="1">
      <alignment horizontal="left"/>
    </xf>
    <xf numFmtId="170" fontId="0" fillId="0" borderId="0" xfId="0" applyNumberFormat="1"/>
    <xf numFmtId="0" fontId="22" fillId="0" borderId="0" xfId="0" applyFont="1"/>
    <xf numFmtId="0" fontId="23" fillId="0" borderId="0" xfId="0" applyFont="1"/>
    <xf numFmtId="0" fontId="23" fillId="0" borderId="0" xfId="0" applyFont="1" applyAlignment="1">
      <alignment horizontal="center"/>
    </xf>
    <xf numFmtId="16" fontId="23" fillId="17" borderId="9" xfId="0" applyNumberFormat="1" applyFont="1" applyFill="1" applyBorder="1"/>
    <xf numFmtId="16" fontId="23" fillId="17" borderId="10" xfId="0" applyNumberFormat="1" applyFont="1" applyFill="1" applyBorder="1"/>
    <xf numFmtId="16" fontId="23" fillId="18" borderId="83" xfId="0" applyNumberFormat="1" applyFont="1" applyFill="1" applyBorder="1"/>
    <xf numFmtId="16" fontId="23" fillId="18" borderId="11" xfId="0" applyNumberFormat="1" applyFont="1" applyFill="1" applyBorder="1"/>
    <xf numFmtId="0" fontId="23" fillId="19" borderId="81" xfId="0" applyFont="1" applyFill="1" applyBorder="1" applyAlignment="1">
      <alignment horizontal="right"/>
    </xf>
    <xf numFmtId="0" fontId="23" fillId="19" borderId="0" xfId="0" applyFont="1" applyFill="1" applyAlignment="1">
      <alignment horizontal="right"/>
    </xf>
    <xf numFmtId="0" fontId="19" fillId="16" borderId="83" xfId="0" applyFont="1" applyFill="1" applyBorder="1"/>
    <xf numFmtId="0" fontId="19" fillId="16" borderId="11" xfId="0" applyFont="1" applyFill="1" applyBorder="1"/>
    <xf numFmtId="164" fontId="24" fillId="0" borderId="0" xfId="2" applyNumberFormat="1" applyFont="1" applyAlignment="1" applyProtection="1">
      <alignment horizontal="left" vertical="center"/>
      <protection locked="0"/>
    </xf>
    <xf numFmtId="0" fontId="24" fillId="0" borderId="0" xfId="2" applyFont="1" applyAlignment="1" applyProtection="1">
      <alignment horizontal="left" vertical="center"/>
      <protection locked="0"/>
    </xf>
    <xf numFmtId="14" fontId="24" fillId="0" borderId="0" xfId="2" applyNumberFormat="1" applyFont="1" applyAlignment="1" applyProtection="1">
      <alignment horizontal="left" vertical="center"/>
      <protection locked="0"/>
    </xf>
    <xf numFmtId="0" fontId="25" fillId="20" borderId="70" xfId="0" applyFont="1" applyFill="1" applyBorder="1" applyAlignment="1">
      <alignment horizontal="center"/>
    </xf>
    <xf numFmtId="0" fontId="26" fillId="0" borderId="0" xfId="0" applyFont="1" applyAlignment="1">
      <alignment horizontal="center"/>
    </xf>
    <xf numFmtId="0" fontId="27" fillId="10" borderId="70" xfId="0" applyFont="1" applyFill="1" applyBorder="1" applyAlignment="1">
      <alignment horizontal="left"/>
    </xf>
    <xf numFmtId="44" fontId="28" fillId="10" borderId="70" xfId="0" applyNumberFormat="1" applyFont="1" applyFill="1" applyBorder="1" applyAlignment="1">
      <alignment horizontal="center"/>
    </xf>
    <xf numFmtId="9" fontId="27" fillId="0" borderId="70" xfId="1" applyFont="1" applyBorder="1" applyAlignment="1">
      <alignment horizontal="center"/>
    </xf>
    <xf numFmtId="0" fontId="26" fillId="0" borderId="0" xfId="0" applyFont="1"/>
    <xf numFmtId="44" fontId="28" fillId="10" borderId="70" xfId="8" applyFont="1" applyFill="1" applyBorder="1" applyAlignment="1">
      <alignment horizontal="center"/>
    </xf>
    <xf numFmtId="44" fontId="28" fillId="10" borderId="70" xfId="8" applyFont="1" applyFill="1" applyBorder="1"/>
    <xf numFmtId="0" fontId="27" fillId="20" borderId="70" xfId="0" applyFont="1" applyFill="1" applyBorder="1"/>
    <xf numFmtId="0" fontId="30" fillId="0" borderId="0" xfId="0" applyFont="1"/>
    <xf numFmtId="49" fontId="31" fillId="0" borderId="0" xfId="2" applyNumberFormat="1" applyFont="1" applyAlignment="1">
      <alignment horizontal="left" vertical="center" wrapText="1"/>
    </xf>
    <xf numFmtId="0" fontId="31" fillId="0" borderId="0" xfId="2" applyFont="1" applyAlignment="1">
      <alignment horizontal="left" vertical="center" wrapText="1"/>
    </xf>
    <xf numFmtId="0" fontId="30" fillId="0" borderId="0" xfId="0" applyFont="1" applyAlignment="1">
      <alignment horizontal="center" vertical="center"/>
    </xf>
    <xf numFmtId="0" fontId="30" fillId="10" borderId="0" xfId="0" applyFont="1" applyFill="1"/>
    <xf numFmtId="0" fontId="30" fillId="10" borderId="0" xfId="0" applyFont="1" applyFill="1" applyAlignment="1">
      <alignment horizontal="left"/>
    </xf>
    <xf numFmtId="0" fontId="30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164" fontId="31" fillId="0" borderId="0" xfId="2" applyNumberFormat="1" applyFont="1" applyAlignment="1">
      <alignment horizontal="left" vertical="center"/>
    </xf>
    <xf numFmtId="164" fontId="34" fillId="0" borderId="12" xfId="2" applyNumberFormat="1" applyFont="1" applyBorder="1" applyAlignment="1" applyProtection="1">
      <alignment horizontal="left" vertical="center"/>
      <protection locked="0"/>
    </xf>
    <xf numFmtId="164" fontId="34" fillId="0" borderId="13" xfId="2" applyNumberFormat="1" applyFont="1" applyBorder="1" applyAlignment="1" applyProtection="1">
      <alignment horizontal="left" vertical="center"/>
      <protection locked="0"/>
    </xf>
    <xf numFmtId="164" fontId="34" fillId="0" borderId="16" xfId="2" applyNumberFormat="1" applyFont="1" applyBorder="1" applyAlignment="1" applyProtection="1">
      <alignment horizontal="left" vertical="center"/>
      <protection locked="0"/>
    </xf>
    <xf numFmtId="164" fontId="34" fillId="0" borderId="17" xfId="2" applyNumberFormat="1" applyFont="1" applyBorder="1" applyAlignment="1" applyProtection="1">
      <alignment horizontal="left" vertical="center"/>
      <protection locked="0"/>
    </xf>
    <xf numFmtId="0" fontId="34" fillId="0" borderId="14" xfId="2" applyFont="1" applyBorder="1" applyAlignment="1" applyProtection="1">
      <alignment horizontal="left" vertical="center"/>
      <protection locked="0"/>
    </xf>
    <xf numFmtId="14" fontId="34" fillId="0" borderId="17" xfId="2" applyNumberFormat="1" applyFont="1" applyBorder="1" applyAlignment="1" applyProtection="1">
      <alignment horizontal="left" vertical="center"/>
      <protection locked="0"/>
    </xf>
    <xf numFmtId="164" fontId="34" fillId="0" borderId="20" xfId="2" applyNumberFormat="1" applyFont="1" applyBorder="1" applyAlignment="1" applyProtection="1">
      <alignment horizontal="left" vertical="center"/>
      <protection locked="0"/>
    </xf>
    <xf numFmtId="0" fontId="34" fillId="0" borderId="15" xfId="2" applyFont="1" applyBorder="1" applyAlignment="1" applyProtection="1">
      <alignment horizontal="left" vertical="center"/>
      <protection locked="0"/>
    </xf>
    <xf numFmtId="49" fontId="30" fillId="0" borderId="0" xfId="0" applyNumberFormat="1" applyFont="1"/>
    <xf numFmtId="0" fontId="30" fillId="0" borderId="0" xfId="1" applyNumberFormat="1" applyFont="1"/>
    <xf numFmtId="165" fontId="35" fillId="5" borderId="46" xfId="4" applyFont="1" applyFill="1" applyBorder="1" applyAlignment="1">
      <alignment horizontal="center" vertical="center" wrapText="1"/>
    </xf>
    <xf numFmtId="167" fontId="32" fillId="0" borderId="61" xfId="1" applyNumberFormat="1" applyFont="1" applyBorder="1"/>
    <xf numFmtId="0" fontId="36" fillId="4" borderId="0" xfId="0" applyFont="1" applyFill="1"/>
    <xf numFmtId="49" fontId="36" fillId="4" borderId="0" xfId="0" applyNumberFormat="1" applyFont="1" applyFill="1"/>
    <xf numFmtId="0" fontId="37" fillId="0" borderId="0" xfId="0" applyFont="1"/>
    <xf numFmtId="0" fontId="30" fillId="0" borderId="39" xfId="0" applyFont="1" applyBorder="1"/>
    <xf numFmtId="0" fontId="30" fillId="0" borderId="42" xfId="0" applyFont="1" applyBorder="1"/>
    <xf numFmtId="0" fontId="38" fillId="0" borderId="28" xfId="0" applyFont="1" applyBorder="1" applyAlignment="1">
      <alignment horizontal="left" vertical="center"/>
    </xf>
    <xf numFmtId="49" fontId="38" fillId="0" borderId="29" xfId="0" applyNumberFormat="1" applyFont="1" applyBorder="1" applyAlignment="1">
      <alignment horizontal="left" vertical="center"/>
    </xf>
    <xf numFmtId="0" fontId="38" fillId="0" borderId="30" xfId="0" applyFont="1" applyBorder="1" applyAlignment="1">
      <alignment horizontal="left" vertical="center"/>
    </xf>
    <xf numFmtId="0" fontId="38" fillId="0" borderId="28" xfId="0" applyFont="1" applyBorder="1" applyAlignment="1">
      <alignment horizontal="left" vertical="center" wrapText="1"/>
    </xf>
    <xf numFmtId="0" fontId="31" fillId="5" borderId="31" xfId="3" applyFont="1" applyFill="1" applyBorder="1" applyAlignment="1">
      <alignment horizontal="left" vertical="center"/>
    </xf>
    <xf numFmtId="0" fontId="31" fillId="5" borderId="32" xfId="3" applyFont="1" applyFill="1" applyBorder="1" applyAlignment="1">
      <alignment horizontal="center" vertical="center"/>
    </xf>
    <xf numFmtId="0" fontId="36" fillId="5" borderId="32" xfId="3" applyFont="1" applyFill="1" applyBorder="1" applyAlignment="1">
      <alignment horizontal="center" vertical="center"/>
    </xf>
    <xf numFmtId="168" fontId="36" fillId="5" borderId="32" xfId="3" applyNumberFormat="1" applyFont="1" applyFill="1" applyBorder="1" applyAlignment="1">
      <alignment horizontal="center" vertical="center" wrapText="1"/>
    </xf>
    <xf numFmtId="0" fontId="36" fillId="5" borderId="32" xfId="3" applyFont="1" applyFill="1" applyBorder="1" applyAlignment="1">
      <alignment horizontal="center" vertical="center" wrapText="1"/>
    </xf>
    <xf numFmtId="9" fontId="36" fillId="5" borderId="32" xfId="1" applyFont="1" applyFill="1" applyBorder="1" applyAlignment="1">
      <alignment horizontal="center" vertical="center" wrapText="1"/>
    </xf>
    <xf numFmtId="10" fontId="36" fillId="5" borderId="32" xfId="1" applyNumberFormat="1" applyFont="1" applyFill="1" applyBorder="1" applyAlignment="1">
      <alignment horizontal="center" vertical="center" wrapText="1"/>
    </xf>
    <xf numFmtId="0" fontId="36" fillId="5" borderId="34" xfId="3" applyFont="1" applyFill="1" applyBorder="1" applyAlignment="1">
      <alignment horizontal="center" vertical="center" wrapText="1"/>
    </xf>
    <xf numFmtId="0" fontId="36" fillId="10" borderId="0" xfId="3" applyFont="1" applyFill="1" applyAlignment="1">
      <alignment horizontal="center" vertical="center" wrapText="1"/>
    </xf>
    <xf numFmtId="37" fontId="39" fillId="5" borderId="52" xfId="3" applyNumberFormat="1" applyFont="1" applyFill="1" applyBorder="1" applyAlignment="1">
      <alignment horizontal="center" vertical="center"/>
    </xf>
    <xf numFmtId="37" fontId="39" fillId="5" borderId="49" xfId="3" applyNumberFormat="1" applyFont="1" applyFill="1" applyBorder="1" applyAlignment="1">
      <alignment horizontal="center" vertical="center"/>
    </xf>
    <xf numFmtId="40" fontId="35" fillId="5" borderId="49" xfId="4" applyNumberFormat="1" applyFont="1" applyFill="1" applyBorder="1" applyAlignment="1">
      <alignment horizontal="center" vertical="center"/>
    </xf>
    <xf numFmtId="165" fontId="35" fillId="5" borderId="51" xfId="4" applyFont="1" applyFill="1" applyBorder="1" applyAlignment="1">
      <alignment horizontal="right" vertical="center"/>
    </xf>
    <xf numFmtId="40" fontId="35" fillId="5" borderId="50" xfId="4" applyNumberFormat="1" applyFont="1" applyFill="1" applyBorder="1" applyAlignment="1">
      <alignment horizontal="center" vertical="center" wrapText="1"/>
    </xf>
    <xf numFmtId="10" fontId="35" fillId="5" borderId="49" xfId="5" applyNumberFormat="1" applyFont="1" applyFill="1" applyBorder="1" applyAlignment="1">
      <alignment horizontal="center" vertical="center" wrapText="1"/>
    </xf>
    <xf numFmtId="165" fontId="35" fillId="5" borderId="48" xfId="4" applyFont="1" applyFill="1" applyBorder="1" applyAlignment="1">
      <alignment horizontal="center" vertical="center" wrapText="1"/>
    </xf>
    <xf numFmtId="165" fontId="35" fillId="5" borderId="47" xfId="4" applyFont="1" applyFill="1" applyBorder="1" applyAlignment="1">
      <alignment horizontal="center" vertical="center" wrapText="1"/>
    </xf>
    <xf numFmtId="10" fontId="35" fillId="5" borderId="8" xfId="5" applyNumberFormat="1" applyFont="1" applyFill="1" applyBorder="1" applyAlignment="1">
      <alignment horizontal="center" vertical="center" wrapText="1"/>
    </xf>
    <xf numFmtId="10" fontId="35" fillId="5" borderId="5" xfId="5" applyNumberFormat="1" applyFont="1" applyFill="1" applyBorder="1" applyAlignment="1">
      <alignment horizontal="center" vertical="center" wrapText="1"/>
    </xf>
    <xf numFmtId="49" fontId="38" fillId="0" borderId="29" xfId="0" applyNumberFormat="1" applyFont="1" applyBorder="1" applyAlignment="1">
      <alignment horizontal="left" vertical="center" wrapText="1"/>
    </xf>
    <xf numFmtId="0" fontId="38" fillId="0" borderId="30" xfId="0" applyFont="1" applyBorder="1" applyAlignment="1">
      <alignment horizontal="left" vertical="center" wrapText="1"/>
    </xf>
    <xf numFmtId="0" fontId="40" fillId="10" borderId="0" xfId="0" applyFont="1" applyFill="1" applyAlignment="1">
      <alignment horizontal="center"/>
    </xf>
    <xf numFmtId="0" fontId="30" fillId="0" borderId="8" xfId="0" applyFont="1" applyBorder="1"/>
    <xf numFmtId="0" fontId="30" fillId="0" borderId="5" xfId="0" applyFont="1" applyBorder="1"/>
    <xf numFmtId="0" fontId="30" fillId="0" borderId="70" xfId="0" applyFont="1" applyBorder="1"/>
    <xf numFmtId="0" fontId="36" fillId="11" borderId="33" xfId="0" applyFont="1" applyFill="1" applyBorder="1" applyAlignment="1">
      <alignment horizontal="center" vertical="center"/>
    </xf>
    <xf numFmtId="0" fontId="36" fillId="11" borderId="32" xfId="0" applyFont="1" applyFill="1" applyBorder="1" applyAlignment="1">
      <alignment horizontal="center" vertical="center"/>
    </xf>
    <xf numFmtId="0" fontId="36" fillId="11" borderId="88" xfId="0" applyFont="1" applyFill="1" applyBorder="1" applyAlignment="1">
      <alignment horizontal="center" vertical="center"/>
    </xf>
    <xf numFmtId="0" fontId="36" fillId="10" borderId="0" xfId="0" applyFont="1" applyFill="1" applyAlignment="1">
      <alignment horizontal="center" vertical="center"/>
    </xf>
    <xf numFmtId="0" fontId="32" fillId="11" borderId="8" xfId="0" applyFont="1" applyFill="1" applyBorder="1" applyAlignment="1">
      <alignment horizontal="center" vertical="center"/>
    </xf>
    <xf numFmtId="0" fontId="32" fillId="11" borderId="5" xfId="0" applyFont="1" applyFill="1" applyBorder="1" applyAlignment="1">
      <alignment horizontal="center" vertical="center"/>
    </xf>
    <xf numFmtId="171" fontId="41" fillId="5" borderId="70" xfId="4" applyNumberFormat="1" applyFont="1" applyFill="1" applyBorder="1" applyAlignment="1">
      <alignment horizontal="center" vertical="center" wrapText="1"/>
    </xf>
    <xf numFmtId="171" fontId="42" fillId="5" borderId="70" xfId="4" applyNumberFormat="1" applyFont="1" applyFill="1" applyBorder="1" applyAlignment="1">
      <alignment horizontal="center" vertical="center" wrapText="1"/>
    </xf>
    <xf numFmtId="0" fontId="36" fillId="10" borderId="46" xfId="0" applyFont="1" applyFill="1" applyBorder="1" applyAlignment="1">
      <alignment horizontal="left" vertical="center" wrapText="1"/>
    </xf>
    <xf numFmtId="0" fontId="38" fillId="10" borderId="60" xfId="0" applyFont="1" applyFill="1" applyBorder="1" applyAlignment="1">
      <alignment horizontal="left" vertical="center" wrapText="1"/>
    </xf>
    <xf numFmtId="0" fontId="38" fillId="10" borderId="60" xfId="0" applyFont="1" applyFill="1" applyBorder="1" applyAlignment="1">
      <alignment horizontal="center" vertical="center"/>
    </xf>
    <xf numFmtId="44" fontId="38" fillId="10" borderId="60" xfId="8" applyFont="1" applyFill="1" applyBorder="1" applyAlignment="1">
      <alignment vertical="center"/>
    </xf>
    <xf numFmtId="44" fontId="38" fillId="10" borderId="61" xfId="8" applyFont="1" applyFill="1" applyBorder="1" applyAlignment="1">
      <alignment vertical="center"/>
    </xf>
    <xf numFmtId="44" fontId="38" fillId="10" borderId="0" xfId="8" applyFont="1" applyFill="1" applyBorder="1" applyAlignment="1">
      <alignment vertical="center"/>
    </xf>
    <xf numFmtId="1" fontId="38" fillId="12" borderId="39" xfId="0" applyNumberFormat="1" applyFont="1" applyFill="1" applyBorder="1" applyAlignment="1">
      <alignment horizontal="center" vertical="center"/>
    </xf>
    <xf numFmtId="1" fontId="38" fillId="12" borderId="43" xfId="0" applyNumberFormat="1" applyFont="1" applyFill="1" applyBorder="1" applyAlignment="1">
      <alignment horizontal="center" vertical="center"/>
    </xf>
    <xf numFmtId="44" fontId="38" fillId="12" borderId="43" xfId="8" applyFont="1" applyFill="1" applyBorder="1" applyAlignment="1">
      <alignment vertical="center"/>
    </xf>
    <xf numFmtId="44" fontId="38" fillId="14" borderId="43" xfId="8" applyFont="1" applyFill="1" applyBorder="1" applyAlignment="1">
      <alignment vertical="center"/>
    </xf>
    <xf numFmtId="9" fontId="38" fillId="13" borderId="43" xfId="1" applyFont="1" applyFill="1" applyBorder="1" applyAlignment="1">
      <alignment vertical="center"/>
    </xf>
    <xf numFmtId="44" fontId="38" fillId="13" borderId="43" xfId="8" applyFont="1" applyFill="1" applyBorder="1" applyAlignment="1">
      <alignment vertical="center"/>
    </xf>
    <xf numFmtId="44" fontId="38" fillId="13" borderId="57" xfId="8" applyFont="1" applyFill="1" applyBorder="1" applyAlignment="1">
      <alignment vertical="center"/>
    </xf>
    <xf numFmtId="10" fontId="38" fillId="14" borderId="8" xfId="0" applyNumberFormat="1" applyFont="1" applyFill="1" applyBorder="1" applyAlignment="1">
      <alignment horizontal="center" vertical="center"/>
    </xf>
    <xf numFmtId="10" fontId="38" fillId="14" borderId="5" xfId="0" applyNumberFormat="1" applyFont="1" applyFill="1" applyBorder="1" applyAlignment="1">
      <alignment horizontal="center" vertical="center"/>
    </xf>
    <xf numFmtId="44" fontId="43" fillId="0" borderId="70" xfId="0" applyNumberFormat="1" applyFont="1" applyBorder="1"/>
    <xf numFmtId="44" fontId="44" fillId="0" borderId="70" xfId="8" applyFont="1" applyBorder="1"/>
    <xf numFmtId="0" fontId="38" fillId="0" borderId="53" xfId="0" applyFont="1" applyBorder="1" applyAlignment="1">
      <alignment horizontal="left" vertical="center" wrapText="1"/>
    </xf>
    <xf numFmtId="0" fontId="38" fillId="0" borderId="0" xfId="0" applyFont="1" applyAlignment="1">
      <alignment horizontal="left" vertical="center" wrapText="1"/>
    </xf>
    <xf numFmtId="0" fontId="36" fillId="10" borderId="39" xfId="0" applyFont="1" applyFill="1" applyBorder="1" applyAlignment="1">
      <alignment horizontal="left" vertical="center" wrapText="1"/>
    </xf>
    <xf numFmtId="0" fontId="38" fillId="10" borderId="70" xfId="0" applyFont="1" applyFill="1" applyBorder="1" applyAlignment="1">
      <alignment horizontal="left" vertical="center" wrapText="1"/>
    </xf>
    <xf numFmtId="0" fontId="38" fillId="10" borderId="70" xfId="0" applyFont="1" applyFill="1" applyBorder="1" applyAlignment="1">
      <alignment horizontal="center" vertical="center"/>
    </xf>
    <xf numFmtId="44" fontId="38" fillId="10" borderId="70" xfId="8" applyFont="1" applyFill="1" applyBorder="1" applyAlignment="1">
      <alignment vertical="center"/>
    </xf>
    <xf numFmtId="44" fontId="38" fillId="10" borderId="42" xfId="8" applyFont="1" applyFill="1" applyBorder="1" applyAlignment="1">
      <alignment vertical="center"/>
    </xf>
    <xf numFmtId="1" fontId="38" fillId="12" borderId="70" xfId="0" applyNumberFormat="1" applyFont="1" applyFill="1" applyBorder="1" applyAlignment="1">
      <alignment horizontal="center" vertical="center"/>
    </xf>
    <xf numFmtId="44" fontId="38" fillId="12" borderId="70" xfId="8" applyFont="1" applyFill="1" applyBorder="1" applyAlignment="1">
      <alignment vertical="center"/>
    </xf>
    <xf numFmtId="44" fontId="38" fillId="14" borderId="70" xfId="8" applyFont="1" applyFill="1" applyBorder="1" applyAlignment="1">
      <alignment vertical="center"/>
    </xf>
    <xf numFmtId="9" fontId="38" fillId="13" borderId="70" xfId="1" applyFont="1" applyFill="1" applyBorder="1" applyAlignment="1">
      <alignment vertical="center"/>
    </xf>
    <xf numFmtId="44" fontId="38" fillId="13" borderId="70" xfId="8" applyFont="1" applyFill="1" applyBorder="1" applyAlignment="1">
      <alignment vertical="center"/>
    </xf>
    <xf numFmtId="44" fontId="38" fillId="13" borderId="42" xfId="8" applyFont="1" applyFill="1" applyBorder="1" applyAlignment="1">
      <alignment vertical="center"/>
    </xf>
    <xf numFmtId="0" fontId="38" fillId="0" borderId="35" xfId="0" applyFont="1" applyBorder="1" applyAlignment="1">
      <alignment horizontal="left" vertical="center" wrapText="1"/>
    </xf>
    <xf numFmtId="0" fontId="38" fillId="0" borderId="37" xfId="0" applyFont="1" applyBorder="1" applyAlignment="1">
      <alignment horizontal="left" vertical="center" wrapText="1"/>
    </xf>
    <xf numFmtId="169" fontId="40" fillId="9" borderId="11" xfId="8" applyNumberFormat="1" applyFont="1" applyFill="1" applyBorder="1" applyAlignment="1">
      <alignment horizontal="right"/>
    </xf>
    <xf numFmtId="169" fontId="40" fillId="9" borderId="89" xfId="8" applyNumberFormat="1" applyFont="1" applyFill="1" applyBorder="1" applyAlignment="1">
      <alignment horizontal="right"/>
    </xf>
    <xf numFmtId="44" fontId="40" fillId="9" borderId="67" xfId="8" applyFont="1" applyFill="1" applyBorder="1" applyAlignment="1">
      <alignment horizontal="right"/>
    </xf>
    <xf numFmtId="44" fontId="36" fillId="14" borderId="62" xfId="8" applyFont="1" applyFill="1" applyBorder="1" applyAlignment="1">
      <alignment vertical="center"/>
    </xf>
    <xf numFmtId="9" fontId="38" fillId="13" borderId="62" xfId="1" applyFont="1" applyFill="1" applyBorder="1" applyAlignment="1">
      <alignment vertical="center"/>
    </xf>
    <xf numFmtId="44" fontId="38" fillId="13" borderId="62" xfId="8" applyFont="1" applyFill="1" applyBorder="1" applyAlignment="1">
      <alignment vertical="center"/>
    </xf>
    <xf numFmtId="44" fontId="36" fillId="13" borderId="62" xfId="8" applyFont="1" applyFill="1" applyBorder="1" applyAlignment="1">
      <alignment vertical="center"/>
    </xf>
    <xf numFmtId="44" fontId="36" fillId="13" borderId="63" xfId="8" applyFont="1" applyFill="1" applyBorder="1" applyAlignment="1">
      <alignment vertical="center"/>
    </xf>
    <xf numFmtId="0" fontId="38" fillId="0" borderId="70" xfId="0" applyFont="1" applyBorder="1" applyAlignment="1">
      <alignment horizontal="center" vertical="center"/>
    </xf>
    <xf numFmtId="44" fontId="38" fillId="0" borderId="70" xfId="8" applyFont="1" applyBorder="1" applyAlignment="1">
      <alignment vertical="center"/>
    </xf>
    <xf numFmtId="44" fontId="38" fillId="10" borderId="0" xfId="8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0" fillId="10" borderId="0" xfId="0" applyFont="1" applyFill="1" applyAlignment="1">
      <alignment horizontal="left" vertical="center"/>
    </xf>
    <xf numFmtId="1" fontId="38" fillId="12" borderId="40" xfId="0" applyNumberFormat="1" applyFont="1" applyFill="1" applyBorder="1" applyAlignment="1">
      <alignment horizontal="center" vertical="center"/>
    </xf>
    <xf numFmtId="1" fontId="38" fillId="12" borderId="55" xfId="0" applyNumberFormat="1" applyFont="1" applyFill="1" applyBorder="1" applyAlignment="1">
      <alignment horizontal="center" vertical="center"/>
    </xf>
    <xf numFmtId="44" fontId="38" fillId="12" borderId="55" xfId="8" applyFont="1" applyFill="1" applyBorder="1" applyAlignment="1">
      <alignment vertical="center"/>
    </xf>
    <xf numFmtId="44" fontId="38" fillId="14" borderId="55" xfId="8" applyFont="1" applyFill="1" applyBorder="1" applyAlignment="1">
      <alignment vertical="center"/>
    </xf>
    <xf numFmtId="9" fontId="38" fillId="13" borderId="55" xfId="1" applyFont="1" applyFill="1" applyBorder="1" applyAlignment="1">
      <alignment vertical="center"/>
    </xf>
    <xf numFmtId="44" fontId="38" fillId="13" borderId="55" xfId="8" applyFont="1" applyFill="1" applyBorder="1" applyAlignment="1">
      <alignment vertical="center"/>
    </xf>
    <xf numFmtId="44" fontId="38" fillId="13" borderId="56" xfId="8" applyFont="1" applyFill="1" applyBorder="1" applyAlignment="1">
      <alignment vertical="center"/>
    </xf>
    <xf numFmtId="0" fontId="36" fillId="10" borderId="54" xfId="0" applyFont="1" applyFill="1" applyBorder="1" applyAlignment="1">
      <alignment horizontal="left" vertical="center" wrapText="1"/>
    </xf>
    <xf numFmtId="0" fontId="38" fillId="0" borderId="38" xfId="0" applyFont="1" applyBorder="1" applyAlignment="1">
      <alignment horizontal="left" vertical="center" wrapText="1"/>
    </xf>
    <xf numFmtId="0" fontId="38" fillId="0" borderId="38" xfId="0" applyFont="1" applyBorder="1" applyAlignment="1">
      <alignment horizontal="center" vertical="center"/>
    </xf>
    <xf numFmtId="44" fontId="38" fillId="0" borderId="38" xfId="8" applyFont="1" applyBorder="1" applyAlignment="1">
      <alignment vertical="center"/>
    </xf>
    <xf numFmtId="44" fontId="38" fillId="10" borderId="38" xfId="8" applyFont="1" applyFill="1" applyBorder="1" applyAlignment="1">
      <alignment vertical="center"/>
    </xf>
    <xf numFmtId="44" fontId="38" fillId="10" borderId="56" xfId="8" applyFont="1" applyFill="1" applyBorder="1" applyAlignment="1">
      <alignment vertical="center"/>
    </xf>
    <xf numFmtId="1" fontId="38" fillId="12" borderId="38" xfId="0" applyNumberFormat="1" applyFont="1" applyFill="1" applyBorder="1" applyAlignment="1">
      <alignment horizontal="center" vertical="center"/>
    </xf>
    <xf numFmtId="44" fontId="38" fillId="12" borderId="38" xfId="8" applyFont="1" applyFill="1" applyBorder="1" applyAlignment="1">
      <alignment vertical="center"/>
    </xf>
    <xf numFmtId="1" fontId="38" fillId="12" borderId="5" xfId="0" applyNumberFormat="1" applyFont="1" applyFill="1" applyBorder="1" applyAlignment="1">
      <alignment horizontal="center" vertical="center"/>
    </xf>
    <xf numFmtId="44" fontId="38" fillId="12" borderId="5" xfId="8" applyFont="1" applyFill="1" applyBorder="1" applyAlignment="1">
      <alignment vertical="center"/>
    </xf>
    <xf numFmtId="44" fontId="38" fillId="14" borderId="5" xfId="8" applyFont="1" applyFill="1" applyBorder="1" applyAlignment="1">
      <alignment vertical="center"/>
    </xf>
    <xf numFmtId="9" fontId="38" fillId="13" borderId="5" xfId="1" applyFont="1" applyFill="1" applyBorder="1" applyAlignment="1">
      <alignment vertical="center"/>
    </xf>
    <xf numFmtId="44" fontId="38" fillId="13" borderId="5" xfId="8" applyFont="1" applyFill="1" applyBorder="1" applyAlignment="1">
      <alignment vertical="center"/>
    </xf>
    <xf numFmtId="10" fontId="38" fillId="14" borderId="70" xfId="8" applyNumberFormat="1" applyFont="1" applyFill="1" applyBorder="1" applyAlignment="1">
      <alignment horizontal="center" vertical="center"/>
    </xf>
    <xf numFmtId="10" fontId="38" fillId="14" borderId="20" xfId="0" applyNumberFormat="1" applyFont="1" applyFill="1" applyBorder="1" applyAlignment="1">
      <alignment horizontal="center" vertical="center"/>
    </xf>
    <xf numFmtId="0" fontId="38" fillId="0" borderId="59" xfId="0" applyFont="1" applyBorder="1" applyAlignment="1">
      <alignment horizontal="left" vertical="center" wrapText="1"/>
    </xf>
    <xf numFmtId="0" fontId="38" fillId="0" borderId="68" xfId="0" applyFont="1" applyBorder="1" applyAlignment="1">
      <alignment horizontal="left" vertical="center" wrapText="1"/>
    </xf>
    <xf numFmtId="44" fontId="40" fillId="9" borderId="76" xfId="8" applyFont="1" applyFill="1" applyBorder="1" applyAlignment="1">
      <alignment horizontal="right"/>
    </xf>
    <xf numFmtId="44" fontId="36" fillId="14" borderId="79" xfId="8" applyFont="1" applyFill="1" applyBorder="1" applyAlignment="1">
      <alignment vertical="center"/>
    </xf>
    <xf numFmtId="9" fontId="38" fillId="13" borderId="79" xfId="1" applyFont="1" applyFill="1" applyBorder="1" applyAlignment="1">
      <alignment vertical="center"/>
    </xf>
    <xf numFmtId="44" fontId="38" fillId="13" borderId="79" xfId="8" applyFont="1" applyFill="1" applyBorder="1" applyAlignment="1">
      <alignment vertical="center"/>
    </xf>
    <xf numFmtId="44" fontId="36" fillId="13" borderId="79" xfId="8" applyFont="1" applyFill="1" applyBorder="1" applyAlignment="1">
      <alignment vertical="center"/>
    </xf>
    <xf numFmtId="44" fontId="36" fillId="13" borderId="80" xfId="8" applyFont="1" applyFill="1" applyBorder="1" applyAlignment="1">
      <alignment vertical="center"/>
    </xf>
    <xf numFmtId="44" fontId="36" fillId="13" borderId="8" xfId="8" applyFont="1" applyFill="1" applyBorder="1" applyAlignment="1">
      <alignment horizontal="center" vertical="center"/>
    </xf>
    <xf numFmtId="169" fontId="36" fillId="11" borderId="33" xfId="8" applyNumberFormat="1" applyFont="1" applyFill="1" applyBorder="1" applyAlignment="1">
      <alignment horizontal="center" vertical="center"/>
    </xf>
    <xf numFmtId="169" fontId="36" fillId="11" borderId="32" xfId="8" applyNumberFormat="1" applyFont="1" applyFill="1" applyBorder="1" applyAlignment="1">
      <alignment horizontal="center" vertical="center"/>
    </xf>
    <xf numFmtId="169" fontId="40" fillId="11" borderId="88" xfId="8" applyNumberFormat="1" applyFont="1" applyFill="1" applyBorder="1" applyAlignment="1">
      <alignment horizontal="center" vertical="center"/>
    </xf>
    <xf numFmtId="44" fontId="36" fillId="11" borderId="8" xfId="8" applyFont="1" applyFill="1" applyBorder="1" applyAlignment="1">
      <alignment horizontal="center" vertical="center"/>
    </xf>
    <xf numFmtId="10" fontId="36" fillId="11" borderId="5" xfId="0" applyNumberFormat="1" applyFont="1" applyFill="1" applyBorder="1" applyAlignment="1">
      <alignment horizontal="center" vertical="center"/>
    </xf>
    <xf numFmtId="0" fontId="38" fillId="0" borderId="70" xfId="0" applyFont="1" applyBorder="1" applyAlignment="1">
      <alignment horizontal="left" vertical="center" wrapText="1"/>
    </xf>
    <xf numFmtId="169" fontId="40" fillId="9" borderId="0" xfId="8" applyNumberFormat="1" applyFont="1" applyFill="1" applyBorder="1" applyAlignment="1">
      <alignment horizontal="right"/>
    </xf>
    <xf numFmtId="169" fontId="40" fillId="9" borderId="78" xfId="8" applyNumberFormat="1" applyFont="1" applyFill="1" applyBorder="1" applyAlignment="1">
      <alignment horizontal="right"/>
    </xf>
    <xf numFmtId="44" fontId="40" fillId="9" borderId="38" xfId="8" applyFont="1" applyFill="1" applyBorder="1" applyAlignment="1">
      <alignment horizontal="right"/>
    </xf>
    <xf numFmtId="44" fontId="36" fillId="14" borderId="38" xfId="8" applyFont="1" applyFill="1" applyBorder="1" applyAlignment="1">
      <alignment vertical="center"/>
    </xf>
    <xf numFmtId="9" fontId="38" fillId="13" borderId="38" xfId="1" applyFont="1" applyFill="1" applyBorder="1" applyAlignment="1">
      <alignment vertical="center"/>
    </xf>
    <xf numFmtId="44" fontId="38" fillId="13" borderId="38" xfId="8" applyFont="1" applyFill="1" applyBorder="1" applyAlignment="1">
      <alignment vertical="center"/>
    </xf>
    <xf numFmtId="44" fontId="36" fillId="13" borderId="38" xfId="8" applyFont="1" applyFill="1" applyBorder="1" applyAlignment="1">
      <alignment vertical="center"/>
    </xf>
    <xf numFmtId="44" fontId="36" fillId="13" borderId="56" xfId="8" applyFont="1" applyFill="1" applyBorder="1" applyAlignment="1">
      <alignment vertical="center"/>
    </xf>
    <xf numFmtId="169" fontId="36" fillId="11" borderId="60" xfId="8" applyNumberFormat="1" applyFont="1" applyFill="1" applyBorder="1" applyAlignment="1">
      <alignment horizontal="center" vertical="center"/>
    </xf>
    <xf numFmtId="169" fontId="40" fillId="11" borderId="61" xfId="8" applyNumberFormat="1" applyFont="1" applyFill="1" applyBorder="1" applyAlignment="1">
      <alignment horizontal="center" vertical="center"/>
    </xf>
    <xf numFmtId="0" fontId="36" fillId="0" borderId="39" xfId="0" applyFont="1" applyBorder="1" applyAlignment="1">
      <alignment horizontal="left" vertical="center" wrapText="1"/>
    </xf>
    <xf numFmtId="0" fontId="30" fillId="10" borderId="0" xfId="0" applyFont="1" applyFill="1" applyAlignment="1">
      <alignment horizontal="left" vertical="center" wrapText="1"/>
    </xf>
    <xf numFmtId="10" fontId="38" fillId="14" borderId="8" xfId="8" applyNumberFormat="1" applyFont="1" applyFill="1" applyBorder="1" applyAlignment="1">
      <alignment horizontal="center" vertical="center"/>
    </xf>
    <xf numFmtId="1" fontId="38" fillId="12" borderId="54" xfId="0" applyNumberFormat="1" applyFont="1" applyFill="1" applyBorder="1" applyAlignment="1">
      <alignment horizontal="center" vertical="center"/>
    </xf>
    <xf numFmtId="44" fontId="38" fillId="14" borderId="38" xfId="8" applyFont="1" applyFill="1" applyBorder="1" applyAlignment="1">
      <alignment vertical="center"/>
    </xf>
    <xf numFmtId="169" fontId="40" fillId="9" borderId="62" xfId="8" applyNumberFormat="1" applyFont="1" applyFill="1" applyBorder="1" applyAlignment="1">
      <alignment horizontal="right"/>
    </xf>
    <xf numFmtId="169" fontId="40" fillId="9" borderId="63" xfId="8" applyNumberFormat="1" applyFont="1" applyFill="1" applyBorder="1" applyAlignment="1">
      <alignment horizontal="right"/>
    </xf>
    <xf numFmtId="44" fontId="40" fillId="9" borderId="43" xfId="8" applyFont="1" applyFill="1" applyBorder="1" applyAlignment="1">
      <alignment horizontal="right"/>
    </xf>
    <xf numFmtId="44" fontId="36" fillId="14" borderId="43" xfId="8" applyFont="1" applyFill="1" applyBorder="1" applyAlignment="1">
      <alignment vertical="center"/>
    </xf>
    <xf numFmtId="44" fontId="36" fillId="13" borderId="43" xfId="8" applyFont="1" applyFill="1" applyBorder="1" applyAlignment="1">
      <alignment vertical="center"/>
    </xf>
    <xf numFmtId="44" fontId="36" fillId="13" borderId="57" xfId="8" applyFont="1" applyFill="1" applyBorder="1" applyAlignment="1">
      <alignment vertical="center"/>
    </xf>
    <xf numFmtId="169" fontId="36" fillId="11" borderId="5" xfId="8" applyNumberFormat="1" applyFont="1" applyFill="1" applyBorder="1" applyAlignment="1">
      <alignment horizontal="center" vertical="center"/>
    </xf>
    <xf numFmtId="169" fontId="36" fillId="11" borderId="70" xfId="8" applyNumberFormat="1" applyFont="1" applyFill="1" applyBorder="1" applyAlignment="1">
      <alignment horizontal="center" vertical="center"/>
    </xf>
    <xf numFmtId="169" fontId="40" fillId="11" borderId="78" xfId="8" applyNumberFormat="1" applyFont="1" applyFill="1" applyBorder="1" applyAlignment="1">
      <alignment horizontal="center" vertical="center"/>
    </xf>
    <xf numFmtId="10" fontId="36" fillId="11" borderId="70" xfId="8" applyNumberFormat="1" applyFont="1" applyFill="1" applyBorder="1" applyAlignment="1">
      <alignment horizontal="center" vertical="center"/>
    </xf>
    <xf numFmtId="1" fontId="38" fillId="12" borderId="58" xfId="0" applyNumberFormat="1" applyFont="1" applyFill="1" applyBorder="1" applyAlignment="1">
      <alignment horizontal="center" vertical="center"/>
    </xf>
    <xf numFmtId="0" fontId="38" fillId="10" borderId="38" xfId="0" applyFont="1" applyFill="1" applyBorder="1" applyAlignment="1">
      <alignment horizontal="left" vertical="center" wrapText="1"/>
    </xf>
    <xf numFmtId="0" fontId="38" fillId="10" borderId="38" xfId="0" applyFont="1" applyFill="1" applyBorder="1" applyAlignment="1">
      <alignment horizontal="center" vertical="center"/>
    </xf>
    <xf numFmtId="1" fontId="38" fillId="12" borderId="69" xfId="0" applyNumberFormat="1" applyFont="1" applyFill="1" applyBorder="1" applyAlignment="1">
      <alignment horizontal="center" vertical="center"/>
    </xf>
    <xf numFmtId="44" fontId="38" fillId="12" borderId="69" xfId="8" applyFont="1" applyFill="1" applyBorder="1" applyAlignment="1">
      <alignment vertical="center"/>
    </xf>
    <xf numFmtId="44" fontId="38" fillId="14" borderId="69" xfId="8" applyFont="1" applyFill="1" applyBorder="1" applyAlignment="1">
      <alignment vertical="center"/>
    </xf>
    <xf numFmtId="9" fontId="38" fillId="13" borderId="69" xfId="1" applyFont="1" applyFill="1" applyBorder="1" applyAlignment="1">
      <alignment vertical="center"/>
    </xf>
    <xf numFmtId="44" fontId="38" fillId="13" borderId="69" xfId="8" applyFont="1" applyFill="1" applyBorder="1" applyAlignment="1">
      <alignment vertical="center"/>
    </xf>
    <xf numFmtId="44" fontId="38" fillId="13" borderId="45" xfId="8" applyFont="1" applyFill="1" applyBorder="1" applyAlignment="1">
      <alignment vertical="center"/>
    </xf>
    <xf numFmtId="10" fontId="38" fillId="14" borderId="91" xfId="8" applyNumberFormat="1" applyFont="1" applyFill="1" applyBorder="1" applyAlignment="1">
      <alignment horizontal="center" vertical="center"/>
    </xf>
    <xf numFmtId="1" fontId="38" fillId="12" borderId="81" xfId="0" applyNumberFormat="1" applyFont="1" applyFill="1" applyBorder="1" applyAlignment="1">
      <alignment horizontal="center" vertical="center"/>
    </xf>
    <xf numFmtId="169" fontId="40" fillId="9" borderId="79" xfId="8" applyNumberFormat="1" applyFont="1" applyFill="1" applyBorder="1" applyAlignment="1">
      <alignment horizontal="right"/>
    </xf>
    <xf numFmtId="169" fontId="40" fillId="9" borderId="80" xfId="8" applyNumberFormat="1" applyFont="1" applyFill="1" applyBorder="1" applyAlignment="1">
      <alignment horizontal="right"/>
    </xf>
    <xf numFmtId="44" fontId="40" fillId="9" borderId="77" xfId="8" applyFont="1" applyFill="1" applyBorder="1" applyAlignment="1">
      <alignment horizontal="right"/>
    </xf>
    <xf numFmtId="44" fontId="36" fillId="14" borderId="77" xfId="8" applyFont="1" applyFill="1" applyBorder="1" applyAlignment="1">
      <alignment vertical="center"/>
    </xf>
    <xf numFmtId="9" fontId="36" fillId="13" borderId="77" xfId="1" applyFont="1" applyFill="1" applyBorder="1" applyAlignment="1">
      <alignment vertical="center"/>
    </xf>
    <xf numFmtId="44" fontId="36" fillId="13" borderId="77" xfId="8" applyFont="1" applyFill="1" applyBorder="1" applyAlignment="1">
      <alignment vertical="center"/>
    </xf>
    <xf numFmtId="10" fontId="36" fillId="14" borderId="8" xfId="8" applyNumberFormat="1" applyFont="1" applyFill="1" applyBorder="1" applyAlignment="1">
      <alignment horizontal="center" vertical="center"/>
    </xf>
    <xf numFmtId="0" fontId="40" fillId="9" borderId="73" xfId="0" applyFont="1" applyFill="1" applyBorder="1" applyAlignment="1">
      <alignment horizontal="left"/>
    </xf>
    <xf numFmtId="44" fontId="36" fillId="11" borderId="74" xfId="8" applyFont="1" applyFill="1" applyBorder="1" applyAlignment="1">
      <alignment horizontal="center" vertical="center"/>
    </xf>
    <xf numFmtId="44" fontId="36" fillId="11" borderId="60" xfId="8" applyFont="1" applyFill="1" applyBorder="1" applyAlignment="1">
      <alignment horizontal="center" vertical="center"/>
    </xf>
    <xf numFmtId="44" fontId="36" fillId="11" borderId="64" xfId="8" applyFont="1" applyFill="1" applyBorder="1" applyAlignment="1">
      <alignment horizontal="center" vertical="center"/>
    </xf>
    <xf numFmtId="10" fontId="36" fillId="11" borderId="8" xfId="8" applyNumberFormat="1" applyFont="1" applyFill="1" applyBorder="1" applyAlignment="1">
      <alignment horizontal="center" vertical="center"/>
    </xf>
    <xf numFmtId="0" fontId="36" fillId="0" borderId="54" xfId="0" applyFont="1" applyBorder="1" applyAlignment="1">
      <alignment horizontal="left" vertical="center" wrapText="1"/>
    </xf>
    <xf numFmtId="10" fontId="36" fillId="14" borderId="5" xfId="0" applyNumberFormat="1" applyFont="1" applyFill="1" applyBorder="1" applyAlignment="1">
      <alignment horizontal="center" vertical="center"/>
    </xf>
    <xf numFmtId="1" fontId="40" fillId="8" borderId="8" xfId="0" applyNumberFormat="1" applyFont="1" applyFill="1" applyBorder="1"/>
    <xf numFmtId="44" fontId="40" fillId="15" borderId="5" xfId="8" applyFont="1" applyFill="1" applyBorder="1" applyAlignment="1">
      <alignment horizontal="center"/>
    </xf>
    <xf numFmtId="1" fontId="45" fillId="9" borderId="9" xfId="0" applyNumberFormat="1" applyFont="1" applyFill="1" applyBorder="1" applyAlignment="1">
      <alignment horizontal="center" vertical="center"/>
    </xf>
    <xf numFmtId="1" fontId="45" fillId="9" borderId="10" xfId="0" applyNumberFormat="1" applyFont="1" applyFill="1" applyBorder="1" applyAlignment="1">
      <alignment horizontal="center" vertical="center"/>
    </xf>
    <xf numFmtId="1" fontId="40" fillId="9" borderId="10" xfId="0" applyNumberFormat="1" applyFont="1" applyFill="1" applyBorder="1"/>
    <xf numFmtId="1" fontId="40" fillId="9" borderId="88" xfId="0" applyNumberFormat="1" applyFont="1" applyFill="1" applyBorder="1"/>
    <xf numFmtId="44" fontId="40" fillId="11" borderId="8" xfId="8" applyFont="1" applyFill="1" applyBorder="1" applyAlignment="1">
      <alignment horizontal="center" vertical="center"/>
    </xf>
    <xf numFmtId="10" fontId="40" fillId="14" borderId="8" xfId="8" applyNumberFormat="1" applyFont="1" applyFill="1" applyBorder="1" applyAlignment="1">
      <alignment horizontal="center" vertical="center"/>
    </xf>
    <xf numFmtId="44" fontId="40" fillId="9" borderId="66" xfId="8" applyFont="1" applyFill="1" applyBorder="1" applyAlignment="1">
      <alignment horizontal="right"/>
    </xf>
    <xf numFmtId="44" fontId="36" fillId="14" borderId="11" xfId="8" applyFont="1" applyFill="1" applyBorder="1" applyAlignment="1">
      <alignment vertical="center"/>
    </xf>
    <xf numFmtId="9" fontId="38" fillId="13" borderId="11" xfId="1" applyFont="1" applyFill="1" applyBorder="1" applyAlignment="1">
      <alignment vertical="center"/>
    </xf>
    <xf numFmtId="44" fontId="38" fillId="13" borderId="11" xfId="8" applyFont="1" applyFill="1" applyBorder="1" applyAlignment="1">
      <alignment vertical="center"/>
    </xf>
    <xf numFmtId="44" fontId="36" fillId="13" borderId="11" xfId="8" applyFont="1" applyFill="1" applyBorder="1" applyAlignment="1">
      <alignment vertical="center"/>
    </xf>
    <xf numFmtId="44" fontId="36" fillId="13" borderId="89" xfId="8" applyFont="1" applyFill="1" applyBorder="1" applyAlignment="1">
      <alignment vertical="center"/>
    </xf>
    <xf numFmtId="10" fontId="40" fillId="11" borderId="8" xfId="8" applyNumberFormat="1" applyFont="1" applyFill="1" applyBorder="1" applyAlignment="1">
      <alignment horizontal="center" vertical="center"/>
    </xf>
    <xf numFmtId="0" fontId="36" fillId="10" borderId="72" xfId="0" applyFont="1" applyFill="1" applyBorder="1" applyAlignment="1">
      <alignment horizontal="left" vertical="center" wrapText="1"/>
    </xf>
    <xf numFmtId="0" fontId="38" fillId="10" borderId="44" xfId="0" applyFont="1" applyFill="1" applyBorder="1" applyAlignment="1">
      <alignment horizontal="left" vertical="center" wrapText="1"/>
    </xf>
    <xf numFmtId="0" fontId="38" fillId="10" borderId="44" xfId="0" applyFont="1" applyFill="1" applyBorder="1" applyAlignment="1">
      <alignment horizontal="center" vertical="center"/>
    </xf>
    <xf numFmtId="44" fontId="38" fillId="10" borderId="44" xfId="8" applyFont="1" applyFill="1" applyBorder="1" applyAlignment="1">
      <alignment vertical="center"/>
    </xf>
    <xf numFmtId="44" fontId="38" fillId="10" borderId="45" xfId="8" applyFont="1" applyFill="1" applyBorder="1" applyAlignment="1">
      <alignment vertical="center"/>
    </xf>
    <xf numFmtId="10" fontId="45" fillId="14" borderId="8" xfId="8" applyNumberFormat="1" applyFont="1" applyFill="1" applyBorder="1" applyAlignment="1">
      <alignment horizontal="center" vertical="center"/>
    </xf>
    <xf numFmtId="44" fontId="40" fillId="9" borderId="11" xfId="8" applyFont="1" applyFill="1" applyBorder="1" applyAlignment="1">
      <alignment horizontal="right"/>
    </xf>
    <xf numFmtId="0" fontId="36" fillId="11" borderId="60" xfId="0" applyFont="1" applyFill="1" applyBorder="1" applyAlignment="1">
      <alignment horizontal="center" vertical="center"/>
    </xf>
    <xf numFmtId="0" fontId="36" fillId="11" borderId="61" xfId="0" applyFont="1" applyFill="1" applyBorder="1" applyAlignment="1">
      <alignment horizontal="center" vertical="center"/>
    </xf>
    <xf numFmtId="0" fontId="45" fillId="9" borderId="75" xfId="0" applyFont="1" applyFill="1" applyBorder="1" applyAlignment="1">
      <alignment horizontal="center" vertical="center"/>
    </xf>
    <xf numFmtId="0" fontId="45" fillId="9" borderId="73" xfId="0" applyFont="1" applyFill="1" applyBorder="1" applyAlignment="1">
      <alignment horizontal="center" vertical="center"/>
    </xf>
    <xf numFmtId="0" fontId="40" fillId="9" borderId="64" xfId="0" applyFont="1" applyFill="1" applyBorder="1" applyAlignment="1">
      <alignment horizontal="left"/>
    </xf>
    <xf numFmtId="44" fontId="38" fillId="0" borderId="56" xfId="8" applyFont="1" applyBorder="1" applyAlignment="1">
      <alignment vertical="center"/>
    </xf>
    <xf numFmtId="44" fontId="38" fillId="0" borderId="42" xfId="8" applyFont="1" applyBorder="1" applyAlignment="1">
      <alignment vertical="center"/>
    </xf>
    <xf numFmtId="0" fontId="36" fillId="10" borderId="71" xfId="0" applyFont="1" applyFill="1" applyBorder="1" applyAlignment="1">
      <alignment horizontal="left" vertical="center" wrapText="1"/>
    </xf>
    <xf numFmtId="0" fontId="38" fillId="0" borderId="43" xfId="0" applyFont="1" applyBorder="1" applyAlignment="1">
      <alignment horizontal="left" vertical="center" wrapText="1"/>
    </xf>
    <xf numFmtId="0" fontId="38" fillId="10" borderId="43" xfId="0" applyFont="1" applyFill="1" applyBorder="1" applyAlignment="1">
      <alignment horizontal="center" vertical="center"/>
    </xf>
    <xf numFmtId="44" fontId="38" fillId="0" borderId="43" xfId="8" applyFont="1" applyBorder="1" applyAlignment="1">
      <alignment vertical="center"/>
    </xf>
    <xf numFmtId="44" fontId="38" fillId="0" borderId="57" xfId="8" applyFont="1" applyBorder="1" applyAlignment="1">
      <alignment vertical="center"/>
    </xf>
    <xf numFmtId="1" fontId="38" fillId="12" borderId="71" xfId="0" applyNumberFormat="1" applyFont="1" applyFill="1" applyBorder="1" applyAlignment="1">
      <alignment horizontal="center" vertical="center"/>
    </xf>
    <xf numFmtId="0" fontId="36" fillId="0" borderId="71" xfId="0" applyFont="1" applyBorder="1" applyAlignment="1">
      <alignment horizontal="left" vertical="center" wrapText="1"/>
    </xf>
    <xf numFmtId="10" fontId="38" fillId="14" borderId="91" xfId="0" applyNumberFormat="1" applyFont="1" applyFill="1" applyBorder="1" applyAlignment="1">
      <alignment horizontal="center" vertical="center"/>
    </xf>
    <xf numFmtId="1" fontId="38" fillId="12" borderId="70" xfId="0" quotePrefix="1" applyNumberFormat="1" applyFont="1" applyFill="1" applyBorder="1" applyAlignment="1">
      <alignment horizontal="center" vertical="center"/>
    </xf>
    <xf numFmtId="0" fontId="36" fillId="10" borderId="90" xfId="0" applyFont="1" applyFill="1" applyBorder="1" applyAlignment="1">
      <alignment horizontal="left" vertical="center" wrapText="1"/>
    </xf>
    <xf numFmtId="0" fontId="38" fillId="0" borderId="79" xfId="0" applyFont="1" applyBorder="1" applyAlignment="1">
      <alignment horizontal="left" vertical="center" wrapText="1"/>
    </xf>
    <xf numFmtId="0" fontId="38" fillId="10" borderId="79" xfId="0" applyFont="1" applyFill="1" applyBorder="1" applyAlignment="1">
      <alignment horizontal="center" vertical="center"/>
    </xf>
    <xf numFmtId="44" fontId="38" fillId="0" borderId="79" xfId="8" applyFont="1" applyBorder="1" applyAlignment="1">
      <alignment vertical="center"/>
    </xf>
    <xf numFmtId="44" fontId="38" fillId="0" borderId="80" xfId="8" applyFont="1" applyBorder="1" applyAlignment="1">
      <alignment vertical="center"/>
    </xf>
    <xf numFmtId="1" fontId="38" fillId="12" borderId="44" xfId="0" applyNumberFormat="1" applyFont="1" applyFill="1" applyBorder="1" applyAlignment="1">
      <alignment horizontal="center" vertical="center"/>
    </xf>
    <xf numFmtId="44" fontId="38" fillId="12" borderId="44" xfId="8" applyFont="1" applyFill="1" applyBorder="1" applyAlignment="1">
      <alignment vertical="center"/>
    </xf>
    <xf numFmtId="44" fontId="38" fillId="14" borderId="44" xfId="8" applyFont="1" applyFill="1" applyBorder="1" applyAlignment="1">
      <alignment vertical="center"/>
    </xf>
    <xf numFmtId="9" fontId="38" fillId="13" borderId="44" xfId="1" applyFont="1" applyFill="1" applyBorder="1" applyAlignment="1">
      <alignment vertical="center"/>
    </xf>
    <xf numFmtId="44" fontId="38" fillId="13" borderId="44" xfId="8" applyFont="1" applyFill="1" applyBorder="1" applyAlignment="1">
      <alignment vertical="center"/>
    </xf>
    <xf numFmtId="169" fontId="40" fillId="9" borderId="11" xfId="0" applyNumberFormat="1" applyFont="1" applyFill="1" applyBorder="1" applyAlignment="1">
      <alignment horizontal="right"/>
    </xf>
    <xf numFmtId="169" fontId="40" fillId="9" borderId="89" xfId="0" applyNumberFormat="1" applyFont="1" applyFill="1" applyBorder="1" applyAlignment="1">
      <alignment horizontal="right"/>
    </xf>
    <xf numFmtId="44" fontId="40" fillId="9" borderId="11" xfId="0" applyNumberFormat="1" applyFont="1" applyFill="1" applyBorder="1" applyAlignment="1">
      <alignment horizontal="right"/>
    </xf>
    <xf numFmtId="44" fontId="36" fillId="14" borderId="11" xfId="0" applyNumberFormat="1" applyFont="1" applyFill="1" applyBorder="1"/>
    <xf numFmtId="0" fontId="30" fillId="13" borderId="11" xfId="0" applyFont="1" applyFill="1" applyBorder="1"/>
    <xf numFmtId="44" fontId="36" fillId="13" borderId="11" xfId="0" applyNumberFormat="1" applyFont="1" applyFill="1" applyBorder="1"/>
    <xf numFmtId="44" fontId="36" fillId="13" borderId="89" xfId="8" applyFont="1" applyFill="1" applyBorder="1"/>
    <xf numFmtId="44" fontId="40" fillId="15" borderId="67" xfId="8" applyFont="1" applyFill="1" applyBorder="1" applyAlignment="1">
      <alignment horizontal="center"/>
    </xf>
    <xf numFmtId="44" fontId="40" fillId="15" borderId="94" xfId="8" applyFont="1" applyFill="1" applyBorder="1" applyAlignment="1">
      <alignment horizontal="center"/>
    </xf>
    <xf numFmtId="49" fontId="38" fillId="0" borderId="36" xfId="0" applyNumberFormat="1" applyFont="1" applyBorder="1" applyAlignment="1">
      <alignment horizontal="left" vertical="center" wrapText="1"/>
    </xf>
    <xf numFmtId="0" fontId="40" fillId="15" borderId="84" xfId="0" applyFont="1" applyFill="1" applyBorder="1"/>
    <xf numFmtId="0" fontId="40" fillId="15" borderId="19" xfId="0" applyFont="1" applyFill="1" applyBorder="1"/>
    <xf numFmtId="0" fontId="40" fillId="15" borderId="19" xfId="0" applyFont="1" applyFill="1" applyBorder="1" applyAlignment="1">
      <alignment horizontal="center" vertical="center"/>
    </xf>
    <xf numFmtId="44" fontId="40" fillId="15" borderId="19" xfId="0" applyNumberFormat="1" applyFont="1" applyFill="1" applyBorder="1"/>
    <xf numFmtId="44" fontId="40" fillId="15" borderId="87" xfId="0" applyNumberFormat="1" applyFont="1" applyFill="1" applyBorder="1"/>
    <xf numFmtId="0" fontId="40" fillId="15" borderId="84" xfId="0" applyFont="1" applyFill="1" applyBorder="1" applyAlignment="1">
      <alignment horizontal="center" vertical="center"/>
    </xf>
    <xf numFmtId="9" fontId="40" fillId="15" borderId="11" xfId="1" applyFont="1" applyFill="1" applyBorder="1"/>
    <xf numFmtId="44" fontId="40" fillId="15" borderId="11" xfId="8" applyFont="1" applyFill="1" applyBorder="1"/>
    <xf numFmtId="0" fontId="32" fillId="0" borderId="0" xfId="0" applyFont="1" applyAlignment="1">
      <alignment horizontal="left" wrapText="1"/>
    </xf>
    <xf numFmtId="44" fontId="30" fillId="0" borderId="0" xfId="0" applyNumberFormat="1" applyFont="1"/>
    <xf numFmtId="9" fontId="30" fillId="0" borderId="0" xfId="1" applyFont="1"/>
    <xf numFmtId="49" fontId="4" fillId="0" borderId="0" xfId="2" applyNumberFormat="1" applyFont="1" applyAlignment="1">
      <alignment horizontal="left" vertical="center" wrapText="1"/>
    </xf>
    <xf numFmtId="0" fontId="4" fillId="0" borderId="0" xfId="2" applyFont="1" applyAlignment="1">
      <alignment horizontal="left" vertical="center" wrapText="1"/>
    </xf>
    <xf numFmtId="0" fontId="22" fillId="0" borderId="0" xfId="0" applyFont="1" applyAlignment="1">
      <alignment horizontal="center" vertical="center"/>
    </xf>
    <xf numFmtId="0" fontId="22" fillId="10" borderId="0" xfId="0" applyFont="1" applyFill="1"/>
    <xf numFmtId="0" fontId="22" fillId="10" borderId="0" xfId="0" applyFont="1" applyFill="1" applyAlignment="1">
      <alignment horizontal="left"/>
    </xf>
    <xf numFmtId="0" fontId="22" fillId="0" borderId="0" xfId="0" applyFont="1" applyAlignment="1">
      <alignment horizontal="center"/>
    </xf>
    <xf numFmtId="14" fontId="17" fillId="0" borderId="17" xfId="2" applyNumberFormat="1" applyFont="1" applyBorder="1" applyAlignment="1" applyProtection="1">
      <alignment horizontal="left" vertical="center"/>
      <protection locked="0"/>
    </xf>
    <xf numFmtId="49" fontId="22" fillId="0" borderId="0" xfId="0" applyNumberFormat="1" applyFont="1"/>
    <xf numFmtId="0" fontId="22" fillId="0" borderId="0" xfId="1" applyNumberFormat="1" applyFont="1"/>
    <xf numFmtId="165" fontId="46" fillId="5" borderId="46" xfId="4" applyFont="1" applyFill="1" applyBorder="1" applyAlignment="1">
      <alignment horizontal="center" vertical="center" wrapText="1"/>
    </xf>
    <xf numFmtId="167" fontId="47" fillId="0" borderId="61" xfId="1" applyNumberFormat="1" applyFont="1" applyBorder="1"/>
    <xf numFmtId="0" fontId="48" fillId="0" borderId="0" xfId="0" applyFont="1"/>
    <xf numFmtId="0" fontId="22" fillId="0" borderId="39" xfId="0" applyFont="1" applyBorder="1"/>
    <xf numFmtId="0" fontId="22" fillId="0" borderId="42" xfId="0" applyFont="1" applyBorder="1"/>
    <xf numFmtId="0" fontId="49" fillId="0" borderId="28" xfId="0" applyFont="1" applyBorder="1" applyAlignment="1">
      <alignment horizontal="left" vertical="center"/>
    </xf>
    <xf numFmtId="49" fontId="49" fillId="0" borderId="29" xfId="0" applyNumberFormat="1" applyFont="1" applyBorder="1" applyAlignment="1">
      <alignment horizontal="left" vertical="center"/>
    </xf>
    <xf numFmtId="0" fontId="49" fillId="0" borderId="30" xfId="0" applyFont="1" applyBorder="1" applyAlignment="1">
      <alignment horizontal="left" vertical="center"/>
    </xf>
    <xf numFmtId="0" fontId="49" fillId="0" borderId="28" xfId="0" applyFont="1" applyBorder="1" applyAlignment="1">
      <alignment horizontal="left" vertical="center" wrapText="1"/>
    </xf>
    <xf numFmtId="0" fontId="4" fillId="5" borderId="31" xfId="3" applyFont="1" applyFill="1" applyBorder="1" applyAlignment="1">
      <alignment horizontal="left" vertical="center"/>
    </xf>
    <xf numFmtId="0" fontId="4" fillId="5" borderId="32" xfId="3" applyFont="1" applyFill="1" applyBorder="1" applyAlignment="1">
      <alignment horizontal="center" vertical="center"/>
    </xf>
    <xf numFmtId="0" fontId="8" fillId="5" borderId="32" xfId="3" applyFont="1" applyFill="1" applyBorder="1" applyAlignment="1">
      <alignment horizontal="center" vertical="center"/>
    </xf>
    <xf numFmtId="168" fontId="8" fillId="5" borderId="32" xfId="3" applyNumberFormat="1" applyFont="1" applyFill="1" applyBorder="1" applyAlignment="1">
      <alignment horizontal="center" vertical="center" wrapText="1"/>
    </xf>
    <xf numFmtId="0" fontId="8" fillId="5" borderId="32" xfId="3" applyFont="1" applyFill="1" applyBorder="1" applyAlignment="1">
      <alignment horizontal="center" vertical="center" wrapText="1"/>
    </xf>
    <xf numFmtId="9" fontId="8" fillId="5" borderId="32" xfId="1" applyFont="1" applyFill="1" applyBorder="1" applyAlignment="1">
      <alignment horizontal="center" vertical="center" wrapText="1"/>
    </xf>
    <xf numFmtId="10" fontId="8" fillId="5" borderId="32" xfId="1" applyNumberFormat="1" applyFont="1" applyFill="1" applyBorder="1" applyAlignment="1">
      <alignment horizontal="center" vertical="center" wrapText="1"/>
    </xf>
    <xf numFmtId="0" fontId="8" fillId="5" borderId="34" xfId="3" applyFont="1" applyFill="1" applyBorder="1" applyAlignment="1">
      <alignment horizontal="center" vertical="center" wrapText="1"/>
    </xf>
    <xf numFmtId="0" fontId="8" fillId="10" borderId="0" xfId="3" applyFont="1" applyFill="1" applyAlignment="1">
      <alignment horizontal="center" vertical="center" wrapText="1"/>
    </xf>
    <xf numFmtId="37" fontId="50" fillId="5" borderId="52" xfId="3" applyNumberFormat="1" applyFont="1" applyFill="1" applyBorder="1" applyAlignment="1">
      <alignment horizontal="center" vertical="center"/>
    </xf>
    <xf numFmtId="37" fontId="50" fillId="5" borderId="49" xfId="3" applyNumberFormat="1" applyFont="1" applyFill="1" applyBorder="1" applyAlignment="1">
      <alignment horizontal="center" vertical="center"/>
    </xf>
    <xf numFmtId="40" fontId="46" fillId="5" borderId="49" xfId="4" applyNumberFormat="1" applyFont="1" applyFill="1" applyBorder="1" applyAlignment="1">
      <alignment horizontal="center" vertical="center"/>
    </xf>
    <xf numFmtId="165" fontId="46" fillId="5" borderId="51" xfId="4" applyFont="1" applyFill="1" applyBorder="1" applyAlignment="1">
      <alignment horizontal="right" vertical="center"/>
    </xf>
    <xf numFmtId="40" fontId="46" fillId="5" borderId="50" xfId="4" applyNumberFormat="1" applyFont="1" applyFill="1" applyBorder="1" applyAlignment="1">
      <alignment horizontal="center" vertical="center" wrapText="1"/>
    </xf>
    <xf numFmtId="10" fontId="46" fillId="5" borderId="49" xfId="5" applyNumberFormat="1" applyFont="1" applyFill="1" applyBorder="1" applyAlignment="1">
      <alignment horizontal="center" vertical="center" wrapText="1"/>
    </xf>
    <xf numFmtId="165" fontId="46" fillId="5" borderId="48" xfId="4" applyFont="1" applyFill="1" applyBorder="1" applyAlignment="1">
      <alignment horizontal="center" vertical="center" wrapText="1"/>
    </xf>
    <xf numFmtId="165" fontId="46" fillId="5" borderId="47" xfId="4" applyFont="1" applyFill="1" applyBorder="1" applyAlignment="1">
      <alignment horizontal="center" vertical="center" wrapText="1"/>
    </xf>
    <xf numFmtId="10" fontId="46" fillId="5" borderId="8" xfId="5" applyNumberFormat="1" applyFont="1" applyFill="1" applyBorder="1" applyAlignment="1">
      <alignment horizontal="center" vertical="center" wrapText="1"/>
    </xf>
    <xf numFmtId="10" fontId="46" fillId="5" borderId="42" xfId="5" applyNumberFormat="1" applyFont="1" applyFill="1" applyBorder="1" applyAlignment="1">
      <alignment horizontal="center" vertical="center" wrapText="1"/>
    </xf>
    <xf numFmtId="49" fontId="49" fillId="0" borderId="29" xfId="0" applyNumberFormat="1" applyFont="1" applyBorder="1" applyAlignment="1">
      <alignment horizontal="left" vertical="center" wrapText="1"/>
    </xf>
    <xf numFmtId="0" fontId="49" fillId="0" borderId="30" xfId="0" applyFont="1" applyBorder="1" applyAlignment="1">
      <alignment horizontal="left" vertical="center" wrapText="1"/>
    </xf>
    <xf numFmtId="44" fontId="49" fillId="10" borderId="0" xfId="8" applyFont="1" applyFill="1" applyBorder="1" applyAlignment="1">
      <alignment vertical="center"/>
    </xf>
    <xf numFmtId="10" fontId="16" fillId="14" borderId="8" xfId="8" applyNumberFormat="1" applyFont="1" applyFill="1" applyBorder="1" applyAlignment="1">
      <alignment horizontal="center" vertical="center"/>
    </xf>
    <xf numFmtId="10" fontId="49" fillId="14" borderId="42" xfId="0" applyNumberFormat="1" applyFont="1" applyFill="1" applyBorder="1" applyAlignment="1">
      <alignment horizontal="center" vertical="center"/>
    </xf>
    <xf numFmtId="169" fontId="8" fillId="11" borderId="33" xfId="8" applyNumberFormat="1" applyFont="1" applyFill="1" applyBorder="1" applyAlignment="1">
      <alignment horizontal="center" vertical="center"/>
    </xf>
    <xf numFmtId="169" fontId="8" fillId="11" borderId="32" xfId="8" applyNumberFormat="1" applyFont="1" applyFill="1" applyBorder="1" applyAlignment="1">
      <alignment horizontal="center" vertical="center"/>
    </xf>
    <xf numFmtId="169" fontId="16" fillId="11" borderId="88" xfId="8" applyNumberFormat="1" applyFont="1" applyFill="1" applyBorder="1" applyAlignment="1">
      <alignment horizontal="center" vertical="center"/>
    </xf>
    <xf numFmtId="10" fontId="16" fillId="11" borderId="8" xfId="8" applyNumberFormat="1" applyFont="1" applyFill="1" applyBorder="1" applyAlignment="1">
      <alignment horizontal="center" vertical="center"/>
    </xf>
    <xf numFmtId="10" fontId="8" fillId="11" borderId="42" xfId="0" applyNumberFormat="1" applyFont="1" applyFill="1" applyBorder="1" applyAlignment="1">
      <alignment horizontal="center" vertical="center"/>
    </xf>
    <xf numFmtId="0" fontId="49" fillId="0" borderId="53" xfId="0" applyFont="1" applyBorder="1" applyAlignment="1">
      <alignment horizontal="left" vertical="center" wrapText="1"/>
    </xf>
    <xf numFmtId="0" fontId="49" fillId="0" borderId="0" xfId="0" applyFont="1" applyAlignment="1">
      <alignment horizontal="left" vertical="center" wrapText="1"/>
    </xf>
    <xf numFmtId="0" fontId="8" fillId="10" borderId="72" xfId="0" applyFont="1" applyFill="1" applyBorder="1" applyAlignment="1">
      <alignment horizontal="left" vertical="center" wrapText="1"/>
    </xf>
    <xf numFmtId="0" fontId="49" fillId="10" borderId="44" xfId="0" applyFont="1" applyFill="1" applyBorder="1" applyAlignment="1">
      <alignment horizontal="left" vertical="center" wrapText="1"/>
    </xf>
    <xf numFmtId="0" fontId="49" fillId="10" borderId="44" xfId="0" applyFont="1" applyFill="1" applyBorder="1" applyAlignment="1">
      <alignment horizontal="center" vertical="center"/>
    </xf>
    <xf numFmtId="44" fontId="49" fillId="10" borderId="44" xfId="8" applyFont="1" applyFill="1" applyBorder="1" applyAlignment="1">
      <alignment vertical="center"/>
    </xf>
    <xf numFmtId="44" fontId="49" fillId="10" borderId="45" xfId="8" applyFont="1" applyFill="1" applyBorder="1" applyAlignment="1">
      <alignment vertical="center"/>
    </xf>
    <xf numFmtId="0" fontId="22" fillId="10" borderId="0" xfId="0" applyFont="1" applyFill="1" applyAlignment="1">
      <alignment horizontal="left" vertical="center"/>
    </xf>
    <xf numFmtId="1" fontId="49" fillId="12" borderId="81" xfId="0" applyNumberFormat="1" applyFont="1" applyFill="1" applyBorder="1" applyAlignment="1">
      <alignment horizontal="center" vertical="center"/>
    </xf>
    <xf numFmtId="1" fontId="49" fillId="12" borderId="69" xfId="0" applyNumberFormat="1" applyFont="1" applyFill="1" applyBorder="1" applyAlignment="1">
      <alignment horizontal="center" vertical="center"/>
    </xf>
    <xf numFmtId="44" fontId="49" fillId="12" borderId="69" xfId="8" applyFont="1" applyFill="1" applyBorder="1" applyAlignment="1">
      <alignment vertical="center"/>
    </xf>
    <xf numFmtId="44" fontId="49" fillId="14" borderId="69" xfId="8" applyFont="1" applyFill="1" applyBorder="1" applyAlignment="1">
      <alignment vertical="center"/>
    </xf>
    <xf numFmtId="9" fontId="49" fillId="13" borderId="69" xfId="1" applyFont="1" applyFill="1" applyBorder="1" applyAlignment="1">
      <alignment vertical="center"/>
    </xf>
    <xf numFmtId="44" fontId="49" fillId="13" borderId="69" xfId="8" applyFont="1" applyFill="1" applyBorder="1" applyAlignment="1">
      <alignment vertical="center"/>
    </xf>
    <xf numFmtId="44" fontId="49" fillId="13" borderId="45" xfId="8" applyFont="1" applyFill="1" applyBorder="1" applyAlignment="1">
      <alignment vertical="center"/>
    </xf>
    <xf numFmtId="10" fontId="51" fillId="14" borderId="8" xfId="8" applyNumberFormat="1" applyFont="1" applyFill="1" applyBorder="1" applyAlignment="1">
      <alignment horizontal="center" vertical="center"/>
    </xf>
    <xf numFmtId="9" fontId="49" fillId="13" borderId="11" xfId="1" applyFont="1" applyFill="1" applyBorder="1" applyAlignment="1">
      <alignment vertical="center"/>
    </xf>
    <xf numFmtId="44" fontId="49" fillId="13" borderId="11" xfId="8" applyFont="1" applyFill="1" applyBorder="1" applyAlignment="1">
      <alignment vertical="center"/>
    </xf>
    <xf numFmtId="0" fontId="49" fillId="0" borderId="35" xfId="0" applyFont="1" applyBorder="1" applyAlignment="1">
      <alignment horizontal="left" vertical="center" wrapText="1"/>
    </xf>
    <xf numFmtId="49" fontId="49" fillId="0" borderId="36" xfId="0" applyNumberFormat="1" applyFont="1" applyBorder="1" applyAlignment="1">
      <alignment horizontal="left" vertical="center" wrapText="1"/>
    </xf>
    <xf numFmtId="0" fontId="49" fillId="0" borderId="37" xfId="0" applyFont="1" applyBorder="1" applyAlignment="1">
      <alignment horizontal="left" vertical="center" wrapText="1"/>
    </xf>
    <xf numFmtId="0" fontId="16" fillId="15" borderId="84" xfId="0" applyFont="1" applyFill="1" applyBorder="1"/>
    <xf numFmtId="0" fontId="16" fillId="15" borderId="19" xfId="0" applyFont="1" applyFill="1" applyBorder="1"/>
    <xf numFmtId="0" fontId="16" fillId="15" borderId="19" xfId="0" applyFont="1" applyFill="1" applyBorder="1" applyAlignment="1">
      <alignment horizontal="center" vertical="center"/>
    </xf>
    <xf numFmtId="44" fontId="16" fillId="15" borderId="19" xfId="0" applyNumberFormat="1" applyFont="1" applyFill="1" applyBorder="1"/>
    <xf numFmtId="44" fontId="16" fillId="15" borderId="87" xfId="0" applyNumberFormat="1" applyFont="1" applyFill="1" applyBorder="1"/>
    <xf numFmtId="0" fontId="16" fillId="15" borderId="84" xfId="0" applyFont="1" applyFill="1" applyBorder="1" applyAlignment="1">
      <alignment horizontal="center" vertical="center"/>
    </xf>
    <xf numFmtId="9" fontId="16" fillId="15" borderId="11" xfId="1" applyFont="1" applyFill="1" applyBorder="1"/>
    <xf numFmtId="44" fontId="16" fillId="15" borderId="85" xfId="8" applyFont="1" applyFill="1" applyBorder="1"/>
    <xf numFmtId="0" fontId="8" fillId="10" borderId="31" xfId="0" applyFont="1" applyFill="1" applyBorder="1" applyAlignment="1">
      <alignment horizontal="left" vertical="center" wrapText="1"/>
    </xf>
    <xf numFmtId="0" fontId="49" fillId="10" borderId="32" xfId="0" applyFont="1" applyFill="1" applyBorder="1" applyAlignment="1">
      <alignment horizontal="left" vertical="center" wrapText="1"/>
    </xf>
    <xf numFmtId="0" fontId="49" fillId="10" borderId="32" xfId="0" applyFont="1" applyFill="1" applyBorder="1" applyAlignment="1">
      <alignment horizontal="center" vertical="center"/>
    </xf>
    <xf numFmtId="44" fontId="49" fillId="10" borderId="32" xfId="8" applyFont="1" applyFill="1" applyBorder="1" applyAlignment="1">
      <alignment vertical="center"/>
    </xf>
    <xf numFmtId="44" fontId="49" fillId="10" borderId="34" xfId="8" applyFont="1" applyFill="1" applyBorder="1" applyAlignment="1">
      <alignment vertical="center"/>
    </xf>
    <xf numFmtId="1" fontId="49" fillId="12" borderId="9" xfId="0" applyNumberFormat="1" applyFont="1" applyFill="1" applyBorder="1" applyAlignment="1">
      <alignment horizontal="center" vertical="center"/>
    </xf>
    <xf numFmtId="1" fontId="49" fillId="12" borderId="33" xfId="0" applyNumberFormat="1" applyFont="1" applyFill="1" applyBorder="1" applyAlignment="1">
      <alignment horizontal="center" vertical="center"/>
    </xf>
    <xf numFmtId="44" fontId="49" fillId="12" borderId="33" xfId="8" applyFont="1" applyFill="1" applyBorder="1" applyAlignment="1">
      <alignment vertical="center"/>
    </xf>
    <xf numFmtId="44" fontId="49" fillId="14" borderId="33" xfId="8" applyFont="1" applyFill="1" applyBorder="1" applyAlignment="1">
      <alignment vertical="center"/>
    </xf>
    <xf numFmtId="9" fontId="49" fillId="13" borderId="33" xfId="1" applyFont="1" applyFill="1" applyBorder="1" applyAlignment="1">
      <alignment vertical="center"/>
    </xf>
    <xf numFmtId="44" fontId="49" fillId="13" borderId="33" xfId="8" applyFont="1" applyFill="1" applyBorder="1" applyAlignment="1">
      <alignment vertical="center"/>
    </xf>
    <xf numFmtId="44" fontId="49" fillId="13" borderId="34" xfId="8" applyFont="1" applyFill="1" applyBorder="1" applyAlignment="1">
      <alignment vertical="center"/>
    </xf>
    <xf numFmtId="10" fontId="51" fillId="14" borderId="82" xfId="8" applyNumberFormat="1" applyFont="1" applyFill="1" applyBorder="1" applyAlignment="1">
      <alignment horizontal="center" vertical="center"/>
    </xf>
    <xf numFmtId="10" fontId="49" fillId="14" borderId="61" xfId="0" applyNumberFormat="1" applyFont="1" applyFill="1" applyBorder="1" applyAlignment="1">
      <alignment horizontal="center" vertical="center"/>
    </xf>
    <xf numFmtId="10" fontId="16" fillId="14" borderId="67" xfId="8" applyNumberFormat="1" applyFont="1" applyFill="1" applyBorder="1" applyAlignment="1">
      <alignment horizontal="center" vertical="center"/>
    </xf>
    <xf numFmtId="10" fontId="49" fillId="14" borderId="63" xfId="0" applyNumberFormat="1" applyFont="1" applyFill="1" applyBorder="1" applyAlignment="1">
      <alignment horizontal="center" vertical="center"/>
    </xf>
    <xf numFmtId="44" fontId="52" fillId="0" borderId="0" xfId="0" applyNumberFormat="1" applyFont="1"/>
    <xf numFmtId="164" fontId="29" fillId="0" borderId="0" xfId="2" applyNumberFormat="1" applyFont="1" applyAlignment="1" applyProtection="1">
      <alignment horizontal="left" vertical="center"/>
      <protection locked="0"/>
    </xf>
    <xf numFmtId="0" fontId="29" fillId="0" borderId="0" xfId="2" applyFont="1" applyAlignment="1" applyProtection="1">
      <alignment horizontal="left" vertical="center"/>
      <protection locked="0"/>
    </xf>
    <xf numFmtId="14" fontId="29" fillId="0" borderId="0" xfId="2" applyNumberFormat="1" applyFont="1" applyAlignment="1" applyProtection="1">
      <alignment horizontal="left" vertical="center"/>
      <protection locked="0"/>
    </xf>
    <xf numFmtId="164" fontId="29" fillId="0" borderId="95" xfId="2" applyNumberFormat="1" applyFont="1" applyBorder="1" applyAlignment="1" applyProtection="1">
      <alignment horizontal="left" vertical="center"/>
      <protection locked="0"/>
    </xf>
    <xf numFmtId="164" fontId="29" fillId="0" borderId="96" xfId="2" applyNumberFormat="1" applyFont="1" applyBorder="1" applyAlignment="1" applyProtection="1">
      <alignment horizontal="left" vertical="center"/>
      <protection locked="0"/>
    </xf>
    <xf numFmtId="164" fontId="29" fillId="0" borderId="43" xfId="2" applyNumberFormat="1" applyFont="1" applyBorder="1" applyAlignment="1" applyProtection="1">
      <alignment horizontal="left" vertical="center"/>
      <protection locked="0"/>
    </xf>
    <xf numFmtId="169" fontId="27" fillId="20" borderId="70" xfId="0" applyNumberFormat="1" applyFont="1" applyFill="1" applyBorder="1" applyAlignment="1">
      <alignment horizontal="right"/>
    </xf>
    <xf numFmtId="44" fontId="27" fillId="20" borderId="70" xfId="0" applyNumberFormat="1" applyFont="1" applyFill="1" applyBorder="1"/>
    <xf numFmtId="169" fontId="27" fillId="20" borderId="70" xfId="0" applyNumberFormat="1" applyFont="1" applyFill="1" applyBorder="1"/>
    <xf numFmtId="9" fontId="27" fillId="20" borderId="70" xfId="1" applyFont="1" applyFill="1" applyBorder="1"/>
    <xf numFmtId="0" fontId="27" fillId="20" borderId="70" xfId="0" applyFont="1" applyFill="1" applyBorder="1" applyAlignment="1">
      <alignment horizontal="center"/>
    </xf>
    <xf numFmtId="44" fontId="27" fillId="20" borderId="70" xfId="0" applyNumberFormat="1" applyFont="1" applyFill="1" applyBorder="1" applyAlignment="1">
      <alignment horizontal="center"/>
    </xf>
    <xf numFmtId="44" fontId="26" fillId="20" borderId="70" xfId="0" applyNumberFormat="1" applyFont="1" applyFill="1" applyBorder="1" applyAlignment="1">
      <alignment horizontal="center"/>
    </xf>
    <xf numFmtId="9" fontId="26" fillId="20" borderId="70" xfId="1" applyFont="1" applyFill="1" applyBorder="1" applyAlignment="1">
      <alignment horizontal="center"/>
    </xf>
    <xf numFmtId="44" fontId="23" fillId="0" borderId="88" xfId="0" applyNumberFormat="1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5" fillId="20" borderId="9" xfId="0" applyFont="1" applyFill="1" applyBorder="1" applyAlignment="1">
      <alignment horizontal="center"/>
    </xf>
    <xf numFmtId="0" fontId="25" fillId="20" borderId="10" xfId="0" applyFont="1" applyFill="1" applyBorder="1" applyAlignment="1">
      <alignment horizontal="center"/>
    </xf>
    <xf numFmtId="0" fontId="25" fillId="20" borderId="88" xfId="0" applyFont="1" applyFill="1" applyBorder="1" applyAlignment="1">
      <alignment horizontal="center"/>
    </xf>
    <xf numFmtId="171" fontId="35" fillId="0" borderId="70" xfId="4" applyNumberFormat="1" applyFont="1" applyBorder="1" applyAlignment="1">
      <alignment horizontal="center" vertical="center" wrapText="1"/>
    </xf>
    <xf numFmtId="0" fontId="40" fillId="9" borderId="46" xfId="0" applyFont="1" applyFill="1" applyBorder="1" applyAlignment="1">
      <alignment horizontal="left"/>
    </xf>
    <xf numFmtId="0" fontId="40" fillId="9" borderId="60" xfId="0" applyFont="1" applyFill="1" applyBorder="1" applyAlignment="1">
      <alignment horizontal="left"/>
    </xf>
    <xf numFmtId="1" fontId="40" fillId="9" borderId="39" xfId="0" applyNumberFormat="1" applyFont="1" applyFill="1" applyBorder="1" applyAlignment="1">
      <alignment horizontal="left"/>
    </xf>
    <xf numFmtId="1" fontId="40" fillId="9" borderId="70" xfId="0" applyNumberFormat="1" applyFont="1" applyFill="1" applyBorder="1" applyAlignment="1">
      <alignment horizontal="left"/>
    </xf>
    <xf numFmtId="1" fontId="40" fillId="9" borderId="42" xfId="0" applyNumberFormat="1" applyFont="1" applyFill="1" applyBorder="1" applyAlignment="1">
      <alignment horizontal="left"/>
    </xf>
    <xf numFmtId="0" fontId="40" fillId="9" borderId="9" xfId="0" applyFont="1" applyFill="1" applyBorder="1" applyAlignment="1">
      <alignment horizontal="left"/>
    </xf>
    <xf numFmtId="0" fontId="40" fillId="9" borderId="10" xfId="0" applyFont="1" applyFill="1" applyBorder="1" applyAlignment="1">
      <alignment horizontal="left"/>
    </xf>
    <xf numFmtId="0" fontId="40" fillId="9" borderId="41" xfId="0" applyFont="1" applyFill="1" applyBorder="1" applyAlignment="1">
      <alignment horizontal="left"/>
    </xf>
    <xf numFmtId="0" fontId="40" fillId="9" borderId="83" xfId="0" applyFont="1" applyFill="1" applyBorder="1" applyAlignment="1">
      <alignment horizontal="left"/>
    </xf>
    <xf numFmtId="0" fontId="40" fillId="9" borderId="11" xfId="0" applyFont="1" applyFill="1" applyBorder="1" applyAlignment="1">
      <alignment horizontal="left"/>
    </xf>
    <xf numFmtId="1" fontId="40" fillId="9" borderId="65" xfId="0" applyNumberFormat="1" applyFont="1" applyFill="1" applyBorder="1" applyAlignment="1">
      <alignment horizontal="left"/>
    </xf>
    <xf numFmtId="1" fontId="40" fillId="9" borderId="66" xfId="0" applyNumberFormat="1" applyFont="1" applyFill="1" applyBorder="1" applyAlignment="1">
      <alignment horizontal="left"/>
    </xf>
    <xf numFmtId="1" fontId="40" fillId="9" borderId="9" xfId="0" applyNumberFormat="1" applyFont="1" applyFill="1" applyBorder="1" applyAlignment="1">
      <alignment horizontal="left"/>
    </xf>
    <xf numFmtId="1" fontId="40" fillId="9" borderId="10" xfId="0" applyNumberFormat="1" applyFont="1" applyFill="1" applyBorder="1" applyAlignment="1">
      <alignment horizontal="left"/>
    </xf>
    <xf numFmtId="1" fontId="40" fillId="9" borderId="88" xfId="0" applyNumberFormat="1" applyFont="1" applyFill="1" applyBorder="1" applyAlignment="1">
      <alignment horizontal="left"/>
    </xf>
    <xf numFmtId="1" fontId="40" fillId="9" borderId="83" xfId="0" applyNumberFormat="1" applyFont="1" applyFill="1" applyBorder="1" applyAlignment="1">
      <alignment horizontal="left"/>
    </xf>
    <xf numFmtId="1" fontId="40" fillId="9" borderId="11" xfId="0" applyNumberFormat="1" applyFont="1" applyFill="1" applyBorder="1" applyAlignment="1">
      <alignment horizontal="left"/>
    </xf>
    <xf numFmtId="0" fontId="40" fillId="8" borderId="9" xfId="0" applyFont="1" applyFill="1" applyBorder="1" applyAlignment="1">
      <alignment horizontal="center"/>
    </xf>
    <xf numFmtId="0" fontId="40" fillId="8" borderId="10" xfId="0" applyFont="1" applyFill="1" applyBorder="1" applyAlignment="1">
      <alignment horizontal="center"/>
    </xf>
    <xf numFmtId="0" fontId="40" fillId="8" borderId="88" xfId="0" applyFont="1" applyFill="1" applyBorder="1" applyAlignment="1">
      <alignment horizontal="center"/>
    </xf>
    <xf numFmtId="1" fontId="40" fillId="8" borderId="9" xfId="0" applyNumberFormat="1" applyFont="1" applyFill="1" applyBorder="1" applyAlignment="1">
      <alignment horizontal="center"/>
    </xf>
    <xf numFmtId="1" fontId="40" fillId="8" borderId="10" xfId="0" applyNumberFormat="1" applyFont="1" applyFill="1" applyBorder="1" applyAlignment="1">
      <alignment horizontal="center"/>
    </xf>
    <xf numFmtId="1" fontId="40" fillId="8" borderId="88" xfId="0" applyNumberFormat="1" applyFont="1" applyFill="1" applyBorder="1" applyAlignment="1">
      <alignment horizontal="center"/>
    </xf>
    <xf numFmtId="0" fontId="40" fillId="8" borderId="81" xfId="0" applyFont="1" applyFill="1" applyBorder="1" applyAlignment="1">
      <alignment horizontal="center"/>
    </xf>
    <xf numFmtId="0" fontId="40" fillId="8" borderId="0" xfId="0" applyFont="1" applyFill="1" applyAlignment="1">
      <alignment horizontal="center"/>
    </xf>
    <xf numFmtId="0" fontId="40" fillId="8" borderId="78" xfId="0" applyFont="1" applyFill="1" applyBorder="1" applyAlignment="1">
      <alignment horizontal="center"/>
    </xf>
    <xf numFmtId="0" fontId="40" fillId="8" borderId="31" xfId="0" applyFont="1" applyFill="1" applyBorder="1" applyAlignment="1">
      <alignment horizontal="center"/>
    </xf>
    <xf numFmtId="0" fontId="40" fillId="8" borderId="32" xfId="0" applyFont="1" applyFill="1" applyBorder="1" applyAlignment="1">
      <alignment horizontal="center"/>
    </xf>
    <xf numFmtId="0" fontId="40" fillId="8" borderId="34" xfId="0" applyFont="1" applyFill="1" applyBorder="1" applyAlignment="1">
      <alignment horizontal="center"/>
    </xf>
    <xf numFmtId="0" fontId="40" fillId="9" borderId="32" xfId="0" applyFont="1" applyFill="1" applyBorder="1" applyAlignment="1">
      <alignment horizontal="left"/>
    </xf>
    <xf numFmtId="0" fontId="40" fillId="9" borderId="34" xfId="0" applyFont="1" applyFill="1" applyBorder="1" applyAlignment="1">
      <alignment horizontal="left"/>
    </xf>
    <xf numFmtId="1" fontId="40" fillId="8" borderId="46" xfId="0" applyNumberFormat="1" applyFont="1" applyFill="1" applyBorder="1" applyAlignment="1">
      <alignment horizontal="center"/>
    </xf>
    <xf numFmtId="1" fontId="40" fillId="8" borderId="60" xfId="0" applyNumberFormat="1" applyFont="1" applyFill="1" applyBorder="1" applyAlignment="1">
      <alignment horizontal="center"/>
    </xf>
    <xf numFmtId="1" fontId="40" fillId="8" borderId="61" xfId="0" applyNumberFormat="1" applyFont="1" applyFill="1" applyBorder="1" applyAlignment="1">
      <alignment horizontal="center"/>
    </xf>
    <xf numFmtId="0" fontId="40" fillId="9" borderId="65" xfId="0" applyFont="1" applyFill="1" applyBorder="1" applyAlignment="1">
      <alignment horizontal="left"/>
    </xf>
    <xf numFmtId="0" fontId="40" fillId="9" borderId="66" xfId="0" applyFont="1" applyFill="1" applyBorder="1" applyAlignment="1">
      <alignment horizontal="left"/>
    </xf>
    <xf numFmtId="1" fontId="40" fillId="8" borderId="31" xfId="0" applyNumberFormat="1" applyFont="1" applyFill="1" applyBorder="1" applyAlignment="1">
      <alignment horizontal="center"/>
    </xf>
    <xf numFmtId="1" fontId="40" fillId="8" borderId="32" xfId="0" applyNumberFormat="1" applyFont="1" applyFill="1" applyBorder="1" applyAlignment="1">
      <alignment horizontal="center"/>
    </xf>
    <xf numFmtId="1" fontId="40" fillId="8" borderId="34" xfId="0" applyNumberFormat="1" applyFont="1" applyFill="1" applyBorder="1" applyAlignment="1">
      <alignment horizontal="center"/>
    </xf>
    <xf numFmtId="1" fontId="40" fillId="9" borderId="46" xfId="0" applyNumberFormat="1" applyFont="1" applyFill="1" applyBorder="1" applyAlignment="1">
      <alignment horizontal="left"/>
    </xf>
    <xf numFmtId="1" fontId="40" fillId="9" borderId="60" xfId="0" applyNumberFormat="1" applyFont="1" applyFill="1" applyBorder="1" applyAlignment="1">
      <alignment horizontal="left"/>
    </xf>
    <xf numFmtId="1" fontId="40" fillId="9" borderId="61" xfId="0" applyNumberFormat="1" applyFont="1" applyFill="1" applyBorder="1" applyAlignment="1">
      <alignment horizontal="left"/>
    </xf>
    <xf numFmtId="0" fontId="31" fillId="0" borderId="0" xfId="2" applyFont="1" applyAlignment="1">
      <alignment horizontal="left" vertical="center" wrapText="1"/>
    </xf>
    <xf numFmtId="0" fontId="31" fillId="0" borderId="0" xfId="2" applyFont="1" applyAlignment="1">
      <alignment horizontal="left" vertical="top"/>
    </xf>
    <xf numFmtId="0" fontId="35" fillId="2" borderId="1" xfId="3" applyFont="1" applyFill="1" applyBorder="1" applyAlignment="1">
      <alignment horizontal="center" vertical="center"/>
    </xf>
    <xf numFmtId="0" fontId="35" fillId="2" borderId="2" xfId="3" applyFont="1" applyFill="1" applyBorder="1" applyAlignment="1">
      <alignment horizontal="center" vertical="center"/>
    </xf>
    <xf numFmtId="0" fontId="35" fillId="2" borderId="3" xfId="3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 wrapText="1"/>
    </xf>
    <xf numFmtId="0" fontId="35" fillId="3" borderId="19" xfId="0" applyFont="1" applyFill="1" applyBorder="1" applyAlignment="1">
      <alignment horizontal="center" vertical="center" wrapText="1"/>
    </xf>
    <xf numFmtId="0" fontId="40" fillId="9" borderId="40" xfId="0" applyFont="1" applyFill="1" applyBorder="1" applyAlignment="1">
      <alignment horizontal="left"/>
    </xf>
    <xf numFmtId="0" fontId="40" fillId="9" borderId="6" xfId="0" applyFont="1" applyFill="1" applyBorder="1" applyAlignment="1">
      <alignment horizontal="left"/>
    </xf>
    <xf numFmtId="1" fontId="40" fillId="9" borderId="40" xfId="0" applyNumberFormat="1" applyFont="1" applyFill="1" applyBorder="1" applyAlignment="1">
      <alignment horizontal="left"/>
    </xf>
    <xf numFmtId="1" fontId="40" fillId="9" borderId="6" xfId="0" applyNumberFormat="1" applyFont="1" applyFill="1" applyBorder="1" applyAlignment="1">
      <alignment horizontal="left"/>
    </xf>
    <xf numFmtId="1" fontId="40" fillId="9" borderId="18" xfId="0" applyNumberFormat="1" applyFont="1" applyFill="1" applyBorder="1" applyAlignment="1">
      <alignment horizontal="left"/>
    </xf>
    <xf numFmtId="1" fontId="40" fillId="8" borderId="84" xfId="0" applyNumberFormat="1" applyFont="1" applyFill="1" applyBorder="1" applyAlignment="1">
      <alignment horizontal="center"/>
    </xf>
    <xf numFmtId="1" fontId="40" fillId="8" borderId="19" xfId="0" applyNumberFormat="1" applyFont="1" applyFill="1" applyBorder="1" applyAlignment="1">
      <alignment horizontal="center"/>
    </xf>
    <xf numFmtId="1" fontId="40" fillId="8" borderId="87" xfId="0" applyNumberFormat="1" applyFont="1" applyFill="1" applyBorder="1" applyAlignment="1">
      <alignment horizontal="center"/>
    </xf>
    <xf numFmtId="0" fontId="40" fillId="9" borderId="75" xfId="0" applyFont="1" applyFill="1" applyBorder="1" applyAlignment="1">
      <alignment horizontal="left"/>
    </xf>
    <xf numFmtId="0" fontId="40" fillId="9" borderId="73" xfId="0" applyFont="1" applyFill="1" applyBorder="1" applyAlignment="1">
      <alignment horizontal="left"/>
    </xf>
    <xf numFmtId="0" fontId="40" fillId="9" borderId="82" xfId="0" applyFont="1" applyFill="1" applyBorder="1" applyAlignment="1">
      <alignment horizontal="left"/>
    </xf>
    <xf numFmtId="0" fontId="40" fillId="8" borderId="84" xfId="0" applyFont="1" applyFill="1" applyBorder="1" applyAlignment="1">
      <alignment horizontal="center"/>
    </xf>
    <xf numFmtId="0" fontId="40" fillId="8" borderId="19" xfId="0" applyFont="1" applyFill="1" applyBorder="1" applyAlignment="1">
      <alignment horizontal="center"/>
    </xf>
    <xf numFmtId="0" fontId="40" fillId="8" borderId="87" xfId="0" applyFont="1" applyFill="1" applyBorder="1" applyAlignment="1">
      <alignment horizontal="center"/>
    </xf>
    <xf numFmtId="0" fontId="40" fillId="9" borderId="86" xfId="0" applyFont="1" applyFill="1" applyBorder="1" applyAlignment="1">
      <alignment horizontal="left"/>
    </xf>
    <xf numFmtId="0" fontId="40" fillId="9" borderId="62" xfId="0" applyFont="1" applyFill="1" applyBorder="1" applyAlignment="1">
      <alignment horizontal="left"/>
    </xf>
    <xf numFmtId="1" fontId="40" fillId="9" borderId="71" xfId="0" applyNumberFormat="1" applyFont="1" applyFill="1" applyBorder="1" applyAlignment="1">
      <alignment horizontal="left"/>
    </xf>
    <xf numFmtId="1" fontId="40" fillId="9" borderId="43" xfId="0" applyNumberFormat="1" applyFont="1" applyFill="1" applyBorder="1" applyAlignment="1">
      <alignment horizontal="left"/>
    </xf>
    <xf numFmtId="1" fontId="40" fillId="8" borderId="58" xfId="0" applyNumberFormat="1" applyFont="1" applyFill="1" applyBorder="1" applyAlignment="1">
      <alignment horizontal="center"/>
    </xf>
    <xf numFmtId="1" fontId="40" fillId="8" borderId="7" xfId="0" applyNumberFormat="1" applyFont="1" applyFill="1" applyBorder="1" applyAlignment="1">
      <alignment horizontal="center"/>
    </xf>
    <xf numFmtId="1" fontId="40" fillId="8" borderId="93" xfId="0" applyNumberFormat="1" applyFont="1" applyFill="1" applyBorder="1" applyAlignment="1">
      <alignment horizontal="center"/>
    </xf>
    <xf numFmtId="0" fontId="40" fillId="9" borderId="81" xfId="0" applyFont="1" applyFill="1" applyBorder="1" applyAlignment="1">
      <alignment horizontal="left"/>
    </xf>
    <xf numFmtId="0" fontId="40" fillId="9" borderId="0" xfId="0" applyFont="1" applyFill="1" applyAlignment="1">
      <alignment horizontal="left"/>
    </xf>
    <xf numFmtId="0" fontId="40" fillId="9" borderId="92" xfId="0" applyFont="1" applyFill="1" applyBorder="1" applyAlignment="1">
      <alignment horizontal="left"/>
    </xf>
    <xf numFmtId="1" fontId="40" fillId="9" borderId="58" xfId="0" applyNumberFormat="1" applyFont="1" applyFill="1" applyBorder="1" applyAlignment="1">
      <alignment horizontal="left"/>
    </xf>
    <xf numFmtId="1" fontId="40" fillId="9" borderId="7" xfId="0" applyNumberFormat="1" applyFont="1" applyFill="1" applyBorder="1" applyAlignment="1">
      <alignment horizontal="left"/>
    </xf>
    <xf numFmtId="0" fontId="40" fillId="9" borderId="76" xfId="0" applyFont="1" applyFill="1" applyBorder="1" applyAlignment="1">
      <alignment horizontal="left"/>
    </xf>
    <xf numFmtId="1" fontId="40" fillId="9" borderId="76" xfId="0" applyNumberFormat="1" applyFont="1" applyFill="1" applyBorder="1" applyAlignment="1">
      <alignment horizontal="left"/>
    </xf>
    <xf numFmtId="0" fontId="16" fillId="9" borderId="83" xfId="0" applyFont="1" applyFill="1" applyBorder="1" applyAlignment="1">
      <alignment horizontal="left"/>
    </xf>
    <xf numFmtId="0" fontId="16" fillId="9" borderId="11" xfId="0" applyFont="1" applyFill="1" applyBorder="1" applyAlignment="1">
      <alignment horizontal="left"/>
    </xf>
    <xf numFmtId="0" fontId="4" fillId="0" borderId="0" xfId="2" applyFont="1" applyAlignment="1">
      <alignment horizontal="left" vertical="center" wrapText="1"/>
    </xf>
    <xf numFmtId="0" fontId="4" fillId="0" borderId="0" xfId="2" applyFont="1" applyAlignment="1">
      <alignment horizontal="left" vertical="top"/>
    </xf>
    <xf numFmtId="0" fontId="46" fillId="2" borderId="1" xfId="3" applyFont="1" applyFill="1" applyBorder="1" applyAlignment="1">
      <alignment horizontal="center" vertical="center"/>
    </xf>
    <xf numFmtId="0" fontId="46" fillId="2" borderId="2" xfId="3" applyFont="1" applyFill="1" applyBorder="1" applyAlignment="1">
      <alignment horizontal="center" vertical="center"/>
    </xf>
    <xf numFmtId="0" fontId="46" fillId="2" borderId="3" xfId="3" applyFont="1" applyFill="1" applyBorder="1" applyAlignment="1">
      <alignment horizontal="center" vertical="center"/>
    </xf>
    <xf numFmtId="1" fontId="16" fillId="9" borderId="83" xfId="0" applyNumberFormat="1" applyFont="1" applyFill="1" applyBorder="1" applyAlignment="1">
      <alignment horizontal="left"/>
    </xf>
    <xf numFmtId="1" fontId="16" fillId="9" borderId="11" xfId="0" applyNumberFormat="1" applyFont="1" applyFill="1" applyBorder="1" applyAlignment="1">
      <alignment horizontal="left"/>
    </xf>
    <xf numFmtId="0" fontId="46" fillId="3" borderId="4" xfId="0" applyFont="1" applyFill="1" applyBorder="1" applyAlignment="1">
      <alignment horizontal="center" vertical="center" wrapText="1"/>
    </xf>
    <xf numFmtId="0" fontId="46" fillId="3" borderId="19" xfId="0" applyFont="1" applyFill="1" applyBorder="1" applyAlignment="1">
      <alignment horizontal="center" vertical="center" wrapText="1"/>
    </xf>
    <xf numFmtId="0" fontId="16" fillId="8" borderId="9" xfId="0" applyFont="1" applyFill="1" applyBorder="1" applyAlignment="1">
      <alignment horizontal="center"/>
    </xf>
    <xf numFmtId="0" fontId="16" fillId="8" borderId="10" xfId="0" applyFont="1" applyFill="1" applyBorder="1" applyAlignment="1">
      <alignment horizontal="center"/>
    </xf>
    <xf numFmtId="0" fontId="16" fillId="8" borderId="88" xfId="0" applyFont="1" applyFill="1" applyBorder="1" applyAlignment="1">
      <alignment horizontal="center"/>
    </xf>
    <xf numFmtId="1" fontId="16" fillId="8" borderId="9" xfId="0" applyNumberFormat="1" applyFont="1" applyFill="1" applyBorder="1" applyAlignment="1">
      <alignment horizontal="center"/>
    </xf>
    <xf numFmtId="1" fontId="16" fillId="8" borderId="10" xfId="0" applyNumberFormat="1" applyFont="1" applyFill="1" applyBorder="1" applyAlignment="1">
      <alignment horizontal="center"/>
    </xf>
    <xf numFmtId="1" fontId="16" fillId="8" borderId="88" xfId="0" applyNumberFormat="1" applyFont="1" applyFill="1" applyBorder="1" applyAlignment="1">
      <alignment horizontal="center"/>
    </xf>
    <xf numFmtId="0" fontId="16" fillId="9" borderId="9" xfId="0" applyFont="1" applyFill="1" applyBorder="1" applyAlignment="1">
      <alignment horizontal="left"/>
    </xf>
    <xf numFmtId="0" fontId="16" fillId="9" borderId="10" xfId="0" applyFont="1" applyFill="1" applyBorder="1" applyAlignment="1">
      <alignment horizontal="left"/>
    </xf>
    <xf numFmtId="0" fontId="16" fillId="9" borderId="41" xfId="0" applyFont="1" applyFill="1" applyBorder="1" applyAlignment="1">
      <alignment horizontal="left"/>
    </xf>
    <xf numFmtId="1" fontId="16" fillId="9" borderId="9" xfId="0" applyNumberFormat="1" applyFont="1" applyFill="1" applyBorder="1" applyAlignment="1">
      <alignment horizontal="left"/>
    </xf>
    <xf numFmtId="1" fontId="16" fillId="9" borderId="10" xfId="0" applyNumberFormat="1" applyFont="1" applyFill="1" applyBorder="1" applyAlignment="1">
      <alignment horizontal="left"/>
    </xf>
    <xf numFmtId="1" fontId="16" fillId="9" borderId="88" xfId="0" applyNumberFormat="1" applyFont="1" applyFill="1" applyBorder="1" applyAlignment="1">
      <alignment horizontal="left"/>
    </xf>
    <xf numFmtId="0" fontId="3" fillId="0" borderId="0" xfId="2" applyFont="1" applyAlignment="1">
      <alignment horizontal="left" vertical="top"/>
    </xf>
    <xf numFmtId="0" fontId="9" fillId="6" borderId="21" xfId="0" applyFont="1" applyFill="1" applyBorder="1" applyAlignment="1">
      <alignment horizontal="left" vertical="center"/>
    </xf>
    <xf numFmtId="0" fontId="9" fillId="6" borderId="21" xfId="0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0" fontId="10" fillId="6" borderId="21" xfId="0" applyFont="1" applyFill="1" applyBorder="1" applyAlignment="1">
      <alignment horizontal="left" vertical="top"/>
    </xf>
    <xf numFmtId="0" fontId="12" fillId="6" borderId="21" xfId="0" applyFont="1" applyFill="1" applyBorder="1" applyAlignment="1">
      <alignment horizontal="center" vertical="center" wrapText="1"/>
    </xf>
    <xf numFmtId="0" fontId="12" fillId="6" borderId="0" xfId="0" applyFont="1" applyFill="1" applyAlignment="1">
      <alignment horizontal="center" vertical="center" wrapText="1"/>
    </xf>
  </cellXfs>
  <cellStyles count="26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3 2 2" xfId="23" xr:uid="{B9D00E9A-DE4E-4027-94ED-4A332556C96D}"/>
    <cellStyle name="Moeda 3 3" xfId="19" xr:uid="{94605F6A-C77E-4E8A-A71E-1EAAF1F8B5CC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4 2 2 2" xfId="24" xr:uid="{27E0942E-733A-4B23-BAE9-1994E2BC4C0B}"/>
    <cellStyle name="Moeda 4 2 3" xfId="20" xr:uid="{10E49F19-CF6C-499B-9BA1-581F63D8A003}"/>
    <cellStyle name="Moeda 5" xfId="11" xr:uid="{2124AE60-0557-4AC3-B48A-633CB17E3340}"/>
    <cellStyle name="Moeda 5 2" xfId="17" xr:uid="{0C993D40-EFA9-480A-9766-C4BE8F04E4F7}"/>
    <cellStyle name="Moeda 5 2 2" xfId="25" xr:uid="{44E9E63E-2A1E-421A-A4B7-08313DEF9C5C}"/>
    <cellStyle name="Moeda 5 3" xfId="21" xr:uid="{271CE193-6240-4DE3-BBAE-638699C93BC4}"/>
    <cellStyle name="Moeda 6" xfId="14" xr:uid="{574A822A-71B7-46B2-A0C3-1C5E8591DADA}"/>
    <cellStyle name="Moeda 6 2" xfId="22" xr:uid="{FF2501E2-CBB6-4947-9027-3346CB06705C}"/>
    <cellStyle name="Moeda 7" xfId="18" xr:uid="{193A8759-EDB5-478B-A722-F3048D343C85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678180</xdr:colOff>
          <xdr:row>0</xdr:row>
          <xdr:rowOff>152400</xdr:rowOff>
        </xdr:from>
        <xdr:to>
          <xdr:col>5</xdr:col>
          <xdr:colOff>937260</xdr:colOff>
          <xdr:row>1</xdr:row>
          <xdr:rowOff>45720</xdr:rowOff>
        </xdr:to>
        <xdr:sp macro="" textlink="">
          <xdr:nvSpPr>
            <xdr:cNvPr id="23553" name="Label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250031</xdr:colOff>
      <xdr:row>0</xdr:row>
      <xdr:rowOff>130971</xdr:rowOff>
    </xdr:from>
    <xdr:to>
      <xdr:col>1</xdr:col>
      <xdr:colOff>610164</xdr:colOff>
      <xdr:row>0</xdr:row>
      <xdr:rowOff>509588</xdr:rowOff>
    </xdr:to>
    <xdr:pic macro="[0]!ChamaForm_Menu">
      <xdr:nvPicPr>
        <xdr:cNvPr id="2" name="Imagem 1">
          <a:extLst>
            <a:ext uri="{FF2B5EF4-FFF2-40B4-BE49-F238E27FC236}">
              <a16:creationId xmlns:a16="http://schemas.microsoft.com/office/drawing/2014/main" id="{EF5DD17D-65E5-40CB-9B3E-4FA7C71BC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2267" cy="3722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152400</xdr:colOff>
          <xdr:row>0</xdr:row>
          <xdr:rowOff>190500</xdr:rowOff>
        </xdr:from>
        <xdr:to>
          <xdr:col>35</xdr:col>
          <xdr:colOff>518160</xdr:colOff>
          <xdr:row>1</xdr:row>
          <xdr:rowOff>121920</xdr:rowOff>
        </xdr:to>
        <xdr:sp macro="" textlink="">
          <xdr:nvSpPr>
            <xdr:cNvPr id="23554" name="Label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33</xdr:col>
      <xdr:colOff>250125</xdr:colOff>
      <xdr:row>0</xdr:row>
      <xdr:rowOff>185741</xdr:rowOff>
    </xdr:from>
    <xdr:to>
      <xdr:col>34</xdr:col>
      <xdr:colOff>54065</xdr:colOff>
      <xdr:row>0</xdr:row>
      <xdr:rowOff>548483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F88C1B43-5247-450D-B9B4-B0686500E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25873" y="179391"/>
          <a:ext cx="365917" cy="362742"/>
        </a:xfrm>
        <a:prstGeom prst="rect">
          <a:avLst/>
        </a:prstGeom>
      </xdr:spPr>
    </xdr:pic>
    <xdr:clientData/>
  </xdr:twoCellAnchor>
  <xdr:oneCellAnchor>
    <xdr:from>
      <xdr:col>9</xdr:col>
      <xdr:colOff>9072</xdr:colOff>
      <xdr:row>3</xdr:row>
      <xdr:rowOff>190003</xdr:rowOff>
    </xdr:from>
    <xdr:ext cx="1940754" cy="1393757"/>
    <xdr:pic>
      <xdr:nvPicPr>
        <xdr:cNvPr id="4" name="Imagem 3">
          <a:extLst>
            <a:ext uri="{FF2B5EF4-FFF2-40B4-BE49-F238E27FC236}">
              <a16:creationId xmlns:a16="http://schemas.microsoft.com/office/drawing/2014/main" id="{85D7F44F-2C46-4302-9643-B8EE58CBD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13786" y="1369289"/>
          <a:ext cx="1940754" cy="139375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247650</xdr:colOff>
      <xdr:row>0</xdr:row>
      <xdr:rowOff>152400</xdr:rowOff>
    </xdr:from>
    <xdr:to>
      <xdr:col>5</xdr:col>
      <xdr:colOff>1143000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6625"/>
            </a:ext>
            <a:ext uri="{FF2B5EF4-FFF2-40B4-BE49-F238E27FC236}">
              <a16:creationId xmlns:a16="http://schemas.microsoft.com/office/drawing/2014/main" id="{C86B973F-CE49-4770-8AB7-4AE211CA00B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5</xdr:col>
      <xdr:colOff>192879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07A22A7B-A15F-4328-9158-C794FFA2C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1473" cy="375442"/>
        </a:xfrm>
        <a:prstGeom prst="rect">
          <a:avLst/>
        </a:prstGeom>
      </xdr:spPr>
    </xdr:pic>
    <xdr:clientData/>
  </xdr:twoCellAnchor>
  <xdr:twoCellAnchor editAs="absolute">
    <xdr:from>
      <xdr:col>43</xdr:col>
      <xdr:colOff>301625</xdr:colOff>
      <xdr:row>0</xdr:row>
      <xdr:rowOff>190500</xdr:rowOff>
    </xdr:from>
    <xdr:to>
      <xdr:col>44</xdr:col>
      <xdr:colOff>581025</xdr:colOff>
      <xdr:row>1</xdr:row>
      <xdr:rowOff>104775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6626"/>
            </a:ext>
            <a:ext uri="{FF2B5EF4-FFF2-40B4-BE49-F238E27FC236}">
              <a16:creationId xmlns:a16="http://schemas.microsoft.com/office/drawing/2014/main" id="{55175A45-3320-4D12-92D8-51E6480CF54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42</xdr:col>
      <xdr:colOff>395472</xdr:colOff>
      <xdr:row>0</xdr:row>
      <xdr:rowOff>182566</xdr:rowOff>
    </xdr:from>
    <xdr:to>
      <xdr:col>43</xdr:col>
      <xdr:colOff>203949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F37D5778-B192-4557-B768-B992716B6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7322" y="182566"/>
          <a:ext cx="408552" cy="362742"/>
        </a:xfrm>
        <a:prstGeom prst="rect">
          <a:avLst/>
        </a:prstGeom>
      </xdr:spPr>
    </xdr:pic>
    <xdr:clientData/>
  </xdr:twoCellAnchor>
  <xdr:oneCellAnchor>
    <xdr:from>
      <xdr:col>11</xdr:col>
      <xdr:colOff>1409967</xdr:colOff>
      <xdr:row>1</xdr:row>
      <xdr:rowOff>173832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39F73A5B-ED03-4B29-A9AB-CAE19F5A8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94967" y="798249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5</xdr:col>
      <xdr:colOff>247650</xdr:colOff>
      <xdr:row>0</xdr:row>
      <xdr:rowOff>152400</xdr:rowOff>
    </xdr:from>
    <xdr:to>
      <xdr:col>5</xdr:col>
      <xdr:colOff>1143000</xdr:colOff>
      <xdr:row>1</xdr:row>
      <xdr:rowOff>57150</xdr:rowOff>
    </xdr:to>
    <xdr:pic>
      <xdr:nvPicPr>
        <xdr:cNvPr id="26625" name="Label1">
          <a:extLst>
            <a:ext uri="{FF2B5EF4-FFF2-40B4-BE49-F238E27FC236}">
              <a16:creationId xmlns:a16="http://schemas.microsoft.com/office/drawing/2014/main" id="{193090DF-39EC-F609-511E-19DD1FE5357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450" y="152400"/>
          <a:ext cx="9652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43</xdr:col>
      <xdr:colOff>304800</xdr:colOff>
      <xdr:row>0</xdr:row>
      <xdr:rowOff>190500</xdr:rowOff>
    </xdr:from>
    <xdr:to>
      <xdr:col>44</xdr:col>
      <xdr:colOff>584200</xdr:colOff>
      <xdr:row>1</xdr:row>
      <xdr:rowOff>107950</xdr:rowOff>
    </xdr:to>
    <xdr:pic>
      <xdr:nvPicPr>
        <xdr:cNvPr id="26626" name="Label2">
          <a:extLst>
            <a:ext uri="{FF2B5EF4-FFF2-40B4-BE49-F238E27FC236}">
              <a16:creationId xmlns:a16="http://schemas.microsoft.com/office/drawing/2014/main" id="{B7479346-4BA7-10BD-FAD1-06A51431BC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9900" y="190500"/>
          <a:ext cx="965200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OGGI%20EVENTOS/Sergio%20pessoal/Fechamentos/2024/Fluxo_de_Caixa_v6_TURISMO.xlsx" TargetMode="External"/><Relationship Id="rId2" Type="http://schemas.openxmlformats.org/officeDocument/2006/relationships/externalLinkPath" Target="file:///D:\OGGI%20EVENTOS\Sergio%20pessoal\Fechamentos\2024\Fluxo_de_Caixa_v6_TURISMO.xlsx" TargetMode="External"/><Relationship Id="rId1" Type="http://schemas.openxmlformats.org/officeDocument/2006/relationships/externalLinkPath" Target="/OGGI%20EVENTOS/Sergio%20pessoal/Fechamentos/2024/Fluxo_de_Caixa_v6_TURISM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PAGAMENTOS TOTAL"/>
      <sheetName val="RECEBIMENTOS TOTAL"/>
      <sheetName val="MÊS A MÊS"/>
      <sheetName val="Base"/>
      <sheetName val="DashBoard"/>
      <sheetName val="Tabela Dinâmica"/>
      <sheetName val="Resultado Diário"/>
      <sheetName val="Auxiliar"/>
      <sheetName val="Fluxo_de_Caixa_v6_TURISM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4">
          <cell r="AI4">
            <v>0</v>
          </cell>
        </row>
      </sheetData>
      <sheetData sheetId="8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F5AF6-EBC9-4356-8BEB-E5AC7791077F}">
  <sheetPr>
    <pageSetUpPr fitToPage="1"/>
  </sheetPr>
  <dimension ref="A1:F33"/>
  <sheetViews>
    <sheetView showGridLines="0" tabSelected="1" topLeftCell="A16" zoomScaleNormal="100" workbookViewId="0">
      <selection activeCell="D31" sqref="D31"/>
    </sheetView>
  </sheetViews>
  <sheetFormatPr defaultColWidth="8.6640625" defaultRowHeight="14.4" x14ac:dyDescent="0.35"/>
  <cols>
    <col min="1" max="1" width="6.44140625" style="52" customWidth="1"/>
    <col min="2" max="2" width="50" style="52" bestFit="1" customWidth="1"/>
    <col min="3" max="3" width="44.6640625" style="52" customWidth="1"/>
    <col min="4" max="4" width="20.44140625" style="52" customWidth="1"/>
    <col min="5" max="5" width="18.44140625" style="52" customWidth="1"/>
    <col min="6" max="6" width="11" style="53" bestFit="1" customWidth="1"/>
    <col min="7" max="7" width="12.88671875" style="52" bestFit="1" customWidth="1"/>
    <col min="8" max="8" width="12.5546875" style="52" bestFit="1" customWidth="1"/>
    <col min="9" max="16384" width="8.6640625" style="52"/>
  </cols>
  <sheetData>
    <row r="1" spans="1:5" hidden="1" x14ac:dyDescent="0.35"/>
    <row r="2" spans="1:5" hidden="1" x14ac:dyDescent="0.35"/>
    <row r="3" spans="1:5" hidden="1" x14ac:dyDescent="0.35">
      <c r="C3" s="54">
        <v>45866</v>
      </c>
      <c r="D3" s="55"/>
      <c r="E3" s="444" t="e">
        <f>SUM(#REF!)</f>
        <v>#REF!</v>
      </c>
    </row>
    <row r="4" spans="1:5" ht="15.6" hidden="1" customHeight="1" thickBot="1" x14ac:dyDescent="0.4">
      <c r="C4" s="56">
        <v>45867</v>
      </c>
      <c r="D4" s="57"/>
      <c r="E4" s="445"/>
    </row>
    <row r="5" spans="1:5" hidden="1" x14ac:dyDescent="0.35">
      <c r="C5" s="58" t="s">
        <v>273</v>
      </c>
      <c r="D5" s="59"/>
    </row>
    <row r="6" spans="1:5" hidden="1" x14ac:dyDescent="0.35">
      <c r="C6" s="58" t="s">
        <v>274</v>
      </c>
      <c r="D6" s="59"/>
    </row>
    <row r="7" spans="1:5" ht="15" hidden="1" thickBot="1" x14ac:dyDescent="0.4">
      <c r="C7" s="60" t="s">
        <v>11</v>
      </c>
      <c r="D7" s="61"/>
    </row>
    <row r="9" spans="1:5" x14ac:dyDescent="0.35">
      <c r="A9" s="52" t="s">
        <v>100</v>
      </c>
    </row>
    <row r="10" spans="1:5" ht="24" customHeight="1" x14ac:dyDescent="0.35"/>
    <row r="12" spans="1:5" ht="15" customHeight="1" x14ac:dyDescent="0.35">
      <c r="B12" s="433" t="s">
        <v>193</v>
      </c>
      <c r="C12" s="430"/>
      <c r="D12" s="62"/>
    </row>
    <row r="13" spans="1:5" ht="15" customHeight="1" x14ac:dyDescent="0.35">
      <c r="B13" s="434" t="s">
        <v>123</v>
      </c>
      <c r="C13" s="430"/>
      <c r="D13" s="62"/>
    </row>
    <row r="14" spans="1:5" ht="15" customHeight="1" x14ac:dyDescent="0.35">
      <c r="B14" s="434" t="s">
        <v>215</v>
      </c>
      <c r="C14" s="431"/>
      <c r="D14" s="63"/>
    </row>
    <row r="15" spans="1:5" ht="15" customHeight="1" x14ac:dyDescent="0.35">
      <c r="B15" s="434" t="s">
        <v>194</v>
      </c>
      <c r="C15" s="431"/>
      <c r="D15" s="63"/>
    </row>
    <row r="16" spans="1:5" ht="15" customHeight="1" x14ac:dyDescent="0.35">
      <c r="B16" s="434" t="s">
        <v>265</v>
      </c>
      <c r="C16" s="432"/>
      <c r="D16" s="64"/>
    </row>
    <row r="17" spans="2:6" ht="15" customHeight="1" x14ac:dyDescent="0.35">
      <c r="B17" s="434" t="s">
        <v>122</v>
      </c>
      <c r="C17" s="431"/>
      <c r="D17" s="63"/>
    </row>
    <row r="18" spans="2:6" ht="15" customHeight="1" x14ac:dyDescent="0.35">
      <c r="B18" s="434" t="s">
        <v>121</v>
      </c>
      <c r="C18" s="431"/>
      <c r="D18" s="63"/>
    </row>
    <row r="19" spans="2:6" ht="15" customHeight="1" x14ac:dyDescent="0.35">
      <c r="B19" s="435" t="s">
        <v>196</v>
      </c>
      <c r="C19" s="431"/>
      <c r="D19" s="63"/>
    </row>
    <row r="21" spans="2:6" ht="15.6" customHeight="1" x14ac:dyDescent="0.35">
      <c r="B21" s="65"/>
      <c r="C21" s="65" t="s">
        <v>275</v>
      </c>
      <c r="D21" s="65" t="s">
        <v>276</v>
      </c>
      <c r="E21" s="65" t="s">
        <v>272</v>
      </c>
      <c r="F21" s="66"/>
    </row>
    <row r="22" spans="2:6" ht="15.6" customHeight="1" x14ac:dyDescent="0.35">
      <c r="B22" s="67" t="s">
        <v>281</v>
      </c>
      <c r="C22" s="68">
        <f>PRINCIPAL!N75</f>
        <v>188112.92282838325</v>
      </c>
      <c r="D22" s="68">
        <f>PRINCIPAL!X75</f>
        <v>103277.81999999999</v>
      </c>
      <c r="E22" s="68">
        <f>C22-D22</f>
        <v>84835.102828383257</v>
      </c>
      <c r="F22" s="69">
        <f>E22*100%/C22</f>
        <v>0.45097966451661015</v>
      </c>
    </row>
    <row r="23" spans="2:6" ht="15.6" customHeight="1" x14ac:dyDescent="0.35">
      <c r="B23" s="67" t="s">
        <v>261</v>
      </c>
      <c r="C23" s="68">
        <f>HOSPEDAGEM!N25</f>
        <v>5534.4597986827393</v>
      </c>
      <c r="D23" s="68">
        <f>HOSPEDAGEM!X19</f>
        <v>0</v>
      </c>
      <c r="E23" s="68">
        <f>C23-D23</f>
        <v>5534.4597986827393</v>
      </c>
      <c r="F23" s="69">
        <f>E23*100%/C23</f>
        <v>1</v>
      </c>
    </row>
    <row r="24" spans="2:6" ht="15" x14ac:dyDescent="0.35">
      <c r="B24" s="440"/>
      <c r="C24" s="441">
        <f>SUM(C22:C23)</f>
        <v>193647.38262706599</v>
      </c>
      <c r="D24" s="441">
        <f>SUM(D22:D23)</f>
        <v>103277.81999999999</v>
      </c>
      <c r="E24" s="442">
        <f>SUM(E22:E23)</f>
        <v>90369.562627066</v>
      </c>
      <c r="F24" s="443">
        <f>E24*100%/C24</f>
        <v>0.46667071561252849</v>
      </c>
    </row>
    <row r="25" spans="2:6" ht="15" x14ac:dyDescent="0.35">
      <c r="B25" s="70"/>
      <c r="C25" s="70"/>
      <c r="D25" s="70"/>
      <c r="E25" s="70"/>
      <c r="F25" s="66"/>
    </row>
    <row r="26" spans="2:6" ht="200.1" hidden="1" customHeight="1" x14ac:dyDescent="0.35">
      <c r="B26" s="70"/>
      <c r="C26" s="70"/>
      <c r="D26" s="70"/>
      <c r="E26" s="70"/>
      <c r="F26" s="66"/>
    </row>
    <row r="27" spans="2:6" ht="15.6" thickBot="1" x14ac:dyDescent="0.4">
      <c r="B27" s="70"/>
      <c r="C27" s="70"/>
      <c r="D27" s="70"/>
      <c r="E27" s="70"/>
      <c r="F27" s="66"/>
    </row>
    <row r="28" spans="2:6" ht="21.9" customHeight="1" x14ac:dyDescent="0.35">
      <c r="B28" s="446" t="s">
        <v>277</v>
      </c>
      <c r="C28" s="447"/>
      <c r="D28" s="447"/>
      <c r="E28" s="447"/>
      <c r="F28" s="448"/>
    </row>
    <row r="29" spans="2:6" ht="21.9" customHeight="1" x14ac:dyDescent="0.35">
      <c r="B29" s="67" t="s">
        <v>294</v>
      </c>
      <c r="C29" s="71">
        <v>148270</v>
      </c>
      <c r="D29" s="68">
        <f>D24</f>
        <v>103277.81999999999</v>
      </c>
      <c r="E29" s="68">
        <f>C29-D29</f>
        <v>44992.180000000008</v>
      </c>
      <c r="F29" s="69">
        <f>E29*100%/C29</f>
        <v>0.30344762932488034</v>
      </c>
    </row>
    <row r="30" spans="2:6" ht="21.9" customHeight="1" x14ac:dyDescent="0.35">
      <c r="B30" s="67" t="s">
        <v>295</v>
      </c>
      <c r="C30" s="71">
        <v>39842.9</v>
      </c>
      <c r="D30" s="68">
        <f>C30*0.15</f>
        <v>5976.4350000000004</v>
      </c>
      <c r="E30" s="68">
        <f>C30-D30</f>
        <v>33866.465000000004</v>
      </c>
      <c r="F30" s="69">
        <f>E30*100%/C30</f>
        <v>0.85000000000000009</v>
      </c>
    </row>
    <row r="31" spans="2:6" ht="18.75" customHeight="1" x14ac:dyDescent="0.35">
      <c r="B31" s="67"/>
      <c r="C31" s="71"/>
      <c r="D31" s="72"/>
      <c r="E31" s="68">
        <f t="shared" ref="E30:E31" si="0">C31-D31</f>
        <v>0</v>
      </c>
      <c r="F31" s="69"/>
    </row>
    <row r="32" spans="2:6" ht="19.5" customHeight="1" x14ac:dyDescent="0.35">
      <c r="B32" s="73"/>
      <c r="C32" s="436">
        <f>SUM(C29:C31)</f>
        <v>188112.9</v>
      </c>
      <c r="D32" s="437">
        <f>SUM(D29:D31)</f>
        <v>109254.25499999999</v>
      </c>
      <c r="E32" s="438">
        <f>C32-D32</f>
        <v>78858.645000000004</v>
      </c>
      <c r="F32" s="439">
        <f t="shared" ref="F32" si="1">E32*100%/C32</f>
        <v>0.41920912919847608</v>
      </c>
    </row>
    <row r="33" spans="2:6" ht="15" x14ac:dyDescent="0.35">
      <c r="B33" s="70"/>
      <c r="C33" s="429">
        <f>C24-C32</f>
        <v>5534.4826270659978</v>
      </c>
      <c r="D33" s="70"/>
      <c r="E33" s="70"/>
      <c r="F33" s="66"/>
    </row>
  </sheetData>
  <mergeCells count="2">
    <mergeCell ref="E3:E4"/>
    <mergeCell ref="B28:F28"/>
  </mergeCells>
  <pageMargins left="0.51181102362204722" right="0.51181102362204722" top="0.78740157480314965" bottom="0.78740157480314965" header="0.31496062992125984" footer="0.31496062992125984"/>
  <pageSetup paperSize="9" scale="90" fitToHeight="0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B9E09-8154-459A-AE62-6A4242823A27}">
  <sheetPr codeName="Planilha10">
    <pageSetUpPr autoPageBreaks="0"/>
  </sheetPr>
  <dimension ref="A1:AD80"/>
  <sheetViews>
    <sheetView showGridLines="0" topLeftCell="I1" zoomScale="55" zoomScaleNormal="55" workbookViewId="0">
      <pane ySplit="1" topLeftCell="A71" activePane="bottomLeft" state="frozen"/>
      <selection activeCell="AC1" sqref="AC1"/>
      <selection pane="bottomLeft" activeCell="AG74" sqref="AG74"/>
    </sheetView>
  </sheetViews>
  <sheetFormatPr defaultColWidth="8.6640625" defaultRowHeight="23.4" x14ac:dyDescent="0.45"/>
  <cols>
    <col min="1" max="1" width="4.88671875" style="74" hidden="1" customWidth="1"/>
    <col min="2" max="2" width="10.44140625" style="74" customWidth="1"/>
    <col min="3" max="3" width="5.6640625" style="74" hidden="1" customWidth="1"/>
    <col min="4" max="4" width="6.6640625" style="74" hidden="1" customWidth="1"/>
    <col min="5" max="5" width="10.88671875" style="74" hidden="1" customWidth="1"/>
    <col min="6" max="6" width="30.88671875" style="74" customWidth="1"/>
    <col min="7" max="7" width="68.88671875" style="74" customWidth="1"/>
    <col min="8" max="8" width="8.33203125" style="77" hidden="1" customWidth="1"/>
    <col min="9" max="9" width="8.109375" style="77" hidden="1" customWidth="1"/>
    <col min="10" max="10" width="20.44140625" style="74" hidden="1" customWidth="1"/>
    <col min="11" max="11" width="32.88671875" style="74" customWidth="1"/>
    <col min="12" max="12" width="30.44140625" style="74" customWidth="1"/>
    <col min="13" max="13" width="28" style="74" customWidth="1"/>
    <col min="14" max="14" width="32.88671875" style="74" customWidth="1"/>
    <col min="15" max="15" width="7.44140625" style="78" hidden="1" customWidth="1"/>
    <col min="16" max="16" width="30.88671875" style="79" hidden="1" customWidth="1"/>
    <col min="17" max="17" width="9.109375" style="77" customWidth="1"/>
    <col min="18" max="18" width="10.44140625" style="77" hidden="1" customWidth="1"/>
    <col min="19" max="19" width="17.5546875" style="74" hidden="1" customWidth="1"/>
    <col min="20" max="20" width="29.44140625" style="74" bestFit="1" customWidth="1"/>
    <col min="21" max="21" width="28.6640625" style="74" hidden="1" customWidth="1"/>
    <col min="22" max="23" width="28.33203125" style="74" hidden="1" customWidth="1"/>
    <col min="24" max="24" width="28.33203125" style="74" customWidth="1"/>
    <col min="25" max="26" width="27.6640625" style="74" hidden="1" customWidth="1"/>
    <col min="27" max="27" width="25.6640625" style="74" hidden="1" customWidth="1"/>
    <col min="28" max="29" width="24.88671875" style="74" bestFit="1" customWidth="1"/>
    <col min="30" max="30" width="37" style="334" bestFit="1" customWidth="1"/>
    <col min="31" max="16384" width="8.6640625" style="74"/>
  </cols>
  <sheetData>
    <row r="1" spans="1:29" ht="49.5" customHeight="1" x14ac:dyDescent="0.45">
      <c r="B1" s="75"/>
      <c r="C1" s="76"/>
      <c r="D1" s="76"/>
      <c r="F1" s="492" t="s">
        <v>81</v>
      </c>
      <c r="G1" s="492"/>
    </row>
    <row r="2" spans="1:29" ht="24.75" customHeight="1" x14ac:dyDescent="0.45">
      <c r="B2" s="80"/>
      <c r="D2" s="76"/>
      <c r="F2" s="493" t="s">
        <v>0</v>
      </c>
      <c r="G2" s="493"/>
    </row>
    <row r="3" spans="1:29" x14ac:dyDescent="0.45">
      <c r="B3" s="81"/>
      <c r="F3" s="82"/>
      <c r="G3" s="82"/>
    </row>
    <row r="4" spans="1:29" ht="21.9" customHeight="1" x14ac:dyDescent="0.45">
      <c r="F4" s="83" t="s">
        <v>193</v>
      </c>
      <c r="G4" s="84"/>
    </row>
    <row r="5" spans="1:29" x14ac:dyDescent="0.45">
      <c r="F5" s="85" t="s">
        <v>123</v>
      </c>
      <c r="G5" s="86"/>
    </row>
    <row r="6" spans="1:29" x14ac:dyDescent="0.45">
      <c r="F6" s="85" t="s">
        <v>215</v>
      </c>
      <c r="G6" s="87"/>
    </row>
    <row r="7" spans="1:29" ht="21.75" customHeight="1" x14ac:dyDescent="0.45">
      <c r="F7" s="85" t="s">
        <v>194</v>
      </c>
      <c r="G7" s="87"/>
    </row>
    <row r="8" spans="1:29" x14ac:dyDescent="0.45">
      <c r="F8" s="85" t="s">
        <v>265</v>
      </c>
      <c r="G8" s="88"/>
    </row>
    <row r="9" spans="1:29" x14ac:dyDescent="0.45">
      <c r="F9" s="85" t="s">
        <v>122</v>
      </c>
      <c r="G9" s="87"/>
      <c r="M9" s="74">
        <v>0.80469999999999997</v>
      </c>
    </row>
    <row r="10" spans="1:29" ht="27" customHeight="1" x14ac:dyDescent="0.45">
      <c r="F10" s="85" t="s">
        <v>121</v>
      </c>
      <c r="G10" s="87"/>
      <c r="M10" s="74">
        <f>1-M9</f>
        <v>0.19530000000000003</v>
      </c>
    </row>
    <row r="11" spans="1:29" x14ac:dyDescent="0.45">
      <c r="F11" s="89" t="s">
        <v>196</v>
      </c>
      <c r="G11" s="90"/>
    </row>
    <row r="12" spans="1:29" ht="47.4" hidden="1" thickBot="1" x14ac:dyDescent="0.5">
      <c r="B12" s="91"/>
      <c r="M12" s="92"/>
      <c r="R12" s="494" t="s">
        <v>1</v>
      </c>
      <c r="S12" s="495"/>
      <c r="T12" s="495"/>
      <c r="U12" s="496"/>
      <c r="V12" s="497" t="s">
        <v>2</v>
      </c>
      <c r="W12" s="498"/>
      <c r="X12" s="498"/>
      <c r="Y12" s="498"/>
      <c r="Z12" s="93" t="s">
        <v>14</v>
      </c>
      <c r="AA12" s="94" t="e">
        <f>(1/(1-#REF!))-1</f>
        <v>#REF!</v>
      </c>
    </row>
    <row r="13" spans="1:29" ht="24" thickBot="1" x14ac:dyDescent="0.5">
      <c r="A13" s="95" t="s">
        <v>3</v>
      </c>
      <c r="B13" s="96" t="s">
        <v>4</v>
      </c>
      <c r="C13" s="95" t="s">
        <v>5</v>
      </c>
      <c r="D13" s="95" t="s">
        <v>6</v>
      </c>
      <c r="E13" s="95" t="s">
        <v>7</v>
      </c>
      <c r="M13" s="97">
        <v>0.81</v>
      </c>
      <c r="Z13" s="98"/>
      <c r="AA13" s="99"/>
    </row>
    <row r="14" spans="1:29" ht="47.4" thickBot="1" x14ac:dyDescent="0.5">
      <c r="A14" s="100">
        <v>0</v>
      </c>
      <c r="B14" s="101"/>
      <c r="C14" s="102"/>
      <c r="D14" s="103"/>
      <c r="E14" s="103"/>
      <c r="F14" s="104" t="s">
        <v>84</v>
      </c>
      <c r="G14" s="105" t="s">
        <v>85</v>
      </c>
      <c r="H14" s="106" t="s">
        <v>86</v>
      </c>
      <c r="I14" s="106" t="s">
        <v>87</v>
      </c>
      <c r="J14" s="107" t="s">
        <v>88</v>
      </c>
      <c r="K14" s="108" t="s">
        <v>8</v>
      </c>
      <c r="L14" s="109">
        <v>0.08</v>
      </c>
      <c r="M14" s="110">
        <v>0.1953</v>
      </c>
      <c r="N14" s="111" t="s">
        <v>82</v>
      </c>
      <c r="O14" s="112"/>
      <c r="Q14" s="113" t="s">
        <v>89</v>
      </c>
      <c r="R14" s="114" t="s">
        <v>90</v>
      </c>
      <c r="S14" s="115" t="s">
        <v>91</v>
      </c>
      <c r="T14" s="116" t="s">
        <v>92</v>
      </c>
      <c r="U14" s="117" t="s">
        <v>93</v>
      </c>
      <c r="V14" s="118" t="s">
        <v>94</v>
      </c>
      <c r="W14" s="119" t="s">
        <v>95</v>
      </c>
      <c r="X14" s="120" t="s">
        <v>96</v>
      </c>
      <c r="Y14" s="120" t="s">
        <v>97</v>
      </c>
      <c r="Z14" s="121" t="s">
        <v>98</v>
      </c>
      <c r="AA14" s="122" t="s">
        <v>83</v>
      </c>
      <c r="AB14" s="449" t="s">
        <v>267</v>
      </c>
      <c r="AC14" s="449"/>
    </row>
    <row r="15" spans="1:29" ht="22.5" customHeight="1" thickBot="1" x14ac:dyDescent="0.5">
      <c r="A15" s="103">
        <v>1</v>
      </c>
      <c r="B15" s="123">
        <v>1</v>
      </c>
      <c r="C15" s="124" t="s">
        <v>101</v>
      </c>
      <c r="D15" s="103"/>
      <c r="E15" s="103"/>
      <c r="F15" s="467" t="s">
        <v>120</v>
      </c>
      <c r="G15" s="468"/>
      <c r="H15" s="468"/>
      <c r="I15" s="468"/>
      <c r="J15" s="468"/>
      <c r="K15" s="468"/>
      <c r="L15" s="468"/>
      <c r="M15" s="468"/>
      <c r="N15" s="469"/>
      <c r="O15" s="125"/>
      <c r="Q15" s="476" t="str">
        <f>IF(F15&lt;&gt;"",F15,"")</f>
        <v xml:space="preserve">INTERNOS </v>
      </c>
      <c r="R15" s="477"/>
      <c r="S15" s="477"/>
      <c r="T15" s="477"/>
      <c r="U15" s="477"/>
      <c r="V15" s="477"/>
      <c r="W15" s="477"/>
      <c r="X15" s="477"/>
      <c r="Y15" s="478"/>
      <c r="Z15" s="126"/>
      <c r="AA15" s="127"/>
      <c r="AB15" s="128"/>
      <c r="AC15" s="128"/>
    </row>
    <row r="16" spans="1:29" ht="23.1" customHeight="1" thickBot="1" x14ac:dyDescent="0.5">
      <c r="A16" s="103">
        <v>2</v>
      </c>
      <c r="B16" s="123" t="s">
        <v>103</v>
      </c>
      <c r="C16" s="124" t="s">
        <v>102</v>
      </c>
      <c r="D16" s="103"/>
      <c r="E16" s="103"/>
      <c r="F16" s="455" t="s">
        <v>119</v>
      </c>
      <c r="G16" s="456"/>
      <c r="H16" s="456"/>
      <c r="I16" s="456"/>
      <c r="J16" s="456"/>
      <c r="K16" s="457"/>
      <c r="L16" s="129" t="s">
        <v>104</v>
      </c>
      <c r="M16" s="130" t="s">
        <v>105</v>
      </c>
      <c r="N16" s="131" t="s">
        <v>82</v>
      </c>
      <c r="O16" s="132"/>
      <c r="Q16" s="450" t="str">
        <f>IF(F16&lt;&gt;"",F16,"")</f>
        <v xml:space="preserve">INTERNOS  </v>
      </c>
      <c r="R16" s="479"/>
      <c r="S16" s="479"/>
      <c r="T16" s="479"/>
      <c r="U16" s="479"/>
      <c r="V16" s="479"/>
      <c r="W16" s="479"/>
      <c r="X16" s="479"/>
      <c r="Y16" s="480"/>
      <c r="Z16" s="133" t="s">
        <v>106</v>
      </c>
      <c r="AA16" s="134" t="s">
        <v>83</v>
      </c>
      <c r="AB16" s="135" t="s">
        <v>268</v>
      </c>
      <c r="AC16" s="136" t="s">
        <v>269</v>
      </c>
    </row>
    <row r="17" spans="1:30" ht="90" customHeight="1" x14ac:dyDescent="0.45">
      <c r="A17" s="103">
        <v>3</v>
      </c>
      <c r="B17" s="123" t="s">
        <v>108</v>
      </c>
      <c r="C17" s="124" t="s">
        <v>107</v>
      </c>
      <c r="D17" s="103" t="s">
        <v>114</v>
      </c>
      <c r="E17" s="103" t="s">
        <v>115</v>
      </c>
      <c r="F17" s="137" t="s">
        <v>127</v>
      </c>
      <c r="G17" s="138" t="s">
        <v>130</v>
      </c>
      <c r="H17" s="139">
        <v>1</v>
      </c>
      <c r="I17" s="139">
        <v>1</v>
      </c>
      <c r="J17" s="140">
        <v>5500</v>
      </c>
      <c r="K17" s="140">
        <f t="shared" ref="K17:K21" si="0">IF(F17&lt;&gt;"",H17*I17*J17,"")</f>
        <v>5500</v>
      </c>
      <c r="L17" s="140">
        <f t="shared" ref="L17:L21" si="1">IF(K17&lt;&gt;"",IF(D17="INTERNO",0,K17*$L$14),"")</f>
        <v>0</v>
      </c>
      <c r="M17" s="140">
        <f t="shared" ref="M17:M21" si="2">IF(K17&lt;&gt;"",IF(E17="FAT.OGGI",SUM(K17:L17)*(1/(1-$M$14)-1),L17*(1/(1-$M$14)-1)),"")</f>
        <v>1334.8452839567544</v>
      </c>
      <c r="N17" s="141">
        <f t="shared" ref="N17:N21" si="3">SUM(K17:M17)</f>
        <v>6834.8452839567544</v>
      </c>
      <c r="O17" s="142"/>
      <c r="Q17" s="143">
        <f t="shared" ref="Q17" si="4">IF(H17&lt;&gt;"",H17,"")</f>
        <v>1</v>
      </c>
      <c r="R17" s="144">
        <v>1</v>
      </c>
      <c r="S17" s="145">
        <v>2500</v>
      </c>
      <c r="T17" s="145">
        <v>0</v>
      </c>
      <c r="U17" s="146">
        <f t="shared" ref="U17:U21" si="5">IF(Q17&lt;&gt;"",K17-T17,"")</f>
        <v>5500</v>
      </c>
      <c r="V17" s="147">
        <f t="shared" ref="V17:V21" si="6">IF(Q17&lt;&gt;"",0%,"")</f>
        <v>0</v>
      </c>
      <c r="W17" s="148">
        <f t="shared" ref="W17:W21" si="7">IF(Q17&lt;&gt;"",V17*U17,"")</f>
        <v>0</v>
      </c>
      <c r="X17" s="148">
        <f t="shared" ref="X17:X21" si="8">IF(Q17&lt;&gt;"",W17+T17,"")</f>
        <v>0</v>
      </c>
      <c r="Y17" s="149">
        <f t="shared" ref="Y17:Y21" si="9">IF(Q17&lt;&gt;"",X17+M17,"")</f>
        <v>1334.8452839567544</v>
      </c>
      <c r="Z17" s="150">
        <f t="shared" ref="Z17:Z24" si="10">IF(Q17&lt;&gt;"",U17/K17,"")</f>
        <v>1</v>
      </c>
      <c r="AA17" s="151" t="e">
        <f>T17/$T$22</f>
        <v>#DIV/0!</v>
      </c>
      <c r="AB17" s="152">
        <f>X17-AC17</f>
        <v>0</v>
      </c>
      <c r="AC17" s="153"/>
    </row>
    <row r="18" spans="1:30" ht="90" customHeight="1" x14ac:dyDescent="0.45">
      <c r="A18" s="154">
        <v>4</v>
      </c>
      <c r="B18" s="123" t="s">
        <v>99</v>
      </c>
      <c r="C18" s="155" t="s">
        <v>107</v>
      </c>
      <c r="D18" s="154" t="s">
        <v>114</v>
      </c>
      <c r="E18" s="154" t="s">
        <v>115</v>
      </c>
      <c r="F18" s="156" t="s">
        <v>116</v>
      </c>
      <c r="G18" s="157" t="s">
        <v>131</v>
      </c>
      <c r="H18" s="158">
        <v>1</v>
      </c>
      <c r="I18" s="158">
        <v>1</v>
      </c>
      <c r="J18" s="159">
        <v>5500</v>
      </c>
      <c r="K18" s="159">
        <f t="shared" si="0"/>
        <v>5500</v>
      </c>
      <c r="L18" s="159">
        <f t="shared" si="1"/>
        <v>0</v>
      </c>
      <c r="M18" s="159">
        <f t="shared" si="2"/>
        <v>1334.8452839567544</v>
      </c>
      <c r="N18" s="160">
        <f t="shared" si="3"/>
        <v>6834.8452839567544</v>
      </c>
      <c r="O18" s="142"/>
      <c r="Q18" s="143">
        <v>1</v>
      </c>
      <c r="R18" s="161">
        <v>1</v>
      </c>
      <c r="S18" s="162">
        <v>2500</v>
      </c>
      <c r="T18" s="162">
        <v>0</v>
      </c>
      <c r="U18" s="163">
        <f t="shared" si="5"/>
        <v>5500</v>
      </c>
      <c r="V18" s="164">
        <f t="shared" si="6"/>
        <v>0</v>
      </c>
      <c r="W18" s="165">
        <f t="shared" si="7"/>
        <v>0</v>
      </c>
      <c r="X18" s="165">
        <f t="shared" si="8"/>
        <v>0</v>
      </c>
      <c r="Y18" s="166">
        <f t="shared" si="9"/>
        <v>1334.8452839567544</v>
      </c>
      <c r="Z18" s="150">
        <f t="shared" si="10"/>
        <v>1</v>
      </c>
      <c r="AA18" s="151" t="e">
        <f>T18/$T$22</f>
        <v>#DIV/0!</v>
      </c>
      <c r="AB18" s="152">
        <f t="shared" ref="AB18:AB75" si="11">X18-AC18</f>
        <v>0</v>
      </c>
      <c r="AC18" s="153"/>
    </row>
    <row r="19" spans="1:30" ht="90" customHeight="1" x14ac:dyDescent="0.45">
      <c r="A19" s="154">
        <v>5</v>
      </c>
      <c r="B19" s="123" t="s">
        <v>124</v>
      </c>
      <c r="C19" s="155" t="s">
        <v>107</v>
      </c>
      <c r="D19" s="154" t="s">
        <v>114</v>
      </c>
      <c r="E19" s="154" t="s">
        <v>115</v>
      </c>
      <c r="F19" s="156" t="s">
        <v>128</v>
      </c>
      <c r="G19" s="157" t="s">
        <v>129</v>
      </c>
      <c r="H19" s="158">
        <v>1</v>
      </c>
      <c r="I19" s="158">
        <v>1</v>
      </c>
      <c r="J19" s="159">
        <v>5500</v>
      </c>
      <c r="K19" s="159">
        <f t="shared" si="0"/>
        <v>5500</v>
      </c>
      <c r="L19" s="159">
        <f t="shared" si="1"/>
        <v>0</v>
      </c>
      <c r="M19" s="159">
        <f t="shared" si="2"/>
        <v>1334.8452839567544</v>
      </c>
      <c r="N19" s="160">
        <f t="shared" si="3"/>
        <v>6834.8452839567544</v>
      </c>
      <c r="O19" s="142"/>
      <c r="Q19" s="143">
        <f>IF(H19&lt;&gt;"",H19,"")</f>
        <v>1</v>
      </c>
      <c r="R19" s="161">
        <v>1</v>
      </c>
      <c r="S19" s="162">
        <v>2500</v>
      </c>
      <c r="T19" s="162">
        <v>0</v>
      </c>
      <c r="U19" s="163">
        <f t="shared" si="5"/>
        <v>5500</v>
      </c>
      <c r="V19" s="164">
        <f t="shared" si="6"/>
        <v>0</v>
      </c>
      <c r="W19" s="165">
        <f t="shared" si="7"/>
        <v>0</v>
      </c>
      <c r="X19" s="165">
        <f t="shared" si="8"/>
        <v>0</v>
      </c>
      <c r="Y19" s="166">
        <f t="shared" si="9"/>
        <v>1334.8452839567544</v>
      </c>
      <c r="Z19" s="150">
        <f t="shared" si="10"/>
        <v>1</v>
      </c>
      <c r="AA19" s="151" t="e">
        <f>T19/$T$22</f>
        <v>#DIV/0!</v>
      </c>
      <c r="AB19" s="152">
        <f t="shared" si="11"/>
        <v>0</v>
      </c>
      <c r="AC19" s="153"/>
    </row>
    <row r="20" spans="1:30" ht="90" customHeight="1" x14ac:dyDescent="0.45">
      <c r="A20" s="103">
        <v>6</v>
      </c>
      <c r="B20" s="123" t="s">
        <v>125</v>
      </c>
      <c r="C20" s="124" t="s">
        <v>107</v>
      </c>
      <c r="D20" s="103" t="s">
        <v>114</v>
      </c>
      <c r="E20" s="103" t="s">
        <v>115</v>
      </c>
      <c r="F20" s="156" t="s">
        <v>132</v>
      </c>
      <c r="G20" s="157" t="s">
        <v>134</v>
      </c>
      <c r="H20" s="158">
        <v>1</v>
      </c>
      <c r="I20" s="158">
        <v>1</v>
      </c>
      <c r="J20" s="159">
        <v>2200</v>
      </c>
      <c r="K20" s="159">
        <f t="shared" si="0"/>
        <v>2200</v>
      </c>
      <c r="L20" s="159">
        <f t="shared" si="1"/>
        <v>0</v>
      </c>
      <c r="M20" s="159">
        <f t="shared" si="2"/>
        <v>533.93811358270182</v>
      </c>
      <c r="N20" s="160">
        <f t="shared" si="3"/>
        <v>2733.9381135827016</v>
      </c>
      <c r="O20" s="142"/>
      <c r="Q20" s="143">
        <f t="shared" ref="Q20" si="12">IF(H20&lt;&gt;"",H20,"")</f>
        <v>1</v>
      </c>
      <c r="R20" s="144">
        <v>1</v>
      </c>
      <c r="S20" s="145">
        <v>1000</v>
      </c>
      <c r="T20" s="145">
        <v>0</v>
      </c>
      <c r="U20" s="146">
        <f t="shared" si="5"/>
        <v>2200</v>
      </c>
      <c r="V20" s="147">
        <f t="shared" si="6"/>
        <v>0</v>
      </c>
      <c r="W20" s="148">
        <f t="shared" si="7"/>
        <v>0</v>
      </c>
      <c r="X20" s="148">
        <f t="shared" si="8"/>
        <v>0</v>
      </c>
      <c r="Y20" s="149">
        <f t="shared" si="9"/>
        <v>533.93811358270182</v>
      </c>
      <c r="Z20" s="150">
        <f t="shared" si="10"/>
        <v>1</v>
      </c>
      <c r="AA20" s="151" t="e">
        <f>T20/$T$22</f>
        <v>#DIV/0!</v>
      </c>
      <c r="AB20" s="152">
        <f t="shared" si="11"/>
        <v>0</v>
      </c>
      <c r="AC20" s="153"/>
    </row>
    <row r="21" spans="1:30" ht="90" customHeight="1" x14ac:dyDescent="0.45">
      <c r="A21" s="103">
        <v>7</v>
      </c>
      <c r="B21" s="123" t="s">
        <v>126</v>
      </c>
      <c r="C21" s="124" t="s">
        <v>107</v>
      </c>
      <c r="D21" s="103" t="s">
        <v>114</v>
      </c>
      <c r="E21" s="103" t="s">
        <v>115</v>
      </c>
      <c r="F21" s="156" t="s">
        <v>133</v>
      </c>
      <c r="G21" s="157" t="s">
        <v>135</v>
      </c>
      <c r="H21" s="158">
        <v>1</v>
      </c>
      <c r="I21" s="158">
        <v>1</v>
      </c>
      <c r="J21" s="159">
        <v>1500</v>
      </c>
      <c r="K21" s="159">
        <f t="shared" si="0"/>
        <v>1500</v>
      </c>
      <c r="L21" s="159">
        <f t="shared" si="1"/>
        <v>0</v>
      </c>
      <c r="M21" s="159">
        <f t="shared" si="2"/>
        <v>364.04871380638758</v>
      </c>
      <c r="N21" s="160">
        <f t="shared" si="3"/>
        <v>1864.0487138063877</v>
      </c>
      <c r="O21" s="142"/>
      <c r="Q21" s="143">
        <v>1</v>
      </c>
      <c r="R21" s="161">
        <v>1</v>
      </c>
      <c r="S21" s="162">
        <v>500</v>
      </c>
      <c r="T21" s="162">
        <v>0</v>
      </c>
      <c r="U21" s="163">
        <f t="shared" si="5"/>
        <v>1500</v>
      </c>
      <c r="V21" s="164">
        <f t="shared" si="6"/>
        <v>0</v>
      </c>
      <c r="W21" s="165">
        <f t="shared" si="7"/>
        <v>0</v>
      </c>
      <c r="X21" s="165">
        <f t="shared" si="8"/>
        <v>0</v>
      </c>
      <c r="Y21" s="166">
        <f t="shared" si="9"/>
        <v>364.04871380638758</v>
      </c>
      <c r="Z21" s="150">
        <f t="shared" si="10"/>
        <v>1</v>
      </c>
      <c r="AA21" s="151" t="e">
        <f>T21/$T$22</f>
        <v>#DIV/0!</v>
      </c>
      <c r="AB21" s="152">
        <f t="shared" si="11"/>
        <v>0</v>
      </c>
      <c r="AC21" s="153"/>
    </row>
    <row r="22" spans="1:30" ht="31.5" customHeight="1" thickBot="1" x14ac:dyDescent="0.5">
      <c r="A22" s="167">
        <v>8</v>
      </c>
      <c r="B22" s="123"/>
      <c r="C22" s="168" t="s">
        <v>113</v>
      </c>
      <c r="D22" s="167"/>
      <c r="E22" s="167"/>
      <c r="F22" s="484" t="s">
        <v>140</v>
      </c>
      <c r="G22" s="485"/>
      <c r="H22" s="485"/>
      <c r="I22" s="485"/>
      <c r="J22" s="485"/>
      <c r="K22" s="169">
        <f>SUM(K17:K21)</f>
        <v>20200</v>
      </c>
      <c r="L22" s="169">
        <f>SUM(L17:L21)</f>
        <v>0</v>
      </c>
      <c r="M22" s="169">
        <f>SUM(M17:M21)</f>
        <v>4902.5226792593521</v>
      </c>
      <c r="N22" s="170">
        <f>SUM(N17:N21)</f>
        <v>25102.522679259353</v>
      </c>
      <c r="O22" s="142"/>
      <c r="Q22" s="460" t="s">
        <v>140</v>
      </c>
      <c r="R22" s="461"/>
      <c r="S22" s="461"/>
      <c r="T22" s="171">
        <f>SUM(T17:T21)</f>
        <v>0</v>
      </c>
      <c r="U22" s="172">
        <f>SUM(U17:U21)</f>
        <v>20200</v>
      </c>
      <c r="V22" s="173"/>
      <c r="W22" s="174"/>
      <c r="X22" s="175">
        <f>SUM(X17:X21)</f>
        <v>0</v>
      </c>
      <c r="Y22" s="176">
        <f>IF(Q22&lt;&gt;"",X22+M22,"")</f>
        <v>4902.5226792593521</v>
      </c>
      <c r="Z22" s="150"/>
      <c r="AA22" s="151"/>
      <c r="AB22" s="152"/>
      <c r="AC22" s="153"/>
    </row>
    <row r="23" spans="1:30" ht="30" customHeight="1" thickBot="1" x14ac:dyDescent="0.5">
      <c r="A23" s="103">
        <v>9</v>
      </c>
      <c r="B23" s="123">
        <v>2</v>
      </c>
      <c r="C23" s="124" t="s">
        <v>101</v>
      </c>
      <c r="D23" s="103"/>
      <c r="E23" s="103"/>
      <c r="F23" s="467" t="s">
        <v>143</v>
      </c>
      <c r="G23" s="468"/>
      <c r="H23" s="468"/>
      <c r="I23" s="468"/>
      <c r="J23" s="468"/>
      <c r="K23" s="468"/>
      <c r="L23" s="468"/>
      <c r="M23" s="468"/>
      <c r="N23" s="469"/>
      <c r="O23" s="142"/>
      <c r="Q23" s="467" t="s">
        <v>136</v>
      </c>
      <c r="R23" s="468"/>
      <c r="S23" s="468"/>
      <c r="T23" s="468"/>
      <c r="U23" s="468"/>
      <c r="V23" s="468"/>
      <c r="W23" s="468"/>
      <c r="X23" s="468"/>
      <c r="Y23" s="469"/>
      <c r="Z23" s="150" t="e">
        <f t="shared" si="10"/>
        <v>#DIV/0!</v>
      </c>
      <c r="AA23" s="151"/>
      <c r="AB23" s="152"/>
      <c r="AC23" s="153"/>
    </row>
    <row r="24" spans="1:30" ht="29.1" customHeight="1" x14ac:dyDescent="0.45">
      <c r="A24" s="103">
        <v>10</v>
      </c>
      <c r="B24" s="123" t="s">
        <v>109</v>
      </c>
      <c r="C24" s="124" t="s">
        <v>102</v>
      </c>
      <c r="D24" s="103"/>
      <c r="E24" s="103"/>
      <c r="F24" s="455" t="s">
        <v>136</v>
      </c>
      <c r="G24" s="456"/>
      <c r="H24" s="456"/>
      <c r="I24" s="456"/>
      <c r="J24" s="456"/>
      <c r="K24" s="457"/>
      <c r="L24" s="129" t="s">
        <v>104</v>
      </c>
      <c r="M24" s="130" t="s">
        <v>105</v>
      </c>
      <c r="N24" s="131" t="s">
        <v>82</v>
      </c>
      <c r="O24" s="142"/>
      <c r="Q24" s="455" t="s">
        <v>136</v>
      </c>
      <c r="R24" s="456"/>
      <c r="S24" s="456"/>
      <c r="T24" s="456"/>
      <c r="U24" s="456"/>
      <c r="V24" s="457"/>
      <c r="W24" s="129" t="s">
        <v>104</v>
      </c>
      <c r="X24" s="130" t="s">
        <v>105</v>
      </c>
      <c r="Y24" s="131" t="s">
        <v>82</v>
      </c>
      <c r="Z24" s="150" t="e">
        <f t="shared" si="10"/>
        <v>#DIV/0!</v>
      </c>
      <c r="AA24" s="151" t="e">
        <f>T24/#REF!</f>
        <v>#REF!</v>
      </c>
      <c r="AB24" s="152"/>
      <c r="AC24" s="153"/>
    </row>
    <row r="25" spans="1:30" ht="90" customHeight="1" x14ac:dyDescent="0.45">
      <c r="A25" s="103">
        <v>11</v>
      </c>
      <c r="B25" s="123" t="s">
        <v>110</v>
      </c>
      <c r="C25" s="124" t="s">
        <v>107</v>
      </c>
      <c r="D25" s="103" t="s">
        <v>117</v>
      </c>
      <c r="E25" s="103" t="s">
        <v>118</v>
      </c>
      <c r="F25" s="156" t="s">
        <v>203</v>
      </c>
      <c r="G25" s="157" t="s">
        <v>197</v>
      </c>
      <c r="H25" s="177">
        <v>1</v>
      </c>
      <c r="I25" s="177">
        <v>1</v>
      </c>
      <c r="J25" s="178">
        <v>0</v>
      </c>
      <c r="K25" s="159">
        <f t="shared" ref="K25" si="13">IF(F25&lt;&gt;"",H25*I25*J25,"")</f>
        <v>0</v>
      </c>
      <c r="L25" s="159">
        <f t="shared" ref="L25" si="14">IF(K25&lt;&gt;"",IF(D25="INTERNO",0,K25*$L$14),"")</f>
        <v>0</v>
      </c>
      <c r="M25" s="159">
        <f t="shared" ref="M25" si="15">IF(K25&lt;&gt;"",IF(E25="FAT.OGGI",SUM(K25:L25)*(1/(1-$M$14)-1),L25*(1/(1-$M$14)-1)),"")</f>
        <v>0</v>
      </c>
      <c r="N25" s="160">
        <f t="shared" ref="N25" si="16">SUM(K25:M25)</f>
        <v>0</v>
      </c>
      <c r="O25" s="179" t="b">
        <v>1</v>
      </c>
      <c r="P25" s="180"/>
      <c r="Q25" s="143">
        <v>1</v>
      </c>
      <c r="R25" s="161">
        <v>1</v>
      </c>
      <c r="S25" s="162">
        <v>0</v>
      </c>
      <c r="T25" s="162">
        <f t="shared" ref="T25" si="17">IF(Q25&lt;&gt;"",Q25*R25*S25,"")</f>
        <v>0</v>
      </c>
      <c r="U25" s="163">
        <f t="shared" ref="U25" si="18">IF(Q25&lt;&gt;"",K25-T25,"")</f>
        <v>0</v>
      </c>
      <c r="V25" s="164">
        <f t="shared" ref="V25" si="19">IF(Q25&lt;&gt;"",0%,"")</f>
        <v>0</v>
      </c>
      <c r="W25" s="165">
        <f t="shared" ref="W25" si="20">IF(Q25&lt;&gt;"",V25*U25,"")</f>
        <v>0</v>
      </c>
      <c r="X25" s="165">
        <f t="shared" ref="X25" si="21">IF(Q25&lt;&gt;"",W25+T25,"")</f>
        <v>0</v>
      </c>
      <c r="Y25" s="166">
        <f t="shared" ref="Y25" si="22">IF(Q25&lt;&gt;"",X25+M25,"")</f>
        <v>0</v>
      </c>
      <c r="Z25" s="150" t="e">
        <f t="shared" ref="Z25" si="23">IF(Q25&lt;&gt;"",U25/K25,"")</f>
        <v>#DIV/0!</v>
      </c>
      <c r="AA25" s="151">
        <f>T25/$T$29</f>
        <v>0</v>
      </c>
      <c r="AB25" s="152">
        <f t="shared" si="11"/>
        <v>0</v>
      </c>
      <c r="AC25" s="153"/>
    </row>
    <row r="26" spans="1:30" ht="90" customHeight="1" x14ac:dyDescent="0.45">
      <c r="A26" s="103">
        <v>12</v>
      </c>
      <c r="B26" s="123" t="s">
        <v>111</v>
      </c>
      <c r="C26" s="124" t="s">
        <v>107</v>
      </c>
      <c r="D26" s="103" t="s">
        <v>117</v>
      </c>
      <c r="E26" s="103" t="s">
        <v>118</v>
      </c>
      <c r="F26" s="156" t="s">
        <v>198</v>
      </c>
      <c r="G26" s="157" t="s">
        <v>220</v>
      </c>
      <c r="H26" s="177">
        <v>1</v>
      </c>
      <c r="I26" s="177">
        <v>2</v>
      </c>
      <c r="J26" s="178">
        <v>4000</v>
      </c>
      <c r="K26" s="159">
        <f>IF(F26&lt;&gt;"",H26*I26*J26,"")</f>
        <v>8000</v>
      </c>
      <c r="L26" s="159">
        <f>IF(K26&lt;&gt;"",IF(D26="INTERNO",0,K26*$L$14),"")</f>
        <v>640</v>
      </c>
      <c r="M26" s="159">
        <f>IF(K26&lt;&gt;"",IF(E26="FAT.OGGI",SUM(K26:L26)*(1/(1-$M$14)-1),L26*(1/(1-$M$14)-1)),"")</f>
        <v>155.32745122405871</v>
      </c>
      <c r="N26" s="160">
        <f>SUM(K26:M26)</f>
        <v>8795.3274512240587</v>
      </c>
      <c r="O26" s="179" t="b">
        <v>1</v>
      </c>
      <c r="P26" s="180" t="s">
        <v>221</v>
      </c>
      <c r="Q26" s="181">
        <f>IF(H26&lt;&gt;"",H26,"")</f>
        <v>1</v>
      </c>
      <c r="R26" s="182">
        <v>1</v>
      </c>
      <c r="S26" s="183">
        <v>6189</v>
      </c>
      <c r="T26" s="183">
        <v>6451.92</v>
      </c>
      <c r="U26" s="184">
        <f>IF(Q26&lt;&gt;"",K26-T26,"")</f>
        <v>1548.08</v>
      </c>
      <c r="V26" s="185">
        <f>IF(Q26&lt;&gt;"",0%,"")</f>
        <v>0</v>
      </c>
      <c r="W26" s="186">
        <f>IF(Q26&lt;&gt;"",V26*U26,"")</f>
        <v>0</v>
      </c>
      <c r="X26" s="186">
        <f>IF(Q26&lt;&gt;"",W26+T26,"")</f>
        <v>6451.92</v>
      </c>
      <c r="Y26" s="187">
        <f>IF(Q26&lt;&gt;"",X26+M26,"")</f>
        <v>6607.2474512240588</v>
      </c>
      <c r="Z26" s="150">
        <f>IF(Q26&lt;&gt;"",U26/K26,"")</f>
        <v>0.19350999999999999</v>
      </c>
      <c r="AA26" s="151"/>
      <c r="AB26" s="152">
        <f t="shared" si="11"/>
        <v>0</v>
      </c>
      <c r="AC26" s="153">
        <v>6451.92</v>
      </c>
      <c r="AD26" s="334" t="s">
        <v>279</v>
      </c>
    </row>
    <row r="27" spans="1:30" ht="90" customHeight="1" x14ac:dyDescent="0.45">
      <c r="A27" s="103">
        <v>13</v>
      </c>
      <c r="B27" s="123" t="s">
        <v>112</v>
      </c>
      <c r="C27" s="124" t="s">
        <v>107</v>
      </c>
      <c r="D27" s="103" t="s">
        <v>117</v>
      </c>
      <c r="E27" s="103" t="s">
        <v>118</v>
      </c>
      <c r="F27" s="188" t="s">
        <v>199</v>
      </c>
      <c r="G27" s="189" t="s">
        <v>200</v>
      </c>
      <c r="H27" s="190">
        <v>6</v>
      </c>
      <c r="I27" s="190">
        <v>1</v>
      </c>
      <c r="J27" s="191">
        <v>1060</v>
      </c>
      <c r="K27" s="192">
        <f t="shared" ref="K27" si="24">IF(F27&lt;&gt;"",H27*I27*J27,"")</f>
        <v>6360</v>
      </c>
      <c r="L27" s="192">
        <f t="shared" ref="L27" si="25">IF(K27&lt;&gt;"",IF(D27="INTERNO",0,K27*$L$14),"")</f>
        <v>508.8</v>
      </c>
      <c r="M27" s="192">
        <f t="shared" ref="M27" si="26">IF(K27&lt;&gt;"",IF(E27="FAT.OGGI",SUM(K27:L27)*(1/(1-$M$14)-1),L27*(1/(1-$M$14)-1)),"")</f>
        <v>123.48532372312667</v>
      </c>
      <c r="N27" s="193">
        <f t="shared" ref="N27" si="27">SUM(K27:M27)</f>
        <v>6992.2853237231266</v>
      </c>
      <c r="O27" s="179" t="b">
        <v>1</v>
      </c>
      <c r="P27" s="180" t="s">
        <v>216</v>
      </c>
      <c r="Q27" s="181">
        <v>6</v>
      </c>
      <c r="R27" s="194">
        <v>1</v>
      </c>
      <c r="S27" s="195">
        <v>850</v>
      </c>
      <c r="T27" s="195">
        <v>4760</v>
      </c>
      <c r="U27" s="184">
        <f>IF(Q27&lt;&gt;"",K27-T27,"")</f>
        <v>1600</v>
      </c>
      <c r="V27" s="185">
        <f>IF(Q27&lt;&gt;"",0%,"")</f>
        <v>0</v>
      </c>
      <c r="W27" s="186">
        <f>IF(Q27&lt;&gt;"",V27*U27,"")</f>
        <v>0</v>
      </c>
      <c r="X27" s="186">
        <f>IF(Q27&lt;&gt;"",W27+T27,"")</f>
        <v>4760</v>
      </c>
      <c r="Y27" s="187">
        <f>IF(Q27&lt;&gt;"",X27+M27,"")</f>
        <v>4883.4853237231264</v>
      </c>
      <c r="Z27" s="150">
        <f>IF(Q27&lt;&gt;"",U27/K27,"")</f>
        <v>0.25157232704402516</v>
      </c>
      <c r="AA27" s="151"/>
      <c r="AB27" s="152">
        <f t="shared" si="11"/>
        <v>0</v>
      </c>
      <c r="AC27" s="153">
        <v>4760</v>
      </c>
      <c r="AD27" s="334" t="s">
        <v>278</v>
      </c>
    </row>
    <row r="28" spans="1:30" ht="90" customHeight="1" x14ac:dyDescent="0.45">
      <c r="A28" s="167">
        <v>14</v>
      </c>
      <c r="B28" s="123" t="s">
        <v>223</v>
      </c>
      <c r="C28" s="168" t="s">
        <v>107</v>
      </c>
      <c r="D28" s="154" t="s">
        <v>117</v>
      </c>
      <c r="E28" s="154" t="s">
        <v>118</v>
      </c>
      <c r="F28" s="188" t="s">
        <v>217</v>
      </c>
      <c r="G28" s="157" t="s">
        <v>222</v>
      </c>
      <c r="H28" s="158">
        <v>1</v>
      </c>
      <c r="I28" s="158">
        <v>1</v>
      </c>
      <c r="J28" s="159">
        <v>2300</v>
      </c>
      <c r="K28" s="159">
        <f>IF(F28&lt;&gt;"",H28*I28*J28,"")</f>
        <v>2300</v>
      </c>
      <c r="L28" s="159">
        <f>IF(K28&lt;&gt;"",IF(D28="INTERNO",0,K28*$L$14),"")</f>
        <v>184</v>
      </c>
      <c r="M28" s="159">
        <f>IF(K28&lt;&gt;"",IF(E28="FAT.OGGI",SUM(K28:L28)*(1/(1-$M$14)-1),L28*(1/(1-$M$14)-1)),"")</f>
        <v>44.65664222691688</v>
      </c>
      <c r="N28" s="160">
        <f>SUM(K28:M28)</f>
        <v>2528.656642226917</v>
      </c>
      <c r="O28" s="179" t="b">
        <v>1</v>
      </c>
      <c r="Q28" s="181">
        <f>IF(H28&lt;&gt;"",H28,"")</f>
        <v>1</v>
      </c>
      <c r="R28" s="196">
        <f>IF(I28&lt;&gt;"",I28,"")</f>
        <v>1</v>
      </c>
      <c r="S28" s="197">
        <v>1850</v>
      </c>
      <c r="T28" s="197">
        <v>1250</v>
      </c>
      <c r="U28" s="198">
        <f>IF(Q28&lt;&gt;"",K28-T28,"")</f>
        <v>1050</v>
      </c>
      <c r="V28" s="199">
        <f>IF(Q28&lt;&gt;"",0%,"")</f>
        <v>0</v>
      </c>
      <c r="W28" s="200">
        <f>IF(Q28&lt;&gt;"",V28*U28,"")</f>
        <v>0</v>
      </c>
      <c r="X28" s="200">
        <f>IF(Q28&lt;&gt;"",W28+T28,"")</f>
        <v>1250</v>
      </c>
      <c r="Y28" s="165">
        <f>IF(Q28&lt;&gt;"",X28+M28,"")</f>
        <v>1294.6566422269168</v>
      </c>
      <c r="Z28" s="201">
        <f>IF(Q28&lt;&gt;"",U28/K28,"")</f>
        <v>0.45652173913043476</v>
      </c>
      <c r="AA28" s="202"/>
      <c r="AB28" s="152">
        <f t="shared" si="11"/>
        <v>0</v>
      </c>
      <c r="AC28" s="153">
        <v>1250</v>
      </c>
      <c r="AD28" s="334" t="s">
        <v>283</v>
      </c>
    </row>
    <row r="29" spans="1:30" ht="36.9" customHeight="1" thickBot="1" x14ac:dyDescent="0.5">
      <c r="A29" s="203">
        <v>15</v>
      </c>
      <c r="B29" s="123"/>
      <c r="C29" s="204" t="s">
        <v>113</v>
      </c>
      <c r="D29" s="203"/>
      <c r="E29" s="203"/>
      <c r="F29" s="458" t="s">
        <v>137</v>
      </c>
      <c r="G29" s="459"/>
      <c r="H29" s="459"/>
      <c r="I29" s="459"/>
      <c r="J29" s="459"/>
      <c r="K29" s="169">
        <f>SUM(K25:K28)</f>
        <v>16660</v>
      </c>
      <c r="L29" s="169">
        <f>SUM(L25:L28)</f>
        <v>1332.8</v>
      </c>
      <c r="M29" s="169">
        <f>SUM(M25:M28)</f>
        <v>323.46941717410226</v>
      </c>
      <c r="N29" s="170">
        <f>SUM(N25:N28)</f>
        <v>18316.269417174102</v>
      </c>
      <c r="O29" s="142"/>
      <c r="Q29" s="465" t="s">
        <v>137</v>
      </c>
      <c r="R29" s="466"/>
      <c r="S29" s="466"/>
      <c r="T29" s="205">
        <f>SUM(T25:T28)</f>
        <v>12461.92</v>
      </c>
      <c r="U29" s="206">
        <f>SUM(U25:U28)</f>
        <v>4198.08</v>
      </c>
      <c r="V29" s="207"/>
      <c r="W29" s="208"/>
      <c r="X29" s="209">
        <f>SUM(X25:X28)</f>
        <v>12461.92</v>
      </c>
      <c r="Y29" s="210">
        <f>IF(Q29&lt;&gt;"",X29+M29,"")</f>
        <v>12785.389417174103</v>
      </c>
      <c r="Z29" s="150"/>
      <c r="AA29" s="151"/>
      <c r="AB29" s="152"/>
      <c r="AC29" s="153"/>
    </row>
    <row r="30" spans="1:30" ht="30.9" customHeight="1" thickBot="1" x14ac:dyDescent="0.5">
      <c r="A30" s="103">
        <v>16</v>
      </c>
      <c r="B30" s="123">
        <v>3</v>
      </c>
      <c r="C30" s="124" t="s">
        <v>101</v>
      </c>
      <c r="D30" s="103"/>
      <c r="E30" s="103"/>
      <c r="F30" s="467" t="s">
        <v>165</v>
      </c>
      <c r="G30" s="468"/>
      <c r="H30" s="468"/>
      <c r="I30" s="468"/>
      <c r="J30" s="468"/>
      <c r="K30" s="468"/>
      <c r="L30" s="468"/>
      <c r="M30" s="468"/>
      <c r="N30" s="469"/>
      <c r="O30" s="142"/>
      <c r="Q30" s="486" t="str">
        <f>IF(F30&lt;&gt;"",F30,"")</f>
        <v>TAXAS</v>
      </c>
      <c r="R30" s="487"/>
      <c r="S30" s="487"/>
      <c r="T30" s="487"/>
      <c r="U30" s="487"/>
      <c r="V30" s="487"/>
      <c r="W30" s="487"/>
      <c r="X30" s="487"/>
      <c r="Y30" s="488"/>
      <c r="Z30" s="211"/>
      <c r="AA30" s="151"/>
      <c r="AB30" s="152"/>
      <c r="AC30" s="153"/>
    </row>
    <row r="31" spans="1:30" ht="30.9" customHeight="1" x14ac:dyDescent="0.45">
      <c r="A31" s="103">
        <v>17</v>
      </c>
      <c r="B31" s="123" t="s">
        <v>138</v>
      </c>
      <c r="C31" s="124" t="s">
        <v>102</v>
      </c>
      <c r="D31" s="103"/>
      <c r="E31" s="103"/>
      <c r="F31" s="455" t="s">
        <v>165</v>
      </c>
      <c r="G31" s="456"/>
      <c r="H31" s="456"/>
      <c r="I31" s="456"/>
      <c r="J31" s="456"/>
      <c r="K31" s="457"/>
      <c r="L31" s="212" t="s">
        <v>104</v>
      </c>
      <c r="M31" s="213" t="s">
        <v>105</v>
      </c>
      <c r="N31" s="214" t="s">
        <v>82</v>
      </c>
      <c r="O31" s="142"/>
      <c r="Q31" s="489" t="str">
        <f>IF(F31&lt;&gt;"",F31,"")</f>
        <v>TAXAS</v>
      </c>
      <c r="R31" s="490"/>
      <c r="S31" s="490"/>
      <c r="T31" s="490"/>
      <c r="U31" s="490"/>
      <c r="V31" s="490"/>
      <c r="W31" s="490"/>
      <c r="X31" s="490"/>
      <c r="Y31" s="491"/>
      <c r="Z31" s="215" t="s">
        <v>106</v>
      </c>
      <c r="AA31" s="216" t="s">
        <v>83</v>
      </c>
      <c r="AB31" s="152"/>
      <c r="AC31" s="153"/>
    </row>
    <row r="32" spans="1:30" ht="90" customHeight="1" x14ac:dyDescent="0.45">
      <c r="A32" s="103">
        <v>18</v>
      </c>
      <c r="B32" s="123" t="s">
        <v>139</v>
      </c>
      <c r="C32" s="124" t="s">
        <v>107</v>
      </c>
      <c r="D32" s="103" t="s">
        <v>117</v>
      </c>
      <c r="E32" s="103" t="s">
        <v>118</v>
      </c>
      <c r="F32" s="156" t="s">
        <v>166</v>
      </c>
      <c r="G32" s="217" t="s">
        <v>167</v>
      </c>
      <c r="H32" s="177">
        <v>1</v>
      </c>
      <c r="I32" s="177">
        <v>1</v>
      </c>
      <c r="J32" s="178">
        <v>1200</v>
      </c>
      <c r="K32" s="159">
        <f t="shared" ref="K32" si="28">IF(F32&lt;&gt;"",H32*I32*J32,"")</f>
        <v>1200</v>
      </c>
      <c r="L32" s="159">
        <f t="shared" ref="L32" si="29">IF(K32&lt;&gt;"",IF(D32="INTERNO",0,K32*$L$14),"")</f>
        <v>96</v>
      </c>
      <c r="M32" s="159">
        <f t="shared" ref="M32" si="30">IF(K32&lt;&gt;"",IF(E32="FAT.OGGI",SUM(K32:L32)*(1/(1-$M$14)-1),L32*(1/(1-$M$14)-1)),"")</f>
        <v>23.299117683608806</v>
      </c>
      <c r="N32" s="160">
        <f t="shared" ref="N32" si="31">SUM(K32:M32)</f>
        <v>1319.2991176836088</v>
      </c>
      <c r="O32" s="179" t="b">
        <v>0</v>
      </c>
      <c r="Q32" s="143">
        <f>IF(H32&lt;&gt;"",H32,"")</f>
        <v>1</v>
      </c>
      <c r="R32" s="161">
        <f>IF(I32&lt;&gt;"",I32,"")</f>
        <v>1</v>
      </c>
      <c r="S32" s="162">
        <v>1200</v>
      </c>
      <c r="T32" s="162">
        <v>1297.58</v>
      </c>
      <c r="U32" s="163">
        <f>IF(Q32&lt;&gt;"",K32-T32,"")</f>
        <v>-97.579999999999927</v>
      </c>
      <c r="V32" s="164">
        <f>IF(Q32&lt;&gt;"",0%,"")</f>
        <v>0</v>
      </c>
      <c r="W32" s="165">
        <f>IF(Q32&lt;&gt;"",V32*U32,"")</f>
        <v>0</v>
      </c>
      <c r="X32" s="165">
        <f>IF(Q32&lt;&gt;"",W32+T32,"")</f>
        <v>1297.58</v>
      </c>
      <c r="Y32" s="166">
        <f>IF(Q32&lt;&gt;"",X32+M32,"")</f>
        <v>1320.8791176836087</v>
      </c>
      <c r="Z32" s="150">
        <f>IF(Q32&lt;&gt;"",U32/K32,"")</f>
        <v>-8.1316666666666607E-2</v>
      </c>
      <c r="AA32" s="151">
        <f>T32/$T$33</f>
        <v>1</v>
      </c>
      <c r="AB32" s="152">
        <f t="shared" si="11"/>
        <v>0</v>
      </c>
      <c r="AC32" s="153">
        <v>1297.58</v>
      </c>
      <c r="AD32" s="334" t="s">
        <v>289</v>
      </c>
    </row>
    <row r="33" spans="1:30" ht="30.9" customHeight="1" thickBot="1" x14ac:dyDescent="0.5">
      <c r="A33" s="167">
        <v>19</v>
      </c>
      <c r="B33" s="123"/>
      <c r="C33" s="168" t="s">
        <v>113</v>
      </c>
      <c r="D33" s="167"/>
      <c r="E33" s="167"/>
      <c r="F33" s="499" t="s">
        <v>181</v>
      </c>
      <c r="G33" s="500"/>
      <c r="H33" s="500"/>
      <c r="I33" s="500"/>
      <c r="J33" s="500"/>
      <c r="K33" s="218">
        <f>SUM(K32:K32)</f>
        <v>1200</v>
      </c>
      <c r="L33" s="218">
        <f>SUM(L32:L32)</f>
        <v>96</v>
      </c>
      <c r="M33" s="218">
        <f>SUM(M32:M32)</f>
        <v>23.299117683608806</v>
      </c>
      <c r="N33" s="219">
        <f>SUM(N32:N32)</f>
        <v>1319.2991176836088</v>
      </c>
      <c r="O33" s="142"/>
      <c r="Q33" s="501" t="s">
        <v>181</v>
      </c>
      <c r="R33" s="502"/>
      <c r="S33" s="503"/>
      <c r="T33" s="220">
        <f>SUM(T32:T32)</f>
        <v>1297.58</v>
      </c>
      <c r="U33" s="221">
        <f>SUM(U32:U32)</f>
        <v>-97.579999999999927</v>
      </c>
      <c r="V33" s="222"/>
      <c r="W33" s="223"/>
      <c r="X33" s="224">
        <f>SUM(X32:X32)</f>
        <v>1297.58</v>
      </c>
      <c r="Y33" s="225">
        <f>IF(Q33&lt;&gt;"",X33+M33,"")</f>
        <v>1320.8791176836087</v>
      </c>
      <c r="Z33" s="150"/>
      <c r="AA33" s="151"/>
      <c r="AB33" s="152"/>
      <c r="AC33" s="153"/>
    </row>
    <row r="34" spans="1:30" ht="30.9" customHeight="1" thickBot="1" x14ac:dyDescent="0.5">
      <c r="A34" s="103">
        <v>20</v>
      </c>
      <c r="B34" s="123">
        <v>4</v>
      </c>
      <c r="C34" s="124" t="s">
        <v>101</v>
      </c>
      <c r="D34" s="103"/>
      <c r="E34" s="103"/>
      <c r="F34" s="467" t="s">
        <v>173</v>
      </c>
      <c r="G34" s="468"/>
      <c r="H34" s="468"/>
      <c r="I34" s="468"/>
      <c r="J34" s="468"/>
      <c r="K34" s="468"/>
      <c r="L34" s="468"/>
      <c r="M34" s="468"/>
      <c r="N34" s="469"/>
      <c r="O34" s="142"/>
      <c r="Q34" s="481" t="str">
        <f>IF(F34&lt;&gt;"",F34,"")</f>
        <v>CENOGRAFIA</v>
      </c>
      <c r="R34" s="482"/>
      <c r="S34" s="482"/>
      <c r="T34" s="482"/>
      <c r="U34" s="482"/>
      <c r="V34" s="482"/>
      <c r="W34" s="482"/>
      <c r="X34" s="482"/>
      <c r="Y34" s="483"/>
      <c r="Z34" s="211"/>
      <c r="AA34" s="151"/>
      <c r="AB34" s="152"/>
      <c r="AC34" s="153"/>
    </row>
    <row r="35" spans="1:30" ht="27.9" customHeight="1" x14ac:dyDescent="0.45">
      <c r="A35" s="103">
        <v>21</v>
      </c>
      <c r="B35" s="123" t="s">
        <v>144</v>
      </c>
      <c r="C35" s="124" t="s">
        <v>102</v>
      </c>
      <c r="D35" s="103"/>
      <c r="E35" s="103"/>
      <c r="F35" s="450" t="s">
        <v>173</v>
      </c>
      <c r="G35" s="451"/>
      <c r="H35" s="451"/>
      <c r="I35" s="451"/>
      <c r="J35" s="451"/>
      <c r="K35" s="451"/>
      <c r="L35" s="226" t="s">
        <v>104</v>
      </c>
      <c r="M35" s="226" t="s">
        <v>105</v>
      </c>
      <c r="N35" s="227" t="s">
        <v>82</v>
      </c>
      <c r="O35" s="142"/>
      <c r="Q35" s="452" t="str">
        <f>IF(F35&lt;&gt;"",F35,"")</f>
        <v>CENOGRAFIA</v>
      </c>
      <c r="R35" s="453"/>
      <c r="S35" s="453"/>
      <c r="T35" s="453"/>
      <c r="U35" s="453"/>
      <c r="V35" s="453"/>
      <c r="W35" s="453"/>
      <c r="X35" s="453"/>
      <c r="Y35" s="454"/>
      <c r="Z35" s="215" t="s">
        <v>106</v>
      </c>
      <c r="AA35" s="216" t="s">
        <v>83</v>
      </c>
      <c r="AB35" s="152"/>
      <c r="AC35" s="153"/>
    </row>
    <row r="36" spans="1:30" ht="90" customHeight="1" x14ac:dyDescent="0.45">
      <c r="A36" s="154">
        <v>22</v>
      </c>
      <c r="B36" s="123" t="s">
        <v>145</v>
      </c>
      <c r="C36" s="155" t="s">
        <v>107</v>
      </c>
      <c r="D36" s="154" t="s">
        <v>117</v>
      </c>
      <c r="E36" s="154" t="s">
        <v>118</v>
      </c>
      <c r="F36" s="228" t="s">
        <v>201</v>
      </c>
      <c r="G36" s="157" t="s">
        <v>249</v>
      </c>
      <c r="H36" s="158">
        <v>1</v>
      </c>
      <c r="I36" s="158">
        <v>1</v>
      </c>
      <c r="J36" s="159">
        <v>14200</v>
      </c>
      <c r="K36" s="159">
        <f t="shared" ref="K36" si="32">IF(F36&lt;&gt;"",H36*I36*J36,"")</f>
        <v>14200</v>
      </c>
      <c r="L36" s="159">
        <f t="shared" ref="L36" si="33">IF(K36&lt;&gt;"",IF(D36="INTERNO",0,K36*$L$14),"")</f>
        <v>1136</v>
      </c>
      <c r="M36" s="159">
        <f t="shared" ref="M36" si="34">IF(K36&lt;&gt;"",IF(E36="FAT.OGGI",SUM(K36:L36)*(1/(1-$M$14)-1),L36*(1/(1-$M$14)-1)),"")</f>
        <v>275.70622592270422</v>
      </c>
      <c r="N36" s="160">
        <f t="shared" ref="N36" si="35">SUM(K36:M36)</f>
        <v>15611.706225922704</v>
      </c>
      <c r="O36" s="179" t="b">
        <v>1</v>
      </c>
      <c r="P36" s="229" t="s">
        <v>256</v>
      </c>
      <c r="Q36" s="143">
        <f t="shared" ref="Q36:R36" si="36">IF(H36&lt;&gt;"",H36,"")</f>
        <v>1</v>
      </c>
      <c r="R36" s="161">
        <f t="shared" si="36"/>
        <v>1</v>
      </c>
      <c r="S36" s="162">
        <v>10600</v>
      </c>
      <c r="T36" s="162">
        <v>8500</v>
      </c>
      <c r="U36" s="163">
        <f t="shared" ref="U36" si="37">IF(Q36&lt;&gt;"",K36-T36,"")</f>
        <v>5700</v>
      </c>
      <c r="V36" s="164">
        <f t="shared" ref="V36" si="38">IF(Q36&lt;&gt;"",0%,"")</f>
        <v>0</v>
      </c>
      <c r="W36" s="165">
        <f t="shared" ref="W36" si="39">IF(Q36&lt;&gt;"",V36*U36,"")</f>
        <v>0</v>
      </c>
      <c r="X36" s="165">
        <f t="shared" ref="X36" si="40">IF(Q36&lt;&gt;"",W36+T36,"")</f>
        <v>8500</v>
      </c>
      <c r="Y36" s="166">
        <f t="shared" ref="Y36" si="41">IF(Q36&lt;&gt;"",X36+M36,"")</f>
        <v>8775.7062259227041</v>
      </c>
      <c r="Z36" s="230">
        <f t="shared" ref="Z36" si="42">IF(Q36&lt;&gt;"",U36/K36,"")</f>
        <v>0.40140845070422537</v>
      </c>
      <c r="AA36" s="151">
        <f>T36/$T$41</f>
        <v>1</v>
      </c>
      <c r="AB36" s="152">
        <f t="shared" si="11"/>
        <v>0</v>
      </c>
      <c r="AC36" s="153">
        <v>8500</v>
      </c>
      <c r="AD36" s="334" t="s">
        <v>290</v>
      </c>
    </row>
    <row r="37" spans="1:30" ht="90" customHeight="1" x14ac:dyDescent="0.45">
      <c r="A37" s="167">
        <v>23</v>
      </c>
      <c r="B37" s="123" t="s">
        <v>146</v>
      </c>
      <c r="C37" s="168" t="s">
        <v>107</v>
      </c>
      <c r="D37" s="154" t="s">
        <v>117</v>
      </c>
      <c r="E37" s="154" t="s">
        <v>118</v>
      </c>
      <c r="F37" s="228" t="s">
        <v>230</v>
      </c>
      <c r="G37" s="157" t="s">
        <v>231</v>
      </c>
      <c r="H37" s="158">
        <v>2</v>
      </c>
      <c r="I37" s="158">
        <v>1</v>
      </c>
      <c r="J37" s="159">
        <v>600</v>
      </c>
      <c r="K37" s="159">
        <f>IF(F37&lt;&gt;"",H37*I37*J37,"")</f>
        <v>1200</v>
      </c>
      <c r="L37" s="159">
        <f>IF(K37&lt;&gt;"",IF(D37="INTERNO",0,K37*$L$14),"")</f>
        <v>96</v>
      </c>
      <c r="M37" s="159">
        <f>IF(K37&lt;&gt;"",IF(E37="FAT.OGGI",SUM(K37:L37)*(1/(1-$M$14)-1),L37*(1/(1-$M$14)-1)),"")</f>
        <v>23.299117683608806</v>
      </c>
      <c r="N37" s="160">
        <f>SUM(K37:M37)</f>
        <v>1319.2991176836088</v>
      </c>
      <c r="O37" s="179" t="b">
        <v>0</v>
      </c>
      <c r="P37" s="180"/>
      <c r="Q37" s="143">
        <f>IF(H37&lt;&gt;"",H37,"")</f>
        <v>2</v>
      </c>
      <c r="R37" s="161">
        <f>IF(I37&lt;&gt;"",I37,"")</f>
        <v>1</v>
      </c>
      <c r="S37" s="162">
        <v>450</v>
      </c>
      <c r="T37" s="162">
        <v>0</v>
      </c>
      <c r="U37" s="163">
        <f>IF(Q37&lt;&gt;"",K37-T37,"")</f>
        <v>1200</v>
      </c>
      <c r="V37" s="164">
        <f>IF(Q37&lt;&gt;"",0%,"")</f>
        <v>0</v>
      </c>
      <c r="W37" s="165">
        <f>IF(Q37&lt;&gt;"",V37*U37,"")</f>
        <v>0</v>
      </c>
      <c r="X37" s="165">
        <f>IF(Q37&lt;&gt;"",W37+T37,"")</f>
        <v>0</v>
      </c>
      <c r="Y37" s="166">
        <f>IF(Q37&lt;&gt;"",X37+M37,"")</f>
        <v>23.299117683608806</v>
      </c>
      <c r="Z37" s="230">
        <f>IF(Q37&lt;&gt;"",U37/K37,"")</f>
        <v>1</v>
      </c>
      <c r="AA37" s="151">
        <f>T37/$T$41</f>
        <v>0</v>
      </c>
      <c r="AB37" s="152">
        <f t="shared" si="11"/>
        <v>0</v>
      </c>
      <c r="AC37" s="153"/>
    </row>
    <row r="38" spans="1:30" ht="90" customHeight="1" x14ac:dyDescent="0.45">
      <c r="A38" s="167">
        <v>24</v>
      </c>
      <c r="B38" s="123" t="s">
        <v>147</v>
      </c>
      <c r="C38" s="168" t="s">
        <v>107</v>
      </c>
      <c r="D38" s="154" t="s">
        <v>117</v>
      </c>
      <c r="E38" s="154" t="s">
        <v>118</v>
      </c>
      <c r="F38" s="228" t="s">
        <v>232</v>
      </c>
      <c r="G38" s="157" t="s">
        <v>250</v>
      </c>
      <c r="H38" s="158">
        <v>2</v>
      </c>
      <c r="I38" s="158">
        <v>1</v>
      </c>
      <c r="J38" s="159">
        <v>1200</v>
      </c>
      <c r="K38" s="159">
        <f>IF(F38&lt;&gt;"",H38*I38*J38,"")</f>
        <v>2400</v>
      </c>
      <c r="L38" s="159">
        <f>IF(K38&lt;&gt;"",IF(D38="INTERNO",0,K38*$L$14),"")</f>
        <v>192</v>
      </c>
      <c r="M38" s="159">
        <f>IF(K38&lt;&gt;"",IF(E38="FAT.OGGI",SUM(K38:L38)*(1/(1-$M$14)-1),L38*(1/(1-$M$14)-1)),"")</f>
        <v>46.598235367217612</v>
      </c>
      <c r="N38" s="160">
        <f>SUM(K38:M38)</f>
        <v>2638.5982353672175</v>
      </c>
      <c r="O38" s="179" t="b">
        <v>1</v>
      </c>
      <c r="P38" s="180"/>
      <c r="Q38" s="143">
        <f>IF(H38&lt;&gt;"",H38,"")</f>
        <v>2</v>
      </c>
      <c r="R38" s="161">
        <f>IF(I38&lt;&gt;"",I38,"")</f>
        <v>1</v>
      </c>
      <c r="S38" s="162">
        <v>1000</v>
      </c>
      <c r="T38" s="162">
        <v>0</v>
      </c>
      <c r="U38" s="163">
        <f>IF(Q38&lt;&gt;"",K38-T38,"")</f>
        <v>2400</v>
      </c>
      <c r="V38" s="164">
        <f>IF(Q38&lt;&gt;"",0%,"")</f>
        <v>0</v>
      </c>
      <c r="W38" s="165">
        <f>IF(Q38&lt;&gt;"",V38*U38,"")</f>
        <v>0</v>
      </c>
      <c r="X38" s="165">
        <f>IF(Q38&lt;&gt;"",W38+T38,"")</f>
        <v>0</v>
      </c>
      <c r="Y38" s="166">
        <f>IF(Q38&lt;&gt;"",X38+M38,"")</f>
        <v>46.598235367217612</v>
      </c>
      <c r="Z38" s="230">
        <f>IF(Q38&lt;&gt;"",U38/K38,"")</f>
        <v>1</v>
      </c>
      <c r="AA38" s="151">
        <f>T38/$T$41</f>
        <v>0</v>
      </c>
      <c r="AB38" s="152">
        <f t="shared" si="11"/>
        <v>0</v>
      </c>
      <c r="AC38" s="153"/>
    </row>
    <row r="39" spans="1:30" ht="90" customHeight="1" x14ac:dyDescent="0.45">
      <c r="A39" s="154">
        <v>25</v>
      </c>
      <c r="B39" s="123" t="s">
        <v>188</v>
      </c>
      <c r="C39" s="155" t="s">
        <v>107</v>
      </c>
      <c r="D39" s="154" t="s">
        <v>117</v>
      </c>
      <c r="E39" s="154" t="s">
        <v>118</v>
      </c>
      <c r="F39" s="228" t="s">
        <v>228</v>
      </c>
      <c r="G39" s="157" t="s">
        <v>229</v>
      </c>
      <c r="H39" s="158">
        <v>1</v>
      </c>
      <c r="I39" s="158">
        <v>1</v>
      </c>
      <c r="J39" s="159">
        <v>1200</v>
      </c>
      <c r="K39" s="159">
        <f t="shared" ref="K39" si="43">IF(F39&lt;&gt;"",H39*I39*J39,"")</f>
        <v>1200</v>
      </c>
      <c r="L39" s="159">
        <f t="shared" ref="L39" si="44">IF(K39&lt;&gt;"",IF(D39="INTERNO",0,K39*$L$14),"")</f>
        <v>96</v>
      </c>
      <c r="M39" s="159">
        <f t="shared" ref="M39" si="45">IF(K39&lt;&gt;"",IF(E39="FAT.OGGI",SUM(K39:L39)*(1/(1-$M$14)-1),L39*(1/(1-$M$14)-1)),"")</f>
        <v>23.299117683608806</v>
      </c>
      <c r="N39" s="160">
        <f t="shared" ref="N39" si="46">SUM(K39:M39)</f>
        <v>1319.2991176836088</v>
      </c>
      <c r="O39" s="179" t="b">
        <v>1</v>
      </c>
      <c r="P39" s="229" t="s">
        <v>254</v>
      </c>
      <c r="Q39" s="231">
        <f t="shared" ref="Q39" si="47">IF(H39&lt;&gt;"",H39,"")</f>
        <v>1</v>
      </c>
      <c r="R39" s="194">
        <f t="shared" ref="R39" si="48">IF(I39&lt;&gt;"",I39,"")</f>
        <v>1</v>
      </c>
      <c r="S39" s="195">
        <v>900</v>
      </c>
      <c r="T39" s="195">
        <v>0</v>
      </c>
      <c r="U39" s="232">
        <f t="shared" ref="U39" si="49">IF(Q39&lt;&gt;"",K39-T39,"")</f>
        <v>1200</v>
      </c>
      <c r="V39" s="222">
        <f t="shared" ref="V39" si="50">IF(Q39&lt;&gt;"",0%,"")</f>
        <v>0</v>
      </c>
      <c r="W39" s="223">
        <f t="shared" ref="W39" si="51">IF(Q39&lt;&gt;"",V39*U39,"")</f>
        <v>0</v>
      </c>
      <c r="X39" s="223">
        <f t="shared" ref="X39" si="52">IF(Q39&lt;&gt;"",W39+T39,"")</f>
        <v>0</v>
      </c>
      <c r="Y39" s="187">
        <f t="shared" ref="Y39" si="53">IF(Q39&lt;&gt;"",X39+M39,"")</f>
        <v>23.299117683608806</v>
      </c>
      <c r="Z39" s="230">
        <f t="shared" ref="Z39" si="54">IF(Q39&lt;&gt;"",U39/K39,"")</f>
        <v>1</v>
      </c>
      <c r="AA39" s="151">
        <f>T39/$T$41</f>
        <v>0</v>
      </c>
      <c r="AB39" s="152">
        <f t="shared" si="11"/>
        <v>0</v>
      </c>
      <c r="AC39" s="153"/>
    </row>
    <row r="40" spans="1:30" ht="90" customHeight="1" x14ac:dyDescent="0.45">
      <c r="A40" s="167">
        <v>26</v>
      </c>
      <c r="B40" s="123" t="s">
        <v>191</v>
      </c>
      <c r="C40" s="168" t="s">
        <v>107</v>
      </c>
      <c r="D40" s="154" t="s">
        <v>117</v>
      </c>
      <c r="E40" s="154" t="s">
        <v>118</v>
      </c>
      <c r="F40" s="228" t="s">
        <v>247</v>
      </c>
      <c r="G40" s="157" t="s">
        <v>248</v>
      </c>
      <c r="H40" s="158">
        <v>1</v>
      </c>
      <c r="I40" s="158">
        <v>1</v>
      </c>
      <c r="J40" s="159">
        <v>3600</v>
      </c>
      <c r="K40" s="159">
        <f>IF(F40&lt;&gt;"",H40*I40*J40,"")</f>
        <v>3600</v>
      </c>
      <c r="L40" s="159">
        <f>IF(K40&lt;&gt;"",IF(D40="INTERNO",0,K40*$L$14),"")</f>
        <v>288</v>
      </c>
      <c r="M40" s="159">
        <f>IF(K40&lt;&gt;"",IF(E40="FAT.OGGI",SUM(K40:L40)*(1/(1-$M$14)-1),L40*(1/(1-$M$14)-1)),"")</f>
        <v>69.89735305082641</v>
      </c>
      <c r="N40" s="160">
        <f>SUM(K40:M40)</f>
        <v>3957.8973530508265</v>
      </c>
      <c r="O40" s="179" t="b">
        <v>1</v>
      </c>
      <c r="P40" s="180" t="s">
        <v>257</v>
      </c>
      <c r="Q40" s="231">
        <f>IF(H40&lt;&gt;"",H40,"")</f>
        <v>1</v>
      </c>
      <c r="R40" s="196">
        <f>IF(I40&lt;&gt;"",I40,"")</f>
        <v>1</v>
      </c>
      <c r="S40" s="197">
        <v>3000</v>
      </c>
      <c r="T40" s="197">
        <v>0</v>
      </c>
      <c r="U40" s="198">
        <f>IF(Q40&lt;&gt;"",K40-T40,"")</f>
        <v>3600</v>
      </c>
      <c r="V40" s="199">
        <f>IF(Q40&lt;&gt;"",0%,"")</f>
        <v>0</v>
      </c>
      <c r="W40" s="200">
        <f>IF(Q40&lt;&gt;"",V40*U40,"")</f>
        <v>0</v>
      </c>
      <c r="X40" s="200">
        <f>IF(Q40&lt;&gt;"",W40+T40,"")</f>
        <v>0</v>
      </c>
      <c r="Y40" s="165">
        <f>IF(Q40&lt;&gt;"",X40+M40,"")</f>
        <v>69.89735305082641</v>
      </c>
      <c r="Z40" s="201">
        <f>IF(Q40&lt;&gt;"",U40/K40,"")</f>
        <v>1</v>
      </c>
      <c r="AA40" s="151"/>
      <c r="AB40" s="152">
        <f t="shared" si="11"/>
        <v>0</v>
      </c>
      <c r="AC40" s="153"/>
    </row>
    <row r="41" spans="1:30" ht="39" customHeight="1" thickBot="1" x14ac:dyDescent="0.5">
      <c r="A41" s="154">
        <v>27</v>
      </c>
      <c r="B41" s="123"/>
      <c r="C41" s="155" t="s">
        <v>113</v>
      </c>
      <c r="D41" s="154"/>
      <c r="E41" s="154"/>
      <c r="F41" s="513" t="s">
        <v>180</v>
      </c>
      <c r="G41" s="514"/>
      <c r="H41" s="514"/>
      <c r="I41" s="514"/>
      <c r="J41" s="514"/>
      <c r="K41" s="233">
        <f>SUM(K36:K40)</f>
        <v>22600</v>
      </c>
      <c r="L41" s="233">
        <f>SUM(L36:L40)</f>
        <v>1808</v>
      </c>
      <c r="M41" s="233">
        <f>SUM(M36:M40)</f>
        <v>438.80004970796585</v>
      </c>
      <c r="N41" s="234">
        <f>SUM(N36:N40)</f>
        <v>24846.800049707967</v>
      </c>
      <c r="O41" s="142"/>
      <c r="P41" s="180"/>
      <c r="Q41" s="515" t="s">
        <v>180</v>
      </c>
      <c r="R41" s="516"/>
      <c r="S41" s="516"/>
      <c r="T41" s="235">
        <f>SUM(T36:T40)</f>
        <v>8500</v>
      </c>
      <c r="U41" s="236">
        <f>SUM(U36:U40)</f>
        <v>14100</v>
      </c>
      <c r="V41" s="147"/>
      <c r="W41" s="148"/>
      <c r="X41" s="237">
        <f>SUM(X36:X40)</f>
        <v>8500</v>
      </c>
      <c r="Y41" s="238">
        <f>IF(Q41&lt;&gt;"",X41+M41,"")</f>
        <v>8938.8000497079665</v>
      </c>
      <c r="Z41" s="230"/>
      <c r="AA41" s="151"/>
      <c r="AB41" s="152"/>
      <c r="AC41" s="153"/>
    </row>
    <row r="42" spans="1:30" ht="39" customHeight="1" x14ac:dyDescent="0.45">
      <c r="A42" s="103">
        <v>28</v>
      </c>
      <c r="B42" s="123">
        <v>5</v>
      </c>
      <c r="C42" s="124" t="s">
        <v>101</v>
      </c>
      <c r="D42" s="103"/>
      <c r="E42" s="103"/>
      <c r="F42" s="473" t="s">
        <v>233</v>
      </c>
      <c r="G42" s="474"/>
      <c r="H42" s="474"/>
      <c r="I42" s="474"/>
      <c r="J42" s="474"/>
      <c r="K42" s="474"/>
      <c r="L42" s="474"/>
      <c r="M42" s="474"/>
      <c r="N42" s="475"/>
      <c r="O42" s="142"/>
      <c r="P42" s="180"/>
      <c r="Q42" s="517" t="str">
        <f>IF(F42&lt;&gt;"",F42,"")</f>
        <v>MOBILIARIO</v>
      </c>
      <c r="R42" s="518"/>
      <c r="S42" s="518"/>
      <c r="T42" s="518"/>
      <c r="U42" s="518"/>
      <c r="V42" s="518"/>
      <c r="W42" s="518"/>
      <c r="X42" s="518"/>
      <c r="Y42" s="519"/>
      <c r="Z42" s="230"/>
      <c r="AA42" s="151"/>
      <c r="AB42" s="152"/>
      <c r="AC42" s="153"/>
    </row>
    <row r="43" spans="1:30" ht="24.9" customHeight="1" x14ac:dyDescent="0.45">
      <c r="A43" s="167">
        <v>29</v>
      </c>
      <c r="B43" s="123" t="s">
        <v>168</v>
      </c>
      <c r="C43" s="168" t="s">
        <v>102</v>
      </c>
      <c r="D43" s="167"/>
      <c r="E43" s="167"/>
      <c r="F43" s="520" t="s">
        <v>233</v>
      </c>
      <c r="G43" s="521"/>
      <c r="H43" s="521"/>
      <c r="I43" s="521"/>
      <c r="J43" s="521"/>
      <c r="K43" s="522"/>
      <c r="L43" s="239" t="s">
        <v>104</v>
      </c>
      <c r="M43" s="240" t="s">
        <v>105</v>
      </c>
      <c r="N43" s="241" t="s">
        <v>82</v>
      </c>
      <c r="O43" s="142"/>
      <c r="P43" s="180"/>
      <c r="Q43" s="523" t="str">
        <f>IF(F43&lt;&gt;"",F43,"")</f>
        <v>MOBILIARIO</v>
      </c>
      <c r="R43" s="524"/>
      <c r="S43" s="524"/>
      <c r="T43" s="524"/>
      <c r="U43" s="524"/>
      <c r="V43" s="524"/>
      <c r="W43" s="524"/>
      <c r="X43" s="524"/>
      <c r="Y43" s="524"/>
      <c r="Z43" s="242" t="s">
        <v>106</v>
      </c>
      <c r="AA43" s="216" t="s">
        <v>83</v>
      </c>
      <c r="AB43" s="152"/>
      <c r="AC43" s="153"/>
    </row>
    <row r="44" spans="1:30" ht="90" customHeight="1" x14ac:dyDescent="0.45">
      <c r="A44" s="154">
        <v>30</v>
      </c>
      <c r="B44" s="123" t="s">
        <v>169</v>
      </c>
      <c r="C44" s="155" t="s">
        <v>107</v>
      </c>
      <c r="D44" s="154" t="s">
        <v>117</v>
      </c>
      <c r="E44" s="154" t="s">
        <v>118</v>
      </c>
      <c r="F44" s="156" t="s">
        <v>192</v>
      </c>
      <c r="G44" s="157" t="s">
        <v>202</v>
      </c>
      <c r="H44" s="158">
        <v>250</v>
      </c>
      <c r="I44" s="158">
        <v>1</v>
      </c>
      <c r="J44" s="159">
        <v>30</v>
      </c>
      <c r="K44" s="159">
        <f t="shared" ref="K44" si="55">IF(F44&lt;&gt;"",H44*I44*J44,"")</f>
        <v>7500</v>
      </c>
      <c r="L44" s="159">
        <f t="shared" ref="L44" si="56">IF(K44&lt;&gt;"",IF(D44="INTERNO",0,K44*$L$14),"")</f>
        <v>600</v>
      </c>
      <c r="M44" s="159">
        <f t="shared" ref="M44" si="57">IF(K44&lt;&gt;"",IF(E44="FAT.OGGI",SUM(K44:L44)*(1/(1-$M$14)-1),L44*(1/(1-$M$14)-1)),"")</f>
        <v>145.61948552255504</v>
      </c>
      <c r="N44" s="160">
        <f t="shared" ref="N44" si="58">SUM(K44:M44)</f>
        <v>8245.6194855225549</v>
      </c>
      <c r="O44" s="179" t="b">
        <v>1</v>
      </c>
      <c r="P44" s="180" t="s">
        <v>255</v>
      </c>
      <c r="Q44" s="243">
        <v>1</v>
      </c>
      <c r="R44" s="196">
        <f t="shared" ref="R44" si="59">IF(I44&lt;&gt;"",I44,"")</f>
        <v>1</v>
      </c>
      <c r="S44" s="197">
        <v>9000</v>
      </c>
      <c r="T44" s="197">
        <f t="shared" ref="T44" si="60">IF(Q44&lt;&gt;"",Q44*R44*S44,"")</f>
        <v>9000</v>
      </c>
      <c r="U44" s="198">
        <f t="shared" ref="U44" si="61">IF(Q44&lt;&gt;"",K44-T44,"")</f>
        <v>-1500</v>
      </c>
      <c r="V44" s="199">
        <f t="shared" ref="V44" si="62">IF(Q44&lt;&gt;"",0%,"")</f>
        <v>0</v>
      </c>
      <c r="W44" s="200">
        <f t="shared" ref="W44" si="63">IF(Q44&lt;&gt;"",V44*U44,"")</f>
        <v>0</v>
      </c>
      <c r="X44" s="200">
        <f t="shared" ref="X44" si="64">IF(Q44&lt;&gt;"",W44+T44,"")</f>
        <v>9000</v>
      </c>
      <c r="Y44" s="166">
        <f t="shared" ref="Y44:Y47" si="65">IF(Q44&lt;&gt;"",X44+M44,"")</f>
        <v>9145.6194855225549</v>
      </c>
      <c r="Z44" s="230">
        <f t="shared" ref="Z44" si="66">IF(Q44&lt;&gt;"",U44/K44,"")</f>
        <v>-0.2</v>
      </c>
      <c r="AA44" s="151"/>
      <c r="AB44" s="152">
        <f t="shared" si="11"/>
        <v>0</v>
      </c>
      <c r="AC44" s="153">
        <v>9000</v>
      </c>
      <c r="AD44" s="334" t="s">
        <v>284</v>
      </c>
    </row>
    <row r="45" spans="1:30" ht="90" customHeight="1" x14ac:dyDescent="0.45">
      <c r="A45" s="154">
        <v>31</v>
      </c>
      <c r="B45" s="123" t="s">
        <v>170</v>
      </c>
      <c r="C45" s="155" t="s">
        <v>107</v>
      </c>
      <c r="D45" s="154" t="s">
        <v>117</v>
      </c>
      <c r="E45" s="154" t="s">
        <v>118</v>
      </c>
      <c r="F45" s="188" t="s">
        <v>208</v>
      </c>
      <c r="G45" s="244" t="s">
        <v>207</v>
      </c>
      <c r="H45" s="245">
        <v>8</v>
      </c>
      <c r="I45" s="245">
        <v>1</v>
      </c>
      <c r="J45" s="192">
        <v>60</v>
      </c>
      <c r="K45" s="192">
        <f t="shared" ref="K45" si="67">IF(F45&lt;&gt;"",H45*I45*J45,"")</f>
        <v>480</v>
      </c>
      <c r="L45" s="192">
        <f t="shared" ref="L45" si="68">IF(K45&lt;&gt;"",IF(D45="INTERNO",0,K45*$L$14),"")</f>
        <v>38.4</v>
      </c>
      <c r="M45" s="192">
        <f t="shared" ref="M45" si="69">IF(K45&lt;&gt;"",IF(E45="FAT.OGGI",SUM(K45:L45)*(1/(1-$M$14)-1),L45*(1/(1-$M$14)-1)),"")</f>
        <v>9.3196470734435213</v>
      </c>
      <c r="N45" s="193">
        <f t="shared" ref="N45" si="70">SUM(K45:M45)</f>
        <v>527.71964707344353</v>
      </c>
      <c r="O45" s="179" t="b">
        <v>1</v>
      </c>
      <c r="P45" s="180" t="s">
        <v>255</v>
      </c>
      <c r="Q45" s="143">
        <v>1</v>
      </c>
      <c r="R45" s="246">
        <v>0</v>
      </c>
      <c r="S45" s="247">
        <v>60</v>
      </c>
      <c r="T45" s="247">
        <f t="shared" ref="T45" si="71">IF(Q45&lt;&gt;"",Q45*R45*S45,"")</f>
        <v>0</v>
      </c>
      <c r="U45" s="248">
        <f t="shared" ref="U45" si="72">IF(Q45&lt;&gt;"",K45-T45,"")</f>
        <v>480</v>
      </c>
      <c r="V45" s="249">
        <f t="shared" ref="V45" si="73">IF(Q45&lt;&gt;"",0%,"")</f>
        <v>0</v>
      </c>
      <c r="W45" s="250">
        <f t="shared" ref="W45" si="74">IF(Q45&lt;&gt;"",V45*U45,"")</f>
        <v>0</v>
      </c>
      <c r="X45" s="250">
        <f t="shared" ref="X45" si="75">IF(Q45&lt;&gt;"",W45+T45,"")</f>
        <v>0</v>
      </c>
      <c r="Y45" s="251">
        <f t="shared" ref="Y45" si="76">IF(Q45&lt;&gt;"",X45+M45,"")</f>
        <v>9.3196470734435213</v>
      </c>
      <c r="Z45" s="252">
        <f t="shared" ref="Z45" si="77">IF(Q45&lt;&gt;"",U45/K45,"")</f>
        <v>1</v>
      </c>
      <c r="AA45" s="202"/>
      <c r="AB45" s="152">
        <f t="shared" si="11"/>
        <v>0</v>
      </c>
      <c r="AC45" s="153"/>
    </row>
    <row r="46" spans="1:30" ht="90" customHeight="1" x14ac:dyDescent="0.45">
      <c r="A46" s="167">
        <v>32</v>
      </c>
      <c r="B46" s="123" t="s">
        <v>224</v>
      </c>
      <c r="C46" s="168" t="s">
        <v>107</v>
      </c>
      <c r="D46" s="154" t="s">
        <v>117</v>
      </c>
      <c r="E46" s="154" t="s">
        <v>118</v>
      </c>
      <c r="F46" s="188" t="s">
        <v>217</v>
      </c>
      <c r="G46" s="244" t="s">
        <v>218</v>
      </c>
      <c r="H46" s="158">
        <v>1</v>
      </c>
      <c r="I46" s="158">
        <v>1</v>
      </c>
      <c r="J46" s="159">
        <v>4000</v>
      </c>
      <c r="K46" s="159">
        <f>IF(F46&lt;&gt;"",H46*I46*J46,"")</f>
        <v>4000</v>
      </c>
      <c r="L46" s="159">
        <f>IF(K46&lt;&gt;"",IF(D46="INTERNO",0,K46*$L$14),"")</f>
        <v>320</v>
      </c>
      <c r="M46" s="159">
        <f>IF(K46&lt;&gt;"",IF(E46="FAT.OGGI",SUM(K46:L46)*(1/(1-$M$14)-1),L46*(1/(1-$M$14)-1)),"")</f>
        <v>77.663725612029353</v>
      </c>
      <c r="N46" s="193">
        <f>SUM(K46:M46)</f>
        <v>4397.6637256120293</v>
      </c>
      <c r="O46" s="179" t="b">
        <v>1</v>
      </c>
      <c r="P46" s="180"/>
      <c r="Q46" s="253">
        <f>IF(H46&lt;&gt;"",H46,"")</f>
        <v>1</v>
      </c>
      <c r="R46" s="196">
        <v>0</v>
      </c>
      <c r="S46" s="197">
        <v>3000</v>
      </c>
      <c r="T46" s="197">
        <f>IF(Q46&lt;&gt;"",Q46*R46*S46,"")</f>
        <v>0</v>
      </c>
      <c r="U46" s="198">
        <f>IF(Q46&lt;&gt;"",K46-T46,"")</f>
        <v>4000</v>
      </c>
      <c r="V46" s="199">
        <f>IF(Q46&lt;&gt;"",0%,"")</f>
        <v>0</v>
      </c>
      <c r="W46" s="200">
        <f>IF(Q46&lt;&gt;"",V46*U46,"")</f>
        <v>0</v>
      </c>
      <c r="X46" s="200">
        <f>IF(Q46&lt;&gt;"",W46+T46,"")</f>
        <v>0</v>
      </c>
      <c r="Y46" s="165">
        <f>IF(Q46&lt;&gt;"",X46+M46,"")</f>
        <v>77.663725612029353</v>
      </c>
      <c r="Z46" s="201">
        <f>IF(Q46&lt;&gt;"",U46/K46,"")</f>
        <v>1</v>
      </c>
      <c r="AA46" s="202"/>
      <c r="AB46" s="152">
        <f t="shared" si="11"/>
        <v>0</v>
      </c>
      <c r="AC46" s="153"/>
    </row>
    <row r="47" spans="1:30" ht="27.9" customHeight="1" thickBot="1" x14ac:dyDescent="0.5">
      <c r="A47" s="154">
        <v>33</v>
      </c>
      <c r="B47" s="123"/>
      <c r="C47" s="155" t="s">
        <v>113</v>
      </c>
      <c r="D47" s="154"/>
      <c r="E47" s="154"/>
      <c r="F47" s="458" t="s">
        <v>180</v>
      </c>
      <c r="G47" s="459"/>
      <c r="H47" s="459"/>
      <c r="I47" s="459"/>
      <c r="J47" s="525"/>
      <c r="K47" s="254">
        <f>SUM(K44:K46)</f>
        <v>11980</v>
      </c>
      <c r="L47" s="254">
        <f>SUM(L44:L46)</f>
        <v>958.4</v>
      </c>
      <c r="M47" s="254">
        <f>SUM(M44:M46)</f>
        <v>232.6028582080279</v>
      </c>
      <c r="N47" s="255">
        <f>SUM(N44:N46)</f>
        <v>13171.002858208027</v>
      </c>
      <c r="O47" s="142"/>
      <c r="Q47" s="465" t="s">
        <v>180</v>
      </c>
      <c r="R47" s="466"/>
      <c r="S47" s="526"/>
      <c r="T47" s="256">
        <f>SUM(T44:T46)</f>
        <v>9000</v>
      </c>
      <c r="U47" s="257">
        <f>SUM(U44:U46)</f>
        <v>2980</v>
      </c>
      <c r="V47" s="258"/>
      <c r="W47" s="259"/>
      <c r="X47" s="259">
        <f>SUM(X44:X46)</f>
        <v>9000</v>
      </c>
      <c r="Y47" s="210">
        <f t="shared" si="65"/>
        <v>9232.6028582080271</v>
      </c>
      <c r="Z47" s="260"/>
      <c r="AA47" s="216"/>
      <c r="AB47" s="152"/>
      <c r="AC47" s="153"/>
    </row>
    <row r="48" spans="1:30" ht="27.9" customHeight="1" thickBot="1" x14ac:dyDescent="0.5">
      <c r="A48" s="103">
        <v>34</v>
      </c>
      <c r="B48" s="123">
        <v>6</v>
      </c>
      <c r="C48" s="124" t="s">
        <v>101</v>
      </c>
      <c r="D48" s="103"/>
      <c r="E48" s="103"/>
      <c r="F48" s="467" t="s">
        <v>174</v>
      </c>
      <c r="G48" s="468"/>
      <c r="H48" s="468"/>
      <c r="I48" s="468"/>
      <c r="J48" s="468"/>
      <c r="K48" s="468"/>
      <c r="L48" s="468"/>
      <c r="M48" s="468"/>
      <c r="N48" s="469"/>
      <c r="O48" s="142"/>
      <c r="Q48" s="504" t="str">
        <f>IF(F48&lt;&gt;"",F48,"")</f>
        <v>AUDIOVISUAL</v>
      </c>
      <c r="R48" s="505"/>
      <c r="S48" s="505"/>
      <c r="T48" s="505"/>
      <c r="U48" s="505"/>
      <c r="V48" s="505"/>
      <c r="W48" s="505"/>
      <c r="X48" s="505"/>
      <c r="Y48" s="506"/>
      <c r="Z48" s="260"/>
      <c r="AA48" s="216"/>
      <c r="AB48" s="152"/>
      <c r="AC48" s="153"/>
    </row>
    <row r="49" spans="1:30" ht="27.9" customHeight="1" x14ac:dyDescent="0.45">
      <c r="A49" s="103">
        <v>35</v>
      </c>
      <c r="B49" s="123" t="s">
        <v>175</v>
      </c>
      <c r="C49" s="124" t="s">
        <v>102</v>
      </c>
      <c r="D49" s="103"/>
      <c r="E49" s="103"/>
      <c r="F49" s="507" t="s">
        <v>174</v>
      </c>
      <c r="G49" s="508"/>
      <c r="H49" s="508"/>
      <c r="I49" s="508"/>
      <c r="J49" s="508"/>
      <c r="K49" s="509"/>
      <c r="L49" s="262" t="s">
        <v>104</v>
      </c>
      <c r="M49" s="263" t="s">
        <v>105</v>
      </c>
      <c r="N49" s="264" t="s">
        <v>82</v>
      </c>
      <c r="O49" s="142"/>
      <c r="Q49" s="462" t="str">
        <f>IF(F49&lt;&gt;"",F49,"")</f>
        <v>AUDIOVISUAL</v>
      </c>
      <c r="R49" s="463"/>
      <c r="S49" s="463"/>
      <c r="T49" s="463"/>
      <c r="U49" s="463"/>
      <c r="V49" s="463"/>
      <c r="W49" s="463"/>
      <c r="X49" s="463"/>
      <c r="Y49" s="464"/>
      <c r="Z49" s="265" t="s">
        <v>106</v>
      </c>
      <c r="AA49" s="216" t="s">
        <v>83</v>
      </c>
      <c r="AB49" s="152"/>
      <c r="AC49" s="153"/>
    </row>
    <row r="50" spans="1:30" ht="90" customHeight="1" x14ac:dyDescent="0.45">
      <c r="A50" s="103">
        <v>36</v>
      </c>
      <c r="B50" s="123" t="s">
        <v>176</v>
      </c>
      <c r="C50" s="124" t="s">
        <v>107</v>
      </c>
      <c r="D50" s="103" t="s">
        <v>117</v>
      </c>
      <c r="E50" s="103" t="s">
        <v>118</v>
      </c>
      <c r="F50" s="228" t="s">
        <v>204</v>
      </c>
      <c r="G50" s="157" t="s">
        <v>252</v>
      </c>
      <c r="H50" s="158">
        <v>1</v>
      </c>
      <c r="I50" s="158">
        <v>1</v>
      </c>
      <c r="J50" s="159">
        <v>22250</v>
      </c>
      <c r="K50" s="159">
        <f t="shared" ref="K50:K51" si="78">IF(F50&lt;&gt;"",H50*I50*J50,"")</f>
        <v>22250</v>
      </c>
      <c r="L50" s="159">
        <f t="shared" ref="L50:L51" si="79">IF(K50&lt;&gt;"",IF(D50="INTERNO",0,K50*$L$14),"")</f>
        <v>1780</v>
      </c>
      <c r="M50" s="159">
        <f t="shared" ref="M50:M51" si="80">IF(K50&lt;&gt;"",IF(E50="FAT.OGGI",SUM(K50:L50)*(1/(1-$M$14)-1),L50*(1/(1-$M$14)-1)),"")</f>
        <v>432.00447371691325</v>
      </c>
      <c r="N50" s="160">
        <f t="shared" ref="N50:N51" si="81">SUM(K50:M50)</f>
        <v>24462.004473716912</v>
      </c>
      <c r="O50" s="179" t="b">
        <v>1</v>
      </c>
      <c r="P50" s="229" t="s">
        <v>253</v>
      </c>
      <c r="Q50" s="243">
        <f t="shared" ref="Q50:R50" si="82">IF(H50&lt;&gt;"",H50,"")</f>
        <v>1</v>
      </c>
      <c r="R50" s="196">
        <f t="shared" si="82"/>
        <v>1</v>
      </c>
      <c r="S50" s="197">
        <v>20000</v>
      </c>
      <c r="T50" s="197">
        <v>23000</v>
      </c>
      <c r="U50" s="198">
        <f t="shared" ref="U50:U51" si="83">IF(Q50&lt;&gt;"",K50-T50,"")</f>
        <v>-750</v>
      </c>
      <c r="V50" s="199">
        <f t="shared" ref="V50:V51" si="84">IF(Q50&lt;&gt;"",0%,"")</f>
        <v>0</v>
      </c>
      <c r="W50" s="200">
        <f t="shared" ref="W50:W51" si="85">IF(Q50&lt;&gt;"",V50*U50,"")</f>
        <v>0</v>
      </c>
      <c r="X50" s="200">
        <f t="shared" ref="X50:X51" si="86">IF(Q50&lt;&gt;"",W50+T50,"")</f>
        <v>23000</v>
      </c>
      <c r="Y50" s="166">
        <f t="shared" ref="Y50:Y53" si="87">IF(Q50&lt;&gt;"",X50+M50,"")</f>
        <v>23432.004473716912</v>
      </c>
      <c r="Z50" s="260">
        <f t="shared" ref="Z50:Z51" si="88">IF(Q50&lt;&gt;"",U50/K50,"")</f>
        <v>-3.3707865168539325E-2</v>
      </c>
      <c r="AA50" s="216"/>
      <c r="AB50" s="152">
        <f t="shared" si="11"/>
        <v>0</v>
      </c>
      <c r="AC50" s="153">
        <v>23000</v>
      </c>
      <c r="AD50" s="334" t="s">
        <v>292</v>
      </c>
    </row>
    <row r="51" spans="1:30" ht="90" customHeight="1" x14ac:dyDescent="0.45">
      <c r="A51" s="154">
        <v>37</v>
      </c>
      <c r="B51" s="123" t="s">
        <v>234</v>
      </c>
      <c r="C51" s="155" t="s">
        <v>107</v>
      </c>
      <c r="D51" s="154" t="s">
        <v>117</v>
      </c>
      <c r="E51" s="154" t="s">
        <v>118</v>
      </c>
      <c r="F51" s="266" t="s">
        <v>205</v>
      </c>
      <c r="G51" s="244" t="s">
        <v>227</v>
      </c>
      <c r="H51" s="245">
        <v>1</v>
      </c>
      <c r="I51" s="245">
        <v>1</v>
      </c>
      <c r="J51" s="192">
        <v>13500</v>
      </c>
      <c r="K51" s="192">
        <f t="shared" si="78"/>
        <v>13500</v>
      </c>
      <c r="L51" s="192">
        <f t="shared" si="79"/>
        <v>1080</v>
      </c>
      <c r="M51" s="192">
        <f t="shared" si="80"/>
        <v>262.11507394059907</v>
      </c>
      <c r="N51" s="193">
        <f t="shared" si="81"/>
        <v>14842.115073940598</v>
      </c>
      <c r="O51" s="179" t="b">
        <v>1</v>
      </c>
      <c r="P51" s="229" t="s">
        <v>254</v>
      </c>
      <c r="Q51" s="143">
        <f t="shared" ref="Q51:R51" si="89">IF(H51&lt;&gt;"",H51,"")</f>
        <v>1</v>
      </c>
      <c r="R51" s="246">
        <f t="shared" si="89"/>
        <v>1</v>
      </c>
      <c r="S51" s="247">
        <v>8900</v>
      </c>
      <c r="T51" s="247">
        <v>16200</v>
      </c>
      <c r="U51" s="248">
        <f t="shared" si="83"/>
        <v>-2700</v>
      </c>
      <c r="V51" s="249">
        <f t="shared" si="84"/>
        <v>0</v>
      </c>
      <c r="W51" s="250">
        <f t="shared" si="85"/>
        <v>0</v>
      </c>
      <c r="X51" s="250">
        <f t="shared" si="86"/>
        <v>16200</v>
      </c>
      <c r="Y51" s="251">
        <f t="shared" si="87"/>
        <v>16462.1150739406</v>
      </c>
      <c r="Z51" s="252">
        <f t="shared" si="88"/>
        <v>-0.2</v>
      </c>
      <c r="AA51" s="202">
        <f>T51/$T$53</f>
        <v>0.41326530612244899</v>
      </c>
      <c r="AB51" s="152">
        <f t="shared" si="11"/>
        <v>0</v>
      </c>
      <c r="AC51" s="153">
        <v>16200</v>
      </c>
      <c r="AD51" s="334" t="s">
        <v>293</v>
      </c>
    </row>
    <row r="52" spans="1:30" ht="90" customHeight="1" x14ac:dyDescent="0.45">
      <c r="A52" s="167">
        <v>38</v>
      </c>
      <c r="B52" s="123" t="s">
        <v>235</v>
      </c>
      <c r="C52" s="168" t="s">
        <v>107</v>
      </c>
      <c r="D52" s="154" t="s">
        <v>117</v>
      </c>
      <c r="E52" s="154" t="s">
        <v>118</v>
      </c>
      <c r="F52" s="266" t="s">
        <v>225</v>
      </c>
      <c r="G52" s="157" t="s">
        <v>226</v>
      </c>
      <c r="H52" s="158">
        <v>1</v>
      </c>
      <c r="I52" s="158">
        <v>1</v>
      </c>
      <c r="J52" s="159">
        <v>1400</v>
      </c>
      <c r="K52" s="159">
        <f>IF(F52&lt;&gt;"",H52*I52*J52,"")</f>
        <v>1400</v>
      </c>
      <c r="L52" s="159">
        <f>IF(K52&lt;&gt;"",IF(D52="INTERNO",0,K52*$L$14),"")</f>
        <v>112</v>
      </c>
      <c r="M52" s="159">
        <f>IF(K52&lt;&gt;"",IF(E52="FAT.OGGI",SUM(K52:L52)*(1/(1-$M$14)-1),L52*(1/(1-$M$14)-1)),"")</f>
        <v>27.182303964210274</v>
      </c>
      <c r="N52" s="193">
        <f>SUM(K52:M52)</f>
        <v>1539.1823039642102</v>
      </c>
      <c r="O52" s="179" t="b">
        <v>1</v>
      </c>
      <c r="P52" s="229" t="s">
        <v>254</v>
      </c>
      <c r="Q52" s="253">
        <f>IF(H52&lt;&gt;"",H52,"")</f>
        <v>1</v>
      </c>
      <c r="R52" s="196">
        <f>IF(I52&lt;&gt;"",I52,"")</f>
        <v>1</v>
      </c>
      <c r="S52" s="197">
        <v>1200</v>
      </c>
      <c r="T52" s="197">
        <v>0</v>
      </c>
      <c r="U52" s="198">
        <f>IF(Q52&lt;&gt;"",K52-T52,"")</f>
        <v>1400</v>
      </c>
      <c r="V52" s="199">
        <f>IF(Q52&lt;&gt;"",0%,"")</f>
        <v>0</v>
      </c>
      <c r="W52" s="200">
        <f>IF(Q52&lt;&gt;"",V52*U52,"")</f>
        <v>0</v>
      </c>
      <c r="X52" s="200">
        <f>IF(Q52&lt;&gt;"",W52+T52,"")</f>
        <v>0</v>
      </c>
      <c r="Y52" s="165">
        <f>IF(Q52&lt;&gt;"",X52+M52,"")</f>
        <v>27.182303964210274</v>
      </c>
      <c r="Z52" s="201">
        <f>IF(Q52&lt;&gt;"",U52/K52,"")</f>
        <v>1</v>
      </c>
      <c r="AA52" s="202"/>
      <c r="AB52" s="152">
        <f t="shared" si="11"/>
        <v>0</v>
      </c>
      <c r="AC52" s="153"/>
    </row>
    <row r="53" spans="1:30" ht="27.9" customHeight="1" thickBot="1" x14ac:dyDescent="0.5">
      <c r="A53" s="154">
        <v>39</v>
      </c>
      <c r="B53" s="123"/>
      <c r="C53" s="155" t="s">
        <v>113</v>
      </c>
      <c r="D53" s="154"/>
      <c r="E53" s="154"/>
      <c r="F53" s="458" t="s">
        <v>182</v>
      </c>
      <c r="G53" s="459"/>
      <c r="H53" s="459"/>
      <c r="I53" s="459"/>
      <c r="J53" s="525"/>
      <c r="K53" s="254">
        <f>SUM(K50:K52)</f>
        <v>37150</v>
      </c>
      <c r="L53" s="254">
        <f>SUM(L50:L52)</f>
        <v>2972</v>
      </c>
      <c r="M53" s="254">
        <f>SUM(M50:M52)</f>
        <v>721.30185162172268</v>
      </c>
      <c r="N53" s="255">
        <f>SUM(N50:N52)</f>
        <v>40843.30185162172</v>
      </c>
      <c r="O53" s="142"/>
      <c r="Q53" s="465"/>
      <c r="R53" s="466"/>
      <c r="S53" s="526"/>
      <c r="T53" s="256">
        <f>SUM(T50:T52)</f>
        <v>39200</v>
      </c>
      <c r="U53" s="257">
        <f>SUM(U50:U52)</f>
        <v>-2050</v>
      </c>
      <c r="V53" s="258"/>
      <c r="W53" s="259"/>
      <c r="X53" s="259">
        <f>SUM(X50:X52)</f>
        <v>39200</v>
      </c>
      <c r="Y53" s="210" t="str">
        <f t="shared" si="87"/>
        <v/>
      </c>
      <c r="Z53" s="260"/>
      <c r="AA53" s="267"/>
      <c r="AB53" s="152"/>
      <c r="AC53" s="153"/>
    </row>
    <row r="54" spans="1:30" ht="28.5" customHeight="1" thickBot="1" x14ac:dyDescent="0.5">
      <c r="A54" s="154">
        <v>40</v>
      </c>
      <c r="B54" s="123">
        <v>7</v>
      </c>
      <c r="C54" s="155" t="s">
        <v>101</v>
      </c>
      <c r="D54" s="154"/>
      <c r="E54" s="154"/>
      <c r="F54" s="510" t="s">
        <v>209</v>
      </c>
      <c r="G54" s="511"/>
      <c r="H54" s="511"/>
      <c r="I54" s="511"/>
      <c r="J54" s="511"/>
      <c r="K54" s="511"/>
      <c r="L54" s="511"/>
      <c r="M54" s="511"/>
      <c r="N54" s="512"/>
      <c r="O54" s="142"/>
      <c r="Q54" s="473" t="s">
        <v>142</v>
      </c>
      <c r="R54" s="474"/>
      <c r="S54" s="474"/>
      <c r="T54" s="474"/>
      <c r="U54" s="474"/>
      <c r="V54" s="474"/>
      <c r="W54" s="474"/>
      <c r="X54" s="474"/>
      <c r="Y54" s="475"/>
      <c r="Z54" s="268"/>
      <c r="AA54" s="269"/>
      <c r="AB54" s="152"/>
      <c r="AC54" s="153"/>
    </row>
    <row r="55" spans="1:30" ht="27.6" customHeight="1" x14ac:dyDescent="0.45">
      <c r="A55" s="103">
        <v>41</v>
      </c>
      <c r="B55" s="123" t="s">
        <v>177</v>
      </c>
      <c r="C55" s="124" t="s">
        <v>102</v>
      </c>
      <c r="D55" s="103"/>
      <c r="E55" s="103"/>
      <c r="F55" s="455" t="s">
        <v>20</v>
      </c>
      <c r="G55" s="456"/>
      <c r="H55" s="456"/>
      <c r="I55" s="456"/>
      <c r="J55" s="456"/>
      <c r="K55" s="457"/>
      <c r="L55" s="212" t="s">
        <v>104</v>
      </c>
      <c r="M55" s="213" t="s">
        <v>105</v>
      </c>
      <c r="N55" s="214" t="s">
        <v>82</v>
      </c>
      <c r="O55" s="142"/>
      <c r="Q55" s="270"/>
      <c r="R55" s="271"/>
      <c r="S55" s="272"/>
      <c r="T55" s="272"/>
      <c r="U55" s="272"/>
      <c r="V55" s="272"/>
      <c r="W55" s="272"/>
      <c r="X55" s="272"/>
      <c r="Y55" s="273"/>
      <c r="Z55" s="274" t="s">
        <v>106</v>
      </c>
      <c r="AA55" s="127"/>
      <c r="AB55" s="152"/>
      <c r="AC55" s="153"/>
    </row>
    <row r="56" spans="1:30" ht="90" customHeight="1" x14ac:dyDescent="0.45">
      <c r="A56" s="103">
        <v>42</v>
      </c>
      <c r="B56" s="123" t="s">
        <v>184</v>
      </c>
      <c r="C56" s="124" t="s">
        <v>107</v>
      </c>
      <c r="D56" s="103" t="s">
        <v>117</v>
      </c>
      <c r="E56" s="103" t="s">
        <v>118</v>
      </c>
      <c r="F56" s="156" t="s">
        <v>183</v>
      </c>
      <c r="G56" s="157" t="s">
        <v>206</v>
      </c>
      <c r="H56" s="158">
        <v>1</v>
      </c>
      <c r="I56" s="158">
        <v>1</v>
      </c>
      <c r="J56" s="159">
        <v>1000</v>
      </c>
      <c r="K56" s="159">
        <f>IF(F56&lt;&gt;"",H56*I56*J56,"")</f>
        <v>1000</v>
      </c>
      <c r="L56" s="159">
        <f>IF(K56&lt;&gt;"",IF(D56="INTERNO",0,K56*$L$14),"")</f>
        <v>80</v>
      </c>
      <c r="M56" s="159">
        <f>IF(K56&lt;&gt;"",IF(E56="FAT.OGGI",SUM(K56:L56)*(1/(1-$M$14)-1),L56*(1/(1-$M$14)-1)),"")</f>
        <v>19.415931403007338</v>
      </c>
      <c r="N56" s="160">
        <f>SUM(K56:M56)</f>
        <v>1099.4159314030073</v>
      </c>
      <c r="O56" s="179" t="b">
        <v>1</v>
      </c>
      <c r="P56" s="180"/>
      <c r="Q56" s="231">
        <f t="shared" ref="Q56:R56" si="90">IF(H56&lt;&gt;"",H56,"")</f>
        <v>1</v>
      </c>
      <c r="R56" s="194">
        <f t="shared" si="90"/>
        <v>1</v>
      </c>
      <c r="S56" s="195">
        <v>1000</v>
      </c>
      <c r="T56" s="195">
        <v>1887.62</v>
      </c>
      <c r="U56" s="232">
        <f>IF(Q56&lt;&gt;"",K56-T56,"")</f>
        <v>-887.61999999999989</v>
      </c>
      <c r="V56" s="222">
        <f>IF(Q56&lt;&gt;"",0%,"")</f>
        <v>0</v>
      </c>
      <c r="W56" s="223">
        <f>IF(Q56&lt;&gt;"",V56*U56,"")</f>
        <v>0</v>
      </c>
      <c r="X56" s="223">
        <f>IF(Q56&lt;&gt;"",W56+T56,"")</f>
        <v>1887.62</v>
      </c>
      <c r="Y56" s="187">
        <f t="shared" ref="Y56:Y57" si="91">IF(Q56&lt;&gt;"",X56+M56,"")</f>
        <v>1907.0359314030072</v>
      </c>
      <c r="Z56" s="275">
        <f>IF(Q56&lt;&gt;"",U56/K56,"")</f>
        <v>-0.88761999999999985</v>
      </c>
      <c r="AA56" s="127"/>
      <c r="AB56" s="152">
        <f t="shared" si="11"/>
        <v>0</v>
      </c>
      <c r="AC56" s="153">
        <v>1887.62</v>
      </c>
      <c r="AD56" s="334" t="s">
        <v>280</v>
      </c>
    </row>
    <row r="57" spans="1:30" ht="30.9" customHeight="1" thickBot="1" x14ac:dyDescent="0.5">
      <c r="A57" s="103">
        <v>43</v>
      </c>
      <c r="B57" s="123"/>
      <c r="C57" s="124" t="s">
        <v>113</v>
      </c>
      <c r="D57" s="103"/>
      <c r="E57" s="103"/>
      <c r="F57" s="458" t="s">
        <v>141</v>
      </c>
      <c r="G57" s="459"/>
      <c r="H57" s="459"/>
      <c r="I57" s="459"/>
      <c r="J57" s="459"/>
      <c r="K57" s="169">
        <f>SUM(K56:K56)</f>
        <v>1000</v>
      </c>
      <c r="L57" s="169">
        <f>SUM(L56:L56)</f>
        <v>80</v>
      </c>
      <c r="M57" s="169">
        <f>SUM(M56:M56)</f>
        <v>19.415931403007338</v>
      </c>
      <c r="N57" s="170">
        <f>SUM(N56:N56)</f>
        <v>1099.4159314030073</v>
      </c>
      <c r="O57" s="142"/>
      <c r="Q57" s="460" t="s">
        <v>141</v>
      </c>
      <c r="R57" s="461"/>
      <c r="S57" s="461"/>
      <c r="T57" s="276">
        <f>SUM(T56:T56)</f>
        <v>1887.62</v>
      </c>
      <c r="U57" s="277">
        <f>SUM(U56:U56)</f>
        <v>-887.61999999999989</v>
      </c>
      <c r="V57" s="278"/>
      <c r="W57" s="279"/>
      <c r="X57" s="280">
        <f>SUM(X56:X56)</f>
        <v>1887.62</v>
      </c>
      <c r="Y57" s="281">
        <f t="shared" si="91"/>
        <v>1907.0359314030072</v>
      </c>
      <c r="Z57" s="275"/>
      <c r="AA57" s="151"/>
      <c r="AB57" s="152"/>
      <c r="AC57" s="153"/>
    </row>
    <row r="58" spans="1:30" ht="35.1" customHeight="1" thickBot="1" x14ac:dyDescent="0.5">
      <c r="A58" s="103">
        <v>44</v>
      </c>
      <c r="B58" s="123">
        <v>8</v>
      </c>
      <c r="C58" s="124" t="s">
        <v>101</v>
      </c>
      <c r="D58" s="103"/>
      <c r="E58" s="103"/>
      <c r="F58" s="467" t="s">
        <v>24</v>
      </c>
      <c r="G58" s="468"/>
      <c r="H58" s="468"/>
      <c r="I58" s="468"/>
      <c r="J58" s="468"/>
      <c r="K58" s="468"/>
      <c r="L58" s="468"/>
      <c r="M58" s="468"/>
      <c r="N58" s="469"/>
      <c r="O58" s="142"/>
      <c r="Q58" s="470" t="str">
        <f>IF(F58&lt;&gt;"",F58,"")</f>
        <v>ARTISTICO</v>
      </c>
      <c r="R58" s="471"/>
      <c r="S58" s="471"/>
      <c r="T58" s="471"/>
      <c r="U58" s="471"/>
      <c r="V58" s="471"/>
      <c r="W58" s="471"/>
      <c r="X58" s="471"/>
      <c r="Y58" s="472"/>
      <c r="Z58" s="275"/>
      <c r="AA58" s="151"/>
      <c r="AB58" s="152"/>
      <c r="AC58" s="153"/>
    </row>
    <row r="59" spans="1:30" ht="30" customHeight="1" x14ac:dyDescent="0.45">
      <c r="A59" s="103">
        <v>45</v>
      </c>
      <c r="B59" s="123" t="s">
        <v>178</v>
      </c>
      <c r="C59" s="124" t="s">
        <v>102</v>
      </c>
      <c r="D59" s="103"/>
      <c r="E59" s="103"/>
      <c r="F59" s="455" t="s">
        <v>24</v>
      </c>
      <c r="G59" s="456"/>
      <c r="H59" s="456"/>
      <c r="I59" s="456"/>
      <c r="J59" s="456"/>
      <c r="K59" s="457"/>
      <c r="L59" s="212" t="s">
        <v>104</v>
      </c>
      <c r="M59" s="213" t="s">
        <v>105</v>
      </c>
      <c r="N59" s="214" t="s">
        <v>82</v>
      </c>
      <c r="O59" s="142"/>
      <c r="Q59" s="462" t="str">
        <f>IF(F59&lt;&gt;"",F59,"")</f>
        <v>ARTISTICO</v>
      </c>
      <c r="R59" s="463"/>
      <c r="S59" s="463"/>
      <c r="T59" s="463"/>
      <c r="U59" s="463"/>
      <c r="V59" s="463"/>
      <c r="W59" s="463"/>
      <c r="X59" s="463"/>
      <c r="Y59" s="464"/>
      <c r="Z59" s="282" t="s">
        <v>106</v>
      </c>
      <c r="AA59" s="216" t="s">
        <v>83</v>
      </c>
      <c r="AB59" s="152"/>
      <c r="AC59" s="153"/>
    </row>
    <row r="60" spans="1:30" ht="90" customHeight="1" x14ac:dyDescent="0.45">
      <c r="A60" s="154">
        <v>46</v>
      </c>
      <c r="B60" s="123" t="s">
        <v>179</v>
      </c>
      <c r="C60" s="155" t="s">
        <v>107</v>
      </c>
      <c r="D60" s="103" t="s">
        <v>117</v>
      </c>
      <c r="E60" s="103" t="s">
        <v>118</v>
      </c>
      <c r="F60" s="283" t="s">
        <v>185</v>
      </c>
      <c r="G60" s="284" t="s">
        <v>251</v>
      </c>
      <c r="H60" s="285">
        <v>1</v>
      </c>
      <c r="I60" s="285">
        <v>1</v>
      </c>
      <c r="J60" s="286">
        <v>12000</v>
      </c>
      <c r="K60" s="286">
        <f t="shared" ref="K60" si="92">IF(F60&lt;&gt;"",H60*I60*J60,"")</f>
        <v>12000</v>
      </c>
      <c r="L60" s="286">
        <f t="shared" ref="L60" si="93">IF(K60&lt;&gt;"",IF(D60="INTERNO",0,K60*$L$14),"")</f>
        <v>960</v>
      </c>
      <c r="M60" s="286">
        <f t="shared" ref="M60" si="94">IF(K60&lt;&gt;"",IF(E60="FAT.OGGI",SUM(K60:L60)*(1/(1-$M$14)-1),L60*(1/(1-$M$14)-1)),"")</f>
        <v>232.99117683608807</v>
      </c>
      <c r="N60" s="287">
        <f t="shared" ref="N60" si="95">SUM(K60:M60)</f>
        <v>13192.991176836089</v>
      </c>
      <c r="O60" s="179" t="b">
        <v>1</v>
      </c>
      <c r="P60" s="180" t="s">
        <v>259</v>
      </c>
      <c r="Q60" s="253">
        <f t="shared" ref="Q60:R60" si="96">IF(H60&lt;&gt;"",H60,"")</f>
        <v>1</v>
      </c>
      <c r="R60" s="246">
        <f t="shared" si="96"/>
        <v>1</v>
      </c>
      <c r="S60" s="247">
        <v>8000</v>
      </c>
      <c r="T60" s="247">
        <v>7000</v>
      </c>
      <c r="U60" s="248">
        <f t="shared" ref="U60" si="97">IF(Q60&lt;&gt;"",K60-T60,"")</f>
        <v>5000</v>
      </c>
      <c r="V60" s="249">
        <f t="shared" ref="V60" si="98">IF(Q60&lt;&gt;"",0%,"")</f>
        <v>0</v>
      </c>
      <c r="W60" s="250">
        <f t="shared" ref="W60" si="99">IF(Q60&lt;&gt;"",V60*U60,"")</f>
        <v>0</v>
      </c>
      <c r="X60" s="250">
        <f t="shared" ref="X60" si="100">IF(Q60&lt;&gt;"",W60+T60,"")</f>
        <v>7000</v>
      </c>
      <c r="Y60" s="251">
        <f t="shared" ref="Y60" si="101">IF(Q60&lt;&gt;"",X60+M60,"")</f>
        <v>7232.991176836088</v>
      </c>
      <c r="Z60" s="288">
        <f t="shared" ref="Z60" si="102">IF(Q60&lt;&gt;"",U60/K60,"")</f>
        <v>0.41666666666666669</v>
      </c>
      <c r="AA60" s="151">
        <f>T60/$T$61</f>
        <v>1</v>
      </c>
      <c r="AB60" s="152">
        <f t="shared" si="11"/>
        <v>0</v>
      </c>
      <c r="AC60" s="153">
        <v>7000</v>
      </c>
      <c r="AD60" s="334" t="s">
        <v>288</v>
      </c>
    </row>
    <row r="61" spans="1:30" ht="32.4" customHeight="1" thickBot="1" x14ac:dyDescent="0.5">
      <c r="A61" s="154">
        <v>47</v>
      </c>
      <c r="B61" s="123"/>
      <c r="C61" s="155" t="s">
        <v>113</v>
      </c>
      <c r="D61" s="154"/>
      <c r="E61" s="154"/>
      <c r="F61" s="458" t="s">
        <v>186</v>
      </c>
      <c r="G61" s="459"/>
      <c r="H61" s="459"/>
      <c r="I61" s="459"/>
      <c r="J61" s="459"/>
      <c r="K61" s="169">
        <f>SUM(K60:K60)</f>
        <v>12000</v>
      </c>
      <c r="L61" s="169">
        <f>SUM(L60:L60)</f>
        <v>960</v>
      </c>
      <c r="M61" s="169">
        <f>SUM(M60:M60)</f>
        <v>232.99117683608807</v>
      </c>
      <c r="N61" s="170">
        <f>SUM(N60:N60)</f>
        <v>13192.991176836089</v>
      </c>
      <c r="O61" s="142"/>
      <c r="Q61" s="465" t="s">
        <v>186</v>
      </c>
      <c r="R61" s="466"/>
      <c r="S61" s="466"/>
      <c r="T61" s="289">
        <f>SUM(T60:T60)</f>
        <v>7000</v>
      </c>
      <c r="U61" s="277">
        <f>SUM(U60:U60)</f>
        <v>5000</v>
      </c>
      <c r="V61" s="278"/>
      <c r="W61" s="279"/>
      <c r="X61" s="280">
        <f>SUM(X60:X60)</f>
        <v>7000</v>
      </c>
      <c r="Y61" s="281">
        <f>IF(Q61&lt;&gt;"",X61+M61,"")</f>
        <v>7232.991176836088</v>
      </c>
      <c r="Z61" s="275"/>
      <c r="AA61" s="151"/>
      <c r="AB61" s="152"/>
      <c r="AC61" s="153"/>
    </row>
    <row r="62" spans="1:30" ht="31.5" customHeight="1" thickBot="1" x14ac:dyDescent="0.5">
      <c r="A62" s="154">
        <v>48</v>
      </c>
      <c r="B62" s="123">
        <v>9</v>
      </c>
      <c r="C62" s="155" t="s">
        <v>101</v>
      </c>
      <c r="D62" s="154"/>
      <c r="E62" s="154"/>
      <c r="F62" s="473" t="s">
        <v>148</v>
      </c>
      <c r="G62" s="474"/>
      <c r="H62" s="474"/>
      <c r="I62" s="474"/>
      <c r="J62" s="474"/>
      <c r="K62" s="474"/>
      <c r="L62" s="474"/>
      <c r="M62" s="474"/>
      <c r="N62" s="475"/>
      <c r="O62" s="142"/>
      <c r="Q62" s="473" t="s">
        <v>148</v>
      </c>
      <c r="R62" s="474"/>
      <c r="S62" s="474"/>
      <c r="T62" s="474"/>
      <c r="U62" s="474"/>
      <c r="V62" s="474"/>
      <c r="W62" s="474"/>
      <c r="X62" s="474"/>
      <c r="Y62" s="475"/>
      <c r="Z62" s="126"/>
      <c r="AA62" s="127"/>
      <c r="AB62" s="152"/>
      <c r="AC62" s="153"/>
    </row>
    <row r="63" spans="1:30" ht="24.6" customHeight="1" x14ac:dyDescent="0.45">
      <c r="A63" s="103">
        <v>49</v>
      </c>
      <c r="B63" s="123" t="s">
        <v>236</v>
      </c>
      <c r="C63" s="124" t="s">
        <v>102</v>
      </c>
      <c r="D63" s="103"/>
      <c r="E63" s="103"/>
      <c r="F63" s="450" t="s">
        <v>149</v>
      </c>
      <c r="G63" s="451"/>
      <c r="H63" s="451"/>
      <c r="I63" s="451"/>
      <c r="J63" s="451"/>
      <c r="K63" s="451"/>
      <c r="L63" s="290" t="s">
        <v>104</v>
      </c>
      <c r="M63" s="290" t="s">
        <v>105</v>
      </c>
      <c r="N63" s="291" t="s">
        <v>82</v>
      </c>
      <c r="O63" s="142"/>
      <c r="Q63" s="292" t="str">
        <f>IF(F63&lt;&gt;"",F63,"")</f>
        <v>STAFF</v>
      </c>
      <c r="R63" s="293"/>
      <c r="S63" s="261"/>
      <c r="T63" s="261"/>
      <c r="U63" s="261"/>
      <c r="V63" s="261"/>
      <c r="W63" s="261"/>
      <c r="X63" s="261"/>
      <c r="Y63" s="294"/>
      <c r="Z63" s="133" t="s">
        <v>106</v>
      </c>
      <c r="AA63" s="134" t="s">
        <v>83</v>
      </c>
      <c r="AB63" s="152"/>
      <c r="AC63" s="153"/>
    </row>
    <row r="64" spans="1:30" ht="90" customHeight="1" x14ac:dyDescent="0.45">
      <c r="A64" s="154">
        <v>50</v>
      </c>
      <c r="B64" s="123" t="s">
        <v>237</v>
      </c>
      <c r="C64" s="155" t="s">
        <v>107</v>
      </c>
      <c r="D64" s="154" t="s">
        <v>117</v>
      </c>
      <c r="E64" s="154" t="s">
        <v>118</v>
      </c>
      <c r="F64" s="188" t="s">
        <v>152</v>
      </c>
      <c r="G64" s="189" t="s">
        <v>157</v>
      </c>
      <c r="H64" s="245">
        <v>1</v>
      </c>
      <c r="I64" s="245">
        <v>2</v>
      </c>
      <c r="J64" s="191">
        <v>950</v>
      </c>
      <c r="K64" s="191">
        <f t="shared" ref="K64:K68" si="103">IF(F64&lt;&gt;"",H64*I64*J64,"")</f>
        <v>1900</v>
      </c>
      <c r="L64" s="191">
        <f t="shared" ref="L64:L68" si="104">IF(K64&lt;&gt;"",IF(D64="INTERNO",0,K64*$L$14),"")</f>
        <v>152</v>
      </c>
      <c r="M64" s="191">
        <f t="shared" ref="M64:M68" si="105">IF(K64&lt;&gt;"",IF(E64="FAT.OGGI",SUM(K64:L64)*(1/(1-$M$14)-1),L64*(1/(1-$M$14)-1)),"")</f>
        <v>36.890269665713944</v>
      </c>
      <c r="N64" s="295">
        <f t="shared" ref="N64:N68" si="106">SUM(K64:M64)</f>
        <v>2088.8902696657137</v>
      </c>
      <c r="O64" s="179" t="b">
        <v>1</v>
      </c>
      <c r="Q64" s="231">
        <f t="shared" ref="Q64:Q66" si="107">IF(H64&lt;&gt;"",H64,"")</f>
        <v>1</v>
      </c>
      <c r="R64" s="194">
        <f t="shared" ref="R64:R66" si="108">IF(I64&lt;&gt;"",I64,"")</f>
        <v>2</v>
      </c>
      <c r="S64" s="195">
        <v>750</v>
      </c>
      <c r="T64" s="195">
        <v>0</v>
      </c>
      <c r="U64" s="232">
        <f t="shared" ref="U64:U68" si="109">IF(Q64&lt;&gt;"",K64-T64,"")</f>
        <v>1900</v>
      </c>
      <c r="V64" s="222">
        <f t="shared" ref="V64:V68" si="110">IF(Q64&lt;&gt;"",0%,"")</f>
        <v>0</v>
      </c>
      <c r="W64" s="223">
        <f t="shared" ref="W64:W68" si="111">IF(Q64&lt;&gt;"",V64*U64,"")</f>
        <v>0</v>
      </c>
      <c r="X64" s="223">
        <f t="shared" ref="X64:X68" si="112">IF(Q64&lt;&gt;"",W64+T64,"")</f>
        <v>0</v>
      </c>
      <c r="Y64" s="187">
        <f t="shared" ref="Y64:Y74" si="113">IF(Q64&lt;&gt;"",X64+M64,"")</f>
        <v>36.890269665713944</v>
      </c>
      <c r="Z64" s="150">
        <f t="shared" ref="Z64:Z68" si="114">IF(Q64&lt;&gt;"",U64/K64,"")</f>
        <v>1</v>
      </c>
      <c r="AA64" s="151">
        <f>T64/$T$74</f>
        <v>0</v>
      </c>
      <c r="AB64" s="152">
        <f t="shared" si="11"/>
        <v>0</v>
      </c>
      <c r="AC64" s="153"/>
    </row>
    <row r="65" spans="1:30" ht="90" customHeight="1" x14ac:dyDescent="0.45">
      <c r="A65" s="167">
        <v>51</v>
      </c>
      <c r="B65" s="123" t="s">
        <v>238</v>
      </c>
      <c r="C65" s="168" t="s">
        <v>107</v>
      </c>
      <c r="D65" s="154" t="s">
        <v>117</v>
      </c>
      <c r="E65" s="154" t="s">
        <v>118</v>
      </c>
      <c r="F65" s="156" t="s">
        <v>212</v>
      </c>
      <c r="G65" s="217" t="s">
        <v>213</v>
      </c>
      <c r="H65" s="158">
        <v>1</v>
      </c>
      <c r="I65" s="158">
        <v>2</v>
      </c>
      <c r="J65" s="178">
        <v>5000</v>
      </c>
      <c r="K65" s="178">
        <f>IF(F65&lt;&gt;"",H65*I65*J65,"")</f>
        <v>10000</v>
      </c>
      <c r="L65" s="178">
        <f>IF(K65&lt;&gt;"",IF(D65="INTERNO",0,K65*$L$14),"")</f>
        <v>800</v>
      </c>
      <c r="M65" s="178">
        <f>IF(K65&lt;&gt;"",IF(E65="FAT.OGGI",SUM(K65:L65)*(1/(1-$M$14)-1),L65*(1/(1-$M$14)-1)),"")</f>
        <v>194.15931403007338</v>
      </c>
      <c r="N65" s="296">
        <f>SUM(K65:M65)</f>
        <v>10994.159314030074</v>
      </c>
      <c r="O65" s="179" t="b">
        <v>0</v>
      </c>
      <c r="Q65" s="243">
        <f>IF(H65&lt;&gt;"",H65,"")</f>
        <v>1</v>
      </c>
      <c r="R65" s="196">
        <f>IF(I65&lt;&gt;"",I65,"")</f>
        <v>2</v>
      </c>
      <c r="S65" s="197">
        <v>4500</v>
      </c>
      <c r="T65" s="197">
        <v>0</v>
      </c>
      <c r="U65" s="198">
        <f>IF(Q65&lt;&gt;"",K65-T65,"")</f>
        <v>10000</v>
      </c>
      <c r="V65" s="199">
        <f>IF(Q65&lt;&gt;"",0%,"")</f>
        <v>0</v>
      </c>
      <c r="W65" s="200">
        <f>IF(Q65&lt;&gt;"",V65*U65,"")</f>
        <v>0</v>
      </c>
      <c r="X65" s="200">
        <f>IF(Q65&lt;&gt;"",W65+T65,"")</f>
        <v>0</v>
      </c>
      <c r="Y65" s="166">
        <f>IF(Q65&lt;&gt;"",X65+M65,"")</f>
        <v>194.15931403007338</v>
      </c>
      <c r="Z65" s="150">
        <f>IF(Q65&lt;&gt;"",U65/K65,"")</f>
        <v>1</v>
      </c>
      <c r="AA65" s="151"/>
      <c r="AB65" s="152">
        <f t="shared" si="11"/>
        <v>0</v>
      </c>
      <c r="AC65" s="153"/>
    </row>
    <row r="66" spans="1:30" ht="90" customHeight="1" x14ac:dyDescent="0.45">
      <c r="A66" s="154">
        <v>52</v>
      </c>
      <c r="B66" s="123" t="s">
        <v>239</v>
      </c>
      <c r="C66" s="155" t="s">
        <v>107</v>
      </c>
      <c r="D66" s="154" t="s">
        <v>117</v>
      </c>
      <c r="E66" s="154" t="s">
        <v>118</v>
      </c>
      <c r="F66" s="297" t="s">
        <v>153</v>
      </c>
      <c r="G66" s="298" t="s">
        <v>210</v>
      </c>
      <c r="H66" s="299">
        <v>2</v>
      </c>
      <c r="I66" s="299">
        <v>1</v>
      </c>
      <c r="J66" s="300">
        <v>900</v>
      </c>
      <c r="K66" s="300">
        <f t="shared" si="103"/>
        <v>1800</v>
      </c>
      <c r="L66" s="300">
        <f t="shared" si="104"/>
        <v>144</v>
      </c>
      <c r="M66" s="300">
        <f t="shared" si="105"/>
        <v>34.948676525413205</v>
      </c>
      <c r="N66" s="301">
        <f t="shared" si="106"/>
        <v>1978.9486765254132</v>
      </c>
      <c r="O66" s="179" t="b">
        <v>1</v>
      </c>
      <c r="Q66" s="302">
        <f t="shared" si="107"/>
        <v>2</v>
      </c>
      <c r="R66" s="144">
        <f t="shared" si="108"/>
        <v>1</v>
      </c>
      <c r="S66" s="145">
        <v>650</v>
      </c>
      <c r="T66" s="145">
        <v>6490</v>
      </c>
      <c r="U66" s="146">
        <f t="shared" si="109"/>
        <v>-4690</v>
      </c>
      <c r="V66" s="147">
        <f t="shared" si="110"/>
        <v>0</v>
      </c>
      <c r="W66" s="148">
        <f t="shared" si="111"/>
        <v>0</v>
      </c>
      <c r="X66" s="148">
        <f t="shared" si="112"/>
        <v>6490</v>
      </c>
      <c r="Y66" s="149">
        <f t="shared" si="113"/>
        <v>6524.9486765254132</v>
      </c>
      <c r="Z66" s="150">
        <f t="shared" si="114"/>
        <v>-2.6055555555555556</v>
      </c>
      <c r="AA66" s="151">
        <f>T66/$T$74</f>
        <v>0.27119975596200696</v>
      </c>
      <c r="AB66" s="152">
        <f t="shared" si="11"/>
        <v>0</v>
      </c>
      <c r="AC66" s="153">
        <f>1300+650+1340+650+550+2000</f>
        <v>6490</v>
      </c>
      <c r="AD66" s="334" t="s">
        <v>287</v>
      </c>
    </row>
    <row r="67" spans="1:30" ht="90" customHeight="1" x14ac:dyDescent="0.45">
      <c r="A67" s="103">
        <v>53</v>
      </c>
      <c r="B67" s="123" t="s">
        <v>240</v>
      </c>
      <c r="C67" s="124" t="s">
        <v>107</v>
      </c>
      <c r="D67" s="103" t="s">
        <v>117</v>
      </c>
      <c r="E67" s="103" t="s">
        <v>118</v>
      </c>
      <c r="F67" s="156" t="s">
        <v>154</v>
      </c>
      <c r="G67" s="217" t="s">
        <v>219</v>
      </c>
      <c r="H67" s="158">
        <v>4</v>
      </c>
      <c r="I67" s="158">
        <v>2</v>
      </c>
      <c r="J67" s="178">
        <v>350</v>
      </c>
      <c r="K67" s="178">
        <f t="shared" si="103"/>
        <v>2800</v>
      </c>
      <c r="L67" s="178">
        <f t="shared" si="104"/>
        <v>224</v>
      </c>
      <c r="M67" s="178">
        <f t="shared" si="105"/>
        <v>54.364607928420547</v>
      </c>
      <c r="N67" s="296">
        <f t="shared" si="106"/>
        <v>3078.3646079284204</v>
      </c>
      <c r="O67" s="179" t="b">
        <v>0</v>
      </c>
      <c r="Q67" s="143">
        <f>IF(H67&lt;&gt;"",H67,"")</f>
        <v>4</v>
      </c>
      <c r="R67" s="161">
        <f>IF(I67&lt;&gt;"",I67,"")</f>
        <v>2</v>
      </c>
      <c r="S67" s="162">
        <v>290</v>
      </c>
      <c r="T67" s="162">
        <v>0</v>
      </c>
      <c r="U67" s="163">
        <f t="shared" si="109"/>
        <v>2800</v>
      </c>
      <c r="V67" s="164">
        <f t="shared" si="110"/>
        <v>0</v>
      </c>
      <c r="W67" s="165">
        <f t="shared" si="111"/>
        <v>0</v>
      </c>
      <c r="X67" s="165">
        <f t="shared" si="112"/>
        <v>0</v>
      </c>
      <c r="Y67" s="166">
        <f t="shared" si="113"/>
        <v>54.364607928420547</v>
      </c>
      <c r="Z67" s="150">
        <f t="shared" si="114"/>
        <v>1</v>
      </c>
      <c r="AA67" s="151">
        <f>T67/$T$74</f>
        <v>0</v>
      </c>
      <c r="AB67" s="152">
        <f t="shared" si="11"/>
        <v>0</v>
      </c>
      <c r="AC67" s="153"/>
    </row>
    <row r="68" spans="1:30" ht="90" customHeight="1" x14ac:dyDescent="0.45">
      <c r="A68" s="103">
        <v>54</v>
      </c>
      <c r="B68" s="123" t="s">
        <v>241</v>
      </c>
      <c r="C68" s="124" t="s">
        <v>107</v>
      </c>
      <c r="D68" s="103" t="s">
        <v>117</v>
      </c>
      <c r="E68" s="103" t="s">
        <v>118</v>
      </c>
      <c r="F68" s="156" t="s">
        <v>171</v>
      </c>
      <c r="G68" s="217" t="s">
        <v>172</v>
      </c>
      <c r="H68" s="158">
        <v>5</v>
      </c>
      <c r="I68" s="158">
        <v>2</v>
      </c>
      <c r="J68" s="178">
        <v>48</v>
      </c>
      <c r="K68" s="178">
        <f t="shared" si="103"/>
        <v>480</v>
      </c>
      <c r="L68" s="178">
        <f t="shared" si="104"/>
        <v>38.4</v>
      </c>
      <c r="M68" s="178">
        <f t="shared" si="105"/>
        <v>9.3196470734435213</v>
      </c>
      <c r="N68" s="296">
        <f t="shared" si="106"/>
        <v>527.71964707344353</v>
      </c>
      <c r="O68" s="179" t="b">
        <v>0</v>
      </c>
      <c r="Q68" s="143">
        <f>IF(H68&lt;&gt;"",H68,"")</f>
        <v>5</v>
      </c>
      <c r="R68" s="161">
        <f>IF(I68&lt;&gt;"",I68,"")</f>
        <v>2</v>
      </c>
      <c r="S68" s="162">
        <v>30</v>
      </c>
      <c r="T68" s="162">
        <v>280</v>
      </c>
      <c r="U68" s="163">
        <f t="shared" si="109"/>
        <v>200</v>
      </c>
      <c r="V68" s="164">
        <f t="shared" si="110"/>
        <v>0</v>
      </c>
      <c r="W68" s="165">
        <f t="shared" si="111"/>
        <v>0</v>
      </c>
      <c r="X68" s="165">
        <f t="shared" si="112"/>
        <v>280</v>
      </c>
      <c r="Y68" s="166">
        <f t="shared" si="113"/>
        <v>289.31964707344355</v>
      </c>
      <c r="Z68" s="150">
        <f t="shared" si="114"/>
        <v>0.41666666666666669</v>
      </c>
      <c r="AA68" s="151">
        <f>T68/$T$74</f>
        <v>1.1700451721011087E-2</v>
      </c>
      <c r="AB68" s="152">
        <f t="shared" si="11"/>
        <v>0</v>
      </c>
      <c r="AC68" s="153">
        <v>280</v>
      </c>
      <c r="AD68" s="334" t="s">
        <v>291</v>
      </c>
    </row>
    <row r="69" spans="1:30" ht="90" customHeight="1" x14ac:dyDescent="0.45">
      <c r="A69" s="154">
        <v>55</v>
      </c>
      <c r="B69" s="123" t="s">
        <v>242</v>
      </c>
      <c r="C69" s="155" t="s">
        <v>107</v>
      </c>
      <c r="D69" s="154" t="s">
        <v>117</v>
      </c>
      <c r="E69" s="154" t="s">
        <v>118</v>
      </c>
      <c r="F69" s="303" t="s">
        <v>150</v>
      </c>
      <c r="G69" s="298" t="s">
        <v>155</v>
      </c>
      <c r="H69" s="299">
        <v>1</v>
      </c>
      <c r="I69" s="299">
        <v>1</v>
      </c>
      <c r="J69" s="300">
        <v>8000</v>
      </c>
      <c r="K69" s="300">
        <f t="shared" ref="K69:K73" si="115">IF(F69&lt;&gt;"",H69*I69*J69,"")</f>
        <v>8000</v>
      </c>
      <c r="L69" s="300">
        <f t="shared" ref="L69:L73" si="116">IF(K69&lt;&gt;"",IF(D69="INTERNO",0,K69*$L$14),"")</f>
        <v>640</v>
      </c>
      <c r="M69" s="300">
        <f t="shared" ref="M69:M73" si="117">IF(K69&lt;&gt;"",IF(E69="FAT.OGGI",SUM(K69:L69)*(1/(1-$M$14)-1),L69*(1/(1-$M$14)-1)),"")</f>
        <v>155.32745122405871</v>
      </c>
      <c r="N69" s="301">
        <f t="shared" ref="N69:N73" si="118">SUM(K69:M69)</f>
        <v>8795.3274512240587</v>
      </c>
      <c r="O69" s="179" t="b">
        <v>1</v>
      </c>
      <c r="P69" s="180" t="s">
        <v>258</v>
      </c>
      <c r="Q69" s="302">
        <f t="shared" ref="Q69:R71" si="119">IF(H69&lt;&gt;"",H69,"")</f>
        <v>1</v>
      </c>
      <c r="R69" s="144">
        <f t="shared" si="119"/>
        <v>1</v>
      </c>
      <c r="S69" s="145">
        <v>6500</v>
      </c>
      <c r="T69" s="145">
        <v>6875</v>
      </c>
      <c r="U69" s="146">
        <f t="shared" ref="U69:U73" si="120">IF(Q69&lt;&gt;"",K69-T69,"")</f>
        <v>1125</v>
      </c>
      <c r="V69" s="147">
        <f t="shared" ref="V69:V73" si="121">IF(Q69&lt;&gt;"",0%,"")</f>
        <v>0</v>
      </c>
      <c r="W69" s="148">
        <f t="shared" ref="W69:W73" si="122">IF(Q69&lt;&gt;"",V69*U69,"")</f>
        <v>0</v>
      </c>
      <c r="X69" s="148">
        <f t="shared" ref="X69:X73" si="123">IF(Q69&lt;&gt;"",W69+T69,"")</f>
        <v>6875</v>
      </c>
      <c r="Y69" s="149">
        <f t="shared" ref="Y69:Y73" si="124">IF(Q69&lt;&gt;"",X69+M69,"")</f>
        <v>7030.3274512240587</v>
      </c>
      <c r="Z69" s="304">
        <f t="shared" ref="Z69:Z73" si="125">IF(Q69&lt;&gt;"",U69/K69,"")</f>
        <v>0.140625</v>
      </c>
      <c r="AA69" s="202"/>
      <c r="AB69" s="152">
        <f t="shared" si="11"/>
        <v>0</v>
      </c>
      <c r="AC69" s="153">
        <f>225+6650</f>
        <v>6875</v>
      </c>
      <c r="AD69" s="334" t="s">
        <v>285</v>
      </c>
    </row>
    <row r="70" spans="1:30" ht="90" customHeight="1" x14ac:dyDescent="0.45">
      <c r="A70" s="103">
        <v>56</v>
      </c>
      <c r="B70" s="123" t="s">
        <v>243</v>
      </c>
      <c r="C70" s="124" t="s">
        <v>107</v>
      </c>
      <c r="D70" s="103" t="s">
        <v>117</v>
      </c>
      <c r="E70" s="103" t="s">
        <v>118</v>
      </c>
      <c r="F70" s="156" t="s">
        <v>151</v>
      </c>
      <c r="G70" s="217" t="s">
        <v>156</v>
      </c>
      <c r="H70" s="158">
        <v>1</v>
      </c>
      <c r="I70" s="158">
        <v>1</v>
      </c>
      <c r="J70" s="178">
        <v>3200</v>
      </c>
      <c r="K70" s="178">
        <f t="shared" si="115"/>
        <v>3200</v>
      </c>
      <c r="L70" s="178">
        <f t="shared" si="116"/>
        <v>256</v>
      </c>
      <c r="M70" s="178">
        <f t="shared" si="117"/>
        <v>62.130980489623482</v>
      </c>
      <c r="N70" s="296">
        <f t="shared" si="118"/>
        <v>3518.1309804896237</v>
      </c>
      <c r="O70" s="179" t="b">
        <v>1</v>
      </c>
      <c r="Q70" s="143">
        <f t="shared" si="119"/>
        <v>1</v>
      </c>
      <c r="R70" s="161">
        <v>0</v>
      </c>
      <c r="S70" s="162">
        <v>3000</v>
      </c>
      <c r="T70" s="162">
        <f t="shared" ref="T70" si="126">IF(Q70&lt;&gt;"",Q70*R70*S70,"")</f>
        <v>0</v>
      </c>
      <c r="U70" s="163">
        <f t="shared" si="120"/>
        <v>3200</v>
      </c>
      <c r="V70" s="164">
        <f t="shared" si="121"/>
        <v>0</v>
      </c>
      <c r="W70" s="165">
        <f t="shared" si="122"/>
        <v>0</v>
      </c>
      <c r="X70" s="165">
        <f t="shared" si="123"/>
        <v>0</v>
      </c>
      <c r="Y70" s="166">
        <f t="shared" si="124"/>
        <v>62.130980489623482</v>
      </c>
      <c r="Z70" s="150">
        <f t="shared" si="125"/>
        <v>1</v>
      </c>
      <c r="AA70" s="151"/>
      <c r="AB70" s="152">
        <f t="shared" si="11"/>
        <v>0</v>
      </c>
      <c r="AC70" s="153"/>
    </row>
    <row r="71" spans="1:30" ht="90" customHeight="1" x14ac:dyDescent="0.45">
      <c r="A71" s="103">
        <v>57</v>
      </c>
      <c r="B71" s="123" t="s">
        <v>244</v>
      </c>
      <c r="C71" s="124" t="s">
        <v>107</v>
      </c>
      <c r="D71" s="103" t="s">
        <v>117</v>
      </c>
      <c r="E71" s="103" t="s">
        <v>118</v>
      </c>
      <c r="F71" s="156" t="s">
        <v>158</v>
      </c>
      <c r="G71" s="217" t="s">
        <v>159</v>
      </c>
      <c r="H71" s="158">
        <v>1</v>
      </c>
      <c r="I71" s="158">
        <v>1</v>
      </c>
      <c r="J71" s="178">
        <v>5500</v>
      </c>
      <c r="K71" s="178">
        <f t="shared" si="115"/>
        <v>5500</v>
      </c>
      <c r="L71" s="178">
        <f t="shared" si="116"/>
        <v>440</v>
      </c>
      <c r="M71" s="178">
        <f t="shared" si="117"/>
        <v>106.78762271654035</v>
      </c>
      <c r="N71" s="296">
        <f t="shared" si="118"/>
        <v>6046.7876227165407</v>
      </c>
      <c r="O71" s="179" t="b">
        <v>0</v>
      </c>
      <c r="Q71" s="143">
        <f t="shared" si="119"/>
        <v>1</v>
      </c>
      <c r="R71" s="305">
        <v>1</v>
      </c>
      <c r="S71" s="162">
        <v>4000</v>
      </c>
      <c r="T71" s="162">
        <v>4330</v>
      </c>
      <c r="U71" s="163">
        <f t="shared" si="120"/>
        <v>1170</v>
      </c>
      <c r="V71" s="164">
        <f t="shared" si="121"/>
        <v>0</v>
      </c>
      <c r="W71" s="165">
        <f t="shared" si="122"/>
        <v>0</v>
      </c>
      <c r="X71" s="165">
        <f t="shared" si="123"/>
        <v>4330</v>
      </c>
      <c r="Y71" s="166">
        <f t="shared" si="124"/>
        <v>4436.7876227165407</v>
      </c>
      <c r="Z71" s="150">
        <f t="shared" si="125"/>
        <v>0.21272727272727274</v>
      </c>
      <c r="AA71" s="151"/>
      <c r="AB71" s="152">
        <f t="shared" si="11"/>
        <v>0</v>
      </c>
      <c r="AC71" s="153">
        <v>4330</v>
      </c>
      <c r="AD71" s="334" t="s">
        <v>286</v>
      </c>
    </row>
    <row r="72" spans="1:30" ht="90" customHeight="1" x14ac:dyDescent="0.45">
      <c r="A72" s="167">
        <v>58</v>
      </c>
      <c r="B72" s="123" t="s">
        <v>245</v>
      </c>
      <c r="C72" s="168" t="s">
        <v>107</v>
      </c>
      <c r="D72" s="103" t="s">
        <v>117</v>
      </c>
      <c r="E72" s="103" t="s">
        <v>118</v>
      </c>
      <c r="F72" s="156" t="s">
        <v>189</v>
      </c>
      <c r="G72" s="217" t="s">
        <v>211</v>
      </c>
      <c r="H72" s="158">
        <v>1</v>
      </c>
      <c r="I72" s="158">
        <v>1</v>
      </c>
      <c r="J72" s="178">
        <v>8000</v>
      </c>
      <c r="K72" s="178">
        <f>IF(F72&lt;&gt;"",H72*I72*J72,"")</f>
        <v>8000</v>
      </c>
      <c r="L72" s="178">
        <f>IF(K72&lt;&gt;"",IF(D72="INTERNO",0,K72*$L$14),"")</f>
        <v>640</v>
      </c>
      <c r="M72" s="178">
        <f>IF(K72&lt;&gt;"",IF(E72="FAT.OGGI",SUM(K72:L72)*(1/(1-$M$14)-1),L72*(1/(1-$M$14)-1)),"")</f>
        <v>155.32745122405871</v>
      </c>
      <c r="N72" s="296">
        <f>SUM(K72:M72)</f>
        <v>8795.3274512240587</v>
      </c>
      <c r="O72" s="179" t="b">
        <v>0</v>
      </c>
      <c r="P72" s="180" t="s">
        <v>260</v>
      </c>
      <c r="Q72" s="243">
        <f>IF(H72&lt;&gt;"",H72,"")</f>
        <v>1</v>
      </c>
      <c r="R72" s="196">
        <f>IF(I72&lt;&gt;"",I72,"")</f>
        <v>1</v>
      </c>
      <c r="S72" s="197">
        <v>4000</v>
      </c>
      <c r="T72" s="197">
        <v>0</v>
      </c>
      <c r="U72" s="198">
        <f>IF(Q72&lt;&gt;"",K72-T72,"")</f>
        <v>8000</v>
      </c>
      <c r="V72" s="199">
        <f>IF(Q72&lt;&gt;"",0%,"")</f>
        <v>0</v>
      </c>
      <c r="W72" s="200">
        <f>IF(Q72&lt;&gt;"",V72*U72,"")</f>
        <v>0</v>
      </c>
      <c r="X72" s="200">
        <f>IF(Q72&lt;&gt;"",W72+T72,"")</f>
        <v>0</v>
      </c>
      <c r="Y72" s="166">
        <f>IF(Q72&lt;&gt;"",X72+M72,"")</f>
        <v>155.32745122405871</v>
      </c>
      <c r="Z72" s="150">
        <f>IF(Q72&lt;&gt;"",U72/K72,"")</f>
        <v>1</v>
      </c>
      <c r="AA72" s="151"/>
      <c r="AB72" s="152">
        <f t="shared" si="11"/>
        <v>0</v>
      </c>
      <c r="AC72" s="153"/>
    </row>
    <row r="73" spans="1:30" ht="90" customHeight="1" thickBot="1" x14ac:dyDescent="0.5">
      <c r="A73" s="154">
        <v>59</v>
      </c>
      <c r="B73" s="123" t="s">
        <v>246</v>
      </c>
      <c r="C73" s="155" t="s">
        <v>107</v>
      </c>
      <c r="D73" s="154" t="s">
        <v>117</v>
      </c>
      <c r="E73" s="154" t="s">
        <v>118</v>
      </c>
      <c r="F73" s="306" t="s">
        <v>187</v>
      </c>
      <c r="G73" s="307" t="s">
        <v>190</v>
      </c>
      <c r="H73" s="308">
        <v>1</v>
      </c>
      <c r="I73" s="308">
        <v>1</v>
      </c>
      <c r="J73" s="309">
        <v>4000</v>
      </c>
      <c r="K73" s="309">
        <f t="shared" si="115"/>
        <v>4000</v>
      </c>
      <c r="L73" s="309">
        <f t="shared" si="116"/>
        <v>320</v>
      </c>
      <c r="M73" s="309">
        <f t="shared" si="117"/>
        <v>77.663725612029353</v>
      </c>
      <c r="N73" s="310">
        <f t="shared" si="118"/>
        <v>4397.6637256120293</v>
      </c>
      <c r="O73" s="179" t="b">
        <v>0</v>
      </c>
      <c r="Q73" s="143">
        <f t="shared" ref="Q73:R73" si="127">IF(H73&lt;&gt;"",H73,"")</f>
        <v>1</v>
      </c>
      <c r="R73" s="311">
        <f t="shared" si="127"/>
        <v>1</v>
      </c>
      <c r="S73" s="312">
        <v>4000</v>
      </c>
      <c r="T73" s="312">
        <v>5955.7</v>
      </c>
      <c r="U73" s="313">
        <f t="shared" si="120"/>
        <v>-1955.6999999999998</v>
      </c>
      <c r="V73" s="314">
        <f t="shared" si="121"/>
        <v>0</v>
      </c>
      <c r="W73" s="315">
        <f t="shared" si="122"/>
        <v>0</v>
      </c>
      <c r="X73" s="315">
        <f t="shared" si="123"/>
        <v>5955.7</v>
      </c>
      <c r="Y73" s="251">
        <f t="shared" si="124"/>
        <v>6033.3637256120292</v>
      </c>
      <c r="Z73" s="150">
        <f t="shared" si="125"/>
        <v>-0.48892499999999994</v>
      </c>
      <c r="AA73" s="151"/>
      <c r="AB73" s="152">
        <f t="shared" si="11"/>
        <v>0</v>
      </c>
      <c r="AC73" s="153">
        <f>98+231.57+355+403.18+600+2056.95+2145.04+65.96</f>
        <v>5955.7</v>
      </c>
      <c r="AD73" s="334" t="s">
        <v>282</v>
      </c>
    </row>
    <row r="74" spans="1:30" ht="29.4" customHeight="1" thickBot="1" x14ac:dyDescent="0.5">
      <c r="A74" s="154">
        <v>60</v>
      </c>
      <c r="B74" s="123"/>
      <c r="C74" s="155" t="s">
        <v>113</v>
      </c>
      <c r="D74" s="154"/>
      <c r="E74" s="154"/>
      <c r="F74" s="458" t="s">
        <v>160</v>
      </c>
      <c r="G74" s="459"/>
      <c r="H74" s="459"/>
      <c r="I74" s="459"/>
      <c r="J74" s="459"/>
      <c r="K74" s="316">
        <f>SUM(K64:K73)</f>
        <v>45680</v>
      </c>
      <c r="L74" s="316">
        <f>SUM(L64:L73)</f>
        <v>3654.4</v>
      </c>
      <c r="M74" s="316">
        <f>SUM(M64:M73)</f>
        <v>886.91974648937514</v>
      </c>
      <c r="N74" s="317">
        <f>SUM(N64:N73)</f>
        <v>50221.319746489375</v>
      </c>
      <c r="O74" s="142"/>
      <c r="Q74" s="458" t="s">
        <v>160</v>
      </c>
      <c r="R74" s="459"/>
      <c r="S74" s="459"/>
      <c r="T74" s="318">
        <f>SUM(T64:T73)</f>
        <v>23930.7</v>
      </c>
      <c r="U74" s="319">
        <f>SUM(U64:U73)</f>
        <v>21749.3</v>
      </c>
      <c r="V74" s="320"/>
      <c r="W74" s="320"/>
      <c r="X74" s="321">
        <f>SUM(X64:X73)</f>
        <v>23930.7</v>
      </c>
      <c r="Y74" s="322">
        <f t="shared" si="113"/>
        <v>24817.619746489378</v>
      </c>
      <c r="Z74" s="323" t="s">
        <v>163</v>
      </c>
      <c r="AA74" s="324" t="s">
        <v>164</v>
      </c>
      <c r="AB74" s="152"/>
      <c r="AC74" s="153"/>
    </row>
    <row r="75" spans="1:30" ht="41.1" customHeight="1" thickBot="1" x14ac:dyDescent="0.5">
      <c r="A75" s="167">
        <v>61</v>
      </c>
      <c r="B75" s="325"/>
      <c r="C75" s="168" t="s">
        <v>161</v>
      </c>
      <c r="D75" s="167"/>
      <c r="E75" s="167"/>
      <c r="F75" s="326" t="s">
        <v>162</v>
      </c>
      <c r="G75" s="327"/>
      <c r="H75" s="328"/>
      <c r="I75" s="328"/>
      <c r="J75" s="327"/>
      <c r="K75" s="329">
        <f>SUM(K17:K21)+SUM(K25:K28)+SUM(K32:K32)+SUM(K36:K40)+SUM(K44:K46)+SUM(K50:K52)+SUM(K56:K56)+SUM(K60:K60)+SUM(K64:K73)</f>
        <v>168470</v>
      </c>
      <c r="L75" s="329">
        <f>SUM(L17:L21)+SUM(L25:L28)+SUM(L32:L32)+SUM(L36:L40)+SUM(L44:L46)+SUM(L50:L52)+SUM(L56:L56)+SUM(L60:L60)+SUM(L64:L73)</f>
        <v>11861.6</v>
      </c>
      <c r="M75" s="329">
        <f>SUM(M17:M21)+SUM(M25:M28)+SUM(M32:M32)+SUM(M36:M40)+SUM(M44:M46)+SUM(M50:M52)+SUM(M56:M56)+SUM(M60:M60)+SUM(M64:M73)</f>
        <v>7781.3228283832495</v>
      </c>
      <c r="N75" s="330">
        <f>SUM(N17:N21)+SUM(N25:N28)+SUM(N32:N32)+SUM(N36:N40)+SUM(N44:N46)+SUM(N50:N52)+SUM(N56:N56)+SUM(N60:N60)+SUM(N64:N73)</f>
        <v>188112.92282838325</v>
      </c>
      <c r="O75" s="142"/>
      <c r="Q75" s="331" t="s">
        <v>11</v>
      </c>
      <c r="R75" s="328"/>
      <c r="S75" s="327"/>
      <c r="T75" s="329">
        <f>SUM(T17:T21)+SUM(T25:T28)+SUM(T32:T32)+SUM(T36:T40)+SUM(T44:T46)+SUM(T50:T52)+SUM(T56:T56)+SUM(T60:T60)+SUM(T64:T73)</f>
        <v>103277.81999999999</v>
      </c>
      <c r="U75" s="329">
        <f>SUM(U17:U21)+SUM(U25:U28)+SUM(U32:U32)+SUM(U36:U40)+SUM(U44:U46)+SUM(U50:U52)+SUM(U56:U56)+SUM(U60:U60)+SUM(U64:U73)</f>
        <v>65192.179999999993</v>
      </c>
      <c r="V75" s="327"/>
      <c r="W75" s="327"/>
      <c r="X75" s="329">
        <f>SUM(X17:X21)+SUM(X25:X28)+SUM(X32:X32)+SUM(X36:X40)+SUM(X44:X46)+SUM(X50:X52)+SUM(X56:X56)+SUM(X60:X60)+SUM(X64:X73)</f>
        <v>103277.81999999999</v>
      </c>
      <c r="Y75" s="330">
        <f>SUM(Y17:Y21)+SUM(Y25:Y28)+SUM(Y32:Y32)+SUM(Y36:Y40)+SUM(Y44:Y46)+SUM(Y50:Y52)+SUM(Y56:Y56)+SUM(Y60:Y60)+SUM(Y64:Y73)</f>
        <v>111059.14282838326</v>
      </c>
      <c r="Z75" s="332">
        <f>IF(Q75&lt;&gt;"",(N75-Y75)/N75,"")</f>
        <v>0.40961449559899027</v>
      </c>
      <c r="AA75" s="333">
        <f>IF(Z75&lt;&gt;"",(N75-Y75),"")</f>
        <v>77053.779999999984</v>
      </c>
      <c r="AB75" s="152">
        <f t="shared" si="11"/>
        <v>0</v>
      </c>
      <c r="AC75" s="153">
        <f>SUM(AC17:AC74)</f>
        <v>103277.81999999999</v>
      </c>
    </row>
    <row r="77" spans="1:30" x14ac:dyDescent="0.45">
      <c r="AD77" s="334" t="s">
        <v>270</v>
      </c>
    </row>
    <row r="78" spans="1:30" x14ac:dyDescent="0.45">
      <c r="AC78" s="335">
        <f>X75</f>
        <v>103277.81999999999</v>
      </c>
      <c r="AD78" s="334" t="s">
        <v>271</v>
      </c>
    </row>
    <row r="79" spans="1:30" x14ac:dyDescent="0.45">
      <c r="AC79" s="335">
        <f>N75-X75</f>
        <v>84835.102828383257</v>
      </c>
      <c r="AD79" s="334" t="s">
        <v>272</v>
      </c>
    </row>
    <row r="80" spans="1:30" x14ac:dyDescent="0.45">
      <c r="AC80" s="336">
        <f>AC79*100%/N75</f>
        <v>0.45097966451661015</v>
      </c>
    </row>
  </sheetData>
  <mergeCells count="57">
    <mergeCell ref="F54:N54"/>
    <mergeCell ref="F41:J41"/>
    <mergeCell ref="Q41:S41"/>
    <mergeCell ref="F42:N42"/>
    <mergeCell ref="Q42:Y42"/>
    <mergeCell ref="F43:K43"/>
    <mergeCell ref="Q43:Y43"/>
    <mergeCell ref="Q54:Y54"/>
    <mergeCell ref="F53:J53"/>
    <mergeCell ref="Q53:S53"/>
    <mergeCell ref="F47:J47"/>
    <mergeCell ref="Q47:S47"/>
    <mergeCell ref="F33:J33"/>
    <mergeCell ref="Q33:S33"/>
    <mergeCell ref="F48:N48"/>
    <mergeCell ref="Q48:Y48"/>
    <mergeCell ref="F49:K49"/>
    <mergeCell ref="Q49:Y49"/>
    <mergeCell ref="Q24:V24"/>
    <mergeCell ref="F1:G1"/>
    <mergeCell ref="F2:G2"/>
    <mergeCell ref="R12:U12"/>
    <mergeCell ref="V12:Y12"/>
    <mergeCell ref="F23:N23"/>
    <mergeCell ref="Q23:Y23"/>
    <mergeCell ref="Q62:Y62"/>
    <mergeCell ref="F15:N15"/>
    <mergeCell ref="Q15:Y15"/>
    <mergeCell ref="F16:K16"/>
    <mergeCell ref="Q16:Y16"/>
    <mergeCell ref="F34:N34"/>
    <mergeCell ref="Q34:Y34"/>
    <mergeCell ref="F22:J22"/>
    <mergeCell ref="Q22:S22"/>
    <mergeCell ref="F29:J29"/>
    <mergeCell ref="Q29:S29"/>
    <mergeCell ref="F30:N30"/>
    <mergeCell ref="Q30:Y30"/>
    <mergeCell ref="F31:K31"/>
    <mergeCell ref="Q31:Y31"/>
    <mergeCell ref="F24:K24"/>
    <mergeCell ref="AB14:AC14"/>
    <mergeCell ref="F35:K35"/>
    <mergeCell ref="Q35:Y35"/>
    <mergeCell ref="F55:K55"/>
    <mergeCell ref="F74:J74"/>
    <mergeCell ref="Q74:S74"/>
    <mergeCell ref="F57:J57"/>
    <mergeCell ref="Q57:S57"/>
    <mergeCell ref="F63:K63"/>
    <mergeCell ref="F59:K59"/>
    <mergeCell ref="Q59:Y59"/>
    <mergeCell ref="F61:J61"/>
    <mergeCell ref="Q61:S61"/>
    <mergeCell ref="F58:N58"/>
    <mergeCell ref="Q58:Y58"/>
    <mergeCell ref="F62:N62"/>
  </mergeCells>
  <dataValidations count="3">
    <dataValidation type="list" allowBlank="1" showInputMessage="1" showErrorMessage="1" sqref="E17:E22 E25:E61 E64:E73" xr:uid="{F9907BAC-0CF7-42E1-A472-5B9B9E3DC5D5}">
      <formula1>"FAT.OGGI,FAT.CLIENTE"</formula1>
    </dataValidation>
    <dataValidation type="list" allowBlank="1" showInputMessage="1" showErrorMessage="1" sqref="D75 D17:D22 D25:D61 D64:D73" xr:uid="{98866BC7-DB5C-4861-B11E-20182FBA42DD}">
      <formula1>"INTERNO,OPERACIONAL"</formula1>
    </dataValidation>
    <dataValidation type="list" allowBlank="1" showInputMessage="1" showErrorMessage="1" sqref="E75" xr:uid="{C7D5B582-1B95-4E43-BB2B-49DAE723CAAF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3554" r:id="rId4" name="Label2">
          <controlPr defaultSize="0" autoLine="0" autoPict="0" r:id="rId5">
            <anchor>
              <from>
                <xdr:col>34</xdr:col>
                <xdr:colOff>152400</xdr:colOff>
                <xdr:row>0</xdr:row>
                <xdr:rowOff>190500</xdr:rowOff>
              </from>
              <to>
                <xdr:col>35</xdr:col>
                <xdr:colOff>518160</xdr:colOff>
                <xdr:row>1</xdr:row>
                <xdr:rowOff>121920</xdr:rowOff>
              </to>
            </anchor>
          </controlPr>
        </control>
      </mc:Choice>
      <mc:Fallback>
        <control shapeId="23554" r:id="rId4" name="Label2"/>
      </mc:Fallback>
    </mc:AlternateContent>
    <mc:AlternateContent xmlns:mc="http://schemas.openxmlformats.org/markup-compatibility/2006">
      <mc:Choice Requires="x14">
        <control shapeId="23553" r:id="rId6" name="Label1">
          <controlPr defaultSize="0" autoLine="0" autoPict="0" r:id="rId7">
            <anchor>
              <from>
                <xdr:col>1</xdr:col>
                <xdr:colOff>678180</xdr:colOff>
                <xdr:row>0</xdr:row>
                <xdr:rowOff>152400</xdr:rowOff>
              </from>
              <to>
                <xdr:col>5</xdr:col>
                <xdr:colOff>937260</xdr:colOff>
                <xdr:row>1</xdr:row>
                <xdr:rowOff>45720</xdr:rowOff>
              </to>
            </anchor>
          </controlPr>
        </control>
      </mc:Choice>
      <mc:Fallback>
        <control shapeId="23553" r:id="rId6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CC93F-054D-4170-87ED-9759A450B5E5}">
  <sheetPr codeName="Planilha11">
    <pageSetUpPr autoPageBreaks="0"/>
  </sheetPr>
  <dimension ref="A1:AC25"/>
  <sheetViews>
    <sheetView showGridLines="0" topLeftCell="B1" zoomScale="60" zoomScaleNormal="60" workbookViewId="0">
      <pane ySplit="1" topLeftCell="A14" activePane="bottomLeft" state="frozen"/>
      <selection activeCell="AC1" sqref="AC1"/>
      <selection pane="bottomLeft" activeCell="N25" sqref="N25"/>
    </sheetView>
  </sheetViews>
  <sheetFormatPr defaultColWidth="9.109375" defaultRowHeight="18" x14ac:dyDescent="0.35"/>
  <cols>
    <col min="1" max="1" width="4.88671875" style="51" hidden="1" customWidth="1"/>
    <col min="2" max="2" width="6.33203125" style="51" customWidth="1"/>
    <col min="3" max="3" width="5.6640625" style="51" hidden="1" customWidth="1"/>
    <col min="4" max="4" width="6.6640625" style="51" hidden="1" customWidth="1"/>
    <col min="5" max="5" width="10.88671875" style="51" hidden="1" customWidth="1"/>
    <col min="6" max="6" width="30.88671875" style="51" customWidth="1"/>
    <col min="7" max="7" width="41" style="51" customWidth="1"/>
    <col min="8" max="8" width="8.33203125" style="339" hidden="1" customWidth="1"/>
    <col min="9" max="9" width="8.109375" style="339" hidden="1" customWidth="1"/>
    <col min="10" max="10" width="18.5546875" style="51" hidden="1" customWidth="1"/>
    <col min="11" max="11" width="26.44140625" style="51" customWidth="1"/>
    <col min="12" max="12" width="25.5546875" style="51" customWidth="1"/>
    <col min="13" max="13" width="23.44140625" style="51" customWidth="1"/>
    <col min="14" max="14" width="31.109375" style="51" customWidth="1"/>
    <col min="15" max="15" width="7.44140625" style="340" hidden="1" customWidth="1"/>
    <col min="16" max="16" width="30.88671875" style="341" hidden="1" customWidth="1"/>
    <col min="17" max="17" width="9.109375" style="339" customWidth="1"/>
    <col min="18" max="18" width="10.44140625" style="339" hidden="1" customWidth="1"/>
    <col min="19" max="19" width="17.5546875" style="51" hidden="1" customWidth="1"/>
    <col min="20" max="20" width="26.44140625" style="51" customWidth="1"/>
    <col min="21" max="21" width="28.6640625" style="51" hidden="1" customWidth="1"/>
    <col min="22" max="23" width="28.33203125" style="51" hidden="1" customWidth="1"/>
    <col min="24" max="24" width="28.33203125" style="51" customWidth="1"/>
    <col min="25" max="26" width="27.6640625" style="51" hidden="1" customWidth="1"/>
    <col min="27" max="27" width="25.6640625" style="51" hidden="1" customWidth="1"/>
    <col min="28" max="28" width="20" style="51" bestFit="1" customWidth="1"/>
    <col min="29" max="29" width="26.33203125" style="51" customWidth="1"/>
    <col min="30" max="16384" width="9.109375" style="51"/>
  </cols>
  <sheetData>
    <row r="1" spans="1:29" ht="49.5" customHeight="1" x14ac:dyDescent="0.35">
      <c r="B1" s="337"/>
      <c r="C1" s="338"/>
      <c r="D1" s="338"/>
      <c r="F1" s="529" t="s">
        <v>81</v>
      </c>
      <c r="G1" s="529"/>
    </row>
    <row r="2" spans="1:29" ht="24.75" customHeight="1" x14ac:dyDescent="0.35">
      <c r="B2" s="342"/>
      <c r="D2" s="338"/>
      <c r="F2" s="530" t="s">
        <v>0</v>
      </c>
      <c r="G2" s="530"/>
    </row>
    <row r="3" spans="1:29" x14ac:dyDescent="0.35">
      <c r="B3" s="26"/>
      <c r="F3" s="3"/>
      <c r="G3" s="3"/>
    </row>
    <row r="4" spans="1:29" ht="21.9" customHeight="1" x14ac:dyDescent="0.35">
      <c r="F4" s="33" t="s">
        <v>193</v>
      </c>
      <c r="G4" s="27"/>
    </row>
    <row r="5" spans="1:29" x14ac:dyDescent="0.35">
      <c r="F5" s="34" t="s">
        <v>123</v>
      </c>
      <c r="G5" s="28"/>
    </row>
    <row r="6" spans="1:29" x14ac:dyDescent="0.35">
      <c r="F6" s="34" t="s">
        <v>215</v>
      </c>
      <c r="G6" s="30"/>
    </row>
    <row r="7" spans="1:29" ht="21.75" customHeight="1" x14ac:dyDescent="0.35">
      <c r="F7" s="34" t="s">
        <v>194</v>
      </c>
      <c r="G7" s="30"/>
    </row>
    <row r="8" spans="1:29" x14ac:dyDescent="0.35">
      <c r="F8" s="34" t="s">
        <v>265</v>
      </c>
      <c r="G8" s="343"/>
    </row>
    <row r="9" spans="1:29" x14ac:dyDescent="0.35">
      <c r="F9" s="34" t="s">
        <v>122</v>
      </c>
      <c r="G9" s="30"/>
      <c r="M9" s="51">
        <v>0.80469999999999997</v>
      </c>
    </row>
    <row r="10" spans="1:29" ht="27" customHeight="1" x14ac:dyDescent="0.35">
      <c r="F10" s="34" t="s">
        <v>121</v>
      </c>
      <c r="G10" s="30"/>
      <c r="M10" s="51">
        <f>1-M9</f>
        <v>0.19530000000000003</v>
      </c>
    </row>
    <row r="11" spans="1:29" x14ac:dyDescent="0.35">
      <c r="F11" s="35" t="s">
        <v>196</v>
      </c>
      <c r="G11" s="36"/>
    </row>
    <row r="12" spans="1:29" ht="18.600000000000001" hidden="1" thickBot="1" x14ac:dyDescent="0.4">
      <c r="B12" s="344"/>
      <c r="M12" s="345"/>
      <c r="R12" s="531" t="s">
        <v>1</v>
      </c>
      <c r="S12" s="532"/>
      <c r="T12" s="532"/>
      <c r="U12" s="533"/>
      <c r="V12" s="536" t="s">
        <v>2</v>
      </c>
      <c r="W12" s="537"/>
      <c r="X12" s="537"/>
      <c r="Y12" s="537"/>
      <c r="Z12" s="346" t="s">
        <v>14</v>
      </c>
      <c r="AA12" s="347" t="e">
        <f>(1/(1-#REF!))-1</f>
        <v>#REF!</v>
      </c>
    </row>
    <row r="13" spans="1:29" ht="18.600000000000001" thickBot="1" x14ac:dyDescent="0.4">
      <c r="A13" s="1" t="s">
        <v>3</v>
      </c>
      <c r="B13" s="2" t="s">
        <v>4</v>
      </c>
      <c r="C13" s="1" t="s">
        <v>5</v>
      </c>
      <c r="D13" s="1" t="s">
        <v>6</v>
      </c>
      <c r="E13" s="1" t="s">
        <v>7</v>
      </c>
      <c r="M13" s="348">
        <v>0.81</v>
      </c>
      <c r="Z13" s="349"/>
      <c r="AA13" s="350"/>
    </row>
    <row r="14" spans="1:29" ht="36.6" thickBot="1" x14ac:dyDescent="0.4">
      <c r="A14" s="351">
        <v>0</v>
      </c>
      <c r="B14" s="352"/>
      <c r="C14" s="353"/>
      <c r="D14" s="354"/>
      <c r="E14" s="354"/>
      <c r="F14" s="355" t="s">
        <v>84</v>
      </c>
      <c r="G14" s="356" t="s">
        <v>85</v>
      </c>
      <c r="H14" s="357" t="s">
        <v>86</v>
      </c>
      <c r="I14" s="357" t="s">
        <v>87</v>
      </c>
      <c r="J14" s="358" t="s">
        <v>88</v>
      </c>
      <c r="K14" s="359" t="s">
        <v>8</v>
      </c>
      <c r="L14" s="360">
        <v>0.08</v>
      </c>
      <c r="M14" s="361">
        <v>0.1953</v>
      </c>
      <c r="N14" s="362" t="s">
        <v>82</v>
      </c>
      <c r="O14" s="363"/>
      <c r="Q14" s="364" t="s">
        <v>89</v>
      </c>
      <c r="R14" s="365" t="s">
        <v>90</v>
      </c>
      <c r="S14" s="366" t="s">
        <v>91</v>
      </c>
      <c r="T14" s="367" t="s">
        <v>92</v>
      </c>
      <c r="U14" s="368" t="s">
        <v>93</v>
      </c>
      <c r="V14" s="369" t="s">
        <v>94</v>
      </c>
      <c r="W14" s="370" t="s">
        <v>95</v>
      </c>
      <c r="X14" s="371" t="s">
        <v>96</v>
      </c>
      <c r="Y14" s="371" t="s">
        <v>97</v>
      </c>
      <c r="Z14" s="372" t="s">
        <v>98</v>
      </c>
      <c r="AA14" s="373" t="s">
        <v>83</v>
      </c>
      <c r="AB14" s="449" t="s">
        <v>267</v>
      </c>
      <c r="AC14" s="449"/>
    </row>
    <row r="15" spans="1:29" ht="35.1" customHeight="1" thickBot="1" x14ac:dyDescent="0.5">
      <c r="A15" s="354">
        <v>1</v>
      </c>
      <c r="B15" s="374">
        <v>1</v>
      </c>
      <c r="C15" s="375" t="s">
        <v>101</v>
      </c>
      <c r="D15" s="354"/>
      <c r="E15" s="354"/>
      <c r="F15" s="538" t="s">
        <v>261</v>
      </c>
      <c r="G15" s="539"/>
      <c r="H15" s="539"/>
      <c r="I15" s="539"/>
      <c r="J15" s="539"/>
      <c r="K15" s="539"/>
      <c r="L15" s="539"/>
      <c r="M15" s="539"/>
      <c r="N15" s="540"/>
      <c r="O15" s="376"/>
      <c r="Q15" s="541" t="str">
        <f>IF(F15&lt;&gt;"",F15,"")</f>
        <v>HOSPEDAGEM</v>
      </c>
      <c r="R15" s="542"/>
      <c r="S15" s="542"/>
      <c r="T15" s="542"/>
      <c r="U15" s="542"/>
      <c r="V15" s="542"/>
      <c r="W15" s="542"/>
      <c r="X15" s="542"/>
      <c r="Y15" s="543"/>
      <c r="Z15" s="377"/>
      <c r="AA15" s="378"/>
      <c r="AB15" s="128"/>
      <c r="AC15" s="128"/>
    </row>
    <row r="16" spans="1:29" ht="42.75" customHeight="1" x14ac:dyDescent="0.35">
      <c r="A16" s="354">
        <v>2</v>
      </c>
      <c r="B16" s="374" t="s">
        <v>103</v>
      </c>
      <c r="C16" s="375" t="s">
        <v>102</v>
      </c>
      <c r="D16" s="354"/>
      <c r="E16" s="354"/>
      <c r="F16" s="544" t="s">
        <v>261</v>
      </c>
      <c r="G16" s="545"/>
      <c r="H16" s="545"/>
      <c r="I16" s="545"/>
      <c r="J16" s="545"/>
      <c r="K16" s="546"/>
      <c r="L16" s="379" t="s">
        <v>104</v>
      </c>
      <c r="M16" s="380" t="s">
        <v>105</v>
      </c>
      <c r="N16" s="381" t="s">
        <v>82</v>
      </c>
      <c r="O16" s="376"/>
      <c r="Q16" s="547" t="str">
        <f>IF(F16&lt;&gt;"",F16,"")</f>
        <v>HOSPEDAGEM</v>
      </c>
      <c r="R16" s="548"/>
      <c r="S16" s="548"/>
      <c r="T16" s="548"/>
      <c r="U16" s="548"/>
      <c r="V16" s="548"/>
      <c r="W16" s="548"/>
      <c r="X16" s="548"/>
      <c r="Y16" s="549"/>
      <c r="Z16" s="382" t="s">
        <v>106</v>
      </c>
      <c r="AA16" s="383" t="s">
        <v>83</v>
      </c>
      <c r="AB16" s="135" t="s">
        <v>268</v>
      </c>
      <c r="AC16" s="136" t="s">
        <v>269</v>
      </c>
    </row>
    <row r="17" spans="1:29" ht="42.6" customHeight="1" x14ac:dyDescent="0.45">
      <c r="A17" s="384">
        <v>3</v>
      </c>
      <c r="B17" s="374" t="s">
        <v>108</v>
      </c>
      <c r="C17" s="385" t="s">
        <v>107</v>
      </c>
      <c r="D17" s="354" t="s">
        <v>117</v>
      </c>
      <c r="E17" s="354" t="s">
        <v>118</v>
      </c>
      <c r="F17" s="386" t="s">
        <v>262</v>
      </c>
      <c r="G17" s="387" t="s">
        <v>263</v>
      </c>
      <c r="H17" s="388">
        <v>1</v>
      </c>
      <c r="I17" s="388">
        <v>1</v>
      </c>
      <c r="J17" s="389">
        <v>1428</v>
      </c>
      <c r="K17" s="389">
        <f t="shared" ref="K17" si="0">IF(F17&lt;&gt;"",H17*I17*J17,"")</f>
        <v>1428</v>
      </c>
      <c r="L17" s="389">
        <f t="shared" ref="L17" si="1">IF(K17&lt;&gt;"",IF(D17="INTERNO",0,K17*$L$14),"")</f>
        <v>114.24000000000001</v>
      </c>
      <c r="M17" s="389">
        <f t="shared" ref="M17" si="2">IF(K17&lt;&gt;"",IF(E17="FAT.OGGI",SUM(K17:L17)*(1/(1-$M$14)-1),L17*(1/(1-$M$14)-1)),"")</f>
        <v>27.725950043494482</v>
      </c>
      <c r="N17" s="390">
        <f t="shared" ref="N17" si="3">SUM(K17:M17)</f>
        <v>1569.9659500434946</v>
      </c>
      <c r="O17" s="376"/>
      <c r="P17" s="391"/>
      <c r="Q17" s="392">
        <f t="shared" ref="Q17:R17" si="4">IF(H17&lt;&gt;"",H17,"")</f>
        <v>1</v>
      </c>
      <c r="R17" s="393">
        <f t="shared" si="4"/>
        <v>1</v>
      </c>
      <c r="S17" s="394">
        <v>1020</v>
      </c>
      <c r="T17" s="394">
        <v>0</v>
      </c>
      <c r="U17" s="395">
        <f t="shared" ref="U17" si="5">IF(Q17&lt;&gt;"",K17-T17,"")</f>
        <v>1428</v>
      </c>
      <c r="V17" s="396">
        <f t="shared" ref="V17" si="6">IF(Q17&lt;&gt;"",0%,"")</f>
        <v>0</v>
      </c>
      <c r="W17" s="397">
        <f t="shared" ref="W17" si="7">IF(Q17&lt;&gt;"",V17*U17,"")</f>
        <v>0</v>
      </c>
      <c r="X17" s="397">
        <f t="shared" ref="X17" si="8">IF(Q17&lt;&gt;"",W17+T17,"")</f>
        <v>0</v>
      </c>
      <c r="Y17" s="398">
        <f t="shared" ref="Y17" si="9">IF(Q17&lt;&gt;"",X17+M17,"")</f>
        <v>27.725950043494482</v>
      </c>
      <c r="Z17" s="399">
        <f t="shared" ref="Z17" si="10">IF(Q17&lt;&gt;"",U17/K17,"")</f>
        <v>1</v>
      </c>
      <c r="AA17" s="378" t="e">
        <f>T17/$T$18</f>
        <v>#DIV/0!</v>
      </c>
      <c r="AB17" s="152">
        <f>X17-AC17</f>
        <v>0</v>
      </c>
      <c r="AC17" s="153"/>
    </row>
    <row r="18" spans="1:29" ht="32.4" customHeight="1" thickBot="1" x14ac:dyDescent="0.5">
      <c r="A18" s="384">
        <v>4</v>
      </c>
      <c r="B18" s="374"/>
      <c r="C18" s="385" t="s">
        <v>113</v>
      </c>
      <c r="D18" s="384"/>
      <c r="E18" s="384"/>
      <c r="F18" s="527" t="s">
        <v>264</v>
      </c>
      <c r="G18" s="528"/>
      <c r="H18" s="528"/>
      <c r="I18" s="528"/>
      <c r="J18" s="528"/>
      <c r="K18" s="32">
        <f>SUM(K17:K17)</f>
        <v>1428</v>
      </c>
      <c r="L18" s="32">
        <f>SUM(L17:L17)</f>
        <v>114.24000000000001</v>
      </c>
      <c r="M18" s="32">
        <f>SUM(M17:M17)</f>
        <v>27.725950043494482</v>
      </c>
      <c r="N18" s="41">
        <f>SUM(N17:N17)</f>
        <v>1569.9659500434946</v>
      </c>
      <c r="O18" s="376"/>
      <c r="Q18" s="534" t="s">
        <v>186</v>
      </c>
      <c r="R18" s="535"/>
      <c r="S18" s="535"/>
      <c r="T18" s="38">
        <f>SUM(T17:T17)</f>
        <v>0</v>
      </c>
      <c r="U18" s="39">
        <f>SUM(U17:U17)</f>
        <v>1428</v>
      </c>
      <c r="V18" s="400"/>
      <c r="W18" s="401"/>
      <c r="X18" s="37">
        <f>SUM(X17:X17)</f>
        <v>0</v>
      </c>
      <c r="Y18" s="42">
        <f>IF(Q18&lt;&gt;"",X18+M18,"")</f>
        <v>27.725950043494482</v>
      </c>
      <c r="Z18" s="377"/>
      <c r="AA18" s="378"/>
      <c r="AB18" s="152">
        <f>X18-AC18</f>
        <v>0</v>
      </c>
      <c r="AC18" s="153"/>
    </row>
    <row r="19" spans="1:29" ht="41.1" customHeight="1" thickBot="1" x14ac:dyDescent="0.5">
      <c r="A19" s="402">
        <v>5</v>
      </c>
      <c r="B19" s="403"/>
      <c r="C19" s="404" t="s">
        <v>161</v>
      </c>
      <c r="D19" s="402"/>
      <c r="E19" s="402"/>
      <c r="F19" s="405" t="s">
        <v>162</v>
      </c>
      <c r="G19" s="406"/>
      <c r="H19" s="407"/>
      <c r="I19" s="407"/>
      <c r="J19" s="406"/>
      <c r="K19" s="408">
        <f>SUM(K17:K17)</f>
        <v>1428</v>
      </c>
      <c r="L19" s="408">
        <f>SUM(L17:L17)</f>
        <v>114.24000000000001</v>
      </c>
      <c r="M19" s="408">
        <f>SUM(M17:M17)</f>
        <v>27.725950043494482</v>
      </c>
      <c r="N19" s="409">
        <f>SUM(N17:N17)</f>
        <v>1569.9659500434946</v>
      </c>
      <c r="O19" s="376"/>
      <c r="Q19" s="410" t="s">
        <v>11</v>
      </c>
      <c r="R19" s="407"/>
      <c r="S19" s="406"/>
      <c r="T19" s="408">
        <f>SUM(T17:T17)</f>
        <v>0</v>
      </c>
      <c r="U19" s="408">
        <f>SUM(U17:U17)</f>
        <v>1428</v>
      </c>
      <c r="V19" s="406"/>
      <c r="W19" s="406"/>
      <c r="X19" s="408">
        <f>SUM(X17:X17)</f>
        <v>0</v>
      </c>
      <c r="Y19" s="409">
        <f>SUM(Y17:Y17)</f>
        <v>27.725950043494482</v>
      </c>
      <c r="Z19" s="411">
        <f>IF(Q19&lt;&gt;"",(N19-Y19)/N19,"")</f>
        <v>0.98233977619532042</v>
      </c>
      <c r="AA19" s="412">
        <f>IF(Z19&lt;&gt;"",(N19-Y19),"")</f>
        <v>1542.24</v>
      </c>
      <c r="AB19" s="152">
        <f>X19-AC19</f>
        <v>0</v>
      </c>
      <c r="AC19" s="153"/>
    </row>
    <row r="22" spans="1:29" x14ac:dyDescent="0.35">
      <c r="AC22" s="51">
        <v>6</v>
      </c>
    </row>
    <row r="23" spans="1:29" ht="18.600000000000001" thickBot="1" x14ac:dyDescent="0.4"/>
    <row r="24" spans="1:29" ht="30" customHeight="1" x14ac:dyDescent="0.35">
      <c r="F24" s="413" t="s">
        <v>262</v>
      </c>
      <c r="G24" s="414" t="s">
        <v>266</v>
      </c>
      <c r="H24" s="415">
        <v>1</v>
      </c>
      <c r="I24" s="415">
        <v>1</v>
      </c>
      <c r="J24" s="416">
        <v>5034</v>
      </c>
      <c r="K24" s="416">
        <f t="shared" ref="K24" si="11">IF(F24&lt;&gt;"",H24*I24*J24,"")</f>
        <v>5034</v>
      </c>
      <c r="L24" s="416">
        <f t="shared" ref="L24" si="12">IF(K24&lt;&gt;"",IF(D24="INTERNO",0,K24*$L$14),"")</f>
        <v>402.72</v>
      </c>
      <c r="M24" s="416">
        <f t="shared" ref="M24" si="13">IF(K24&lt;&gt;"",IF(E24="FAT.OGGI",SUM(K24:L24)*(1/(1-$M$14)-1),L24*(1/(1-$M$14)-1)),"")</f>
        <v>97.73979868273895</v>
      </c>
      <c r="N24" s="417">
        <f t="shared" ref="N24" si="14">SUM(K24:M24)</f>
        <v>5534.4597986827393</v>
      </c>
      <c r="Q24" s="418">
        <f t="shared" ref="Q24" si="15">IF(H24&lt;&gt;"",H24,"")</f>
        <v>1</v>
      </c>
      <c r="R24" s="419">
        <f t="shared" ref="R24" si="16">IF(I24&lt;&gt;"",I24,"")</f>
        <v>1</v>
      </c>
      <c r="S24" s="420">
        <v>4195</v>
      </c>
      <c r="T24" s="420">
        <f t="shared" ref="T24" si="17">IF(Q24&lt;&gt;"",Q24*R24*S24,"")</f>
        <v>4195</v>
      </c>
      <c r="U24" s="421">
        <f t="shared" ref="U24" si="18">IF(Q24&lt;&gt;"",K24-T24,"")</f>
        <v>839</v>
      </c>
      <c r="V24" s="422">
        <f t="shared" ref="V24" si="19">IF(Q24&lt;&gt;"",0%,"")</f>
        <v>0</v>
      </c>
      <c r="W24" s="423">
        <f t="shared" ref="W24" si="20">IF(Q24&lt;&gt;"",V24*U24,"")</f>
        <v>0</v>
      </c>
      <c r="X24" s="423">
        <f t="shared" ref="X24" si="21">IF(Q24&lt;&gt;"",W24+T24,"")</f>
        <v>4195</v>
      </c>
      <c r="Y24" s="424">
        <f t="shared" ref="Y24" si="22">IF(Q24&lt;&gt;"",X24+M24,"")</f>
        <v>4292.7397986827391</v>
      </c>
      <c r="Z24" s="425">
        <f t="shared" ref="Z24" si="23">IF(Q24&lt;&gt;"",U24/K24,"")</f>
        <v>0.16666666666666666</v>
      </c>
      <c r="AA24" s="426" t="e">
        <f>T24/$T$18</f>
        <v>#DIV/0!</v>
      </c>
    </row>
    <row r="25" spans="1:29" ht="18.600000000000001" thickBot="1" x14ac:dyDescent="0.4">
      <c r="F25" s="527" t="s">
        <v>264</v>
      </c>
      <c r="G25" s="528"/>
      <c r="H25" s="528"/>
      <c r="I25" s="528"/>
      <c r="J25" s="528"/>
      <c r="K25" s="32">
        <f>SUM(K24:K24)</f>
        <v>5034</v>
      </c>
      <c r="L25" s="32">
        <f>SUM(L24:L24)</f>
        <v>402.72</v>
      </c>
      <c r="M25" s="32">
        <f>SUM(M24:M24)</f>
        <v>97.73979868273895</v>
      </c>
      <c r="N25" s="41">
        <f>SUM(N24:N24)</f>
        <v>5534.4597986827393</v>
      </c>
      <c r="Q25" s="534" t="s">
        <v>186</v>
      </c>
      <c r="R25" s="535"/>
      <c r="S25" s="535"/>
      <c r="T25" s="38">
        <f>SUM(T24:T24)</f>
        <v>4195</v>
      </c>
      <c r="U25" s="39">
        <f>SUM(U24:U24)</f>
        <v>839</v>
      </c>
      <c r="V25" s="400"/>
      <c r="W25" s="401"/>
      <c r="X25" s="37">
        <f>SUM(X24:X24)</f>
        <v>4195</v>
      </c>
      <c r="Y25" s="42">
        <f>IF(Q25&lt;&gt;"",X25+M25,"")</f>
        <v>4292.7397986827391</v>
      </c>
      <c r="Z25" s="427"/>
      <c r="AA25" s="428"/>
    </row>
  </sheetData>
  <autoFilter ref="F1:F19" xr:uid="{107B9E09-8154-459A-AE62-6A4242823A27}"/>
  <mergeCells count="13">
    <mergeCell ref="AB14:AC14"/>
    <mergeCell ref="F25:J25"/>
    <mergeCell ref="F1:G1"/>
    <mergeCell ref="F2:G2"/>
    <mergeCell ref="R12:U12"/>
    <mergeCell ref="Q25:S25"/>
    <mergeCell ref="V12:Y12"/>
    <mergeCell ref="F18:J18"/>
    <mergeCell ref="Q18:S18"/>
    <mergeCell ref="F15:N15"/>
    <mergeCell ref="Q15:Y15"/>
    <mergeCell ref="F16:K16"/>
    <mergeCell ref="Q16:Y16"/>
  </mergeCells>
  <dataValidations count="3">
    <dataValidation type="list" allowBlank="1" showInputMessage="1" showErrorMessage="1" sqref="E19" xr:uid="{AEABA05C-BE49-4E46-BDB1-0817DA62ED3E}">
      <formula1>"FAT.OGGI,FAT.CLIENTE "</formula1>
    </dataValidation>
    <dataValidation type="list" allowBlank="1" showInputMessage="1" showErrorMessage="1" sqref="D15:D19" xr:uid="{518C8AE0-2C9C-4341-9C17-78A09B60C2CF}">
      <formula1>"INTERNO,OPERACIONAL"</formula1>
    </dataValidation>
    <dataValidation type="list" allowBlank="1" showInputMessage="1" showErrorMessage="1" sqref="E15:E18" xr:uid="{9F43F89F-404B-4FAA-9AB1-F915726B390C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D497C-1BB4-44E6-A6E4-E7545D986856}">
  <sheetPr codeName="Planilha1"/>
  <dimension ref="C3:F19"/>
  <sheetViews>
    <sheetView showGridLines="0" topLeftCell="A4" zoomScale="70" zoomScaleNormal="70" workbookViewId="0">
      <selection activeCell="D19" sqref="D19"/>
    </sheetView>
  </sheetViews>
  <sheetFormatPr defaultRowHeight="14.4" x14ac:dyDescent="0.3"/>
  <cols>
    <col min="1" max="2" width="5" customWidth="1"/>
    <col min="3" max="3" width="55.6640625" customWidth="1"/>
    <col min="4" max="4" width="21.88671875" customWidth="1"/>
    <col min="5" max="5" width="16.44140625" customWidth="1"/>
    <col min="6" max="6" width="14.6640625" customWidth="1"/>
  </cols>
  <sheetData>
    <row r="3" spans="3:5" ht="25.8" x14ac:dyDescent="0.3">
      <c r="C3" s="550" t="s">
        <v>0</v>
      </c>
      <c r="D3" s="550"/>
    </row>
    <row r="4" spans="3:5" ht="18" x14ac:dyDescent="0.3">
      <c r="C4" s="3"/>
      <c r="D4" s="3"/>
    </row>
    <row r="5" spans="3:5" ht="18" x14ac:dyDescent="0.3">
      <c r="C5" s="33" t="s">
        <v>193</v>
      </c>
      <c r="D5" s="27"/>
    </row>
    <row r="6" spans="3:5" ht="18" x14ac:dyDescent="0.3">
      <c r="C6" s="34" t="s">
        <v>123</v>
      </c>
      <c r="D6" s="28"/>
    </row>
    <row r="7" spans="3:5" ht="18" x14ac:dyDescent="0.3">
      <c r="C7" s="34" t="s">
        <v>215</v>
      </c>
      <c r="D7" s="29"/>
    </row>
    <row r="8" spans="3:5" ht="18" x14ac:dyDescent="0.3">
      <c r="C8" s="34" t="s">
        <v>194</v>
      </c>
      <c r="D8" s="30"/>
    </row>
    <row r="9" spans="3:5" ht="18" x14ac:dyDescent="0.3">
      <c r="C9" s="34" t="s">
        <v>195</v>
      </c>
      <c r="D9" s="31"/>
    </row>
    <row r="10" spans="3:5" ht="18" x14ac:dyDescent="0.3">
      <c r="C10" s="34" t="s">
        <v>122</v>
      </c>
      <c r="D10" s="30"/>
    </row>
    <row r="11" spans="3:5" ht="18" x14ac:dyDescent="0.3">
      <c r="C11" s="34" t="s">
        <v>121</v>
      </c>
      <c r="D11" s="30"/>
    </row>
    <row r="12" spans="3:5" ht="18" x14ac:dyDescent="0.3">
      <c r="C12" s="35" t="s">
        <v>196</v>
      </c>
      <c r="D12" s="36"/>
    </row>
    <row r="15" spans="3:5" ht="15" thickBot="1" x14ac:dyDescent="0.35"/>
    <row r="16" spans="3:5" ht="29.1" customHeight="1" thickBot="1" x14ac:dyDescent="0.35">
      <c r="C16" s="43" t="s">
        <v>214</v>
      </c>
      <c r="D16" s="44">
        <f>PRINCIPAL!N75</f>
        <v>188112.92282838325</v>
      </c>
      <c r="E16" s="46">
        <f>PRINCIPAL!Y75</f>
        <v>111059.14282838326</v>
      </c>
    </row>
    <row r="17" spans="3:6" ht="24.6" customHeight="1" thickBot="1" x14ac:dyDescent="0.35">
      <c r="C17" s="48" t="s">
        <v>11</v>
      </c>
      <c r="D17" s="47">
        <f>SUM(D16:D16)</f>
        <v>188112.92282838325</v>
      </c>
      <c r="E17" s="45">
        <f>SUM(E16:E16)</f>
        <v>111059.14282838326</v>
      </c>
    </row>
    <row r="18" spans="3:6" x14ac:dyDescent="0.3">
      <c r="E18" s="40">
        <f>D17-E17</f>
        <v>77053.779999999984</v>
      </c>
      <c r="F18" s="49">
        <f>(E18/D17)*100%</f>
        <v>0.40961449559899027</v>
      </c>
    </row>
    <row r="19" spans="3:6" x14ac:dyDescent="0.3">
      <c r="D19" s="50">
        <f>D17/5.13</f>
        <v>36669.185736526953</v>
      </c>
    </row>
  </sheetData>
  <mergeCells count="1">
    <mergeCell ref="C3:D3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552" t="s">
        <v>9</v>
      </c>
      <c r="B1" s="552"/>
      <c r="C1" s="552"/>
      <c r="D1" s="554" t="s">
        <v>34</v>
      </c>
      <c r="E1" s="554"/>
      <c r="F1" s="554"/>
      <c r="G1" s="554"/>
      <c r="H1" s="554"/>
      <c r="I1" s="554"/>
      <c r="J1" s="4" t="s">
        <v>9</v>
      </c>
      <c r="K1" s="4" t="s">
        <v>9</v>
      </c>
      <c r="L1" s="4" t="s">
        <v>9</v>
      </c>
      <c r="M1" s="4" t="s">
        <v>9</v>
      </c>
      <c r="N1" s="4" t="s">
        <v>9</v>
      </c>
      <c r="O1" s="5" t="s">
        <v>9</v>
      </c>
    </row>
    <row r="2" spans="1:15" x14ac:dyDescent="0.3">
      <c r="A2" s="553"/>
      <c r="B2" s="553"/>
      <c r="C2" s="553"/>
      <c r="D2" s="552" t="s">
        <v>35</v>
      </c>
      <c r="E2" s="552"/>
      <c r="F2" s="552"/>
      <c r="G2" s="552"/>
      <c r="H2" s="552"/>
      <c r="I2" s="552"/>
      <c r="J2" s="4"/>
      <c r="K2" s="4"/>
      <c r="L2" s="4"/>
      <c r="M2" s="4"/>
      <c r="N2" s="4"/>
      <c r="O2" s="555" t="s">
        <v>36</v>
      </c>
    </row>
    <row r="3" spans="1:15" x14ac:dyDescent="0.3">
      <c r="A3" s="553"/>
      <c r="B3" s="553"/>
      <c r="C3" s="553"/>
      <c r="D3" s="552" t="s">
        <v>37</v>
      </c>
      <c r="E3" s="552"/>
      <c r="F3" s="552"/>
      <c r="G3" s="552"/>
      <c r="H3" s="552"/>
      <c r="I3" s="552"/>
      <c r="J3" s="4"/>
      <c r="K3" s="4"/>
      <c r="L3" s="4"/>
      <c r="M3" s="4"/>
      <c r="N3" s="4"/>
      <c r="O3" s="556"/>
    </row>
    <row r="4" spans="1:15" x14ac:dyDescent="0.3">
      <c r="A4" s="553"/>
      <c r="B4" s="553"/>
      <c r="C4" s="553"/>
      <c r="D4" s="552" t="s">
        <v>38</v>
      </c>
      <c r="E4" s="552"/>
      <c r="F4" s="552"/>
      <c r="G4" s="552"/>
      <c r="H4" s="552"/>
      <c r="I4" s="552"/>
      <c r="J4" s="4"/>
      <c r="K4" s="4"/>
      <c r="L4" s="4"/>
      <c r="M4" s="4"/>
      <c r="N4" s="4"/>
      <c r="O4" s="556"/>
    </row>
    <row r="5" spans="1:15" x14ac:dyDescent="0.3">
      <c r="A5" s="553"/>
      <c r="B5" s="553"/>
      <c r="C5" s="553"/>
      <c r="D5" s="552" t="s">
        <v>39</v>
      </c>
      <c r="E5" s="552"/>
      <c r="F5" s="552"/>
      <c r="G5" s="552"/>
      <c r="H5" s="552"/>
      <c r="I5" s="552"/>
      <c r="J5" s="4"/>
      <c r="K5" s="4"/>
      <c r="L5" s="4"/>
      <c r="M5" s="4"/>
      <c r="N5" s="4"/>
      <c r="O5" s="556"/>
    </row>
    <row r="6" spans="1:15" x14ac:dyDescent="0.3">
      <c r="A6" s="553"/>
      <c r="B6" s="553"/>
      <c r="C6" s="55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56"/>
    </row>
    <row r="7" spans="1:15" x14ac:dyDescent="0.3">
      <c r="A7" s="553"/>
      <c r="B7" s="553"/>
      <c r="C7" s="553"/>
      <c r="D7" s="552" t="s">
        <v>40</v>
      </c>
      <c r="E7" s="552"/>
      <c r="F7" s="552"/>
      <c r="G7" s="552"/>
      <c r="H7" s="552"/>
      <c r="I7" s="552"/>
      <c r="J7" s="4"/>
      <c r="K7" s="4"/>
      <c r="L7" s="4"/>
      <c r="M7" s="4"/>
      <c r="N7" s="4"/>
      <c r="O7" s="6">
        <v>45264.482613275461</v>
      </c>
    </row>
    <row r="8" spans="1:15" x14ac:dyDescent="0.3">
      <c r="A8" s="551" t="s">
        <v>41</v>
      </c>
      <c r="B8" s="551"/>
      <c r="C8" s="551"/>
      <c r="D8" s="551"/>
      <c r="E8" s="551"/>
      <c r="F8" s="551"/>
      <c r="G8" s="551"/>
      <c r="H8" s="551"/>
      <c r="I8" s="551"/>
      <c r="J8" s="551"/>
      <c r="K8" s="551"/>
      <c r="L8" s="551"/>
      <c r="M8" s="551"/>
      <c r="N8" s="551"/>
      <c r="O8" s="551"/>
    </row>
    <row r="9" spans="1:15" ht="27.6" x14ac:dyDescent="0.3">
      <c r="A9" s="7" t="s">
        <v>42</v>
      </c>
      <c r="B9" s="7" t="s">
        <v>43</v>
      </c>
      <c r="C9" s="7" t="s">
        <v>44</v>
      </c>
      <c r="D9" s="7" t="s">
        <v>13</v>
      </c>
      <c r="E9" s="7" t="s">
        <v>45</v>
      </c>
      <c r="F9" s="7" t="s">
        <v>46</v>
      </c>
      <c r="G9" s="7" t="s">
        <v>10</v>
      </c>
      <c r="H9" s="7" t="s">
        <v>47</v>
      </c>
      <c r="I9" s="7" t="s">
        <v>48</v>
      </c>
      <c r="J9" s="7" t="s">
        <v>46</v>
      </c>
      <c r="K9" s="7" t="s">
        <v>49</v>
      </c>
      <c r="L9" s="7" t="s">
        <v>50</v>
      </c>
      <c r="M9" s="7" t="s">
        <v>51</v>
      </c>
      <c r="N9" s="7" t="s">
        <v>52</v>
      </c>
      <c r="O9" s="8" t="s">
        <v>53</v>
      </c>
    </row>
    <row r="10" spans="1:15" x14ac:dyDescent="0.3">
      <c r="A10" s="9" t="s">
        <v>12</v>
      </c>
      <c r="B10" s="10">
        <v>1</v>
      </c>
      <c r="C10" s="9" t="s">
        <v>63</v>
      </c>
      <c r="D10" s="9" t="s">
        <v>19</v>
      </c>
      <c r="E10" s="9">
        <v>1</v>
      </c>
      <c r="F10" s="11">
        <v>20000</v>
      </c>
      <c r="G10" s="11">
        <v>20000</v>
      </c>
      <c r="H10" s="9" t="s">
        <v>57</v>
      </c>
      <c r="I10" s="11">
        <v>9900</v>
      </c>
      <c r="J10" s="11">
        <v>9900</v>
      </c>
      <c r="K10" s="11" t="s">
        <v>58</v>
      </c>
      <c r="L10" s="12" t="s">
        <v>59</v>
      </c>
      <c r="M10" s="12" t="s">
        <v>59</v>
      </c>
      <c r="N10" s="11">
        <v>0</v>
      </c>
      <c r="O10" s="13" t="s">
        <v>9</v>
      </c>
    </row>
    <row r="11" spans="1:15" x14ac:dyDescent="0.3">
      <c r="A11" s="14" t="s">
        <v>12</v>
      </c>
      <c r="B11" s="15">
        <v>2</v>
      </c>
      <c r="C11" s="14" t="s">
        <v>64</v>
      </c>
      <c r="D11" s="14" t="s">
        <v>26</v>
      </c>
      <c r="E11" s="14">
        <v>1</v>
      </c>
      <c r="F11" s="16">
        <v>11500</v>
      </c>
      <c r="G11" s="16">
        <v>11500</v>
      </c>
      <c r="H11" s="14" t="s">
        <v>57</v>
      </c>
      <c r="I11" s="16">
        <v>7400</v>
      </c>
      <c r="J11" s="16">
        <v>7400</v>
      </c>
      <c r="K11" s="16" t="s">
        <v>58</v>
      </c>
      <c r="L11" s="17" t="s">
        <v>59</v>
      </c>
      <c r="M11" s="17" t="s">
        <v>59</v>
      </c>
      <c r="N11" s="16">
        <v>0</v>
      </c>
      <c r="O11" s="18" t="s">
        <v>9</v>
      </c>
    </row>
    <row r="12" spans="1:15" x14ac:dyDescent="0.3">
      <c r="A12" s="9" t="s">
        <v>60</v>
      </c>
      <c r="B12" s="10">
        <v>3</v>
      </c>
      <c r="C12" s="9" t="s">
        <v>65</v>
      </c>
      <c r="D12" s="9" t="s">
        <v>27</v>
      </c>
      <c r="E12" s="9">
        <v>1</v>
      </c>
      <c r="F12" s="11">
        <v>1000</v>
      </c>
      <c r="G12" s="11">
        <v>1000</v>
      </c>
      <c r="H12" s="9" t="s">
        <v>57</v>
      </c>
      <c r="I12" s="11">
        <v>900</v>
      </c>
      <c r="J12" s="11">
        <v>900</v>
      </c>
      <c r="K12" s="11" t="s">
        <v>58</v>
      </c>
      <c r="L12" s="12" t="s">
        <v>66</v>
      </c>
      <c r="M12" s="12" t="s">
        <v>59</v>
      </c>
      <c r="N12" s="11">
        <v>0</v>
      </c>
      <c r="O12" s="13" t="s">
        <v>28</v>
      </c>
    </row>
    <row r="13" spans="1:15" x14ac:dyDescent="0.3">
      <c r="A13" s="14" t="s">
        <v>60</v>
      </c>
      <c r="B13" s="15">
        <v>4</v>
      </c>
      <c r="C13" s="14" t="s">
        <v>67</v>
      </c>
      <c r="D13" s="14" t="s">
        <v>29</v>
      </c>
      <c r="E13" s="14">
        <v>1</v>
      </c>
      <c r="F13" s="16">
        <v>2000</v>
      </c>
      <c r="G13" s="16">
        <v>2000</v>
      </c>
      <c r="H13" s="14" t="s">
        <v>57</v>
      </c>
      <c r="I13" s="16">
        <v>500</v>
      </c>
      <c r="J13" s="16">
        <v>500</v>
      </c>
      <c r="K13" s="16" t="s">
        <v>58</v>
      </c>
      <c r="L13" s="17" t="s">
        <v>66</v>
      </c>
      <c r="M13" s="17" t="s">
        <v>59</v>
      </c>
      <c r="N13" s="16">
        <v>0</v>
      </c>
      <c r="O13" s="18" t="s">
        <v>30</v>
      </c>
    </row>
    <row r="14" spans="1:15" x14ac:dyDescent="0.3">
      <c r="A14" s="9" t="s">
        <v>60</v>
      </c>
      <c r="B14" s="10">
        <v>5</v>
      </c>
      <c r="C14" s="9" t="s">
        <v>68</v>
      </c>
      <c r="D14" s="9" t="s">
        <v>15</v>
      </c>
      <c r="E14" s="9">
        <v>1</v>
      </c>
      <c r="F14" s="11">
        <v>4000</v>
      </c>
      <c r="G14" s="11">
        <v>4000</v>
      </c>
      <c r="H14" s="9" t="s">
        <v>57</v>
      </c>
      <c r="I14" s="11">
        <v>2000</v>
      </c>
      <c r="J14" s="11">
        <v>2000</v>
      </c>
      <c r="K14" s="11" t="s">
        <v>58</v>
      </c>
      <c r="L14" s="12" t="s">
        <v>66</v>
      </c>
      <c r="M14" s="12" t="s">
        <v>59</v>
      </c>
      <c r="N14" s="11">
        <v>0</v>
      </c>
      <c r="O14" s="13" t="s">
        <v>17</v>
      </c>
    </row>
    <row r="15" spans="1:15" x14ac:dyDescent="0.3">
      <c r="A15" s="14" t="s">
        <v>62</v>
      </c>
      <c r="B15" s="15">
        <v>6</v>
      </c>
      <c r="C15" s="14" t="s">
        <v>69</v>
      </c>
      <c r="D15" s="14" t="s">
        <v>61</v>
      </c>
      <c r="E15" s="14">
        <v>1</v>
      </c>
      <c r="F15" s="16">
        <v>0</v>
      </c>
      <c r="G15" s="16">
        <v>0</v>
      </c>
      <c r="H15" s="14" t="s">
        <v>57</v>
      </c>
      <c r="I15" s="16">
        <v>1000</v>
      </c>
      <c r="J15" s="16">
        <v>1000</v>
      </c>
      <c r="K15" s="16" t="s">
        <v>58</v>
      </c>
      <c r="L15" s="17" t="s">
        <v>66</v>
      </c>
      <c r="M15" s="17" t="s">
        <v>59</v>
      </c>
      <c r="N15" s="16">
        <v>0</v>
      </c>
      <c r="O15" s="18" t="s">
        <v>9</v>
      </c>
    </row>
    <row r="16" spans="1:15" x14ac:dyDescent="0.3">
      <c r="A16" s="9" t="s">
        <v>60</v>
      </c>
      <c r="B16" s="10">
        <v>7</v>
      </c>
      <c r="C16" s="9" t="s">
        <v>70</v>
      </c>
      <c r="D16" s="9" t="s">
        <v>16</v>
      </c>
      <c r="E16" s="9">
        <v>1</v>
      </c>
      <c r="F16" s="11">
        <v>2000</v>
      </c>
      <c r="G16" s="11">
        <v>2000</v>
      </c>
      <c r="H16" s="9" t="s">
        <v>57</v>
      </c>
      <c r="I16" s="11">
        <v>1000</v>
      </c>
      <c r="J16" s="11">
        <v>1000</v>
      </c>
      <c r="K16" s="11" t="s">
        <v>58</v>
      </c>
      <c r="L16" s="12" t="s">
        <v>66</v>
      </c>
      <c r="M16" s="12" t="s">
        <v>59</v>
      </c>
      <c r="N16" s="11">
        <v>0</v>
      </c>
      <c r="O16" s="13" t="s">
        <v>18</v>
      </c>
    </row>
    <row r="17" spans="1:15" x14ac:dyDescent="0.3">
      <c r="A17" s="14" t="s">
        <v>62</v>
      </c>
      <c r="B17" s="15">
        <v>14</v>
      </c>
      <c r="C17" s="14" t="s">
        <v>71</v>
      </c>
      <c r="D17" s="14" t="s">
        <v>33</v>
      </c>
      <c r="E17" s="14">
        <v>1</v>
      </c>
      <c r="F17" s="16">
        <v>2500</v>
      </c>
      <c r="G17" s="16">
        <v>2500</v>
      </c>
      <c r="H17" s="14" t="s">
        <v>57</v>
      </c>
      <c r="I17" s="16">
        <v>2000</v>
      </c>
      <c r="J17" s="16">
        <v>2000</v>
      </c>
      <c r="K17" s="16" t="s">
        <v>72</v>
      </c>
      <c r="L17" s="17" t="s">
        <v>73</v>
      </c>
      <c r="M17" s="17" t="s">
        <v>59</v>
      </c>
      <c r="N17" s="16">
        <v>0</v>
      </c>
      <c r="O17" s="18" t="s">
        <v>9</v>
      </c>
    </row>
    <row r="18" spans="1:15" x14ac:dyDescent="0.3">
      <c r="A18" s="9" t="s">
        <v>12</v>
      </c>
      <c r="B18" s="10">
        <v>8</v>
      </c>
      <c r="C18" s="9" t="s">
        <v>74</v>
      </c>
      <c r="D18" s="9" t="s">
        <v>31</v>
      </c>
      <c r="E18" s="9">
        <v>1</v>
      </c>
      <c r="F18" s="11">
        <v>8500</v>
      </c>
      <c r="G18" s="11">
        <v>8500</v>
      </c>
      <c r="H18" s="9" t="s">
        <v>57</v>
      </c>
      <c r="I18" s="11">
        <v>2500</v>
      </c>
      <c r="J18" s="11">
        <v>2500</v>
      </c>
      <c r="K18" s="11" t="s">
        <v>58</v>
      </c>
      <c r="L18" s="12" t="s">
        <v>59</v>
      </c>
      <c r="M18" s="12" t="s">
        <v>59</v>
      </c>
      <c r="N18" s="11">
        <v>0</v>
      </c>
      <c r="O18" s="13" t="s">
        <v>9</v>
      </c>
    </row>
    <row r="19" spans="1:15" ht="72" x14ac:dyDescent="0.3">
      <c r="A19" s="14" t="s">
        <v>60</v>
      </c>
      <c r="B19" s="15">
        <v>9</v>
      </c>
      <c r="C19" s="14" t="s">
        <v>75</v>
      </c>
      <c r="D19" s="14" t="s">
        <v>20</v>
      </c>
      <c r="E19" s="14">
        <v>2</v>
      </c>
      <c r="F19" s="16">
        <v>2000</v>
      </c>
      <c r="G19" s="16">
        <v>4000</v>
      </c>
      <c r="H19" s="14" t="s">
        <v>57</v>
      </c>
      <c r="I19" s="16">
        <v>1000</v>
      </c>
      <c r="J19" s="16">
        <v>500</v>
      </c>
      <c r="K19" s="16" t="s">
        <v>58</v>
      </c>
      <c r="L19" s="17" t="s">
        <v>66</v>
      </c>
      <c r="M19" s="17" t="s">
        <v>59</v>
      </c>
      <c r="N19" s="16">
        <v>0</v>
      </c>
      <c r="O19" s="19" t="s">
        <v>21</v>
      </c>
    </row>
    <row r="20" spans="1:15" ht="28.8" x14ac:dyDescent="0.3">
      <c r="A20" s="9" t="s">
        <v>60</v>
      </c>
      <c r="B20" s="10">
        <v>10</v>
      </c>
      <c r="C20" s="9" t="s">
        <v>76</v>
      </c>
      <c r="D20" s="9" t="s">
        <v>22</v>
      </c>
      <c r="E20" s="9">
        <v>3</v>
      </c>
      <c r="F20" s="11">
        <v>1500</v>
      </c>
      <c r="G20" s="11">
        <v>4500</v>
      </c>
      <c r="H20" s="9" t="s">
        <v>57</v>
      </c>
      <c r="I20" s="11">
        <v>1500</v>
      </c>
      <c r="J20" s="11">
        <v>500</v>
      </c>
      <c r="K20" s="11" t="s">
        <v>58</v>
      </c>
      <c r="L20" s="12" t="s">
        <v>66</v>
      </c>
      <c r="M20" s="12" t="s">
        <v>59</v>
      </c>
      <c r="N20" s="11">
        <v>0</v>
      </c>
      <c r="O20" s="20" t="s">
        <v>23</v>
      </c>
    </row>
    <row r="21" spans="1:15" x14ac:dyDescent="0.3">
      <c r="A21" s="14" t="s">
        <v>12</v>
      </c>
      <c r="B21" s="15">
        <v>11</v>
      </c>
      <c r="C21" s="14" t="s">
        <v>77</v>
      </c>
      <c r="D21" s="14" t="s">
        <v>24</v>
      </c>
      <c r="E21" s="14">
        <v>1</v>
      </c>
      <c r="F21" s="16">
        <v>7000</v>
      </c>
      <c r="G21" s="16">
        <v>7000</v>
      </c>
      <c r="H21" s="14" t="s">
        <v>57</v>
      </c>
      <c r="I21" s="16">
        <v>300</v>
      </c>
      <c r="J21" s="16">
        <v>300</v>
      </c>
      <c r="K21" s="16" t="s">
        <v>58</v>
      </c>
      <c r="L21" s="17" t="s">
        <v>59</v>
      </c>
      <c r="M21" s="17" t="s">
        <v>59</v>
      </c>
      <c r="N21" s="16">
        <v>0</v>
      </c>
      <c r="O21" s="18" t="s">
        <v>9</v>
      </c>
    </row>
    <row r="22" spans="1:15" x14ac:dyDescent="0.3">
      <c r="A22" s="9" t="s">
        <v>12</v>
      </c>
      <c r="B22" s="10">
        <v>12</v>
      </c>
      <c r="C22" s="9" t="s">
        <v>78</v>
      </c>
      <c r="D22" s="9" t="s">
        <v>25</v>
      </c>
      <c r="E22" s="9">
        <v>1</v>
      </c>
      <c r="F22" s="11">
        <v>7000</v>
      </c>
      <c r="G22" s="11">
        <v>7000</v>
      </c>
      <c r="H22" s="9" t="s">
        <v>57</v>
      </c>
      <c r="I22" s="11">
        <v>300</v>
      </c>
      <c r="J22" s="11">
        <v>300</v>
      </c>
      <c r="K22" s="11" t="s">
        <v>58</v>
      </c>
      <c r="L22" s="12" t="s">
        <v>59</v>
      </c>
      <c r="M22" s="12" t="s">
        <v>59</v>
      </c>
      <c r="N22" s="11">
        <v>0</v>
      </c>
      <c r="O22" s="13" t="s">
        <v>9</v>
      </c>
    </row>
    <row r="23" spans="1:15" x14ac:dyDescent="0.3">
      <c r="A23" s="14" t="s">
        <v>60</v>
      </c>
      <c r="B23" s="15">
        <v>13</v>
      </c>
      <c r="C23" s="14" t="s">
        <v>79</v>
      </c>
      <c r="D23" s="14" t="s">
        <v>32</v>
      </c>
      <c r="E23" s="14">
        <v>1</v>
      </c>
      <c r="F23" s="16">
        <v>5000</v>
      </c>
      <c r="G23" s="16">
        <v>5000</v>
      </c>
      <c r="H23" s="14" t="s">
        <v>57</v>
      </c>
      <c r="I23" s="16">
        <v>200</v>
      </c>
      <c r="J23" s="16">
        <v>200</v>
      </c>
      <c r="K23" s="16" t="s">
        <v>58</v>
      </c>
      <c r="L23" s="17" t="s">
        <v>66</v>
      </c>
      <c r="M23" s="17" t="s">
        <v>59</v>
      </c>
      <c r="N23" s="16">
        <v>0</v>
      </c>
      <c r="O23" s="18" t="s">
        <v>9</v>
      </c>
    </row>
    <row r="24" spans="1:15" x14ac:dyDescent="0.3">
      <c r="A24" s="9" t="s">
        <v>60</v>
      </c>
      <c r="B24" s="10">
        <v>15</v>
      </c>
      <c r="C24" s="9" t="s">
        <v>80</v>
      </c>
      <c r="D24" s="9" t="s">
        <v>33</v>
      </c>
      <c r="E24" s="9">
        <v>1</v>
      </c>
      <c r="F24" s="11">
        <v>2000</v>
      </c>
      <c r="G24" s="11">
        <v>2000</v>
      </c>
      <c r="H24" s="9" t="s">
        <v>57</v>
      </c>
      <c r="I24" s="11">
        <v>100</v>
      </c>
      <c r="J24" s="11">
        <v>100</v>
      </c>
      <c r="K24" s="11" t="s">
        <v>58</v>
      </c>
      <c r="L24" s="12" t="s">
        <v>66</v>
      </c>
      <c r="M24" s="12" t="s">
        <v>59</v>
      </c>
      <c r="N24" s="11">
        <v>0</v>
      </c>
      <c r="O24" s="13" t="s">
        <v>9</v>
      </c>
    </row>
    <row r="25" spans="1:15" x14ac:dyDescent="0.3">
      <c r="A25" s="14"/>
      <c r="B25" s="15"/>
      <c r="C25" s="14"/>
      <c r="D25" s="14"/>
      <c r="E25" s="14"/>
      <c r="F25" s="16"/>
      <c r="G25" s="16"/>
      <c r="H25" s="14"/>
      <c r="I25" s="16"/>
      <c r="J25" s="16"/>
      <c r="K25" s="16"/>
      <c r="L25" s="17"/>
      <c r="M25" s="17"/>
      <c r="N25" s="16"/>
      <c r="O25" s="18"/>
    </row>
    <row r="26" spans="1:15" x14ac:dyDescent="0.3">
      <c r="A26" s="9" t="s">
        <v>54</v>
      </c>
      <c r="B26" s="10"/>
      <c r="C26" s="9"/>
      <c r="D26" s="9"/>
      <c r="E26" s="9"/>
      <c r="F26" s="11"/>
      <c r="G26" s="11"/>
      <c r="H26" s="9"/>
      <c r="I26" s="11"/>
      <c r="J26" s="11"/>
      <c r="K26" s="11"/>
      <c r="L26" s="12"/>
      <c r="M26" s="12"/>
      <c r="N26" s="11"/>
      <c r="O26" s="13"/>
    </row>
    <row r="27" spans="1:15" x14ac:dyDescent="0.3">
      <c r="A27" s="14" t="s">
        <v>55</v>
      </c>
      <c r="B27" s="15"/>
      <c r="C27" s="14"/>
      <c r="D27" s="14"/>
      <c r="E27" s="14"/>
      <c r="F27" s="16"/>
      <c r="G27" s="16"/>
      <c r="H27" s="14"/>
      <c r="I27" s="16"/>
      <c r="J27" s="16"/>
      <c r="K27" s="16"/>
      <c r="L27" s="17"/>
      <c r="M27" s="17"/>
      <c r="N27" s="16"/>
      <c r="O27" s="18"/>
    </row>
    <row r="28" spans="1:15" x14ac:dyDescent="0.3">
      <c r="A28" s="21" t="s">
        <v>56</v>
      </c>
      <c r="B28" s="22"/>
      <c r="C28" s="21"/>
      <c r="D28" s="21"/>
      <c r="E28" s="21"/>
      <c r="F28" s="23"/>
      <c r="G28" s="23"/>
      <c r="H28" s="21"/>
      <c r="I28" s="23"/>
      <c r="J28" s="23"/>
      <c r="K28" s="23"/>
      <c r="L28" s="24"/>
      <c r="M28" s="24"/>
      <c r="N28" s="23"/>
      <c r="O28" s="25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f4bf414-7d56-47ef-876f-a064b6139123" xsi:nil="true"/>
    <lcf76f155ced4ddcb4097134ff3c332f xmlns="29a79990-ee87-4241-abc6-9e01ab9b2464">
      <Terms xmlns="http://schemas.microsoft.com/office/infopath/2007/PartnerControls"/>
    </lcf76f155ced4ddcb4097134ff3c332f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5569CF-9754-4C44-A850-2C7F2FE6612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19323C-512B-43ED-86A9-B6883599D1E4}">
  <ds:schemaRefs>
    <ds:schemaRef ds:uri="http://schemas.microsoft.com/office/2006/metadata/properties"/>
    <ds:schemaRef ds:uri="http://schemas.microsoft.com/office/infopath/2007/PartnerControls"/>
    <ds:schemaRef ds:uri="8f4bf414-7d56-47ef-876f-a064b6139123"/>
    <ds:schemaRef ds:uri="29a79990-ee87-4241-abc6-9e01ab9b2464"/>
  </ds:schemaRefs>
</ds:datastoreItem>
</file>

<file path=customXml/itemProps3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E81E1B33-A966-4AB1-B4CB-29DCE4E491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15</vt:i4>
      </vt:variant>
    </vt:vector>
  </HeadingPairs>
  <TitlesOfParts>
    <vt:vector size="20" baseType="lpstr">
      <vt:lpstr>RESUMO</vt:lpstr>
      <vt:lpstr>PRINCIPAL</vt:lpstr>
      <vt:lpstr>HOSPEDAGEM</vt:lpstr>
      <vt:lpstr>TOTAL</vt:lpstr>
      <vt:lpstr>ItensOrc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2026-06-15T21:11:51Z</cp:lastPrinted>
  <dcterms:created xsi:type="dcterms:W3CDTF">2023-09-21T21:02:20Z</dcterms:created>
  <dcterms:modified xsi:type="dcterms:W3CDTF">2026-08-31T16:03:26Z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