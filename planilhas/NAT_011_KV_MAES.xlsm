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6 junho\"/>
    </mc:Choice>
  </mc:AlternateContent>
  <xr:revisionPtr revIDLastSave="0" documentId="13_ncr:1_{EEA486FF-8205-47F8-897E-6EBFE6FA30D1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2" r:id="rId1"/>
    <sheet name="Principal" sheetId="91" r:id="rId2"/>
    <sheet name="ItensOrc" sheetId="76" state="hidden" r:id="rId3"/>
    <sheet name="Template SP" sheetId="3" state="hidden" r:id="rId4"/>
  </sheets>
  <definedNames>
    <definedName name="_xlnm._FilterDatabase" localSheetId="1" hidden="1">Principal!$A$1:$AL$22</definedName>
    <definedName name="itensorc_desconto" localSheetId="2">ItensOrc!$M:$M</definedName>
    <definedName name="itensorc_desconto">#REF!</definedName>
    <definedName name="itensorc_descricao" localSheetId="2">ItensOrc!$D:$D</definedName>
    <definedName name="itensorc_descricao">#REF!</definedName>
    <definedName name="itensorc_encargos" localSheetId="2">ItensOrc!$N:$N</definedName>
    <definedName name="itensorc_encargos">#REF!</definedName>
    <definedName name="itensorc_especifica" localSheetId="2">ItensOrc!$O:$O</definedName>
    <definedName name="itensorc_especifica">#REF!</definedName>
    <definedName name="itensorc_item" localSheetId="2">ItensOrc!$C:$C</definedName>
    <definedName name="itensorc_item">#REF!</definedName>
    <definedName name="itensorc_lancamento" localSheetId="2">ItensOrc!$B:$B</definedName>
    <definedName name="itensorc_lancamento">#REF!</definedName>
    <definedName name="itensorc_percentualhonorarios" localSheetId="2">ItensOrc!$L:$L</definedName>
    <definedName name="itensorc_percentualhonorarios">#REF!</definedName>
    <definedName name="itensorc_quantidade" localSheetId="2">ItensOrc!$E:$E</definedName>
    <definedName name="itensorc_quantidade">#REF!</definedName>
    <definedName name="itensorc_situacao" localSheetId="2">ItensOrc!$H:$H</definedName>
    <definedName name="itensorc_situacao">#REF!</definedName>
    <definedName name="itensorc_subtipo" localSheetId="2">ItensOrc!$K:$K</definedName>
    <definedName name="itensorc_subtipo">#REF!</definedName>
    <definedName name="itensorc_tiporeceita" localSheetId="2">ItensOrc!$A:$A</definedName>
    <definedName name="itensorc_tiporeceita">#REF!</definedName>
    <definedName name="itensorc_valor" localSheetId="2">ItensOrc!$G:$G</definedName>
    <definedName name="itensorc_valor">#REF!</definedName>
    <definedName name="itensorc_valorfornecedor" localSheetId="2">ItensOrc!$I:$I</definedName>
    <definedName name="itensorc_valorfornecedor">#REF!</definedName>
    <definedName name="itensorc_valorfornecedorunitario" localSheetId="2">ItensOrc!$J:$J</definedName>
    <definedName name="itensorc_valorfornecedorunitario">#REF!</definedName>
    <definedName name="itensorc_valorunitario" localSheetId="2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92" l="1"/>
  <c r="C21" i="92"/>
  <c r="AK28" i="91"/>
  <c r="AK29" i="91"/>
  <c r="AK26" i="91"/>
  <c r="C22" i="92"/>
  <c r="AK27" i="91"/>
  <c r="E3" i="92"/>
  <c r="D22" i="92" l="1"/>
  <c r="E22" i="92" s="1"/>
  <c r="F22" i="92" s="1"/>
  <c r="AL23" i="91"/>
  <c r="AK17" i="91"/>
  <c r="AK18" i="91"/>
  <c r="AK16" i="91"/>
  <c r="R21" i="91"/>
  <c r="Q21" i="91"/>
  <c r="K21" i="91"/>
  <c r="L21" i="91" s="1"/>
  <c r="R20" i="91"/>
  <c r="Q20" i="91"/>
  <c r="K20" i="91"/>
  <c r="R19" i="91"/>
  <c r="Q19" i="91"/>
  <c r="K19" i="91"/>
  <c r="R18" i="91"/>
  <c r="Q18" i="91"/>
  <c r="K18" i="91"/>
  <c r="E21" i="92" l="1"/>
  <c r="F21" i="92" s="1"/>
  <c r="M21" i="91"/>
  <c r="N21" i="91" s="1"/>
  <c r="U21" i="91"/>
  <c r="V21" i="91"/>
  <c r="U20" i="91"/>
  <c r="V19" i="91"/>
  <c r="V20" i="91"/>
  <c r="L20" i="91"/>
  <c r="U19" i="91"/>
  <c r="L19" i="91"/>
  <c r="M19" i="91" s="1"/>
  <c r="T18" i="91"/>
  <c r="U18" i="91" s="1"/>
  <c r="Z18" i="91" s="1"/>
  <c r="V18" i="91"/>
  <c r="L18" i="91"/>
  <c r="R17" i="91"/>
  <c r="Q17" i="91"/>
  <c r="K17" i="91"/>
  <c r="R16" i="91"/>
  <c r="Q16" i="91"/>
  <c r="K16" i="91"/>
  <c r="Q15" i="91"/>
  <c r="Q14" i="91"/>
  <c r="N19" i="91" l="1"/>
  <c r="W20" i="91"/>
  <c r="X20" i="91" s="1"/>
  <c r="AK20" i="91" s="1"/>
  <c r="Z20" i="91"/>
  <c r="Z21" i="91"/>
  <c r="W21" i="91"/>
  <c r="X21" i="91" s="1"/>
  <c r="W19" i="91"/>
  <c r="X19" i="91" s="1"/>
  <c r="Z19" i="91"/>
  <c r="M20" i="91"/>
  <c r="N20" i="91" s="1"/>
  <c r="W18" i="91"/>
  <c r="X18" i="91" s="1"/>
  <c r="M18" i="91"/>
  <c r="K23" i="91"/>
  <c r="L16" i="91"/>
  <c r="L17" i="91"/>
  <c r="M17" i="91" s="1"/>
  <c r="N17" i="91" s="1"/>
  <c r="T16" i="91"/>
  <c r="T17" i="91"/>
  <c r="U17" i="91" s="1"/>
  <c r="Z17" i="91" s="1"/>
  <c r="K22" i="91"/>
  <c r="V16" i="91"/>
  <c r="V17" i="91"/>
  <c r="Y19" i="91" l="1"/>
  <c r="AK19" i="91"/>
  <c r="Y21" i="91"/>
  <c r="AK21" i="91"/>
  <c r="AK23" i="91"/>
  <c r="Y18" i="91"/>
  <c r="Y20" i="91"/>
  <c r="N18" i="91"/>
  <c r="U16" i="91"/>
  <c r="W16" i="91" s="1"/>
  <c r="X16" i="91" s="1"/>
  <c r="T23" i="91"/>
  <c r="L23" i="91"/>
  <c r="M16" i="91"/>
  <c r="L22" i="91"/>
  <c r="W17" i="91"/>
  <c r="X17" i="91" s="1"/>
  <c r="Y17" i="91" s="1"/>
  <c r="M22" i="91" l="1"/>
  <c r="U23" i="91"/>
  <c r="U22" i="91"/>
  <c r="Z16" i="91"/>
  <c r="M23" i="91"/>
  <c r="X22" i="91"/>
  <c r="N16" i="91"/>
  <c r="Y16" i="91"/>
  <c r="Y23" i="91" l="1"/>
  <c r="X23" i="91"/>
  <c r="N23" i="91"/>
  <c r="Y22" i="91"/>
  <c r="N22" i="91"/>
  <c r="Z23" i="91" l="1"/>
  <c r="AA23" i="91" s="1"/>
</calcChain>
</file>

<file path=xl/sharedStrings.xml><?xml version="1.0" encoding="utf-8"?>
<sst xmlns="http://schemas.openxmlformats.org/spreadsheetml/2006/main" count="232" uniqueCount="164">
  <si>
    <t>Oggi Comunicação e Eventos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</si>
  <si>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</si>
  <si>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</si>
  <si>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</si>
  <si>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</si>
  <si>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</si>
  <si>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</si>
  <si>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</si>
  <si>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</si>
  <si>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</si>
  <si>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</si>
  <si>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</si>
  <si>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</si>
  <si>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</si>
  <si>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</si>
  <si>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</si>
  <si>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</si>
  <si>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</si>
  <si>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</si>
  <si>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</si>
  <si>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</si>
  <si>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</si>
  <si>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</si>
  <si>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</si>
  <si>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</si>
  <si>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</si>
  <si>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</si>
  <si>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</si>
  <si>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</si>
  <si>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</si>
  <si>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</si>
  <si>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</si>
  <si>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</si>
  <si>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</si>
  <si>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</si>
  <si>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</si>
  <si>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</si>
  <si>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</si>
  <si>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</si>
  <si>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</si>
  <si>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</si>
  <si>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</si>
  <si>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</si>
  <si>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</si>
  <si>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</si>
  <si>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Descrição</t>
  </si>
  <si>
    <t>Agência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</si>
  <si>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</si>
  <si>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</si>
  <si>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</si>
  <si>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</si>
  <si>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</si>
  <si>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</si>
  <si>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</si>
  <si>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</si>
  <si>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</si>
  <si>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</si>
  <si>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</si>
  <si>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</si>
  <si>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</si>
  <si>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</si>
  <si>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</si>
  <si>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</si>
  <si>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</si>
  <si>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</si>
  <si>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</si>
  <si>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</si>
  <si>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</si>
  <si>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</si>
  <si>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</si>
  <si>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</si>
  <si>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</si>
  <si>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</si>
  <si>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</si>
  <si>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</si>
  <si>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</si>
  <si>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</si>
  <si>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</si>
  <si>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</si>
  <si>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</si>
  <si>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</si>
  <si>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</si>
  <si>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</si>
  <si>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</si>
  <si>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</si>
  <si>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</si>
  <si>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</si>
  <si>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</si>
  <si>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</si>
  <si>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</si>
  <si>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</si>
  <si>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</si>
  <si>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</si>
  <si>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</si>
  <si>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</si>
  <si>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</si>
  <si>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</si>
  <si>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</si>
  <si>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</si>
  <si>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</si>
  <si>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</si>
  <si>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</si>
  <si>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</si>
  <si>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</si>
  <si>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</si>
  <si>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</si>
  <si>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</si>
  <si>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Vazio</t>
  </si>
  <si>
    <t>GRUPO</t>
  </si>
  <si>
    <t>INTERNO</t>
  </si>
  <si>
    <t>1.1</t>
  </si>
  <si>
    <t>SUBGRUPO</t>
  </si>
  <si>
    <t>AGENCIAMENTO</t>
  </si>
  <si>
    <t>IMPOSTOS</t>
  </si>
  <si>
    <t>Marg.</t>
  </si>
  <si>
    <t>1.1.1</t>
  </si>
  <si>
    <t>ITEM</t>
  </si>
  <si>
    <t>FAT.OGGI</t>
  </si>
  <si>
    <t>ATENDIMENTO</t>
  </si>
  <si>
    <t>CRIAÇÂO</t>
  </si>
  <si>
    <t>1.1.3</t>
  </si>
  <si>
    <t>OPERACIONAL</t>
  </si>
  <si>
    <t>1.1.4</t>
  </si>
  <si>
    <t>1.1.5</t>
  </si>
  <si>
    <t>REDATOR</t>
  </si>
  <si>
    <t>1.1.6</t>
  </si>
  <si>
    <t>SUBTOTAL GRUPO</t>
  </si>
  <si>
    <t xml:space="preserve">Subtotal </t>
  </si>
  <si>
    <t>Marg. Lucro</t>
  </si>
  <si>
    <t>Lucro</t>
  </si>
  <si>
    <t>SUBTOTAL PLANILHA</t>
  </si>
  <si>
    <t xml:space="preserve">TOTAL </t>
  </si>
  <si>
    <t xml:space="preserve">CÓDIGO DO JOB: </t>
  </si>
  <si>
    <t>LOCAL:</t>
  </si>
  <si>
    <t>PRODUTOR:</t>
  </si>
  <si>
    <t xml:space="preserve">NATURA </t>
  </si>
  <si>
    <t>CLIENTE:</t>
  </si>
  <si>
    <t>EVENTO:</t>
  </si>
  <si>
    <t>DATA:</t>
  </si>
  <si>
    <t>ATENDIMENTO:</t>
  </si>
  <si>
    <t>CAROLINA KELM</t>
  </si>
  <si>
    <t>18.11.2025</t>
  </si>
  <si>
    <t>NOME PLANILHA:NAT_PLAN_PROP_TEC_KV_MAES_OGGI</t>
  </si>
  <si>
    <t>E-BOOK</t>
  </si>
  <si>
    <t>TEMPLATE - PPT</t>
  </si>
  <si>
    <t>DESDOBRAMENTOS</t>
  </si>
  <si>
    <t>KV DIA DAS MÃES</t>
  </si>
  <si>
    <t>NAT_011</t>
  </si>
  <si>
    <r>
      <rPr>
        <b/>
        <sz val="14"/>
        <rFont val="Verdana"/>
        <family val="2"/>
      </rPr>
      <t>ATENDIMENTO</t>
    </r>
    <r>
      <rPr>
        <sz val="14"/>
        <rFont val="Verdana"/>
        <family val="2"/>
      </rPr>
      <t xml:space="preserve">
Atendimento ao cliente, intermediando demandas Natura x time criação.</t>
    </r>
  </si>
  <si>
    <r>
      <t>CRIAÇÃO</t>
    </r>
    <r>
      <rPr>
        <sz val="14"/>
        <rFont val="Verdana"/>
        <family val="2"/>
      </rPr>
      <t xml:space="preserve">
Desenvolvimento de KV, logo, tagline
Versionalizando a identidade criada para Consultoria, utilizando o Cereja como cor primária no território de campanhas</t>
    </r>
  </si>
  <si>
    <r>
      <t xml:space="preserve">DESDOBRAMENTOS
</t>
    </r>
    <r>
      <rPr>
        <sz val="14"/>
        <rFont val="Verdana"/>
        <family val="2"/>
      </rPr>
      <t>Através do KV, desdobramentos:</t>
    </r>
    <r>
      <rPr>
        <b/>
        <sz val="14"/>
        <rFont val="Verdana"/>
        <family val="2"/>
      </rPr>
      <t xml:space="preserve">
</t>
    </r>
    <r>
      <rPr>
        <sz val="14"/>
        <rFont val="Verdana"/>
        <family val="2"/>
      </rPr>
      <t>- até 10 ícones e elementos que ilustrem as mecânicas/premiações
- pacote de 10 peças de criações simples sob demanda (imagens estilo banner, wpp, feed, story, emkt e etc);</t>
    </r>
  </si>
  <si>
    <r>
      <t xml:space="preserve">TEMPLATE - PPT
</t>
    </r>
    <r>
      <rPr>
        <sz val="14"/>
        <rFont val="Verdana"/>
        <family val="2"/>
      </rPr>
      <t>Template de apresentação criado diretamente no Google Apresentações
30slides</t>
    </r>
  </si>
  <si>
    <r>
      <t xml:space="preserve">E-BOOK
</t>
    </r>
    <r>
      <rPr>
        <sz val="14"/>
        <rFont val="Verdana"/>
        <family val="2"/>
      </rPr>
      <t>E-book de explicação da campanha, sendo:
1 modelo, adaptando a linguagem para: CB e Líder</t>
    </r>
  </si>
  <si>
    <r>
      <t xml:space="preserve">REDATOR
</t>
    </r>
    <r>
      <rPr>
        <sz val="14"/>
        <rFont val="Verdana"/>
        <family val="2"/>
      </rPr>
      <t>Profissional para desenvolvimento e revisão de textos de acordo com a quantidade de peças da proposta.</t>
    </r>
  </si>
  <si>
    <t>T DESIGN</t>
  </si>
  <si>
    <t>CAROLINA GOYER</t>
  </si>
  <si>
    <t>VÍDEO</t>
  </si>
  <si>
    <t>STUDIO ROCA</t>
  </si>
  <si>
    <t>VENDA</t>
  </si>
  <si>
    <t xml:space="preserve">CUSTO </t>
  </si>
  <si>
    <t>LUCRO</t>
  </si>
  <si>
    <t>PRINCIPAL</t>
  </si>
  <si>
    <t>IMPOSTO</t>
  </si>
  <si>
    <t>CUSTO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</si>
</sst>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_-&quot;R$&quot;* #,##0.00_-;\-&quot;R$&quot;* #,##0.00_-;_-&quot;R$&quot;* &quot;-&quot;??_-;_-@_-"/>
    <numFmt numFmtId="169" formatCode="&quot;R$&quot;\ #,##0.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b/>
      <sz val="11"/>
      <name val="Trebuchet MS"/>
      <family val="2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sz val="12"/>
      <color theme="1"/>
      <name val="Trebuchet MS"/>
      <family val="2"/>
    </font>
    <font>
      <b/>
      <sz val="12"/>
      <name val="Trebuchet MS"/>
      <family val="2"/>
    </font>
    <font>
      <b/>
      <sz val="12"/>
      <color theme="0"/>
      <name val="Trebuchet MS"/>
      <family val="2"/>
    </font>
    <font>
      <sz val="14"/>
      <color theme="1"/>
      <name val="Calibri"/>
      <family val="2"/>
      <scheme val="minor"/>
    </font>
    <font>
      <b/>
      <sz val="14"/>
      <name val="Trebuchet MS"/>
      <family val="2"/>
    </font>
    <font>
      <b/>
      <sz val="14"/>
      <color theme="1"/>
      <name val="Gadugi"/>
      <family val="2"/>
    </font>
    <font>
      <b/>
      <sz val="14"/>
      <color theme="1"/>
      <name val="Trebuchet MS"/>
      <family val="2"/>
    </font>
    <font>
      <sz val="14"/>
      <color theme="0"/>
      <name val="Calibri"/>
      <family val="2"/>
      <scheme val="minor"/>
    </font>
    <font>
      <sz val="14"/>
      <color theme="1"/>
      <name val="Trebuchet MS"/>
      <family val="2"/>
    </font>
    <font>
      <b/>
      <sz val="14"/>
      <color indexed="63"/>
      <name val="Trebuchet MS"/>
      <family val="2"/>
    </font>
    <font>
      <b/>
      <sz val="14"/>
      <color rgb="FFFF0000"/>
      <name val="Trebuchet MS"/>
      <family val="2"/>
    </font>
    <font>
      <b/>
      <sz val="14"/>
      <color rgb="FF00B050"/>
      <name val="Trebuchet MS"/>
      <family val="2"/>
    </font>
    <font>
      <b/>
      <sz val="14"/>
      <color theme="0"/>
      <name val="Trebuchet MS"/>
      <family val="2"/>
    </font>
    <font>
      <b/>
      <sz val="14"/>
      <color theme="1"/>
      <name val="Calibri"/>
      <family val="2"/>
      <scheme val="minor"/>
    </font>
    <font>
      <b/>
      <sz val="14"/>
      <name val="Verdana"/>
      <family val="2"/>
    </font>
    <font>
      <sz val="14"/>
      <name val="Verdana"/>
      <family val="2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8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4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2">
    <xf numFmtId="0" fontId="0" fillId="0" borderId="0" xfId="0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5" xfId="0" applyBorder="1"/>
    <xf numFmtId="0" fontId="0" fillId="0" borderId="16" xfId="0" applyBorder="1"/>
    <xf numFmtId="0" fontId="2" fillId="0" borderId="17" xfId="0" applyFont="1" applyBorder="1"/>
    <xf numFmtId="0" fontId="2" fillId="0" borderId="21" xfId="0" applyFont="1" applyBorder="1"/>
    <xf numFmtId="0" fontId="0" fillId="0" borderId="2" xfId="0" applyBorder="1" applyAlignment="1">
      <alignment horizontal="left"/>
    </xf>
    <xf numFmtId="0" fontId="0" fillId="0" borderId="23" xfId="0" applyBorder="1" applyAlignment="1">
      <alignment horizontal="left"/>
    </xf>
    <xf numFmtId="0" fontId="2" fillId="0" borderId="24" xfId="0" applyFont="1" applyBorder="1"/>
    <xf numFmtId="0" fontId="2" fillId="0" borderId="24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28" xfId="0" applyFont="1" applyBorder="1"/>
    <xf numFmtId="0" fontId="2" fillId="0" borderId="2" xfId="0" applyFont="1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0" fillId="0" borderId="0" xfId="0" applyAlignment="1">
      <alignment horizontal="right"/>
    </xf>
    <xf numFmtId="0" fontId="9" fillId="5" borderId="35" xfId="0" applyFont="1" applyFill="1" applyBorder="1" applyAlignment="1">
      <alignment vertical="center"/>
    </xf>
    <xf numFmtId="0" fontId="11" fillId="5" borderId="35" xfId="0" applyFont="1" applyFill="1" applyBorder="1" applyAlignment="1">
      <alignment horizontal="center" vertical="center"/>
    </xf>
    <xf numFmtId="22" fontId="9" fillId="5" borderId="35" xfId="0" applyNumberFormat="1" applyFont="1" applyFill="1" applyBorder="1" applyAlignment="1">
      <alignment horizontal="center" vertical="center"/>
    </xf>
    <xf numFmtId="0" fontId="13" fillId="5" borderId="36" xfId="0" applyFont="1" applyFill="1" applyBorder="1" applyAlignment="1">
      <alignment horizontal="center" vertical="center" wrapText="1"/>
    </xf>
    <xf numFmtId="0" fontId="13" fillId="5" borderId="37" xfId="0" applyFont="1" applyFill="1" applyBorder="1" applyAlignment="1">
      <alignment horizontal="center" vertical="center" wrapText="1"/>
    </xf>
    <xf numFmtId="164" fontId="19" fillId="0" borderId="18" xfId="2" applyNumberFormat="1" applyFont="1" applyBorder="1" applyAlignment="1" applyProtection="1">
      <alignment horizontal="left" vertical="center"/>
      <protection locked="0"/>
    </xf>
    <xf numFmtId="164" fontId="19" fillId="0" borderId="17" xfId="2" applyNumberFormat="1" applyFont="1" applyBorder="1" applyAlignment="1" applyProtection="1">
      <alignment horizontal="left" vertical="center"/>
      <protection locked="0"/>
    </xf>
    <xf numFmtId="164" fontId="19" fillId="0" borderId="29" xfId="2" applyNumberFormat="1" applyFont="1" applyBorder="1" applyAlignment="1" applyProtection="1">
      <alignment horizontal="left" vertical="center"/>
      <protection locked="0"/>
    </xf>
    <xf numFmtId="164" fontId="19" fillId="0" borderId="28" xfId="2" applyNumberFormat="1" applyFont="1" applyBorder="1" applyAlignment="1" applyProtection="1">
      <alignment horizontal="left" vertical="center"/>
      <protection locked="0"/>
    </xf>
    <xf numFmtId="0" fontId="19" fillId="0" borderId="21" xfId="2" applyFont="1" applyBorder="1" applyAlignment="1" applyProtection="1">
      <alignment horizontal="left" vertical="center"/>
      <protection locked="0"/>
    </xf>
    <xf numFmtId="14" fontId="19" fillId="0" borderId="28" xfId="2" applyNumberFormat="1" applyFont="1" applyBorder="1" applyAlignment="1" applyProtection="1">
      <alignment horizontal="left" vertical="center"/>
      <protection locked="0"/>
    </xf>
    <xf numFmtId="164" fontId="19" fillId="0" borderId="34" xfId="2" applyNumberFormat="1" applyFont="1" applyBorder="1" applyAlignment="1" applyProtection="1">
      <alignment horizontal="left" vertical="center"/>
      <protection locked="0"/>
    </xf>
    <xf numFmtId="0" fontId="19" fillId="0" borderId="24" xfId="2" applyFont="1" applyBorder="1" applyAlignment="1" applyProtection="1">
      <alignment horizontal="left" vertical="center"/>
      <protection locked="0"/>
    </xf>
    <xf numFmtId="0" fontId="21" fillId="0" borderId="0" xfId="0" applyFont="1"/>
    <xf numFmtId="49" fontId="22" fillId="0" borderId="0" xfId="2" applyNumberFormat="1" applyFont="1" applyAlignment="1">
      <alignment horizontal="left" vertical="center" wrapText="1"/>
    </xf>
    <xf numFmtId="0" fontId="22" fillId="0" borderId="0" xfId="2" applyFont="1" applyAlignment="1">
      <alignment horizontal="left" vertical="center" wrapText="1"/>
    </xf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164" fontId="22" fillId="0" borderId="0" xfId="2" applyNumberFormat="1" applyFont="1" applyAlignment="1">
      <alignment horizontal="left" vertical="center"/>
    </xf>
    <xf numFmtId="164" fontId="22" fillId="0" borderId="18" xfId="2" applyNumberFormat="1" applyFont="1" applyBorder="1" applyAlignment="1" applyProtection="1">
      <alignment horizontal="left" vertical="center"/>
      <protection locked="0"/>
    </xf>
    <xf numFmtId="164" fontId="22" fillId="0" borderId="17" xfId="2" applyNumberFormat="1" applyFont="1" applyBorder="1" applyAlignment="1" applyProtection="1">
      <alignment horizontal="left" vertical="center"/>
      <protection locked="0"/>
    </xf>
    <xf numFmtId="164" fontId="22" fillId="0" borderId="29" xfId="2" applyNumberFormat="1" applyFont="1" applyBorder="1" applyAlignment="1" applyProtection="1">
      <alignment horizontal="left" vertical="center"/>
      <protection locked="0"/>
    </xf>
    <xf numFmtId="164" fontId="22" fillId="0" borderId="28" xfId="2" applyNumberFormat="1" applyFont="1" applyBorder="1" applyAlignment="1" applyProtection="1">
      <alignment horizontal="left" vertical="center"/>
      <protection locked="0"/>
    </xf>
    <xf numFmtId="0" fontId="22" fillId="0" borderId="21" xfId="2" applyFont="1" applyBorder="1" applyAlignment="1" applyProtection="1">
      <alignment horizontal="left" vertical="center"/>
      <protection locked="0"/>
    </xf>
    <xf numFmtId="14" fontId="22" fillId="0" borderId="28" xfId="2" applyNumberFormat="1" applyFont="1" applyBorder="1" applyAlignment="1" applyProtection="1">
      <alignment horizontal="left" vertical="center"/>
      <protection locked="0"/>
    </xf>
    <xf numFmtId="164" fontId="22" fillId="0" borderId="34" xfId="2" applyNumberFormat="1" applyFont="1" applyBorder="1" applyAlignment="1" applyProtection="1">
      <alignment horizontal="left" vertical="center"/>
      <protection locked="0"/>
    </xf>
    <xf numFmtId="0" fontId="22" fillId="0" borderId="24" xfId="2" applyFont="1" applyBorder="1" applyAlignment="1" applyProtection="1">
      <alignment horizontal="left" vertical="center"/>
      <protection locked="0"/>
    </xf>
    <xf numFmtId="0" fontId="24" fillId="2" borderId="0" xfId="0" applyFont="1" applyFill="1"/>
    <xf numFmtId="49" fontId="24" fillId="2" borderId="0" xfId="0" applyNumberFormat="1" applyFont="1" applyFill="1"/>
    <xf numFmtId="0" fontId="25" fillId="0" borderId="0" xfId="0" applyFont="1"/>
    <xf numFmtId="0" fontId="26" fillId="0" borderId="38" xfId="0" applyFont="1" applyBorder="1" applyAlignment="1">
      <alignment horizontal="left" vertical="center"/>
    </xf>
    <xf numFmtId="49" fontId="26" fillId="0" borderId="39" xfId="0" applyNumberFormat="1" applyFont="1" applyBorder="1" applyAlignment="1">
      <alignment horizontal="left" vertical="center"/>
    </xf>
    <xf numFmtId="0" fontId="26" fillId="0" borderId="40" xfId="0" applyFont="1" applyBorder="1" applyAlignment="1">
      <alignment horizontal="left" vertical="center"/>
    </xf>
    <xf numFmtId="0" fontId="26" fillId="0" borderId="38" xfId="0" applyFont="1" applyBorder="1" applyAlignment="1">
      <alignment horizontal="left" vertical="center" wrapText="1"/>
    </xf>
    <xf numFmtId="0" fontId="26" fillId="0" borderId="39" xfId="0" applyFont="1" applyBorder="1" applyAlignment="1">
      <alignment horizontal="left" vertical="center" wrapText="1"/>
    </xf>
    <xf numFmtId="0" fontId="22" fillId="3" borderId="46" xfId="3" applyFont="1" applyFill="1" applyBorder="1" applyAlignment="1">
      <alignment horizontal="left" vertical="center"/>
    </xf>
    <xf numFmtId="0" fontId="22" fillId="3" borderId="47" xfId="3" applyFont="1" applyFill="1" applyBorder="1" applyAlignment="1">
      <alignment horizontal="center" vertical="center"/>
    </xf>
    <xf numFmtId="0" fontId="24" fillId="3" borderId="47" xfId="3" applyFont="1" applyFill="1" applyBorder="1" applyAlignment="1">
      <alignment horizontal="center" vertical="center"/>
    </xf>
    <xf numFmtId="168" fontId="24" fillId="3" borderId="47" xfId="3" applyNumberFormat="1" applyFont="1" applyFill="1" applyBorder="1" applyAlignment="1">
      <alignment horizontal="center" vertical="center" wrapText="1"/>
    </xf>
    <xf numFmtId="0" fontId="24" fillId="3" borderId="47" xfId="3" applyFont="1" applyFill="1" applyBorder="1" applyAlignment="1">
      <alignment horizontal="center" vertical="center" wrapText="1"/>
    </xf>
    <xf numFmtId="9" fontId="24" fillId="3" borderId="47" xfId="1" applyFont="1" applyFill="1" applyBorder="1" applyAlignment="1">
      <alignment horizontal="center" vertical="center" wrapText="1"/>
    </xf>
    <xf numFmtId="10" fontId="24" fillId="3" borderId="47" xfId="1" applyNumberFormat="1" applyFont="1" applyFill="1" applyBorder="1" applyAlignment="1">
      <alignment horizontal="center" vertical="center" wrapText="1"/>
    </xf>
    <xf numFmtId="0" fontId="24" fillId="3" borderId="48" xfId="3" applyFont="1" applyFill="1" applyBorder="1" applyAlignment="1">
      <alignment horizontal="center" vertical="center" wrapText="1"/>
    </xf>
    <xf numFmtId="37" fontId="27" fillId="3" borderId="49" xfId="3" applyNumberFormat="1" applyFont="1" applyFill="1" applyBorder="1" applyAlignment="1">
      <alignment horizontal="center" vertical="center"/>
    </xf>
    <xf numFmtId="37" fontId="27" fillId="3" borderId="50" xfId="3" applyNumberFormat="1" applyFont="1" applyFill="1" applyBorder="1" applyAlignment="1">
      <alignment horizontal="center" vertical="center"/>
    </xf>
    <xf numFmtId="40" fontId="27" fillId="3" borderId="50" xfId="4" applyNumberFormat="1" applyFont="1" applyFill="1" applyBorder="1" applyAlignment="1">
      <alignment horizontal="center" vertical="center"/>
    </xf>
    <xf numFmtId="165" fontId="27" fillId="3" borderId="51" xfId="4" applyFont="1" applyFill="1" applyBorder="1" applyAlignment="1">
      <alignment horizontal="right" vertical="center"/>
    </xf>
    <xf numFmtId="40" fontId="27" fillId="3" borderId="52" xfId="4" applyNumberFormat="1" applyFont="1" applyFill="1" applyBorder="1" applyAlignment="1">
      <alignment horizontal="center" vertical="center" wrapText="1"/>
    </xf>
    <xf numFmtId="10" fontId="27" fillId="3" borderId="50" xfId="5" applyNumberFormat="1" applyFont="1" applyFill="1" applyBorder="1" applyAlignment="1">
      <alignment horizontal="center" vertical="center" wrapText="1"/>
    </xf>
    <xf numFmtId="165" fontId="27" fillId="3" borderId="53" xfId="4" applyFont="1" applyFill="1" applyBorder="1" applyAlignment="1">
      <alignment horizontal="center" vertical="center" wrapText="1"/>
    </xf>
    <xf numFmtId="165" fontId="27" fillId="3" borderId="54" xfId="4" applyFont="1" applyFill="1" applyBorder="1" applyAlignment="1">
      <alignment horizontal="center" vertical="center" wrapText="1"/>
    </xf>
    <xf numFmtId="10" fontId="27" fillId="3" borderId="42" xfId="5" applyNumberFormat="1" applyFont="1" applyFill="1" applyBorder="1" applyAlignment="1">
      <alignment horizontal="center" vertical="center" wrapText="1"/>
    </xf>
    <xf numFmtId="10" fontId="27" fillId="3" borderId="41" xfId="5" applyNumberFormat="1" applyFont="1" applyFill="1" applyBorder="1" applyAlignment="1">
      <alignment horizontal="center" vertical="center" wrapText="1"/>
    </xf>
    <xf numFmtId="165" fontId="27" fillId="3" borderId="42" xfId="4" applyFont="1" applyFill="1" applyBorder="1" applyAlignment="1">
      <alignment horizontal="center" vertical="center" wrapText="1"/>
    </xf>
    <xf numFmtId="165" fontId="27" fillId="3" borderId="41" xfId="4" applyFont="1" applyFill="1" applyBorder="1" applyAlignment="1">
      <alignment horizontal="center" vertical="center" wrapText="1"/>
    </xf>
    <xf numFmtId="37" fontId="27" fillId="3" borderId="3" xfId="3" applyNumberFormat="1" applyFont="1" applyFill="1" applyBorder="1" applyAlignment="1">
      <alignment horizontal="center" vertical="center"/>
    </xf>
    <xf numFmtId="40" fontId="27" fillId="3" borderId="43" xfId="4" applyNumberFormat="1" applyFont="1" applyFill="1" applyBorder="1" applyAlignment="1">
      <alignment horizontal="center" vertical="center"/>
    </xf>
    <xf numFmtId="166" fontId="28" fillId="3" borderId="44" xfId="4" applyNumberFormat="1" applyFont="1" applyFill="1" applyBorder="1" applyAlignment="1">
      <alignment horizontal="center" vertical="center" wrapText="1"/>
    </xf>
    <xf numFmtId="166" fontId="29" fillId="3" borderId="45" xfId="4" applyNumberFormat="1" applyFont="1" applyFill="1" applyBorder="1" applyAlignment="1">
      <alignment horizontal="center" vertical="center" wrapText="1"/>
    </xf>
    <xf numFmtId="49" fontId="26" fillId="0" borderId="39" xfId="0" applyNumberFormat="1" applyFont="1" applyBorder="1" applyAlignment="1">
      <alignment horizontal="left" vertical="center" wrapText="1"/>
    </xf>
    <xf numFmtId="0" fontId="26" fillId="0" borderId="40" xfId="0" applyFont="1" applyBorder="1" applyAlignment="1">
      <alignment horizontal="left" vertical="center" wrapText="1"/>
    </xf>
    <xf numFmtId="0" fontId="24" fillId="8" borderId="57" xfId="0" applyFont="1" applyFill="1" applyBorder="1" applyAlignment="1">
      <alignment horizontal="center" vertical="center"/>
    </xf>
    <xf numFmtId="0" fontId="24" fillId="8" borderId="58" xfId="0" applyFont="1" applyFill="1" applyBorder="1" applyAlignment="1">
      <alignment horizontal="center" vertical="center"/>
    </xf>
    <xf numFmtId="0" fontId="24" fillId="8" borderId="0" xfId="0" applyFont="1" applyFill="1" applyAlignment="1">
      <alignment horizontal="center" vertical="center"/>
    </xf>
    <xf numFmtId="0" fontId="31" fillId="8" borderId="59" xfId="0" applyFont="1" applyFill="1" applyBorder="1" applyAlignment="1">
      <alignment horizontal="center" vertical="center"/>
    </xf>
    <xf numFmtId="0" fontId="26" fillId="0" borderId="58" xfId="0" applyFont="1" applyBorder="1" applyAlignment="1">
      <alignment horizontal="left" vertical="center" wrapText="1"/>
    </xf>
    <xf numFmtId="0" fontId="26" fillId="0" borderId="58" xfId="0" applyFont="1" applyBorder="1" applyAlignment="1">
      <alignment horizontal="center" vertical="center"/>
    </xf>
    <xf numFmtId="44" fontId="26" fillId="0" borderId="58" xfId="8" applyFont="1" applyBorder="1" applyAlignment="1">
      <alignment vertical="center"/>
    </xf>
    <xf numFmtId="1" fontId="26" fillId="9" borderId="57" xfId="0" applyNumberFormat="1" applyFont="1" applyFill="1" applyBorder="1" applyAlignment="1">
      <alignment horizontal="center" vertical="center"/>
    </xf>
    <xf numFmtId="44" fontId="26" fillId="9" borderId="57" xfId="8" applyFont="1" applyFill="1" applyBorder="1" applyAlignment="1">
      <alignment vertical="center"/>
    </xf>
    <xf numFmtId="44" fontId="26" fillId="10" borderId="57" xfId="8" applyFont="1" applyFill="1" applyBorder="1" applyAlignment="1">
      <alignment vertical="center"/>
    </xf>
    <xf numFmtId="9" fontId="26" fillId="11" borderId="57" xfId="1" applyFont="1" applyFill="1" applyBorder="1" applyAlignment="1">
      <alignment vertical="center"/>
    </xf>
    <xf numFmtId="44" fontId="26" fillId="11" borderId="57" xfId="8" applyFont="1" applyFill="1" applyBorder="1" applyAlignment="1">
      <alignment vertical="center"/>
    </xf>
    <xf numFmtId="44" fontId="26" fillId="11" borderId="58" xfId="8" applyFont="1" applyFill="1" applyBorder="1" applyAlignment="1">
      <alignment vertical="center"/>
    </xf>
    <xf numFmtId="10" fontId="26" fillId="10" borderId="59" xfId="0" applyNumberFormat="1" applyFont="1" applyFill="1" applyBorder="1" applyAlignment="1">
      <alignment horizontal="center" vertical="center"/>
    </xf>
    <xf numFmtId="0" fontId="33" fillId="0" borderId="59" xfId="2" applyFont="1" applyBorder="1" applyAlignment="1" applyProtection="1">
      <alignment horizontal="center" vertical="center" wrapText="1"/>
      <protection locked="0"/>
    </xf>
    <xf numFmtId="44" fontId="26" fillId="0" borderId="58" xfId="8" applyFont="1" applyBorder="1" applyAlignment="1">
      <alignment vertical="center" wrapText="1"/>
    </xf>
    <xf numFmtId="0" fontId="21" fillId="0" borderId="0" xfId="0" applyFont="1" applyAlignment="1">
      <alignment wrapText="1"/>
    </xf>
    <xf numFmtId="1" fontId="26" fillId="9" borderId="57" xfId="0" applyNumberFormat="1" applyFont="1" applyFill="1" applyBorder="1" applyAlignment="1">
      <alignment horizontal="center" vertical="center" wrapText="1"/>
    </xf>
    <xf numFmtId="44" fontId="26" fillId="9" borderId="57" xfId="8" applyFont="1" applyFill="1" applyBorder="1" applyAlignment="1">
      <alignment vertical="center" wrapText="1"/>
    </xf>
    <xf numFmtId="44" fontId="26" fillId="10" borderId="57" xfId="8" applyFont="1" applyFill="1" applyBorder="1" applyAlignment="1">
      <alignment vertical="center" wrapText="1"/>
    </xf>
    <xf numFmtId="9" fontId="26" fillId="11" borderId="57" xfId="1" applyFont="1" applyFill="1" applyBorder="1" applyAlignment="1">
      <alignment vertical="center" wrapText="1"/>
    </xf>
    <xf numFmtId="44" fontId="26" fillId="11" borderId="57" xfId="8" applyFont="1" applyFill="1" applyBorder="1" applyAlignment="1">
      <alignment vertical="center" wrapText="1"/>
    </xf>
    <xf numFmtId="44" fontId="26" fillId="11" borderId="58" xfId="8" applyFont="1" applyFill="1" applyBorder="1" applyAlignment="1">
      <alignment vertical="center" wrapText="1"/>
    </xf>
    <xf numFmtId="10" fontId="26" fillId="10" borderId="59" xfId="0" applyNumberFormat="1" applyFont="1" applyFill="1" applyBorder="1" applyAlignment="1">
      <alignment horizontal="center" vertical="center" wrapText="1"/>
    </xf>
    <xf numFmtId="44" fontId="30" fillId="12" borderId="0" xfId="0" applyNumberFormat="1" applyFont="1" applyFill="1" applyAlignment="1">
      <alignment horizontal="right" vertical="center"/>
    </xf>
    <xf numFmtId="0" fontId="21" fillId="0" borderId="0" xfId="0" applyFont="1" applyAlignment="1">
      <alignment vertical="center"/>
    </xf>
    <xf numFmtId="44" fontId="30" fillId="6" borderId="58" xfId="0" applyNumberFormat="1" applyFont="1" applyFill="1" applyBorder="1" applyAlignment="1">
      <alignment horizontal="right" vertical="center"/>
    </xf>
    <xf numFmtId="44" fontId="24" fillId="10" borderId="58" xfId="0" applyNumberFormat="1" applyFont="1" applyFill="1" applyBorder="1" applyAlignment="1">
      <alignment vertical="center"/>
    </xf>
    <xf numFmtId="0" fontId="21" fillId="11" borderId="58" xfId="0" applyFont="1" applyFill="1" applyBorder="1" applyAlignment="1">
      <alignment vertical="center"/>
    </xf>
    <xf numFmtId="44" fontId="24" fillId="11" borderId="58" xfId="0" applyNumberFormat="1" applyFont="1" applyFill="1" applyBorder="1" applyAlignment="1">
      <alignment vertical="center"/>
    </xf>
    <xf numFmtId="44" fontId="24" fillId="11" borderId="57" xfId="8" applyFont="1" applyFill="1" applyBorder="1" applyAlignment="1">
      <alignment vertical="center"/>
    </xf>
    <xf numFmtId="44" fontId="30" fillId="13" borderId="9" xfId="8" applyFont="1" applyFill="1" applyBorder="1" applyAlignment="1">
      <alignment horizontal="center" vertical="center"/>
    </xf>
    <xf numFmtId="44" fontId="30" fillId="13" borderId="11" xfId="8" applyFont="1" applyFill="1" applyBorder="1" applyAlignment="1">
      <alignment horizontal="center" vertical="center"/>
    </xf>
    <xf numFmtId="0" fontId="26" fillId="0" borderId="62" xfId="0" applyFont="1" applyBorder="1" applyAlignment="1">
      <alignment horizontal="left" vertical="center" wrapText="1"/>
    </xf>
    <xf numFmtId="49" fontId="26" fillId="0" borderId="61" xfId="0" applyNumberFormat="1" applyFont="1" applyBorder="1" applyAlignment="1">
      <alignment horizontal="left" vertical="center" wrapText="1"/>
    </xf>
    <xf numFmtId="0" fontId="26" fillId="0" borderId="65" xfId="0" applyFont="1" applyBorder="1" applyAlignment="1">
      <alignment horizontal="left" vertical="center" wrapText="1"/>
    </xf>
    <xf numFmtId="0" fontId="30" fillId="13" borderId="4" xfId="0" applyFont="1" applyFill="1" applyBorder="1"/>
    <xf numFmtId="0" fontId="30" fillId="13" borderId="33" xfId="0" applyFont="1" applyFill="1" applyBorder="1"/>
    <xf numFmtId="44" fontId="30" fillId="13" borderId="33" xfId="0" applyNumberFormat="1" applyFont="1" applyFill="1" applyBorder="1"/>
    <xf numFmtId="44" fontId="30" fillId="13" borderId="63" xfId="0" applyNumberFormat="1" applyFont="1" applyFill="1" applyBorder="1"/>
    <xf numFmtId="9" fontId="30" fillId="13" borderId="12" xfId="1" applyFont="1" applyFill="1" applyBorder="1"/>
    <xf numFmtId="44" fontId="30" fillId="13" borderId="64" xfId="8" applyFont="1" applyFill="1" applyBorder="1"/>
    <xf numFmtId="44" fontId="34" fillId="0" borderId="59" xfId="8" applyFont="1" applyBorder="1"/>
    <xf numFmtId="44" fontId="34" fillId="0" borderId="59" xfId="8" applyFont="1" applyBorder="1" applyAlignment="1">
      <alignment vertical="center"/>
    </xf>
    <xf numFmtId="44" fontId="35" fillId="0" borderId="59" xfId="8" applyFont="1" applyBorder="1"/>
    <xf numFmtId="44" fontId="35" fillId="0" borderId="59" xfId="8" applyFont="1" applyBorder="1" applyAlignment="1">
      <alignment wrapText="1"/>
    </xf>
    <xf numFmtId="44" fontId="35" fillId="0" borderId="59" xfId="8" applyFont="1" applyBorder="1" applyAlignment="1">
      <alignment vertical="center"/>
    </xf>
    <xf numFmtId="0" fontId="31" fillId="0" borderId="0" xfId="0" applyFont="1"/>
    <xf numFmtId="0" fontId="31" fillId="0" borderId="0" xfId="0" applyFont="1" applyAlignment="1">
      <alignment wrapText="1"/>
    </xf>
    <xf numFmtId="0" fontId="31" fillId="0" borderId="0" xfId="0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16" fontId="18" fillId="14" borderId="9" xfId="0" applyNumberFormat="1" applyFont="1" applyFill="1" applyBorder="1"/>
    <xf numFmtId="16" fontId="18" fillId="14" borderId="10" xfId="0" applyNumberFormat="1" applyFont="1" applyFill="1" applyBorder="1"/>
    <xf numFmtId="16" fontId="18" fillId="15" borderId="12" xfId="0" applyNumberFormat="1" applyFont="1" applyFill="1" applyBorder="1"/>
    <xf numFmtId="16" fontId="18" fillId="15" borderId="13" xfId="0" applyNumberFormat="1" applyFont="1" applyFill="1" applyBorder="1"/>
    <xf numFmtId="0" fontId="18" fillId="16" borderId="15" xfId="0" applyFont="1" applyFill="1" applyBorder="1" applyAlignment="1">
      <alignment horizontal="right"/>
    </xf>
    <xf numFmtId="0" fontId="18" fillId="16" borderId="0" xfId="0" applyFont="1" applyFill="1" applyAlignment="1">
      <alignment horizontal="right"/>
    </xf>
    <xf numFmtId="0" fontId="20" fillId="17" borderId="12" xfId="0" applyFont="1" applyFill="1" applyBorder="1"/>
    <xf numFmtId="0" fontId="20" fillId="17" borderId="13" xfId="0" applyFont="1" applyFill="1" applyBorder="1"/>
    <xf numFmtId="164" fontId="19" fillId="0" borderId="0" xfId="2" applyNumberFormat="1" applyFont="1" applyAlignment="1" applyProtection="1">
      <alignment horizontal="left" vertical="center"/>
      <protection locked="0"/>
    </xf>
    <xf numFmtId="0" fontId="19" fillId="0" borderId="0" xfId="2" applyFont="1" applyAlignment="1" applyProtection="1">
      <alignment horizontal="left" vertical="center"/>
      <protection locked="0"/>
    </xf>
    <xf numFmtId="14" fontId="19" fillId="0" borderId="0" xfId="2" applyNumberFormat="1" applyFont="1" applyAlignment="1" applyProtection="1">
      <alignment horizontal="left" vertical="center"/>
      <protection locked="0"/>
    </xf>
    <xf numFmtId="0" fontId="16" fillId="12" borderId="59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64" fontId="15" fillId="0" borderId="59" xfId="2" applyNumberFormat="1" applyFont="1" applyBorder="1" applyAlignment="1" applyProtection="1">
      <alignment horizontal="left" vertical="center"/>
      <protection locked="0"/>
    </xf>
    <xf numFmtId="44" fontId="16" fillId="0" borderId="59" xfId="0" applyNumberFormat="1" applyFont="1" applyBorder="1"/>
    <xf numFmtId="9" fontId="16" fillId="0" borderId="59" xfId="1" applyFont="1" applyBorder="1" applyAlignment="1">
      <alignment horizontal="center"/>
    </xf>
    <xf numFmtId="44" fontId="16" fillId="12" borderId="59" xfId="0" applyNumberFormat="1" applyFont="1" applyFill="1" applyBorder="1" applyAlignment="1">
      <alignment horizontal="center"/>
    </xf>
    <xf numFmtId="44" fontId="18" fillId="0" borderId="0" xfId="0" applyNumberFormat="1" applyFont="1"/>
    <xf numFmtId="169" fontId="18" fillId="0" borderId="0" xfId="0" applyNumberFormat="1" applyFont="1"/>
    <xf numFmtId="0" fontId="22" fillId="0" borderId="0" xfId="0" applyFont="1" applyAlignment="1">
      <alignment horizontal="left"/>
    </xf>
    <xf numFmtId="44" fontId="36" fillId="0" borderId="0" xfId="0" applyNumberFormat="1" applyFont="1"/>
    <xf numFmtId="9" fontId="37" fillId="0" borderId="0" xfId="1" applyFont="1"/>
    <xf numFmtId="0" fontId="37" fillId="0" borderId="0" xfId="0" applyFont="1"/>
    <xf numFmtId="0" fontId="30" fillId="6" borderId="0" xfId="0" applyFont="1" applyFill="1" applyAlignment="1">
      <alignment horizontal="center"/>
    </xf>
    <xf numFmtId="0" fontId="30" fillId="7" borderId="0" xfId="0" applyFont="1" applyFill="1" applyAlignment="1">
      <alignment horizontal="left"/>
    </xf>
    <xf numFmtId="0" fontId="30" fillId="12" borderId="60" xfId="0" applyFont="1" applyFill="1" applyBorder="1" applyAlignment="1">
      <alignment horizontal="left" vertical="center"/>
    </xf>
    <xf numFmtId="0" fontId="30" fillId="12" borderId="6" xfId="0" applyFont="1" applyFill="1" applyBorder="1" applyAlignment="1">
      <alignment horizontal="left" vertical="center"/>
    </xf>
    <xf numFmtId="0" fontId="30" fillId="6" borderId="44" xfId="0" applyFont="1" applyFill="1" applyBorder="1" applyAlignment="1">
      <alignment horizontal="left" vertical="center"/>
    </xf>
    <xf numFmtId="0" fontId="30" fillId="6" borderId="58" xfId="0" applyFont="1" applyFill="1" applyBorder="1" applyAlignment="1">
      <alignment horizontal="left" vertical="center"/>
    </xf>
    <xf numFmtId="0" fontId="22" fillId="0" borderId="0" xfId="2" applyFont="1" applyAlignment="1">
      <alignment horizontal="left" vertical="center" wrapText="1"/>
    </xf>
    <xf numFmtId="0" fontId="22" fillId="0" borderId="0" xfId="2" applyFont="1" applyAlignment="1">
      <alignment horizontal="left" vertical="top"/>
    </xf>
    <xf numFmtId="0" fontId="30" fillId="6" borderId="55" xfId="0" applyFont="1" applyFill="1" applyBorder="1" applyAlignment="1">
      <alignment horizontal="center"/>
    </xf>
    <xf numFmtId="0" fontId="30" fillId="7" borderId="55" xfId="0" applyFont="1" applyFill="1" applyBorder="1" applyAlignment="1">
      <alignment horizontal="left"/>
    </xf>
    <xf numFmtId="0" fontId="30" fillId="7" borderId="56" xfId="0" applyFont="1" applyFill="1" applyBorder="1" applyAlignment="1">
      <alignment horizontal="left"/>
    </xf>
    <xf numFmtId="44" fontId="18" fillId="0" borderId="11" xfId="0" applyNumberFormat="1" applyFont="1" applyBorder="1" applyAlignment="1">
      <alignment horizontal="center" vertical="center"/>
    </xf>
    <xf numFmtId="0" fontId="18" fillId="0" borderId="64" xfId="0" applyFont="1" applyBorder="1" applyAlignment="1">
      <alignment horizontal="center" vertical="center"/>
    </xf>
    <xf numFmtId="0" fontId="9" fillId="5" borderId="35" xfId="0" applyFont="1" applyFill="1" applyBorder="1" applyAlignment="1">
      <alignment horizontal="left" vertical="center"/>
    </xf>
    <xf numFmtId="0" fontId="9" fillId="5" borderId="35" xfId="0" applyFont="1" applyFill="1" applyBorder="1" applyAlignment="1">
      <alignment vertical="center"/>
    </xf>
    <xf numFmtId="0" fontId="9" fillId="5" borderId="0" xfId="0" applyFont="1" applyFill="1" applyAlignment="1">
      <alignment vertical="center"/>
    </xf>
    <xf numFmtId="0" fontId="10" fillId="5" borderId="35" xfId="0" applyFont="1" applyFill="1" applyBorder="1" applyAlignment="1">
      <alignment horizontal="left" vertical="top"/>
    </xf>
    <xf numFmtId="0" fontId="12" fillId="5" borderId="35" xfId="0" applyFont="1" applyFill="1" applyBorder="1" applyAlignment="1">
      <alignment horizontal="center" vertical="center" wrapText="1"/>
    </xf>
    <xf numFmtId="0" fontId="12" fillId="5" borderId="0" xfId="0" applyFont="1" applyFill="1" applyAlignment="1">
      <alignment horizontal="center" vertical="center" wrapText="1"/>
    </xf>
    <xf numFmtId="0" fontId="0" fillId="0" borderId="22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3" xfId="0" applyBorder="1" applyAlignment="1">
      <alignment horizontal="left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1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44" fontId="0" fillId="0" borderId="22" xfId="8" applyFont="1" applyBorder="1" applyAlignment="1">
      <alignment horizontal="center"/>
    </xf>
    <xf numFmtId="44" fontId="0" fillId="0" borderId="23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9" xfId="0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44" fontId="21" fillId="18" borderId="0" xfId="0" applyNumberFormat="1" applyFont="1" applyFill="1"/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664378</xdr:colOff>
      <xdr:row>0</xdr:row>
      <xdr:rowOff>152400</xdr:rowOff>
    </xdr:from>
    <xdr:to>
      <xdr:col>5</xdr:col>
      <xdr:colOff>516555</xdr:colOff>
      <xdr:row>1</xdr:row>
      <xdr:rowOff>63500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625238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44</xdr:col>
      <xdr:colOff>564014</xdr:colOff>
      <xdr:row>0</xdr:row>
      <xdr:rowOff>190500</xdr:rowOff>
    </xdr:from>
    <xdr:to>
      <xdr:col>46</xdr:col>
      <xdr:colOff>423748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44</xdr:col>
      <xdr:colOff>116899</xdr:colOff>
      <xdr:row>0</xdr:row>
      <xdr:rowOff>179391</xdr:rowOff>
    </xdr:from>
    <xdr:to>
      <xdr:col>44</xdr:col>
      <xdr:colOff>510036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664378</xdr:colOff>
      <xdr:row>0</xdr:row>
      <xdr:rowOff>152400</xdr:rowOff>
    </xdr:from>
    <xdr:to>
      <xdr:col>5</xdr:col>
      <xdr:colOff>516555</xdr:colOff>
      <xdr:row>1</xdr:row>
      <xdr:rowOff>63500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44</xdr:col>
      <xdr:colOff>564014</xdr:colOff>
      <xdr:row>0</xdr:row>
      <xdr:rowOff>190500</xdr:rowOff>
    </xdr:from>
    <xdr:to>
      <xdr:col>46</xdr:col>
      <xdr:colOff>423748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C60A7-256E-4096-8002-E3F0DDC99ACA}">
  <dimension ref="A1:F26"/>
  <sheetViews>
    <sheetView showGridLines="0" tabSelected="1" topLeftCell="A17" zoomScaleNormal="100" workbookViewId="0">
      <selection activeCell="C22" sqref="C22:D22"/>
    </sheetView>
  </sheetViews>
  <sheetFormatPr defaultColWidth="8.6640625" defaultRowHeight="16.2" x14ac:dyDescent="0.35"/>
  <cols>
    <col min="1" max="1" width="8.6640625" style="135"/>
    <col min="2" max="2" width="30.6640625" style="135" customWidth="1"/>
    <col min="3" max="3" width="31.6640625" style="135" customWidth="1"/>
    <col min="4" max="4" width="20.44140625" style="135" customWidth="1"/>
    <col min="5" max="5" width="18.44140625" style="135" customWidth="1"/>
    <col min="6" max="6" width="11.88671875" style="136" bestFit="1" customWidth="1"/>
    <col min="7" max="7" width="12.88671875" style="135" bestFit="1" customWidth="1"/>
    <col min="8" max="8" width="12.5546875" style="135" bestFit="1" customWidth="1"/>
    <col min="9" max="16384" width="8.6640625" style="135"/>
  </cols>
  <sheetData>
    <row r="1" spans="1:5" s="136" customFormat="1" hidden="1" x14ac:dyDescent="0.35">
      <c r="A1" s="135"/>
      <c r="B1" s="135"/>
      <c r="C1" s="135"/>
      <c r="D1" s="135"/>
      <c r="E1" s="135"/>
    </row>
    <row r="2" spans="1:5" s="136" customFormat="1" hidden="1" x14ac:dyDescent="0.35">
      <c r="A2" s="135"/>
      <c r="B2" s="135"/>
      <c r="C2" s="135"/>
      <c r="D2" s="135"/>
      <c r="E2" s="135"/>
    </row>
    <row r="3" spans="1:5" s="136" customFormat="1" hidden="1" x14ac:dyDescent="0.35">
      <c r="A3" s="135"/>
      <c r="B3" s="135"/>
      <c r="C3" s="137">
        <v>45866</v>
      </c>
      <c r="D3" s="138"/>
      <c r="E3" s="171" t="e">
        <f>SUM(#REF!)</f>
        <v>#REF!</v>
      </c>
    </row>
    <row r="4" spans="1:5" s="136" customFormat="1" ht="15.6" hidden="1" customHeight="1" thickBot="1" x14ac:dyDescent="0.4">
      <c r="A4" s="135"/>
      <c r="B4" s="135"/>
      <c r="C4" s="139">
        <v>45867</v>
      </c>
      <c r="D4" s="140"/>
      <c r="E4" s="172"/>
    </row>
    <row r="5" spans="1:5" s="136" customFormat="1" hidden="1" x14ac:dyDescent="0.35">
      <c r="A5" s="135"/>
      <c r="B5" s="135"/>
      <c r="C5" s="141" t="s">
        <v>156</v>
      </c>
      <c r="D5" s="142"/>
      <c r="E5" s="135"/>
    </row>
    <row r="6" spans="1:5" s="136" customFormat="1" hidden="1" x14ac:dyDescent="0.35">
      <c r="A6" s="135"/>
      <c r="B6" s="135"/>
      <c r="C6" s="141" t="s">
        <v>157</v>
      </c>
      <c r="D6" s="142"/>
      <c r="E6" s="135"/>
    </row>
    <row r="7" spans="1:5" s="136" customFormat="1" ht="16.8" hidden="1" thickBot="1" x14ac:dyDescent="0.4">
      <c r="A7" s="135"/>
      <c r="B7" s="135"/>
      <c r="C7" s="143" t="s">
        <v>40</v>
      </c>
      <c r="D7" s="144"/>
      <c r="E7" s="135"/>
    </row>
    <row r="9" spans="1:5" s="136" customFormat="1" ht="24" customHeight="1" x14ac:dyDescent="0.35">
      <c r="A9" s="135"/>
      <c r="B9" s="135"/>
      <c r="C9" s="135"/>
      <c r="D9" s="135"/>
      <c r="E9" s="135"/>
    </row>
    <row r="11" spans="1:5" s="136" customFormat="1" ht="15" customHeight="1" x14ac:dyDescent="0.35">
      <c r="A11" s="135"/>
      <c r="B11" s="29" t="s">
        <v>132</v>
      </c>
      <c r="C11" s="30" t="s">
        <v>147</v>
      </c>
      <c r="D11" s="145"/>
      <c r="E11" s="135"/>
    </row>
    <row r="12" spans="1:5" s="136" customFormat="1" ht="15" customHeight="1" x14ac:dyDescent="0.35">
      <c r="A12" s="135"/>
      <c r="B12" s="31" t="s">
        <v>136</v>
      </c>
      <c r="C12" s="32" t="s">
        <v>135</v>
      </c>
      <c r="D12" s="145"/>
      <c r="E12" s="135"/>
    </row>
    <row r="13" spans="1:5" s="136" customFormat="1" ht="15" customHeight="1" x14ac:dyDescent="0.35">
      <c r="A13" s="135"/>
      <c r="B13" s="31" t="s">
        <v>137</v>
      </c>
      <c r="C13" s="33" t="s">
        <v>146</v>
      </c>
      <c r="D13" s="146"/>
      <c r="E13" s="135"/>
    </row>
    <row r="14" spans="1:5" s="136" customFormat="1" ht="15" customHeight="1" x14ac:dyDescent="0.35">
      <c r="A14" s="135"/>
      <c r="B14" s="31" t="s">
        <v>133</v>
      </c>
      <c r="C14" s="33"/>
      <c r="D14" s="146"/>
      <c r="E14" s="135"/>
    </row>
    <row r="15" spans="1:5" s="136" customFormat="1" ht="15" customHeight="1" x14ac:dyDescent="0.35">
      <c r="A15" s="135"/>
      <c r="B15" s="31" t="s">
        <v>138</v>
      </c>
      <c r="C15" s="34" t="s">
        <v>141</v>
      </c>
      <c r="D15" s="147"/>
      <c r="E15" s="135"/>
    </row>
    <row r="16" spans="1:5" ht="15" customHeight="1" x14ac:dyDescent="0.35">
      <c r="B16" s="31" t="s">
        <v>139</v>
      </c>
      <c r="C16" s="33" t="s">
        <v>140</v>
      </c>
      <c r="D16" s="146"/>
    </row>
    <row r="17" spans="2:6" ht="15" customHeight="1" x14ac:dyDescent="0.35">
      <c r="B17" s="31" t="s">
        <v>134</v>
      </c>
      <c r="C17" s="33"/>
      <c r="D17" s="146"/>
    </row>
    <row r="18" spans="2:6" ht="15" customHeight="1" x14ac:dyDescent="0.35">
      <c r="B18" s="35" t="s">
        <v>142</v>
      </c>
      <c r="C18" s="36"/>
      <c r="D18" s="146"/>
    </row>
    <row r="20" spans="2:6" ht="15.6" customHeight="1" x14ac:dyDescent="0.35">
      <c r="B20" s="148"/>
      <c r="C20" s="148" t="s">
        <v>158</v>
      </c>
      <c r="D20" s="148" t="s">
        <v>159</v>
      </c>
      <c r="E20" s="148" t="s">
        <v>160</v>
      </c>
      <c r="F20" s="149"/>
    </row>
    <row r="21" spans="2:6" x14ac:dyDescent="0.35">
      <c r="B21" s="150" t="s">
        <v>161</v>
      </c>
      <c r="C21" s="151">
        <f>Principal!N23</f>
        <v>39948.697882352935</v>
      </c>
      <c r="D21" s="151">
        <f>Principal!AK27</f>
        <v>10592.30468235294</v>
      </c>
      <c r="E21" s="151">
        <f>C21-D21</f>
        <v>29356.393199999995</v>
      </c>
      <c r="F21" s="152">
        <f>E21*100%/C21</f>
        <v>0.73485231700049936</v>
      </c>
    </row>
    <row r="22" spans="2:6" x14ac:dyDescent="0.35">
      <c r="B22" s="148" t="s">
        <v>40</v>
      </c>
      <c r="C22" s="153">
        <f>SUM(C21:C21)</f>
        <v>39948.697882352935</v>
      </c>
      <c r="D22" s="153">
        <f>SUM(D21:D21)</f>
        <v>10592.30468235294</v>
      </c>
      <c r="E22" s="153">
        <f>C22-D22</f>
        <v>29356.393199999995</v>
      </c>
      <c r="F22" s="152">
        <f t="shared" ref="F22" si="0">E22*100%/C22</f>
        <v>0.73485231700049936</v>
      </c>
    </row>
    <row r="25" spans="2:6" x14ac:dyDescent="0.35">
      <c r="C25" s="154"/>
    </row>
    <row r="26" spans="2:6" x14ac:dyDescent="0.35">
      <c r="C26" s="155"/>
    </row>
  </sheetData>
  <mergeCells count="1">
    <mergeCell ref="E3:E4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/>
  </sheetPr>
  <dimension ref="A1:AM29"/>
  <sheetViews>
    <sheetView showGridLines="0" topLeftCell="B1" zoomScale="55" zoomScaleNormal="55" workbookViewId="0">
      <pane ySplit="1" topLeftCell="A17" activePane="bottomLeft" state="frozen"/>
      <selection pane="bottomLeft" activeCell="AK29" sqref="AK29"/>
    </sheetView>
  </sheetViews>
  <sheetFormatPr defaultColWidth="8.88671875" defaultRowHeight="18" x14ac:dyDescent="0.35"/>
  <cols>
    <col min="1" max="1" width="9.5546875" style="37" hidden="1" customWidth="1"/>
    <col min="2" max="2" width="15.44140625" style="37" customWidth="1"/>
    <col min="3" max="3" width="12.44140625" style="37" hidden="1" customWidth="1"/>
    <col min="4" max="4" width="20" style="37" hidden="1" customWidth="1"/>
    <col min="5" max="5" width="19.88671875" style="37" hidden="1" customWidth="1"/>
    <col min="6" max="6" width="24.33203125" style="37" customWidth="1"/>
    <col min="7" max="7" width="45.5546875" style="37" customWidth="1"/>
    <col min="8" max="8" width="5.109375" style="37" hidden="1" customWidth="1"/>
    <col min="9" max="9" width="7.6640625" style="37" hidden="1" customWidth="1"/>
    <col min="10" max="10" width="18.5546875" style="37" hidden="1" customWidth="1"/>
    <col min="11" max="11" width="26.6640625" style="37" bestFit="1" customWidth="1"/>
    <col min="12" max="12" width="24.6640625" style="37" bestFit="1" customWidth="1"/>
    <col min="13" max="14" width="26.6640625" style="37" bestFit="1" customWidth="1"/>
    <col min="15" max="15" width="3.33203125" style="37" hidden="1" customWidth="1"/>
    <col min="16" max="16" width="1.88671875" style="37" hidden="1" customWidth="1"/>
    <col min="17" max="17" width="11.109375" style="37" bestFit="1" customWidth="1"/>
    <col min="18" max="18" width="8.44140625" style="37" hidden="1" customWidth="1"/>
    <col min="19" max="19" width="16.44140625" style="37" hidden="1" customWidth="1"/>
    <col min="20" max="20" width="26.6640625" style="37" bestFit="1" customWidth="1"/>
    <col min="21" max="21" width="24.6640625" style="37" hidden="1" customWidth="1"/>
    <col min="22" max="22" width="9.6640625" style="37" hidden="1" customWidth="1"/>
    <col min="23" max="23" width="16.109375" style="37" hidden="1" customWidth="1"/>
    <col min="24" max="24" width="27.109375" style="37" bestFit="1" customWidth="1"/>
    <col min="25" max="25" width="26.6640625" style="37" hidden="1" customWidth="1"/>
    <col min="26" max="26" width="14.6640625" style="37" hidden="1" customWidth="1"/>
    <col min="27" max="27" width="24.6640625" style="37" hidden="1" customWidth="1"/>
    <col min="28" max="28" width="38.109375" style="37" hidden="1" customWidth="1"/>
    <col min="29" max="29" width="14.109375" style="37" hidden="1" customWidth="1"/>
    <col min="30" max="30" width="7.6640625" style="37" hidden="1" customWidth="1"/>
    <col min="31" max="31" width="6.88671875" style="37" hidden="1" customWidth="1"/>
    <col min="32" max="32" width="1.33203125" style="37" hidden="1" customWidth="1"/>
    <col min="33" max="33" width="14" style="37" hidden="1" customWidth="1"/>
    <col min="34" max="34" width="11.6640625" style="37" hidden="1" customWidth="1"/>
    <col min="35" max="35" width="6.33203125" style="37" hidden="1" customWidth="1"/>
    <col min="36" max="36" width="12.6640625" style="37" hidden="1" customWidth="1"/>
    <col min="37" max="37" width="28" style="37" customWidth="1"/>
    <col min="38" max="38" width="29.6640625" style="37" customWidth="1"/>
    <col min="39" max="39" width="46.88671875" style="132" customWidth="1"/>
    <col min="40" max="40" width="21.33203125" style="37" customWidth="1"/>
    <col min="41" max="16384" width="8.88671875" style="37"/>
  </cols>
  <sheetData>
    <row r="1" spans="1:38" ht="49.5" customHeight="1" x14ac:dyDescent="0.35">
      <c r="B1" s="38"/>
      <c r="C1" s="39"/>
      <c r="D1" s="39"/>
      <c r="F1" s="166" t="s">
        <v>106</v>
      </c>
      <c r="G1" s="166"/>
    </row>
    <row r="2" spans="1:38" ht="24.75" customHeight="1" x14ac:dyDescent="0.35">
      <c r="B2" s="40"/>
      <c r="D2" s="39"/>
      <c r="F2" s="167" t="s">
        <v>0</v>
      </c>
      <c r="G2" s="167"/>
    </row>
    <row r="3" spans="1:38" x14ac:dyDescent="0.35">
      <c r="B3" s="41"/>
      <c r="F3" s="42"/>
      <c r="G3" s="42"/>
    </row>
    <row r="4" spans="1:38" x14ac:dyDescent="0.35">
      <c r="F4" s="43" t="s">
        <v>132</v>
      </c>
      <c r="G4" s="44" t="s">
        <v>147</v>
      </c>
    </row>
    <row r="5" spans="1:38" x14ac:dyDescent="0.35">
      <c r="F5" s="45" t="s">
        <v>136</v>
      </c>
      <c r="G5" s="46" t="s">
        <v>135</v>
      </c>
    </row>
    <row r="6" spans="1:38" x14ac:dyDescent="0.35">
      <c r="D6" s="37" t="s">
        <v>93</v>
      </c>
      <c r="F6" s="45" t="s">
        <v>137</v>
      </c>
      <c r="G6" s="47" t="s">
        <v>146</v>
      </c>
    </row>
    <row r="7" spans="1:38" ht="21.75" customHeight="1" x14ac:dyDescent="0.35">
      <c r="F7" s="45" t="s">
        <v>133</v>
      </c>
      <c r="G7" s="47"/>
      <c r="J7" s="37" t="s">
        <v>105</v>
      </c>
    </row>
    <row r="8" spans="1:38" x14ac:dyDescent="0.35">
      <c r="F8" s="45" t="s">
        <v>138</v>
      </c>
      <c r="G8" s="48" t="s">
        <v>141</v>
      </c>
    </row>
    <row r="9" spans="1:38" x14ac:dyDescent="0.35">
      <c r="F9" s="45" t="s">
        <v>139</v>
      </c>
      <c r="G9" s="47" t="s">
        <v>140</v>
      </c>
      <c r="J9" s="37" t="s">
        <v>93</v>
      </c>
    </row>
    <row r="10" spans="1:38" x14ac:dyDescent="0.35">
      <c r="F10" s="45" t="s">
        <v>134</v>
      </c>
      <c r="G10" s="47"/>
    </row>
    <row r="11" spans="1:38" x14ac:dyDescent="0.35">
      <c r="F11" s="49" t="s">
        <v>142</v>
      </c>
      <c r="G11" s="50"/>
    </row>
    <row r="12" spans="1:38" ht="18.600000000000001" thickBot="1" x14ac:dyDescent="0.4">
      <c r="A12" s="51" t="s">
        <v>2</v>
      </c>
      <c r="B12" s="52" t="s">
        <v>3</v>
      </c>
      <c r="C12" s="51" t="s">
        <v>4</v>
      </c>
      <c r="D12" s="51" t="s">
        <v>5</v>
      </c>
      <c r="E12" s="51" t="s">
        <v>6</v>
      </c>
      <c r="M12" s="53">
        <v>0.81</v>
      </c>
    </row>
    <row r="13" spans="1:38" ht="35.1" customHeight="1" thickBot="1" x14ac:dyDescent="0.4">
      <c r="A13" s="54">
        <v>0</v>
      </c>
      <c r="B13" s="55"/>
      <c r="C13" s="56"/>
      <c r="D13" s="57"/>
      <c r="E13" s="58"/>
      <c r="F13" s="59" t="s">
        <v>70</v>
      </c>
      <c r="G13" s="60" t="s">
        <v>71</v>
      </c>
      <c r="H13" s="61" t="s">
        <v>72</v>
      </c>
      <c r="I13" s="61" t="s">
        <v>73</v>
      </c>
      <c r="J13" s="62" t="s">
        <v>74</v>
      </c>
      <c r="K13" s="63" t="s">
        <v>7</v>
      </c>
      <c r="L13" s="64">
        <v>0.08</v>
      </c>
      <c r="M13" s="65">
        <v>0.15</v>
      </c>
      <c r="N13" s="66" t="s">
        <v>68</v>
      </c>
      <c r="Q13" s="67" t="s">
        <v>75</v>
      </c>
      <c r="R13" s="68" t="s">
        <v>76</v>
      </c>
      <c r="S13" s="69" t="s">
        <v>77</v>
      </c>
      <c r="T13" s="70" t="s">
        <v>78</v>
      </c>
      <c r="U13" s="71" t="s">
        <v>79</v>
      </c>
      <c r="V13" s="72" t="s">
        <v>80</v>
      </c>
      <c r="W13" s="73" t="s">
        <v>81</v>
      </c>
      <c r="X13" s="74" t="s">
        <v>82</v>
      </c>
      <c r="Y13" s="74" t="s">
        <v>83</v>
      </c>
      <c r="Z13" s="75" t="s">
        <v>84</v>
      </c>
      <c r="AA13" s="76" t="s">
        <v>69</v>
      </c>
      <c r="AC13" s="77" t="s">
        <v>85</v>
      </c>
      <c r="AD13" s="78" t="s">
        <v>86</v>
      </c>
      <c r="AE13" s="78" t="s">
        <v>30</v>
      </c>
      <c r="AG13" s="79" t="s">
        <v>87</v>
      </c>
      <c r="AH13" s="80" t="s">
        <v>88</v>
      </c>
      <c r="AI13" s="37" t="s">
        <v>107</v>
      </c>
      <c r="AJ13" s="37" t="s">
        <v>107</v>
      </c>
      <c r="AK13" s="81" t="s">
        <v>89</v>
      </c>
      <c r="AL13" s="82" t="s">
        <v>90</v>
      </c>
    </row>
    <row r="14" spans="1:38" ht="35.1" customHeight="1" x14ac:dyDescent="0.35">
      <c r="A14" s="57">
        <v>1</v>
      </c>
      <c r="B14" s="83">
        <v>1</v>
      </c>
      <c r="C14" s="84" t="s">
        <v>108</v>
      </c>
      <c r="D14" s="57"/>
      <c r="E14" s="58"/>
      <c r="F14" s="168" t="s">
        <v>109</v>
      </c>
      <c r="G14" s="160"/>
      <c r="H14" s="160"/>
      <c r="I14" s="160"/>
      <c r="J14" s="160"/>
      <c r="K14" s="160"/>
      <c r="L14" s="160"/>
      <c r="M14" s="160"/>
      <c r="N14" s="160"/>
      <c r="Q14" s="160" t="str">
        <f>IF(F14&lt;&gt;"",F14,"")</f>
        <v>INTERNO</v>
      </c>
      <c r="R14" s="160"/>
      <c r="S14" s="160"/>
      <c r="T14" s="160"/>
      <c r="U14" s="160"/>
      <c r="V14" s="160"/>
      <c r="W14" s="160"/>
      <c r="X14" s="160"/>
      <c r="Y14" s="160"/>
      <c r="AK14" s="160"/>
      <c r="AL14" s="160"/>
    </row>
    <row r="15" spans="1:38" ht="35.1" customHeight="1" x14ac:dyDescent="0.35">
      <c r="A15" s="57">
        <v>2</v>
      </c>
      <c r="B15" s="83" t="s">
        <v>110</v>
      </c>
      <c r="C15" s="84" t="s">
        <v>111</v>
      </c>
      <c r="D15" s="57"/>
      <c r="E15" s="58"/>
      <c r="F15" s="169" t="s">
        <v>109</v>
      </c>
      <c r="G15" s="161"/>
      <c r="H15" s="161"/>
      <c r="I15" s="161"/>
      <c r="J15" s="161"/>
      <c r="K15" s="170"/>
      <c r="L15" s="85" t="s">
        <v>112</v>
      </c>
      <c r="M15" s="86" t="s">
        <v>113</v>
      </c>
      <c r="N15" s="87" t="s">
        <v>68</v>
      </c>
      <c r="Q15" s="161" t="str">
        <f>IF(F15&lt;&gt;"",F15,"")</f>
        <v>INTERNO</v>
      </c>
      <c r="R15" s="161"/>
      <c r="S15" s="161"/>
      <c r="T15" s="161"/>
      <c r="U15" s="161"/>
      <c r="V15" s="161"/>
      <c r="W15" s="161"/>
      <c r="X15" s="161"/>
      <c r="Y15" s="161"/>
      <c r="Z15" s="88" t="s">
        <v>114</v>
      </c>
      <c r="AA15" s="88" t="s">
        <v>69</v>
      </c>
      <c r="AK15" s="161"/>
      <c r="AL15" s="161"/>
    </row>
    <row r="16" spans="1:38" ht="99.9" customHeight="1" x14ac:dyDescent="0.35">
      <c r="A16" s="57">
        <v>3</v>
      </c>
      <c r="B16" s="83" t="s">
        <v>115</v>
      </c>
      <c r="C16" s="84" t="s">
        <v>116</v>
      </c>
      <c r="D16" s="57" t="s">
        <v>109</v>
      </c>
      <c r="E16" s="57" t="s">
        <v>117</v>
      </c>
      <c r="F16" s="89" t="s">
        <v>118</v>
      </c>
      <c r="G16" s="89" t="s">
        <v>148</v>
      </c>
      <c r="H16" s="90">
        <v>1</v>
      </c>
      <c r="I16" s="90">
        <v>1</v>
      </c>
      <c r="J16" s="91">
        <v>6000</v>
      </c>
      <c r="K16" s="91">
        <f t="shared" ref="K16:K17" si="0">IF(F16&lt;&gt;"",H16*I16*J16,"")</f>
        <v>6000</v>
      </c>
      <c r="L16" s="91">
        <f t="shared" ref="L16:L21" si="1">IF(K16&lt;&gt;"",IF(D16="INTERNO",0,K16*$L$13),"")</f>
        <v>0</v>
      </c>
      <c r="M16" s="91">
        <f t="shared" ref="M16:M17" si="2">IF(K16&lt;&gt;"",IF(E16="FAT.OGGI",SUM(K16:L16)*(1/(1-$M$13)-1),L16*(1/(1-$M$13)-1)),"")</f>
        <v>1058.8235294117649</v>
      </c>
      <c r="N16" s="91">
        <f t="shared" ref="N16:N17" si="3">SUM(K16:M16)</f>
        <v>7058.8235294117649</v>
      </c>
      <c r="Q16" s="92">
        <f t="shared" ref="Q16:R17" si="4">IF(H16&lt;&gt;"",H16,"")</f>
        <v>1</v>
      </c>
      <c r="R16" s="92">
        <f t="shared" si="4"/>
        <v>1</v>
      </c>
      <c r="S16" s="93">
        <v>0</v>
      </c>
      <c r="T16" s="93">
        <f>IF(Q16&lt;&gt;"",Q16*R16*S16,"")</f>
        <v>0</v>
      </c>
      <c r="U16" s="94">
        <f>IF(Q16&lt;&gt;"",K16-T16,"")</f>
        <v>6000</v>
      </c>
      <c r="V16" s="95">
        <f>IF(Q16&lt;&gt;"",0%,"")</f>
        <v>0</v>
      </c>
      <c r="W16" s="96">
        <f>IF(Q16&lt;&gt;"",V16*U16,"")</f>
        <v>0</v>
      </c>
      <c r="X16" s="96">
        <f>IF(Q16&lt;&gt;"",W16+T16,"")</f>
        <v>0</v>
      </c>
      <c r="Y16" s="97">
        <f>IF(Q16&lt;&gt;"",X16+M16,"")</f>
        <v>1058.8235294117649</v>
      </c>
      <c r="Z16" s="98">
        <f>IF(Q16&lt;&gt;"",U16/K16,"")</f>
        <v>1</v>
      </c>
      <c r="AK16" s="127">
        <f>X16-AL16</f>
        <v>0</v>
      </c>
      <c r="AL16" s="129"/>
    </row>
    <row r="17" spans="1:39" ht="99.9" customHeight="1" x14ac:dyDescent="0.35">
      <c r="A17" s="57">
        <v>4</v>
      </c>
      <c r="B17" s="83" t="s">
        <v>91</v>
      </c>
      <c r="C17" s="84" t="s">
        <v>116</v>
      </c>
      <c r="D17" s="57" t="s">
        <v>109</v>
      </c>
      <c r="E17" s="57" t="s">
        <v>117</v>
      </c>
      <c r="F17" s="89" t="s">
        <v>119</v>
      </c>
      <c r="G17" s="89" t="s">
        <v>149</v>
      </c>
      <c r="H17" s="90">
        <v>1</v>
      </c>
      <c r="I17" s="90">
        <v>1</v>
      </c>
      <c r="J17" s="91">
        <v>10000</v>
      </c>
      <c r="K17" s="91">
        <f t="shared" si="0"/>
        <v>10000</v>
      </c>
      <c r="L17" s="91">
        <f t="shared" si="1"/>
        <v>0</v>
      </c>
      <c r="M17" s="91">
        <f t="shared" si="2"/>
        <v>1764.7058823529417</v>
      </c>
      <c r="N17" s="91">
        <f t="shared" si="3"/>
        <v>11764.705882352942</v>
      </c>
      <c r="Q17" s="92">
        <f t="shared" si="4"/>
        <v>1</v>
      </c>
      <c r="R17" s="92">
        <f t="shared" si="4"/>
        <v>1</v>
      </c>
      <c r="S17" s="93">
        <v>4200</v>
      </c>
      <c r="T17" s="93">
        <f>IF(Q17&lt;&gt;"",Q17*R17*S17,"")</f>
        <v>4200</v>
      </c>
      <c r="U17" s="94">
        <f>IF(Q17&lt;&gt;"",K17-T17,"")</f>
        <v>5800</v>
      </c>
      <c r="V17" s="95">
        <f>IF(Q17&lt;&gt;"",0%,"")</f>
        <v>0</v>
      </c>
      <c r="W17" s="96">
        <f>IF(Q17&lt;&gt;"",V17*U17,"")</f>
        <v>0</v>
      </c>
      <c r="X17" s="96">
        <f>IF(Q17&lt;&gt;"",W17+T17,"")</f>
        <v>4200</v>
      </c>
      <c r="Y17" s="97">
        <f>IF(Q17&lt;&gt;"",X17+M17,"")</f>
        <v>5964.7058823529414</v>
      </c>
      <c r="Z17" s="98">
        <f>IF(Q17&lt;&gt;"",U17/K17,"")</f>
        <v>0.57999999999999996</v>
      </c>
      <c r="AK17" s="127">
        <f t="shared" ref="AK17:AK21" si="5">X17-AL17</f>
        <v>0</v>
      </c>
      <c r="AL17" s="129">
        <v>4200</v>
      </c>
      <c r="AM17" s="132" t="s">
        <v>154</v>
      </c>
    </row>
    <row r="18" spans="1:39" s="101" customFormat="1" ht="99.9" customHeight="1" x14ac:dyDescent="0.35">
      <c r="A18" s="57">
        <v>5</v>
      </c>
      <c r="B18" s="83" t="s">
        <v>120</v>
      </c>
      <c r="C18" s="84" t="s">
        <v>116</v>
      </c>
      <c r="D18" s="57" t="s">
        <v>121</v>
      </c>
      <c r="E18" s="57" t="s">
        <v>117</v>
      </c>
      <c r="F18" s="89" t="s">
        <v>145</v>
      </c>
      <c r="G18" s="89" t="s">
        <v>150</v>
      </c>
      <c r="H18" s="99">
        <v>1</v>
      </c>
      <c r="I18" s="99">
        <v>1</v>
      </c>
      <c r="J18" s="91">
        <v>6600</v>
      </c>
      <c r="K18" s="91">
        <f t="shared" ref="K18:K21" si="6">IF(F18&lt;&gt;"",H18*I18*J18,"")</f>
        <v>6600</v>
      </c>
      <c r="L18" s="91">
        <f t="shared" si="1"/>
        <v>528</v>
      </c>
      <c r="M18" s="91">
        <f t="shared" ref="M18:M20" si="7">IF(K18&lt;&gt;"",IF(E18="FAT.OGGI",SUM(K18:L18)*(1/(1-$M$13)-1),L18*(1/(1-$M$13)-1)),"")</f>
        <v>1257.8823529411768</v>
      </c>
      <c r="N18" s="100">
        <f t="shared" ref="N18:N20" si="8">SUM(K18:M18)</f>
        <v>8385.8823529411766</v>
      </c>
      <c r="Q18" s="102">
        <f t="shared" ref="Q18:Q20" si="9">IF(H18&lt;&gt;"",H18,"")</f>
        <v>1</v>
      </c>
      <c r="R18" s="102">
        <f t="shared" ref="R18:R20" si="10">IF(I18&lt;&gt;"",I18,"")</f>
        <v>1</v>
      </c>
      <c r="S18" s="103">
        <v>0</v>
      </c>
      <c r="T18" s="103">
        <f t="shared" ref="T18" si="11">IF(Q18&lt;&gt;"",Q18*R18*S18,"")</f>
        <v>0</v>
      </c>
      <c r="U18" s="104">
        <f t="shared" ref="U18:U20" si="12">IF(Q18&lt;&gt;"",K18-T18,"")</f>
        <v>6600</v>
      </c>
      <c r="V18" s="105">
        <f t="shared" ref="V18:V20" si="13">IF(Q18&lt;&gt;"",0%,"")</f>
        <v>0</v>
      </c>
      <c r="W18" s="106">
        <f t="shared" ref="W18:W20" si="14">IF(Q18&lt;&gt;"",V18*U18,"")</f>
        <v>0</v>
      </c>
      <c r="X18" s="106">
        <f t="shared" ref="X18:X20" si="15">IF(Q18&lt;&gt;"",W18+T18,"")</f>
        <v>0</v>
      </c>
      <c r="Y18" s="107">
        <f t="shared" ref="Y18:Y20" si="16">IF(Q18&lt;&gt;"",X18+M18,"")</f>
        <v>1257.8823529411768</v>
      </c>
      <c r="Z18" s="108">
        <f t="shared" ref="Z18:Z20" si="17">IF(Q18&lt;&gt;"",U18/K18,"")</f>
        <v>1</v>
      </c>
      <c r="AK18" s="127">
        <f t="shared" si="5"/>
        <v>0</v>
      </c>
      <c r="AL18" s="130"/>
      <c r="AM18" s="133"/>
    </row>
    <row r="19" spans="1:39" s="101" customFormat="1" ht="99.9" customHeight="1" x14ac:dyDescent="0.35">
      <c r="A19" s="57">
        <v>6</v>
      </c>
      <c r="B19" s="83" t="s">
        <v>122</v>
      </c>
      <c r="C19" s="84" t="s">
        <v>116</v>
      </c>
      <c r="D19" s="57" t="s">
        <v>121</v>
      </c>
      <c r="E19" s="57" t="s">
        <v>117</v>
      </c>
      <c r="F19" s="89" t="s">
        <v>144</v>
      </c>
      <c r="G19" s="89" t="s">
        <v>151</v>
      </c>
      <c r="H19" s="99">
        <v>30</v>
      </c>
      <c r="I19" s="99">
        <v>1</v>
      </c>
      <c r="J19" s="91">
        <v>140</v>
      </c>
      <c r="K19" s="91">
        <f t="shared" si="6"/>
        <v>4200</v>
      </c>
      <c r="L19" s="91">
        <f t="shared" si="1"/>
        <v>336</v>
      </c>
      <c r="M19" s="91">
        <f t="shared" si="7"/>
        <v>800.47058823529426</v>
      </c>
      <c r="N19" s="100">
        <f t="shared" si="8"/>
        <v>5336.4705882352946</v>
      </c>
      <c r="Q19" s="102">
        <f t="shared" si="9"/>
        <v>30</v>
      </c>
      <c r="R19" s="102">
        <f t="shared" si="10"/>
        <v>1</v>
      </c>
      <c r="S19" s="103">
        <v>100</v>
      </c>
      <c r="T19" s="103">
        <v>400</v>
      </c>
      <c r="U19" s="104">
        <f t="shared" si="12"/>
        <v>3800</v>
      </c>
      <c r="V19" s="105">
        <f t="shared" si="13"/>
        <v>0</v>
      </c>
      <c r="W19" s="106">
        <f t="shared" si="14"/>
        <v>0</v>
      </c>
      <c r="X19" s="106">
        <f t="shared" si="15"/>
        <v>400</v>
      </c>
      <c r="Y19" s="107">
        <f t="shared" si="16"/>
        <v>1200.4705882352941</v>
      </c>
      <c r="Z19" s="108">
        <f t="shared" si="17"/>
        <v>0.90476190476190477</v>
      </c>
      <c r="AK19" s="127">
        <f t="shared" si="5"/>
        <v>0</v>
      </c>
      <c r="AL19" s="130">
        <v>400</v>
      </c>
      <c r="AM19" s="133" t="s">
        <v>155</v>
      </c>
    </row>
    <row r="20" spans="1:39" s="101" customFormat="1" ht="99.9" customHeight="1" x14ac:dyDescent="0.35">
      <c r="A20" s="57">
        <v>7</v>
      </c>
      <c r="B20" s="83" t="s">
        <v>123</v>
      </c>
      <c r="C20" s="84" t="s">
        <v>116</v>
      </c>
      <c r="D20" s="57" t="s">
        <v>121</v>
      </c>
      <c r="E20" s="57" t="s">
        <v>117</v>
      </c>
      <c r="F20" s="89" t="s">
        <v>143</v>
      </c>
      <c r="G20" s="89" t="s">
        <v>152</v>
      </c>
      <c r="H20" s="99">
        <v>1</v>
      </c>
      <c r="I20" s="99">
        <v>1</v>
      </c>
      <c r="J20" s="91">
        <v>2826.29</v>
      </c>
      <c r="K20" s="91">
        <f t="shared" si="6"/>
        <v>2826.29</v>
      </c>
      <c r="L20" s="91">
        <f t="shared" si="1"/>
        <v>226.10320000000002</v>
      </c>
      <c r="M20" s="91">
        <f t="shared" si="7"/>
        <v>538.65762352941192</v>
      </c>
      <c r="N20" s="100">
        <f t="shared" si="8"/>
        <v>3591.0508235294119</v>
      </c>
      <c r="Q20" s="102">
        <f t="shared" si="9"/>
        <v>1</v>
      </c>
      <c r="R20" s="102">
        <f t="shared" si="10"/>
        <v>1</v>
      </c>
      <c r="S20" s="103">
        <v>2500</v>
      </c>
      <c r="T20" s="103">
        <v>0</v>
      </c>
      <c r="U20" s="104">
        <f t="shared" si="12"/>
        <v>2826.29</v>
      </c>
      <c r="V20" s="105">
        <f t="shared" si="13"/>
        <v>0</v>
      </c>
      <c r="W20" s="106">
        <f t="shared" si="14"/>
        <v>0</v>
      </c>
      <c r="X20" s="106">
        <f t="shared" si="15"/>
        <v>0</v>
      </c>
      <c r="Y20" s="107">
        <f t="shared" si="16"/>
        <v>538.65762352941192</v>
      </c>
      <c r="Z20" s="108">
        <f t="shared" si="17"/>
        <v>1</v>
      </c>
      <c r="AK20" s="127">
        <f t="shared" si="5"/>
        <v>0</v>
      </c>
      <c r="AL20" s="130"/>
      <c r="AM20" s="133"/>
    </row>
    <row r="21" spans="1:39" s="101" customFormat="1" ht="99.9" customHeight="1" thickBot="1" x14ac:dyDescent="0.4">
      <c r="A21" s="57">
        <v>8</v>
      </c>
      <c r="B21" s="83" t="s">
        <v>125</v>
      </c>
      <c r="C21" s="84" t="s">
        <v>116</v>
      </c>
      <c r="D21" s="57" t="s">
        <v>121</v>
      </c>
      <c r="E21" s="57" t="s">
        <v>117</v>
      </c>
      <c r="F21" s="89" t="s">
        <v>124</v>
      </c>
      <c r="G21" s="89" t="s">
        <v>153</v>
      </c>
      <c r="H21" s="99">
        <v>1</v>
      </c>
      <c r="I21" s="99">
        <v>1</v>
      </c>
      <c r="J21" s="91">
        <v>3000</v>
      </c>
      <c r="K21" s="91">
        <f t="shared" si="6"/>
        <v>3000</v>
      </c>
      <c r="L21" s="91">
        <f t="shared" si="1"/>
        <v>240</v>
      </c>
      <c r="M21" s="91">
        <f t="shared" ref="M21" si="18">IF(K21&lt;&gt;"",IF(E21="FAT.OGGI",SUM(K21:L21)*(1/(1-$M$13)-1),L21*(1/(1-$M$13)-1)),"")</f>
        <v>571.76470588235304</v>
      </c>
      <c r="N21" s="100">
        <f t="shared" ref="N21" si="19">SUM(K21:M21)</f>
        <v>3811.7647058823532</v>
      </c>
      <c r="Q21" s="102">
        <f t="shared" ref="Q21" si="20">IF(H21&lt;&gt;"",H21,"")</f>
        <v>1</v>
      </c>
      <c r="R21" s="102">
        <f t="shared" ref="R21" si="21">IF(I21&lt;&gt;"",I21,"")</f>
        <v>1</v>
      </c>
      <c r="S21" s="103">
        <v>2000</v>
      </c>
      <c r="T21" s="103">
        <v>0</v>
      </c>
      <c r="U21" s="104">
        <f t="shared" ref="U21" si="22">IF(Q21&lt;&gt;"",K21-T21,"")</f>
        <v>3000</v>
      </c>
      <c r="V21" s="105">
        <f t="shared" ref="V21" si="23">IF(Q21&lt;&gt;"",0%,"")</f>
        <v>0</v>
      </c>
      <c r="W21" s="106">
        <f t="shared" ref="W21" si="24">IF(Q21&lt;&gt;"",V21*U21,"")</f>
        <v>0</v>
      </c>
      <c r="X21" s="106">
        <f t="shared" ref="X21" si="25">IF(Q21&lt;&gt;"",W21+T21,"")</f>
        <v>0</v>
      </c>
      <c r="Y21" s="107">
        <f t="shared" ref="Y21" si="26">IF(Q21&lt;&gt;"",X21+M21,"")</f>
        <v>571.76470588235304</v>
      </c>
      <c r="Z21" s="108">
        <f t="shared" ref="Z21" si="27">IF(Q21&lt;&gt;"",U21/K21,"")</f>
        <v>1</v>
      </c>
      <c r="AK21" s="127">
        <f t="shared" si="5"/>
        <v>0</v>
      </c>
      <c r="AL21" s="130"/>
      <c r="AM21" s="133"/>
    </row>
    <row r="22" spans="1:39" s="110" customFormat="1" ht="35.1" customHeight="1" thickBot="1" x14ac:dyDescent="0.35">
      <c r="A22" s="57">
        <v>9</v>
      </c>
      <c r="B22" s="83"/>
      <c r="C22" s="84" t="s">
        <v>126</v>
      </c>
      <c r="D22" s="57"/>
      <c r="E22" s="57"/>
      <c r="F22" s="162" t="s">
        <v>127</v>
      </c>
      <c r="G22" s="163"/>
      <c r="H22" s="163"/>
      <c r="I22" s="163"/>
      <c r="J22" s="163"/>
      <c r="K22" s="109">
        <f>SUM(K16:K21)</f>
        <v>32626.29</v>
      </c>
      <c r="L22" s="109">
        <f>SUM(L16:L21)</f>
        <v>1330.1032</v>
      </c>
      <c r="M22" s="109">
        <f>SUM(M16:M21)</f>
        <v>5992.3046823529421</v>
      </c>
      <c r="N22" s="109">
        <f>SUM(N16:N21)</f>
        <v>39948.697882352935</v>
      </c>
      <c r="Q22" s="164" t="s">
        <v>127</v>
      </c>
      <c r="R22" s="165"/>
      <c r="S22" s="165"/>
      <c r="T22" s="111"/>
      <c r="U22" s="112">
        <f>SUM(U16:U21)</f>
        <v>28026.29</v>
      </c>
      <c r="V22" s="113"/>
      <c r="W22" s="113"/>
      <c r="X22" s="114">
        <f>SUM(X16:X21)</f>
        <v>4600</v>
      </c>
      <c r="Y22" s="115">
        <f>IF(Q22&lt;&gt;"",X22+M22,"")</f>
        <v>10592.304682352942</v>
      </c>
      <c r="Z22" s="116" t="s">
        <v>128</v>
      </c>
      <c r="AA22" s="117" t="s">
        <v>129</v>
      </c>
      <c r="AK22" s="128"/>
      <c r="AL22" s="131"/>
      <c r="AM22" s="134"/>
    </row>
    <row r="23" spans="1:39" ht="35.1" customHeight="1" thickBot="1" x14ac:dyDescent="0.4">
      <c r="A23" s="118">
        <v>10</v>
      </c>
      <c r="B23" s="119"/>
      <c r="C23" s="120" t="s">
        <v>130</v>
      </c>
      <c r="D23" s="118"/>
      <c r="E23" s="118"/>
      <c r="F23" s="121" t="s">
        <v>131</v>
      </c>
      <c r="G23" s="122"/>
      <c r="H23" s="122"/>
      <c r="I23" s="122"/>
      <c r="J23" s="122"/>
      <c r="K23" s="123">
        <f>SUM(K16:K21)</f>
        <v>32626.29</v>
      </c>
      <c r="L23" s="123">
        <f>SUM(L16:L21)</f>
        <v>1330.1032</v>
      </c>
      <c r="M23" s="123">
        <f>SUM(M16:M21)</f>
        <v>5992.3046823529421</v>
      </c>
      <c r="N23" s="124">
        <f>SUM(N16:N21)</f>
        <v>39948.697882352935</v>
      </c>
      <c r="Q23" s="121" t="s">
        <v>40</v>
      </c>
      <c r="R23" s="122"/>
      <c r="S23" s="122"/>
      <c r="T23" s="123">
        <f>SUM(T16:T21)</f>
        <v>4600</v>
      </c>
      <c r="U23" s="123">
        <f>SUM(U16:U21)</f>
        <v>28026.29</v>
      </c>
      <c r="V23" s="122"/>
      <c r="W23" s="122"/>
      <c r="X23" s="123">
        <f>SUM(X16:X21)</f>
        <v>4600</v>
      </c>
      <c r="Y23" s="124">
        <f>SUM(Y16:Y21)</f>
        <v>10592.304682352942</v>
      </c>
      <c r="Z23" s="125">
        <f>IF(Q23&lt;&gt;"",(N23-Y23)/N23,"")</f>
        <v>0.73485231700049924</v>
      </c>
      <c r="AA23" s="126">
        <f>IF(Z23&lt;&gt;"",(N23-Y23),"")</f>
        <v>29356.393199999991</v>
      </c>
      <c r="AK23" s="127">
        <f>SUM(AK16:AK22)</f>
        <v>0</v>
      </c>
      <c r="AL23" s="129">
        <f>SUM(AL16:AL22)</f>
        <v>4600</v>
      </c>
    </row>
    <row r="26" spans="1:39" x14ac:dyDescent="0.35">
      <c r="K26" s="221"/>
      <c r="AK26" s="157">
        <f>N23*0.15</f>
        <v>5992.3046823529403</v>
      </c>
      <c r="AL26" s="156" t="s">
        <v>162</v>
      </c>
    </row>
    <row r="27" spans="1:39" x14ac:dyDescent="0.35">
      <c r="AK27" s="157">
        <f>AK26+X23</f>
        <v>10592.30468235294</v>
      </c>
      <c r="AL27" s="156" t="s">
        <v>163</v>
      </c>
    </row>
    <row r="28" spans="1:39" x14ac:dyDescent="0.35">
      <c r="AK28" s="157">
        <f>N23-AK27</f>
        <v>29356.393199999995</v>
      </c>
      <c r="AL28" s="156" t="s">
        <v>160</v>
      </c>
    </row>
    <row r="29" spans="1:39" x14ac:dyDescent="0.35">
      <c r="AK29" s="158">
        <f>AK28*100%/N23</f>
        <v>0.73485231700049936</v>
      </c>
      <c r="AL29" s="159"/>
    </row>
  </sheetData>
  <autoFilter ref="A1:AL22" xr:uid="{107B9E09-8154-459A-AE62-6A4242823A27}">
    <filterColumn colId="5" showButton="0"/>
  </autoFilter>
  <mergeCells count="10">
    <mergeCell ref="AK14:AL14"/>
    <mergeCell ref="AK15:AL15"/>
    <mergeCell ref="F22:J22"/>
    <mergeCell ref="Q22:S22"/>
    <mergeCell ref="F1:G1"/>
    <mergeCell ref="F2:G2"/>
    <mergeCell ref="F14:N14"/>
    <mergeCell ref="Q14:Y14"/>
    <mergeCell ref="F15:K15"/>
    <mergeCell ref="Q15:Y15"/>
  </mergeCells>
  <dataValidations count="3">
    <dataValidation type="list" allowBlank="1" showInputMessage="1" showErrorMessage="1" sqref="D23 D16:D21" xr:uid="{9A3B2BD3-7CB8-4423-8448-440E15B3B6C2}">
      <formula1>"INTERNO,OPERACIONAL"</formula1>
    </dataValidation>
    <dataValidation type="list" allowBlank="1" showInputMessage="1" showErrorMessage="1" sqref="E23" xr:uid="{7148DF85-4B42-480C-9E37-4B9B4B2633B6}">
      <formula1>"FAT.OGGI,FAT.CLIENTE "</formula1>
    </dataValidation>
    <dataValidation type="list" allowBlank="1" showInputMessage="1" showErrorMessage="1" sqref="E16:E21" xr:uid="{380D6E55-B953-41B2-8EB7-2F96F9F129F8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174" t="s">
        <v>8</v>
      </c>
      <c r="B1" s="174"/>
      <c r="C1" s="174"/>
      <c r="D1" s="176" t="s">
        <v>47</v>
      </c>
      <c r="E1" s="176"/>
      <c r="F1" s="176"/>
      <c r="G1" s="176"/>
      <c r="H1" s="176"/>
      <c r="I1" s="176"/>
      <c r="J1" s="24" t="s">
        <v>8</v>
      </c>
      <c r="K1" s="24" t="s">
        <v>8</v>
      </c>
      <c r="L1" s="24" t="s">
        <v>8</v>
      </c>
      <c r="M1" s="24" t="s">
        <v>8</v>
      </c>
      <c r="N1" s="24" t="s">
        <v>8</v>
      </c>
      <c r="O1" s="25" t="s">
        <v>8</v>
      </c>
    </row>
    <row r="2" spans="1:15" x14ac:dyDescent="0.3">
      <c r="A2" s="175"/>
      <c r="B2" s="175"/>
      <c r="C2" s="175"/>
      <c r="D2" s="174" t="s">
        <v>48</v>
      </c>
      <c r="E2" s="174"/>
      <c r="F2" s="174"/>
      <c r="G2" s="174"/>
      <c r="H2" s="174"/>
      <c r="I2" s="174"/>
      <c r="J2" s="24"/>
      <c r="K2" s="24"/>
      <c r="L2" s="24"/>
      <c r="M2" s="24"/>
      <c r="N2" s="24"/>
      <c r="O2" s="177" t="s">
        <v>49</v>
      </c>
    </row>
    <row r="3" spans="1:15" x14ac:dyDescent="0.3">
      <c r="A3" s="175"/>
      <c r="B3" s="175"/>
      <c r="C3" s="175"/>
      <c r="D3" s="174" t="s">
        <v>50</v>
      </c>
      <c r="E3" s="174"/>
      <c r="F3" s="174"/>
      <c r="G3" s="174"/>
      <c r="H3" s="174"/>
      <c r="I3" s="174"/>
      <c r="J3" s="24"/>
      <c r="K3" s="24"/>
      <c r="L3" s="24"/>
      <c r="M3" s="24"/>
      <c r="N3" s="24"/>
      <c r="O3" s="178"/>
    </row>
    <row r="4" spans="1:15" x14ac:dyDescent="0.3">
      <c r="A4" s="175"/>
      <c r="B4" s="175"/>
      <c r="C4" s="175"/>
      <c r="D4" s="174" t="s">
        <v>51</v>
      </c>
      <c r="E4" s="174"/>
      <c r="F4" s="174"/>
      <c r="G4" s="174"/>
      <c r="H4" s="174"/>
      <c r="I4" s="174"/>
      <c r="J4" s="24"/>
      <c r="K4" s="24"/>
      <c r="L4" s="24"/>
      <c r="M4" s="24"/>
      <c r="N4" s="24"/>
      <c r="O4" s="178"/>
    </row>
    <row r="5" spans="1:15" x14ac:dyDescent="0.3">
      <c r="A5" s="175"/>
      <c r="B5" s="175"/>
      <c r="C5" s="175"/>
      <c r="D5" s="174" t="s">
        <v>52</v>
      </c>
      <c r="E5" s="174"/>
      <c r="F5" s="174"/>
      <c r="G5" s="174"/>
      <c r="H5" s="174"/>
      <c r="I5" s="174"/>
      <c r="J5" s="24"/>
      <c r="K5" s="24"/>
      <c r="L5" s="24"/>
      <c r="M5" s="24"/>
      <c r="N5" s="24"/>
      <c r="O5" s="178"/>
    </row>
    <row r="6" spans="1:15" x14ac:dyDescent="0.3">
      <c r="A6" s="175"/>
      <c r="B6" s="175"/>
      <c r="C6" s="175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178"/>
    </row>
    <row r="7" spans="1:15" x14ac:dyDescent="0.3">
      <c r="A7" s="175"/>
      <c r="B7" s="175"/>
      <c r="C7" s="175"/>
      <c r="D7" s="174" t="s">
        <v>53</v>
      </c>
      <c r="E7" s="174"/>
      <c r="F7" s="174"/>
      <c r="G7" s="174"/>
      <c r="H7" s="174"/>
      <c r="I7" s="174"/>
      <c r="J7" s="24"/>
      <c r="K7" s="24"/>
      <c r="L7" s="24"/>
      <c r="M7" s="24"/>
      <c r="N7" s="24"/>
      <c r="O7" s="26">
        <v>45264.482613275461</v>
      </c>
    </row>
    <row r="8" spans="1:15" x14ac:dyDescent="0.3">
      <c r="A8" s="173" t="s">
        <v>54</v>
      </c>
      <c r="B8" s="173"/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</row>
    <row r="9" spans="1:15" ht="27.6" x14ac:dyDescent="0.3">
      <c r="A9" s="27" t="s">
        <v>55</v>
      </c>
      <c r="B9" s="27" t="s">
        <v>56</v>
      </c>
      <c r="C9" s="27" t="s">
        <v>57</v>
      </c>
      <c r="D9" s="27" t="s">
        <v>45</v>
      </c>
      <c r="E9" s="27" t="s">
        <v>58</v>
      </c>
      <c r="F9" s="27" t="s">
        <v>59</v>
      </c>
      <c r="G9" s="27" t="s">
        <v>31</v>
      </c>
      <c r="H9" s="27" t="s">
        <v>60</v>
      </c>
      <c r="I9" s="27" t="s">
        <v>61</v>
      </c>
      <c r="J9" s="27" t="s">
        <v>59</v>
      </c>
      <c r="K9" s="27" t="s">
        <v>62</v>
      </c>
      <c r="L9" s="27" t="s">
        <v>63</v>
      </c>
      <c r="M9" s="27" t="s">
        <v>64</v>
      </c>
      <c r="N9" s="27" t="s">
        <v>65</v>
      </c>
      <c r="O9" s="28" t="s">
        <v>66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182" t="s">
        <v>1</v>
      </c>
      <c r="C2" s="183"/>
      <c r="D2" s="183"/>
      <c r="E2" s="183"/>
      <c r="F2" s="183"/>
      <c r="G2" s="183"/>
      <c r="H2" s="183"/>
      <c r="I2" s="183"/>
      <c r="J2" s="183"/>
      <c r="K2" s="183"/>
      <c r="L2" s="184"/>
    </row>
    <row r="3" spans="2:12" ht="47.4" customHeight="1" thickBot="1" x14ac:dyDescent="0.35">
      <c r="B3" s="185" t="s">
        <v>9</v>
      </c>
      <c r="C3" s="186"/>
      <c r="D3" s="186"/>
      <c r="E3" s="186"/>
      <c r="F3" s="186"/>
      <c r="G3" s="186"/>
      <c r="H3" s="186"/>
      <c r="I3" s="186"/>
      <c r="J3" s="186"/>
      <c r="K3" s="186"/>
      <c r="L3" s="187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188" t="s">
        <v>10</v>
      </c>
      <c r="D6" s="188"/>
      <c r="E6" s="188"/>
      <c r="F6" s="188"/>
      <c r="G6" s="188"/>
      <c r="H6" s="188"/>
      <c r="I6" s="188"/>
      <c r="J6" s="188"/>
      <c r="K6" s="188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11</v>
      </c>
      <c r="D8" s="189" t="s">
        <v>92</v>
      </c>
      <c r="E8" s="190"/>
      <c r="F8" s="190"/>
      <c r="G8" s="190"/>
      <c r="H8" s="190"/>
      <c r="I8" s="190"/>
      <c r="J8" s="190"/>
      <c r="K8" s="191"/>
      <c r="L8" s="5"/>
    </row>
    <row r="9" spans="2:12" x14ac:dyDescent="0.3">
      <c r="B9" s="4"/>
      <c r="C9" s="7" t="s">
        <v>12</v>
      </c>
      <c r="D9" s="179" t="s">
        <v>13</v>
      </c>
      <c r="E9" s="180"/>
      <c r="F9" s="180"/>
      <c r="G9" s="180"/>
      <c r="H9" s="180"/>
      <c r="I9" s="180"/>
      <c r="J9" s="180"/>
      <c r="K9" s="181"/>
      <c r="L9" s="5"/>
    </row>
    <row r="10" spans="2:12" x14ac:dyDescent="0.3">
      <c r="B10" s="4"/>
      <c r="C10" s="7" t="s">
        <v>14</v>
      </c>
      <c r="D10" s="179" t="s">
        <v>8</v>
      </c>
      <c r="E10" s="180"/>
      <c r="F10" s="180"/>
      <c r="G10" s="180"/>
      <c r="H10" s="180"/>
      <c r="I10" s="180"/>
      <c r="J10" s="180"/>
      <c r="K10" s="181"/>
      <c r="L10" s="5"/>
    </row>
    <row r="11" spans="2:12" x14ac:dyDescent="0.3">
      <c r="B11" s="4"/>
      <c r="C11" s="7" t="s">
        <v>15</v>
      </c>
      <c r="D11" s="179" t="s">
        <v>93</v>
      </c>
      <c r="E11" s="180"/>
      <c r="F11" s="180"/>
      <c r="G11" s="180"/>
      <c r="H11" s="180"/>
      <c r="I11" s="180"/>
      <c r="J11" s="180"/>
      <c r="K11" s="181"/>
      <c r="L11" s="5"/>
    </row>
    <row r="12" spans="2:12" x14ac:dyDescent="0.3">
      <c r="B12" s="4"/>
      <c r="C12" s="10" t="s">
        <v>16</v>
      </c>
      <c r="D12" s="192" t="s">
        <v>94</v>
      </c>
      <c r="E12" s="193"/>
      <c r="F12" s="193"/>
      <c r="G12" s="193"/>
      <c r="H12" s="194"/>
      <c r="I12" s="11" t="s">
        <v>17</v>
      </c>
      <c r="J12" s="192" t="s">
        <v>91</v>
      </c>
      <c r="K12" s="194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188" t="s">
        <v>18</v>
      </c>
      <c r="D16" s="188"/>
      <c r="E16" s="188"/>
      <c r="F16" s="188"/>
      <c r="G16" s="188"/>
      <c r="H16" s="188"/>
      <c r="I16" s="188"/>
      <c r="J16" s="188"/>
      <c r="K16" s="188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195" t="s">
        <v>67</v>
      </c>
      <c r="E18" s="195"/>
      <c r="F18" s="195"/>
      <c r="G18" s="196"/>
      <c r="H18" s="195" t="s">
        <v>19</v>
      </c>
      <c r="I18" s="195"/>
      <c r="J18" s="195"/>
      <c r="K18" s="196"/>
      <c r="L18" s="5"/>
    </row>
    <row r="19" spans="2:12" x14ac:dyDescent="0.3">
      <c r="B19" s="4"/>
      <c r="C19" s="15" t="s">
        <v>20</v>
      </c>
      <c r="D19" s="197" t="s">
        <v>96</v>
      </c>
      <c r="E19" s="198"/>
      <c r="F19" s="198"/>
      <c r="G19" s="198"/>
      <c r="H19" s="198"/>
      <c r="I19" s="198"/>
      <c r="J19" s="198"/>
      <c r="K19" s="199"/>
      <c r="L19" s="5"/>
    </row>
    <row r="20" spans="2:12" x14ac:dyDescent="0.3">
      <c r="B20" s="4"/>
      <c r="C20" s="7" t="s">
        <v>21</v>
      </c>
      <c r="D20" s="179"/>
      <c r="E20" s="180"/>
      <c r="F20" s="180"/>
      <c r="G20" s="180"/>
      <c r="H20" s="180"/>
      <c r="I20" s="180"/>
      <c r="J20" s="180"/>
      <c r="K20" s="181"/>
      <c r="L20" s="5"/>
    </row>
    <row r="21" spans="2:12" x14ac:dyDescent="0.3">
      <c r="B21" s="4"/>
      <c r="C21" s="7" t="s">
        <v>22</v>
      </c>
      <c r="D21" s="179" t="s">
        <v>100</v>
      </c>
      <c r="E21" s="181"/>
      <c r="F21" s="7" t="s">
        <v>46</v>
      </c>
      <c r="G21" s="16" t="s">
        <v>101</v>
      </c>
      <c r="H21" s="7" t="s">
        <v>23</v>
      </c>
      <c r="I21" s="8" t="s">
        <v>102</v>
      </c>
      <c r="J21" s="7" t="s">
        <v>24</v>
      </c>
      <c r="K21" s="9" t="s">
        <v>8</v>
      </c>
      <c r="L21" s="5"/>
    </row>
    <row r="22" spans="2:12" x14ac:dyDescent="0.3">
      <c r="B22" s="4"/>
      <c r="C22" s="7" t="s">
        <v>25</v>
      </c>
      <c r="D22" s="179" t="s">
        <v>95</v>
      </c>
      <c r="E22" s="180"/>
      <c r="F22" s="180"/>
      <c r="G22" s="181"/>
      <c r="H22" s="7" t="s">
        <v>26</v>
      </c>
      <c r="I22" s="179"/>
      <c r="J22" s="180"/>
      <c r="K22" s="181"/>
      <c r="L22" s="5"/>
    </row>
    <row r="23" spans="2:12" x14ac:dyDescent="0.3">
      <c r="B23" s="4"/>
      <c r="C23" s="10" t="s">
        <v>27</v>
      </c>
      <c r="D23" s="192" t="s">
        <v>97</v>
      </c>
      <c r="E23" s="193"/>
      <c r="F23" s="193"/>
      <c r="G23" s="194"/>
      <c r="H23" s="10" t="s">
        <v>28</v>
      </c>
      <c r="I23" s="192" t="s">
        <v>8</v>
      </c>
      <c r="J23" s="193"/>
      <c r="K23" s="194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188" t="s">
        <v>18</v>
      </c>
      <c r="D27" s="188"/>
      <c r="E27" s="188"/>
      <c r="F27" s="188"/>
      <c r="G27" s="188"/>
      <c r="H27" s="188"/>
      <c r="I27" s="188"/>
      <c r="J27" s="188"/>
      <c r="K27" s="188"/>
      <c r="L27" s="5"/>
    </row>
    <row r="28" spans="2:12" x14ac:dyDescent="0.3">
      <c r="B28" s="4"/>
      <c r="L28" s="5"/>
    </row>
    <row r="29" spans="2:12" x14ac:dyDescent="0.3">
      <c r="B29" s="4"/>
      <c r="C29" s="6" t="s">
        <v>29</v>
      </c>
      <c r="D29" s="200" t="s">
        <v>30</v>
      </c>
      <c r="E29" s="196"/>
      <c r="F29" s="200" t="s">
        <v>31</v>
      </c>
      <c r="G29" s="196"/>
      <c r="H29" s="201" t="s">
        <v>32</v>
      </c>
      <c r="I29" s="201"/>
      <c r="J29" s="201"/>
      <c r="K29" s="202"/>
      <c r="L29" s="5"/>
    </row>
    <row r="30" spans="2:12" x14ac:dyDescent="0.3">
      <c r="B30" s="4"/>
      <c r="C30" s="17" t="s">
        <v>33</v>
      </c>
      <c r="D30" s="203" t="s">
        <v>98</v>
      </c>
      <c r="E30" s="204"/>
      <c r="F30" s="205" t="s">
        <v>103</v>
      </c>
      <c r="G30" s="206"/>
      <c r="H30" s="18" t="s">
        <v>99</v>
      </c>
      <c r="I30" s="200" t="s">
        <v>37</v>
      </c>
      <c r="J30" s="196"/>
      <c r="K30" s="6" t="s">
        <v>35</v>
      </c>
      <c r="L30" s="5"/>
    </row>
    <row r="31" spans="2:12" x14ac:dyDescent="0.3">
      <c r="B31" s="4"/>
      <c r="C31" s="17" t="s">
        <v>36</v>
      </c>
      <c r="D31" s="203" t="s">
        <v>8</v>
      </c>
      <c r="E31" s="204"/>
      <c r="F31" s="205" t="s">
        <v>8</v>
      </c>
      <c r="G31" s="206"/>
      <c r="H31" s="17" t="s">
        <v>34</v>
      </c>
      <c r="I31" s="209" t="s">
        <v>37</v>
      </c>
      <c r="J31" s="210"/>
      <c r="K31" s="7" t="s">
        <v>35</v>
      </c>
      <c r="L31" s="5"/>
    </row>
    <row r="32" spans="2:12" x14ac:dyDescent="0.3">
      <c r="B32" s="4"/>
      <c r="C32" s="17" t="s">
        <v>38</v>
      </c>
      <c r="D32" s="203" t="s">
        <v>8</v>
      </c>
      <c r="E32" s="204"/>
      <c r="F32" s="205" t="s">
        <v>8</v>
      </c>
      <c r="G32" s="206"/>
      <c r="H32" s="17" t="s">
        <v>34</v>
      </c>
      <c r="I32" s="209" t="s">
        <v>37</v>
      </c>
      <c r="J32" s="210"/>
      <c r="K32" s="7" t="s">
        <v>35</v>
      </c>
      <c r="L32" s="5"/>
    </row>
    <row r="33" spans="2:12" x14ac:dyDescent="0.3">
      <c r="B33" s="4"/>
      <c r="C33" s="19" t="s">
        <v>39</v>
      </c>
      <c r="D33" s="203" t="s">
        <v>8</v>
      </c>
      <c r="E33" s="204"/>
      <c r="F33" s="207" t="s">
        <v>8</v>
      </c>
      <c r="G33" s="208"/>
      <c r="H33" s="17" t="s">
        <v>34</v>
      </c>
      <c r="I33" s="209" t="s">
        <v>37</v>
      </c>
      <c r="J33" s="210"/>
      <c r="K33" s="7" t="s">
        <v>35</v>
      </c>
      <c r="L33" s="5"/>
    </row>
    <row r="34" spans="2:12" x14ac:dyDescent="0.3">
      <c r="B34" s="4"/>
      <c r="C34" s="211" t="s">
        <v>40</v>
      </c>
      <c r="D34" s="212"/>
      <c r="E34" s="213"/>
      <c r="F34" s="214" t="s">
        <v>103</v>
      </c>
      <c r="G34" s="215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188" t="s">
        <v>41</v>
      </c>
      <c r="D38" s="188"/>
      <c r="E38" s="188"/>
      <c r="F38" s="188"/>
      <c r="G38" s="188"/>
      <c r="H38" s="188"/>
      <c r="I38" s="188"/>
      <c r="J38" s="188"/>
      <c r="K38" s="188"/>
      <c r="L38" s="5"/>
    </row>
    <row r="39" spans="2:12" x14ac:dyDescent="0.3">
      <c r="B39" s="4"/>
      <c r="C39" s="219" t="s">
        <v>104</v>
      </c>
      <c r="D39" s="219"/>
      <c r="E39" s="219"/>
      <c r="F39" s="219"/>
      <c r="G39" s="219"/>
      <c r="H39" s="219"/>
      <c r="I39" s="219"/>
      <c r="J39" s="219"/>
      <c r="K39" s="219"/>
      <c r="L39" s="5"/>
    </row>
    <row r="40" spans="2:12" x14ac:dyDescent="0.3">
      <c r="B40" s="4"/>
      <c r="C40" s="219"/>
      <c r="D40" s="219"/>
      <c r="E40" s="219"/>
      <c r="F40" s="219"/>
      <c r="G40" s="219"/>
      <c r="H40" s="219"/>
      <c r="I40" s="219"/>
      <c r="J40" s="219"/>
      <c r="K40" s="219"/>
      <c r="L40" s="5"/>
    </row>
    <row r="41" spans="2:12" x14ac:dyDescent="0.3">
      <c r="B41" s="4"/>
      <c r="C41" s="219"/>
      <c r="D41" s="219"/>
      <c r="E41" s="219"/>
      <c r="F41" s="219"/>
      <c r="G41" s="219"/>
      <c r="H41" s="219"/>
      <c r="I41" s="219"/>
      <c r="J41" s="219"/>
      <c r="K41" s="219"/>
      <c r="L41" s="5"/>
    </row>
    <row r="42" spans="2:12" x14ac:dyDescent="0.3">
      <c r="B42" s="4"/>
      <c r="C42" s="219"/>
      <c r="D42" s="219"/>
      <c r="E42" s="219"/>
      <c r="F42" s="219"/>
      <c r="G42" s="219"/>
      <c r="H42" s="219"/>
      <c r="I42" s="219"/>
      <c r="J42" s="219"/>
      <c r="K42" s="219"/>
      <c r="L42" s="5"/>
    </row>
    <row r="43" spans="2:12" x14ac:dyDescent="0.3">
      <c r="B43" s="4"/>
      <c r="C43" s="219"/>
      <c r="D43" s="219"/>
      <c r="E43" s="219"/>
      <c r="F43" s="219"/>
      <c r="G43" s="219"/>
      <c r="H43" s="219"/>
      <c r="I43" s="219"/>
      <c r="J43" s="219"/>
      <c r="K43" s="219"/>
      <c r="L43" s="5"/>
    </row>
    <row r="44" spans="2:12" x14ac:dyDescent="0.3">
      <c r="B44" s="4"/>
      <c r="C44" s="219"/>
      <c r="D44" s="219"/>
      <c r="E44" s="219"/>
      <c r="F44" s="219"/>
      <c r="G44" s="219"/>
      <c r="H44" s="219"/>
      <c r="I44" s="219"/>
      <c r="J44" s="219"/>
      <c r="K44" s="219"/>
      <c r="L44" s="5"/>
    </row>
    <row r="45" spans="2:12" x14ac:dyDescent="0.3">
      <c r="B45" s="4"/>
      <c r="C45" s="220"/>
      <c r="D45" s="220"/>
      <c r="E45" s="220"/>
      <c r="F45" s="220"/>
      <c r="G45" s="220"/>
      <c r="H45" s="220"/>
      <c r="I45" s="220"/>
      <c r="J45" s="220"/>
      <c r="K45" s="220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16" t="s">
        <v>42</v>
      </c>
      <c r="C48" s="217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18" t="s">
        <v>43</v>
      </c>
      <c r="D51" s="218"/>
      <c r="E51" s="218"/>
      <c r="F51" s="218"/>
      <c r="H51" s="218" t="s">
        <v>44</v>
      </c>
      <c r="I51" s="218"/>
      <c r="J51" s="218"/>
      <c r="K51" s="218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01A1EE6-2E34-49CC-91EB-E4A0F3F73F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15</vt:i4>
      </vt:variant>
    </vt:vector>
  </HeadingPairs>
  <TitlesOfParts>
    <vt:vector size="19" baseType="lpstr">
      <vt:lpstr>RESUMO</vt:lpstr>
      <vt:lpstr>Principal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2026-07-17T20:11:38Z</cp:lastPrinted>
  <dcterms:created xsi:type="dcterms:W3CDTF">2023-09-21T21:02:20Z</dcterms:created>
  <dcterms:modified xsi:type="dcterms:W3CDTF">2026-07-29T13:43:21Z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