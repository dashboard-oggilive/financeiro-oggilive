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EstaPastaDeTrabalho" hidePivotFieldList="1"/>
  <mc:AlternateContent xmlns:mc="http://schemas.openxmlformats.org/markup-compatibility/2006">
    <mc:Choice Requires="x15">
      <x15ac:absPath xmlns:x15ac="http://schemas.microsoft.com/office/spreadsheetml/2010/11/ac" url="D:\OGGI LIVE\Fechamentos\2026\JOBS\OGGI\01 janeiro\"/>
    </mc:Choice>
  </mc:AlternateContent>
  <xr:revisionPtr revIDLastSave="0" documentId="13_ncr:1_{E8D6C59A-811B-4720-80FD-750453F54A2E}" xr6:coauthVersionLast="47" xr6:coauthVersionMax="47" xr10:uidLastSave="{00000000-0000-0000-0000-000000000000}"/>
  <bookViews>
    <workbookView xWindow="28692" yWindow="-108" windowWidth="29016" windowHeight="15696" tabRatio="822" xr2:uid="{83D4A4F0-59AC-45D6-BDA2-9A1B100CD857}"/>
  </bookViews>
  <sheets>
    <sheet name="Resumo FINAL" sheetId="94" r:id="rId1"/>
    <sheet name="PRINCIPAL" sheetId="93" r:id="rId2"/>
    <sheet name="CUSTOS OPERACIONAIS" sheetId="95" r:id="rId3"/>
    <sheet name="Projeto&gt; montadora&gt; Op  Led" sheetId="92" state="hidden" r:id="rId4"/>
    <sheet name="Resumo" sheetId="91" r:id="rId5"/>
    <sheet name="Taxas" sheetId="90" state="hidden" r:id="rId6"/>
    <sheet name="Solicitações de Pagamento" sheetId="4" r:id="rId7"/>
    <sheet name="ItensOrc" sheetId="76" state="hidden" r:id="rId8"/>
    <sheet name="Template SP" sheetId="3" state="hidden" r:id="rId9"/>
  </sheets>
  <definedNames>
    <definedName name="_xlnm._FilterDatabase" localSheetId="1" hidden="1">PRINCIPAL!#REF!</definedName>
    <definedName name="_xlnm._FilterDatabase" localSheetId="3" hidden="1">'Projeto&gt; montadora&gt; Op  Led'!#REF!</definedName>
    <definedName name="_xlnm._FilterDatabase" localSheetId="5" hidden="1">Taxas!#REF!</definedName>
    <definedName name="_xleta.SUM" hidden="1" xlm="1">#NAME?</definedName>
    <definedName name="itensorc_desconto" localSheetId="7">ItensOrc!$M:$M</definedName>
    <definedName name="itensorc_desconto">#REF!</definedName>
    <definedName name="itensorc_descricao" localSheetId="7">ItensOrc!$D:$D</definedName>
    <definedName name="itensorc_descricao">#REF!</definedName>
    <definedName name="itensorc_encargos" localSheetId="7">ItensOrc!$N:$N</definedName>
    <definedName name="itensorc_encargos">#REF!</definedName>
    <definedName name="itensorc_especifica" localSheetId="7">ItensOrc!$O:$O</definedName>
    <definedName name="itensorc_especifica">#REF!</definedName>
    <definedName name="itensorc_item" localSheetId="7">ItensOrc!$C:$C</definedName>
    <definedName name="itensorc_item">#REF!</definedName>
    <definedName name="itensorc_lancamento" localSheetId="7">ItensOrc!$B:$B</definedName>
    <definedName name="itensorc_lancamento">#REF!</definedName>
    <definedName name="itensorc_percentualhonorarios" localSheetId="7">ItensOrc!$L:$L</definedName>
    <definedName name="itensorc_percentualhonorarios">#REF!</definedName>
    <definedName name="itensorc_quantidade" localSheetId="7">ItensOrc!$E:$E</definedName>
    <definedName name="itensorc_quantidade">#REF!</definedName>
    <definedName name="itensorc_situacao" localSheetId="7">ItensOrc!$H:$H</definedName>
    <definedName name="itensorc_situacao">#REF!</definedName>
    <definedName name="itensorc_subtipo" localSheetId="7">ItensOrc!$K:$K</definedName>
    <definedName name="itensorc_subtipo">#REF!</definedName>
    <definedName name="itensorc_tiporeceita" localSheetId="7">ItensOrc!$A:$A</definedName>
    <definedName name="itensorc_tiporeceita">#REF!</definedName>
    <definedName name="itensorc_valor" localSheetId="7">ItensOrc!$G:$G</definedName>
    <definedName name="itensorc_valor">#REF!</definedName>
    <definedName name="itensorc_valorfornecedor" localSheetId="7">ItensOrc!$I:$I</definedName>
    <definedName name="itensorc_valorfornecedor">#REF!</definedName>
    <definedName name="itensorc_valorfornecedorunitario" localSheetId="7">ItensOrc!$J:$J</definedName>
    <definedName name="itensorc_valorfornecedorunitario">#REF!</definedName>
    <definedName name="itensorc_valorunitario" localSheetId="7">ItensOrc!$F:$F</definedName>
    <definedName name="itensorc_valorunitari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7" i="94" l="1"/>
  <c r="D23" i="94"/>
  <c r="D24" i="94"/>
  <c r="AB63" i="93"/>
  <c r="AB62" i="93"/>
  <c r="AB61" i="93"/>
  <c r="E17" i="94"/>
  <c r="E25" i="94"/>
  <c r="F25" i="94" s="1"/>
  <c r="D17" i="94"/>
  <c r="C27" i="94"/>
  <c r="C17" i="94"/>
  <c r="X56" i="93"/>
  <c r="AB54" i="93"/>
  <c r="X54" i="93"/>
  <c r="K54" i="93"/>
  <c r="X53" i="93"/>
  <c r="AB53" i="93" s="1"/>
  <c r="K53" i="93"/>
  <c r="X52" i="93"/>
  <c r="AB52" i="93" s="1"/>
  <c r="K52" i="93"/>
  <c r="L52" i="93" s="1"/>
  <c r="K51" i="93"/>
  <c r="AB51" i="93"/>
  <c r="L54" i="93" l="1"/>
  <c r="L53" i="93"/>
  <c r="L51" i="93"/>
  <c r="M16" i="91" l="1"/>
  <c r="B27" i="91"/>
  <c r="AC49" i="93"/>
  <c r="AC50" i="93"/>
  <c r="B12" i="95"/>
  <c r="E24" i="94" l="1"/>
  <c r="F24" i="94" s="1"/>
  <c r="E23" i="94"/>
  <c r="E27" i="94" l="1"/>
  <c r="F27" i="94" s="1"/>
  <c r="F23" i="94"/>
  <c r="AC23" i="92"/>
  <c r="AB23" i="92" s="1"/>
  <c r="AB18" i="92"/>
  <c r="AB19" i="92"/>
  <c r="AB20" i="92"/>
  <c r="AB21" i="92"/>
  <c r="AB22" i="92"/>
  <c r="AB17" i="92"/>
  <c r="AB23" i="93"/>
  <c r="AB24" i="93"/>
  <c r="AB29" i="93"/>
  <c r="AB30" i="93"/>
  <c r="AB38" i="93"/>
  <c r="AB39" i="93"/>
  <c r="AC56" i="93" l="1"/>
  <c r="R50" i="93"/>
  <c r="Q50" i="93"/>
  <c r="V50" i="93" s="1"/>
  <c r="K50" i="93"/>
  <c r="L50" i="93" s="1"/>
  <c r="R49" i="93"/>
  <c r="Q49" i="93"/>
  <c r="V49" i="93" s="1"/>
  <c r="K49" i="93"/>
  <c r="Q48" i="93"/>
  <c r="T48" i="93" s="1"/>
  <c r="K48" i="93"/>
  <c r="L48" i="93" s="1"/>
  <c r="R47" i="93"/>
  <c r="Q47" i="93"/>
  <c r="K47" i="93"/>
  <c r="R46" i="93"/>
  <c r="Q46" i="93"/>
  <c r="V46" i="93" s="1"/>
  <c r="K46" i="93"/>
  <c r="L46" i="93" s="1"/>
  <c r="Q45" i="93"/>
  <c r="T45" i="93" s="1"/>
  <c r="K45" i="93"/>
  <c r="U45" i="93" s="1"/>
  <c r="Z45" i="93" s="1"/>
  <c r="R44" i="93"/>
  <c r="Q44" i="93"/>
  <c r="K44" i="93"/>
  <c r="R43" i="93"/>
  <c r="Q43" i="93"/>
  <c r="K43" i="93"/>
  <c r="R42" i="93"/>
  <c r="Q42" i="93"/>
  <c r="V42" i="93" s="1"/>
  <c r="K42" i="93"/>
  <c r="Q41" i="93"/>
  <c r="V41" i="93" s="1"/>
  <c r="K41" i="93"/>
  <c r="R40" i="93"/>
  <c r="Q40" i="93"/>
  <c r="K40" i="93"/>
  <c r="Q39" i="93"/>
  <c r="Q38" i="93"/>
  <c r="R36" i="93"/>
  <c r="Q36" i="93"/>
  <c r="K36" i="93"/>
  <c r="R35" i="93"/>
  <c r="Q35" i="93"/>
  <c r="K35" i="93"/>
  <c r="L35" i="93" s="1"/>
  <c r="R34" i="93"/>
  <c r="Q34" i="93"/>
  <c r="V34" i="93" s="1"/>
  <c r="K34" i="93"/>
  <c r="Q33" i="93"/>
  <c r="V33" i="93" s="1"/>
  <c r="K33" i="93"/>
  <c r="L33" i="93" s="1"/>
  <c r="R32" i="93"/>
  <c r="Q32" i="93"/>
  <c r="V32" i="93" s="1"/>
  <c r="K32" i="93"/>
  <c r="R31" i="93"/>
  <c r="Q31" i="93"/>
  <c r="K31" i="93"/>
  <c r="Q30" i="93"/>
  <c r="Q29" i="93"/>
  <c r="R27" i="93"/>
  <c r="Q27" i="93"/>
  <c r="K27" i="93"/>
  <c r="R26" i="93"/>
  <c r="Q26" i="93"/>
  <c r="K26" i="93"/>
  <c r="R25" i="93"/>
  <c r="Q25" i="93"/>
  <c r="V25" i="93" s="1"/>
  <c r="K25" i="93"/>
  <c r="Q24" i="93"/>
  <c r="Q23" i="93"/>
  <c r="Q21" i="93"/>
  <c r="V21" i="93" s="1"/>
  <c r="K21" i="93"/>
  <c r="L21" i="93" s="1"/>
  <c r="Q20" i="93"/>
  <c r="V20" i="93" s="1"/>
  <c r="K20" i="93"/>
  <c r="R19" i="93"/>
  <c r="Q19" i="93"/>
  <c r="K19" i="93"/>
  <c r="Q18" i="93"/>
  <c r="V18" i="93" s="1"/>
  <c r="K18" i="93"/>
  <c r="L18" i="93" s="1"/>
  <c r="R17" i="93"/>
  <c r="Q17" i="93"/>
  <c r="V17" i="93" s="1"/>
  <c r="K17" i="93"/>
  <c r="Q16" i="93"/>
  <c r="Q15" i="93"/>
  <c r="M14" i="93"/>
  <c r="Z12" i="93"/>
  <c r="M10" i="93"/>
  <c r="J14" i="91"/>
  <c r="M53" i="93" l="1"/>
  <c r="N53" i="93" s="1"/>
  <c r="M54" i="93"/>
  <c r="N54" i="93" s="1"/>
  <c r="M52" i="93"/>
  <c r="N52" i="93" s="1"/>
  <c r="M51" i="93"/>
  <c r="N51" i="93" s="1"/>
  <c r="T36" i="93"/>
  <c r="T44" i="93"/>
  <c r="U44" i="93" s="1"/>
  <c r="Z44" i="93" s="1"/>
  <c r="M18" i="93"/>
  <c r="M21" i="93"/>
  <c r="N21" i="93" s="1"/>
  <c r="M50" i="93"/>
  <c r="T20" i="93"/>
  <c r="U20" i="93" s="1"/>
  <c r="Z20" i="93" s="1"/>
  <c r="T18" i="93"/>
  <c r="U18" i="93" s="1"/>
  <c r="Z18" i="93" s="1"/>
  <c r="K55" i="93"/>
  <c r="T40" i="93"/>
  <c r="T55" i="93" s="1"/>
  <c r="AA54" i="93" s="1"/>
  <c r="M46" i="93"/>
  <c r="N46" i="93" s="1"/>
  <c r="L25" i="93"/>
  <c r="M25" i="93" s="1"/>
  <c r="N25" i="93" s="1"/>
  <c r="T34" i="93"/>
  <c r="U34" i="93" s="1"/>
  <c r="Z34" i="93" s="1"/>
  <c r="L44" i="93"/>
  <c r="M44" i="93" s="1"/>
  <c r="L20" i="93"/>
  <c r="M20" i="93" s="1"/>
  <c r="T25" i="93"/>
  <c r="U25" i="93" s="1"/>
  <c r="Z25" i="93" s="1"/>
  <c r="AE31" i="93"/>
  <c r="K56" i="93"/>
  <c r="K28" i="93"/>
  <c r="T17" i="93"/>
  <c r="AE26" i="93"/>
  <c r="L36" i="93"/>
  <c r="M36" i="93" s="1"/>
  <c r="U17" i="93"/>
  <c r="W17" i="93" s="1"/>
  <c r="X17" i="93" s="1"/>
  <c r="AB17" i="93" s="1"/>
  <c r="L42" i="93"/>
  <c r="M42" i="93" s="1"/>
  <c r="N42" i="93" s="1"/>
  <c r="T21" i="93"/>
  <c r="U21" i="93" s="1"/>
  <c r="W21" i="93" s="1"/>
  <c r="X21" i="93" s="1"/>
  <c r="T42" i="93"/>
  <c r="U42" i="93" s="1"/>
  <c r="Z42" i="93" s="1"/>
  <c r="L40" i="93"/>
  <c r="M40" i="93" s="1"/>
  <c r="Z17" i="93"/>
  <c r="V31" i="93"/>
  <c r="K37" i="93"/>
  <c r="V45" i="93"/>
  <c r="W45" i="93" s="1"/>
  <c r="X45" i="93" s="1"/>
  <c r="AB45" i="93" s="1"/>
  <c r="T27" i="93"/>
  <c r="U27" i="93" s="1"/>
  <c r="V27" i="93"/>
  <c r="M35" i="93"/>
  <c r="N35" i="93" s="1"/>
  <c r="AE45" i="93"/>
  <c r="N50" i="93"/>
  <c r="N18" i="93"/>
  <c r="M33" i="93"/>
  <c r="N33" i="93" s="1"/>
  <c r="L32" i="93"/>
  <c r="M32" i="93" s="1"/>
  <c r="N32" i="93" s="1"/>
  <c r="U36" i="93"/>
  <c r="Z36" i="93" s="1"/>
  <c r="U40" i="93"/>
  <c r="Z40" i="93" s="1"/>
  <c r="L41" i="93"/>
  <c r="M41" i="93" s="1"/>
  <c r="U48" i="93"/>
  <c r="Z48" i="93" s="1"/>
  <c r="L49" i="93"/>
  <c r="M49" i="93" s="1"/>
  <c r="L17" i="93"/>
  <c r="T19" i="93"/>
  <c r="U19" i="93" s="1"/>
  <c r="Z19" i="93" s="1"/>
  <c r="U26" i="93"/>
  <c r="Z26" i="93" s="1"/>
  <c r="L27" i="93"/>
  <c r="M27" i="93" s="1"/>
  <c r="L31" i="93"/>
  <c r="T33" i="93"/>
  <c r="U33" i="93" s="1"/>
  <c r="W33" i="93" s="1"/>
  <c r="X33" i="93" s="1"/>
  <c r="AB33" i="93" s="1"/>
  <c r="L34" i="93"/>
  <c r="V36" i="93"/>
  <c r="V40" i="93"/>
  <c r="T43" i="93"/>
  <c r="AE43" i="93" s="1"/>
  <c r="V44" i="93"/>
  <c r="L45" i="93"/>
  <c r="M45" i="93" s="1"/>
  <c r="U47" i="93"/>
  <c r="Z47" i="93" s="1"/>
  <c r="V48" i="93"/>
  <c r="V26" i="93"/>
  <c r="T35" i="93"/>
  <c r="K22" i="93"/>
  <c r="L19" i="93"/>
  <c r="M19" i="93" s="1"/>
  <c r="V35" i="93"/>
  <c r="L43" i="93"/>
  <c r="M43" i="93" s="1"/>
  <c r="T46" i="93"/>
  <c r="AE46" i="93" s="1"/>
  <c r="L47" i="93"/>
  <c r="M48" i="93"/>
  <c r="N48" i="93" s="1"/>
  <c r="U50" i="93"/>
  <c r="W50" i="93" s="1"/>
  <c r="X50" i="93" s="1"/>
  <c r="V19" i="93"/>
  <c r="V43" i="93"/>
  <c r="V47" i="93"/>
  <c r="M26" i="93"/>
  <c r="N26" i="93" s="1"/>
  <c r="T32" i="93"/>
  <c r="AE49" i="93"/>
  <c r="R20" i="92"/>
  <c r="Q20" i="92"/>
  <c r="K20" i="92"/>
  <c r="R19" i="92"/>
  <c r="Q19" i="92"/>
  <c r="K19" i="92"/>
  <c r="L19" i="92" s="1"/>
  <c r="Q26" i="92"/>
  <c r="AA53" i="93" l="1"/>
  <c r="AA52" i="93"/>
  <c r="AE44" i="93"/>
  <c r="AA51" i="93"/>
  <c r="W20" i="93"/>
  <c r="X20" i="93" s="1"/>
  <c r="AB20" i="93" s="1"/>
  <c r="W48" i="93"/>
  <c r="X48" i="93" s="1"/>
  <c r="AB48" i="93" s="1"/>
  <c r="W44" i="93"/>
  <c r="X44" i="93" s="1"/>
  <c r="AB44" i="93" s="1"/>
  <c r="W36" i="93"/>
  <c r="X36" i="93" s="1"/>
  <c r="AB36" i="93" s="1"/>
  <c r="W34" i="93"/>
  <c r="X34" i="93" s="1"/>
  <c r="AB34" i="93" s="1"/>
  <c r="Y21" i="93"/>
  <c r="AB21" i="93"/>
  <c r="Y50" i="93"/>
  <c r="AB50" i="93"/>
  <c r="Z27" i="93"/>
  <c r="W27" i="93"/>
  <c r="X27" i="93" s="1"/>
  <c r="AB27" i="93" s="1"/>
  <c r="T28" i="93"/>
  <c r="AA27" i="93" s="1"/>
  <c r="N20" i="93"/>
  <c r="N40" i="93"/>
  <c r="U28" i="93"/>
  <c r="M28" i="93"/>
  <c r="T37" i="93"/>
  <c r="AA36" i="93" s="1"/>
  <c r="W25" i="93"/>
  <c r="X25" i="93" s="1"/>
  <c r="AB25" i="93" s="1"/>
  <c r="N19" i="93"/>
  <c r="Z33" i="93"/>
  <c r="N43" i="93"/>
  <c r="N44" i="93"/>
  <c r="Y44" i="93"/>
  <c r="U43" i="93"/>
  <c r="W42" i="93"/>
  <c r="X42" i="93" s="1"/>
  <c r="M47" i="93"/>
  <c r="N47" i="93" s="1"/>
  <c r="U46" i="93"/>
  <c r="W46" i="93" s="1"/>
  <c r="X46" i="93" s="1"/>
  <c r="U41" i="93"/>
  <c r="W41" i="93" s="1"/>
  <c r="X41" i="93" s="1"/>
  <c r="AE41" i="93"/>
  <c r="N36" i="93"/>
  <c r="W47" i="93"/>
  <c r="X47" i="93" s="1"/>
  <c r="AB47" i="93" s="1"/>
  <c r="U49" i="93"/>
  <c r="W19" i="93"/>
  <c r="X19" i="93" s="1"/>
  <c r="U31" i="93"/>
  <c r="Z31" i="93" s="1"/>
  <c r="W26" i="93"/>
  <c r="X26" i="93" s="1"/>
  <c r="T56" i="93"/>
  <c r="AE47" i="93"/>
  <c r="L37" i="93"/>
  <c r="L56" i="93"/>
  <c r="L60" i="93" s="1"/>
  <c r="L22" i="93"/>
  <c r="L55" i="93"/>
  <c r="W40" i="93"/>
  <c r="X40" i="93" s="1"/>
  <c r="AB40" i="93" s="1"/>
  <c r="M31" i="93"/>
  <c r="U32" i="93"/>
  <c r="U22" i="93"/>
  <c r="N45" i="93"/>
  <c r="N41" i="93"/>
  <c r="AE50" i="93"/>
  <c r="Z21" i="93"/>
  <c r="Y45" i="93"/>
  <c r="AA41" i="93"/>
  <c r="Y25" i="93"/>
  <c r="N49" i="93"/>
  <c r="Z50" i="93"/>
  <c r="U35" i="93"/>
  <c r="M17" i="93"/>
  <c r="T22" i="93"/>
  <c r="AA19" i="93" s="1"/>
  <c r="M34" i="93"/>
  <c r="N34" i="93" s="1"/>
  <c r="W18" i="93"/>
  <c r="X18" i="93" s="1"/>
  <c r="N27" i="93"/>
  <c r="N28" i="93" s="1"/>
  <c r="L28" i="93"/>
  <c r="T20" i="92"/>
  <c r="U20" i="92" s="1"/>
  <c r="Z20" i="92" s="1"/>
  <c r="L20" i="92"/>
  <c r="V20" i="92"/>
  <c r="T19" i="92"/>
  <c r="U19" i="92" s="1"/>
  <c r="V19" i="92"/>
  <c r="Y36" i="93" l="1"/>
  <c r="Y20" i="93"/>
  <c r="Y48" i="93"/>
  <c r="M55" i="93"/>
  <c r="Y42" i="93"/>
  <c r="AB42" i="93"/>
  <c r="Y46" i="93"/>
  <c r="AB46" i="93"/>
  <c r="Z46" i="93"/>
  <c r="AA25" i="93"/>
  <c r="Y18" i="93"/>
  <c r="AB18" i="93"/>
  <c r="Y19" i="93"/>
  <c r="AB19" i="93"/>
  <c r="Y27" i="93"/>
  <c r="U55" i="93"/>
  <c r="Y41" i="93"/>
  <c r="AB41" i="93"/>
  <c r="Z41" i="93"/>
  <c r="Y26" i="93"/>
  <c r="AB26" i="93"/>
  <c r="Y47" i="93"/>
  <c r="N55" i="93"/>
  <c r="U56" i="93"/>
  <c r="W49" i="93"/>
  <c r="X49" i="93" s="1"/>
  <c r="Z49" i="93"/>
  <c r="Z43" i="93"/>
  <c r="W43" i="93"/>
  <c r="X43" i="93" s="1"/>
  <c r="W31" i="93"/>
  <c r="X31" i="93" s="1"/>
  <c r="X28" i="93"/>
  <c r="Y28" i="93" s="1"/>
  <c r="AA33" i="93"/>
  <c r="AA31" i="93"/>
  <c r="AA35" i="93"/>
  <c r="M37" i="93"/>
  <c r="AA26" i="93"/>
  <c r="AA43" i="93"/>
  <c r="AA49" i="93"/>
  <c r="Z35" i="93"/>
  <c r="W35" i="93"/>
  <c r="X35" i="93" s="1"/>
  <c r="AB35" i="93" s="1"/>
  <c r="AA45" i="93"/>
  <c r="AA40" i="93"/>
  <c r="AA42" i="93"/>
  <c r="AA44" i="93"/>
  <c r="AA48" i="93"/>
  <c r="AA50" i="93"/>
  <c r="Y40" i="93"/>
  <c r="AA47" i="93"/>
  <c r="M22" i="93"/>
  <c r="M56" i="93"/>
  <c r="N17" i="93"/>
  <c r="X22" i="93"/>
  <c r="AA20" i="93"/>
  <c r="AA17" i="93"/>
  <c r="AA21" i="93"/>
  <c r="AA18" i="93"/>
  <c r="N31" i="93"/>
  <c r="N37" i="93" s="1"/>
  <c r="W32" i="93"/>
  <c r="X32" i="93" s="1"/>
  <c r="AB32" i="93" s="1"/>
  <c r="Z32" i="93"/>
  <c r="U37" i="93"/>
  <c r="Y17" i="93"/>
  <c r="W20" i="92"/>
  <c r="X20" i="92" s="1"/>
  <c r="Z19" i="92"/>
  <c r="W19" i="92"/>
  <c r="X19" i="92" s="1"/>
  <c r="Y22" i="93" l="1"/>
  <c r="AB22" i="93"/>
  <c r="Y43" i="93"/>
  <c r="AB43" i="93"/>
  <c r="Y31" i="93"/>
  <c r="AB31" i="93"/>
  <c r="Y49" i="93"/>
  <c r="AB49" i="93"/>
  <c r="Y32" i="93"/>
  <c r="X37" i="93"/>
  <c r="Y37" i="93" s="1"/>
  <c r="N22" i="93"/>
  <c r="N56" i="93"/>
  <c r="Y55" i="93" l="1"/>
  <c r="AB56" i="93"/>
  <c r="J17" i="94"/>
  <c r="AB64" i="93"/>
  <c r="B16" i="91"/>
  <c r="Y56" i="93"/>
  <c r="C16" i="91" l="1"/>
  <c r="D16" i="91" s="1"/>
  <c r="E16" i="91" s="1"/>
  <c r="C18" i="94"/>
  <c r="D18" i="94"/>
  <c r="Z56" i="93"/>
  <c r="AA56" i="93" s="1"/>
  <c r="E18" i="94" l="1"/>
  <c r="F17" i="94" l="1"/>
  <c r="R21" i="92" l="1"/>
  <c r="Q21" i="92"/>
  <c r="K21" i="92"/>
  <c r="R18" i="92"/>
  <c r="Q18" i="92"/>
  <c r="K18" i="92"/>
  <c r="Q17" i="92"/>
  <c r="V17" i="92" s="1"/>
  <c r="K17" i="92"/>
  <c r="M26" i="92" s="1"/>
  <c r="M28" i="92" s="1"/>
  <c r="Q16" i="92"/>
  <c r="Q15" i="92"/>
  <c r="M14" i="92"/>
  <c r="Z12" i="92"/>
  <c r="M10" i="92"/>
  <c r="M19" i="92" l="1"/>
  <c r="M20" i="92"/>
  <c r="T21" i="92"/>
  <c r="N19" i="92"/>
  <c r="Y19" i="92"/>
  <c r="T17" i="92"/>
  <c r="U17" i="92" s="1"/>
  <c r="U21" i="92"/>
  <c r="Z21" i="92" s="1"/>
  <c r="K23" i="92"/>
  <c r="K22" i="92"/>
  <c r="T23" i="92"/>
  <c r="L17" i="92"/>
  <c r="T18" i="92"/>
  <c r="T22" i="92" s="1"/>
  <c r="AA21" i="92" s="1"/>
  <c r="V21" i="92"/>
  <c r="U18" i="92"/>
  <c r="Z18" i="92" s="1"/>
  <c r="L21" i="92"/>
  <c r="M21" i="92" s="1"/>
  <c r="V18" i="92"/>
  <c r="L18" i="92"/>
  <c r="M18" i="92" s="1"/>
  <c r="N20" i="92" l="1"/>
  <c r="Y20" i="92"/>
  <c r="W18" i="92"/>
  <c r="X18" i="92" s="1"/>
  <c r="W21" i="92"/>
  <c r="X21" i="92" s="1"/>
  <c r="Y21" i="92" s="1"/>
  <c r="M17" i="92"/>
  <c r="N17" i="92" s="1"/>
  <c r="L23" i="92"/>
  <c r="L22" i="92"/>
  <c r="Z17" i="92"/>
  <c r="U22" i="92"/>
  <c r="U23" i="92"/>
  <c r="Y18" i="92"/>
  <c r="AA17" i="92"/>
  <c r="N21" i="92"/>
  <c r="AA18" i="92"/>
  <c r="N18" i="92"/>
  <c r="W17" i="92"/>
  <c r="X17" i="92" s="1"/>
  <c r="N22" i="92" l="1"/>
  <c r="N23" i="92"/>
  <c r="M22" i="92"/>
  <c r="M23" i="92"/>
  <c r="X22" i="92"/>
  <c r="Y22" i="92" s="1"/>
  <c r="X23" i="92"/>
  <c r="Y17" i="92"/>
  <c r="Y23" i="92" s="1"/>
  <c r="Z23" i="92" l="1"/>
  <c r="AA23" i="92" s="1"/>
  <c r="B15" i="91"/>
  <c r="K20" i="90"/>
  <c r="K21" i="90"/>
  <c r="K22" i="90"/>
  <c r="K17" i="90"/>
  <c r="K18" i="90"/>
  <c r="M18" i="90" s="1"/>
  <c r="N18" i="90" s="1"/>
  <c r="R19" i="90"/>
  <c r="Q19" i="90"/>
  <c r="V19" i="90"/>
  <c r="T19" i="90"/>
  <c r="K19" i="90"/>
  <c r="U19" i="90" s="1"/>
  <c r="R20" i="90"/>
  <c r="Q20" i="90"/>
  <c r="R18" i="90"/>
  <c r="Q18" i="90"/>
  <c r="T18" i="90" s="1"/>
  <c r="L18" i="90"/>
  <c r="M17" i="91" l="1"/>
  <c r="W19" i="90"/>
  <c r="X19" i="90" s="1"/>
  <c r="Z19" i="90"/>
  <c r="L20" i="90"/>
  <c r="M20" i="90" s="1"/>
  <c r="N20" i="90" s="1"/>
  <c r="L19" i="90"/>
  <c r="U18" i="90"/>
  <c r="Z18" i="90" s="1"/>
  <c r="V20" i="90"/>
  <c r="T20" i="90"/>
  <c r="U20" i="90" s="1"/>
  <c r="V18" i="90"/>
  <c r="D15" i="91" l="1"/>
  <c r="E15" i="91" s="1"/>
  <c r="M19" i="90"/>
  <c r="Y19" i="90" s="1"/>
  <c r="W18" i="90"/>
  <c r="X18" i="90" s="1"/>
  <c r="Y18" i="90" s="1"/>
  <c r="W20" i="90"/>
  <c r="X20" i="90" s="1"/>
  <c r="Y20" i="90" s="1"/>
  <c r="Z20" i="90"/>
  <c r="N19" i="90" l="1"/>
  <c r="R22" i="90"/>
  <c r="Q22" i="90"/>
  <c r="T22" i="90" s="1"/>
  <c r="K24" i="90"/>
  <c r="R21" i="90"/>
  <c r="Q21" i="90"/>
  <c r="L21" i="90"/>
  <c r="R17" i="90"/>
  <c r="Q17" i="90"/>
  <c r="Q16" i="90"/>
  <c r="Q15" i="90"/>
  <c r="M14" i="90"/>
  <c r="Z12" i="90"/>
  <c r="M10" i="90"/>
  <c r="T21" i="90" l="1"/>
  <c r="U21" i="90" s="1"/>
  <c r="U22" i="90"/>
  <c r="Z22" i="90" s="1"/>
  <c r="M21" i="90"/>
  <c r="N21" i="90" s="1"/>
  <c r="V22" i="90"/>
  <c r="T17" i="90"/>
  <c r="U17" i="90" s="1"/>
  <c r="V21" i="90"/>
  <c r="L22" i="90"/>
  <c r="V17" i="90"/>
  <c r="L17" i="90"/>
  <c r="K23" i="90"/>
  <c r="W22" i="90" l="1"/>
  <c r="X22" i="90" s="1"/>
  <c r="Z21" i="90"/>
  <c r="W21" i="90"/>
  <c r="X21" i="90" s="1"/>
  <c r="Y21" i="90" s="1"/>
  <c r="U24" i="90"/>
  <c r="U23" i="90"/>
  <c r="W17" i="90"/>
  <c r="X17" i="90" s="1"/>
  <c r="Z17" i="90"/>
  <c r="M22" i="90"/>
  <c r="Y22" i="90" s="1"/>
  <c r="L23" i="90"/>
  <c r="L24" i="90"/>
  <c r="T24" i="90"/>
  <c r="T23" i="90"/>
  <c r="AA17" i="90" s="1"/>
  <c r="M17" i="90"/>
  <c r="N17" i="90" s="1"/>
  <c r="N22" i="90" l="1"/>
  <c r="N24" i="90" s="1"/>
  <c r="AA22" i="90"/>
  <c r="AA21" i="90"/>
  <c r="M24" i="90"/>
  <c r="M23" i="90"/>
  <c r="X24" i="90"/>
  <c r="X23" i="90"/>
  <c r="Y17" i="90"/>
  <c r="Y24" i="90" s="1"/>
  <c r="B17" i="91" l="1"/>
  <c r="N23" i="90"/>
  <c r="Y23" i="90"/>
  <c r="Z24" i="90"/>
  <c r="AA24" i="90" s="1"/>
  <c r="C17" i="91" l="1"/>
  <c r="D17" i="91" s="1"/>
  <c r="E17" i="91" s="1"/>
  <c r="J18" i="94" l="1"/>
  <c r="J22" i="94" s="1"/>
  <c r="B29" i="91" l="1"/>
  <c r="F18" i="94" l="1"/>
  <c r="B18" i="91"/>
  <c r="B20" i="91" s="1"/>
  <c r="B22" i="91" s="1"/>
  <c r="C18" i="91"/>
  <c r="B24" i="91" l="1"/>
  <c r="A31" i="91" s="1"/>
  <c r="M21" i="91"/>
  <c r="M22" i="91" s="1"/>
  <c r="D18" i="91" l="1"/>
  <c r="E18" i="91" s="1"/>
</calcChain>
</file>

<file path=xl/sharedStrings.xml><?xml version="1.0" encoding="utf-8"?>
<sst xmlns="http://schemas.openxmlformats.org/spreadsheetml/2006/main" count="972" uniqueCount="422">
  <si>
    <t>Oggi Comunicação e Eventos</t>
  </si>
  <si>
    <t>CUSTOS (valor de custo c/ NF ou recibo)</t>
  </si>
  <si>
    <t>DIFERENÇA NF (Lucro)</t>
  </si>
  <si>
    <t>SOLICITAÇÃO DE PAGAMENTO</t>
  </si>
  <si>
    <t>ÍNDICE</t>
  </si>
  <si>
    <t>ÍNDICE PUBLI</t>
  </si>
  <si>
    <t>CATEGORIA</t>
  </si>
  <si>
    <t>TIPO DE CUSTOS</t>
  </si>
  <si>
    <t>TIPO DE FATURAMENTO</t>
  </si>
  <si>
    <t>VALOR</t>
  </si>
  <si>
    <t>CNPJ</t>
  </si>
  <si>
    <t/>
  </si>
  <si>
    <t>PREENCHER OS CAMPOS CORRETAMENTE</t>
  </si>
  <si>
    <t>DADOS DO JOB</t>
  </si>
  <si>
    <t>Data:</t>
  </si>
  <si>
    <t>Contratante:</t>
  </si>
  <si>
    <t>Oggi Eventos</t>
  </si>
  <si>
    <t>Cliente:</t>
  </si>
  <si>
    <t>Job:</t>
  </si>
  <si>
    <t>Planilha:</t>
  </si>
  <si>
    <t>Item:</t>
  </si>
  <si>
    <t>DADOS PARA PAGAMENTO</t>
  </si>
  <si>
    <t>() Pessoa Jurídica</t>
  </si>
  <si>
    <t>Razão Social</t>
  </si>
  <si>
    <t>Fantasia:</t>
  </si>
  <si>
    <t>Banco:</t>
  </si>
  <si>
    <t>Conta:</t>
  </si>
  <si>
    <t>Pix:</t>
  </si>
  <si>
    <t>CNPJ:</t>
  </si>
  <si>
    <t>CPF:</t>
  </si>
  <si>
    <t>Contato:</t>
  </si>
  <si>
    <t>Celular:</t>
  </si>
  <si>
    <t>Parcela</t>
  </si>
  <si>
    <t>Data</t>
  </si>
  <si>
    <t>Valor</t>
  </si>
  <si>
    <t>Forma de Pagamento</t>
  </si>
  <si>
    <t>1ª</t>
  </si>
  <si>
    <t>(   ) Boleto</t>
  </si>
  <si>
    <t>(   ) Pix</t>
  </si>
  <si>
    <t>2ª</t>
  </si>
  <si>
    <t>(   ) Depósito</t>
  </si>
  <si>
    <t>3ª</t>
  </si>
  <si>
    <t>4ª</t>
  </si>
  <si>
    <t>TOTAL</t>
  </si>
  <si>
    <t>OBSERVAÇÕES</t>
  </si>
  <si>
    <t>APROVAÇÕES</t>
  </si>
  <si>
    <t>Solicitante</t>
  </si>
  <si>
    <t>Aprovação</t>
  </si>
  <si>
    <t>Índice</t>
  </si>
  <si>
    <t>Grupo</t>
  </si>
  <si>
    <t>Subgrupo</t>
  </si>
  <si>
    <t>Resumo</t>
  </si>
  <si>
    <t>Descrição</t>
  </si>
  <si>
    <t>Data da Solicitação</t>
  </si>
  <si>
    <t>RAZÃO SOCIAL</t>
  </si>
  <si>
    <t>CONTATO</t>
  </si>
  <si>
    <t>ENCARGOS PUBLI</t>
  </si>
  <si>
    <t>Agência</t>
  </si>
  <si>
    <t>FORNECEDOR</t>
  </si>
  <si>
    <t>DIREÇÃO DE PRODUÇÃO</t>
  </si>
  <si>
    <t>HEAD DE ATENDIMENTO</t>
  </si>
  <si>
    <t>Resp. pela gestão executiva operacional da ação. Pré Produção, implementação do projeto e pós produção.</t>
  </si>
  <si>
    <t xml:space="preserve">Resp. pela interface de atendimento junto ao cliente, elaboração de plano estratégico para briefing interno da agencia após reunião de Brainstorming,  alinhamentos gerais, fluxo interno, alterações e condução de pauta. </t>
  </si>
  <si>
    <t>CUSTOS INTERNOS</t>
  </si>
  <si>
    <t>BUFFET</t>
  </si>
  <si>
    <t>Coffee Break - 20pax
Coffee Break Chegada - 350 pax
Coffee Break tarde - 350 pax 
Coquetel Happy Hour - 350 pax
Estação Permanente - Café e agua plenária</t>
  </si>
  <si>
    <t>BAR</t>
  </si>
  <si>
    <t>Serviço de cerveja, prosecco
contratado para 300 pax</t>
  </si>
  <si>
    <t>ARTISTICO</t>
  </si>
  <si>
    <t>ATRAÇÃO</t>
  </si>
  <si>
    <t>PAGAMENTOS</t>
  </si>
  <si>
    <t>Solicitado</t>
  </si>
  <si>
    <t>PRODUÇÃO</t>
  </si>
  <si>
    <t>Planejamento</t>
  </si>
  <si>
    <t>Planejamento do Job</t>
  </si>
  <si>
    <t>Produção executiva</t>
  </si>
  <si>
    <t>Peterson</t>
  </si>
  <si>
    <t>Operacional</t>
  </si>
  <si>
    <t>MUSICO</t>
  </si>
  <si>
    <t>BANDA</t>
  </si>
  <si>
    <t>RAZÃO SOCIAL:OGGI COMUN. E EV. PROMO. UNIPESSOAL LTDA</t>
  </si>
  <si>
    <t xml:space="preserve">ENDEREÇO:R. ALMIRANTE PEREIRA GUIMARÃES, 327 - </t>
  </si>
  <si>
    <t>OC
38</t>
  </si>
  <si>
    <t>FONE: (11) 3871-5555  SÃO PAULO SP</t>
  </si>
  <si>
    <t>CNPJ: 07.559.587/0001-12</t>
  </si>
  <si>
    <t>INSCRIÇÃO MUNICIPAL: 3.441.108.9</t>
  </si>
  <si>
    <t>E-MAIL:</t>
  </si>
  <si>
    <t>Identificador=38-38-61b77ade14fb9af7e586617fa2e6823e374b1745</t>
  </si>
  <si>
    <t>Tipo Receita</t>
  </si>
  <si>
    <t>Lançamento</t>
  </si>
  <si>
    <t>Item do Orçamento</t>
  </si>
  <si>
    <t>Quantidade</t>
  </si>
  <si>
    <t>Valor Unitário</t>
  </si>
  <si>
    <t>Situação</t>
  </si>
  <si>
    <t>Valor Fornecedor</t>
  </si>
  <si>
    <t>Subtipo</t>
  </si>
  <si>
    <t>Honorários</t>
  </si>
  <si>
    <t>Desconto</t>
  </si>
  <si>
    <t>Encargos</t>
  </si>
  <si>
    <t>Especificação</t>
  </si>
  <si>
    <t>(*)Fim dos Itens</t>
  </si>
  <si>
    <t>Linhas iniciais de 1 a 9 e que contem o (*) não podem ser excluídas</t>
  </si>
  <si>
    <t>Para novos itens não preencher o campo Lançamento</t>
  </si>
  <si>
    <t>Aguardando Aprovação</t>
  </si>
  <si>
    <t>PM</t>
  </si>
  <si>
    <t>0,00%</t>
  </si>
  <si>
    <t>ServicosInternos</t>
  </si>
  <si>
    <t>CORTESIA LED</t>
  </si>
  <si>
    <t>ServicosTerceiros</t>
  </si>
  <si>
    <t xml:space="preserve">  1</t>
  </si>
  <si>
    <t xml:space="preserve">  1.  1</t>
  </si>
  <si>
    <t xml:space="preserve">  1.  1.  1</t>
  </si>
  <si>
    <t>8,00%</t>
  </si>
  <si>
    <t xml:space="preserve">  1.  1.  2</t>
  </si>
  <si>
    <t xml:space="preserve">  1.  1.  3</t>
  </si>
  <si>
    <t xml:space="preserve">  1.  1.  4</t>
  </si>
  <si>
    <t xml:space="preserve">  1.  1.  5</t>
  </si>
  <si>
    <t xml:space="preserve">  1.  1.  6</t>
  </si>
  <si>
    <t>PG</t>
  </si>
  <si>
    <t>15,00%</t>
  </si>
  <si>
    <t xml:space="preserve">  1.  2</t>
  </si>
  <si>
    <t xml:space="preserve">  1.  2.  1</t>
  </si>
  <si>
    <t xml:space="preserve">  1.  2.  2</t>
  </si>
  <si>
    <t xml:space="preserve">  2</t>
  </si>
  <si>
    <t xml:space="preserve">  2.  1</t>
  </si>
  <si>
    <t xml:space="preserve">  2.  1.  1</t>
  </si>
  <si>
    <t xml:space="preserve">  2.  1.  2</t>
  </si>
  <si>
    <t>ORÇAMENTO 5.1</t>
  </si>
  <si>
    <t>SUBTOTAL</t>
  </si>
  <si>
    <t>Peso</t>
  </si>
  <si>
    <t>RESUMO</t>
  </si>
  <si>
    <t>DESCRITIVO</t>
  </si>
  <si>
    <t>Qtd</t>
  </si>
  <si>
    <t>Diária</t>
  </si>
  <si>
    <t>R$ unit</t>
  </si>
  <si>
    <t>QTDE</t>
  </si>
  <si>
    <t>DIÁRIA</t>
  </si>
  <si>
    <t>VL. UNIT.</t>
  </si>
  <si>
    <t>SUB TOTAL</t>
  </si>
  <si>
    <t>DIFERENÇA</t>
  </si>
  <si>
    <t>% NOTA</t>
  </si>
  <si>
    <t>CUSTO NOTA</t>
  </si>
  <si>
    <t>CUSTO TOTAL (custo + dif. NF)</t>
  </si>
  <si>
    <t>CUSTO TOTAL + IMPOSTOS</t>
  </si>
  <si>
    <t>Margem</t>
  </si>
  <si>
    <t>Valor Total</t>
  </si>
  <si>
    <t>Saldo</t>
  </si>
  <si>
    <t>Fornecedor</t>
  </si>
  <si>
    <t>CPF/CNPJ</t>
  </si>
  <si>
    <t>Vazio</t>
  </si>
  <si>
    <t>PENDENTE</t>
  </si>
  <si>
    <t>EFETUADO</t>
  </si>
  <si>
    <t>1.1.2</t>
  </si>
  <si>
    <t xml:space="preserve"> </t>
  </si>
  <si>
    <t>GRUPO</t>
  </si>
  <si>
    <t>SUBGRUPO</t>
  </si>
  <si>
    <t>1.1</t>
  </si>
  <si>
    <t>AGENCIAMENTO</t>
  </si>
  <si>
    <t>IMPOSTOS</t>
  </si>
  <si>
    <t>Marg.</t>
  </si>
  <si>
    <t xml:space="preserve">INTERNO </t>
  </si>
  <si>
    <t>ITENS INTERNOS</t>
  </si>
  <si>
    <t>ITEM</t>
  </si>
  <si>
    <t>1.1.1</t>
  </si>
  <si>
    <t>1.1.3</t>
  </si>
  <si>
    <t>1.1.4</t>
  </si>
  <si>
    <t>1.1.5</t>
  </si>
  <si>
    <t>INTERNO</t>
  </si>
  <si>
    <t>FAT.OGGI</t>
  </si>
  <si>
    <t>Planejamento Operacional</t>
  </si>
  <si>
    <t>Planejamento e desenvolvimento do estande com apresentação do projeto em 3D - Incluso 03 refações. Após será cobrado novo planejamento.</t>
  </si>
  <si>
    <t xml:space="preserve">Atendimento </t>
  </si>
  <si>
    <t>Atendimento ao cliente, reuniões, alinhamento e fluxo interno</t>
  </si>
  <si>
    <t xml:space="preserve">Criação, desenvolvimento e finalização das peças. Incluso 03 refação. Após será cobrado nova extra.  *****Cobrar de acordo com o projeto**** </t>
  </si>
  <si>
    <t>Produtor Assistente</t>
  </si>
  <si>
    <t>Suporte e acompanhamento junto ao produtor executivo</t>
  </si>
  <si>
    <t>Produtor Executivo</t>
  </si>
  <si>
    <t>Produtor executivo dedicado, responsável pela pré-produção, implementação do projeto e pós produção</t>
  </si>
  <si>
    <t>SUBTOTAL SUBGRUPO</t>
  </si>
  <si>
    <t>Subtotal ITENS INTERNOS</t>
  </si>
  <si>
    <t>2.1</t>
  </si>
  <si>
    <t>2.1.1</t>
  </si>
  <si>
    <t>Estande</t>
  </si>
  <si>
    <t xml:space="preserve">Estande </t>
  </si>
  <si>
    <t>2.1.2</t>
  </si>
  <si>
    <t>OPERACIONAL</t>
  </si>
  <si>
    <t>FAT.CLIENTE</t>
  </si>
  <si>
    <t>Espaço</t>
  </si>
  <si>
    <t>Agenciamento</t>
  </si>
  <si>
    <t>Balcão refrigerado</t>
  </si>
  <si>
    <t xml:space="preserve">Subtotal Estande </t>
  </si>
  <si>
    <t>3.1</t>
  </si>
  <si>
    <t>A&amp;B</t>
  </si>
  <si>
    <t>3.1.1</t>
  </si>
  <si>
    <t>3.1.3</t>
  </si>
  <si>
    <t>3.1.4</t>
  </si>
  <si>
    <t>Subtotal A&amp;B</t>
  </si>
  <si>
    <t>Buffet: alimentos e  bebidas| Staff</t>
  </si>
  <si>
    <t>4.1</t>
  </si>
  <si>
    <t>4.1.1</t>
  </si>
  <si>
    <t>4.1.2</t>
  </si>
  <si>
    <t>4.1.3</t>
  </si>
  <si>
    <t>4.1.4</t>
  </si>
  <si>
    <t>4.1.5</t>
  </si>
  <si>
    <t>4.1.7</t>
  </si>
  <si>
    <t>Produção</t>
  </si>
  <si>
    <t>Equipe de produção e itens diversos</t>
  </si>
  <si>
    <t>Produtor de montagem| desmontagem</t>
  </si>
  <si>
    <t>Produtor Executivo | atendimento</t>
  </si>
  <si>
    <t xml:space="preserve">Uniforme </t>
  </si>
  <si>
    <t>Custos com hospedagem + aéreo</t>
  </si>
  <si>
    <t>Reserva de verba</t>
  </si>
  <si>
    <t>4.1.8</t>
  </si>
  <si>
    <t>Subtotal Equipe de produção e itens diversos</t>
  </si>
  <si>
    <t>SUBTOTAL PLANILHA</t>
  </si>
  <si>
    <t xml:space="preserve">TOTAL </t>
  </si>
  <si>
    <t>Marg. Lucro</t>
  </si>
  <si>
    <t>Lucro</t>
  </si>
  <si>
    <t xml:space="preserve">Subtotal </t>
  </si>
  <si>
    <t>Estande - 110m²</t>
  </si>
  <si>
    <t>Sendo 110m² de piso construído</t>
  </si>
  <si>
    <t>1.1.6</t>
  </si>
  <si>
    <t>KWA</t>
  </si>
  <si>
    <t>Ponto de hidráulica</t>
  </si>
  <si>
    <t>Ponto de Hidráulica (água de desagua)</t>
  </si>
  <si>
    <t xml:space="preserve">Limpeza área comum </t>
  </si>
  <si>
    <t>Limpeza - Pavilhão (110m2) custo de mt2, limpeza R$25,00</t>
  </si>
  <si>
    <t>Extintor - isento</t>
  </si>
  <si>
    <t>Credenciais de serviço</t>
  </si>
  <si>
    <t>Extintores de incêndio (base de calculo de acordo com a metragem do estande) -</t>
  </si>
  <si>
    <t xml:space="preserve">CUSTO </t>
  </si>
  <si>
    <t>MBC</t>
  </si>
  <si>
    <t>Produção&gt;&gt;&gt; Faturamento Oggi</t>
  </si>
  <si>
    <t>Taxas &gt;&gt;&gt; Responsabilidade Lactalis</t>
  </si>
  <si>
    <t>Total do Investimento &gt;&gt;&gt;</t>
  </si>
  <si>
    <t xml:space="preserve">03 Mesas Baixas 
• 36 Cadeiras 
• 07 Mesas Bistrô 
• 28 Banquetas 
• 02 Balcões de Degustação 
• 01 Balcão de Buffet 
• 03 Mesas de Reuniões para 8 pessoas 
• 03 Geladeiras 
• 01 Bancada de preparação de alimentos 
• 01 Pia 
• 06 Lixeiras 
• 04 Estantes com Prateleiras 
• 01 Painel de LED 3,00x1,50m </t>
  </si>
  <si>
    <t>CÓDIGO DO JOB: L_051</t>
  </si>
  <si>
    <t>CLIENTE: Hamilton | Itambé</t>
  </si>
  <si>
    <t>EVENTO: Super Bahia | 14² edição</t>
  </si>
  <si>
    <t>LOCAL: Centro de Convenções de Salvador</t>
  </si>
  <si>
    <t>DATA: De 06 a 8 de agosto de 2025</t>
  </si>
  <si>
    <t>ATENDIMENTO: Nilson Miguel</t>
  </si>
  <si>
    <t>PRODUTOR:Patrick Silva</t>
  </si>
  <si>
    <t>NOME PLANILHA:__051_Super Bahia</t>
  </si>
  <si>
    <t>4.1.6</t>
  </si>
  <si>
    <t>4.1.9</t>
  </si>
  <si>
    <t>4.1.10</t>
  </si>
  <si>
    <t>Produtor Operacional</t>
  </si>
  <si>
    <t xml:space="preserve">Promotora degustação de produtos </t>
  </si>
  <si>
    <t>Fotografo</t>
  </si>
  <si>
    <t>Segurança</t>
  </si>
  <si>
    <t>Seguro do evento</t>
  </si>
  <si>
    <t>RC e AP (Responsabilidade Civil Eventos) e Acidentes Pessoais Eventos</t>
  </si>
  <si>
    <t xml:space="preserve">Fotografo para cobertura do evento. 
</t>
  </si>
  <si>
    <t>Segurança para o período noturno considerando dia - Montagem dia 05-08. Realização do evento de 06 a 08/08</t>
  </si>
  <si>
    <t>3.1.5</t>
  </si>
  <si>
    <t>Garçom</t>
  </si>
  <si>
    <t>Garçom direcionado para as operações do estande</t>
  </si>
  <si>
    <t>Copeira</t>
  </si>
  <si>
    <t>Auxiliar de copa</t>
  </si>
  <si>
    <t>Auxliar de limpeza</t>
  </si>
  <si>
    <t>Responsável pelo atedimento e operação geral - Dias 05, 06, 07 e 08/08</t>
  </si>
  <si>
    <t>Promotor (a) para  as ativações durante o período do evento (considerando até 8h de trabalho| das 14 às 21h</t>
  </si>
  <si>
    <t>4.1.11</t>
  </si>
  <si>
    <t>Carregador</t>
  </si>
  <si>
    <t xml:space="preserve">Reserva de verba para custos operacionais não provicionados. </t>
  </si>
  <si>
    <t>Considerando macacão usado em Apas</t>
  </si>
  <si>
    <t xml:space="preserve">Espaço </t>
  </si>
  <si>
    <t>budget cliente</t>
  </si>
  <si>
    <t>Desconto  concedido</t>
  </si>
  <si>
    <t>Desconto montadora</t>
  </si>
  <si>
    <t>VALOR DO INVESTIMENTO - 14ª SUPER BAHIA - 2ª Opção</t>
  </si>
  <si>
    <t>Geladeria Expositora no lobby</t>
  </si>
  <si>
    <r>
      <t xml:space="preserve">Geladeria expositora no lobby - sugestão 1 por marca| </t>
    </r>
    <r>
      <rPr>
        <sz val="12"/>
        <color rgb="FFFF0000"/>
        <rFont val="Trebuchet MS"/>
        <family val="2"/>
      </rPr>
      <t>Não incluso no projeto</t>
    </r>
  </si>
  <si>
    <r>
      <t xml:space="preserve">Mobiliário - </t>
    </r>
    <r>
      <rPr>
        <sz val="12"/>
        <color rgb="FF0476D0"/>
        <rFont val="Trebuchet MS"/>
        <family val="2"/>
      </rPr>
      <t>i</t>
    </r>
    <r>
      <rPr>
        <sz val="12"/>
        <color rgb="FFEE0000"/>
        <rFont val="Trebuchet MS"/>
        <family val="2"/>
      </rPr>
      <t>ncluso na proposta</t>
    </r>
  </si>
  <si>
    <r>
      <t>Geladeria expositora cozinha - 3 unids -</t>
    </r>
    <r>
      <rPr>
        <sz val="12"/>
        <color rgb="FFEE0000"/>
        <rFont val="Trebuchet MS"/>
        <family val="2"/>
      </rPr>
      <t xml:space="preserve"> incluso na proposta</t>
    </r>
  </si>
  <si>
    <r>
      <t xml:space="preserve">Comunicação visual - </t>
    </r>
    <r>
      <rPr>
        <sz val="12"/>
        <color rgb="FFEE0000"/>
        <rFont val="Trebuchet MS"/>
        <family val="2"/>
      </rPr>
      <t>incluso na proposta</t>
    </r>
  </si>
  <si>
    <t>Comunicação visual -</t>
  </si>
  <si>
    <t>Estande&gt;&gt;&gt; Faturamento Montadora - 226.880,00</t>
  </si>
  <si>
    <t xml:space="preserve">Copeira </t>
  </si>
  <si>
    <t xml:space="preserve">Auxiliar de limpeza </t>
  </si>
  <si>
    <t xml:space="preserve">Credenciais de serviço - </t>
  </si>
  <si>
    <t>Taxa de montagem</t>
  </si>
  <si>
    <t>2.1.3</t>
  </si>
  <si>
    <t>3.1.6</t>
  </si>
  <si>
    <t>Máquina de café</t>
  </si>
  <si>
    <t>3.1.7</t>
  </si>
  <si>
    <t>Alimentação &amp; Bebidas</t>
  </si>
  <si>
    <t>Geladeiras</t>
  </si>
  <si>
    <t>22/07/2025</t>
  </si>
  <si>
    <t>03.502.099/0001-18</t>
  </si>
  <si>
    <t>CHUBB SEGUROS BRASIL S.A.</t>
  </si>
  <si>
    <t>(11) 4504-4400</t>
  </si>
  <si>
    <t>R$ 1.442,51</t>
  </si>
  <si>
    <t>_x000D_
CHUBB SEGUROS BRASIL S.A.</t>
  </si>
  <si>
    <t>_x000D_
03.502.099/0001-18</t>
  </si>
  <si>
    <t>Nilson Miguel</t>
  </si>
  <si>
    <t>Peterson Lopes</t>
  </si>
  <si>
    <t>53.012.505/0001-32</t>
  </si>
  <si>
    <t>CISSA PRAZERES ORGANIZACAO E PROMOCAO DE EVENTOS LTDA</t>
  </si>
  <si>
    <t>(71) 9988-7817</t>
  </si>
  <si>
    <t>R$ 24.760,00</t>
  </si>
  <si>
    <t>_x000D_
CISSA PRAZERES ORGANIZACAO E PROMOCAO DE EVENTOS LTDA</t>
  </si>
  <si>
    <t>_x000D_
53.012.505/0001-32</t>
  </si>
  <si>
    <t xml:space="preserve">MINI LANCHES ( 3 opções ao dia) - 100 unids de cada sabor                                                                                Mini francês com parmesão, presunto sadia, tomate (requeijão, queijo minas padrão)Galbani 
Mini australiano com presunto Royale (creme de ricota, mussarela) President 
Mini multigrãos com tomate seco e rúcula (ricota, queijo fatiado) – processador Itambé                                                                SALGADOS: (3 opções ao dia) - 100 unids de cada
Mini pão de queijo
Mini empada de frango com requeijão
Mini pizza – mussarela Galbani – Mussarela President – Minas padrão com goiabada itambe                     BEBIDAS:                                                                                                                                                                                                   Água 50 litros por dia/ suco 30 litros por dia / refrigerante normal e zero( 20 um total de 2l por dia) descartável   - sendo: água com e sem gás, suco de laranja integral                                                                                                                                                                              DOCES: - 2 opções por dia
Mini banoff no copinho  – doce de leite itambe – 
Brigadeiro – forminha azul 
</t>
  </si>
  <si>
    <t>Nison Miguel</t>
  </si>
  <si>
    <t xml:space="preserve">Isabela C. </t>
  </si>
  <si>
    <t>23/07/2025</t>
  </si>
  <si>
    <t>46.570.909/0001-86</t>
  </si>
  <si>
    <t>AGENCIA DE TURISMO SAKURA LTDA</t>
  </si>
  <si>
    <t>(11) 3389-0000</t>
  </si>
  <si>
    <t>R$ 2.307,90</t>
  </si>
  <si>
    <t>24/07/2025</t>
  </si>
  <si>
    <t>24.682.861/0001-65</t>
  </si>
  <si>
    <t>ALLUREE TURISMO LTDA</t>
  </si>
  <si>
    <t>(11) 3262-2740</t>
  </si>
  <si>
    <t>R$ 1.708,00</t>
  </si>
  <si>
    <t>Passagem aérea + hospedagem + deslocamento de 1 produtor da Oggi SP 
(Valor estimado | podendo alterar)</t>
  </si>
  <si>
    <t>29/07/2025</t>
  </si>
  <si>
    <t>144.265.278-05</t>
  </si>
  <si>
    <t>11 986326586</t>
  </si>
  <si>
    <t>R$ 1.500,00</t>
  </si>
  <si>
    <t xml:space="preserve">Peterson </t>
  </si>
  <si>
    <t>31/07/2025</t>
  </si>
  <si>
    <t>R$ 0,00</t>
  </si>
  <si>
    <t>13.558.515/0001-53</t>
  </si>
  <si>
    <t>ASSOCIACAO BAHIANA DE SUPERMERCADOS</t>
  </si>
  <si>
    <t>R$ 650,00</t>
  </si>
  <si>
    <t>_x000D_
46.570.909/0001-86_x000D_
144.265.278-05_x000D_
_x000D_
13.558.515/0001-53</t>
  </si>
  <si>
    <t>R$ 1.200,00</t>
  </si>
  <si>
    <t>_x000D_
ASSOCIACAO BAHIANA DE SUPERMERCADOS</t>
  </si>
  <si>
    <t>_x000D_
13.558.515/0001-53</t>
  </si>
  <si>
    <t>04/08/2025</t>
  </si>
  <si>
    <t>55.141.992/0001-69</t>
  </si>
  <si>
    <t>55.141.992 RAFAEL SOARES CHAVES</t>
  </si>
  <si>
    <t>0001</t>
  </si>
  <si>
    <t>(71) 9323-4401</t>
  </si>
  <si>
    <t>R$ 1.300,00</t>
  </si>
  <si>
    <t>( X ) Depósito</t>
  </si>
  <si>
    <t>_x000D_
55.141.992 RAFAEL SOARES CHAVES</t>
  </si>
  <si>
    <t>_x000D_
55.141.992/0001-69</t>
  </si>
  <si>
    <t>Credenciais</t>
  </si>
  <si>
    <t>Credenciaamento da equipe de produção e serveços</t>
  </si>
  <si>
    <t>Garçom direcionado para as operações do estande - extras</t>
  </si>
  <si>
    <t>Hospedagem</t>
  </si>
  <si>
    <t xml:space="preserve">Hospedagem da Isabela </t>
  </si>
  <si>
    <t>Passagem aérea</t>
  </si>
  <si>
    <t>Gastos gerais para a produção e finalização do estande</t>
  </si>
  <si>
    <t>15/08/2025</t>
  </si>
  <si>
    <t>Orçamento Produção Oggi 5.1_L_051_Super Bahia_Fechamento_15082025.xlsm</t>
  </si>
  <si>
    <t>R$ 3.900,00</t>
  </si>
  <si>
    <t>_x000D_
Nilson Miguel</t>
  </si>
  <si>
    <t>_x000D_
144.265.278-05</t>
  </si>
  <si>
    <t>Nilson M</t>
  </si>
  <si>
    <t>Passagarem aérea da Isabela ida e volta (sendo ida R$ 1096,72| volta R$ 3660,90)</t>
  </si>
  <si>
    <t>Proução Oggi - itens Extra</t>
  </si>
  <si>
    <t>Itens Extras Montadora</t>
  </si>
  <si>
    <t>R$ 1.000,00</t>
  </si>
  <si>
    <t>861.853.605-94</t>
  </si>
  <si>
    <t>Jeferson Carlos</t>
  </si>
  <si>
    <t>C6</t>
  </si>
  <si>
    <t>71 996325236</t>
  </si>
  <si>
    <t>R$ 338,15</t>
  </si>
  <si>
    <t>_x000D_
ALLUREE TURISMO LTDA_x000D_
Jeferson Carlos</t>
  </si>
  <si>
    <t>_x000D_
24.682.861/0001-65_x000D_
861.853.605-94</t>
  </si>
  <si>
    <t xml:space="preserve">Nilson </t>
  </si>
  <si>
    <t>18/08/2025</t>
  </si>
  <si>
    <t>( X ) Pessoa Jurídica</t>
  </si>
  <si>
    <t>R$ 1.756,00</t>
  </si>
  <si>
    <t>_x000D_
ALLUREE TURISMO LTDA</t>
  </si>
  <si>
    <t>31499224-3</t>
  </si>
  <si>
    <t>53012505000132</t>
  </si>
  <si>
    <t>25/08/25</t>
  </si>
  <si>
    <t>R$ 2.467,68</t>
  </si>
  <si>
    <t xml:space="preserve">Valores extras do evento. </t>
  </si>
  <si>
    <t>IMPOSTO</t>
  </si>
  <si>
    <t>CUSTO TOTAL</t>
  </si>
  <si>
    <t>LUCRO</t>
  </si>
  <si>
    <r>
      <t xml:space="preserve">KWA -  </t>
    </r>
    <r>
      <rPr>
        <sz val="16"/>
        <color rgb="FFFF0000"/>
        <rFont val="Trebuchet MS"/>
        <family val="2"/>
      </rPr>
      <t>sujeito alteração após definição do projeto</t>
    </r>
  </si>
  <si>
    <t>Andrea Ventura</t>
  </si>
  <si>
    <t>NILSON MIGUEL
AGENCIA DE TURISMO SAKURA LTDA
ASSOCIACAO BAHIANA DE SUPERMERCADOS</t>
  </si>
  <si>
    <t>CLIENTE</t>
  </si>
  <si>
    <t>SISTEMA</t>
  </si>
  <si>
    <t>CUSTOS OPERACIONAIS</t>
  </si>
  <si>
    <t>ASSOCIAÇÃO BAHIANA</t>
  </si>
  <si>
    <t>CARTÃO ISABELA</t>
  </si>
  <si>
    <t>CISSA PRAZERES</t>
  </si>
  <si>
    <t>ASSOCIAÇÃO BAHIANA DE SUPERMERCADOS</t>
  </si>
  <si>
    <t>ANDREA AVENTURA</t>
  </si>
  <si>
    <t>RAFAEL SOARES</t>
  </si>
  <si>
    <t>CHUBB SEGUROS</t>
  </si>
  <si>
    <t>ALLURE/HOSPEDAGEM</t>
  </si>
  <si>
    <t>JOSENILSON</t>
  </si>
  <si>
    <t>JEFERSON CARLOS</t>
  </si>
  <si>
    <t>NILSON - CARTÃO ISABELA - JEFERSON CARLOS</t>
  </si>
  <si>
    <t>SAKURA</t>
  </si>
  <si>
    <t>PASSAGEM NILSON</t>
  </si>
  <si>
    <t xml:space="preserve">CUSTO S/ IMPOSTO </t>
  </si>
  <si>
    <t>VENDA</t>
  </si>
  <si>
    <t>NOTA FISCAL - 2429 -  DPA</t>
  </si>
  <si>
    <t>NOTA FISCAL 2428 - ITAMBÉ</t>
  </si>
  <si>
    <t>REEMBOLSO NILSON</t>
  </si>
  <si>
    <t>REEMBOLSO  SÉRGIO - MONTADORA</t>
  </si>
  <si>
    <t>ANDREA VENTURA -  MONTADORA</t>
  </si>
  <si>
    <t>BRUNO - MONTADORA</t>
  </si>
  <si>
    <t>VERBA NILSON</t>
  </si>
  <si>
    <t>NOME PLANILHA:_L_051_Super Bahia</t>
  </si>
  <si>
    <t>PRINCIPAL</t>
  </si>
  <si>
    <t>4.1.12</t>
  </si>
  <si>
    <t>4.1.13</t>
  </si>
  <si>
    <t>4.1.14</t>
  </si>
  <si>
    <t>4.1.15</t>
  </si>
  <si>
    <r>
      <t xml:space="preserve">Criação - </t>
    </r>
    <r>
      <rPr>
        <sz val="20"/>
        <color rgb="FFFF0000"/>
        <rFont val="Trebuchet MS"/>
        <family val="2"/>
      </rPr>
      <t>responsabilidade da Lactalis</t>
    </r>
  </si>
  <si>
    <r>
      <t xml:space="preserve">110m² - </t>
    </r>
    <r>
      <rPr>
        <sz val="20"/>
        <color rgb="FFFF0000"/>
        <rFont val="Trebuchet MS"/>
        <family val="2"/>
      </rPr>
      <t>responsabilidade do cliente</t>
    </r>
  </si>
  <si>
    <r>
      <rPr>
        <b/>
        <sz val="20"/>
        <color theme="1"/>
        <rFont val="Trebuchet MS"/>
        <family val="2"/>
      </rPr>
      <t xml:space="preserve">MINI LANCHES ( 3 opções ao dia) - 100 unids de cada sabor </t>
    </r>
    <r>
      <rPr>
        <sz val="20"/>
        <color theme="1"/>
        <rFont val="Trebuchet MS"/>
        <family val="2"/>
      </rPr>
      <t xml:space="preserve">                                                                               Mini francês com parmesão, presunto sadia, tomate (requeijão, queijo minas padrão)Galbani 
Mini australiano com presunto Royale (creme de ricota, mussarela) President 
Mini multigrãos com tomate seco e rúcula (ricota, queijo fatiado) – processador Itambé                  </t>
    </r>
    <r>
      <rPr>
        <sz val="20"/>
        <color rgb="FFFF0000"/>
        <rFont val="Trebuchet MS"/>
        <family val="2"/>
      </rPr>
      <t xml:space="preserve">                                              </t>
    </r>
    <r>
      <rPr>
        <b/>
        <sz val="20"/>
        <color theme="1"/>
        <rFont val="Trebuchet MS"/>
        <family val="2"/>
      </rPr>
      <t>SALGADOS: (3 opções ao dia) - 100 unids de cada</t>
    </r>
    <r>
      <rPr>
        <sz val="20"/>
        <color theme="1"/>
        <rFont val="Trebuchet MS"/>
        <family val="2"/>
      </rPr>
      <t xml:space="preserve">
Mini pão de queijo
Mini empada de frango com requeijão
Mini pizza – mussarela Galbani – Mussarela President – Minas padrão com goiabada itambe                     </t>
    </r>
    <r>
      <rPr>
        <b/>
        <sz val="20"/>
        <color theme="1"/>
        <rFont val="Trebuchet MS"/>
        <family val="2"/>
      </rPr>
      <t xml:space="preserve">BEBIDAS: </t>
    </r>
    <r>
      <rPr>
        <sz val="20"/>
        <color theme="1"/>
        <rFont val="Trebuchet MS"/>
        <family val="2"/>
      </rPr>
      <t xml:space="preserve">                                                                                                                                                                                                  Água 50 litros por dia/ suco 30 litros por dia / refrigerante normal e zero( 20 um total de 2l por dia) descartável   - sendo: água com e sem gás, suco de laranja integral                                                                                                                                                                              </t>
    </r>
    <r>
      <rPr>
        <b/>
        <sz val="20"/>
        <color theme="1"/>
        <rFont val="Trebuchet MS"/>
        <family val="2"/>
      </rPr>
      <t>DOCES: - 2 opções por dia</t>
    </r>
    <r>
      <rPr>
        <sz val="20"/>
        <color theme="1"/>
        <rFont val="Trebuchet MS"/>
        <family val="2"/>
      </rPr>
      <t xml:space="preserve">
Mini banoff no copinho  – doce de leite itambe – 
Brigadeiro – forminha azul 
</t>
    </r>
  </si>
  <si>
    <r>
      <t>Máquina de café expresso| com insumos -</t>
    </r>
    <r>
      <rPr>
        <sz val="20"/>
        <color rgb="FFFF0000"/>
        <rFont val="Trebuchet MS"/>
        <family val="2"/>
      </rPr>
      <t xml:space="preserve"> incluso na proposta do buffet</t>
    </r>
  </si>
  <si>
    <r>
      <t xml:space="preserve">Produtor (full time) dedicado no período de montagem, e  desmontagem do estande. </t>
    </r>
    <r>
      <rPr>
        <sz val="20"/>
        <color rgb="FFFF0000"/>
        <rFont val="Trebuchet MS"/>
        <family val="2"/>
      </rPr>
      <t>Contratação local</t>
    </r>
    <r>
      <rPr>
        <sz val="20"/>
        <color theme="1"/>
        <rFont val="Trebuchet MS"/>
        <family val="2"/>
      </rPr>
      <t xml:space="preserve"> - dias 01, 02, 03, 04 e 05/08</t>
    </r>
  </si>
  <si>
    <r>
      <t xml:space="preserve">Produtor responsável pelas operações do estande - </t>
    </r>
    <r>
      <rPr>
        <sz val="20"/>
        <color rgb="FFFF0000"/>
        <rFont val="Trebuchet MS"/>
        <family val="2"/>
      </rPr>
      <t>contratação local</t>
    </r>
    <r>
      <rPr>
        <sz val="20"/>
        <color theme="1"/>
        <rFont val="Trebuchet MS"/>
        <family val="2"/>
      </rPr>
      <t xml:space="preserve"> - dias 06, 07 e 08/08</t>
    </r>
  </si>
  <si>
    <r>
      <t xml:space="preserve">Passagem aérea + hospedagem + deslocamento de 1 produtor da Oggi SP 
</t>
    </r>
    <r>
      <rPr>
        <sz val="20"/>
        <color rgb="FFFF0000"/>
        <rFont val="Trebuchet MS"/>
        <family val="2"/>
      </rPr>
      <t>(Valor estimado | podendo alterar)</t>
    </r>
  </si>
  <si>
    <t>REEMBOLSO GIOVANNI MONTADOR</t>
  </si>
  <si>
    <t>REEMBOLSO - GIOVANNI  - MONTADORA -  PIX EM - 06/02/2026</t>
  </si>
  <si>
    <t>CUSTO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</si>
</sst>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8" formatCode="&quot;R$&quot;\ #,##0.00;[Red]\-&quot;R$&quot;\ #,##0.00"/>
    <numFmt numFmtId="44" formatCode="_-&quot;R$&quot;\ * #,##0.00_-;\-&quot;R$&quot;\ * #,##0.00_-;_-&quot;R$&quot;\ * &quot;-&quot;??_-;_-@_-"/>
    <numFmt numFmtId="164" formatCode="00&quot;/&quot;00&quot;/&quot;0000"/>
    <numFmt numFmtId="165" formatCode="_(&quot;R$ &quot;* #,##0.00_);_(&quot;R$ &quot;* \(#,##0.00\);_(&quot;R$ &quot;* &quot;-&quot;??_);_(@_)"/>
    <numFmt numFmtId="166" formatCode="_-[$R$-416]\ * #,##0.00_-;\-[$R$-416]\ * #,##0.00_-;_-[$R$-416]\ * &quot;-&quot;??_-;_-@_-"/>
    <numFmt numFmtId="167" formatCode="_(&quot;R$&quot;* #,##0.00_);_(&quot;R$&quot;* \(#,##0.00\);_(&quot;R$&quot;* &quot;-&quot;??_);_(@_)"/>
    <numFmt numFmtId="168" formatCode="0.000000000%"/>
    <numFmt numFmtId="169" formatCode="_-&quot;R$&quot;* #,##0.00_-;\-&quot;R$&quot;* #,##0.00_-;_-&quot;R$&quot;* &quot;-&quot;??_-;_-@_-"/>
    <numFmt numFmtId="170" formatCode="&quot;R$&quot;\ #,##0.00"/>
  </numFmts>
  <fonts count="76"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2"/>
      <name val="Trebuchet MS"/>
      <family val="2"/>
    </font>
    <font>
      <b/>
      <sz val="20"/>
      <name val="Trebuchet MS"/>
      <family val="2"/>
    </font>
    <font>
      <b/>
      <sz val="14"/>
      <name val="Trebuchet MS"/>
      <family val="2"/>
    </font>
    <font>
      <sz val="11"/>
      <name val="Verdana"/>
      <family val="2"/>
    </font>
    <font>
      <b/>
      <sz val="12"/>
      <color indexed="63"/>
      <name val="Trebuchet MS"/>
      <family val="2"/>
    </font>
    <font>
      <b/>
      <sz val="18"/>
      <color theme="1"/>
      <name val="Arial"/>
      <family val="2"/>
    </font>
    <font>
      <b/>
      <sz val="12"/>
      <color theme="1"/>
      <name val="Arial"/>
      <family val="2"/>
    </font>
    <font>
      <sz val="12"/>
      <color theme="0"/>
      <name val="Trebuchet MS"/>
      <family val="2"/>
    </font>
    <font>
      <sz val="11"/>
      <color indexed="8"/>
      <name val="Calibri"/>
      <family val="2"/>
    </font>
    <font>
      <sz val="11"/>
      <color theme="1"/>
      <name val="Calibri"/>
      <family val="2"/>
      <scheme val="minor"/>
    </font>
    <font>
      <sz val="11"/>
      <color theme="0"/>
      <name val="Calibri"/>
      <family val="2"/>
      <scheme val="minor"/>
    </font>
    <font>
      <b/>
      <sz val="14"/>
      <color theme="1"/>
      <name val="Trebuchet MS"/>
      <family val="2"/>
    </font>
    <font>
      <sz val="8"/>
      <color rgb="FFFFFFFF"/>
      <name val="Arial"/>
      <family val="2"/>
    </font>
    <font>
      <b/>
      <sz val="10"/>
      <color rgb="FFFFFFFF"/>
      <name val="Arial"/>
      <family val="2"/>
    </font>
    <font>
      <sz val="12"/>
      <color rgb="FFFFFFFF"/>
      <name val="Arial"/>
      <family val="2"/>
    </font>
    <font>
      <b/>
      <sz val="18"/>
      <color rgb="FFFFFFFF"/>
      <name val="Arial"/>
      <family val="2"/>
    </font>
    <font>
      <b/>
      <sz val="11"/>
      <color rgb="FFFFFFFF"/>
      <name val="Arial"/>
      <family val="2"/>
    </font>
    <font>
      <b/>
      <sz val="14"/>
      <color theme="1"/>
      <name val="Gadugi"/>
      <family val="2"/>
    </font>
    <font>
      <sz val="10"/>
      <name val="Verdana"/>
      <family val="2"/>
    </font>
    <font>
      <sz val="12"/>
      <color theme="1"/>
      <name val="Trebuchet MS"/>
      <family val="2"/>
    </font>
    <font>
      <b/>
      <sz val="12"/>
      <color theme="1"/>
      <name val="Trebuchet MS"/>
      <family val="2"/>
    </font>
    <font>
      <b/>
      <sz val="14"/>
      <color theme="0"/>
      <name val="Trebuchet MS"/>
      <family val="2"/>
    </font>
    <font>
      <sz val="12"/>
      <color rgb="FFFF0000"/>
      <name val="Trebuchet MS"/>
      <family val="2"/>
    </font>
    <font>
      <b/>
      <sz val="16"/>
      <color theme="0"/>
      <name val="Trebuchet MS"/>
      <family val="2"/>
    </font>
    <font>
      <b/>
      <sz val="10"/>
      <color theme="0"/>
      <name val="Trebuchet MS"/>
      <family val="2"/>
    </font>
    <font>
      <b/>
      <sz val="10"/>
      <color theme="0"/>
      <name val="Calibri"/>
      <family val="2"/>
      <scheme val="minor"/>
    </font>
    <font>
      <sz val="10"/>
      <color theme="1"/>
      <name val="Calibri"/>
      <family val="2"/>
      <scheme val="minor"/>
    </font>
    <font>
      <b/>
      <sz val="10"/>
      <color rgb="FFFF0000"/>
      <name val="Trebuchet MS"/>
      <family val="2"/>
    </font>
    <font>
      <b/>
      <sz val="10"/>
      <color theme="1"/>
      <name val="Calibri"/>
      <family val="2"/>
      <scheme val="minor"/>
    </font>
    <font>
      <b/>
      <sz val="11"/>
      <name val="Trebuchet MS"/>
      <family val="2"/>
    </font>
    <font>
      <sz val="11"/>
      <color rgb="FFFF0000"/>
      <name val="Calibri"/>
      <family val="2"/>
      <scheme val="minor"/>
    </font>
    <font>
      <sz val="10"/>
      <color rgb="FFFF0000"/>
      <name val="Calibri"/>
      <family val="2"/>
      <scheme val="minor"/>
    </font>
    <font>
      <sz val="12"/>
      <color rgb="FF0476D0"/>
      <name val="Trebuchet MS"/>
      <family val="2"/>
    </font>
    <font>
      <sz val="12"/>
      <color rgb="FFEE0000"/>
      <name val="Trebuchet MS"/>
      <family val="2"/>
    </font>
    <font>
      <sz val="8"/>
      <name val="Calibri"/>
      <family val="2"/>
      <scheme val="minor"/>
    </font>
    <font>
      <b/>
      <sz val="16"/>
      <color theme="1"/>
      <name val="Calibri"/>
      <family val="2"/>
      <scheme val="minor"/>
    </font>
    <font>
      <sz val="16"/>
      <color theme="1"/>
      <name val="Trebuchet MS"/>
      <family val="2"/>
    </font>
    <font>
      <b/>
      <sz val="16"/>
      <name val="Trebuchet MS"/>
      <family val="2"/>
    </font>
    <font>
      <b/>
      <sz val="16"/>
      <color theme="1"/>
      <name val="Trebuchet MS"/>
      <family val="2"/>
    </font>
    <font>
      <b/>
      <sz val="16"/>
      <color indexed="63"/>
      <name val="Trebuchet MS"/>
      <family val="2"/>
    </font>
    <font>
      <b/>
      <sz val="16"/>
      <color rgb="FFFF0000"/>
      <name val="Trebuchet MS"/>
      <family val="2"/>
    </font>
    <font>
      <b/>
      <sz val="16"/>
      <color rgb="FF00B050"/>
      <name val="Trebuchet MS"/>
      <family val="2"/>
    </font>
    <font>
      <sz val="16"/>
      <name val="Trebuchet MS"/>
      <family val="2"/>
    </font>
    <font>
      <sz val="16"/>
      <color rgb="FFFF0000"/>
      <name val="Trebuchet MS"/>
      <family val="2"/>
    </font>
    <font>
      <b/>
      <sz val="18"/>
      <color theme="1"/>
      <name val="Calibri"/>
      <family val="2"/>
      <scheme val="minor"/>
    </font>
    <font>
      <sz val="16"/>
      <color theme="1"/>
      <name val="Calibri"/>
      <family val="2"/>
      <scheme val="minor"/>
    </font>
    <font>
      <b/>
      <sz val="18"/>
      <color rgb="FFFF0000"/>
      <name val="Calibri"/>
      <family val="2"/>
      <scheme val="minor"/>
    </font>
    <font>
      <b/>
      <sz val="18"/>
      <color rgb="FF00B0F0"/>
      <name val="Calibri"/>
      <family val="2"/>
      <scheme val="minor"/>
    </font>
    <font>
      <b/>
      <sz val="16"/>
      <color rgb="FF00B050"/>
      <name val="Calibri"/>
      <family val="2"/>
      <scheme val="minor"/>
    </font>
    <font>
      <b/>
      <sz val="16"/>
      <color theme="1"/>
      <name val="Gadugi"/>
      <family val="2"/>
    </font>
    <font>
      <sz val="16"/>
      <color theme="0"/>
      <name val="Calibri"/>
      <family val="2"/>
      <scheme val="minor"/>
    </font>
    <font>
      <b/>
      <sz val="11"/>
      <color theme="0"/>
      <name val="Calibri"/>
      <family val="2"/>
      <scheme val="minor"/>
    </font>
    <font>
      <b/>
      <sz val="13"/>
      <name val="Trebuchet MS"/>
      <family val="2"/>
    </font>
    <font>
      <b/>
      <sz val="13"/>
      <color theme="0"/>
      <name val="Trebuchet MS"/>
      <family val="2"/>
    </font>
    <font>
      <sz val="20"/>
      <color theme="1"/>
      <name val="Trebuchet MS"/>
      <family val="2"/>
    </font>
    <font>
      <b/>
      <sz val="20"/>
      <color theme="1"/>
      <name val="Trebuchet MS"/>
      <family val="2"/>
    </font>
    <font>
      <b/>
      <sz val="22"/>
      <name val="Trebuchet MS"/>
      <family val="2"/>
    </font>
    <font>
      <b/>
      <sz val="20"/>
      <color indexed="63"/>
      <name val="Trebuchet MS"/>
      <family val="2"/>
    </font>
    <font>
      <sz val="20"/>
      <color theme="0"/>
      <name val="Trebuchet MS"/>
      <family val="2"/>
    </font>
    <font>
      <b/>
      <sz val="20"/>
      <color theme="0"/>
      <name val="Trebuchet MS"/>
      <family val="2"/>
    </font>
    <font>
      <b/>
      <sz val="20"/>
      <color rgb="FFFF0000"/>
      <name val="Trebuchet MS"/>
      <family val="2"/>
    </font>
    <font>
      <b/>
      <sz val="20"/>
      <color rgb="FF00B050"/>
      <name val="Trebuchet MS"/>
      <family val="2"/>
    </font>
    <font>
      <sz val="20"/>
      <name val="Trebuchet MS"/>
      <family val="2"/>
    </font>
    <font>
      <sz val="20"/>
      <color rgb="FFFF0000"/>
      <name val="Trebuchet MS"/>
      <family val="2"/>
    </font>
    <font>
      <b/>
      <sz val="20"/>
      <color rgb="FF00B0F0"/>
      <name val="Trebuchet MS"/>
      <family val="2"/>
    </font>
    <font>
      <sz val="13"/>
      <color theme="1"/>
      <name val="Trebuchet MS"/>
      <family val="2"/>
    </font>
    <font>
      <b/>
      <sz val="12"/>
      <color theme="0"/>
      <name val="Trebuchet MS"/>
      <family val="2"/>
    </font>
    <font>
      <b/>
      <sz val="13"/>
      <color theme="1"/>
      <name val="Trebuchet MS"/>
      <family val="2"/>
    </font>
    <font>
      <b/>
      <sz val="13"/>
      <color rgb="FF00B0F0"/>
      <name val="Trebuchet MS"/>
      <family val="2"/>
    </font>
    <font>
      <b/>
      <sz val="13"/>
      <color rgb="FFFF0000"/>
      <name val="Trebuchet MS"/>
      <family val="2"/>
    </font>
    <font>
      <sz val="13"/>
      <color theme="0"/>
      <name val="Trebuchet MS"/>
      <family val="2"/>
    </font>
    <font>
      <sz val="13"/>
      <color rgb="FFFF0000"/>
      <name val="Trebuchet MS"/>
      <family val="2"/>
    </font>
  </fonts>
  <fills count="24">
    <fill>
      <patternFill patternType="none"/>
    </fill>
    <fill>
      <patternFill patternType="gray125"/>
    </fill>
    <fill>
      <patternFill patternType="solid">
        <fgColor rgb="FFFFFF99"/>
        <bgColor indexed="64"/>
      </patternFill>
    </fill>
    <fill>
      <patternFill patternType="solid">
        <fgColor indexed="47"/>
        <bgColor indexed="64"/>
      </patternFill>
    </fill>
    <fill>
      <patternFill patternType="solid">
        <fgColor theme="7" tint="-0.249977111117893"/>
        <bgColor indexed="64"/>
      </patternFill>
    </fill>
    <fill>
      <patternFill patternType="solid">
        <fgColor theme="5"/>
        <bgColor indexed="64"/>
      </patternFill>
    </fill>
    <fill>
      <patternFill patternType="solid">
        <fgColor indexed="22"/>
        <bgColor indexed="64"/>
      </patternFill>
    </fill>
    <fill>
      <patternFill patternType="solid">
        <fgColor rgb="FFFF964F"/>
        <bgColor indexed="64"/>
      </patternFill>
    </fill>
    <fill>
      <patternFill patternType="solid">
        <fgColor rgb="FF0476D0"/>
      </patternFill>
    </fill>
    <fill>
      <patternFill patternType="solid">
        <fgColor rgb="FFF0F0F0"/>
      </patternFill>
    </fill>
    <fill>
      <patternFill patternType="solid">
        <fgColor theme="3" tint="-0.249977111117893"/>
        <bgColor indexed="64"/>
      </patternFill>
    </fill>
    <fill>
      <patternFill patternType="solid">
        <fgColor theme="3" tint="0.39994506668294322"/>
        <bgColor indexed="64"/>
      </patternFill>
    </fill>
    <fill>
      <patternFill patternType="solid">
        <fgColor theme="0"/>
        <bgColor indexed="64"/>
      </patternFill>
    </fill>
    <fill>
      <patternFill patternType="solid">
        <fgColor theme="0" tint="-0.249977111117893"/>
        <bgColor indexed="64"/>
      </patternFill>
    </fill>
    <fill>
      <patternFill patternType="solid">
        <fgColor rgb="FFFFFFCC"/>
        <bgColor indexed="64"/>
      </patternFill>
    </fill>
    <fill>
      <patternFill patternType="solid">
        <fgColor rgb="FFFDE9D9"/>
        <bgColor indexed="64"/>
      </patternFill>
    </fill>
    <fill>
      <patternFill patternType="solid">
        <fgColor rgb="FFE4DFEC"/>
        <bgColor indexed="64"/>
      </patternFill>
    </fill>
    <fill>
      <patternFill patternType="solid">
        <fgColor theme="3" tint="-0.499984740745262"/>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00B0F0"/>
        <bgColor indexed="64"/>
      </patternFill>
    </fill>
  </fills>
  <borders count="112">
    <border>
      <left/>
      <right/>
      <top/>
      <bottom/>
      <diagonal/>
    </border>
    <border>
      <left/>
      <right/>
      <top/>
      <bottom style="hair">
        <color auto="1"/>
      </bottom>
      <diagonal/>
    </border>
    <border>
      <left/>
      <right/>
      <top style="hair">
        <color auto="1"/>
      </top>
      <bottom style="hair">
        <color auto="1"/>
      </bottom>
      <diagonal/>
    </border>
    <border>
      <left style="medium">
        <color indexed="64"/>
      </left>
      <right style="thin">
        <color rgb="FF000000"/>
      </right>
      <top style="medium">
        <color indexed="64"/>
      </top>
      <bottom style="medium">
        <color indexed="64"/>
      </bottom>
      <diagonal/>
    </border>
    <border>
      <left/>
      <right style="thin">
        <color rgb="FF000000"/>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auto="1"/>
      </right>
      <top/>
      <bottom/>
      <diagonal/>
    </border>
    <border>
      <left style="thin">
        <color auto="1"/>
      </left>
      <right style="thin">
        <color auto="1"/>
      </right>
      <top style="thin">
        <color auto="1"/>
      </top>
      <bottom style="hair">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indexed="64"/>
      </left>
      <right style="thin">
        <color auto="1"/>
      </right>
      <top style="hair">
        <color auto="1"/>
      </top>
      <bottom style="hair">
        <color indexed="64"/>
      </bottom>
      <diagonal/>
    </border>
    <border>
      <left style="thin">
        <color indexed="64"/>
      </left>
      <right/>
      <top style="hair">
        <color indexed="64"/>
      </top>
      <bottom style="hair">
        <color indexed="64"/>
      </bottom>
      <diagonal/>
    </border>
    <border>
      <left/>
      <right style="thin">
        <color auto="1"/>
      </right>
      <top style="hair">
        <color auto="1"/>
      </top>
      <bottom style="hair">
        <color indexed="64"/>
      </bottom>
      <diagonal/>
    </border>
    <border>
      <left style="thin">
        <color indexed="64"/>
      </left>
      <right style="thin">
        <color auto="1"/>
      </right>
      <top style="hair">
        <color auto="1"/>
      </top>
      <bottom style="thin">
        <color indexed="64"/>
      </bottom>
      <diagonal/>
    </border>
    <border>
      <left style="thin">
        <color auto="1"/>
      </left>
      <right/>
      <top style="hair">
        <color auto="1"/>
      </top>
      <bottom style="thin">
        <color indexed="64"/>
      </bottom>
      <diagonal/>
    </border>
    <border>
      <left/>
      <right/>
      <top style="hair">
        <color auto="1"/>
      </top>
      <bottom style="thin">
        <color indexed="64"/>
      </bottom>
      <diagonal/>
    </border>
    <border>
      <left/>
      <right style="thin">
        <color indexed="64"/>
      </right>
      <top style="hair">
        <color auto="1"/>
      </top>
      <bottom style="thin">
        <color indexed="64"/>
      </bottom>
      <diagonal/>
    </border>
    <border>
      <left style="thin">
        <color indexed="64"/>
      </left>
      <right style="thin">
        <color auto="1"/>
      </right>
      <top/>
      <bottom style="hair">
        <color indexed="64"/>
      </bottom>
      <diagonal/>
    </border>
    <border>
      <left style="thin">
        <color indexed="64"/>
      </left>
      <right/>
      <top/>
      <bottom style="hair">
        <color indexed="64"/>
      </bottom>
      <diagonal/>
    </border>
    <border>
      <left/>
      <right style="thin">
        <color auto="1"/>
      </right>
      <top/>
      <bottom style="hair">
        <color indexed="64"/>
      </bottom>
      <diagonal/>
    </border>
    <border>
      <left/>
      <right style="thin">
        <color auto="1"/>
      </right>
      <top style="thin">
        <color auto="1"/>
      </top>
      <bottom/>
      <diagonal/>
    </border>
    <border>
      <left style="thin">
        <color indexed="64"/>
      </left>
      <right style="thin">
        <color auto="1"/>
      </right>
      <top style="hair">
        <color auto="1"/>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medium">
        <color indexed="64"/>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right/>
      <top style="thin">
        <color rgb="FFA9A9A9"/>
      </top>
      <bottom/>
      <diagonal/>
    </border>
    <border>
      <left style="thin">
        <color rgb="FFBFD7ED"/>
      </left>
      <right/>
      <top style="thin">
        <color rgb="FFBFD7ED"/>
      </top>
      <bottom/>
      <diagonal/>
    </border>
    <border>
      <left style="thin">
        <color rgb="FFBFD7ED"/>
      </left>
      <right style="thin">
        <color rgb="FFBFD7ED"/>
      </right>
      <top style="thin">
        <color rgb="FFBFD7ED"/>
      </top>
      <bottom/>
      <diagonal/>
    </border>
    <border>
      <left style="thin">
        <color rgb="FFA9A9A9"/>
      </left>
      <right/>
      <top style="thin">
        <color rgb="FFA9A9A9"/>
      </top>
      <bottom/>
      <diagonal/>
    </border>
    <border>
      <left style="thin">
        <color rgb="FFA9A9A9"/>
      </left>
      <right style="thin">
        <color rgb="FFA9A9A9"/>
      </right>
      <top style="thin">
        <color rgb="FFA9A9A9"/>
      </top>
      <bottom/>
      <diagonal/>
    </border>
    <border>
      <left style="thin">
        <color rgb="FFA9A9A9"/>
      </left>
      <right/>
      <top style="thin">
        <color rgb="FFA9A9A9"/>
      </top>
      <bottom style="thin">
        <color rgb="FFA9A9A9"/>
      </bottom>
      <diagonal/>
    </border>
    <border>
      <left style="thin">
        <color rgb="FFA9A9A9"/>
      </left>
      <right style="thin">
        <color rgb="FFA9A9A9"/>
      </right>
      <top style="thin">
        <color rgb="FFA9A9A9"/>
      </top>
      <bottom style="thin">
        <color rgb="FFA9A9A9"/>
      </bottom>
      <diagonal/>
    </border>
    <border>
      <left style="thin">
        <color theme="0" tint="-0.14990691854609822"/>
      </left>
      <right/>
      <top style="thin">
        <color theme="0" tint="-0.14990691854609822"/>
      </top>
      <bottom/>
      <diagonal/>
    </border>
    <border>
      <left style="thin">
        <color theme="0" tint="-0.14990691854609822"/>
      </left>
      <right style="thin">
        <color theme="0" tint="-0.14990691854609822"/>
      </right>
      <top style="thin">
        <color theme="0" tint="-0.14990691854609822"/>
      </top>
      <bottom/>
      <diagonal/>
    </border>
    <border>
      <left/>
      <right/>
      <top style="thin">
        <color theme="0" tint="-0.14990691854609822"/>
      </top>
      <bottom/>
      <diagonal/>
    </border>
    <border>
      <left/>
      <right style="thin">
        <color indexed="64"/>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theme="0" tint="-0.14990691854609822"/>
      </left>
      <right/>
      <top/>
      <bottom/>
      <diagonal/>
    </border>
    <border>
      <left style="thin">
        <color theme="0" tint="-0.14990691854609822"/>
      </left>
      <right/>
      <top style="thin">
        <color theme="0" tint="-0.14990691854609822"/>
      </top>
      <bottom style="thin">
        <color theme="0" tint="-0.14990691854609822"/>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right/>
      <top style="thin">
        <color theme="0" tint="-0.14990691854609822"/>
      </top>
      <bottom style="thin">
        <color theme="0" tint="-0.14990691854609822"/>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theme="0" tint="-0.14990691854609822"/>
      </left>
      <right/>
      <top/>
      <bottom style="thin">
        <color theme="0" tint="-0.14990691854609822"/>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0" tint="-0.14990691854609822"/>
      </bottom>
      <diagonal/>
    </border>
    <border>
      <left style="thick">
        <color auto="1"/>
      </left>
      <right style="thin">
        <color indexed="64"/>
      </right>
      <top style="medium">
        <color indexed="64"/>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style="medium">
        <color indexed="64"/>
      </bottom>
      <diagonal/>
    </border>
    <border>
      <left style="thick">
        <color indexed="64"/>
      </left>
      <right/>
      <top style="thick">
        <color indexed="64"/>
      </top>
      <bottom style="thin">
        <color indexed="64"/>
      </bottom>
      <diagonal/>
    </border>
    <border>
      <left style="thick">
        <color indexed="64"/>
      </left>
      <right/>
      <top style="thin">
        <color indexed="64"/>
      </top>
      <bottom style="thin">
        <color indexed="64"/>
      </bottom>
      <diagonal/>
    </border>
    <border>
      <left/>
      <right style="medium">
        <color auto="1"/>
      </right>
      <top style="medium">
        <color indexed="64"/>
      </top>
      <bottom/>
      <diagonal/>
    </border>
    <border>
      <left/>
      <right style="medium">
        <color auto="1"/>
      </right>
      <top/>
      <bottom style="medium">
        <color indexed="64"/>
      </bottom>
      <diagonal/>
    </border>
    <border>
      <left style="medium">
        <color auto="1"/>
      </left>
      <right/>
      <top style="medium">
        <color auto="1"/>
      </top>
      <bottom style="hair">
        <color auto="1"/>
      </bottom>
      <diagonal/>
    </border>
    <border>
      <left/>
      <right style="medium">
        <color auto="1"/>
      </right>
      <top style="medium">
        <color auto="1"/>
      </top>
      <bottom style="hair">
        <color auto="1"/>
      </bottom>
      <diagonal/>
    </border>
    <border>
      <left style="medium">
        <color auto="1"/>
      </left>
      <right/>
      <top/>
      <bottom style="hair">
        <color indexed="64"/>
      </bottom>
      <diagonal/>
    </border>
    <border>
      <left/>
      <right style="medium">
        <color auto="1"/>
      </right>
      <top/>
      <bottom style="hair">
        <color indexed="64"/>
      </bottom>
      <diagonal/>
    </border>
    <border>
      <left/>
      <right style="medium">
        <color auto="1"/>
      </right>
      <top style="hair">
        <color auto="1"/>
      </top>
      <bottom style="hair">
        <color indexed="64"/>
      </bottom>
      <diagonal/>
    </border>
    <border>
      <left/>
      <right style="medium">
        <color auto="1"/>
      </right>
      <top style="hair">
        <color auto="1"/>
      </top>
      <bottom style="medium">
        <color auto="1"/>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ck">
        <color indexed="64"/>
      </left>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top style="medium">
        <color auto="1"/>
      </top>
      <bottom style="thin">
        <color auto="1"/>
      </bottom>
      <diagonal/>
    </border>
    <border>
      <left style="medium">
        <color indexed="64"/>
      </left>
      <right style="dashed">
        <color indexed="64"/>
      </right>
      <top/>
      <bottom style="medium">
        <color indexed="64"/>
      </bottom>
      <diagonal/>
    </border>
    <border>
      <left style="thin">
        <color indexed="64"/>
      </left>
      <right/>
      <top/>
      <bottom/>
      <diagonal/>
    </border>
  </borders>
  <cellStyleXfs count="18">
    <xf numFmtId="0" fontId="0" fillId="0" borderId="0"/>
    <xf numFmtId="9" fontId="1" fillId="0" borderId="0" applyFont="0" applyFill="0" applyBorder="0" applyAlignment="0" applyProtection="0"/>
    <xf numFmtId="0" fontId="3" fillId="0" borderId="0"/>
    <xf numFmtId="0" fontId="7" fillId="0" borderId="0"/>
    <xf numFmtId="165" fontId="3" fillId="0" borderId="0" applyFont="0" applyFill="0" applyBorder="0" applyAlignment="0" applyProtection="0"/>
    <xf numFmtId="9" fontId="3" fillId="0" borderId="0" applyFont="0" applyFill="0" applyBorder="0" applyAlignment="0" applyProtection="0"/>
    <xf numFmtId="167" fontId="12" fillId="0" borderId="0" applyFont="0" applyFill="0" applyBorder="0" applyAlignment="0" applyProtection="0"/>
    <xf numFmtId="0" fontId="13" fillId="0" borderId="0"/>
    <xf numFmtId="44" fontId="1" fillId="0" borderId="0" applyFont="0" applyFill="0" applyBorder="0" applyAlignment="0" applyProtection="0"/>
    <xf numFmtId="44" fontId="1" fillId="0" borderId="0" applyFont="0" applyFill="0" applyBorder="0" applyAlignment="0" applyProtection="0"/>
    <xf numFmtId="44" fontId="12" fillId="0" borderId="0" applyFont="0" applyFill="0" applyBorder="0" applyAlignment="0" applyProtection="0"/>
    <xf numFmtId="44" fontId="1" fillId="0" borderId="0" applyFont="0" applyFill="0" applyBorder="0" applyAlignment="0" applyProtection="0"/>
    <xf numFmtId="0" fontId="22"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2" fillId="0" borderId="0" applyFont="0" applyFill="0" applyBorder="0" applyAlignment="0" applyProtection="0"/>
    <xf numFmtId="44" fontId="1" fillId="0" borderId="0" applyFont="0" applyFill="0" applyBorder="0" applyAlignment="0" applyProtection="0"/>
  </cellStyleXfs>
  <cellXfs count="709">
    <xf numFmtId="0" fontId="0" fillId="0" borderId="0" xfId="0"/>
    <xf numFmtId="49" fontId="0" fillId="0" borderId="0" xfId="0" applyNumberFormat="1"/>
    <xf numFmtId="0" fontId="0" fillId="0" borderId="11" xfId="0" applyBorder="1"/>
    <xf numFmtId="0" fontId="0" fillId="0" borderId="12" xfId="0" applyBorder="1"/>
    <xf numFmtId="0" fontId="0" fillId="0" borderId="13" xfId="0" applyBorder="1"/>
    <xf numFmtId="0" fontId="0" fillId="0" borderId="17" xfId="0" applyBorder="1"/>
    <xf numFmtId="0" fontId="0" fillId="0" borderId="18" xfId="0" applyBorder="1"/>
    <xf numFmtId="0" fontId="2" fillId="0" borderId="19" xfId="0" applyFont="1" applyBorder="1"/>
    <xf numFmtId="0" fontId="2" fillId="0" borderId="23" xfId="0" applyFont="1" applyBorder="1"/>
    <xf numFmtId="0" fontId="0" fillId="0" borderId="2" xfId="0" applyBorder="1" applyAlignment="1">
      <alignment horizontal="left"/>
    </xf>
    <xf numFmtId="0" fontId="0" fillId="0" borderId="25" xfId="0" applyBorder="1" applyAlignment="1">
      <alignment horizontal="left"/>
    </xf>
    <xf numFmtId="0" fontId="2" fillId="0" borderId="26" xfId="0" applyFont="1" applyBorder="1"/>
    <xf numFmtId="0" fontId="2" fillId="0" borderId="26" xfId="0" applyFont="1" applyBorder="1" applyAlignment="1">
      <alignment horizontal="center"/>
    </xf>
    <xf numFmtId="0" fontId="0" fillId="0" borderId="14" xfId="0" applyBorder="1"/>
    <xf numFmtId="0" fontId="0" fillId="0" borderId="15" xfId="0" applyBorder="1"/>
    <xf numFmtId="0" fontId="0" fillId="0" borderId="16" xfId="0" applyBorder="1"/>
    <xf numFmtId="0" fontId="2" fillId="0" borderId="30" xfId="0" applyFont="1" applyBorder="1"/>
    <xf numFmtId="0" fontId="2" fillId="0" borderId="2" xfId="0" applyFont="1" applyBorder="1" applyAlignment="1">
      <alignment horizontal="left"/>
    </xf>
    <xf numFmtId="0" fontId="2" fillId="0" borderId="23" xfId="0" applyFont="1" applyBorder="1" applyAlignment="1">
      <alignment horizontal="center"/>
    </xf>
    <xf numFmtId="0" fontId="2" fillId="0" borderId="19" xfId="0" applyFont="1" applyBorder="1" applyAlignment="1">
      <alignment horizontal="center"/>
    </xf>
    <xf numFmtId="0" fontId="2" fillId="0" borderId="34" xfId="0" applyFont="1" applyBorder="1" applyAlignment="1">
      <alignment horizontal="center"/>
    </xf>
    <xf numFmtId="0" fontId="0" fillId="0" borderId="26" xfId="0" applyBorder="1"/>
    <xf numFmtId="0" fontId="0" fillId="0" borderId="27" xfId="0" applyBorder="1"/>
    <xf numFmtId="0" fontId="0" fillId="0" borderId="29" xfId="0" applyBorder="1"/>
    <xf numFmtId="0" fontId="0" fillId="0" borderId="0" xfId="0" applyAlignment="1">
      <alignment horizontal="right"/>
    </xf>
    <xf numFmtId="0" fontId="11" fillId="4" borderId="35" xfId="0" applyFont="1" applyFill="1" applyBorder="1"/>
    <xf numFmtId="0" fontId="11" fillId="4" borderId="36" xfId="0" applyFont="1" applyFill="1" applyBorder="1"/>
    <xf numFmtId="0" fontId="0" fillId="0" borderId="0" xfId="1" applyNumberFormat="1" applyFont="1"/>
    <xf numFmtId="0" fontId="14" fillId="0" borderId="0" xfId="0" applyFont="1"/>
    <xf numFmtId="165" fontId="8" fillId="6" borderId="38" xfId="4" applyFont="1" applyFill="1" applyBorder="1" applyAlignment="1">
      <alignment horizontal="center" vertical="center" wrapText="1"/>
    </xf>
    <xf numFmtId="168" fontId="2" fillId="0" borderId="5" xfId="1" applyNumberFormat="1" applyFont="1" applyBorder="1"/>
    <xf numFmtId="0" fontId="15" fillId="5" borderId="0" xfId="0" applyFont="1" applyFill="1"/>
    <xf numFmtId="49" fontId="15" fillId="5" borderId="0" xfId="0" applyNumberFormat="1" applyFont="1" applyFill="1"/>
    <xf numFmtId="164" fontId="6" fillId="0" borderId="0" xfId="2" applyNumberFormat="1" applyFont="1" applyAlignment="1">
      <alignment horizontal="left" vertical="center"/>
    </xf>
    <xf numFmtId="166" fontId="8" fillId="0" borderId="40" xfId="4" applyNumberFormat="1" applyFont="1" applyBorder="1" applyAlignment="1">
      <alignment horizontal="center" vertical="center" wrapText="1"/>
    </xf>
    <xf numFmtId="0" fontId="16" fillId="8" borderId="42" xfId="0" applyFont="1" applyFill="1" applyBorder="1" applyAlignment="1">
      <alignment vertical="center"/>
    </xf>
    <xf numFmtId="0" fontId="18" fillId="8" borderId="42" xfId="0" applyFont="1" applyFill="1" applyBorder="1" applyAlignment="1">
      <alignment horizontal="center" vertical="center"/>
    </xf>
    <xf numFmtId="22" fontId="16" fillId="8" borderId="42" xfId="0" applyNumberFormat="1" applyFont="1" applyFill="1" applyBorder="1" applyAlignment="1">
      <alignment horizontal="center" vertical="center"/>
    </xf>
    <xf numFmtId="0" fontId="20" fillId="8" borderId="43" xfId="0" applyFont="1" applyFill="1" applyBorder="1" applyAlignment="1">
      <alignment horizontal="center" vertical="center" wrapText="1"/>
    </xf>
    <xf numFmtId="0" fontId="20" fillId="8" borderId="44" xfId="0" applyFont="1" applyFill="1" applyBorder="1" applyAlignment="1">
      <alignment horizontal="center" vertical="center" wrapText="1"/>
    </xf>
    <xf numFmtId="0" fontId="0" fillId="9" borderId="45" xfId="0" applyFill="1" applyBorder="1" applyAlignment="1">
      <alignment vertical="center"/>
    </xf>
    <xf numFmtId="0" fontId="0" fillId="9" borderId="45" xfId="0" applyFill="1" applyBorder="1" applyAlignment="1">
      <alignment horizontal="right" vertical="center"/>
    </xf>
    <xf numFmtId="4" fontId="0" fillId="9" borderId="45" xfId="0" applyNumberFormat="1" applyFill="1" applyBorder="1" applyAlignment="1">
      <alignment horizontal="right" vertical="center"/>
    </xf>
    <xf numFmtId="9" fontId="0" fillId="9" borderId="45" xfId="0" applyNumberFormat="1" applyFill="1" applyBorder="1" applyAlignment="1">
      <alignment horizontal="right" vertical="center"/>
    </xf>
    <xf numFmtId="0" fontId="0" fillId="9" borderId="46" xfId="0" applyFill="1" applyBorder="1" applyAlignment="1">
      <alignment vertical="center"/>
    </xf>
    <xf numFmtId="0" fontId="0" fillId="0" borderId="45" xfId="0" applyBorder="1" applyAlignment="1">
      <alignment vertical="center"/>
    </xf>
    <xf numFmtId="0" fontId="0" fillId="0" borderId="45" xfId="0" applyBorder="1" applyAlignment="1">
      <alignment horizontal="right" vertical="center"/>
    </xf>
    <xf numFmtId="4" fontId="0" fillId="0" borderId="45" xfId="0" applyNumberFormat="1" applyBorder="1" applyAlignment="1">
      <alignment horizontal="right" vertical="center"/>
    </xf>
    <xf numFmtId="9" fontId="0" fillId="0" borderId="45" xfId="0" applyNumberFormat="1" applyBorder="1" applyAlignment="1">
      <alignment horizontal="right" vertical="center"/>
    </xf>
    <xf numFmtId="0" fontId="0" fillId="0" borderId="46" xfId="0" applyBorder="1" applyAlignment="1">
      <alignment vertical="center"/>
    </xf>
    <xf numFmtId="0" fontId="0" fillId="0" borderId="46" xfId="0" applyBorder="1" applyAlignment="1">
      <alignment vertical="center" wrapText="1"/>
    </xf>
    <xf numFmtId="0" fontId="0" fillId="9" borderId="46" xfId="0" applyFill="1" applyBorder="1" applyAlignment="1">
      <alignment vertical="center" wrapText="1"/>
    </xf>
    <xf numFmtId="0" fontId="0" fillId="9" borderId="47" xfId="0" applyFill="1" applyBorder="1" applyAlignment="1">
      <alignment vertical="center"/>
    </xf>
    <xf numFmtId="0" fontId="0" fillId="9" borderId="47" xfId="0" applyFill="1" applyBorder="1" applyAlignment="1">
      <alignment horizontal="right" vertical="center"/>
    </xf>
    <xf numFmtId="4" fontId="0" fillId="9" borderId="47" xfId="0" applyNumberFormat="1" applyFill="1" applyBorder="1" applyAlignment="1">
      <alignment horizontal="right" vertical="center"/>
    </xf>
    <xf numFmtId="9" fontId="0" fillId="9" borderId="47" xfId="0" applyNumberFormat="1" applyFill="1" applyBorder="1" applyAlignment="1">
      <alignment horizontal="right" vertical="center"/>
    </xf>
    <xf numFmtId="0" fontId="0" fillId="9" borderId="48" xfId="0" applyFill="1" applyBorder="1" applyAlignment="1">
      <alignment vertical="center"/>
    </xf>
    <xf numFmtId="0" fontId="0" fillId="0" borderId="0" xfId="0" applyAlignment="1">
      <alignment horizontal="center"/>
    </xf>
    <xf numFmtId="49" fontId="4" fillId="0" borderId="0" xfId="2" applyNumberFormat="1" applyFont="1" applyAlignment="1">
      <alignment horizontal="left" vertical="center" wrapText="1"/>
    </xf>
    <xf numFmtId="0" fontId="4" fillId="0" borderId="0" xfId="2" applyFont="1" applyAlignment="1">
      <alignment horizontal="left" vertical="center" wrapText="1"/>
    </xf>
    <xf numFmtId="0" fontId="21" fillId="0" borderId="0" xfId="0" applyFont="1" applyAlignment="1">
      <alignment horizontal="center"/>
    </xf>
    <xf numFmtId="0" fontId="23" fillId="0" borderId="49" xfId="0" applyFont="1" applyBorder="1" applyAlignment="1">
      <alignment horizontal="left" vertical="center" wrapText="1"/>
    </xf>
    <xf numFmtId="0" fontId="23" fillId="0" borderId="49" xfId="0" applyFont="1" applyBorder="1" applyAlignment="1">
      <alignment horizontal="left" vertical="center"/>
    </xf>
    <xf numFmtId="49" fontId="23" fillId="0" borderId="50" xfId="0" applyNumberFormat="1" applyFont="1" applyBorder="1" applyAlignment="1">
      <alignment horizontal="left" vertical="center"/>
    </xf>
    <xf numFmtId="0" fontId="23" fillId="0" borderId="51" xfId="0" applyFont="1" applyBorder="1" applyAlignment="1">
      <alignment horizontal="left" vertical="center"/>
    </xf>
    <xf numFmtId="10" fontId="8" fillId="6" borderId="52" xfId="5" applyNumberFormat="1" applyFont="1" applyFill="1" applyBorder="1" applyAlignment="1">
      <alignment horizontal="center" vertical="center" wrapText="1"/>
    </xf>
    <xf numFmtId="165" fontId="8" fillId="6" borderId="53" xfId="4" applyFont="1" applyFill="1" applyBorder="1" applyAlignment="1">
      <alignment horizontal="center" vertical="center" wrapText="1"/>
    </xf>
    <xf numFmtId="37" fontId="8" fillId="6" borderId="3" xfId="3" applyNumberFormat="1" applyFont="1" applyFill="1" applyBorder="1" applyAlignment="1">
      <alignment horizontal="center" vertical="center"/>
    </xf>
    <xf numFmtId="40" fontId="8" fillId="6" borderId="54" xfId="4" applyNumberFormat="1" applyFont="1" applyFill="1" applyBorder="1" applyAlignment="1">
      <alignment horizontal="center" vertical="center"/>
    </xf>
    <xf numFmtId="37" fontId="8" fillId="6" borderId="57" xfId="3" applyNumberFormat="1" applyFont="1" applyFill="1" applyBorder="1" applyAlignment="1">
      <alignment horizontal="center" vertical="center"/>
    </xf>
    <xf numFmtId="37" fontId="8" fillId="6" borderId="58" xfId="3" applyNumberFormat="1" applyFont="1" applyFill="1" applyBorder="1" applyAlignment="1">
      <alignment horizontal="center" vertical="center"/>
    </xf>
    <xf numFmtId="40" fontId="8" fillId="6" borderId="58" xfId="4" applyNumberFormat="1" applyFont="1" applyFill="1" applyBorder="1" applyAlignment="1">
      <alignment horizontal="center" vertical="center"/>
    </xf>
    <xf numFmtId="165" fontId="8" fillId="6" borderId="58" xfId="4" applyFont="1" applyFill="1" applyBorder="1" applyAlignment="1">
      <alignment horizontal="right" vertical="center"/>
    </xf>
    <xf numFmtId="40" fontId="8" fillId="6" borderId="58" xfId="4" applyNumberFormat="1" applyFont="1" applyFill="1" applyBorder="1" applyAlignment="1">
      <alignment horizontal="center" vertical="center" wrapText="1"/>
    </xf>
    <xf numFmtId="10" fontId="8" fillId="6" borderId="58" xfId="5" applyNumberFormat="1" applyFont="1" applyFill="1" applyBorder="1" applyAlignment="1">
      <alignment horizontal="center" vertical="center" wrapText="1"/>
    </xf>
    <xf numFmtId="165" fontId="8" fillId="6" borderId="58" xfId="4" applyFont="1" applyFill="1" applyBorder="1" applyAlignment="1">
      <alignment horizontal="center" vertical="center" wrapText="1"/>
    </xf>
    <xf numFmtId="165" fontId="8" fillId="6" borderId="59" xfId="4" applyFont="1" applyFill="1" applyBorder="1" applyAlignment="1">
      <alignment horizontal="center" vertical="center" wrapText="1"/>
    </xf>
    <xf numFmtId="0" fontId="23" fillId="0" borderId="0" xfId="0" applyFont="1" applyAlignment="1">
      <alignment horizontal="left" vertical="center" wrapText="1"/>
    </xf>
    <xf numFmtId="0" fontId="23" fillId="0" borderId="60" xfId="0" applyFont="1" applyBorder="1" applyAlignment="1">
      <alignment horizontal="left" vertical="center" wrapText="1"/>
    </xf>
    <xf numFmtId="0" fontId="23" fillId="0" borderId="61" xfId="0" applyFont="1" applyBorder="1" applyAlignment="1">
      <alignment horizontal="left" vertical="center" wrapText="1"/>
    </xf>
    <xf numFmtId="49" fontId="23" fillId="0" borderId="62" xfId="0" applyNumberFormat="1" applyFont="1" applyBorder="1" applyAlignment="1">
      <alignment horizontal="left" vertical="center" wrapText="1"/>
    </xf>
    <xf numFmtId="0" fontId="23" fillId="0" borderId="63" xfId="0" applyFont="1" applyBorder="1" applyAlignment="1">
      <alignment horizontal="left" vertical="center" wrapText="1"/>
    </xf>
    <xf numFmtId="0" fontId="23" fillId="0" borderId="65" xfId="0" applyFont="1" applyBorder="1" applyAlignment="1">
      <alignment vertical="center"/>
    </xf>
    <xf numFmtId="0" fontId="23" fillId="0" borderId="51" xfId="0" applyFont="1" applyBorder="1" applyAlignment="1">
      <alignment horizontal="left" vertical="center" wrapText="1"/>
    </xf>
    <xf numFmtId="49" fontId="23" fillId="0" borderId="50" xfId="0" applyNumberFormat="1" applyFont="1" applyBorder="1" applyAlignment="1">
      <alignment horizontal="left" vertical="center" wrapText="1"/>
    </xf>
    <xf numFmtId="0" fontId="24" fillId="13" borderId="65" xfId="0" applyFont="1" applyFill="1" applyBorder="1" applyAlignment="1">
      <alignment horizontal="center" vertical="center"/>
    </xf>
    <xf numFmtId="0" fontId="2" fillId="13" borderId="65" xfId="0" applyFont="1" applyFill="1" applyBorder="1" applyAlignment="1">
      <alignment horizontal="center" vertical="center"/>
    </xf>
    <xf numFmtId="44" fontId="23" fillId="0" borderId="65" xfId="8" applyFont="1" applyBorder="1" applyAlignment="1">
      <alignment vertical="center"/>
    </xf>
    <xf numFmtId="0" fontId="23" fillId="0" borderId="65" xfId="0" applyFont="1" applyBorder="1" applyAlignment="1">
      <alignment horizontal="left" vertical="center" wrapText="1"/>
    </xf>
    <xf numFmtId="1" fontId="23" fillId="14" borderId="7" xfId="0" applyNumberFormat="1" applyFont="1" applyFill="1" applyBorder="1" applyAlignment="1">
      <alignment vertical="center"/>
    </xf>
    <xf numFmtId="44" fontId="23" fillId="14" borderId="7" xfId="8" applyFont="1" applyFill="1" applyBorder="1" applyAlignment="1">
      <alignment vertical="center"/>
    </xf>
    <xf numFmtId="9" fontId="23" fillId="15" borderId="7" xfId="1" applyFont="1" applyFill="1" applyBorder="1" applyAlignment="1">
      <alignment vertical="center"/>
    </xf>
    <xf numFmtId="44" fontId="23" fillId="15" borderId="7" xfId="8" applyFont="1" applyFill="1" applyBorder="1" applyAlignment="1">
      <alignment vertical="center"/>
    </xf>
    <xf numFmtId="44" fontId="23" fillId="15" borderId="65" xfId="8" applyFont="1" applyFill="1" applyBorder="1" applyAlignment="1">
      <alignment vertical="center"/>
    </xf>
    <xf numFmtId="44" fontId="23" fillId="16" borderId="7" xfId="8" applyFont="1" applyFill="1" applyBorder="1" applyAlignment="1">
      <alignment vertical="center"/>
    </xf>
    <xf numFmtId="10" fontId="23" fillId="16" borderId="65" xfId="0" applyNumberFormat="1" applyFont="1" applyFill="1" applyBorder="1" applyAlignment="1">
      <alignment horizontal="center" vertical="center"/>
    </xf>
    <xf numFmtId="1" fontId="23" fillId="14" borderId="64" xfId="0" applyNumberFormat="1" applyFont="1" applyFill="1" applyBorder="1" applyAlignment="1">
      <alignment vertical="center"/>
    </xf>
    <xf numFmtId="44" fontId="23" fillId="14" borderId="64" xfId="8" applyFont="1" applyFill="1" applyBorder="1" applyAlignment="1">
      <alignment vertical="center"/>
    </xf>
    <xf numFmtId="44" fontId="23" fillId="16" borderId="64" xfId="8" applyFont="1" applyFill="1" applyBorder="1" applyAlignment="1">
      <alignment vertical="center"/>
    </xf>
    <xf numFmtId="9" fontId="23" fillId="15" borderId="64" xfId="1" applyFont="1" applyFill="1" applyBorder="1" applyAlignment="1">
      <alignment vertical="center"/>
    </xf>
    <xf numFmtId="44" fontId="23" fillId="15" borderId="64" xfId="8" applyFont="1" applyFill="1" applyBorder="1" applyAlignment="1">
      <alignment vertical="center"/>
    </xf>
    <xf numFmtId="44" fontId="23" fillId="15" borderId="66" xfId="8" applyFont="1" applyFill="1" applyBorder="1" applyAlignment="1">
      <alignment vertical="center"/>
    </xf>
    <xf numFmtId="44" fontId="23" fillId="0" borderId="68" xfId="8" applyFont="1" applyBorder="1" applyAlignment="1">
      <alignment vertical="center"/>
    </xf>
    <xf numFmtId="0" fontId="23" fillId="0" borderId="67" xfId="0" applyFont="1" applyBorder="1" applyAlignment="1">
      <alignment horizontal="left" vertical="center" wrapText="1"/>
    </xf>
    <xf numFmtId="0" fontId="23" fillId="0" borderId="65" xfId="0" applyFont="1" applyBorder="1" applyAlignment="1">
      <alignment horizontal="center" vertical="center"/>
    </xf>
    <xf numFmtId="0" fontId="27" fillId="17" borderId="6" xfId="0" applyFont="1" applyFill="1" applyBorder="1"/>
    <xf numFmtId="0" fontId="27" fillId="17" borderId="37" xfId="0" applyFont="1" applyFill="1" applyBorder="1"/>
    <xf numFmtId="44" fontId="27" fillId="17" borderId="37" xfId="0" applyNumberFormat="1" applyFont="1" applyFill="1" applyBorder="1"/>
    <xf numFmtId="0" fontId="4" fillId="6" borderId="70" xfId="3" applyFont="1" applyFill="1" applyBorder="1" applyAlignment="1">
      <alignment horizontal="left" vertical="center"/>
    </xf>
    <xf numFmtId="0" fontId="4" fillId="6" borderId="71" xfId="3" applyFont="1" applyFill="1" applyBorder="1" applyAlignment="1">
      <alignment horizontal="center" vertical="center"/>
    </xf>
    <xf numFmtId="0" fontId="24" fillId="6" borderId="71" xfId="3" applyFont="1" applyFill="1" applyBorder="1" applyAlignment="1">
      <alignment horizontal="center" vertical="center"/>
    </xf>
    <xf numFmtId="169" fontId="24" fillId="6" borderId="71" xfId="3" applyNumberFormat="1" applyFont="1" applyFill="1" applyBorder="1" applyAlignment="1">
      <alignment horizontal="center" vertical="center" wrapText="1"/>
    </xf>
    <xf numFmtId="0" fontId="24" fillId="6" borderId="71" xfId="3" applyFont="1" applyFill="1" applyBorder="1" applyAlignment="1">
      <alignment horizontal="center" vertical="center" wrapText="1"/>
    </xf>
    <xf numFmtId="9" fontId="24" fillId="6" borderId="71" xfId="1" applyFont="1" applyFill="1" applyBorder="1" applyAlignment="1">
      <alignment horizontal="center" vertical="center" wrapText="1"/>
    </xf>
    <xf numFmtId="10" fontId="24" fillId="6" borderId="71" xfId="1" applyNumberFormat="1" applyFont="1" applyFill="1" applyBorder="1" applyAlignment="1">
      <alignment horizontal="center" vertical="center" wrapText="1"/>
    </xf>
    <xf numFmtId="0" fontId="24" fillId="6" borderId="72" xfId="3" applyFont="1" applyFill="1" applyBorder="1" applyAlignment="1">
      <alignment horizontal="center" vertical="center" wrapText="1"/>
    </xf>
    <xf numFmtId="0" fontId="24" fillId="13" borderId="68" xfId="0" applyFont="1" applyFill="1" applyBorder="1" applyAlignment="1">
      <alignment horizontal="center" vertical="center"/>
    </xf>
    <xf numFmtId="170" fontId="25" fillId="11" borderId="65" xfId="0" applyNumberFormat="1" applyFont="1" applyFill="1" applyBorder="1" applyAlignment="1">
      <alignment horizontal="right"/>
    </xf>
    <xf numFmtId="170" fontId="25" fillId="11" borderId="68" xfId="0" applyNumberFormat="1" applyFont="1" applyFill="1" applyBorder="1" applyAlignment="1">
      <alignment horizontal="right"/>
    </xf>
    <xf numFmtId="0" fontId="27" fillId="17" borderId="73" xfId="0" applyFont="1" applyFill="1" applyBorder="1"/>
    <xf numFmtId="0" fontId="27" fillId="17" borderId="74" xfId="0" applyFont="1" applyFill="1" applyBorder="1"/>
    <xf numFmtId="44" fontId="27" fillId="17" borderId="74" xfId="0" applyNumberFormat="1" applyFont="1" applyFill="1" applyBorder="1"/>
    <xf numFmtId="44" fontId="27" fillId="17" borderId="75" xfId="0" applyNumberFormat="1" applyFont="1" applyFill="1" applyBorder="1"/>
    <xf numFmtId="1" fontId="23" fillId="14" borderId="67" xfId="0" applyNumberFormat="1" applyFont="1" applyFill="1" applyBorder="1" applyAlignment="1">
      <alignment vertical="center"/>
    </xf>
    <xf numFmtId="1" fontId="23" fillId="14" borderId="65" xfId="0" applyNumberFormat="1" applyFont="1" applyFill="1" applyBorder="1" applyAlignment="1">
      <alignment vertical="center"/>
    </xf>
    <xf numFmtId="44" fontId="23" fillId="14" borderId="65" xfId="8" applyFont="1" applyFill="1" applyBorder="1" applyAlignment="1">
      <alignment vertical="center"/>
    </xf>
    <xf numFmtId="44" fontId="23" fillId="16" borderId="65" xfId="8" applyFont="1" applyFill="1" applyBorder="1" applyAlignment="1">
      <alignment vertical="center"/>
    </xf>
    <xf numFmtId="9" fontId="23" fillId="15" borderId="65" xfId="1" applyFont="1" applyFill="1" applyBorder="1" applyAlignment="1">
      <alignment vertical="center"/>
    </xf>
    <xf numFmtId="44" fontId="25" fillId="11" borderId="74" xfId="0" applyNumberFormat="1" applyFont="1" applyFill="1" applyBorder="1" applyAlignment="1">
      <alignment horizontal="right"/>
    </xf>
    <xf numFmtId="44" fontId="15" fillId="16" borderId="74" xfId="0" applyNumberFormat="1" applyFont="1" applyFill="1" applyBorder="1"/>
    <xf numFmtId="0" fontId="0" fillId="15" borderId="74" xfId="0" applyFill="1" applyBorder="1"/>
    <xf numFmtId="44" fontId="15" fillId="15" borderId="74" xfId="0" applyNumberFormat="1" applyFont="1" applyFill="1" applyBorder="1"/>
    <xf numFmtId="44" fontId="15" fillId="15" borderId="76" xfId="8" applyFont="1" applyFill="1" applyBorder="1"/>
    <xf numFmtId="44" fontId="28" fillId="17" borderId="65" xfId="8" applyFont="1" applyFill="1" applyBorder="1" applyAlignment="1">
      <alignment horizontal="center"/>
    </xf>
    <xf numFmtId="9" fontId="27" fillId="17" borderId="74" xfId="1" applyFont="1" applyFill="1" applyBorder="1"/>
    <xf numFmtId="1" fontId="23" fillId="14" borderId="55" xfId="0" applyNumberFormat="1" applyFont="1" applyFill="1" applyBorder="1" applyAlignment="1">
      <alignment vertical="center"/>
    </xf>
    <xf numFmtId="1" fontId="23" fillId="14" borderId="66" xfId="0" applyNumberFormat="1" applyFont="1" applyFill="1" applyBorder="1" applyAlignment="1">
      <alignment vertical="center"/>
    </xf>
    <xf numFmtId="44" fontId="23" fillId="14" borderId="66" xfId="8" applyFont="1" applyFill="1" applyBorder="1" applyAlignment="1">
      <alignment vertical="center"/>
    </xf>
    <xf numFmtId="44" fontId="23" fillId="16" borderId="66" xfId="8" applyFont="1" applyFill="1" applyBorder="1" applyAlignment="1">
      <alignment vertical="center"/>
    </xf>
    <xf numFmtId="9" fontId="23" fillId="15" borderId="66" xfId="1" applyFont="1" applyFill="1" applyBorder="1" applyAlignment="1">
      <alignment vertical="center"/>
    </xf>
    <xf numFmtId="1" fontId="23" fillId="14" borderId="77" xfId="0" applyNumberFormat="1" applyFont="1" applyFill="1" applyBorder="1" applyAlignment="1">
      <alignment vertical="center"/>
    </xf>
    <xf numFmtId="1" fontId="23" fillId="14" borderId="78" xfId="0" applyNumberFormat="1" applyFont="1" applyFill="1" applyBorder="1" applyAlignment="1">
      <alignment vertical="center"/>
    </xf>
    <xf numFmtId="44" fontId="23" fillId="14" borderId="78" xfId="8" applyFont="1" applyFill="1" applyBorder="1" applyAlignment="1">
      <alignment vertical="center"/>
    </xf>
    <xf numFmtId="44" fontId="23" fillId="16" borderId="78" xfId="8" applyFont="1" applyFill="1" applyBorder="1" applyAlignment="1">
      <alignment vertical="center"/>
    </xf>
    <xf numFmtId="9" fontId="23" fillId="15" borderId="78" xfId="1" applyFont="1" applyFill="1" applyBorder="1" applyAlignment="1">
      <alignment vertical="center"/>
    </xf>
    <xf numFmtId="44" fontId="23" fillId="15" borderId="78" xfId="8" applyFont="1" applyFill="1" applyBorder="1" applyAlignment="1">
      <alignment vertical="center"/>
    </xf>
    <xf numFmtId="44" fontId="23" fillId="15" borderId="39" xfId="8" applyFont="1" applyFill="1" applyBorder="1" applyAlignment="1">
      <alignment vertical="center"/>
    </xf>
    <xf numFmtId="0" fontId="30" fillId="0" borderId="0" xfId="0" applyFont="1"/>
    <xf numFmtId="9" fontId="31" fillId="0" borderId="0" xfId="1" applyFont="1" applyBorder="1" applyAlignment="1">
      <alignment horizontal="left" vertical="center"/>
    </xf>
    <xf numFmtId="0" fontId="29" fillId="18" borderId="83" xfId="0" applyFont="1" applyFill="1" applyBorder="1" applyAlignment="1">
      <alignment horizontal="center"/>
    </xf>
    <xf numFmtId="44" fontId="30" fillId="19" borderId="84" xfId="0" applyNumberFormat="1" applyFont="1" applyFill="1" applyBorder="1"/>
    <xf numFmtId="164" fontId="33" fillId="0" borderId="87" xfId="2" applyNumberFormat="1" applyFont="1" applyBorder="1" applyAlignment="1" applyProtection="1">
      <alignment horizontal="left" vertical="center"/>
      <protection locked="0"/>
    </xf>
    <xf numFmtId="164" fontId="33" fillId="0" borderId="88" xfId="2" applyNumberFormat="1" applyFont="1" applyBorder="1" applyAlignment="1" applyProtection="1">
      <alignment horizontal="left" vertical="center"/>
      <protection locked="0"/>
    </xf>
    <xf numFmtId="164" fontId="33" fillId="0" borderId="89" xfId="2" applyNumberFormat="1" applyFont="1" applyBorder="1" applyAlignment="1" applyProtection="1">
      <alignment horizontal="left" vertical="center"/>
      <protection locked="0"/>
    </xf>
    <xf numFmtId="164" fontId="33" fillId="0" borderId="90" xfId="2" applyNumberFormat="1" applyFont="1" applyBorder="1" applyAlignment="1" applyProtection="1">
      <alignment horizontal="left" vertical="center"/>
      <protection locked="0"/>
    </xf>
    <xf numFmtId="0" fontId="33" fillId="0" borderId="91" xfId="2" applyFont="1" applyBorder="1" applyAlignment="1" applyProtection="1">
      <alignment horizontal="left" vertical="center"/>
      <protection locked="0"/>
    </xf>
    <xf numFmtId="14" fontId="33" fillId="0" borderId="90" xfId="2" applyNumberFormat="1" applyFont="1" applyBorder="1" applyAlignment="1" applyProtection="1">
      <alignment horizontal="left" vertical="center"/>
      <protection locked="0"/>
    </xf>
    <xf numFmtId="164" fontId="33" fillId="0" borderId="14" xfId="2" applyNumberFormat="1" applyFont="1" applyBorder="1" applyAlignment="1" applyProtection="1">
      <alignment horizontal="left" vertical="center"/>
      <protection locked="0"/>
    </xf>
    <xf numFmtId="0" fontId="33" fillId="0" borderId="92" xfId="2" applyFont="1" applyBorder="1" applyAlignment="1" applyProtection="1">
      <alignment horizontal="left" vertical="center"/>
      <protection locked="0"/>
    </xf>
    <xf numFmtId="164" fontId="6" fillId="0" borderId="87" xfId="2" applyNumberFormat="1" applyFont="1" applyBorder="1" applyAlignment="1" applyProtection="1">
      <alignment horizontal="left" vertical="center"/>
      <protection locked="0"/>
    </xf>
    <xf numFmtId="164" fontId="6" fillId="0" borderId="88" xfId="2" applyNumberFormat="1" applyFont="1" applyBorder="1" applyAlignment="1" applyProtection="1">
      <alignment horizontal="left" vertical="center"/>
      <protection locked="0"/>
    </xf>
    <xf numFmtId="164" fontId="6" fillId="0" borderId="89" xfId="2" applyNumberFormat="1" applyFont="1" applyBorder="1" applyAlignment="1" applyProtection="1">
      <alignment horizontal="left" vertical="center"/>
      <protection locked="0"/>
    </xf>
    <xf numFmtId="164" fontId="6" fillId="0" borderId="90" xfId="2" applyNumberFormat="1" applyFont="1" applyBorder="1" applyAlignment="1" applyProtection="1">
      <alignment horizontal="left" vertical="center"/>
      <protection locked="0"/>
    </xf>
    <xf numFmtId="0" fontId="6" fillId="0" borderId="91" xfId="2" applyFont="1" applyBorder="1" applyAlignment="1" applyProtection="1">
      <alignment horizontal="left" vertical="center"/>
      <protection locked="0"/>
    </xf>
    <xf numFmtId="164" fontId="6" fillId="0" borderId="14" xfId="2" applyNumberFormat="1" applyFont="1" applyBorder="1" applyAlignment="1" applyProtection="1">
      <alignment horizontal="left" vertical="center"/>
      <protection locked="0"/>
    </xf>
    <xf numFmtId="0" fontId="6" fillId="0" borderId="92" xfId="2" applyFont="1" applyBorder="1" applyAlignment="1" applyProtection="1">
      <alignment horizontal="left" vertical="center"/>
      <protection locked="0"/>
    </xf>
    <xf numFmtId="44" fontId="0" fillId="0" borderId="0" xfId="0" applyNumberFormat="1"/>
    <xf numFmtId="0" fontId="35" fillId="0" borderId="14" xfId="0" applyFont="1" applyBorder="1"/>
    <xf numFmtId="44" fontId="34" fillId="0" borderId="86" xfId="0" applyNumberFormat="1" applyFont="1" applyBorder="1"/>
    <xf numFmtId="0" fontId="0" fillId="0" borderId="100" xfId="0" applyBorder="1"/>
    <xf numFmtId="0" fontId="29" fillId="18" borderId="98" xfId="0" applyFont="1" applyFill="1" applyBorder="1" applyAlignment="1">
      <alignment horizontal="center"/>
    </xf>
    <xf numFmtId="44" fontId="30" fillId="0" borderId="99" xfId="0" applyNumberFormat="1" applyFont="1" applyBorder="1"/>
    <xf numFmtId="44" fontId="35" fillId="0" borderId="98" xfId="0" applyNumberFormat="1" applyFont="1" applyBorder="1"/>
    <xf numFmtId="44" fontId="35" fillId="0" borderId="102" xfId="0" applyNumberFormat="1" applyFont="1" applyBorder="1"/>
    <xf numFmtId="166" fontId="0" fillId="0" borderId="85" xfId="0" applyNumberFormat="1" applyBorder="1"/>
    <xf numFmtId="44" fontId="0" fillId="0" borderId="18" xfId="0" applyNumberFormat="1" applyBorder="1"/>
    <xf numFmtId="166" fontId="0" fillId="0" borderId="18" xfId="0" applyNumberFormat="1" applyBorder="1"/>
    <xf numFmtId="166" fontId="0" fillId="0" borderId="0" xfId="0" applyNumberFormat="1"/>
    <xf numFmtId="0" fontId="0" fillId="0" borderId="0" xfId="0" applyAlignment="1">
      <alignment wrapText="1"/>
    </xf>
    <xf numFmtId="44" fontId="0" fillId="20" borderId="86" xfId="8" applyFont="1" applyFill="1" applyBorder="1"/>
    <xf numFmtId="170" fontId="0" fillId="0" borderId="0" xfId="0" applyNumberFormat="1"/>
    <xf numFmtId="0" fontId="0" fillId="20" borderId="0" xfId="0" applyFill="1"/>
    <xf numFmtId="44" fontId="0" fillId="20" borderId="0" xfId="8" applyFont="1" applyFill="1"/>
    <xf numFmtId="0" fontId="32" fillId="12" borderId="93" xfId="0" applyFont="1" applyFill="1" applyBorder="1"/>
    <xf numFmtId="44" fontId="32" fillId="12" borderId="94" xfId="0" applyNumberFormat="1" applyFont="1" applyFill="1" applyBorder="1"/>
    <xf numFmtId="44" fontId="32" fillId="12" borderId="93" xfId="0" applyNumberFormat="1" applyFont="1" applyFill="1" applyBorder="1"/>
    <xf numFmtId="0" fontId="32" fillId="12" borderId="95" xfId="0" applyFont="1" applyFill="1" applyBorder="1"/>
    <xf numFmtId="44" fontId="32" fillId="12" borderId="96" xfId="0" applyNumberFormat="1" applyFont="1" applyFill="1" applyBorder="1"/>
    <xf numFmtId="44" fontId="32" fillId="12" borderId="95" xfId="0" applyNumberFormat="1" applyFont="1" applyFill="1" applyBorder="1"/>
    <xf numFmtId="4" fontId="0" fillId="0" borderId="0" xfId="0" applyNumberFormat="1"/>
    <xf numFmtId="10" fontId="8" fillId="6" borderId="108" xfId="5" applyNumberFormat="1" applyFont="1" applyFill="1" applyBorder="1" applyAlignment="1">
      <alignment horizontal="center" vertical="center" wrapText="1"/>
    </xf>
    <xf numFmtId="0" fontId="2" fillId="13" borderId="7" xfId="0" applyFont="1" applyFill="1" applyBorder="1" applyAlignment="1">
      <alignment horizontal="center" vertical="center"/>
    </xf>
    <xf numFmtId="10" fontId="23" fillId="16" borderId="7" xfId="0" applyNumberFormat="1" applyFont="1" applyFill="1" applyBorder="1" applyAlignment="1">
      <alignment horizontal="center" vertical="center"/>
    </xf>
    <xf numFmtId="44" fontId="28" fillId="17" borderId="7" xfId="8" applyFont="1" applyFill="1" applyBorder="1" applyAlignment="1">
      <alignment horizontal="center"/>
    </xf>
    <xf numFmtId="44" fontId="27" fillId="17" borderId="76" xfId="8" applyFont="1" applyFill="1" applyBorder="1"/>
    <xf numFmtId="165" fontId="8" fillId="6" borderId="52" xfId="4" applyFont="1" applyFill="1" applyBorder="1" applyAlignment="1">
      <alignment horizontal="center" vertical="center" wrapText="1"/>
    </xf>
    <xf numFmtId="49" fontId="41" fillId="0" borderId="0" xfId="2" applyNumberFormat="1" applyFont="1" applyAlignment="1">
      <alignment horizontal="left" vertical="center" wrapText="1"/>
    </xf>
    <xf numFmtId="0" fontId="41" fillId="0" borderId="0" xfId="2" applyFont="1" applyAlignment="1">
      <alignment horizontal="left" vertical="center" wrapText="1"/>
    </xf>
    <xf numFmtId="164" fontId="41" fillId="0" borderId="0" xfId="2" applyNumberFormat="1" applyFont="1" applyAlignment="1">
      <alignment horizontal="left" vertical="center"/>
    </xf>
    <xf numFmtId="165" fontId="43" fillId="6" borderId="38" xfId="4" applyFont="1" applyFill="1" applyBorder="1" applyAlignment="1">
      <alignment horizontal="center" vertical="center" wrapText="1"/>
    </xf>
    <xf numFmtId="166" fontId="43" fillId="4" borderId="6" xfId="4" applyNumberFormat="1" applyFont="1" applyFill="1" applyBorder="1" applyAlignment="1">
      <alignment horizontal="center" vertical="center" wrapText="1"/>
    </xf>
    <xf numFmtId="166" fontId="43" fillId="4" borderId="37" xfId="4" applyNumberFormat="1" applyFont="1" applyFill="1" applyBorder="1" applyAlignment="1">
      <alignment horizontal="center" vertical="center" wrapText="1"/>
    </xf>
    <xf numFmtId="166" fontId="43" fillId="4" borderId="5" xfId="4" applyNumberFormat="1" applyFont="1" applyFill="1" applyBorder="1" applyAlignment="1">
      <alignment horizontal="center" vertical="center" wrapText="1"/>
    </xf>
    <xf numFmtId="166" fontId="43" fillId="0" borderId="40" xfId="4" applyNumberFormat="1" applyFont="1" applyBorder="1" applyAlignment="1">
      <alignment horizontal="center" vertical="center" wrapText="1"/>
    </xf>
    <xf numFmtId="0" fontId="42" fillId="5" borderId="0" xfId="0" applyFont="1" applyFill="1"/>
    <xf numFmtId="49" fontId="42" fillId="5" borderId="0" xfId="0" applyNumberFormat="1" applyFont="1" applyFill="1"/>
    <xf numFmtId="0" fontId="40" fillId="0" borderId="49" xfId="0" applyFont="1" applyBorder="1" applyAlignment="1">
      <alignment horizontal="left" vertical="center"/>
    </xf>
    <xf numFmtId="49" fontId="40" fillId="0" borderId="50" xfId="0" applyNumberFormat="1" applyFont="1" applyBorder="1" applyAlignment="1">
      <alignment horizontal="left" vertical="center"/>
    </xf>
    <xf numFmtId="0" fontId="40" fillId="0" borderId="51" xfId="0" applyFont="1" applyBorder="1" applyAlignment="1">
      <alignment horizontal="left" vertical="center"/>
    </xf>
    <xf numFmtId="0" fontId="40" fillId="0" borderId="49" xfId="0" applyFont="1" applyBorder="1" applyAlignment="1">
      <alignment horizontal="left" vertical="center" wrapText="1"/>
    </xf>
    <xf numFmtId="0" fontId="41" fillId="6" borderId="70" xfId="3" applyFont="1" applyFill="1" applyBorder="1" applyAlignment="1">
      <alignment horizontal="left" vertical="center"/>
    </xf>
    <xf numFmtId="0" fontId="41" fillId="6" borderId="71" xfId="3" applyFont="1" applyFill="1" applyBorder="1" applyAlignment="1">
      <alignment horizontal="center" vertical="center"/>
    </xf>
    <xf numFmtId="0" fontId="42" fillId="6" borderId="71" xfId="3" applyFont="1" applyFill="1" applyBorder="1" applyAlignment="1">
      <alignment horizontal="center" vertical="center"/>
    </xf>
    <xf numFmtId="169" fontId="42" fillId="6" borderId="71" xfId="3" applyNumberFormat="1" applyFont="1" applyFill="1" applyBorder="1" applyAlignment="1">
      <alignment horizontal="center" vertical="center" wrapText="1"/>
    </xf>
    <xf numFmtId="0" fontId="42" fillId="6" borderId="71" xfId="3" applyFont="1" applyFill="1" applyBorder="1" applyAlignment="1">
      <alignment horizontal="center" vertical="center" wrapText="1"/>
    </xf>
    <xf numFmtId="9" fontId="42" fillId="6" borderId="71" xfId="1" applyFont="1" applyFill="1" applyBorder="1" applyAlignment="1">
      <alignment horizontal="center" vertical="center" wrapText="1"/>
    </xf>
    <xf numFmtId="10" fontId="42" fillId="6" borderId="71" xfId="1" applyNumberFormat="1" applyFont="1" applyFill="1" applyBorder="1" applyAlignment="1">
      <alignment horizontal="center" vertical="center" wrapText="1"/>
    </xf>
    <xf numFmtId="0" fontId="42" fillId="6" borderId="72" xfId="3" applyFont="1" applyFill="1" applyBorder="1" applyAlignment="1">
      <alignment horizontal="center" vertical="center" wrapText="1"/>
    </xf>
    <xf numFmtId="10" fontId="43" fillId="6" borderId="52" xfId="5" applyNumberFormat="1" applyFont="1" applyFill="1" applyBorder="1" applyAlignment="1">
      <alignment horizontal="center" vertical="center" wrapText="1"/>
    </xf>
    <xf numFmtId="165" fontId="43" fillId="6" borderId="53" xfId="4" applyFont="1" applyFill="1" applyBorder="1" applyAlignment="1">
      <alignment horizontal="center" vertical="center" wrapText="1"/>
    </xf>
    <xf numFmtId="37" fontId="43" fillId="6" borderId="3" xfId="3" applyNumberFormat="1" applyFont="1" applyFill="1" applyBorder="1" applyAlignment="1">
      <alignment horizontal="center" vertical="center"/>
    </xf>
    <xf numFmtId="40" fontId="43" fillId="6" borderId="54" xfId="4" applyNumberFormat="1" applyFont="1" applyFill="1" applyBorder="1" applyAlignment="1">
      <alignment horizontal="center" vertical="center"/>
    </xf>
    <xf numFmtId="166" fontId="44" fillId="6" borderId="55" xfId="4" applyNumberFormat="1" applyFont="1" applyFill="1" applyBorder="1" applyAlignment="1">
      <alignment horizontal="center" vertical="center" wrapText="1"/>
    </xf>
    <xf numFmtId="166" fontId="45" fillId="6" borderId="56" xfId="4" applyNumberFormat="1" applyFont="1" applyFill="1" applyBorder="1" applyAlignment="1">
      <alignment horizontal="center" vertical="center" wrapText="1"/>
    </xf>
    <xf numFmtId="49" fontId="40" fillId="0" borderId="50" xfId="0" applyNumberFormat="1" applyFont="1" applyBorder="1" applyAlignment="1">
      <alignment horizontal="left" vertical="center" wrapText="1"/>
    </xf>
    <xf numFmtId="0" fontId="40" fillId="0" borderId="51" xfId="0" applyFont="1" applyBorder="1" applyAlignment="1">
      <alignment horizontal="left" vertical="center" wrapText="1"/>
    </xf>
    <xf numFmtId="0" fontId="42" fillId="13" borderId="65" xfId="0" applyFont="1" applyFill="1" applyBorder="1" applyAlignment="1">
      <alignment horizontal="center" vertical="center"/>
    </xf>
    <xf numFmtId="0" fontId="42" fillId="13" borderId="68" xfId="0" applyFont="1" applyFill="1" applyBorder="1" applyAlignment="1">
      <alignment horizontal="center" vertical="center"/>
    </xf>
    <xf numFmtId="44" fontId="40" fillId="0" borderId="65" xfId="8" applyFont="1" applyBorder="1" applyAlignment="1">
      <alignment vertical="center"/>
    </xf>
    <xf numFmtId="44" fontId="40" fillId="0" borderId="68" xfId="8" applyFont="1" applyBorder="1" applyAlignment="1">
      <alignment vertical="center"/>
    </xf>
    <xf numFmtId="44" fontId="40" fillId="14" borderId="65" xfId="8" applyFont="1" applyFill="1" applyBorder="1" applyAlignment="1">
      <alignment vertical="center"/>
    </xf>
    <xf numFmtId="44" fontId="40" fillId="16" borderId="65" xfId="8" applyFont="1" applyFill="1" applyBorder="1" applyAlignment="1">
      <alignment vertical="center"/>
    </xf>
    <xf numFmtId="9" fontId="40" fillId="15" borderId="65" xfId="1" applyFont="1" applyFill="1" applyBorder="1" applyAlignment="1">
      <alignment vertical="center"/>
    </xf>
    <xf numFmtId="44" fontId="40" fillId="15" borderId="65" xfId="8" applyFont="1" applyFill="1" applyBorder="1" applyAlignment="1">
      <alignment vertical="center"/>
    </xf>
    <xf numFmtId="0" fontId="40" fillId="0" borderId="67" xfId="2" applyFont="1" applyBorder="1" applyAlignment="1">
      <alignment horizontal="left" vertical="center" wrapText="1"/>
    </xf>
    <xf numFmtId="170" fontId="27" fillId="11" borderId="65" xfId="0" applyNumberFormat="1" applyFont="1" applyFill="1" applyBorder="1" applyAlignment="1">
      <alignment horizontal="right"/>
    </xf>
    <xf numFmtId="170" fontId="27" fillId="11" borderId="68" xfId="0" applyNumberFormat="1" applyFont="1" applyFill="1" applyBorder="1" applyAlignment="1">
      <alignment horizontal="right"/>
    </xf>
    <xf numFmtId="0" fontId="40" fillId="0" borderId="67" xfId="0" applyFont="1" applyBorder="1" applyAlignment="1">
      <alignment horizontal="left" vertical="center" wrapText="1"/>
    </xf>
    <xf numFmtId="0" fontId="40" fillId="0" borderId="65" xfId="0" applyFont="1" applyBorder="1" applyAlignment="1">
      <alignment horizontal="center" vertical="center"/>
    </xf>
    <xf numFmtId="0" fontId="40" fillId="0" borderId="69" xfId="0" applyFont="1" applyBorder="1" applyAlignment="1">
      <alignment horizontal="left" vertical="center" wrapText="1"/>
    </xf>
    <xf numFmtId="0" fontId="40" fillId="0" borderId="79" xfId="0" applyFont="1" applyBorder="1" applyAlignment="1">
      <alignment horizontal="left" vertical="center" wrapText="1"/>
    </xf>
    <xf numFmtId="1" fontId="40" fillId="14" borderId="39" xfId="0" applyNumberFormat="1" applyFont="1" applyFill="1" applyBorder="1" applyAlignment="1">
      <alignment vertical="center"/>
    </xf>
    <xf numFmtId="44" fontId="40" fillId="14" borderId="39" xfId="8" applyFont="1" applyFill="1" applyBorder="1" applyAlignment="1">
      <alignment vertical="center"/>
    </xf>
    <xf numFmtId="9" fontId="40" fillId="15" borderId="39" xfId="1" applyFont="1" applyFill="1" applyBorder="1" applyAlignment="1">
      <alignment vertical="center"/>
    </xf>
    <xf numFmtId="44" fontId="40" fillId="15" borderId="39" xfId="8" applyFont="1" applyFill="1" applyBorder="1" applyAlignment="1">
      <alignment vertical="center"/>
    </xf>
    <xf numFmtId="44" fontId="40" fillId="15" borderId="78" xfId="8" applyFont="1" applyFill="1" applyBorder="1" applyAlignment="1">
      <alignment vertical="center"/>
    </xf>
    <xf numFmtId="10" fontId="40" fillId="16" borderId="65" xfId="0" applyNumberFormat="1" applyFont="1" applyFill="1" applyBorder="1" applyAlignment="1">
      <alignment horizontal="center" vertical="center"/>
    </xf>
    <xf numFmtId="0" fontId="40" fillId="0" borderId="60" xfId="0" applyFont="1" applyBorder="1" applyAlignment="1">
      <alignment horizontal="left" vertical="center" wrapText="1"/>
    </xf>
    <xf numFmtId="0" fontId="40" fillId="0" borderId="0" xfId="0" applyFont="1" applyAlignment="1">
      <alignment horizontal="left" vertical="center" wrapText="1"/>
    </xf>
    <xf numFmtId="44" fontId="40" fillId="14" borderId="78" xfId="8" applyFont="1" applyFill="1" applyBorder="1" applyAlignment="1">
      <alignment vertical="center"/>
    </xf>
    <xf numFmtId="9" fontId="40" fillId="15" borderId="78" xfId="1" applyFont="1" applyFill="1" applyBorder="1" applyAlignment="1">
      <alignment vertical="center"/>
    </xf>
    <xf numFmtId="0" fontId="40" fillId="0" borderId="61" xfId="0" applyFont="1" applyBorder="1" applyAlignment="1">
      <alignment horizontal="left" vertical="center" wrapText="1"/>
    </xf>
    <xf numFmtId="0" fontId="40" fillId="0" borderId="63" xfId="0" applyFont="1" applyBorder="1" applyAlignment="1">
      <alignment horizontal="left" vertical="center" wrapText="1"/>
    </xf>
    <xf numFmtId="10" fontId="43" fillId="6" borderId="108" xfId="5" applyNumberFormat="1" applyFont="1" applyFill="1" applyBorder="1" applyAlignment="1">
      <alignment horizontal="center" vertical="center" wrapText="1"/>
    </xf>
    <xf numFmtId="10" fontId="40" fillId="16" borderId="7" xfId="0" applyNumberFormat="1" applyFont="1" applyFill="1" applyBorder="1" applyAlignment="1">
      <alignment horizontal="center" vertical="center"/>
    </xf>
    <xf numFmtId="166" fontId="44" fillId="6" borderId="65" xfId="4" applyNumberFormat="1" applyFont="1" applyFill="1" applyBorder="1" applyAlignment="1">
      <alignment horizontal="center" vertical="center" wrapText="1"/>
    </xf>
    <xf numFmtId="166" fontId="45" fillId="6" borderId="65" xfId="4" applyNumberFormat="1" applyFont="1" applyFill="1" applyBorder="1" applyAlignment="1">
      <alignment horizontal="center" vertical="center" wrapText="1"/>
    </xf>
    <xf numFmtId="44" fontId="27" fillId="17" borderId="65" xfId="8" applyFont="1" applyFill="1" applyBorder="1" applyAlignment="1">
      <alignment horizontal="center"/>
    </xf>
    <xf numFmtId="166" fontId="44" fillId="12" borderId="65" xfId="4" applyNumberFormat="1" applyFont="1" applyFill="1" applyBorder="1" applyAlignment="1">
      <alignment horizontal="center" vertical="center" wrapText="1"/>
    </xf>
    <xf numFmtId="166" fontId="45" fillId="12" borderId="65" xfId="4" applyNumberFormat="1" applyFont="1" applyFill="1" applyBorder="1" applyAlignment="1">
      <alignment horizontal="center" vertical="center" wrapText="1"/>
    </xf>
    <xf numFmtId="14" fontId="6" fillId="0" borderId="90" xfId="2" applyNumberFormat="1" applyFont="1" applyBorder="1" applyAlignment="1" applyProtection="1">
      <alignment horizontal="left" vertical="center"/>
      <protection locked="0"/>
    </xf>
    <xf numFmtId="0" fontId="49" fillId="12" borderId="65" xfId="0" applyFont="1" applyFill="1" applyBorder="1"/>
    <xf numFmtId="44" fontId="48" fillId="0" borderId="65" xfId="8" applyFont="1" applyBorder="1"/>
    <xf numFmtId="0" fontId="48" fillId="0" borderId="65" xfId="0" applyFont="1" applyBorder="1" applyAlignment="1">
      <alignment horizontal="center"/>
    </xf>
    <xf numFmtId="44" fontId="50" fillId="0" borderId="65" xfId="8" applyFont="1" applyBorder="1"/>
    <xf numFmtId="0" fontId="50" fillId="0" borderId="65" xfId="0" applyFont="1" applyBorder="1" applyAlignment="1">
      <alignment horizontal="center"/>
    </xf>
    <xf numFmtId="44" fontId="51" fillId="0" borderId="65" xfId="8" applyFont="1" applyBorder="1"/>
    <xf numFmtId="0" fontId="51" fillId="0" borderId="65" xfId="0" applyFont="1" applyBorder="1" applyAlignment="1">
      <alignment horizontal="center"/>
    </xf>
    <xf numFmtId="0" fontId="51" fillId="0" borderId="65" xfId="0" applyFont="1" applyBorder="1"/>
    <xf numFmtId="44" fontId="47" fillId="12" borderId="65" xfId="8" applyFont="1" applyFill="1" applyBorder="1" applyAlignment="1">
      <alignment horizontal="center" vertical="center"/>
    </xf>
    <xf numFmtId="44" fontId="52" fillId="12" borderId="65" xfId="8" applyFont="1" applyFill="1" applyBorder="1"/>
    <xf numFmtId="0" fontId="49" fillId="0" borderId="0" xfId="0" applyFont="1"/>
    <xf numFmtId="0" fontId="49" fillId="0" borderId="0" xfId="0" applyFont="1" applyAlignment="1">
      <alignment horizontal="center"/>
    </xf>
    <xf numFmtId="0" fontId="53" fillId="0" borderId="0" xfId="0" applyFont="1" applyAlignment="1">
      <alignment horizontal="center"/>
    </xf>
    <xf numFmtId="164" fontId="41" fillId="0" borderId="87" xfId="2" applyNumberFormat="1" applyFont="1" applyBorder="1" applyAlignment="1" applyProtection="1">
      <alignment horizontal="left" vertical="center"/>
      <protection locked="0"/>
    </xf>
    <xf numFmtId="164" fontId="41" fillId="0" borderId="88" xfId="2" applyNumberFormat="1" applyFont="1" applyBorder="1" applyAlignment="1" applyProtection="1">
      <alignment horizontal="left" vertical="center"/>
      <protection locked="0"/>
    </xf>
    <xf numFmtId="164" fontId="41" fillId="0" borderId="89" xfId="2" applyNumberFormat="1" applyFont="1" applyBorder="1" applyAlignment="1" applyProtection="1">
      <alignment horizontal="left" vertical="center"/>
      <protection locked="0"/>
    </xf>
    <xf numFmtId="164" fontId="41" fillId="0" borderId="90" xfId="2" applyNumberFormat="1" applyFont="1" applyBorder="1" applyAlignment="1" applyProtection="1">
      <alignment horizontal="left" vertical="center"/>
      <protection locked="0"/>
    </xf>
    <xf numFmtId="0" fontId="41" fillId="0" borderId="91" xfId="2" applyFont="1" applyBorder="1" applyAlignment="1" applyProtection="1">
      <alignment horizontal="left" vertical="center"/>
      <protection locked="0"/>
    </xf>
    <xf numFmtId="14" fontId="41" fillId="0" borderId="90" xfId="2" applyNumberFormat="1" applyFont="1" applyBorder="1" applyAlignment="1" applyProtection="1">
      <alignment horizontal="left" vertical="center"/>
      <protection locked="0"/>
    </xf>
    <xf numFmtId="164" fontId="41" fillId="0" borderId="14" xfId="2" applyNumberFormat="1" applyFont="1" applyBorder="1" applyAlignment="1" applyProtection="1">
      <alignment horizontal="left" vertical="center"/>
      <protection locked="0"/>
    </xf>
    <xf numFmtId="0" fontId="41" fillId="0" borderId="92" xfId="2" applyFont="1" applyBorder="1" applyAlignment="1" applyProtection="1">
      <alignment horizontal="left" vertical="center"/>
      <protection locked="0"/>
    </xf>
    <xf numFmtId="49" fontId="49" fillId="0" borderId="0" xfId="0" applyNumberFormat="1" applyFont="1"/>
    <xf numFmtId="0" fontId="49" fillId="0" borderId="0" xfId="1" applyNumberFormat="1" applyFont="1"/>
    <xf numFmtId="168" fontId="39" fillId="0" borderId="5" xfId="1" applyNumberFormat="1" applyFont="1" applyBorder="1"/>
    <xf numFmtId="0" fontId="54" fillId="0" borderId="0" xfId="0" applyFont="1"/>
    <xf numFmtId="37" fontId="43" fillId="6" borderId="57" xfId="3" applyNumberFormat="1" applyFont="1" applyFill="1" applyBorder="1" applyAlignment="1">
      <alignment horizontal="center" vertical="center"/>
    </xf>
    <xf numFmtId="37" fontId="43" fillId="6" borderId="58" xfId="3" applyNumberFormat="1" applyFont="1" applyFill="1" applyBorder="1" applyAlignment="1">
      <alignment horizontal="center" vertical="center"/>
    </xf>
    <xf numFmtId="40" fontId="43" fillId="6" borderId="58" xfId="4" applyNumberFormat="1" applyFont="1" applyFill="1" applyBorder="1" applyAlignment="1">
      <alignment horizontal="center" vertical="center"/>
    </xf>
    <xf numFmtId="165" fontId="43" fillId="6" borderId="58" xfId="4" applyFont="1" applyFill="1" applyBorder="1" applyAlignment="1">
      <alignment horizontal="right" vertical="center"/>
    </xf>
    <xf numFmtId="40" fontId="43" fillId="6" borderId="58" xfId="4" applyNumberFormat="1" applyFont="1" applyFill="1" applyBorder="1" applyAlignment="1">
      <alignment horizontal="center" vertical="center" wrapText="1"/>
    </xf>
    <xf numFmtId="10" fontId="43" fillId="6" borderId="58" xfId="5" applyNumberFormat="1" applyFont="1" applyFill="1" applyBorder="1" applyAlignment="1">
      <alignment horizontal="center" vertical="center" wrapText="1"/>
    </xf>
    <xf numFmtId="165" fontId="43" fillId="6" borderId="58" xfId="4" applyFont="1" applyFill="1" applyBorder="1" applyAlignment="1">
      <alignment horizontal="center" vertical="center" wrapText="1"/>
    </xf>
    <xf numFmtId="165" fontId="43" fillId="6" borderId="59" xfId="4" applyFont="1" applyFill="1" applyBorder="1" applyAlignment="1">
      <alignment horizontal="center" vertical="center" wrapText="1"/>
    </xf>
    <xf numFmtId="165" fontId="43" fillId="6" borderId="107" xfId="4" applyFont="1" applyFill="1" applyBorder="1" applyAlignment="1">
      <alignment horizontal="center" vertical="center" wrapText="1"/>
    </xf>
    <xf numFmtId="0" fontId="49" fillId="0" borderId="65" xfId="0" applyFont="1" applyBorder="1"/>
    <xf numFmtId="0" fontId="39" fillId="13" borderId="65" xfId="0" applyFont="1" applyFill="1" applyBorder="1" applyAlignment="1">
      <alignment horizontal="center" vertical="center"/>
    </xf>
    <xf numFmtId="0" fontId="39" fillId="13" borderId="7" xfId="0" applyFont="1" applyFill="1" applyBorder="1" applyAlignment="1">
      <alignment horizontal="center" vertical="center"/>
    </xf>
    <xf numFmtId="0" fontId="46" fillId="12" borderId="65" xfId="2" applyFont="1" applyFill="1" applyBorder="1" applyAlignment="1">
      <alignment horizontal="left" vertical="center" wrapText="1"/>
    </xf>
    <xf numFmtId="0" fontId="40" fillId="0" borderId="65" xfId="2" applyFont="1" applyBorder="1" applyAlignment="1">
      <alignment horizontal="center" vertical="center" wrapText="1"/>
    </xf>
    <xf numFmtId="1" fontId="40" fillId="14" borderId="55" xfId="0" applyNumberFormat="1" applyFont="1" applyFill="1" applyBorder="1" applyAlignment="1">
      <alignment vertical="center"/>
    </xf>
    <xf numFmtId="1" fontId="40" fillId="14" borderId="66" xfId="0" applyNumberFormat="1" applyFont="1" applyFill="1" applyBorder="1" applyAlignment="1">
      <alignment vertical="center"/>
    </xf>
    <xf numFmtId="44" fontId="40" fillId="14" borderId="66" xfId="8" applyFont="1" applyFill="1" applyBorder="1" applyAlignment="1">
      <alignment vertical="center"/>
    </xf>
    <xf numFmtId="44" fontId="40" fillId="16" borderId="66" xfId="8" applyFont="1" applyFill="1" applyBorder="1" applyAlignment="1">
      <alignment vertical="center"/>
    </xf>
    <xf numFmtId="9" fontId="40" fillId="15" borderId="66" xfId="1" applyFont="1" applyFill="1" applyBorder="1" applyAlignment="1">
      <alignment vertical="center"/>
    </xf>
    <xf numFmtId="44" fontId="40" fillId="15" borderId="66" xfId="8" applyFont="1" applyFill="1" applyBorder="1" applyAlignment="1">
      <alignment vertical="center"/>
    </xf>
    <xf numFmtId="44" fontId="40" fillId="15" borderId="64" xfId="8" applyFont="1" applyFill="1" applyBorder="1" applyAlignment="1">
      <alignment vertical="center"/>
    </xf>
    <xf numFmtId="1" fontId="40" fillId="14" borderId="64" xfId="0" applyNumberFormat="1" applyFont="1" applyFill="1" applyBorder="1" applyAlignment="1">
      <alignment vertical="center"/>
    </xf>
    <xf numFmtId="44" fontId="40" fillId="14" borderId="64" xfId="8" applyFont="1" applyFill="1" applyBorder="1" applyAlignment="1">
      <alignment vertical="center"/>
    </xf>
    <xf numFmtId="44" fontId="40" fillId="16" borderId="64" xfId="8" applyFont="1" applyFill="1" applyBorder="1" applyAlignment="1">
      <alignment vertical="center"/>
    </xf>
    <xf numFmtId="9" fontId="40" fillId="15" borderId="64" xfId="1" applyFont="1" applyFill="1" applyBorder="1" applyAlignment="1">
      <alignment vertical="center"/>
    </xf>
    <xf numFmtId="0" fontId="46" fillId="0" borderId="65" xfId="2" applyFont="1" applyBorder="1" applyAlignment="1">
      <alignment horizontal="left" vertical="center" wrapText="1"/>
    </xf>
    <xf numFmtId="1" fontId="40" fillId="14" borderId="7" xfId="0" applyNumberFormat="1" applyFont="1" applyFill="1" applyBorder="1" applyAlignment="1">
      <alignment vertical="center"/>
    </xf>
    <xf numFmtId="44" fontId="40" fillId="14" borderId="7" xfId="8" applyFont="1" applyFill="1" applyBorder="1" applyAlignment="1">
      <alignment vertical="center"/>
    </xf>
    <xf numFmtId="44" fontId="40" fillId="16" borderId="7" xfId="8" applyFont="1" applyFill="1" applyBorder="1" applyAlignment="1">
      <alignment vertical="center"/>
    </xf>
    <xf numFmtId="9" fontId="40" fillId="15" borderId="7" xfId="1" applyFont="1" applyFill="1" applyBorder="1" applyAlignment="1">
      <alignment vertical="center"/>
    </xf>
    <xf numFmtId="44" fontId="40" fillId="15" borderId="7" xfId="8" applyFont="1" applyFill="1" applyBorder="1" applyAlignment="1">
      <alignment vertical="center"/>
    </xf>
    <xf numFmtId="44" fontId="40" fillId="16" borderId="39" xfId="8" applyFont="1" applyFill="1" applyBorder="1" applyAlignment="1">
      <alignment vertical="center"/>
    </xf>
    <xf numFmtId="1" fontId="40" fillId="14" borderId="77" xfId="0" applyNumberFormat="1" applyFont="1" applyFill="1" applyBorder="1" applyAlignment="1">
      <alignment vertical="center"/>
    </xf>
    <xf numFmtId="1" fontId="40" fillId="14" borderId="78" xfId="0" applyNumberFormat="1" applyFont="1" applyFill="1" applyBorder="1" applyAlignment="1">
      <alignment vertical="center"/>
    </xf>
    <xf numFmtId="44" fontId="40" fillId="16" borderId="78" xfId="8" applyFont="1" applyFill="1" applyBorder="1" applyAlignment="1">
      <alignment vertical="center"/>
    </xf>
    <xf numFmtId="1" fontId="40" fillId="14" borderId="67" xfId="0" applyNumberFormat="1" applyFont="1" applyFill="1" applyBorder="1" applyAlignment="1">
      <alignment vertical="center"/>
    </xf>
    <xf numFmtId="1" fontId="40" fillId="14" borderId="65" xfId="0" applyNumberFormat="1" applyFont="1" applyFill="1" applyBorder="1" applyAlignment="1">
      <alignment vertical="center"/>
    </xf>
    <xf numFmtId="44" fontId="27" fillId="11" borderId="74" xfId="0" applyNumberFormat="1" applyFont="1" applyFill="1" applyBorder="1" applyAlignment="1">
      <alignment horizontal="right"/>
    </xf>
    <xf numFmtId="44" fontId="42" fillId="16" borderId="74" xfId="0" applyNumberFormat="1" applyFont="1" applyFill="1" applyBorder="1"/>
    <xf numFmtId="0" fontId="49" fillId="15" borderId="74" xfId="0" applyFont="1" applyFill="1" applyBorder="1"/>
    <xf numFmtId="44" fontId="42" fillId="15" borderId="74" xfId="0" applyNumberFormat="1" applyFont="1" applyFill="1" applyBorder="1"/>
    <xf numFmtId="44" fontId="42" fillId="15" borderId="76" xfId="8" applyFont="1" applyFill="1" applyBorder="1"/>
    <xf numFmtId="44" fontId="27" fillId="17" borderId="7" xfId="8" applyFont="1" applyFill="1" applyBorder="1" applyAlignment="1">
      <alignment horizontal="center"/>
    </xf>
    <xf numFmtId="49" fontId="40" fillId="0" borderId="62" xfId="0" applyNumberFormat="1" applyFont="1" applyBorder="1" applyAlignment="1">
      <alignment horizontal="left" vertical="center" wrapText="1"/>
    </xf>
    <xf numFmtId="0" fontId="2" fillId="0" borderId="65" xfId="0" applyFont="1" applyBorder="1" applyAlignment="1">
      <alignment horizontal="center"/>
    </xf>
    <xf numFmtId="0" fontId="2" fillId="0" borderId="0" xfId="0" applyFont="1"/>
    <xf numFmtId="44" fontId="2" fillId="0" borderId="65" xfId="8" applyFont="1" applyBorder="1" applyAlignment="1">
      <alignment horizontal="center"/>
    </xf>
    <xf numFmtId="44" fontId="2" fillId="20" borderId="65" xfId="8" applyFont="1" applyFill="1" applyBorder="1" applyAlignment="1">
      <alignment horizontal="center"/>
    </xf>
    <xf numFmtId="44" fontId="2" fillId="0" borderId="65" xfId="8" applyFont="1" applyFill="1" applyBorder="1" applyAlignment="1">
      <alignment horizontal="center"/>
    </xf>
    <xf numFmtId="44" fontId="2" fillId="0" borderId="65" xfId="0" applyNumberFormat="1" applyFont="1" applyBorder="1"/>
    <xf numFmtId="0" fontId="2" fillId="0" borderId="65" xfId="0" applyFont="1" applyBorder="1"/>
    <xf numFmtId="0" fontId="30" fillId="19" borderId="81" xfId="0" applyFont="1" applyFill="1" applyBorder="1"/>
    <xf numFmtId="44" fontId="30" fillId="19" borderId="68" xfId="0" applyNumberFormat="1" applyFont="1" applyFill="1" applyBorder="1"/>
    <xf numFmtId="164" fontId="56" fillId="0" borderId="87" xfId="2" applyNumberFormat="1" applyFont="1" applyBorder="1" applyAlignment="1" applyProtection="1">
      <alignment horizontal="left" vertical="center"/>
      <protection locked="0"/>
    </xf>
    <xf numFmtId="164" fontId="56" fillId="0" borderId="88" xfId="2" applyNumberFormat="1" applyFont="1" applyBorder="1" applyAlignment="1" applyProtection="1">
      <alignment horizontal="left" vertical="center"/>
      <protection locked="0"/>
    </xf>
    <xf numFmtId="164" fontId="56" fillId="0" borderId="89" xfId="2" applyNumberFormat="1" applyFont="1" applyBorder="1" applyAlignment="1" applyProtection="1">
      <alignment horizontal="left" vertical="center"/>
      <protection locked="0"/>
    </xf>
    <xf numFmtId="164" fontId="56" fillId="0" borderId="90" xfId="2" applyNumberFormat="1" applyFont="1" applyBorder="1" applyAlignment="1" applyProtection="1">
      <alignment horizontal="left" vertical="center"/>
      <protection locked="0"/>
    </xf>
    <xf numFmtId="0" fontId="56" fillId="0" borderId="91" xfId="2" applyFont="1" applyBorder="1" applyAlignment="1" applyProtection="1">
      <alignment horizontal="left" vertical="center"/>
      <protection locked="0"/>
    </xf>
    <xf numFmtId="14" fontId="56" fillId="0" borderId="90" xfId="2" applyNumberFormat="1" applyFont="1" applyBorder="1" applyAlignment="1" applyProtection="1">
      <alignment horizontal="left" vertical="center"/>
      <protection locked="0"/>
    </xf>
    <xf numFmtId="164" fontId="56" fillId="0" borderId="14" xfId="2" applyNumberFormat="1" applyFont="1" applyBorder="1" applyAlignment="1" applyProtection="1">
      <alignment horizontal="left" vertical="center"/>
      <protection locked="0"/>
    </xf>
    <xf numFmtId="0" fontId="56" fillId="0" borderId="92" xfId="2" applyFont="1" applyBorder="1" applyAlignment="1" applyProtection="1">
      <alignment horizontal="left" vertical="center"/>
      <protection locked="0"/>
    </xf>
    <xf numFmtId="0" fontId="57" fillId="23" borderId="58" xfId="0" applyFont="1" applyFill="1" applyBorder="1" applyAlignment="1">
      <alignment horizontal="center"/>
    </xf>
    <xf numFmtId="0" fontId="57" fillId="23" borderId="59" xfId="0" applyFont="1" applyFill="1" applyBorder="1" applyAlignment="1">
      <alignment horizontal="center"/>
    </xf>
    <xf numFmtId="0" fontId="30" fillId="20" borderId="82" xfId="0" applyFont="1" applyFill="1" applyBorder="1"/>
    <xf numFmtId="44" fontId="30" fillId="20" borderId="75" xfId="0" applyNumberFormat="1" applyFont="1" applyFill="1" applyBorder="1"/>
    <xf numFmtId="44" fontId="30" fillId="20" borderId="97" xfId="0" applyNumberFormat="1" applyFont="1" applyFill="1" applyBorder="1"/>
    <xf numFmtId="44" fontId="30" fillId="20" borderId="101" xfId="0" applyNumberFormat="1" applyFont="1" applyFill="1" applyBorder="1"/>
    <xf numFmtId="9" fontId="31" fillId="20" borderId="0" xfId="1" applyFont="1" applyFill="1" applyBorder="1" applyAlignment="1">
      <alignment horizontal="left" vertical="center"/>
    </xf>
    <xf numFmtId="166" fontId="0" fillId="20" borderId="0" xfId="0" applyNumberFormat="1" applyFill="1"/>
    <xf numFmtId="0" fontId="30" fillId="20" borderId="81" xfId="0" applyFont="1" applyFill="1" applyBorder="1"/>
    <xf numFmtId="44" fontId="35" fillId="20" borderId="68" xfId="0" applyNumberFormat="1" applyFont="1" applyFill="1" applyBorder="1"/>
    <xf numFmtId="44" fontId="30" fillId="20" borderId="84" xfId="0" applyNumberFormat="1" applyFont="1" applyFill="1" applyBorder="1"/>
    <xf numFmtId="44" fontId="30" fillId="20" borderId="99" xfId="0" applyNumberFormat="1" applyFont="1" applyFill="1" applyBorder="1"/>
    <xf numFmtId="0" fontId="5" fillId="0" borderId="0" xfId="2" applyFont="1" applyAlignment="1">
      <alignment horizontal="left" vertical="center" wrapText="1"/>
    </xf>
    <xf numFmtId="0" fontId="58" fillId="0" borderId="0" xfId="0" applyFont="1"/>
    <xf numFmtId="49" fontId="5" fillId="0" borderId="0" xfId="2" applyNumberFormat="1" applyFont="1" applyAlignment="1">
      <alignment horizontal="left" vertical="center" wrapText="1"/>
    </xf>
    <xf numFmtId="0" fontId="58" fillId="0" borderId="0" xfId="0" applyFont="1" applyAlignment="1">
      <alignment horizontal="center"/>
    </xf>
    <xf numFmtId="0" fontId="59" fillId="0" borderId="0" xfId="0" applyFont="1" applyAlignment="1">
      <alignment horizontal="center"/>
    </xf>
    <xf numFmtId="164" fontId="5" fillId="0" borderId="0" xfId="2" applyNumberFormat="1" applyFont="1" applyAlignment="1">
      <alignment horizontal="left" vertical="center"/>
    </xf>
    <xf numFmtId="164" fontId="60" fillId="0" borderId="20" xfId="2" applyNumberFormat="1" applyFont="1" applyBorder="1" applyAlignment="1" applyProtection="1">
      <alignment horizontal="left" vertical="center"/>
      <protection locked="0"/>
    </xf>
    <xf numFmtId="164" fontId="60" fillId="0" borderId="22" xfId="2" applyNumberFormat="1" applyFont="1" applyBorder="1" applyAlignment="1" applyProtection="1">
      <alignment horizontal="left" vertical="center"/>
      <protection locked="0"/>
    </xf>
    <xf numFmtId="164" fontId="60" fillId="0" borderId="31" xfId="2" applyNumberFormat="1" applyFont="1" applyBorder="1" applyAlignment="1" applyProtection="1">
      <alignment horizontal="left" vertical="center"/>
      <protection locked="0"/>
    </xf>
    <xf numFmtId="164" fontId="60" fillId="0" borderId="32" xfId="2" applyNumberFormat="1" applyFont="1" applyBorder="1" applyAlignment="1" applyProtection="1">
      <alignment horizontal="left" vertical="center"/>
      <protection locked="0"/>
    </xf>
    <xf numFmtId="0" fontId="60" fillId="0" borderId="25" xfId="2" applyFont="1" applyBorder="1" applyAlignment="1" applyProtection="1">
      <alignment horizontal="left" vertical="center"/>
      <protection locked="0"/>
    </xf>
    <xf numFmtId="14" fontId="60" fillId="0" borderId="32" xfId="2" applyNumberFormat="1" applyFont="1" applyBorder="1" applyAlignment="1" applyProtection="1">
      <alignment horizontal="left" vertical="center"/>
      <protection locked="0"/>
    </xf>
    <xf numFmtId="164" fontId="60" fillId="0" borderId="39" xfId="2" applyNumberFormat="1" applyFont="1" applyBorder="1" applyAlignment="1" applyProtection="1">
      <alignment horizontal="left" vertical="center"/>
      <protection locked="0"/>
    </xf>
    <xf numFmtId="0" fontId="60" fillId="0" borderId="29" xfId="2" applyFont="1" applyBorder="1" applyAlignment="1" applyProtection="1">
      <alignment horizontal="left" vertical="center"/>
      <protection locked="0"/>
    </xf>
    <xf numFmtId="49" fontId="58" fillId="0" borderId="0" xfId="0" applyNumberFormat="1" applyFont="1"/>
    <xf numFmtId="0" fontId="58" fillId="0" borderId="0" xfId="1" applyNumberFormat="1" applyFont="1"/>
    <xf numFmtId="165" fontId="61" fillId="6" borderId="38" xfId="4" applyFont="1" applyFill="1" applyBorder="1" applyAlignment="1">
      <alignment horizontal="center" vertical="center" wrapText="1"/>
    </xf>
    <xf numFmtId="168" fontId="59" fillId="0" borderId="5" xfId="1" applyNumberFormat="1" applyFont="1" applyBorder="1"/>
    <xf numFmtId="166" fontId="61" fillId="0" borderId="40" xfId="4" applyNumberFormat="1" applyFont="1" applyBorder="1" applyAlignment="1">
      <alignment horizontal="center" vertical="center" wrapText="1"/>
    </xf>
    <xf numFmtId="0" fontId="59" fillId="5" borderId="0" xfId="0" applyFont="1" applyFill="1"/>
    <xf numFmtId="49" fontId="59" fillId="5" borderId="0" xfId="0" applyNumberFormat="1" applyFont="1" applyFill="1"/>
    <xf numFmtId="0" fontId="62" fillId="0" borderId="0" xfId="0" applyFont="1"/>
    <xf numFmtId="0" fontId="59" fillId="0" borderId="0" xfId="0" applyFont="1"/>
    <xf numFmtId="0" fontId="58" fillId="0" borderId="49" xfId="0" applyFont="1" applyBorder="1" applyAlignment="1">
      <alignment horizontal="left" vertical="center"/>
    </xf>
    <xf numFmtId="49" fontId="58" fillId="0" borderId="50" xfId="0" applyNumberFormat="1" applyFont="1" applyBorder="1" applyAlignment="1">
      <alignment horizontal="left" vertical="center"/>
    </xf>
    <xf numFmtId="0" fontId="58" fillId="0" borderId="51" xfId="0" applyFont="1" applyBorder="1" applyAlignment="1">
      <alignment horizontal="left" vertical="center"/>
    </xf>
    <xf numFmtId="0" fontId="58" fillId="0" borderId="49" xfId="0" applyFont="1" applyBorder="1" applyAlignment="1">
      <alignment horizontal="left" vertical="center" wrapText="1"/>
    </xf>
    <xf numFmtId="0" fontId="5" fillId="6" borderId="70" xfId="3" applyFont="1" applyFill="1" applyBorder="1" applyAlignment="1">
      <alignment horizontal="left" vertical="center"/>
    </xf>
    <xf numFmtId="0" fontId="5" fillId="6" borderId="71" xfId="3" applyFont="1" applyFill="1" applyBorder="1" applyAlignment="1">
      <alignment horizontal="center" vertical="center"/>
    </xf>
    <xf numFmtId="0" fontId="59" fillId="6" borderId="71" xfId="3" applyFont="1" applyFill="1" applyBorder="1" applyAlignment="1">
      <alignment horizontal="center" vertical="center"/>
    </xf>
    <xf numFmtId="169" fontId="59" fillId="6" borderId="71" xfId="3" applyNumberFormat="1" applyFont="1" applyFill="1" applyBorder="1" applyAlignment="1">
      <alignment horizontal="center" vertical="center" wrapText="1"/>
    </xf>
    <xf numFmtId="0" fontId="59" fillId="6" borderId="71" xfId="3" applyFont="1" applyFill="1" applyBorder="1" applyAlignment="1">
      <alignment horizontal="center" vertical="center" wrapText="1"/>
    </xf>
    <xf numFmtId="9" fontId="59" fillId="6" borderId="71" xfId="1" applyFont="1" applyFill="1" applyBorder="1" applyAlignment="1">
      <alignment horizontal="center" vertical="center" wrapText="1"/>
    </xf>
    <xf numFmtId="10" fontId="59" fillId="6" borderId="71" xfId="1" applyNumberFormat="1" applyFont="1" applyFill="1" applyBorder="1" applyAlignment="1">
      <alignment horizontal="center" vertical="center" wrapText="1"/>
    </xf>
    <xf numFmtId="0" fontId="59" fillId="6" borderId="72" xfId="3" applyFont="1" applyFill="1" applyBorder="1" applyAlignment="1">
      <alignment horizontal="center" vertical="center" wrapText="1"/>
    </xf>
    <xf numFmtId="37" fontId="61" fillId="6" borderId="70" xfId="3" applyNumberFormat="1" applyFont="1" applyFill="1" applyBorder="1" applyAlignment="1">
      <alignment horizontal="center" vertical="center"/>
    </xf>
    <xf numFmtId="37" fontId="61" fillId="6" borderId="71" xfId="3" applyNumberFormat="1" applyFont="1" applyFill="1" applyBorder="1" applyAlignment="1">
      <alignment horizontal="center" vertical="center"/>
    </xf>
    <xf numFmtId="40" fontId="61" fillId="6" borderId="71" xfId="4" applyNumberFormat="1" applyFont="1" applyFill="1" applyBorder="1" applyAlignment="1">
      <alignment horizontal="center" vertical="center"/>
    </xf>
    <xf numFmtId="165" fontId="61" fillId="6" borderId="71" xfId="4" applyFont="1" applyFill="1" applyBorder="1" applyAlignment="1">
      <alignment horizontal="right" vertical="center"/>
    </xf>
    <xf numFmtId="40" fontId="61" fillId="6" borderId="71" xfId="4" applyNumberFormat="1" applyFont="1" applyFill="1" applyBorder="1" applyAlignment="1">
      <alignment horizontal="center" vertical="center" wrapText="1"/>
    </xf>
    <xf numFmtId="10" fontId="61" fillId="6" borderId="71" xfId="5" applyNumberFormat="1" applyFont="1" applyFill="1" applyBorder="1" applyAlignment="1">
      <alignment horizontal="center" vertical="center" wrapText="1"/>
    </xf>
    <xf numFmtId="165" fontId="61" fillId="6" borderId="71" xfId="4" applyFont="1" applyFill="1" applyBorder="1" applyAlignment="1">
      <alignment horizontal="center" vertical="center" wrapText="1"/>
    </xf>
    <xf numFmtId="165" fontId="61" fillId="6" borderId="72" xfId="4" applyFont="1" applyFill="1" applyBorder="1" applyAlignment="1">
      <alignment horizontal="center" vertical="center" wrapText="1"/>
    </xf>
    <xf numFmtId="10" fontId="61" fillId="6" borderId="52" xfId="5" applyNumberFormat="1" applyFont="1" applyFill="1" applyBorder="1" applyAlignment="1">
      <alignment horizontal="center" vertical="center" wrapText="1"/>
    </xf>
    <xf numFmtId="10" fontId="61" fillId="6" borderId="108" xfId="5" applyNumberFormat="1" applyFont="1" applyFill="1" applyBorder="1" applyAlignment="1">
      <alignment horizontal="center" vertical="center" wrapText="1"/>
    </xf>
    <xf numFmtId="165" fontId="61" fillId="6" borderId="52" xfId="4" applyFont="1" applyFill="1" applyBorder="1" applyAlignment="1">
      <alignment horizontal="center" vertical="center" wrapText="1"/>
    </xf>
    <xf numFmtId="165" fontId="61" fillId="6" borderId="53" xfId="4" applyFont="1" applyFill="1" applyBorder="1" applyAlignment="1">
      <alignment horizontal="center" vertical="center" wrapText="1"/>
    </xf>
    <xf numFmtId="37" fontId="61" fillId="6" borderId="3" xfId="3" applyNumberFormat="1" applyFont="1" applyFill="1" applyBorder="1" applyAlignment="1">
      <alignment horizontal="center" vertical="center"/>
    </xf>
    <xf numFmtId="40" fontId="61" fillId="6" borderId="54" xfId="4" applyNumberFormat="1" applyFont="1" applyFill="1" applyBorder="1" applyAlignment="1">
      <alignment horizontal="center" vertical="center"/>
    </xf>
    <xf numFmtId="49" fontId="58" fillId="0" borderId="50" xfId="0" applyNumberFormat="1" applyFont="1" applyBorder="1" applyAlignment="1">
      <alignment horizontal="left" vertical="center" wrapText="1"/>
    </xf>
    <xf numFmtId="0" fontId="58" fillId="0" borderId="51" xfId="0" applyFont="1" applyBorder="1" applyAlignment="1">
      <alignment horizontal="left" vertical="center" wrapText="1"/>
    </xf>
    <xf numFmtId="0" fontId="59" fillId="12" borderId="65" xfId="0" applyFont="1" applyFill="1" applyBorder="1"/>
    <xf numFmtId="0" fontId="59" fillId="13" borderId="65" xfId="0" applyFont="1" applyFill="1" applyBorder="1" applyAlignment="1">
      <alignment horizontal="center" vertical="center"/>
    </xf>
    <xf numFmtId="0" fontId="59" fillId="13" borderId="68" xfId="0" applyFont="1" applyFill="1" applyBorder="1" applyAlignment="1">
      <alignment horizontal="center" vertical="center"/>
    </xf>
    <xf numFmtId="0" fontId="59" fillId="13" borderId="70" xfId="0" applyFont="1" applyFill="1" applyBorder="1" applyAlignment="1">
      <alignment horizontal="center" vertical="center"/>
    </xf>
    <xf numFmtId="0" fontId="59" fillId="13" borderId="109" xfId="0" applyFont="1" applyFill="1" applyBorder="1" applyAlignment="1">
      <alignment horizontal="center" vertical="center"/>
    </xf>
    <xf numFmtId="166" fontId="64" fillId="12" borderId="65" xfId="4" applyNumberFormat="1" applyFont="1" applyFill="1" applyBorder="1" applyAlignment="1">
      <alignment horizontal="center" vertical="center" wrapText="1"/>
    </xf>
    <xf numFmtId="166" fontId="65" fillId="12" borderId="65" xfId="4" applyNumberFormat="1" applyFont="1" applyFill="1" applyBorder="1" applyAlignment="1">
      <alignment horizontal="center" vertical="center" wrapText="1"/>
    </xf>
    <xf numFmtId="0" fontId="58" fillId="12" borderId="67" xfId="2" applyFont="1" applyFill="1" applyBorder="1" applyAlignment="1">
      <alignment vertical="center" wrapText="1"/>
    </xf>
    <xf numFmtId="0" fontId="58" fillId="0" borderId="65" xfId="2" applyFont="1" applyBorder="1" applyAlignment="1">
      <alignment horizontal="left" vertical="center" wrapText="1"/>
    </xf>
    <xf numFmtId="0" fontId="66" fillId="0" borderId="65" xfId="2" quotePrefix="1" applyFont="1" applyBorder="1" applyAlignment="1">
      <alignment horizontal="center" vertical="center"/>
    </xf>
    <xf numFmtId="3" fontId="66" fillId="0" borderId="65" xfId="2" quotePrefix="1" applyNumberFormat="1" applyFont="1" applyBorder="1" applyAlignment="1">
      <alignment horizontal="center" vertical="center"/>
    </xf>
    <xf numFmtId="44" fontId="66" fillId="0" borderId="65" xfId="10" quotePrefix="1" applyFont="1" applyBorder="1" applyAlignment="1">
      <alignment horizontal="right" vertical="center"/>
    </xf>
    <xf numFmtId="44" fontId="58" fillId="0" borderId="65" xfId="8" applyFont="1" applyBorder="1" applyAlignment="1">
      <alignment vertical="center"/>
    </xf>
    <xf numFmtId="44" fontId="58" fillId="0" borderId="68" xfId="8" applyFont="1" applyBorder="1" applyAlignment="1">
      <alignment vertical="center"/>
    </xf>
    <xf numFmtId="1" fontId="58" fillId="14" borderId="67" xfId="0" applyNumberFormat="1" applyFont="1" applyFill="1" applyBorder="1" applyAlignment="1">
      <alignment horizontal="center" vertical="center"/>
    </xf>
    <xf numFmtId="1" fontId="58" fillId="14" borderId="65" xfId="0" applyNumberFormat="1" applyFont="1" applyFill="1" applyBorder="1" applyAlignment="1">
      <alignment horizontal="center" vertical="center"/>
    </xf>
    <xf numFmtId="44" fontId="58" fillId="14" borderId="65" xfId="8" applyFont="1" applyFill="1" applyBorder="1" applyAlignment="1">
      <alignment vertical="center"/>
    </xf>
    <xf numFmtId="44" fontId="58" fillId="16" borderId="65" xfId="8" applyFont="1" applyFill="1" applyBorder="1" applyAlignment="1">
      <alignment vertical="center"/>
    </xf>
    <xf numFmtId="9" fontId="58" fillId="15" borderId="65" xfId="1" applyFont="1" applyFill="1" applyBorder="1" applyAlignment="1">
      <alignment vertical="center"/>
    </xf>
    <xf numFmtId="44" fontId="58" fillId="15" borderId="65" xfId="8" applyFont="1" applyFill="1" applyBorder="1" applyAlignment="1">
      <alignment vertical="center"/>
    </xf>
    <xf numFmtId="44" fontId="58" fillId="15" borderId="68" xfId="8" applyFont="1" applyFill="1" applyBorder="1" applyAlignment="1">
      <alignment vertical="center"/>
    </xf>
    <xf numFmtId="10" fontId="58" fillId="16" borderId="67" xfId="0" applyNumberFormat="1" applyFont="1" applyFill="1" applyBorder="1" applyAlignment="1">
      <alignment horizontal="center" vertical="center"/>
    </xf>
    <xf numFmtId="10" fontId="58" fillId="16" borderId="7" xfId="0" applyNumberFormat="1" applyFont="1" applyFill="1" applyBorder="1" applyAlignment="1">
      <alignment horizontal="center" vertical="center"/>
    </xf>
    <xf numFmtId="44" fontId="64" fillId="12" borderId="65" xfId="8" applyFont="1" applyFill="1" applyBorder="1" applyAlignment="1">
      <alignment horizontal="center" vertical="center"/>
    </xf>
    <xf numFmtId="44" fontId="65" fillId="12" borderId="65" xfId="8" applyFont="1" applyFill="1" applyBorder="1"/>
    <xf numFmtId="0" fontId="58" fillId="12" borderId="65" xfId="2" applyFont="1" applyFill="1" applyBorder="1" applyAlignment="1">
      <alignment horizontal="left" vertical="center" wrapText="1"/>
    </xf>
    <xf numFmtId="0" fontId="66" fillId="12" borderId="65" xfId="2" quotePrefix="1" applyFont="1" applyFill="1" applyBorder="1" applyAlignment="1">
      <alignment horizontal="center" vertical="center"/>
    </xf>
    <xf numFmtId="3" fontId="66" fillId="12" borderId="65" xfId="2" quotePrefix="1" applyNumberFormat="1" applyFont="1" applyFill="1" applyBorder="1" applyAlignment="1">
      <alignment horizontal="center" vertical="center"/>
    </xf>
    <xf numFmtId="44" fontId="66" fillId="12" borderId="65" xfId="10" quotePrefix="1" applyFont="1" applyFill="1" applyBorder="1" applyAlignment="1">
      <alignment horizontal="right" vertical="center"/>
    </xf>
    <xf numFmtId="44" fontId="66" fillId="0" borderId="65" xfId="10" quotePrefix="1" applyFont="1" applyBorder="1" applyAlignment="1">
      <alignment horizontal="center" vertical="center"/>
    </xf>
    <xf numFmtId="0" fontId="58" fillId="0" borderId="67" xfId="2" applyFont="1" applyBorder="1" applyAlignment="1">
      <alignment horizontal="left" vertical="center" wrapText="1"/>
    </xf>
    <xf numFmtId="0" fontId="58" fillId="12" borderId="65" xfId="2" quotePrefix="1" applyFont="1" applyFill="1" applyBorder="1" applyAlignment="1">
      <alignment horizontal="center" vertical="center"/>
    </xf>
    <xf numFmtId="3" fontId="58" fillId="12" borderId="65" xfId="2" quotePrefix="1" applyNumberFormat="1" applyFont="1" applyFill="1" applyBorder="1" applyAlignment="1">
      <alignment horizontal="center" vertical="center"/>
    </xf>
    <xf numFmtId="44" fontId="58" fillId="0" borderId="65" xfId="8" quotePrefix="1" applyFont="1" applyBorder="1" applyAlignment="1">
      <alignment vertical="center"/>
    </xf>
    <xf numFmtId="0" fontId="58" fillId="12" borderId="67" xfId="2" applyFont="1" applyFill="1" applyBorder="1" applyAlignment="1">
      <alignment horizontal="left" vertical="center" wrapText="1"/>
    </xf>
    <xf numFmtId="44" fontId="58" fillId="12" borderId="65" xfId="8" quotePrefix="1" applyFont="1" applyFill="1" applyBorder="1" applyAlignment="1">
      <alignment vertical="center"/>
    </xf>
    <xf numFmtId="10" fontId="58" fillId="16" borderId="73" xfId="0" applyNumberFormat="1" applyFont="1" applyFill="1" applyBorder="1" applyAlignment="1">
      <alignment horizontal="center" vertical="center"/>
    </xf>
    <xf numFmtId="10" fontId="58" fillId="16" borderId="76" xfId="0" applyNumberFormat="1" applyFont="1" applyFill="1" applyBorder="1" applyAlignment="1">
      <alignment horizontal="center" vertical="center"/>
    </xf>
    <xf numFmtId="170" fontId="63" fillId="11" borderId="65" xfId="0" applyNumberFormat="1" applyFont="1" applyFill="1" applyBorder="1" applyAlignment="1">
      <alignment horizontal="right"/>
    </xf>
    <xf numFmtId="170" fontId="63" fillId="11" borderId="68" xfId="0" applyNumberFormat="1" applyFont="1" applyFill="1" applyBorder="1" applyAlignment="1">
      <alignment horizontal="right"/>
    </xf>
    <xf numFmtId="44" fontId="63" fillId="11" borderId="65" xfId="0" applyNumberFormat="1" applyFont="1" applyFill="1" applyBorder="1" applyAlignment="1">
      <alignment horizontal="right"/>
    </xf>
    <xf numFmtId="44" fontId="59" fillId="16" borderId="65" xfId="0" applyNumberFormat="1" applyFont="1" applyFill="1" applyBorder="1"/>
    <xf numFmtId="0" fontId="58" fillId="15" borderId="65" xfId="0" applyFont="1" applyFill="1" applyBorder="1"/>
    <xf numFmtId="44" fontId="59" fillId="15" borderId="65" xfId="0" applyNumberFormat="1" applyFont="1" applyFill="1" applyBorder="1"/>
    <xf numFmtId="44" fontId="59" fillId="15" borderId="68" xfId="8" applyFont="1" applyFill="1" applyBorder="1"/>
    <xf numFmtId="0" fontId="58" fillId="0" borderId="67" xfId="0" applyFont="1" applyBorder="1" applyAlignment="1">
      <alignment horizontal="left" vertical="center" wrapText="1"/>
    </xf>
    <xf numFmtId="0" fontId="58" fillId="0" borderId="65" xfId="0" applyFont="1" applyBorder="1" applyAlignment="1">
      <alignment horizontal="left" vertical="center" wrapText="1"/>
    </xf>
    <xf numFmtId="0" fontId="58" fillId="0" borderId="65" xfId="0" applyFont="1" applyBorder="1" applyAlignment="1">
      <alignment vertical="center"/>
    </xf>
    <xf numFmtId="8" fontId="58" fillId="14" borderId="9" xfId="0" applyNumberFormat="1" applyFont="1" applyFill="1" applyBorder="1"/>
    <xf numFmtId="44" fontId="58" fillId="14" borderId="9" xfId="0" applyNumberFormat="1" applyFont="1" applyFill="1" applyBorder="1"/>
    <xf numFmtId="14" fontId="58" fillId="14" borderId="10" xfId="0" applyNumberFormat="1" applyFont="1" applyFill="1" applyBorder="1"/>
    <xf numFmtId="0" fontId="58" fillId="21" borderId="65" xfId="0" applyFont="1" applyFill="1" applyBorder="1" applyAlignment="1">
      <alignment wrapText="1"/>
    </xf>
    <xf numFmtId="0" fontId="58" fillId="14" borderId="10" xfId="0" applyFont="1" applyFill="1" applyBorder="1" applyAlignment="1">
      <alignment wrapText="1"/>
    </xf>
    <xf numFmtId="0" fontId="66" fillId="0" borderId="65" xfId="0" applyFont="1" applyBorder="1" applyAlignment="1">
      <alignment horizontal="left" vertical="center" wrapText="1"/>
    </xf>
    <xf numFmtId="0" fontId="58" fillId="12" borderId="0" xfId="0" applyFont="1" applyFill="1"/>
    <xf numFmtId="0" fontId="58" fillId="0" borderId="65" xfId="0" applyFont="1" applyBorder="1" applyAlignment="1">
      <alignment horizontal="center" vertical="center"/>
    </xf>
    <xf numFmtId="44" fontId="66" fillId="0" borderId="65" xfId="8" applyFont="1" applyBorder="1" applyAlignment="1">
      <alignment vertical="center"/>
    </xf>
    <xf numFmtId="44" fontId="58" fillId="14" borderId="68" xfId="8" applyFont="1" applyFill="1" applyBorder="1" applyAlignment="1">
      <alignment vertical="center"/>
    </xf>
    <xf numFmtId="44" fontId="58" fillId="16" borderId="10" xfId="8" applyFont="1" applyFill="1" applyBorder="1" applyAlignment="1">
      <alignment vertical="center"/>
    </xf>
    <xf numFmtId="0" fontId="59" fillId="21" borderId="65" xfId="0" applyFont="1" applyFill="1" applyBorder="1" applyAlignment="1">
      <alignment horizontal="center"/>
    </xf>
    <xf numFmtId="0" fontId="58" fillId="0" borderId="69" xfId="0" applyFont="1" applyBorder="1" applyAlignment="1">
      <alignment horizontal="left" vertical="center" wrapText="1"/>
    </xf>
    <xf numFmtId="0" fontId="58" fillId="0" borderId="79" xfId="0" applyFont="1" applyBorder="1" applyAlignment="1">
      <alignment horizontal="left" vertical="center" wrapText="1"/>
    </xf>
    <xf numFmtId="1" fontId="58" fillId="14" borderId="105" xfId="0" applyNumberFormat="1" applyFont="1" applyFill="1" applyBorder="1" applyAlignment="1">
      <alignment vertical="center"/>
    </xf>
    <xf numFmtId="1" fontId="58" fillId="14" borderId="39" xfId="0" applyNumberFormat="1" applyFont="1" applyFill="1" applyBorder="1" applyAlignment="1">
      <alignment vertical="center"/>
    </xf>
    <xf numFmtId="44" fontId="58" fillId="14" borderId="39" xfId="8" applyFont="1" applyFill="1" applyBorder="1" applyAlignment="1">
      <alignment vertical="center"/>
    </xf>
    <xf numFmtId="44" fontId="58" fillId="14" borderId="103" xfId="8" applyFont="1" applyFill="1" applyBorder="1" applyAlignment="1">
      <alignment vertical="center"/>
    </xf>
    <xf numFmtId="44" fontId="58" fillId="16" borderId="106" xfId="8" applyFont="1" applyFill="1" applyBorder="1" applyAlignment="1">
      <alignment vertical="center"/>
    </xf>
    <xf numFmtId="9" fontId="58" fillId="15" borderId="39" xfId="1" applyFont="1" applyFill="1" applyBorder="1" applyAlignment="1">
      <alignment vertical="center"/>
    </xf>
    <xf numFmtId="44" fontId="58" fillId="15" borderId="39" xfId="8" applyFont="1" applyFill="1" applyBorder="1" applyAlignment="1">
      <alignment vertical="center"/>
    </xf>
    <xf numFmtId="44" fontId="58" fillId="15" borderId="78" xfId="8" applyFont="1" applyFill="1" applyBorder="1" applyAlignment="1">
      <alignment vertical="center"/>
    </xf>
    <xf numFmtId="10" fontId="58" fillId="16" borderId="65" xfId="0" applyNumberFormat="1" applyFont="1" applyFill="1" applyBorder="1" applyAlignment="1">
      <alignment horizontal="center" vertical="center"/>
    </xf>
    <xf numFmtId="0" fontId="58" fillId="0" borderId="60" xfId="0" applyFont="1" applyBorder="1" applyAlignment="1">
      <alignment horizontal="left" vertical="center" wrapText="1"/>
    </xf>
    <xf numFmtId="0" fontId="58" fillId="0" borderId="0" xfId="0" applyFont="1" applyAlignment="1">
      <alignment horizontal="left" vertical="center" wrapText="1"/>
    </xf>
    <xf numFmtId="0" fontId="58" fillId="0" borderId="77" xfId="0" applyFont="1" applyBorder="1" applyAlignment="1">
      <alignment horizontal="left" vertical="center" wrapText="1"/>
    </xf>
    <xf numFmtId="0" fontId="58" fillId="0" borderId="78" xfId="0" applyFont="1" applyBorder="1" applyAlignment="1">
      <alignment horizontal="left" vertical="center" wrapText="1"/>
    </xf>
    <xf numFmtId="0" fontId="58" fillId="0" borderId="78" xfId="0" applyFont="1" applyBorder="1" applyAlignment="1">
      <alignment horizontal="center" vertical="center"/>
    </xf>
    <xf numFmtId="44" fontId="58" fillId="0" borderId="78" xfId="8" applyFont="1" applyBorder="1" applyAlignment="1">
      <alignment vertical="center"/>
    </xf>
    <xf numFmtId="44" fontId="58" fillId="0" borderId="103" xfId="8" applyFont="1" applyBorder="1" applyAlignment="1">
      <alignment vertical="center"/>
    </xf>
    <xf numFmtId="1" fontId="58" fillId="14" borderId="77" xfId="0" applyNumberFormat="1" applyFont="1" applyFill="1" applyBorder="1" applyAlignment="1">
      <alignment horizontal="center" vertical="center"/>
    </xf>
    <xf numFmtId="1" fontId="58" fillId="14" borderId="78" xfId="0" applyNumberFormat="1" applyFont="1" applyFill="1" applyBorder="1" applyAlignment="1">
      <alignment horizontal="center" vertical="center"/>
    </xf>
    <xf numFmtId="44" fontId="58" fillId="14" borderId="78" xfId="8" applyFont="1" applyFill="1" applyBorder="1" applyAlignment="1">
      <alignment vertical="center"/>
    </xf>
    <xf numFmtId="44" fontId="58" fillId="16" borderId="104" xfId="8" applyFont="1" applyFill="1" applyBorder="1" applyAlignment="1">
      <alignment vertical="center"/>
    </xf>
    <xf numFmtId="9" fontId="58" fillId="15" borderId="78" xfId="1" applyFont="1" applyFill="1" applyBorder="1" applyAlignment="1">
      <alignment vertical="center"/>
    </xf>
    <xf numFmtId="44" fontId="58" fillId="15" borderId="103" xfId="8" applyFont="1" applyFill="1" applyBorder="1" applyAlignment="1">
      <alignment vertical="center"/>
    </xf>
    <xf numFmtId="0" fontId="58" fillId="0" borderId="61" xfId="0" applyFont="1" applyBorder="1" applyAlignment="1">
      <alignment horizontal="left" vertical="center" wrapText="1"/>
    </xf>
    <xf numFmtId="0" fontId="58" fillId="0" borderId="63" xfId="0" applyFont="1" applyBorder="1" applyAlignment="1">
      <alignment horizontal="left" vertical="center" wrapText="1"/>
    </xf>
    <xf numFmtId="44" fontId="66" fillId="14" borderId="65" xfId="8" applyFont="1" applyFill="1" applyBorder="1" applyAlignment="1">
      <alignment vertical="center"/>
    </xf>
    <xf numFmtId="0" fontId="58" fillId="12" borderId="65" xfId="0" applyFont="1" applyFill="1" applyBorder="1" applyAlignment="1">
      <alignment horizontal="center" vertical="center"/>
    </xf>
    <xf numFmtId="0" fontId="58" fillId="20" borderId="65" xfId="0" applyFont="1" applyFill="1" applyBorder="1" applyAlignment="1">
      <alignment horizontal="center" vertical="center"/>
    </xf>
    <xf numFmtId="0" fontId="58" fillId="21" borderId="65" xfId="0" applyFont="1" applyFill="1" applyBorder="1"/>
    <xf numFmtId="10" fontId="58" fillId="16" borderId="55" xfId="0" applyNumberFormat="1" applyFont="1" applyFill="1" applyBorder="1" applyAlignment="1">
      <alignment horizontal="center" vertical="center"/>
    </xf>
    <xf numFmtId="10" fontId="58" fillId="16" borderId="64" xfId="0" applyNumberFormat="1" applyFont="1" applyFill="1" applyBorder="1" applyAlignment="1">
      <alignment horizontal="center" vertical="center"/>
    </xf>
    <xf numFmtId="0" fontId="59" fillId="21" borderId="65" xfId="0" applyFont="1" applyFill="1" applyBorder="1" applyAlignment="1">
      <alignment horizontal="center" wrapText="1"/>
    </xf>
    <xf numFmtId="0" fontId="58" fillId="20" borderId="67" xfId="0" applyFont="1" applyFill="1" applyBorder="1" applyAlignment="1">
      <alignment horizontal="left" vertical="center" wrapText="1"/>
    </xf>
    <xf numFmtId="0" fontId="58" fillId="20" borderId="65" xfId="0" applyFont="1" applyFill="1" applyBorder="1" applyAlignment="1">
      <alignment horizontal="left" vertical="center" wrapText="1"/>
    </xf>
    <xf numFmtId="44" fontId="58" fillId="20" borderId="65" xfId="8" applyFont="1" applyFill="1" applyBorder="1" applyAlignment="1">
      <alignment vertical="center"/>
    </xf>
    <xf numFmtId="44" fontId="58" fillId="20" borderId="68" xfId="8" applyFont="1" applyFill="1" applyBorder="1" applyAlignment="1">
      <alignment vertical="center"/>
    </xf>
    <xf numFmtId="0" fontId="58" fillId="20" borderId="0" xfId="0" applyFont="1" applyFill="1"/>
    <xf numFmtId="1" fontId="58" fillId="20" borderId="67" xfId="0" applyNumberFormat="1" applyFont="1" applyFill="1" applyBorder="1" applyAlignment="1">
      <alignment horizontal="center" vertical="center"/>
    </xf>
    <xf numFmtId="1" fontId="58" fillId="20" borderId="65" xfId="0" applyNumberFormat="1" applyFont="1" applyFill="1" applyBorder="1" applyAlignment="1">
      <alignment horizontal="center" vertical="center"/>
    </xf>
    <xf numFmtId="9" fontId="58" fillId="20" borderId="65" xfId="1" applyFont="1" applyFill="1" applyBorder="1" applyAlignment="1">
      <alignment vertical="center"/>
    </xf>
    <xf numFmtId="10" fontId="58" fillId="20" borderId="17" xfId="0" applyNumberFormat="1" applyFont="1" applyFill="1" applyBorder="1" applyAlignment="1">
      <alignment horizontal="center" vertical="center"/>
    </xf>
    <xf numFmtId="10" fontId="58" fillId="20" borderId="0" xfId="0" applyNumberFormat="1" applyFont="1" applyFill="1" applyAlignment="1">
      <alignment horizontal="center" vertical="center"/>
    </xf>
    <xf numFmtId="44" fontId="64" fillId="20" borderId="65" xfId="8" applyFont="1" applyFill="1" applyBorder="1" applyAlignment="1">
      <alignment horizontal="center" vertical="center"/>
    </xf>
    <xf numFmtId="44" fontId="65" fillId="20" borderId="65" xfId="8" applyFont="1" applyFill="1" applyBorder="1"/>
    <xf numFmtId="8" fontId="58" fillId="20" borderId="0" xfId="0" applyNumberFormat="1" applyFont="1" applyFill="1"/>
    <xf numFmtId="44" fontId="58" fillId="20" borderId="0" xfId="0" applyNumberFormat="1" applyFont="1" applyFill="1"/>
    <xf numFmtId="14" fontId="58" fillId="20" borderId="0" xfId="0" applyNumberFormat="1" applyFont="1" applyFill="1"/>
    <xf numFmtId="0" fontId="58" fillId="20" borderId="0" xfId="0" applyFont="1" applyFill="1" applyAlignment="1">
      <alignment wrapText="1"/>
    </xf>
    <xf numFmtId="0" fontId="58" fillId="20" borderId="77" xfId="0" applyFont="1" applyFill="1" applyBorder="1" applyAlignment="1">
      <alignment horizontal="left" vertical="center" wrapText="1"/>
    </xf>
    <xf numFmtId="0" fontId="58" fillId="20" borderId="78" xfId="0" applyFont="1" applyFill="1" applyBorder="1" applyAlignment="1">
      <alignment horizontal="left" vertical="center" wrapText="1"/>
    </xf>
    <xf numFmtId="0" fontId="58" fillId="20" borderId="78" xfId="0" applyFont="1" applyFill="1" applyBorder="1" applyAlignment="1">
      <alignment horizontal="center" vertical="center"/>
    </xf>
    <xf numFmtId="44" fontId="58" fillId="20" borderId="78" xfId="8" applyFont="1" applyFill="1" applyBorder="1" applyAlignment="1">
      <alignment vertical="center"/>
    </xf>
    <xf numFmtId="44" fontId="58" fillId="20" borderId="103" xfId="8" applyFont="1" applyFill="1" applyBorder="1" applyAlignment="1">
      <alignment vertical="center"/>
    </xf>
    <xf numFmtId="44" fontId="63" fillId="17" borderId="11" xfId="8" applyFont="1" applyFill="1" applyBorder="1" applyAlignment="1">
      <alignment horizontal="center"/>
    </xf>
    <xf numFmtId="44" fontId="63" fillId="17" borderId="12" xfId="8" applyFont="1" applyFill="1" applyBorder="1" applyAlignment="1">
      <alignment horizontal="center"/>
    </xf>
    <xf numFmtId="0" fontId="59" fillId="12" borderId="0" xfId="0" applyFont="1" applyFill="1" applyAlignment="1">
      <alignment horizontal="center"/>
    </xf>
    <xf numFmtId="0" fontId="63" fillId="17" borderId="55" xfId="0" applyFont="1" applyFill="1" applyBorder="1"/>
    <xf numFmtId="0" fontId="63" fillId="17" borderId="66" xfId="0" applyFont="1" applyFill="1" applyBorder="1"/>
    <xf numFmtId="44" fontId="63" fillId="17" borderId="66" xfId="0" applyNumberFormat="1" applyFont="1" applyFill="1" applyBorder="1"/>
    <xf numFmtId="44" fontId="63" fillId="17" borderId="56" xfId="0" applyNumberFormat="1" applyFont="1" applyFill="1" applyBorder="1"/>
    <xf numFmtId="0" fontId="63" fillId="17" borderId="55" xfId="0" applyFont="1" applyFill="1" applyBorder="1" applyAlignment="1">
      <alignment horizontal="center"/>
    </xf>
    <xf numFmtId="0" fontId="63" fillId="17" borderId="66" xfId="0" applyFont="1" applyFill="1" applyBorder="1" applyAlignment="1">
      <alignment horizontal="center"/>
    </xf>
    <xf numFmtId="9" fontId="63" fillId="17" borderId="17" xfId="1" applyFont="1" applyFill="1" applyBorder="1"/>
    <xf numFmtId="44" fontId="63" fillId="17" borderId="15" xfId="8" applyFont="1" applyFill="1" applyBorder="1"/>
    <xf numFmtId="44" fontId="59" fillId="20" borderId="0" xfId="0" applyNumberFormat="1" applyFont="1" applyFill="1"/>
    <xf numFmtId="44" fontId="59" fillId="0" borderId="65" xfId="8" applyFont="1" applyBorder="1"/>
    <xf numFmtId="0" fontId="59" fillId="0" borderId="65" xfId="0" applyFont="1" applyBorder="1" applyAlignment="1">
      <alignment horizontal="center"/>
    </xf>
    <xf numFmtId="44" fontId="58" fillId="0" borderId="0" xfId="0" applyNumberFormat="1" applyFont="1"/>
    <xf numFmtId="44" fontId="64" fillId="0" borderId="65" xfId="8" applyFont="1" applyBorder="1"/>
    <xf numFmtId="0" fontId="64" fillId="0" borderId="65" xfId="0" applyFont="1" applyBorder="1" applyAlignment="1">
      <alignment horizontal="center"/>
    </xf>
    <xf numFmtId="44" fontId="68" fillId="0" borderId="65" xfId="8" applyFont="1" applyBorder="1"/>
    <xf numFmtId="0" fontId="68" fillId="0" borderId="65" xfId="0" applyFont="1" applyBorder="1" applyAlignment="1">
      <alignment horizontal="center"/>
    </xf>
    <xf numFmtId="9" fontId="68" fillId="0" borderId="65" xfId="1" applyFont="1" applyBorder="1" applyAlignment="1">
      <alignment horizontal="center"/>
    </xf>
    <xf numFmtId="0" fontId="68" fillId="0" borderId="65" xfId="0" applyFont="1" applyBorder="1"/>
    <xf numFmtId="0" fontId="59" fillId="20" borderId="7" xfId="0" applyFont="1" applyFill="1" applyBorder="1" applyAlignment="1">
      <alignment horizontal="center" vertical="center" wrapText="1"/>
    </xf>
    <xf numFmtId="0" fontId="59" fillId="20" borderId="9" xfId="0" applyFont="1" applyFill="1" applyBorder="1" applyAlignment="1">
      <alignment horizontal="center" vertical="center" wrapText="1"/>
    </xf>
    <xf numFmtId="0" fontId="15" fillId="20" borderId="65" xfId="0" applyFont="1" applyFill="1" applyBorder="1" applyAlignment="1">
      <alignment horizontal="center" wrapText="1"/>
    </xf>
    <xf numFmtId="0" fontId="69" fillId="0" borderId="0" xfId="0" applyFont="1"/>
    <xf numFmtId="164" fontId="56" fillId="0" borderId="0" xfId="2" applyNumberFormat="1" applyFont="1" applyAlignment="1">
      <alignment horizontal="left" vertical="center"/>
    </xf>
    <xf numFmtId="0" fontId="57" fillId="23" borderId="65" xfId="0" applyFont="1" applyFill="1" applyBorder="1" applyAlignment="1">
      <alignment horizontal="center"/>
    </xf>
    <xf numFmtId="44" fontId="57" fillId="23" borderId="65" xfId="8" applyFont="1" applyFill="1" applyBorder="1" applyAlignment="1">
      <alignment horizontal="center"/>
    </xf>
    <xf numFmtId="0" fontId="70" fillId="23" borderId="65" xfId="0" applyFont="1" applyFill="1" applyBorder="1" applyAlignment="1">
      <alignment horizontal="center"/>
    </xf>
    <xf numFmtId="0" fontId="71" fillId="12" borderId="65" xfId="0" applyFont="1" applyFill="1" applyBorder="1" applyAlignment="1">
      <alignment horizontal="center"/>
    </xf>
    <xf numFmtId="44" fontId="71" fillId="12" borderId="65" xfId="8" applyFont="1" applyFill="1" applyBorder="1" applyAlignment="1">
      <alignment horizontal="center"/>
    </xf>
    <xf numFmtId="166" fontId="24" fillId="12" borderId="65" xfId="0" applyNumberFormat="1" applyFont="1" applyFill="1" applyBorder="1" applyAlignment="1">
      <alignment horizontal="center" vertical="center"/>
    </xf>
    <xf numFmtId="44" fontId="24" fillId="12" borderId="68" xfId="0" applyNumberFormat="1" applyFont="1" applyFill="1" applyBorder="1" applyAlignment="1">
      <alignment horizontal="center" vertical="center"/>
    </xf>
    <xf numFmtId="9" fontId="72" fillId="0" borderId="0" xfId="1" applyFont="1" applyAlignment="1">
      <alignment horizontal="center"/>
    </xf>
    <xf numFmtId="0" fontId="73" fillId="12" borderId="65" xfId="0" applyFont="1" applyFill="1" applyBorder="1" applyAlignment="1">
      <alignment horizontal="center"/>
    </xf>
    <xf numFmtId="44" fontId="73" fillId="12" borderId="65" xfId="0" applyNumberFormat="1" applyFont="1" applyFill="1" applyBorder="1" applyAlignment="1">
      <alignment horizontal="center"/>
    </xf>
    <xf numFmtId="166" fontId="70" fillId="23" borderId="110" xfId="0" applyNumberFormat="1" applyFont="1" applyFill="1" applyBorder="1" applyAlignment="1">
      <alignment vertical="center"/>
    </xf>
    <xf numFmtId="44" fontId="70" fillId="23" borderId="100" xfId="0" applyNumberFormat="1" applyFont="1" applyFill="1" applyBorder="1" applyAlignment="1">
      <alignment horizontal="center" vertical="center"/>
    </xf>
    <xf numFmtId="0" fontId="73" fillId="12" borderId="65" xfId="0" applyFont="1" applyFill="1" applyBorder="1"/>
    <xf numFmtId="44" fontId="73" fillId="12" borderId="65" xfId="0" applyNumberFormat="1" applyFont="1" applyFill="1" applyBorder="1"/>
    <xf numFmtId="166" fontId="71" fillId="12" borderId="0" xfId="0" applyNumberFormat="1" applyFont="1" applyFill="1" applyAlignment="1">
      <alignment vertical="center"/>
    </xf>
    <xf numFmtId="44" fontId="71" fillId="12" borderId="0" xfId="0" applyNumberFormat="1" applyFont="1" applyFill="1" applyAlignment="1">
      <alignment horizontal="center" vertical="center"/>
    </xf>
    <xf numFmtId="44" fontId="73" fillId="12" borderId="65" xfId="8" applyFont="1" applyFill="1" applyBorder="1"/>
    <xf numFmtId="0" fontId="74" fillId="23" borderId="65" xfId="0" applyFont="1" applyFill="1" applyBorder="1"/>
    <xf numFmtId="44" fontId="57" fillId="23" borderId="65" xfId="0" applyNumberFormat="1" applyFont="1" applyFill="1" applyBorder="1"/>
    <xf numFmtId="9" fontId="69" fillId="0" borderId="0" xfId="1" applyFont="1" applyAlignment="1">
      <alignment horizontal="center"/>
    </xf>
    <xf numFmtId="44" fontId="69" fillId="0" borderId="0" xfId="0" applyNumberFormat="1" applyFont="1"/>
    <xf numFmtId="44" fontId="69" fillId="0" borderId="0" xfId="8" applyFont="1"/>
    <xf numFmtId="0" fontId="57" fillId="23" borderId="65" xfId="0" applyFont="1" applyFill="1" applyBorder="1"/>
    <xf numFmtId="0" fontId="56" fillId="0" borderId="0" xfId="2" applyFont="1" applyAlignment="1">
      <alignment horizontal="left" vertical="top"/>
    </xf>
    <xf numFmtId="0" fontId="70" fillId="23" borderId="7" xfId="0" applyFont="1" applyFill="1" applyBorder="1" applyAlignment="1">
      <alignment horizontal="center"/>
    </xf>
    <xf numFmtId="0" fontId="70" fillId="23" borderId="9" xfId="0" applyFont="1" applyFill="1" applyBorder="1" applyAlignment="1">
      <alignment horizontal="center"/>
    </xf>
    <xf numFmtId="0" fontId="70" fillId="23" borderId="10" xfId="0" applyFont="1" applyFill="1" applyBorder="1" applyAlignment="1">
      <alignment horizontal="center"/>
    </xf>
    <xf numFmtId="170" fontId="69" fillId="0" borderId="66" xfId="0" applyNumberFormat="1" applyFont="1" applyBorder="1" applyAlignment="1">
      <alignment horizontal="center" vertical="center"/>
    </xf>
    <xf numFmtId="170" fontId="69" fillId="0" borderId="78" xfId="0" applyNumberFormat="1" applyFont="1" applyBorder="1" applyAlignment="1">
      <alignment horizontal="center" vertical="center"/>
    </xf>
    <xf numFmtId="0" fontId="63" fillId="10" borderId="67" xfId="0" applyFont="1" applyFill="1" applyBorder="1" applyAlignment="1">
      <alignment horizontal="center"/>
    </xf>
    <xf numFmtId="0" fontId="63" fillId="10" borderId="65" xfId="0" applyFont="1" applyFill="1" applyBorder="1" applyAlignment="1">
      <alignment horizontal="center"/>
    </xf>
    <xf numFmtId="0" fontId="63" fillId="10" borderId="68" xfId="0" applyFont="1" applyFill="1" applyBorder="1" applyAlignment="1">
      <alignment horizontal="center"/>
    </xf>
    <xf numFmtId="0" fontId="63" fillId="11" borderId="67" xfId="0" applyFont="1" applyFill="1" applyBorder="1" applyAlignment="1">
      <alignment horizontal="left"/>
    </xf>
    <xf numFmtId="0" fontId="63" fillId="11" borderId="65" xfId="0" applyFont="1" applyFill="1" applyBorder="1" applyAlignment="1">
      <alignment horizontal="left"/>
    </xf>
    <xf numFmtId="0" fontId="63" fillId="11" borderId="68" xfId="0" applyFont="1" applyFill="1" applyBorder="1" applyAlignment="1">
      <alignment horizontal="left"/>
    </xf>
    <xf numFmtId="166" fontId="61" fillId="12" borderId="17" xfId="4" applyNumberFormat="1" applyFont="1" applyFill="1" applyBorder="1" applyAlignment="1">
      <alignment horizontal="center" vertical="center" wrapText="1"/>
    </xf>
    <xf numFmtId="166" fontId="61" fillId="12" borderId="0" xfId="4" applyNumberFormat="1" applyFont="1" applyFill="1" applyBorder="1" applyAlignment="1">
      <alignment horizontal="center" vertical="center" wrapText="1"/>
    </xf>
    <xf numFmtId="166" fontId="61" fillId="22" borderId="65" xfId="4" applyNumberFormat="1" applyFont="1" applyFill="1" applyBorder="1" applyAlignment="1">
      <alignment horizontal="center" vertical="center" wrapText="1"/>
    </xf>
    <xf numFmtId="0" fontId="5" fillId="0" borderId="0" xfId="2" applyFont="1" applyAlignment="1">
      <alignment horizontal="left" vertical="center" wrapText="1"/>
    </xf>
    <xf numFmtId="0" fontId="5" fillId="0" borderId="0" xfId="2" applyFont="1" applyAlignment="1">
      <alignment horizontal="left" vertical="top"/>
    </xf>
    <xf numFmtId="0" fontId="61" fillId="2" borderId="3" xfId="3" applyFont="1" applyFill="1" applyBorder="1" applyAlignment="1">
      <alignment horizontal="center" vertical="center"/>
    </xf>
    <xf numFmtId="0" fontId="61" fillId="2" borderId="4" xfId="3" applyFont="1" applyFill="1" applyBorder="1" applyAlignment="1">
      <alignment horizontal="center" vertical="center"/>
    </xf>
    <xf numFmtId="0" fontId="61" fillId="2" borderId="5" xfId="3" applyFont="1" applyFill="1" applyBorder="1" applyAlignment="1">
      <alignment horizontal="center" vertical="center"/>
    </xf>
    <xf numFmtId="0" fontId="61" fillId="3" borderId="6" xfId="0" applyFont="1" applyFill="1" applyBorder="1" applyAlignment="1">
      <alignment horizontal="center" vertical="center" wrapText="1"/>
    </xf>
    <xf numFmtId="0" fontId="61" fillId="3" borderId="37" xfId="0" applyFont="1" applyFill="1" applyBorder="1" applyAlignment="1">
      <alignment horizontal="center" vertical="center" wrapText="1"/>
    </xf>
    <xf numFmtId="0" fontId="61" fillId="3" borderId="5" xfId="0" applyFont="1" applyFill="1" applyBorder="1" applyAlignment="1">
      <alignment horizontal="center" vertical="center" wrapText="1"/>
    </xf>
    <xf numFmtId="166" fontId="61" fillId="4" borderId="6" xfId="4" applyNumberFormat="1" applyFont="1" applyFill="1" applyBorder="1" applyAlignment="1">
      <alignment horizontal="center" vertical="center" wrapText="1"/>
    </xf>
    <xf numFmtId="166" fontId="61" fillId="4" borderId="37" xfId="4" applyNumberFormat="1" applyFont="1" applyFill="1" applyBorder="1" applyAlignment="1">
      <alignment horizontal="center" vertical="center" wrapText="1"/>
    </xf>
    <xf numFmtId="166" fontId="61" fillId="4" borderId="5" xfId="4" applyNumberFormat="1" applyFont="1" applyFill="1" applyBorder="1" applyAlignment="1">
      <alignment horizontal="center" vertical="center" wrapText="1"/>
    </xf>
    <xf numFmtId="0" fontId="55" fillId="23" borderId="65" xfId="0" applyFont="1" applyFill="1" applyBorder="1" applyAlignment="1">
      <alignment horizontal="center"/>
    </xf>
    <xf numFmtId="166" fontId="8" fillId="4" borderId="17" xfId="4" applyNumberFormat="1" applyFont="1" applyFill="1" applyBorder="1" applyAlignment="1">
      <alignment horizontal="center" vertical="center" wrapText="1"/>
    </xf>
    <xf numFmtId="166" fontId="8" fillId="4" borderId="0" xfId="4" applyNumberFormat="1" applyFont="1" applyFill="1" applyBorder="1" applyAlignment="1">
      <alignment horizontal="center" vertical="center" wrapText="1"/>
    </xf>
    <xf numFmtId="0" fontId="25" fillId="11" borderId="67" xfId="0" applyFont="1" applyFill="1" applyBorder="1" applyAlignment="1">
      <alignment horizontal="left"/>
    </xf>
    <xf numFmtId="0" fontId="25" fillId="11" borderId="65" xfId="0" applyFont="1" applyFill="1" applyBorder="1" applyAlignment="1">
      <alignment horizontal="left"/>
    </xf>
    <xf numFmtId="0" fontId="25" fillId="11" borderId="73" xfId="0" applyFont="1" applyFill="1" applyBorder="1" applyAlignment="1">
      <alignment horizontal="left"/>
    </xf>
    <xf numFmtId="0" fontId="25" fillId="11" borderId="74" xfId="0" applyFont="1" applyFill="1" applyBorder="1" applyAlignment="1">
      <alignment horizontal="left"/>
    </xf>
    <xf numFmtId="166" fontId="43" fillId="22" borderId="65" xfId="4" applyNumberFormat="1" applyFont="1" applyFill="1" applyBorder="1" applyAlignment="1">
      <alignment horizontal="center" vertical="center" wrapText="1"/>
    </xf>
    <xf numFmtId="0" fontId="25" fillId="10" borderId="67" xfId="0" applyFont="1" applyFill="1" applyBorder="1" applyAlignment="1">
      <alignment horizontal="center"/>
    </xf>
    <xf numFmtId="0" fontId="25" fillId="10" borderId="65" xfId="0" applyFont="1" applyFill="1" applyBorder="1" applyAlignment="1">
      <alignment horizontal="center"/>
    </xf>
    <xf numFmtId="0" fontId="25" fillId="10" borderId="68" xfId="0" applyFont="1" applyFill="1" applyBorder="1" applyAlignment="1">
      <alignment horizontal="center"/>
    </xf>
    <xf numFmtId="0" fontId="25" fillId="10" borderId="0" xfId="0" applyFont="1" applyFill="1" applyAlignment="1">
      <alignment horizontal="center"/>
    </xf>
    <xf numFmtId="0" fontId="25" fillId="11" borderId="11" xfId="0" applyFont="1" applyFill="1" applyBorder="1" applyAlignment="1">
      <alignment horizontal="left"/>
    </xf>
    <xf numFmtId="0" fontId="25" fillId="11" borderId="12" xfId="0" applyFont="1" applyFill="1" applyBorder="1" applyAlignment="1">
      <alignment horizontal="left"/>
    </xf>
    <xf numFmtId="0" fontId="8" fillId="2" borderId="3" xfId="3" applyFont="1" applyFill="1" applyBorder="1" applyAlignment="1">
      <alignment horizontal="center" vertical="center"/>
    </xf>
    <xf numFmtId="0" fontId="8" fillId="2" borderId="4" xfId="3" applyFont="1" applyFill="1" applyBorder="1" applyAlignment="1">
      <alignment horizontal="center" vertical="center"/>
    </xf>
    <xf numFmtId="0" fontId="8" fillId="2" borderId="5" xfId="3" applyFont="1" applyFill="1" applyBorder="1" applyAlignment="1">
      <alignment horizontal="center" vertical="center"/>
    </xf>
    <xf numFmtId="0" fontId="8" fillId="3" borderId="6" xfId="0" applyFont="1" applyFill="1" applyBorder="1" applyAlignment="1">
      <alignment horizontal="center" vertical="center" wrapText="1"/>
    </xf>
    <xf numFmtId="0" fontId="8" fillId="3" borderId="37" xfId="0" applyFont="1" applyFill="1" applyBorder="1" applyAlignment="1">
      <alignment horizontal="center" vertical="center" wrapText="1"/>
    </xf>
    <xf numFmtId="0" fontId="8" fillId="3" borderId="5" xfId="0" applyFont="1" applyFill="1" applyBorder="1" applyAlignment="1">
      <alignment horizontal="center" vertical="center" wrapText="1"/>
    </xf>
    <xf numFmtId="166" fontId="8" fillId="4" borderId="6" xfId="4" applyNumberFormat="1" applyFont="1" applyFill="1" applyBorder="1" applyAlignment="1">
      <alignment horizontal="center" vertical="center" wrapText="1"/>
    </xf>
    <xf numFmtId="166" fontId="8" fillId="4" borderId="37" xfId="4" applyNumberFormat="1" applyFont="1" applyFill="1" applyBorder="1" applyAlignment="1">
      <alignment horizontal="center" vertical="center" wrapText="1"/>
    </xf>
    <xf numFmtId="166" fontId="8" fillId="4" borderId="5" xfId="4" applyNumberFormat="1" applyFont="1" applyFill="1" applyBorder="1" applyAlignment="1">
      <alignment horizontal="center" vertical="center" wrapText="1"/>
    </xf>
    <xf numFmtId="0" fontId="29" fillId="18" borderId="80" xfId="0" applyFont="1" applyFill="1" applyBorder="1" applyAlignment="1">
      <alignment horizontal="center"/>
    </xf>
    <xf numFmtId="0" fontId="29" fillId="18" borderId="72" xfId="0" applyFont="1" applyFill="1" applyBorder="1" applyAlignment="1">
      <alignment horizontal="center"/>
    </xf>
    <xf numFmtId="166" fontId="43" fillId="0" borderId="40" xfId="4" applyNumberFormat="1" applyFont="1" applyBorder="1" applyAlignment="1">
      <alignment horizontal="center" vertical="center" wrapText="1"/>
    </xf>
    <xf numFmtId="166" fontId="43" fillId="0" borderId="41" xfId="4" applyNumberFormat="1" applyFont="1" applyBorder="1" applyAlignment="1">
      <alignment horizontal="center" vertical="center" wrapText="1"/>
    </xf>
    <xf numFmtId="0" fontId="27" fillId="10" borderId="67" xfId="0" applyFont="1" applyFill="1" applyBorder="1" applyAlignment="1">
      <alignment horizontal="center"/>
    </xf>
    <xf numFmtId="0" fontId="27" fillId="10" borderId="65" xfId="0" applyFont="1" applyFill="1" applyBorder="1" applyAlignment="1">
      <alignment horizontal="center"/>
    </xf>
    <xf numFmtId="0" fontId="27" fillId="10" borderId="68" xfId="0" applyFont="1" applyFill="1" applyBorder="1" applyAlignment="1">
      <alignment horizontal="center"/>
    </xf>
    <xf numFmtId="0" fontId="27" fillId="10" borderId="0" xfId="0" applyFont="1" applyFill="1" applyAlignment="1">
      <alignment horizontal="center"/>
    </xf>
    <xf numFmtId="0" fontId="27" fillId="11" borderId="67" xfId="0" applyFont="1" applyFill="1" applyBorder="1" applyAlignment="1">
      <alignment horizontal="left"/>
    </xf>
    <xf numFmtId="0" fontId="27" fillId="11" borderId="65" xfId="0" applyFont="1" applyFill="1" applyBorder="1" applyAlignment="1">
      <alignment horizontal="left"/>
    </xf>
    <xf numFmtId="0" fontId="27" fillId="11" borderId="11" xfId="0" applyFont="1" applyFill="1" applyBorder="1" applyAlignment="1">
      <alignment horizontal="left"/>
    </xf>
    <xf numFmtId="0" fontId="27" fillId="11" borderId="12" xfId="0" applyFont="1" applyFill="1" applyBorder="1" applyAlignment="1">
      <alignment horizontal="left"/>
    </xf>
    <xf numFmtId="0" fontId="43" fillId="3" borderId="6" xfId="0" applyFont="1" applyFill="1" applyBorder="1" applyAlignment="1">
      <alignment horizontal="center" vertical="center" wrapText="1"/>
    </xf>
    <xf numFmtId="0" fontId="43" fillId="3" borderId="37" xfId="0" applyFont="1" applyFill="1" applyBorder="1" applyAlignment="1">
      <alignment horizontal="center" vertical="center" wrapText="1"/>
    </xf>
    <xf numFmtId="0" fontId="43" fillId="3" borderId="5" xfId="0" applyFont="1" applyFill="1" applyBorder="1" applyAlignment="1">
      <alignment horizontal="center" vertical="center" wrapText="1"/>
    </xf>
    <xf numFmtId="166" fontId="43" fillId="4" borderId="17" xfId="4" applyNumberFormat="1" applyFont="1" applyFill="1" applyBorder="1" applyAlignment="1">
      <alignment horizontal="center" vertical="center" wrapText="1"/>
    </xf>
    <xf numFmtId="166" fontId="43" fillId="4" borderId="0" xfId="4" applyNumberFormat="1" applyFont="1" applyFill="1" applyBorder="1" applyAlignment="1">
      <alignment horizontal="center" vertical="center" wrapText="1"/>
    </xf>
    <xf numFmtId="0" fontId="27" fillId="11" borderId="73" xfId="0" applyFont="1" applyFill="1" applyBorder="1" applyAlignment="1">
      <alignment horizontal="left"/>
    </xf>
    <xf numFmtId="0" fontId="27" fillId="11" borderId="74" xfId="0" applyFont="1" applyFill="1" applyBorder="1" applyAlignment="1">
      <alignment horizontal="left"/>
    </xf>
    <xf numFmtId="0" fontId="41" fillId="0" borderId="0" xfId="2" applyFont="1" applyAlignment="1">
      <alignment horizontal="left" vertical="center" wrapText="1"/>
    </xf>
    <xf numFmtId="0" fontId="41" fillId="0" borderId="0" xfId="2" applyFont="1" applyAlignment="1">
      <alignment horizontal="left" vertical="top"/>
    </xf>
    <xf numFmtId="0" fontId="43" fillId="2" borderId="3" xfId="3" applyFont="1" applyFill="1" applyBorder="1" applyAlignment="1">
      <alignment horizontal="center" vertical="center"/>
    </xf>
    <xf numFmtId="0" fontId="43" fillId="2" borderId="4" xfId="3" applyFont="1" applyFill="1" applyBorder="1" applyAlignment="1">
      <alignment horizontal="center" vertical="center"/>
    </xf>
    <xf numFmtId="0" fontId="43" fillId="2" borderId="5" xfId="3" applyFont="1" applyFill="1" applyBorder="1" applyAlignment="1">
      <alignment horizontal="center" vertical="center"/>
    </xf>
    <xf numFmtId="0" fontId="16" fillId="8" borderId="42" xfId="0" applyFont="1" applyFill="1" applyBorder="1" applyAlignment="1">
      <alignment horizontal="left" vertical="center"/>
    </xf>
    <xf numFmtId="0" fontId="16" fillId="8" borderId="42" xfId="0" applyFont="1" applyFill="1" applyBorder="1" applyAlignment="1">
      <alignment vertical="center"/>
    </xf>
    <xf numFmtId="0" fontId="16" fillId="8" borderId="0" xfId="0" applyFont="1" applyFill="1" applyAlignment="1">
      <alignment vertical="center"/>
    </xf>
    <xf numFmtId="0" fontId="17" fillId="8" borderId="42" xfId="0" applyFont="1" applyFill="1" applyBorder="1" applyAlignment="1">
      <alignment horizontal="left" vertical="top"/>
    </xf>
    <xf numFmtId="0" fontId="19" fillId="8" borderId="42" xfId="0" applyFont="1" applyFill="1" applyBorder="1" applyAlignment="1">
      <alignment horizontal="center" vertical="center" wrapText="1"/>
    </xf>
    <xf numFmtId="0" fontId="19" fillId="8" borderId="0" xfId="0" applyFont="1" applyFill="1" applyAlignment="1">
      <alignment horizontal="center" vertical="center" wrapText="1"/>
    </xf>
    <xf numFmtId="0" fontId="2" fillId="0" borderId="11" xfId="0" applyFont="1" applyBorder="1" applyAlignment="1">
      <alignment horizontal="left"/>
    </xf>
    <xf numFmtId="0" fontId="2" fillId="0" borderId="12" xfId="0" applyFont="1" applyBorder="1" applyAlignment="1">
      <alignment horizontal="left"/>
    </xf>
    <xf numFmtId="0" fontId="0" fillId="0" borderId="0" xfId="0" applyAlignment="1">
      <alignment horizontal="center"/>
    </xf>
    <xf numFmtId="0" fontId="0" fillId="0" borderId="0" xfId="0" applyAlignment="1">
      <alignment horizontal="left" vertical="top" wrapText="1"/>
    </xf>
    <xf numFmtId="0" fontId="0" fillId="0" borderId="1" xfId="0" applyBorder="1" applyAlignment="1">
      <alignment horizontal="left" vertical="top" wrapText="1"/>
    </xf>
    <xf numFmtId="0" fontId="2" fillId="7" borderId="0" xfId="0" applyFont="1" applyFill="1" applyAlignment="1">
      <alignment horizontal="center"/>
    </xf>
    <xf numFmtId="0" fontId="0" fillId="0" borderId="24" xfId="0" applyBorder="1" applyAlignment="1">
      <alignment horizontal="center"/>
    </xf>
    <xf numFmtId="0" fontId="0" fillId="0" borderId="25" xfId="0" applyBorder="1" applyAlignment="1">
      <alignment horizontal="center"/>
    </xf>
    <xf numFmtId="44" fontId="0" fillId="0" borderId="24" xfId="8" applyFont="1" applyBorder="1" applyAlignment="1">
      <alignment horizontal="center"/>
    </xf>
    <xf numFmtId="44" fontId="0" fillId="0" borderId="25" xfId="8"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44" fontId="0" fillId="0" borderId="27" xfId="8" applyFont="1" applyBorder="1" applyAlignment="1">
      <alignment horizontal="center"/>
    </xf>
    <xf numFmtId="44" fontId="0" fillId="0" borderId="29" xfId="8"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0" fillId="0" borderId="7" xfId="0" applyBorder="1" applyAlignment="1">
      <alignment horizontal="center"/>
    </xf>
    <xf numFmtId="0" fontId="0" fillId="0" borderId="10" xfId="0" applyBorder="1" applyAlignment="1">
      <alignment horizontal="center"/>
    </xf>
    <xf numFmtId="0" fontId="2" fillId="0" borderId="20" xfId="0" applyFont="1" applyBorder="1" applyAlignment="1">
      <alignment horizontal="center"/>
    </xf>
    <xf numFmtId="0" fontId="2" fillId="0" borderId="22" xfId="0" applyFont="1" applyBorder="1" applyAlignment="1">
      <alignment horizontal="center"/>
    </xf>
    <xf numFmtId="0" fontId="2" fillId="0" borderId="8" xfId="0" applyFont="1" applyBorder="1" applyAlignment="1">
      <alignment horizontal="center"/>
    </xf>
    <xf numFmtId="0" fontId="2" fillId="0" borderId="33" xfId="0" applyFont="1" applyBorder="1" applyAlignment="1">
      <alignment horizontal="center"/>
    </xf>
    <xf numFmtId="0" fontId="0" fillId="0" borderId="27" xfId="0" applyBorder="1" applyAlignment="1">
      <alignment horizontal="left"/>
    </xf>
    <xf numFmtId="0" fontId="0" fillId="0" borderId="28" xfId="0" applyBorder="1" applyAlignment="1">
      <alignment horizontal="left"/>
    </xf>
    <xf numFmtId="0" fontId="0" fillId="0" borderId="29" xfId="0" applyBorder="1" applyAlignment="1">
      <alignment horizontal="left"/>
    </xf>
    <xf numFmtId="0" fontId="0" fillId="0" borderId="24" xfId="0" applyBorder="1" applyAlignment="1">
      <alignment horizontal="left"/>
    </xf>
    <xf numFmtId="0" fontId="0" fillId="0" borderId="2" xfId="0" applyBorder="1" applyAlignment="1">
      <alignment horizontal="left"/>
    </xf>
    <xf numFmtId="0" fontId="0" fillId="0" borderId="25" xfId="0" applyBorder="1" applyAlignment="1">
      <alignment horizontal="left"/>
    </xf>
    <xf numFmtId="0" fontId="2" fillId="0" borderId="21" xfId="0" applyFont="1" applyBorder="1" applyAlignment="1">
      <alignment horizontal="center"/>
    </xf>
    <xf numFmtId="0" fontId="0" fillId="0" borderId="31" xfId="0" applyBorder="1" applyAlignment="1">
      <alignment horizontal="left"/>
    </xf>
    <xf numFmtId="0" fontId="0" fillId="0" borderId="1" xfId="0" applyBorder="1" applyAlignment="1">
      <alignment horizontal="left"/>
    </xf>
    <xf numFmtId="0" fontId="0" fillId="0" borderId="32" xfId="0" applyBorder="1" applyAlignment="1">
      <alignment horizontal="left"/>
    </xf>
    <xf numFmtId="0" fontId="9" fillId="0" borderId="11" xfId="0" applyFont="1" applyBorder="1" applyAlignment="1">
      <alignment horizontal="center"/>
    </xf>
    <xf numFmtId="0" fontId="9" fillId="0" borderId="12" xfId="0" applyFont="1" applyBorder="1" applyAlignment="1">
      <alignment horizontal="center"/>
    </xf>
    <xf numFmtId="0" fontId="9" fillId="0" borderId="13" xfId="0" applyFont="1" applyBorder="1" applyAlignment="1">
      <alignment horizontal="center"/>
    </xf>
    <xf numFmtId="0" fontId="10" fillId="0" borderId="14" xfId="0" applyFont="1" applyBorder="1" applyAlignment="1">
      <alignment horizontal="center" vertical="center"/>
    </xf>
    <xf numFmtId="0" fontId="10" fillId="0" borderId="15" xfId="0" applyFont="1" applyBorder="1" applyAlignment="1">
      <alignment horizontal="center" vertical="center"/>
    </xf>
    <xf numFmtId="0" fontId="10" fillId="0" borderId="16" xfId="0" applyFont="1" applyBorder="1" applyAlignment="1">
      <alignment horizontal="center" vertical="center"/>
    </xf>
    <xf numFmtId="0" fontId="0" fillId="0" borderId="20" xfId="0" applyBorder="1" applyAlignment="1">
      <alignment horizontal="left"/>
    </xf>
    <xf numFmtId="0" fontId="0" fillId="0" borderId="21" xfId="0" applyBorder="1" applyAlignment="1">
      <alignment horizontal="left"/>
    </xf>
    <xf numFmtId="0" fontId="0" fillId="0" borderId="22" xfId="0" applyBorder="1" applyAlignment="1">
      <alignment horizontal="left"/>
    </xf>
    <xf numFmtId="0" fontId="24" fillId="12" borderId="67" xfId="0" applyFont="1" applyFill="1" applyBorder="1" applyAlignment="1">
      <alignment horizontal="center" vertical="center"/>
    </xf>
    <xf numFmtId="9" fontId="75" fillId="0" borderId="0" xfId="1" applyFont="1" applyAlignment="1">
      <alignment horizontal="center"/>
    </xf>
    <xf numFmtId="0" fontId="69" fillId="12" borderId="0" xfId="0" applyFont="1" applyFill="1" applyAlignment="1">
      <alignment horizontal="center"/>
    </xf>
    <xf numFmtId="0" fontId="69" fillId="0" borderId="0" xfId="0" applyFont="1" applyAlignment="1">
      <alignment horizontal="center"/>
    </xf>
    <xf numFmtId="170" fontId="69" fillId="0" borderId="65" xfId="0" applyNumberFormat="1" applyFont="1" applyBorder="1" applyAlignment="1">
      <alignment horizontal="center" vertical="center"/>
    </xf>
    <xf numFmtId="170" fontId="75" fillId="0" borderId="65" xfId="0" applyNumberFormat="1" applyFont="1" applyBorder="1" applyAlignment="1">
      <alignment horizontal="center" vertical="center"/>
    </xf>
    <xf numFmtId="170" fontId="57" fillId="23" borderId="65" xfId="0" applyNumberFormat="1" applyFont="1" applyFill="1" applyBorder="1" applyAlignment="1">
      <alignment horizontal="center"/>
    </xf>
    <xf numFmtId="44" fontId="69" fillId="0" borderId="0" xfId="0" applyNumberFormat="1" applyFont="1" applyAlignment="1">
      <alignment horizontal="center"/>
    </xf>
    <xf numFmtId="0" fontId="71" fillId="0" borderId="65" xfId="0" applyFont="1" applyBorder="1" applyAlignment="1">
      <alignment horizontal="center" vertical="center"/>
    </xf>
    <xf numFmtId="44" fontId="69" fillId="0" borderId="65" xfId="8" applyFont="1" applyBorder="1" applyAlignment="1">
      <alignment horizontal="center" vertical="center"/>
    </xf>
    <xf numFmtId="0" fontId="71" fillId="0" borderId="66" xfId="0" applyFont="1" applyBorder="1" applyAlignment="1">
      <alignment horizontal="center" vertical="center" wrapText="1"/>
    </xf>
    <xf numFmtId="44" fontId="69" fillId="0" borderId="66" xfId="8" applyFont="1" applyBorder="1" applyAlignment="1">
      <alignment horizontal="center" vertical="center"/>
    </xf>
    <xf numFmtId="0" fontId="71" fillId="0" borderId="78" xfId="0" applyFont="1" applyBorder="1" applyAlignment="1">
      <alignment horizontal="center" vertical="center" wrapText="1"/>
    </xf>
    <xf numFmtId="44" fontId="69" fillId="0" borderId="78" xfId="8" applyFont="1" applyBorder="1" applyAlignment="1">
      <alignment horizontal="center" vertical="center"/>
    </xf>
    <xf numFmtId="9" fontId="69" fillId="0" borderId="111" xfId="1" applyFont="1" applyBorder="1" applyAlignment="1">
      <alignment horizontal="center" vertical="center"/>
    </xf>
  </cellXfs>
  <cellStyles count="18">
    <cellStyle name="Moeda" xfId="8" builtinId="4"/>
    <cellStyle name="Moeda 2" xfId="4" xr:uid="{88D8EF41-8435-41DD-B95B-CB2197D8CF8B}"/>
    <cellStyle name="Moeda 3" xfId="9" xr:uid="{18A079E9-578A-4840-BD6F-5C55BE5AE376}"/>
    <cellStyle name="Moeda 3 2" xfId="15" xr:uid="{53D7C568-CC58-4B15-B9DD-1867C128147F}"/>
    <cellStyle name="Moeda 4" xfId="6" xr:uid="{87039FAF-445E-422B-A516-66BA7E305CF9}"/>
    <cellStyle name="Moeda 4 2" xfId="10" xr:uid="{636A40C2-255F-46EF-84CA-98953AE8866B}"/>
    <cellStyle name="Moeda 4 2 2" xfId="16" xr:uid="{7BDB4489-6168-4BE0-A964-5DE628ED1876}"/>
    <cellStyle name="Moeda 5" xfId="11" xr:uid="{2124AE60-0557-4AC3-B48A-633CB17E3340}"/>
    <cellStyle name="Moeda 5 2" xfId="17" xr:uid="{0C993D40-EFA9-480A-9766-C4BE8F04E4F7}"/>
    <cellStyle name="Moeda 6" xfId="14" xr:uid="{574A822A-71B7-46B2-A0C3-1C5E8591DADA}"/>
    <cellStyle name="Normal" xfId="0" builtinId="0"/>
    <cellStyle name="Normal 2" xfId="2" xr:uid="{BD42359E-6099-413E-81D2-0E0BA4C03DB2}"/>
    <cellStyle name="Normal 3" xfId="7" xr:uid="{68151FFA-A329-4F7F-B412-27BE57253D9C}"/>
    <cellStyle name="Normal 3 2" xfId="13" xr:uid="{EDD1A25C-4E09-47DE-9478-AA6861AFB48F}"/>
    <cellStyle name="Normal 6" xfId="12" xr:uid="{2888F636-9924-454F-857E-E38553BD81CD}"/>
    <cellStyle name="Normal_Plan1" xfId="3" xr:uid="{ABCD160A-D73A-4213-9DF3-17A45862579B}"/>
    <cellStyle name="Porcentagem" xfId="1" builtinId="5"/>
    <cellStyle name="Porcentagem 2" xfId="5" xr:uid="{58C97418-D6D1-4F2E-95E9-1B0ADE8B90D4}"/>
  </cellStyles>
  <dxfs count="0"/>
  <tableStyles count="0" defaultTableStyle="TableStyleMedium2" defaultPivotStyle="PivotStyleLight16"/>
  <colors>
    <mruColors>
      <color rgb="FFFFFFFF"/>
      <color rgb="FF0476D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6</xdr:col>
      <xdr:colOff>173448</xdr:colOff>
      <xdr:row>10</xdr:row>
      <xdr:rowOff>185709</xdr:rowOff>
    </xdr:from>
    <xdr:to>
      <xdr:col>12</xdr:col>
      <xdr:colOff>439828</xdr:colOff>
      <xdr:row>28</xdr:row>
      <xdr:rowOff>166502</xdr:rowOff>
    </xdr:to>
    <xdr:pic>
      <xdr:nvPicPr>
        <xdr:cNvPr id="2" name="Imagem 1">
          <a:extLst>
            <a:ext uri="{FF2B5EF4-FFF2-40B4-BE49-F238E27FC236}">
              <a16:creationId xmlns:a16="http://schemas.microsoft.com/office/drawing/2014/main" id="{51C7A3A6-F3DD-29DF-E5C6-EF261BE1625D}"/>
            </a:ext>
          </a:extLst>
        </xdr:cNvPr>
        <xdr:cNvPicPr>
          <a:picLocks noChangeAspect="1"/>
        </xdr:cNvPicPr>
      </xdr:nvPicPr>
      <xdr:blipFill>
        <a:blip xmlns:r="http://schemas.openxmlformats.org/officeDocument/2006/relationships" r:embed="rId1"/>
        <a:stretch>
          <a:fillRect/>
        </a:stretch>
      </xdr:blipFill>
      <xdr:spPr>
        <a:xfrm>
          <a:off x="11192482" y="2420338"/>
          <a:ext cx="2064357" cy="40904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657225</xdr:colOff>
      <xdr:row>0</xdr:row>
      <xdr:rowOff>139700</xdr:rowOff>
    </xdr:from>
    <xdr:to>
      <xdr:col>5</xdr:col>
      <xdr:colOff>654050</xdr:colOff>
      <xdr:row>1</xdr:row>
      <xdr:rowOff>57150</xdr:rowOff>
    </xdr:to>
    <xdr:sp macro="" textlink="">
      <xdr:nvSpPr>
        <xdr:cNvPr id="2" name="Label1" hidden="1">
          <a:extLst>
            <a:ext uri="{63B3BB69-23CF-44E3-9099-C40C66FF867C}">
              <a14:compatExt xmlns:a14="http://schemas.microsoft.com/office/drawing/2010/main" spid="_x0000_s29697"/>
            </a:ext>
            <a:ext uri="{FF2B5EF4-FFF2-40B4-BE49-F238E27FC236}">
              <a16:creationId xmlns:a16="http://schemas.microsoft.com/office/drawing/2014/main" id="{D114FFAC-0C1C-4FEA-97F4-491F0D8E85E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1</xdr:col>
      <xdr:colOff>250031</xdr:colOff>
      <xdr:row>0</xdr:row>
      <xdr:rowOff>130971</xdr:rowOff>
    </xdr:from>
    <xdr:to>
      <xdr:col>1</xdr:col>
      <xdr:colOff>622298</xdr:colOff>
      <xdr:row>0</xdr:row>
      <xdr:rowOff>503238</xdr:rowOff>
    </xdr:to>
    <xdr:pic macro="[0]!ChamaForm_Menu">
      <xdr:nvPicPr>
        <xdr:cNvPr id="3" name="Imagem 2">
          <a:extLst>
            <a:ext uri="{FF2B5EF4-FFF2-40B4-BE49-F238E27FC236}">
              <a16:creationId xmlns:a16="http://schemas.microsoft.com/office/drawing/2014/main" id="{8AE50448-DE72-4302-96AA-549CA60F87E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0031" y="130971"/>
          <a:ext cx="369092" cy="375442"/>
        </a:xfrm>
        <a:prstGeom prst="rect">
          <a:avLst/>
        </a:prstGeom>
      </xdr:spPr>
    </xdr:pic>
    <xdr:clientData/>
  </xdr:twoCellAnchor>
  <xdr:twoCellAnchor editAs="absolute">
    <xdr:from>
      <xdr:col>28</xdr:col>
      <xdr:colOff>206979</xdr:colOff>
      <xdr:row>0</xdr:row>
      <xdr:rowOff>190500</xdr:rowOff>
    </xdr:from>
    <xdr:to>
      <xdr:col>28</xdr:col>
      <xdr:colOff>1170365</xdr:colOff>
      <xdr:row>1</xdr:row>
      <xdr:rowOff>114300</xdr:rowOff>
    </xdr:to>
    <xdr:sp macro="" textlink="">
      <xdr:nvSpPr>
        <xdr:cNvPr id="4" name="Label2" hidden="1">
          <a:extLst>
            <a:ext uri="{63B3BB69-23CF-44E3-9099-C40C66FF867C}">
              <a14:compatExt xmlns:a14="http://schemas.microsoft.com/office/drawing/2010/main" spid="_x0000_s29698"/>
            </a:ext>
            <a:ext uri="{FF2B5EF4-FFF2-40B4-BE49-F238E27FC236}">
              <a16:creationId xmlns:a16="http://schemas.microsoft.com/office/drawing/2014/main" id="{9B66547F-F1BA-4B16-AB73-C4CBF176EF3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27</xdr:col>
      <xdr:colOff>1876233</xdr:colOff>
      <xdr:row>0</xdr:row>
      <xdr:rowOff>179391</xdr:rowOff>
    </xdr:from>
    <xdr:to>
      <xdr:col>28</xdr:col>
      <xdr:colOff>73625</xdr:colOff>
      <xdr:row>0</xdr:row>
      <xdr:rowOff>542133</xdr:rowOff>
    </xdr:to>
    <xdr:pic macro="[0]!ChamaForm_Menu">
      <xdr:nvPicPr>
        <xdr:cNvPr id="5" name="Imagem 4">
          <a:extLst>
            <a:ext uri="{FF2B5EF4-FFF2-40B4-BE49-F238E27FC236}">
              <a16:creationId xmlns:a16="http://schemas.microsoft.com/office/drawing/2014/main" id="{A4D92016-1533-4898-B302-198DE7B50D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221904" y="182566"/>
          <a:ext cx="343692" cy="362742"/>
        </a:xfrm>
        <a:prstGeom prst="rect">
          <a:avLst/>
        </a:prstGeom>
      </xdr:spPr>
    </xdr:pic>
    <xdr:clientData/>
  </xdr:twoCellAnchor>
  <xdr:twoCellAnchor editAs="absolute">
    <xdr:from>
      <xdr:col>1</xdr:col>
      <xdr:colOff>676275</xdr:colOff>
      <xdr:row>0</xdr:row>
      <xdr:rowOff>139700</xdr:rowOff>
    </xdr:from>
    <xdr:to>
      <xdr:col>5</xdr:col>
      <xdr:colOff>654050</xdr:colOff>
      <xdr:row>1</xdr:row>
      <xdr:rowOff>63500</xdr:rowOff>
    </xdr:to>
    <xdr:pic>
      <xdr:nvPicPr>
        <xdr:cNvPr id="29697" name="Label1">
          <a:extLst>
            <a:ext uri="{FF2B5EF4-FFF2-40B4-BE49-F238E27FC236}">
              <a16:creationId xmlns:a16="http://schemas.microsoft.com/office/drawing/2014/main" id="{9F873AF8-A472-FCB5-557A-CBC74D25A157}"/>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3100" y="146050"/>
          <a:ext cx="952500" cy="5524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28</xdr:col>
      <xdr:colOff>206979</xdr:colOff>
      <xdr:row>0</xdr:row>
      <xdr:rowOff>190500</xdr:rowOff>
    </xdr:from>
    <xdr:to>
      <xdr:col>28</xdr:col>
      <xdr:colOff>1208465</xdr:colOff>
      <xdr:row>1</xdr:row>
      <xdr:rowOff>114300</xdr:rowOff>
    </xdr:to>
    <xdr:pic>
      <xdr:nvPicPr>
        <xdr:cNvPr id="29698" name="Label2">
          <a:extLst>
            <a:ext uri="{FF2B5EF4-FFF2-40B4-BE49-F238E27FC236}">
              <a16:creationId xmlns:a16="http://schemas.microsoft.com/office/drawing/2014/main" id="{EEB176CE-F6E7-64D2-2EC8-E2D7A7E2461D}"/>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9667200" y="190500"/>
          <a:ext cx="971550" cy="5524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664369</xdr:colOff>
      <xdr:row>0</xdr:row>
      <xdr:rowOff>139700</xdr:rowOff>
    </xdr:from>
    <xdr:to>
      <xdr:col>5</xdr:col>
      <xdr:colOff>799306</xdr:colOff>
      <xdr:row>1</xdr:row>
      <xdr:rowOff>57150</xdr:rowOff>
    </xdr:to>
    <xdr:sp macro="" textlink="">
      <xdr:nvSpPr>
        <xdr:cNvPr id="2" name="Label1" hidden="1">
          <a:extLst>
            <a:ext uri="{63B3BB69-23CF-44E3-9099-C40C66FF867C}">
              <a14:compatExt xmlns:a14="http://schemas.microsoft.com/office/drawing/2010/main" spid="_x0000_s30721"/>
            </a:ext>
            <a:ext uri="{FF2B5EF4-FFF2-40B4-BE49-F238E27FC236}">
              <a16:creationId xmlns:a16="http://schemas.microsoft.com/office/drawing/2014/main" id="{9D175156-2632-4528-A6DC-0630ED2D8C3C}"/>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1</xdr:col>
      <xdr:colOff>250031</xdr:colOff>
      <xdr:row>0</xdr:row>
      <xdr:rowOff>130971</xdr:rowOff>
    </xdr:from>
    <xdr:to>
      <xdr:col>1</xdr:col>
      <xdr:colOff>622298</xdr:colOff>
      <xdr:row>0</xdr:row>
      <xdr:rowOff>503238</xdr:rowOff>
    </xdr:to>
    <xdr:pic macro="[0]!ChamaForm_Menu">
      <xdr:nvPicPr>
        <xdr:cNvPr id="3" name="Imagem 2">
          <a:extLst>
            <a:ext uri="{FF2B5EF4-FFF2-40B4-BE49-F238E27FC236}">
              <a16:creationId xmlns:a16="http://schemas.microsoft.com/office/drawing/2014/main" id="{2A252CCA-0C19-4F06-AE27-81CA83B13E7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0031" y="130971"/>
          <a:ext cx="372267" cy="372267"/>
        </a:xfrm>
        <a:prstGeom prst="rect">
          <a:avLst/>
        </a:prstGeom>
      </xdr:spPr>
    </xdr:pic>
    <xdr:clientData/>
  </xdr:twoCellAnchor>
  <xdr:twoCellAnchor editAs="absolute">
    <xdr:from>
      <xdr:col>42</xdr:col>
      <xdr:colOff>124619</xdr:colOff>
      <xdr:row>0</xdr:row>
      <xdr:rowOff>190500</xdr:rowOff>
    </xdr:from>
    <xdr:to>
      <xdr:col>43</xdr:col>
      <xdr:colOff>545306</xdr:colOff>
      <xdr:row>1</xdr:row>
      <xdr:rowOff>114300</xdr:rowOff>
    </xdr:to>
    <xdr:sp macro="" textlink="">
      <xdr:nvSpPr>
        <xdr:cNvPr id="4" name="Label2" hidden="1">
          <a:extLst>
            <a:ext uri="{63B3BB69-23CF-44E3-9099-C40C66FF867C}">
              <a14:compatExt xmlns:a14="http://schemas.microsoft.com/office/drawing/2010/main" spid="_x0000_s30722"/>
            </a:ext>
            <a:ext uri="{FF2B5EF4-FFF2-40B4-BE49-F238E27FC236}">
              <a16:creationId xmlns:a16="http://schemas.microsoft.com/office/drawing/2014/main" id="{4F2186A4-F2D7-49CE-A6CB-1CF2DE459EED}"/>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41</xdr:col>
      <xdr:colOff>353218</xdr:colOff>
      <xdr:row>0</xdr:row>
      <xdr:rowOff>179391</xdr:rowOff>
    </xdr:from>
    <xdr:to>
      <xdr:col>42</xdr:col>
      <xdr:colOff>105566</xdr:colOff>
      <xdr:row>0</xdr:row>
      <xdr:rowOff>542133</xdr:rowOff>
    </xdr:to>
    <xdr:pic macro="[0]!ChamaForm_Menu">
      <xdr:nvPicPr>
        <xdr:cNvPr id="5" name="Imagem 4">
          <a:extLst>
            <a:ext uri="{FF2B5EF4-FFF2-40B4-BE49-F238E27FC236}">
              <a16:creationId xmlns:a16="http://schemas.microsoft.com/office/drawing/2014/main" id="{86DB860A-7983-49A0-83D7-F119739981C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249686" y="179391"/>
          <a:ext cx="343692" cy="362742"/>
        </a:xfrm>
        <a:prstGeom prst="rect">
          <a:avLst/>
        </a:prstGeom>
      </xdr:spPr>
    </xdr:pic>
    <xdr:clientData/>
  </xdr:twoCellAnchor>
  <xdr:twoCellAnchor editAs="absolute">
    <xdr:from>
      <xdr:col>1</xdr:col>
      <xdr:colOff>664369</xdr:colOff>
      <xdr:row>0</xdr:row>
      <xdr:rowOff>139700</xdr:rowOff>
    </xdr:from>
    <xdr:to>
      <xdr:col>5</xdr:col>
      <xdr:colOff>792956</xdr:colOff>
      <xdr:row>1</xdr:row>
      <xdr:rowOff>57150</xdr:rowOff>
    </xdr:to>
    <xdr:pic>
      <xdr:nvPicPr>
        <xdr:cNvPr id="30721" name="Label1">
          <a:extLst>
            <a:ext uri="{FF2B5EF4-FFF2-40B4-BE49-F238E27FC236}">
              <a16:creationId xmlns:a16="http://schemas.microsoft.com/office/drawing/2014/main" id="{F6E25742-DC6F-41EA-3132-78379873B058}"/>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0" y="146050"/>
          <a:ext cx="971550" cy="5397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42</xdr:col>
      <xdr:colOff>163513</xdr:colOff>
      <xdr:row>0</xdr:row>
      <xdr:rowOff>190500</xdr:rowOff>
    </xdr:from>
    <xdr:to>
      <xdr:col>43</xdr:col>
      <xdr:colOff>545306</xdr:colOff>
      <xdr:row>1</xdr:row>
      <xdr:rowOff>120650</xdr:rowOff>
    </xdr:to>
    <xdr:pic>
      <xdr:nvPicPr>
        <xdr:cNvPr id="30722" name="Label2">
          <a:extLst>
            <a:ext uri="{FF2B5EF4-FFF2-40B4-BE49-F238E27FC236}">
              <a16:creationId xmlns:a16="http://schemas.microsoft.com/office/drawing/2014/main" id="{C134ECDB-EA1A-7D7B-E57E-C72453F219AC}"/>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9667200" y="190500"/>
          <a:ext cx="990600" cy="5651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656318</xdr:colOff>
      <xdr:row>0</xdr:row>
      <xdr:rowOff>142875</xdr:rowOff>
    </xdr:from>
    <xdr:to>
      <xdr:col>5</xdr:col>
      <xdr:colOff>773793</xdr:colOff>
      <xdr:row>1</xdr:row>
      <xdr:rowOff>57150</xdr:rowOff>
    </xdr:to>
    <xdr:sp macro="" textlink="">
      <xdr:nvSpPr>
        <xdr:cNvPr id="2" name="Label1" hidden="1">
          <a:extLst>
            <a:ext uri="{63B3BB69-23CF-44E3-9099-C40C66FF867C}">
              <a14:compatExt xmlns:a14="http://schemas.microsoft.com/office/drawing/2010/main" spid="_x0000_s28673"/>
            </a:ext>
            <a:ext uri="{FF2B5EF4-FFF2-40B4-BE49-F238E27FC236}">
              <a16:creationId xmlns:a16="http://schemas.microsoft.com/office/drawing/2014/main" id="{1AA35E99-E2AB-4E76-A6F5-E0CB000088A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1</xdr:col>
      <xdr:colOff>250031</xdr:colOff>
      <xdr:row>0</xdr:row>
      <xdr:rowOff>130971</xdr:rowOff>
    </xdr:from>
    <xdr:to>
      <xdr:col>1</xdr:col>
      <xdr:colOff>619123</xdr:colOff>
      <xdr:row>0</xdr:row>
      <xdr:rowOff>506413</xdr:rowOff>
    </xdr:to>
    <xdr:pic macro="[0]!ChamaForm_Menu">
      <xdr:nvPicPr>
        <xdr:cNvPr id="3" name="Imagem 2">
          <a:extLst>
            <a:ext uri="{FF2B5EF4-FFF2-40B4-BE49-F238E27FC236}">
              <a16:creationId xmlns:a16="http://schemas.microsoft.com/office/drawing/2014/main" id="{27565AB2-4EE3-49C4-9FC6-4BD81D3A928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0031" y="130971"/>
          <a:ext cx="372267" cy="372267"/>
        </a:xfrm>
        <a:prstGeom prst="rect">
          <a:avLst/>
        </a:prstGeom>
      </xdr:spPr>
    </xdr:pic>
    <xdr:clientData/>
  </xdr:twoCellAnchor>
  <xdr:twoCellAnchor editAs="absolute">
    <xdr:from>
      <xdr:col>42</xdr:col>
      <xdr:colOff>579777</xdr:colOff>
      <xdr:row>0</xdr:row>
      <xdr:rowOff>190500</xdr:rowOff>
    </xdr:from>
    <xdr:to>
      <xdr:col>44</xdr:col>
      <xdr:colOff>363310</xdr:colOff>
      <xdr:row>1</xdr:row>
      <xdr:rowOff>114300</xdr:rowOff>
    </xdr:to>
    <xdr:sp macro="" textlink="">
      <xdr:nvSpPr>
        <xdr:cNvPr id="4" name="Label2" hidden="1">
          <a:extLst>
            <a:ext uri="{63B3BB69-23CF-44E3-9099-C40C66FF867C}">
              <a14:compatExt xmlns:a14="http://schemas.microsoft.com/office/drawing/2010/main" spid="_x0000_s28674"/>
            </a:ext>
            <a:ext uri="{FF2B5EF4-FFF2-40B4-BE49-F238E27FC236}">
              <a16:creationId xmlns:a16="http://schemas.microsoft.com/office/drawing/2014/main" id="{A4D6A96C-1D52-4DBF-9E72-7F8E2F01270D}"/>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42</xdr:col>
      <xdr:colOff>191632</xdr:colOff>
      <xdr:row>0</xdr:row>
      <xdr:rowOff>182566</xdr:rowOff>
    </xdr:from>
    <xdr:to>
      <xdr:col>42</xdr:col>
      <xdr:colOff>522624</xdr:colOff>
      <xdr:row>0</xdr:row>
      <xdr:rowOff>545308</xdr:rowOff>
    </xdr:to>
    <xdr:pic macro="[0]!ChamaForm_Menu">
      <xdr:nvPicPr>
        <xdr:cNvPr id="5" name="Imagem 4">
          <a:extLst>
            <a:ext uri="{FF2B5EF4-FFF2-40B4-BE49-F238E27FC236}">
              <a16:creationId xmlns:a16="http://schemas.microsoft.com/office/drawing/2014/main" id="{3D28E2A0-98FB-4733-9C5D-C855A28B416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249686" y="179391"/>
          <a:ext cx="343692" cy="362742"/>
        </a:xfrm>
        <a:prstGeom prst="rect">
          <a:avLst/>
        </a:prstGeom>
      </xdr:spPr>
    </xdr:pic>
    <xdr:clientData/>
  </xdr:twoCellAnchor>
  <xdr:twoCellAnchor editAs="absolute">
    <xdr:from>
      <xdr:col>1</xdr:col>
      <xdr:colOff>656318</xdr:colOff>
      <xdr:row>0</xdr:row>
      <xdr:rowOff>142875</xdr:rowOff>
    </xdr:from>
    <xdr:to>
      <xdr:col>5</xdr:col>
      <xdr:colOff>773793</xdr:colOff>
      <xdr:row>1</xdr:row>
      <xdr:rowOff>57150</xdr:rowOff>
    </xdr:to>
    <xdr:pic>
      <xdr:nvPicPr>
        <xdr:cNvPr id="28673" name="Label1">
          <a:extLst>
            <a:ext uri="{FF2B5EF4-FFF2-40B4-BE49-F238E27FC236}">
              <a16:creationId xmlns:a16="http://schemas.microsoft.com/office/drawing/2014/main" id="{E3BB384B-853A-0FAE-A247-6E7F1C9D41DB}"/>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0" y="146050"/>
          <a:ext cx="971550" cy="5397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42</xdr:col>
      <xdr:colOff>580571</xdr:colOff>
      <xdr:row>0</xdr:row>
      <xdr:rowOff>190500</xdr:rowOff>
    </xdr:from>
    <xdr:to>
      <xdr:col>44</xdr:col>
      <xdr:colOff>363310</xdr:colOff>
      <xdr:row>1</xdr:row>
      <xdr:rowOff>123825</xdr:rowOff>
    </xdr:to>
    <xdr:pic>
      <xdr:nvPicPr>
        <xdr:cNvPr id="28674" name="Label2">
          <a:extLst>
            <a:ext uri="{FF2B5EF4-FFF2-40B4-BE49-F238E27FC236}">
              <a16:creationId xmlns:a16="http://schemas.microsoft.com/office/drawing/2014/main" id="{32F32B8D-87D3-5B7D-7F93-4CDE81EE951F}"/>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9667200" y="190500"/>
          <a:ext cx="990600" cy="5651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0</xdr:rowOff>
    </xdr:from>
    <xdr:ext cx="2667000" cy="1238250"/>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667000" cy="1238250"/>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2</xdr:col>
      <xdr:colOff>167640</xdr:colOff>
      <xdr:row>49</xdr:row>
      <xdr:rowOff>137160</xdr:rowOff>
    </xdr:from>
    <xdr:to>
      <xdr:col>5</xdr:col>
      <xdr:colOff>259080</xdr:colOff>
      <xdr:row>49</xdr:row>
      <xdr:rowOff>137160</xdr:rowOff>
    </xdr:to>
    <xdr:cxnSp macro="">
      <xdr:nvCxnSpPr>
        <xdr:cNvPr id="2" name="Conector reto 1">
          <a:extLst>
            <a:ext uri="{FF2B5EF4-FFF2-40B4-BE49-F238E27FC236}">
              <a16:creationId xmlns:a16="http://schemas.microsoft.com/office/drawing/2014/main" id="{00000000-0008-0000-0800-000002000000}"/>
            </a:ext>
          </a:extLst>
        </xdr:cNvPr>
        <xdr:cNvCxnSpPr/>
      </xdr:nvCxnSpPr>
      <xdr:spPr>
        <a:xfrm>
          <a:off x="396240" y="8717280"/>
          <a:ext cx="199644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487680</xdr:colOff>
      <xdr:row>49</xdr:row>
      <xdr:rowOff>137160</xdr:rowOff>
    </xdr:from>
    <xdr:to>
      <xdr:col>10</xdr:col>
      <xdr:colOff>472440</xdr:colOff>
      <xdr:row>49</xdr:row>
      <xdr:rowOff>137160</xdr:rowOff>
    </xdr:to>
    <xdr:cxnSp macro="">
      <xdr:nvCxnSpPr>
        <xdr:cNvPr id="3" name="Conector reto 2">
          <a:extLst>
            <a:ext uri="{FF2B5EF4-FFF2-40B4-BE49-F238E27FC236}">
              <a16:creationId xmlns:a16="http://schemas.microsoft.com/office/drawing/2014/main" id="{00000000-0008-0000-0800-000003000000}"/>
            </a:ext>
          </a:extLst>
        </xdr:cNvPr>
        <xdr:cNvCxnSpPr/>
      </xdr:nvCxnSpPr>
      <xdr:spPr>
        <a:xfrm>
          <a:off x="3665220" y="8717280"/>
          <a:ext cx="187452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10</xdr:col>
      <xdr:colOff>53340</xdr:colOff>
      <xdr:row>1</xdr:row>
      <xdr:rowOff>91440</xdr:rowOff>
    </xdr:from>
    <xdr:ext cx="916651" cy="861060"/>
    <xdr:pic>
      <xdr:nvPicPr>
        <xdr:cNvPr id="4" name="Picture 28">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5120640" y="198120"/>
          <a:ext cx="916651" cy="861060"/>
        </a:xfrm>
        <a:prstGeom prst="rect">
          <a:avLst/>
        </a:prstGeom>
        <a:noFill/>
        <a:ln w="9525">
          <a:noFill/>
          <a:miter lim="800000"/>
          <a:headEnd/>
          <a:tailEnd/>
        </a:ln>
      </xdr:spPr>
    </xdr:pic>
    <xdr:clientData/>
  </xdr:oneCellAnchor>
</xdr:wsDr>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noFill/>
      </a:spPr>
      <a:bodyPr vertOverflow="clip" horzOverflow="clip" wrap="none" rtlCol="0" anchor="t">
        <a:noAutofit/>
      </a:bodyPr>
      <a:lstStyle>
        <a:defPPr algn="ctr">
          <a:defRPr sz="1600" b="0">
            <a:latin typeface="Abadi" panose="020B0604020104020204" pitchFamily="34" charset="0"/>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FBE66-FA53-49DB-8C77-0ED23B53BAA7}">
  <dimension ref="B3:J30"/>
  <sheetViews>
    <sheetView tabSelected="1" zoomScale="89" zoomScaleNormal="89" workbookViewId="0">
      <selection activeCell="P16" sqref="P16"/>
    </sheetView>
  </sheetViews>
  <sheetFormatPr defaultColWidth="8.77734375" defaultRowHeight="17.399999999999999" x14ac:dyDescent="0.35"/>
  <cols>
    <col min="1" max="1" width="6.33203125" style="548" customWidth="1"/>
    <col min="2" max="2" width="74.21875" style="548" bestFit="1" customWidth="1"/>
    <col min="3" max="3" width="36.44140625" style="548" customWidth="1"/>
    <col min="4" max="4" width="19.21875" style="697" customWidth="1"/>
    <col min="5" max="5" width="17.77734375" style="697" bestFit="1" customWidth="1"/>
    <col min="6" max="6" width="6.5546875" style="548" customWidth="1"/>
    <col min="7" max="8" width="8.77734375" style="548"/>
    <col min="9" max="9" width="17.77734375" style="548" hidden="1" customWidth="1"/>
    <col min="10" max="10" width="12.77734375" style="548" hidden="1" customWidth="1"/>
    <col min="11" max="11" width="0" style="548" hidden="1" customWidth="1"/>
    <col min="12" max="16384" width="8.77734375" style="548"/>
  </cols>
  <sheetData>
    <row r="3" spans="2:10" x14ac:dyDescent="0.35">
      <c r="B3" s="573" t="s">
        <v>0</v>
      </c>
      <c r="C3" s="573"/>
      <c r="D3" s="696"/>
      <c r="E3" s="696"/>
    </row>
    <row r="4" spans="2:10" ht="18" thickBot="1" x14ac:dyDescent="0.4">
      <c r="B4" s="549"/>
      <c r="C4" s="549"/>
      <c r="D4" s="696"/>
      <c r="E4" s="696"/>
    </row>
    <row r="5" spans="2:10" x14ac:dyDescent="0.35">
      <c r="B5" s="339" t="s">
        <v>236</v>
      </c>
      <c r="C5" s="340"/>
      <c r="D5" s="696"/>
      <c r="E5" s="696"/>
    </row>
    <row r="6" spans="2:10" x14ac:dyDescent="0.35">
      <c r="B6" s="341" t="s">
        <v>237</v>
      </c>
      <c r="C6" s="342"/>
      <c r="D6" s="696"/>
      <c r="E6" s="696"/>
    </row>
    <row r="7" spans="2:10" x14ac:dyDescent="0.35">
      <c r="B7" s="341" t="s">
        <v>238</v>
      </c>
      <c r="C7" s="343"/>
      <c r="D7" s="696"/>
      <c r="E7" s="696"/>
    </row>
    <row r="8" spans="2:10" x14ac:dyDescent="0.35">
      <c r="B8" s="341" t="s">
        <v>239</v>
      </c>
      <c r="C8" s="343"/>
      <c r="D8" s="696"/>
      <c r="E8" s="696"/>
    </row>
    <row r="9" spans="2:10" x14ac:dyDescent="0.35">
      <c r="B9" s="341" t="s">
        <v>240</v>
      </c>
      <c r="C9" s="344"/>
      <c r="D9" s="696"/>
      <c r="E9" s="696"/>
    </row>
    <row r="10" spans="2:10" x14ac:dyDescent="0.35">
      <c r="B10" s="341" t="s">
        <v>241</v>
      </c>
      <c r="C10" s="343"/>
      <c r="D10" s="696"/>
      <c r="E10" s="696"/>
    </row>
    <row r="11" spans="2:10" x14ac:dyDescent="0.35">
      <c r="B11" s="341" t="s">
        <v>242</v>
      </c>
      <c r="C11" s="343"/>
      <c r="D11" s="696"/>
      <c r="E11" s="696"/>
    </row>
    <row r="12" spans="2:10" ht="18" thickBot="1" x14ac:dyDescent="0.4">
      <c r="B12" s="345" t="s">
        <v>406</v>
      </c>
      <c r="C12" s="346"/>
      <c r="D12" s="696"/>
      <c r="E12" s="696"/>
    </row>
    <row r="13" spans="2:10" x14ac:dyDescent="0.35">
      <c r="D13" s="696"/>
      <c r="E13" s="696"/>
    </row>
    <row r="14" spans="2:10" x14ac:dyDescent="0.35">
      <c r="D14" s="696"/>
      <c r="E14" s="696"/>
    </row>
    <row r="15" spans="2:10" x14ac:dyDescent="0.35">
      <c r="B15" s="574" t="s">
        <v>130</v>
      </c>
      <c r="C15" s="575"/>
      <c r="D15" s="575"/>
      <c r="E15" s="576"/>
      <c r="I15" s="550" t="s">
        <v>382</v>
      </c>
      <c r="J15" s="551">
        <v>73912.490000000005</v>
      </c>
    </row>
    <row r="16" spans="2:10" x14ac:dyDescent="0.35">
      <c r="B16" s="552" t="s">
        <v>162</v>
      </c>
      <c r="C16" s="552" t="s">
        <v>381</v>
      </c>
      <c r="D16" s="552" t="s">
        <v>376</v>
      </c>
      <c r="E16" s="552" t="s">
        <v>377</v>
      </c>
      <c r="I16" s="553"/>
      <c r="J16" s="554"/>
    </row>
    <row r="17" spans="2:10" ht="21.45" customHeight="1" x14ac:dyDescent="0.35">
      <c r="B17" s="694" t="s">
        <v>407</v>
      </c>
      <c r="C17" s="555">
        <f>PRINCIPAL!N56</f>
        <v>130951.11234567899</v>
      </c>
      <c r="D17" s="556">
        <f>PRINCIPAL!AC56</f>
        <v>73912.489999999991</v>
      </c>
      <c r="E17" s="556">
        <f>C17-D17</f>
        <v>57038.622345679003</v>
      </c>
      <c r="F17" s="557">
        <f>E17*100%/C17</f>
        <v>0.43557188116975254</v>
      </c>
      <c r="I17" s="558" t="s">
        <v>397</v>
      </c>
      <c r="J17" s="559">
        <f>PRINCIPAL!X56</f>
        <v>73912.489999999991</v>
      </c>
    </row>
    <row r="18" spans="2:10" ht="20.55" customHeight="1" thickBot="1" x14ac:dyDescent="0.4">
      <c r="B18" s="552" t="s">
        <v>43</v>
      </c>
      <c r="C18" s="560">
        <f>SUM(C17:C17)</f>
        <v>130951.11234567899</v>
      </c>
      <c r="D18" s="561">
        <f>SUM(D17:D17)</f>
        <v>73912.489999999991</v>
      </c>
      <c r="E18" s="561">
        <f>SUM(E17:E17)</f>
        <v>57038.622345679003</v>
      </c>
      <c r="F18" s="557">
        <f t="shared" ref="F18" si="0">E18*100%/C18</f>
        <v>0.43557188116975254</v>
      </c>
      <c r="I18" s="562"/>
      <c r="J18" s="563">
        <f>SUM(J17:J17)</f>
        <v>73912.489999999991</v>
      </c>
    </row>
    <row r="19" spans="2:10" x14ac:dyDescent="0.35">
      <c r="C19" s="564"/>
      <c r="D19" s="565"/>
      <c r="E19" s="565"/>
      <c r="F19" s="557"/>
      <c r="I19" s="562"/>
      <c r="J19" s="563"/>
    </row>
    <row r="20" spans="2:10" x14ac:dyDescent="0.35">
      <c r="I20" s="558" t="s">
        <v>396</v>
      </c>
      <c r="J20" s="566">
        <v>2307.9</v>
      </c>
    </row>
    <row r="21" spans="2:10" ht="18" thickBot="1" x14ac:dyDescent="0.4">
      <c r="I21" s="558"/>
      <c r="J21" s="566"/>
    </row>
    <row r="22" spans="2:10" x14ac:dyDescent="0.35">
      <c r="B22" s="347"/>
      <c r="C22" s="347" t="s">
        <v>398</v>
      </c>
      <c r="D22" s="347" t="s">
        <v>421</v>
      </c>
      <c r="E22" s="348" t="s">
        <v>377</v>
      </c>
      <c r="I22" s="567"/>
      <c r="J22" s="568">
        <f>J18-J20</f>
        <v>71604.59</v>
      </c>
    </row>
    <row r="23" spans="2:10" x14ac:dyDescent="0.35">
      <c r="B23" s="702" t="s">
        <v>399</v>
      </c>
      <c r="C23" s="703">
        <v>69170.53</v>
      </c>
      <c r="D23" s="698">
        <f>(C23*0.15)+D18</f>
        <v>84288.069499999983</v>
      </c>
      <c r="E23" s="699">
        <f>C23-D23</f>
        <v>-15117.539499999984</v>
      </c>
      <c r="F23" s="695">
        <f>E23*100%/C23</f>
        <v>-0.21855462868363137</v>
      </c>
    </row>
    <row r="24" spans="2:10" x14ac:dyDescent="0.35">
      <c r="B24" s="702" t="s">
        <v>400</v>
      </c>
      <c r="C24" s="703">
        <v>44438.51</v>
      </c>
      <c r="D24" s="698">
        <f>C24*0.15</f>
        <v>6665.7764999999999</v>
      </c>
      <c r="E24" s="698">
        <f>C24-D24</f>
        <v>37772.733500000002</v>
      </c>
      <c r="F24" s="569">
        <f t="shared" ref="F24:F27" si="1">E24*100%/C24</f>
        <v>0.85</v>
      </c>
    </row>
    <row r="25" spans="2:10" x14ac:dyDescent="0.35">
      <c r="B25" s="704" t="s">
        <v>420</v>
      </c>
      <c r="C25" s="705">
        <v>20000</v>
      </c>
      <c r="D25" s="577">
        <v>0</v>
      </c>
      <c r="E25" s="577">
        <f t="shared" ref="E25" si="2">C25-D25</f>
        <v>20000</v>
      </c>
      <c r="F25" s="708">
        <f t="shared" si="1"/>
        <v>1</v>
      </c>
    </row>
    <row r="26" spans="2:10" x14ac:dyDescent="0.35">
      <c r="B26" s="706"/>
      <c r="C26" s="707"/>
      <c r="D26" s="578"/>
      <c r="E26" s="578"/>
      <c r="F26" s="708"/>
    </row>
    <row r="27" spans="2:10" ht="18.45" customHeight="1" x14ac:dyDescent="0.35">
      <c r="B27" s="572"/>
      <c r="C27" s="568">
        <f>SUM(C23:C26)</f>
        <v>133609.04</v>
      </c>
      <c r="D27" s="700">
        <f>SUM(D23:D26)</f>
        <v>90953.84599999999</v>
      </c>
      <c r="E27" s="700">
        <f>SUM(E23:E26)</f>
        <v>42655.194000000018</v>
      </c>
      <c r="F27" s="569">
        <f t="shared" si="1"/>
        <v>0.31925380198824882</v>
      </c>
    </row>
    <row r="29" spans="2:10" x14ac:dyDescent="0.35">
      <c r="C29" s="570"/>
    </row>
    <row r="30" spans="2:10" x14ac:dyDescent="0.35">
      <c r="C30" s="571"/>
      <c r="D30" s="701"/>
    </row>
  </sheetData>
  <mergeCells count="7">
    <mergeCell ref="F25:F26"/>
    <mergeCell ref="B3:C3"/>
    <mergeCell ref="B15:E15"/>
    <mergeCell ref="B25:B26"/>
    <mergeCell ref="C25:C26"/>
    <mergeCell ref="D25:D26"/>
    <mergeCell ref="E25:E26"/>
  </mergeCells>
  <pageMargins left="0.511811024" right="0.511811024" top="0.78740157499999996" bottom="0.78740157499999996" header="0.31496062000000002" footer="0.31496062000000002"/>
  <pageSetup paperSize="9" orientation="landscape" horizontalDpi="360" verticalDpi="36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380AF-6AB4-48A8-868C-211507BAF42B}">
  <sheetPr codeName="Planilha11">
    <tabColor rgb="FFFFFFFF"/>
    <pageSetUpPr autoPageBreaks="0"/>
  </sheetPr>
  <dimension ref="A1:AR64"/>
  <sheetViews>
    <sheetView showGridLines="0" topLeftCell="I1" zoomScale="50" zoomScaleNormal="50" workbookViewId="0">
      <pane ySplit="1" topLeftCell="A54" activePane="bottomLeft" state="frozen"/>
      <selection activeCell="F37" sqref="F37:J37"/>
      <selection pane="bottomLeft" activeCell="AB64" sqref="AB64"/>
    </sheetView>
  </sheetViews>
  <sheetFormatPr defaultColWidth="8.77734375" defaultRowHeight="25.8" x14ac:dyDescent="0.5"/>
  <cols>
    <col min="1" max="1" width="9.33203125" style="360" hidden="1" customWidth="1"/>
    <col min="2" max="2" width="13.77734375" style="360" customWidth="1"/>
    <col min="3" max="3" width="14.77734375" style="360" hidden="1" customWidth="1"/>
    <col min="4" max="4" width="23.6640625" style="360" hidden="1" customWidth="1"/>
    <col min="5" max="5" width="15.44140625" style="360" hidden="1" customWidth="1"/>
    <col min="6" max="6" width="31.21875" style="360" customWidth="1"/>
    <col min="7" max="7" width="101.77734375" style="360" customWidth="1"/>
    <col min="8" max="8" width="5.21875" style="360" customWidth="1"/>
    <col min="9" max="9" width="7.21875" style="360" customWidth="1"/>
    <col min="10" max="10" width="28.77734375" style="360" bestFit="1" customWidth="1"/>
    <col min="11" max="11" width="32.5546875" style="360" bestFit="1" customWidth="1"/>
    <col min="12" max="12" width="32.33203125" style="360" customWidth="1"/>
    <col min="13" max="13" width="30" style="360" bestFit="1" customWidth="1"/>
    <col min="14" max="14" width="32.5546875" style="360" bestFit="1" customWidth="1"/>
    <col min="15" max="15" width="4.88671875" style="360" hidden="1" customWidth="1"/>
    <col min="16" max="16" width="1.88671875" style="360" hidden="1" customWidth="1"/>
    <col min="17" max="17" width="8.77734375" style="362" customWidth="1"/>
    <col min="18" max="18" width="10.6640625" style="362" hidden="1" customWidth="1"/>
    <col min="19" max="19" width="22.33203125" style="360" hidden="1" customWidth="1"/>
    <col min="20" max="20" width="33.88671875" style="360" customWidth="1"/>
    <col min="21" max="22" width="28.21875" style="360" hidden="1" customWidth="1"/>
    <col min="23" max="23" width="25.109375" style="360" hidden="1" customWidth="1"/>
    <col min="24" max="24" width="32.6640625" style="360" customWidth="1"/>
    <col min="25" max="25" width="27.77734375" style="360" hidden="1" customWidth="1"/>
    <col min="26" max="26" width="18.5546875" style="360" hidden="1" customWidth="1"/>
    <col min="27" max="27" width="27.77734375" style="360" hidden="1" customWidth="1"/>
    <col min="28" max="28" width="30.77734375" style="360" customWidth="1"/>
    <col min="29" max="29" width="34.6640625" style="360" customWidth="1"/>
    <col min="30" max="30" width="33" style="360" hidden="1" customWidth="1"/>
    <col min="31" max="31" width="0.6640625" style="360" hidden="1" customWidth="1"/>
    <col min="32" max="32" width="7.88671875" style="360" hidden="1" customWidth="1"/>
    <col min="33" max="33" width="1.21875" style="360" customWidth="1"/>
    <col min="34" max="34" width="36.33203125" style="360" hidden="1" customWidth="1"/>
    <col min="35" max="35" width="36.77734375" style="360" hidden="1" customWidth="1"/>
    <col min="36" max="36" width="1.5546875" style="360" hidden="1" customWidth="1"/>
    <col min="37" max="37" width="20.21875" style="360" hidden="1" customWidth="1"/>
    <col min="38" max="38" width="25.21875" style="360" hidden="1" customWidth="1"/>
    <col min="39" max="39" width="24.77734375" style="360" hidden="1" customWidth="1"/>
    <col min="40" max="40" width="0" style="360" hidden="1" customWidth="1"/>
    <col min="41" max="41" width="21.21875" style="360" hidden="1" customWidth="1"/>
    <col min="42" max="42" width="0" style="360" hidden="1" customWidth="1"/>
    <col min="43" max="43" width="38" style="363" bestFit="1" customWidth="1"/>
    <col min="44" max="44" width="23.44140625" style="360" customWidth="1"/>
    <col min="45" max="16384" width="8.77734375" style="360"/>
  </cols>
  <sheetData>
    <row r="1" spans="1:37" ht="49.5" customHeight="1" x14ac:dyDescent="0.5">
      <c r="B1" s="361"/>
      <c r="C1" s="359"/>
      <c r="D1" s="359"/>
      <c r="F1" s="588" t="s">
        <v>127</v>
      </c>
      <c r="G1" s="588"/>
    </row>
    <row r="2" spans="1:37" ht="24.75" customHeight="1" x14ac:dyDescent="0.5">
      <c r="B2" s="362"/>
      <c r="D2" s="359"/>
      <c r="F2" s="589" t="s">
        <v>0</v>
      </c>
      <c r="G2" s="589"/>
    </row>
    <row r="3" spans="1:37" x14ac:dyDescent="0.5">
      <c r="B3" s="363"/>
      <c r="F3" s="364"/>
      <c r="G3" s="364"/>
    </row>
    <row r="4" spans="1:37" ht="28.8" x14ac:dyDescent="0.5">
      <c r="F4" s="365" t="s">
        <v>236</v>
      </c>
      <c r="G4" s="366"/>
    </row>
    <row r="5" spans="1:37" ht="28.8" x14ac:dyDescent="0.5">
      <c r="F5" s="367" t="s">
        <v>237</v>
      </c>
      <c r="G5" s="368"/>
    </row>
    <row r="6" spans="1:37" ht="28.8" x14ac:dyDescent="0.5">
      <c r="F6" s="367" t="s">
        <v>238</v>
      </c>
      <c r="G6" s="369"/>
    </row>
    <row r="7" spans="1:37" ht="21.75" customHeight="1" x14ac:dyDescent="0.5">
      <c r="F7" s="367" t="s">
        <v>239</v>
      </c>
      <c r="G7" s="369"/>
    </row>
    <row r="8" spans="1:37" ht="28.8" x14ac:dyDescent="0.5">
      <c r="F8" s="367" t="s">
        <v>240</v>
      </c>
      <c r="G8" s="370"/>
    </row>
    <row r="9" spans="1:37" ht="28.8" x14ac:dyDescent="0.5">
      <c r="F9" s="367" t="s">
        <v>241</v>
      </c>
      <c r="G9" s="369"/>
      <c r="M9" s="360">
        <v>0.80469999999999997</v>
      </c>
    </row>
    <row r="10" spans="1:37" ht="27" customHeight="1" x14ac:dyDescent="0.5">
      <c r="F10" s="367" t="s">
        <v>242</v>
      </c>
      <c r="G10" s="369"/>
      <c r="M10" s="360">
        <f>1-M9</f>
        <v>0.19530000000000003</v>
      </c>
    </row>
    <row r="11" spans="1:37" ht="29.4" thickBot="1" x14ac:dyDescent="0.55000000000000004">
      <c r="F11" s="371" t="s">
        <v>243</v>
      </c>
      <c r="G11" s="372"/>
    </row>
    <row r="12" spans="1:37" ht="52.2" thickBot="1" x14ac:dyDescent="0.55000000000000004">
      <c r="B12" s="373"/>
      <c r="M12" s="374"/>
      <c r="Q12" s="590" t="s">
        <v>1</v>
      </c>
      <c r="R12" s="591"/>
      <c r="S12" s="591"/>
      <c r="T12" s="592"/>
      <c r="U12" s="593" t="s">
        <v>2</v>
      </c>
      <c r="V12" s="594"/>
      <c r="W12" s="594"/>
      <c r="X12" s="595"/>
      <c r="Y12" s="375" t="s">
        <v>56</v>
      </c>
      <c r="Z12" s="376" t="e">
        <f>(1/(1-#REF!))-1</f>
        <v>#REF!</v>
      </c>
      <c r="AD12" s="596" t="s">
        <v>3</v>
      </c>
      <c r="AE12" s="597"/>
      <c r="AF12" s="598"/>
      <c r="AH12" s="585"/>
      <c r="AI12" s="586"/>
      <c r="AK12" s="377"/>
    </row>
    <row r="13" spans="1:37" ht="26.4" thickBot="1" x14ac:dyDescent="0.55000000000000004">
      <c r="A13" s="378" t="s">
        <v>4</v>
      </c>
      <c r="B13" s="379" t="s">
        <v>5</v>
      </c>
      <c r="C13" s="378" t="s">
        <v>6</v>
      </c>
      <c r="D13" s="378" t="s">
        <v>7</v>
      </c>
      <c r="E13" s="378" t="s">
        <v>8</v>
      </c>
      <c r="M13" s="380">
        <v>0.81</v>
      </c>
      <c r="AB13" s="381"/>
      <c r="AC13" s="381"/>
    </row>
    <row r="14" spans="1:37" ht="111.45" customHeight="1" thickBot="1" x14ac:dyDescent="0.55000000000000004">
      <c r="A14" s="382">
        <v>0</v>
      </c>
      <c r="B14" s="383"/>
      <c r="C14" s="384"/>
      <c r="D14" s="385"/>
      <c r="E14" s="385"/>
      <c r="F14" s="386" t="s">
        <v>130</v>
      </c>
      <c r="G14" s="387" t="s">
        <v>131</v>
      </c>
      <c r="H14" s="388" t="s">
        <v>132</v>
      </c>
      <c r="I14" s="388" t="s">
        <v>133</v>
      </c>
      <c r="J14" s="389" t="s">
        <v>134</v>
      </c>
      <c r="K14" s="390" t="s">
        <v>9</v>
      </c>
      <c r="L14" s="391">
        <v>0.1</v>
      </c>
      <c r="M14" s="392">
        <f>1-M13</f>
        <v>0.18999999999999995</v>
      </c>
      <c r="N14" s="393" t="s">
        <v>128</v>
      </c>
      <c r="Q14" s="394" t="s">
        <v>135</v>
      </c>
      <c r="R14" s="395" t="s">
        <v>136</v>
      </c>
      <c r="S14" s="396" t="s">
        <v>137</v>
      </c>
      <c r="T14" s="397" t="s">
        <v>138</v>
      </c>
      <c r="U14" s="398" t="s">
        <v>139</v>
      </c>
      <c r="V14" s="399" t="s">
        <v>140</v>
      </c>
      <c r="W14" s="400" t="s">
        <v>141</v>
      </c>
      <c r="X14" s="400" t="s">
        <v>142</v>
      </c>
      <c r="Y14" s="401" t="s">
        <v>143</v>
      </c>
      <c r="Z14" s="402" t="s">
        <v>144</v>
      </c>
      <c r="AA14" s="403" t="s">
        <v>129</v>
      </c>
      <c r="AB14" s="587" t="s">
        <v>70</v>
      </c>
      <c r="AC14" s="587"/>
      <c r="AD14" s="404" t="s">
        <v>145</v>
      </c>
      <c r="AE14" s="405" t="s">
        <v>146</v>
      </c>
      <c r="AF14" s="405" t="s">
        <v>33</v>
      </c>
      <c r="AH14" s="406" t="s">
        <v>147</v>
      </c>
      <c r="AI14" s="407" t="s">
        <v>148</v>
      </c>
    </row>
    <row r="15" spans="1:37" ht="26.4" thickBot="1" x14ac:dyDescent="0.55000000000000004">
      <c r="A15" s="385">
        <v>1</v>
      </c>
      <c r="B15" s="408">
        <v>1</v>
      </c>
      <c r="C15" s="409" t="s">
        <v>154</v>
      </c>
      <c r="D15" s="385"/>
      <c r="E15" s="385"/>
      <c r="F15" s="579" t="s">
        <v>160</v>
      </c>
      <c r="G15" s="580"/>
      <c r="H15" s="580"/>
      <c r="I15" s="580"/>
      <c r="J15" s="580"/>
      <c r="K15" s="580"/>
      <c r="L15" s="580"/>
      <c r="M15" s="580"/>
      <c r="N15" s="581"/>
      <c r="Q15" s="579" t="str">
        <f>IF(F15&lt;&gt;"",F15,"")</f>
        <v xml:space="preserve">INTERNO </v>
      </c>
      <c r="R15" s="580"/>
      <c r="S15" s="580"/>
      <c r="T15" s="580"/>
      <c r="U15" s="580"/>
      <c r="V15" s="580"/>
      <c r="W15" s="580"/>
      <c r="X15" s="580"/>
      <c r="Y15" s="581"/>
      <c r="AB15" s="410"/>
      <c r="AC15" s="410"/>
    </row>
    <row r="16" spans="1:37" ht="51.6" x14ac:dyDescent="0.5">
      <c r="A16" s="385">
        <v>2</v>
      </c>
      <c r="B16" s="408" t="s">
        <v>156</v>
      </c>
      <c r="C16" s="409" t="s">
        <v>155</v>
      </c>
      <c r="D16" s="385"/>
      <c r="E16" s="385"/>
      <c r="F16" s="582" t="s">
        <v>161</v>
      </c>
      <c r="G16" s="583"/>
      <c r="H16" s="583"/>
      <c r="I16" s="583"/>
      <c r="J16" s="583"/>
      <c r="K16" s="583"/>
      <c r="L16" s="411" t="s">
        <v>157</v>
      </c>
      <c r="M16" s="411" t="s">
        <v>158</v>
      </c>
      <c r="N16" s="412" t="s">
        <v>128</v>
      </c>
      <c r="Q16" s="582" t="str">
        <f>IF(F16&lt;&gt;"",F16,"")</f>
        <v>ITENS INTERNOS</v>
      </c>
      <c r="R16" s="583"/>
      <c r="S16" s="583"/>
      <c r="T16" s="583"/>
      <c r="U16" s="583"/>
      <c r="V16" s="583"/>
      <c r="W16" s="583"/>
      <c r="X16" s="583"/>
      <c r="Y16" s="584"/>
      <c r="Z16" s="413" t="s">
        <v>159</v>
      </c>
      <c r="AA16" s="414" t="s">
        <v>129</v>
      </c>
      <c r="AB16" s="415" t="s">
        <v>150</v>
      </c>
      <c r="AC16" s="416" t="s">
        <v>151</v>
      </c>
    </row>
    <row r="17" spans="1:43" ht="79.95" customHeight="1" x14ac:dyDescent="0.5">
      <c r="A17" s="385">
        <v>3</v>
      </c>
      <c r="B17" s="408" t="s">
        <v>163</v>
      </c>
      <c r="C17" s="409" t="s">
        <v>162</v>
      </c>
      <c r="D17" s="385" t="s">
        <v>167</v>
      </c>
      <c r="E17" s="385" t="s">
        <v>168</v>
      </c>
      <c r="F17" s="417" t="s">
        <v>169</v>
      </c>
      <c r="G17" s="418" t="s">
        <v>170</v>
      </c>
      <c r="H17" s="419">
        <v>1</v>
      </c>
      <c r="I17" s="420">
        <v>1</v>
      </c>
      <c r="J17" s="421">
        <v>8500</v>
      </c>
      <c r="K17" s="422">
        <f>IF(F17&lt;&gt;"",H17*I17*J17,"")</f>
        <v>8500</v>
      </c>
      <c r="L17" s="422">
        <f>IF(K17&lt;&gt;"",IF(D17="INTERNO",0,K17*$L$14),"")</f>
        <v>0</v>
      </c>
      <c r="M17" s="422">
        <f>IF(K17&lt;&gt;"",IF(E17="FAT.OGGI",SUM(K17:L17)*(1/(1-$M$14)-1),L17*(1/(1-$M$14)-1)),"")</f>
        <v>1993.8271604938266</v>
      </c>
      <c r="N17" s="423">
        <f>SUM(K17:M17)</f>
        <v>10493.827160493827</v>
      </c>
      <c r="Q17" s="424">
        <f t="shared" ref="Q17:R21" si="0">IF(H17&lt;&gt;"",H17,"")</f>
        <v>1</v>
      </c>
      <c r="R17" s="425">
        <f t="shared" si="0"/>
        <v>1</v>
      </c>
      <c r="S17" s="426">
        <v>0</v>
      </c>
      <c r="T17" s="426">
        <f>IF(Q17&lt;&gt;"",Q17*R17*S17,"")</f>
        <v>0</v>
      </c>
      <c r="U17" s="427">
        <f>IF(Q17&lt;&gt;"",K17-T17,"")</f>
        <v>8500</v>
      </c>
      <c r="V17" s="428">
        <f>IF(Q17&lt;&gt;"",0%,"")</f>
        <v>0</v>
      </c>
      <c r="W17" s="429">
        <f>IF(Q17&lt;&gt;"",V17*U17,"")</f>
        <v>0</v>
      </c>
      <c r="X17" s="429">
        <f>IF(Q17&lt;&gt;"",W17+T17,"")</f>
        <v>0</v>
      </c>
      <c r="Y17" s="430">
        <f t="shared" ref="Y17:Y22" si="1">IF(Q17&lt;&gt;"",X17+M17,"")</f>
        <v>1993.8271604938266</v>
      </c>
      <c r="Z17" s="431">
        <f>IF(Q17&lt;&gt;"",U17/K17,"")</f>
        <v>1</v>
      </c>
      <c r="AA17" s="432" t="e">
        <f>T17/$T$22</f>
        <v>#DIV/0!</v>
      </c>
      <c r="AB17" s="433">
        <f>X17-AC17</f>
        <v>0</v>
      </c>
      <c r="AC17" s="434"/>
    </row>
    <row r="18" spans="1:43" ht="79.95" customHeight="1" x14ac:dyDescent="0.5">
      <c r="A18" s="385">
        <v>4</v>
      </c>
      <c r="B18" s="408" t="s">
        <v>152</v>
      </c>
      <c r="C18" s="409" t="s">
        <v>162</v>
      </c>
      <c r="D18" s="385" t="s">
        <v>167</v>
      </c>
      <c r="E18" s="385" t="s">
        <v>168</v>
      </c>
      <c r="F18" s="417" t="s">
        <v>171</v>
      </c>
      <c r="G18" s="435" t="s">
        <v>172</v>
      </c>
      <c r="H18" s="436">
        <v>1</v>
      </c>
      <c r="I18" s="437">
        <v>1</v>
      </c>
      <c r="J18" s="438">
        <v>7500</v>
      </c>
      <c r="K18" s="422">
        <f>IF(F18&lt;&gt;"",H18*I18*J18,"")</f>
        <v>7500</v>
      </c>
      <c r="L18" s="422">
        <f>IF(K18&lt;&gt;"",IF(D18="INTERNO",0,K18*$L$14),"")</f>
        <v>0</v>
      </c>
      <c r="M18" s="422">
        <f>IF(K18&lt;&gt;"",IF(E18="FAT.OGGI",SUM(K18:L18)*(1/(1-$M$14)-1),L18*(1/(1-$M$14)-1)),"")</f>
        <v>1759.2592592592587</v>
      </c>
      <c r="N18" s="423">
        <f>SUM(K18:M18)</f>
        <v>9259.2592592592591</v>
      </c>
      <c r="Q18" s="424">
        <f t="shared" si="0"/>
        <v>1</v>
      </c>
      <c r="R18" s="425">
        <v>0</v>
      </c>
      <c r="S18" s="426">
        <v>6500</v>
      </c>
      <c r="T18" s="426">
        <f>IF(Q18&lt;&gt;"",Q18*R18*S18,"")</f>
        <v>0</v>
      </c>
      <c r="U18" s="427">
        <f>IF(Q18&lt;&gt;"",K18-T18,"")</f>
        <v>7500</v>
      </c>
      <c r="V18" s="428">
        <f>IF(Q18&lt;&gt;"",0%,"")</f>
        <v>0</v>
      </c>
      <c r="W18" s="429">
        <f>IF(Q18&lt;&gt;"",V18*U18,"")</f>
        <v>0</v>
      </c>
      <c r="X18" s="429">
        <f>IF(Q18&lt;&gt;"",W18+T18,"")</f>
        <v>0</v>
      </c>
      <c r="Y18" s="430">
        <f t="shared" si="1"/>
        <v>1759.2592592592587</v>
      </c>
      <c r="Z18" s="431">
        <f>IF(Q18&lt;&gt;"",U18/K18,"")</f>
        <v>1</v>
      </c>
      <c r="AA18" s="432" t="e">
        <f>T18/$T$22</f>
        <v>#DIV/0!</v>
      </c>
      <c r="AB18" s="433">
        <f t="shared" ref="AB18:AB52" si="2">X18-AC18</f>
        <v>0</v>
      </c>
      <c r="AC18" s="434"/>
    </row>
    <row r="19" spans="1:43" ht="100.05" customHeight="1" x14ac:dyDescent="0.5">
      <c r="A19" s="385">
        <v>5</v>
      </c>
      <c r="B19" s="408" t="s">
        <v>164</v>
      </c>
      <c r="C19" s="409" t="s">
        <v>162</v>
      </c>
      <c r="D19" s="385" t="s">
        <v>167</v>
      </c>
      <c r="E19" s="385" t="s">
        <v>168</v>
      </c>
      <c r="F19" s="417" t="s">
        <v>412</v>
      </c>
      <c r="G19" s="418" t="s">
        <v>173</v>
      </c>
      <c r="H19" s="419">
        <v>1</v>
      </c>
      <c r="I19" s="437">
        <v>0</v>
      </c>
      <c r="J19" s="439">
        <v>5390</v>
      </c>
      <c r="K19" s="422">
        <f>IF(F19&lt;&gt;"",H19*I19*J19,"")</f>
        <v>0</v>
      </c>
      <c r="L19" s="422">
        <f>IF(K19&lt;&gt;"",IF(D19="INTERNO",0,K19*$L$14),"")</f>
        <v>0</v>
      </c>
      <c r="M19" s="422">
        <f>IF(K19&lt;&gt;"",IF(E19="FAT.OGGI",SUM(K19:L19)*(1/(1-$M$14)-1),L19*(1/(1-$M$14)-1)),"")</f>
        <v>0</v>
      </c>
      <c r="N19" s="423">
        <f>SUM(K19:M19)</f>
        <v>0</v>
      </c>
      <c r="Q19" s="424">
        <f t="shared" si="0"/>
        <v>1</v>
      </c>
      <c r="R19" s="425">
        <f t="shared" si="0"/>
        <v>0</v>
      </c>
      <c r="S19" s="426">
        <v>0</v>
      </c>
      <c r="T19" s="426">
        <f>IF(Q19&lt;&gt;"",Q19*R19*S19,"")</f>
        <v>0</v>
      </c>
      <c r="U19" s="427">
        <f>IF(Q19&lt;&gt;"",K19-T19,"")</f>
        <v>0</v>
      </c>
      <c r="V19" s="428">
        <f>IF(Q19&lt;&gt;"",0%,"")</f>
        <v>0</v>
      </c>
      <c r="W19" s="429">
        <f>IF(Q19&lt;&gt;"",V19*U19,"")</f>
        <v>0</v>
      </c>
      <c r="X19" s="429">
        <f>IF(Q19&lt;&gt;"",W19+T19,"")</f>
        <v>0</v>
      </c>
      <c r="Y19" s="430">
        <f t="shared" si="1"/>
        <v>0</v>
      </c>
      <c r="Z19" s="431" t="e">
        <f>IF(Q19&lt;&gt;"",U19/K19,"")</f>
        <v>#DIV/0!</v>
      </c>
      <c r="AA19" s="432" t="e">
        <f>T19/$T$22</f>
        <v>#DIV/0!</v>
      </c>
      <c r="AB19" s="433">
        <f t="shared" si="2"/>
        <v>0</v>
      </c>
      <c r="AC19" s="434"/>
    </row>
    <row r="20" spans="1:43" ht="79.95" customHeight="1" x14ac:dyDescent="0.5">
      <c r="A20" s="385">
        <v>6</v>
      </c>
      <c r="B20" s="408" t="s">
        <v>165</v>
      </c>
      <c r="C20" s="409" t="s">
        <v>162</v>
      </c>
      <c r="D20" s="385" t="s">
        <v>167</v>
      </c>
      <c r="E20" s="385" t="s">
        <v>168</v>
      </c>
      <c r="F20" s="440" t="s">
        <v>174</v>
      </c>
      <c r="G20" s="435" t="s">
        <v>175</v>
      </c>
      <c r="H20" s="441">
        <v>1</v>
      </c>
      <c r="I20" s="442">
        <v>1</v>
      </c>
      <c r="J20" s="443">
        <v>4500</v>
      </c>
      <c r="K20" s="422">
        <f>IF(F20&lt;&gt;"",H20*I20*J20,"")</f>
        <v>4500</v>
      </c>
      <c r="L20" s="422">
        <f>IF(K20&lt;&gt;"",IF(D20="INTERNO",0,K20*$L$14),"")</f>
        <v>0</v>
      </c>
      <c r="M20" s="422">
        <f>IF(K20&lt;&gt;"",IF(E20="FAT.OGGI",SUM(K20:L20)*(1/(1-$M$14)-1),L20*(1/(1-$M$14)-1)),"")</f>
        <v>1055.5555555555552</v>
      </c>
      <c r="N20" s="423">
        <f>SUM(K20:M20)</f>
        <v>5555.5555555555547</v>
      </c>
      <c r="Q20" s="424">
        <f t="shared" si="0"/>
        <v>1</v>
      </c>
      <c r="R20" s="425">
        <v>0</v>
      </c>
      <c r="S20" s="426">
        <v>3500</v>
      </c>
      <c r="T20" s="426">
        <f>IF(Q20&lt;&gt;"",Q20*R20*S20,"")</f>
        <v>0</v>
      </c>
      <c r="U20" s="427">
        <f>IF(Q20&lt;&gt;"",K20-T20,"")</f>
        <v>4500</v>
      </c>
      <c r="V20" s="428">
        <f>IF(Q20&lt;&gt;"",0%,"")</f>
        <v>0</v>
      </c>
      <c r="W20" s="429">
        <f>IF(Q20&lt;&gt;"",V20*U20,"")</f>
        <v>0</v>
      </c>
      <c r="X20" s="429">
        <f>IF(Q20&lt;&gt;"",W20+T20,"")</f>
        <v>0</v>
      </c>
      <c r="Y20" s="430">
        <f t="shared" si="1"/>
        <v>1055.5555555555552</v>
      </c>
      <c r="Z20" s="431">
        <f>IF(Q20&lt;&gt;"",U20/K20,"")</f>
        <v>1</v>
      </c>
      <c r="AA20" s="432" t="e">
        <f>T20/$T$22</f>
        <v>#DIV/0!</v>
      </c>
      <c r="AB20" s="433">
        <f t="shared" si="2"/>
        <v>0</v>
      </c>
      <c r="AC20" s="434"/>
    </row>
    <row r="21" spans="1:43" ht="79.95" customHeight="1" thickBot="1" x14ac:dyDescent="0.55000000000000004">
      <c r="A21" s="385">
        <v>7</v>
      </c>
      <c r="B21" s="408" t="s">
        <v>166</v>
      </c>
      <c r="C21" s="409" t="s">
        <v>162</v>
      </c>
      <c r="D21" s="385" t="s">
        <v>167</v>
      </c>
      <c r="E21" s="385" t="s">
        <v>168</v>
      </c>
      <c r="F21" s="444" t="s">
        <v>176</v>
      </c>
      <c r="G21" s="435" t="s">
        <v>177</v>
      </c>
      <c r="H21" s="441">
        <v>1</v>
      </c>
      <c r="I21" s="442">
        <v>1</v>
      </c>
      <c r="J21" s="445">
        <v>7500</v>
      </c>
      <c r="K21" s="422">
        <f>IF(F21&lt;&gt;"",H21*I21*J21,"")</f>
        <v>7500</v>
      </c>
      <c r="L21" s="422">
        <f>IF(K21&lt;&gt;"",IF(D21="INTERNO",0,K21*$L$14),"")</f>
        <v>0</v>
      </c>
      <c r="M21" s="422">
        <f>IF(K21&lt;&gt;"",IF(E21="FAT.OGGI",SUM(K21:L21)*(1/(1-$M$14)-1),L21*(1/(1-$M$14)-1)),"")</f>
        <v>1759.2592592592587</v>
      </c>
      <c r="N21" s="423">
        <f>SUM(K21:M21)</f>
        <v>9259.2592592592591</v>
      </c>
      <c r="Q21" s="424">
        <f t="shared" si="0"/>
        <v>1</v>
      </c>
      <c r="R21" s="425">
        <v>0</v>
      </c>
      <c r="S21" s="426">
        <v>6500</v>
      </c>
      <c r="T21" s="426">
        <f>IF(Q21&lt;&gt;"",Q21*R21*S21,"")</f>
        <v>0</v>
      </c>
      <c r="U21" s="427">
        <f>IF(Q21&lt;&gt;"",K21-T21,"")</f>
        <v>7500</v>
      </c>
      <c r="V21" s="428">
        <f>IF(Q21&lt;&gt;"",0%,"")</f>
        <v>0</v>
      </c>
      <c r="W21" s="429">
        <f>IF(Q21&lt;&gt;"",V21*U21,"")</f>
        <v>0</v>
      </c>
      <c r="X21" s="429">
        <f>IF(Q21&lt;&gt;"",W21+T21,"")</f>
        <v>0</v>
      </c>
      <c r="Y21" s="430">
        <f t="shared" si="1"/>
        <v>1759.2592592592587</v>
      </c>
      <c r="Z21" s="446">
        <f>IF(Q21&lt;&gt;"",U21/K21,"")</f>
        <v>1</v>
      </c>
      <c r="AA21" s="447" t="e">
        <f>T21/$T$22</f>
        <v>#DIV/0!</v>
      </c>
      <c r="AB21" s="433">
        <f t="shared" si="2"/>
        <v>0</v>
      </c>
      <c r="AC21" s="434"/>
    </row>
    <row r="22" spans="1:43" ht="103.2" x14ac:dyDescent="0.5">
      <c r="A22" s="385">
        <v>8</v>
      </c>
      <c r="B22" s="408"/>
      <c r="C22" s="409" t="s">
        <v>178</v>
      </c>
      <c r="D22" s="385"/>
      <c r="E22" s="385"/>
      <c r="F22" s="582" t="s">
        <v>179</v>
      </c>
      <c r="G22" s="583"/>
      <c r="H22" s="583"/>
      <c r="I22" s="583"/>
      <c r="J22" s="583"/>
      <c r="K22" s="448">
        <f>SUM(K17:K21)</f>
        <v>28000</v>
      </c>
      <c r="L22" s="448">
        <f>SUM(L17:L21)</f>
        <v>0</v>
      </c>
      <c r="M22" s="448">
        <f>SUM(M17:M21)</f>
        <v>6567.9012345679002</v>
      </c>
      <c r="N22" s="449">
        <f>SUM(N17:N21)</f>
        <v>34567.9012345679</v>
      </c>
      <c r="Q22" s="582" t="s">
        <v>179</v>
      </c>
      <c r="R22" s="583"/>
      <c r="S22" s="583"/>
      <c r="T22" s="450">
        <f>SUM(T17:T21)</f>
        <v>0</v>
      </c>
      <c r="U22" s="451">
        <f>SUM(U17:U21)</f>
        <v>28000</v>
      </c>
      <c r="V22" s="452"/>
      <c r="W22" s="452"/>
      <c r="X22" s="453">
        <f>SUM(X17:X21)</f>
        <v>0</v>
      </c>
      <c r="Y22" s="454">
        <f t="shared" si="1"/>
        <v>6567.9012345679002</v>
      </c>
      <c r="AB22" s="433">
        <f t="shared" si="2"/>
        <v>0</v>
      </c>
      <c r="AC22" s="434"/>
    </row>
    <row r="23" spans="1:43" ht="26.4" thickBot="1" x14ac:dyDescent="0.55000000000000004">
      <c r="A23" s="385">
        <v>9</v>
      </c>
      <c r="B23" s="408">
        <v>2</v>
      </c>
      <c r="C23" s="409" t="s">
        <v>154</v>
      </c>
      <c r="D23" s="385"/>
      <c r="E23" s="385"/>
      <c r="F23" s="579" t="s">
        <v>182</v>
      </c>
      <c r="G23" s="580"/>
      <c r="H23" s="580"/>
      <c r="I23" s="580"/>
      <c r="J23" s="580"/>
      <c r="K23" s="580"/>
      <c r="L23" s="580"/>
      <c r="M23" s="580"/>
      <c r="N23" s="581"/>
      <c r="Q23" s="579" t="str">
        <f>IF(F23&lt;&gt;"",F23,"")</f>
        <v>Estande</v>
      </c>
      <c r="R23" s="580"/>
      <c r="S23" s="580"/>
      <c r="T23" s="580"/>
      <c r="U23" s="580"/>
      <c r="V23" s="580"/>
      <c r="W23" s="580"/>
      <c r="X23" s="580"/>
      <c r="Y23" s="581"/>
      <c r="AB23" s="433">
        <f t="shared" si="2"/>
        <v>0</v>
      </c>
      <c r="AC23" s="434"/>
    </row>
    <row r="24" spans="1:43" ht="51.6" x14ac:dyDescent="0.5">
      <c r="A24" s="385">
        <v>10</v>
      </c>
      <c r="B24" s="408" t="s">
        <v>180</v>
      </c>
      <c r="C24" s="409" t="s">
        <v>155</v>
      </c>
      <c r="D24" s="385"/>
      <c r="E24" s="385"/>
      <c r="F24" s="582" t="s">
        <v>183</v>
      </c>
      <c r="G24" s="583"/>
      <c r="H24" s="583"/>
      <c r="I24" s="583"/>
      <c r="J24" s="583"/>
      <c r="K24" s="583"/>
      <c r="L24" s="411" t="s">
        <v>157</v>
      </c>
      <c r="M24" s="411" t="s">
        <v>158</v>
      </c>
      <c r="N24" s="412" t="s">
        <v>128</v>
      </c>
      <c r="Q24" s="582" t="str">
        <f>IF(F24&lt;&gt;"",F24,"")</f>
        <v xml:space="preserve">Estande </v>
      </c>
      <c r="R24" s="583"/>
      <c r="S24" s="583"/>
      <c r="T24" s="583"/>
      <c r="U24" s="583"/>
      <c r="V24" s="583"/>
      <c r="W24" s="583"/>
      <c r="X24" s="583"/>
      <c r="Y24" s="584"/>
      <c r="Z24" s="413" t="s">
        <v>159</v>
      </c>
      <c r="AA24" s="414" t="s">
        <v>129</v>
      </c>
      <c r="AB24" s="433">
        <f t="shared" si="2"/>
        <v>0</v>
      </c>
      <c r="AC24" s="434"/>
    </row>
    <row r="25" spans="1:43" ht="79.95" customHeight="1" x14ac:dyDescent="0.5">
      <c r="A25" s="385">
        <v>11</v>
      </c>
      <c r="B25" s="408" t="s">
        <v>181</v>
      </c>
      <c r="C25" s="409" t="s">
        <v>162</v>
      </c>
      <c r="D25" s="385" t="s">
        <v>185</v>
      </c>
      <c r="E25" s="385" t="s">
        <v>186</v>
      </c>
      <c r="F25" s="455" t="s">
        <v>187</v>
      </c>
      <c r="G25" s="456" t="s">
        <v>413</v>
      </c>
      <c r="H25" s="457">
        <v>1</v>
      </c>
      <c r="I25" s="457">
        <v>1</v>
      </c>
      <c r="J25" s="422">
        <v>0</v>
      </c>
      <c r="K25" s="422">
        <f t="shared" ref="K25:K27" si="3">IF(F25&lt;&gt;"",H25*I25*J25,"")</f>
        <v>0</v>
      </c>
      <c r="L25" s="422">
        <f>IF(K25&lt;&gt;"",IF(D25="INTERNO",0,K25*$L$14),"")</f>
        <v>0</v>
      </c>
      <c r="M25" s="422">
        <f t="shared" ref="M25:M27" si="4">IF(K25&lt;&gt;"",IF(E25="FAT.OGGI",SUM(K25:L25)*(1/(1-$M$14)-1),L25*(1/(1-$M$14)-1)),"")</f>
        <v>0</v>
      </c>
      <c r="N25" s="423">
        <f t="shared" ref="N25:N27" si="5">SUM(K25:M25)</f>
        <v>0</v>
      </c>
      <c r="Q25" s="424">
        <f t="shared" ref="Q25:R27" si="6">IF(H25&lt;&gt;"",H25,"")</f>
        <v>1</v>
      </c>
      <c r="R25" s="425">
        <f t="shared" si="6"/>
        <v>1</v>
      </c>
      <c r="S25" s="426"/>
      <c r="T25" s="426">
        <f t="shared" ref="T25:T27" si="7">IF(Q25&lt;&gt;"",Q25*R25*S25,"")</f>
        <v>0</v>
      </c>
      <c r="U25" s="427">
        <f t="shared" ref="U25:U27" si="8">IF(Q25&lt;&gt;"",K25-T25,"")</f>
        <v>0</v>
      </c>
      <c r="V25" s="428">
        <f t="shared" ref="V25:V27" si="9">IF(Q25&lt;&gt;"",0%,"")</f>
        <v>0</v>
      </c>
      <c r="W25" s="429">
        <f t="shared" ref="W25:W27" si="10">IF(Q25&lt;&gt;"",V25*U25,"")</f>
        <v>0</v>
      </c>
      <c r="X25" s="429">
        <f t="shared" ref="X25:X27" si="11">IF(Q25&lt;&gt;"",W25+T25,"")</f>
        <v>0</v>
      </c>
      <c r="Y25" s="430">
        <f t="shared" ref="Y25:Y28" si="12">IF(Q25&lt;&gt;"",X25+M25,"")</f>
        <v>0</v>
      </c>
      <c r="Z25" s="431" t="e">
        <f t="shared" ref="Z25:Z27" si="13">IF(Q25&lt;&gt;"",U25/K25,"")</f>
        <v>#DIV/0!</v>
      </c>
      <c r="AA25" s="432" t="e">
        <f>T25/$T$28</f>
        <v>#DIV/0!</v>
      </c>
      <c r="AB25" s="433">
        <f t="shared" si="2"/>
        <v>0</v>
      </c>
      <c r="AC25" s="434"/>
    </row>
    <row r="26" spans="1:43" ht="79.95" customHeight="1" x14ac:dyDescent="0.5">
      <c r="A26" s="385">
        <v>12</v>
      </c>
      <c r="B26" s="408" t="s">
        <v>184</v>
      </c>
      <c r="C26" s="409" t="s">
        <v>162</v>
      </c>
      <c r="D26" s="385" t="s">
        <v>185</v>
      </c>
      <c r="E26" s="385" t="s">
        <v>168</v>
      </c>
      <c r="F26" s="455" t="s">
        <v>188</v>
      </c>
      <c r="G26" s="456" t="s">
        <v>188</v>
      </c>
      <c r="H26" s="457">
        <v>1</v>
      </c>
      <c r="I26" s="457">
        <v>1</v>
      </c>
      <c r="J26" s="422">
        <v>20700</v>
      </c>
      <c r="K26" s="422">
        <f t="shared" si="3"/>
        <v>20700</v>
      </c>
      <c r="L26" s="422">
        <v>0</v>
      </c>
      <c r="M26" s="422">
        <f t="shared" si="4"/>
        <v>4855.5555555555538</v>
      </c>
      <c r="N26" s="423">
        <f t="shared" si="5"/>
        <v>25555.555555555555</v>
      </c>
      <c r="Q26" s="424">
        <f t="shared" si="6"/>
        <v>1</v>
      </c>
      <c r="R26" s="425">
        <f t="shared" si="6"/>
        <v>1</v>
      </c>
      <c r="S26" s="426">
        <v>2467.6799999999998</v>
      </c>
      <c r="T26" s="426"/>
      <c r="U26" s="427">
        <f t="shared" si="8"/>
        <v>20700</v>
      </c>
      <c r="V26" s="428">
        <f t="shared" si="9"/>
        <v>0</v>
      </c>
      <c r="W26" s="429">
        <f t="shared" si="10"/>
        <v>0</v>
      </c>
      <c r="X26" s="429">
        <f t="shared" si="11"/>
        <v>0</v>
      </c>
      <c r="Y26" s="430">
        <f t="shared" si="12"/>
        <v>4855.5555555555538</v>
      </c>
      <c r="Z26" s="431">
        <f t="shared" si="13"/>
        <v>1</v>
      </c>
      <c r="AA26" s="432" t="e">
        <f>T26/$T$28</f>
        <v>#DIV/0!</v>
      </c>
      <c r="AB26" s="433">
        <f t="shared" si="2"/>
        <v>0</v>
      </c>
      <c r="AC26" s="434"/>
      <c r="AD26" s="458">
        <v>2467.6799999999998</v>
      </c>
      <c r="AE26" s="459">
        <f>T26-AD26</f>
        <v>-2467.6799999999998</v>
      </c>
      <c r="AF26" s="460">
        <v>45887</v>
      </c>
      <c r="AH26" s="461" t="s">
        <v>302</v>
      </c>
      <c r="AI26" s="462" t="s">
        <v>303</v>
      </c>
    </row>
    <row r="27" spans="1:43" ht="79.95" customHeight="1" x14ac:dyDescent="0.5">
      <c r="A27" s="385">
        <v>13</v>
      </c>
      <c r="B27" s="408" t="s">
        <v>283</v>
      </c>
      <c r="C27" s="409" t="s">
        <v>162</v>
      </c>
      <c r="D27" s="385" t="s">
        <v>185</v>
      </c>
      <c r="E27" s="385" t="s">
        <v>168</v>
      </c>
      <c r="F27" s="444" t="s">
        <v>189</v>
      </c>
      <c r="G27" s="463" t="s">
        <v>189</v>
      </c>
      <c r="H27" s="457">
        <v>1</v>
      </c>
      <c r="I27" s="457">
        <v>1</v>
      </c>
      <c r="J27" s="422">
        <v>0</v>
      </c>
      <c r="K27" s="422">
        <f t="shared" si="3"/>
        <v>0</v>
      </c>
      <c r="L27" s="422">
        <f>IF(K27&lt;&gt;"",IF(D27="INTERNO",0,K27*$L$14),"")</f>
        <v>0</v>
      </c>
      <c r="M27" s="422">
        <f t="shared" si="4"/>
        <v>0</v>
      </c>
      <c r="N27" s="423">
        <f t="shared" si="5"/>
        <v>0</v>
      </c>
      <c r="Q27" s="424">
        <f t="shared" si="6"/>
        <v>1</v>
      </c>
      <c r="R27" s="425">
        <f t="shared" si="6"/>
        <v>1</v>
      </c>
      <c r="S27" s="426"/>
      <c r="T27" s="426">
        <f t="shared" si="7"/>
        <v>0</v>
      </c>
      <c r="U27" s="427">
        <f t="shared" si="8"/>
        <v>0</v>
      </c>
      <c r="V27" s="428">
        <f t="shared" si="9"/>
        <v>0</v>
      </c>
      <c r="W27" s="429">
        <f t="shared" si="10"/>
        <v>0</v>
      </c>
      <c r="X27" s="429">
        <f t="shared" si="11"/>
        <v>0</v>
      </c>
      <c r="Y27" s="430">
        <f t="shared" si="12"/>
        <v>0</v>
      </c>
      <c r="Z27" s="431" t="e">
        <f t="shared" si="13"/>
        <v>#DIV/0!</v>
      </c>
      <c r="AA27" s="432" t="e">
        <f>T27/$T$28</f>
        <v>#DIV/0!</v>
      </c>
      <c r="AB27" s="433">
        <f t="shared" si="2"/>
        <v>0</v>
      </c>
      <c r="AC27" s="434"/>
    </row>
    <row r="28" spans="1:43" ht="103.2" x14ac:dyDescent="0.5">
      <c r="A28" s="385">
        <v>14</v>
      </c>
      <c r="B28" s="408"/>
      <c r="C28" s="409" t="s">
        <v>178</v>
      </c>
      <c r="D28" s="385"/>
      <c r="E28" s="385"/>
      <c r="F28" s="582" t="s">
        <v>190</v>
      </c>
      <c r="G28" s="583"/>
      <c r="H28" s="583"/>
      <c r="I28" s="583"/>
      <c r="J28" s="583"/>
      <c r="K28" s="448">
        <f>SUM(K25:K27)</f>
        <v>20700</v>
      </c>
      <c r="L28" s="448">
        <f>SUM(L25:L27)</f>
        <v>0</v>
      </c>
      <c r="M28" s="448">
        <f>SUM(M25:M27)</f>
        <v>4855.5555555555538</v>
      </c>
      <c r="N28" s="449">
        <f>SUM(N25:N27)</f>
        <v>25555.555555555555</v>
      </c>
      <c r="Q28" s="582" t="s">
        <v>190</v>
      </c>
      <c r="R28" s="583"/>
      <c r="S28" s="583"/>
      <c r="T28" s="450">
        <f>SUM(T25:T27)</f>
        <v>0</v>
      </c>
      <c r="U28" s="451">
        <f>SUM(U25:U27)</f>
        <v>20700</v>
      </c>
      <c r="V28" s="452"/>
      <c r="W28" s="452"/>
      <c r="X28" s="453">
        <f>SUM(X25:X27)</f>
        <v>0</v>
      </c>
      <c r="Y28" s="454">
        <f t="shared" si="12"/>
        <v>4855.5555555555538</v>
      </c>
      <c r="AB28" s="433"/>
      <c r="AC28" s="434"/>
    </row>
    <row r="29" spans="1:43" ht="26.4" thickBot="1" x14ac:dyDescent="0.55000000000000004">
      <c r="A29" s="385">
        <v>15</v>
      </c>
      <c r="B29" s="408">
        <v>3</v>
      </c>
      <c r="C29" s="409" t="s">
        <v>154</v>
      </c>
      <c r="D29" s="385"/>
      <c r="E29" s="385"/>
      <c r="F29" s="579" t="s">
        <v>197</v>
      </c>
      <c r="G29" s="580"/>
      <c r="H29" s="580"/>
      <c r="I29" s="580"/>
      <c r="J29" s="580"/>
      <c r="K29" s="580"/>
      <c r="L29" s="580"/>
      <c r="M29" s="580"/>
      <c r="N29" s="581"/>
      <c r="Q29" s="579" t="str">
        <f>IF(F29&lt;&gt;"",F29,"")</f>
        <v>Buffet: alimentos e  bebidas| Staff</v>
      </c>
      <c r="R29" s="580"/>
      <c r="S29" s="580"/>
      <c r="T29" s="580"/>
      <c r="U29" s="580"/>
      <c r="V29" s="580"/>
      <c r="W29" s="580"/>
      <c r="X29" s="580"/>
      <c r="Y29" s="581"/>
      <c r="AB29" s="433">
        <f t="shared" si="2"/>
        <v>0</v>
      </c>
      <c r="AC29" s="434"/>
    </row>
    <row r="30" spans="1:43" ht="51.6" x14ac:dyDescent="0.5">
      <c r="A30" s="385">
        <v>16</v>
      </c>
      <c r="B30" s="408" t="s">
        <v>191</v>
      </c>
      <c r="C30" s="409" t="s">
        <v>155</v>
      </c>
      <c r="D30" s="385"/>
      <c r="E30" s="385"/>
      <c r="F30" s="582" t="s">
        <v>192</v>
      </c>
      <c r="G30" s="583"/>
      <c r="H30" s="583"/>
      <c r="I30" s="583"/>
      <c r="J30" s="583"/>
      <c r="K30" s="583"/>
      <c r="L30" s="411" t="s">
        <v>157</v>
      </c>
      <c r="M30" s="411" t="s">
        <v>158</v>
      </c>
      <c r="N30" s="412" t="s">
        <v>128</v>
      </c>
      <c r="Q30" s="582" t="str">
        <f>IF(F30&lt;&gt;"",F30,"")</f>
        <v>A&amp;B</v>
      </c>
      <c r="R30" s="583"/>
      <c r="S30" s="583"/>
      <c r="T30" s="583"/>
      <c r="U30" s="583"/>
      <c r="V30" s="583"/>
      <c r="W30" s="583"/>
      <c r="X30" s="583"/>
      <c r="Y30" s="584"/>
      <c r="Z30" s="413" t="s">
        <v>159</v>
      </c>
      <c r="AA30" s="414" t="s">
        <v>129</v>
      </c>
      <c r="AB30" s="433">
        <f t="shared" si="2"/>
        <v>0</v>
      </c>
      <c r="AC30" s="434"/>
      <c r="AH30" s="464"/>
    </row>
    <row r="31" spans="1:43" ht="100.05" customHeight="1" x14ac:dyDescent="0.5">
      <c r="A31" s="385">
        <v>17</v>
      </c>
      <c r="B31" s="408" t="s">
        <v>193</v>
      </c>
      <c r="C31" s="409" t="s">
        <v>162</v>
      </c>
      <c r="D31" s="385" t="s">
        <v>185</v>
      </c>
      <c r="E31" s="385" t="s">
        <v>168</v>
      </c>
      <c r="F31" s="455" t="s">
        <v>287</v>
      </c>
      <c r="G31" s="456" t="s">
        <v>414</v>
      </c>
      <c r="H31" s="465">
        <v>150</v>
      </c>
      <c r="I31" s="465">
        <v>3</v>
      </c>
      <c r="J31" s="466">
        <v>48.31</v>
      </c>
      <c r="K31" s="422">
        <f t="shared" ref="K31:K36" si="14">IF(F31&lt;&gt;"",H31*I31*J31,"")</f>
        <v>21739.5</v>
      </c>
      <c r="L31" s="422">
        <f t="shared" ref="L31:L36" si="15">IF(K31&lt;&gt;"",IF(D31="INTERNO",0,K31*$L$14),"")</f>
        <v>2173.9500000000003</v>
      </c>
      <c r="M31" s="422">
        <f t="shared" ref="M31:M36" si="16">IF(K31&lt;&gt;"",IF(E31="FAT.OGGI",SUM(K31:L31)*(1/(1-$M$14)-1),L31*(1/(1-$M$14)-1)),"")</f>
        <v>5609.3277777777766</v>
      </c>
      <c r="N31" s="423">
        <f t="shared" ref="N31:N36" si="17">SUM(K31:M31)</f>
        <v>29522.777777777777</v>
      </c>
      <c r="Q31" s="424">
        <f t="shared" ref="Q31:R36" si="18">IF(H31&lt;&gt;"",H31,"")</f>
        <v>150</v>
      </c>
      <c r="R31" s="425">
        <f t="shared" si="18"/>
        <v>3</v>
      </c>
      <c r="S31" s="426">
        <v>46.066600000000001</v>
      </c>
      <c r="T31" s="467">
        <v>22200</v>
      </c>
      <c r="U31" s="468">
        <f t="shared" ref="U31:U36" si="19">IF(Q31&lt;&gt;"",K31-T31,"")</f>
        <v>-460.5</v>
      </c>
      <c r="V31" s="428">
        <f t="shared" ref="V31:V36" si="20">IF(Q31&lt;&gt;"",0%,"")</f>
        <v>0</v>
      </c>
      <c r="W31" s="429">
        <f t="shared" ref="W31:W36" si="21">IF(Q31&lt;&gt;"",V31*U31,"")</f>
        <v>0</v>
      </c>
      <c r="X31" s="429">
        <f t="shared" ref="X31:X36" si="22">IF(Q31&lt;&gt;"",W31+T31,"")</f>
        <v>22200</v>
      </c>
      <c r="Y31" s="430">
        <f t="shared" ref="Y31:Y37" si="23">IF(Q31&lt;&gt;"",X31+M31,"")</f>
        <v>27809.327777777777</v>
      </c>
      <c r="Z31" s="431">
        <f t="shared" ref="Z31:Z36" si="24">IF(Q31&lt;&gt;"",U31/K31,"")</f>
        <v>-2.1182639895121782E-2</v>
      </c>
      <c r="AA31" s="432">
        <f>T31/$T$37</f>
        <v>1</v>
      </c>
      <c r="AB31" s="433">
        <f t="shared" si="2"/>
        <v>0</v>
      </c>
      <c r="AC31" s="434">
        <v>22200</v>
      </c>
      <c r="AD31" s="458">
        <v>24760</v>
      </c>
      <c r="AE31" s="459">
        <f>T31-AD31</f>
        <v>-2560</v>
      </c>
      <c r="AF31" s="460">
        <v>45860</v>
      </c>
      <c r="AH31" s="461" t="s">
        <v>302</v>
      </c>
      <c r="AI31" s="462" t="s">
        <v>303</v>
      </c>
      <c r="AQ31" s="469" t="s">
        <v>386</v>
      </c>
    </row>
    <row r="32" spans="1:43" ht="79.95" customHeight="1" x14ac:dyDescent="0.5">
      <c r="A32" s="470">
        <v>19</v>
      </c>
      <c r="B32" s="408" t="s">
        <v>194</v>
      </c>
      <c r="C32" s="471" t="s">
        <v>162</v>
      </c>
      <c r="D32" s="470" t="s">
        <v>185</v>
      </c>
      <c r="E32" s="470" t="s">
        <v>168</v>
      </c>
      <c r="F32" s="455" t="s">
        <v>285</v>
      </c>
      <c r="G32" s="456" t="s">
        <v>415</v>
      </c>
      <c r="H32" s="465">
        <v>1</v>
      </c>
      <c r="I32" s="465">
        <v>0</v>
      </c>
      <c r="J32" s="422">
        <v>2178</v>
      </c>
      <c r="K32" s="422">
        <f t="shared" si="14"/>
        <v>0</v>
      </c>
      <c r="L32" s="422">
        <f t="shared" si="15"/>
        <v>0</v>
      </c>
      <c r="M32" s="422">
        <f t="shared" si="16"/>
        <v>0</v>
      </c>
      <c r="N32" s="423">
        <f t="shared" si="17"/>
        <v>0</v>
      </c>
      <c r="Q32" s="472">
        <f>IF(H32&lt;&gt;"",H32,"")</f>
        <v>1</v>
      </c>
      <c r="R32" s="473">
        <f>IF(I32&lt;&gt;"",I32,"")</f>
        <v>0</v>
      </c>
      <c r="S32" s="474">
        <v>1980</v>
      </c>
      <c r="T32" s="475">
        <f t="shared" ref="T32:T36" si="25">IF(Q32&lt;&gt;"",Q32*R32*S32,"")</f>
        <v>0</v>
      </c>
      <c r="U32" s="476">
        <f t="shared" si="19"/>
        <v>0</v>
      </c>
      <c r="V32" s="477">
        <f t="shared" si="20"/>
        <v>0</v>
      </c>
      <c r="W32" s="478">
        <f t="shared" si="21"/>
        <v>0</v>
      </c>
      <c r="X32" s="478">
        <f t="shared" si="22"/>
        <v>0</v>
      </c>
      <c r="Y32" s="479">
        <f>IF(Q32&lt;&gt;"",X32+M32,"")</f>
        <v>0</v>
      </c>
      <c r="Z32" s="480" t="e">
        <f t="shared" si="24"/>
        <v>#DIV/0!</v>
      </c>
      <c r="AA32" s="432"/>
      <c r="AB32" s="433">
        <f t="shared" si="2"/>
        <v>0</v>
      </c>
      <c r="AC32" s="434"/>
    </row>
    <row r="33" spans="1:43" ht="79.95" customHeight="1" x14ac:dyDescent="0.5">
      <c r="A33" s="481">
        <v>20</v>
      </c>
      <c r="B33" s="408" t="s">
        <v>195</v>
      </c>
      <c r="C33" s="482" t="s">
        <v>162</v>
      </c>
      <c r="D33" s="481" t="s">
        <v>185</v>
      </c>
      <c r="E33" s="481" t="s">
        <v>168</v>
      </c>
      <c r="F33" s="483" t="s">
        <v>256</v>
      </c>
      <c r="G33" s="484" t="s">
        <v>257</v>
      </c>
      <c r="H33" s="485">
        <v>2</v>
      </c>
      <c r="I33" s="485">
        <v>3</v>
      </c>
      <c r="J33" s="486">
        <v>400</v>
      </c>
      <c r="K33" s="486">
        <f t="shared" si="14"/>
        <v>2400</v>
      </c>
      <c r="L33" s="486">
        <f t="shared" si="15"/>
        <v>240</v>
      </c>
      <c r="M33" s="486">
        <f t="shared" si="16"/>
        <v>619.25925925925912</v>
      </c>
      <c r="N33" s="487">
        <f t="shared" si="17"/>
        <v>3259.2592592592591</v>
      </c>
      <c r="Q33" s="488">
        <f t="shared" si="18"/>
        <v>2</v>
      </c>
      <c r="R33" s="489">
        <v>0</v>
      </c>
      <c r="S33" s="490">
        <v>0</v>
      </c>
      <c r="T33" s="475">
        <f t="shared" si="25"/>
        <v>0</v>
      </c>
      <c r="U33" s="491">
        <f t="shared" si="19"/>
        <v>2400</v>
      </c>
      <c r="V33" s="492">
        <f t="shared" si="20"/>
        <v>0</v>
      </c>
      <c r="W33" s="479">
        <f t="shared" si="21"/>
        <v>0</v>
      </c>
      <c r="X33" s="479">
        <f t="shared" si="22"/>
        <v>0</v>
      </c>
      <c r="Y33" s="493">
        <v>0</v>
      </c>
      <c r="Z33" s="431">
        <f t="shared" si="24"/>
        <v>1</v>
      </c>
      <c r="AA33" s="432">
        <f>T33/$T$37</f>
        <v>0</v>
      </c>
      <c r="AB33" s="433">
        <f t="shared" si="2"/>
        <v>0</v>
      </c>
      <c r="AC33" s="434"/>
    </row>
    <row r="34" spans="1:43" ht="79.95" customHeight="1" x14ac:dyDescent="0.5">
      <c r="A34" s="494">
        <v>21</v>
      </c>
      <c r="B34" s="408" t="s">
        <v>255</v>
      </c>
      <c r="C34" s="495" t="s">
        <v>162</v>
      </c>
      <c r="D34" s="494" t="s">
        <v>185</v>
      </c>
      <c r="E34" s="385" t="s">
        <v>168</v>
      </c>
      <c r="F34" s="455" t="s">
        <v>258</v>
      </c>
      <c r="G34" s="456" t="s">
        <v>279</v>
      </c>
      <c r="H34" s="465">
        <v>2</v>
      </c>
      <c r="I34" s="465">
        <v>3</v>
      </c>
      <c r="J34" s="422">
        <v>400</v>
      </c>
      <c r="K34" s="422">
        <f t="shared" si="14"/>
        <v>2400</v>
      </c>
      <c r="L34" s="422">
        <f t="shared" si="15"/>
        <v>240</v>
      </c>
      <c r="M34" s="422">
        <f t="shared" si="16"/>
        <v>619.25925925925912</v>
      </c>
      <c r="N34" s="423">
        <f t="shared" si="17"/>
        <v>3259.2592592592591</v>
      </c>
      <c r="Q34" s="424">
        <f>IF(H34&lt;&gt;"",H34,"")</f>
        <v>2</v>
      </c>
      <c r="R34" s="425">
        <f>IF(I34&lt;&gt;"",I34,"")</f>
        <v>3</v>
      </c>
      <c r="S34" s="426">
        <v>0</v>
      </c>
      <c r="T34" s="467">
        <f t="shared" si="25"/>
        <v>0</v>
      </c>
      <c r="U34" s="468">
        <f t="shared" si="19"/>
        <v>2400</v>
      </c>
      <c r="V34" s="428">
        <f t="shared" si="20"/>
        <v>0</v>
      </c>
      <c r="W34" s="429">
        <f t="shared" si="21"/>
        <v>0</v>
      </c>
      <c r="X34" s="429">
        <f t="shared" si="22"/>
        <v>0</v>
      </c>
      <c r="Y34" s="430">
        <v>0</v>
      </c>
      <c r="Z34" s="431">
        <f t="shared" si="24"/>
        <v>1</v>
      </c>
      <c r="AA34" s="432"/>
      <c r="AB34" s="433">
        <f t="shared" si="2"/>
        <v>0</v>
      </c>
      <c r="AC34" s="434"/>
    </row>
    <row r="35" spans="1:43" ht="79.95" customHeight="1" x14ac:dyDescent="0.5">
      <c r="A35" s="481">
        <v>22</v>
      </c>
      <c r="B35" s="408" t="s">
        <v>284</v>
      </c>
      <c r="C35" s="482" t="s">
        <v>162</v>
      </c>
      <c r="D35" s="481" t="s">
        <v>185</v>
      </c>
      <c r="E35" s="385" t="s">
        <v>168</v>
      </c>
      <c r="F35" s="455" t="s">
        <v>259</v>
      </c>
      <c r="G35" s="456" t="s">
        <v>259</v>
      </c>
      <c r="H35" s="465">
        <v>1</v>
      </c>
      <c r="I35" s="465">
        <v>3</v>
      </c>
      <c r="J35" s="422">
        <v>380</v>
      </c>
      <c r="K35" s="422">
        <f t="shared" si="14"/>
        <v>1140</v>
      </c>
      <c r="L35" s="422">
        <f t="shared" si="15"/>
        <v>114</v>
      </c>
      <c r="M35" s="422">
        <f t="shared" si="16"/>
        <v>294.14814814814804</v>
      </c>
      <c r="N35" s="423">
        <f t="shared" si="17"/>
        <v>1548.148148148148</v>
      </c>
      <c r="Q35" s="424">
        <f t="shared" si="18"/>
        <v>1</v>
      </c>
      <c r="R35" s="425">
        <f t="shared" si="18"/>
        <v>3</v>
      </c>
      <c r="S35" s="426">
        <v>0</v>
      </c>
      <c r="T35" s="467">
        <f t="shared" si="25"/>
        <v>0</v>
      </c>
      <c r="U35" s="468">
        <f t="shared" si="19"/>
        <v>1140</v>
      </c>
      <c r="V35" s="428">
        <f t="shared" si="20"/>
        <v>0</v>
      </c>
      <c r="W35" s="429">
        <f t="shared" si="21"/>
        <v>0</v>
      </c>
      <c r="X35" s="429">
        <f t="shared" si="22"/>
        <v>0</v>
      </c>
      <c r="Y35" s="430">
        <v>0</v>
      </c>
      <c r="Z35" s="431">
        <f t="shared" si="24"/>
        <v>1</v>
      </c>
      <c r="AA35" s="432">
        <f>T35/$T$37</f>
        <v>0</v>
      </c>
      <c r="AB35" s="433">
        <f t="shared" si="2"/>
        <v>0</v>
      </c>
      <c r="AC35" s="434"/>
    </row>
    <row r="36" spans="1:43" ht="79.95" customHeight="1" thickBot="1" x14ac:dyDescent="0.55000000000000004">
      <c r="A36" s="385">
        <v>23</v>
      </c>
      <c r="B36" s="408" t="s">
        <v>286</v>
      </c>
      <c r="C36" s="409" t="s">
        <v>162</v>
      </c>
      <c r="D36" s="385" t="s">
        <v>185</v>
      </c>
      <c r="E36" s="385" t="s">
        <v>168</v>
      </c>
      <c r="F36" s="455" t="s">
        <v>260</v>
      </c>
      <c r="G36" s="456" t="s">
        <v>280</v>
      </c>
      <c r="H36" s="465">
        <v>1</v>
      </c>
      <c r="I36" s="465">
        <v>3</v>
      </c>
      <c r="J36" s="422">
        <v>380</v>
      </c>
      <c r="K36" s="422">
        <f t="shared" si="14"/>
        <v>1140</v>
      </c>
      <c r="L36" s="422">
        <f t="shared" si="15"/>
        <v>114</v>
      </c>
      <c r="M36" s="422">
        <f t="shared" si="16"/>
        <v>294.14814814814804</v>
      </c>
      <c r="N36" s="423">
        <f t="shared" si="17"/>
        <v>1548.148148148148</v>
      </c>
      <c r="Q36" s="424">
        <f t="shared" si="18"/>
        <v>1</v>
      </c>
      <c r="R36" s="425">
        <f t="shared" si="18"/>
        <v>3</v>
      </c>
      <c r="S36" s="496">
        <v>0</v>
      </c>
      <c r="T36" s="467">
        <f t="shared" si="25"/>
        <v>0</v>
      </c>
      <c r="U36" s="468">
        <f t="shared" si="19"/>
        <v>1140</v>
      </c>
      <c r="V36" s="428">
        <f t="shared" si="20"/>
        <v>0</v>
      </c>
      <c r="W36" s="429">
        <f t="shared" si="21"/>
        <v>0</v>
      </c>
      <c r="X36" s="429">
        <f t="shared" si="22"/>
        <v>0</v>
      </c>
      <c r="Y36" s="430">
        <f t="shared" si="23"/>
        <v>294.14814814814804</v>
      </c>
      <c r="Z36" s="446">
        <f t="shared" si="24"/>
        <v>1</v>
      </c>
      <c r="AA36" s="447">
        <f>T36/$T$37</f>
        <v>0</v>
      </c>
      <c r="AB36" s="433">
        <f t="shared" si="2"/>
        <v>0</v>
      </c>
      <c r="AC36" s="434"/>
    </row>
    <row r="37" spans="1:43" ht="103.2" x14ac:dyDescent="0.5">
      <c r="A37" s="385">
        <v>24</v>
      </c>
      <c r="B37" s="408"/>
      <c r="C37" s="409" t="s">
        <v>178</v>
      </c>
      <c r="D37" s="385"/>
      <c r="E37" s="385"/>
      <c r="F37" s="582" t="s">
        <v>196</v>
      </c>
      <c r="G37" s="583"/>
      <c r="H37" s="583"/>
      <c r="I37" s="583"/>
      <c r="J37" s="583"/>
      <c r="K37" s="448">
        <f>SUM(K31:K36)</f>
        <v>28819.5</v>
      </c>
      <c r="L37" s="448">
        <f>SUM(L31:L36)</f>
        <v>2881.9500000000003</v>
      </c>
      <c r="M37" s="448">
        <f>SUM(M31:M36)</f>
        <v>7436.1425925925905</v>
      </c>
      <c r="N37" s="449">
        <f>SUM(N31:N36)</f>
        <v>39137.592592592584</v>
      </c>
      <c r="Q37" s="582" t="s">
        <v>196</v>
      </c>
      <c r="R37" s="583"/>
      <c r="S37" s="583"/>
      <c r="T37" s="450">
        <f>SUM(T31:T36)</f>
        <v>22200</v>
      </c>
      <c r="U37" s="451">
        <f>SUM(U31:U36)</f>
        <v>6619.5</v>
      </c>
      <c r="V37" s="452"/>
      <c r="W37" s="452"/>
      <c r="X37" s="453">
        <f>SUM(X31:X36)</f>
        <v>22200</v>
      </c>
      <c r="Y37" s="454">
        <f t="shared" si="23"/>
        <v>29636.142592592591</v>
      </c>
      <c r="AB37" s="433"/>
      <c r="AC37" s="434"/>
    </row>
    <row r="38" spans="1:43" ht="26.4" thickBot="1" x14ac:dyDescent="0.55000000000000004">
      <c r="A38" s="385">
        <v>25</v>
      </c>
      <c r="B38" s="408">
        <v>4</v>
      </c>
      <c r="C38" s="409" t="s">
        <v>154</v>
      </c>
      <c r="D38" s="385"/>
      <c r="E38" s="385"/>
      <c r="F38" s="579" t="s">
        <v>205</v>
      </c>
      <c r="G38" s="580"/>
      <c r="H38" s="580"/>
      <c r="I38" s="580"/>
      <c r="J38" s="580"/>
      <c r="K38" s="580"/>
      <c r="L38" s="580"/>
      <c r="M38" s="580"/>
      <c r="N38" s="581"/>
      <c r="Q38" s="579" t="str">
        <f>IF(F38&lt;&gt;"",F38,"")</f>
        <v>Produção</v>
      </c>
      <c r="R38" s="580"/>
      <c r="S38" s="580"/>
      <c r="T38" s="580"/>
      <c r="U38" s="580"/>
      <c r="V38" s="580"/>
      <c r="W38" s="580"/>
      <c r="X38" s="580"/>
      <c r="Y38" s="581"/>
      <c r="AB38" s="433">
        <f t="shared" si="2"/>
        <v>0</v>
      </c>
      <c r="AC38" s="434"/>
    </row>
    <row r="39" spans="1:43" ht="51.6" x14ac:dyDescent="0.5">
      <c r="A39" s="385">
        <v>26</v>
      </c>
      <c r="B39" s="408" t="s">
        <v>198</v>
      </c>
      <c r="C39" s="409" t="s">
        <v>155</v>
      </c>
      <c r="D39" s="385"/>
      <c r="E39" s="385"/>
      <c r="F39" s="582" t="s">
        <v>206</v>
      </c>
      <c r="G39" s="583"/>
      <c r="H39" s="583"/>
      <c r="I39" s="583"/>
      <c r="J39" s="583"/>
      <c r="K39" s="583"/>
      <c r="L39" s="411" t="s">
        <v>157</v>
      </c>
      <c r="M39" s="411" t="s">
        <v>158</v>
      </c>
      <c r="N39" s="412" t="s">
        <v>128</v>
      </c>
      <c r="Q39" s="582" t="str">
        <f>IF(F39&lt;&gt;"",F39,"")</f>
        <v>Equipe de produção e itens diversos</v>
      </c>
      <c r="R39" s="583"/>
      <c r="S39" s="583"/>
      <c r="T39" s="583"/>
      <c r="U39" s="583"/>
      <c r="V39" s="583"/>
      <c r="W39" s="583"/>
      <c r="X39" s="583"/>
      <c r="Y39" s="584"/>
      <c r="Z39" s="413" t="s">
        <v>159</v>
      </c>
      <c r="AA39" s="414" t="s">
        <v>129</v>
      </c>
      <c r="AB39" s="433">
        <f t="shared" si="2"/>
        <v>0</v>
      </c>
      <c r="AC39" s="434"/>
    </row>
    <row r="40" spans="1:43" ht="79.95" customHeight="1" x14ac:dyDescent="0.5">
      <c r="A40" s="385">
        <v>27</v>
      </c>
      <c r="B40" s="408" t="s">
        <v>199</v>
      </c>
      <c r="C40" s="409" t="s">
        <v>162</v>
      </c>
      <c r="D40" s="385" t="s">
        <v>185</v>
      </c>
      <c r="E40" s="385" t="s">
        <v>168</v>
      </c>
      <c r="F40" s="455" t="s">
        <v>207</v>
      </c>
      <c r="G40" s="456" t="s">
        <v>416</v>
      </c>
      <c r="H40" s="465">
        <v>1</v>
      </c>
      <c r="I40" s="497">
        <v>5</v>
      </c>
      <c r="J40" s="422">
        <v>750</v>
      </c>
      <c r="K40" s="422">
        <f t="shared" ref="K40:K53" si="26">IF(F40&lt;&gt;"",H40*I40*J40,"")</f>
        <v>3750</v>
      </c>
      <c r="L40" s="422">
        <f t="shared" ref="L40:L53" si="27">IF(K40&lt;&gt;"",IF(D40="INTERNO",0,K40*$L$14),"")</f>
        <v>375</v>
      </c>
      <c r="M40" s="422">
        <f t="shared" ref="M40:M53" si="28">IF(K40&lt;&gt;"",IF(E40="FAT.OGGI",SUM(K40:L40)*(1/(1-$M$14)-1),L40*(1/(1-$M$14)-1)),"")</f>
        <v>967.59259259259227</v>
      </c>
      <c r="N40" s="423">
        <f t="shared" ref="N40:N53" si="29">SUM(K40:M40)</f>
        <v>5092.5925925925922</v>
      </c>
      <c r="Q40" s="424">
        <f t="shared" ref="Q40:R50" si="30">IF(H40&lt;&gt;"",H40,"")</f>
        <v>1</v>
      </c>
      <c r="R40" s="425">
        <f t="shared" si="30"/>
        <v>5</v>
      </c>
      <c r="S40" s="426">
        <v>650</v>
      </c>
      <c r="T40" s="426">
        <f t="shared" ref="T40:T48" si="31">IF(Q40&lt;&gt;"",Q40*R40*S40,"")</f>
        <v>3250</v>
      </c>
      <c r="U40" s="427">
        <f t="shared" ref="U40:U50" si="32">IF(Q40&lt;&gt;"",K40-T40,"")</f>
        <v>500</v>
      </c>
      <c r="V40" s="428">
        <f t="shared" ref="V40:V50" si="33">IF(Q40&lt;&gt;"",0%,"")</f>
        <v>0</v>
      </c>
      <c r="W40" s="429">
        <f t="shared" ref="W40:W50" si="34">IF(Q40&lt;&gt;"",V40*U40,"")</f>
        <v>0</v>
      </c>
      <c r="X40" s="429">
        <f t="shared" ref="X40:X50" si="35">IF(Q40&lt;&gt;"",W40+T40,"")</f>
        <v>3250</v>
      </c>
      <c r="Y40" s="430">
        <f t="shared" ref="Y40:Y50" si="36">IF(Q40&lt;&gt;"",X40+M40,"")</f>
        <v>4217.5925925925922</v>
      </c>
      <c r="Z40" s="431">
        <f t="shared" ref="Z40:Z50" si="37">IF(Q40&lt;&gt;"",U40/K40,"")</f>
        <v>0.13333333333333333</v>
      </c>
      <c r="AA40" s="432">
        <f t="shared" ref="AA40:AA54" si="38">T40/$T$55</f>
        <v>6.2847486168235184E-2</v>
      </c>
      <c r="AB40" s="433">
        <f t="shared" si="2"/>
        <v>0</v>
      </c>
      <c r="AC40" s="434">
        <v>3250</v>
      </c>
      <c r="AH40" s="461" t="s">
        <v>379</v>
      </c>
      <c r="AQ40" s="469" t="s">
        <v>388</v>
      </c>
    </row>
    <row r="41" spans="1:43" ht="79.95" customHeight="1" x14ac:dyDescent="0.5">
      <c r="A41" s="385">
        <v>28</v>
      </c>
      <c r="B41" s="408" t="s">
        <v>200</v>
      </c>
      <c r="C41" s="409" t="s">
        <v>162</v>
      </c>
      <c r="D41" s="385" t="s">
        <v>185</v>
      </c>
      <c r="E41" s="385" t="s">
        <v>168</v>
      </c>
      <c r="F41" s="455" t="s">
        <v>208</v>
      </c>
      <c r="G41" s="456" t="s">
        <v>261</v>
      </c>
      <c r="H41" s="465">
        <v>1</v>
      </c>
      <c r="I41" s="465">
        <v>4</v>
      </c>
      <c r="J41" s="422">
        <v>750</v>
      </c>
      <c r="K41" s="422">
        <f t="shared" si="26"/>
        <v>3000</v>
      </c>
      <c r="L41" s="422">
        <f t="shared" si="27"/>
        <v>300</v>
      </c>
      <c r="M41" s="422">
        <f t="shared" si="28"/>
        <v>774.07407407407379</v>
      </c>
      <c r="N41" s="423">
        <f t="shared" si="29"/>
        <v>4074.0740740740739</v>
      </c>
      <c r="Q41" s="424">
        <f t="shared" si="30"/>
        <v>1</v>
      </c>
      <c r="R41" s="425">
        <v>6</v>
      </c>
      <c r="S41" s="426">
        <v>650</v>
      </c>
      <c r="T41" s="426">
        <v>3900</v>
      </c>
      <c r="U41" s="427">
        <f t="shared" si="32"/>
        <v>-900</v>
      </c>
      <c r="V41" s="428">
        <f t="shared" si="33"/>
        <v>0</v>
      </c>
      <c r="W41" s="429">
        <f t="shared" si="34"/>
        <v>0</v>
      </c>
      <c r="X41" s="429">
        <f t="shared" si="35"/>
        <v>3900</v>
      </c>
      <c r="Y41" s="430">
        <f t="shared" si="36"/>
        <v>4674.0740740740739</v>
      </c>
      <c r="Z41" s="431">
        <f t="shared" si="37"/>
        <v>-0.3</v>
      </c>
      <c r="AA41" s="432">
        <f t="shared" si="38"/>
        <v>7.5416983401882215E-2</v>
      </c>
      <c r="AB41" s="433">
        <f t="shared" si="2"/>
        <v>0</v>
      </c>
      <c r="AC41" s="434">
        <v>3900</v>
      </c>
      <c r="AD41" s="458">
        <v>3900</v>
      </c>
      <c r="AE41" s="459">
        <f>T41-AD41</f>
        <v>0</v>
      </c>
      <c r="AF41" s="460">
        <v>45884</v>
      </c>
      <c r="AH41" s="461" t="s">
        <v>351</v>
      </c>
      <c r="AI41" s="462" t="s">
        <v>352</v>
      </c>
      <c r="AQ41" s="469" t="s">
        <v>392</v>
      </c>
    </row>
    <row r="42" spans="1:43" ht="79.95" customHeight="1" x14ac:dyDescent="0.5">
      <c r="A42" s="385">
        <v>29</v>
      </c>
      <c r="B42" s="408" t="s">
        <v>201</v>
      </c>
      <c r="C42" s="409" t="s">
        <v>162</v>
      </c>
      <c r="D42" s="385" t="s">
        <v>185</v>
      </c>
      <c r="E42" s="385" t="s">
        <v>168</v>
      </c>
      <c r="F42" s="455" t="s">
        <v>247</v>
      </c>
      <c r="G42" s="456" t="s">
        <v>417</v>
      </c>
      <c r="H42" s="465">
        <v>1</v>
      </c>
      <c r="I42" s="497">
        <v>3</v>
      </c>
      <c r="J42" s="422">
        <v>750</v>
      </c>
      <c r="K42" s="422">
        <f t="shared" si="26"/>
        <v>2250</v>
      </c>
      <c r="L42" s="422">
        <f t="shared" si="27"/>
        <v>225</v>
      </c>
      <c r="M42" s="422">
        <f t="shared" si="28"/>
        <v>580.55555555555543</v>
      </c>
      <c r="N42" s="423">
        <f t="shared" si="29"/>
        <v>3055.5555555555557</v>
      </c>
      <c r="Q42" s="424">
        <f t="shared" si="30"/>
        <v>1</v>
      </c>
      <c r="R42" s="425">
        <f t="shared" si="30"/>
        <v>3</v>
      </c>
      <c r="S42" s="426">
        <v>650</v>
      </c>
      <c r="T42" s="426">
        <f t="shared" si="31"/>
        <v>1950</v>
      </c>
      <c r="U42" s="427">
        <f t="shared" si="32"/>
        <v>300</v>
      </c>
      <c r="V42" s="428">
        <f t="shared" si="33"/>
        <v>0</v>
      </c>
      <c r="W42" s="429">
        <f t="shared" si="34"/>
        <v>0</v>
      </c>
      <c r="X42" s="429">
        <f t="shared" si="35"/>
        <v>1950</v>
      </c>
      <c r="Y42" s="430">
        <f t="shared" si="36"/>
        <v>2530.5555555555557</v>
      </c>
      <c r="Z42" s="431">
        <f t="shared" si="37"/>
        <v>0.13333333333333333</v>
      </c>
      <c r="AA42" s="432">
        <f t="shared" si="38"/>
        <v>3.7708491700941107E-2</v>
      </c>
      <c r="AB42" s="433">
        <f t="shared" si="2"/>
        <v>0</v>
      </c>
      <c r="AC42" s="434">
        <v>1950</v>
      </c>
      <c r="AH42" s="461" t="s">
        <v>379</v>
      </c>
      <c r="AQ42" s="469" t="s">
        <v>388</v>
      </c>
    </row>
    <row r="43" spans="1:43" ht="79.95" customHeight="1" x14ac:dyDescent="0.5">
      <c r="A43" s="385">
        <v>30</v>
      </c>
      <c r="B43" s="408" t="s">
        <v>202</v>
      </c>
      <c r="C43" s="409" t="s">
        <v>162</v>
      </c>
      <c r="D43" s="385" t="s">
        <v>185</v>
      </c>
      <c r="E43" s="385" t="s">
        <v>168</v>
      </c>
      <c r="F43" s="455" t="s">
        <v>248</v>
      </c>
      <c r="G43" s="456" t="s">
        <v>262</v>
      </c>
      <c r="H43" s="465">
        <v>1</v>
      </c>
      <c r="I43" s="465">
        <v>3</v>
      </c>
      <c r="J43" s="422">
        <v>450</v>
      </c>
      <c r="K43" s="422">
        <f>IF(F43&lt;&gt;"",H43*I43*J43,"")</f>
        <v>1350</v>
      </c>
      <c r="L43" s="422">
        <f>IF(K43&lt;&gt;"",IF(D43="INTERNO",0,K43*$L$14),"")</f>
        <v>135</v>
      </c>
      <c r="M43" s="422">
        <f>IF(K43&lt;&gt;"",IF(E43="FAT.OGGI",SUM(K43:L43)*(1/(1-$M$14)-1),L43*(1/(1-$M$14)-1)),"")</f>
        <v>348.33333333333326</v>
      </c>
      <c r="N43" s="423">
        <f>SUM(K43:M43)</f>
        <v>1833.3333333333333</v>
      </c>
      <c r="Q43" s="424">
        <f t="shared" si="30"/>
        <v>1</v>
      </c>
      <c r="R43" s="425">
        <f t="shared" si="30"/>
        <v>3</v>
      </c>
      <c r="S43" s="426">
        <v>400</v>
      </c>
      <c r="T43" s="426">
        <f>IF(Q43&lt;&gt;"",Q43*R43*S43,"")</f>
        <v>1200</v>
      </c>
      <c r="U43" s="427">
        <f>IF(Q43&lt;&gt;"",K43-T43,"")</f>
        <v>150</v>
      </c>
      <c r="V43" s="428">
        <f>IF(Q43&lt;&gt;"",0%,"")</f>
        <v>0</v>
      </c>
      <c r="W43" s="429">
        <f>IF(Q43&lt;&gt;"",V43*U43,"")</f>
        <v>0</v>
      </c>
      <c r="X43" s="429">
        <f>IF(Q43&lt;&gt;"",W43+T43,"")</f>
        <v>1200</v>
      </c>
      <c r="Y43" s="430">
        <f>IF(Q43&lt;&gt;"",X43+M43,"")</f>
        <v>1548.3333333333333</v>
      </c>
      <c r="Z43" s="431">
        <f>IF(Q43&lt;&gt;"",U43/K43,"")</f>
        <v>0.1111111111111111</v>
      </c>
      <c r="AA43" s="432">
        <f t="shared" si="38"/>
        <v>2.3205225662117607E-2</v>
      </c>
      <c r="AB43" s="433">
        <f t="shared" si="2"/>
        <v>0</v>
      </c>
      <c r="AC43" s="434">
        <v>1200</v>
      </c>
      <c r="AD43" s="458">
        <v>1200</v>
      </c>
      <c r="AE43" s="459">
        <f>T43-AD43</f>
        <v>0</v>
      </c>
      <c r="AF43" s="460">
        <v>45884</v>
      </c>
      <c r="AH43" s="461" t="s">
        <v>339</v>
      </c>
      <c r="AI43" s="462" t="s">
        <v>340</v>
      </c>
      <c r="AQ43" s="469" t="s">
        <v>389</v>
      </c>
    </row>
    <row r="44" spans="1:43" ht="79.95" customHeight="1" x14ac:dyDescent="0.5">
      <c r="A44" s="494">
        <v>31</v>
      </c>
      <c r="B44" s="408" t="s">
        <v>203</v>
      </c>
      <c r="C44" s="495" t="s">
        <v>162</v>
      </c>
      <c r="D44" s="385" t="s">
        <v>185</v>
      </c>
      <c r="E44" s="385" t="s">
        <v>168</v>
      </c>
      <c r="F44" s="455" t="s">
        <v>249</v>
      </c>
      <c r="G44" s="456" t="s">
        <v>253</v>
      </c>
      <c r="H44" s="465">
        <v>1</v>
      </c>
      <c r="I44" s="497">
        <v>1</v>
      </c>
      <c r="J44" s="422">
        <v>1500</v>
      </c>
      <c r="K44" s="422">
        <f>IF(F44&lt;&gt;"",H44*I44*J44,"")</f>
        <v>1500</v>
      </c>
      <c r="L44" s="422">
        <f>IF(K44&lt;&gt;"",IF(D44="INTERNO",0,K44*$L$14),"")</f>
        <v>150</v>
      </c>
      <c r="M44" s="422">
        <f>IF(K44&lt;&gt;"",IF(E44="FAT.OGGI",SUM(K44:L44)*(1/(1-$M$14)-1),L44*(1/(1-$M$14)-1)),"")</f>
        <v>387.0370370370369</v>
      </c>
      <c r="N44" s="423">
        <f>SUM(K44:M44)</f>
        <v>2037.037037037037</v>
      </c>
      <c r="Q44" s="424">
        <f t="shared" si="30"/>
        <v>1</v>
      </c>
      <c r="R44" s="425">
        <f t="shared" si="30"/>
        <v>1</v>
      </c>
      <c r="S44" s="426">
        <v>1300</v>
      </c>
      <c r="T44" s="426">
        <f>IF(Q44&lt;&gt;"",Q44*R44*S44,"")</f>
        <v>1300</v>
      </c>
      <c r="U44" s="427">
        <f>IF(Q44&lt;&gt;"",K44-T44,"")</f>
        <v>200</v>
      </c>
      <c r="V44" s="428">
        <f>IF(Q44&lt;&gt;"",0%,"")</f>
        <v>0</v>
      </c>
      <c r="W44" s="429">
        <f>IF(Q44&lt;&gt;"",V44*U44,"")</f>
        <v>0</v>
      </c>
      <c r="X44" s="429">
        <f>IF(Q44&lt;&gt;"",W44+T44,"")</f>
        <v>1300</v>
      </c>
      <c r="Y44" s="430">
        <f>IF(Q44&lt;&gt;"",X44+M44,"")</f>
        <v>1687.037037037037</v>
      </c>
      <c r="Z44" s="431">
        <f>IF(Q44&lt;&gt;"",U44/K44,"")</f>
        <v>0.13333333333333333</v>
      </c>
      <c r="AA44" s="432">
        <f t="shared" si="38"/>
        <v>2.5138994467294073E-2</v>
      </c>
      <c r="AB44" s="433">
        <f t="shared" si="2"/>
        <v>0</v>
      </c>
      <c r="AC44" s="434">
        <v>1300</v>
      </c>
      <c r="AD44" s="458">
        <v>1300</v>
      </c>
      <c r="AE44" s="459">
        <f>T44-AD44</f>
        <v>0</v>
      </c>
      <c r="AF44" s="460">
        <v>45873</v>
      </c>
      <c r="AH44" s="461" t="s">
        <v>339</v>
      </c>
      <c r="AI44" s="462" t="s">
        <v>340</v>
      </c>
      <c r="AQ44" s="469" t="s">
        <v>389</v>
      </c>
    </row>
    <row r="45" spans="1:43" ht="79.95" customHeight="1" x14ac:dyDescent="0.5">
      <c r="A45" s="481">
        <v>32</v>
      </c>
      <c r="B45" s="408" t="s">
        <v>244</v>
      </c>
      <c r="C45" s="482" t="s">
        <v>162</v>
      </c>
      <c r="D45" s="385" t="s">
        <v>185</v>
      </c>
      <c r="E45" s="385" t="s">
        <v>168</v>
      </c>
      <c r="F45" s="455" t="s">
        <v>250</v>
      </c>
      <c r="G45" s="456" t="s">
        <v>254</v>
      </c>
      <c r="H45" s="465">
        <v>1</v>
      </c>
      <c r="I45" s="465">
        <v>4</v>
      </c>
      <c r="J45" s="422">
        <v>520</v>
      </c>
      <c r="K45" s="422">
        <f>IF(F45&lt;&gt;"",H45*I45*J45,"")</f>
        <v>2080</v>
      </c>
      <c r="L45" s="422">
        <f>IF(K45&lt;&gt;"",IF(D45="INTERNO",0,K45*$L$14),"")</f>
        <v>208</v>
      </c>
      <c r="M45" s="422">
        <f>IF(K45&lt;&gt;"",IF(E45="FAT.OGGI",SUM(K45:L45)*(1/(1-$M$14)-1),L45*(1/(1-$M$14)-1)),"")</f>
        <v>536.69135802469123</v>
      </c>
      <c r="N45" s="423">
        <f>SUM(K45:M45)</f>
        <v>2824.691358024691</v>
      </c>
      <c r="Q45" s="424">
        <f t="shared" si="30"/>
        <v>1</v>
      </c>
      <c r="R45" s="425">
        <v>1</v>
      </c>
      <c r="S45" s="496">
        <v>1200</v>
      </c>
      <c r="T45" s="426">
        <f>IF(Q45&lt;&gt;"",Q45*R45*S45,"")</f>
        <v>1200</v>
      </c>
      <c r="U45" s="427">
        <f>IF(Q45&lt;&gt;"",K45-T45,"")</f>
        <v>880</v>
      </c>
      <c r="V45" s="428">
        <f>IF(Q45&lt;&gt;"",0%,"")</f>
        <v>0</v>
      </c>
      <c r="W45" s="429">
        <f>IF(Q45&lt;&gt;"",V45*U45,"")</f>
        <v>0</v>
      </c>
      <c r="X45" s="429">
        <f>IF(Q45&lt;&gt;"",W45+T45,"")</f>
        <v>1200</v>
      </c>
      <c r="Y45" s="430">
        <f>IF(Q45&lt;&gt;"",X45+M45,"")</f>
        <v>1736.6913580246912</v>
      </c>
      <c r="Z45" s="431">
        <f>IF(Q45&lt;&gt;"",U45/K45,"")</f>
        <v>0.42307692307692307</v>
      </c>
      <c r="AA45" s="432">
        <f t="shared" si="38"/>
        <v>2.3205225662117607E-2</v>
      </c>
      <c r="AB45" s="433">
        <f t="shared" si="2"/>
        <v>0</v>
      </c>
      <c r="AC45" s="434">
        <v>1200</v>
      </c>
      <c r="AD45" s="458">
        <v>1200</v>
      </c>
      <c r="AE45" s="459">
        <f>T45-AD45</f>
        <v>0</v>
      </c>
      <c r="AF45" s="460">
        <v>45869</v>
      </c>
      <c r="AH45" s="461" t="s">
        <v>330</v>
      </c>
      <c r="AI45" s="462" t="s">
        <v>331</v>
      </c>
      <c r="AQ45" s="469" t="s">
        <v>384</v>
      </c>
    </row>
    <row r="46" spans="1:43" ht="79.95" customHeight="1" x14ac:dyDescent="0.5">
      <c r="A46" s="494">
        <v>33</v>
      </c>
      <c r="B46" s="408" t="s">
        <v>204</v>
      </c>
      <c r="C46" s="495" t="s">
        <v>162</v>
      </c>
      <c r="D46" s="494" t="s">
        <v>185</v>
      </c>
      <c r="E46" s="385" t="s">
        <v>168</v>
      </c>
      <c r="F46" s="455" t="s">
        <v>264</v>
      </c>
      <c r="G46" s="456" t="s">
        <v>264</v>
      </c>
      <c r="H46" s="465">
        <v>1</v>
      </c>
      <c r="I46" s="497">
        <v>4</v>
      </c>
      <c r="J46" s="422">
        <v>290</v>
      </c>
      <c r="K46" s="422">
        <f>IF(F46&lt;&gt;"",H46*I46*J46,"")</f>
        <v>1160</v>
      </c>
      <c r="L46" s="422">
        <f>IF(K46&lt;&gt;"",IF(D46="INTERNO",0,K46*$L$14),"")</f>
        <v>116</v>
      </c>
      <c r="M46" s="422">
        <f>IF(K46&lt;&gt;"",IF(E46="FAT.OGGI",SUM(K46:L46)*(1/(1-$M$14)-1),L46*(1/(1-$M$14)-1)),"")</f>
        <v>299.30864197530855</v>
      </c>
      <c r="N46" s="423">
        <f>SUM(K46:M46)</f>
        <v>1575.3086419753085</v>
      </c>
      <c r="Q46" s="424">
        <f>IF(H46&lt;&gt;"",H46,"")</f>
        <v>1</v>
      </c>
      <c r="R46" s="425">
        <f>IF(I46&lt;&gt;"",I46,"")</f>
        <v>4</v>
      </c>
      <c r="S46" s="426">
        <v>250</v>
      </c>
      <c r="T46" s="426">
        <f>IF(Q46&lt;&gt;"",Q46*R46*S46,"")</f>
        <v>1000</v>
      </c>
      <c r="U46" s="427">
        <f>IF(Q46&lt;&gt;"",K46-T46,"")</f>
        <v>160</v>
      </c>
      <c r="V46" s="428">
        <f>IF(Q46&lt;&gt;"",0%,"")</f>
        <v>0</v>
      </c>
      <c r="W46" s="429">
        <f>IF(Q46&lt;&gt;"",V46*U46,"")</f>
        <v>0</v>
      </c>
      <c r="X46" s="429">
        <f>IF(Q46&lt;&gt;"",W46+T46,"")</f>
        <v>1000</v>
      </c>
      <c r="Y46" s="430">
        <f>IF(Q46&lt;&gt;"",X46+M46,"")</f>
        <v>1299.3086419753085</v>
      </c>
      <c r="Z46" s="431">
        <f>IF(Q46&lt;&gt;"",U46/K46,"")</f>
        <v>0.13793103448275862</v>
      </c>
      <c r="AA46" s="432"/>
      <c r="AB46" s="433">
        <f t="shared" si="2"/>
        <v>0</v>
      </c>
      <c r="AC46" s="434">
        <v>1000</v>
      </c>
      <c r="AD46" s="458">
        <v>1000</v>
      </c>
      <c r="AE46" s="459">
        <f>T46-AD46</f>
        <v>0</v>
      </c>
      <c r="AF46" s="460">
        <v>45884</v>
      </c>
      <c r="AH46" s="461" t="s">
        <v>339</v>
      </c>
      <c r="AI46" s="462" t="s">
        <v>340</v>
      </c>
      <c r="AQ46" s="469" t="s">
        <v>389</v>
      </c>
    </row>
    <row r="47" spans="1:43" ht="79.95" customHeight="1" x14ac:dyDescent="0.5">
      <c r="A47" s="470">
        <v>34</v>
      </c>
      <c r="B47" s="408" t="s">
        <v>212</v>
      </c>
      <c r="C47" s="471" t="s">
        <v>162</v>
      </c>
      <c r="D47" s="470" t="s">
        <v>185</v>
      </c>
      <c r="E47" s="385" t="s">
        <v>168</v>
      </c>
      <c r="F47" s="455" t="s">
        <v>251</v>
      </c>
      <c r="G47" s="456" t="s">
        <v>252</v>
      </c>
      <c r="H47" s="465">
        <v>1</v>
      </c>
      <c r="I47" s="465">
        <v>1</v>
      </c>
      <c r="J47" s="422">
        <v>1445.41</v>
      </c>
      <c r="K47" s="422">
        <f>IF(F47&lt;&gt;"",H47*I47*J47,"")</f>
        <v>1445.41</v>
      </c>
      <c r="L47" s="422">
        <f>IF(K47&lt;&gt;"",IF(D47="INTERNO",0,K47*$L$14),"")</f>
        <v>144.54100000000003</v>
      </c>
      <c r="M47" s="422">
        <f>IF(K47&lt;&gt;"",IF(E47="FAT.OGGI",SUM(K47:L47)*(1/(1-$M$14)-1),L47*(1/(1-$M$14)-1)),"")</f>
        <v>372.95146913580237</v>
      </c>
      <c r="N47" s="423">
        <f>SUM(K47:M47)</f>
        <v>1962.9024691358024</v>
      </c>
      <c r="Q47" s="424">
        <f t="shared" si="30"/>
        <v>1</v>
      </c>
      <c r="R47" s="425">
        <f t="shared" si="30"/>
        <v>1</v>
      </c>
      <c r="S47" s="426">
        <v>1445.41</v>
      </c>
      <c r="T47" s="426">
        <v>1442.51</v>
      </c>
      <c r="U47" s="427">
        <f>IF(Q47&lt;&gt;"",K47-T47,"")</f>
        <v>2.9000000000000909</v>
      </c>
      <c r="V47" s="428">
        <f>IF(Q47&lt;&gt;"",0%,"")</f>
        <v>0</v>
      </c>
      <c r="W47" s="429">
        <f>IF(Q47&lt;&gt;"",V47*U47,"")</f>
        <v>0</v>
      </c>
      <c r="X47" s="429">
        <f>IF(Q47&lt;&gt;"",W47+T47,"")</f>
        <v>1442.51</v>
      </c>
      <c r="Y47" s="430">
        <f>IF(Q47&lt;&gt;"",X47+M47,"")</f>
        <v>1815.4614691358024</v>
      </c>
      <c r="Z47" s="431">
        <f>IF(Q47&lt;&gt;"",U47/K47,"")</f>
        <v>2.0063511391232181E-3</v>
      </c>
      <c r="AA47" s="432">
        <f t="shared" si="38"/>
        <v>2.7894808391551056E-2</v>
      </c>
      <c r="AB47" s="433">
        <f t="shared" si="2"/>
        <v>0</v>
      </c>
      <c r="AC47" s="434">
        <v>1442.51</v>
      </c>
      <c r="AD47" s="458">
        <v>1442.51</v>
      </c>
      <c r="AE47" s="459">
        <f>T47-AD47</f>
        <v>0</v>
      </c>
      <c r="AF47" s="460">
        <v>45860</v>
      </c>
      <c r="AH47" s="461" t="s">
        <v>294</v>
      </c>
      <c r="AI47" s="462" t="s">
        <v>295</v>
      </c>
      <c r="AQ47" s="469" t="s">
        <v>390</v>
      </c>
    </row>
    <row r="48" spans="1:43" ht="79.95" customHeight="1" x14ac:dyDescent="0.5">
      <c r="A48" s="481">
        <v>35</v>
      </c>
      <c r="B48" s="408" t="s">
        <v>245</v>
      </c>
      <c r="C48" s="482" t="s">
        <v>162</v>
      </c>
      <c r="D48" s="481" t="s">
        <v>185</v>
      </c>
      <c r="E48" s="385" t="s">
        <v>168</v>
      </c>
      <c r="F48" s="455" t="s">
        <v>209</v>
      </c>
      <c r="G48" s="456" t="s">
        <v>266</v>
      </c>
      <c r="H48" s="465">
        <v>1</v>
      </c>
      <c r="I48" s="498">
        <v>0</v>
      </c>
      <c r="J48" s="422">
        <v>250</v>
      </c>
      <c r="K48" s="422">
        <f t="shared" si="26"/>
        <v>0</v>
      </c>
      <c r="L48" s="422">
        <f t="shared" si="27"/>
        <v>0</v>
      </c>
      <c r="M48" s="422">
        <f t="shared" si="28"/>
        <v>0</v>
      </c>
      <c r="N48" s="423">
        <f t="shared" si="29"/>
        <v>0</v>
      </c>
      <c r="Q48" s="424">
        <f t="shared" si="30"/>
        <v>1</v>
      </c>
      <c r="R48" s="425">
        <v>0</v>
      </c>
      <c r="S48" s="426">
        <v>1445.21</v>
      </c>
      <c r="T48" s="426">
        <f t="shared" si="31"/>
        <v>0</v>
      </c>
      <c r="U48" s="427">
        <f t="shared" si="32"/>
        <v>0</v>
      </c>
      <c r="V48" s="428">
        <f t="shared" si="33"/>
        <v>0</v>
      </c>
      <c r="W48" s="429">
        <f t="shared" si="34"/>
        <v>0</v>
      </c>
      <c r="X48" s="429">
        <f t="shared" si="35"/>
        <v>0</v>
      </c>
      <c r="Y48" s="430">
        <f t="shared" si="36"/>
        <v>0</v>
      </c>
      <c r="Z48" s="431" t="e">
        <f t="shared" si="37"/>
        <v>#DIV/0!</v>
      </c>
      <c r="AA48" s="432">
        <f t="shared" si="38"/>
        <v>0</v>
      </c>
      <c r="AB48" s="433">
        <f t="shared" si="2"/>
        <v>0</v>
      </c>
      <c r="AC48" s="434"/>
      <c r="AH48" s="499"/>
    </row>
    <row r="49" spans="1:44" ht="79.95" customHeight="1" x14ac:dyDescent="0.5">
      <c r="A49" s="385">
        <v>36</v>
      </c>
      <c r="B49" s="408" t="s">
        <v>246</v>
      </c>
      <c r="C49" s="409" t="s">
        <v>162</v>
      </c>
      <c r="D49" s="385" t="s">
        <v>185</v>
      </c>
      <c r="E49" s="385" t="s">
        <v>168</v>
      </c>
      <c r="F49" s="455" t="s">
        <v>210</v>
      </c>
      <c r="G49" s="456" t="s">
        <v>418</v>
      </c>
      <c r="H49" s="465">
        <v>1</v>
      </c>
      <c r="I49" s="465">
        <v>1</v>
      </c>
      <c r="J49" s="422">
        <v>3800</v>
      </c>
      <c r="K49" s="422">
        <f t="shared" si="26"/>
        <v>3800</v>
      </c>
      <c r="L49" s="422">
        <f t="shared" si="27"/>
        <v>380</v>
      </c>
      <c r="M49" s="422">
        <f t="shared" si="28"/>
        <v>980.49382716049354</v>
      </c>
      <c r="N49" s="423">
        <f t="shared" si="29"/>
        <v>5160.4938271604933</v>
      </c>
      <c r="Q49" s="424">
        <f t="shared" si="30"/>
        <v>1</v>
      </c>
      <c r="R49" s="425">
        <f t="shared" si="30"/>
        <v>1</v>
      </c>
      <c r="S49" s="426">
        <v>2500</v>
      </c>
      <c r="T49" s="426">
        <v>1708</v>
      </c>
      <c r="U49" s="427">
        <f t="shared" si="32"/>
        <v>2092</v>
      </c>
      <c r="V49" s="428">
        <f t="shared" si="33"/>
        <v>0</v>
      </c>
      <c r="W49" s="429">
        <f t="shared" si="34"/>
        <v>0</v>
      </c>
      <c r="X49" s="429">
        <f t="shared" si="35"/>
        <v>1708</v>
      </c>
      <c r="Y49" s="430">
        <f t="shared" si="36"/>
        <v>2688.4938271604933</v>
      </c>
      <c r="Z49" s="431">
        <f t="shared" si="37"/>
        <v>0.55052631578947364</v>
      </c>
      <c r="AA49" s="432">
        <f t="shared" si="38"/>
        <v>3.3028771192414055E-2</v>
      </c>
      <c r="AB49" s="433">
        <f t="shared" si="2"/>
        <v>0</v>
      </c>
      <c r="AC49" s="434">
        <f>1708</f>
        <v>1708</v>
      </c>
      <c r="AD49" s="458">
        <v>2046.15</v>
      </c>
      <c r="AE49" s="459">
        <f>T49-AD49</f>
        <v>-338.15000000000009</v>
      </c>
      <c r="AF49" s="460">
        <v>45884</v>
      </c>
      <c r="AH49" s="461" t="s">
        <v>363</v>
      </c>
      <c r="AI49" s="462" t="s">
        <v>364</v>
      </c>
      <c r="AQ49" s="469" t="s">
        <v>391</v>
      </c>
    </row>
    <row r="50" spans="1:44" ht="127.95" customHeight="1" x14ac:dyDescent="0.5">
      <c r="A50" s="385">
        <v>37</v>
      </c>
      <c r="B50" s="408" t="s">
        <v>263</v>
      </c>
      <c r="C50" s="409" t="s">
        <v>162</v>
      </c>
      <c r="D50" s="385" t="s">
        <v>185</v>
      </c>
      <c r="E50" s="385" t="s">
        <v>168</v>
      </c>
      <c r="F50" s="455" t="s">
        <v>211</v>
      </c>
      <c r="G50" s="456" t="s">
        <v>265</v>
      </c>
      <c r="H50" s="465">
        <v>1</v>
      </c>
      <c r="I50" s="465">
        <v>1</v>
      </c>
      <c r="J50" s="422">
        <v>3000</v>
      </c>
      <c r="K50" s="422">
        <f t="shared" si="26"/>
        <v>3000</v>
      </c>
      <c r="L50" s="422">
        <f t="shared" si="27"/>
        <v>300</v>
      </c>
      <c r="M50" s="422">
        <f t="shared" si="28"/>
        <v>774.07407407407379</v>
      </c>
      <c r="N50" s="423">
        <f t="shared" si="29"/>
        <v>4074.0740740740739</v>
      </c>
      <c r="Q50" s="424">
        <f t="shared" si="30"/>
        <v>1</v>
      </c>
      <c r="R50" s="425">
        <f t="shared" si="30"/>
        <v>1</v>
      </c>
      <c r="S50" s="426">
        <v>2500</v>
      </c>
      <c r="T50" s="426">
        <v>25833.19</v>
      </c>
      <c r="U50" s="427">
        <f t="shared" si="32"/>
        <v>-22833.19</v>
      </c>
      <c r="V50" s="428">
        <f t="shared" si="33"/>
        <v>0</v>
      </c>
      <c r="W50" s="429">
        <f t="shared" si="34"/>
        <v>0</v>
      </c>
      <c r="X50" s="429">
        <f t="shared" si="35"/>
        <v>25833.19</v>
      </c>
      <c r="Y50" s="430">
        <f t="shared" si="36"/>
        <v>26607.264074074072</v>
      </c>
      <c r="Z50" s="500">
        <f t="shared" si="37"/>
        <v>-7.6110633333333331</v>
      </c>
      <c r="AA50" s="501">
        <f t="shared" si="38"/>
        <v>0.49955416960196658</v>
      </c>
      <c r="AB50" s="433">
        <f t="shared" si="2"/>
        <v>0</v>
      </c>
      <c r="AC50" s="434">
        <f>'CUSTOS OPERACIONAIS'!B12</f>
        <v>25833.19</v>
      </c>
      <c r="AD50" s="458">
        <v>4457.8999999999996</v>
      </c>
      <c r="AE50" s="459">
        <f>T50-AD50</f>
        <v>21375.29</v>
      </c>
      <c r="AF50" s="460">
        <v>45869</v>
      </c>
      <c r="AH50" s="461" t="s">
        <v>380</v>
      </c>
      <c r="AI50" s="462" t="s">
        <v>328</v>
      </c>
      <c r="AQ50" s="502" t="s">
        <v>394</v>
      </c>
    </row>
    <row r="51" spans="1:44" ht="103.5" customHeight="1" x14ac:dyDescent="0.5">
      <c r="A51" s="385"/>
      <c r="B51" s="408" t="s">
        <v>408</v>
      </c>
      <c r="C51" s="409"/>
      <c r="D51" s="385"/>
      <c r="E51" s="385"/>
      <c r="F51" s="503" t="s">
        <v>341</v>
      </c>
      <c r="G51" s="504" t="s">
        <v>342</v>
      </c>
      <c r="H51" s="498">
        <v>1</v>
      </c>
      <c r="I51" s="498">
        <v>1</v>
      </c>
      <c r="J51" s="505">
        <v>650</v>
      </c>
      <c r="K51" s="505">
        <f t="shared" si="26"/>
        <v>650</v>
      </c>
      <c r="L51" s="505">
        <f t="shared" si="27"/>
        <v>65</v>
      </c>
      <c r="M51" s="505">
        <f t="shared" si="28"/>
        <v>15.246913580246909</v>
      </c>
      <c r="N51" s="506">
        <f t="shared" si="29"/>
        <v>730.24691358024688</v>
      </c>
      <c r="O51" s="507"/>
      <c r="P51" s="507"/>
      <c r="Q51" s="508">
        <v>1</v>
      </c>
      <c r="R51" s="509"/>
      <c r="S51" s="505"/>
      <c r="T51" s="505">
        <v>650</v>
      </c>
      <c r="U51" s="505"/>
      <c r="V51" s="510"/>
      <c r="W51" s="505"/>
      <c r="X51" s="505">
        <v>650</v>
      </c>
      <c r="Y51" s="506"/>
      <c r="Z51" s="511"/>
      <c r="AA51" s="512">
        <f t="shared" si="38"/>
        <v>1.2569497233647036E-2</v>
      </c>
      <c r="AB51" s="513">
        <f t="shared" si="2"/>
        <v>0</v>
      </c>
      <c r="AC51" s="514">
        <v>650</v>
      </c>
      <c r="AD51" s="515"/>
      <c r="AE51" s="516"/>
      <c r="AF51" s="517"/>
      <c r="AG51" s="507"/>
      <c r="AH51" s="518"/>
      <c r="AI51" s="518"/>
      <c r="AJ51" s="507"/>
      <c r="AK51" s="507"/>
      <c r="AL51" s="507"/>
      <c r="AM51" s="507"/>
      <c r="AN51" s="507"/>
      <c r="AO51" s="507"/>
      <c r="AP51" s="507"/>
      <c r="AQ51" s="546" t="s">
        <v>387</v>
      </c>
      <c r="AR51" s="547" t="s">
        <v>419</v>
      </c>
    </row>
    <row r="52" spans="1:44" ht="82.95" customHeight="1" x14ac:dyDescent="0.5">
      <c r="A52" s="385"/>
      <c r="B52" s="408" t="s">
        <v>409</v>
      </c>
      <c r="C52" s="409"/>
      <c r="D52" s="385"/>
      <c r="E52" s="385"/>
      <c r="F52" s="519" t="s">
        <v>256</v>
      </c>
      <c r="G52" s="520" t="s">
        <v>343</v>
      </c>
      <c r="H52" s="521">
        <v>2</v>
      </c>
      <c r="I52" s="521">
        <v>2</v>
      </c>
      <c r="J52" s="522">
        <v>133.65</v>
      </c>
      <c r="K52" s="522">
        <f t="shared" si="26"/>
        <v>534.6</v>
      </c>
      <c r="L52" s="522">
        <f t="shared" si="27"/>
        <v>53.460000000000008</v>
      </c>
      <c r="M52" s="522">
        <f t="shared" si="28"/>
        <v>12.539999999999997</v>
      </c>
      <c r="N52" s="523">
        <f t="shared" si="29"/>
        <v>600.6</v>
      </c>
      <c r="O52" s="507"/>
      <c r="P52" s="507"/>
      <c r="Q52" s="508">
        <v>2</v>
      </c>
      <c r="R52" s="509"/>
      <c r="S52" s="505"/>
      <c r="T52" s="505">
        <v>2467.6799999999998</v>
      </c>
      <c r="U52" s="505"/>
      <c r="V52" s="510"/>
      <c r="W52" s="505"/>
      <c r="X52" s="505">
        <f>T52</f>
        <v>2467.6799999999998</v>
      </c>
      <c r="Y52" s="506"/>
      <c r="Z52" s="511"/>
      <c r="AA52" s="512">
        <f t="shared" si="38"/>
        <v>4.7719226051578641E-2</v>
      </c>
      <c r="AB52" s="513">
        <f t="shared" si="2"/>
        <v>0</v>
      </c>
      <c r="AC52" s="514">
        <v>2467.6799999999998</v>
      </c>
      <c r="AD52" s="515"/>
      <c r="AE52" s="516"/>
      <c r="AF52" s="517"/>
      <c r="AG52" s="507"/>
      <c r="AH52" s="518"/>
      <c r="AI52" s="518"/>
      <c r="AJ52" s="507"/>
      <c r="AK52" s="507"/>
      <c r="AL52" s="507"/>
      <c r="AM52" s="507"/>
      <c r="AN52" s="507"/>
      <c r="AO52" s="507"/>
      <c r="AP52" s="507"/>
      <c r="AQ52" s="546" t="s">
        <v>386</v>
      </c>
      <c r="AR52" s="547" t="s">
        <v>419</v>
      </c>
    </row>
    <row r="53" spans="1:44" ht="79.05" customHeight="1" x14ac:dyDescent="0.5">
      <c r="A53" s="385"/>
      <c r="B53" s="408" t="s">
        <v>410</v>
      </c>
      <c r="C53" s="409"/>
      <c r="D53" s="385"/>
      <c r="E53" s="385"/>
      <c r="F53" s="503" t="s">
        <v>344</v>
      </c>
      <c r="G53" s="504" t="s">
        <v>345</v>
      </c>
      <c r="H53" s="498">
        <v>1</v>
      </c>
      <c r="I53" s="498">
        <v>2</v>
      </c>
      <c r="J53" s="505">
        <v>878</v>
      </c>
      <c r="K53" s="505">
        <f t="shared" si="26"/>
        <v>1756</v>
      </c>
      <c r="L53" s="505">
        <f t="shared" si="27"/>
        <v>175.60000000000002</v>
      </c>
      <c r="M53" s="505">
        <f t="shared" si="28"/>
        <v>41.190123456790118</v>
      </c>
      <c r="N53" s="506">
        <f t="shared" si="29"/>
        <v>1972.7901234567901</v>
      </c>
      <c r="O53" s="507"/>
      <c r="P53" s="507"/>
      <c r="Q53" s="508">
        <v>1</v>
      </c>
      <c r="R53" s="509"/>
      <c r="S53" s="505"/>
      <c r="T53" s="505">
        <v>1756</v>
      </c>
      <c r="U53" s="505"/>
      <c r="V53" s="510"/>
      <c r="W53" s="505"/>
      <c r="X53" s="505">
        <f>T53</f>
        <v>1756</v>
      </c>
      <c r="Y53" s="506"/>
      <c r="Z53" s="511"/>
      <c r="AA53" s="512">
        <f t="shared" si="38"/>
        <v>3.3956980218898765E-2</v>
      </c>
      <c r="AB53" s="513">
        <f>X53-AC53</f>
        <v>0</v>
      </c>
      <c r="AC53" s="514">
        <v>1756</v>
      </c>
      <c r="AD53" s="515"/>
      <c r="AE53" s="516"/>
      <c r="AF53" s="517"/>
      <c r="AG53" s="507"/>
      <c r="AH53" s="518"/>
      <c r="AI53" s="518"/>
      <c r="AJ53" s="507"/>
      <c r="AK53" s="507"/>
      <c r="AL53" s="507"/>
      <c r="AM53" s="507"/>
      <c r="AN53" s="507"/>
      <c r="AO53" s="507"/>
      <c r="AP53" s="507"/>
      <c r="AQ53" s="545" t="s">
        <v>369</v>
      </c>
      <c r="AR53" s="547" t="s">
        <v>419</v>
      </c>
    </row>
    <row r="54" spans="1:44" ht="88.95" customHeight="1" thickBot="1" x14ac:dyDescent="0.55000000000000004">
      <c r="A54" s="385"/>
      <c r="B54" s="408" t="s">
        <v>411</v>
      </c>
      <c r="C54" s="409"/>
      <c r="D54" s="385"/>
      <c r="E54" s="385"/>
      <c r="F54" s="503" t="s">
        <v>346</v>
      </c>
      <c r="G54" s="504" t="s">
        <v>354</v>
      </c>
      <c r="H54" s="498">
        <v>1</v>
      </c>
      <c r="I54" s="498">
        <v>1</v>
      </c>
      <c r="J54" s="505">
        <v>4757.62</v>
      </c>
      <c r="K54" s="505">
        <f>IF(F54&lt;&gt;"",H54*I54*J54,"")</f>
        <v>4757.62</v>
      </c>
      <c r="L54" s="505">
        <f>IF(K54&lt;&gt;"",IF(D54="INTERNO",0,K54*$L$14),"")</f>
        <v>475.762</v>
      </c>
      <c r="M54" s="505">
        <f>IF(K54&lt;&gt;"",IF(E54="FAT.OGGI",SUM(K54:L54)*(1/(1-$M$14)-1),L54*(1/(1-$M$14)-1)),"")</f>
        <v>111.59849382716047</v>
      </c>
      <c r="N54" s="506">
        <f>SUM(K54:M54)</f>
        <v>5344.98049382716</v>
      </c>
      <c r="O54" s="507"/>
      <c r="P54" s="507"/>
      <c r="Q54" s="508">
        <v>1</v>
      </c>
      <c r="R54" s="509"/>
      <c r="S54" s="505"/>
      <c r="T54" s="505">
        <v>4055.11</v>
      </c>
      <c r="U54" s="505"/>
      <c r="V54" s="510"/>
      <c r="W54" s="505"/>
      <c r="X54" s="505">
        <f>T54</f>
        <v>4055.11</v>
      </c>
      <c r="Y54" s="506"/>
      <c r="Z54" s="511"/>
      <c r="AA54" s="512">
        <f t="shared" si="38"/>
        <v>7.8416452195591443E-2</v>
      </c>
      <c r="AB54" s="513">
        <f>X54-AC54</f>
        <v>0</v>
      </c>
      <c r="AC54" s="514">
        <v>4055.11</v>
      </c>
      <c r="AD54" s="515"/>
      <c r="AE54" s="516"/>
      <c r="AF54" s="517"/>
      <c r="AG54" s="507"/>
      <c r="AH54" s="518"/>
      <c r="AI54" s="518"/>
      <c r="AJ54" s="507"/>
      <c r="AK54" s="507"/>
      <c r="AL54" s="507"/>
      <c r="AM54" s="507"/>
      <c r="AN54" s="507"/>
      <c r="AO54" s="507"/>
      <c r="AP54" s="507"/>
      <c r="AQ54" s="545" t="s">
        <v>395</v>
      </c>
      <c r="AR54" s="547" t="s">
        <v>419</v>
      </c>
    </row>
    <row r="55" spans="1:44" ht="54.45" customHeight="1" x14ac:dyDescent="0.5">
      <c r="A55" s="385">
        <v>38</v>
      </c>
      <c r="B55" s="408"/>
      <c r="C55" s="409" t="s">
        <v>178</v>
      </c>
      <c r="D55" s="385"/>
      <c r="E55" s="385"/>
      <c r="F55" s="582" t="s">
        <v>213</v>
      </c>
      <c r="G55" s="583"/>
      <c r="H55" s="583"/>
      <c r="I55" s="583"/>
      <c r="J55" s="583"/>
      <c r="K55" s="448">
        <f>SUM(K40:K50)</f>
        <v>23335.41</v>
      </c>
      <c r="L55" s="448">
        <f>SUM(L40:L50)</f>
        <v>2333.5410000000002</v>
      </c>
      <c r="M55" s="448">
        <f>SUM(M40:M50)</f>
        <v>6021.1119629629611</v>
      </c>
      <c r="N55" s="449">
        <f>SUM(N40:N50)</f>
        <v>31690.062962962962</v>
      </c>
      <c r="Q55" s="582" t="s">
        <v>213</v>
      </c>
      <c r="R55" s="583"/>
      <c r="S55" s="583"/>
      <c r="T55" s="450">
        <f>SUM(T40:T54)</f>
        <v>51712.49</v>
      </c>
      <c r="U55" s="451">
        <f>SUM(U40:U50)</f>
        <v>-19448.289999999997</v>
      </c>
      <c r="V55" s="452"/>
      <c r="W55" s="452"/>
      <c r="X55" s="453"/>
      <c r="Y55" s="454">
        <f>IF(Q55&lt;&gt;"",X55+M55,"")</f>
        <v>6021.1119629629611</v>
      </c>
      <c r="Z55" s="524" t="s">
        <v>216</v>
      </c>
      <c r="AA55" s="525" t="s">
        <v>217</v>
      </c>
      <c r="AB55" s="433"/>
      <c r="AC55" s="434"/>
      <c r="AQ55" s="526"/>
    </row>
    <row r="56" spans="1:44" ht="64.05" customHeight="1" thickBot="1" x14ac:dyDescent="0.55000000000000004">
      <c r="A56" s="385">
        <v>39</v>
      </c>
      <c r="B56" s="408"/>
      <c r="C56" s="409" t="s">
        <v>214</v>
      </c>
      <c r="D56" s="385"/>
      <c r="E56" s="385"/>
      <c r="F56" s="527" t="s">
        <v>215</v>
      </c>
      <c r="G56" s="528"/>
      <c r="H56" s="528"/>
      <c r="I56" s="528"/>
      <c r="J56" s="528"/>
      <c r="K56" s="529">
        <f>SUM(K17:K21)+SUM(K25:K27)+SUM(K31:K36)+SUM(K40:K50)</f>
        <v>100854.91</v>
      </c>
      <c r="L56" s="529">
        <f>SUM(L17:L21)+SUM(L25:L27)+SUM(L31:L36)+SUM(L40:L50)</f>
        <v>5215.491</v>
      </c>
      <c r="M56" s="529">
        <f>SUM(M17:M21)+SUM(M25:M27)+SUM(M31:M36)+SUM(M40:M50)</f>
        <v>24880.711345679007</v>
      </c>
      <c r="N56" s="530">
        <f>SUM(N17:N21)+SUM(N25:N27)+SUM(N31:N36)+SUM(N40:N50)</f>
        <v>130951.11234567899</v>
      </c>
      <c r="Q56" s="531" t="s">
        <v>43</v>
      </c>
      <c r="R56" s="532"/>
      <c r="S56" s="528"/>
      <c r="T56" s="529">
        <f>SUM(T17:T21)+SUM(T25:T27)+SUM(T31:T36)+SUM(T40:T50)</f>
        <v>64983.7</v>
      </c>
      <c r="U56" s="529">
        <f>SUM(U17:U21)+SUM(U25:U27)+SUM(U31:U36)+SUM(U40:U50)</f>
        <v>35871.210000000006</v>
      </c>
      <c r="V56" s="528"/>
      <c r="W56" s="528"/>
      <c r="X56" s="529">
        <f>SUM(X17:X21)+SUM(X25:X27)+SUM(X31:X36)+SUM(X40:X54)</f>
        <v>73912.489999999991</v>
      </c>
      <c r="Y56" s="530">
        <f>SUM(Y17:Y21)+SUM(Y25:Y27)+SUM(Y31:Y36)+SUM(Y40:Y50)</f>
        <v>88331.74467901235</v>
      </c>
      <c r="Z56" s="533">
        <f>IF(Q56&lt;&gt;"",(N56-Y56)/N56,"")</f>
        <v>0.32546014236337228</v>
      </c>
      <c r="AA56" s="534">
        <f>IF(Z56&lt;&gt;"",(N56-Y56),"")</f>
        <v>42619.367666666643</v>
      </c>
      <c r="AB56" s="433">
        <f>SUM(AB17:AB55)</f>
        <v>0</v>
      </c>
      <c r="AC56" s="434">
        <f>SUM(AC17:AC55)</f>
        <v>73912.489999999991</v>
      </c>
    </row>
    <row r="57" spans="1:44" x14ac:dyDescent="0.5">
      <c r="AB57" s="381"/>
      <c r="AC57" s="381"/>
    </row>
    <row r="58" spans="1:44" x14ac:dyDescent="0.5">
      <c r="AB58" s="381"/>
      <c r="AC58" s="381"/>
    </row>
    <row r="59" spans="1:44" x14ac:dyDescent="0.5">
      <c r="AB59" s="381"/>
      <c r="AC59" s="381"/>
    </row>
    <row r="60" spans="1:44" x14ac:dyDescent="0.5">
      <c r="L60" s="535">
        <f>K56+L56</f>
        <v>106070.401</v>
      </c>
      <c r="AB60" s="536">
        <v>0</v>
      </c>
      <c r="AC60" s="537" t="s">
        <v>157</v>
      </c>
    </row>
    <row r="61" spans="1:44" x14ac:dyDescent="0.5">
      <c r="N61" s="538"/>
      <c r="AB61" s="539">
        <f>L60*0.15</f>
        <v>15910.560149999999</v>
      </c>
      <c r="AC61" s="540" t="s">
        <v>375</v>
      </c>
    </row>
    <row r="62" spans="1:44" x14ac:dyDescent="0.5">
      <c r="AB62" s="539">
        <f>X56+AB61</f>
        <v>89823.050149999995</v>
      </c>
      <c r="AC62" s="540" t="s">
        <v>376</v>
      </c>
    </row>
    <row r="63" spans="1:44" x14ac:dyDescent="0.5">
      <c r="AB63" s="541">
        <f>N56-AB62</f>
        <v>41128.062195678998</v>
      </c>
      <c r="AC63" s="542" t="s">
        <v>377</v>
      </c>
    </row>
    <row r="64" spans="1:44" x14ac:dyDescent="0.5">
      <c r="AB64" s="543">
        <f>AB63*100%/N56</f>
        <v>0.31407188116975249</v>
      </c>
      <c r="AC64" s="544"/>
    </row>
  </sheetData>
  <mergeCells count="31">
    <mergeCell ref="F1:G1"/>
    <mergeCell ref="F2:G2"/>
    <mergeCell ref="Q12:T12"/>
    <mergeCell ref="U12:X12"/>
    <mergeCell ref="AD12:AF12"/>
    <mergeCell ref="AH12:AI12"/>
    <mergeCell ref="F22:J22"/>
    <mergeCell ref="Q22:S22"/>
    <mergeCell ref="AB14:AC14"/>
    <mergeCell ref="F15:N15"/>
    <mergeCell ref="Q15:Y15"/>
    <mergeCell ref="F16:K16"/>
    <mergeCell ref="Q16:Y16"/>
    <mergeCell ref="F23:N23"/>
    <mergeCell ref="Q23:Y23"/>
    <mergeCell ref="F24:K24"/>
    <mergeCell ref="Q24:Y24"/>
    <mergeCell ref="F28:J28"/>
    <mergeCell ref="Q28:S28"/>
    <mergeCell ref="F29:N29"/>
    <mergeCell ref="Q29:Y29"/>
    <mergeCell ref="F30:K30"/>
    <mergeCell ref="Q30:Y30"/>
    <mergeCell ref="F37:J37"/>
    <mergeCell ref="Q37:S37"/>
    <mergeCell ref="F38:N38"/>
    <mergeCell ref="Q38:Y38"/>
    <mergeCell ref="F39:K39"/>
    <mergeCell ref="Q39:Y39"/>
    <mergeCell ref="F55:J55"/>
    <mergeCell ref="Q55:S55"/>
  </mergeCells>
  <phoneticPr fontId="38" type="noConversion"/>
  <dataValidations count="3">
    <dataValidation type="list" allowBlank="1" showInputMessage="1" showErrorMessage="1" sqref="E56" xr:uid="{E3AA440B-87CA-4A9C-AB9A-5B8CB47CF205}">
      <formula1>"FAT.OGGI,FAT.CLIENTE "</formula1>
    </dataValidation>
    <dataValidation type="list" allowBlank="1" showInputMessage="1" showErrorMessage="1" sqref="E17:E21 E25:E27 E40:E54 E31:E36" xr:uid="{E864BA3B-C2FA-4AAC-A288-39CAE957410A}">
      <formula1>"FAT.OGGI,FAT.CLIENTE"</formula1>
    </dataValidation>
    <dataValidation type="list" allowBlank="1" showInputMessage="1" showErrorMessage="1" sqref="D17:D21 D56 D25:D27 D40:D54 D31:D36" xr:uid="{66D87EC3-0718-4F4E-977E-714FA04D5FBA}">
      <formula1>"INTERNO,OPERACIONAL"</formula1>
    </dataValidation>
  </dataValidations>
  <pageMargins left="0.51181102362204722" right="0.51181102362204722" top="0.78740157480314965" bottom="0.78740157480314965" header="0.31496062992125984" footer="0.31496062992125984"/>
  <pageSetup paperSize="8" scale="28" fitToHeight="0" orientation="portrait" horizontalDpi="360" verticalDpi="36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9D4D0-EBE5-41D6-90B8-D5D0C79EEEB7}">
  <dimension ref="B3:C13"/>
  <sheetViews>
    <sheetView workbookViewId="0">
      <selection activeCell="F12" sqref="F12"/>
    </sheetView>
  </sheetViews>
  <sheetFormatPr defaultRowHeight="14.4" x14ac:dyDescent="0.3"/>
  <cols>
    <col min="2" max="2" width="27.77734375" customWidth="1"/>
    <col min="3" max="3" width="33.21875" customWidth="1"/>
  </cols>
  <sheetData>
    <row r="3" spans="2:3" x14ac:dyDescent="0.3">
      <c r="B3" s="599" t="s">
        <v>383</v>
      </c>
      <c r="C3" s="599"/>
    </row>
    <row r="4" spans="2:3" x14ac:dyDescent="0.3">
      <c r="B4" s="330"/>
      <c r="C4" s="330"/>
    </row>
    <row r="5" spans="2:3" x14ac:dyDescent="0.3">
      <c r="B5" s="332">
        <v>338.15</v>
      </c>
      <c r="C5" s="330" t="s">
        <v>393</v>
      </c>
    </row>
    <row r="6" spans="2:3" x14ac:dyDescent="0.3">
      <c r="B6" s="333">
        <v>1500</v>
      </c>
      <c r="C6" s="330" t="s">
        <v>405</v>
      </c>
    </row>
    <row r="7" spans="2:3" x14ac:dyDescent="0.3">
      <c r="B7" s="332">
        <v>3009.35</v>
      </c>
      <c r="C7" s="330" t="s">
        <v>385</v>
      </c>
    </row>
    <row r="8" spans="2:3" x14ac:dyDescent="0.3">
      <c r="B8" s="334">
        <v>14000</v>
      </c>
      <c r="C8" s="330" t="s">
        <v>402</v>
      </c>
    </row>
    <row r="9" spans="2:3" x14ac:dyDescent="0.3">
      <c r="B9" s="334">
        <v>5000</v>
      </c>
      <c r="C9" s="330" t="s">
        <v>403</v>
      </c>
    </row>
    <row r="10" spans="2:3" x14ac:dyDescent="0.3">
      <c r="B10" s="334">
        <v>1000</v>
      </c>
      <c r="C10" s="330" t="s">
        <v>404</v>
      </c>
    </row>
    <row r="11" spans="2:3" x14ac:dyDescent="0.3">
      <c r="B11" s="334">
        <v>985.69</v>
      </c>
      <c r="C11" s="330" t="s">
        <v>401</v>
      </c>
    </row>
    <row r="12" spans="2:3" x14ac:dyDescent="0.3">
      <c r="B12" s="335">
        <f>SUM(B5:B11)</f>
        <v>25833.19</v>
      </c>
      <c r="C12" s="336"/>
    </row>
    <row r="13" spans="2:3" x14ac:dyDescent="0.3">
      <c r="B13" s="331"/>
      <c r="C13" s="331"/>
    </row>
  </sheetData>
  <mergeCells count="1">
    <mergeCell ref="B3:C3"/>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8CDAC-413F-4BCB-B8E6-0D56D1C31812}">
  <sheetPr codeName="Planilha13">
    <tabColor rgb="FFFFFFFF"/>
    <pageSetUpPr autoPageBreaks="0"/>
  </sheetPr>
  <dimension ref="A1:AL31"/>
  <sheetViews>
    <sheetView showGridLines="0" zoomScale="80" zoomScaleNormal="80" workbookViewId="0">
      <pane ySplit="1" topLeftCell="A2" activePane="bottomLeft" state="frozen"/>
      <selection activeCell="F37" sqref="F37:J37"/>
      <selection pane="bottomLeft" activeCell="J11" sqref="J11"/>
    </sheetView>
  </sheetViews>
  <sheetFormatPr defaultRowHeight="14.4" x14ac:dyDescent="0.3"/>
  <cols>
    <col min="1" max="1" width="9.33203125" hidden="1" customWidth="1"/>
    <col min="2" max="2" width="12" customWidth="1"/>
    <col min="3" max="3" width="14.77734375" hidden="1" customWidth="1"/>
    <col min="4" max="4" width="15.77734375" hidden="1" customWidth="1"/>
    <col min="5" max="5" width="14.88671875" hidden="1" customWidth="1"/>
    <col min="6" max="6" width="44.77734375" customWidth="1"/>
    <col min="7" max="7" width="49.6640625" customWidth="1"/>
    <col min="8" max="8" width="7.77734375" customWidth="1"/>
    <col min="9" max="9" width="7.21875" customWidth="1"/>
    <col min="10" max="10" width="20.21875" customWidth="1"/>
    <col min="11" max="11" width="25.77734375" customWidth="1"/>
    <col min="12" max="12" width="27" customWidth="1"/>
    <col min="13" max="13" width="24.88671875" customWidth="1"/>
    <col min="14" max="14" width="25.77734375" customWidth="1"/>
    <col min="15" max="15" width="3.21875" hidden="1" customWidth="1"/>
    <col min="16" max="16" width="1.88671875" hidden="1" customWidth="1"/>
    <col min="17" max="17" width="20.77734375" customWidth="1"/>
    <col min="18" max="18" width="8.21875" hidden="1" customWidth="1"/>
    <col min="19" max="19" width="22.88671875" customWidth="1"/>
    <col min="20" max="20" width="28.77734375" hidden="1" customWidth="1"/>
    <col min="21" max="23" width="28.21875" hidden="1" customWidth="1"/>
    <col min="24" max="24" width="22.5546875" customWidth="1"/>
    <col min="25" max="25" width="27.77734375" hidden="1" customWidth="1"/>
    <col min="26" max="26" width="18.5546875" hidden="1" customWidth="1"/>
    <col min="27" max="27" width="27.77734375" hidden="1" customWidth="1"/>
    <col min="28" max="28" width="23.77734375" customWidth="1"/>
    <col min="29" max="29" width="24.33203125" customWidth="1"/>
    <col min="30" max="31" width="33" hidden="1" customWidth="1"/>
    <col min="32" max="32" width="28" hidden="1" customWidth="1"/>
    <col min="33" max="33" width="1.21875" hidden="1" customWidth="1"/>
    <col min="34" max="34" width="81.5546875" hidden="1" customWidth="1"/>
    <col min="35" max="35" width="36.77734375" hidden="1" customWidth="1"/>
    <col min="36" max="36" width="1.5546875" hidden="1" customWidth="1"/>
    <col min="37" max="37" width="20.21875" hidden="1" customWidth="1"/>
    <col min="38" max="38" width="25.21875" hidden="1" customWidth="1"/>
    <col min="39" max="39" width="24.77734375" bestFit="1" customWidth="1"/>
    <col min="41" max="41" width="21.21875" customWidth="1"/>
  </cols>
  <sheetData>
    <row r="1" spans="1:37" ht="49.5" customHeight="1" x14ac:dyDescent="0.3">
      <c r="B1" s="58"/>
      <c r="C1" s="59"/>
      <c r="D1" s="59"/>
      <c r="F1" s="588" t="s">
        <v>127</v>
      </c>
      <c r="G1" s="588"/>
    </row>
    <row r="2" spans="1:37" ht="24.75" customHeight="1" x14ac:dyDescent="0.3">
      <c r="B2" s="57"/>
      <c r="D2" s="59"/>
      <c r="F2" s="589" t="s">
        <v>0</v>
      </c>
      <c r="G2" s="589"/>
    </row>
    <row r="3" spans="1:37" ht="18.600000000000001" thickBot="1" x14ac:dyDescent="0.4">
      <c r="B3" s="60"/>
      <c r="F3" s="33"/>
      <c r="G3" s="33"/>
    </row>
    <row r="4" spans="1:37" ht="18" x14ac:dyDescent="0.3">
      <c r="F4" s="159" t="s">
        <v>236</v>
      </c>
      <c r="G4" s="160"/>
    </row>
    <row r="5" spans="1:37" ht="18" x14ac:dyDescent="0.3">
      <c r="F5" s="161" t="s">
        <v>237</v>
      </c>
      <c r="G5" s="162"/>
    </row>
    <row r="6" spans="1:37" ht="18" x14ac:dyDescent="0.3">
      <c r="F6" s="161" t="s">
        <v>238</v>
      </c>
      <c r="G6" s="163"/>
    </row>
    <row r="7" spans="1:37" ht="21.75" customHeight="1" x14ac:dyDescent="0.3">
      <c r="F7" s="161" t="s">
        <v>239</v>
      </c>
      <c r="G7" s="163"/>
    </row>
    <row r="8" spans="1:37" ht="18" x14ac:dyDescent="0.3">
      <c r="F8" s="161" t="s">
        <v>240</v>
      </c>
      <c r="G8" s="260"/>
    </row>
    <row r="9" spans="1:37" ht="18" x14ac:dyDescent="0.3">
      <c r="F9" s="161" t="s">
        <v>241</v>
      </c>
      <c r="G9" s="163"/>
      <c r="M9">
        <v>0.80469999999999997</v>
      </c>
    </row>
    <row r="10" spans="1:37" ht="27" customHeight="1" x14ac:dyDescent="0.3">
      <c r="F10" s="161" t="s">
        <v>242</v>
      </c>
      <c r="G10" s="163"/>
      <c r="M10">
        <f>1-M9</f>
        <v>0.19530000000000003</v>
      </c>
    </row>
    <row r="11" spans="1:37" ht="18.600000000000001" thickBot="1" x14ac:dyDescent="0.35">
      <c r="F11" s="164" t="s">
        <v>243</v>
      </c>
      <c r="G11" s="165"/>
    </row>
    <row r="12" spans="1:37" ht="16.8" thickBot="1" x14ac:dyDescent="0.35">
      <c r="B12" s="1"/>
      <c r="M12" s="27"/>
      <c r="Q12" s="613" t="s">
        <v>1</v>
      </c>
      <c r="R12" s="614"/>
      <c r="S12" s="614"/>
      <c r="T12" s="615"/>
      <c r="U12" s="616" t="s">
        <v>2</v>
      </c>
      <c r="V12" s="617"/>
      <c r="W12" s="617"/>
      <c r="X12" s="618"/>
      <c r="Y12" s="29" t="s">
        <v>56</v>
      </c>
      <c r="Z12" s="30" t="e">
        <f>(1/(1-#REF!))-1</f>
        <v>#REF!</v>
      </c>
      <c r="AD12" s="619" t="s">
        <v>3</v>
      </c>
      <c r="AE12" s="620"/>
      <c r="AF12" s="621"/>
      <c r="AH12" s="600" t="s">
        <v>58</v>
      </c>
      <c r="AI12" s="601"/>
      <c r="AK12" s="34" t="s">
        <v>71</v>
      </c>
    </row>
    <row r="13" spans="1:37" ht="18.600000000000001" thickBot="1" x14ac:dyDescent="0.4">
      <c r="A13" s="31" t="s">
        <v>4</v>
      </c>
      <c r="B13" s="32" t="s">
        <v>5</v>
      </c>
      <c r="C13" s="31" t="s">
        <v>6</v>
      </c>
      <c r="D13" s="31" t="s">
        <v>7</v>
      </c>
      <c r="E13" s="31" t="s">
        <v>8</v>
      </c>
      <c r="M13" s="28">
        <v>0.81</v>
      </c>
    </row>
    <row r="14" spans="1:37" ht="33" thickBot="1" x14ac:dyDescent="0.35">
      <c r="A14" s="62">
        <v>0</v>
      </c>
      <c r="B14" s="63"/>
      <c r="C14" s="64"/>
      <c r="D14" s="61"/>
      <c r="E14" s="61"/>
      <c r="F14" s="108" t="s">
        <v>130</v>
      </c>
      <c r="G14" s="109" t="s">
        <v>131</v>
      </c>
      <c r="H14" s="110" t="s">
        <v>132</v>
      </c>
      <c r="I14" s="110" t="s">
        <v>133</v>
      </c>
      <c r="J14" s="111" t="s">
        <v>134</v>
      </c>
      <c r="K14" s="112" t="s">
        <v>9</v>
      </c>
      <c r="L14" s="113">
        <v>0.1</v>
      </c>
      <c r="M14" s="114">
        <f>1-M13</f>
        <v>0.18999999999999995</v>
      </c>
      <c r="N14" s="115" t="s">
        <v>128</v>
      </c>
      <c r="Q14" s="69" t="s">
        <v>135</v>
      </c>
      <c r="R14" s="70" t="s">
        <v>136</v>
      </c>
      <c r="S14" s="71" t="s">
        <v>137</v>
      </c>
      <c r="T14" s="72" t="s">
        <v>138</v>
      </c>
      <c r="U14" s="73" t="s">
        <v>139</v>
      </c>
      <c r="V14" s="74" t="s">
        <v>140</v>
      </c>
      <c r="W14" s="75" t="s">
        <v>141</v>
      </c>
      <c r="X14" s="75" t="s">
        <v>142</v>
      </c>
      <c r="Y14" s="76" t="s">
        <v>143</v>
      </c>
      <c r="Z14" s="65" t="s">
        <v>144</v>
      </c>
      <c r="AA14" s="190" t="s">
        <v>129</v>
      </c>
      <c r="AB14" s="606" t="s">
        <v>70</v>
      </c>
      <c r="AC14" s="606"/>
      <c r="AD14" s="195" t="s">
        <v>145</v>
      </c>
      <c r="AE14" s="66" t="s">
        <v>146</v>
      </c>
      <c r="AF14" s="66" t="s">
        <v>33</v>
      </c>
      <c r="AH14" s="67" t="s">
        <v>147</v>
      </c>
      <c r="AI14" s="68" t="s">
        <v>148</v>
      </c>
      <c r="AJ14" t="s">
        <v>149</v>
      </c>
      <c r="AK14" t="s">
        <v>149</v>
      </c>
    </row>
    <row r="15" spans="1:37" ht="21.6" thickBot="1" x14ac:dyDescent="0.45">
      <c r="A15" s="61">
        <v>1</v>
      </c>
      <c r="B15" s="84">
        <v>1</v>
      </c>
      <c r="C15" s="83" t="s">
        <v>154</v>
      </c>
      <c r="D15" s="61"/>
      <c r="E15" s="61"/>
      <c r="F15" s="607"/>
      <c r="G15" s="608"/>
      <c r="H15" s="608"/>
      <c r="I15" s="608"/>
      <c r="J15" s="608"/>
      <c r="K15" s="608"/>
      <c r="L15" s="608"/>
      <c r="M15" s="608"/>
      <c r="N15" s="609"/>
      <c r="Q15" s="610" t="str">
        <f>IF(F15&lt;&gt;"",F15,"")</f>
        <v/>
      </c>
      <c r="R15" s="610"/>
      <c r="S15" s="610"/>
      <c r="T15" s="610"/>
      <c r="U15" s="610"/>
      <c r="V15" s="610"/>
      <c r="W15" s="610"/>
      <c r="X15" s="610"/>
      <c r="Y15" s="610"/>
      <c r="AB15" s="261"/>
      <c r="AC15" s="261"/>
    </row>
    <row r="16" spans="1:37" ht="22.2" x14ac:dyDescent="0.35">
      <c r="A16" s="61">
        <v>2</v>
      </c>
      <c r="B16" s="84" t="s">
        <v>156</v>
      </c>
      <c r="C16" s="83" t="s">
        <v>155</v>
      </c>
      <c r="D16" s="61"/>
      <c r="E16" s="61"/>
      <c r="F16" s="602"/>
      <c r="G16" s="603"/>
      <c r="H16" s="603"/>
      <c r="I16" s="603"/>
      <c r="J16" s="603"/>
      <c r="K16" s="603"/>
      <c r="L16" s="85" t="s">
        <v>157</v>
      </c>
      <c r="M16" s="85" t="s">
        <v>158</v>
      </c>
      <c r="N16" s="116" t="s">
        <v>128</v>
      </c>
      <c r="Q16" s="611" t="str">
        <f>IF(F16&lt;&gt;"",F16,"")</f>
        <v/>
      </c>
      <c r="R16" s="612"/>
      <c r="S16" s="612"/>
      <c r="T16" s="612"/>
      <c r="U16" s="612"/>
      <c r="V16" s="612"/>
      <c r="W16" s="612"/>
      <c r="X16" s="612"/>
      <c r="Y16" s="612"/>
      <c r="Z16" s="86" t="s">
        <v>159</v>
      </c>
      <c r="AA16" s="191" t="s">
        <v>129</v>
      </c>
      <c r="AB16" s="258" t="s">
        <v>150</v>
      </c>
      <c r="AC16" s="259" t="s">
        <v>151</v>
      </c>
    </row>
    <row r="17" spans="1:29" ht="37.5" customHeight="1" x14ac:dyDescent="0.4">
      <c r="A17" s="61">
        <v>3</v>
      </c>
      <c r="B17" s="84" t="s">
        <v>163</v>
      </c>
      <c r="C17" s="83" t="s">
        <v>162</v>
      </c>
      <c r="D17" s="61" t="s">
        <v>167</v>
      </c>
      <c r="E17" s="61" t="s">
        <v>186</v>
      </c>
      <c r="F17" s="103" t="s">
        <v>219</v>
      </c>
      <c r="G17" s="88" t="s">
        <v>220</v>
      </c>
      <c r="H17" s="82">
        <v>110</v>
      </c>
      <c r="I17" s="104">
        <v>1</v>
      </c>
      <c r="J17" s="87">
        <v>1885.15</v>
      </c>
      <c r="K17" s="87">
        <f>IF(F17&lt;&gt;"",H17*I17*J17,"")</f>
        <v>207366.5</v>
      </c>
      <c r="L17" s="87">
        <f>IF(K17&lt;&gt;"",IF(D17="INTERNO",0,K17*$L$14),"")</f>
        <v>0</v>
      </c>
      <c r="M17" s="87">
        <f>IF(K17&lt;&gt;"",IF(E17="FAT.OGGI",SUM(K17:L17)*(1/(1-$M$14)-1),L17*(1/(1-$M$14)-1)),"")</f>
        <v>0</v>
      </c>
      <c r="N17" s="102">
        <f>SUM(K17:M17)</f>
        <v>207366.5</v>
      </c>
      <c r="Q17" s="123">
        <f t="shared" ref="Q17:R21" si="0">IF(H17&lt;&gt;"",H17,"")</f>
        <v>110</v>
      </c>
      <c r="R17" s="124">
        <v>0</v>
      </c>
      <c r="S17" s="125">
        <v>1761.818182</v>
      </c>
      <c r="T17" s="125">
        <f>IF(Q17&lt;&gt;"",Q17*R17*S17,"")</f>
        <v>0</v>
      </c>
      <c r="U17" s="126">
        <f>IF(Q17&lt;&gt;"",K17-T17,"")</f>
        <v>207366.5</v>
      </c>
      <c r="V17" s="127">
        <f>IF(Q17&lt;&gt;"",0%,"")</f>
        <v>0</v>
      </c>
      <c r="W17" s="93">
        <f>IF(Q17&lt;&gt;"",V17*U17,"")</f>
        <v>0</v>
      </c>
      <c r="X17" s="93">
        <f>IF(Q17&lt;&gt;"",W17+T17,"")</f>
        <v>0</v>
      </c>
      <c r="Y17" s="92">
        <f t="shared" ref="Y17:Y22" si="1">IF(Q17&lt;&gt;"",X17+M17,"")</f>
        <v>0</v>
      </c>
      <c r="Z17" s="95">
        <f>IF(Q17&lt;&gt;"",U17/K17,"")</f>
        <v>1</v>
      </c>
      <c r="AA17" s="192" t="e">
        <f>T17/$T$22</f>
        <v>#DIV/0!</v>
      </c>
      <c r="AB17" s="269">
        <f>X17-AC17</f>
        <v>0</v>
      </c>
      <c r="AC17" s="270"/>
    </row>
    <row r="18" spans="1:29" ht="213.45" customHeight="1" x14ac:dyDescent="0.4">
      <c r="A18" s="61">
        <v>4</v>
      </c>
      <c r="B18" s="84" t="s">
        <v>152</v>
      </c>
      <c r="C18" s="83" t="s">
        <v>162</v>
      </c>
      <c r="D18" s="61" t="s">
        <v>167</v>
      </c>
      <c r="E18" s="61" t="s">
        <v>186</v>
      </c>
      <c r="F18" s="103" t="s">
        <v>274</v>
      </c>
      <c r="G18" s="88" t="s">
        <v>235</v>
      </c>
      <c r="H18" s="82">
        <v>1</v>
      </c>
      <c r="I18" s="82">
        <v>1</v>
      </c>
      <c r="J18" s="87">
        <v>0</v>
      </c>
      <c r="K18" s="87">
        <f>IF(F18&lt;&gt;"",H18*I18*J18,"")</f>
        <v>0</v>
      </c>
      <c r="L18" s="87">
        <f>IF(K18&lt;&gt;"",IF(D18="INTERNO",0,K18*$L$14),"")</f>
        <v>0</v>
      </c>
      <c r="M18" s="87">
        <f>IF(K18&lt;&gt;"",IF(E18="FAT.OGGI",SUM(K18:L18)*(1/(1-$M$14)-1),L18*(1/(1-$M$14)-1)),"")</f>
        <v>0</v>
      </c>
      <c r="N18" s="102">
        <f>SUM(K18:M18)</f>
        <v>0</v>
      </c>
      <c r="Q18" s="135">
        <f t="shared" si="0"/>
        <v>1</v>
      </c>
      <c r="R18" s="136">
        <f t="shared" si="0"/>
        <v>1</v>
      </c>
      <c r="S18" s="137"/>
      <c r="T18" s="137">
        <f>IF(Q18&lt;&gt;"",Q18*R18*S18,"")</f>
        <v>0</v>
      </c>
      <c r="U18" s="138">
        <f>IF(Q18&lt;&gt;"",K18-T18,"")</f>
        <v>0</v>
      </c>
      <c r="V18" s="139">
        <f>IF(Q18&lt;&gt;"",0%,"")</f>
        <v>0</v>
      </c>
      <c r="W18" s="101">
        <f>IF(Q18&lt;&gt;"",V18*U18,"")</f>
        <v>0</v>
      </c>
      <c r="X18" s="101">
        <f>IF(Q18&lt;&gt;"",W18+T18,"")</f>
        <v>0</v>
      </c>
      <c r="Y18" s="100">
        <f t="shared" si="1"/>
        <v>0</v>
      </c>
      <c r="Z18" s="95" t="e">
        <f>IF(Q18&lt;&gt;"",U18/K18,"")</f>
        <v>#DIV/0!</v>
      </c>
      <c r="AA18" s="192" t="e">
        <f>T18/$T$22</f>
        <v>#DIV/0!</v>
      </c>
      <c r="AB18" s="269">
        <f t="shared" ref="AB18:AB23" si="2">X18-AC18</f>
        <v>0</v>
      </c>
      <c r="AC18" s="270"/>
    </row>
    <row r="19" spans="1:29" ht="32.4" x14ac:dyDescent="0.4">
      <c r="A19" s="61">
        <v>5</v>
      </c>
      <c r="B19" s="84" t="s">
        <v>164</v>
      </c>
      <c r="C19" s="83" t="s">
        <v>162</v>
      </c>
      <c r="D19" s="61" t="s">
        <v>167</v>
      </c>
      <c r="E19" s="61" t="s">
        <v>186</v>
      </c>
      <c r="F19" s="103" t="s">
        <v>288</v>
      </c>
      <c r="G19" s="88" t="s">
        <v>275</v>
      </c>
      <c r="H19" s="82">
        <v>1</v>
      </c>
      <c r="I19" s="82">
        <v>1</v>
      </c>
      <c r="J19" s="87">
        <v>0</v>
      </c>
      <c r="K19" s="87">
        <f>IF(F19&lt;&gt;"",H19*I19*J19,"")</f>
        <v>0</v>
      </c>
      <c r="L19" s="87">
        <f>IF(K19&lt;&gt;"",IF(D19="INTERNO",0,K19*$L$14),"")</f>
        <v>0</v>
      </c>
      <c r="M19" s="87">
        <f>IF(K19&lt;&gt;"",IF(E19="FAT.OGGI",SUM(K19:L19)*(1/(1-$M$14)-1),L19*(1/(1-$M$14)-1)),"")</f>
        <v>0</v>
      </c>
      <c r="N19" s="102">
        <f>SUM(K19:M19)</f>
        <v>0</v>
      </c>
      <c r="Q19" s="96">
        <f>IF(H19&lt;&gt;"",H19,"")</f>
        <v>1</v>
      </c>
      <c r="R19" s="96">
        <f>IF(I19&lt;&gt;"",I19,"")</f>
        <v>1</v>
      </c>
      <c r="S19" s="97"/>
      <c r="T19" s="97">
        <f>IF(Q19&lt;&gt;"",Q19*R19*S19,"")</f>
        <v>0</v>
      </c>
      <c r="U19" s="98">
        <f>IF(Q19&lt;&gt;"",K19-T19,"")</f>
        <v>0</v>
      </c>
      <c r="V19" s="99">
        <f>IF(Q19&lt;&gt;"",0%,"")</f>
        <v>0</v>
      </c>
      <c r="W19" s="100">
        <f>IF(Q19&lt;&gt;"",V19*U19,"")</f>
        <v>0</v>
      </c>
      <c r="X19" s="100">
        <f>IF(Q19&lt;&gt;"",W19+T19,"")</f>
        <v>0</v>
      </c>
      <c r="Y19" s="101">
        <f t="shared" si="1"/>
        <v>0</v>
      </c>
      <c r="Z19" s="95" t="e">
        <f>IF(Q19&lt;&gt;"",U19/K19,"")</f>
        <v>#DIV/0!</v>
      </c>
      <c r="AA19" s="192"/>
      <c r="AB19" s="269">
        <f t="shared" si="2"/>
        <v>0</v>
      </c>
      <c r="AC19" s="270"/>
    </row>
    <row r="20" spans="1:29" ht="32.4" x14ac:dyDescent="0.4">
      <c r="A20" s="79">
        <v>6</v>
      </c>
      <c r="B20" s="84" t="s">
        <v>165</v>
      </c>
      <c r="C20" s="81" t="s">
        <v>162</v>
      </c>
      <c r="D20" s="79" t="s">
        <v>167</v>
      </c>
      <c r="E20" s="79" t="s">
        <v>186</v>
      </c>
      <c r="F20" s="103" t="s">
        <v>272</v>
      </c>
      <c r="G20" s="88" t="s">
        <v>273</v>
      </c>
      <c r="H20" s="82">
        <v>1</v>
      </c>
      <c r="I20" s="82">
        <v>1</v>
      </c>
      <c r="J20" s="87">
        <v>0</v>
      </c>
      <c r="K20" s="87">
        <f>IF(F20&lt;&gt;"",H20*I20*J20,"")</f>
        <v>0</v>
      </c>
      <c r="L20" s="87">
        <f>IF(K20&lt;&gt;"",IF(D20="INTERNO",0,K20*$L$14),"")</f>
        <v>0</v>
      </c>
      <c r="M20" s="87">
        <f>IF(K20&lt;&gt;"",IF(E20="FAT.OGGI",SUM(K20:L20)*(1/(1-$M$14)-1),L20*(1/(1-$M$14)-1)),"")</f>
        <v>0</v>
      </c>
      <c r="N20" s="102">
        <f>SUM(K20:M20)</f>
        <v>0</v>
      </c>
      <c r="Q20" s="89">
        <f>IF(H20&lt;&gt;"",H20,"")</f>
        <v>1</v>
      </c>
      <c r="R20" s="89">
        <f>IF(I20&lt;&gt;"",I20,"")</f>
        <v>1</v>
      </c>
      <c r="S20" s="90"/>
      <c r="T20" s="90">
        <f>IF(Q20&lt;&gt;"",Q20*R20*S20,"")</f>
        <v>0</v>
      </c>
      <c r="U20" s="94">
        <f>IF(Q20&lt;&gt;"",K20-T20,"")</f>
        <v>0</v>
      </c>
      <c r="V20" s="91">
        <f>IF(Q20&lt;&gt;"",0%,"")</f>
        <v>0</v>
      </c>
      <c r="W20" s="92">
        <f>IF(Q20&lt;&gt;"",V20*U20,"")</f>
        <v>0</v>
      </c>
      <c r="X20" s="92">
        <f>IF(Q20&lt;&gt;"",W20+T20,"")</f>
        <v>0</v>
      </c>
      <c r="Y20" s="93">
        <f t="shared" si="1"/>
        <v>0</v>
      </c>
      <c r="Z20" s="95" t="e">
        <f>IF(Q20&lt;&gt;"",U20/K20,"")</f>
        <v>#DIV/0!</v>
      </c>
      <c r="AA20" s="192"/>
      <c r="AB20" s="269">
        <f t="shared" si="2"/>
        <v>0</v>
      </c>
      <c r="AC20" s="270"/>
    </row>
    <row r="21" spans="1:29" ht="25.95" customHeight="1" x14ac:dyDescent="0.4">
      <c r="A21" s="78">
        <v>7</v>
      </c>
      <c r="B21" s="84" t="s">
        <v>166</v>
      </c>
      <c r="C21" s="77" t="s">
        <v>162</v>
      </c>
      <c r="D21" s="78" t="s">
        <v>167</v>
      </c>
      <c r="E21" s="78" t="s">
        <v>186</v>
      </c>
      <c r="F21" s="103" t="s">
        <v>277</v>
      </c>
      <c r="G21" s="88" t="s">
        <v>276</v>
      </c>
      <c r="H21" s="82">
        <v>1</v>
      </c>
      <c r="I21" s="82">
        <v>1</v>
      </c>
      <c r="J21" s="87">
        <v>0</v>
      </c>
      <c r="K21" s="87">
        <f>IF(F21&lt;&gt;"",H21*I21*J21,"")</f>
        <v>0</v>
      </c>
      <c r="L21" s="87">
        <f>IF(K21&lt;&gt;"",IF(D21="INTERNO",0,K21*$L$14),"")</f>
        <v>0</v>
      </c>
      <c r="M21" s="87">
        <f>IF(K21&lt;&gt;"",IF(E21="FAT.OGGI",SUM(K21:L21)*(1/(1-$M$14)-1),L21*(1/(1-$M$14)-1)),"")</f>
        <v>0</v>
      </c>
      <c r="N21" s="102">
        <f>SUM(K21:M21)</f>
        <v>0</v>
      </c>
      <c r="Q21" s="140">
        <f t="shared" si="0"/>
        <v>1</v>
      </c>
      <c r="R21" s="141">
        <f t="shared" si="0"/>
        <v>1</v>
      </c>
      <c r="S21" s="142"/>
      <c r="T21" s="142">
        <f>IF(Q21&lt;&gt;"",Q21*R21*S21,"")</f>
        <v>0</v>
      </c>
      <c r="U21" s="143">
        <f>IF(Q21&lt;&gt;"",K21-T21,"")</f>
        <v>0</v>
      </c>
      <c r="V21" s="144">
        <f>IF(Q21&lt;&gt;"",0%,"")</f>
        <v>0</v>
      </c>
      <c r="W21" s="145">
        <f>IF(Q21&lt;&gt;"",V21*U21,"")</f>
        <v>0</v>
      </c>
      <c r="X21" s="145">
        <f>IF(Q21&lt;&gt;"",W21+T21,"")</f>
        <v>0</v>
      </c>
      <c r="Y21" s="146">
        <f t="shared" si="1"/>
        <v>0</v>
      </c>
      <c r="Z21" s="95" t="e">
        <f>IF(Q21&lt;&gt;"",U21/K21,"")</f>
        <v>#DIV/0!</v>
      </c>
      <c r="AA21" s="192" t="e">
        <f>T21/$T$22</f>
        <v>#DIV/0!</v>
      </c>
      <c r="AB21" s="269">
        <f t="shared" si="2"/>
        <v>0</v>
      </c>
      <c r="AC21" s="270"/>
    </row>
    <row r="22" spans="1:29" ht="33" thickBot="1" x14ac:dyDescent="0.45">
      <c r="A22" s="61">
        <v>8</v>
      </c>
      <c r="B22" s="84"/>
      <c r="C22" s="83" t="s">
        <v>178</v>
      </c>
      <c r="D22" s="61"/>
      <c r="E22" s="61"/>
      <c r="F22" s="602" t="s">
        <v>218</v>
      </c>
      <c r="G22" s="603"/>
      <c r="H22" s="603"/>
      <c r="I22" s="603"/>
      <c r="J22" s="603"/>
      <c r="K22" s="117">
        <f>SUM(K17:K21)</f>
        <v>207366.5</v>
      </c>
      <c r="L22" s="117">
        <f>SUM(L17:L21)</f>
        <v>0</v>
      </c>
      <c r="M22" s="117">
        <f>SUM(M17:M21)</f>
        <v>0</v>
      </c>
      <c r="N22" s="118">
        <f>SUM(N17:N21)</f>
        <v>207366.5</v>
      </c>
      <c r="Q22" s="604" t="s">
        <v>218</v>
      </c>
      <c r="R22" s="605"/>
      <c r="S22" s="605"/>
      <c r="T22" s="128">
        <f>SUM(T17:T21)</f>
        <v>0</v>
      </c>
      <c r="U22" s="129">
        <f>SUM(U17:U21)</f>
        <v>207366.5</v>
      </c>
      <c r="V22" s="130"/>
      <c r="W22" s="130"/>
      <c r="X22" s="131">
        <f>SUM(X17:X21)</f>
        <v>0</v>
      </c>
      <c r="Y22" s="132">
        <f t="shared" si="1"/>
        <v>0</v>
      </c>
      <c r="Z22" s="133" t="s">
        <v>216</v>
      </c>
      <c r="AA22" s="193" t="s">
        <v>217</v>
      </c>
      <c r="AB22" s="269">
        <f t="shared" si="2"/>
        <v>0</v>
      </c>
      <c r="AC22" s="270"/>
    </row>
    <row r="23" spans="1:29" ht="33" thickBot="1" x14ac:dyDescent="0.5">
      <c r="A23" s="79">
        <v>9</v>
      </c>
      <c r="B23" s="80"/>
      <c r="C23" s="81" t="s">
        <v>214</v>
      </c>
      <c r="D23" s="79"/>
      <c r="E23" s="79"/>
      <c r="F23" s="119" t="s">
        <v>215</v>
      </c>
      <c r="G23" s="120"/>
      <c r="H23" s="120"/>
      <c r="I23" s="120"/>
      <c r="J23" s="120"/>
      <c r="K23" s="121">
        <f>SUM(K17:K21)</f>
        <v>207366.5</v>
      </c>
      <c r="L23" s="121">
        <f>SUM(L17:L21)</f>
        <v>0</v>
      </c>
      <c r="M23" s="121">
        <f>SUM(M17:M21)</f>
        <v>0</v>
      </c>
      <c r="N23" s="122">
        <f>SUM(N17:N21)</f>
        <v>207366.5</v>
      </c>
      <c r="Q23" s="105" t="s">
        <v>43</v>
      </c>
      <c r="R23" s="106"/>
      <c r="S23" s="106"/>
      <c r="T23" s="107">
        <f>SUM(T17:T21)</f>
        <v>0</v>
      </c>
      <c r="U23" s="107">
        <f>SUM(U17:U21)</f>
        <v>207366.5</v>
      </c>
      <c r="V23" s="106"/>
      <c r="W23" s="106"/>
      <c r="X23" s="107">
        <f>SUM(X17:X21)</f>
        <v>0</v>
      </c>
      <c r="Y23" s="107">
        <f>SUM(Y17:Y21)</f>
        <v>0</v>
      </c>
      <c r="Z23" s="134">
        <f>IF(Q23&lt;&gt;"",(N23-Y23)/N23,"")</f>
        <v>1</v>
      </c>
      <c r="AA23" s="194">
        <f>IF(Z23&lt;&gt;"",(N23-Y23),"")</f>
        <v>207366.5</v>
      </c>
      <c r="AB23" s="269">
        <f t="shared" si="2"/>
        <v>0</v>
      </c>
      <c r="AC23" s="270">
        <f>SUM(AC17:AC22)</f>
        <v>0</v>
      </c>
    </row>
    <row r="26" spans="1:29" x14ac:dyDescent="0.3">
      <c r="M26" s="166">
        <f>K17*(1+7%)</f>
        <v>221882.155</v>
      </c>
      <c r="Q26">
        <f>(193800/110)</f>
        <v>1761.8181818181818</v>
      </c>
    </row>
    <row r="27" spans="1:29" ht="23.4" x14ac:dyDescent="0.45">
      <c r="AB27" s="262">
        <v>0</v>
      </c>
      <c r="AC27" s="263" t="s">
        <v>157</v>
      </c>
    </row>
    <row r="28" spans="1:29" ht="23.4" x14ac:dyDescent="0.45">
      <c r="M28" s="166">
        <f>M26/110</f>
        <v>2017.1105</v>
      </c>
      <c r="AB28" s="264">
        <v>0</v>
      </c>
      <c r="AC28" s="265" t="s">
        <v>375</v>
      </c>
    </row>
    <row r="29" spans="1:29" ht="23.4" x14ac:dyDescent="0.45">
      <c r="AB29" s="264">
        <v>0</v>
      </c>
      <c r="AC29" s="265" t="s">
        <v>376</v>
      </c>
    </row>
    <row r="30" spans="1:29" ht="23.4" x14ac:dyDescent="0.45">
      <c r="AB30" s="266">
        <v>0</v>
      </c>
      <c r="AC30" s="267" t="s">
        <v>377</v>
      </c>
    </row>
    <row r="31" spans="1:29" ht="23.4" x14ac:dyDescent="0.45">
      <c r="AB31" s="266">
        <v>0</v>
      </c>
      <c r="AC31" s="268"/>
    </row>
  </sheetData>
  <mergeCells count="13">
    <mergeCell ref="F1:G1"/>
    <mergeCell ref="F2:G2"/>
    <mergeCell ref="Q12:T12"/>
    <mergeCell ref="U12:X12"/>
    <mergeCell ref="AD12:AF12"/>
    <mergeCell ref="AH12:AI12"/>
    <mergeCell ref="F22:J22"/>
    <mergeCell ref="Q22:S22"/>
    <mergeCell ref="AB14:AC14"/>
    <mergeCell ref="F15:N15"/>
    <mergeCell ref="Q15:Y15"/>
    <mergeCell ref="F16:K16"/>
    <mergeCell ref="Q16:Y16"/>
  </mergeCells>
  <dataValidations count="3">
    <dataValidation type="list" allowBlank="1" showInputMessage="1" showErrorMessage="1" sqref="E23" xr:uid="{CB2D0F01-D073-43B1-BFE6-BAF5C4C3B4AC}">
      <formula1>"FAT.OGGI,FAT.CLIENTE "</formula1>
    </dataValidation>
    <dataValidation type="list" allowBlank="1" showInputMessage="1" showErrorMessage="1" sqref="D23 D17:D21" xr:uid="{F9BFB21B-354A-4B42-8D98-1C7DACC5402C}">
      <formula1>"INTERNO,OPERACIONAL"</formula1>
    </dataValidation>
    <dataValidation type="list" allowBlank="1" showInputMessage="1" showErrorMessage="1" sqref="E17:E21" xr:uid="{362F1ADA-1CF3-41AB-8C7A-DCFEFE6310A4}">
      <formula1>"FAT.OGGI,FAT.CLIENTE"</formula1>
    </dataValidation>
  </dataValidations>
  <pageMargins left="0.511811024" right="0.511811024" top="0.78740157499999996" bottom="0.78740157499999996" header="0.31496062000000002" footer="0.31496062000000002"/>
  <pageSetup paperSize="9" orientation="portrait" horizontalDpi="360" verticalDpi="36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453FC-70F0-441D-B295-6195CF2FD8B1}">
  <dimension ref="A1:M32"/>
  <sheetViews>
    <sheetView showGridLines="0" topLeftCell="A12" workbookViewId="0">
      <selection activeCell="E26" sqref="E26"/>
    </sheetView>
  </sheetViews>
  <sheetFormatPr defaultRowHeight="14.4" x14ac:dyDescent="0.3"/>
  <cols>
    <col min="1" max="1" width="43.77734375" customWidth="1"/>
    <col min="2" max="2" width="27.33203125" customWidth="1"/>
    <col min="3" max="3" width="15.77734375" customWidth="1"/>
    <col min="4" max="4" width="14.21875" customWidth="1"/>
    <col min="5" max="5" width="16.33203125" customWidth="1"/>
    <col min="13" max="13" width="13.77734375" bestFit="1" customWidth="1"/>
  </cols>
  <sheetData>
    <row r="1" spans="1:13" ht="15" thickBot="1" x14ac:dyDescent="0.35"/>
    <row r="2" spans="1:13" x14ac:dyDescent="0.3">
      <c r="A2" s="151" t="s">
        <v>236</v>
      </c>
      <c r="B2" s="152"/>
    </row>
    <row r="3" spans="1:13" x14ac:dyDescent="0.3">
      <c r="A3" s="153" t="s">
        <v>237</v>
      </c>
      <c r="B3" s="154"/>
    </row>
    <row r="4" spans="1:13" x14ac:dyDescent="0.3">
      <c r="A4" s="153" t="s">
        <v>238</v>
      </c>
      <c r="B4" s="155"/>
    </row>
    <row r="5" spans="1:13" x14ac:dyDescent="0.3">
      <c r="A5" s="153" t="s">
        <v>239</v>
      </c>
      <c r="B5" s="155"/>
    </row>
    <row r="6" spans="1:13" x14ac:dyDescent="0.3">
      <c r="A6" s="153" t="s">
        <v>240</v>
      </c>
      <c r="B6" s="156"/>
    </row>
    <row r="7" spans="1:13" x14ac:dyDescent="0.3">
      <c r="A7" s="153" t="s">
        <v>241</v>
      </c>
      <c r="B7" s="155"/>
    </row>
    <row r="8" spans="1:13" x14ac:dyDescent="0.3">
      <c r="A8" s="153" t="s">
        <v>242</v>
      </c>
      <c r="B8" s="155"/>
    </row>
    <row r="9" spans="1:13" ht="15" thickBot="1" x14ac:dyDescent="0.35">
      <c r="A9" s="157" t="s">
        <v>243</v>
      </c>
      <c r="B9" s="158"/>
    </row>
    <row r="13" spans="1:13" ht="15" thickBot="1" x14ac:dyDescent="0.35"/>
    <row r="14" spans="1:13" ht="15" thickTop="1" x14ac:dyDescent="0.3">
      <c r="A14" s="622" t="s">
        <v>271</v>
      </c>
      <c r="B14" s="623"/>
      <c r="C14" s="149" t="s">
        <v>230</v>
      </c>
      <c r="D14" s="170" t="s">
        <v>231</v>
      </c>
      <c r="E14" s="147"/>
      <c r="J14">
        <f>226880-207336.4</f>
        <v>19543.600000000006</v>
      </c>
    </row>
    <row r="15" spans="1:13" s="181" customFormat="1" x14ac:dyDescent="0.3">
      <c r="A15" s="355" t="s">
        <v>278</v>
      </c>
      <c r="B15" s="356">
        <f>'Projeto&gt; montadora&gt; Op  Led'!N23</f>
        <v>207366.5</v>
      </c>
      <c r="C15" s="357"/>
      <c r="D15" s="358">
        <f>B15-C15</f>
        <v>207366.5</v>
      </c>
      <c r="E15" s="353">
        <f t="shared" ref="E15:E17" si="0">D15*100%/B15</f>
        <v>1</v>
      </c>
      <c r="M15" s="354">
        <v>226880</v>
      </c>
    </row>
    <row r="16" spans="1:13" x14ac:dyDescent="0.3">
      <c r="A16" s="337" t="s">
        <v>232</v>
      </c>
      <c r="B16" s="338">
        <f>PRINCIPAL!N56</f>
        <v>130951.11234567899</v>
      </c>
      <c r="C16" s="150">
        <f>PRINCIPAL!Y56</f>
        <v>88331.74467901235</v>
      </c>
      <c r="D16" s="171">
        <f>(B16-C16)</f>
        <v>42619.367666666643</v>
      </c>
      <c r="E16" s="148">
        <f t="shared" si="0"/>
        <v>0.32546014236337228</v>
      </c>
      <c r="M16" s="166">
        <f>B15</f>
        <v>207366.5</v>
      </c>
    </row>
    <row r="17" spans="1:13" s="181" customFormat="1" ht="15" thickBot="1" x14ac:dyDescent="0.35">
      <c r="A17" s="349" t="s">
        <v>233</v>
      </c>
      <c r="B17" s="350">
        <f>Taxas!N24</f>
        <v>16330</v>
      </c>
      <c r="C17" s="351">
        <f>B17</f>
        <v>16330</v>
      </c>
      <c r="D17" s="352">
        <f>B17-C17</f>
        <v>0</v>
      </c>
      <c r="E17" s="353">
        <f t="shared" si="0"/>
        <v>0</v>
      </c>
      <c r="M17" s="354">
        <f>M15-M16</f>
        <v>19513.5</v>
      </c>
    </row>
    <row r="18" spans="1:13" x14ac:dyDescent="0.3">
      <c r="A18" s="183" t="s">
        <v>234</v>
      </c>
      <c r="B18" s="184">
        <f>SUM(B15:B17)</f>
        <v>354647.61234567896</v>
      </c>
      <c r="C18" s="185">
        <f>SUM(C15:C17)</f>
        <v>104661.74467901235</v>
      </c>
      <c r="D18" s="172">
        <f>SUM(D15:D17)</f>
        <v>249985.86766666663</v>
      </c>
      <c r="E18" s="148">
        <f>D18*100%/B18</f>
        <v>0.70488524091063842</v>
      </c>
    </row>
    <row r="19" spans="1:13" x14ac:dyDescent="0.3">
      <c r="A19" s="186" t="s">
        <v>267</v>
      </c>
      <c r="B19" s="187">
        <v>77000</v>
      </c>
      <c r="C19" s="188"/>
      <c r="D19" s="173"/>
      <c r="E19" s="148"/>
    </row>
    <row r="20" spans="1:13" ht="15" thickBot="1" x14ac:dyDescent="0.35">
      <c r="A20" s="167" t="s">
        <v>234</v>
      </c>
      <c r="B20" s="168">
        <f>B18+B19</f>
        <v>431647.61234567896</v>
      </c>
      <c r="C20" s="13"/>
      <c r="D20" s="169"/>
      <c r="M20" s="177">
        <v>444826.11</v>
      </c>
    </row>
    <row r="21" spans="1:13" x14ac:dyDescent="0.3">
      <c r="A21" s="2" t="s">
        <v>268</v>
      </c>
      <c r="B21" s="174">
        <v>400000</v>
      </c>
      <c r="M21" s="166">
        <f>B20</f>
        <v>431647.61234567896</v>
      </c>
    </row>
    <row r="22" spans="1:13" x14ac:dyDescent="0.3">
      <c r="A22" s="5"/>
      <c r="B22" s="175">
        <f>B20-B21</f>
        <v>31647.612345678965</v>
      </c>
      <c r="M22" s="177">
        <f>M20-M21</f>
        <v>13178.497654321021</v>
      </c>
    </row>
    <row r="23" spans="1:13" x14ac:dyDescent="0.3">
      <c r="A23" s="5" t="s">
        <v>269</v>
      </c>
      <c r="B23" s="176">
        <v>20000</v>
      </c>
    </row>
    <row r="24" spans="1:13" ht="15" thickBot="1" x14ac:dyDescent="0.35">
      <c r="A24" s="13" t="s">
        <v>270</v>
      </c>
      <c r="B24" s="179">
        <f>B20-B23</f>
        <v>411647.61234567896</v>
      </c>
    </row>
    <row r="27" spans="1:13" x14ac:dyDescent="0.3">
      <c r="A27" t="s">
        <v>355</v>
      </c>
      <c r="B27" s="180" t="e">
        <f>#REF!</f>
        <v>#REF!</v>
      </c>
    </row>
    <row r="29" spans="1:13" x14ac:dyDescent="0.3">
      <c r="A29" s="181" t="s">
        <v>356</v>
      </c>
      <c r="B29" s="182" t="e">
        <f>#REF!</f>
        <v>#REF!</v>
      </c>
    </row>
    <row r="31" spans="1:13" x14ac:dyDescent="0.3">
      <c r="A31" s="166" t="e">
        <f>B24+B27+B29</f>
        <v>#REF!</v>
      </c>
    </row>
    <row r="32" spans="1:13" x14ac:dyDescent="0.3">
      <c r="A32" s="189">
        <v>485232.68</v>
      </c>
    </row>
  </sheetData>
  <mergeCells count="1">
    <mergeCell ref="A14:B14"/>
  </mergeCells>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D131F-C793-43E2-83A0-D9D8EC814CB1}">
  <sheetPr codeName="Planilha12">
    <pageSetUpPr autoPageBreaks="0"/>
  </sheetPr>
  <dimension ref="A1:AL33"/>
  <sheetViews>
    <sheetView showGridLines="0" topLeftCell="I1" zoomScale="70" zoomScaleNormal="70" workbookViewId="0">
      <pane ySplit="1" topLeftCell="A5" activePane="bottomLeft" state="frozen"/>
      <selection activeCell="AC1" sqref="AC1"/>
      <selection pane="bottomLeft" activeCell="K4" sqref="K4"/>
    </sheetView>
  </sheetViews>
  <sheetFormatPr defaultColWidth="8.77734375" defaultRowHeight="21" x14ac:dyDescent="0.4"/>
  <cols>
    <col min="1" max="1" width="9.33203125" style="271" hidden="1" customWidth="1"/>
    <col min="2" max="2" width="12.21875" style="271" customWidth="1"/>
    <col min="3" max="3" width="14.77734375" style="271" hidden="1" customWidth="1"/>
    <col min="4" max="4" width="15.77734375" style="271" hidden="1" customWidth="1"/>
    <col min="5" max="5" width="15.44140625" style="271" hidden="1" customWidth="1"/>
    <col min="6" max="6" width="44.77734375" style="271" customWidth="1"/>
    <col min="7" max="7" width="55.77734375" style="271" customWidth="1"/>
    <col min="8" max="8" width="7.77734375" style="271" customWidth="1"/>
    <col min="9" max="9" width="7.21875" style="271" customWidth="1"/>
    <col min="10" max="10" width="20.21875" style="271" customWidth="1"/>
    <col min="11" max="11" width="22.88671875" style="271" customWidth="1"/>
    <col min="12" max="12" width="18" style="271" customWidth="1"/>
    <col min="13" max="13" width="18.6640625" style="271" customWidth="1"/>
    <col min="14" max="14" width="33" style="271" customWidth="1"/>
    <col min="15" max="15" width="3.21875" style="271" hidden="1" customWidth="1"/>
    <col min="16" max="16" width="1.88671875" style="271" hidden="1" customWidth="1"/>
    <col min="17" max="17" width="20.77734375" style="271" customWidth="1"/>
    <col min="18" max="18" width="8.21875" style="271" hidden="1" customWidth="1"/>
    <col min="19" max="19" width="27.21875" style="271" hidden="1" customWidth="1"/>
    <col min="20" max="20" width="21.44140625" style="271" customWidth="1"/>
    <col min="21" max="23" width="28.21875" style="271" hidden="1" customWidth="1"/>
    <col min="24" max="24" width="27.77734375" style="271" customWidth="1"/>
    <col min="25" max="25" width="27.77734375" style="271" hidden="1" customWidth="1"/>
    <col min="26" max="26" width="18.5546875" style="271" hidden="1" customWidth="1"/>
    <col min="27" max="27" width="27.77734375" style="271" hidden="1" customWidth="1"/>
    <col min="28" max="28" width="27.88671875" style="271" customWidth="1"/>
    <col min="29" max="29" width="29.77734375" style="271" customWidth="1"/>
    <col min="30" max="30" width="33" style="271" hidden="1" customWidth="1"/>
    <col min="31" max="31" width="28" style="271" hidden="1" customWidth="1"/>
    <col min="32" max="32" width="1.21875" style="271" hidden="1" customWidth="1"/>
    <col min="33" max="33" width="81.5546875" style="271" hidden="1" customWidth="1"/>
    <col min="34" max="34" width="36.77734375" style="271" hidden="1" customWidth="1"/>
    <col min="35" max="35" width="1.5546875" style="271" hidden="1" customWidth="1"/>
    <col min="36" max="36" width="20.21875" style="271" hidden="1" customWidth="1"/>
    <col min="37" max="37" width="25.21875" style="271" hidden="1" customWidth="1"/>
    <col min="38" max="38" width="24.77734375" style="271" hidden="1" customWidth="1"/>
    <col min="39" max="39" width="8.77734375" style="271"/>
    <col min="40" max="40" width="21.21875" style="271" customWidth="1"/>
    <col min="41" max="16384" width="8.77734375" style="271"/>
  </cols>
  <sheetData>
    <row r="1" spans="1:38" ht="49.5" customHeight="1" x14ac:dyDescent="0.4">
      <c r="B1" s="196"/>
      <c r="C1" s="197"/>
      <c r="D1" s="197"/>
      <c r="F1" s="641" t="s">
        <v>127</v>
      </c>
      <c r="G1" s="641"/>
    </row>
    <row r="2" spans="1:38" ht="24.75" customHeight="1" x14ac:dyDescent="0.4">
      <c r="B2" s="272"/>
      <c r="D2" s="197"/>
      <c r="F2" s="642" t="s">
        <v>0</v>
      </c>
      <c r="G2" s="642"/>
    </row>
    <row r="3" spans="1:38" ht="22.8" thickBot="1" x14ac:dyDescent="0.45">
      <c r="B3" s="273"/>
      <c r="F3" s="198"/>
      <c r="G3" s="198"/>
    </row>
    <row r="4" spans="1:38" ht="22.2" x14ac:dyDescent="0.4">
      <c r="F4" s="274" t="s">
        <v>236</v>
      </c>
      <c r="G4" s="275"/>
    </row>
    <row r="5" spans="1:38" ht="22.2" x14ac:dyDescent="0.4">
      <c r="F5" s="276" t="s">
        <v>237</v>
      </c>
      <c r="G5" s="277"/>
    </row>
    <row r="6" spans="1:38" ht="22.2" x14ac:dyDescent="0.4">
      <c r="F6" s="276" t="s">
        <v>238</v>
      </c>
      <c r="G6" s="278"/>
    </row>
    <row r="7" spans="1:38" ht="21.75" customHeight="1" x14ac:dyDescent="0.4">
      <c r="F7" s="276" t="s">
        <v>239</v>
      </c>
      <c r="G7" s="278"/>
    </row>
    <row r="8" spans="1:38" ht="22.2" x14ac:dyDescent="0.4">
      <c r="F8" s="276" t="s">
        <v>240</v>
      </c>
      <c r="G8" s="279"/>
    </row>
    <row r="9" spans="1:38" ht="22.2" x14ac:dyDescent="0.4">
      <c r="F9" s="276" t="s">
        <v>241</v>
      </c>
      <c r="G9" s="278"/>
      <c r="M9" s="271">
        <v>0.80469999999999997</v>
      </c>
    </row>
    <row r="10" spans="1:38" ht="27" customHeight="1" thickBot="1" x14ac:dyDescent="0.45">
      <c r="F10" s="276" t="s">
        <v>242</v>
      </c>
      <c r="G10" s="278"/>
      <c r="M10" s="271">
        <f>1-M9</f>
        <v>0.19530000000000003</v>
      </c>
    </row>
    <row r="11" spans="1:38" ht="45" thickBot="1" x14ac:dyDescent="0.45">
      <c r="F11" s="280" t="s">
        <v>243</v>
      </c>
      <c r="G11" s="281"/>
      <c r="AD11" s="200" t="s">
        <v>3</v>
      </c>
    </row>
    <row r="12" spans="1:38" ht="19.5" customHeight="1" thickBot="1" x14ac:dyDescent="0.45">
      <c r="B12" s="282"/>
      <c r="M12" s="283"/>
      <c r="Q12" s="643" t="s">
        <v>1</v>
      </c>
      <c r="R12" s="644"/>
      <c r="S12" s="644"/>
      <c r="T12" s="645"/>
      <c r="U12" s="634" t="s">
        <v>2</v>
      </c>
      <c r="V12" s="635"/>
      <c r="W12" s="635"/>
      <c r="X12" s="636"/>
      <c r="Y12" s="199" t="s">
        <v>56</v>
      </c>
      <c r="Z12" s="284" t="e">
        <f>(1/(1-#REF!))-1</f>
        <v>#REF!</v>
      </c>
      <c r="AD12" s="201"/>
      <c r="AE12" s="202"/>
      <c r="AG12" s="637" t="s">
        <v>58</v>
      </c>
      <c r="AH12" s="638"/>
      <c r="AJ12" s="203" t="s">
        <v>71</v>
      </c>
      <c r="AK12" s="624" t="s">
        <v>70</v>
      </c>
      <c r="AL12" s="625"/>
    </row>
    <row r="13" spans="1:38" ht="22.8" thickBot="1" x14ac:dyDescent="0.5">
      <c r="A13" s="204" t="s">
        <v>4</v>
      </c>
      <c r="B13" s="205" t="s">
        <v>5</v>
      </c>
      <c r="C13" s="204" t="s">
        <v>6</v>
      </c>
      <c r="D13" s="204" t="s">
        <v>7</v>
      </c>
      <c r="E13" s="204" t="s">
        <v>8</v>
      </c>
      <c r="M13" s="285">
        <v>0.81</v>
      </c>
    </row>
    <row r="14" spans="1:38" ht="45" thickBot="1" x14ac:dyDescent="0.45">
      <c r="A14" s="206">
        <v>0</v>
      </c>
      <c r="B14" s="207"/>
      <c r="C14" s="208"/>
      <c r="D14" s="209"/>
      <c r="E14" s="209"/>
      <c r="F14" s="210" t="s">
        <v>130</v>
      </c>
      <c r="G14" s="211" t="s">
        <v>131</v>
      </c>
      <c r="H14" s="212" t="s">
        <v>132</v>
      </c>
      <c r="I14" s="212" t="s">
        <v>133</v>
      </c>
      <c r="J14" s="213" t="s">
        <v>134</v>
      </c>
      <c r="K14" s="214" t="s">
        <v>9</v>
      </c>
      <c r="L14" s="215">
        <v>0.1</v>
      </c>
      <c r="M14" s="216">
        <f>1-M13</f>
        <v>0.18999999999999995</v>
      </c>
      <c r="N14" s="217" t="s">
        <v>128</v>
      </c>
      <c r="Q14" s="286" t="s">
        <v>135</v>
      </c>
      <c r="R14" s="287" t="s">
        <v>136</v>
      </c>
      <c r="S14" s="288" t="s">
        <v>137</v>
      </c>
      <c r="T14" s="289" t="s">
        <v>138</v>
      </c>
      <c r="U14" s="290" t="s">
        <v>139</v>
      </c>
      <c r="V14" s="291" t="s">
        <v>140</v>
      </c>
      <c r="W14" s="292" t="s">
        <v>141</v>
      </c>
      <c r="X14" s="292" t="s">
        <v>142</v>
      </c>
      <c r="Y14" s="293" t="s">
        <v>143</v>
      </c>
      <c r="Z14" s="218" t="s">
        <v>144</v>
      </c>
      <c r="AA14" s="253" t="s">
        <v>129</v>
      </c>
      <c r="AB14" s="606" t="s">
        <v>70</v>
      </c>
      <c r="AC14" s="606"/>
      <c r="AD14" s="294" t="s">
        <v>146</v>
      </c>
      <c r="AE14" s="219" t="s">
        <v>33</v>
      </c>
      <c r="AG14" s="220" t="s">
        <v>147</v>
      </c>
      <c r="AH14" s="221" t="s">
        <v>148</v>
      </c>
      <c r="AI14" s="271" t="s">
        <v>149</v>
      </c>
      <c r="AJ14" s="271" t="s">
        <v>149</v>
      </c>
      <c r="AK14" s="222" t="s">
        <v>150</v>
      </c>
      <c r="AL14" s="223" t="s">
        <v>151</v>
      </c>
    </row>
    <row r="15" spans="1:38" ht="22.8" thickBot="1" x14ac:dyDescent="0.5">
      <c r="A15" s="209">
        <v>1</v>
      </c>
      <c r="B15" s="224">
        <v>1</v>
      </c>
      <c r="C15" s="225" t="s">
        <v>154</v>
      </c>
      <c r="D15" s="209"/>
      <c r="E15" s="209"/>
      <c r="F15" s="626"/>
      <c r="G15" s="627"/>
      <c r="H15" s="627"/>
      <c r="I15" s="627"/>
      <c r="J15" s="627"/>
      <c r="K15" s="627"/>
      <c r="L15" s="627"/>
      <c r="M15" s="627"/>
      <c r="N15" s="628"/>
      <c r="Q15" s="629" t="str">
        <f>IF(F15&lt;&gt;"",F15,"")</f>
        <v/>
      </c>
      <c r="R15" s="629"/>
      <c r="S15" s="629"/>
      <c r="T15" s="629"/>
      <c r="U15" s="629"/>
      <c r="V15" s="629"/>
      <c r="W15" s="629"/>
      <c r="X15" s="629"/>
      <c r="Y15" s="629"/>
      <c r="AB15" s="295"/>
      <c r="AC15" s="295"/>
    </row>
    <row r="16" spans="1:38" ht="44.4" x14ac:dyDescent="0.45">
      <c r="A16" s="209">
        <v>2</v>
      </c>
      <c r="B16" s="224" t="s">
        <v>156</v>
      </c>
      <c r="C16" s="225" t="s">
        <v>155</v>
      </c>
      <c r="D16" s="209"/>
      <c r="E16" s="209"/>
      <c r="F16" s="630"/>
      <c r="G16" s="631"/>
      <c r="H16" s="631"/>
      <c r="I16" s="631"/>
      <c r="J16" s="631"/>
      <c r="K16" s="631"/>
      <c r="L16" s="226" t="s">
        <v>157</v>
      </c>
      <c r="M16" s="226" t="s">
        <v>158</v>
      </c>
      <c r="N16" s="227" t="s">
        <v>128</v>
      </c>
      <c r="Q16" s="632" t="str">
        <f>IF(F16&lt;&gt;"",F16,"")</f>
        <v/>
      </c>
      <c r="R16" s="633"/>
      <c r="S16" s="633"/>
      <c r="T16" s="633"/>
      <c r="U16" s="633"/>
      <c r="V16" s="633"/>
      <c r="W16" s="633"/>
      <c r="X16" s="633"/>
      <c r="Y16" s="633"/>
      <c r="Z16" s="296" t="s">
        <v>159</v>
      </c>
      <c r="AA16" s="297" t="s">
        <v>129</v>
      </c>
      <c r="AB16" s="255" t="s">
        <v>150</v>
      </c>
      <c r="AC16" s="256" t="s">
        <v>151</v>
      </c>
    </row>
    <row r="17" spans="1:29" ht="49.95" customHeight="1" x14ac:dyDescent="0.4">
      <c r="A17" s="209">
        <v>3</v>
      </c>
      <c r="B17" s="224" t="s">
        <v>163</v>
      </c>
      <c r="C17" s="225" t="s">
        <v>162</v>
      </c>
      <c r="D17" s="209" t="s">
        <v>167</v>
      </c>
      <c r="E17" s="209" t="s">
        <v>186</v>
      </c>
      <c r="F17" s="234" t="s">
        <v>222</v>
      </c>
      <c r="G17" s="298" t="s">
        <v>378</v>
      </c>
      <c r="H17" s="299">
        <v>20</v>
      </c>
      <c r="I17" s="299">
        <v>1</v>
      </c>
      <c r="J17" s="228">
        <v>350</v>
      </c>
      <c r="K17" s="228">
        <f t="shared" ref="K17:K18" si="0">IF(F17&lt;&gt;"",H17*I17*J17,"")</f>
        <v>7000</v>
      </c>
      <c r="L17" s="228">
        <f t="shared" ref="L17:L22" si="1">IF(K17&lt;&gt;"",IF(D17="INTERNO",0,K17*$L$14),"")</f>
        <v>0</v>
      </c>
      <c r="M17" s="228">
        <f t="shared" ref="M17:M22" si="2">IF(K17&lt;&gt;"",IF(E17="FAT.OGGI",SUM(K17:L17)*(1/(1-$M$14)-1),L17*(1/(1-$M$14)-1)),"")</f>
        <v>0</v>
      </c>
      <c r="N17" s="229">
        <f t="shared" ref="N17:N22" si="3">SUM(K17:M17)</f>
        <v>7000</v>
      </c>
      <c r="Q17" s="300">
        <f t="shared" ref="Q17:R22" si="4">IF(H17&lt;&gt;"",H17,"")</f>
        <v>20</v>
      </c>
      <c r="R17" s="301">
        <f t="shared" si="4"/>
        <v>1</v>
      </c>
      <c r="S17" s="302">
        <v>0</v>
      </c>
      <c r="T17" s="302">
        <f t="shared" ref="T17:T22" si="5">IF(Q17&lt;&gt;"",Q17*R17*S17,"")</f>
        <v>0</v>
      </c>
      <c r="U17" s="303">
        <f t="shared" ref="U17:U22" si="6">IF(Q17&lt;&gt;"",K17-T17,"")</f>
        <v>7000</v>
      </c>
      <c r="V17" s="304">
        <f t="shared" ref="V17:V22" si="7">IF(Q17&lt;&gt;"",0%,"")</f>
        <v>0</v>
      </c>
      <c r="W17" s="305">
        <f t="shared" ref="W17:W22" si="8">IF(Q17&lt;&gt;"",V17*U17,"")</f>
        <v>0</v>
      </c>
      <c r="X17" s="305">
        <f t="shared" ref="X17:X22" si="9">IF(Q17&lt;&gt;"",W17+T17,"")</f>
        <v>0</v>
      </c>
      <c r="Y17" s="306">
        <f t="shared" ref="Y17:Y23" si="10">IF(Q17&lt;&gt;"",X17+M17,"")</f>
        <v>0</v>
      </c>
      <c r="Z17" s="246">
        <f t="shared" ref="Z17:Z22" si="11">IF(Q17&lt;&gt;"",U17/K17,"")</f>
        <v>1</v>
      </c>
      <c r="AA17" s="254" t="e">
        <f>T17/$T$23</f>
        <v>#DIV/0!</v>
      </c>
      <c r="AB17" s="295"/>
      <c r="AC17" s="295"/>
    </row>
    <row r="18" spans="1:29" ht="21" customHeight="1" x14ac:dyDescent="0.4">
      <c r="A18" s="209">
        <v>4</v>
      </c>
      <c r="B18" s="224" t="s">
        <v>152</v>
      </c>
      <c r="C18" s="225" t="s">
        <v>162</v>
      </c>
      <c r="D18" s="209" t="s">
        <v>167</v>
      </c>
      <c r="E18" s="209" t="s">
        <v>186</v>
      </c>
      <c r="F18" s="237" t="s">
        <v>223</v>
      </c>
      <c r="G18" s="298" t="s">
        <v>224</v>
      </c>
      <c r="H18" s="238">
        <v>1</v>
      </c>
      <c r="I18" s="238">
        <v>1</v>
      </c>
      <c r="J18" s="228">
        <v>480</v>
      </c>
      <c r="K18" s="228">
        <f t="shared" si="0"/>
        <v>480</v>
      </c>
      <c r="L18" s="228">
        <f t="shared" si="1"/>
        <v>0</v>
      </c>
      <c r="M18" s="228">
        <f t="shared" si="2"/>
        <v>0</v>
      </c>
      <c r="N18" s="229">
        <f t="shared" si="3"/>
        <v>480</v>
      </c>
      <c r="Q18" s="307">
        <f t="shared" si="4"/>
        <v>1</v>
      </c>
      <c r="R18" s="307">
        <f t="shared" si="4"/>
        <v>1</v>
      </c>
      <c r="S18" s="308"/>
      <c r="T18" s="308">
        <f t="shared" si="5"/>
        <v>0</v>
      </c>
      <c r="U18" s="309">
        <f t="shared" si="6"/>
        <v>480</v>
      </c>
      <c r="V18" s="310">
        <f t="shared" si="7"/>
        <v>0</v>
      </c>
      <c r="W18" s="306">
        <f t="shared" si="8"/>
        <v>0</v>
      </c>
      <c r="X18" s="306">
        <f t="shared" si="9"/>
        <v>0</v>
      </c>
      <c r="Y18" s="305">
        <f t="shared" si="10"/>
        <v>0</v>
      </c>
      <c r="Z18" s="246">
        <f t="shared" si="11"/>
        <v>1</v>
      </c>
      <c r="AA18" s="254"/>
      <c r="AB18" s="295"/>
      <c r="AC18" s="295"/>
    </row>
    <row r="19" spans="1:29" ht="44.4" x14ac:dyDescent="0.4">
      <c r="A19" s="251">
        <v>5</v>
      </c>
      <c r="B19" s="224" t="s">
        <v>164</v>
      </c>
      <c r="C19" s="252" t="s">
        <v>162</v>
      </c>
      <c r="D19" s="251" t="s">
        <v>167</v>
      </c>
      <c r="E19" s="251" t="s">
        <v>186</v>
      </c>
      <c r="F19" s="237" t="s">
        <v>225</v>
      </c>
      <c r="G19" s="311" t="s">
        <v>226</v>
      </c>
      <c r="H19" s="238">
        <v>110</v>
      </c>
      <c r="I19" s="238">
        <v>1</v>
      </c>
      <c r="J19" s="228">
        <v>35</v>
      </c>
      <c r="K19" s="228">
        <f>IF(F19&lt;&gt;"",H19*I19*J19,"")</f>
        <v>3850</v>
      </c>
      <c r="L19" s="228">
        <f t="shared" si="1"/>
        <v>0</v>
      </c>
      <c r="M19" s="228">
        <f t="shared" si="2"/>
        <v>0</v>
      </c>
      <c r="N19" s="229">
        <f t="shared" si="3"/>
        <v>3850</v>
      </c>
      <c r="Q19" s="312">
        <f t="shared" si="4"/>
        <v>110</v>
      </c>
      <c r="R19" s="312">
        <f t="shared" si="4"/>
        <v>1</v>
      </c>
      <c r="S19" s="313"/>
      <c r="T19" s="313">
        <f t="shared" si="5"/>
        <v>0</v>
      </c>
      <c r="U19" s="314">
        <f t="shared" si="6"/>
        <v>3850</v>
      </c>
      <c r="V19" s="315">
        <f t="shared" si="7"/>
        <v>0</v>
      </c>
      <c r="W19" s="316">
        <f t="shared" si="8"/>
        <v>0</v>
      </c>
      <c r="X19" s="316">
        <f t="shared" si="9"/>
        <v>0</v>
      </c>
      <c r="Y19" s="233">
        <f t="shared" si="10"/>
        <v>0</v>
      </c>
      <c r="Z19" s="246">
        <f t="shared" si="11"/>
        <v>1</v>
      </c>
      <c r="AA19" s="254"/>
      <c r="AB19" s="295"/>
      <c r="AC19" s="295"/>
    </row>
    <row r="20" spans="1:29" ht="66.599999999999994" x14ac:dyDescent="0.4">
      <c r="A20" s="239">
        <v>6</v>
      </c>
      <c r="B20" s="224" t="s">
        <v>165</v>
      </c>
      <c r="C20" s="240" t="s">
        <v>162</v>
      </c>
      <c r="D20" s="247" t="s">
        <v>167</v>
      </c>
      <c r="E20" s="247" t="s">
        <v>186</v>
      </c>
      <c r="F20" s="237" t="s">
        <v>227</v>
      </c>
      <c r="G20" s="311" t="s">
        <v>229</v>
      </c>
      <c r="H20" s="238">
        <v>1</v>
      </c>
      <c r="I20" s="238">
        <v>0</v>
      </c>
      <c r="J20" s="228">
        <v>1</v>
      </c>
      <c r="K20" s="228">
        <f t="shared" ref="K20:K22" si="12">IF(F20&lt;&gt;"",H20*I20*J20,"")</f>
        <v>0</v>
      </c>
      <c r="L20" s="228">
        <f t="shared" si="1"/>
        <v>0</v>
      </c>
      <c r="M20" s="228">
        <f t="shared" si="2"/>
        <v>0</v>
      </c>
      <c r="N20" s="229">
        <f t="shared" si="3"/>
        <v>0</v>
      </c>
      <c r="Q20" s="241">
        <f t="shared" si="4"/>
        <v>1</v>
      </c>
      <c r="R20" s="241">
        <f t="shared" si="4"/>
        <v>0</v>
      </c>
      <c r="S20" s="242"/>
      <c r="T20" s="242">
        <f t="shared" si="5"/>
        <v>0</v>
      </c>
      <c r="U20" s="317">
        <f t="shared" si="6"/>
        <v>0</v>
      </c>
      <c r="V20" s="243">
        <f t="shared" si="7"/>
        <v>0</v>
      </c>
      <c r="W20" s="244">
        <f t="shared" si="8"/>
        <v>0</v>
      </c>
      <c r="X20" s="244">
        <f t="shared" si="9"/>
        <v>0</v>
      </c>
      <c r="Y20" s="245">
        <f t="shared" si="10"/>
        <v>0</v>
      </c>
      <c r="Z20" s="246" t="e">
        <f t="shared" si="11"/>
        <v>#DIV/0!</v>
      </c>
      <c r="AA20" s="254"/>
      <c r="AB20" s="295"/>
      <c r="AC20" s="295"/>
    </row>
    <row r="21" spans="1:29" ht="25.5" customHeight="1" x14ac:dyDescent="0.4">
      <c r="A21" s="247">
        <v>7</v>
      </c>
      <c r="B21" s="224" t="s">
        <v>166</v>
      </c>
      <c r="C21" s="248" t="s">
        <v>162</v>
      </c>
      <c r="D21" s="209" t="s">
        <v>167</v>
      </c>
      <c r="E21" s="247" t="s">
        <v>186</v>
      </c>
      <c r="F21" s="237" t="s">
        <v>282</v>
      </c>
      <c r="G21" s="311" t="s">
        <v>282</v>
      </c>
      <c r="H21" s="238">
        <v>1</v>
      </c>
      <c r="I21" s="238">
        <v>1</v>
      </c>
      <c r="J21" s="228">
        <v>5000</v>
      </c>
      <c r="K21" s="228">
        <f t="shared" si="12"/>
        <v>5000</v>
      </c>
      <c r="L21" s="228">
        <f t="shared" si="1"/>
        <v>0</v>
      </c>
      <c r="M21" s="228">
        <f t="shared" si="2"/>
        <v>0</v>
      </c>
      <c r="N21" s="229">
        <f t="shared" si="3"/>
        <v>5000</v>
      </c>
      <c r="Q21" s="318">
        <f t="shared" si="4"/>
        <v>1</v>
      </c>
      <c r="R21" s="319">
        <f t="shared" si="4"/>
        <v>1</v>
      </c>
      <c r="S21" s="249"/>
      <c r="T21" s="249">
        <f t="shared" si="5"/>
        <v>0</v>
      </c>
      <c r="U21" s="320">
        <f t="shared" si="6"/>
        <v>5000</v>
      </c>
      <c r="V21" s="250">
        <f t="shared" si="7"/>
        <v>0</v>
      </c>
      <c r="W21" s="245">
        <f t="shared" si="8"/>
        <v>0</v>
      </c>
      <c r="X21" s="245">
        <f t="shared" si="9"/>
        <v>0</v>
      </c>
      <c r="Y21" s="244">
        <f t="shared" si="10"/>
        <v>0</v>
      </c>
      <c r="Z21" s="246">
        <f t="shared" si="11"/>
        <v>1</v>
      </c>
      <c r="AA21" s="254" t="e">
        <f>T21/$T$23</f>
        <v>#DIV/0!</v>
      </c>
      <c r="AB21" s="295"/>
      <c r="AC21" s="295"/>
    </row>
    <row r="22" spans="1:29" ht="30" customHeight="1" x14ac:dyDescent="0.4">
      <c r="A22" s="209">
        <v>8</v>
      </c>
      <c r="B22" s="224" t="s">
        <v>221</v>
      </c>
      <c r="C22" s="225" t="s">
        <v>162</v>
      </c>
      <c r="D22" s="209" t="s">
        <v>167</v>
      </c>
      <c r="E22" s="209" t="s">
        <v>186</v>
      </c>
      <c r="F22" s="237" t="s">
        <v>228</v>
      </c>
      <c r="G22" s="311" t="s">
        <v>281</v>
      </c>
      <c r="H22" s="238">
        <v>1</v>
      </c>
      <c r="I22" s="238">
        <v>0</v>
      </c>
      <c r="J22" s="228">
        <v>650</v>
      </c>
      <c r="K22" s="228">
        <f t="shared" si="12"/>
        <v>0</v>
      </c>
      <c r="L22" s="228">
        <f t="shared" si="1"/>
        <v>0</v>
      </c>
      <c r="M22" s="228">
        <f t="shared" si="2"/>
        <v>0</v>
      </c>
      <c r="N22" s="229">
        <f t="shared" si="3"/>
        <v>0</v>
      </c>
      <c r="Q22" s="321">
        <f t="shared" si="4"/>
        <v>1</v>
      </c>
      <c r="R22" s="322">
        <f t="shared" si="4"/>
        <v>0</v>
      </c>
      <c r="S22" s="230"/>
      <c r="T22" s="230">
        <f t="shared" si="5"/>
        <v>0</v>
      </c>
      <c r="U22" s="231">
        <f t="shared" si="6"/>
        <v>0</v>
      </c>
      <c r="V22" s="232">
        <f t="shared" si="7"/>
        <v>0</v>
      </c>
      <c r="W22" s="233">
        <f t="shared" si="8"/>
        <v>0</v>
      </c>
      <c r="X22" s="233">
        <f t="shared" si="9"/>
        <v>0</v>
      </c>
      <c r="Y22" s="316">
        <f t="shared" si="10"/>
        <v>0</v>
      </c>
      <c r="Z22" s="246" t="e">
        <f t="shared" si="11"/>
        <v>#DIV/0!</v>
      </c>
      <c r="AA22" s="254" t="e">
        <f>T22/$T$23</f>
        <v>#DIV/0!</v>
      </c>
      <c r="AB22" s="295"/>
      <c r="AC22" s="295"/>
    </row>
    <row r="23" spans="1:29" ht="89.4" thickBot="1" x14ac:dyDescent="0.5">
      <c r="A23" s="209">
        <v>9</v>
      </c>
      <c r="B23" s="224"/>
      <c r="C23" s="225" t="s">
        <v>178</v>
      </c>
      <c r="D23" s="209"/>
      <c r="E23" s="209"/>
      <c r="F23" s="630" t="s">
        <v>218</v>
      </c>
      <c r="G23" s="631"/>
      <c r="H23" s="631"/>
      <c r="I23" s="631"/>
      <c r="J23" s="631"/>
      <c r="K23" s="235">
        <f>SUM(K17:K22)</f>
        <v>16330</v>
      </c>
      <c r="L23" s="235">
        <f>SUM(L17:L22)</f>
        <v>0</v>
      </c>
      <c r="M23" s="235">
        <f>SUM(M17:M22)</f>
        <v>0</v>
      </c>
      <c r="N23" s="236">
        <f>SUM(N17:N22)</f>
        <v>16330</v>
      </c>
      <c r="Q23" s="639" t="s">
        <v>218</v>
      </c>
      <c r="R23" s="640"/>
      <c r="S23" s="640"/>
      <c r="T23" s="323">
        <f>SUM(T17:T22)</f>
        <v>0</v>
      </c>
      <c r="U23" s="324">
        <f>SUM(U17:U22)</f>
        <v>16330</v>
      </c>
      <c r="V23" s="325"/>
      <c r="W23" s="325"/>
      <c r="X23" s="326">
        <f>SUM(X17:X22)</f>
        <v>0</v>
      </c>
      <c r="Y23" s="327">
        <f t="shared" si="10"/>
        <v>0</v>
      </c>
      <c r="Z23" s="257" t="s">
        <v>216</v>
      </c>
      <c r="AA23" s="328" t="s">
        <v>217</v>
      </c>
      <c r="AB23" s="295"/>
      <c r="AC23" s="295"/>
    </row>
    <row r="24" spans="1:29" ht="67.2" thickBot="1" x14ac:dyDescent="0.5">
      <c r="A24" s="251">
        <v>10</v>
      </c>
      <c r="B24" s="329"/>
      <c r="C24" s="252" t="s">
        <v>214</v>
      </c>
      <c r="D24" s="251"/>
      <c r="E24" s="251"/>
      <c r="F24" s="119" t="s">
        <v>215</v>
      </c>
      <c r="G24" s="120"/>
      <c r="H24" s="120"/>
      <c r="I24" s="120"/>
      <c r="J24" s="120"/>
      <c r="K24" s="121">
        <f>SUM(K17:K22)</f>
        <v>16330</v>
      </c>
      <c r="L24" s="121">
        <f>SUM(L17:L22)</f>
        <v>0</v>
      </c>
      <c r="M24" s="121">
        <f>SUM(M17:M22)</f>
        <v>0</v>
      </c>
      <c r="N24" s="122">
        <f>SUM(N17:N22)</f>
        <v>16330</v>
      </c>
      <c r="Q24" s="105" t="s">
        <v>43</v>
      </c>
      <c r="R24" s="106"/>
      <c r="S24" s="106"/>
      <c r="T24" s="107">
        <f>SUM(T17:T22)</f>
        <v>0</v>
      </c>
      <c r="U24" s="107">
        <f>SUM(U17:U22)</f>
        <v>16330</v>
      </c>
      <c r="V24" s="106"/>
      <c r="W24" s="106"/>
      <c r="X24" s="107">
        <f>SUM(X17:X22)</f>
        <v>0</v>
      </c>
      <c r="Y24" s="107">
        <f>SUM(Y17:Y22)</f>
        <v>0</v>
      </c>
      <c r="Z24" s="134">
        <f>IF(Q24&lt;&gt;"",(N24-Y24)/N24,"")</f>
        <v>1</v>
      </c>
      <c r="AA24" s="194">
        <f>IF(Z24&lt;&gt;"",(N24-Y24),"")</f>
        <v>16330</v>
      </c>
      <c r="AB24" s="295"/>
      <c r="AC24" s="295"/>
    </row>
    <row r="27" spans="1:29" ht="23.4" x14ac:dyDescent="0.45">
      <c r="AB27" s="262">
        <v>0</v>
      </c>
      <c r="AC27" s="263" t="s">
        <v>157</v>
      </c>
    </row>
    <row r="28" spans="1:29" ht="23.4" x14ac:dyDescent="0.45">
      <c r="AB28" s="264">
        <v>0</v>
      </c>
      <c r="AC28" s="265" t="s">
        <v>375</v>
      </c>
    </row>
    <row r="29" spans="1:29" ht="23.4" x14ac:dyDescent="0.45">
      <c r="AB29" s="264">
        <v>0</v>
      </c>
      <c r="AC29" s="265" t="s">
        <v>376</v>
      </c>
    </row>
    <row r="30" spans="1:29" ht="23.4" x14ac:dyDescent="0.45">
      <c r="AB30" s="266">
        <v>0</v>
      </c>
      <c r="AC30" s="267" t="s">
        <v>377</v>
      </c>
    </row>
    <row r="31" spans="1:29" ht="23.4" x14ac:dyDescent="0.45">
      <c r="AB31" s="266">
        <v>0</v>
      </c>
      <c r="AC31" s="268"/>
    </row>
    <row r="33" spans="15:15" x14ac:dyDescent="0.4">
      <c r="O33" s="271">
        <v>0</v>
      </c>
    </row>
  </sheetData>
  <mergeCells count="13">
    <mergeCell ref="F23:J23"/>
    <mergeCell ref="Q23:S23"/>
    <mergeCell ref="F1:G1"/>
    <mergeCell ref="F2:G2"/>
    <mergeCell ref="Q12:T12"/>
    <mergeCell ref="AK12:AL12"/>
    <mergeCell ref="F15:N15"/>
    <mergeCell ref="Q15:Y15"/>
    <mergeCell ref="F16:K16"/>
    <mergeCell ref="Q16:Y16"/>
    <mergeCell ref="U12:X12"/>
    <mergeCell ref="AG12:AH12"/>
    <mergeCell ref="AB14:AC14"/>
  </mergeCells>
  <dataValidations count="3">
    <dataValidation type="list" allowBlank="1" showInputMessage="1" showErrorMessage="1" sqref="E24" xr:uid="{54126F95-14DC-4F2F-8F15-CA3877773A47}">
      <formula1>"FAT.OGGI,FAT.CLIENTE "</formula1>
    </dataValidation>
    <dataValidation type="list" allowBlank="1" showInputMessage="1" showErrorMessage="1" sqref="D24 D17:D22" xr:uid="{C80C40F8-589B-4222-9EE4-8C1CC6B0D285}">
      <formula1>"INTERNO,OPERACIONAL"</formula1>
    </dataValidation>
    <dataValidation type="list" allowBlank="1" showInputMessage="1" showErrorMessage="1" sqref="E17:E22" xr:uid="{E959FABC-259C-4E82-BF58-E4B19BB0B094}">
      <formula1>"FAT.OGGI,FAT.CLIENTE"</formula1>
    </dataValidation>
  </dataValidations>
  <pageMargins left="0.511811024" right="0.511811024" top="0.78740157499999996" bottom="0.78740157499999996" header="0.31496062000000002" footer="0.31496062000000002"/>
  <pageSetup paperSize="9" orientation="portrait" horizontalDpi="360" verticalDpi="36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C3C35-C715-4E1B-8C6F-64ECF3B892BB}">
  <sheetPr codeName="Planilha3"/>
  <dimension ref="A8:L23"/>
  <sheetViews>
    <sheetView zoomScale="70" zoomScaleNormal="70" workbookViewId="0">
      <selection activeCell="A8" sqref="A8"/>
    </sheetView>
  </sheetViews>
  <sheetFormatPr defaultColWidth="46.21875" defaultRowHeight="14.4" x14ac:dyDescent="0.3"/>
  <cols>
    <col min="1" max="1" width="7.21875" bestFit="1" customWidth="1"/>
    <col min="2" max="2" width="23.21875" customWidth="1"/>
    <col min="3" max="3" width="50" customWidth="1"/>
    <col min="4" max="4" width="54.44140625" bestFit="1" customWidth="1"/>
    <col min="5" max="5" width="73.21875" customWidth="1"/>
    <col min="6" max="7" width="20.77734375" bestFit="1" customWidth="1"/>
    <col min="8" max="8" width="11.77734375" bestFit="1" customWidth="1"/>
    <col min="9" max="9" width="13.21875" customWidth="1"/>
  </cols>
  <sheetData>
    <row r="8" spans="1:12" ht="16.2" x14ac:dyDescent="0.35">
      <c r="A8" s="25" t="s">
        <v>48</v>
      </c>
      <c r="B8" s="25" t="s">
        <v>49</v>
      </c>
      <c r="C8" s="25" t="s">
        <v>50</v>
      </c>
      <c r="D8" s="25" t="s">
        <v>51</v>
      </c>
      <c r="E8" s="25" t="s">
        <v>52</v>
      </c>
      <c r="F8" s="25" t="s">
        <v>53</v>
      </c>
      <c r="G8" s="26" t="s">
        <v>46</v>
      </c>
      <c r="H8" s="26" t="s">
        <v>47</v>
      </c>
      <c r="I8" s="26" t="s">
        <v>9</v>
      </c>
      <c r="J8" s="26" t="s">
        <v>10</v>
      </c>
      <c r="K8" s="26" t="s">
        <v>54</v>
      </c>
      <c r="L8" s="26" t="s">
        <v>55</v>
      </c>
    </row>
    <row r="9" spans="1:12" x14ac:dyDescent="0.3">
      <c r="A9">
        <v>34</v>
      </c>
      <c r="B9" t="s">
        <v>205</v>
      </c>
      <c r="C9" t="s">
        <v>206</v>
      </c>
      <c r="D9" t="s">
        <v>251</v>
      </c>
      <c r="E9" t="s">
        <v>252</v>
      </c>
      <c r="F9" t="s">
        <v>289</v>
      </c>
      <c r="G9" t="s">
        <v>296</v>
      </c>
      <c r="H9" t="s">
        <v>297</v>
      </c>
      <c r="I9" t="s">
        <v>293</v>
      </c>
      <c r="J9" t="s">
        <v>290</v>
      </c>
      <c r="K9" t="s">
        <v>291</v>
      </c>
      <c r="L9" t="s">
        <v>292</v>
      </c>
    </row>
    <row r="10" spans="1:12" ht="244.8" x14ac:dyDescent="0.3">
      <c r="A10">
        <v>17</v>
      </c>
      <c r="B10" t="s">
        <v>197</v>
      </c>
      <c r="C10" t="s">
        <v>192</v>
      </c>
      <c r="D10" t="s">
        <v>287</v>
      </c>
      <c r="E10" s="178" t="s">
        <v>304</v>
      </c>
      <c r="F10" t="s">
        <v>289</v>
      </c>
      <c r="G10" t="s">
        <v>305</v>
      </c>
      <c r="H10" t="s">
        <v>306</v>
      </c>
      <c r="I10" t="s">
        <v>301</v>
      </c>
      <c r="J10" t="s">
        <v>298</v>
      </c>
      <c r="K10" t="s">
        <v>299</v>
      </c>
      <c r="L10" t="s">
        <v>300</v>
      </c>
    </row>
    <row r="11" spans="1:12" x14ac:dyDescent="0.3">
      <c r="A11">
        <v>37</v>
      </c>
      <c r="B11" t="s">
        <v>205</v>
      </c>
      <c r="C11" t="s">
        <v>206</v>
      </c>
      <c r="D11" t="s">
        <v>211</v>
      </c>
      <c r="E11" t="s">
        <v>265</v>
      </c>
      <c r="F11" t="s">
        <v>307</v>
      </c>
      <c r="G11" t="s">
        <v>296</v>
      </c>
      <c r="H11" t="s">
        <v>297</v>
      </c>
      <c r="I11" t="s">
        <v>311</v>
      </c>
      <c r="J11" t="s">
        <v>308</v>
      </c>
      <c r="K11" t="s">
        <v>309</v>
      </c>
      <c r="L11" t="s">
        <v>310</v>
      </c>
    </row>
    <row r="12" spans="1:12" ht="28.8" x14ac:dyDescent="0.3">
      <c r="A12">
        <v>36</v>
      </c>
      <c r="B12" t="s">
        <v>205</v>
      </c>
      <c r="C12" t="s">
        <v>206</v>
      </c>
      <c r="D12" t="s">
        <v>210</v>
      </c>
      <c r="E12" s="178" t="s">
        <v>317</v>
      </c>
      <c r="F12" t="s">
        <v>312</v>
      </c>
      <c r="G12" t="s">
        <v>296</v>
      </c>
      <c r="H12" t="s">
        <v>297</v>
      </c>
      <c r="I12" t="s">
        <v>316</v>
      </c>
      <c r="J12" t="s">
        <v>313</v>
      </c>
      <c r="K12" t="s">
        <v>314</v>
      </c>
      <c r="L12" t="s">
        <v>315</v>
      </c>
    </row>
    <row r="13" spans="1:12" x14ac:dyDescent="0.3">
      <c r="A13">
        <v>37</v>
      </c>
      <c r="B13" t="s">
        <v>205</v>
      </c>
      <c r="C13" t="s">
        <v>206</v>
      </c>
      <c r="D13" t="s">
        <v>211</v>
      </c>
      <c r="E13" t="s">
        <v>265</v>
      </c>
      <c r="F13" t="s">
        <v>318</v>
      </c>
      <c r="G13" t="s">
        <v>296</v>
      </c>
      <c r="H13" t="s">
        <v>322</v>
      </c>
      <c r="I13" t="s">
        <v>321</v>
      </c>
      <c r="J13" t="s">
        <v>319</v>
      </c>
      <c r="K13" t="s">
        <v>296</v>
      </c>
      <c r="L13" t="s">
        <v>320</v>
      </c>
    </row>
    <row r="14" spans="1:12" x14ac:dyDescent="0.3">
      <c r="A14">
        <v>37</v>
      </c>
      <c r="B14" t="s">
        <v>205</v>
      </c>
      <c r="C14" t="s">
        <v>206</v>
      </c>
      <c r="D14" t="s">
        <v>211</v>
      </c>
      <c r="E14" t="s">
        <v>265</v>
      </c>
      <c r="F14" t="s">
        <v>323</v>
      </c>
      <c r="G14" t="s">
        <v>296</v>
      </c>
      <c r="H14" t="s">
        <v>76</v>
      </c>
      <c r="I14" t="s">
        <v>324</v>
      </c>
      <c r="J14" t="s">
        <v>11</v>
      </c>
      <c r="K14" t="s">
        <v>11</v>
      </c>
      <c r="L14" t="s">
        <v>11</v>
      </c>
    </row>
    <row r="15" spans="1:12" x14ac:dyDescent="0.3">
      <c r="A15">
        <v>37</v>
      </c>
      <c r="B15" t="s">
        <v>205</v>
      </c>
      <c r="C15" t="s">
        <v>206</v>
      </c>
      <c r="D15" t="s">
        <v>211</v>
      </c>
      <c r="E15" t="s">
        <v>265</v>
      </c>
      <c r="F15" t="s">
        <v>323</v>
      </c>
      <c r="G15" t="s">
        <v>296</v>
      </c>
      <c r="H15" t="s">
        <v>297</v>
      </c>
      <c r="I15" t="s">
        <v>327</v>
      </c>
      <c r="J15" t="s">
        <v>325</v>
      </c>
      <c r="K15" t="s">
        <v>326</v>
      </c>
      <c r="L15" t="s">
        <v>11</v>
      </c>
    </row>
    <row r="16" spans="1:12" x14ac:dyDescent="0.3">
      <c r="A16">
        <v>32</v>
      </c>
      <c r="B16" t="s">
        <v>205</v>
      </c>
      <c r="C16" t="s">
        <v>206</v>
      </c>
      <c r="D16" t="s">
        <v>250</v>
      </c>
      <c r="E16" t="s">
        <v>254</v>
      </c>
      <c r="F16" t="s">
        <v>323</v>
      </c>
      <c r="G16" t="s">
        <v>296</v>
      </c>
      <c r="H16" t="s">
        <v>297</v>
      </c>
      <c r="I16" t="s">
        <v>329</v>
      </c>
      <c r="J16" t="s">
        <v>325</v>
      </c>
      <c r="K16" t="s">
        <v>326</v>
      </c>
      <c r="L16" t="s">
        <v>11</v>
      </c>
    </row>
    <row r="17" spans="1:12" ht="28.8" x14ac:dyDescent="0.3">
      <c r="A17">
        <v>31</v>
      </c>
      <c r="B17" t="s">
        <v>205</v>
      </c>
      <c r="C17" t="s">
        <v>206</v>
      </c>
      <c r="D17" t="s">
        <v>249</v>
      </c>
      <c r="E17" s="178" t="s">
        <v>253</v>
      </c>
      <c r="F17" t="s">
        <v>332</v>
      </c>
      <c r="G17" t="s">
        <v>296</v>
      </c>
      <c r="H17" t="s">
        <v>297</v>
      </c>
      <c r="I17" t="s">
        <v>337</v>
      </c>
      <c r="J17" t="s">
        <v>333</v>
      </c>
      <c r="K17" t="s">
        <v>334</v>
      </c>
      <c r="L17" t="s">
        <v>336</v>
      </c>
    </row>
    <row r="18" spans="1:12" x14ac:dyDescent="0.3">
      <c r="A18">
        <v>28</v>
      </c>
      <c r="B18" t="s">
        <v>205</v>
      </c>
      <c r="C18" t="s">
        <v>206</v>
      </c>
      <c r="D18" t="s">
        <v>208</v>
      </c>
      <c r="E18" t="s">
        <v>261</v>
      </c>
      <c r="F18" t="s">
        <v>348</v>
      </c>
      <c r="G18" t="s">
        <v>353</v>
      </c>
      <c r="H18" t="s">
        <v>297</v>
      </c>
      <c r="I18" t="s">
        <v>350</v>
      </c>
      <c r="J18" t="s">
        <v>319</v>
      </c>
      <c r="K18" t="s">
        <v>296</v>
      </c>
      <c r="L18" t="s">
        <v>320</v>
      </c>
    </row>
    <row r="19" spans="1:12" x14ac:dyDescent="0.3">
      <c r="A19">
        <v>30</v>
      </c>
      <c r="B19" t="s">
        <v>205</v>
      </c>
      <c r="C19" t="s">
        <v>206</v>
      </c>
      <c r="D19" t="s">
        <v>248</v>
      </c>
      <c r="E19" t="s">
        <v>262</v>
      </c>
      <c r="F19" t="s">
        <v>348</v>
      </c>
      <c r="G19" t="s">
        <v>296</v>
      </c>
      <c r="H19" t="s">
        <v>297</v>
      </c>
      <c r="I19" t="s">
        <v>329</v>
      </c>
      <c r="J19" t="s">
        <v>333</v>
      </c>
      <c r="K19" t="s">
        <v>334</v>
      </c>
      <c r="L19" t="s">
        <v>336</v>
      </c>
    </row>
    <row r="20" spans="1:12" x14ac:dyDescent="0.3">
      <c r="A20">
        <v>33</v>
      </c>
      <c r="B20" t="s">
        <v>205</v>
      </c>
      <c r="C20" t="s">
        <v>206</v>
      </c>
      <c r="D20" t="s">
        <v>264</v>
      </c>
      <c r="E20" t="s">
        <v>264</v>
      </c>
      <c r="F20" t="s">
        <v>348</v>
      </c>
      <c r="G20" t="s">
        <v>296</v>
      </c>
      <c r="H20" t="s">
        <v>297</v>
      </c>
      <c r="I20" t="s">
        <v>357</v>
      </c>
      <c r="J20" t="s">
        <v>333</v>
      </c>
      <c r="K20" t="s">
        <v>334</v>
      </c>
      <c r="L20" t="s">
        <v>336</v>
      </c>
    </row>
    <row r="21" spans="1:12" ht="28.8" x14ac:dyDescent="0.3">
      <c r="A21">
        <v>36</v>
      </c>
      <c r="B21" t="s">
        <v>205</v>
      </c>
      <c r="C21" t="s">
        <v>206</v>
      </c>
      <c r="D21" t="s">
        <v>210</v>
      </c>
      <c r="E21" s="178" t="s">
        <v>317</v>
      </c>
      <c r="F21" t="s">
        <v>348</v>
      </c>
      <c r="G21" t="s">
        <v>365</v>
      </c>
      <c r="H21" t="s">
        <v>76</v>
      </c>
      <c r="I21" t="s">
        <v>362</v>
      </c>
      <c r="J21" t="s">
        <v>358</v>
      </c>
      <c r="K21" t="s">
        <v>359</v>
      </c>
      <c r="L21" t="s">
        <v>361</v>
      </c>
    </row>
    <row r="22" spans="1:12" x14ac:dyDescent="0.3">
      <c r="A22">
        <v>27</v>
      </c>
      <c r="B22" t="s">
        <v>347</v>
      </c>
      <c r="C22" t="s">
        <v>206</v>
      </c>
      <c r="D22" t="s">
        <v>344</v>
      </c>
      <c r="E22" t="s">
        <v>345</v>
      </c>
      <c r="F22" t="s">
        <v>366</v>
      </c>
      <c r="G22" t="s">
        <v>296</v>
      </c>
      <c r="H22" t="s">
        <v>76</v>
      </c>
      <c r="I22" t="s">
        <v>368</v>
      </c>
      <c r="J22" t="s">
        <v>313</v>
      </c>
      <c r="K22" t="s">
        <v>314</v>
      </c>
      <c r="L22" t="s">
        <v>315</v>
      </c>
    </row>
    <row r="23" spans="1:12" x14ac:dyDescent="0.3">
      <c r="A23">
        <v>12</v>
      </c>
      <c r="B23" t="s">
        <v>182</v>
      </c>
      <c r="C23" t="s">
        <v>183</v>
      </c>
      <c r="D23" t="s">
        <v>188</v>
      </c>
      <c r="E23" t="s">
        <v>188</v>
      </c>
      <c r="F23" t="s">
        <v>366</v>
      </c>
      <c r="G23" t="s">
        <v>296</v>
      </c>
      <c r="H23" t="s">
        <v>76</v>
      </c>
      <c r="I23" t="s">
        <v>373</v>
      </c>
      <c r="J23" t="s">
        <v>298</v>
      </c>
      <c r="K23" t="s">
        <v>299</v>
      </c>
      <c r="L23" t="s">
        <v>300</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7A351-E9F1-4E5C-8A08-61072E4C8BD4}">
  <sheetPr codeName="Planilha7"/>
  <dimension ref="A1:O28"/>
  <sheetViews>
    <sheetView zoomScaleNormal="100" workbookViewId="0">
      <selection activeCell="D17" sqref="D17"/>
    </sheetView>
  </sheetViews>
  <sheetFormatPr defaultRowHeight="14.4" x14ac:dyDescent="0.3"/>
  <cols>
    <col min="1" max="1" width="35.21875" customWidth="1"/>
    <col min="2" max="3" width="20.21875" customWidth="1"/>
    <col min="4" max="4" width="40.44140625" customWidth="1"/>
    <col min="5" max="5" width="17.77734375" customWidth="1"/>
    <col min="6" max="7" width="15.21875" customWidth="1"/>
    <col min="8" max="8" width="25.21875" customWidth="1"/>
    <col min="9" max="10" width="15.21875" customWidth="1"/>
    <col min="11" max="11" width="10.21875" customWidth="1"/>
    <col min="12" max="12" width="15.21875" customWidth="1"/>
    <col min="13" max="13" width="12.77734375" customWidth="1"/>
    <col min="14" max="14" width="15.21875" customWidth="1"/>
    <col min="15" max="15" width="40.44140625" customWidth="1"/>
  </cols>
  <sheetData>
    <row r="1" spans="1:15" ht="15" x14ac:dyDescent="0.3">
      <c r="A1" s="647" t="s">
        <v>11</v>
      </c>
      <c r="B1" s="647"/>
      <c r="C1" s="647"/>
      <c r="D1" s="649" t="s">
        <v>80</v>
      </c>
      <c r="E1" s="649"/>
      <c r="F1" s="649"/>
      <c r="G1" s="649"/>
      <c r="H1" s="649"/>
      <c r="I1" s="649"/>
      <c r="J1" s="35" t="s">
        <v>11</v>
      </c>
      <c r="K1" s="35" t="s">
        <v>11</v>
      </c>
      <c r="L1" s="35" t="s">
        <v>11</v>
      </c>
      <c r="M1" s="35" t="s">
        <v>11</v>
      </c>
      <c r="N1" s="35" t="s">
        <v>11</v>
      </c>
      <c r="O1" s="36" t="s">
        <v>11</v>
      </c>
    </row>
    <row r="2" spans="1:15" x14ac:dyDescent="0.3">
      <c r="A2" s="648"/>
      <c r="B2" s="648"/>
      <c r="C2" s="648"/>
      <c r="D2" s="647" t="s">
        <v>81</v>
      </c>
      <c r="E2" s="647"/>
      <c r="F2" s="647"/>
      <c r="G2" s="647"/>
      <c r="H2" s="647"/>
      <c r="I2" s="647"/>
      <c r="J2" s="35"/>
      <c r="K2" s="35"/>
      <c r="L2" s="35"/>
      <c r="M2" s="35"/>
      <c r="N2" s="35"/>
      <c r="O2" s="650" t="s">
        <v>82</v>
      </c>
    </row>
    <row r="3" spans="1:15" x14ac:dyDescent="0.3">
      <c r="A3" s="648"/>
      <c r="B3" s="648"/>
      <c r="C3" s="648"/>
      <c r="D3" s="647" t="s">
        <v>83</v>
      </c>
      <c r="E3" s="647"/>
      <c r="F3" s="647"/>
      <c r="G3" s="647"/>
      <c r="H3" s="647"/>
      <c r="I3" s="647"/>
      <c r="J3" s="35"/>
      <c r="K3" s="35"/>
      <c r="L3" s="35"/>
      <c r="M3" s="35"/>
      <c r="N3" s="35"/>
      <c r="O3" s="651"/>
    </row>
    <row r="4" spans="1:15" x14ac:dyDescent="0.3">
      <c r="A4" s="648"/>
      <c r="B4" s="648"/>
      <c r="C4" s="648"/>
      <c r="D4" s="647" t="s">
        <v>84</v>
      </c>
      <c r="E4" s="647"/>
      <c r="F4" s="647"/>
      <c r="G4" s="647"/>
      <c r="H4" s="647"/>
      <c r="I4" s="647"/>
      <c r="J4" s="35"/>
      <c r="K4" s="35"/>
      <c r="L4" s="35"/>
      <c r="M4" s="35"/>
      <c r="N4" s="35"/>
      <c r="O4" s="651"/>
    </row>
    <row r="5" spans="1:15" x14ac:dyDescent="0.3">
      <c r="A5" s="648"/>
      <c r="B5" s="648"/>
      <c r="C5" s="648"/>
      <c r="D5" s="647" t="s">
        <v>85</v>
      </c>
      <c r="E5" s="647"/>
      <c r="F5" s="647"/>
      <c r="G5" s="647"/>
      <c r="H5" s="647"/>
      <c r="I5" s="647"/>
      <c r="J5" s="35"/>
      <c r="K5" s="35"/>
      <c r="L5" s="35"/>
      <c r="M5" s="35"/>
      <c r="N5" s="35"/>
      <c r="O5" s="651"/>
    </row>
    <row r="6" spans="1:15" x14ac:dyDescent="0.3">
      <c r="A6" s="648"/>
      <c r="B6" s="648"/>
      <c r="C6" s="648"/>
      <c r="D6" s="35"/>
      <c r="E6" s="35"/>
      <c r="F6" s="35"/>
      <c r="G6" s="35"/>
      <c r="H6" s="35"/>
      <c r="I6" s="35"/>
      <c r="J6" s="35"/>
      <c r="K6" s="35"/>
      <c r="L6" s="35"/>
      <c r="M6" s="35"/>
      <c r="N6" s="35"/>
      <c r="O6" s="651"/>
    </row>
    <row r="7" spans="1:15" x14ac:dyDescent="0.3">
      <c r="A7" s="648"/>
      <c r="B7" s="648"/>
      <c r="C7" s="648"/>
      <c r="D7" s="647" t="s">
        <v>86</v>
      </c>
      <c r="E7" s="647"/>
      <c r="F7" s="647"/>
      <c r="G7" s="647"/>
      <c r="H7" s="647"/>
      <c r="I7" s="647"/>
      <c r="J7" s="35"/>
      <c r="K7" s="35"/>
      <c r="L7" s="35"/>
      <c r="M7" s="35"/>
      <c r="N7" s="35"/>
      <c r="O7" s="37">
        <v>45264.482613275461</v>
      </c>
    </row>
    <row r="8" spans="1:15" x14ac:dyDescent="0.3">
      <c r="A8" s="646" t="s">
        <v>87</v>
      </c>
      <c r="B8" s="646"/>
      <c r="C8" s="646"/>
      <c r="D8" s="646"/>
      <c r="E8" s="646"/>
      <c r="F8" s="646"/>
      <c r="G8" s="646"/>
      <c r="H8" s="646"/>
      <c r="I8" s="646"/>
      <c r="J8" s="646"/>
      <c r="K8" s="646"/>
      <c r="L8" s="646"/>
      <c r="M8" s="646"/>
      <c r="N8" s="646"/>
      <c r="O8" s="646"/>
    </row>
    <row r="9" spans="1:15" ht="27.6" x14ac:dyDescent="0.3">
      <c r="A9" s="38" t="s">
        <v>88</v>
      </c>
      <c r="B9" s="38" t="s">
        <v>89</v>
      </c>
      <c r="C9" s="38" t="s">
        <v>90</v>
      </c>
      <c r="D9" s="38" t="s">
        <v>52</v>
      </c>
      <c r="E9" s="38" t="s">
        <v>91</v>
      </c>
      <c r="F9" s="38" t="s">
        <v>92</v>
      </c>
      <c r="G9" s="38" t="s">
        <v>34</v>
      </c>
      <c r="H9" s="38" t="s">
        <v>93</v>
      </c>
      <c r="I9" s="38" t="s">
        <v>94</v>
      </c>
      <c r="J9" s="38" t="s">
        <v>92</v>
      </c>
      <c r="K9" s="38" t="s">
        <v>95</v>
      </c>
      <c r="L9" s="38" t="s">
        <v>96</v>
      </c>
      <c r="M9" s="38" t="s">
        <v>97</v>
      </c>
      <c r="N9" s="38" t="s">
        <v>98</v>
      </c>
      <c r="O9" s="39" t="s">
        <v>99</v>
      </c>
    </row>
    <row r="10" spans="1:15" x14ac:dyDescent="0.3">
      <c r="A10" s="40" t="s">
        <v>49</v>
      </c>
      <c r="B10" s="41">
        <v>1</v>
      </c>
      <c r="C10" s="40" t="s">
        <v>109</v>
      </c>
      <c r="D10" s="40" t="s">
        <v>63</v>
      </c>
      <c r="E10" s="40">
        <v>1</v>
      </c>
      <c r="F10" s="42">
        <v>20000</v>
      </c>
      <c r="G10" s="42">
        <v>20000</v>
      </c>
      <c r="H10" s="40" t="s">
        <v>103</v>
      </c>
      <c r="I10" s="42">
        <v>9900</v>
      </c>
      <c r="J10" s="42">
        <v>9900</v>
      </c>
      <c r="K10" s="42" t="s">
        <v>104</v>
      </c>
      <c r="L10" s="43" t="s">
        <v>105</v>
      </c>
      <c r="M10" s="43" t="s">
        <v>105</v>
      </c>
      <c r="N10" s="42">
        <v>0</v>
      </c>
      <c r="O10" s="44" t="s">
        <v>11</v>
      </c>
    </row>
    <row r="11" spans="1:15" x14ac:dyDescent="0.3">
      <c r="A11" s="45" t="s">
        <v>49</v>
      </c>
      <c r="B11" s="46">
        <v>2</v>
      </c>
      <c r="C11" s="45" t="s">
        <v>110</v>
      </c>
      <c r="D11" s="45" t="s">
        <v>72</v>
      </c>
      <c r="E11" s="45">
        <v>1</v>
      </c>
      <c r="F11" s="47">
        <v>11500</v>
      </c>
      <c r="G11" s="47">
        <v>11500</v>
      </c>
      <c r="H11" s="45" t="s">
        <v>103</v>
      </c>
      <c r="I11" s="47">
        <v>7400</v>
      </c>
      <c r="J11" s="47">
        <v>7400</v>
      </c>
      <c r="K11" s="47" t="s">
        <v>104</v>
      </c>
      <c r="L11" s="48" t="s">
        <v>105</v>
      </c>
      <c r="M11" s="48" t="s">
        <v>105</v>
      </c>
      <c r="N11" s="47">
        <v>0</v>
      </c>
      <c r="O11" s="49" t="s">
        <v>11</v>
      </c>
    </row>
    <row r="12" spans="1:15" x14ac:dyDescent="0.3">
      <c r="A12" s="40" t="s">
        <v>106</v>
      </c>
      <c r="B12" s="41">
        <v>3</v>
      </c>
      <c r="C12" s="40" t="s">
        <v>111</v>
      </c>
      <c r="D12" s="40" t="s">
        <v>73</v>
      </c>
      <c r="E12" s="40">
        <v>1</v>
      </c>
      <c r="F12" s="42">
        <v>1000</v>
      </c>
      <c r="G12" s="42">
        <v>1000</v>
      </c>
      <c r="H12" s="40" t="s">
        <v>103</v>
      </c>
      <c r="I12" s="42">
        <v>900</v>
      </c>
      <c r="J12" s="42">
        <v>900</v>
      </c>
      <c r="K12" s="42" t="s">
        <v>104</v>
      </c>
      <c r="L12" s="43" t="s">
        <v>112</v>
      </c>
      <c r="M12" s="43" t="s">
        <v>105</v>
      </c>
      <c r="N12" s="42">
        <v>0</v>
      </c>
      <c r="O12" s="44" t="s">
        <v>74</v>
      </c>
    </row>
    <row r="13" spans="1:15" x14ac:dyDescent="0.3">
      <c r="A13" s="45" t="s">
        <v>106</v>
      </c>
      <c r="B13" s="46">
        <v>4</v>
      </c>
      <c r="C13" s="45" t="s">
        <v>113</v>
      </c>
      <c r="D13" s="45" t="s">
        <v>75</v>
      </c>
      <c r="E13" s="45">
        <v>1</v>
      </c>
      <c r="F13" s="47">
        <v>2000</v>
      </c>
      <c r="G13" s="47">
        <v>2000</v>
      </c>
      <c r="H13" s="45" t="s">
        <v>103</v>
      </c>
      <c r="I13" s="47">
        <v>500</v>
      </c>
      <c r="J13" s="47">
        <v>500</v>
      </c>
      <c r="K13" s="47" t="s">
        <v>104</v>
      </c>
      <c r="L13" s="48" t="s">
        <v>112</v>
      </c>
      <c r="M13" s="48" t="s">
        <v>105</v>
      </c>
      <c r="N13" s="47">
        <v>0</v>
      </c>
      <c r="O13" s="49" t="s">
        <v>76</v>
      </c>
    </row>
    <row r="14" spans="1:15" x14ac:dyDescent="0.3">
      <c r="A14" s="40" t="s">
        <v>106</v>
      </c>
      <c r="B14" s="41">
        <v>5</v>
      </c>
      <c r="C14" s="40" t="s">
        <v>114</v>
      </c>
      <c r="D14" s="40" t="s">
        <v>59</v>
      </c>
      <c r="E14" s="40">
        <v>1</v>
      </c>
      <c r="F14" s="42">
        <v>4000</v>
      </c>
      <c r="G14" s="42">
        <v>4000</v>
      </c>
      <c r="H14" s="40" t="s">
        <v>103</v>
      </c>
      <c r="I14" s="42">
        <v>2000</v>
      </c>
      <c r="J14" s="42">
        <v>2000</v>
      </c>
      <c r="K14" s="42" t="s">
        <v>104</v>
      </c>
      <c r="L14" s="43" t="s">
        <v>112</v>
      </c>
      <c r="M14" s="43" t="s">
        <v>105</v>
      </c>
      <c r="N14" s="42">
        <v>0</v>
      </c>
      <c r="O14" s="44" t="s">
        <v>61</v>
      </c>
    </row>
    <row r="15" spans="1:15" x14ac:dyDescent="0.3">
      <c r="A15" s="45" t="s">
        <v>108</v>
      </c>
      <c r="B15" s="46">
        <v>6</v>
      </c>
      <c r="C15" s="45" t="s">
        <v>115</v>
      </c>
      <c r="D15" s="45" t="s">
        <v>107</v>
      </c>
      <c r="E15" s="45">
        <v>1</v>
      </c>
      <c r="F15" s="47">
        <v>0</v>
      </c>
      <c r="G15" s="47">
        <v>0</v>
      </c>
      <c r="H15" s="45" t="s">
        <v>103</v>
      </c>
      <c r="I15" s="47">
        <v>1000</v>
      </c>
      <c r="J15" s="47">
        <v>1000</v>
      </c>
      <c r="K15" s="47" t="s">
        <v>104</v>
      </c>
      <c r="L15" s="48" t="s">
        <v>112</v>
      </c>
      <c r="M15" s="48" t="s">
        <v>105</v>
      </c>
      <c r="N15" s="47">
        <v>0</v>
      </c>
      <c r="O15" s="49" t="s">
        <v>11</v>
      </c>
    </row>
    <row r="16" spans="1:15" x14ac:dyDescent="0.3">
      <c r="A16" s="40" t="s">
        <v>106</v>
      </c>
      <c r="B16" s="41">
        <v>7</v>
      </c>
      <c r="C16" s="40" t="s">
        <v>116</v>
      </c>
      <c r="D16" s="40" t="s">
        <v>60</v>
      </c>
      <c r="E16" s="40">
        <v>1</v>
      </c>
      <c r="F16" s="42">
        <v>2000</v>
      </c>
      <c r="G16" s="42">
        <v>2000</v>
      </c>
      <c r="H16" s="40" t="s">
        <v>103</v>
      </c>
      <c r="I16" s="42">
        <v>1000</v>
      </c>
      <c r="J16" s="42">
        <v>1000</v>
      </c>
      <c r="K16" s="42" t="s">
        <v>104</v>
      </c>
      <c r="L16" s="43" t="s">
        <v>112</v>
      </c>
      <c r="M16" s="43" t="s">
        <v>105</v>
      </c>
      <c r="N16" s="42">
        <v>0</v>
      </c>
      <c r="O16" s="44" t="s">
        <v>62</v>
      </c>
    </row>
    <row r="17" spans="1:15" x14ac:dyDescent="0.3">
      <c r="A17" s="45" t="s">
        <v>108</v>
      </c>
      <c r="B17" s="46">
        <v>14</v>
      </c>
      <c r="C17" s="45" t="s">
        <v>117</v>
      </c>
      <c r="D17" s="45" t="s">
        <v>79</v>
      </c>
      <c r="E17" s="45">
        <v>1</v>
      </c>
      <c r="F17" s="47">
        <v>2500</v>
      </c>
      <c r="G17" s="47">
        <v>2500</v>
      </c>
      <c r="H17" s="45" t="s">
        <v>103</v>
      </c>
      <c r="I17" s="47">
        <v>2000</v>
      </c>
      <c r="J17" s="47">
        <v>2000</v>
      </c>
      <c r="K17" s="47" t="s">
        <v>118</v>
      </c>
      <c r="L17" s="48" t="s">
        <v>119</v>
      </c>
      <c r="M17" s="48" t="s">
        <v>105</v>
      </c>
      <c r="N17" s="47">
        <v>0</v>
      </c>
      <c r="O17" s="49" t="s">
        <v>11</v>
      </c>
    </row>
    <row r="18" spans="1:15" x14ac:dyDescent="0.3">
      <c r="A18" s="40" t="s">
        <v>49</v>
      </c>
      <c r="B18" s="41">
        <v>8</v>
      </c>
      <c r="C18" s="40" t="s">
        <v>120</v>
      </c>
      <c r="D18" s="40" t="s">
        <v>77</v>
      </c>
      <c r="E18" s="40">
        <v>1</v>
      </c>
      <c r="F18" s="42">
        <v>8500</v>
      </c>
      <c r="G18" s="42">
        <v>8500</v>
      </c>
      <c r="H18" s="40" t="s">
        <v>103</v>
      </c>
      <c r="I18" s="42">
        <v>2500</v>
      </c>
      <c r="J18" s="42">
        <v>2500</v>
      </c>
      <c r="K18" s="42" t="s">
        <v>104</v>
      </c>
      <c r="L18" s="43" t="s">
        <v>105</v>
      </c>
      <c r="M18" s="43" t="s">
        <v>105</v>
      </c>
      <c r="N18" s="42">
        <v>0</v>
      </c>
      <c r="O18" s="44" t="s">
        <v>11</v>
      </c>
    </row>
    <row r="19" spans="1:15" ht="72" x14ac:dyDescent="0.3">
      <c r="A19" s="45" t="s">
        <v>106</v>
      </c>
      <c r="B19" s="46">
        <v>9</v>
      </c>
      <c r="C19" s="45" t="s">
        <v>121</v>
      </c>
      <c r="D19" s="45" t="s">
        <v>64</v>
      </c>
      <c r="E19" s="45">
        <v>2</v>
      </c>
      <c r="F19" s="47">
        <v>2000</v>
      </c>
      <c r="G19" s="47">
        <v>4000</v>
      </c>
      <c r="H19" s="45" t="s">
        <v>103</v>
      </c>
      <c r="I19" s="47">
        <v>1000</v>
      </c>
      <c r="J19" s="47">
        <v>500</v>
      </c>
      <c r="K19" s="47" t="s">
        <v>104</v>
      </c>
      <c r="L19" s="48" t="s">
        <v>112</v>
      </c>
      <c r="M19" s="48" t="s">
        <v>105</v>
      </c>
      <c r="N19" s="47">
        <v>0</v>
      </c>
      <c r="O19" s="50" t="s">
        <v>65</v>
      </c>
    </row>
    <row r="20" spans="1:15" ht="28.8" x14ac:dyDescent="0.3">
      <c r="A20" s="40" t="s">
        <v>106</v>
      </c>
      <c r="B20" s="41">
        <v>10</v>
      </c>
      <c r="C20" s="40" t="s">
        <v>122</v>
      </c>
      <c r="D20" s="40" t="s">
        <v>66</v>
      </c>
      <c r="E20" s="40">
        <v>3</v>
      </c>
      <c r="F20" s="42">
        <v>1500</v>
      </c>
      <c r="G20" s="42">
        <v>4500</v>
      </c>
      <c r="H20" s="40" t="s">
        <v>103</v>
      </c>
      <c r="I20" s="42">
        <v>1500</v>
      </c>
      <c r="J20" s="42">
        <v>500</v>
      </c>
      <c r="K20" s="42" t="s">
        <v>104</v>
      </c>
      <c r="L20" s="43" t="s">
        <v>112</v>
      </c>
      <c r="M20" s="43" t="s">
        <v>105</v>
      </c>
      <c r="N20" s="42">
        <v>0</v>
      </c>
      <c r="O20" s="51" t="s">
        <v>67</v>
      </c>
    </row>
    <row r="21" spans="1:15" x14ac:dyDescent="0.3">
      <c r="A21" s="45" t="s">
        <v>49</v>
      </c>
      <c r="B21" s="46">
        <v>11</v>
      </c>
      <c r="C21" s="45" t="s">
        <v>123</v>
      </c>
      <c r="D21" s="45" t="s">
        <v>68</v>
      </c>
      <c r="E21" s="45">
        <v>1</v>
      </c>
      <c r="F21" s="47">
        <v>7000</v>
      </c>
      <c r="G21" s="47">
        <v>7000</v>
      </c>
      <c r="H21" s="45" t="s">
        <v>103</v>
      </c>
      <c r="I21" s="47">
        <v>300</v>
      </c>
      <c r="J21" s="47">
        <v>300</v>
      </c>
      <c r="K21" s="47" t="s">
        <v>104</v>
      </c>
      <c r="L21" s="48" t="s">
        <v>105</v>
      </c>
      <c r="M21" s="48" t="s">
        <v>105</v>
      </c>
      <c r="N21" s="47">
        <v>0</v>
      </c>
      <c r="O21" s="49" t="s">
        <v>11</v>
      </c>
    </row>
    <row r="22" spans="1:15" x14ac:dyDescent="0.3">
      <c r="A22" s="40" t="s">
        <v>49</v>
      </c>
      <c r="B22" s="41">
        <v>12</v>
      </c>
      <c r="C22" s="40" t="s">
        <v>124</v>
      </c>
      <c r="D22" s="40" t="s">
        <v>69</v>
      </c>
      <c r="E22" s="40">
        <v>1</v>
      </c>
      <c r="F22" s="42">
        <v>7000</v>
      </c>
      <c r="G22" s="42">
        <v>7000</v>
      </c>
      <c r="H22" s="40" t="s">
        <v>103</v>
      </c>
      <c r="I22" s="42">
        <v>300</v>
      </c>
      <c r="J22" s="42">
        <v>300</v>
      </c>
      <c r="K22" s="42" t="s">
        <v>104</v>
      </c>
      <c r="L22" s="43" t="s">
        <v>105</v>
      </c>
      <c r="M22" s="43" t="s">
        <v>105</v>
      </c>
      <c r="N22" s="42">
        <v>0</v>
      </c>
      <c r="O22" s="44" t="s">
        <v>11</v>
      </c>
    </row>
    <row r="23" spans="1:15" x14ac:dyDescent="0.3">
      <c r="A23" s="45" t="s">
        <v>106</v>
      </c>
      <c r="B23" s="46">
        <v>13</v>
      </c>
      <c r="C23" s="45" t="s">
        <v>125</v>
      </c>
      <c r="D23" s="45" t="s">
        <v>78</v>
      </c>
      <c r="E23" s="45">
        <v>1</v>
      </c>
      <c r="F23" s="47">
        <v>5000</v>
      </c>
      <c r="G23" s="47">
        <v>5000</v>
      </c>
      <c r="H23" s="45" t="s">
        <v>103</v>
      </c>
      <c r="I23" s="47">
        <v>200</v>
      </c>
      <c r="J23" s="47">
        <v>200</v>
      </c>
      <c r="K23" s="47" t="s">
        <v>104</v>
      </c>
      <c r="L23" s="48" t="s">
        <v>112</v>
      </c>
      <c r="M23" s="48" t="s">
        <v>105</v>
      </c>
      <c r="N23" s="47">
        <v>0</v>
      </c>
      <c r="O23" s="49" t="s">
        <v>11</v>
      </c>
    </row>
    <row r="24" spans="1:15" x14ac:dyDescent="0.3">
      <c r="A24" s="40" t="s">
        <v>106</v>
      </c>
      <c r="B24" s="41">
        <v>15</v>
      </c>
      <c r="C24" s="40" t="s">
        <v>126</v>
      </c>
      <c r="D24" s="40" t="s">
        <v>79</v>
      </c>
      <c r="E24" s="40">
        <v>1</v>
      </c>
      <c r="F24" s="42">
        <v>2000</v>
      </c>
      <c r="G24" s="42">
        <v>2000</v>
      </c>
      <c r="H24" s="40" t="s">
        <v>103</v>
      </c>
      <c r="I24" s="42">
        <v>100</v>
      </c>
      <c r="J24" s="42">
        <v>100</v>
      </c>
      <c r="K24" s="42" t="s">
        <v>104</v>
      </c>
      <c r="L24" s="43" t="s">
        <v>112</v>
      </c>
      <c r="M24" s="43" t="s">
        <v>105</v>
      </c>
      <c r="N24" s="42">
        <v>0</v>
      </c>
      <c r="O24" s="44" t="s">
        <v>11</v>
      </c>
    </row>
    <row r="25" spans="1:15" x14ac:dyDescent="0.3">
      <c r="A25" s="45"/>
      <c r="B25" s="46"/>
      <c r="C25" s="45"/>
      <c r="D25" s="45"/>
      <c r="E25" s="45"/>
      <c r="F25" s="47"/>
      <c r="G25" s="47"/>
      <c r="H25" s="45"/>
      <c r="I25" s="47"/>
      <c r="J25" s="47"/>
      <c r="K25" s="47"/>
      <c r="L25" s="48"/>
      <c r="M25" s="48"/>
      <c r="N25" s="47"/>
      <c r="O25" s="49"/>
    </row>
    <row r="26" spans="1:15" x14ac:dyDescent="0.3">
      <c r="A26" s="40" t="s">
        <v>100</v>
      </c>
      <c r="B26" s="41"/>
      <c r="C26" s="40"/>
      <c r="D26" s="40"/>
      <c r="E26" s="40"/>
      <c r="F26" s="42"/>
      <c r="G26" s="42"/>
      <c r="H26" s="40"/>
      <c r="I26" s="42"/>
      <c r="J26" s="42"/>
      <c r="K26" s="42"/>
      <c r="L26" s="43"/>
      <c r="M26" s="43"/>
      <c r="N26" s="42"/>
      <c r="O26" s="44"/>
    </row>
    <row r="27" spans="1:15" x14ac:dyDescent="0.3">
      <c r="A27" s="45" t="s">
        <v>101</v>
      </c>
      <c r="B27" s="46"/>
      <c r="C27" s="45"/>
      <c r="D27" s="45"/>
      <c r="E27" s="45"/>
      <c r="F27" s="47"/>
      <c r="G27" s="47"/>
      <c r="H27" s="45"/>
      <c r="I27" s="47"/>
      <c r="J27" s="47"/>
      <c r="K27" s="47"/>
      <c r="L27" s="48"/>
      <c r="M27" s="48"/>
      <c r="N27" s="47"/>
      <c r="O27" s="49"/>
    </row>
    <row r="28" spans="1:15" x14ac:dyDescent="0.3">
      <c r="A28" s="52" t="s">
        <v>102</v>
      </c>
      <c r="B28" s="53"/>
      <c r="C28" s="52"/>
      <c r="D28" s="52"/>
      <c r="E28" s="52"/>
      <c r="F28" s="54"/>
      <c r="G28" s="54"/>
      <c r="H28" s="52"/>
      <c r="I28" s="54"/>
      <c r="J28" s="54"/>
      <c r="K28" s="54"/>
      <c r="L28" s="55"/>
      <c r="M28" s="55"/>
      <c r="N28" s="54"/>
      <c r="O28" s="56"/>
    </row>
  </sheetData>
  <mergeCells count="9">
    <mergeCell ref="A8:O8"/>
    <mergeCell ref="A1:C7"/>
    <mergeCell ref="D1:I1"/>
    <mergeCell ref="D2:I2"/>
    <mergeCell ref="O2:O6"/>
    <mergeCell ref="D3:I3"/>
    <mergeCell ref="D4:I4"/>
    <mergeCell ref="D5:I5"/>
    <mergeCell ref="D7:I7"/>
  </mergeCells>
  <pageMargins left="0.7" right="0.7" top="0.75" bottom="0.75" header="0.3" footer="0.3"/>
  <pageSetup paperSize="9" fitToWidth="0" fitToHeight="0"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71ACB-2A33-4DFE-B05C-79C718CF6527}">
  <sheetPr codeName="Planilha5"/>
  <dimension ref="B1:L52"/>
  <sheetViews>
    <sheetView showGridLines="0" workbookViewId="0">
      <selection activeCell="C39" sqref="C39:K45"/>
    </sheetView>
  </sheetViews>
  <sheetFormatPr defaultRowHeight="14.4" x14ac:dyDescent="0.3"/>
  <cols>
    <col min="1" max="2" width="1.77734375" customWidth="1"/>
    <col min="3" max="3" width="12.44140625" customWidth="1"/>
    <col min="4" max="4" width="4.77734375" customWidth="1"/>
    <col min="5" max="5" width="10.77734375" customWidth="1"/>
    <col min="6" max="6" width="7.77734375" bestFit="1" customWidth="1"/>
    <col min="7" max="7" width="11" customWidth="1"/>
    <col min="8" max="8" width="11.21875" customWidth="1"/>
    <col min="9" max="9" width="11.77734375" customWidth="1"/>
    <col min="10" max="10" width="4.77734375" customWidth="1"/>
    <col min="11" max="11" width="14.5546875" customWidth="1"/>
    <col min="12" max="12" width="1.77734375" customWidth="1"/>
  </cols>
  <sheetData>
    <row r="1" spans="2:12" ht="8.5500000000000007" customHeight="1" thickBot="1" x14ac:dyDescent="0.35"/>
    <row r="2" spans="2:12" ht="38.549999999999997" customHeight="1" x14ac:dyDescent="0.4">
      <c r="B2" s="685" t="s">
        <v>3</v>
      </c>
      <c r="C2" s="686"/>
      <c r="D2" s="686"/>
      <c r="E2" s="686"/>
      <c r="F2" s="686"/>
      <c r="G2" s="686"/>
      <c r="H2" s="686"/>
      <c r="I2" s="686"/>
      <c r="J2" s="686"/>
      <c r="K2" s="686"/>
      <c r="L2" s="687"/>
    </row>
    <row r="3" spans="2:12" ht="47.55" customHeight="1" thickBot="1" x14ac:dyDescent="0.35">
      <c r="B3" s="688" t="s">
        <v>12</v>
      </c>
      <c r="C3" s="689"/>
      <c r="D3" s="689"/>
      <c r="E3" s="689"/>
      <c r="F3" s="689"/>
      <c r="G3" s="689"/>
      <c r="H3" s="689"/>
      <c r="I3" s="689"/>
      <c r="J3" s="689"/>
      <c r="K3" s="689"/>
      <c r="L3" s="690"/>
    </row>
    <row r="4" spans="2:12" ht="7.2" customHeight="1" thickBot="1" x14ac:dyDescent="0.35"/>
    <row r="5" spans="2:12" x14ac:dyDescent="0.3">
      <c r="B5" s="2"/>
      <c r="C5" s="3"/>
      <c r="D5" s="3"/>
      <c r="E5" s="3"/>
      <c r="F5" s="3"/>
      <c r="G5" s="3"/>
      <c r="H5" s="3"/>
      <c r="I5" s="3"/>
      <c r="J5" s="3"/>
      <c r="K5" s="3"/>
      <c r="L5" s="4"/>
    </row>
    <row r="6" spans="2:12" x14ac:dyDescent="0.3">
      <c r="B6" s="5"/>
      <c r="C6" s="657" t="s">
        <v>13</v>
      </c>
      <c r="D6" s="657"/>
      <c r="E6" s="657"/>
      <c r="F6" s="657"/>
      <c r="G6" s="657"/>
      <c r="H6" s="657"/>
      <c r="I6" s="657"/>
      <c r="J6" s="657"/>
      <c r="K6" s="657"/>
      <c r="L6" s="6"/>
    </row>
    <row r="7" spans="2:12" ht="6" customHeight="1" x14ac:dyDescent="0.3">
      <c r="B7" s="5"/>
      <c r="L7" s="6"/>
    </row>
    <row r="8" spans="2:12" x14ac:dyDescent="0.3">
      <c r="B8" s="5"/>
      <c r="C8" s="7" t="s">
        <v>14</v>
      </c>
      <c r="D8" s="691" t="s">
        <v>366</v>
      </c>
      <c r="E8" s="692"/>
      <c r="F8" s="692"/>
      <c r="G8" s="692"/>
      <c r="H8" s="692"/>
      <c r="I8" s="692"/>
      <c r="J8" s="692"/>
      <c r="K8" s="693"/>
      <c r="L8" s="6"/>
    </row>
    <row r="9" spans="2:12" x14ac:dyDescent="0.3">
      <c r="B9" s="5"/>
      <c r="C9" s="8" t="s">
        <v>15</v>
      </c>
      <c r="D9" s="678" t="s">
        <v>16</v>
      </c>
      <c r="E9" s="679"/>
      <c r="F9" s="679"/>
      <c r="G9" s="679"/>
      <c r="H9" s="679"/>
      <c r="I9" s="679"/>
      <c r="J9" s="679"/>
      <c r="K9" s="680"/>
      <c r="L9" s="6"/>
    </row>
    <row r="10" spans="2:12" x14ac:dyDescent="0.3">
      <c r="B10" s="5"/>
      <c r="C10" s="8" t="s">
        <v>17</v>
      </c>
      <c r="D10" s="678" t="s">
        <v>11</v>
      </c>
      <c r="E10" s="679"/>
      <c r="F10" s="679"/>
      <c r="G10" s="679"/>
      <c r="H10" s="679"/>
      <c r="I10" s="679"/>
      <c r="J10" s="679"/>
      <c r="K10" s="680"/>
      <c r="L10" s="6"/>
    </row>
    <row r="11" spans="2:12" x14ac:dyDescent="0.3">
      <c r="B11" s="5"/>
      <c r="C11" s="8" t="s">
        <v>18</v>
      </c>
      <c r="D11" s="678" t="s">
        <v>153</v>
      </c>
      <c r="E11" s="679"/>
      <c r="F11" s="679"/>
      <c r="G11" s="679"/>
      <c r="H11" s="679"/>
      <c r="I11" s="679"/>
      <c r="J11" s="679"/>
      <c r="K11" s="680"/>
      <c r="L11" s="6"/>
    </row>
    <row r="12" spans="2:12" x14ac:dyDescent="0.3">
      <c r="B12" s="5"/>
      <c r="C12" s="11" t="s">
        <v>19</v>
      </c>
      <c r="D12" s="675" t="s">
        <v>349</v>
      </c>
      <c r="E12" s="676"/>
      <c r="F12" s="676"/>
      <c r="G12" s="676"/>
      <c r="H12" s="677"/>
      <c r="I12" s="12" t="s">
        <v>20</v>
      </c>
      <c r="J12" s="675" t="s">
        <v>184</v>
      </c>
      <c r="K12" s="677"/>
      <c r="L12" s="6"/>
    </row>
    <row r="13" spans="2:12" ht="6" customHeight="1" thickBot="1" x14ac:dyDescent="0.35">
      <c r="B13" s="13"/>
      <c r="C13" s="14"/>
      <c r="D13" s="14"/>
      <c r="E13" s="14"/>
      <c r="F13" s="14"/>
      <c r="G13" s="14"/>
      <c r="H13" s="14"/>
      <c r="I13" s="14"/>
      <c r="J13" s="14"/>
      <c r="K13" s="14"/>
      <c r="L13" s="15"/>
    </row>
    <row r="14" spans="2:12" ht="7.2" customHeight="1" thickBot="1" x14ac:dyDescent="0.35"/>
    <row r="15" spans="2:12" ht="7.95" customHeight="1" x14ac:dyDescent="0.3">
      <c r="B15" s="2"/>
      <c r="C15" s="3"/>
      <c r="D15" s="3"/>
      <c r="E15" s="3"/>
      <c r="F15" s="3"/>
      <c r="G15" s="3"/>
      <c r="H15" s="3"/>
      <c r="I15" s="3"/>
      <c r="J15" s="3"/>
      <c r="K15" s="3"/>
      <c r="L15" s="4"/>
    </row>
    <row r="16" spans="2:12" x14ac:dyDescent="0.3">
      <c r="B16" s="5"/>
      <c r="C16" s="657" t="s">
        <v>21</v>
      </c>
      <c r="D16" s="657"/>
      <c r="E16" s="657"/>
      <c r="F16" s="657"/>
      <c r="G16" s="657"/>
      <c r="H16" s="657"/>
      <c r="I16" s="657"/>
      <c r="J16" s="657"/>
      <c r="K16" s="657"/>
      <c r="L16" s="6"/>
    </row>
    <row r="17" spans="2:12" ht="9" customHeight="1" x14ac:dyDescent="0.3">
      <c r="B17" s="5"/>
      <c r="L17" s="6"/>
    </row>
    <row r="18" spans="2:12" x14ac:dyDescent="0.3">
      <c r="B18" s="5"/>
      <c r="C18" s="7"/>
      <c r="D18" s="681" t="s">
        <v>367</v>
      </c>
      <c r="E18" s="681"/>
      <c r="F18" s="681"/>
      <c r="G18" s="672"/>
      <c r="H18" s="681" t="s">
        <v>22</v>
      </c>
      <c r="I18" s="681"/>
      <c r="J18" s="681"/>
      <c r="K18" s="672"/>
      <c r="L18" s="6"/>
    </row>
    <row r="19" spans="2:12" x14ac:dyDescent="0.3">
      <c r="B19" s="5"/>
      <c r="C19" s="16" t="s">
        <v>23</v>
      </c>
      <c r="D19" s="682" t="s">
        <v>299</v>
      </c>
      <c r="E19" s="683"/>
      <c r="F19" s="683"/>
      <c r="G19" s="683"/>
      <c r="H19" s="683"/>
      <c r="I19" s="683"/>
      <c r="J19" s="683"/>
      <c r="K19" s="684"/>
      <c r="L19" s="6"/>
    </row>
    <row r="20" spans="2:12" x14ac:dyDescent="0.3">
      <c r="B20" s="5"/>
      <c r="C20" s="8" t="s">
        <v>24</v>
      </c>
      <c r="D20" s="678"/>
      <c r="E20" s="679"/>
      <c r="F20" s="679"/>
      <c r="G20" s="679"/>
      <c r="H20" s="679"/>
      <c r="I20" s="679"/>
      <c r="J20" s="679"/>
      <c r="K20" s="680"/>
      <c r="L20" s="6"/>
    </row>
    <row r="21" spans="2:12" x14ac:dyDescent="0.3">
      <c r="B21" s="5"/>
      <c r="C21" s="8" t="s">
        <v>25</v>
      </c>
      <c r="D21" s="678" t="s">
        <v>360</v>
      </c>
      <c r="E21" s="680"/>
      <c r="F21" s="8" t="s">
        <v>57</v>
      </c>
      <c r="G21" s="17" t="s">
        <v>335</v>
      </c>
      <c r="H21" s="8" t="s">
        <v>26</v>
      </c>
      <c r="I21" s="9" t="s">
        <v>370</v>
      </c>
      <c r="J21" s="8" t="s">
        <v>27</v>
      </c>
      <c r="K21" s="10" t="s">
        <v>371</v>
      </c>
      <c r="L21" s="6"/>
    </row>
    <row r="22" spans="2:12" x14ac:dyDescent="0.3">
      <c r="B22" s="5"/>
      <c r="C22" s="8" t="s">
        <v>28</v>
      </c>
      <c r="D22" s="678" t="s">
        <v>298</v>
      </c>
      <c r="E22" s="679"/>
      <c r="F22" s="679"/>
      <c r="G22" s="680"/>
      <c r="H22" s="8" t="s">
        <v>29</v>
      </c>
      <c r="I22" s="678"/>
      <c r="J22" s="679"/>
      <c r="K22" s="680"/>
      <c r="L22" s="6"/>
    </row>
    <row r="23" spans="2:12" x14ac:dyDescent="0.3">
      <c r="B23" s="5"/>
      <c r="C23" s="11" t="s">
        <v>30</v>
      </c>
      <c r="D23" s="675" t="s">
        <v>300</v>
      </c>
      <c r="E23" s="676"/>
      <c r="F23" s="676"/>
      <c r="G23" s="677"/>
      <c r="H23" s="11" t="s">
        <v>31</v>
      </c>
      <c r="I23" s="675" t="s">
        <v>11</v>
      </c>
      <c r="J23" s="676"/>
      <c r="K23" s="677"/>
      <c r="L23" s="6"/>
    </row>
    <row r="24" spans="2:12" ht="6.6" customHeight="1" thickBot="1" x14ac:dyDescent="0.35">
      <c r="B24" s="13"/>
      <c r="C24" s="14"/>
      <c r="D24" s="14"/>
      <c r="E24" s="14"/>
      <c r="F24" s="14"/>
      <c r="G24" s="14"/>
      <c r="H24" s="14"/>
      <c r="I24" s="14"/>
      <c r="J24" s="14"/>
      <c r="K24" s="14"/>
      <c r="L24" s="15"/>
    </row>
    <row r="25" spans="2:12" ht="9.6" customHeight="1" thickBot="1" x14ac:dyDescent="0.35"/>
    <row r="26" spans="2:12" ht="7.95" customHeight="1" x14ac:dyDescent="0.3">
      <c r="B26" s="2"/>
      <c r="C26" s="3"/>
      <c r="D26" s="3"/>
      <c r="E26" s="3"/>
      <c r="F26" s="3"/>
      <c r="G26" s="3"/>
      <c r="H26" s="3"/>
      <c r="I26" s="3"/>
      <c r="J26" s="3"/>
      <c r="K26" s="3"/>
      <c r="L26" s="4"/>
    </row>
    <row r="27" spans="2:12" x14ac:dyDescent="0.3">
      <c r="B27" s="5"/>
      <c r="C27" s="657" t="s">
        <v>21</v>
      </c>
      <c r="D27" s="657"/>
      <c r="E27" s="657"/>
      <c r="F27" s="657"/>
      <c r="G27" s="657"/>
      <c r="H27" s="657"/>
      <c r="I27" s="657"/>
      <c r="J27" s="657"/>
      <c r="K27" s="657"/>
      <c r="L27" s="6"/>
    </row>
    <row r="28" spans="2:12" x14ac:dyDescent="0.3">
      <c r="B28" s="5"/>
      <c r="L28" s="6"/>
    </row>
    <row r="29" spans="2:12" x14ac:dyDescent="0.3">
      <c r="B29" s="5"/>
      <c r="C29" s="7" t="s">
        <v>32</v>
      </c>
      <c r="D29" s="671" t="s">
        <v>33</v>
      </c>
      <c r="E29" s="672"/>
      <c r="F29" s="671" t="s">
        <v>34</v>
      </c>
      <c r="G29" s="672"/>
      <c r="H29" s="673" t="s">
        <v>35</v>
      </c>
      <c r="I29" s="673"/>
      <c r="J29" s="673"/>
      <c r="K29" s="674"/>
      <c r="L29" s="6"/>
    </row>
    <row r="30" spans="2:12" x14ac:dyDescent="0.3">
      <c r="B30" s="5"/>
      <c r="C30" s="18" t="s">
        <v>36</v>
      </c>
      <c r="D30" s="658" t="s">
        <v>372</v>
      </c>
      <c r="E30" s="659"/>
      <c r="F30" s="660" t="s">
        <v>373</v>
      </c>
      <c r="G30" s="661"/>
      <c r="H30" s="19" t="s">
        <v>37</v>
      </c>
      <c r="I30" s="671" t="s">
        <v>338</v>
      </c>
      <c r="J30" s="672"/>
      <c r="K30" s="7" t="s">
        <v>38</v>
      </c>
      <c r="L30" s="6"/>
    </row>
    <row r="31" spans="2:12" x14ac:dyDescent="0.3">
      <c r="B31" s="5"/>
      <c r="C31" s="18" t="s">
        <v>39</v>
      </c>
      <c r="D31" s="658" t="s">
        <v>11</v>
      </c>
      <c r="E31" s="659"/>
      <c r="F31" s="660" t="s">
        <v>11</v>
      </c>
      <c r="G31" s="661"/>
      <c r="H31" s="18" t="s">
        <v>37</v>
      </c>
      <c r="I31" s="662" t="s">
        <v>40</v>
      </c>
      <c r="J31" s="663"/>
      <c r="K31" s="8" t="s">
        <v>38</v>
      </c>
      <c r="L31" s="6"/>
    </row>
    <row r="32" spans="2:12" x14ac:dyDescent="0.3">
      <c r="B32" s="5"/>
      <c r="C32" s="18" t="s">
        <v>41</v>
      </c>
      <c r="D32" s="658" t="s">
        <v>11</v>
      </c>
      <c r="E32" s="659"/>
      <c r="F32" s="660" t="s">
        <v>11</v>
      </c>
      <c r="G32" s="661"/>
      <c r="H32" s="18" t="s">
        <v>37</v>
      </c>
      <c r="I32" s="662" t="s">
        <v>40</v>
      </c>
      <c r="J32" s="663"/>
      <c r="K32" s="8" t="s">
        <v>38</v>
      </c>
      <c r="L32" s="6"/>
    </row>
    <row r="33" spans="2:12" x14ac:dyDescent="0.3">
      <c r="B33" s="5"/>
      <c r="C33" s="20" t="s">
        <v>42</v>
      </c>
      <c r="D33" s="658" t="s">
        <v>11</v>
      </c>
      <c r="E33" s="659"/>
      <c r="F33" s="664" t="s">
        <v>11</v>
      </c>
      <c r="G33" s="665"/>
      <c r="H33" s="18" t="s">
        <v>37</v>
      </c>
      <c r="I33" s="662" t="s">
        <v>40</v>
      </c>
      <c r="J33" s="663"/>
      <c r="K33" s="8" t="s">
        <v>38</v>
      </c>
      <c r="L33" s="6"/>
    </row>
    <row r="34" spans="2:12" x14ac:dyDescent="0.3">
      <c r="B34" s="5"/>
      <c r="C34" s="666" t="s">
        <v>43</v>
      </c>
      <c r="D34" s="667"/>
      <c r="E34" s="668"/>
      <c r="F34" s="669" t="s">
        <v>373</v>
      </c>
      <c r="G34" s="670"/>
      <c r="H34" s="21"/>
      <c r="I34" s="22"/>
      <c r="J34" s="23"/>
      <c r="K34" s="21"/>
      <c r="L34" s="6"/>
    </row>
    <row r="35" spans="2:12" ht="15" thickBot="1" x14ac:dyDescent="0.35">
      <c r="B35" s="13"/>
      <c r="C35" s="14"/>
      <c r="D35" s="14"/>
      <c r="E35" s="14"/>
      <c r="F35" s="14"/>
      <c r="G35" s="14"/>
      <c r="H35" s="14"/>
      <c r="I35" s="14"/>
      <c r="J35" s="14"/>
      <c r="K35" s="14"/>
      <c r="L35" s="15"/>
    </row>
    <row r="36" spans="2:12" ht="15" thickBot="1" x14ac:dyDescent="0.35"/>
    <row r="37" spans="2:12" ht="6" customHeight="1" x14ac:dyDescent="0.3">
      <c r="B37" s="2"/>
      <c r="C37" s="3"/>
      <c r="D37" s="3"/>
      <c r="E37" s="3"/>
      <c r="F37" s="3"/>
      <c r="G37" s="3"/>
      <c r="H37" s="3"/>
      <c r="I37" s="3"/>
      <c r="J37" s="3"/>
      <c r="K37" s="3"/>
      <c r="L37" s="4"/>
    </row>
    <row r="38" spans="2:12" x14ac:dyDescent="0.3">
      <c r="B38" s="5"/>
      <c r="C38" s="657" t="s">
        <v>44</v>
      </c>
      <c r="D38" s="657"/>
      <c r="E38" s="657"/>
      <c r="F38" s="657"/>
      <c r="G38" s="657"/>
      <c r="H38" s="657"/>
      <c r="I38" s="657"/>
      <c r="J38" s="657"/>
      <c r="K38" s="657"/>
      <c r="L38" s="6"/>
    </row>
    <row r="39" spans="2:12" x14ac:dyDescent="0.3">
      <c r="B39" s="5"/>
      <c r="C39" s="655" t="s">
        <v>374</v>
      </c>
      <c r="D39" s="655"/>
      <c r="E39" s="655"/>
      <c r="F39" s="655"/>
      <c r="G39" s="655"/>
      <c r="H39" s="655"/>
      <c r="I39" s="655"/>
      <c r="J39" s="655"/>
      <c r="K39" s="655"/>
      <c r="L39" s="6"/>
    </row>
    <row r="40" spans="2:12" x14ac:dyDescent="0.3">
      <c r="B40" s="5"/>
      <c r="C40" s="655"/>
      <c r="D40" s="655"/>
      <c r="E40" s="655"/>
      <c r="F40" s="655"/>
      <c r="G40" s="655"/>
      <c r="H40" s="655"/>
      <c r="I40" s="655"/>
      <c r="J40" s="655"/>
      <c r="K40" s="655"/>
      <c r="L40" s="6"/>
    </row>
    <row r="41" spans="2:12" x14ac:dyDescent="0.3">
      <c r="B41" s="5"/>
      <c r="C41" s="655"/>
      <c r="D41" s="655"/>
      <c r="E41" s="655"/>
      <c r="F41" s="655"/>
      <c r="G41" s="655"/>
      <c r="H41" s="655"/>
      <c r="I41" s="655"/>
      <c r="J41" s="655"/>
      <c r="K41" s="655"/>
      <c r="L41" s="6"/>
    </row>
    <row r="42" spans="2:12" x14ac:dyDescent="0.3">
      <c r="B42" s="5"/>
      <c r="C42" s="655"/>
      <c r="D42" s="655"/>
      <c r="E42" s="655"/>
      <c r="F42" s="655"/>
      <c r="G42" s="655"/>
      <c r="H42" s="655"/>
      <c r="I42" s="655"/>
      <c r="J42" s="655"/>
      <c r="K42" s="655"/>
      <c r="L42" s="6"/>
    </row>
    <row r="43" spans="2:12" x14ac:dyDescent="0.3">
      <c r="B43" s="5"/>
      <c r="C43" s="655"/>
      <c r="D43" s="655"/>
      <c r="E43" s="655"/>
      <c r="F43" s="655"/>
      <c r="G43" s="655"/>
      <c r="H43" s="655"/>
      <c r="I43" s="655"/>
      <c r="J43" s="655"/>
      <c r="K43" s="655"/>
      <c r="L43" s="6"/>
    </row>
    <row r="44" spans="2:12" x14ac:dyDescent="0.3">
      <c r="B44" s="5"/>
      <c r="C44" s="655"/>
      <c r="D44" s="655"/>
      <c r="E44" s="655"/>
      <c r="F44" s="655"/>
      <c r="G44" s="655"/>
      <c r="H44" s="655"/>
      <c r="I44" s="655"/>
      <c r="J44" s="655"/>
      <c r="K44" s="655"/>
      <c r="L44" s="6"/>
    </row>
    <row r="45" spans="2:12" x14ac:dyDescent="0.3">
      <c r="B45" s="5"/>
      <c r="C45" s="656"/>
      <c r="D45" s="656"/>
      <c r="E45" s="656"/>
      <c r="F45" s="656"/>
      <c r="G45" s="656"/>
      <c r="H45" s="656"/>
      <c r="I45" s="656"/>
      <c r="J45" s="656"/>
      <c r="K45" s="656"/>
      <c r="L45" s="6"/>
    </row>
    <row r="46" spans="2:12" ht="8.5500000000000007" customHeight="1" thickBot="1" x14ac:dyDescent="0.35">
      <c r="B46" s="13"/>
      <c r="C46" s="14"/>
      <c r="D46" s="14"/>
      <c r="E46" s="14"/>
      <c r="F46" s="14"/>
      <c r="G46" s="14"/>
      <c r="H46" s="14"/>
      <c r="I46" s="14"/>
      <c r="J46" s="14"/>
      <c r="K46" s="14"/>
      <c r="L46" s="15"/>
    </row>
    <row r="47" spans="2:12" ht="9" customHeight="1" thickBot="1" x14ac:dyDescent="0.35"/>
    <row r="48" spans="2:12" x14ac:dyDescent="0.3">
      <c r="B48" s="652" t="s">
        <v>45</v>
      </c>
      <c r="C48" s="653"/>
      <c r="D48" s="3"/>
      <c r="E48" s="3"/>
      <c r="F48" s="3"/>
      <c r="G48" s="3"/>
      <c r="H48" s="3"/>
      <c r="I48" s="3"/>
      <c r="J48" s="3"/>
      <c r="K48" s="3"/>
      <c r="L48" s="4"/>
    </row>
    <row r="49" spans="2:12" x14ac:dyDescent="0.3">
      <c r="B49" s="5"/>
      <c r="L49" s="6"/>
    </row>
    <row r="50" spans="2:12" x14ac:dyDescent="0.3">
      <c r="B50" s="5"/>
      <c r="C50" s="24"/>
      <c r="L50" s="6"/>
    </row>
    <row r="51" spans="2:12" x14ac:dyDescent="0.3">
      <c r="B51" s="5"/>
      <c r="C51" s="654" t="s">
        <v>46</v>
      </c>
      <c r="D51" s="654"/>
      <c r="E51" s="654"/>
      <c r="F51" s="654"/>
      <c r="H51" s="654" t="s">
        <v>47</v>
      </c>
      <c r="I51" s="654"/>
      <c r="J51" s="654"/>
      <c r="K51" s="654"/>
      <c r="L51" s="6"/>
    </row>
    <row r="52" spans="2:12" ht="15" thickBot="1" x14ac:dyDescent="0.35">
      <c r="B52" s="13"/>
      <c r="C52" s="14"/>
      <c r="D52" s="14"/>
      <c r="E52" s="14"/>
      <c r="F52" s="14"/>
      <c r="G52" s="14"/>
      <c r="H52" s="14"/>
      <c r="I52" s="14"/>
      <c r="J52" s="14"/>
      <c r="K52" s="14"/>
      <c r="L52" s="15"/>
    </row>
  </sheetData>
  <mergeCells count="42">
    <mergeCell ref="D10:K10"/>
    <mergeCell ref="B2:L2"/>
    <mergeCell ref="B3:L3"/>
    <mergeCell ref="C6:K6"/>
    <mergeCell ref="D8:K8"/>
    <mergeCell ref="D9:K9"/>
    <mergeCell ref="D23:G23"/>
    <mergeCell ref="I23:K23"/>
    <mergeCell ref="D11:K11"/>
    <mergeCell ref="D12:H12"/>
    <mergeCell ref="J12:K12"/>
    <mergeCell ref="C16:K16"/>
    <mergeCell ref="D18:G18"/>
    <mergeCell ref="H18:K18"/>
    <mergeCell ref="D19:K19"/>
    <mergeCell ref="D20:K20"/>
    <mergeCell ref="D21:E21"/>
    <mergeCell ref="D22:G22"/>
    <mergeCell ref="I22:K22"/>
    <mergeCell ref="C27:K27"/>
    <mergeCell ref="D29:E29"/>
    <mergeCell ref="F29:G29"/>
    <mergeCell ref="H29:K29"/>
    <mergeCell ref="D30:E30"/>
    <mergeCell ref="F30:G30"/>
    <mergeCell ref="I30:J30"/>
    <mergeCell ref="D33:E33"/>
    <mergeCell ref="F33:G33"/>
    <mergeCell ref="I33:J33"/>
    <mergeCell ref="C34:E34"/>
    <mergeCell ref="F34:G34"/>
    <mergeCell ref="D31:E31"/>
    <mergeCell ref="F31:G31"/>
    <mergeCell ref="I31:J31"/>
    <mergeCell ref="D32:E32"/>
    <mergeCell ref="F32:G32"/>
    <mergeCell ref="I32:J32"/>
    <mergeCell ref="B48:C48"/>
    <mergeCell ref="C51:F51"/>
    <mergeCell ref="H51:K51"/>
    <mergeCell ref="C39:K45"/>
    <mergeCell ref="C38:K38"/>
  </mergeCells>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F2A719E-479E-41E4-8A33-6AFDA9F259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15</vt:i4>
      </vt:variant>
    </vt:vector>
  </HeadingPairs>
  <TitlesOfParts>
    <vt:vector size="24" baseType="lpstr">
      <vt:lpstr>Resumo FINAL</vt:lpstr>
      <vt:lpstr>PRINCIPAL</vt:lpstr>
      <vt:lpstr>CUSTOS OPERACIONAIS</vt:lpstr>
      <vt:lpstr>Projeto&gt; montadora&gt; Op  Led</vt:lpstr>
      <vt:lpstr>Resumo</vt:lpstr>
      <vt:lpstr>Taxas</vt:lpstr>
      <vt:lpstr>Solicitações de Pagamento</vt:lpstr>
      <vt:lpstr>ItensOrc</vt:lpstr>
      <vt:lpstr>Template SP</vt:lpstr>
      <vt:lpstr>ItensOrc!itensorc_desconto</vt:lpstr>
      <vt:lpstr>ItensOrc!itensorc_descricao</vt:lpstr>
      <vt:lpstr>ItensOrc!itensorc_encargos</vt:lpstr>
      <vt:lpstr>ItensOrc!itensorc_especifica</vt:lpstr>
      <vt:lpstr>ItensOrc!itensorc_item</vt:lpstr>
      <vt:lpstr>ItensOrc!itensorc_lancamento</vt:lpstr>
      <vt:lpstr>ItensOrc!itensorc_percentualhonorarios</vt:lpstr>
      <vt:lpstr>ItensOrc!itensorc_quantidade</vt:lpstr>
      <vt:lpstr>ItensOrc!itensorc_situacao</vt:lpstr>
      <vt:lpstr>ItensOrc!itensorc_subtipo</vt:lpstr>
      <vt:lpstr>ItensOrc!itensorc_tiporeceita</vt:lpstr>
      <vt:lpstr>ItensOrc!itensorc_valor</vt:lpstr>
      <vt:lpstr>ItensOrc!itensorc_valorfornecedor</vt:lpstr>
      <vt:lpstr>ItensOrc!itensorc_valorfornecedorunitario</vt:lpstr>
      <vt:lpstr>ItensOrc!itensorc_valorunitario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Rafael QdS</dc:creator>
  <cp:lastModifiedBy>Bruno Silva</cp:lastModifiedBy>
  <cp:lastPrinted>2025-09-17T13:00:58Z</cp:lastPrinted>
  <dcterms:created xsi:type="dcterms:W3CDTF">2023-09-21T21:02:20Z</dcterms:created>
  <dcterms:modified xsi:type="dcterms:W3CDTF">2026-02-24T00:20:52Z</dcterms:modified>
</cp:coreProperties>
</file>