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D:\OGGI LIVE\Fechamentos\2026\JOBS\OGGI\06 junho\"/>
    </mc:Choice>
  </mc:AlternateContent>
  <xr:revisionPtr revIDLastSave="0" documentId="13_ncr:1_{064C72C8-A515-41C5-BAD9-5BAAAD43E5FF}" xr6:coauthVersionLast="47" xr6:coauthVersionMax="47" xr10:uidLastSave="{00000000-0000-0000-0000-000000000000}"/>
  <bookViews>
    <workbookView xWindow="-108" yWindow="-108" windowWidth="23256" windowHeight="12456" tabRatio="822" xr2:uid="{83D4A4F0-59AC-45D6-BDA2-9A1B100CD857}"/>
  </bookViews>
  <sheets>
    <sheet name="RESUMO" sheetId="92" r:id="rId1"/>
    <sheet name="Planilha" sheetId="91" r:id="rId2"/>
    <sheet name="ItensOrc" sheetId="76" state="hidden" r:id="rId3"/>
    <sheet name="Template SP" sheetId="3" state="hidden" r:id="rId4"/>
  </sheets>
  <definedNames>
    <definedName name="_xlnm._FilterDatabase" localSheetId="1" hidden="1">Planilha!$A$1:$AK$14</definedName>
    <definedName name="_xleta.AND" hidden="1" xlm="1">#NAME?</definedName>
    <definedName name="_xleta.IF" hidden="1" xlm="1">#NAME?</definedName>
    <definedName name="_xleta.N" hidden="1" xlm="1">#NAME?</definedName>
    <definedName name="_xleta.SUM" hidden="1" xlm="1">#NAME?</definedName>
    <definedName name="_xleta.T" hidden="1" xlm="1">#NAME?</definedName>
    <definedName name="itensorc_desconto" localSheetId="2">ItensOrc!$M:$M</definedName>
    <definedName name="itensorc_desconto">#REF!</definedName>
    <definedName name="itensorc_descricao" localSheetId="2">ItensOrc!$D:$D</definedName>
    <definedName name="itensorc_descricao">#REF!</definedName>
    <definedName name="itensorc_encargos" localSheetId="2">ItensOrc!$N:$N</definedName>
    <definedName name="itensorc_encargos">#REF!</definedName>
    <definedName name="itensorc_especifica" localSheetId="2">ItensOrc!$O:$O</definedName>
    <definedName name="itensorc_especifica">#REF!</definedName>
    <definedName name="itensorc_item" localSheetId="2">ItensOrc!$C:$C</definedName>
    <definedName name="itensorc_item">#REF!</definedName>
    <definedName name="itensorc_lancamento" localSheetId="2">ItensOrc!$B:$B</definedName>
    <definedName name="itensorc_lancamento">#REF!</definedName>
    <definedName name="itensorc_percentualhonorarios" localSheetId="2">ItensOrc!$L:$L</definedName>
    <definedName name="itensorc_percentualhonorarios">#REF!</definedName>
    <definedName name="itensorc_quantidade" localSheetId="2">ItensOrc!$E:$E</definedName>
    <definedName name="itensorc_quantidade">#REF!</definedName>
    <definedName name="itensorc_situacao" localSheetId="2">ItensOrc!$H:$H</definedName>
    <definedName name="itensorc_situacao">#REF!</definedName>
    <definedName name="itensorc_subtipo" localSheetId="2">ItensOrc!$K:$K</definedName>
    <definedName name="itensorc_subtipo">#REF!</definedName>
    <definedName name="itensorc_tiporeceita" localSheetId="2">ItensOrc!$A:$A</definedName>
    <definedName name="itensorc_tiporeceita">#REF!</definedName>
    <definedName name="itensorc_valor" localSheetId="2">ItensOrc!$G:$G</definedName>
    <definedName name="itensorc_valor">#REF!</definedName>
    <definedName name="itensorc_valorfornecedor" localSheetId="2">ItensOrc!$I:$I</definedName>
    <definedName name="itensorc_valorfornecedor">#REF!</definedName>
    <definedName name="itensorc_valorfornecedorunitario" localSheetId="2">ItensOrc!$J:$J</definedName>
    <definedName name="itensorc_valorfornecedorunitario">#REF!</definedName>
    <definedName name="itensorc_valorunitario" localSheetId="2">ItensOrc!$F:$F</definedName>
    <definedName name="itensorc_valorunitari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" i="92" l="1"/>
  <c r="C22" i="92"/>
  <c r="AL30" i="91"/>
  <c r="AL29" i="91"/>
  <c r="AL28" i="91"/>
  <c r="E22" i="92" l="1"/>
  <c r="F22" i="92" s="1"/>
  <c r="AL31" i="91"/>
  <c r="AM25" i="91"/>
  <c r="AL18" i="91"/>
  <c r="AL22" i="91"/>
  <c r="AL25" i="91" s="1"/>
  <c r="AL23" i="91"/>
  <c r="AL17" i="91"/>
  <c r="C23" i="92"/>
  <c r="E3" i="92"/>
  <c r="R22" i="91"/>
  <c r="D23" i="92" l="1"/>
  <c r="E23" i="92"/>
  <c r="F23" i="92" s="1"/>
  <c r="K23" i="91"/>
  <c r="Q23" i="91"/>
  <c r="T23" i="91" s="1"/>
  <c r="R23" i="91"/>
  <c r="V23" i="91"/>
  <c r="K22" i="91"/>
  <c r="Q22" i="91"/>
  <c r="V22" i="91" s="1"/>
  <c r="R18" i="91"/>
  <c r="Q18" i="91"/>
  <c r="K18" i="91"/>
  <c r="R17" i="91"/>
  <c r="Q17" i="91"/>
  <c r="V17" i="91" s="1"/>
  <c r="K17" i="91"/>
  <c r="K25" i="91" l="1"/>
  <c r="L17" i="91"/>
  <c r="K19" i="91"/>
  <c r="U23" i="91"/>
  <c r="K24" i="91"/>
  <c r="Z23" i="91"/>
  <c r="W23" i="91"/>
  <c r="X23" i="91" s="1"/>
  <c r="L23" i="91"/>
  <c r="L22" i="91"/>
  <c r="T22" i="91"/>
  <c r="L18" i="91"/>
  <c r="T18" i="91"/>
  <c r="U18" i="91" s="1"/>
  <c r="Z18" i="91" s="1"/>
  <c r="V18" i="91"/>
  <c r="T17" i="91"/>
  <c r="L25" i="91" l="1"/>
  <c r="T24" i="91"/>
  <c r="T25" i="91"/>
  <c r="T19" i="91"/>
  <c r="L19" i="91"/>
  <c r="L24" i="91"/>
  <c r="U22" i="91"/>
  <c r="Z22" i="91" s="1"/>
  <c r="U17" i="91"/>
  <c r="U19" i="91" s="1"/>
  <c r="W18" i="91"/>
  <c r="X18" i="91" s="1"/>
  <c r="U24" i="91" l="1"/>
  <c r="U25" i="91"/>
  <c r="W22" i="91"/>
  <c r="X22" i="91" s="1"/>
  <c r="Z17" i="91"/>
  <c r="W17" i="91"/>
  <c r="X17" i="91" s="1"/>
  <c r="X19" i="91" s="1"/>
  <c r="X24" i="91" l="1"/>
  <c r="X25" i="91"/>
  <c r="Q21" i="91"/>
  <c r="Q20" i="91"/>
  <c r="M14" i="91" l="1"/>
  <c r="M23" i="91" s="1"/>
  <c r="Q16" i="91"/>
  <c r="Q15" i="91"/>
  <c r="N23" i="91" l="1"/>
  <c r="Y23" i="91"/>
  <c r="M22" i="91"/>
  <c r="M17" i="91"/>
  <c r="M19" i="91" s="1"/>
  <c r="M18" i="91"/>
  <c r="Z12" i="91"/>
  <c r="M24" i="91" l="1"/>
  <c r="M25" i="91"/>
  <c r="Y22" i="91"/>
  <c r="N22" i="91"/>
  <c r="N17" i="91"/>
  <c r="Y17" i="91"/>
  <c r="Y18" i="91"/>
  <c r="N18" i="91"/>
  <c r="Y25" i="91" l="1"/>
  <c r="N24" i="91"/>
  <c r="N25" i="91"/>
  <c r="N19" i="91"/>
  <c r="Y24" i="91"/>
  <c r="Z25" i="91" l="1"/>
  <c r="AA25" i="91" s="1"/>
  <c r="Y19" i="91"/>
</calcChain>
</file>

<file path=xl/sharedStrings.xml><?xml version="1.0" encoding="utf-8"?>
<sst xmlns="http://schemas.openxmlformats.org/spreadsheetml/2006/main" count="239" uniqueCount="166">
  <si>
    <t>Oggi Comunicação e Eventos</t>
  </si>
  <si>
    <t>CUSTOS (valor de custo c/ NF ou recibo)</t>
  </si>
  <si>
    <t>DIFERENÇA NF (Lucro)</t>
  </si>
  <si>
    <t>SOLICITAÇÃO DE PAGAMENTO</t>
  </si>
  <si>
    <t>ÍNDICE</t>
  </si>
  <si>
    <t>ÍNDICE PUBLI</t>
  </si>
  <si>
    <t>CATEGORIA</t>
  </si>
  <si>
    <t>TIPO DE CUSTOS</t>
  </si>
  <si>
    <t>TIPO DE FATURAMENTO</t>
  </si>
  <si>
    <t>VALOR</t>
  </si>
  <si>
    <t/>
  </si>
  <si>
    <t>PREENCHER OS CAMPOS CORRETAMENTE</t>
  </si>
  <si>
    <t>DADOS DO JOB</t>
  </si>
  <si>
    <t>Data:</t>
  </si>
  <si>
    <t>Contratante:</t>
  </si>
  <si>
    <t>Oggi Eventos</t>
  </si>
  <si>
    <t>Cliente:</t>
  </si>
  <si>
    <t>Job:</t>
  </si>
  <si>
    <t>Planilha:</t>
  </si>
  <si>
    <t>Item:</t>
  </si>
  <si>
    <t>DADOS PARA PAGAMENTO</t>
  </si>
  <si>
    <t>() Pessoa Jurídica</t>
  </si>
  <si>
    <t>Razão Social</t>
  </si>
  <si>
    <t>Fantasia:</t>
  </si>
  <si>
    <t>Banco:</t>
  </si>
  <si>
    <t>Conta:</t>
  </si>
  <si>
    <t>Pix:</t>
  </si>
  <si>
    <t>CNPJ:</t>
  </si>
  <si>
    <t>CPF:</t>
  </si>
  <si>
    <t>Contato:</t>
  </si>
  <si>
    <t>Celular:</t>
  </si>
  <si>
    <t>Parcela</t>
  </si>
  <si>
    <t>Data</t>
  </si>
  <si>
    <t>Valor</t>
  </si>
  <si>
    <t>Forma de Pagamento</t>
  </si>
  <si>
    <t>1ª</t>
  </si>
  <si>
    <t>(   ) Boleto</t>
  </si>
  <si>
    <t>(   ) Pix</t>
  </si>
  <si>
    <t>2ª</t>
  </si>
  <si>
    <t>(   ) Depósito</t>
  </si>
  <si>
    <t>3ª</t>
  </si>
  <si>
    <t>4ª</t>
  </si>
  <si>
    <t>TOTAL</t>
  </si>
  <si>
    <t>OBSERVAÇÕES</t>
  </si>
  <si>
    <t>APROVAÇÕES</t>
  </si>
  <si>
    <t>Solicitante</t>
  </si>
  <si>
    <t>Aprovação</t>
  </si>
  <si>
    <t>Descrição</t>
  </si>
  <si>
    <t>ENCARGOS PUBLI</t>
  </si>
  <si>
    <t>Agência</t>
  </si>
  <si>
    <t>FORNECEDOR</t>
  </si>
  <si>
    <t>PAGAMENTOS</t>
  </si>
  <si>
    <t>Solicitado</t>
  </si>
  <si>
    <t>RAZÃO SOCIAL:OGGI COMUN. E EV. PROMO. UNIPESSOAL LTDA</t>
  </si>
  <si>
    <t xml:space="preserve">ENDEREÇO:R. ALMIRANTE PEREIRA GUIMARÃES, 327 - </t>
  </si>
  <si>
    <t>OC
38</t>
  </si>
  <si>
    <t>FONE: (11) 3871-5555  SÃO PAULO SP</t>
  </si>
  <si>
    <t>CNPJ: 07.559.587/0001-12</t>
  </si>
  <si>
    <t>INSCRIÇÃO MUNICIPAL: 3.441.108.9</t>
  </si>
  <si>
    <t>E-MAIL:</t>
  </si>
  <si>
    <t>Identificador=38-38-61b77ade14fb9af7e586617fa2e6823e374b1745</t>
  </si>
  <si>
    <t>Tipo Receita</t>
  </si>
  <si>
    <t>Lançamento</t>
  </si>
  <si>
    <t>Item do Orçamento</t>
  </si>
  <si>
    <t>Quantidade</t>
  </si>
  <si>
    <t>Valor Unitário</t>
  </si>
  <si>
    <t>Situação</t>
  </si>
  <si>
    <t>Valor Fornecedor</t>
  </si>
  <si>
    <t>Subtipo</t>
  </si>
  <si>
    <t>Honorários</t>
  </si>
  <si>
    <t>Desconto</t>
  </si>
  <si>
    <t>Encargos</t>
  </si>
  <si>
    <t>Especificação</t>
  </si>
  <si>
    <t>( X ) Pessoa Jurídica</t>
  </si>
  <si>
    <t>SUBTOTAL</t>
  </si>
  <si>
    <t>Peso</t>
  </si>
  <si>
    <t>RESUMO</t>
  </si>
  <si>
    <t>DESCRITIVO</t>
  </si>
  <si>
    <t>Qtd</t>
  </si>
  <si>
    <t>Diária</t>
  </si>
  <si>
    <t>R$ unit</t>
  </si>
  <si>
    <t>QTDE</t>
  </si>
  <si>
    <t>DIÁRIA</t>
  </si>
  <si>
    <t>VL. UNIT.</t>
  </si>
  <si>
    <t>SUB TOTAL</t>
  </si>
  <si>
    <t>DIFERENÇA</t>
  </si>
  <si>
    <t>% NOTA</t>
  </si>
  <si>
    <t>CUSTO NOTA</t>
  </si>
  <si>
    <t>CUSTO TOTAL (custo + dif. NF)</t>
  </si>
  <si>
    <t>CUSTO TOTAL + IMPOSTOS</t>
  </si>
  <si>
    <t>Margem</t>
  </si>
  <si>
    <t>Valor Total</t>
  </si>
  <si>
    <t>Saldo</t>
  </si>
  <si>
    <t>Fornecedor</t>
  </si>
  <si>
    <t>CPF/CNPJ</t>
  </si>
  <si>
    <t>PENDENTE</t>
  </si>
  <si>
    <t>EFETUADO</t>
  </si>
  <si>
    <t>1.1.2</t>
  </si>
  <si>
    <t>24/06/2025</t>
  </si>
  <si>
    <t xml:space="preserve"> </t>
  </si>
  <si>
    <t>Orçamento Produção Oggi 5.1.xlsm</t>
  </si>
  <si>
    <t>24.636.168/0001-56</t>
  </si>
  <si>
    <t>CLINICA DEBORA PADUA LTDA</t>
  </si>
  <si>
    <t>(11) 8209-4333</t>
  </si>
  <si>
    <t>24/06/25</t>
  </si>
  <si>
    <t>( X ) Boleto</t>
  </si>
  <si>
    <t>Santader</t>
  </si>
  <si>
    <t>123123</t>
  </si>
  <si>
    <t>12312</t>
  </si>
  <si>
    <t>R$ 100,00</t>
  </si>
  <si>
    <t>Teste</t>
  </si>
  <si>
    <t xml:space="preserve">   </t>
  </si>
  <si>
    <t>ORÇAMENTO 5.2</t>
  </si>
  <si>
    <t>GRUPO</t>
  </si>
  <si>
    <t>SUBGRUPO</t>
  </si>
  <si>
    <t>1.1</t>
  </si>
  <si>
    <t>AGENCIAMENTO</t>
  </si>
  <si>
    <t>IMPOSTOS</t>
  </si>
  <si>
    <t>Marg.</t>
  </si>
  <si>
    <t>ITEM</t>
  </si>
  <si>
    <t>1.1.1</t>
  </si>
  <si>
    <t>OPERACIONAL</t>
  </si>
  <si>
    <t>SUBTOTAL PLANILHA</t>
  </si>
  <si>
    <t>Marg. Lucro</t>
  </si>
  <si>
    <t xml:space="preserve">Lactalis </t>
  </si>
  <si>
    <t>FAT.OGGI</t>
  </si>
  <si>
    <t>2.1</t>
  </si>
  <si>
    <t>2.1.1</t>
  </si>
  <si>
    <t>INTERNO</t>
  </si>
  <si>
    <t>SUBTOTAL SUBGRUPO</t>
  </si>
  <si>
    <t>Subtotal OPERACIONAL INTERNO</t>
  </si>
  <si>
    <t>2.1.2</t>
  </si>
  <si>
    <t>Lucro</t>
  </si>
  <si>
    <t>Fernanda Pinheiro</t>
  </si>
  <si>
    <t>Carol Iglezias</t>
  </si>
  <si>
    <t>Custos Internos</t>
  </si>
  <si>
    <t>Criação</t>
  </si>
  <si>
    <t>Produtor/Atendimento</t>
  </si>
  <si>
    <t>Layout disponibilizado pelo cliente</t>
  </si>
  <si>
    <t xml:space="preserve">Subtotal </t>
  </si>
  <si>
    <t>CÓDIGO DO JOB</t>
  </si>
  <si>
    <t>CLIENTE</t>
  </si>
  <si>
    <t>EVENTO</t>
  </si>
  <si>
    <t>LOCAL</t>
  </si>
  <si>
    <t>DATA</t>
  </si>
  <si>
    <t>ATENDIMENTO</t>
  </si>
  <si>
    <t>PRODUTOR</t>
  </si>
  <si>
    <t>NOME PLANILHA</t>
  </si>
  <si>
    <t>L_081_Ciclo DPA_Diagramador</t>
  </si>
  <si>
    <t>L_081</t>
  </si>
  <si>
    <t>Ciclo DPA_Diagramador</t>
  </si>
  <si>
    <t>Diária do diagramador durante o periodo de evento</t>
  </si>
  <si>
    <t>Diagramador</t>
  </si>
  <si>
    <t>Subtotal</t>
  </si>
  <si>
    <t>Produtor executivo dedicado responsável pelo atendimento, negociação e acompanhamento até entrega do material (Responsabilidade Lactalis)</t>
  </si>
  <si>
    <t>TOTAL L_081_Ciclo DPA_Diagramador</t>
  </si>
  <si>
    <r>
      <t xml:space="preserve">Desenvolvimento de aproximadamente 100 slides. Diagramação, animação, seleção e tratamento de imagens. </t>
    </r>
    <r>
      <rPr>
        <b/>
        <sz val="16"/>
        <color rgb="FFFF0000"/>
        <rFont val="Trebuchet MS"/>
        <family val="2"/>
      </rPr>
      <t>Total final de slides 127</t>
    </r>
  </si>
  <si>
    <t>VÍDEO</t>
  </si>
  <si>
    <t>STUDIO ROCA</t>
  </si>
  <si>
    <t>VENDA</t>
  </si>
  <si>
    <t xml:space="preserve">CUSTO </t>
  </si>
  <si>
    <t>LUCRO</t>
  </si>
  <si>
    <t>PRINCIPAL</t>
  </si>
  <si>
    <t>IMPOSTO</t>
  </si>
  <si>
    <t>CUSTO TOTAL</t>
  </si>
  <si>
    <t>FELIPE BAFFA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</si>
</sst>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&quot;R$&quot;\ * #,##0.00_-;\-&quot;R$&quot;\ * #,##0.00_-;_-&quot;R$&quot;\ * &quot;-&quot;??_-;_-@_-"/>
    <numFmt numFmtId="164" formatCode="00&quot;/&quot;00&quot;/&quot;0000"/>
    <numFmt numFmtId="165" formatCode="_(&quot;R$ &quot;* #,##0.00_);_(&quot;R$ &quot;* \(#,##0.00\);_(&quot;R$ &quot;* &quot;-&quot;??_);_(@_)"/>
    <numFmt numFmtId="166" formatCode="_-[$R$-416]\ * #,##0.00_-;\-[$R$-416]\ * #,##0.00_-;_-[$R$-416]\ * &quot;-&quot;??_-;_-@_-"/>
    <numFmt numFmtId="167" formatCode="_(&quot;R$&quot;* #,##0.00_);_(&quot;R$&quot;* \(#,##0.00\);_(&quot;R$&quot;* &quot;-&quot;??_);_(@_)"/>
    <numFmt numFmtId="168" formatCode="0.000000000%"/>
    <numFmt numFmtId="169" formatCode="_-&quot;R$&quot;* #,##0.00_-;\-&quot;R$&quot;* #,##0.00_-;_-&quot;R$&quot;* &quot;-&quot;??_-;_-@_-"/>
    <numFmt numFmtId="170" formatCode="0.0%"/>
    <numFmt numFmtId="171" formatCode="&quot;R$&quot;\ #,##0.00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Verdana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8"/>
      <color rgb="FFFFFFFF"/>
      <name val="Arial"/>
      <family val="2"/>
    </font>
    <font>
      <b/>
      <sz val="10"/>
      <color rgb="FFFFFFFF"/>
      <name val="Arial"/>
      <family val="2"/>
    </font>
    <font>
      <sz val="12"/>
      <color rgb="FFFFFFFF"/>
      <name val="Arial"/>
      <family val="2"/>
    </font>
    <font>
      <b/>
      <sz val="18"/>
      <color rgb="FFFFFFFF"/>
      <name val="Arial"/>
      <family val="2"/>
    </font>
    <font>
      <b/>
      <sz val="11"/>
      <color rgb="FFFFFFFF"/>
      <name val="Arial"/>
      <family val="2"/>
    </font>
    <font>
      <sz val="10"/>
      <name val="Verdana"/>
      <family val="2"/>
    </font>
    <font>
      <b/>
      <sz val="16"/>
      <color theme="0"/>
      <name val="Trebuchet MS"/>
      <family val="2"/>
    </font>
    <font>
      <sz val="16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name val="Trebuchet MS"/>
      <family val="2"/>
    </font>
    <font>
      <b/>
      <sz val="16"/>
      <color theme="1"/>
      <name val="Calibri"/>
      <family val="2"/>
      <scheme val="minor"/>
    </font>
    <font>
      <b/>
      <sz val="16"/>
      <color indexed="63"/>
      <name val="Trebuchet MS"/>
      <family val="2"/>
    </font>
    <font>
      <sz val="16"/>
      <color theme="0"/>
      <name val="Calibri"/>
      <family val="2"/>
      <scheme val="minor"/>
    </font>
    <font>
      <b/>
      <sz val="16"/>
      <color theme="1"/>
      <name val="Trebuchet MS"/>
      <family val="2"/>
    </font>
    <font>
      <b/>
      <sz val="16"/>
      <color rgb="FFFF0000"/>
      <name val="Trebuchet MS"/>
      <family val="2"/>
    </font>
    <font>
      <sz val="16"/>
      <color theme="1"/>
      <name val="Trebuchet MS"/>
      <family val="2"/>
    </font>
    <font>
      <sz val="12"/>
      <color theme="1"/>
      <name val="Trebuchet MS"/>
      <family val="2"/>
    </font>
    <font>
      <b/>
      <sz val="12"/>
      <color theme="0"/>
      <name val="Trebuchet MS"/>
      <family val="2"/>
    </font>
    <font>
      <b/>
      <sz val="12"/>
      <name val="Trebuchet MS"/>
      <family val="2"/>
    </font>
    <font>
      <b/>
      <sz val="12"/>
      <color theme="1"/>
      <name val="Trebuchet MS"/>
      <family val="2"/>
    </font>
    <font>
      <sz val="12"/>
      <color rgb="FFFF0000"/>
      <name val="Trebuchet MS"/>
      <family val="2"/>
    </font>
    <font>
      <b/>
      <sz val="18"/>
      <color rgb="FFFF0000"/>
      <name val="Trebuchet MS"/>
      <family val="2"/>
    </font>
    <font>
      <b/>
      <sz val="18"/>
      <color rgb="FF00B050"/>
      <name val="Trebuchet MS"/>
      <family val="2"/>
    </font>
    <font>
      <b/>
      <sz val="18"/>
      <color theme="0"/>
      <name val="Trebuchet MS"/>
      <family val="2"/>
    </font>
    <font>
      <b/>
      <sz val="18"/>
      <color rgb="FFFF0000"/>
      <name val="Calibri"/>
      <family val="2"/>
      <scheme val="minor"/>
    </font>
    <font>
      <b/>
      <sz val="18"/>
      <color rgb="FF00B05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964F"/>
        <bgColor indexed="64"/>
      </patternFill>
    </fill>
    <fill>
      <patternFill patternType="solid">
        <fgColor rgb="FF0476D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</fills>
  <borders count="77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/>
      <right/>
      <top style="thin">
        <color rgb="FFA9A9A9"/>
      </top>
      <bottom/>
      <diagonal/>
    </border>
    <border>
      <left style="thin">
        <color rgb="FFBFD7ED"/>
      </left>
      <right/>
      <top style="thin">
        <color rgb="FFBFD7ED"/>
      </top>
      <bottom/>
      <diagonal/>
    </border>
    <border>
      <left style="thin">
        <color rgb="FFBFD7ED"/>
      </left>
      <right style="thin">
        <color rgb="FFBFD7ED"/>
      </right>
      <top style="thin">
        <color rgb="FFBFD7ED"/>
      </top>
      <bottom/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theme="0" tint="-0.14990691854609822"/>
      </left>
      <right/>
      <top/>
      <bottom/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/>
      <top style="thin">
        <color theme="0" tint="-0.14990691854609822"/>
      </top>
      <bottom style="thin">
        <color theme="0" tint="-0.1499069185460982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8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4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7" fillId="0" borderId="0" applyFont="0" applyFill="0" applyBorder="0" applyAlignment="0" applyProtection="0"/>
    <xf numFmtId="0" fontId="8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4" fillId="0" borderId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71">
    <xf numFmtId="0" fontId="0" fillId="0" borderId="0" xfId="0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7" xfId="0" applyBorder="1"/>
    <xf numFmtId="0" fontId="0" fillId="0" borderId="18" xfId="0" applyBorder="1"/>
    <xf numFmtId="0" fontId="2" fillId="0" borderId="19" xfId="0" applyFont="1" applyBorder="1"/>
    <xf numFmtId="0" fontId="2" fillId="0" borderId="23" xfId="0" applyFont="1" applyBorder="1"/>
    <xf numFmtId="0" fontId="0" fillId="0" borderId="2" xfId="0" applyBorder="1" applyAlignment="1">
      <alignment horizontal="left"/>
    </xf>
    <xf numFmtId="0" fontId="0" fillId="0" borderId="25" xfId="0" applyBorder="1" applyAlignment="1">
      <alignment horizontal="left"/>
    </xf>
    <xf numFmtId="0" fontId="2" fillId="0" borderId="26" xfId="0" applyFont="1" applyBorder="1"/>
    <xf numFmtId="0" fontId="2" fillId="0" borderId="26" xfId="0" applyFont="1" applyBorder="1" applyAlignment="1">
      <alignment horizontal="center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2" fillId="0" borderId="30" xfId="0" applyFont="1" applyBorder="1"/>
    <xf numFmtId="0" fontId="2" fillId="0" borderId="2" xfId="0" applyFont="1" applyBorder="1" applyAlignment="1">
      <alignment horizontal="left"/>
    </xf>
    <xf numFmtId="0" fontId="2" fillId="0" borderId="23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0" fillId="0" borderId="26" xfId="0" applyBorder="1"/>
    <xf numFmtId="0" fontId="0" fillId="0" borderId="27" xfId="0" applyBorder="1"/>
    <xf numFmtId="0" fontId="0" fillId="0" borderId="29" xfId="0" applyBorder="1"/>
    <xf numFmtId="0" fontId="0" fillId="0" borderId="0" xfId="0" applyAlignment="1">
      <alignment horizontal="right"/>
    </xf>
    <xf numFmtId="0" fontId="9" fillId="8" borderId="39" xfId="0" applyFont="1" applyFill="1" applyBorder="1" applyAlignment="1">
      <alignment vertical="center"/>
    </xf>
    <xf numFmtId="0" fontId="11" fillId="8" borderId="39" xfId="0" applyFont="1" applyFill="1" applyBorder="1" applyAlignment="1">
      <alignment horizontal="center" vertical="center"/>
    </xf>
    <xf numFmtId="22" fontId="9" fillId="8" borderId="39" xfId="0" applyNumberFormat="1" applyFont="1" applyFill="1" applyBorder="1" applyAlignment="1">
      <alignment horizontal="center" vertical="center"/>
    </xf>
    <xf numFmtId="0" fontId="13" fillId="8" borderId="40" xfId="0" applyFont="1" applyFill="1" applyBorder="1" applyAlignment="1">
      <alignment horizontal="center" vertical="center" wrapText="1"/>
    </xf>
    <xf numFmtId="0" fontId="13" fillId="8" borderId="41" xfId="0" applyFont="1" applyFill="1" applyBorder="1" applyAlignment="1">
      <alignment horizontal="center" vertical="center" wrapText="1"/>
    </xf>
    <xf numFmtId="0" fontId="15" fillId="15" borderId="6" xfId="0" applyFont="1" applyFill="1" applyBorder="1"/>
    <xf numFmtId="0" fontId="15" fillId="15" borderId="35" xfId="0" applyFont="1" applyFill="1" applyBorder="1"/>
    <xf numFmtId="0" fontId="15" fillId="15" borderId="35" xfId="0" applyFont="1" applyFill="1" applyBorder="1" applyAlignment="1">
      <alignment horizontal="center"/>
    </xf>
    <xf numFmtId="44" fontId="15" fillId="15" borderId="35" xfId="0" applyNumberFormat="1" applyFont="1" applyFill="1" applyBorder="1"/>
    <xf numFmtId="0" fontId="15" fillId="15" borderId="6" xfId="0" applyFont="1" applyFill="1" applyBorder="1" applyAlignment="1">
      <alignment horizontal="center"/>
    </xf>
    <xf numFmtId="44" fontId="15" fillId="15" borderId="72" xfId="0" applyNumberFormat="1" applyFont="1" applyFill="1" applyBorder="1"/>
    <xf numFmtId="9" fontId="15" fillId="15" borderId="14" xfId="1" applyFont="1" applyFill="1" applyBorder="1"/>
    <xf numFmtId="44" fontId="15" fillId="15" borderId="74" xfId="8" applyFont="1" applyFill="1" applyBorder="1"/>
    <xf numFmtId="0" fontId="16" fillId="0" borderId="0" xfId="0" applyFont="1"/>
    <xf numFmtId="49" fontId="17" fillId="0" borderId="0" xfId="2" applyNumberFormat="1" applyFont="1" applyAlignment="1">
      <alignment horizontal="left" vertical="center" wrapText="1"/>
    </xf>
    <xf numFmtId="0" fontId="17" fillId="0" borderId="0" xfId="2" applyFont="1" applyAlignment="1">
      <alignment horizontal="left" vertical="center" wrapText="1"/>
    </xf>
    <xf numFmtId="0" fontId="16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164" fontId="18" fillId="0" borderId="0" xfId="2" applyNumberFormat="1" applyFont="1" applyAlignment="1">
      <alignment horizontal="left" vertical="center"/>
    </xf>
    <xf numFmtId="164" fontId="18" fillId="0" borderId="20" xfId="2" applyNumberFormat="1" applyFont="1" applyBorder="1" applyAlignment="1" applyProtection="1">
      <alignment horizontal="left" vertical="center"/>
      <protection locked="0"/>
    </xf>
    <xf numFmtId="164" fontId="18" fillId="0" borderId="19" xfId="2" applyNumberFormat="1" applyFont="1" applyBorder="1" applyAlignment="1" applyProtection="1">
      <alignment horizontal="left" vertical="center"/>
      <protection locked="0"/>
    </xf>
    <xf numFmtId="164" fontId="18" fillId="0" borderId="31" xfId="2" applyNumberFormat="1" applyFont="1" applyBorder="1" applyAlignment="1" applyProtection="1">
      <alignment horizontal="left" vertical="center"/>
      <protection locked="0"/>
    </xf>
    <xf numFmtId="164" fontId="18" fillId="0" borderId="30" xfId="2" applyNumberFormat="1" applyFont="1" applyBorder="1" applyAlignment="1" applyProtection="1">
      <alignment horizontal="left" vertical="center"/>
      <protection locked="0"/>
    </xf>
    <xf numFmtId="0" fontId="18" fillId="0" borderId="23" xfId="2" applyFont="1" applyBorder="1" applyAlignment="1" applyProtection="1">
      <alignment horizontal="left" vertical="center"/>
      <protection locked="0"/>
    </xf>
    <xf numFmtId="14" fontId="18" fillId="0" borderId="30" xfId="2" applyNumberFormat="1" applyFont="1" applyBorder="1" applyAlignment="1" applyProtection="1">
      <alignment horizontal="left" vertical="center"/>
      <protection locked="0"/>
    </xf>
    <xf numFmtId="164" fontId="18" fillId="0" borderId="37" xfId="2" applyNumberFormat="1" applyFont="1" applyBorder="1" applyAlignment="1" applyProtection="1">
      <alignment horizontal="left" vertical="center"/>
      <protection locked="0"/>
    </xf>
    <xf numFmtId="0" fontId="18" fillId="0" borderId="26" xfId="2" applyFont="1" applyBorder="1" applyAlignment="1" applyProtection="1">
      <alignment horizontal="left" vertical="center"/>
      <protection locked="0"/>
    </xf>
    <xf numFmtId="49" fontId="16" fillId="0" borderId="0" xfId="0" applyNumberFormat="1" applyFont="1"/>
    <xf numFmtId="0" fontId="16" fillId="0" borderId="0" xfId="1" applyNumberFormat="1" applyFont="1"/>
    <xf numFmtId="165" fontId="20" fillId="6" borderId="36" xfId="4" applyFont="1" applyFill="1" applyBorder="1" applyAlignment="1">
      <alignment horizontal="center" vertical="center" wrapText="1"/>
    </xf>
    <xf numFmtId="168" fontId="19" fillId="0" borderId="5" xfId="1" applyNumberFormat="1" applyFont="1" applyBorder="1"/>
    <xf numFmtId="166" fontId="20" fillId="0" borderId="38" xfId="4" applyNumberFormat="1" applyFont="1" applyBorder="1" applyAlignment="1">
      <alignment horizontal="center" vertical="center" wrapText="1"/>
    </xf>
    <xf numFmtId="0" fontId="19" fillId="5" borderId="0" xfId="0" applyFont="1" applyFill="1"/>
    <xf numFmtId="49" fontId="19" fillId="5" borderId="0" xfId="0" applyNumberFormat="1" applyFont="1" applyFill="1"/>
    <xf numFmtId="0" fontId="21" fillId="0" borderId="0" xfId="0" applyFont="1"/>
    <xf numFmtId="0" fontId="16" fillId="0" borderId="42" xfId="0" applyFont="1" applyBorder="1" applyAlignment="1">
      <alignment horizontal="left" vertical="center"/>
    </xf>
    <xf numFmtId="49" fontId="16" fillId="0" borderId="43" xfId="0" applyNumberFormat="1" applyFont="1" applyBorder="1" applyAlignment="1">
      <alignment horizontal="left" vertical="center"/>
    </xf>
    <xf numFmtId="0" fontId="16" fillId="0" borderId="44" xfId="0" applyFont="1" applyBorder="1" applyAlignment="1">
      <alignment horizontal="left" vertical="center"/>
    </xf>
    <xf numFmtId="0" fontId="16" fillId="0" borderId="42" xfId="0" applyFont="1" applyBorder="1" applyAlignment="1">
      <alignment horizontal="left" vertical="center" wrapText="1"/>
    </xf>
    <xf numFmtId="0" fontId="18" fillId="6" borderId="36" xfId="3" applyFont="1" applyFill="1" applyBorder="1" applyAlignment="1">
      <alignment horizontal="left" vertical="center"/>
    </xf>
    <xf numFmtId="0" fontId="18" fillId="6" borderId="55" xfId="3" applyFont="1" applyFill="1" applyBorder="1" applyAlignment="1">
      <alignment horizontal="center" vertical="center"/>
    </xf>
    <xf numFmtId="0" fontId="22" fillId="6" borderId="52" xfId="3" applyFont="1" applyFill="1" applyBorder="1" applyAlignment="1">
      <alignment horizontal="center" vertical="center"/>
    </xf>
    <xf numFmtId="169" fontId="22" fillId="6" borderId="52" xfId="3" applyNumberFormat="1" applyFont="1" applyFill="1" applyBorder="1" applyAlignment="1">
      <alignment horizontal="center" vertical="center" wrapText="1"/>
    </xf>
    <xf numFmtId="0" fontId="22" fillId="6" borderId="53" xfId="3" applyFont="1" applyFill="1" applyBorder="1" applyAlignment="1">
      <alignment horizontal="center" vertical="center" wrapText="1"/>
    </xf>
    <xf numFmtId="170" fontId="22" fillId="6" borderId="51" xfId="1" applyNumberFormat="1" applyFont="1" applyFill="1" applyBorder="1" applyAlignment="1">
      <alignment horizontal="center" vertical="center" wrapText="1"/>
    </xf>
    <xf numFmtId="10" fontId="22" fillId="6" borderId="52" xfId="1" applyNumberFormat="1" applyFont="1" applyFill="1" applyBorder="1" applyAlignment="1">
      <alignment horizontal="center" vertical="center" wrapText="1"/>
    </xf>
    <xf numFmtId="0" fontId="22" fillId="6" borderId="54" xfId="3" applyFont="1" applyFill="1" applyBorder="1" applyAlignment="1">
      <alignment horizontal="center" vertical="center" wrapText="1"/>
    </xf>
    <xf numFmtId="37" fontId="20" fillId="6" borderId="51" xfId="3" applyNumberFormat="1" applyFont="1" applyFill="1" applyBorder="1" applyAlignment="1">
      <alignment horizontal="center" vertical="center"/>
    </xf>
    <xf numFmtId="37" fontId="20" fillId="6" borderId="52" xfId="3" applyNumberFormat="1" applyFont="1" applyFill="1" applyBorder="1" applyAlignment="1">
      <alignment horizontal="center" vertical="center"/>
    </xf>
    <xf numFmtId="40" fontId="20" fillId="6" borderId="52" xfId="4" applyNumberFormat="1" applyFont="1" applyFill="1" applyBorder="1" applyAlignment="1">
      <alignment horizontal="center" vertical="center"/>
    </xf>
    <xf numFmtId="165" fontId="20" fillId="6" borderId="52" xfId="4" applyFont="1" applyFill="1" applyBorder="1" applyAlignment="1">
      <alignment horizontal="right" vertical="center"/>
    </xf>
    <xf numFmtId="40" fontId="20" fillId="6" borderId="52" xfId="4" applyNumberFormat="1" applyFont="1" applyFill="1" applyBorder="1" applyAlignment="1">
      <alignment horizontal="center" vertical="center" wrapText="1"/>
    </xf>
    <xf numFmtId="10" fontId="20" fillId="6" borderId="52" xfId="5" applyNumberFormat="1" applyFont="1" applyFill="1" applyBorder="1" applyAlignment="1">
      <alignment horizontal="center" vertical="center" wrapText="1"/>
    </xf>
    <xf numFmtId="165" fontId="20" fillId="6" borderId="52" xfId="4" applyFont="1" applyFill="1" applyBorder="1" applyAlignment="1">
      <alignment horizontal="center" vertical="center" wrapText="1"/>
    </xf>
    <xf numFmtId="165" fontId="20" fillId="6" borderId="54" xfId="4" applyFont="1" applyFill="1" applyBorder="1" applyAlignment="1">
      <alignment horizontal="center" vertical="center" wrapText="1"/>
    </xf>
    <xf numFmtId="10" fontId="20" fillId="6" borderId="45" xfId="5" applyNumberFormat="1" applyFont="1" applyFill="1" applyBorder="1" applyAlignment="1">
      <alignment horizontal="center" vertical="center" wrapText="1"/>
    </xf>
    <xf numFmtId="10" fontId="20" fillId="6" borderId="46" xfId="5" applyNumberFormat="1" applyFont="1" applyFill="1" applyBorder="1" applyAlignment="1">
      <alignment horizontal="center" vertical="center" wrapText="1"/>
    </xf>
    <xf numFmtId="165" fontId="20" fillId="6" borderId="47" xfId="4" applyFont="1" applyFill="1" applyBorder="1" applyAlignment="1">
      <alignment horizontal="center" vertical="center" wrapText="1"/>
    </xf>
    <xf numFmtId="165" fontId="20" fillId="6" borderId="46" xfId="4" applyFont="1" applyFill="1" applyBorder="1" applyAlignment="1">
      <alignment horizontal="center" vertical="center" wrapText="1"/>
    </xf>
    <xf numFmtId="37" fontId="20" fillId="6" borderId="3" xfId="3" applyNumberFormat="1" applyFont="1" applyFill="1" applyBorder="1" applyAlignment="1">
      <alignment horizontal="center" vertical="center"/>
    </xf>
    <xf numFmtId="40" fontId="20" fillId="6" borderId="48" xfId="4" applyNumberFormat="1" applyFont="1" applyFill="1" applyBorder="1" applyAlignment="1">
      <alignment horizontal="center" vertical="center"/>
    </xf>
    <xf numFmtId="166" fontId="23" fillId="6" borderId="49" xfId="4" applyNumberFormat="1" applyFont="1" applyFill="1" applyBorder="1" applyAlignment="1">
      <alignment horizontal="center" vertical="center" wrapText="1"/>
    </xf>
    <xf numFmtId="49" fontId="24" fillId="0" borderId="43" xfId="0" applyNumberFormat="1" applyFont="1" applyBorder="1" applyAlignment="1">
      <alignment horizontal="left" vertical="center" wrapText="1"/>
    </xf>
    <xf numFmtId="0" fontId="16" fillId="0" borderId="44" xfId="0" applyFont="1" applyBorder="1" applyAlignment="1">
      <alignment horizontal="left" vertical="center" wrapText="1"/>
    </xf>
    <xf numFmtId="0" fontId="22" fillId="11" borderId="53" xfId="0" applyFont="1" applyFill="1" applyBorder="1" applyAlignment="1">
      <alignment horizontal="center" vertical="center"/>
    </xf>
    <xf numFmtId="0" fontId="22" fillId="11" borderId="52" xfId="0" applyFont="1" applyFill="1" applyBorder="1" applyAlignment="1">
      <alignment horizontal="center" vertical="center"/>
    </xf>
    <xf numFmtId="0" fontId="22" fillId="11" borderId="68" xfId="0" applyFont="1" applyFill="1" applyBorder="1" applyAlignment="1">
      <alignment horizontal="center" vertical="center"/>
    </xf>
    <xf numFmtId="0" fontId="19" fillId="11" borderId="10" xfId="0" applyFont="1" applyFill="1" applyBorder="1" applyAlignment="1">
      <alignment horizontal="center" vertical="center"/>
    </xf>
    <xf numFmtId="0" fontId="19" fillId="11" borderId="58" xfId="0" applyFont="1" applyFill="1" applyBorder="1" applyAlignment="1">
      <alignment horizontal="center" vertical="center"/>
    </xf>
    <xf numFmtId="0" fontId="24" fillId="0" borderId="57" xfId="0" applyFont="1" applyBorder="1" applyAlignment="1">
      <alignment horizontal="left" vertical="center" wrapText="1"/>
    </xf>
    <xf numFmtId="0" fontId="24" fillId="0" borderId="65" xfId="0" applyFont="1" applyBorder="1" applyAlignment="1">
      <alignment horizontal="left" vertical="center" wrapText="1"/>
    </xf>
    <xf numFmtId="0" fontId="24" fillId="0" borderId="71" xfId="0" applyFont="1" applyBorder="1" applyAlignment="1">
      <alignment horizontal="left" vertical="center" wrapText="1"/>
    </xf>
    <xf numFmtId="0" fontId="24" fillId="0" borderId="61" xfId="0" applyFont="1" applyBorder="1" applyAlignment="1">
      <alignment horizontal="left" vertical="center" wrapText="1"/>
    </xf>
    <xf numFmtId="0" fontId="24" fillId="0" borderId="61" xfId="0" applyFont="1" applyBorder="1" applyAlignment="1">
      <alignment horizontal="center" vertical="center"/>
    </xf>
    <xf numFmtId="44" fontId="24" fillId="0" borderId="61" xfId="8" applyFont="1" applyBorder="1" applyAlignment="1">
      <alignment vertical="center"/>
    </xf>
    <xf numFmtId="44" fontId="22" fillId="17" borderId="58" xfId="8" applyFont="1" applyFill="1" applyBorder="1" applyAlignment="1">
      <alignment vertical="center"/>
    </xf>
    <xf numFmtId="1" fontId="22" fillId="12" borderId="7" xfId="0" applyNumberFormat="1" applyFont="1" applyFill="1" applyBorder="1" applyAlignment="1">
      <alignment horizontal="center" vertical="center"/>
    </xf>
    <xf numFmtId="44" fontId="22" fillId="12" borderId="7" xfId="8" applyFont="1" applyFill="1" applyBorder="1" applyAlignment="1">
      <alignment vertical="center"/>
    </xf>
    <xf numFmtId="44" fontId="22" fillId="14" borderId="7" xfId="8" applyFont="1" applyFill="1" applyBorder="1" applyAlignment="1">
      <alignment vertical="center"/>
    </xf>
    <xf numFmtId="9" fontId="22" fillId="13" borderId="7" xfId="1" applyFont="1" applyFill="1" applyBorder="1" applyAlignment="1">
      <alignment vertical="center"/>
    </xf>
    <xf numFmtId="44" fontId="22" fillId="13" borderId="7" xfId="8" applyFont="1" applyFill="1" applyBorder="1" applyAlignment="1">
      <alignment vertical="center"/>
    </xf>
    <xf numFmtId="44" fontId="22" fillId="13" borderId="58" xfId="8" applyFont="1" applyFill="1" applyBorder="1" applyAlignment="1">
      <alignment vertical="center"/>
    </xf>
    <xf numFmtId="10" fontId="22" fillId="14" borderId="58" xfId="0" applyNumberFormat="1" applyFont="1" applyFill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44" fontId="24" fillId="0" borderId="70" xfId="8" applyFont="1" applyBorder="1" applyAlignment="1">
      <alignment vertical="center"/>
    </xf>
    <xf numFmtId="44" fontId="22" fillId="17" borderId="61" xfId="8" applyFont="1" applyFill="1" applyBorder="1" applyAlignment="1">
      <alignment vertical="center"/>
    </xf>
    <xf numFmtId="0" fontId="16" fillId="0" borderId="57" xfId="0" applyFont="1" applyBorder="1" applyAlignment="1">
      <alignment horizontal="left" vertical="center" wrapText="1"/>
    </xf>
    <xf numFmtId="0" fontId="16" fillId="0" borderId="65" xfId="0" applyFont="1" applyBorder="1" applyAlignment="1">
      <alignment horizontal="left" vertical="center" wrapText="1"/>
    </xf>
    <xf numFmtId="171" fontId="15" fillId="10" borderId="15" xfId="8" applyNumberFormat="1" applyFont="1" applyFill="1" applyBorder="1" applyAlignment="1">
      <alignment horizontal="right"/>
    </xf>
    <xf numFmtId="171" fontId="15" fillId="10" borderId="69" xfId="8" applyNumberFormat="1" applyFont="1" applyFill="1" applyBorder="1" applyAlignment="1">
      <alignment horizontal="right"/>
    </xf>
    <xf numFmtId="44" fontId="15" fillId="10" borderId="15" xfId="8" applyFont="1" applyFill="1" applyBorder="1" applyAlignment="1">
      <alignment horizontal="right"/>
    </xf>
    <xf numFmtId="44" fontId="22" fillId="14" borderId="15" xfId="8" applyFont="1" applyFill="1" applyBorder="1" applyAlignment="1">
      <alignment vertical="center"/>
    </xf>
    <xf numFmtId="9" fontId="24" fillId="13" borderId="15" xfId="1" applyFont="1" applyFill="1" applyBorder="1" applyAlignment="1">
      <alignment vertical="center"/>
    </xf>
    <xf numFmtId="44" fontId="24" fillId="13" borderId="15" xfId="8" applyFont="1" applyFill="1" applyBorder="1" applyAlignment="1">
      <alignment vertical="center"/>
    </xf>
    <xf numFmtId="44" fontId="22" fillId="13" borderId="15" xfId="8" applyFont="1" applyFill="1" applyBorder="1" applyAlignment="1">
      <alignment vertical="center"/>
    </xf>
    <xf numFmtId="44" fontId="22" fillId="13" borderId="63" xfId="8" applyFont="1" applyFill="1" applyBorder="1" applyAlignment="1">
      <alignment vertical="center"/>
    </xf>
    <xf numFmtId="10" fontId="24" fillId="14" borderId="0" xfId="0" applyNumberFormat="1" applyFont="1" applyFill="1" applyAlignment="1">
      <alignment horizontal="center" vertical="center"/>
    </xf>
    <xf numFmtId="0" fontId="16" fillId="16" borderId="0" xfId="0" applyFont="1" applyFill="1"/>
    <xf numFmtId="0" fontId="16" fillId="0" borderId="56" xfId="0" applyFont="1" applyBorder="1" applyAlignment="1">
      <alignment horizontal="left" vertical="center" wrapText="1"/>
    </xf>
    <xf numFmtId="0" fontId="16" fillId="0" borderId="0" xfId="0" applyFont="1" applyAlignment="1">
      <alignment horizontal="left" vertical="center" wrapText="1"/>
    </xf>
    <xf numFmtId="0" fontId="19" fillId="11" borderId="33" xfId="0" applyFont="1" applyFill="1" applyBorder="1" applyAlignment="1">
      <alignment horizontal="center" vertical="center"/>
    </xf>
    <xf numFmtId="0" fontId="19" fillId="11" borderId="59" xfId="0" applyFont="1" applyFill="1" applyBorder="1" applyAlignment="1">
      <alignment horizontal="center" vertical="center"/>
    </xf>
    <xf numFmtId="0" fontId="24" fillId="0" borderId="66" xfId="0" applyFont="1" applyBorder="1" applyAlignment="1">
      <alignment horizontal="left" vertical="center" wrapText="1"/>
    </xf>
    <xf numFmtId="0" fontId="24" fillId="0" borderId="58" xfId="0" applyFont="1" applyBorder="1" applyAlignment="1">
      <alignment horizontal="left" vertical="center" wrapText="1"/>
    </xf>
    <xf numFmtId="0" fontId="24" fillId="0" borderId="58" xfId="0" applyFont="1" applyBorder="1" applyAlignment="1">
      <alignment horizontal="center" vertical="center"/>
    </xf>
    <xf numFmtId="44" fontId="24" fillId="0" borderId="58" xfId="8" applyFont="1" applyBorder="1" applyAlignment="1">
      <alignment vertical="center"/>
    </xf>
    <xf numFmtId="1" fontId="24" fillId="12" borderId="7" xfId="0" applyNumberFormat="1" applyFont="1" applyFill="1" applyBorder="1" applyAlignment="1">
      <alignment horizontal="center" vertical="center"/>
    </xf>
    <xf numFmtId="44" fontId="24" fillId="12" borderId="7" xfId="8" applyFont="1" applyFill="1" applyBorder="1" applyAlignment="1">
      <alignment vertical="center"/>
    </xf>
    <xf numFmtId="44" fontId="24" fillId="14" borderId="7" xfId="8" applyFont="1" applyFill="1" applyBorder="1" applyAlignment="1">
      <alignment vertical="center"/>
    </xf>
    <xf numFmtId="9" fontId="24" fillId="13" borderId="7" xfId="1" applyFont="1" applyFill="1" applyBorder="1" applyAlignment="1">
      <alignment vertical="center"/>
    </xf>
    <xf numFmtId="44" fontId="24" fillId="13" borderId="7" xfId="8" applyFont="1" applyFill="1" applyBorder="1" applyAlignment="1">
      <alignment vertical="center"/>
    </xf>
    <xf numFmtId="44" fontId="24" fillId="13" borderId="58" xfId="8" applyFont="1" applyFill="1" applyBorder="1" applyAlignment="1">
      <alignment vertical="center"/>
    </xf>
    <xf numFmtId="10" fontId="15" fillId="14" borderId="58" xfId="8" applyNumberFormat="1" applyFont="1" applyFill="1" applyBorder="1" applyAlignment="1">
      <alignment horizontal="center" vertical="center"/>
    </xf>
    <xf numFmtId="10" fontId="15" fillId="14" borderId="59" xfId="8" applyNumberFormat="1" applyFont="1" applyFill="1" applyBorder="1" applyAlignment="1">
      <alignment horizontal="center" vertical="center"/>
    </xf>
    <xf numFmtId="171" fontId="15" fillId="10" borderId="0" xfId="8" applyNumberFormat="1" applyFont="1" applyFill="1" applyBorder="1" applyAlignment="1">
      <alignment horizontal="right"/>
    </xf>
    <xf numFmtId="171" fontId="15" fillId="10" borderId="18" xfId="8" applyNumberFormat="1" applyFont="1" applyFill="1" applyBorder="1" applyAlignment="1">
      <alignment horizontal="right"/>
    </xf>
    <xf numFmtId="44" fontId="15" fillId="10" borderId="0" xfId="8" applyFont="1" applyFill="1" applyBorder="1" applyAlignment="1">
      <alignment horizontal="right"/>
    </xf>
    <xf numFmtId="44" fontId="22" fillId="14" borderId="0" xfId="8" applyFont="1" applyFill="1" applyBorder="1" applyAlignment="1">
      <alignment vertical="center"/>
    </xf>
    <xf numFmtId="9" fontId="24" fillId="13" borderId="0" xfId="1" applyFont="1" applyFill="1" applyBorder="1" applyAlignment="1">
      <alignment vertical="center"/>
    </xf>
    <xf numFmtId="44" fontId="24" fillId="13" borderId="0" xfId="8" applyFont="1" applyFill="1" applyBorder="1" applyAlignment="1">
      <alignment vertical="center"/>
    </xf>
    <xf numFmtId="44" fontId="22" fillId="13" borderId="0" xfId="8" applyFont="1" applyFill="1" applyBorder="1" applyAlignment="1">
      <alignment vertical="center"/>
    </xf>
    <xf numFmtId="44" fontId="15" fillId="15" borderId="11" xfId="8" applyFont="1" applyFill="1" applyBorder="1" applyAlignment="1">
      <alignment horizontal="center"/>
    </xf>
    <xf numFmtId="44" fontId="15" fillId="15" borderId="73" xfId="8" applyFont="1" applyFill="1" applyBorder="1" applyAlignment="1">
      <alignment horizontal="center"/>
    </xf>
    <xf numFmtId="0" fontId="24" fillId="0" borderId="67" xfId="0" applyFont="1" applyBorder="1" applyAlignment="1">
      <alignment horizontal="left" vertical="center" wrapText="1"/>
    </xf>
    <xf numFmtId="0" fontId="19" fillId="0" borderId="0" xfId="0" applyFont="1" applyAlignment="1">
      <alignment horizontal="right"/>
    </xf>
    <xf numFmtId="0" fontId="25" fillId="0" borderId="0" xfId="0" applyFont="1"/>
    <xf numFmtId="0" fontId="25" fillId="0" borderId="0" xfId="0" applyFont="1" applyAlignment="1">
      <alignment horizontal="center"/>
    </xf>
    <xf numFmtId="16" fontId="25" fillId="18" borderId="11" xfId="0" applyNumberFormat="1" applyFont="1" applyFill="1" applyBorder="1"/>
    <xf numFmtId="16" fontId="25" fillId="18" borderId="12" xfId="0" applyNumberFormat="1" applyFont="1" applyFill="1" applyBorder="1"/>
    <xf numFmtId="16" fontId="25" fillId="19" borderId="14" xfId="0" applyNumberFormat="1" applyFont="1" applyFill="1" applyBorder="1"/>
    <xf numFmtId="16" fontId="25" fillId="19" borderId="15" xfId="0" applyNumberFormat="1" applyFont="1" applyFill="1" applyBorder="1"/>
    <xf numFmtId="0" fontId="25" fillId="20" borderId="17" xfId="0" applyFont="1" applyFill="1" applyBorder="1" applyAlignment="1">
      <alignment horizontal="right"/>
    </xf>
    <xf numFmtId="0" fontId="25" fillId="20" borderId="0" xfId="0" applyFont="1" applyFill="1" applyAlignment="1">
      <alignment horizontal="right"/>
    </xf>
    <xf numFmtId="0" fontId="26" fillId="21" borderId="14" xfId="0" applyFont="1" applyFill="1" applyBorder="1"/>
    <xf numFmtId="0" fontId="26" fillId="21" borderId="15" xfId="0" applyFont="1" applyFill="1" applyBorder="1"/>
    <xf numFmtId="164" fontId="27" fillId="0" borderId="0" xfId="2" applyNumberFormat="1" applyFont="1" applyAlignment="1" applyProtection="1">
      <alignment horizontal="left" vertical="center"/>
      <protection locked="0"/>
    </xf>
    <xf numFmtId="0" fontId="27" fillId="0" borderId="0" xfId="2" applyFont="1" applyAlignment="1" applyProtection="1">
      <alignment horizontal="left" vertical="center"/>
      <protection locked="0"/>
    </xf>
    <xf numFmtId="14" fontId="27" fillId="0" borderId="0" xfId="2" applyNumberFormat="1" applyFont="1" applyAlignment="1" applyProtection="1">
      <alignment horizontal="left" vertical="center"/>
      <protection locked="0"/>
    </xf>
    <xf numFmtId="0" fontId="28" fillId="22" borderId="58" xfId="0" applyFont="1" applyFill="1" applyBorder="1" applyAlignment="1">
      <alignment horizontal="center"/>
    </xf>
    <xf numFmtId="164" fontId="27" fillId="0" borderId="58" xfId="2" applyNumberFormat="1" applyFont="1" applyBorder="1" applyAlignment="1" applyProtection="1">
      <alignment horizontal="left" vertical="center"/>
      <protection locked="0"/>
    </xf>
    <xf numFmtId="44" fontId="28" fillId="0" borderId="58" xfId="0" applyNumberFormat="1" applyFont="1" applyBorder="1"/>
    <xf numFmtId="9" fontId="28" fillId="0" borderId="58" xfId="1" applyFont="1" applyBorder="1" applyAlignment="1">
      <alignment horizontal="center"/>
    </xf>
    <xf numFmtId="44" fontId="28" fillId="22" borderId="58" xfId="0" applyNumberFormat="1" applyFont="1" applyFill="1" applyBorder="1" applyAlignment="1">
      <alignment horizontal="center"/>
    </xf>
    <xf numFmtId="44" fontId="25" fillId="0" borderId="0" xfId="0" applyNumberFormat="1" applyFont="1"/>
    <xf numFmtId="44" fontId="29" fillId="0" borderId="0" xfId="0" applyNumberFormat="1" applyFont="1"/>
    <xf numFmtId="171" fontId="25" fillId="0" borderId="0" xfId="0" applyNumberFormat="1" applyFont="1"/>
    <xf numFmtId="166" fontId="30" fillId="6" borderId="49" xfId="4" applyNumberFormat="1" applyFont="1" applyFill="1" applyBorder="1" applyAlignment="1">
      <alignment horizontal="center" vertical="center" wrapText="1"/>
    </xf>
    <xf numFmtId="166" fontId="31" fillId="6" borderId="50" xfId="4" applyNumberFormat="1" applyFont="1" applyFill="1" applyBorder="1" applyAlignment="1">
      <alignment horizontal="center" vertical="center" wrapText="1"/>
    </xf>
    <xf numFmtId="44" fontId="33" fillId="0" borderId="58" xfId="8" applyFont="1" applyBorder="1"/>
    <xf numFmtId="44" fontId="34" fillId="0" borderId="58" xfId="8" applyFont="1" applyBorder="1"/>
    <xf numFmtId="44" fontId="19" fillId="0" borderId="0" xfId="0" applyNumberFormat="1" applyFont="1"/>
    <xf numFmtId="0" fontId="22" fillId="0" borderId="0" xfId="0" applyFont="1" applyAlignment="1">
      <alignment horizontal="left"/>
    </xf>
    <xf numFmtId="9" fontId="19" fillId="0" borderId="0" xfId="1" applyFont="1"/>
    <xf numFmtId="0" fontId="19" fillId="0" borderId="0" xfId="0" applyFont="1"/>
    <xf numFmtId="171" fontId="19" fillId="0" borderId="0" xfId="0" applyNumberFormat="1" applyFont="1"/>
    <xf numFmtId="164" fontId="27" fillId="0" borderId="20" xfId="2" applyNumberFormat="1" applyFont="1" applyBorder="1" applyAlignment="1" applyProtection="1">
      <alignment horizontal="left" vertical="center"/>
      <protection locked="0"/>
    </xf>
    <xf numFmtId="164" fontId="27" fillId="0" borderId="19" xfId="2" applyNumberFormat="1" applyFont="1" applyBorder="1" applyAlignment="1" applyProtection="1">
      <alignment horizontal="left" vertical="center"/>
      <protection locked="0"/>
    </xf>
    <xf numFmtId="164" fontId="27" fillId="0" borderId="31" xfId="2" applyNumberFormat="1" applyFont="1" applyBorder="1" applyAlignment="1" applyProtection="1">
      <alignment horizontal="left" vertical="center"/>
      <protection locked="0"/>
    </xf>
    <xf numFmtId="164" fontId="27" fillId="0" borderId="30" xfId="2" applyNumberFormat="1" applyFont="1" applyBorder="1" applyAlignment="1" applyProtection="1">
      <alignment horizontal="left" vertical="center"/>
      <protection locked="0"/>
    </xf>
    <xf numFmtId="0" fontId="27" fillId="0" borderId="23" xfId="2" applyFont="1" applyBorder="1" applyAlignment="1" applyProtection="1">
      <alignment horizontal="left" vertical="center"/>
      <protection locked="0"/>
    </xf>
    <xf numFmtId="14" fontId="27" fillId="0" borderId="30" xfId="2" applyNumberFormat="1" applyFont="1" applyBorder="1" applyAlignment="1" applyProtection="1">
      <alignment horizontal="left" vertical="center"/>
      <protection locked="0"/>
    </xf>
    <xf numFmtId="164" fontId="27" fillId="0" borderId="37" xfId="2" applyNumberFormat="1" applyFont="1" applyBorder="1" applyAlignment="1" applyProtection="1">
      <alignment horizontal="left" vertical="center"/>
      <protection locked="0"/>
    </xf>
    <xf numFmtId="0" fontId="27" fillId="0" borderId="26" xfId="2" applyFont="1" applyBorder="1" applyAlignment="1" applyProtection="1">
      <alignment horizontal="left" vertical="center"/>
      <protection locked="0"/>
    </xf>
    <xf numFmtId="44" fontId="25" fillId="0" borderId="73" xfId="0" applyNumberFormat="1" applyFont="1" applyBorder="1" applyAlignment="1">
      <alignment horizontal="center" vertical="center"/>
    </xf>
    <xf numFmtId="0" fontId="25" fillId="0" borderId="74" xfId="0" applyFont="1" applyBorder="1" applyAlignment="1">
      <alignment horizontal="center" vertical="center"/>
    </xf>
    <xf numFmtId="0" fontId="32" fillId="9" borderId="51" xfId="0" applyFont="1" applyFill="1" applyBorder="1" applyAlignment="1">
      <alignment horizontal="center"/>
    </xf>
    <xf numFmtId="0" fontId="32" fillId="9" borderId="52" xfId="0" applyFont="1" applyFill="1" applyBorder="1" applyAlignment="1">
      <alignment horizontal="center"/>
    </xf>
    <xf numFmtId="0" fontId="32" fillId="10" borderId="75" xfId="0" applyFont="1" applyFill="1" applyBorder="1" applyAlignment="1">
      <alignment horizontal="left"/>
    </xf>
    <xf numFmtId="0" fontId="32" fillId="10" borderId="76" xfId="0" applyFont="1" applyFill="1" applyBorder="1" applyAlignment="1">
      <alignment horizontal="left"/>
    </xf>
    <xf numFmtId="0" fontId="15" fillId="10" borderId="60" xfId="0" applyFont="1" applyFill="1" applyBorder="1" applyAlignment="1">
      <alignment horizontal="left"/>
    </xf>
    <xf numFmtId="0" fontId="15" fillId="10" borderId="8" xfId="0" applyFont="1" applyFill="1" applyBorder="1" applyAlignment="1">
      <alignment horizontal="left"/>
    </xf>
    <xf numFmtId="1" fontId="15" fillId="10" borderId="60" xfId="0" applyNumberFormat="1" applyFont="1" applyFill="1" applyBorder="1" applyAlignment="1">
      <alignment horizontal="left"/>
    </xf>
    <xf numFmtId="1" fontId="15" fillId="10" borderId="8" xfId="0" applyNumberFormat="1" applyFont="1" applyFill="1" applyBorder="1" applyAlignment="1">
      <alignment horizontal="left"/>
    </xf>
    <xf numFmtId="0" fontId="15" fillId="9" borderId="17" xfId="0" applyFont="1" applyFill="1" applyBorder="1" applyAlignment="1">
      <alignment horizontal="center"/>
    </xf>
    <xf numFmtId="0" fontId="15" fillId="9" borderId="0" xfId="0" applyFont="1" applyFill="1" applyAlignment="1">
      <alignment horizontal="center"/>
    </xf>
    <xf numFmtId="0" fontId="15" fillId="9" borderId="18" xfId="0" applyFont="1" applyFill="1" applyBorder="1" applyAlignment="1">
      <alignment horizontal="center"/>
    </xf>
    <xf numFmtId="0" fontId="15" fillId="10" borderId="11" xfId="0" applyFont="1" applyFill="1" applyBorder="1" applyAlignment="1">
      <alignment horizontal="left"/>
    </xf>
    <xf numFmtId="0" fontId="15" fillId="10" borderId="12" xfId="0" applyFont="1" applyFill="1" applyBorder="1" applyAlignment="1">
      <alignment horizontal="left"/>
    </xf>
    <xf numFmtId="0" fontId="15" fillId="10" borderId="55" xfId="0" applyFont="1" applyFill="1" applyBorder="1" applyAlignment="1">
      <alignment horizontal="left"/>
    </xf>
    <xf numFmtId="0" fontId="15" fillId="10" borderId="62" xfId="0" applyFont="1" applyFill="1" applyBorder="1" applyAlignment="1">
      <alignment horizontal="left"/>
    </xf>
    <xf numFmtId="0" fontId="15" fillId="10" borderId="64" xfId="0" applyFont="1" applyFill="1" applyBorder="1" applyAlignment="1">
      <alignment horizontal="left"/>
    </xf>
    <xf numFmtId="0" fontId="15" fillId="10" borderId="14" xfId="0" applyFont="1" applyFill="1" applyBorder="1" applyAlignment="1">
      <alignment horizontal="left"/>
    </xf>
    <xf numFmtId="0" fontId="15" fillId="10" borderId="15" xfId="0" applyFont="1" applyFill="1" applyBorder="1" applyAlignment="1">
      <alignment horizontal="left"/>
    </xf>
    <xf numFmtId="1" fontId="15" fillId="10" borderId="14" xfId="0" applyNumberFormat="1" applyFont="1" applyFill="1" applyBorder="1" applyAlignment="1">
      <alignment horizontal="left"/>
    </xf>
    <xf numFmtId="1" fontId="15" fillId="10" borderId="15" xfId="0" applyNumberFormat="1" applyFont="1" applyFill="1" applyBorder="1" applyAlignment="1">
      <alignment horizontal="left"/>
    </xf>
    <xf numFmtId="166" fontId="20" fillId="4" borderId="17" xfId="4" applyNumberFormat="1" applyFont="1" applyFill="1" applyBorder="1" applyAlignment="1">
      <alignment horizontal="center" vertical="center" wrapText="1"/>
    </xf>
    <xf numFmtId="166" fontId="20" fillId="4" borderId="0" xfId="4" applyNumberFormat="1" applyFont="1" applyFill="1" applyBorder="1" applyAlignment="1">
      <alignment horizontal="center" vertical="center" wrapText="1"/>
    </xf>
    <xf numFmtId="0" fontId="18" fillId="0" borderId="0" xfId="2" applyFont="1" applyAlignment="1">
      <alignment horizontal="left" vertical="center" wrapText="1"/>
    </xf>
    <xf numFmtId="0" fontId="18" fillId="0" borderId="0" xfId="2" applyFont="1" applyAlignment="1">
      <alignment horizontal="left" vertical="top"/>
    </xf>
    <xf numFmtId="0" fontId="20" fillId="2" borderId="3" xfId="3" applyFont="1" applyFill="1" applyBorder="1" applyAlignment="1">
      <alignment horizontal="center" vertical="center"/>
    </xf>
    <xf numFmtId="0" fontId="20" fillId="2" borderId="4" xfId="3" applyFont="1" applyFill="1" applyBorder="1" applyAlignment="1">
      <alignment horizontal="center" vertical="center"/>
    </xf>
    <xf numFmtId="0" fontId="20" fillId="2" borderId="5" xfId="3" applyFont="1" applyFill="1" applyBorder="1" applyAlignment="1">
      <alignment horizontal="center" vertical="center"/>
    </xf>
    <xf numFmtId="0" fontId="20" fillId="3" borderId="6" xfId="0" applyFont="1" applyFill="1" applyBorder="1" applyAlignment="1">
      <alignment horizontal="center" vertical="center" wrapText="1"/>
    </xf>
    <xf numFmtId="0" fontId="20" fillId="3" borderId="35" xfId="0" applyFont="1" applyFill="1" applyBorder="1" applyAlignment="1">
      <alignment horizontal="center" vertical="center" wrapText="1"/>
    </xf>
    <xf numFmtId="0" fontId="20" fillId="3" borderId="5" xfId="0" applyFont="1" applyFill="1" applyBorder="1" applyAlignment="1">
      <alignment horizontal="center" vertical="center" wrapText="1"/>
    </xf>
    <xf numFmtId="166" fontId="20" fillId="4" borderId="6" xfId="4" applyNumberFormat="1" applyFont="1" applyFill="1" applyBorder="1" applyAlignment="1">
      <alignment horizontal="center" vertical="center" wrapText="1"/>
    </xf>
    <xf numFmtId="166" fontId="20" fillId="4" borderId="35" xfId="4" applyNumberFormat="1" applyFont="1" applyFill="1" applyBorder="1" applyAlignment="1">
      <alignment horizontal="center" vertical="center" wrapText="1"/>
    </xf>
    <xf numFmtId="166" fontId="20" fillId="4" borderId="5" xfId="4" applyNumberFormat="1" applyFont="1" applyFill="1" applyBorder="1" applyAlignment="1">
      <alignment horizontal="center" vertical="center" wrapText="1"/>
    </xf>
    <xf numFmtId="0" fontId="9" fillId="8" borderId="39" xfId="0" applyFont="1" applyFill="1" applyBorder="1" applyAlignment="1">
      <alignment horizontal="left" vertical="center"/>
    </xf>
    <xf numFmtId="0" fontId="9" fillId="8" borderId="39" xfId="0" applyFont="1" applyFill="1" applyBorder="1" applyAlignment="1">
      <alignment vertical="center"/>
    </xf>
    <xf numFmtId="0" fontId="9" fillId="8" borderId="0" xfId="0" applyFont="1" applyFill="1" applyAlignment="1">
      <alignment vertical="center"/>
    </xf>
    <xf numFmtId="0" fontId="10" fillId="8" borderId="39" xfId="0" applyFont="1" applyFill="1" applyBorder="1" applyAlignment="1">
      <alignment horizontal="left" vertical="top"/>
    </xf>
    <xf numFmtId="0" fontId="12" fillId="8" borderId="39" xfId="0" applyFont="1" applyFill="1" applyBorder="1" applyAlignment="1">
      <alignment horizontal="center" vertical="center" wrapText="1"/>
    </xf>
    <xf numFmtId="0" fontId="12" fillId="8" borderId="0" xfId="0" applyFont="1" applyFill="1" applyAlignment="1">
      <alignment horizontal="center" vertical="center" wrapText="1"/>
    </xf>
    <xf numFmtId="0" fontId="0" fillId="0" borderId="24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25" xfId="0" applyBorder="1" applyAlignment="1">
      <alignment horizontal="left"/>
    </xf>
    <xf numFmtId="0" fontId="5" fillId="0" borderId="11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2" fillId="7" borderId="0" xfId="0" applyFont="1" applyFill="1" applyAlignment="1">
      <alignment horizontal="center"/>
    </xf>
    <xf numFmtId="0" fontId="0" fillId="0" borderId="20" xfId="0" applyBorder="1" applyAlignment="1">
      <alignment horizontal="left"/>
    </xf>
    <xf numFmtId="0" fontId="0" fillId="0" borderId="21" xfId="0" applyBorder="1" applyAlignment="1">
      <alignment horizontal="left"/>
    </xf>
    <xf numFmtId="0" fontId="0" fillId="0" borderId="22" xfId="0" applyBorder="1" applyAlignment="1">
      <alignment horizontal="left"/>
    </xf>
    <xf numFmtId="0" fontId="0" fillId="0" borderId="27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29" xfId="0" applyBorder="1" applyAlignment="1">
      <alignment horizontal="left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0" fillId="0" borderId="31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2" xfId="0" applyBorder="1" applyAlignment="1">
      <alignment horizontal="left"/>
    </xf>
    <xf numFmtId="0" fontId="2" fillId="0" borderId="2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44" fontId="0" fillId="0" borderId="24" xfId="8" applyFont="1" applyBorder="1" applyAlignment="1">
      <alignment horizontal="center"/>
    </xf>
    <xf numFmtId="44" fontId="0" fillId="0" borderId="25" xfId="8" applyFont="1" applyBorder="1" applyAlignment="1">
      <alignment horizontal="center"/>
    </xf>
    <xf numFmtId="44" fontId="0" fillId="0" borderId="27" xfId="8" applyFont="1" applyBorder="1" applyAlignment="1">
      <alignment horizontal="center"/>
    </xf>
    <xf numFmtId="44" fontId="0" fillId="0" borderId="29" xfId="8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2" fillId="0" borderId="11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44" fontId="16" fillId="17" borderId="0" xfId="0" applyNumberFormat="1" applyFont="1" applyFill="1"/>
  </cellXfs>
  <cellStyles count="18">
    <cellStyle name="Moeda" xfId="8" builtinId="4"/>
    <cellStyle name="Moeda 2" xfId="4" xr:uid="{88D8EF41-8435-41DD-B95B-CB2197D8CF8B}"/>
    <cellStyle name="Moeda 3" xfId="9" xr:uid="{18A079E9-578A-4840-BD6F-5C55BE5AE376}"/>
    <cellStyle name="Moeda 3 2" xfId="15" xr:uid="{53D7C568-CC58-4B15-B9DD-1867C128147F}"/>
    <cellStyle name="Moeda 4" xfId="6" xr:uid="{87039FAF-445E-422B-A516-66BA7E305CF9}"/>
    <cellStyle name="Moeda 4 2" xfId="10" xr:uid="{636A40C2-255F-46EF-84CA-98953AE8866B}"/>
    <cellStyle name="Moeda 4 2 2" xfId="16" xr:uid="{7BDB4489-6168-4BE0-A964-5DE628ED1876}"/>
    <cellStyle name="Moeda 5" xfId="11" xr:uid="{2124AE60-0557-4AC3-B48A-633CB17E3340}"/>
    <cellStyle name="Moeda 5 2" xfId="17" xr:uid="{0C993D40-EFA9-480A-9766-C4BE8F04E4F7}"/>
    <cellStyle name="Moeda 6" xfId="14" xr:uid="{574A822A-71B7-46B2-A0C3-1C5E8591DADA}"/>
    <cellStyle name="Normal" xfId="0" builtinId="0"/>
    <cellStyle name="Normal 2" xfId="2" xr:uid="{BD42359E-6099-413E-81D2-0E0BA4C03DB2}"/>
    <cellStyle name="Normal 3" xfId="7" xr:uid="{68151FFA-A329-4F7F-B412-27BE57253D9C}"/>
    <cellStyle name="Normal 3 2" xfId="13" xr:uid="{EDD1A25C-4E09-47DE-9478-AA6861AFB48F}"/>
    <cellStyle name="Normal 6" xfId="12" xr:uid="{2888F636-9924-454F-857E-E38553BD81CD}"/>
    <cellStyle name="Normal_Plan1" xfId="3" xr:uid="{ABCD160A-D73A-4213-9DF3-17A45862579B}"/>
    <cellStyle name="Porcentagem" xfId="1" builtinId="5"/>
    <cellStyle name="Porcentagem 2" xfId="5" xr:uid="{58C97418-D6D1-4F2E-95E9-1B0ADE8B90D4}"/>
  </cellStyles>
  <dxfs count="0"/>
  <tableStyles count="0" defaultTableStyle="TableStyleMedium2" defaultPivotStyle="PivotStyleLight16"/>
  <colors>
    <mruColors>
      <color rgb="FFFFFFFF"/>
      <color rgb="FF0476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668914</xdr:colOff>
      <xdr:row>0</xdr:row>
      <xdr:rowOff>152400</xdr:rowOff>
    </xdr:from>
    <xdr:to>
      <xdr:col>5</xdr:col>
      <xdr:colOff>722930</xdr:colOff>
      <xdr:row>1</xdr:row>
      <xdr:rowOff>73025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3553"/>
            </a:ext>
            <a:ext uri="{FF2B5EF4-FFF2-40B4-BE49-F238E27FC236}">
              <a16:creationId xmlns:a16="http://schemas.microsoft.com/office/drawing/2014/main" id="{CB1F43E9-E50D-4C37-894D-9D2B9A7861D6}"/>
            </a:ext>
          </a:extLst>
        </xdr:cNvPr>
        <xdr:cNvSpPr/>
      </xdr:nvSpPr>
      <xdr:spPr bwMode="auto">
        <a:xfrm>
          <a:off x="667553" y="152400"/>
          <a:ext cx="884052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250031</xdr:colOff>
      <xdr:row>0</xdr:row>
      <xdr:rowOff>130971</xdr:rowOff>
    </xdr:from>
    <xdr:to>
      <xdr:col>1</xdr:col>
      <xdr:colOff>625238</xdr:colOff>
      <xdr:row>0</xdr:row>
      <xdr:rowOff>509588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1CAD9771-8352-4CE6-8D77-DBB2963050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75207" cy="372267"/>
        </a:xfrm>
        <a:prstGeom prst="rect">
          <a:avLst/>
        </a:prstGeom>
      </xdr:spPr>
    </xdr:pic>
    <xdr:clientData/>
  </xdr:twoCellAnchor>
  <xdr:twoCellAnchor editAs="absolute">
    <xdr:from>
      <xdr:col>42</xdr:col>
      <xdr:colOff>110877</xdr:colOff>
      <xdr:row>0</xdr:row>
      <xdr:rowOff>190500</xdr:rowOff>
    </xdr:from>
    <xdr:to>
      <xdr:col>43</xdr:col>
      <xdr:colOff>471663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3554"/>
            </a:ext>
            <a:ext uri="{FF2B5EF4-FFF2-40B4-BE49-F238E27FC236}">
              <a16:creationId xmlns:a16="http://schemas.microsoft.com/office/drawing/2014/main" id="{6324A32B-F725-47EB-A47D-0C01D7C2A961}"/>
            </a:ext>
          </a:extLst>
        </xdr:cNvPr>
        <xdr:cNvSpPr/>
      </xdr:nvSpPr>
      <xdr:spPr bwMode="auto">
        <a:xfrm>
          <a:off x="28325985" y="190500"/>
          <a:ext cx="1019468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41</xdr:col>
      <xdr:colOff>245735</xdr:colOff>
      <xdr:row>0</xdr:row>
      <xdr:rowOff>185741</xdr:rowOff>
    </xdr:from>
    <xdr:to>
      <xdr:col>42</xdr:col>
      <xdr:colOff>34674</xdr:colOff>
      <xdr:row>0</xdr:row>
      <xdr:rowOff>548483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7B093F04-D6FF-41CD-AAD0-45FB985AC5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99740" y="179391"/>
          <a:ext cx="353217" cy="362742"/>
        </a:xfrm>
        <a:prstGeom prst="rect">
          <a:avLst/>
        </a:prstGeom>
      </xdr:spPr>
    </xdr:pic>
    <xdr:clientData/>
  </xdr:twoCellAnchor>
  <xdr:twoCellAnchor editAs="absolute">
    <xdr:from>
      <xdr:col>1</xdr:col>
      <xdr:colOff>668914</xdr:colOff>
      <xdr:row>0</xdr:row>
      <xdr:rowOff>152400</xdr:rowOff>
    </xdr:from>
    <xdr:to>
      <xdr:col>5</xdr:col>
      <xdr:colOff>722930</xdr:colOff>
      <xdr:row>1</xdr:row>
      <xdr:rowOff>73025</xdr:rowOff>
    </xdr:to>
    <xdr:pic>
      <xdr:nvPicPr>
        <xdr:cNvPr id="6" name="Label1">
          <a:extLst>
            <a:ext uri="{FF2B5EF4-FFF2-40B4-BE49-F238E27FC236}">
              <a16:creationId xmlns:a16="http://schemas.microsoft.com/office/drawing/2014/main" id="{6ABA7E1C-E3A7-4A40-A94D-86E5F2BD720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553" y="152400"/>
          <a:ext cx="884052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42</xdr:col>
      <xdr:colOff>110877</xdr:colOff>
      <xdr:row>0</xdr:row>
      <xdr:rowOff>190500</xdr:rowOff>
    </xdr:from>
    <xdr:to>
      <xdr:col>43</xdr:col>
      <xdr:colOff>471663</xdr:colOff>
      <xdr:row>1</xdr:row>
      <xdr:rowOff>114300</xdr:rowOff>
    </xdr:to>
    <xdr:pic>
      <xdr:nvPicPr>
        <xdr:cNvPr id="7" name="Label2">
          <a:extLst>
            <a:ext uri="{FF2B5EF4-FFF2-40B4-BE49-F238E27FC236}">
              <a16:creationId xmlns:a16="http://schemas.microsoft.com/office/drawing/2014/main" id="{90B3F352-0E54-457D-BA4A-E5B3FA42207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25985" y="190500"/>
          <a:ext cx="1019468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10</xdr:col>
      <xdr:colOff>612322</xdr:colOff>
      <xdr:row>1</xdr:row>
      <xdr:rowOff>258535</xdr:rowOff>
    </xdr:from>
    <xdr:ext cx="2776118" cy="1993675"/>
    <xdr:pic>
      <xdr:nvPicPr>
        <xdr:cNvPr id="12" name="Imagem 11">
          <a:extLst>
            <a:ext uri="{FF2B5EF4-FFF2-40B4-BE49-F238E27FC236}">
              <a16:creationId xmlns:a16="http://schemas.microsoft.com/office/drawing/2014/main" id="{ED989FE6-125E-4003-A80A-6825842EC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926536" y="884464"/>
          <a:ext cx="2776118" cy="1993675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667000" cy="12382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0" cy="123825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167640</xdr:colOff>
      <xdr:row>49</xdr:row>
      <xdr:rowOff>137160</xdr:rowOff>
    </xdr:from>
    <xdr:to>
      <xdr:col>5</xdr:col>
      <xdr:colOff>259080</xdr:colOff>
      <xdr:row>49</xdr:row>
      <xdr:rowOff>137160</xdr:rowOff>
    </xdr:to>
    <xdr:cxnSp macro="">
      <xdr:nvCxnSpPr>
        <xdr:cNvPr id="2" name="Conector ret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CxnSpPr/>
      </xdr:nvCxnSpPr>
      <xdr:spPr>
        <a:xfrm>
          <a:off x="396240" y="8717280"/>
          <a:ext cx="199644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487680</xdr:colOff>
      <xdr:row>49</xdr:row>
      <xdr:rowOff>137160</xdr:rowOff>
    </xdr:from>
    <xdr:to>
      <xdr:col>10</xdr:col>
      <xdr:colOff>472440</xdr:colOff>
      <xdr:row>49</xdr:row>
      <xdr:rowOff>137160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CxnSpPr/>
      </xdr:nvCxnSpPr>
      <xdr:spPr>
        <a:xfrm>
          <a:off x="3665220" y="8717280"/>
          <a:ext cx="187452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53340</xdr:colOff>
      <xdr:row>1</xdr:row>
      <xdr:rowOff>91440</xdr:rowOff>
    </xdr:from>
    <xdr:ext cx="916651" cy="861060"/>
    <xdr:pic>
      <xdr:nvPicPr>
        <xdr:cNvPr id="4" name="Picture 28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120640" y="198120"/>
          <a:ext cx="916651" cy="861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noFill/>
      </a:spPr>
      <a:bodyPr vertOverflow="clip" horzOverflow="clip" wrap="none" rtlCol="0" anchor="t">
        <a:noAutofit/>
      </a:bodyPr>
      <a:lstStyle>
        <a:defPPr algn="ctr">
          <a:defRPr sz="1600" b="0">
            <a:latin typeface="Abadi" panose="020B0604020104020204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8E700-9EC3-46F0-8AD0-DFC7681ABC3D}">
  <dimension ref="A1:H30"/>
  <sheetViews>
    <sheetView showGridLines="0" tabSelected="1" topLeftCell="A10" zoomScaleNormal="100" workbookViewId="0">
      <selection activeCell="C23" sqref="C23:D23"/>
    </sheetView>
  </sheetViews>
  <sheetFormatPr defaultColWidth="8.6640625" defaultRowHeight="16.2" x14ac:dyDescent="0.35"/>
  <cols>
    <col min="1" max="1" width="8.6640625" style="149"/>
    <col min="2" max="2" width="23.44140625" style="149" bestFit="1" customWidth="1"/>
    <col min="3" max="3" width="26.5546875" style="149" bestFit="1" customWidth="1"/>
    <col min="4" max="4" width="21" style="149" bestFit="1" customWidth="1"/>
    <col min="5" max="5" width="20" style="149" bestFit="1" customWidth="1"/>
    <col min="6" max="6" width="11.88671875" style="150" bestFit="1" customWidth="1"/>
    <col min="7" max="7" width="13.5546875" style="149" bestFit="1" customWidth="1"/>
    <col min="8" max="8" width="10" style="149" customWidth="1"/>
    <col min="9" max="16384" width="8.6640625" style="149"/>
  </cols>
  <sheetData>
    <row r="1" spans="1:5" s="150" customFormat="1" hidden="1" x14ac:dyDescent="0.35">
      <c r="A1" s="149"/>
      <c r="B1" s="149"/>
      <c r="C1" s="149"/>
      <c r="D1" s="149"/>
      <c r="E1" s="149"/>
    </row>
    <row r="2" spans="1:5" s="150" customFormat="1" hidden="1" x14ac:dyDescent="0.35">
      <c r="A2" s="149"/>
      <c r="B2" s="149"/>
      <c r="C2" s="149"/>
      <c r="D2" s="149"/>
      <c r="E2" s="149"/>
    </row>
    <row r="3" spans="1:5" s="150" customFormat="1" hidden="1" x14ac:dyDescent="0.35">
      <c r="A3" s="149"/>
      <c r="B3" s="149"/>
      <c r="C3" s="151">
        <v>45866</v>
      </c>
      <c r="D3" s="152"/>
      <c r="E3" s="187" t="e">
        <f>SUM(#REF!)</f>
        <v>#REF!</v>
      </c>
    </row>
    <row r="4" spans="1:5" s="150" customFormat="1" ht="15.6" hidden="1" customHeight="1" thickBot="1" x14ac:dyDescent="0.4">
      <c r="A4" s="149"/>
      <c r="B4" s="149"/>
      <c r="C4" s="153">
        <v>45867</v>
      </c>
      <c r="D4" s="154"/>
      <c r="E4" s="188"/>
    </row>
    <row r="5" spans="1:5" s="150" customFormat="1" hidden="1" x14ac:dyDescent="0.35">
      <c r="A5" s="149"/>
      <c r="B5" s="149"/>
      <c r="C5" s="155" t="s">
        <v>157</v>
      </c>
      <c r="D5" s="156"/>
      <c r="E5" s="149"/>
    </row>
    <row r="6" spans="1:5" s="150" customFormat="1" hidden="1" x14ac:dyDescent="0.35">
      <c r="A6" s="149"/>
      <c r="B6" s="149"/>
      <c r="C6" s="155" t="s">
        <v>158</v>
      </c>
      <c r="D6" s="156"/>
      <c r="E6" s="149"/>
    </row>
    <row r="7" spans="1:5" s="150" customFormat="1" ht="16.8" hidden="1" thickBot="1" x14ac:dyDescent="0.4">
      <c r="A7" s="149"/>
      <c r="B7" s="149"/>
      <c r="C7" s="157" t="s">
        <v>42</v>
      </c>
      <c r="D7" s="158"/>
      <c r="E7" s="149"/>
    </row>
    <row r="9" spans="1:5" s="150" customFormat="1" x14ac:dyDescent="0.35">
      <c r="A9" s="149" t="s">
        <v>99</v>
      </c>
      <c r="B9" s="149"/>
      <c r="C9" s="149"/>
      <c r="D9" s="149"/>
      <c r="E9" s="149"/>
    </row>
    <row r="10" spans="1:5" s="150" customFormat="1" ht="24" customHeight="1" x14ac:dyDescent="0.35">
      <c r="A10" s="149"/>
      <c r="B10" s="149"/>
      <c r="C10" s="149"/>
      <c r="D10" s="149"/>
      <c r="E10" s="149"/>
    </row>
    <row r="12" spans="1:5" s="150" customFormat="1" ht="15" customHeight="1" x14ac:dyDescent="0.35">
      <c r="A12" s="149"/>
      <c r="B12" s="179" t="s">
        <v>140</v>
      </c>
      <c r="C12" s="180" t="s">
        <v>149</v>
      </c>
      <c r="D12" s="159"/>
      <c r="E12" s="149"/>
    </row>
    <row r="13" spans="1:5" s="150" customFormat="1" ht="15" customHeight="1" x14ac:dyDescent="0.35">
      <c r="A13" s="149"/>
      <c r="B13" s="181" t="s">
        <v>141</v>
      </c>
      <c r="C13" s="182" t="s">
        <v>124</v>
      </c>
      <c r="D13" s="159"/>
      <c r="E13" s="149"/>
    </row>
    <row r="14" spans="1:5" s="150" customFormat="1" ht="15" customHeight="1" x14ac:dyDescent="0.35">
      <c r="A14" s="149"/>
      <c r="B14" s="181" t="s">
        <v>142</v>
      </c>
      <c r="C14" s="183" t="s">
        <v>150</v>
      </c>
      <c r="D14" s="160"/>
      <c r="E14" s="149"/>
    </row>
    <row r="15" spans="1:5" s="150" customFormat="1" ht="15" customHeight="1" x14ac:dyDescent="0.35">
      <c r="A15" s="149"/>
      <c r="B15" s="181" t="s">
        <v>143</v>
      </c>
      <c r="C15" s="183"/>
      <c r="D15" s="160"/>
      <c r="E15" s="149"/>
    </row>
    <row r="16" spans="1:5" s="150" customFormat="1" ht="15" customHeight="1" x14ac:dyDescent="0.35">
      <c r="A16" s="149"/>
      <c r="B16" s="181" t="s">
        <v>144</v>
      </c>
      <c r="C16" s="184">
        <v>46176</v>
      </c>
      <c r="D16" s="161"/>
      <c r="E16" s="149"/>
    </row>
    <row r="17" spans="1:8" ht="15" customHeight="1" x14ac:dyDescent="0.35">
      <c r="B17" s="181" t="s">
        <v>145</v>
      </c>
      <c r="C17" s="183" t="s">
        <v>133</v>
      </c>
      <c r="D17" s="160"/>
    </row>
    <row r="18" spans="1:8" ht="15" customHeight="1" x14ac:dyDescent="0.35">
      <c r="B18" s="181" t="s">
        <v>146</v>
      </c>
      <c r="C18" s="183" t="s">
        <v>134</v>
      </c>
      <c r="D18" s="160"/>
    </row>
    <row r="19" spans="1:8" ht="15" customHeight="1" x14ac:dyDescent="0.35">
      <c r="B19" s="185" t="s">
        <v>147</v>
      </c>
      <c r="C19" s="186" t="s">
        <v>148</v>
      </c>
      <c r="D19" s="160"/>
    </row>
    <row r="21" spans="1:8" ht="15.6" customHeight="1" x14ac:dyDescent="0.35">
      <c r="B21" s="162"/>
      <c r="C21" s="162" t="s">
        <v>159</v>
      </c>
      <c r="D21" s="162" t="s">
        <v>160</v>
      </c>
      <c r="E21" s="162" t="s">
        <v>161</v>
      </c>
    </row>
    <row r="22" spans="1:8" x14ac:dyDescent="0.35">
      <c r="B22" s="163" t="s">
        <v>162</v>
      </c>
      <c r="C22" s="164">
        <f>Planilha!N25</f>
        <v>11876.165030446129</v>
      </c>
      <c r="D22" s="164">
        <f>Planilha!AL29</f>
        <v>10671.424754566919</v>
      </c>
      <c r="E22" s="164">
        <f t="shared" ref="E22" si="0">C22-D22</f>
        <v>1204.7402758792105</v>
      </c>
      <c r="F22" s="165">
        <f t="shared" ref="F22:F23" si="1">E22*100%/C22</f>
        <v>0.10144186046511634</v>
      </c>
    </row>
    <row r="23" spans="1:8" x14ac:dyDescent="0.35">
      <c r="B23" s="162" t="s">
        <v>42</v>
      </c>
      <c r="C23" s="166">
        <f>SUM(C22:C22)</f>
        <v>11876.165030446129</v>
      </c>
      <c r="D23" s="166">
        <f>SUM(D22:D22)</f>
        <v>10671.424754566919</v>
      </c>
      <c r="E23" s="166">
        <f>SUM(E22:E22)</f>
        <v>1204.7402758792105</v>
      </c>
      <c r="F23" s="165">
        <f t="shared" si="1"/>
        <v>0.10144186046511634</v>
      </c>
      <c r="H23" s="167"/>
    </row>
    <row r="24" spans="1:8" x14ac:dyDescent="0.35">
      <c r="C24" s="168"/>
    </row>
    <row r="26" spans="1:8" x14ac:dyDescent="0.35">
      <c r="E26" s="167"/>
    </row>
    <row r="30" spans="1:8" s="150" customFormat="1" x14ac:dyDescent="0.35">
      <c r="A30" s="149"/>
      <c r="B30" s="149"/>
      <c r="C30" s="149"/>
      <c r="D30" s="149"/>
      <c r="E30" s="169"/>
      <c r="G30" s="149"/>
      <c r="H30" s="149"/>
    </row>
  </sheetData>
  <mergeCells count="1">
    <mergeCell ref="E3:E4"/>
  </mergeCells>
  <pageMargins left="0.51181102362204722" right="0.51181102362204722" top="0.39370078740157483" bottom="0.39370078740157483" header="0" footer="0.31496062992125984"/>
  <pageSetup paperSize="9" scale="85" orientation="landscape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B35F7-15A5-405C-ABF9-C7FFAB2A5A71}">
  <sheetPr codeName="Planilha11">
    <pageSetUpPr autoPageBreaks="0" fitToPage="1"/>
  </sheetPr>
  <dimension ref="A1:AN40"/>
  <sheetViews>
    <sheetView showGridLines="0" topLeftCell="G1" zoomScale="50" zoomScaleNormal="50" workbookViewId="0">
      <pane ySplit="1" topLeftCell="A20" activePane="bottomLeft" state="frozen"/>
      <selection pane="bottomLeft" activeCell="AL31" sqref="AL31"/>
    </sheetView>
  </sheetViews>
  <sheetFormatPr defaultColWidth="8.88671875" defaultRowHeight="21" x14ac:dyDescent="0.4"/>
  <cols>
    <col min="1" max="1" width="4.6640625" style="37" hidden="1" customWidth="1"/>
    <col min="2" max="2" width="12.44140625" style="37" customWidth="1"/>
    <col min="3" max="4" width="4.6640625" style="37" hidden="1" customWidth="1"/>
    <col min="5" max="5" width="2.88671875" style="37" hidden="1" customWidth="1"/>
    <col min="6" max="6" width="44.44140625" style="37" customWidth="1"/>
    <col min="7" max="7" width="105.44140625" style="37" customWidth="1"/>
    <col min="8" max="9" width="7.33203125" style="40" hidden="1" customWidth="1"/>
    <col min="10" max="10" width="16.44140625" style="37" hidden="1" customWidth="1"/>
    <col min="11" max="11" width="26.6640625" style="37" bestFit="1" customWidth="1"/>
    <col min="12" max="12" width="24.6640625" style="37" bestFit="1" customWidth="1"/>
    <col min="13" max="14" width="26.6640625" style="37" bestFit="1" customWidth="1"/>
    <col min="15" max="15" width="3.33203125" style="37" hidden="1" customWidth="1"/>
    <col min="16" max="16" width="1.88671875" style="37" hidden="1" customWidth="1"/>
    <col min="17" max="17" width="8.6640625" style="40" customWidth="1"/>
    <col min="18" max="18" width="8.6640625" style="40" hidden="1" customWidth="1"/>
    <col min="19" max="19" width="16.44140625" style="37" hidden="1" customWidth="1"/>
    <col min="20" max="20" width="26.6640625" style="37" bestFit="1" customWidth="1"/>
    <col min="21" max="21" width="24.6640625" style="37" hidden="1" customWidth="1"/>
    <col min="22" max="22" width="9.6640625" style="37" hidden="1" customWidth="1"/>
    <col min="23" max="23" width="16.109375" style="37" hidden="1" customWidth="1"/>
    <col min="24" max="24" width="27.109375" style="37" bestFit="1" customWidth="1"/>
    <col min="25" max="25" width="26.6640625" style="37" hidden="1" customWidth="1"/>
    <col min="26" max="27" width="24.6640625" style="37" hidden="1" customWidth="1"/>
    <col min="28" max="28" width="38.109375" style="37" hidden="1" customWidth="1"/>
    <col min="29" max="29" width="14.109375" style="37" hidden="1" customWidth="1"/>
    <col min="30" max="30" width="7.6640625" style="37" hidden="1" customWidth="1"/>
    <col min="31" max="31" width="6.88671875" style="37" hidden="1" customWidth="1"/>
    <col min="32" max="32" width="1.33203125" style="37" hidden="1" customWidth="1"/>
    <col min="33" max="33" width="14" style="37" hidden="1" customWidth="1"/>
    <col min="34" max="34" width="11.6640625" style="37" hidden="1" customWidth="1"/>
    <col min="35" max="35" width="6.33203125" style="37" hidden="1" customWidth="1"/>
    <col min="36" max="36" width="12.6640625" style="37" hidden="1" customWidth="1"/>
    <col min="37" max="37" width="13.109375" style="37" hidden="1" customWidth="1"/>
    <col min="38" max="38" width="31" style="37" customWidth="1"/>
    <col min="39" max="39" width="36.6640625" style="37" customWidth="1"/>
    <col min="40" max="40" width="8.88671875" style="177"/>
    <col min="41" max="16384" width="8.88671875" style="37"/>
  </cols>
  <sheetData>
    <row r="1" spans="1:39" ht="49.5" customHeight="1" x14ac:dyDescent="0.4">
      <c r="B1" s="38"/>
      <c r="C1" s="39"/>
      <c r="D1" s="39"/>
      <c r="F1" s="211" t="s">
        <v>112</v>
      </c>
      <c r="G1" s="211"/>
    </row>
    <row r="2" spans="1:39" ht="24.75" customHeight="1" x14ac:dyDescent="0.4">
      <c r="B2" s="40"/>
      <c r="D2" s="39"/>
      <c r="F2" s="212" t="s">
        <v>0</v>
      </c>
      <c r="G2" s="212"/>
    </row>
    <row r="3" spans="1:39" ht="22.2" x14ac:dyDescent="0.4">
      <c r="B3" s="41"/>
      <c r="F3" s="42"/>
      <c r="G3" s="42"/>
    </row>
    <row r="4" spans="1:39" ht="22.2" x14ac:dyDescent="0.4">
      <c r="F4" s="43" t="s">
        <v>140</v>
      </c>
      <c r="G4" s="44" t="s">
        <v>149</v>
      </c>
    </row>
    <row r="5" spans="1:39" ht="22.2" x14ac:dyDescent="0.4">
      <c r="F5" s="45" t="s">
        <v>141</v>
      </c>
      <c r="G5" s="46" t="s">
        <v>124</v>
      </c>
    </row>
    <row r="6" spans="1:39" ht="22.2" x14ac:dyDescent="0.4">
      <c r="D6" s="37" t="s">
        <v>99</v>
      </c>
      <c r="F6" s="45" t="s">
        <v>142</v>
      </c>
      <c r="G6" s="47" t="s">
        <v>150</v>
      </c>
    </row>
    <row r="7" spans="1:39" ht="21.75" customHeight="1" x14ac:dyDescent="0.4">
      <c r="F7" s="45" t="s">
        <v>143</v>
      </c>
      <c r="G7" s="47"/>
      <c r="J7" s="37" t="s">
        <v>111</v>
      </c>
    </row>
    <row r="8" spans="1:39" ht="22.2" x14ac:dyDescent="0.4">
      <c r="F8" s="45" t="s">
        <v>144</v>
      </c>
      <c r="G8" s="48">
        <v>46176</v>
      </c>
    </row>
    <row r="9" spans="1:39" ht="22.2" x14ac:dyDescent="0.4">
      <c r="F9" s="45" t="s">
        <v>145</v>
      </c>
      <c r="G9" s="47" t="s">
        <v>133</v>
      </c>
      <c r="J9" s="37" t="s">
        <v>99</v>
      </c>
    </row>
    <row r="10" spans="1:39" ht="27" customHeight="1" x14ac:dyDescent="0.4">
      <c r="F10" s="45" t="s">
        <v>146</v>
      </c>
      <c r="G10" s="47" t="s">
        <v>134</v>
      </c>
    </row>
    <row r="11" spans="1:39" ht="22.2" x14ac:dyDescent="0.4">
      <c r="F11" s="49" t="s">
        <v>147</v>
      </c>
      <c r="G11" s="50" t="s">
        <v>148</v>
      </c>
    </row>
    <row r="12" spans="1:39" ht="67.2" hidden="1" thickBot="1" x14ac:dyDescent="0.45">
      <c r="B12" s="51"/>
      <c r="M12" s="52"/>
      <c r="Q12" s="213" t="s">
        <v>1</v>
      </c>
      <c r="R12" s="214"/>
      <c r="S12" s="214"/>
      <c r="T12" s="215"/>
      <c r="U12" s="216" t="s">
        <v>2</v>
      </c>
      <c r="V12" s="217"/>
      <c r="W12" s="217"/>
      <c r="X12" s="218"/>
      <c r="Y12" s="53" t="s">
        <v>48</v>
      </c>
      <c r="Z12" s="54">
        <f>(1/(1-M14))-1</f>
        <v>0.24269914253759173</v>
      </c>
      <c r="AC12" s="219" t="s">
        <v>3</v>
      </c>
      <c r="AD12" s="220"/>
      <c r="AE12" s="221"/>
      <c r="AG12" s="209" t="s">
        <v>50</v>
      </c>
      <c r="AH12" s="210"/>
      <c r="AJ12" s="55" t="s">
        <v>52</v>
      </c>
      <c r="AK12" s="55" t="s">
        <v>51</v>
      </c>
    </row>
    <row r="13" spans="1:39" ht="21.6" thickBot="1" x14ac:dyDescent="0.45">
      <c r="A13" s="56" t="s">
        <v>4</v>
      </c>
      <c r="B13" s="57" t="s">
        <v>5</v>
      </c>
      <c r="C13" s="56" t="s">
        <v>6</v>
      </c>
      <c r="D13" s="56" t="s">
        <v>7</v>
      </c>
      <c r="E13" s="56" t="s">
        <v>8</v>
      </c>
      <c r="M13" s="58">
        <v>0.80469999999999997</v>
      </c>
    </row>
    <row r="14" spans="1:39" ht="39.9" customHeight="1" thickBot="1" x14ac:dyDescent="0.45">
      <c r="A14" s="59">
        <v>0</v>
      </c>
      <c r="B14" s="60"/>
      <c r="C14" s="61"/>
      <c r="D14" s="62"/>
      <c r="E14" s="62"/>
      <c r="F14" s="63" t="s">
        <v>76</v>
      </c>
      <c r="G14" s="64" t="s">
        <v>77</v>
      </c>
      <c r="H14" s="65" t="s">
        <v>78</v>
      </c>
      <c r="I14" s="65" t="s">
        <v>79</v>
      </c>
      <c r="J14" s="66" t="s">
        <v>80</v>
      </c>
      <c r="K14" s="67" t="s">
        <v>9</v>
      </c>
      <c r="L14" s="68">
        <v>7.4999999999999997E-2</v>
      </c>
      <c r="M14" s="69">
        <f>1-M13</f>
        <v>0.19530000000000003</v>
      </c>
      <c r="N14" s="70" t="s">
        <v>74</v>
      </c>
      <c r="Q14" s="71" t="s">
        <v>81</v>
      </c>
      <c r="R14" s="72" t="s">
        <v>82</v>
      </c>
      <c r="S14" s="73" t="s">
        <v>83</v>
      </c>
      <c r="T14" s="74" t="s">
        <v>84</v>
      </c>
      <c r="U14" s="75" t="s">
        <v>85</v>
      </c>
      <c r="V14" s="76" t="s">
        <v>86</v>
      </c>
      <c r="W14" s="77" t="s">
        <v>87</v>
      </c>
      <c r="X14" s="77" t="s">
        <v>88</v>
      </c>
      <c r="Y14" s="78" t="s">
        <v>89</v>
      </c>
      <c r="Z14" s="79" t="s">
        <v>90</v>
      </c>
      <c r="AA14" s="80" t="s">
        <v>75</v>
      </c>
      <c r="AC14" s="81" t="s">
        <v>91</v>
      </c>
      <c r="AD14" s="82" t="s">
        <v>92</v>
      </c>
      <c r="AE14" s="82" t="s">
        <v>32</v>
      </c>
      <c r="AG14" s="83" t="s">
        <v>93</v>
      </c>
      <c r="AH14" s="84" t="s">
        <v>94</v>
      </c>
      <c r="AK14" s="85" t="s">
        <v>95</v>
      </c>
      <c r="AL14" s="170" t="s">
        <v>95</v>
      </c>
      <c r="AM14" s="171" t="s">
        <v>96</v>
      </c>
    </row>
    <row r="15" spans="1:39" ht="39.9" customHeight="1" thickBot="1" x14ac:dyDescent="0.5">
      <c r="A15" s="62">
        <v>1</v>
      </c>
      <c r="B15" s="86">
        <v>1</v>
      </c>
      <c r="C15" s="87" t="s">
        <v>113</v>
      </c>
      <c r="D15" s="62"/>
      <c r="E15" s="62"/>
      <c r="F15" s="197"/>
      <c r="G15" s="198"/>
      <c r="H15" s="198"/>
      <c r="I15" s="198"/>
      <c r="J15" s="198"/>
      <c r="K15" s="198"/>
      <c r="L15" s="198"/>
      <c r="M15" s="198"/>
      <c r="N15" s="199"/>
      <c r="Q15" s="198" t="str">
        <f>IF(F15&lt;&gt;"",F15,"")</f>
        <v/>
      </c>
      <c r="R15" s="198"/>
      <c r="S15" s="198"/>
      <c r="T15" s="198"/>
      <c r="U15" s="198"/>
      <c r="V15" s="198"/>
      <c r="W15" s="198"/>
      <c r="X15" s="198"/>
      <c r="Y15" s="198"/>
      <c r="AL15" s="189"/>
      <c r="AM15" s="190"/>
    </row>
    <row r="16" spans="1:39" ht="39.9" customHeight="1" x14ac:dyDescent="0.45">
      <c r="A16" s="62">
        <v>2</v>
      </c>
      <c r="B16" s="86" t="s">
        <v>115</v>
      </c>
      <c r="C16" s="87" t="s">
        <v>114</v>
      </c>
      <c r="D16" s="62"/>
      <c r="E16" s="62"/>
      <c r="F16" s="200" t="s">
        <v>135</v>
      </c>
      <c r="G16" s="201"/>
      <c r="H16" s="201"/>
      <c r="I16" s="201"/>
      <c r="J16" s="201"/>
      <c r="K16" s="202"/>
      <c r="L16" s="88" t="s">
        <v>116</v>
      </c>
      <c r="M16" s="89" t="s">
        <v>117</v>
      </c>
      <c r="N16" s="90" t="s">
        <v>74</v>
      </c>
      <c r="Q16" s="200" t="str">
        <f>IF(F16&lt;&gt;"",F16,"")</f>
        <v>Custos Internos</v>
      </c>
      <c r="R16" s="201"/>
      <c r="S16" s="201"/>
      <c r="T16" s="201"/>
      <c r="U16" s="201"/>
      <c r="V16" s="201"/>
      <c r="W16" s="201"/>
      <c r="X16" s="201"/>
      <c r="Y16" s="203"/>
      <c r="Z16" s="91" t="s">
        <v>118</v>
      </c>
      <c r="AA16" s="92" t="s">
        <v>75</v>
      </c>
      <c r="AL16" s="191"/>
      <c r="AM16" s="192"/>
    </row>
    <row r="17" spans="1:40" ht="99.9" customHeight="1" x14ac:dyDescent="0.45">
      <c r="A17" s="93">
        <v>3</v>
      </c>
      <c r="B17" s="86" t="s">
        <v>120</v>
      </c>
      <c r="C17" s="94" t="s">
        <v>119</v>
      </c>
      <c r="D17" s="93" t="s">
        <v>128</v>
      </c>
      <c r="E17" s="93" t="s">
        <v>125</v>
      </c>
      <c r="F17" s="95" t="s">
        <v>137</v>
      </c>
      <c r="G17" s="96" t="s">
        <v>154</v>
      </c>
      <c r="H17" s="97">
        <v>1</v>
      </c>
      <c r="I17" s="97">
        <v>1</v>
      </c>
      <c r="J17" s="98">
        <v>0</v>
      </c>
      <c r="K17" s="99">
        <f>IF(F17&lt;&gt;"",H17*I17*J17,"")</f>
        <v>0</v>
      </c>
      <c r="L17" s="99">
        <f>IF(K17&lt;&gt;"",IF(D17="INTERNO",0,K17*$L$14),"")</f>
        <v>0</v>
      </c>
      <c r="M17" s="99">
        <f>IF(K17&lt;&gt;"",IF(E17="FAT.OGGI",SUM(K17:L17)*(1/(1-$M$14)-1),L17*(1/(1-$M$14)-1)),0)</f>
        <v>0</v>
      </c>
      <c r="N17" s="99">
        <f>SUM(K17:M17)</f>
        <v>0</v>
      </c>
      <c r="Q17" s="100">
        <f>IF(H17&lt;&gt;"",H17,"")</f>
        <v>1</v>
      </c>
      <c r="R17" s="100">
        <f>IF(I17&lt;&gt;"",I17,"")</f>
        <v>1</v>
      </c>
      <c r="S17" s="101"/>
      <c r="T17" s="101">
        <f>IF(Q17&lt;&gt;"",Q17*R17*S17,"")</f>
        <v>0</v>
      </c>
      <c r="U17" s="102">
        <f>IF(Q17&lt;&gt;"",K17-T17,"")</f>
        <v>0</v>
      </c>
      <c r="V17" s="103">
        <f>IF(Q17&lt;&gt;"",0%,"")</f>
        <v>0</v>
      </c>
      <c r="W17" s="104">
        <f>IF(Q17&lt;&gt;"",V17*U17,"")</f>
        <v>0</v>
      </c>
      <c r="X17" s="104">
        <f>IF(Q17&lt;&gt;"",W17+T17,"")</f>
        <v>0</v>
      </c>
      <c r="Y17" s="105">
        <f>IF(Q17&lt;&gt;"",X17+M17,"")</f>
        <v>0</v>
      </c>
      <c r="Z17" s="106">
        <f>IF(Q17&lt;&gt;"", IFERROR(U17/K17, 0), 0)</f>
        <v>0</v>
      </c>
      <c r="AA17" s="92"/>
      <c r="AL17" s="172">
        <f>X17-AM17</f>
        <v>0</v>
      </c>
      <c r="AM17" s="173"/>
    </row>
    <row r="18" spans="1:40" ht="99.9" customHeight="1" x14ac:dyDescent="0.45">
      <c r="A18" s="93">
        <v>4</v>
      </c>
      <c r="B18" s="86" t="s">
        <v>97</v>
      </c>
      <c r="C18" s="94" t="s">
        <v>119</v>
      </c>
      <c r="D18" s="93" t="s">
        <v>128</v>
      </c>
      <c r="E18" s="93" t="s">
        <v>125</v>
      </c>
      <c r="F18" s="95" t="s">
        <v>136</v>
      </c>
      <c r="G18" s="96" t="s">
        <v>138</v>
      </c>
      <c r="H18" s="107">
        <v>1</v>
      </c>
      <c r="I18" s="107">
        <v>1</v>
      </c>
      <c r="J18" s="108">
        <v>0</v>
      </c>
      <c r="K18" s="109">
        <f>IF(F18&lt;&gt;"",H18*I18*J18,"")</f>
        <v>0</v>
      </c>
      <c r="L18" s="99">
        <f>IF(K18&lt;&gt;"",IF(D18="INTERNO",0,K18*$L$14),"")</f>
        <v>0</v>
      </c>
      <c r="M18" s="99">
        <f>IF(K18&lt;&gt;"",IF(E18="FAT.OGGI",SUM(K18:L18)*(1/(1-$M$14)-1),L18*(1/(1-$M$14)-1)),0)</f>
        <v>0</v>
      </c>
      <c r="N18" s="99">
        <f>SUM(K18:M18)</f>
        <v>0</v>
      </c>
      <c r="Q18" s="100">
        <f>IF(H18&lt;&gt;"",H18,"")</f>
        <v>1</v>
      </c>
      <c r="R18" s="100">
        <f>IF(I18&lt;&gt;"",I18,"")</f>
        <v>1</v>
      </c>
      <c r="S18" s="101"/>
      <c r="T18" s="101">
        <f>IF(Q18&lt;&gt;"",Q18*R18*S18,"")</f>
        <v>0</v>
      </c>
      <c r="U18" s="102">
        <f>IF(Q18&lt;&gt;"",K18-T18,"")</f>
        <v>0</v>
      </c>
      <c r="V18" s="103">
        <f>IF(Q18&lt;&gt;"",0%,"")</f>
        <v>0</v>
      </c>
      <c r="W18" s="104">
        <f>IF(Q18&lt;&gt;"",V18*U18,"")</f>
        <v>0</v>
      </c>
      <c r="X18" s="104">
        <f>IF(Q18&lt;&gt;"",W18+T18,"")</f>
        <v>0</v>
      </c>
      <c r="Y18" s="105">
        <f>IF(Q18&lt;&gt;"",X18+M18,"")</f>
        <v>0</v>
      </c>
      <c r="Z18" s="106">
        <f>IF(Q18&lt;&gt;"", IFERROR(U18/K18, 0), 0)</f>
        <v>0</v>
      </c>
      <c r="AA18" s="92"/>
      <c r="AL18" s="172">
        <f t="shared" ref="AL18:AL23" si="0">X18-AM18</f>
        <v>0</v>
      </c>
      <c r="AM18" s="173"/>
    </row>
    <row r="19" spans="1:40" ht="39.9" customHeight="1" thickBot="1" x14ac:dyDescent="0.5">
      <c r="A19" s="110">
        <v>5</v>
      </c>
      <c r="B19" s="86"/>
      <c r="C19" s="111" t="s">
        <v>129</v>
      </c>
      <c r="D19" s="110"/>
      <c r="E19" s="110"/>
      <c r="F19" s="205" t="s">
        <v>130</v>
      </c>
      <c r="G19" s="206"/>
      <c r="H19" s="206"/>
      <c r="I19" s="206"/>
      <c r="J19" s="206"/>
      <c r="K19" s="112">
        <f>SUM(K17:K18)</f>
        <v>0</v>
      </c>
      <c r="L19" s="112">
        <f>SUM(L17:L18)</f>
        <v>0</v>
      </c>
      <c r="M19" s="112">
        <f>SUM(M17:M18)</f>
        <v>0</v>
      </c>
      <c r="N19" s="113">
        <f>SUM(N17:N18)</f>
        <v>0</v>
      </c>
      <c r="Q19" s="207" t="s">
        <v>130</v>
      </c>
      <c r="R19" s="208"/>
      <c r="S19" s="208"/>
      <c r="T19" s="114">
        <f>SUM(T17:T18)</f>
        <v>0</v>
      </c>
      <c r="U19" s="115">
        <f>SUM(U17:U18)</f>
        <v>0</v>
      </c>
      <c r="V19" s="116"/>
      <c r="W19" s="117"/>
      <c r="X19" s="118">
        <f>SUM(X17:X18)</f>
        <v>0</v>
      </c>
      <c r="Y19" s="119">
        <f>IF(Q19&lt;&gt;"",X19+M19,"")</f>
        <v>0</v>
      </c>
      <c r="Z19" s="120"/>
      <c r="AA19" s="120"/>
      <c r="AC19" s="121"/>
      <c r="AL19" s="172"/>
      <c r="AM19" s="173"/>
    </row>
    <row r="20" spans="1:40" ht="39.9" customHeight="1" thickBot="1" x14ac:dyDescent="0.5">
      <c r="A20" s="122">
        <v>6</v>
      </c>
      <c r="B20" s="86">
        <v>2</v>
      </c>
      <c r="C20" s="123" t="s">
        <v>113</v>
      </c>
      <c r="D20" s="122"/>
      <c r="E20" s="122"/>
      <c r="F20" s="197"/>
      <c r="G20" s="198"/>
      <c r="H20" s="198"/>
      <c r="I20" s="198"/>
      <c r="J20" s="198"/>
      <c r="K20" s="198"/>
      <c r="L20" s="198"/>
      <c r="M20" s="198"/>
      <c r="N20" s="199"/>
      <c r="Q20" s="198" t="str">
        <f>IF(F20&lt;&gt;"",F20,"")</f>
        <v/>
      </c>
      <c r="R20" s="198"/>
      <c r="S20" s="198"/>
      <c r="T20" s="198"/>
      <c r="U20" s="198"/>
      <c r="V20" s="198"/>
      <c r="W20" s="198"/>
      <c r="X20" s="198"/>
      <c r="Y20" s="198"/>
      <c r="AL20" s="172"/>
      <c r="AM20" s="173"/>
    </row>
    <row r="21" spans="1:40" ht="39.9" customHeight="1" x14ac:dyDescent="0.45">
      <c r="A21" s="62">
        <v>7</v>
      </c>
      <c r="B21" s="86" t="s">
        <v>126</v>
      </c>
      <c r="C21" s="87" t="s">
        <v>114</v>
      </c>
      <c r="D21" s="62"/>
      <c r="E21" s="62"/>
      <c r="F21" s="200" t="s">
        <v>150</v>
      </c>
      <c r="G21" s="201"/>
      <c r="H21" s="201"/>
      <c r="I21" s="201"/>
      <c r="J21" s="201"/>
      <c r="K21" s="202"/>
      <c r="L21" s="88" t="s">
        <v>116</v>
      </c>
      <c r="M21" s="89" t="s">
        <v>117</v>
      </c>
      <c r="N21" s="90" t="s">
        <v>74</v>
      </c>
      <c r="Q21" s="200" t="str">
        <f>IF(F21&lt;&gt;"",F21,"")</f>
        <v>Ciclo DPA_Diagramador</v>
      </c>
      <c r="R21" s="201"/>
      <c r="S21" s="201"/>
      <c r="T21" s="201"/>
      <c r="U21" s="201"/>
      <c r="V21" s="201"/>
      <c r="W21" s="201"/>
      <c r="X21" s="201"/>
      <c r="Y21" s="204"/>
      <c r="Z21" s="124" t="s">
        <v>118</v>
      </c>
      <c r="AA21" s="125" t="s">
        <v>75</v>
      </c>
      <c r="AL21" s="172"/>
      <c r="AM21" s="173"/>
    </row>
    <row r="22" spans="1:40" ht="99.9" customHeight="1" x14ac:dyDescent="0.45">
      <c r="A22" s="93">
        <v>8</v>
      </c>
      <c r="B22" s="86" t="s">
        <v>127</v>
      </c>
      <c r="C22" s="94" t="s">
        <v>119</v>
      </c>
      <c r="D22" s="93" t="s">
        <v>121</v>
      </c>
      <c r="E22" s="93" t="s">
        <v>125</v>
      </c>
      <c r="F22" s="126" t="s">
        <v>152</v>
      </c>
      <c r="G22" s="127" t="s">
        <v>156</v>
      </c>
      <c r="H22" s="128">
        <v>127</v>
      </c>
      <c r="I22" s="128">
        <v>1</v>
      </c>
      <c r="J22" s="129">
        <v>70</v>
      </c>
      <c r="K22" s="129">
        <f>IF(F22&lt;&gt;"",H22*I22*J22,"")</f>
        <v>8890</v>
      </c>
      <c r="L22" s="129">
        <f>IF(K22&lt;&gt;"",IF(D22="INTERNO",0,K22*$L$14),"")</f>
        <v>666.75</v>
      </c>
      <c r="M22" s="129">
        <f>IF(K22&lt;&gt;"",IF(E22="FAT.OGGI",SUM(K22:L22)*(1/(1-$M$14)-1),L22*(1/(1-$M$14)-1)),0)</f>
        <v>2319.4150304461295</v>
      </c>
      <c r="N22" s="129">
        <f>SUM(K22:M22)</f>
        <v>11876.165030446129</v>
      </c>
      <c r="Q22" s="130">
        <f>IF(H22&lt;&gt;"",H22,"")</f>
        <v>127</v>
      </c>
      <c r="R22" s="130">
        <f>IF(I22&lt;&gt;"",I22,"")</f>
        <v>1</v>
      </c>
      <c r="S22" s="131">
        <v>70</v>
      </c>
      <c r="T22" s="131">
        <f>IF(Q22&lt;&gt;"",Q22*R22*S22,"")</f>
        <v>8890</v>
      </c>
      <c r="U22" s="132">
        <f>IF(Q22&lt;&gt;"",K22-T22,"")</f>
        <v>0</v>
      </c>
      <c r="V22" s="133">
        <f>IF(Q22&lt;&gt;"",0%,"")</f>
        <v>0</v>
      </c>
      <c r="W22" s="134">
        <f>IF(Q22&lt;&gt;"",V22*U22,"")</f>
        <v>0</v>
      </c>
      <c r="X22" s="134">
        <f>IF(Q22&lt;&gt;"",W22+T22,"")</f>
        <v>8890</v>
      </c>
      <c r="Y22" s="135">
        <f>IF(Q22&lt;&gt;"",X22+M22,"")</f>
        <v>11209.415030446129</v>
      </c>
      <c r="Z22" s="136">
        <f>IF(Q22&lt;&gt;"", IFERROR(U22/K22, 0), 0)</f>
        <v>0</v>
      </c>
      <c r="AA22" s="137"/>
      <c r="AL22" s="172">
        <f t="shared" si="0"/>
        <v>0</v>
      </c>
      <c r="AM22" s="173">
        <v>8890</v>
      </c>
      <c r="AN22" s="177" t="s">
        <v>165</v>
      </c>
    </row>
    <row r="23" spans="1:40" ht="99.9" customHeight="1" thickBot="1" x14ac:dyDescent="0.5">
      <c r="A23" s="93">
        <v>9</v>
      </c>
      <c r="B23" s="86" t="s">
        <v>131</v>
      </c>
      <c r="C23" s="94" t="s">
        <v>119</v>
      </c>
      <c r="D23" s="93" t="s">
        <v>121</v>
      </c>
      <c r="E23" s="93" t="s">
        <v>125</v>
      </c>
      <c r="F23" s="126" t="s">
        <v>152</v>
      </c>
      <c r="G23" s="127" t="s">
        <v>151</v>
      </c>
      <c r="H23" s="128">
        <v>1</v>
      </c>
      <c r="I23" s="128">
        <v>0</v>
      </c>
      <c r="J23" s="129">
        <v>1200</v>
      </c>
      <c r="K23" s="129">
        <f>IF(F23&lt;&gt;"",H23*I23*J23,"")</f>
        <v>0</v>
      </c>
      <c r="L23" s="129">
        <f>IF(K23&lt;&gt;"",IF(D23="INTERNO",0,K23*$L$14),"")</f>
        <v>0</v>
      </c>
      <c r="M23" s="129">
        <f>IF(K23&lt;&gt;"",IF(E23="FAT.OGGI",SUM(K23:L23)*(1/(1-$M$14)-1),L23*(1/(1-$M$14)-1)),0)</f>
        <v>0</v>
      </c>
      <c r="N23" s="129">
        <f>SUM(K23:M23)</f>
        <v>0</v>
      </c>
      <c r="Q23" s="130">
        <f>IF(H23&lt;&gt;"",H23,"")</f>
        <v>1</v>
      </c>
      <c r="R23" s="130">
        <f>IF(I23&lt;&gt;"",I23,"")</f>
        <v>0</v>
      </c>
      <c r="S23" s="131">
        <v>1200</v>
      </c>
      <c r="T23" s="131">
        <f>IF(Q23&lt;&gt;"",Q23*R23*S23,"")</f>
        <v>0</v>
      </c>
      <c r="U23" s="132">
        <f>IF(Q23&lt;&gt;"",K23-T23,"")</f>
        <v>0</v>
      </c>
      <c r="V23" s="133">
        <f>IF(Q23&lt;&gt;"",0%,"")</f>
        <v>0</v>
      </c>
      <c r="W23" s="134">
        <f>IF(Q23&lt;&gt;"",V23*U23,"")</f>
        <v>0</v>
      </c>
      <c r="X23" s="134">
        <f>IF(Q23&lt;&gt;"",W23+T23,"")</f>
        <v>0</v>
      </c>
      <c r="Y23" s="135">
        <f>IF(Q23&lt;&gt;"",X23+M23,"")</f>
        <v>0</v>
      </c>
      <c r="Z23" s="137">
        <f>IF(Q23&lt;&gt;"", IFERROR(U23/K23, 0), 0)</f>
        <v>0</v>
      </c>
      <c r="AA23" s="137"/>
      <c r="AL23" s="172">
        <f t="shared" si="0"/>
        <v>0</v>
      </c>
      <c r="AM23" s="173"/>
    </row>
    <row r="24" spans="1:40" ht="39.9" customHeight="1" thickBot="1" x14ac:dyDescent="0.5">
      <c r="A24" s="62">
        <v>10</v>
      </c>
      <c r="B24" s="86"/>
      <c r="C24" s="87" t="s">
        <v>129</v>
      </c>
      <c r="D24" s="62"/>
      <c r="E24" s="62"/>
      <c r="F24" s="193" t="s">
        <v>139</v>
      </c>
      <c r="G24" s="194"/>
      <c r="H24" s="194"/>
      <c r="I24" s="194"/>
      <c r="J24" s="194"/>
      <c r="K24" s="138">
        <f>SUM(K22:K23)</f>
        <v>8890</v>
      </c>
      <c r="L24" s="138">
        <f>SUM(L22:L23)</f>
        <v>666.75</v>
      </c>
      <c r="M24" s="138">
        <f>SUM(M22:M23)</f>
        <v>2319.4150304461295</v>
      </c>
      <c r="N24" s="139">
        <f>SUM(N22:N23)</f>
        <v>11876.165030446129</v>
      </c>
      <c r="Q24" s="195" t="s">
        <v>153</v>
      </c>
      <c r="R24" s="196"/>
      <c r="S24" s="196"/>
      <c r="T24" s="140">
        <f>SUM(T22:T23)</f>
        <v>8890</v>
      </c>
      <c r="U24" s="141">
        <f>SUM(U22:U23)</f>
        <v>0</v>
      </c>
      <c r="V24" s="142"/>
      <c r="W24" s="143"/>
      <c r="X24" s="144">
        <f>SUM(X22:X23)</f>
        <v>8890</v>
      </c>
      <c r="Y24" s="144">
        <f>IF(Q24&lt;&gt;"",X24+M24,"")</f>
        <v>11209.415030446129</v>
      </c>
      <c r="Z24" s="145" t="s">
        <v>123</v>
      </c>
      <c r="AA24" s="146" t="s">
        <v>132</v>
      </c>
      <c r="AL24" s="172"/>
      <c r="AM24" s="173"/>
    </row>
    <row r="25" spans="1:40" ht="39.9" customHeight="1" thickBot="1" x14ac:dyDescent="0.5">
      <c r="A25" s="147">
        <v>11</v>
      </c>
      <c r="C25" s="93" t="s">
        <v>122</v>
      </c>
      <c r="D25" s="93"/>
      <c r="E25" s="93"/>
      <c r="F25" s="29" t="s">
        <v>155</v>
      </c>
      <c r="G25" s="30"/>
      <c r="H25" s="31"/>
      <c r="I25" s="31"/>
      <c r="J25" s="30"/>
      <c r="K25" s="32">
        <f>SUM(K17:K18)+SUM(K22:K23)</f>
        <v>8890</v>
      </c>
      <c r="L25" s="32">
        <f>SUM(L17:L18)+SUM(L22:L23)</f>
        <v>666.75</v>
      </c>
      <c r="M25" s="32">
        <f>SUM(M17:M18)+SUM(M22:M23)</f>
        <v>2319.4150304461295</v>
      </c>
      <c r="N25" s="34">
        <f>SUM(N17:N18)+SUM(N22:N23)</f>
        <v>11876.165030446129</v>
      </c>
      <c r="Q25" s="33" t="s">
        <v>42</v>
      </c>
      <c r="R25" s="31"/>
      <c r="S25" s="30"/>
      <c r="T25" s="32">
        <f>SUM(T17:T18)+SUM(T22:T23)</f>
        <v>8890</v>
      </c>
      <c r="U25" s="32">
        <f>SUM(U17:U18)+SUM(U22:U23)</f>
        <v>0</v>
      </c>
      <c r="V25" s="30"/>
      <c r="W25" s="30"/>
      <c r="X25" s="32">
        <f>SUM(X17:X18)+SUM(X22:X23)</f>
        <v>8890</v>
      </c>
      <c r="Y25" s="34">
        <f>SUM(Y17:Y18)+SUM(Y22:Y23)</f>
        <v>11209.415030446129</v>
      </c>
      <c r="Z25" s="35">
        <f>IF(Q25&lt;&gt;"",(N25-Y25)/N25,"")</f>
        <v>5.6141860465116281E-2</v>
      </c>
      <c r="AA25" s="36">
        <f>IF(Z25&lt;&gt;"",(N25-Y25),"")</f>
        <v>666.75</v>
      </c>
      <c r="AL25" s="172">
        <f>SUM(AL17:AL23)</f>
        <v>0</v>
      </c>
      <c r="AM25" s="173">
        <f>SUM(AM17:AM24)</f>
        <v>8890</v>
      </c>
    </row>
    <row r="26" spans="1:40" x14ac:dyDescent="0.4">
      <c r="F26" s="148"/>
    </row>
    <row r="28" spans="1:40" ht="22.2" x14ac:dyDescent="0.45">
      <c r="K28" s="270"/>
      <c r="AL28" s="174">
        <f>N25*0.15</f>
        <v>1781.4247545669193</v>
      </c>
      <c r="AM28" s="175" t="s">
        <v>163</v>
      </c>
    </row>
    <row r="29" spans="1:40" ht="22.2" x14ac:dyDescent="0.45">
      <c r="AL29" s="174">
        <f>T25+AL28</f>
        <v>10671.424754566919</v>
      </c>
      <c r="AM29" s="175" t="s">
        <v>164</v>
      </c>
    </row>
    <row r="30" spans="1:40" ht="22.2" x14ac:dyDescent="0.45">
      <c r="AL30" s="178">
        <f>N25-AL29</f>
        <v>1204.7402758792105</v>
      </c>
      <c r="AM30" s="175" t="s">
        <v>161</v>
      </c>
    </row>
    <row r="31" spans="1:40" x14ac:dyDescent="0.4">
      <c r="AL31" s="176">
        <f>AL30*100%/N24</f>
        <v>0.10144186046511634</v>
      </c>
      <c r="AM31" s="177"/>
    </row>
    <row r="40" spans="6:6" x14ac:dyDescent="0.4">
      <c r="F40" s="148"/>
    </row>
  </sheetData>
  <mergeCells count="20">
    <mergeCell ref="AG12:AH12"/>
    <mergeCell ref="F1:G1"/>
    <mergeCell ref="F2:G2"/>
    <mergeCell ref="Q12:T12"/>
    <mergeCell ref="U12:X12"/>
    <mergeCell ref="AC12:AE12"/>
    <mergeCell ref="AL15:AM15"/>
    <mergeCell ref="AL16:AM16"/>
    <mergeCell ref="F24:J24"/>
    <mergeCell ref="Q24:S24"/>
    <mergeCell ref="F15:N15"/>
    <mergeCell ref="Q15:Y15"/>
    <mergeCell ref="F16:K16"/>
    <mergeCell ref="Q16:Y16"/>
    <mergeCell ref="F20:N20"/>
    <mergeCell ref="Q20:Y20"/>
    <mergeCell ref="F21:K21"/>
    <mergeCell ref="Q21:Y21"/>
    <mergeCell ref="F19:J19"/>
    <mergeCell ref="Q19:S19"/>
  </mergeCells>
  <dataValidations count="3">
    <dataValidation type="list" allowBlank="1" showInputMessage="1" showErrorMessage="1" sqref="D17:D19 D22:D25" xr:uid="{3EFE53A9-6730-4F75-830F-74A58BE49321}">
      <formula1>"INTERNO,OPERACIONAL"</formula1>
    </dataValidation>
    <dataValidation type="list" allowBlank="1" showInputMessage="1" showErrorMessage="1" sqref="E17:E19 E22:E24" xr:uid="{CD75B295-2527-4911-908C-60EF7E809F77}">
      <formula1>"FAT.OGGI,FAT.CLIENTE"</formula1>
    </dataValidation>
    <dataValidation type="list" allowBlank="1" showInputMessage="1" showErrorMessage="1" sqref="E25" xr:uid="{29AD0366-4FA9-4EBE-AC07-CB0C91FA1BD7}">
      <formula1>"FAT.OGGI,FAT.CLIENTE "</formula1>
    </dataValidation>
  </dataValidations>
  <pageMargins left="0" right="0" top="1.1811023622047245" bottom="0" header="0" footer="0"/>
  <pageSetup paperSize="9" fitToHeight="0" orientation="landscape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7A351-E9F1-4E5C-8A08-61072E4C8BD4}">
  <sheetPr codeName="Planilha7"/>
  <dimension ref="A1:O9"/>
  <sheetViews>
    <sheetView zoomScaleNormal="100" workbookViewId="0">
      <selection activeCell="A10" sqref="A10:XFD28"/>
    </sheetView>
  </sheetViews>
  <sheetFormatPr defaultColWidth="8.88671875" defaultRowHeight="14.4" x14ac:dyDescent="0.3"/>
  <cols>
    <col min="1" max="1" width="35.33203125" customWidth="1"/>
    <col min="2" max="3" width="20.33203125" customWidth="1"/>
    <col min="4" max="4" width="40.44140625" customWidth="1"/>
    <col min="5" max="5" width="17.6640625" customWidth="1"/>
    <col min="6" max="7" width="15.109375" customWidth="1"/>
    <col min="8" max="8" width="25.33203125" customWidth="1"/>
    <col min="9" max="10" width="15.109375" customWidth="1"/>
    <col min="11" max="11" width="10.109375" customWidth="1"/>
    <col min="12" max="12" width="15.109375" customWidth="1"/>
    <col min="13" max="13" width="12.6640625" customWidth="1"/>
    <col min="14" max="14" width="15.109375" customWidth="1"/>
    <col min="15" max="15" width="40.44140625" customWidth="1"/>
  </cols>
  <sheetData>
    <row r="1" spans="1:15" ht="15" x14ac:dyDescent="0.3">
      <c r="A1" s="223" t="s">
        <v>10</v>
      </c>
      <c r="B1" s="223"/>
      <c r="C1" s="223"/>
      <c r="D1" s="225" t="s">
        <v>53</v>
      </c>
      <c r="E1" s="225"/>
      <c r="F1" s="225"/>
      <c r="G1" s="225"/>
      <c r="H1" s="225"/>
      <c r="I1" s="225"/>
      <c r="J1" s="24" t="s">
        <v>10</v>
      </c>
      <c r="K1" s="24" t="s">
        <v>10</v>
      </c>
      <c r="L1" s="24" t="s">
        <v>10</v>
      </c>
      <c r="M1" s="24" t="s">
        <v>10</v>
      </c>
      <c r="N1" s="24" t="s">
        <v>10</v>
      </c>
      <c r="O1" s="25" t="s">
        <v>10</v>
      </c>
    </row>
    <row r="2" spans="1:15" x14ac:dyDescent="0.3">
      <c r="A2" s="224"/>
      <c r="B2" s="224"/>
      <c r="C2" s="224"/>
      <c r="D2" s="223" t="s">
        <v>54</v>
      </c>
      <c r="E2" s="223"/>
      <c r="F2" s="223"/>
      <c r="G2" s="223"/>
      <c r="H2" s="223"/>
      <c r="I2" s="223"/>
      <c r="J2" s="24"/>
      <c r="K2" s="24"/>
      <c r="L2" s="24"/>
      <c r="M2" s="24"/>
      <c r="N2" s="24"/>
      <c r="O2" s="226" t="s">
        <v>55</v>
      </c>
    </row>
    <row r="3" spans="1:15" x14ac:dyDescent="0.3">
      <c r="A3" s="224"/>
      <c r="B3" s="224"/>
      <c r="C3" s="224"/>
      <c r="D3" s="223" t="s">
        <v>56</v>
      </c>
      <c r="E3" s="223"/>
      <c r="F3" s="223"/>
      <c r="G3" s="223"/>
      <c r="H3" s="223"/>
      <c r="I3" s="223"/>
      <c r="J3" s="24"/>
      <c r="K3" s="24"/>
      <c r="L3" s="24"/>
      <c r="M3" s="24"/>
      <c r="N3" s="24"/>
      <c r="O3" s="227"/>
    </row>
    <row r="4" spans="1:15" x14ac:dyDescent="0.3">
      <c r="A4" s="224"/>
      <c r="B4" s="224"/>
      <c r="C4" s="224"/>
      <c r="D4" s="223" t="s">
        <v>57</v>
      </c>
      <c r="E4" s="223"/>
      <c r="F4" s="223"/>
      <c r="G4" s="223"/>
      <c r="H4" s="223"/>
      <c r="I4" s="223"/>
      <c r="J4" s="24"/>
      <c r="K4" s="24"/>
      <c r="L4" s="24"/>
      <c r="M4" s="24"/>
      <c r="N4" s="24"/>
      <c r="O4" s="227"/>
    </row>
    <row r="5" spans="1:15" x14ac:dyDescent="0.3">
      <c r="A5" s="224"/>
      <c r="B5" s="224"/>
      <c r="C5" s="224"/>
      <c r="D5" s="223" t="s">
        <v>58</v>
      </c>
      <c r="E5" s="223"/>
      <c r="F5" s="223"/>
      <c r="G5" s="223"/>
      <c r="H5" s="223"/>
      <c r="I5" s="223"/>
      <c r="J5" s="24"/>
      <c r="K5" s="24"/>
      <c r="L5" s="24"/>
      <c r="M5" s="24"/>
      <c r="N5" s="24"/>
      <c r="O5" s="227"/>
    </row>
    <row r="6" spans="1:15" x14ac:dyDescent="0.3">
      <c r="A6" s="224"/>
      <c r="B6" s="224"/>
      <c r="C6" s="2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27"/>
    </row>
    <row r="7" spans="1:15" x14ac:dyDescent="0.3">
      <c r="A7" s="224"/>
      <c r="B7" s="224"/>
      <c r="C7" s="224"/>
      <c r="D7" s="223" t="s">
        <v>59</v>
      </c>
      <c r="E7" s="223"/>
      <c r="F7" s="223"/>
      <c r="G7" s="223"/>
      <c r="H7" s="223"/>
      <c r="I7" s="223"/>
      <c r="J7" s="24"/>
      <c r="K7" s="24"/>
      <c r="L7" s="24"/>
      <c r="M7" s="24"/>
      <c r="N7" s="24"/>
      <c r="O7" s="26">
        <v>45264.482613275461</v>
      </c>
    </row>
    <row r="8" spans="1:15" x14ac:dyDescent="0.3">
      <c r="A8" s="222" t="s">
        <v>60</v>
      </c>
      <c r="B8" s="222"/>
      <c r="C8" s="222"/>
      <c r="D8" s="222"/>
      <c r="E8" s="222"/>
      <c r="F8" s="222"/>
      <c r="G8" s="222"/>
      <c r="H8" s="222"/>
      <c r="I8" s="222"/>
      <c r="J8" s="222"/>
      <c r="K8" s="222"/>
      <c r="L8" s="222"/>
      <c r="M8" s="222"/>
      <c r="N8" s="222"/>
      <c r="O8" s="222"/>
    </row>
    <row r="9" spans="1:15" ht="27.6" x14ac:dyDescent="0.3">
      <c r="A9" s="27" t="s">
        <v>61</v>
      </c>
      <c r="B9" s="27" t="s">
        <v>62</v>
      </c>
      <c r="C9" s="27" t="s">
        <v>63</v>
      </c>
      <c r="D9" s="27" t="s">
        <v>47</v>
      </c>
      <c r="E9" s="27" t="s">
        <v>64</v>
      </c>
      <c r="F9" s="27" t="s">
        <v>65</v>
      </c>
      <c r="G9" s="27" t="s">
        <v>33</v>
      </c>
      <c r="H9" s="27" t="s">
        <v>66</v>
      </c>
      <c r="I9" s="27" t="s">
        <v>67</v>
      </c>
      <c r="J9" s="27" t="s">
        <v>65</v>
      </c>
      <c r="K9" s="27" t="s">
        <v>68</v>
      </c>
      <c r="L9" s="27" t="s">
        <v>69</v>
      </c>
      <c r="M9" s="27" t="s">
        <v>70</v>
      </c>
      <c r="N9" s="27" t="s">
        <v>71</v>
      </c>
      <c r="O9" s="28" t="s">
        <v>72</v>
      </c>
    </row>
  </sheetData>
  <mergeCells count="9">
    <mergeCell ref="A8:O8"/>
    <mergeCell ref="A1:C7"/>
    <mergeCell ref="D1:I1"/>
    <mergeCell ref="D2:I2"/>
    <mergeCell ref="O2:O6"/>
    <mergeCell ref="D3:I3"/>
    <mergeCell ref="D4:I4"/>
    <mergeCell ref="D5:I5"/>
    <mergeCell ref="D7:I7"/>
  </mergeCells>
  <pageMargins left="0.7" right="0.7" top="0.75" bottom="0.75" header="0.3" footer="0.3"/>
  <pageSetup paperSize="9" fitToWidth="0" fitToHeight="0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71ACB-2A33-4DFE-B05C-79C718CF6527}">
  <sheetPr codeName="Planilha5"/>
  <dimension ref="B1:L52"/>
  <sheetViews>
    <sheetView showGridLines="0" workbookViewId="0">
      <selection activeCell="C39" sqref="C39:K45"/>
    </sheetView>
  </sheetViews>
  <sheetFormatPr defaultColWidth="8.88671875" defaultRowHeight="14.4" x14ac:dyDescent="0.3"/>
  <cols>
    <col min="1" max="2" width="1.6640625" customWidth="1"/>
    <col min="3" max="3" width="12.44140625" customWidth="1"/>
    <col min="4" max="4" width="4.6640625" customWidth="1"/>
    <col min="5" max="5" width="10.6640625" customWidth="1"/>
    <col min="6" max="6" width="7.6640625" bestFit="1" customWidth="1"/>
    <col min="7" max="7" width="11" customWidth="1"/>
    <col min="8" max="8" width="11.109375" customWidth="1"/>
    <col min="9" max="9" width="11.6640625" customWidth="1"/>
    <col min="10" max="10" width="4.6640625" customWidth="1"/>
    <col min="11" max="11" width="14.44140625" customWidth="1"/>
    <col min="12" max="12" width="1.6640625" customWidth="1"/>
  </cols>
  <sheetData>
    <row r="1" spans="2:12" ht="8.4" customHeight="1" thickBot="1" x14ac:dyDescent="0.35"/>
    <row r="2" spans="2:12" ht="38.4" customHeight="1" x14ac:dyDescent="0.4">
      <c r="B2" s="231" t="s">
        <v>3</v>
      </c>
      <c r="C2" s="232"/>
      <c r="D2" s="232"/>
      <c r="E2" s="232"/>
      <c r="F2" s="232"/>
      <c r="G2" s="232"/>
      <c r="H2" s="232"/>
      <c r="I2" s="232"/>
      <c r="J2" s="232"/>
      <c r="K2" s="232"/>
      <c r="L2" s="233"/>
    </row>
    <row r="3" spans="2:12" ht="47.4" customHeight="1" thickBot="1" x14ac:dyDescent="0.35">
      <c r="B3" s="234" t="s">
        <v>11</v>
      </c>
      <c r="C3" s="235"/>
      <c r="D3" s="235"/>
      <c r="E3" s="235"/>
      <c r="F3" s="235"/>
      <c r="G3" s="235"/>
      <c r="H3" s="235"/>
      <c r="I3" s="235"/>
      <c r="J3" s="235"/>
      <c r="K3" s="235"/>
      <c r="L3" s="236"/>
    </row>
    <row r="4" spans="2:12" ht="7.35" customHeight="1" thickBot="1" x14ac:dyDescent="0.35"/>
    <row r="5" spans="2:12" x14ac:dyDescent="0.3">
      <c r="B5" s="1"/>
      <c r="C5" s="2"/>
      <c r="D5" s="2"/>
      <c r="E5" s="2"/>
      <c r="F5" s="2"/>
      <c r="G5" s="2"/>
      <c r="H5" s="2"/>
      <c r="I5" s="2"/>
      <c r="J5" s="2"/>
      <c r="K5" s="2"/>
      <c r="L5" s="3"/>
    </row>
    <row r="6" spans="2:12" x14ac:dyDescent="0.3">
      <c r="B6" s="4"/>
      <c r="C6" s="237" t="s">
        <v>12</v>
      </c>
      <c r="D6" s="237"/>
      <c r="E6" s="237"/>
      <c r="F6" s="237"/>
      <c r="G6" s="237"/>
      <c r="H6" s="237"/>
      <c r="I6" s="237"/>
      <c r="J6" s="237"/>
      <c r="K6" s="237"/>
      <c r="L6" s="5"/>
    </row>
    <row r="7" spans="2:12" ht="6" customHeight="1" x14ac:dyDescent="0.3">
      <c r="B7" s="4"/>
      <c r="L7" s="5"/>
    </row>
    <row r="8" spans="2:12" x14ac:dyDescent="0.3">
      <c r="B8" s="4"/>
      <c r="C8" s="6" t="s">
        <v>13</v>
      </c>
      <c r="D8" s="238" t="s">
        <v>98</v>
      </c>
      <c r="E8" s="239"/>
      <c r="F8" s="239"/>
      <c r="G8" s="239"/>
      <c r="H8" s="239"/>
      <c r="I8" s="239"/>
      <c r="J8" s="239"/>
      <c r="K8" s="240"/>
      <c r="L8" s="5"/>
    </row>
    <row r="9" spans="2:12" x14ac:dyDescent="0.3">
      <c r="B9" s="4"/>
      <c r="C9" s="7" t="s">
        <v>14</v>
      </c>
      <c r="D9" s="228" t="s">
        <v>15</v>
      </c>
      <c r="E9" s="229"/>
      <c r="F9" s="229"/>
      <c r="G9" s="229"/>
      <c r="H9" s="229"/>
      <c r="I9" s="229"/>
      <c r="J9" s="229"/>
      <c r="K9" s="230"/>
      <c r="L9" s="5"/>
    </row>
    <row r="10" spans="2:12" x14ac:dyDescent="0.3">
      <c r="B10" s="4"/>
      <c r="C10" s="7" t="s">
        <v>16</v>
      </c>
      <c r="D10" s="228" t="s">
        <v>10</v>
      </c>
      <c r="E10" s="229"/>
      <c r="F10" s="229"/>
      <c r="G10" s="229"/>
      <c r="H10" s="229"/>
      <c r="I10" s="229"/>
      <c r="J10" s="229"/>
      <c r="K10" s="230"/>
      <c r="L10" s="5"/>
    </row>
    <row r="11" spans="2:12" x14ac:dyDescent="0.3">
      <c r="B11" s="4"/>
      <c r="C11" s="7" t="s">
        <v>17</v>
      </c>
      <c r="D11" s="228" t="s">
        <v>99</v>
      </c>
      <c r="E11" s="229"/>
      <c r="F11" s="229"/>
      <c r="G11" s="229"/>
      <c r="H11" s="229"/>
      <c r="I11" s="229"/>
      <c r="J11" s="229"/>
      <c r="K11" s="230"/>
      <c r="L11" s="5"/>
    </row>
    <row r="12" spans="2:12" x14ac:dyDescent="0.3">
      <c r="B12" s="4"/>
      <c r="C12" s="10" t="s">
        <v>18</v>
      </c>
      <c r="D12" s="241" t="s">
        <v>100</v>
      </c>
      <c r="E12" s="242"/>
      <c r="F12" s="242"/>
      <c r="G12" s="242"/>
      <c r="H12" s="243"/>
      <c r="I12" s="11" t="s">
        <v>19</v>
      </c>
      <c r="J12" s="241" t="s">
        <v>97</v>
      </c>
      <c r="K12" s="243"/>
      <c r="L12" s="5"/>
    </row>
    <row r="13" spans="2:12" ht="6" customHeight="1" thickBot="1" x14ac:dyDescent="0.35">
      <c r="B13" s="12"/>
      <c r="C13" s="13"/>
      <c r="D13" s="13"/>
      <c r="E13" s="13"/>
      <c r="F13" s="13"/>
      <c r="G13" s="13"/>
      <c r="H13" s="13"/>
      <c r="I13" s="13"/>
      <c r="J13" s="13"/>
      <c r="K13" s="13"/>
      <c r="L13" s="14"/>
    </row>
    <row r="14" spans="2:12" ht="7.35" customHeight="1" thickBot="1" x14ac:dyDescent="0.35"/>
    <row r="15" spans="2:12" ht="8.1" customHeight="1" x14ac:dyDescent="0.3">
      <c r="B15" s="1"/>
      <c r="C15" s="2"/>
      <c r="D15" s="2"/>
      <c r="E15" s="2"/>
      <c r="F15" s="2"/>
      <c r="G15" s="2"/>
      <c r="H15" s="2"/>
      <c r="I15" s="2"/>
      <c r="J15" s="2"/>
      <c r="K15" s="2"/>
      <c r="L15" s="3"/>
    </row>
    <row r="16" spans="2:12" x14ac:dyDescent="0.3">
      <c r="B16" s="4"/>
      <c r="C16" s="237" t="s">
        <v>20</v>
      </c>
      <c r="D16" s="237"/>
      <c r="E16" s="237"/>
      <c r="F16" s="237"/>
      <c r="G16" s="237"/>
      <c r="H16" s="237"/>
      <c r="I16" s="237"/>
      <c r="J16" s="237"/>
      <c r="K16" s="237"/>
      <c r="L16" s="5"/>
    </row>
    <row r="17" spans="2:12" ht="9" customHeight="1" x14ac:dyDescent="0.3">
      <c r="B17" s="4"/>
      <c r="L17" s="5"/>
    </row>
    <row r="18" spans="2:12" x14ac:dyDescent="0.3">
      <c r="B18" s="4"/>
      <c r="C18" s="6"/>
      <c r="D18" s="244" t="s">
        <v>73</v>
      </c>
      <c r="E18" s="244"/>
      <c r="F18" s="244"/>
      <c r="G18" s="245"/>
      <c r="H18" s="244" t="s">
        <v>21</v>
      </c>
      <c r="I18" s="244"/>
      <c r="J18" s="244"/>
      <c r="K18" s="245"/>
      <c r="L18" s="5"/>
    </row>
    <row r="19" spans="2:12" x14ac:dyDescent="0.3">
      <c r="B19" s="4"/>
      <c r="C19" s="15" t="s">
        <v>22</v>
      </c>
      <c r="D19" s="246" t="s">
        <v>102</v>
      </c>
      <c r="E19" s="247"/>
      <c r="F19" s="247"/>
      <c r="G19" s="247"/>
      <c r="H19" s="247"/>
      <c r="I19" s="247"/>
      <c r="J19" s="247"/>
      <c r="K19" s="248"/>
      <c r="L19" s="5"/>
    </row>
    <row r="20" spans="2:12" x14ac:dyDescent="0.3">
      <c r="B20" s="4"/>
      <c r="C20" s="7" t="s">
        <v>23</v>
      </c>
      <c r="D20" s="228"/>
      <c r="E20" s="229"/>
      <c r="F20" s="229"/>
      <c r="G20" s="229"/>
      <c r="H20" s="229"/>
      <c r="I20" s="229"/>
      <c r="J20" s="229"/>
      <c r="K20" s="230"/>
      <c r="L20" s="5"/>
    </row>
    <row r="21" spans="2:12" x14ac:dyDescent="0.3">
      <c r="B21" s="4"/>
      <c r="C21" s="7" t="s">
        <v>24</v>
      </c>
      <c r="D21" s="228" t="s">
        <v>106</v>
      </c>
      <c r="E21" s="230"/>
      <c r="F21" s="7" t="s">
        <v>49</v>
      </c>
      <c r="G21" s="16" t="s">
        <v>107</v>
      </c>
      <c r="H21" s="7" t="s">
        <v>25</v>
      </c>
      <c r="I21" s="8" t="s">
        <v>108</v>
      </c>
      <c r="J21" s="7" t="s">
        <v>26</v>
      </c>
      <c r="K21" s="9" t="s">
        <v>10</v>
      </c>
      <c r="L21" s="5"/>
    </row>
    <row r="22" spans="2:12" x14ac:dyDescent="0.3">
      <c r="B22" s="4"/>
      <c r="C22" s="7" t="s">
        <v>27</v>
      </c>
      <c r="D22" s="228" t="s">
        <v>101</v>
      </c>
      <c r="E22" s="229"/>
      <c r="F22" s="229"/>
      <c r="G22" s="230"/>
      <c r="H22" s="7" t="s">
        <v>28</v>
      </c>
      <c r="I22" s="228"/>
      <c r="J22" s="229"/>
      <c r="K22" s="230"/>
      <c r="L22" s="5"/>
    </row>
    <row r="23" spans="2:12" x14ac:dyDescent="0.3">
      <c r="B23" s="4"/>
      <c r="C23" s="10" t="s">
        <v>29</v>
      </c>
      <c r="D23" s="241" t="s">
        <v>103</v>
      </c>
      <c r="E23" s="242"/>
      <c r="F23" s="242"/>
      <c r="G23" s="243"/>
      <c r="H23" s="10" t="s">
        <v>30</v>
      </c>
      <c r="I23" s="241" t="s">
        <v>10</v>
      </c>
      <c r="J23" s="242"/>
      <c r="K23" s="243"/>
      <c r="L23" s="5"/>
    </row>
    <row r="24" spans="2:12" ht="6.75" customHeight="1" thickBot="1" x14ac:dyDescent="0.35">
      <c r="B24" s="12"/>
      <c r="C24" s="13"/>
      <c r="D24" s="13"/>
      <c r="E24" s="13"/>
      <c r="F24" s="13"/>
      <c r="G24" s="13"/>
      <c r="H24" s="13"/>
      <c r="I24" s="13"/>
      <c r="J24" s="13"/>
      <c r="K24" s="13"/>
      <c r="L24" s="14"/>
    </row>
    <row r="25" spans="2:12" ht="9.75" customHeight="1" thickBot="1" x14ac:dyDescent="0.35"/>
    <row r="26" spans="2:12" ht="8.1" customHeight="1" x14ac:dyDescent="0.3">
      <c r="B26" s="1"/>
      <c r="C26" s="2"/>
      <c r="D26" s="2"/>
      <c r="E26" s="2"/>
      <c r="F26" s="2"/>
      <c r="G26" s="2"/>
      <c r="H26" s="2"/>
      <c r="I26" s="2"/>
      <c r="J26" s="2"/>
      <c r="K26" s="2"/>
      <c r="L26" s="3"/>
    </row>
    <row r="27" spans="2:12" x14ac:dyDescent="0.3">
      <c r="B27" s="4"/>
      <c r="C27" s="237" t="s">
        <v>20</v>
      </c>
      <c r="D27" s="237"/>
      <c r="E27" s="237"/>
      <c r="F27" s="237"/>
      <c r="G27" s="237"/>
      <c r="H27" s="237"/>
      <c r="I27" s="237"/>
      <c r="J27" s="237"/>
      <c r="K27" s="237"/>
      <c r="L27" s="5"/>
    </row>
    <row r="28" spans="2:12" x14ac:dyDescent="0.3">
      <c r="B28" s="4"/>
      <c r="L28" s="5"/>
    </row>
    <row r="29" spans="2:12" x14ac:dyDescent="0.3">
      <c r="B29" s="4"/>
      <c r="C29" s="6" t="s">
        <v>31</v>
      </c>
      <c r="D29" s="249" t="s">
        <v>32</v>
      </c>
      <c r="E29" s="245"/>
      <c r="F29" s="249" t="s">
        <v>33</v>
      </c>
      <c r="G29" s="245"/>
      <c r="H29" s="250" t="s">
        <v>34</v>
      </c>
      <c r="I29" s="250"/>
      <c r="J29" s="250"/>
      <c r="K29" s="251"/>
      <c r="L29" s="5"/>
    </row>
    <row r="30" spans="2:12" x14ac:dyDescent="0.3">
      <c r="B30" s="4"/>
      <c r="C30" s="17" t="s">
        <v>35</v>
      </c>
      <c r="D30" s="252" t="s">
        <v>104</v>
      </c>
      <c r="E30" s="253"/>
      <c r="F30" s="254" t="s">
        <v>109</v>
      </c>
      <c r="G30" s="255"/>
      <c r="H30" s="18" t="s">
        <v>105</v>
      </c>
      <c r="I30" s="249" t="s">
        <v>39</v>
      </c>
      <c r="J30" s="245"/>
      <c r="K30" s="6" t="s">
        <v>37</v>
      </c>
      <c r="L30" s="5"/>
    </row>
    <row r="31" spans="2:12" x14ac:dyDescent="0.3">
      <c r="B31" s="4"/>
      <c r="C31" s="17" t="s">
        <v>38</v>
      </c>
      <c r="D31" s="252" t="s">
        <v>10</v>
      </c>
      <c r="E31" s="253"/>
      <c r="F31" s="254" t="s">
        <v>10</v>
      </c>
      <c r="G31" s="255"/>
      <c r="H31" s="17" t="s">
        <v>36</v>
      </c>
      <c r="I31" s="258" t="s">
        <v>39</v>
      </c>
      <c r="J31" s="259"/>
      <c r="K31" s="7" t="s">
        <v>37</v>
      </c>
      <c r="L31" s="5"/>
    </row>
    <row r="32" spans="2:12" x14ac:dyDescent="0.3">
      <c r="B32" s="4"/>
      <c r="C32" s="17" t="s">
        <v>40</v>
      </c>
      <c r="D32" s="252" t="s">
        <v>10</v>
      </c>
      <c r="E32" s="253"/>
      <c r="F32" s="254" t="s">
        <v>10</v>
      </c>
      <c r="G32" s="255"/>
      <c r="H32" s="17" t="s">
        <v>36</v>
      </c>
      <c r="I32" s="258" t="s">
        <v>39</v>
      </c>
      <c r="J32" s="259"/>
      <c r="K32" s="7" t="s">
        <v>37</v>
      </c>
      <c r="L32" s="5"/>
    </row>
    <row r="33" spans="2:12" x14ac:dyDescent="0.3">
      <c r="B33" s="4"/>
      <c r="C33" s="19" t="s">
        <v>41</v>
      </c>
      <c r="D33" s="252" t="s">
        <v>10</v>
      </c>
      <c r="E33" s="253"/>
      <c r="F33" s="256" t="s">
        <v>10</v>
      </c>
      <c r="G33" s="257"/>
      <c r="H33" s="17" t="s">
        <v>36</v>
      </c>
      <c r="I33" s="258" t="s">
        <v>39</v>
      </c>
      <c r="J33" s="259"/>
      <c r="K33" s="7" t="s">
        <v>37</v>
      </c>
      <c r="L33" s="5"/>
    </row>
    <row r="34" spans="2:12" x14ac:dyDescent="0.3">
      <c r="B34" s="4"/>
      <c r="C34" s="260" t="s">
        <v>42</v>
      </c>
      <c r="D34" s="261"/>
      <c r="E34" s="262"/>
      <c r="F34" s="263" t="s">
        <v>109</v>
      </c>
      <c r="G34" s="264"/>
      <c r="H34" s="20"/>
      <c r="I34" s="21"/>
      <c r="J34" s="22"/>
      <c r="K34" s="20"/>
      <c r="L34" s="5"/>
    </row>
    <row r="35" spans="2:12" ht="15" thickBot="1" x14ac:dyDescent="0.35">
      <c r="B35" s="12"/>
      <c r="C35" s="13"/>
      <c r="D35" s="13"/>
      <c r="E35" s="13"/>
      <c r="F35" s="13"/>
      <c r="G35" s="13"/>
      <c r="H35" s="13"/>
      <c r="I35" s="13"/>
      <c r="J35" s="13"/>
      <c r="K35" s="13"/>
      <c r="L35" s="14"/>
    </row>
    <row r="36" spans="2:12" ht="15" thickBot="1" x14ac:dyDescent="0.35"/>
    <row r="37" spans="2:12" ht="6" customHeight="1" x14ac:dyDescent="0.3">
      <c r="B37" s="1"/>
      <c r="C37" s="2"/>
      <c r="D37" s="2"/>
      <c r="E37" s="2"/>
      <c r="F37" s="2"/>
      <c r="G37" s="2"/>
      <c r="H37" s="2"/>
      <c r="I37" s="2"/>
      <c r="J37" s="2"/>
      <c r="K37" s="2"/>
      <c r="L37" s="3"/>
    </row>
    <row r="38" spans="2:12" x14ac:dyDescent="0.3">
      <c r="B38" s="4"/>
      <c r="C38" s="237" t="s">
        <v>43</v>
      </c>
      <c r="D38" s="237"/>
      <c r="E38" s="237"/>
      <c r="F38" s="237"/>
      <c r="G38" s="237"/>
      <c r="H38" s="237"/>
      <c r="I38" s="237"/>
      <c r="J38" s="237"/>
      <c r="K38" s="237"/>
      <c r="L38" s="5"/>
    </row>
    <row r="39" spans="2:12" x14ac:dyDescent="0.3">
      <c r="B39" s="4"/>
      <c r="C39" s="268" t="s">
        <v>110</v>
      </c>
      <c r="D39" s="268"/>
      <c r="E39" s="268"/>
      <c r="F39" s="268"/>
      <c r="G39" s="268"/>
      <c r="H39" s="268"/>
      <c r="I39" s="268"/>
      <c r="J39" s="268"/>
      <c r="K39" s="268"/>
      <c r="L39" s="5"/>
    </row>
    <row r="40" spans="2:12" x14ac:dyDescent="0.3">
      <c r="B40" s="4"/>
      <c r="C40" s="268"/>
      <c r="D40" s="268"/>
      <c r="E40" s="268"/>
      <c r="F40" s="268"/>
      <c r="G40" s="268"/>
      <c r="H40" s="268"/>
      <c r="I40" s="268"/>
      <c r="J40" s="268"/>
      <c r="K40" s="268"/>
      <c r="L40" s="5"/>
    </row>
    <row r="41" spans="2:12" x14ac:dyDescent="0.3">
      <c r="B41" s="4"/>
      <c r="C41" s="268"/>
      <c r="D41" s="268"/>
      <c r="E41" s="268"/>
      <c r="F41" s="268"/>
      <c r="G41" s="268"/>
      <c r="H41" s="268"/>
      <c r="I41" s="268"/>
      <c r="J41" s="268"/>
      <c r="K41" s="268"/>
      <c r="L41" s="5"/>
    </row>
    <row r="42" spans="2:12" x14ac:dyDescent="0.3">
      <c r="B42" s="4"/>
      <c r="C42" s="268"/>
      <c r="D42" s="268"/>
      <c r="E42" s="268"/>
      <c r="F42" s="268"/>
      <c r="G42" s="268"/>
      <c r="H42" s="268"/>
      <c r="I42" s="268"/>
      <c r="J42" s="268"/>
      <c r="K42" s="268"/>
      <c r="L42" s="5"/>
    </row>
    <row r="43" spans="2:12" x14ac:dyDescent="0.3">
      <c r="B43" s="4"/>
      <c r="C43" s="268"/>
      <c r="D43" s="268"/>
      <c r="E43" s="268"/>
      <c r="F43" s="268"/>
      <c r="G43" s="268"/>
      <c r="H43" s="268"/>
      <c r="I43" s="268"/>
      <c r="J43" s="268"/>
      <c r="K43" s="268"/>
      <c r="L43" s="5"/>
    </row>
    <row r="44" spans="2:12" x14ac:dyDescent="0.3">
      <c r="B44" s="4"/>
      <c r="C44" s="268"/>
      <c r="D44" s="268"/>
      <c r="E44" s="268"/>
      <c r="F44" s="268"/>
      <c r="G44" s="268"/>
      <c r="H44" s="268"/>
      <c r="I44" s="268"/>
      <c r="J44" s="268"/>
      <c r="K44" s="268"/>
      <c r="L44" s="5"/>
    </row>
    <row r="45" spans="2:12" x14ac:dyDescent="0.3">
      <c r="B45" s="4"/>
      <c r="C45" s="269"/>
      <c r="D45" s="269"/>
      <c r="E45" s="269"/>
      <c r="F45" s="269"/>
      <c r="G45" s="269"/>
      <c r="H45" s="269"/>
      <c r="I45" s="269"/>
      <c r="J45" s="269"/>
      <c r="K45" s="269"/>
      <c r="L45" s="5"/>
    </row>
    <row r="46" spans="2:12" ht="8.4" customHeight="1" thickBot="1" x14ac:dyDescent="0.35">
      <c r="B46" s="12"/>
      <c r="C46" s="13"/>
      <c r="D46" s="13"/>
      <c r="E46" s="13"/>
      <c r="F46" s="13"/>
      <c r="G46" s="13"/>
      <c r="H46" s="13"/>
      <c r="I46" s="13"/>
      <c r="J46" s="13"/>
      <c r="K46" s="13"/>
      <c r="L46" s="14"/>
    </row>
    <row r="47" spans="2:12" ht="9" customHeight="1" thickBot="1" x14ac:dyDescent="0.35"/>
    <row r="48" spans="2:12" x14ac:dyDescent="0.3">
      <c r="B48" s="265" t="s">
        <v>44</v>
      </c>
      <c r="C48" s="266"/>
      <c r="D48" s="2"/>
      <c r="E48" s="2"/>
      <c r="F48" s="2"/>
      <c r="G48" s="2"/>
      <c r="H48" s="2"/>
      <c r="I48" s="2"/>
      <c r="J48" s="2"/>
      <c r="K48" s="2"/>
      <c r="L48" s="3"/>
    </row>
    <row r="49" spans="2:12" x14ac:dyDescent="0.3">
      <c r="B49" s="4"/>
      <c r="L49" s="5"/>
    </row>
    <row r="50" spans="2:12" x14ac:dyDescent="0.3">
      <c r="B50" s="4"/>
      <c r="C50" s="23"/>
      <c r="L50" s="5"/>
    </row>
    <row r="51" spans="2:12" x14ac:dyDescent="0.3">
      <c r="B51" s="4"/>
      <c r="C51" s="267" t="s">
        <v>45</v>
      </c>
      <c r="D51" s="267"/>
      <c r="E51" s="267"/>
      <c r="F51" s="267"/>
      <c r="H51" s="267" t="s">
        <v>46</v>
      </c>
      <c r="I51" s="267"/>
      <c r="J51" s="267"/>
      <c r="K51" s="267"/>
      <c r="L51" s="5"/>
    </row>
    <row r="52" spans="2:12" ht="15" thickBot="1" x14ac:dyDescent="0.35">
      <c r="B52" s="12"/>
      <c r="C52" s="13"/>
      <c r="D52" s="13"/>
      <c r="E52" s="13"/>
      <c r="F52" s="13"/>
      <c r="G52" s="13"/>
      <c r="H52" s="13"/>
      <c r="I52" s="13"/>
      <c r="J52" s="13"/>
      <c r="K52" s="13"/>
      <c r="L52" s="14"/>
    </row>
  </sheetData>
  <mergeCells count="42">
    <mergeCell ref="B48:C48"/>
    <mergeCell ref="C51:F51"/>
    <mergeCell ref="H51:K51"/>
    <mergeCell ref="C39:K45"/>
    <mergeCell ref="C38:K38"/>
    <mergeCell ref="D31:E31"/>
    <mergeCell ref="F31:G31"/>
    <mergeCell ref="I31:J31"/>
    <mergeCell ref="D32:E32"/>
    <mergeCell ref="F32:G32"/>
    <mergeCell ref="I32:J32"/>
    <mergeCell ref="D33:E33"/>
    <mergeCell ref="F33:G33"/>
    <mergeCell ref="I33:J33"/>
    <mergeCell ref="C34:E34"/>
    <mergeCell ref="F34:G34"/>
    <mergeCell ref="C27:K27"/>
    <mergeCell ref="D29:E29"/>
    <mergeCell ref="F29:G29"/>
    <mergeCell ref="H29:K29"/>
    <mergeCell ref="D30:E30"/>
    <mergeCell ref="F30:G30"/>
    <mergeCell ref="I30:J30"/>
    <mergeCell ref="D23:G23"/>
    <mergeCell ref="I23:K23"/>
    <mergeCell ref="D11:K11"/>
    <mergeCell ref="D12:H12"/>
    <mergeCell ref="J12:K12"/>
    <mergeCell ref="C16:K16"/>
    <mergeCell ref="D18:G18"/>
    <mergeCell ref="H18:K18"/>
    <mergeCell ref="D19:K19"/>
    <mergeCell ref="D20:K20"/>
    <mergeCell ref="D21:E21"/>
    <mergeCell ref="D22:G22"/>
    <mergeCell ref="I22:K22"/>
    <mergeCell ref="D10:K10"/>
    <mergeCell ref="B2:L2"/>
    <mergeCell ref="B3:L3"/>
    <mergeCell ref="C6:K6"/>
    <mergeCell ref="D8:K8"/>
    <mergeCell ref="D9:K9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9a79990-ee87-4241-abc6-9e01ab9b2464">
      <Terms xmlns="http://schemas.microsoft.com/office/infopath/2007/PartnerControls"/>
    </lcf76f155ced4ddcb4097134ff3c332f>
    <TaxCatchAll xmlns="8f4bf414-7d56-47ef-876f-a064b6139123" xsi:nil="true"/>
  </documentManagement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388C4C5C67B1C40A7414AD25E2D3AE6" ma:contentTypeVersion="13" ma:contentTypeDescription="Crie um novo documento." ma:contentTypeScope="" ma:versionID="1b5178e88f018b74586964b6babab4f8">
  <xsd:schema xmlns:xsd="http://www.w3.org/2001/XMLSchema" xmlns:xs="http://www.w3.org/2001/XMLSchema" xmlns:p="http://schemas.microsoft.com/office/2006/metadata/properties" xmlns:ns2="29a79990-ee87-4241-abc6-9e01ab9b2464" xmlns:ns3="8f4bf414-7d56-47ef-876f-a064b6139123" targetNamespace="http://schemas.microsoft.com/office/2006/metadata/properties" ma:root="true" ma:fieldsID="266d05339a4efad8584a7b69e9357b72" ns2:_="" ns3:_="">
    <xsd:import namespace="29a79990-ee87-4241-abc6-9e01ab9b2464"/>
    <xsd:import namespace="8f4bf414-7d56-47ef-876f-a064b613912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9a79990-ee87-4241-abc6-9e01ab9b24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15" nillable="true" ma:displayName="MediaServiceBillingMetadata" ma:hidden="true" ma:internalName="MediaServiceBillingMetadata" ma:readOnly="true">
      <xsd:simpleType>
        <xsd:restriction base="dms:Note"/>
      </xsd:simpleType>
    </xsd:element>
    <xsd:element name="lcf76f155ced4ddcb4097134ff3c332f" ma:index="17" nillable="true" ma:taxonomy="true" ma:internalName="lcf76f155ced4ddcb4097134ff3c332f" ma:taxonomyFieldName="MediaServiceImageTags" ma:displayName="Marcações de imagem" ma:readOnly="false" ma:fieldId="{5cf76f15-5ced-4ddc-b409-7134ff3c332f}" ma:taxonomyMulti="true" ma:sspId="dd800daa-7c7e-4072-b01c-3023f6f7afe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4bf414-7d56-47ef-876f-a064b6139123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689cacdc-4c80-4a01-81af-803e241e380a}" ma:internalName="TaxCatchAll" ma:showField="CatchAllData" ma:web="8f4bf414-7d56-47ef-876f-a064b613912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BC7A38B-8603-4A42-AAAF-92D5D637F20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68ACD4F-02B1-4370-BFE2-EC36B7D19892}">
  <ds:schemaRefs>
    <ds:schemaRef ds:uri="http://schemas.microsoft.com/office/2006/metadata/properties"/>
    <ds:schemaRef ds:uri="http://schemas.microsoft.com/office/infopath/2007/PartnerControls"/>
    <ds:schemaRef ds:uri="7a991dad-45c2-4a9e-9fda-9c556ad46bbb"/>
    <ds:schemaRef ds:uri="e3d5a89f-10c1-48c7-b69d-72d2ad4a8504"/>
    <ds:schemaRef ds:uri="29a79990-ee87-4241-abc6-9e01ab9b2464"/>
    <ds:schemaRef ds:uri="8f4bf414-7d56-47ef-876f-a064b6139123"/>
  </ds:schemaRefs>
</ds:datastoreItem>
</file>

<file path=customXml/itemProps3.xml><?xml version="1.0" encoding="utf-8"?>
<ds:datastoreItem xmlns:ds="http://schemas.openxmlformats.org/officeDocument/2006/customXml" ds:itemID="{1F2A719E-479E-41E4-8A33-6AFDA9F259D9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08E75524-C1B6-4E66-8D14-864EA00367D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9a79990-ee87-4241-abc6-9e01ab9b2464"/>
    <ds:schemaRef ds:uri="8f4bf414-7d56-47ef-876f-a064b61391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15</vt:i4>
      </vt:variant>
    </vt:vector>
  </HeadingPairs>
  <TitlesOfParts>
    <vt:vector size="19" baseType="lpstr">
      <vt:lpstr>RESUMO</vt:lpstr>
      <vt:lpstr>Planilha</vt:lpstr>
      <vt:lpstr>ItensOrc</vt:lpstr>
      <vt:lpstr>Template SP</vt:lpstr>
      <vt:lpstr>ItensOrc!itensorc_desconto</vt:lpstr>
      <vt:lpstr>ItensOrc!itensorc_descricao</vt:lpstr>
      <vt:lpstr>ItensOrc!itensorc_encargos</vt:lpstr>
      <vt:lpstr>ItensOrc!itensorc_especifica</vt:lpstr>
      <vt:lpstr>ItensOrc!itensorc_item</vt:lpstr>
      <vt:lpstr>ItensOrc!itensorc_lancamento</vt:lpstr>
      <vt:lpstr>ItensOrc!itensorc_percentualhonorarios</vt:lpstr>
      <vt:lpstr>ItensOrc!itensorc_quantidade</vt:lpstr>
      <vt:lpstr>ItensOrc!itensorc_situacao</vt:lpstr>
      <vt:lpstr>ItensOrc!itensorc_subtipo</vt:lpstr>
      <vt:lpstr>ItensOrc!itensorc_tiporeceita</vt:lpstr>
      <vt:lpstr>ItensOrc!itensorc_valor</vt:lpstr>
      <vt:lpstr>ItensOrc!itensorc_valorfornecedor</vt:lpstr>
      <vt:lpstr>ItensOrc!itensorc_valorfornecedorunitario</vt:lpstr>
      <vt:lpstr>ItensOrc!itensorc_valorunitario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QdS</dc:creator>
  <cp:lastModifiedBy>Bruno Silva</cp:lastModifiedBy>
  <cp:lastPrinted>2026-07-20T14:32:42Z</cp:lastPrinted>
  <dcterms:created xsi:type="dcterms:W3CDTF">2023-09-21T21:02:20Z</dcterms:created>
  <dcterms:modified xsi:type="dcterms:W3CDTF">2026-07-29T13:05:25Z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0x010100F388C4C5C67B1C40A7414AD25E2D3AE6</vt:lpwstr>
  </property>
  <property fmtid="{D5CDD505-2E9C-101B-9397-08002B2CF9AE}" pid="3" name="MediaServiceImageTags">
    <vt:lpwstr/>
  </property>
</Properties>
</file>