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D9A17E37-6F43-4ECA-A1CE-EC8D1D2F0C77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112" r:id="rId1"/>
    <sheet name="PRINCIPAL" sheetId="109" state="hidden" r:id="rId2"/>
    <sheet name="Estanplaza Berrini" sheetId="111" r:id="rId3"/>
    <sheet name="Solicitações de Pagamento" sheetId="4" state="hidden" r:id="rId4"/>
    <sheet name="ItensOrc" sheetId="76" state="hidden" r:id="rId5"/>
    <sheet name="Template SP" sheetId="3" state="hidden" r:id="rId6"/>
  </sheets>
  <functionGroups builtInGroupCount="19"/>
  <definedNames>
    <definedName name="_xlnm._FilterDatabase" localSheetId="2" hidden="1">'Estanplaza Berrini'!#REF!</definedName>
    <definedName name="_xlnm._FilterDatabase" localSheetId="1" hidden="1">PRINCIPAL!#REF!</definedName>
    <definedName name="_xleta.IF" hidden="1" xlm="1">#NAME?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12" l="1"/>
  <c r="D28" i="112"/>
  <c r="D29" i="112"/>
  <c r="E29" i="112"/>
  <c r="C30" i="112"/>
  <c r="E27" i="112"/>
  <c r="F27" i="112" s="1"/>
  <c r="F29" i="112"/>
  <c r="C20" i="112"/>
  <c r="E20" i="112" s="1"/>
  <c r="F20" i="112" s="1"/>
  <c r="D20" i="112"/>
  <c r="D21" i="112" s="1"/>
  <c r="E3" i="112"/>
  <c r="AB34" i="111"/>
  <c r="AB33" i="111"/>
  <c r="AB32" i="111"/>
  <c r="AC26" i="111"/>
  <c r="AB18" i="111"/>
  <c r="AB17" i="111"/>
  <c r="D26" i="112" l="1"/>
  <c r="D30" i="112" s="1"/>
  <c r="C21" i="112"/>
  <c r="E28" i="112"/>
  <c r="F28" i="112" s="1"/>
  <c r="K24" i="111"/>
  <c r="J19" i="111"/>
  <c r="K19" i="111"/>
  <c r="K20" i="111"/>
  <c r="K21" i="111"/>
  <c r="L21" i="111" s="1"/>
  <c r="R21" i="111"/>
  <c r="Q21" i="111"/>
  <c r="R20" i="111"/>
  <c r="Q20" i="111"/>
  <c r="R18" i="111"/>
  <c r="Q18" i="111"/>
  <c r="K18" i="111"/>
  <c r="E26" i="112" l="1"/>
  <c r="F26" i="112" s="1"/>
  <c r="E30" i="112"/>
  <c r="F30" i="112" s="1"/>
  <c r="E21" i="112"/>
  <c r="F21" i="112" s="1"/>
  <c r="V21" i="111"/>
  <c r="U21" i="111"/>
  <c r="L20" i="111"/>
  <c r="V20" i="111"/>
  <c r="L18" i="111"/>
  <c r="T18" i="111"/>
  <c r="V18" i="111"/>
  <c r="L23" i="111"/>
  <c r="Z21" i="111" l="1"/>
  <c r="W21" i="111"/>
  <c r="X21" i="111" s="1"/>
  <c r="AB21" i="111" s="1"/>
  <c r="U18" i="111"/>
  <c r="Z18" i="111" s="1"/>
  <c r="Q24" i="111"/>
  <c r="R22" i="111"/>
  <c r="Q22" i="111"/>
  <c r="K22" i="111"/>
  <c r="R19" i="111"/>
  <c r="Q19" i="111"/>
  <c r="V19" i="111" s="1"/>
  <c r="L19" i="111"/>
  <c r="R17" i="111"/>
  <c r="Q17" i="111"/>
  <c r="V17" i="111" s="1"/>
  <c r="K17" i="111"/>
  <c r="Q16" i="111"/>
  <c r="Q15" i="111"/>
  <c r="M14" i="111"/>
  <c r="M21" i="111" s="1"/>
  <c r="N21" i="111" s="1"/>
  <c r="Z12" i="111"/>
  <c r="M10" i="111"/>
  <c r="K25" i="111" l="1"/>
  <c r="K26" i="111"/>
  <c r="Y21" i="111"/>
  <c r="M23" i="111"/>
  <c r="N23" i="111" s="1"/>
  <c r="M20" i="111"/>
  <c r="N20" i="111" s="1"/>
  <c r="W18" i="111"/>
  <c r="X18" i="111" s="1"/>
  <c r="M18" i="111"/>
  <c r="N18" i="111" s="1"/>
  <c r="U20" i="111"/>
  <c r="V22" i="111"/>
  <c r="V24" i="111"/>
  <c r="M19" i="111"/>
  <c r="L22" i="111"/>
  <c r="M22" i="111" s="1"/>
  <c r="V23" i="111"/>
  <c r="AA21" i="111"/>
  <c r="T17" i="111"/>
  <c r="L24" i="111"/>
  <c r="M24" i="111" s="1"/>
  <c r="L17" i="111"/>
  <c r="M17" i="111" s="1"/>
  <c r="S23" i="111" l="1"/>
  <c r="Y18" i="111"/>
  <c r="L25" i="111"/>
  <c r="U19" i="111"/>
  <c r="L26" i="111"/>
  <c r="N19" i="111"/>
  <c r="M25" i="111"/>
  <c r="M26" i="111"/>
  <c r="Z19" i="111"/>
  <c r="Z20" i="111"/>
  <c r="W20" i="111"/>
  <c r="X20" i="111" s="1"/>
  <c r="U24" i="111"/>
  <c r="W24" i="111" s="1"/>
  <c r="X24" i="111" s="1"/>
  <c r="AA18" i="111"/>
  <c r="U17" i="111"/>
  <c r="N22" i="111"/>
  <c r="U22" i="111"/>
  <c r="Z22" i="111" s="1"/>
  <c r="W19" i="111"/>
  <c r="X19" i="111" s="1"/>
  <c r="AB19" i="111" s="1"/>
  <c r="N24" i="111"/>
  <c r="N17" i="111"/>
  <c r="Y24" i="111" l="1"/>
  <c r="AB24" i="111"/>
  <c r="Y20" i="111"/>
  <c r="AB20" i="111"/>
  <c r="U23" i="111"/>
  <c r="T25" i="111"/>
  <c r="AA17" i="111" s="1"/>
  <c r="T26" i="111"/>
  <c r="AA20" i="111" s="1"/>
  <c r="U25" i="111"/>
  <c r="U26" i="111"/>
  <c r="N25" i="111"/>
  <c r="N26" i="111"/>
  <c r="Y19" i="111"/>
  <c r="Z24" i="111"/>
  <c r="AA24" i="111"/>
  <c r="Z17" i="111"/>
  <c r="W17" i="111"/>
  <c r="X17" i="111" s="1"/>
  <c r="W22" i="111"/>
  <c r="X22" i="111" s="1"/>
  <c r="Y22" i="111" l="1"/>
  <c r="AB22" i="111"/>
  <c r="AA22" i="111"/>
  <c r="AA19" i="111"/>
  <c r="AA23" i="111"/>
  <c r="Z23" i="111"/>
  <c r="W23" i="111"/>
  <c r="X23" i="111" s="1"/>
  <c r="Y17" i="111"/>
  <c r="Y26" i="111" l="1"/>
  <c r="Z26" i="111" s="1"/>
  <c r="AA26" i="111" s="1"/>
  <c r="Y23" i="111"/>
  <c r="AB23" i="111"/>
  <c r="AB26" i="111"/>
  <c r="X25" i="111"/>
  <c r="Y25" i="111" s="1"/>
  <c r="X26" i="111"/>
  <c r="R17" i="109"/>
  <c r="Q17" i="109"/>
  <c r="K17" i="109"/>
  <c r="Q16" i="109"/>
  <c r="Q15" i="109"/>
  <c r="M14" i="109"/>
  <c r="Z12" i="109"/>
  <c r="M10" i="109"/>
  <c r="K19" i="109" l="1"/>
  <c r="K18" i="109"/>
  <c r="T17" i="109"/>
  <c r="V17" i="109"/>
  <c r="L17" i="109"/>
  <c r="L19" i="109" l="1"/>
  <c r="L18" i="109"/>
  <c r="T19" i="109"/>
  <c r="T18" i="109"/>
  <c r="AA17" i="109"/>
  <c r="U17" i="109"/>
  <c r="M17" i="109"/>
  <c r="M19" i="109" l="1"/>
  <c r="M18" i="109"/>
  <c r="U19" i="109"/>
  <c r="U18" i="109"/>
  <c r="N17" i="109"/>
  <c r="Z17" i="109"/>
  <c r="W17" i="109"/>
  <c r="X17" i="109" s="1"/>
  <c r="N18" i="109" l="1"/>
  <c r="N19" i="109"/>
  <c r="X19" i="109"/>
  <c r="X18" i="109"/>
  <c r="Y18" i="109" s="1"/>
  <c r="Y17" i="109"/>
  <c r="Y19" i="109" l="1"/>
  <c r="Z19" i="109" l="1"/>
  <c r="AA19" i="109" s="1"/>
</calcChain>
</file>

<file path=xl/sharedStrings.xml><?xml version="1.0" encoding="utf-8"?>
<sst xmlns="http://schemas.openxmlformats.org/spreadsheetml/2006/main" count="453" uniqueCount="232">
  <si>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</si>
  <si>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</si>
  <si>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</si>
  <si>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</si>
  <si>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</si>
  <si>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</si>
  <si>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</si>
  <si>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</si>
  <si>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</si>
  <si>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</si>
  <si>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</si>
  <si>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</si>
  <si>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</si>
  <si>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</si>
  <si>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</si>
  <si>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</si>
  <si>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</si>
  <si>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</si>
  <si>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</si>
  <si>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</si>
  <si>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</si>
  <si>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</si>
  <si>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</si>
  <si>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</si>
  <si>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</si>
  <si>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</si>
  <si>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</si>
  <si>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</si>
  <si>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</si>
  <si>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</si>
  <si>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</si>
  <si>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</si>
  <si>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</si>
  <si>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</si>
  <si>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</si>
  <si>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</si>
  <si>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</si>
  <si>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</si>
  <si>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</si>
  <si>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</si>
  <si>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</si>
  <si>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</si>
  <si>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</si>
  <si>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</si>
  <si>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</si>
  <si>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</si>
  <si>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</si>
  <si>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</si>
  <si>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</si>
  <si>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</si>
  <si>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</si>
  <si>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</si>
  <si>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</si>
  <si>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</si>
  <si>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</si>
  <si>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</si>
  <si>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</si>
  <si>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</si>
  <si>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</si>
  <si>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</si>
  <si>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</si>
  <si>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</si>
  <si>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</si>
  <si>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</si>
  <si>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</si>
  <si>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</si>
  <si>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</si>
  <si>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</si>
  <si>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</si>
  <si>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</si>
  <si>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</si>
  <si>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Solicitado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</si>
  <si>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</si>
  <si>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</si>
  <si>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</si>
  <si>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</si>
  <si>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</si>
  <si>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</si>
  <si>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</si>
  <si>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</si>
  <si>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</si>
  <si>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</si>
  <si>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</si>
  <si>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</si>
  <si>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</si>
  <si>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</si>
  <si>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</si>
  <si>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</si>
  <si>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</si>
  <si>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</si>
  <si>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</si>
  <si>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</si>
  <si>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</si>
  <si>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</si>
  <si>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</si>
  <si>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</si>
  <si>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</si>
  <si>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</si>
  <si>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</si>
  <si>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</si>
  <si>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</si>
  <si>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</si>
  <si>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</si>
  <si>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</si>
  <si>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</si>
  <si>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</si>
  <si>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</si>
  <si>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</si>
  <si>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</si>
  <si>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</si>
  <si>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</si>
  <si>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</si>
  <si>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</si>
  <si>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</si>
  <si>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</si>
  <si>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</si>
  <si>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</si>
  <si>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</si>
  <si>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</si>
  <si>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</si>
  <si>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</si>
  <si>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</si>
  <si>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</si>
  <si>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</si>
  <si>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</si>
  <si>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</si>
  <si>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</si>
  <si>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( X ) Pessoa Jurídica</t>
  </si>
  <si>
    <t>ORÇAMENTO 5.1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</si>
  <si>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</si>
  <si>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</si>
  <si>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</si>
  <si>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</si>
  <si>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</si>
  <si>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</si>
  <si>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</si>
  <si>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</si>
  <si>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</si>
  <si>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</si>
  <si>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</si>
  <si>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</si>
  <si>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</si>
  <si>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</si>
  <si>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</si>
  <si>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</si>
  <si>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</si>
  <si>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</si>
  <si>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</si>
  <si>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</si>
  <si>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</si>
  <si>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Vazio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</si>
  <si>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</si>
  <si>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</si>
  <si>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</si>
  <si>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</si>
  <si>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</si>
  <si>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</si>
  <si>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</si>
  <si>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</si>
  <si>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</si>
  <si>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</si>
  <si>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</si>
  <si>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</si>
  <si>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</si>
  <si>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</si>
  <si>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</si>
  <si>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</si>
  <si>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>SUBGRUPO</t>
  </si>
  <si>
    <t>AGENCIAMENTO</t>
  </si>
  <si>
    <t>IMPOSTOS</t>
  </si>
  <si>
    <t>Marg.</t>
  </si>
  <si>
    <t>ITEM</t>
  </si>
  <si>
    <t>GRUPO</t>
  </si>
  <si>
    <t>1.1</t>
  </si>
  <si>
    <t>1.1.1</t>
  </si>
  <si>
    <t>INTERNOS</t>
  </si>
  <si>
    <t>INTERNO</t>
  </si>
  <si>
    <t>FAT.OGGI</t>
  </si>
  <si>
    <t>SUBTOTAL SUBGRUPO</t>
  </si>
  <si>
    <t>Subtotal INTERNO</t>
  </si>
  <si>
    <t>OPERACIONAL</t>
  </si>
  <si>
    <t xml:space="preserve">Subtotal </t>
  </si>
  <si>
    <t>SUBTOTAL PLANILHA</t>
  </si>
  <si>
    <t xml:space="preserve">TOTAL </t>
  </si>
  <si>
    <t>Marg. Lucro</t>
  </si>
  <si>
    <t>Lucro</t>
  </si>
  <si>
    <t>CLIENTE:  LACTALIS</t>
  </si>
  <si>
    <t>ATENDIMENTO: NILSON MIGUEL</t>
  </si>
  <si>
    <t>Subtotal HOTEL - PERÍODO DE 13 A 14 DE JANEIRO</t>
  </si>
  <si>
    <t>FAT.CLIENTE</t>
  </si>
  <si>
    <t>EVENTO</t>
  </si>
  <si>
    <t>DATA: 21, 22  e 23 de outubro de 2025</t>
  </si>
  <si>
    <t>PRODUTOR: CAROL IGLEZIAS</t>
  </si>
  <si>
    <t>PRODUTOR/ATENDIMENTO</t>
  </si>
  <si>
    <t>Locação de Sala</t>
  </si>
  <si>
    <t>Alimentação</t>
  </si>
  <si>
    <t xml:space="preserve">Estrutura </t>
  </si>
  <si>
    <t>LOCAL: Wyndham Ibirapuera</t>
  </si>
  <si>
    <t>CÓDIGO DO JOB: L_062</t>
  </si>
  <si>
    <t>NOME PLANILHA: L_062_Locação Salas</t>
  </si>
  <si>
    <t>LOCAL: À definir</t>
  </si>
  <si>
    <t>1.1.3</t>
  </si>
  <si>
    <t>1.1.4</t>
  </si>
  <si>
    <t>1.1.5</t>
  </si>
  <si>
    <t>1.1.6</t>
  </si>
  <si>
    <t>1.1.7</t>
  </si>
  <si>
    <t>EVENTO: Locação Salas</t>
  </si>
  <si>
    <t>HOTEL ESTANPLAZA BERRINI - Av. Eng. Luis Carlos Berrini, 853 - CEP: 04571-010 - Brooklin Novo</t>
  </si>
  <si>
    <r>
      <t>Produtor executivo dedicado responsável pelatendiment, pré-produção, implementação do projeto e pós produção</t>
    </r>
    <r>
      <rPr>
        <sz val="12"/>
        <color rgb="FFFF0000"/>
        <rFont val="Trebuchet MS"/>
        <family val="2"/>
      </rPr>
      <t xml:space="preserve"> (Valor negociado)</t>
    </r>
  </si>
  <si>
    <t xml:space="preserve">Formato Escolar
Mezanino -  Sala Rio Janeiro -   104m²   </t>
  </si>
  <si>
    <t>Internet</t>
  </si>
  <si>
    <t>Contratação de internet individual</t>
  </si>
  <si>
    <t xml:space="preserve">Energéticos </t>
  </si>
  <si>
    <t>Projetor multimídia XGA (1024x768) - 5200 ansilumens +  Tela de projeção 3,00m x 2,25m (150") - Formato 4:3
Flip chart (com 20 folhas e 02 canetas) + 09 Régua de energia (com 4 tomadas)
01 Mesa de som com caixa amplificada
Técnico dia 21/10</t>
  </si>
  <si>
    <t>1.1.8</t>
  </si>
  <si>
    <t>CUSTO TOTAL</t>
  </si>
  <si>
    <t>LUCRO</t>
  </si>
  <si>
    <r>
      <t xml:space="preserve">Consumo de água e café durante a plenária 
</t>
    </r>
    <r>
      <rPr>
        <b/>
        <sz val="14"/>
        <color theme="1"/>
        <rFont val="Trebuchet MS"/>
        <family val="2"/>
      </rPr>
      <t>- 21/10</t>
    </r>
    <r>
      <rPr>
        <sz val="14"/>
        <color theme="1"/>
        <rFont val="Trebuchet MS"/>
        <family val="2"/>
      </rPr>
      <t xml:space="preserve">
R$ 39,60 (cada) - Térmica de Café: 3 unidades
R$ 8,80 (cada) - Água Mineral (Copo): 73 unidades
</t>
    </r>
    <r>
      <rPr>
        <b/>
        <sz val="14"/>
        <color theme="1"/>
        <rFont val="Trebuchet MS"/>
        <family val="2"/>
      </rPr>
      <t>- 22/10</t>
    </r>
    <r>
      <rPr>
        <sz val="14"/>
        <color theme="1"/>
        <rFont val="Trebuchet MS"/>
        <family val="2"/>
      </rPr>
      <t xml:space="preserve">
R$ 39,60 (cada) - Térmica de Café: 3 unidades
R$ 8,80 (cada) - Água Mineral (Copo): 126 unidades
</t>
    </r>
    <r>
      <rPr>
        <b/>
        <sz val="14"/>
        <color theme="1"/>
        <rFont val="Trebuchet MS"/>
        <family val="2"/>
      </rPr>
      <t>- 23/10</t>
    </r>
    <r>
      <rPr>
        <sz val="14"/>
        <color theme="1"/>
        <rFont val="Trebuchet MS"/>
        <family val="2"/>
      </rPr>
      <t xml:space="preserve">
R$ 39,60 (cada) - Térmica de Café: 2 unidades
R$ 8,80 (cada) - Água Mineral (Copo): 69 unidades</t>
    </r>
  </si>
  <si>
    <r>
      <rPr>
        <b/>
        <sz val="14"/>
        <color theme="1"/>
        <rFont val="Trebuchet MS"/>
        <family val="2"/>
      </rPr>
      <t>Consumo extra dia 23/10</t>
    </r>
    <r>
      <rPr>
        <sz val="14"/>
        <color theme="1"/>
        <rFont val="Trebuchet MS"/>
        <family val="2"/>
      </rPr>
      <t xml:space="preserve">
BANDEJA DE SANDUICHES 
BANDEJA DE BOLO 10 FATIAS 
BANDEJA PAO DE QUEIJO 30UND</t>
    </r>
  </si>
  <si>
    <r>
      <rPr>
        <b/>
        <sz val="14"/>
        <color theme="1"/>
        <rFont val="Trebuchet MS"/>
        <family val="2"/>
      </rPr>
      <t xml:space="preserve">Coffee Break 1 - Foyer Berrini (manhã e tarde)
</t>
    </r>
    <r>
      <rPr>
        <sz val="14"/>
        <color theme="1"/>
        <rFont val="Trebuchet MS"/>
        <family val="2"/>
      </rPr>
      <t>02 opções de Mini Sanduíches, 01 opção de Salgado Quente, 01 opção de Doce, Frutas da Estação, 02 opções de Suco de Frutas, Café, Leite, Chá e Chocolate em pó</t>
    </r>
  </si>
  <si>
    <r>
      <t>Alimentação  -</t>
    </r>
    <r>
      <rPr>
        <i/>
        <u/>
        <sz val="14"/>
        <color rgb="FFFF0000"/>
        <rFont val="Trebuchet MS"/>
        <family val="2"/>
      </rPr>
      <t xml:space="preserve"> Opcional</t>
    </r>
  </si>
  <si>
    <r>
      <rPr>
        <b/>
        <sz val="14"/>
        <color theme="1"/>
        <rFont val="Trebuchet MS"/>
        <family val="2"/>
      </rPr>
      <t>Almoço não privativo Restaurante Tom Berrini</t>
    </r>
    <r>
      <rPr>
        <sz val="14"/>
        <color theme="1"/>
        <rFont val="Trebuchet MS"/>
        <family val="2"/>
      </rPr>
      <t xml:space="preserve">
Estação de Saladas, Estação Light, Estação Homenagem ao Mundo, Estação Raízes Brasileiras, Cozinha Show, Estação de Sobremesas
***Bebidas cobradas a parte</t>
    </r>
  </si>
  <si>
    <t>VÍDEO</t>
  </si>
  <si>
    <t>STUDIO ROCA</t>
  </si>
  <si>
    <t>VENDA</t>
  </si>
  <si>
    <t xml:space="preserve">CUSTO </t>
  </si>
  <si>
    <t>NOTAS EMITIDAS E ND EMITIDAS</t>
  </si>
  <si>
    <t>ESTANPLAZA BERRINI</t>
  </si>
  <si>
    <t>NOTA DE DÉBITO 11</t>
  </si>
  <si>
    <t>NOTA FISCAL 2581</t>
  </si>
  <si>
    <t>BV HOSPEDAGEM 10% - NOTA FISCAL 2682</t>
  </si>
  <si>
    <t>BV LOCAÇÃO DE SALAS 10% - NOTA FISCAL 2683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</si>
</sst>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4"/>
      <color theme="0"/>
      <name val="Trebuchet MS"/>
      <family val="2"/>
    </font>
    <font>
      <sz val="12"/>
      <color rgb="FFFF0000"/>
      <name val="Trebuchet MS"/>
      <family val="2"/>
    </font>
    <font>
      <b/>
      <sz val="16"/>
      <name val="Trebuchet MS"/>
      <family val="2"/>
    </font>
    <font>
      <b/>
      <sz val="16"/>
      <color theme="1"/>
      <name val="Trebuchet MS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Gadugi"/>
      <family val="2"/>
    </font>
    <font>
      <b/>
      <sz val="14"/>
      <color indexed="63"/>
      <name val="Trebuchet MS"/>
      <family val="2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sz val="14"/>
      <color rgb="FFFF0000"/>
      <name val="Trebuchet MS"/>
      <family val="2"/>
    </font>
    <font>
      <sz val="12"/>
      <color theme="1"/>
      <name val="Calibri"/>
      <family val="2"/>
      <scheme val="minor"/>
    </font>
    <font>
      <b/>
      <sz val="12"/>
      <color theme="1"/>
      <name val="Gadug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Trebuchet MS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1"/>
      <name val="Trebuchet MS"/>
      <family val="2"/>
    </font>
    <font>
      <b/>
      <sz val="20"/>
      <color theme="0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i/>
      <u/>
      <sz val="14"/>
      <color rgb="FFFF000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F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0"/>
      <name val="Calibri"/>
      <family val="2"/>
      <scheme val="minor"/>
    </font>
    <font>
      <sz val="10"/>
      <color theme="1"/>
      <name val="Trebuchet MS"/>
      <family val="2"/>
    </font>
    <font>
      <b/>
      <sz val="10"/>
      <color theme="0"/>
      <name val="Trebuchet MS"/>
      <family val="2"/>
    </font>
    <font>
      <b/>
      <sz val="10"/>
      <name val="Trebuchet MS"/>
      <family val="2"/>
    </font>
    <font>
      <b/>
      <sz val="10"/>
      <color theme="1"/>
      <name val="Trebuchet MS"/>
      <family val="2"/>
    </font>
    <font>
      <b/>
      <sz val="11"/>
      <name val="Trebuchet MS"/>
      <family val="2"/>
    </font>
    <font>
      <b/>
      <sz val="11"/>
      <color theme="1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11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0" fillId="4" borderId="35" xfId="0" applyFont="1" applyFill="1" applyBorder="1"/>
    <xf numFmtId="0" fontId="10" fillId="4" borderId="36" xfId="0" applyFont="1" applyFill="1" applyBorder="1"/>
    <xf numFmtId="165" fontId="7" fillId="6" borderId="38" xfId="4" applyFont="1" applyFill="1" applyBorder="1" applyAlignment="1">
      <alignment horizontal="center" vertical="center" wrapText="1"/>
    </xf>
    <xf numFmtId="164" fontId="5" fillId="0" borderId="0" xfId="2" applyNumberFormat="1" applyFont="1" applyAlignment="1">
      <alignment horizontal="left" vertical="center"/>
    </xf>
    <xf numFmtId="166" fontId="7" fillId="0" borderId="40" xfId="4" applyNumberFormat="1" applyFont="1" applyBorder="1" applyAlignment="1">
      <alignment horizontal="center" vertical="center" wrapText="1"/>
    </xf>
    <xf numFmtId="0" fontId="14" fillId="8" borderId="41" xfId="0" applyFont="1" applyFill="1" applyBorder="1" applyAlignment="1">
      <alignment vertical="center"/>
    </xf>
    <xf numFmtId="0" fontId="16" fillId="8" borderId="41" xfId="0" applyFont="1" applyFill="1" applyBorder="1" applyAlignment="1">
      <alignment horizontal="center" vertical="center"/>
    </xf>
    <xf numFmtId="22" fontId="14" fillId="8" borderId="41" xfId="0" applyNumberFormat="1" applyFont="1" applyFill="1" applyBorder="1" applyAlignment="1">
      <alignment horizontal="center" vertical="center"/>
    </xf>
    <xf numFmtId="0" fontId="18" fillId="8" borderId="42" xfId="0" applyFont="1" applyFill="1" applyBorder="1" applyAlignment="1">
      <alignment horizontal="center" vertical="center" wrapText="1"/>
    </xf>
    <xf numFmtId="0" fontId="18" fillId="8" borderId="43" xfId="0" applyFont="1" applyFill="1" applyBorder="1" applyAlignment="1">
      <alignment horizontal="center" vertical="center" wrapText="1"/>
    </xf>
    <xf numFmtId="0" fontId="0" fillId="9" borderId="44" xfId="0" applyFill="1" applyBorder="1" applyAlignment="1">
      <alignment vertical="center"/>
    </xf>
    <xf numFmtId="0" fontId="0" fillId="9" borderId="44" xfId="0" applyFill="1" applyBorder="1" applyAlignment="1">
      <alignment horizontal="right" vertical="center"/>
    </xf>
    <xf numFmtId="4" fontId="0" fillId="9" borderId="44" xfId="0" applyNumberFormat="1" applyFill="1" applyBorder="1" applyAlignment="1">
      <alignment horizontal="right" vertical="center"/>
    </xf>
    <xf numFmtId="9" fontId="0" fillId="9" borderId="44" xfId="0" applyNumberFormat="1" applyFill="1" applyBorder="1" applyAlignment="1">
      <alignment horizontal="right" vertical="center"/>
    </xf>
    <xf numFmtId="0" fontId="0" fillId="9" borderId="45" xfId="0" applyFill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right" vertical="center"/>
    </xf>
    <xf numFmtId="4" fontId="0" fillId="0" borderId="44" xfId="0" applyNumberFormat="1" applyBorder="1" applyAlignment="1">
      <alignment horizontal="right" vertical="center"/>
    </xf>
    <xf numFmtId="9" fontId="0" fillId="0" borderId="44" xfId="0" applyNumberFormat="1" applyBorder="1" applyAlignment="1">
      <alignment horizontal="right" vertical="center"/>
    </xf>
    <xf numFmtId="0" fontId="0" fillId="0" borderId="45" xfId="0" applyBorder="1" applyAlignment="1">
      <alignment vertical="center"/>
    </xf>
    <xf numFmtId="0" fontId="0" fillId="0" borderId="45" xfId="0" applyBorder="1" applyAlignment="1">
      <alignment vertical="center" wrapText="1"/>
    </xf>
    <xf numFmtId="0" fontId="0" fillId="9" borderId="45" xfId="0" applyFill="1" applyBorder="1" applyAlignment="1">
      <alignment vertical="center" wrapText="1"/>
    </xf>
    <xf numFmtId="0" fontId="0" fillId="9" borderId="46" xfId="0" applyFill="1" applyBorder="1" applyAlignment="1">
      <alignment vertical="center"/>
    </xf>
    <xf numFmtId="0" fontId="0" fillId="9" borderId="46" xfId="0" applyFill="1" applyBorder="1" applyAlignment="1">
      <alignment horizontal="right" vertical="center"/>
    </xf>
    <xf numFmtId="4" fontId="0" fillId="9" borderId="46" xfId="0" applyNumberFormat="1" applyFill="1" applyBorder="1" applyAlignment="1">
      <alignment horizontal="right" vertical="center"/>
    </xf>
    <xf numFmtId="9" fontId="0" fillId="9" borderId="46" xfId="0" applyNumberFormat="1" applyFill="1" applyBorder="1" applyAlignment="1">
      <alignment horizontal="right" vertical="center"/>
    </xf>
    <xf numFmtId="0" fontId="0" fillId="9" borderId="47" xfId="0" applyFill="1" applyBorder="1" applyAlignment="1">
      <alignment vertical="center"/>
    </xf>
    <xf numFmtId="164" fontId="5" fillId="0" borderId="20" xfId="2" applyNumberFormat="1" applyFont="1" applyBorder="1" applyAlignment="1" applyProtection="1">
      <alignment horizontal="left" vertical="center"/>
      <protection locked="0"/>
    </xf>
    <xf numFmtId="164" fontId="5" fillId="0" borderId="22" xfId="2" applyNumberFormat="1" applyFont="1" applyBorder="1" applyAlignment="1" applyProtection="1">
      <alignment horizontal="left" vertical="center"/>
      <protection locked="0"/>
    </xf>
    <xf numFmtId="164" fontId="5" fillId="0" borderId="31" xfId="2" applyNumberFormat="1" applyFont="1" applyBorder="1" applyAlignment="1" applyProtection="1">
      <alignment horizontal="left" vertical="center"/>
      <protection locked="0"/>
    </xf>
    <xf numFmtId="164" fontId="5" fillId="0" borderId="32" xfId="2" applyNumberFormat="1" applyFont="1" applyBorder="1" applyAlignment="1" applyProtection="1">
      <alignment horizontal="left" vertical="center"/>
      <protection locked="0"/>
    </xf>
    <xf numFmtId="0" fontId="5" fillId="0" borderId="25" xfId="2" applyFont="1" applyBorder="1" applyAlignment="1" applyProtection="1">
      <alignment horizontal="left" vertical="center"/>
      <protection locked="0"/>
    </xf>
    <xf numFmtId="164" fontId="5" fillId="0" borderId="39" xfId="2" applyNumberFormat="1" applyFont="1" applyBorder="1" applyAlignment="1" applyProtection="1">
      <alignment horizontal="left" vertical="center"/>
      <protection locked="0"/>
    </xf>
    <xf numFmtId="0" fontId="5" fillId="0" borderId="29" xfId="2" applyFont="1" applyBorder="1" applyAlignment="1" applyProtection="1">
      <alignment horizontal="left" vertical="center"/>
      <protection locked="0"/>
    </xf>
    <xf numFmtId="165" fontId="7" fillId="6" borderId="51" xfId="4" applyFont="1" applyFill="1" applyBorder="1" applyAlignment="1">
      <alignment horizontal="center" vertical="center" wrapText="1"/>
    </xf>
    <xf numFmtId="37" fontId="7" fillId="6" borderId="3" xfId="3" applyNumberFormat="1" applyFont="1" applyFill="1" applyBorder="1" applyAlignment="1">
      <alignment horizontal="center" vertical="center"/>
    </xf>
    <xf numFmtId="40" fontId="7" fillId="6" borderId="52" xfId="4" applyNumberFormat="1" applyFont="1" applyFill="1" applyBorder="1" applyAlignment="1">
      <alignment horizontal="center" vertical="center"/>
    </xf>
    <xf numFmtId="10" fontId="21" fillId="6" borderId="54" xfId="1" applyNumberFormat="1" applyFont="1" applyFill="1" applyBorder="1" applyAlignment="1">
      <alignment horizontal="center" vertical="center" wrapText="1"/>
    </xf>
    <xf numFmtId="0" fontId="4" fillId="6" borderId="53" xfId="3" applyFont="1" applyFill="1" applyBorder="1" applyAlignment="1">
      <alignment horizontal="left" vertical="center"/>
    </xf>
    <xf numFmtId="0" fontId="4" fillId="6" borderId="54" xfId="3" applyFont="1" applyFill="1" applyBorder="1" applyAlignment="1">
      <alignment horizontal="center" vertical="center"/>
    </xf>
    <xf numFmtId="0" fontId="21" fillId="6" borderId="54" xfId="3" applyFont="1" applyFill="1" applyBorder="1" applyAlignment="1">
      <alignment horizontal="center" vertical="center"/>
    </xf>
    <xf numFmtId="169" fontId="21" fillId="6" borderId="54" xfId="3" applyNumberFormat="1" applyFont="1" applyFill="1" applyBorder="1" applyAlignment="1">
      <alignment horizontal="center" vertical="center" wrapText="1"/>
    </xf>
    <xf numFmtId="0" fontId="21" fillId="6" borderId="55" xfId="3" applyFont="1" applyFill="1" applyBorder="1" applyAlignment="1">
      <alignment horizontal="center" vertical="center" wrapText="1"/>
    </xf>
    <xf numFmtId="0" fontId="21" fillId="6" borderId="56" xfId="3" applyFont="1" applyFill="1" applyBorder="1" applyAlignment="1">
      <alignment horizontal="center" vertical="center" wrapText="1"/>
    </xf>
    <xf numFmtId="37" fontId="7" fillId="6" borderId="53" xfId="3" applyNumberFormat="1" applyFont="1" applyFill="1" applyBorder="1" applyAlignment="1">
      <alignment horizontal="center" vertical="center"/>
    </xf>
    <xf numFmtId="37" fontId="7" fillId="6" borderId="54" xfId="3" applyNumberFormat="1" applyFont="1" applyFill="1" applyBorder="1" applyAlignment="1">
      <alignment horizontal="center" vertical="center"/>
    </xf>
    <xf numFmtId="40" fontId="7" fillId="6" borderId="54" xfId="4" applyNumberFormat="1" applyFont="1" applyFill="1" applyBorder="1" applyAlignment="1">
      <alignment horizontal="center" vertical="center"/>
    </xf>
    <xf numFmtId="165" fontId="7" fillId="6" borderId="54" xfId="4" applyFont="1" applyFill="1" applyBorder="1" applyAlignment="1">
      <alignment horizontal="right" vertical="center"/>
    </xf>
    <xf numFmtId="40" fontId="7" fillId="6" borderId="54" xfId="4" applyNumberFormat="1" applyFont="1" applyFill="1" applyBorder="1" applyAlignment="1">
      <alignment horizontal="center" vertical="center" wrapText="1"/>
    </xf>
    <xf numFmtId="10" fontId="7" fillId="6" borderId="54" xfId="5" applyNumberFormat="1" applyFont="1" applyFill="1" applyBorder="1" applyAlignment="1">
      <alignment horizontal="center" vertical="center" wrapText="1"/>
    </xf>
    <xf numFmtId="165" fontId="7" fillId="6" borderId="54" xfId="4" applyFont="1" applyFill="1" applyBorder="1" applyAlignment="1">
      <alignment horizontal="center" vertical="center" wrapText="1"/>
    </xf>
    <xf numFmtId="165" fontId="7" fillId="6" borderId="56" xfId="4" applyFont="1" applyFill="1" applyBorder="1" applyAlignment="1">
      <alignment horizontal="center" vertical="center" wrapText="1"/>
    </xf>
    <xf numFmtId="10" fontId="7" fillId="6" borderId="63" xfId="5" applyNumberFormat="1" applyFont="1" applyFill="1" applyBorder="1" applyAlignment="1">
      <alignment horizontal="center" vertical="center" wrapText="1"/>
    </xf>
    <xf numFmtId="44" fontId="20" fillId="0" borderId="62" xfId="8" applyFont="1" applyBorder="1" applyAlignment="1">
      <alignment vertical="center"/>
    </xf>
    <xf numFmtId="0" fontId="20" fillId="0" borderId="62" xfId="0" applyFont="1" applyBorder="1" applyAlignment="1">
      <alignment horizontal="left" vertical="center" wrapText="1"/>
    </xf>
    <xf numFmtId="44" fontId="20" fillId="13" borderId="7" xfId="8" applyFont="1" applyFill="1" applyBorder="1" applyAlignment="1">
      <alignment vertical="center"/>
    </xf>
    <xf numFmtId="9" fontId="20" fillId="14" borderId="7" xfId="1" applyFont="1" applyFill="1" applyBorder="1" applyAlignment="1">
      <alignment vertical="center"/>
    </xf>
    <xf numFmtId="44" fontId="20" fillId="14" borderId="7" xfId="8" applyFont="1" applyFill="1" applyBorder="1" applyAlignment="1">
      <alignment vertical="center"/>
    </xf>
    <xf numFmtId="44" fontId="20" fillId="15" borderId="7" xfId="8" applyFont="1" applyFill="1" applyBorder="1" applyAlignment="1">
      <alignment vertical="center"/>
    </xf>
    <xf numFmtId="44" fontId="20" fillId="0" borderId="67" xfId="8" applyFont="1" applyBorder="1" applyAlignment="1">
      <alignment vertical="center"/>
    </xf>
    <xf numFmtId="10" fontId="20" fillId="15" borderId="10" xfId="0" applyNumberFormat="1" applyFont="1" applyFill="1" applyBorder="1" applyAlignment="1">
      <alignment horizontal="center" vertical="center"/>
    </xf>
    <xf numFmtId="44" fontId="20" fillId="14" borderId="67" xfId="8" applyFont="1" applyFill="1" applyBorder="1" applyAlignment="1">
      <alignment vertical="center"/>
    </xf>
    <xf numFmtId="0" fontId="21" fillId="12" borderId="55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44" fontId="22" fillId="10" borderId="0" xfId="0" applyNumberFormat="1" applyFont="1" applyFill="1" applyAlignment="1">
      <alignment horizontal="right"/>
    </xf>
    <xf numFmtId="44" fontId="13" fillId="15" borderId="0" xfId="0" applyNumberFormat="1" applyFont="1" applyFill="1"/>
    <xf numFmtId="44" fontId="13" fillId="14" borderId="0" xfId="0" applyNumberFormat="1" applyFont="1" applyFill="1"/>
    <xf numFmtId="0" fontId="20" fillId="0" borderId="62" xfId="0" applyFont="1" applyBorder="1" applyAlignment="1">
      <alignment horizontal="center" vertical="center"/>
    </xf>
    <xf numFmtId="1" fontId="20" fillId="13" borderId="66" xfId="0" applyNumberFormat="1" applyFont="1" applyFill="1" applyBorder="1" applyAlignment="1">
      <alignment horizontal="center" vertical="center"/>
    </xf>
    <xf numFmtId="1" fontId="20" fillId="13" borderId="7" xfId="0" applyNumberFormat="1" applyFont="1" applyFill="1" applyBorder="1" applyAlignment="1">
      <alignment horizontal="center" vertical="center"/>
    </xf>
    <xf numFmtId="44" fontId="20" fillId="0" borderId="62" xfId="8" applyFont="1" applyFill="1" applyBorder="1" applyAlignment="1">
      <alignment vertical="center"/>
    </xf>
    <xf numFmtId="0" fontId="20" fillId="11" borderId="62" xfId="0" applyFont="1" applyFill="1" applyBorder="1" applyAlignment="1">
      <alignment horizontal="center" vertical="center"/>
    </xf>
    <xf numFmtId="0" fontId="21" fillId="12" borderId="70" xfId="0" applyFont="1" applyFill="1" applyBorder="1" applyAlignment="1">
      <alignment horizontal="center" vertical="center"/>
    </xf>
    <xf numFmtId="171" fontId="21" fillId="6" borderId="53" xfId="1" applyNumberFormat="1" applyFont="1" applyFill="1" applyBorder="1" applyAlignment="1">
      <alignment horizontal="center" vertical="center" wrapText="1"/>
    </xf>
    <xf numFmtId="0" fontId="20" fillId="0" borderId="65" xfId="0" applyFont="1" applyBorder="1" applyAlignment="1">
      <alignment horizontal="left" vertical="center" wrapText="1"/>
    </xf>
    <xf numFmtId="164" fontId="13" fillId="0" borderId="31" xfId="2" applyNumberFormat="1" applyFont="1" applyBorder="1" applyAlignment="1" applyProtection="1">
      <alignment horizontal="left" vertical="center"/>
      <protection locked="0"/>
    </xf>
    <xf numFmtId="170" fontId="22" fillId="10" borderId="0" xfId="0" applyNumberFormat="1" applyFont="1" applyFill="1" applyAlignment="1">
      <alignment horizontal="right"/>
    </xf>
    <xf numFmtId="170" fontId="22" fillId="10" borderId="18" xfId="0" applyNumberFormat="1" applyFont="1" applyFill="1" applyBorder="1" applyAlignment="1">
      <alignment horizontal="right"/>
    </xf>
    <xf numFmtId="44" fontId="13" fillId="14" borderId="0" xfId="8" applyFont="1" applyFill="1" applyBorder="1"/>
    <xf numFmtId="164" fontId="24" fillId="0" borderId="20" xfId="2" applyNumberFormat="1" applyFont="1" applyBorder="1" applyAlignment="1" applyProtection="1">
      <alignment horizontal="left" vertical="center"/>
      <protection locked="0"/>
    </xf>
    <xf numFmtId="164" fontId="24" fillId="0" borderId="22" xfId="2" applyNumberFormat="1" applyFont="1" applyBorder="1" applyAlignment="1" applyProtection="1">
      <alignment horizontal="left" vertical="center"/>
      <protection locked="0"/>
    </xf>
    <xf numFmtId="164" fontId="24" fillId="0" borderId="31" xfId="2" applyNumberFormat="1" applyFont="1" applyBorder="1" applyAlignment="1" applyProtection="1">
      <alignment horizontal="left" vertical="center"/>
      <protection locked="0"/>
    </xf>
    <xf numFmtId="164" fontId="24" fillId="0" borderId="32" xfId="2" applyNumberFormat="1" applyFont="1" applyBorder="1" applyAlignment="1" applyProtection="1">
      <alignment horizontal="left" vertical="center"/>
      <protection locked="0"/>
    </xf>
    <xf numFmtId="0" fontId="24" fillId="0" borderId="25" xfId="2" applyFont="1" applyBorder="1" applyAlignment="1" applyProtection="1">
      <alignment horizontal="left" vertical="center"/>
      <protection locked="0"/>
    </xf>
    <xf numFmtId="164" fontId="25" fillId="0" borderId="31" xfId="2" applyNumberFormat="1" applyFont="1" applyBorder="1" applyAlignment="1" applyProtection="1">
      <alignment horizontal="left" vertical="center"/>
      <protection locked="0"/>
    </xf>
    <xf numFmtId="14" fontId="24" fillId="0" borderId="32" xfId="2" applyNumberFormat="1" applyFont="1" applyBorder="1" applyAlignment="1" applyProtection="1">
      <alignment horizontal="left" vertical="center"/>
      <protection locked="0"/>
    </xf>
    <xf numFmtId="164" fontId="24" fillId="0" borderId="39" xfId="2" applyNumberFormat="1" applyFont="1" applyBorder="1" applyAlignment="1" applyProtection="1">
      <alignment horizontal="left" vertical="center"/>
      <protection locked="0"/>
    </xf>
    <xf numFmtId="0" fontId="24" fillId="0" borderId="29" xfId="2" applyFont="1" applyBorder="1" applyAlignment="1" applyProtection="1">
      <alignment horizontal="left" vertical="center"/>
      <protection locked="0"/>
    </xf>
    <xf numFmtId="0" fontId="27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14" fontId="5" fillId="0" borderId="32" xfId="2" applyNumberFormat="1" applyFont="1" applyBorder="1" applyAlignment="1" applyProtection="1">
      <alignment horizontal="left" vertical="center"/>
      <protection locked="0"/>
    </xf>
    <xf numFmtId="0" fontId="27" fillId="0" borderId="0" xfId="1" applyNumberFormat="1" applyFont="1"/>
    <xf numFmtId="165" fontId="29" fillId="6" borderId="38" xfId="4" applyFont="1" applyFill="1" applyBorder="1" applyAlignment="1">
      <alignment horizontal="center" vertical="center" wrapText="1"/>
    </xf>
    <xf numFmtId="168" fontId="30" fillId="0" borderId="5" xfId="1" applyNumberFormat="1" applyFont="1" applyBorder="1"/>
    <xf numFmtId="166" fontId="29" fillId="0" borderId="40" xfId="4" applyNumberFormat="1" applyFont="1" applyBorder="1" applyAlignment="1">
      <alignment horizontal="center" vertical="center" wrapText="1"/>
    </xf>
    <xf numFmtId="0" fontId="13" fillId="5" borderId="0" xfId="0" applyFont="1" applyFill="1"/>
    <xf numFmtId="49" fontId="13" fillId="5" borderId="0" xfId="0" applyNumberFormat="1" applyFont="1" applyFill="1"/>
    <xf numFmtId="0" fontId="31" fillId="0" borderId="0" xfId="0" applyFont="1"/>
    <xf numFmtId="0" fontId="32" fillId="0" borderId="48" xfId="0" applyFont="1" applyBorder="1" applyAlignment="1">
      <alignment horizontal="left" vertical="center"/>
    </xf>
    <xf numFmtId="0" fontId="32" fillId="0" borderId="50" xfId="0" applyFont="1" applyBorder="1" applyAlignment="1">
      <alignment horizontal="left" vertical="center"/>
    </xf>
    <xf numFmtId="0" fontId="32" fillId="0" borderId="48" xfId="0" applyFont="1" applyBorder="1" applyAlignment="1">
      <alignment horizontal="left" vertical="center" wrapText="1"/>
    </xf>
    <xf numFmtId="0" fontId="5" fillId="6" borderId="53" xfId="3" applyFont="1" applyFill="1" applyBorder="1" applyAlignment="1">
      <alignment horizontal="left" vertical="center"/>
    </xf>
    <xf numFmtId="0" fontId="5" fillId="6" borderId="54" xfId="3" applyFont="1" applyFill="1" applyBorder="1" applyAlignment="1">
      <alignment horizontal="center" vertical="center"/>
    </xf>
    <xf numFmtId="0" fontId="13" fillId="6" borderId="54" xfId="3" applyFont="1" applyFill="1" applyBorder="1" applyAlignment="1">
      <alignment horizontal="center" vertical="center"/>
    </xf>
    <xf numFmtId="169" fontId="13" fillId="6" borderId="54" xfId="3" applyNumberFormat="1" applyFont="1" applyFill="1" applyBorder="1" applyAlignment="1">
      <alignment horizontal="center" vertical="center" wrapText="1"/>
    </xf>
    <xf numFmtId="0" fontId="13" fillId="6" borderId="55" xfId="3" applyFont="1" applyFill="1" applyBorder="1" applyAlignment="1">
      <alignment horizontal="center" vertical="center" wrapText="1"/>
    </xf>
    <xf numFmtId="171" fontId="13" fillId="6" borderId="53" xfId="1" applyNumberFormat="1" applyFont="1" applyFill="1" applyBorder="1" applyAlignment="1">
      <alignment horizontal="center" vertical="center" wrapText="1"/>
    </xf>
    <xf numFmtId="10" fontId="13" fillId="6" borderId="54" xfId="1" applyNumberFormat="1" applyFont="1" applyFill="1" applyBorder="1" applyAlignment="1">
      <alignment horizontal="center" vertical="center" wrapText="1"/>
    </xf>
    <xf numFmtId="0" fontId="13" fillId="6" borderId="56" xfId="3" applyFont="1" applyFill="1" applyBorder="1" applyAlignment="1">
      <alignment horizontal="center" vertical="center" wrapText="1"/>
    </xf>
    <xf numFmtId="37" fontId="29" fillId="6" borderId="53" xfId="3" applyNumberFormat="1" applyFont="1" applyFill="1" applyBorder="1" applyAlignment="1">
      <alignment horizontal="center" vertical="center"/>
    </xf>
    <xf numFmtId="37" fontId="29" fillId="6" borderId="54" xfId="3" applyNumberFormat="1" applyFont="1" applyFill="1" applyBorder="1" applyAlignment="1">
      <alignment horizontal="center" vertical="center"/>
    </xf>
    <xf numFmtId="40" fontId="29" fillId="6" borderId="54" xfId="4" applyNumberFormat="1" applyFont="1" applyFill="1" applyBorder="1" applyAlignment="1">
      <alignment horizontal="center" vertical="center"/>
    </xf>
    <xf numFmtId="165" fontId="29" fillId="6" borderId="54" xfId="4" applyFont="1" applyFill="1" applyBorder="1" applyAlignment="1">
      <alignment horizontal="right" vertical="center"/>
    </xf>
    <xf numFmtId="40" fontId="29" fillId="6" borderId="54" xfId="4" applyNumberFormat="1" applyFont="1" applyFill="1" applyBorder="1" applyAlignment="1">
      <alignment horizontal="center" vertical="center" wrapText="1"/>
    </xf>
    <xf numFmtId="10" fontId="29" fillId="6" borderId="54" xfId="5" applyNumberFormat="1" applyFont="1" applyFill="1" applyBorder="1" applyAlignment="1">
      <alignment horizontal="center" vertical="center" wrapText="1"/>
    </xf>
    <xf numFmtId="165" fontId="29" fillId="6" borderId="54" xfId="4" applyFont="1" applyFill="1" applyBorder="1" applyAlignment="1">
      <alignment horizontal="center" vertical="center" wrapText="1"/>
    </xf>
    <xf numFmtId="165" fontId="29" fillId="6" borderId="56" xfId="4" applyFont="1" applyFill="1" applyBorder="1" applyAlignment="1">
      <alignment horizontal="center" vertical="center" wrapText="1"/>
    </xf>
    <xf numFmtId="10" fontId="29" fillId="6" borderId="63" xfId="5" applyNumberFormat="1" applyFont="1" applyFill="1" applyBorder="1" applyAlignment="1">
      <alignment horizontal="center" vertical="center" wrapText="1"/>
    </xf>
    <xf numFmtId="165" fontId="29" fillId="6" borderId="51" xfId="4" applyFont="1" applyFill="1" applyBorder="1" applyAlignment="1">
      <alignment horizontal="center" vertical="center" wrapText="1"/>
    </xf>
    <xf numFmtId="37" fontId="29" fillId="6" borderId="3" xfId="3" applyNumberFormat="1" applyFont="1" applyFill="1" applyBorder="1" applyAlignment="1">
      <alignment horizontal="center" vertical="center"/>
    </xf>
    <xf numFmtId="40" fontId="29" fillId="6" borderId="52" xfId="4" applyNumberFormat="1" applyFont="1" applyFill="1" applyBorder="1" applyAlignment="1">
      <alignment horizontal="center" vertical="center"/>
    </xf>
    <xf numFmtId="0" fontId="32" fillId="0" borderId="58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32" fillId="0" borderId="50" xfId="0" applyFont="1" applyBorder="1" applyAlignment="1">
      <alignment horizontal="left" vertical="center" wrapText="1"/>
    </xf>
    <xf numFmtId="0" fontId="30" fillId="12" borderId="10" xfId="0" applyFont="1" applyFill="1" applyBorder="1" applyAlignment="1">
      <alignment horizontal="center" vertical="center"/>
    </xf>
    <xf numFmtId="0" fontId="32" fillId="0" borderId="65" xfId="0" applyFont="1" applyBorder="1" applyAlignment="1">
      <alignment horizontal="left" vertical="center" wrapText="1"/>
    </xf>
    <xf numFmtId="0" fontId="32" fillId="0" borderId="62" xfId="0" applyFont="1" applyBorder="1" applyAlignment="1">
      <alignment horizontal="left" vertical="center" wrapText="1"/>
    </xf>
    <xf numFmtId="0" fontId="32" fillId="0" borderId="62" xfId="0" applyFont="1" applyBorder="1" applyAlignment="1">
      <alignment horizontal="center" vertical="center"/>
    </xf>
    <xf numFmtId="44" fontId="32" fillId="0" borderId="62" xfId="8" applyFont="1" applyBorder="1" applyAlignment="1">
      <alignment vertical="center"/>
    </xf>
    <xf numFmtId="44" fontId="32" fillId="0" borderId="67" xfId="8" applyFont="1" applyBorder="1" applyAlignment="1">
      <alignment vertical="center"/>
    </xf>
    <xf numFmtId="1" fontId="32" fillId="13" borderId="66" xfId="0" applyNumberFormat="1" applyFont="1" applyFill="1" applyBorder="1" applyAlignment="1">
      <alignment horizontal="center" vertical="center"/>
    </xf>
    <xf numFmtId="1" fontId="32" fillId="13" borderId="7" xfId="0" applyNumberFormat="1" applyFont="1" applyFill="1" applyBorder="1" applyAlignment="1">
      <alignment horizontal="center" vertical="center"/>
    </xf>
    <xf numFmtId="44" fontId="32" fillId="13" borderId="7" xfId="8" applyFont="1" applyFill="1" applyBorder="1" applyAlignment="1">
      <alignment vertical="center"/>
    </xf>
    <xf numFmtId="44" fontId="32" fillId="15" borderId="7" xfId="8" applyFont="1" applyFill="1" applyBorder="1" applyAlignment="1">
      <alignment vertical="center"/>
    </xf>
    <xf numFmtId="9" fontId="32" fillId="14" borderId="7" xfId="1" applyFont="1" applyFill="1" applyBorder="1" applyAlignment="1">
      <alignment vertical="center"/>
    </xf>
    <xf numFmtId="44" fontId="32" fillId="14" borderId="7" xfId="8" applyFont="1" applyFill="1" applyBorder="1" applyAlignment="1">
      <alignment vertical="center"/>
    </xf>
    <xf numFmtId="44" fontId="32" fillId="14" borderId="67" xfId="8" applyFont="1" applyFill="1" applyBorder="1" applyAlignment="1">
      <alignment vertical="center"/>
    </xf>
    <xf numFmtId="10" fontId="32" fillId="15" borderId="10" xfId="0" applyNumberFormat="1" applyFont="1" applyFill="1" applyBorder="1" applyAlignment="1">
      <alignment horizontal="center" vertical="center"/>
    </xf>
    <xf numFmtId="0" fontId="27" fillId="14" borderId="0" xfId="0" applyFont="1" applyFill="1"/>
    <xf numFmtId="0" fontId="32" fillId="0" borderId="59" xfId="0" applyFont="1" applyBorder="1" applyAlignment="1">
      <alignment horizontal="left" vertical="center" wrapText="1"/>
    </xf>
    <xf numFmtId="0" fontId="32" fillId="0" borderId="61" xfId="0" applyFont="1" applyBorder="1" applyAlignment="1">
      <alignment horizontal="left" vertical="center" wrapText="1"/>
    </xf>
    <xf numFmtId="0" fontId="22" fillId="17" borderId="6" xfId="0" applyFont="1" applyFill="1" applyBorder="1"/>
    <xf numFmtId="0" fontId="22" fillId="17" borderId="37" xfId="0" applyFont="1" applyFill="1" applyBorder="1"/>
    <xf numFmtId="0" fontId="22" fillId="17" borderId="37" xfId="0" applyFont="1" applyFill="1" applyBorder="1" applyAlignment="1">
      <alignment horizontal="center" vertical="center"/>
    </xf>
    <xf numFmtId="44" fontId="22" fillId="17" borderId="37" xfId="0" applyNumberFormat="1" applyFont="1" applyFill="1" applyBorder="1"/>
    <xf numFmtId="44" fontId="22" fillId="17" borderId="74" xfId="0" applyNumberFormat="1" applyFont="1" applyFill="1" applyBorder="1"/>
    <xf numFmtId="0" fontId="22" fillId="17" borderId="6" xfId="0" applyFont="1" applyFill="1" applyBorder="1" applyAlignment="1">
      <alignment horizontal="center" vertical="center"/>
    </xf>
    <xf numFmtId="9" fontId="22" fillId="17" borderId="14" xfId="1" applyFont="1" applyFill="1" applyBorder="1"/>
    <xf numFmtId="0" fontId="34" fillId="0" borderId="0" xfId="0" applyFont="1"/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/>
    </xf>
    <xf numFmtId="164" fontId="4" fillId="0" borderId="0" xfId="2" applyNumberFormat="1" applyFont="1" applyAlignment="1">
      <alignment horizontal="left" vertical="center"/>
    </xf>
    <xf numFmtId="0" fontId="34" fillId="0" borderId="0" xfId="1" applyNumberFormat="1" applyFont="1"/>
    <xf numFmtId="168" fontId="36" fillId="0" borderId="5" xfId="1" applyNumberFormat="1" applyFont="1" applyBorder="1"/>
    <xf numFmtId="0" fontId="21" fillId="5" borderId="0" xfId="0" applyFont="1" applyFill="1"/>
    <xf numFmtId="49" fontId="21" fillId="5" borderId="0" xfId="0" applyNumberFormat="1" applyFont="1" applyFill="1"/>
    <xf numFmtId="0" fontId="37" fillId="0" borderId="0" xfId="0" applyFont="1"/>
    <xf numFmtId="0" fontId="20" fillId="0" borderId="48" xfId="0" applyFont="1" applyBorder="1" applyAlignment="1">
      <alignment horizontal="left" vertical="center"/>
    </xf>
    <xf numFmtId="0" fontId="20" fillId="0" borderId="5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 wrapText="1"/>
    </xf>
    <xf numFmtId="0" fontId="20" fillId="0" borderId="58" xfId="0" applyFont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0" fillId="0" borderId="50" xfId="0" applyFont="1" applyBorder="1" applyAlignment="1">
      <alignment horizontal="left" vertical="center" wrapText="1"/>
    </xf>
    <xf numFmtId="0" fontId="36" fillId="12" borderId="10" xfId="0" applyFont="1" applyFill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0" fontId="34" fillId="0" borderId="58" xfId="0" applyFont="1" applyBorder="1" applyAlignment="1">
      <alignment horizontal="left" vertical="center" wrapText="1"/>
    </xf>
    <xf numFmtId="0" fontId="34" fillId="0" borderId="73" xfId="0" applyFont="1" applyBorder="1"/>
    <xf numFmtId="170" fontId="38" fillId="10" borderId="0" xfId="0" applyNumberFormat="1" applyFont="1" applyFill="1" applyAlignment="1">
      <alignment horizontal="right"/>
    </xf>
    <xf numFmtId="170" fontId="38" fillId="10" borderId="18" xfId="0" applyNumberFormat="1" applyFont="1" applyFill="1" applyBorder="1" applyAlignment="1">
      <alignment horizontal="right"/>
    </xf>
    <xf numFmtId="44" fontId="38" fillId="10" borderId="0" xfId="0" applyNumberFormat="1" applyFont="1" applyFill="1" applyAlignment="1">
      <alignment horizontal="right"/>
    </xf>
    <xf numFmtId="44" fontId="21" fillId="15" borderId="0" xfId="0" applyNumberFormat="1" applyFont="1" applyFill="1"/>
    <xf numFmtId="0" fontId="34" fillId="14" borderId="0" xfId="0" applyFont="1" applyFill="1"/>
    <xf numFmtId="44" fontId="21" fillId="14" borderId="0" xfId="0" applyNumberFormat="1" applyFont="1" applyFill="1"/>
    <xf numFmtId="44" fontId="21" fillId="14" borderId="18" xfId="8" applyFont="1" applyFill="1" applyBorder="1"/>
    <xf numFmtId="44" fontId="38" fillId="17" borderId="0" xfId="8" applyFont="1" applyFill="1" applyBorder="1" applyAlignment="1">
      <alignment horizontal="center"/>
    </xf>
    <xf numFmtId="0" fontId="20" fillId="0" borderId="59" xfId="0" applyFont="1" applyBorder="1" applyAlignment="1">
      <alignment horizontal="left" vertical="center" wrapText="1"/>
    </xf>
    <xf numFmtId="0" fontId="20" fillId="0" borderId="61" xfId="0" applyFont="1" applyBorder="1" applyAlignment="1">
      <alignment horizontal="left" vertical="center" wrapText="1"/>
    </xf>
    <xf numFmtId="0" fontId="38" fillId="17" borderId="6" xfId="0" applyFont="1" applyFill="1" applyBorder="1"/>
    <xf numFmtId="0" fontId="38" fillId="17" borderId="37" xfId="0" applyFont="1" applyFill="1" applyBorder="1"/>
    <xf numFmtId="0" fontId="38" fillId="17" borderId="37" xfId="0" applyFont="1" applyFill="1" applyBorder="1" applyAlignment="1">
      <alignment horizontal="center" vertical="center"/>
    </xf>
    <xf numFmtId="44" fontId="38" fillId="17" borderId="37" xfId="0" applyNumberFormat="1" applyFont="1" applyFill="1" applyBorder="1"/>
    <xf numFmtId="44" fontId="38" fillId="17" borderId="74" xfId="0" applyNumberFormat="1" applyFont="1" applyFill="1" applyBorder="1"/>
    <xf numFmtId="0" fontId="38" fillId="17" borderId="6" xfId="0" applyFont="1" applyFill="1" applyBorder="1" applyAlignment="1">
      <alignment horizontal="center" vertical="center"/>
    </xf>
    <xf numFmtId="9" fontId="38" fillId="17" borderId="14" xfId="1" applyFont="1" applyFill="1" applyBorder="1"/>
    <xf numFmtId="0" fontId="36" fillId="0" borderId="0" xfId="0" applyFont="1" applyAlignment="1">
      <alignment horizontal="center"/>
    </xf>
    <xf numFmtId="0" fontId="36" fillId="0" borderId="0" xfId="0" applyFont="1"/>
    <xf numFmtId="49" fontId="36" fillId="0" borderId="0" xfId="0" applyNumberFormat="1" applyFont="1"/>
    <xf numFmtId="49" fontId="21" fillId="0" borderId="49" xfId="0" applyNumberFormat="1" applyFont="1" applyBorder="1" applyAlignment="1">
      <alignment horizontal="left" vertical="center"/>
    </xf>
    <xf numFmtId="49" fontId="21" fillId="0" borderId="49" xfId="0" applyNumberFormat="1" applyFont="1" applyBorder="1" applyAlignment="1">
      <alignment horizontal="left" vertical="center" wrapText="1"/>
    </xf>
    <xf numFmtId="49" fontId="21" fillId="0" borderId="60" xfId="0" applyNumberFormat="1" applyFont="1" applyBorder="1" applyAlignment="1">
      <alignment horizontal="left" vertical="center" wrapText="1"/>
    </xf>
    <xf numFmtId="10" fontId="7" fillId="6" borderId="55" xfId="5" applyNumberFormat="1" applyFont="1" applyFill="1" applyBorder="1" applyAlignment="1">
      <alignment horizontal="center" vertical="center" wrapText="1"/>
    </xf>
    <xf numFmtId="0" fontId="36" fillId="12" borderId="7" xfId="0" applyFont="1" applyFill="1" applyBorder="1" applyAlignment="1">
      <alignment horizontal="center" vertical="center"/>
    </xf>
    <xf numFmtId="10" fontId="20" fillId="15" borderId="80" xfId="0" applyNumberFormat="1" applyFont="1" applyFill="1" applyBorder="1" applyAlignment="1">
      <alignment horizontal="center" vertical="center"/>
    </xf>
    <xf numFmtId="44" fontId="38" fillId="17" borderId="15" xfId="8" applyFont="1" applyFill="1" applyBorder="1"/>
    <xf numFmtId="165" fontId="7" fillId="6" borderId="81" xfId="4" applyFont="1" applyFill="1" applyBorder="1" applyAlignment="1">
      <alignment horizontal="center" vertical="center" wrapText="1"/>
    </xf>
    <xf numFmtId="0" fontId="40" fillId="11" borderId="62" xfId="0" applyFont="1" applyFill="1" applyBorder="1"/>
    <xf numFmtId="166" fontId="41" fillId="11" borderId="62" xfId="4" applyNumberFormat="1" applyFont="1" applyFill="1" applyBorder="1" applyAlignment="1">
      <alignment horizontal="center" vertical="center" wrapText="1"/>
    </xf>
    <xf numFmtId="166" fontId="42" fillId="11" borderId="62" xfId="4" applyNumberFormat="1" applyFont="1" applyFill="1" applyBorder="1" applyAlignment="1">
      <alignment horizontal="center" vertical="center" wrapText="1"/>
    </xf>
    <xf numFmtId="10" fontId="43" fillId="11" borderId="62" xfId="0" applyNumberFormat="1" applyFont="1" applyFill="1" applyBorder="1" applyAlignment="1">
      <alignment horizontal="center" vertical="center"/>
    </xf>
    <xf numFmtId="44" fontId="44" fillId="11" borderId="62" xfId="8" applyFont="1" applyFill="1" applyBorder="1" applyAlignment="1">
      <alignment horizontal="center"/>
    </xf>
    <xf numFmtId="44" fontId="44" fillId="11" borderId="62" xfId="8" applyFont="1" applyFill="1" applyBorder="1"/>
    <xf numFmtId="0" fontId="45" fillId="0" borderId="62" xfId="0" applyFont="1" applyBorder="1" applyAlignment="1">
      <alignment horizontal="center"/>
    </xf>
    <xf numFmtId="0" fontId="46" fillId="0" borderId="62" xfId="0" applyFont="1" applyBorder="1" applyAlignment="1">
      <alignment horizontal="center"/>
    </xf>
    <xf numFmtId="44" fontId="26" fillId="0" borderId="62" xfId="8" applyFont="1" applyBorder="1"/>
    <xf numFmtId="0" fontId="13" fillId="12" borderId="72" xfId="0" applyFont="1" applyFill="1" applyBorder="1" applyAlignment="1">
      <alignment horizontal="center" vertical="center"/>
    </xf>
    <xf numFmtId="0" fontId="13" fillId="12" borderId="78" xfId="0" applyFont="1" applyFill="1" applyBorder="1" applyAlignment="1">
      <alignment horizontal="center" vertical="center"/>
    </xf>
    <xf numFmtId="0" fontId="13" fillId="12" borderId="79" xfId="0" applyFont="1" applyFill="1" applyBorder="1" applyAlignment="1">
      <alignment horizontal="center" vertical="center"/>
    </xf>
    <xf numFmtId="0" fontId="32" fillId="0" borderId="71" xfId="0" applyFont="1" applyBorder="1" applyAlignment="1">
      <alignment horizontal="left" vertical="center" wrapText="1"/>
    </xf>
    <xf numFmtId="0" fontId="32" fillId="0" borderId="64" xfId="0" applyFont="1" applyBorder="1" applyAlignment="1">
      <alignment horizontal="left" vertical="center" wrapText="1"/>
    </xf>
    <xf numFmtId="0" fontId="32" fillId="0" borderId="64" xfId="0" applyFont="1" applyBorder="1" applyAlignment="1">
      <alignment horizontal="center" vertical="center"/>
    </xf>
    <xf numFmtId="44" fontId="32" fillId="0" borderId="64" xfId="8" applyFont="1" applyBorder="1" applyAlignment="1">
      <alignment vertical="center"/>
    </xf>
    <xf numFmtId="44" fontId="32" fillId="0" borderId="68" xfId="8" applyFont="1" applyBorder="1" applyAlignment="1">
      <alignment vertical="center"/>
    </xf>
    <xf numFmtId="1" fontId="32" fillId="13" borderId="17" xfId="0" applyNumberFormat="1" applyFont="1" applyFill="1" applyBorder="1" applyAlignment="1">
      <alignment horizontal="center" vertical="center"/>
    </xf>
    <xf numFmtId="1" fontId="32" fillId="13" borderId="57" xfId="0" applyNumberFormat="1" applyFont="1" applyFill="1" applyBorder="1" applyAlignment="1">
      <alignment horizontal="center" vertical="center"/>
    </xf>
    <xf numFmtId="44" fontId="32" fillId="13" borderId="57" xfId="8" applyFont="1" applyFill="1" applyBorder="1" applyAlignment="1">
      <alignment vertical="center"/>
    </xf>
    <xf numFmtId="44" fontId="32" fillId="15" borderId="57" xfId="8" applyFont="1" applyFill="1" applyBorder="1" applyAlignment="1">
      <alignment vertical="center"/>
    </xf>
    <xf numFmtId="9" fontId="32" fillId="14" borderId="57" xfId="1" applyFont="1" applyFill="1" applyBorder="1" applyAlignment="1">
      <alignment vertical="center"/>
    </xf>
    <xf numFmtId="44" fontId="32" fillId="14" borderId="57" xfId="8" applyFont="1" applyFill="1" applyBorder="1" applyAlignment="1">
      <alignment vertical="center"/>
    </xf>
    <xf numFmtId="44" fontId="32" fillId="14" borderId="68" xfId="8" applyFont="1" applyFill="1" applyBorder="1" applyAlignment="1">
      <alignment vertical="center"/>
    </xf>
    <xf numFmtId="0" fontId="32" fillId="11" borderId="62" xfId="0" applyFont="1" applyFill="1" applyBorder="1" applyAlignment="1">
      <alignment horizontal="left" vertical="center" wrapText="1"/>
    </xf>
    <xf numFmtId="44" fontId="33" fillId="13" borderId="7" xfId="8" applyFont="1" applyFill="1" applyBorder="1" applyAlignment="1">
      <alignment vertical="center"/>
    </xf>
    <xf numFmtId="44" fontId="32" fillId="11" borderId="62" xfId="8" applyFont="1" applyFill="1" applyBorder="1" applyAlignment="1">
      <alignment vertical="center"/>
    </xf>
    <xf numFmtId="44" fontId="22" fillId="17" borderId="11" xfId="8" applyFont="1" applyFill="1" applyBorder="1" applyAlignment="1">
      <alignment horizontal="center"/>
    </xf>
    <xf numFmtId="44" fontId="27" fillId="0" borderId="0" xfId="0" applyNumberFormat="1" applyFont="1"/>
    <xf numFmtId="0" fontId="30" fillId="0" borderId="0" xfId="0" applyFont="1" applyAlignment="1">
      <alignment horizontal="center"/>
    </xf>
    <xf numFmtId="0" fontId="30" fillId="0" borderId="0" xfId="0" applyFont="1"/>
    <xf numFmtId="49" fontId="30" fillId="0" borderId="0" xfId="0" applyNumberFormat="1" applyFont="1"/>
    <xf numFmtId="49" fontId="13" fillId="0" borderId="49" xfId="0" applyNumberFormat="1" applyFont="1" applyBorder="1" applyAlignment="1">
      <alignment horizontal="left" vertical="center"/>
    </xf>
    <xf numFmtId="49" fontId="13" fillId="0" borderId="49" xfId="0" applyNumberFormat="1" applyFont="1" applyBorder="1" applyAlignment="1">
      <alignment horizontal="left" vertical="center" wrapText="1"/>
    </xf>
    <xf numFmtId="49" fontId="13" fillId="0" borderId="60" xfId="0" applyNumberFormat="1" applyFont="1" applyBorder="1" applyAlignment="1">
      <alignment horizontal="left" vertical="center" wrapText="1"/>
    </xf>
    <xf numFmtId="10" fontId="29" fillId="6" borderId="55" xfId="5" applyNumberFormat="1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/>
    </xf>
    <xf numFmtId="10" fontId="32" fillId="15" borderId="80" xfId="0" applyNumberFormat="1" applyFont="1" applyFill="1" applyBorder="1" applyAlignment="1">
      <alignment horizontal="center" vertical="center"/>
    </xf>
    <xf numFmtId="44" fontId="22" fillId="17" borderId="12" xfId="8" applyFont="1" applyFill="1" applyBorder="1" applyAlignment="1">
      <alignment horizontal="center"/>
    </xf>
    <xf numFmtId="44" fontId="22" fillId="17" borderId="15" xfId="8" applyFont="1" applyFill="1" applyBorder="1"/>
    <xf numFmtId="165" fontId="29" fillId="6" borderId="81" xfId="4" applyFont="1" applyFill="1" applyBorder="1" applyAlignment="1">
      <alignment horizontal="center" vertical="center" wrapText="1"/>
    </xf>
    <xf numFmtId="0" fontId="48" fillId="0" borderId="62" xfId="0" applyFont="1" applyBorder="1" applyAlignment="1">
      <alignment horizontal="center"/>
    </xf>
    <xf numFmtId="0" fontId="49" fillId="0" borderId="62" xfId="0" applyFont="1" applyBorder="1" applyAlignment="1">
      <alignment horizontal="center"/>
    </xf>
    <xf numFmtId="44" fontId="41" fillId="11" borderId="62" xfId="0" applyNumberFormat="1" applyFont="1" applyFill="1" applyBorder="1" applyAlignment="1">
      <alignment horizontal="center" vertical="center"/>
    </xf>
    <xf numFmtId="44" fontId="50" fillId="11" borderId="62" xfId="8" applyFont="1" applyFill="1" applyBorder="1"/>
    <xf numFmtId="44" fontId="49" fillId="0" borderId="62" xfId="8" applyFont="1" applyBorder="1"/>
    <xf numFmtId="9" fontId="49" fillId="0" borderId="62" xfId="1" applyFont="1" applyBorder="1" applyAlignment="1">
      <alignment horizontal="center"/>
    </xf>
    <xf numFmtId="44" fontId="48" fillId="0" borderId="62" xfId="8" applyFont="1" applyBorder="1"/>
    <xf numFmtId="44" fontId="51" fillId="0" borderId="62" xfId="8" applyFont="1" applyBorder="1"/>
    <xf numFmtId="0" fontId="51" fillId="0" borderId="62" xfId="0" applyFont="1" applyBorder="1" applyAlignment="1">
      <alignment horizontal="center"/>
    </xf>
    <xf numFmtId="0" fontId="52" fillId="0" borderId="0" xfId="0" applyFont="1"/>
    <xf numFmtId="0" fontId="52" fillId="0" borderId="0" xfId="0" applyFont="1" applyAlignment="1">
      <alignment horizontal="center"/>
    </xf>
    <xf numFmtId="16" fontId="52" fillId="18" borderId="11" xfId="0" applyNumberFormat="1" applyFont="1" applyFill="1" applyBorder="1"/>
    <xf numFmtId="16" fontId="52" fillId="18" borderId="12" xfId="0" applyNumberFormat="1" applyFont="1" applyFill="1" applyBorder="1"/>
    <xf numFmtId="16" fontId="52" fillId="19" borderId="14" xfId="0" applyNumberFormat="1" applyFont="1" applyFill="1" applyBorder="1"/>
    <xf numFmtId="16" fontId="52" fillId="19" borderId="15" xfId="0" applyNumberFormat="1" applyFont="1" applyFill="1" applyBorder="1"/>
    <xf numFmtId="0" fontId="52" fillId="20" borderId="17" xfId="0" applyFont="1" applyFill="1" applyBorder="1" applyAlignment="1">
      <alignment horizontal="right"/>
    </xf>
    <xf numFmtId="0" fontId="52" fillId="20" borderId="0" xfId="0" applyFont="1" applyFill="1" applyAlignment="1">
      <alignment horizontal="right"/>
    </xf>
    <xf numFmtId="0" fontId="53" fillId="21" borderId="14" xfId="0" applyFont="1" applyFill="1" applyBorder="1"/>
    <xf numFmtId="0" fontId="53" fillId="21" borderId="15" xfId="0" applyFont="1" applyFill="1" applyBorder="1"/>
    <xf numFmtId="164" fontId="54" fillId="0" borderId="0" xfId="2" applyNumberFormat="1" applyFont="1" applyAlignment="1" applyProtection="1">
      <alignment horizontal="left" vertical="center"/>
      <protection locked="0"/>
    </xf>
    <xf numFmtId="0" fontId="54" fillId="0" borderId="0" xfId="2" applyFont="1" applyAlignment="1" applyProtection="1">
      <alignment horizontal="left" vertical="center"/>
      <protection locked="0"/>
    </xf>
    <xf numFmtId="14" fontId="54" fillId="0" borderId="0" xfId="2" applyNumberFormat="1" applyFont="1" applyAlignment="1" applyProtection="1">
      <alignment horizontal="left" vertical="center"/>
      <protection locked="0"/>
    </xf>
    <xf numFmtId="0" fontId="53" fillId="22" borderId="62" xfId="0" applyFont="1" applyFill="1" applyBorder="1" applyAlignment="1">
      <alignment horizontal="center"/>
    </xf>
    <xf numFmtId="0" fontId="55" fillId="11" borderId="62" xfId="0" applyFont="1" applyFill="1" applyBorder="1" applyAlignment="1">
      <alignment horizontal="left"/>
    </xf>
    <xf numFmtId="44" fontId="54" fillId="11" borderId="62" xfId="0" applyNumberFormat="1" applyFont="1" applyFill="1" applyBorder="1" applyAlignment="1">
      <alignment horizontal="center"/>
    </xf>
    <xf numFmtId="9" fontId="55" fillId="0" borderId="62" xfId="1" applyFont="1" applyBorder="1" applyAlignment="1">
      <alignment horizontal="center"/>
    </xf>
    <xf numFmtId="44" fontId="53" fillId="22" borderId="62" xfId="0" applyNumberFormat="1" applyFont="1" applyFill="1" applyBorder="1" applyAlignment="1">
      <alignment horizontal="center"/>
    </xf>
    <xf numFmtId="0" fontId="55" fillId="0" borderId="0" xfId="0" applyFont="1"/>
    <xf numFmtId="170" fontId="53" fillId="22" borderId="82" xfId="0" applyNumberFormat="1" applyFont="1" applyFill="1" applyBorder="1" applyAlignment="1">
      <alignment horizontal="center"/>
    </xf>
    <xf numFmtId="164" fontId="56" fillId="0" borderId="20" xfId="2" applyNumberFormat="1" applyFont="1" applyBorder="1" applyAlignment="1" applyProtection="1">
      <alignment horizontal="left" vertical="center"/>
      <protection locked="0"/>
    </xf>
    <xf numFmtId="164" fontId="56" fillId="0" borderId="22" xfId="2" applyNumberFormat="1" applyFont="1" applyBorder="1" applyAlignment="1" applyProtection="1">
      <alignment horizontal="left" vertical="center"/>
      <protection locked="0"/>
    </xf>
    <xf numFmtId="164" fontId="56" fillId="0" borderId="31" xfId="2" applyNumberFormat="1" applyFont="1" applyBorder="1" applyAlignment="1" applyProtection="1">
      <alignment horizontal="left" vertical="center"/>
      <protection locked="0"/>
    </xf>
    <xf numFmtId="164" fontId="56" fillId="0" borderId="32" xfId="2" applyNumberFormat="1" applyFont="1" applyBorder="1" applyAlignment="1" applyProtection="1">
      <alignment horizontal="left" vertical="center"/>
      <protection locked="0"/>
    </xf>
    <xf numFmtId="0" fontId="56" fillId="0" borderId="25" xfId="2" applyFont="1" applyBorder="1" applyAlignment="1" applyProtection="1">
      <alignment horizontal="left" vertical="center"/>
      <protection locked="0"/>
    </xf>
    <xf numFmtId="164" fontId="57" fillId="0" borderId="31" xfId="2" applyNumberFormat="1" applyFont="1" applyBorder="1" applyAlignment="1" applyProtection="1">
      <alignment horizontal="left" vertical="center"/>
      <protection locked="0"/>
    </xf>
    <xf numFmtId="14" fontId="56" fillId="0" borderId="32" xfId="2" applyNumberFormat="1" applyFont="1" applyBorder="1" applyAlignment="1" applyProtection="1">
      <alignment horizontal="left" vertical="center"/>
      <protection locked="0"/>
    </xf>
    <xf numFmtId="164" fontId="56" fillId="0" borderId="39" xfId="2" applyNumberFormat="1" applyFont="1" applyBorder="1" applyAlignment="1" applyProtection="1">
      <alignment horizontal="left" vertical="center"/>
      <protection locked="0"/>
    </xf>
    <xf numFmtId="0" fontId="56" fillId="0" borderId="29" xfId="2" applyFont="1" applyBorder="1" applyAlignment="1" applyProtection="1">
      <alignment horizontal="left" vertical="center"/>
      <protection locked="0"/>
    </xf>
    <xf numFmtId="44" fontId="52" fillId="0" borderId="70" xfId="0" applyNumberFormat="1" applyFont="1" applyBorder="1" applyAlignment="1">
      <alignment horizontal="center" vertical="center"/>
    </xf>
    <xf numFmtId="0" fontId="52" fillId="0" borderId="16" xfId="0" applyFont="1" applyBorder="1" applyAlignment="1">
      <alignment horizontal="center" vertical="center"/>
    </xf>
    <xf numFmtId="0" fontId="53" fillId="22" borderId="12" xfId="0" applyFont="1" applyFill="1" applyBorder="1" applyAlignment="1">
      <alignment horizontal="center"/>
    </xf>
    <xf numFmtId="0" fontId="53" fillId="22" borderId="70" xfId="0" applyFont="1" applyFill="1" applyBorder="1" applyAlignment="1">
      <alignment horizontal="center"/>
    </xf>
    <xf numFmtId="166" fontId="7" fillId="4" borderId="17" xfId="4" applyNumberFormat="1" applyFont="1" applyFill="1" applyBorder="1" applyAlignment="1">
      <alignment horizontal="center" vertical="center" wrapText="1"/>
    </xf>
    <xf numFmtId="166" fontId="7" fillId="4" borderId="0" xfId="4" applyNumberFormat="1" applyFont="1" applyFill="1" applyBorder="1" applyAlignment="1">
      <alignment horizontal="center" vertical="center" wrapText="1"/>
    </xf>
    <xf numFmtId="0" fontId="38" fillId="10" borderId="17" xfId="0" applyFont="1" applyFill="1" applyBorder="1" applyAlignment="1">
      <alignment horizontal="left"/>
    </xf>
    <xf numFmtId="0" fontId="38" fillId="10" borderId="0" xfId="0" applyFont="1" applyFill="1" applyAlignment="1">
      <alignment horizontal="left"/>
    </xf>
    <xf numFmtId="166" fontId="39" fillId="11" borderId="62" xfId="4" applyNumberFormat="1" applyFont="1" applyFill="1" applyBorder="1" applyAlignment="1">
      <alignment horizontal="center" vertical="center" wrapText="1"/>
    </xf>
    <xf numFmtId="0" fontId="38" fillId="16" borderId="17" xfId="0" applyFont="1" applyFill="1" applyBorder="1" applyAlignment="1">
      <alignment horizontal="center"/>
    </xf>
    <xf numFmtId="0" fontId="38" fillId="16" borderId="0" xfId="0" applyFont="1" applyFill="1" applyAlignment="1">
      <alignment horizontal="center"/>
    </xf>
    <xf numFmtId="0" fontId="38" fillId="16" borderId="18" xfId="0" applyFont="1" applyFill="1" applyBorder="1" applyAlignment="1">
      <alignment horizontal="center"/>
    </xf>
    <xf numFmtId="0" fontId="38" fillId="10" borderId="11" xfId="0" applyFont="1" applyFill="1" applyBorder="1" applyAlignment="1">
      <alignment horizontal="left"/>
    </xf>
    <xf numFmtId="0" fontId="38" fillId="10" borderId="12" xfId="0" applyFont="1" applyFill="1" applyBorder="1" applyAlignment="1">
      <alignment horizontal="left"/>
    </xf>
    <xf numFmtId="0" fontId="38" fillId="10" borderId="63" xfId="0" applyFont="1" applyFill="1" applyBorder="1" applyAlignment="1">
      <alignment horizontal="left"/>
    </xf>
    <xf numFmtId="0" fontId="38" fillId="10" borderId="70" xfId="0" applyFont="1" applyFill="1" applyBorder="1" applyAlignment="1">
      <alignment horizontal="left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0" fontId="7" fillId="2" borderId="3" xfId="3" applyFont="1" applyFill="1" applyBorder="1" applyAlignment="1">
      <alignment horizontal="center" vertical="center"/>
    </xf>
    <xf numFmtId="0" fontId="7" fillId="2" borderId="4" xfId="3" applyFont="1" applyFill="1" applyBorder="1" applyAlignment="1">
      <alignment horizontal="center" vertical="center"/>
    </xf>
    <xf numFmtId="0" fontId="7" fillId="2" borderId="5" xfId="3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37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166" fontId="7" fillId="4" borderId="6" xfId="4" applyNumberFormat="1" applyFont="1" applyFill="1" applyBorder="1" applyAlignment="1">
      <alignment horizontal="center" vertical="center" wrapText="1"/>
    </xf>
    <xf numFmtId="166" fontId="7" fillId="4" borderId="37" xfId="4" applyNumberFormat="1" applyFont="1" applyFill="1" applyBorder="1" applyAlignment="1">
      <alignment horizontal="center" vertical="center" wrapText="1"/>
    </xf>
    <xf numFmtId="166" fontId="7" fillId="4" borderId="5" xfId="4" applyNumberFormat="1" applyFont="1" applyFill="1" applyBorder="1" applyAlignment="1">
      <alignment horizontal="center" vertical="center" wrapText="1"/>
    </xf>
    <xf numFmtId="0" fontId="22" fillId="10" borderId="75" xfId="0" applyFont="1" applyFill="1" applyBorder="1" applyAlignment="1">
      <alignment horizontal="left"/>
    </xf>
    <xf numFmtId="0" fontId="22" fillId="10" borderId="76" xfId="0" applyFont="1" applyFill="1" applyBorder="1" applyAlignment="1">
      <alignment horizontal="left"/>
    </xf>
    <xf numFmtId="0" fontId="22" fillId="10" borderId="77" xfId="0" applyFont="1" applyFill="1" applyBorder="1" applyAlignment="1">
      <alignment horizontal="left"/>
    </xf>
    <xf numFmtId="0" fontId="22" fillId="10" borderId="11" xfId="0" applyFont="1" applyFill="1" applyBorder="1" applyAlignment="1">
      <alignment horizontal="left"/>
    </xf>
    <xf numFmtId="0" fontId="22" fillId="10" borderId="12" xfId="0" applyFont="1" applyFill="1" applyBorder="1" applyAlignment="1">
      <alignment horizontal="left"/>
    </xf>
    <xf numFmtId="0" fontId="22" fillId="10" borderId="70" xfId="0" applyFont="1" applyFill="1" applyBorder="1" applyAlignment="1">
      <alignment horizontal="left"/>
    </xf>
    <xf numFmtId="0" fontId="22" fillId="10" borderId="17" xfId="0" applyFont="1" applyFill="1" applyBorder="1" applyAlignment="1">
      <alignment horizontal="left"/>
    </xf>
    <xf numFmtId="0" fontId="22" fillId="10" borderId="0" xfId="0" applyFont="1" applyFill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9" fillId="2" borderId="3" xfId="3" applyFont="1" applyFill="1" applyBorder="1" applyAlignment="1">
      <alignment horizontal="center" vertical="center"/>
    </xf>
    <xf numFmtId="0" fontId="29" fillId="2" borderId="4" xfId="3" applyFont="1" applyFill="1" applyBorder="1" applyAlignment="1">
      <alignment horizontal="center" vertical="center"/>
    </xf>
    <xf numFmtId="0" fontId="29" fillId="2" borderId="5" xfId="3" applyFont="1" applyFill="1" applyBorder="1" applyAlignment="1">
      <alignment horizontal="center" vertical="center"/>
    </xf>
    <xf numFmtId="0" fontId="29" fillId="3" borderId="6" xfId="0" applyFont="1" applyFill="1" applyBorder="1" applyAlignment="1">
      <alignment horizontal="center" vertical="center" wrapText="1"/>
    </xf>
    <xf numFmtId="0" fontId="29" fillId="3" borderId="37" xfId="0" applyFont="1" applyFill="1" applyBorder="1" applyAlignment="1">
      <alignment horizontal="center" vertical="center" wrapText="1"/>
    </xf>
    <xf numFmtId="0" fontId="29" fillId="3" borderId="5" xfId="0" applyFont="1" applyFill="1" applyBorder="1" applyAlignment="1">
      <alignment horizontal="center" vertical="center" wrapText="1"/>
    </xf>
    <xf numFmtId="166" fontId="29" fillId="4" borderId="6" xfId="4" applyNumberFormat="1" applyFont="1" applyFill="1" applyBorder="1" applyAlignment="1">
      <alignment horizontal="center" vertical="center" wrapText="1"/>
    </xf>
    <xf numFmtId="166" fontId="29" fillId="4" borderId="37" xfId="4" applyNumberFormat="1" applyFont="1" applyFill="1" applyBorder="1" applyAlignment="1">
      <alignment horizontal="center" vertical="center" wrapText="1"/>
    </xf>
    <xf numFmtId="166" fontId="29" fillId="4" borderId="5" xfId="4" applyNumberFormat="1" applyFont="1" applyFill="1" applyBorder="1" applyAlignment="1">
      <alignment horizontal="center" vertical="center" wrapText="1"/>
    </xf>
    <xf numFmtId="166" fontId="29" fillId="4" borderId="17" xfId="4" applyNumberFormat="1" applyFont="1" applyFill="1" applyBorder="1" applyAlignment="1">
      <alignment horizontal="center" vertical="center" wrapText="1"/>
    </xf>
    <xf numFmtId="166" fontId="29" fillId="4" borderId="0" xfId="4" applyNumberFormat="1" applyFont="1" applyFill="1" applyBorder="1" applyAlignment="1">
      <alignment horizontal="center" vertical="center" wrapText="1"/>
    </xf>
    <xf numFmtId="0" fontId="22" fillId="16" borderId="6" xfId="0" applyFont="1" applyFill="1" applyBorder="1" applyAlignment="1">
      <alignment horizontal="center"/>
    </xf>
    <xf numFmtId="0" fontId="22" fillId="16" borderId="37" xfId="0" applyFont="1" applyFill="1" applyBorder="1" applyAlignment="1">
      <alignment horizontal="center"/>
    </xf>
    <xf numFmtId="0" fontId="22" fillId="16" borderId="69" xfId="0" applyFont="1" applyFill="1" applyBorder="1" applyAlignment="1">
      <alignment horizontal="center"/>
    </xf>
    <xf numFmtId="0" fontId="14" fillId="8" borderId="41" xfId="0" applyFont="1" applyFill="1" applyBorder="1" applyAlignment="1">
      <alignment horizontal="left" vertical="center"/>
    </xf>
    <xf numFmtId="0" fontId="14" fillId="8" borderId="41" xfId="0" applyFont="1" applyFill="1" applyBorder="1" applyAlignment="1">
      <alignment vertical="center"/>
    </xf>
    <xf numFmtId="0" fontId="14" fillId="8" borderId="0" xfId="0" applyFont="1" applyFill="1" applyAlignment="1">
      <alignment vertical="center"/>
    </xf>
    <xf numFmtId="0" fontId="15" fillId="8" borderId="41" xfId="0" applyFont="1" applyFill="1" applyBorder="1" applyAlignment="1">
      <alignment horizontal="left" vertical="top"/>
    </xf>
    <xf numFmtId="0" fontId="17" fillId="8" borderId="41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53" fillId="22" borderId="11" xfId="0" applyFont="1" applyFill="1" applyBorder="1" applyAlignment="1">
      <alignment horizontal="center"/>
    </xf>
    <xf numFmtId="9" fontId="55" fillId="0" borderId="82" xfId="1" applyFont="1" applyBorder="1" applyAlignment="1">
      <alignment horizontal="center"/>
    </xf>
    <xf numFmtId="170" fontId="55" fillId="0" borderId="62" xfId="0" applyNumberFormat="1" applyFont="1" applyBorder="1" applyAlignment="1">
      <alignment horizontal="center"/>
    </xf>
    <xf numFmtId="0" fontId="55" fillId="11" borderId="62" xfId="0" applyFont="1" applyFill="1" applyBorder="1" applyAlignment="1">
      <alignment horizontal="center" vertical="center"/>
    </xf>
    <xf numFmtId="0" fontId="55" fillId="11" borderId="62" xfId="0" applyFont="1" applyFill="1" applyBorder="1" applyAlignment="1">
      <alignment horizontal="center" vertical="center" wrapText="1"/>
    </xf>
    <xf numFmtId="170" fontId="55" fillId="0" borderId="62" xfId="0" applyNumberFormat="1" applyFont="1" applyBorder="1" applyAlignment="1">
      <alignment horizontal="center" vertical="center"/>
    </xf>
    <xf numFmtId="170" fontId="55" fillId="11" borderId="62" xfId="0" applyNumberFormat="1" applyFont="1" applyFill="1" applyBorder="1" applyAlignment="1">
      <alignment horizontal="center" vertical="center"/>
    </xf>
    <xf numFmtId="44" fontId="55" fillId="0" borderId="62" xfId="0" applyNumberFormat="1" applyFont="1" applyBorder="1" applyAlignment="1">
      <alignment horizontal="center"/>
    </xf>
    <xf numFmtId="44" fontId="53" fillId="22" borderId="82" xfId="0" applyNumberFormat="1" applyFont="1" applyFill="1" applyBorder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CCCC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135202</xdr:colOff>
      <xdr:row>0</xdr:row>
      <xdr:rowOff>142875</xdr:rowOff>
    </xdr:from>
    <xdr:to>
      <xdr:col>5</xdr:col>
      <xdr:colOff>1130817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4F2603CC-4238-4CE2-B0FB-2EE6CBEEC882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116944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FFA72EC-6EC8-4930-A4E7-46F4D8CDE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41</xdr:col>
      <xdr:colOff>153862</xdr:colOff>
      <xdr:row>0</xdr:row>
      <xdr:rowOff>190500</xdr:rowOff>
    </xdr:from>
    <xdr:to>
      <xdr:col>42</xdr:col>
      <xdr:colOff>545972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FE1F0691-DEC7-4B57-876B-AB14FCBD734A}"/>
            </a:ext>
          </a:extLst>
        </xdr:cNvPr>
        <xdr:cNvSpPr/>
      </xdr:nvSpPr>
      <xdr:spPr bwMode="auto">
        <a:xfrm>
          <a:off x="28412773" y="190500"/>
          <a:ext cx="90928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40</xdr:col>
      <xdr:colOff>1147283</xdr:colOff>
      <xdr:row>0</xdr:row>
      <xdr:rowOff>179391</xdr:rowOff>
    </xdr:from>
    <xdr:to>
      <xdr:col>41</xdr:col>
      <xdr:colOff>77659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05A9B13-5858-431B-87C1-E09347216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7472" y="179391"/>
          <a:ext cx="419098" cy="362742"/>
        </a:xfrm>
        <a:prstGeom prst="rect">
          <a:avLst/>
        </a:prstGeom>
      </xdr:spPr>
    </xdr:pic>
    <xdr:clientData/>
  </xdr:twoCellAnchor>
  <xdr:oneCellAnchor>
    <xdr:from>
      <xdr:col>7</xdr:col>
      <xdr:colOff>436567</xdr:colOff>
      <xdr:row>7</xdr:row>
      <xdr:rowOff>163160</xdr:rowOff>
    </xdr:from>
    <xdr:ext cx="1433163" cy="1029229"/>
    <xdr:pic>
      <xdr:nvPicPr>
        <xdr:cNvPr id="6" name="Imagem 5">
          <a:extLst>
            <a:ext uri="{FF2B5EF4-FFF2-40B4-BE49-F238E27FC236}">
              <a16:creationId xmlns:a16="http://schemas.microsoft.com/office/drawing/2014/main" id="{E2016359-E719-4D5D-8FA3-6B3319BC2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29289" y="2357438"/>
          <a:ext cx="1433163" cy="1029229"/>
        </a:xfrm>
        <a:prstGeom prst="rect">
          <a:avLst/>
        </a:prstGeom>
      </xdr:spPr>
    </xdr:pic>
    <xdr:clientData/>
  </xdr:oneCellAnchor>
  <xdr:twoCellAnchor editAs="absolute">
    <xdr:from>
      <xdr:col>5</xdr:col>
      <xdr:colOff>118534</xdr:colOff>
      <xdr:row>0</xdr:row>
      <xdr:rowOff>114300</xdr:rowOff>
    </xdr:from>
    <xdr:to>
      <xdr:col>5</xdr:col>
      <xdr:colOff>1041178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7868766C-6D73-4EEC-B1CE-7F9DCDC1E4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41</xdr:col>
      <xdr:colOff>40197</xdr:colOff>
      <xdr:row>0</xdr:row>
      <xdr:rowOff>152400</xdr:rowOff>
    </xdr:from>
    <xdr:to>
      <xdr:col>42</xdr:col>
      <xdr:colOff>522635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97B4A089-E0B8-4423-A8BA-CBF30EB871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99108" y="152400"/>
          <a:ext cx="999610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672306</xdr:colOff>
      <xdr:row>0</xdr:row>
      <xdr:rowOff>142875</xdr:rowOff>
    </xdr:from>
    <xdr:to>
      <xdr:col>5</xdr:col>
      <xdr:colOff>922678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7AD62EAE-B53E-4696-9C8A-D79E4EAAC5A4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654048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E392E1A-223C-4C2D-8113-E98A2E25E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47</xdr:col>
      <xdr:colOff>120348</xdr:colOff>
      <xdr:row>0</xdr:row>
      <xdr:rowOff>190500</xdr:rowOff>
    </xdr:from>
    <xdr:to>
      <xdr:col>48</xdr:col>
      <xdr:colOff>508930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067EFEBE-A5D8-4B79-9FBA-0BAD6502AD1A}"/>
            </a:ext>
          </a:extLst>
        </xdr:cNvPr>
        <xdr:cNvSpPr/>
      </xdr:nvSpPr>
      <xdr:spPr bwMode="auto">
        <a:xfrm>
          <a:off x="28412773" y="190500"/>
          <a:ext cx="90928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236235</xdr:colOff>
      <xdr:row>0</xdr:row>
      <xdr:rowOff>179391</xdr:rowOff>
    </xdr:from>
    <xdr:to>
      <xdr:col>47</xdr:col>
      <xdr:colOff>44145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985727A-A4F5-4936-A046-E94EB382D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7472" y="179391"/>
          <a:ext cx="419098" cy="362742"/>
        </a:xfrm>
        <a:prstGeom prst="rect">
          <a:avLst/>
        </a:prstGeom>
      </xdr:spPr>
    </xdr:pic>
    <xdr:clientData/>
  </xdr:twoCellAnchor>
  <xdr:oneCellAnchor>
    <xdr:from>
      <xdr:col>8</xdr:col>
      <xdr:colOff>460374</xdr:colOff>
      <xdr:row>4</xdr:row>
      <xdr:rowOff>192756</xdr:rowOff>
    </xdr:from>
    <xdr:ext cx="1689814" cy="1213543"/>
    <xdr:pic>
      <xdr:nvPicPr>
        <xdr:cNvPr id="6" name="Imagem 5">
          <a:extLst>
            <a:ext uri="{FF2B5EF4-FFF2-40B4-BE49-F238E27FC236}">
              <a16:creationId xmlns:a16="http://schemas.microsoft.com/office/drawing/2014/main" id="{0B663B40-BD57-4CA9-9112-65D445EB7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94812" y="1605631"/>
          <a:ext cx="1689814" cy="1213543"/>
        </a:xfrm>
        <a:prstGeom prst="rect">
          <a:avLst/>
        </a:prstGeom>
      </xdr:spPr>
    </xdr:pic>
    <xdr:clientData/>
  </xdr:oneCellAnchor>
  <xdr:twoCellAnchor editAs="absolute">
    <xdr:from>
      <xdr:col>1</xdr:col>
      <xdr:colOff>655638</xdr:colOff>
      <xdr:row>0</xdr:row>
      <xdr:rowOff>114300</xdr:rowOff>
    </xdr:from>
    <xdr:to>
      <xdr:col>5</xdr:col>
      <xdr:colOff>828630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5E9F71C5-61F3-43AE-8952-B0E091B4A26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6683</xdr:colOff>
      <xdr:row>0</xdr:row>
      <xdr:rowOff>152400</xdr:rowOff>
    </xdr:from>
    <xdr:to>
      <xdr:col>48</xdr:col>
      <xdr:colOff>485593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A91CAB20-13AC-4CB4-B5DE-DE3EF163191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99108" y="152400"/>
          <a:ext cx="999610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70E52-24D7-4D0C-8D92-341C6C6767AE}">
  <dimension ref="A1:F30"/>
  <sheetViews>
    <sheetView showGridLines="0" tabSelected="1" topLeftCell="A8" zoomScaleNormal="100" workbookViewId="0">
      <selection activeCell="H27" sqref="H27"/>
    </sheetView>
  </sheetViews>
  <sheetFormatPr defaultColWidth="8.77734375" defaultRowHeight="14.4" x14ac:dyDescent="0.35"/>
  <cols>
    <col min="1" max="1" width="8.77734375" style="274"/>
    <col min="2" max="2" width="38.5546875" style="274" bestFit="1" customWidth="1"/>
    <col min="3" max="3" width="49.5546875" style="274" bestFit="1" customWidth="1"/>
    <col min="4" max="4" width="20.44140625" style="274" customWidth="1"/>
    <col min="5" max="5" width="16.21875" style="274" customWidth="1"/>
    <col min="6" max="6" width="6.5546875" style="275" customWidth="1"/>
    <col min="7" max="7" width="12.77734375" style="274" bestFit="1" customWidth="1"/>
    <col min="8" max="8" width="12.6640625" style="274" bestFit="1" customWidth="1"/>
    <col min="9" max="16384" width="8.77734375" style="274"/>
  </cols>
  <sheetData>
    <row r="1" spans="1:5" hidden="1" x14ac:dyDescent="0.35"/>
    <row r="2" spans="1:5" hidden="1" x14ac:dyDescent="0.35"/>
    <row r="3" spans="1:5" hidden="1" x14ac:dyDescent="0.35">
      <c r="C3" s="276">
        <v>45866</v>
      </c>
      <c r="D3" s="277"/>
      <c r="E3" s="303" t="e">
        <f>SUM(#REF!)</f>
        <v>#REF!</v>
      </c>
    </row>
    <row r="4" spans="1:5" ht="15.45" hidden="1" customHeight="1" thickBot="1" x14ac:dyDescent="0.4">
      <c r="C4" s="278">
        <v>45867</v>
      </c>
      <c r="D4" s="279"/>
      <c r="E4" s="304"/>
    </row>
    <row r="5" spans="1:5" hidden="1" x14ac:dyDescent="0.35">
      <c r="C5" s="280" t="s">
        <v>222</v>
      </c>
      <c r="D5" s="281"/>
    </row>
    <row r="6" spans="1:5" hidden="1" x14ac:dyDescent="0.35">
      <c r="C6" s="280" t="s">
        <v>223</v>
      </c>
      <c r="D6" s="281"/>
    </row>
    <row r="7" spans="1:5" ht="15" hidden="1" thickBot="1" x14ac:dyDescent="0.4">
      <c r="C7" s="282" t="s">
        <v>43</v>
      </c>
      <c r="D7" s="283"/>
    </row>
    <row r="10" spans="1:5" s="275" customFormat="1" ht="15" customHeight="1" x14ac:dyDescent="0.35">
      <c r="A10" s="274"/>
      <c r="B10" s="294" t="s">
        <v>198</v>
      </c>
      <c r="C10" s="295"/>
      <c r="D10" s="284"/>
      <c r="E10" s="274"/>
    </row>
    <row r="11" spans="1:5" s="275" customFormat="1" ht="15" customHeight="1" x14ac:dyDescent="0.35">
      <c r="A11" s="274"/>
      <c r="B11" s="296" t="s">
        <v>186</v>
      </c>
      <c r="C11" s="297"/>
      <c r="D11" s="284"/>
      <c r="E11" s="274"/>
    </row>
    <row r="12" spans="1:5" s="275" customFormat="1" ht="15" customHeight="1" x14ac:dyDescent="0.35">
      <c r="A12" s="274"/>
      <c r="B12" s="296" t="s">
        <v>206</v>
      </c>
      <c r="C12" s="298"/>
      <c r="D12" s="285"/>
      <c r="E12" s="274"/>
    </row>
    <row r="13" spans="1:5" s="275" customFormat="1" ht="15" customHeight="1" x14ac:dyDescent="0.35">
      <c r="A13" s="274"/>
      <c r="B13" s="296" t="s">
        <v>200</v>
      </c>
      <c r="C13" s="298"/>
      <c r="D13" s="285"/>
      <c r="E13" s="274"/>
    </row>
    <row r="14" spans="1:5" s="275" customFormat="1" ht="15" customHeight="1" x14ac:dyDescent="0.35">
      <c r="A14" s="274"/>
      <c r="B14" s="299" t="s">
        <v>191</v>
      </c>
      <c r="C14" s="300"/>
      <c r="D14" s="286"/>
      <c r="E14" s="274"/>
    </row>
    <row r="15" spans="1:5" s="275" customFormat="1" ht="15" customHeight="1" x14ac:dyDescent="0.35">
      <c r="A15" s="274"/>
      <c r="B15" s="296" t="s">
        <v>187</v>
      </c>
      <c r="C15" s="298"/>
      <c r="D15" s="285"/>
      <c r="E15" s="274"/>
    </row>
    <row r="16" spans="1:5" ht="15" customHeight="1" x14ac:dyDescent="0.35">
      <c r="B16" s="296" t="s">
        <v>192</v>
      </c>
      <c r="C16" s="298"/>
      <c r="D16" s="285"/>
    </row>
    <row r="17" spans="2:6" ht="15" customHeight="1" x14ac:dyDescent="0.35">
      <c r="B17" s="301" t="s">
        <v>199</v>
      </c>
      <c r="C17" s="302"/>
      <c r="D17" s="285"/>
    </row>
    <row r="19" spans="2:6" ht="15.45" customHeight="1" x14ac:dyDescent="0.35">
      <c r="B19" s="287"/>
      <c r="C19" s="287" t="s">
        <v>224</v>
      </c>
      <c r="D19" s="287" t="s">
        <v>225</v>
      </c>
      <c r="E19" s="287" t="s">
        <v>216</v>
      </c>
    </row>
    <row r="20" spans="2:6" ht="22.5" customHeight="1" x14ac:dyDescent="0.35">
      <c r="B20" s="288" t="s">
        <v>227</v>
      </c>
      <c r="C20" s="289">
        <f>'Estanplaza Berrini'!N26</f>
        <v>32139.991375667949</v>
      </c>
      <c r="D20" s="289">
        <f>'Estanplaza Berrini'!X26</f>
        <v>30259.8</v>
      </c>
      <c r="E20" s="289">
        <f>C20-D20</f>
        <v>1880.1913756679496</v>
      </c>
      <c r="F20" s="290">
        <f>E20*100%/C20</f>
        <v>5.8500058500058467E-2</v>
      </c>
    </row>
    <row r="21" spans="2:6" x14ac:dyDescent="0.35">
      <c r="B21" s="287"/>
      <c r="C21" s="291">
        <f>SUM(C20:C20)</f>
        <v>32139.991375667949</v>
      </c>
      <c r="D21" s="291">
        <f>SUM(D20:D20)</f>
        <v>30259.8</v>
      </c>
      <c r="E21" s="291">
        <f>SUM(E20:E20)</f>
        <v>1880.1913756679496</v>
      </c>
      <c r="F21" s="290">
        <f t="shared" ref="F21" si="0">E21*100%/C21</f>
        <v>5.8500058500058467E-2</v>
      </c>
    </row>
    <row r="23" spans="2:6" ht="199.95" hidden="1" customHeight="1" x14ac:dyDescent="0.35"/>
    <row r="24" spans="2:6" ht="8.5500000000000007" customHeight="1" thickBot="1" x14ac:dyDescent="0.4"/>
    <row r="25" spans="2:6" ht="22.05" customHeight="1" x14ac:dyDescent="0.35">
      <c r="B25" s="402" t="s">
        <v>226</v>
      </c>
      <c r="C25" s="305"/>
      <c r="D25" s="305"/>
      <c r="E25" s="305"/>
      <c r="F25" s="306"/>
    </row>
    <row r="26" spans="2:6" ht="20.55" customHeight="1" x14ac:dyDescent="0.35">
      <c r="B26" s="405" t="s">
        <v>228</v>
      </c>
      <c r="C26" s="407">
        <v>30259.8</v>
      </c>
      <c r="D26" s="409">
        <f>D21</f>
        <v>30259.8</v>
      </c>
      <c r="E26" s="404">
        <f>C26-D26</f>
        <v>0</v>
      </c>
      <c r="F26" s="290">
        <f>E26*100%/D26</f>
        <v>0</v>
      </c>
    </row>
    <row r="27" spans="2:6" ht="20.55" customHeight="1" x14ac:dyDescent="0.35">
      <c r="B27" s="405" t="s">
        <v>229</v>
      </c>
      <c r="C27" s="407">
        <v>1880.19</v>
      </c>
      <c r="D27" s="409">
        <f>C27*0.15</f>
        <v>282.02850000000001</v>
      </c>
      <c r="E27" s="404">
        <f t="shared" ref="E27:E28" si="1">C27-D27</f>
        <v>1598.1615000000002</v>
      </c>
      <c r="F27" s="290">
        <f>E27*100%/C27</f>
        <v>0.85000000000000009</v>
      </c>
    </row>
    <row r="28" spans="2:6" ht="35.549999999999997" customHeight="1" x14ac:dyDescent="0.35">
      <c r="B28" s="406" t="s">
        <v>230</v>
      </c>
      <c r="C28" s="408">
        <v>870</v>
      </c>
      <c r="D28" s="409">
        <f>C28*0.15</f>
        <v>130.5</v>
      </c>
      <c r="E28" s="404">
        <f t="shared" si="1"/>
        <v>739.5</v>
      </c>
      <c r="F28" s="290">
        <f t="shared" ref="F28:F29" si="2">E28*100%/C28</f>
        <v>0.85</v>
      </c>
    </row>
    <row r="29" spans="2:6" ht="34.5" customHeight="1" x14ac:dyDescent="0.35">
      <c r="B29" s="406" t="s">
        <v>231</v>
      </c>
      <c r="C29" s="408">
        <v>598.9</v>
      </c>
      <c r="D29" s="409">
        <f>C29*0.15</f>
        <v>89.834999999999994</v>
      </c>
      <c r="E29" s="404">
        <f>C29-D29</f>
        <v>509.065</v>
      </c>
      <c r="F29" s="290">
        <f t="shared" si="2"/>
        <v>0.85</v>
      </c>
    </row>
    <row r="30" spans="2:6" ht="24.45" customHeight="1" x14ac:dyDescent="0.35">
      <c r="B30" s="292"/>
      <c r="C30" s="293">
        <f>SUM(C26:C29)</f>
        <v>33608.89</v>
      </c>
      <c r="D30" s="410">
        <f>SUM(D26:D29)</f>
        <v>30762.163499999999</v>
      </c>
      <c r="E30" s="293">
        <f>SUM(E26:E29)</f>
        <v>2846.7265000000002</v>
      </c>
      <c r="F30" s="403">
        <f t="shared" ref="F30" si="3">E30*100%/D30</f>
        <v>9.2539866384885455E-2</v>
      </c>
    </row>
  </sheetData>
  <mergeCells count="2">
    <mergeCell ref="E3:E4"/>
    <mergeCell ref="B25:F25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A5538-7724-4BD9-ACAB-ED8749154A56}">
  <sheetPr codeName="Planilha20">
    <pageSetUpPr autoPageBreaks="0"/>
  </sheetPr>
  <dimension ref="A1:AL26"/>
  <sheetViews>
    <sheetView showGridLines="0" topLeftCell="J1" zoomScale="80" zoomScaleNormal="80" workbookViewId="0">
      <pane ySplit="1" topLeftCell="A8" activePane="bottomLeft" state="frozen"/>
      <selection activeCell="N39" sqref="N39"/>
      <selection pane="bottomLeft" activeCell="F4" sqref="F4:G11"/>
    </sheetView>
  </sheetViews>
  <sheetFormatPr defaultColWidth="8.77734375" defaultRowHeight="15.6" x14ac:dyDescent="0.3"/>
  <cols>
    <col min="1" max="1" width="8.21875" style="175" hidden="1" customWidth="1"/>
    <col min="2" max="2" width="7.6640625" style="214" customWidth="1"/>
    <col min="3" max="3" width="5.44140625" style="175" hidden="1" customWidth="1"/>
    <col min="4" max="4" width="6" style="175" hidden="1" customWidth="1"/>
    <col min="5" max="5" width="9" style="175" hidden="1" customWidth="1"/>
    <col min="6" max="6" width="36.77734375" style="175" customWidth="1"/>
    <col min="7" max="7" width="71.21875" style="175" customWidth="1"/>
    <col min="8" max="9" width="7.77734375" style="178" customWidth="1"/>
    <col min="10" max="10" width="19.21875" style="175" bestFit="1" customWidth="1"/>
    <col min="11" max="11" width="23.5546875" style="175" bestFit="1" customWidth="1"/>
    <col min="12" max="13" width="25.21875" style="175" bestFit="1" customWidth="1"/>
    <col min="14" max="14" width="29.77734375" style="175" bestFit="1" customWidth="1"/>
    <col min="15" max="15" width="3.21875" style="175" hidden="1" customWidth="1"/>
    <col min="16" max="16" width="1.77734375" style="175" hidden="1" customWidth="1"/>
    <col min="17" max="17" width="7.77734375" style="178" customWidth="1"/>
    <col min="18" max="18" width="7.77734375" style="178" hidden="1" customWidth="1"/>
    <col min="19" max="19" width="17" style="175" hidden="1" customWidth="1"/>
    <col min="20" max="20" width="24.88671875" style="175" bestFit="1" customWidth="1"/>
    <col min="21" max="21" width="23.6640625" style="175" hidden="1" customWidth="1"/>
    <col min="22" max="23" width="22.77734375" style="175" hidden="1" customWidth="1"/>
    <col min="24" max="24" width="28.33203125" style="175" bestFit="1" customWidth="1"/>
    <col min="25" max="25" width="28.33203125" style="175" hidden="1" customWidth="1"/>
    <col min="26" max="26" width="19.77734375" style="175" hidden="1" customWidth="1"/>
    <col min="27" max="27" width="25.21875" style="175" hidden="1" customWidth="1"/>
    <col min="28" max="28" width="25.21875" style="175" customWidth="1"/>
    <col min="29" max="29" width="27.6640625" style="175" customWidth="1"/>
    <col min="30" max="31" width="33" style="175" hidden="1" customWidth="1"/>
    <col min="32" max="32" width="28" style="175" hidden="1" customWidth="1"/>
    <col min="33" max="33" width="1.21875" style="175" hidden="1" customWidth="1"/>
    <col min="34" max="34" width="81.5546875" style="175" hidden="1" customWidth="1"/>
    <col min="35" max="35" width="36.77734375" style="175" hidden="1" customWidth="1"/>
    <col min="36" max="36" width="1.5546875" style="175" hidden="1" customWidth="1"/>
    <col min="37" max="37" width="20.21875" style="175" hidden="1" customWidth="1"/>
    <col min="38" max="38" width="25.21875" style="175" hidden="1" customWidth="1"/>
    <col min="39" max="39" width="24.77734375" style="175" bestFit="1" customWidth="1"/>
    <col min="40" max="40" width="8.77734375" style="175"/>
    <col min="41" max="41" width="21.21875" style="175" customWidth="1"/>
    <col min="42" max="16384" width="8.77734375" style="175"/>
  </cols>
  <sheetData>
    <row r="1" spans="1:37" ht="49.5" customHeight="1" x14ac:dyDescent="0.3">
      <c r="B1" s="176"/>
      <c r="C1" s="177"/>
      <c r="D1" s="177"/>
      <c r="F1" s="319" t="s">
        <v>128</v>
      </c>
      <c r="G1" s="319"/>
    </row>
    <row r="2" spans="1:37" ht="24.75" customHeight="1" x14ac:dyDescent="0.3">
      <c r="B2" s="213"/>
      <c r="D2" s="177"/>
      <c r="F2" s="320" t="s">
        <v>0</v>
      </c>
      <c r="G2" s="320"/>
    </row>
    <row r="3" spans="1:37" ht="16.2" x14ac:dyDescent="0.3">
      <c r="B3" s="179"/>
      <c r="F3" s="180"/>
      <c r="G3" s="180"/>
    </row>
    <row r="4" spans="1:37" ht="22.2" x14ac:dyDescent="0.3">
      <c r="F4" s="103" t="s">
        <v>198</v>
      </c>
      <c r="G4" s="104"/>
    </row>
    <row r="5" spans="1:37" ht="22.2" x14ac:dyDescent="0.3">
      <c r="F5" s="105" t="s">
        <v>186</v>
      </c>
      <c r="G5" s="106"/>
    </row>
    <row r="6" spans="1:37" ht="22.2" x14ac:dyDescent="0.3">
      <c r="F6" s="105" t="s">
        <v>206</v>
      </c>
      <c r="G6" s="107"/>
    </row>
    <row r="7" spans="1:37" ht="21.75" customHeight="1" x14ac:dyDescent="0.3">
      <c r="F7" s="105" t="s">
        <v>200</v>
      </c>
      <c r="G7" s="107"/>
    </row>
    <row r="8" spans="1:37" ht="22.2" x14ac:dyDescent="0.3">
      <c r="F8" s="108" t="s">
        <v>191</v>
      </c>
      <c r="G8" s="109"/>
    </row>
    <row r="9" spans="1:37" ht="22.2" x14ac:dyDescent="0.3">
      <c r="F9" s="105" t="s">
        <v>187</v>
      </c>
      <c r="G9" s="107"/>
      <c r="M9" s="175">
        <v>0.80469999999999997</v>
      </c>
    </row>
    <row r="10" spans="1:37" ht="27" customHeight="1" x14ac:dyDescent="0.3">
      <c r="F10" s="105" t="s">
        <v>192</v>
      </c>
      <c r="G10" s="107"/>
      <c r="M10" s="175">
        <f>1-M9</f>
        <v>0.19530000000000003</v>
      </c>
    </row>
    <row r="11" spans="1:37" ht="22.8" thickBot="1" x14ac:dyDescent="0.35">
      <c r="F11" s="110" t="s">
        <v>199</v>
      </c>
      <c r="G11" s="111"/>
    </row>
    <row r="12" spans="1:37" ht="16.8" thickBot="1" x14ac:dyDescent="0.35">
      <c r="B12" s="215"/>
      <c r="M12" s="181"/>
      <c r="Q12" s="321" t="s">
        <v>1</v>
      </c>
      <c r="R12" s="322"/>
      <c r="S12" s="322"/>
      <c r="T12" s="323"/>
      <c r="U12" s="324" t="s">
        <v>2</v>
      </c>
      <c r="V12" s="325"/>
      <c r="W12" s="325"/>
      <c r="X12" s="326"/>
      <c r="Y12" s="26" t="s">
        <v>56</v>
      </c>
      <c r="Z12" s="182" t="e">
        <f>(1/(1-#REF!))-1</f>
        <v>#REF!</v>
      </c>
      <c r="AD12" s="327" t="s">
        <v>3</v>
      </c>
      <c r="AE12" s="328"/>
      <c r="AF12" s="329"/>
      <c r="AH12" s="307" t="s">
        <v>58</v>
      </c>
      <c r="AI12" s="308"/>
      <c r="AK12" s="28" t="s">
        <v>71</v>
      </c>
    </row>
    <row r="13" spans="1:37" ht="16.05" customHeight="1" thickBot="1" x14ac:dyDescent="0.4">
      <c r="A13" s="183" t="s">
        <v>4</v>
      </c>
      <c r="B13" s="184" t="s">
        <v>5</v>
      </c>
      <c r="C13" s="183" t="s">
        <v>6</v>
      </c>
      <c r="D13" s="183" t="s">
        <v>7</v>
      </c>
      <c r="E13" s="183" t="s">
        <v>8</v>
      </c>
      <c r="M13" s="185">
        <v>0.80469999999999997</v>
      </c>
    </row>
    <row r="14" spans="1:37" ht="33" thickBot="1" x14ac:dyDescent="0.35">
      <c r="A14" s="186">
        <v>0</v>
      </c>
      <c r="B14" s="216"/>
      <c r="C14" s="187"/>
      <c r="D14" s="188"/>
      <c r="E14" s="188"/>
      <c r="F14" s="62" t="s">
        <v>131</v>
      </c>
      <c r="G14" s="63" t="s">
        <v>132</v>
      </c>
      <c r="H14" s="64" t="s">
        <v>133</v>
      </c>
      <c r="I14" s="64" t="s">
        <v>134</v>
      </c>
      <c r="J14" s="65" t="s">
        <v>135</v>
      </c>
      <c r="K14" s="66" t="s">
        <v>9</v>
      </c>
      <c r="L14" s="97">
        <v>7.4999999999999997E-2</v>
      </c>
      <c r="M14" s="61">
        <f>1-M13</f>
        <v>0.19530000000000003</v>
      </c>
      <c r="N14" s="67" t="s">
        <v>129</v>
      </c>
      <c r="Q14" s="68" t="s">
        <v>136</v>
      </c>
      <c r="R14" s="69" t="s">
        <v>137</v>
      </c>
      <c r="S14" s="70" t="s">
        <v>138</v>
      </c>
      <c r="T14" s="71" t="s">
        <v>139</v>
      </c>
      <c r="U14" s="72" t="s">
        <v>140</v>
      </c>
      <c r="V14" s="73" t="s">
        <v>141</v>
      </c>
      <c r="W14" s="74" t="s">
        <v>142</v>
      </c>
      <c r="X14" s="74" t="s">
        <v>143</v>
      </c>
      <c r="Y14" s="75" t="s">
        <v>144</v>
      </c>
      <c r="Z14" s="76" t="s">
        <v>145</v>
      </c>
      <c r="AA14" s="219" t="s">
        <v>130</v>
      </c>
      <c r="AB14" s="311" t="s">
        <v>70</v>
      </c>
      <c r="AC14" s="311"/>
      <c r="AD14" s="223" t="s">
        <v>146</v>
      </c>
      <c r="AE14" s="58" t="s">
        <v>147</v>
      </c>
      <c r="AF14" s="58" t="s">
        <v>33</v>
      </c>
      <c r="AH14" s="59" t="s">
        <v>148</v>
      </c>
      <c r="AI14" s="60" t="s">
        <v>149</v>
      </c>
      <c r="AJ14" s="175" t="s">
        <v>150</v>
      </c>
      <c r="AK14" s="175" t="s">
        <v>150</v>
      </c>
    </row>
    <row r="15" spans="1:37" ht="36.75" customHeight="1" thickBot="1" x14ac:dyDescent="0.55000000000000004">
      <c r="A15" s="189">
        <v>1</v>
      </c>
      <c r="B15" s="217">
        <v>1</v>
      </c>
      <c r="C15" s="190" t="s">
        <v>172</v>
      </c>
      <c r="D15" s="189"/>
      <c r="E15" s="189"/>
      <c r="F15" s="312" t="s">
        <v>175</v>
      </c>
      <c r="G15" s="313"/>
      <c r="H15" s="313"/>
      <c r="I15" s="313"/>
      <c r="J15" s="313"/>
      <c r="K15" s="313"/>
      <c r="L15" s="313"/>
      <c r="M15" s="313"/>
      <c r="N15" s="314"/>
      <c r="Q15" s="312" t="str">
        <f>IF(F15&lt;&gt;"",F15,"")</f>
        <v>INTERNOS</v>
      </c>
      <c r="R15" s="313"/>
      <c r="S15" s="313"/>
      <c r="T15" s="313"/>
      <c r="U15" s="313"/>
      <c r="V15" s="313"/>
      <c r="W15" s="313"/>
      <c r="X15" s="313"/>
      <c r="Y15" s="314"/>
      <c r="AB15" s="224"/>
      <c r="AC15" s="224"/>
    </row>
    <row r="16" spans="1:37" ht="25.05" customHeight="1" x14ac:dyDescent="0.35">
      <c r="A16" s="188">
        <v>2</v>
      </c>
      <c r="B16" s="217" t="s">
        <v>173</v>
      </c>
      <c r="C16" s="191" t="s">
        <v>167</v>
      </c>
      <c r="D16" s="188"/>
      <c r="E16" s="188"/>
      <c r="F16" s="315" t="s">
        <v>175</v>
      </c>
      <c r="G16" s="316"/>
      <c r="H16" s="316"/>
      <c r="I16" s="316"/>
      <c r="J16" s="316"/>
      <c r="K16" s="317"/>
      <c r="L16" s="86" t="s">
        <v>168</v>
      </c>
      <c r="M16" s="87" t="s">
        <v>169</v>
      </c>
      <c r="N16" s="96" t="s">
        <v>129</v>
      </c>
      <c r="Q16" s="315" t="str">
        <f>IF(F16&lt;&gt;"",F16,"")</f>
        <v>INTERNOS</v>
      </c>
      <c r="R16" s="316"/>
      <c r="S16" s="316"/>
      <c r="T16" s="316"/>
      <c r="U16" s="316"/>
      <c r="V16" s="316"/>
      <c r="W16" s="316"/>
      <c r="X16" s="316"/>
      <c r="Y16" s="318"/>
      <c r="Z16" s="192" t="s">
        <v>170</v>
      </c>
      <c r="AA16" s="220" t="s">
        <v>130</v>
      </c>
      <c r="AB16" s="225" t="s">
        <v>151</v>
      </c>
      <c r="AC16" s="226" t="s">
        <v>152</v>
      </c>
    </row>
    <row r="17" spans="1:29" ht="48.6" x14ac:dyDescent="0.5">
      <c r="A17" s="188">
        <v>3</v>
      </c>
      <c r="B17" s="217" t="s">
        <v>174</v>
      </c>
      <c r="C17" s="193" t="s">
        <v>171</v>
      </c>
      <c r="D17" s="194" t="s">
        <v>176</v>
      </c>
      <c r="E17" s="194" t="s">
        <v>177</v>
      </c>
      <c r="F17" s="98" t="s">
        <v>193</v>
      </c>
      <c r="G17" s="78" t="s">
        <v>208</v>
      </c>
      <c r="H17" s="91">
        <v>1</v>
      </c>
      <c r="I17" s="95">
        <v>1</v>
      </c>
      <c r="J17" s="94">
        <v>2200</v>
      </c>
      <c r="K17" s="77">
        <f t="shared" ref="K17" si="0">IF(F17&lt;&gt;"",H17*I17*J17,"")</f>
        <v>2200</v>
      </c>
      <c r="L17" s="77">
        <f t="shared" ref="L17" si="1">IF(K17&lt;&gt;"",IF(D17="INTERNO",0,K17*$L$14),"")</f>
        <v>0</v>
      </c>
      <c r="M17" s="77">
        <f t="shared" ref="M17" si="2">IF(K17&lt;&gt;"",IF(E17="FAT.OGGI",SUM(K17:L17)*(1/(1-$M$14)-1),L17*(1/(1-$M$14)-1)),"")</f>
        <v>533.93811358270182</v>
      </c>
      <c r="N17" s="83">
        <f t="shared" ref="N17" si="3">SUM(K17:M17)</f>
        <v>2733.9381135827016</v>
      </c>
      <c r="O17" s="195"/>
      <c r="P17" s="195"/>
      <c r="Q17" s="92">
        <f t="shared" ref="Q17:R17" si="4">IF(H17&lt;&gt;"",H17,"")</f>
        <v>1</v>
      </c>
      <c r="R17" s="93">
        <f t="shared" si="4"/>
        <v>1</v>
      </c>
      <c r="S17" s="79">
        <v>0</v>
      </c>
      <c r="T17" s="79">
        <f t="shared" ref="T17" si="5">IF(Q17&lt;&gt;"",Q17*R17*S17,"")</f>
        <v>0</v>
      </c>
      <c r="U17" s="82">
        <f t="shared" ref="U17" si="6">IF(Q17&lt;&gt;"",K17-T17,"")</f>
        <v>2200</v>
      </c>
      <c r="V17" s="80">
        <f t="shared" ref="V17" si="7">IF(Q17&lt;&gt;"",0%,"")</f>
        <v>0</v>
      </c>
      <c r="W17" s="81">
        <f t="shared" ref="W17" si="8">IF(Q17&lt;&gt;"",V17*U17,"")</f>
        <v>0</v>
      </c>
      <c r="X17" s="81">
        <f t="shared" ref="X17" si="9">IF(Q17&lt;&gt;"",W17+T17,"")</f>
        <v>0</v>
      </c>
      <c r="Y17" s="85">
        <f t="shared" ref="Y17:Y18" si="10">IF(Q17&lt;&gt;"",X17+M17,"")</f>
        <v>533.93811358270182</v>
      </c>
      <c r="Z17" s="84">
        <f t="shared" ref="Z17" si="11">IF(Q17&lt;&gt;"",U17/K17,"")</f>
        <v>1</v>
      </c>
      <c r="AA17" s="221" t="e">
        <f>T17/T18</f>
        <v>#DIV/0!</v>
      </c>
      <c r="AB17" s="227"/>
      <c r="AC17" s="224"/>
    </row>
    <row r="18" spans="1:29" ht="36" customHeight="1" thickBot="1" x14ac:dyDescent="0.55000000000000004">
      <c r="A18" s="194">
        <v>4</v>
      </c>
      <c r="B18" s="217"/>
      <c r="C18" s="193" t="s">
        <v>178</v>
      </c>
      <c r="D18" s="194"/>
      <c r="E18" s="194"/>
      <c r="F18" s="309" t="s">
        <v>179</v>
      </c>
      <c r="G18" s="310"/>
      <c r="H18" s="310"/>
      <c r="I18" s="310"/>
      <c r="J18" s="310"/>
      <c r="K18" s="196">
        <f>SUM(K17:K17)</f>
        <v>2200</v>
      </c>
      <c r="L18" s="196">
        <f>SUM(L17:L17)</f>
        <v>0</v>
      </c>
      <c r="M18" s="196">
        <f>SUM(M17:M17)</f>
        <v>533.93811358270182</v>
      </c>
      <c r="N18" s="197">
        <f>SUM(N17:N17)</f>
        <v>2733.9381135827016</v>
      </c>
      <c r="Q18" s="309" t="s">
        <v>188</v>
      </c>
      <c r="R18" s="310"/>
      <c r="S18" s="310"/>
      <c r="T18" s="198">
        <f>SUM(T17:T17)</f>
        <v>0</v>
      </c>
      <c r="U18" s="199">
        <f>SUM(U17:U17)</f>
        <v>2200</v>
      </c>
      <c r="V18" s="200"/>
      <c r="W18" s="200"/>
      <c r="X18" s="201">
        <f>SUM(X17:X17)</f>
        <v>0</v>
      </c>
      <c r="Y18" s="202">
        <f t="shared" si="10"/>
        <v>533.93811358270182</v>
      </c>
      <c r="Z18" s="203" t="s">
        <v>184</v>
      </c>
      <c r="AA18" s="203" t="s">
        <v>185</v>
      </c>
      <c r="AB18" s="228"/>
      <c r="AC18" s="224"/>
    </row>
    <row r="19" spans="1:29" ht="31.5" customHeight="1" thickBot="1" x14ac:dyDescent="0.55000000000000004">
      <c r="A19" s="204">
        <v>5</v>
      </c>
      <c r="B19" s="218"/>
      <c r="C19" s="205" t="s">
        <v>182</v>
      </c>
      <c r="D19" s="204"/>
      <c r="E19" s="204"/>
      <c r="F19" s="206" t="s">
        <v>183</v>
      </c>
      <c r="G19" s="207"/>
      <c r="H19" s="208"/>
      <c r="I19" s="208"/>
      <c r="J19" s="207"/>
      <c r="K19" s="209">
        <f>SUM(K17:K17)</f>
        <v>2200</v>
      </c>
      <c r="L19" s="209">
        <f>SUM(L17:L17)</f>
        <v>0</v>
      </c>
      <c r="M19" s="209">
        <f>SUM(M17:M17)</f>
        <v>533.93811358270182</v>
      </c>
      <c r="N19" s="210">
        <f>SUM(N17:N17)</f>
        <v>2733.9381135827016</v>
      </c>
      <c r="Q19" s="211" t="s">
        <v>43</v>
      </c>
      <c r="R19" s="208"/>
      <c r="S19" s="207"/>
      <c r="T19" s="209">
        <f>SUM(T17:T17)</f>
        <v>0</v>
      </c>
      <c r="U19" s="209">
        <f>SUM(U17:U17)</f>
        <v>2200</v>
      </c>
      <c r="V19" s="207"/>
      <c r="W19" s="207"/>
      <c r="X19" s="209">
        <f>SUM(X17:X17)</f>
        <v>0</v>
      </c>
      <c r="Y19" s="210">
        <f>SUM(Y17:Y17)</f>
        <v>533.93811358270182</v>
      </c>
      <c r="Z19" s="212">
        <f>IF(Q19&lt;&gt;"",(N19-Y19)/N19,"")</f>
        <v>0.80469999999999997</v>
      </c>
      <c r="AA19" s="222">
        <f>IF(Z19&lt;&gt;"",(N19-Y19),"")</f>
        <v>2200</v>
      </c>
      <c r="AB19" s="229"/>
      <c r="AC19" s="224"/>
    </row>
    <row r="22" spans="1:29" ht="21" x14ac:dyDescent="0.4">
      <c r="AB22" s="232">
        <v>0</v>
      </c>
      <c r="AC22" s="230" t="s">
        <v>168</v>
      </c>
    </row>
    <row r="23" spans="1:29" ht="21" x14ac:dyDescent="0.4">
      <c r="AB23" s="232">
        <v>0</v>
      </c>
      <c r="AC23" s="230" t="s">
        <v>169</v>
      </c>
    </row>
    <row r="24" spans="1:29" ht="21" x14ac:dyDescent="0.4">
      <c r="AB24" s="232">
        <v>0</v>
      </c>
      <c r="AC24" s="230" t="s">
        <v>215</v>
      </c>
    </row>
    <row r="25" spans="1:29" ht="21" x14ac:dyDescent="0.4">
      <c r="AB25" s="232">
        <v>0</v>
      </c>
      <c r="AC25" s="231" t="s">
        <v>216</v>
      </c>
    </row>
    <row r="26" spans="1:29" ht="21" x14ac:dyDescent="0.4">
      <c r="AB26" s="232">
        <v>0</v>
      </c>
      <c r="AC26" s="231"/>
    </row>
  </sheetData>
  <mergeCells count="13">
    <mergeCell ref="F1:G1"/>
    <mergeCell ref="F2:G2"/>
    <mergeCell ref="Q12:T12"/>
    <mergeCell ref="U12:X12"/>
    <mergeCell ref="AD12:AF12"/>
    <mergeCell ref="AH12:AI12"/>
    <mergeCell ref="F18:J18"/>
    <mergeCell ref="Q18:S18"/>
    <mergeCell ref="AB14:AC14"/>
    <mergeCell ref="F15:N15"/>
    <mergeCell ref="Q15:Y15"/>
    <mergeCell ref="F16:K16"/>
    <mergeCell ref="Q16:Y16"/>
  </mergeCells>
  <dataValidations count="3">
    <dataValidation type="list" allowBlank="1" showInputMessage="1" showErrorMessage="1" sqref="D17 D19" xr:uid="{DA269D7F-6C44-43A3-BB83-205F08E1D24C}">
      <formula1>"INTERNO,OPERACIONAL"</formula1>
    </dataValidation>
    <dataValidation type="list" allowBlank="1" showInputMessage="1" showErrorMessage="1" sqref="E17" xr:uid="{30520AF0-8E02-4C20-8892-CB40519A25F7}">
      <formula1>"FAT.OGGI,FAT.CLIENTE"</formula1>
    </dataValidation>
    <dataValidation type="list" allowBlank="1" showInputMessage="1" showErrorMessage="1" sqref="E19" xr:uid="{652439B7-11FE-4DC0-B989-557DE8F626FA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CA936-89C6-4831-BCA1-68C8C8B10695}">
  <sheetPr codeName="Planilha21">
    <tabColor theme="4" tint="0.79998168889431442"/>
    <pageSetUpPr autoPageBreaks="0"/>
  </sheetPr>
  <dimension ref="A1:AO34"/>
  <sheetViews>
    <sheetView showGridLines="0" topLeftCell="K1" zoomScale="73" zoomScaleNormal="73" workbookViewId="0">
      <pane ySplit="1" topLeftCell="A24" activePane="bottomLeft" state="frozen"/>
      <selection activeCell="N39" sqref="N39"/>
      <selection pane="bottomLeft" activeCell="N45" sqref="N45"/>
    </sheetView>
  </sheetViews>
  <sheetFormatPr defaultColWidth="8.77734375" defaultRowHeight="18" x14ac:dyDescent="0.35"/>
  <cols>
    <col min="1" max="1" width="8.21875" style="112" hidden="1" customWidth="1"/>
    <col min="2" max="2" width="10.77734375" style="254" customWidth="1"/>
    <col min="3" max="3" width="5.44140625" style="112" hidden="1" customWidth="1"/>
    <col min="4" max="4" width="6" style="112" hidden="1" customWidth="1"/>
    <col min="5" max="5" width="9" style="112" hidden="1" customWidth="1"/>
    <col min="6" max="6" width="36.77734375" style="112" customWidth="1"/>
    <col min="7" max="7" width="71.21875" style="112" customWidth="1"/>
    <col min="8" max="9" width="7.77734375" style="115" customWidth="1"/>
    <col min="10" max="10" width="17.21875" style="112" bestFit="1" customWidth="1"/>
    <col min="11" max="11" width="23.44140625" style="112" bestFit="1" customWidth="1"/>
    <col min="12" max="13" width="25.21875" style="112" bestFit="1" customWidth="1"/>
    <col min="14" max="14" width="29.77734375" style="112" bestFit="1" customWidth="1"/>
    <col min="15" max="15" width="3.21875" style="112" hidden="1" customWidth="1"/>
    <col min="16" max="16" width="1.77734375" style="112" hidden="1" customWidth="1"/>
    <col min="17" max="17" width="7.77734375" style="115" customWidth="1"/>
    <col min="18" max="18" width="7.77734375" style="115" hidden="1" customWidth="1"/>
    <col min="19" max="19" width="17" style="112" hidden="1" customWidth="1"/>
    <col min="20" max="20" width="24.77734375" style="112" bestFit="1" customWidth="1"/>
    <col min="21" max="21" width="23.5546875" style="112" hidden="1" customWidth="1"/>
    <col min="22" max="23" width="22.77734375" style="112" hidden="1" customWidth="1"/>
    <col min="24" max="24" width="28.21875" style="112" bestFit="1" customWidth="1"/>
    <col min="25" max="25" width="28.21875" style="112" hidden="1" customWidth="1"/>
    <col min="26" max="26" width="19.77734375" style="112" hidden="1" customWidth="1"/>
    <col min="27" max="27" width="25.21875" style="112" hidden="1" customWidth="1"/>
    <col min="28" max="28" width="26.77734375" style="112" customWidth="1"/>
    <col min="29" max="29" width="28.6640625" style="112" customWidth="1"/>
    <col min="30" max="31" width="33" style="112" hidden="1" customWidth="1"/>
    <col min="32" max="32" width="28" style="112" hidden="1" customWidth="1"/>
    <col min="33" max="33" width="1.21875" style="112" hidden="1" customWidth="1"/>
    <col min="34" max="34" width="81.5546875" style="112" hidden="1" customWidth="1"/>
    <col min="35" max="35" width="36.77734375" style="112" hidden="1" customWidth="1"/>
    <col min="36" max="36" width="1.5546875" style="112" hidden="1" customWidth="1"/>
    <col min="37" max="37" width="20.21875" style="112" hidden="1" customWidth="1"/>
    <col min="38" max="38" width="25.21875" style="112" hidden="1" customWidth="1"/>
    <col min="39" max="39" width="24.77734375" style="112" hidden="1" customWidth="1"/>
    <col min="40" max="40" width="0" style="112" hidden="1" customWidth="1"/>
    <col min="41" max="41" width="21.21875" style="112" hidden="1" customWidth="1"/>
    <col min="42" max="16384" width="8.77734375" style="112"/>
  </cols>
  <sheetData>
    <row r="1" spans="1:37" ht="49.5" customHeight="1" x14ac:dyDescent="0.35">
      <c r="B1" s="113"/>
      <c r="C1" s="114"/>
      <c r="D1" s="114"/>
      <c r="F1" s="338" t="s">
        <v>128</v>
      </c>
      <c r="G1" s="338"/>
    </row>
    <row r="2" spans="1:37" ht="24.75" customHeight="1" x14ac:dyDescent="0.35">
      <c r="B2" s="253"/>
      <c r="D2" s="114"/>
      <c r="F2" s="339" t="s">
        <v>0</v>
      </c>
      <c r="G2" s="339"/>
    </row>
    <row r="3" spans="1:37" x14ac:dyDescent="0.35">
      <c r="B3" s="116"/>
      <c r="F3" s="27"/>
      <c r="G3" s="27"/>
    </row>
    <row r="4" spans="1:37" x14ac:dyDescent="0.35">
      <c r="F4" s="51" t="s">
        <v>198</v>
      </c>
      <c r="G4" s="52"/>
    </row>
    <row r="5" spans="1:37" x14ac:dyDescent="0.35">
      <c r="F5" s="53" t="s">
        <v>186</v>
      </c>
      <c r="G5" s="54"/>
    </row>
    <row r="6" spans="1:37" x14ac:dyDescent="0.35">
      <c r="F6" s="53" t="s">
        <v>206</v>
      </c>
      <c r="G6" s="55"/>
    </row>
    <row r="7" spans="1:37" ht="21.75" customHeight="1" x14ac:dyDescent="0.35">
      <c r="F7" s="53" t="s">
        <v>197</v>
      </c>
      <c r="G7" s="55"/>
    </row>
    <row r="8" spans="1:37" x14ac:dyDescent="0.35">
      <c r="F8" s="99" t="s">
        <v>191</v>
      </c>
      <c r="G8" s="117"/>
    </row>
    <row r="9" spans="1:37" x14ac:dyDescent="0.35">
      <c r="F9" s="53" t="s">
        <v>187</v>
      </c>
      <c r="G9" s="55"/>
      <c r="M9" s="112">
        <v>0.80469999999999997</v>
      </c>
    </row>
    <row r="10" spans="1:37" ht="27" customHeight="1" x14ac:dyDescent="0.35">
      <c r="F10" s="53" t="s">
        <v>192</v>
      </c>
      <c r="G10" s="55"/>
      <c r="M10" s="112">
        <f>1-M9</f>
        <v>0.19530000000000003</v>
      </c>
    </row>
    <row r="11" spans="1:37" ht="18.600000000000001" thickBot="1" x14ac:dyDescent="0.4">
      <c r="F11" s="56" t="s">
        <v>199</v>
      </c>
      <c r="G11" s="57"/>
    </row>
    <row r="12" spans="1:37" ht="18.600000000000001" thickBot="1" x14ac:dyDescent="0.4">
      <c r="B12" s="255"/>
      <c r="M12" s="118"/>
      <c r="Q12" s="340" t="s">
        <v>1</v>
      </c>
      <c r="R12" s="341"/>
      <c r="S12" s="341"/>
      <c r="T12" s="342"/>
      <c r="U12" s="343" t="s">
        <v>2</v>
      </c>
      <c r="V12" s="344"/>
      <c r="W12" s="344"/>
      <c r="X12" s="345"/>
      <c r="Y12" s="119" t="s">
        <v>56</v>
      </c>
      <c r="Z12" s="120" t="e">
        <f>(1/(1-#REF!))-1</f>
        <v>#REF!</v>
      </c>
      <c r="AD12" s="346" t="s">
        <v>3</v>
      </c>
      <c r="AE12" s="347"/>
      <c r="AF12" s="348"/>
      <c r="AH12" s="349" t="s">
        <v>58</v>
      </c>
      <c r="AI12" s="350"/>
      <c r="AK12" s="121" t="s">
        <v>71</v>
      </c>
    </row>
    <row r="13" spans="1:37" ht="16.05" customHeight="1" thickBot="1" x14ac:dyDescent="0.4">
      <c r="A13" s="122" t="s">
        <v>4</v>
      </c>
      <c r="B13" s="123" t="s">
        <v>5</v>
      </c>
      <c r="C13" s="122" t="s">
        <v>6</v>
      </c>
      <c r="D13" s="122" t="s">
        <v>7</v>
      </c>
      <c r="E13" s="122" t="s">
        <v>8</v>
      </c>
      <c r="M13" s="124">
        <v>0.80469999999999997</v>
      </c>
    </row>
    <row r="14" spans="1:37" ht="36.6" thickBot="1" x14ac:dyDescent="0.4">
      <c r="A14" s="125">
        <v>0</v>
      </c>
      <c r="B14" s="256"/>
      <c r="C14" s="126"/>
      <c r="D14" s="127"/>
      <c r="E14" s="127"/>
      <c r="F14" s="128" t="s">
        <v>131</v>
      </c>
      <c r="G14" s="129" t="s">
        <v>132</v>
      </c>
      <c r="H14" s="130" t="s">
        <v>133</v>
      </c>
      <c r="I14" s="130" t="s">
        <v>134</v>
      </c>
      <c r="J14" s="131" t="s">
        <v>135</v>
      </c>
      <c r="K14" s="132" t="s">
        <v>9</v>
      </c>
      <c r="L14" s="133">
        <v>0.05</v>
      </c>
      <c r="M14" s="134">
        <f>1-M13</f>
        <v>0.19530000000000003</v>
      </c>
      <c r="N14" s="135" t="s">
        <v>129</v>
      </c>
      <c r="Q14" s="136" t="s">
        <v>136</v>
      </c>
      <c r="R14" s="137" t="s">
        <v>137</v>
      </c>
      <c r="S14" s="138" t="s">
        <v>138</v>
      </c>
      <c r="T14" s="139" t="s">
        <v>139</v>
      </c>
      <c r="U14" s="140" t="s">
        <v>140</v>
      </c>
      <c r="V14" s="141" t="s">
        <v>141</v>
      </c>
      <c r="W14" s="142" t="s">
        <v>142</v>
      </c>
      <c r="X14" s="142" t="s">
        <v>143</v>
      </c>
      <c r="Y14" s="143" t="s">
        <v>144</v>
      </c>
      <c r="Z14" s="144" t="s">
        <v>145</v>
      </c>
      <c r="AA14" s="259" t="s">
        <v>130</v>
      </c>
      <c r="AB14" s="311" t="s">
        <v>70</v>
      </c>
      <c r="AC14" s="311"/>
      <c r="AD14" s="264" t="s">
        <v>146</v>
      </c>
      <c r="AE14" s="145" t="s">
        <v>147</v>
      </c>
      <c r="AF14" s="145" t="s">
        <v>33</v>
      </c>
      <c r="AH14" s="146" t="s">
        <v>148</v>
      </c>
      <c r="AI14" s="147" t="s">
        <v>149</v>
      </c>
      <c r="AJ14" s="112" t="s">
        <v>150</v>
      </c>
      <c r="AK14" s="112" t="s">
        <v>150</v>
      </c>
    </row>
    <row r="15" spans="1:37" ht="28.05" customHeight="1" thickBot="1" x14ac:dyDescent="0.55000000000000004">
      <c r="A15" s="127">
        <v>1</v>
      </c>
      <c r="B15" s="257">
        <v>1</v>
      </c>
      <c r="C15" s="150" t="s">
        <v>172</v>
      </c>
      <c r="D15" s="127"/>
      <c r="E15" s="127"/>
      <c r="F15" s="351" t="s">
        <v>190</v>
      </c>
      <c r="G15" s="352"/>
      <c r="H15" s="352"/>
      <c r="I15" s="352"/>
      <c r="J15" s="352"/>
      <c r="K15" s="352"/>
      <c r="L15" s="352"/>
      <c r="M15" s="352"/>
      <c r="N15" s="353"/>
      <c r="Q15" s="351" t="str">
        <f>IF(F15&lt;&gt;"",F15,"")</f>
        <v>EVENTO</v>
      </c>
      <c r="R15" s="352"/>
      <c r="S15" s="352"/>
      <c r="T15" s="352"/>
      <c r="U15" s="352"/>
      <c r="V15" s="352"/>
      <c r="W15" s="352"/>
      <c r="X15" s="352"/>
      <c r="Y15" s="353"/>
      <c r="AB15" s="224"/>
      <c r="AC15" s="224"/>
    </row>
    <row r="16" spans="1:37" ht="24.6" customHeight="1" x14ac:dyDescent="0.35">
      <c r="A16" s="127">
        <v>2</v>
      </c>
      <c r="B16" s="257" t="s">
        <v>173</v>
      </c>
      <c r="C16" s="150" t="s">
        <v>167</v>
      </c>
      <c r="D16" s="127"/>
      <c r="E16" s="127"/>
      <c r="F16" s="330" t="s">
        <v>207</v>
      </c>
      <c r="G16" s="331"/>
      <c r="H16" s="331"/>
      <c r="I16" s="331"/>
      <c r="J16" s="331"/>
      <c r="K16" s="332"/>
      <c r="L16" s="233" t="s">
        <v>168</v>
      </c>
      <c r="M16" s="234" t="s">
        <v>169</v>
      </c>
      <c r="N16" s="235" t="s">
        <v>129</v>
      </c>
      <c r="Q16" s="333" t="str">
        <f>IF(F16&lt;&gt;"",F16,"")</f>
        <v>HOTEL ESTANPLAZA BERRINI - Av. Eng. Luis Carlos Berrini, 853 - CEP: 04571-010 - Brooklin Novo</v>
      </c>
      <c r="R16" s="334"/>
      <c r="S16" s="334"/>
      <c r="T16" s="334"/>
      <c r="U16" s="334"/>
      <c r="V16" s="334"/>
      <c r="W16" s="334"/>
      <c r="X16" s="334"/>
      <c r="Y16" s="335"/>
      <c r="Z16" s="151" t="s">
        <v>170</v>
      </c>
      <c r="AA16" s="260" t="s">
        <v>130</v>
      </c>
      <c r="AB16" s="225" t="s">
        <v>151</v>
      </c>
      <c r="AC16" s="226" t="s">
        <v>152</v>
      </c>
    </row>
    <row r="17" spans="1:29" ht="52.05" customHeight="1" x14ac:dyDescent="0.5">
      <c r="A17" s="148">
        <v>3</v>
      </c>
      <c r="B17" s="257" t="s">
        <v>174</v>
      </c>
      <c r="C17" s="149" t="s">
        <v>171</v>
      </c>
      <c r="D17" s="148" t="s">
        <v>180</v>
      </c>
      <c r="E17" s="148" t="s">
        <v>189</v>
      </c>
      <c r="F17" s="236" t="s">
        <v>194</v>
      </c>
      <c r="G17" s="237" t="s">
        <v>209</v>
      </c>
      <c r="H17" s="238">
        <v>1</v>
      </c>
      <c r="I17" s="238">
        <v>3</v>
      </c>
      <c r="J17" s="239">
        <v>2900</v>
      </c>
      <c r="K17" s="239">
        <f t="shared" ref="K17:K22" si="0">IF(F17&lt;&gt;"",H17*I17*J17,"")</f>
        <v>8700</v>
      </c>
      <c r="L17" s="239">
        <f t="shared" ref="L17:L24" si="1">IF(K17&lt;&gt;"",IF(D17="INTERNO",0,K17*$L$14),"")</f>
        <v>435</v>
      </c>
      <c r="M17" s="239">
        <f t="shared" ref="M17:M24" si="2">IF(K17&lt;&gt;"",IF(E17="FAT.OGGI",SUM(K17:L17)*(1/(1-$M$14)-1),L17*(1/(1-$M$14)-1)),"")</f>
        <v>105.5741270038524</v>
      </c>
      <c r="N17" s="240">
        <f t="shared" ref="N17:N24" si="3">SUM(K17:M17)</f>
        <v>9240.5741270038525</v>
      </c>
      <c r="Q17" s="241">
        <f t="shared" ref="Q17:R24" si="4">IF(H17&lt;&gt;"",H17,"")</f>
        <v>1</v>
      </c>
      <c r="R17" s="242">
        <f t="shared" si="4"/>
        <v>3</v>
      </c>
      <c r="S17" s="243">
        <v>2900</v>
      </c>
      <c r="T17" s="243">
        <f t="shared" ref="T17:T18" si="5">IF(Q17&lt;&gt;"",Q17*R17*S17,"")</f>
        <v>8700</v>
      </c>
      <c r="U17" s="244">
        <f t="shared" ref="U17:U24" si="6">IF(Q17&lt;&gt;"",K17-T17,"")</f>
        <v>0</v>
      </c>
      <c r="V17" s="245">
        <f t="shared" ref="V17:V24" si="7">IF(Q17&lt;&gt;"",0%,"")</f>
        <v>0</v>
      </c>
      <c r="W17" s="246">
        <f t="shared" ref="W17:W24" si="8">IF(Q17&lt;&gt;"",V17*U17,"")</f>
        <v>0</v>
      </c>
      <c r="X17" s="246">
        <f t="shared" ref="X17:X24" si="9">IF(Q17&lt;&gt;"",W17+T17,"")</f>
        <v>8700</v>
      </c>
      <c r="Y17" s="247">
        <f t="shared" ref="Y17:Y25" si="10">IF(Q17&lt;&gt;"",X17+M17,"")</f>
        <v>8805.5741270038525</v>
      </c>
      <c r="Z17" s="164">
        <f t="shared" ref="Z17:Z24" si="11">IF(Q17&lt;&gt;"",U17/K17,"")</f>
        <v>0</v>
      </c>
      <c r="AA17" s="261">
        <f>T17/T25</f>
        <v>0.28751016199710505</v>
      </c>
      <c r="AB17" s="267">
        <f>X17-AC17</f>
        <v>0</v>
      </c>
      <c r="AC17" s="268">
        <v>8700</v>
      </c>
    </row>
    <row r="18" spans="1:29" ht="78.75" customHeight="1" x14ac:dyDescent="0.5">
      <c r="A18" s="127">
        <v>4</v>
      </c>
      <c r="B18" s="257" t="s">
        <v>153</v>
      </c>
      <c r="C18" s="150" t="s">
        <v>171</v>
      </c>
      <c r="D18" s="127" t="s">
        <v>180</v>
      </c>
      <c r="E18" s="127" t="s">
        <v>189</v>
      </c>
      <c r="F18" s="152" t="s">
        <v>210</v>
      </c>
      <c r="G18" s="248" t="s">
        <v>211</v>
      </c>
      <c r="H18" s="154">
        <v>28</v>
      </c>
      <c r="I18" s="154">
        <v>1</v>
      </c>
      <c r="J18" s="155">
        <v>30</v>
      </c>
      <c r="K18" s="155">
        <f t="shared" si="0"/>
        <v>840</v>
      </c>
      <c r="L18" s="155">
        <f t="shared" ref="L18" si="12">IF(K18&lt;&gt;"",IF(D18="INTERNO",0,K18*$L$14),"")</f>
        <v>42</v>
      </c>
      <c r="M18" s="155">
        <f t="shared" ref="M18" si="13">IF(K18&lt;&gt;"",IF(E18="FAT.OGGI",SUM(K18:L18)*(1/(1-$M$14)-1),L18*(1/(1-$M$14)-1)),"")</f>
        <v>10.193363986578852</v>
      </c>
      <c r="N18" s="156">
        <f t="shared" ref="N18" si="14">SUM(K18:M18)</f>
        <v>892.1933639865789</v>
      </c>
      <c r="Q18" s="157">
        <f t="shared" ref="Q18" si="15">IF(H18&lt;&gt;"",H18,"")</f>
        <v>28</v>
      </c>
      <c r="R18" s="158">
        <f t="shared" ref="R18" si="16">IF(I18&lt;&gt;"",I18,"")</f>
        <v>1</v>
      </c>
      <c r="S18" s="159">
        <v>30</v>
      </c>
      <c r="T18" s="159">
        <f t="shared" si="5"/>
        <v>840</v>
      </c>
      <c r="U18" s="160">
        <f t="shared" ref="U18" si="17">IF(Q18&lt;&gt;"",K18-T18,"")</f>
        <v>0</v>
      </c>
      <c r="V18" s="161">
        <f t="shared" ref="V18" si="18">IF(Q18&lt;&gt;"",0%,"")</f>
        <v>0</v>
      </c>
      <c r="W18" s="162">
        <f t="shared" ref="W18" si="19">IF(Q18&lt;&gt;"",V18*U18,"")</f>
        <v>0</v>
      </c>
      <c r="X18" s="162">
        <f t="shared" ref="X18" si="20">IF(Q18&lt;&gt;"",W18+T18,"")</f>
        <v>840</v>
      </c>
      <c r="Y18" s="163">
        <f t="shared" ref="Y18" si="21">IF(Q18&lt;&gt;"",X18+M18,"")</f>
        <v>850.1933639865789</v>
      </c>
      <c r="Z18" s="164">
        <f t="shared" ref="Z18" si="22">IF(Q18&lt;&gt;"",U18/K18,"")</f>
        <v>0</v>
      </c>
      <c r="AA18" s="261">
        <f>T18/T24</f>
        <v>4.0540931862276662E-2</v>
      </c>
      <c r="AB18" s="267">
        <f t="shared" ref="AB18:AB24" si="23">X18-AC18</f>
        <v>0</v>
      </c>
      <c r="AC18" s="268">
        <v>840</v>
      </c>
    </row>
    <row r="19" spans="1:29" ht="180" x14ac:dyDescent="0.5">
      <c r="A19" s="127">
        <v>5</v>
      </c>
      <c r="B19" s="257" t="s">
        <v>201</v>
      </c>
      <c r="C19" s="150" t="s">
        <v>171</v>
      </c>
      <c r="D19" s="127" t="s">
        <v>180</v>
      </c>
      <c r="E19" s="127" t="s">
        <v>189</v>
      </c>
      <c r="F19" s="152" t="s">
        <v>195</v>
      </c>
      <c r="G19" s="248" t="s">
        <v>217</v>
      </c>
      <c r="H19" s="154">
        <v>1</v>
      </c>
      <c r="I19" s="154">
        <v>1</v>
      </c>
      <c r="J19" s="155">
        <f>3*36+73*8+126*8+3*36+69*8+2*36+243.2</f>
        <v>2675.2</v>
      </c>
      <c r="K19" s="155">
        <f t="shared" si="0"/>
        <v>2675.2</v>
      </c>
      <c r="L19" s="155">
        <f t="shared" si="1"/>
        <v>133.76</v>
      </c>
      <c r="M19" s="155">
        <f t="shared" si="2"/>
        <v>32.463437305828265</v>
      </c>
      <c r="N19" s="156">
        <f t="shared" si="3"/>
        <v>2841.4234373058284</v>
      </c>
      <c r="Q19" s="157">
        <f t="shared" si="4"/>
        <v>1</v>
      </c>
      <c r="R19" s="158">
        <f t="shared" si="4"/>
        <v>1</v>
      </c>
      <c r="S19" s="159">
        <v>2675.2</v>
      </c>
      <c r="T19" s="159"/>
      <c r="U19" s="160">
        <f t="shared" si="6"/>
        <v>2675.2</v>
      </c>
      <c r="V19" s="161">
        <f t="shared" si="7"/>
        <v>0</v>
      </c>
      <c r="W19" s="162">
        <f t="shared" si="8"/>
        <v>0</v>
      </c>
      <c r="X19" s="162">
        <f t="shared" si="9"/>
        <v>0</v>
      </c>
      <c r="Y19" s="163">
        <f t="shared" si="10"/>
        <v>32.463437305828265</v>
      </c>
      <c r="Z19" s="164">
        <f t="shared" si="11"/>
        <v>1</v>
      </c>
      <c r="AA19" s="261">
        <f>T19/T25</f>
        <v>0</v>
      </c>
      <c r="AB19" s="267">
        <f t="shared" si="23"/>
        <v>0</v>
      </c>
      <c r="AC19" s="268"/>
    </row>
    <row r="20" spans="1:29" ht="72" x14ac:dyDescent="0.5">
      <c r="A20" s="127">
        <v>6</v>
      </c>
      <c r="B20" s="257" t="s">
        <v>202</v>
      </c>
      <c r="C20" s="150" t="s">
        <v>171</v>
      </c>
      <c r="D20" s="127" t="s">
        <v>180</v>
      </c>
      <c r="E20" s="127" t="s">
        <v>189</v>
      </c>
      <c r="F20" s="152" t="s">
        <v>195</v>
      </c>
      <c r="G20" s="248" t="s">
        <v>212</v>
      </c>
      <c r="H20" s="154">
        <v>35</v>
      </c>
      <c r="I20" s="154">
        <v>3</v>
      </c>
      <c r="J20" s="155">
        <v>19.8</v>
      </c>
      <c r="K20" s="155">
        <f t="shared" si="0"/>
        <v>2079</v>
      </c>
      <c r="L20" s="155">
        <f t="shared" ref="L20:L21" si="24">IF(K20&lt;&gt;"",IF(D20="INTERNO",0,K20*$L$14),"")</f>
        <v>103.95</v>
      </c>
      <c r="M20" s="155">
        <f t="shared" ref="M20:M21" si="25">IF(K20&lt;&gt;"",IF(E20="FAT.OGGI",SUM(K20:L20)*(1/(1-$M$14)-1),L20*(1/(1-$M$14)-1)),"")</f>
        <v>25.228575866782659</v>
      </c>
      <c r="N20" s="156">
        <f t="shared" ref="N20:N21" si="26">SUM(K20:M20)</f>
        <v>2208.1785758667825</v>
      </c>
      <c r="Q20" s="157">
        <f t="shared" ref="Q20:Q21" si="27">IF(H20&lt;&gt;"",H20,"")</f>
        <v>35</v>
      </c>
      <c r="R20" s="158">
        <f t="shared" ref="R20:R21" si="28">IF(I20&lt;&gt;"",I20,"")</f>
        <v>3</v>
      </c>
      <c r="S20" s="159">
        <v>19.8</v>
      </c>
      <c r="T20" s="159"/>
      <c r="U20" s="160">
        <f t="shared" ref="U20:U21" si="29">IF(Q20&lt;&gt;"",K20-T20,"")</f>
        <v>2079</v>
      </c>
      <c r="V20" s="161">
        <f t="shared" ref="V20:V21" si="30">IF(Q20&lt;&gt;"",0%,"")</f>
        <v>0</v>
      </c>
      <c r="W20" s="162">
        <f t="shared" ref="W20:W21" si="31">IF(Q20&lt;&gt;"",V20*U20,"")</f>
        <v>0</v>
      </c>
      <c r="X20" s="162">
        <f t="shared" ref="X20:X21" si="32">IF(Q20&lt;&gt;"",W20+T20,"")</f>
        <v>0</v>
      </c>
      <c r="Y20" s="163">
        <f t="shared" ref="Y20:Y21" si="33">IF(Q20&lt;&gt;"",X20+M20,"")</f>
        <v>25.228575866782659</v>
      </c>
      <c r="Z20" s="164">
        <f t="shared" ref="Z20:Z21" si="34">IF(Q20&lt;&gt;"",U20/K20,"")</f>
        <v>1</v>
      </c>
      <c r="AA20" s="261">
        <f>T20/T26</f>
        <v>0</v>
      </c>
      <c r="AB20" s="267">
        <f t="shared" si="23"/>
        <v>0</v>
      </c>
      <c r="AC20" s="268"/>
    </row>
    <row r="21" spans="1:29" ht="87.75" customHeight="1" x14ac:dyDescent="0.5">
      <c r="A21" s="127">
        <v>7</v>
      </c>
      <c r="B21" s="257" t="s">
        <v>203</v>
      </c>
      <c r="C21" s="150" t="s">
        <v>171</v>
      </c>
      <c r="D21" s="127" t="s">
        <v>180</v>
      </c>
      <c r="E21" s="127" t="s">
        <v>189</v>
      </c>
      <c r="F21" s="152" t="s">
        <v>195</v>
      </c>
      <c r="G21" s="153" t="s">
        <v>218</v>
      </c>
      <c r="H21" s="154">
        <v>1</v>
      </c>
      <c r="I21" s="154">
        <v>1</v>
      </c>
      <c r="J21" s="155">
        <v>105.6</v>
      </c>
      <c r="K21" s="155">
        <f t="shared" si="0"/>
        <v>105.6</v>
      </c>
      <c r="L21" s="155">
        <f t="shared" si="24"/>
        <v>5.28</v>
      </c>
      <c r="M21" s="155">
        <f t="shared" si="25"/>
        <v>1.2814514725984845</v>
      </c>
      <c r="N21" s="156">
        <f t="shared" si="26"/>
        <v>112.16145147259849</v>
      </c>
      <c r="Q21" s="157">
        <f t="shared" si="27"/>
        <v>1</v>
      </c>
      <c r="R21" s="158">
        <f t="shared" si="28"/>
        <v>1</v>
      </c>
      <c r="S21" s="159">
        <v>105.6</v>
      </c>
      <c r="T21" s="159"/>
      <c r="U21" s="160">
        <f t="shared" si="29"/>
        <v>105.6</v>
      </c>
      <c r="V21" s="161">
        <f t="shared" si="30"/>
        <v>0</v>
      </c>
      <c r="W21" s="162">
        <f t="shared" si="31"/>
        <v>0</v>
      </c>
      <c r="X21" s="162">
        <f t="shared" si="32"/>
        <v>0</v>
      </c>
      <c r="Y21" s="163">
        <f t="shared" si="33"/>
        <v>1.2814514725984845</v>
      </c>
      <c r="Z21" s="164">
        <f t="shared" si="34"/>
        <v>1</v>
      </c>
      <c r="AA21" s="261">
        <f>T21/T24</f>
        <v>0</v>
      </c>
      <c r="AB21" s="267">
        <f t="shared" si="23"/>
        <v>0</v>
      </c>
      <c r="AC21" s="268"/>
    </row>
    <row r="22" spans="1:29" ht="87.75" customHeight="1" x14ac:dyDescent="0.5">
      <c r="A22" s="127">
        <v>8</v>
      </c>
      <c r="B22" s="257" t="s">
        <v>204</v>
      </c>
      <c r="C22" s="150" t="s">
        <v>171</v>
      </c>
      <c r="D22" s="127" t="s">
        <v>180</v>
      </c>
      <c r="E22" s="127" t="s">
        <v>189</v>
      </c>
      <c r="F22" s="152" t="s">
        <v>195</v>
      </c>
      <c r="G22" s="153" t="s">
        <v>219</v>
      </c>
      <c r="H22" s="154">
        <v>35</v>
      </c>
      <c r="I22" s="154">
        <v>6</v>
      </c>
      <c r="J22" s="155">
        <v>49.5</v>
      </c>
      <c r="K22" s="155">
        <f t="shared" si="0"/>
        <v>10395</v>
      </c>
      <c r="L22" s="155">
        <f t="shared" si="1"/>
        <v>519.75</v>
      </c>
      <c r="M22" s="155">
        <f t="shared" si="2"/>
        <v>126.1428793339133</v>
      </c>
      <c r="N22" s="156">
        <f t="shared" si="3"/>
        <v>11040.892879333913</v>
      </c>
      <c r="Q22" s="157">
        <f t="shared" si="4"/>
        <v>35</v>
      </c>
      <c r="R22" s="158">
        <f t="shared" si="4"/>
        <v>6</v>
      </c>
      <c r="S22" s="159">
        <v>49.5</v>
      </c>
      <c r="T22" s="159"/>
      <c r="U22" s="160">
        <f t="shared" si="6"/>
        <v>10395</v>
      </c>
      <c r="V22" s="161">
        <f t="shared" si="7"/>
        <v>0</v>
      </c>
      <c r="W22" s="162">
        <f t="shared" si="8"/>
        <v>0</v>
      </c>
      <c r="X22" s="162">
        <f t="shared" si="9"/>
        <v>0</v>
      </c>
      <c r="Y22" s="163">
        <f t="shared" si="10"/>
        <v>126.1428793339133</v>
      </c>
      <c r="Z22" s="164">
        <f t="shared" si="11"/>
        <v>1</v>
      </c>
      <c r="AA22" s="261">
        <f>T22/T25</f>
        <v>0</v>
      </c>
      <c r="AB22" s="267">
        <f t="shared" si="23"/>
        <v>0</v>
      </c>
      <c r="AC22" s="268"/>
    </row>
    <row r="23" spans="1:29" ht="96" customHeight="1" x14ac:dyDescent="0.5">
      <c r="A23" s="127">
        <v>9</v>
      </c>
      <c r="B23" s="257" t="s">
        <v>205</v>
      </c>
      <c r="C23" s="150" t="s">
        <v>171</v>
      </c>
      <c r="D23" s="127" t="s">
        <v>180</v>
      </c>
      <c r="E23" s="127" t="s">
        <v>189</v>
      </c>
      <c r="F23" s="152" t="s">
        <v>220</v>
      </c>
      <c r="G23" s="153" t="s">
        <v>221</v>
      </c>
      <c r="H23" s="154">
        <v>35</v>
      </c>
      <c r="I23" s="154">
        <v>3</v>
      </c>
      <c r="J23" s="155">
        <v>115.5</v>
      </c>
      <c r="K23" s="155">
        <v>0</v>
      </c>
      <c r="L23" s="155">
        <f t="shared" si="1"/>
        <v>0</v>
      </c>
      <c r="M23" s="155">
        <f t="shared" si="2"/>
        <v>0</v>
      </c>
      <c r="N23" s="156">
        <f t="shared" si="3"/>
        <v>0</v>
      </c>
      <c r="Q23" s="157">
        <v>1</v>
      </c>
      <c r="R23" s="158">
        <v>1</v>
      </c>
      <c r="S23" s="249">
        <f>-T22*5%+-(T17)*10%</f>
        <v>-870</v>
      </c>
      <c r="T23" s="249"/>
      <c r="U23" s="160">
        <f t="shared" si="6"/>
        <v>0</v>
      </c>
      <c r="V23" s="161">
        <f t="shared" si="7"/>
        <v>0</v>
      </c>
      <c r="W23" s="162">
        <f t="shared" si="8"/>
        <v>0</v>
      </c>
      <c r="X23" s="162">
        <f t="shared" si="9"/>
        <v>0</v>
      </c>
      <c r="Y23" s="163">
        <f t="shared" si="10"/>
        <v>0</v>
      </c>
      <c r="Z23" s="164" t="e">
        <f t="shared" si="11"/>
        <v>#DIV/0!</v>
      </c>
      <c r="AA23" s="261">
        <f>T23/T25</f>
        <v>0</v>
      </c>
      <c r="AB23" s="267">
        <f t="shared" si="23"/>
        <v>0</v>
      </c>
      <c r="AC23" s="268"/>
    </row>
    <row r="24" spans="1:29" ht="108.6" thickBot="1" x14ac:dyDescent="0.55000000000000004">
      <c r="A24" s="127">
        <v>10</v>
      </c>
      <c r="B24" s="257" t="s">
        <v>214</v>
      </c>
      <c r="C24" s="150" t="s">
        <v>171</v>
      </c>
      <c r="D24" s="127" t="s">
        <v>180</v>
      </c>
      <c r="E24" s="127" t="s">
        <v>189</v>
      </c>
      <c r="F24" s="152" t="s">
        <v>196</v>
      </c>
      <c r="G24" s="153" t="s">
        <v>213</v>
      </c>
      <c r="H24" s="154">
        <v>1</v>
      </c>
      <c r="I24" s="154">
        <v>3</v>
      </c>
      <c r="J24" s="250">
        <v>1615</v>
      </c>
      <c r="K24" s="155">
        <f>IF(F24&lt;&gt;"",H24*I24*J24,"")+620</f>
        <v>5465</v>
      </c>
      <c r="L24" s="155">
        <f t="shared" si="1"/>
        <v>273.25</v>
      </c>
      <c r="M24" s="155">
        <f t="shared" si="2"/>
        <v>66.31754069839694</v>
      </c>
      <c r="N24" s="156">
        <f t="shared" si="3"/>
        <v>5804.5675406983974</v>
      </c>
      <c r="Q24" s="157">
        <f t="shared" si="4"/>
        <v>1</v>
      </c>
      <c r="R24" s="158">
        <v>3</v>
      </c>
      <c r="S24" s="159">
        <v>1615</v>
      </c>
      <c r="T24" s="159">
        <v>20719.8</v>
      </c>
      <c r="U24" s="160">
        <f t="shared" si="6"/>
        <v>-15254.8</v>
      </c>
      <c r="V24" s="161">
        <f t="shared" si="7"/>
        <v>0</v>
      </c>
      <c r="W24" s="162">
        <f t="shared" si="8"/>
        <v>0</v>
      </c>
      <c r="X24" s="162">
        <f t="shared" si="9"/>
        <v>20719.8</v>
      </c>
      <c r="Y24" s="163">
        <f t="shared" si="10"/>
        <v>20786.117540698397</v>
      </c>
      <c r="Z24" s="164">
        <f t="shared" si="11"/>
        <v>-2.7913632204940528</v>
      </c>
      <c r="AA24" s="261">
        <f>T24/T25</f>
        <v>0.68473023615489859</v>
      </c>
      <c r="AB24" s="267">
        <f t="shared" si="23"/>
        <v>0</v>
      </c>
      <c r="AC24" s="268">
        <v>20719.8</v>
      </c>
    </row>
    <row r="25" spans="1:29" ht="30.75" customHeight="1" thickBot="1" x14ac:dyDescent="0.55000000000000004">
      <c r="A25" s="127">
        <v>11</v>
      </c>
      <c r="B25" s="257"/>
      <c r="C25" s="150" t="s">
        <v>178</v>
      </c>
      <c r="D25" s="127"/>
      <c r="E25" s="127"/>
      <c r="F25" s="336" t="s">
        <v>181</v>
      </c>
      <c r="G25" s="337"/>
      <c r="H25" s="337"/>
      <c r="I25" s="337"/>
      <c r="J25" s="337"/>
      <c r="K25" s="100">
        <f>SUM(K17:K24)</f>
        <v>30259.800000000003</v>
      </c>
      <c r="L25" s="100">
        <f>SUM(L17:L24)</f>
        <v>1512.99</v>
      </c>
      <c r="M25" s="100">
        <f>SUM(M17:M24)</f>
        <v>367.20137566795091</v>
      </c>
      <c r="N25" s="101">
        <f>SUM(N17:N24)</f>
        <v>32139.991375667949</v>
      </c>
      <c r="Q25" s="336" t="s">
        <v>181</v>
      </c>
      <c r="R25" s="337"/>
      <c r="S25" s="337"/>
      <c r="T25" s="88">
        <f>SUM(T17:T24)</f>
        <v>30259.8</v>
      </c>
      <c r="U25" s="89">
        <f>SUM(U17:U24)</f>
        <v>0</v>
      </c>
      <c r="V25" s="165"/>
      <c r="W25" s="165"/>
      <c r="X25" s="90">
        <f>SUM(X17:X24)</f>
        <v>30259.8</v>
      </c>
      <c r="Y25" s="102">
        <f t="shared" si="10"/>
        <v>30627.001375667951</v>
      </c>
      <c r="Z25" s="251" t="s">
        <v>184</v>
      </c>
      <c r="AA25" s="262" t="s">
        <v>185</v>
      </c>
      <c r="AB25" s="267"/>
      <c r="AC25" s="268"/>
    </row>
    <row r="26" spans="1:29" ht="39" customHeight="1" thickBot="1" x14ac:dyDescent="0.55000000000000004">
      <c r="A26" s="166">
        <v>12</v>
      </c>
      <c r="B26" s="258"/>
      <c r="C26" s="167" t="s">
        <v>182</v>
      </c>
      <c r="D26" s="166"/>
      <c r="E26" s="166"/>
      <c r="F26" s="168" t="s">
        <v>183</v>
      </c>
      <c r="G26" s="169"/>
      <c r="H26" s="170"/>
      <c r="I26" s="170"/>
      <c r="J26" s="169"/>
      <c r="K26" s="171">
        <f>SUM(K17:K24)</f>
        <v>30259.800000000003</v>
      </c>
      <c r="L26" s="171">
        <f>SUM(L17:L24)</f>
        <v>1512.99</v>
      </c>
      <c r="M26" s="171">
        <f>SUM(M17:M24)</f>
        <v>367.20137566795091</v>
      </c>
      <c r="N26" s="172">
        <f>SUM(N17:N24)</f>
        <v>32139.991375667949</v>
      </c>
      <c r="Q26" s="173" t="s">
        <v>43</v>
      </c>
      <c r="R26" s="170"/>
      <c r="S26" s="169"/>
      <c r="T26" s="171">
        <f>SUM(T17:T24)</f>
        <v>30259.8</v>
      </c>
      <c r="U26" s="171">
        <f>SUM(U17:U24)</f>
        <v>0</v>
      </c>
      <c r="V26" s="169"/>
      <c r="W26" s="169"/>
      <c r="X26" s="171">
        <f>SUM(X17:X24)</f>
        <v>30259.8</v>
      </c>
      <c r="Y26" s="172">
        <f>SUM(Y17:Y24)</f>
        <v>30627.001375667947</v>
      </c>
      <c r="Z26" s="174">
        <f>IF(Q26&lt;&gt;"",(N26-Y26)/N26,"")</f>
        <v>4.7074997074997127E-2</v>
      </c>
      <c r="AA26" s="263">
        <f>IF(Z26&lt;&gt;"",(N26-Y26),"")</f>
        <v>1512.9900000000016</v>
      </c>
      <c r="AB26" s="267">
        <f>SUM(AB17:AB25)</f>
        <v>0</v>
      </c>
      <c r="AC26" s="268">
        <f>SUM(AC17:AC25)</f>
        <v>30259.8</v>
      </c>
    </row>
    <row r="27" spans="1:29" x14ac:dyDescent="0.35">
      <c r="N27" s="252"/>
    </row>
    <row r="30" spans="1:29" ht="25.8" x14ac:dyDescent="0.5">
      <c r="AB30" s="272">
        <v>0</v>
      </c>
      <c r="AC30" s="273" t="s">
        <v>168</v>
      </c>
    </row>
    <row r="31" spans="1:29" ht="25.8" x14ac:dyDescent="0.5">
      <c r="AB31" s="271">
        <v>0</v>
      </c>
      <c r="AC31" s="265" t="s">
        <v>169</v>
      </c>
    </row>
    <row r="32" spans="1:29" ht="25.8" x14ac:dyDescent="0.5">
      <c r="AB32" s="271">
        <f>X26</f>
        <v>30259.8</v>
      </c>
      <c r="AC32" s="265" t="s">
        <v>215</v>
      </c>
    </row>
    <row r="33" spans="28:29" ht="25.8" x14ac:dyDescent="0.5">
      <c r="AB33" s="269">
        <f>N26-AB32</f>
        <v>1880.1913756679496</v>
      </c>
      <c r="AC33" s="266" t="s">
        <v>216</v>
      </c>
    </row>
    <row r="34" spans="28:29" ht="25.8" x14ac:dyDescent="0.5">
      <c r="AB34" s="270">
        <f>AB33*100%/N26</f>
        <v>5.8500058500058467E-2</v>
      </c>
      <c r="AC34" s="266"/>
    </row>
  </sheetData>
  <mergeCells count="13">
    <mergeCell ref="AD12:AF12"/>
    <mergeCell ref="AH12:AI12"/>
    <mergeCell ref="AB14:AC14"/>
    <mergeCell ref="F15:N15"/>
    <mergeCell ref="Q15:Y15"/>
    <mergeCell ref="F16:K16"/>
    <mergeCell ref="Q16:Y16"/>
    <mergeCell ref="F25:J25"/>
    <mergeCell ref="Q25:S25"/>
    <mergeCell ref="F1:G1"/>
    <mergeCell ref="F2:G2"/>
    <mergeCell ref="Q12:T12"/>
    <mergeCell ref="U12:X12"/>
  </mergeCells>
  <dataValidations count="3">
    <dataValidation type="list" allowBlank="1" showInputMessage="1" showErrorMessage="1" sqref="E26" xr:uid="{C0CEC63A-0DB7-431B-B1CA-27630958E128}">
      <formula1>"FAT.OGGI,FAT.CLIENTE "</formula1>
    </dataValidation>
    <dataValidation type="list" allowBlank="1" showInputMessage="1" showErrorMessage="1" sqref="D26 D17:D24" xr:uid="{AB63FC7B-6D48-4188-A026-795D2EEAE76F}">
      <formula1>"INTERNO,OPERACIONAL"</formula1>
    </dataValidation>
    <dataValidation type="list" allowBlank="1" showInputMessage="1" showErrorMessage="1" sqref="E17:E24" xr:uid="{A244A439-3E3E-4058-AAFB-863628E4B490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D39" sqref="D39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355" t="s">
        <v>11</v>
      </c>
      <c r="B1" s="355"/>
      <c r="C1" s="355"/>
      <c r="D1" s="357" t="s">
        <v>80</v>
      </c>
      <c r="E1" s="357"/>
      <c r="F1" s="357"/>
      <c r="G1" s="357"/>
      <c r="H1" s="357"/>
      <c r="I1" s="357"/>
      <c r="J1" s="29" t="s">
        <v>11</v>
      </c>
      <c r="K1" s="29" t="s">
        <v>11</v>
      </c>
      <c r="L1" s="29" t="s">
        <v>11</v>
      </c>
      <c r="M1" s="29" t="s">
        <v>11</v>
      </c>
      <c r="N1" s="29" t="s">
        <v>11</v>
      </c>
      <c r="O1" s="30" t="s">
        <v>11</v>
      </c>
    </row>
    <row r="2" spans="1:15" x14ac:dyDescent="0.3">
      <c r="A2" s="356"/>
      <c r="B2" s="356"/>
      <c r="C2" s="356"/>
      <c r="D2" s="355" t="s">
        <v>81</v>
      </c>
      <c r="E2" s="355"/>
      <c r="F2" s="355"/>
      <c r="G2" s="355"/>
      <c r="H2" s="355"/>
      <c r="I2" s="355"/>
      <c r="J2" s="29"/>
      <c r="K2" s="29"/>
      <c r="L2" s="29"/>
      <c r="M2" s="29"/>
      <c r="N2" s="29"/>
      <c r="O2" s="358" t="s">
        <v>82</v>
      </c>
    </row>
    <row r="3" spans="1:15" x14ac:dyDescent="0.3">
      <c r="A3" s="356"/>
      <c r="B3" s="356"/>
      <c r="C3" s="356"/>
      <c r="D3" s="355" t="s">
        <v>83</v>
      </c>
      <c r="E3" s="355"/>
      <c r="F3" s="355"/>
      <c r="G3" s="355"/>
      <c r="H3" s="355"/>
      <c r="I3" s="355"/>
      <c r="J3" s="29"/>
      <c r="K3" s="29"/>
      <c r="L3" s="29"/>
      <c r="M3" s="29"/>
      <c r="N3" s="29"/>
      <c r="O3" s="359"/>
    </row>
    <row r="4" spans="1:15" x14ac:dyDescent="0.3">
      <c r="A4" s="356"/>
      <c r="B4" s="356"/>
      <c r="C4" s="356"/>
      <c r="D4" s="355" t="s">
        <v>84</v>
      </c>
      <c r="E4" s="355"/>
      <c r="F4" s="355"/>
      <c r="G4" s="355"/>
      <c r="H4" s="355"/>
      <c r="I4" s="355"/>
      <c r="J4" s="29"/>
      <c r="K4" s="29"/>
      <c r="L4" s="29"/>
      <c r="M4" s="29"/>
      <c r="N4" s="29"/>
      <c r="O4" s="359"/>
    </row>
    <row r="5" spans="1:15" x14ac:dyDescent="0.3">
      <c r="A5" s="356"/>
      <c r="B5" s="356"/>
      <c r="C5" s="356"/>
      <c r="D5" s="355" t="s">
        <v>85</v>
      </c>
      <c r="E5" s="355"/>
      <c r="F5" s="355"/>
      <c r="G5" s="355"/>
      <c r="H5" s="355"/>
      <c r="I5" s="355"/>
      <c r="J5" s="29"/>
      <c r="K5" s="29"/>
      <c r="L5" s="29"/>
      <c r="M5" s="29"/>
      <c r="N5" s="29"/>
      <c r="O5" s="359"/>
    </row>
    <row r="6" spans="1:15" x14ac:dyDescent="0.3">
      <c r="A6" s="356"/>
      <c r="B6" s="356"/>
      <c r="C6" s="356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359"/>
    </row>
    <row r="7" spans="1:15" x14ac:dyDescent="0.3">
      <c r="A7" s="356"/>
      <c r="B7" s="356"/>
      <c r="C7" s="356"/>
      <c r="D7" s="355" t="s">
        <v>86</v>
      </c>
      <c r="E7" s="355"/>
      <c r="F7" s="355"/>
      <c r="G7" s="355"/>
      <c r="H7" s="355"/>
      <c r="I7" s="355"/>
      <c r="J7" s="29"/>
      <c r="K7" s="29"/>
      <c r="L7" s="29"/>
      <c r="M7" s="29"/>
      <c r="N7" s="29"/>
      <c r="O7" s="31">
        <v>45264.482613275461</v>
      </c>
    </row>
    <row r="8" spans="1:15" x14ac:dyDescent="0.3">
      <c r="A8" s="354" t="s">
        <v>87</v>
      </c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</row>
    <row r="9" spans="1:15" ht="27.6" x14ac:dyDescent="0.3">
      <c r="A9" s="32" t="s">
        <v>88</v>
      </c>
      <c r="B9" s="32" t="s">
        <v>89</v>
      </c>
      <c r="C9" s="32" t="s">
        <v>90</v>
      </c>
      <c r="D9" s="32" t="s">
        <v>52</v>
      </c>
      <c r="E9" s="32" t="s">
        <v>91</v>
      </c>
      <c r="F9" s="32" t="s">
        <v>92</v>
      </c>
      <c r="G9" s="32" t="s">
        <v>34</v>
      </c>
      <c r="H9" s="32" t="s">
        <v>93</v>
      </c>
      <c r="I9" s="32" t="s">
        <v>94</v>
      </c>
      <c r="J9" s="32" t="s">
        <v>92</v>
      </c>
      <c r="K9" s="32" t="s">
        <v>95</v>
      </c>
      <c r="L9" s="32" t="s">
        <v>96</v>
      </c>
      <c r="M9" s="32" t="s">
        <v>97</v>
      </c>
      <c r="N9" s="32" t="s">
        <v>98</v>
      </c>
      <c r="O9" s="33" t="s">
        <v>99</v>
      </c>
    </row>
    <row r="10" spans="1:15" x14ac:dyDescent="0.3">
      <c r="A10" s="34" t="s">
        <v>49</v>
      </c>
      <c r="B10" s="35">
        <v>1</v>
      </c>
      <c r="C10" s="34" t="s">
        <v>109</v>
      </c>
      <c r="D10" s="34" t="s">
        <v>63</v>
      </c>
      <c r="E10" s="34">
        <v>1</v>
      </c>
      <c r="F10" s="36">
        <v>20000</v>
      </c>
      <c r="G10" s="36">
        <v>20000</v>
      </c>
      <c r="H10" s="34" t="s">
        <v>103</v>
      </c>
      <c r="I10" s="36">
        <v>9900</v>
      </c>
      <c r="J10" s="36">
        <v>9900</v>
      </c>
      <c r="K10" s="36" t="s">
        <v>104</v>
      </c>
      <c r="L10" s="37" t="s">
        <v>105</v>
      </c>
      <c r="M10" s="37" t="s">
        <v>105</v>
      </c>
      <c r="N10" s="36">
        <v>0</v>
      </c>
      <c r="O10" s="38" t="s">
        <v>11</v>
      </c>
    </row>
    <row r="11" spans="1:15" x14ac:dyDescent="0.3">
      <c r="A11" s="39" t="s">
        <v>49</v>
      </c>
      <c r="B11" s="40">
        <v>2</v>
      </c>
      <c r="C11" s="39" t="s">
        <v>110</v>
      </c>
      <c r="D11" s="39" t="s">
        <v>72</v>
      </c>
      <c r="E11" s="39">
        <v>1</v>
      </c>
      <c r="F11" s="41">
        <v>11500</v>
      </c>
      <c r="G11" s="41">
        <v>11500</v>
      </c>
      <c r="H11" s="39" t="s">
        <v>103</v>
      </c>
      <c r="I11" s="41">
        <v>7400</v>
      </c>
      <c r="J11" s="41">
        <v>7400</v>
      </c>
      <c r="K11" s="41" t="s">
        <v>104</v>
      </c>
      <c r="L11" s="42" t="s">
        <v>105</v>
      </c>
      <c r="M11" s="42" t="s">
        <v>105</v>
      </c>
      <c r="N11" s="41">
        <v>0</v>
      </c>
      <c r="O11" s="43" t="s">
        <v>11</v>
      </c>
    </row>
    <row r="12" spans="1:15" x14ac:dyDescent="0.3">
      <c r="A12" s="34" t="s">
        <v>106</v>
      </c>
      <c r="B12" s="35">
        <v>3</v>
      </c>
      <c r="C12" s="34" t="s">
        <v>111</v>
      </c>
      <c r="D12" s="34" t="s">
        <v>73</v>
      </c>
      <c r="E12" s="34">
        <v>1</v>
      </c>
      <c r="F12" s="36">
        <v>1000</v>
      </c>
      <c r="G12" s="36">
        <v>1000</v>
      </c>
      <c r="H12" s="34" t="s">
        <v>103</v>
      </c>
      <c r="I12" s="36">
        <v>900</v>
      </c>
      <c r="J12" s="36">
        <v>900</v>
      </c>
      <c r="K12" s="36" t="s">
        <v>104</v>
      </c>
      <c r="L12" s="37" t="s">
        <v>112</v>
      </c>
      <c r="M12" s="37" t="s">
        <v>105</v>
      </c>
      <c r="N12" s="36">
        <v>0</v>
      </c>
      <c r="O12" s="38" t="s">
        <v>74</v>
      </c>
    </row>
    <row r="13" spans="1:15" x14ac:dyDescent="0.3">
      <c r="A13" s="39" t="s">
        <v>106</v>
      </c>
      <c r="B13" s="40">
        <v>4</v>
      </c>
      <c r="C13" s="39" t="s">
        <v>113</v>
      </c>
      <c r="D13" s="39" t="s">
        <v>75</v>
      </c>
      <c r="E13" s="39">
        <v>1</v>
      </c>
      <c r="F13" s="41">
        <v>2000</v>
      </c>
      <c r="G13" s="41">
        <v>2000</v>
      </c>
      <c r="H13" s="39" t="s">
        <v>103</v>
      </c>
      <c r="I13" s="41">
        <v>500</v>
      </c>
      <c r="J13" s="41">
        <v>500</v>
      </c>
      <c r="K13" s="41" t="s">
        <v>104</v>
      </c>
      <c r="L13" s="42" t="s">
        <v>112</v>
      </c>
      <c r="M13" s="42" t="s">
        <v>105</v>
      </c>
      <c r="N13" s="41">
        <v>0</v>
      </c>
      <c r="O13" s="43" t="s">
        <v>76</v>
      </c>
    </row>
    <row r="14" spans="1:15" x14ac:dyDescent="0.3">
      <c r="A14" s="34" t="s">
        <v>106</v>
      </c>
      <c r="B14" s="35">
        <v>5</v>
      </c>
      <c r="C14" s="34" t="s">
        <v>114</v>
      </c>
      <c r="D14" s="34" t="s">
        <v>59</v>
      </c>
      <c r="E14" s="34">
        <v>1</v>
      </c>
      <c r="F14" s="36">
        <v>4000</v>
      </c>
      <c r="G14" s="36">
        <v>4000</v>
      </c>
      <c r="H14" s="34" t="s">
        <v>103</v>
      </c>
      <c r="I14" s="36">
        <v>2000</v>
      </c>
      <c r="J14" s="36">
        <v>2000</v>
      </c>
      <c r="K14" s="36" t="s">
        <v>104</v>
      </c>
      <c r="L14" s="37" t="s">
        <v>112</v>
      </c>
      <c r="M14" s="37" t="s">
        <v>105</v>
      </c>
      <c r="N14" s="36">
        <v>0</v>
      </c>
      <c r="O14" s="38" t="s">
        <v>61</v>
      </c>
    </row>
    <row r="15" spans="1:15" x14ac:dyDescent="0.3">
      <c r="A15" s="39" t="s">
        <v>108</v>
      </c>
      <c r="B15" s="40">
        <v>6</v>
      </c>
      <c r="C15" s="39" t="s">
        <v>115</v>
      </c>
      <c r="D15" s="39" t="s">
        <v>107</v>
      </c>
      <c r="E15" s="39">
        <v>1</v>
      </c>
      <c r="F15" s="41">
        <v>0</v>
      </c>
      <c r="G15" s="41">
        <v>0</v>
      </c>
      <c r="H15" s="39" t="s">
        <v>103</v>
      </c>
      <c r="I15" s="41">
        <v>1000</v>
      </c>
      <c r="J15" s="41">
        <v>1000</v>
      </c>
      <c r="K15" s="41" t="s">
        <v>104</v>
      </c>
      <c r="L15" s="42" t="s">
        <v>112</v>
      </c>
      <c r="M15" s="42" t="s">
        <v>105</v>
      </c>
      <c r="N15" s="41">
        <v>0</v>
      </c>
      <c r="O15" s="43" t="s">
        <v>11</v>
      </c>
    </row>
    <row r="16" spans="1:15" x14ac:dyDescent="0.3">
      <c r="A16" s="34" t="s">
        <v>106</v>
      </c>
      <c r="B16" s="35">
        <v>7</v>
      </c>
      <c r="C16" s="34" t="s">
        <v>116</v>
      </c>
      <c r="D16" s="34" t="s">
        <v>60</v>
      </c>
      <c r="E16" s="34">
        <v>1</v>
      </c>
      <c r="F16" s="36">
        <v>2000</v>
      </c>
      <c r="G16" s="36">
        <v>2000</v>
      </c>
      <c r="H16" s="34" t="s">
        <v>103</v>
      </c>
      <c r="I16" s="36">
        <v>1000</v>
      </c>
      <c r="J16" s="36">
        <v>1000</v>
      </c>
      <c r="K16" s="36" t="s">
        <v>104</v>
      </c>
      <c r="L16" s="37" t="s">
        <v>112</v>
      </c>
      <c r="M16" s="37" t="s">
        <v>105</v>
      </c>
      <c r="N16" s="36">
        <v>0</v>
      </c>
      <c r="O16" s="38" t="s">
        <v>62</v>
      </c>
    </row>
    <row r="17" spans="1:15" x14ac:dyDescent="0.3">
      <c r="A17" s="39" t="s">
        <v>108</v>
      </c>
      <c r="B17" s="40">
        <v>14</v>
      </c>
      <c r="C17" s="39" t="s">
        <v>117</v>
      </c>
      <c r="D17" s="39" t="s">
        <v>79</v>
      </c>
      <c r="E17" s="39">
        <v>1</v>
      </c>
      <c r="F17" s="41">
        <v>2500</v>
      </c>
      <c r="G17" s="41">
        <v>2500</v>
      </c>
      <c r="H17" s="39" t="s">
        <v>103</v>
      </c>
      <c r="I17" s="41">
        <v>2000</v>
      </c>
      <c r="J17" s="41">
        <v>2000</v>
      </c>
      <c r="K17" s="41" t="s">
        <v>118</v>
      </c>
      <c r="L17" s="42" t="s">
        <v>119</v>
      </c>
      <c r="M17" s="42" t="s">
        <v>105</v>
      </c>
      <c r="N17" s="41">
        <v>0</v>
      </c>
      <c r="O17" s="43" t="s">
        <v>11</v>
      </c>
    </row>
    <row r="18" spans="1:15" x14ac:dyDescent="0.3">
      <c r="A18" s="34" t="s">
        <v>49</v>
      </c>
      <c r="B18" s="35">
        <v>8</v>
      </c>
      <c r="C18" s="34" t="s">
        <v>120</v>
      </c>
      <c r="D18" s="34" t="s">
        <v>77</v>
      </c>
      <c r="E18" s="34">
        <v>1</v>
      </c>
      <c r="F18" s="36">
        <v>8500</v>
      </c>
      <c r="G18" s="36">
        <v>8500</v>
      </c>
      <c r="H18" s="34" t="s">
        <v>103</v>
      </c>
      <c r="I18" s="36">
        <v>2500</v>
      </c>
      <c r="J18" s="36">
        <v>2500</v>
      </c>
      <c r="K18" s="36" t="s">
        <v>104</v>
      </c>
      <c r="L18" s="37" t="s">
        <v>105</v>
      </c>
      <c r="M18" s="37" t="s">
        <v>105</v>
      </c>
      <c r="N18" s="36">
        <v>0</v>
      </c>
      <c r="O18" s="38" t="s">
        <v>11</v>
      </c>
    </row>
    <row r="19" spans="1:15" ht="72" x14ac:dyDescent="0.3">
      <c r="A19" s="39" t="s">
        <v>106</v>
      </c>
      <c r="B19" s="40">
        <v>9</v>
      </c>
      <c r="C19" s="39" t="s">
        <v>121</v>
      </c>
      <c r="D19" s="39" t="s">
        <v>64</v>
      </c>
      <c r="E19" s="39">
        <v>2</v>
      </c>
      <c r="F19" s="41">
        <v>2000</v>
      </c>
      <c r="G19" s="41">
        <v>4000</v>
      </c>
      <c r="H19" s="39" t="s">
        <v>103</v>
      </c>
      <c r="I19" s="41">
        <v>1000</v>
      </c>
      <c r="J19" s="41">
        <v>500</v>
      </c>
      <c r="K19" s="41" t="s">
        <v>104</v>
      </c>
      <c r="L19" s="42" t="s">
        <v>112</v>
      </c>
      <c r="M19" s="42" t="s">
        <v>105</v>
      </c>
      <c r="N19" s="41">
        <v>0</v>
      </c>
      <c r="O19" s="44" t="s">
        <v>65</v>
      </c>
    </row>
    <row r="20" spans="1:15" ht="28.8" x14ac:dyDescent="0.3">
      <c r="A20" s="34" t="s">
        <v>106</v>
      </c>
      <c r="B20" s="35">
        <v>10</v>
      </c>
      <c r="C20" s="34" t="s">
        <v>122</v>
      </c>
      <c r="D20" s="34" t="s">
        <v>66</v>
      </c>
      <c r="E20" s="34">
        <v>3</v>
      </c>
      <c r="F20" s="36">
        <v>1500</v>
      </c>
      <c r="G20" s="36">
        <v>4500</v>
      </c>
      <c r="H20" s="34" t="s">
        <v>103</v>
      </c>
      <c r="I20" s="36">
        <v>1500</v>
      </c>
      <c r="J20" s="36">
        <v>500</v>
      </c>
      <c r="K20" s="36" t="s">
        <v>104</v>
      </c>
      <c r="L20" s="37" t="s">
        <v>112</v>
      </c>
      <c r="M20" s="37" t="s">
        <v>105</v>
      </c>
      <c r="N20" s="36">
        <v>0</v>
      </c>
      <c r="O20" s="45" t="s">
        <v>67</v>
      </c>
    </row>
    <row r="21" spans="1:15" x14ac:dyDescent="0.3">
      <c r="A21" s="39" t="s">
        <v>49</v>
      </c>
      <c r="B21" s="40">
        <v>11</v>
      </c>
      <c r="C21" s="39" t="s">
        <v>123</v>
      </c>
      <c r="D21" s="39" t="s">
        <v>68</v>
      </c>
      <c r="E21" s="39">
        <v>1</v>
      </c>
      <c r="F21" s="41">
        <v>7000</v>
      </c>
      <c r="G21" s="41">
        <v>7000</v>
      </c>
      <c r="H21" s="39" t="s">
        <v>103</v>
      </c>
      <c r="I21" s="41">
        <v>300</v>
      </c>
      <c r="J21" s="41">
        <v>300</v>
      </c>
      <c r="K21" s="41" t="s">
        <v>104</v>
      </c>
      <c r="L21" s="42" t="s">
        <v>105</v>
      </c>
      <c r="M21" s="42" t="s">
        <v>105</v>
      </c>
      <c r="N21" s="41">
        <v>0</v>
      </c>
      <c r="O21" s="43" t="s">
        <v>11</v>
      </c>
    </row>
    <row r="22" spans="1:15" x14ac:dyDescent="0.3">
      <c r="A22" s="34" t="s">
        <v>49</v>
      </c>
      <c r="B22" s="35">
        <v>12</v>
      </c>
      <c r="C22" s="34" t="s">
        <v>124</v>
      </c>
      <c r="D22" s="34" t="s">
        <v>69</v>
      </c>
      <c r="E22" s="34">
        <v>1</v>
      </c>
      <c r="F22" s="36">
        <v>7000</v>
      </c>
      <c r="G22" s="36">
        <v>7000</v>
      </c>
      <c r="H22" s="34" t="s">
        <v>103</v>
      </c>
      <c r="I22" s="36">
        <v>300</v>
      </c>
      <c r="J22" s="36">
        <v>300</v>
      </c>
      <c r="K22" s="36" t="s">
        <v>104</v>
      </c>
      <c r="L22" s="37" t="s">
        <v>105</v>
      </c>
      <c r="M22" s="37" t="s">
        <v>105</v>
      </c>
      <c r="N22" s="36">
        <v>0</v>
      </c>
      <c r="O22" s="38" t="s">
        <v>11</v>
      </c>
    </row>
    <row r="23" spans="1:15" x14ac:dyDescent="0.3">
      <c r="A23" s="39" t="s">
        <v>106</v>
      </c>
      <c r="B23" s="40">
        <v>13</v>
      </c>
      <c r="C23" s="39" t="s">
        <v>125</v>
      </c>
      <c r="D23" s="39" t="s">
        <v>78</v>
      </c>
      <c r="E23" s="39">
        <v>1</v>
      </c>
      <c r="F23" s="41">
        <v>5000</v>
      </c>
      <c r="G23" s="41">
        <v>5000</v>
      </c>
      <c r="H23" s="39" t="s">
        <v>103</v>
      </c>
      <c r="I23" s="41">
        <v>200</v>
      </c>
      <c r="J23" s="41">
        <v>200</v>
      </c>
      <c r="K23" s="41" t="s">
        <v>104</v>
      </c>
      <c r="L23" s="42" t="s">
        <v>112</v>
      </c>
      <c r="M23" s="42" t="s">
        <v>105</v>
      </c>
      <c r="N23" s="41">
        <v>0</v>
      </c>
      <c r="O23" s="43" t="s">
        <v>11</v>
      </c>
    </row>
    <row r="24" spans="1:15" x14ac:dyDescent="0.3">
      <c r="A24" s="34" t="s">
        <v>106</v>
      </c>
      <c r="B24" s="35">
        <v>15</v>
      </c>
      <c r="C24" s="34" t="s">
        <v>126</v>
      </c>
      <c r="D24" s="34" t="s">
        <v>79</v>
      </c>
      <c r="E24" s="34">
        <v>1</v>
      </c>
      <c r="F24" s="36">
        <v>2000</v>
      </c>
      <c r="G24" s="36">
        <v>2000</v>
      </c>
      <c r="H24" s="34" t="s">
        <v>103</v>
      </c>
      <c r="I24" s="36">
        <v>100</v>
      </c>
      <c r="J24" s="36">
        <v>100</v>
      </c>
      <c r="K24" s="36" t="s">
        <v>104</v>
      </c>
      <c r="L24" s="37" t="s">
        <v>112</v>
      </c>
      <c r="M24" s="37" t="s">
        <v>105</v>
      </c>
      <c r="N24" s="36">
        <v>0</v>
      </c>
      <c r="O24" s="38" t="s">
        <v>11</v>
      </c>
    </row>
    <row r="25" spans="1:15" x14ac:dyDescent="0.3">
      <c r="A25" s="39"/>
      <c r="B25" s="40"/>
      <c r="C25" s="39"/>
      <c r="D25" s="39"/>
      <c r="E25" s="39"/>
      <c r="F25" s="41"/>
      <c r="G25" s="41"/>
      <c r="H25" s="39"/>
      <c r="I25" s="41"/>
      <c r="J25" s="41"/>
      <c r="K25" s="41"/>
      <c r="L25" s="42"/>
      <c r="M25" s="42"/>
      <c r="N25" s="41"/>
      <c r="O25" s="43"/>
    </row>
    <row r="26" spans="1:15" x14ac:dyDescent="0.3">
      <c r="A26" s="34" t="s">
        <v>100</v>
      </c>
      <c r="B26" s="35"/>
      <c r="C26" s="34"/>
      <c r="D26" s="34"/>
      <c r="E26" s="34"/>
      <c r="F26" s="36"/>
      <c r="G26" s="36"/>
      <c r="H26" s="34"/>
      <c r="I26" s="36"/>
      <c r="J26" s="36"/>
      <c r="K26" s="36"/>
      <c r="L26" s="37"/>
      <c r="M26" s="37"/>
      <c r="N26" s="36"/>
      <c r="O26" s="38"/>
    </row>
    <row r="27" spans="1:15" x14ac:dyDescent="0.3">
      <c r="A27" s="39" t="s">
        <v>101</v>
      </c>
      <c r="B27" s="40"/>
      <c r="C27" s="39"/>
      <c r="D27" s="39"/>
      <c r="E27" s="39"/>
      <c r="F27" s="41"/>
      <c r="G27" s="41"/>
      <c r="H27" s="39"/>
      <c r="I27" s="41"/>
      <c r="J27" s="41"/>
      <c r="K27" s="41"/>
      <c r="L27" s="42"/>
      <c r="M27" s="42"/>
      <c r="N27" s="41"/>
      <c r="O27" s="43"/>
    </row>
    <row r="28" spans="1:15" x14ac:dyDescent="0.3">
      <c r="A28" s="46" t="s">
        <v>102</v>
      </c>
      <c r="B28" s="47"/>
      <c r="C28" s="46"/>
      <c r="D28" s="46"/>
      <c r="E28" s="46"/>
      <c r="F28" s="48"/>
      <c r="G28" s="48"/>
      <c r="H28" s="46"/>
      <c r="I28" s="48"/>
      <c r="J28" s="48"/>
      <c r="K28" s="48"/>
      <c r="L28" s="49"/>
      <c r="M28" s="49"/>
      <c r="N28" s="48"/>
      <c r="O28" s="50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554687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393" t="s">
        <v>3</v>
      </c>
      <c r="C2" s="394"/>
      <c r="D2" s="394"/>
      <c r="E2" s="394"/>
      <c r="F2" s="394"/>
      <c r="G2" s="394"/>
      <c r="H2" s="394"/>
      <c r="I2" s="394"/>
      <c r="J2" s="394"/>
      <c r="K2" s="394"/>
      <c r="L2" s="395"/>
    </row>
    <row r="3" spans="2:12" ht="47.55" customHeight="1" thickBot="1" x14ac:dyDescent="0.35">
      <c r="B3" s="396" t="s">
        <v>12</v>
      </c>
      <c r="C3" s="397"/>
      <c r="D3" s="397"/>
      <c r="E3" s="397"/>
      <c r="F3" s="397"/>
      <c r="G3" s="397"/>
      <c r="H3" s="397"/>
      <c r="I3" s="397"/>
      <c r="J3" s="397"/>
      <c r="K3" s="397"/>
      <c r="L3" s="398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65" t="s">
        <v>13</v>
      </c>
      <c r="D6" s="365"/>
      <c r="E6" s="365"/>
      <c r="F6" s="365"/>
      <c r="G6" s="365"/>
      <c r="H6" s="365"/>
      <c r="I6" s="365"/>
      <c r="J6" s="365"/>
      <c r="K6" s="365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99" t="s">
        <v>154</v>
      </c>
      <c r="E8" s="400"/>
      <c r="F8" s="400"/>
      <c r="G8" s="400"/>
      <c r="H8" s="400"/>
      <c r="I8" s="400"/>
      <c r="J8" s="400"/>
      <c r="K8" s="401"/>
      <c r="L8" s="5"/>
    </row>
    <row r="9" spans="2:12" x14ac:dyDescent="0.3">
      <c r="B9" s="4"/>
      <c r="C9" s="7" t="s">
        <v>15</v>
      </c>
      <c r="D9" s="386" t="s">
        <v>16</v>
      </c>
      <c r="E9" s="387"/>
      <c r="F9" s="387"/>
      <c r="G9" s="387"/>
      <c r="H9" s="387"/>
      <c r="I9" s="387"/>
      <c r="J9" s="387"/>
      <c r="K9" s="388"/>
      <c r="L9" s="5"/>
    </row>
    <row r="10" spans="2:12" x14ac:dyDescent="0.3">
      <c r="B10" s="4"/>
      <c r="C10" s="7" t="s">
        <v>17</v>
      </c>
      <c r="D10" s="386" t="s">
        <v>11</v>
      </c>
      <c r="E10" s="387"/>
      <c r="F10" s="387"/>
      <c r="G10" s="387"/>
      <c r="H10" s="387"/>
      <c r="I10" s="387"/>
      <c r="J10" s="387"/>
      <c r="K10" s="388"/>
      <c r="L10" s="5"/>
    </row>
    <row r="11" spans="2:12" x14ac:dyDescent="0.3">
      <c r="B11" s="4"/>
      <c r="C11" s="7" t="s">
        <v>18</v>
      </c>
      <c r="D11" s="386" t="s">
        <v>155</v>
      </c>
      <c r="E11" s="387"/>
      <c r="F11" s="387"/>
      <c r="G11" s="387"/>
      <c r="H11" s="387"/>
      <c r="I11" s="387"/>
      <c r="J11" s="387"/>
      <c r="K11" s="388"/>
      <c r="L11" s="5"/>
    </row>
    <row r="12" spans="2:12" x14ac:dyDescent="0.3">
      <c r="B12" s="4"/>
      <c r="C12" s="10" t="s">
        <v>19</v>
      </c>
      <c r="D12" s="383" t="s">
        <v>156</v>
      </c>
      <c r="E12" s="384"/>
      <c r="F12" s="384"/>
      <c r="G12" s="384"/>
      <c r="H12" s="385"/>
      <c r="I12" s="11" t="s">
        <v>20</v>
      </c>
      <c r="J12" s="383" t="s">
        <v>153</v>
      </c>
      <c r="K12" s="38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65" t="s">
        <v>21</v>
      </c>
      <c r="D16" s="365"/>
      <c r="E16" s="365"/>
      <c r="F16" s="365"/>
      <c r="G16" s="365"/>
      <c r="H16" s="365"/>
      <c r="I16" s="365"/>
      <c r="J16" s="365"/>
      <c r="K16" s="365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89" t="s">
        <v>127</v>
      </c>
      <c r="E18" s="389"/>
      <c r="F18" s="389"/>
      <c r="G18" s="380"/>
      <c r="H18" s="389" t="s">
        <v>22</v>
      </c>
      <c r="I18" s="389"/>
      <c r="J18" s="389"/>
      <c r="K18" s="380"/>
      <c r="L18" s="5"/>
    </row>
    <row r="19" spans="2:12" x14ac:dyDescent="0.3">
      <c r="B19" s="4"/>
      <c r="C19" s="15" t="s">
        <v>23</v>
      </c>
      <c r="D19" s="390" t="s">
        <v>158</v>
      </c>
      <c r="E19" s="391"/>
      <c r="F19" s="391"/>
      <c r="G19" s="391"/>
      <c r="H19" s="391"/>
      <c r="I19" s="391"/>
      <c r="J19" s="391"/>
      <c r="K19" s="392"/>
      <c r="L19" s="5"/>
    </row>
    <row r="20" spans="2:12" x14ac:dyDescent="0.3">
      <c r="B20" s="4"/>
      <c r="C20" s="7" t="s">
        <v>24</v>
      </c>
      <c r="D20" s="386"/>
      <c r="E20" s="387"/>
      <c r="F20" s="387"/>
      <c r="G20" s="387"/>
      <c r="H20" s="387"/>
      <c r="I20" s="387"/>
      <c r="J20" s="387"/>
      <c r="K20" s="388"/>
      <c r="L20" s="5"/>
    </row>
    <row r="21" spans="2:12" x14ac:dyDescent="0.3">
      <c r="B21" s="4"/>
      <c r="C21" s="7" t="s">
        <v>25</v>
      </c>
      <c r="D21" s="386" t="s">
        <v>162</v>
      </c>
      <c r="E21" s="388"/>
      <c r="F21" s="7" t="s">
        <v>57</v>
      </c>
      <c r="G21" s="16" t="s">
        <v>163</v>
      </c>
      <c r="H21" s="7" t="s">
        <v>26</v>
      </c>
      <c r="I21" s="8" t="s">
        <v>164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86" t="s">
        <v>157</v>
      </c>
      <c r="E22" s="387"/>
      <c r="F22" s="387"/>
      <c r="G22" s="388"/>
      <c r="H22" s="7" t="s">
        <v>29</v>
      </c>
      <c r="I22" s="386"/>
      <c r="J22" s="387"/>
      <c r="K22" s="388"/>
      <c r="L22" s="5"/>
    </row>
    <row r="23" spans="2:12" x14ac:dyDescent="0.3">
      <c r="B23" s="4"/>
      <c r="C23" s="10" t="s">
        <v>30</v>
      </c>
      <c r="D23" s="383" t="s">
        <v>159</v>
      </c>
      <c r="E23" s="384"/>
      <c r="F23" s="384"/>
      <c r="G23" s="385"/>
      <c r="H23" s="10" t="s">
        <v>31</v>
      </c>
      <c r="I23" s="383" t="s">
        <v>11</v>
      </c>
      <c r="J23" s="384"/>
      <c r="K23" s="385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65" t="s">
        <v>21</v>
      </c>
      <c r="D27" s="365"/>
      <c r="E27" s="365"/>
      <c r="F27" s="365"/>
      <c r="G27" s="365"/>
      <c r="H27" s="365"/>
      <c r="I27" s="365"/>
      <c r="J27" s="365"/>
      <c r="K27" s="365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79" t="s">
        <v>33</v>
      </c>
      <c r="E29" s="380"/>
      <c r="F29" s="379" t="s">
        <v>34</v>
      </c>
      <c r="G29" s="380"/>
      <c r="H29" s="381" t="s">
        <v>35</v>
      </c>
      <c r="I29" s="381"/>
      <c r="J29" s="381"/>
      <c r="K29" s="382"/>
      <c r="L29" s="5"/>
    </row>
    <row r="30" spans="2:12" x14ac:dyDescent="0.3">
      <c r="B30" s="4"/>
      <c r="C30" s="17" t="s">
        <v>36</v>
      </c>
      <c r="D30" s="366" t="s">
        <v>160</v>
      </c>
      <c r="E30" s="367"/>
      <c r="F30" s="368" t="s">
        <v>165</v>
      </c>
      <c r="G30" s="369"/>
      <c r="H30" s="18" t="s">
        <v>161</v>
      </c>
      <c r="I30" s="379" t="s">
        <v>40</v>
      </c>
      <c r="J30" s="380"/>
      <c r="K30" s="6" t="s">
        <v>38</v>
      </c>
      <c r="L30" s="5"/>
    </row>
    <row r="31" spans="2:12" x14ac:dyDescent="0.3">
      <c r="B31" s="4"/>
      <c r="C31" s="17" t="s">
        <v>39</v>
      </c>
      <c r="D31" s="366" t="s">
        <v>11</v>
      </c>
      <c r="E31" s="367"/>
      <c r="F31" s="368" t="s">
        <v>11</v>
      </c>
      <c r="G31" s="369"/>
      <c r="H31" s="17" t="s">
        <v>37</v>
      </c>
      <c r="I31" s="370" t="s">
        <v>40</v>
      </c>
      <c r="J31" s="371"/>
      <c r="K31" s="7" t="s">
        <v>38</v>
      </c>
      <c r="L31" s="5"/>
    </row>
    <row r="32" spans="2:12" x14ac:dyDescent="0.3">
      <c r="B32" s="4"/>
      <c r="C32" s="17" t="s">
        <v>41</v>
      </c>
      <c r="D32" s="366" t="s">
        <v>11</v>
      </c>
      <c r="E32" s="367"/>
      <c r="F32" s="368" t="s">
        <v>11</v>
      </c>
      <c r="G32" s="369"/>
      <c r="H32" s="17" t="s">
        <v>37</v>
      </c>
      <c r="I32" s="370" t="s">
        <v>40</v>
      </c>
      <c r="J32" s="371"/>
      <c r="K32" s="7" t="s">
        <v>38</v>
      </c>
      <c r="L32" s="5"/>
    </row>
    <row r="33" spans="2:12" x14ac:dyDescent="0.3">
      <c r="B33" s="4"/>
      <c r="C33" s="19" t="s">
        <v>42</v>
      </c>
      <c r="D33" s="366" t="s">
        <v>11</v>
      </c>
      <c r="E33" s="367"/>
      <c r="F33" s="372" t="s">
        <v>11</v>
      </c>
      <c r="G33" s="373"/>
      <c r="H33" s="17" t="s">
        <v>37</v>
      </c>
      <c r="I33" s="370" t="s">
        <v>40</v>
      </c>
      <c r="J33" s="371"/>
      <c r="K33" s="7" t="s">
        <v>38</v>
      </c>
      <c r="L33" s="5"/>
    </row>
    <row r="34" spans="2:12" x14ac:dyDescent="0.3">
      <c r="B34" s="4"/>
      <c r="C34" s="374" t="s">
        <v>43</v>
      </c>
      <c r="D34" s="375"/>
      <c r="E34" s="376"/>
      <c r="F34" s="377" t="s">
        <v>165</v>
      </c>
      <c r="G34" s="378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65" t="s">
        <v>44</v>
      </c>
      <c r="D38" s="365"/>
      <c r="E38" s="365"/>
      <c r="F38" s="365"/>
      <c r="G38" s="365"/>
      <c r="H38" s="365"/>
      <c r="I38" s="365"/>
      <c r="J38" s="365"/>
      <c r="K38" s="365"/>
      <c r="L38" s="5"/>
    </row>
    <row r="39" spans="2:12" x14ac:dyDescent="0.3">
      <c r="B39" s="4"/>
      <c r="C39" s="363" t="s">
        <v>166</v>
      </c>
      <c r="D39" s="363"/>
      <c r="E39" s="363"/>
      <c r="F39" s="363"/>
      <c r="G39" s="363"/>
      <c r="H39" s="363"/>
      <c r="I39" s="363"/>
      <c r="J39" s="363"/>
      <c r="K39" s="363"/>
      <c r="L39" s="5"/>
    </row>
    <row r="40" spans="2:12" x14ac:dyDescent="0.3">
      <c r="B40" s="4"/>
      <c r="C40" s="363"/>
      <c r="D40" s="363"/>
      <c r="E40" s="363"/>
      <c r="F40" s="363"/>
      <c r="G40" s="363"/>
      <c r="H40" s="363"/>
      <c r="I40" s="363"/>
      <c r="J40" s="363"/>
      <c r="K40" s="363"/>
      <c r="L40" s="5"/>
    </row>
    <row r="41" spans="2:12" x14ac:dyDescent="0.3">
      <c r="B41" s="4"/>
      <c r="C41" s="363"/>
      <c r="D41" s="363"/>
      <c r="E41" s="363"/>
      <c r="F41" s="363"/>
      <c r="G41" s="363"/>
      <c r="H41" s="363"/>
      <c r="I41" s="363"/>
      <c r="J41" s="363"/>
      <c r="K41" s="363"/>
      <c r="L41" s="5"/>
    </row>
    <row r="42" spans="2:12" x14ac:dyDescent="0.3">
      <c r="B42" s="4"/>
      <c r="C42" s="363"/>
      <c r="D42" s="363"/>
      <c r="E42" s="363"/>
      <c r="F42" s="363"/>
      <c r="G42" s="363"/>
      <c r="H42" s="363"/>
      <c r="I42" s="363"/>
      <c r="J42" s="363"/>
      <c r="K42" s="363"/>
      <c r="L42" s="5"/>
    </row>
    <row r="43" spans="2:12" x14ac:dyDescent="0.3">
      <c r="B43" s="4"/>
      <c r="C43" s="363"/>
      <c r="D43" s="363"/>
      <c r="E43" s="363"/>
      <c r="F43" s="363"/>
      <c r="G43" s="363"/>
      <c r="H43" s="363"/>
      <c r="I43" s="363"/>
      <c r="J43" s="363"/>
      <c r="K43" s="363"/>
      <c r="L43" s="5"/>
    </row>
    <row r="44" spans="2:12" x14ac:dyDescent="0.3">
      <c r="B44" s="4"/>
      <c r="C44" s="363"/>
      <c r="D44" s="363"/>
      <c r="E44" s="363"/>
      <c r="F44" s="363"/>
      <c r="G44" s="363"/>
      <c r="H44" s="363"/>
      <c r="I44" s="363"/>
      <c r="J44" s="363"/>
      <c r="K44" s="363"/>
      <c r="L44" s="5"/>
    </row>
    <row r="45" spans="2:12" x14ac:dyDescent="0.3">
      <c r="B45" s="4"/>
      <c r="C45" s="364"/>
      <c r="D45" s="364"/>
      <c r="E45" s="364"/>
      <c r="F45" s="364"/>
      <c r="G45" s="364"/>
      <c r="H45" s="364"/>
      <c r="I45" s="364"/>
      <c r="J45" s="364"/>
      <c r="K45" s="364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60" t="s">
        <v>45</v>
      </c>
      <c r="C48" s="36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62" t="s">
        <v>46</v>
      </c>
      <c r="D51" s="362"/>
      <c r="E51" s="362"/>
      <c r="F51" s="362"/>
      <c r="H51" s="362" t="s">
        <v>47</v>
      </c>
      <c r="I51" s="362"/>
      <c r="J51" s="362"/>
      <c r="K51" s="36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PRINCIPAL</vt:lpstr>
      <vt:lpstr>Estanplaza Berrini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2026-01-29T20:05:40Z</cp:lastPrinted>
  <dcterms:created xsi:type="dcterms:W3CDTF">2023-09-21T21:02:20Z</dcterms:created>
  <dcterms:modified xsi:type="dcterms:W3CDTF">2026-02-24T01:08:29Z</dcterms:modified>
</cp:coreProperties>
</file>