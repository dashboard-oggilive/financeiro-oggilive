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5 maio\"/>
    </mc:Choice>
  </mc:AlternateContent>
  <xr:revisionPtr revIDLastSave="0" documentId="13_ncr:1_{E97685AF-FE24-45DA-BFCF-9A1A0A309D88}" xr6:coauthVersionLast="47" xr6:coauthVersionMax="47" xr10:uidLastSave="{00000000-0000-0000-0000-000000000000}"/>
  <bookViews>
    <workbookView xWindow="-108" yWindow="-108" windowWidth="23256" windowHeight="12456" tabRatio="822" xr2:uid="{83D4A4F0-59AC-45D6-BDA2-9A1B100CD857}"/>
  </bookViews>
  <sheets>
    <sheet name="RESUMO" sheetId="100" r:id="rId1"/>
    <sheet name="PRINCIPAL" sheetId="88" r:id="rId2"/>
    <sheet name="TALKSHOW" sheetId="93" r:id="rId3"/>
    <sheet name="INTERNET" sheetId="96" r:id="rId4"/>
    <sheet name="EXTRA" sheetId="98" r:id="rId5"/>
    <sheet name="CUSTOS OP." sheetId="99" r:id="rId6"/>
    <sheet name="TOTAL" sheetId="94" r:id="rId7"/>
    <sheet name="Solicitações de Pagamento" sheetId="4" r:id="rId8"/>
    <sheet name="Planilha1" sheetId="97" r:id="rId9"/>
    <sheet name="ItensOrc" sheetId="76" state="hidden" r:id="rId10"/>
    <sheet name="Template SP" sheetId="3" state="hidden" r:id="rId11"/>
  </sheets>
  <externalReferences>
    <externalReference r:id="rId12"/>
  </externalReferences>
  <definedNames>
    <definedName name="_xlnm._FilterDatabase" localSheetId="5" hidden="1">'CUSTOS OP.'!$G$3:$H$3</definedName>
    <definedName name="_xlnm._FilterDatabase" localSheetId="4" hidden="1">EXTRA!$A$17:$AN$47</definedName>
    <definedName name="_xlnm._FilterDatabase" localSheetId="3" hidden="1">INTERNET!#REF!</definedName>
    <definedName name="_xlnm._FilterDatabase" localSheetId="1" hidden="1">PRINCIPAL!$A$17:$AN$158</definedName>
    <definedName name="_xlnm._FilterDatabase" localSheetId="2" hidden="1">TALKSHOW!#REF!</definedName>
    <definedName name="_xleta.N" hidden="1" xlm="1">#NAME?</definedName>
    <definedName name="_xleta.SUM" hidden="1" xlm="1">#NAME?</definedName>
    <definedName name="Descricao">[1]!Tabela4[Descrição (opcional)]</definedName>
    <definedName name="Entrada">[1]!tb_entradas[Entradas]</definedName>
    <definedName name="itensorc_desconto" localSheetId="9">ItensOrc!$M:$M</definedName>
    <definedName name="itensorc_desconto">#REF!</definedName>
    <definedName name="itensorc_descricao" localSheetId="9">ItensOrc!$D:$D</definedName>
    <definedName name="itensorc_descricao">#REF!</definedName>
    <definedName name="itensorc_encargos" localSheetId="9">ItensOrc!$N:$N</definedName>
    <definedName name="itensorc_encargos">#REF!</definedName>
    <definedName name="itensorc_especifica" localSheetId="9">ItensOrc!$O:$O</definedName>
    <definedName name="itensorc_especifica">#REF!</definedName>
    <definedName name="itensorc_item" localSheetId="9">ItensOrc!$C:$C</definedName>
    <definedName name="itensorc_item">#REF!</definedName>
    <definedName name="itensorc_lancamento" localSheetId="9">ItensOrc!$B:$B</definedName>
    <definedName name="itensorc_lancamento">#REF!</definedName>
    <definedName name="itensorc_percentualhonorarios" localSheetId="9">ItensOrc!$L:$L</definedName>
    <definedName name="itensorc_percentualhonorarios">#REF!</definedName>
    <definedName name="itensorc_quantidade" localSheetId="9">ItensOrc!$E:$E</definedName>
    <definedName name="itensorc_quantidade">#REF!</definedName>
    <definedName name="itensorc_situacao" localSheetId="9">ItensOrc!$H:$H</definedName>
    <definedName name="itensorc_situacao">#REF!</definedName>
    <definedName name="itensorc_subtipo" localSheetId="9">ItensOrc!$K:$K</definedName>
    <definedName name="itensorc_subtipo">#REF!</definedName>
    <definedName name="itensorc_tiporeceita" localSheetId="9">ItensOrc!$A:$A</definedName>
    <definedName name="itensorc_tiporeceita">#REF!</definedName>
    <definedName name="itensorc_valor" localSheetId="9">ItensOrc!$G:$G</definedName>
    <definedName name="itensorc_valor">#REF!</definedName>
    <definedName name="itensorc_valorfornecedor" localSheetId="9">ItensOrc!$I:$I</definedName>
    <definedName name="itensorc_valorfornecedor">#REF!</definedName>
    <definedName name="itensorc_valorfornecedorunitario" localSheetId="9">ItensOrc!$J:$J</definedName>
    <definedName name="itensorc_valorfornecedorunitario">#REF!</definedName>
    <definedName name="itensorc_valorunitario" localSheetId="9">ItensOrc!$F:$F</definedName>
    <definedName name="itensorc_valorunitario">#REF!</definedName>
    <definedName name="Saída">[1]!tb_saidas[Saídas]</definedName>
    <definedName name="Saldo_Inicial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0" i="100" l="1"/>
  <c r="D40" i="100"/>
  <c r="E40" i="100"/>
  <c r="E39" i="100"/>
  <c r="F39" i="100" s="1"/>
  <c r="AD161" i="88"/>
  <c r="D36" i="100"/>
  <c r="D35" i="100"/>
  <c r="E35" i="100" s="1"/>
  <c r="D34" i="100"/>
  <c r="E34" i="100" s="1"/>
  <c r="F34" i="100" s="1"/>
  <c r="D33" i="100"/>
  <c r="D32" i="100"/>
  <c r="D31" i="100"/>
  <c r="E33" i="100"/>
  <c r="F33" i="100" s="1"/>
  <c r="E32" i="100"/>
  <c r="F32" i="100" s="1"/>
  <c r="AD48" i="88"/>
  <c r="C29" i="100"/>
  <c r="E36" i="100"/>
  <c r="F36" i="100" s="1"/>
  <c r="AD39" i="88"/>
  <c r="AD113" i="88"/>
  <c r="AD118" i="88"/>
  <c r="AD116" i="88"/>
  <c r="H27" i="99"/>
  <c r="AD138" i="88" s="1"/>
  <c r="AD141" i="88" s="1"/>
  <c r="T25" i="98"/>
  <c r="AD47" i="98"/>
  <c r="AD76" i="88"/>
  <c r="AD18" i="88"/>
  <c r="AD121" i="88"/>
  <c r="AD40" i="88"/>
  <c r="C25" i="100"/>
  <c r="D24" i="100"/>
  <c r="C24" i="100"/>
  <c r="D23" i="100"/>
  <c r="C23" i="100"/>
  <c r="E3" i="100"/>
  <c r="AD45" i="98"/>
  <c r="AD84" i="88"/>
  <c r="AD43" i="88"/>
  <c r="AD97" i="88"/>
  <c r="AD20" i="88"/>
  <c r="AD27" i="88"/>
  <c r="AD114" i="88"/>
  <c r="AD136" i="88"/>
  <c r="AD128" i="88"/>
  <c r="AD81" i="88"/>
  <c r="AD42" i="88"/>
  <c r="AD89" i="88"/>
  <c r="AD115" i="88"/>
  <c r="AD41" i="88"/>
  <c r="AD62" i="88"/>
  <c r="AD75" i="88"/>
  <c r="AD125" i="88"/>
  <c r="AN21" i="93"/>
  <c r="AN20" i="96"/>
  <c r="AM18" i="96"/>
  <c r="AM20" i="96" s="1"/>
  <c r="AM17" i="96"/>
  <c r="AM19" i="93"/>
  <c r="Y20" i="96"/>
  <c r="X20" i="96"/>
  <c r="U20" i="96"/>
  <c r="T20" i="96"/>
  <c r="N20" i="96"/>
  <c r="M20" i="96"/>
  <c r="L20" i="96"/>
  <c r="K20" i="96"/>
  <c r="X19" i="96"/>
  <c r="U19" i="96"/>
  <c r="T19" i="96"/>
  <c r="N19" i="96"/>
  <c r="M19" i="96"/>
  <c r="L19" i="96"/>
  <c r="K19" i="96"/>
  <c r="T21" i="93"/>
  <c r="K21" i="93"/>
  <c r="T20" i="93"/>
  <c r="K20" i="93"/>
  <c r="F35" i="100" l="1"/>
  <c r="E24" i="100"/>
  <c r="F24" i="100" s="1"/>
  <c r="E23" i="100"/>
  <c r="F23" i="100" s="1"/>
  <c r="E31" i="100"/>
  <c r="F31" i="100" s="1"/>
  <c r="R45" i="98"/>
  <c r="Q45" i="98"/>
  <c r="K45" i="98"/>
  <c r="L45" i="98" s="1"/>
  <c r="M45" i="98" l="1"/>
  <c r="U45" i="98"/>
  <c r="V45" i="98"/>
  <c r="R42" i="98"/>
  <c r="Q42" i="98"/>
  <c r="K42" i="98"/>
  <c r="R43" i="98"/>
  <c r="Q43" i="98"/>
  <c r="K43" i="98"/>
  <c r="L43" i="98" s="1"/>
  <c r="R32" i="98"/>
  <c r="Q32" i="98"/>
  <c r="K32" i="98"/>
  <c r="R34" i="98"/>
  <c r="Q34" i="98"/>
  <c r="V34" i="98"/>
  <c r="K34" i="98"/>
  <c r="R44" i="98"/>
  <c r="Q44" i="98"/>
  <c r="K44" i="98"/>
  <c r="R41" i="98"/>
  <c r="Q41" i="98"/>
  <c r="V41" i="98" s="1"/>
  <c r="K41" i="98"/>
  <c r="R39" i="98"/>
  <c r="Q39" i="98"/>
  <c r="V39" i="98" s="1"/>
  <c r="K39" i="98"/>
  <c r="R37" i="98"/>
  <c r="K37" i="98"/>
  <c r="R36" i="98"/>
  <c r="Q36" i="98"/>
  <c r="V36" i="98" s="1"/>
  <c r="K36" i="98"/>
  <c r="R35" i="98"/>
  <c r="Q35" i="98"/>
  <c r="K35" i="98"/>
  <c r="L35" i="98" s="1"/>
  <c r="R40" i="98"/>
  <c r="Q40" i="98"/>
  <c r="K40" i="98"/>
  <c r="R38" i="98"/>
  <c r="Q38" i="98"/>
  <c r="V38" i="98" s="1"/>
  <c r="K38" i="98"/>
  <c r="V37" i="98"/>
  <c r="R33" i="98"/>
  <c r="Q33" i="98"/>
  <c r="K33" i="98"/>
  <c r="Q31" i="98"/>
  <c r="Q30" i="98"/>
  <c r="L32" i="98" l="1"/>
  <c r="M32" i="98" s="1"/>
  <c r="K46" i="98"/>
  <c r="V44" i="98"/>
  <c r="U44" i="98"/>
  <c r="Z45" i="98"/>
  <c r="N45" i="98"/>
  <c r="W45" i="98"/>
  <c r="X45" i="98" s="1"/>
  <c r="AC45" i="98" s="1"/>
  <c r="L42" i="98"/>
  <c r="U42" i="98"/>
  <c r="V42" i="98"/>
  <c r="M43" i="98"/>
  <c r="N43" i="98" s="1"/>
  <c r="U43" i="98"/>
  <c r="Z43" i="98" s="1"/>
  <c r="V43" i="98"/>
  <c r="T34" i="98"/>
  <c r="U34" i="98" s="1"/>
  <c r="V32" i="98"/>
  <c r="U39" i="98"/>
  <c r="Z39" i="98" s="1"/>
  <c r="L34" i="98"/>
  <c r="L44" i="98"/>
  <c r="M44" i="98"/>
  <c r="U41" i="98"/>
  <c r="Z41" i="98" s="1"/>
  <c r="L41" i="98"/>
  <c r="U37" i="98"/>
  <c r="Z37" i="98" s="1"/>
  <c r="L39" i="98"/>
  <c r="L40" i="98"/>
  <c r="U36" i="98"/>
  <c r="L38" i="98"/>
  <c r="L37" i="98"/>
  <c r="M37" i="98" s="1"/>
  <c r="M35" i="98"/>
  <c r="U35" i="98"/>
  <c r="L36" i="98"/>
  <c r="V35" i="98"/>
  <c r="V33" i="98"/>
  <c r="L33" i="98"/>
  <c r="U40" i="98"/>
  <c r="V40" i="98"/>
  <c r="R24" i="98"/>
  <c r="Q24" i="98"/>
  <c r="K24" i="98"/>
  <c r="L24" i="98" s="1"/>
  <c r="R23" i="98"/>
  <c r="Q23" i="98"/>
  <c r="V23" i="98" s="1"/>
  <c r="K23" i="98"/>
  <c r="R28" i="98"/>
  <c r="Q28" i="98"/>
  <c r="V28" i="98" s="1"/>
  <c r="K28" i="98"/>
  <c r="R27" i="98"/>
  <c r="Q27" i="98"/>
  <c r="K27" i="98"/>
  <c r="R26" i="98"/>
  <c r="K26" i="98"/>
  <c r="L26" i="98" s="1"/>
  <c r="R25" i="98"/>
  <c r="Q25" i="98"/>
  <c r="V25" i="98" s="1"/>
  <c r="K25" i="98"/>
  <c r="V22" i="98"/>
  <c r="K22" i="98"/>
  <c r="R21" i="98"/>
  <c r="Q21" i="98"/>
  <c r="V21" i="98" s="1"/>
  <c r="K21" i="98"/>
  <c r="L21" i="98" s="1"/>
  <c r="R20" i="98"/>
  <c r="Q20" i="98"/>
  <c r="K20" i="98"/>
  <c r="R19" i="98"/>
  <c r="Q19" i="98"/>
  <c r="K19" i="98"/>
  <c r="L19" i="98" s="1"/>
  <c r="V18" i="98"/>
  <c r="AF18" i="98"/>
  <c r="K18" i="98"/>
  <c r="V17" i="98"/>
  <c r="K17" i="98"/>
  <c r="AA16" i="98"/>
  <c r="Z16" i="98"/>
  <c r="Z15" i="98"/>
  <c r="AA12" i="98"/>
  <c r="M10" i="98"/>
  <c r="Q81" i="88"/>
  <c r="T46" i="98" l="1"/>
  <c r="AA32" i="98" s="1"/>
  <c r="L46" i="98"/>
  <c r="W44" i="98"/>
  <c r="X44" i="98" s="1"/>
  <c r="Z44" i="98"/>
  <c r="K29" i="98"/>
  <c r="K47" i="98"/>
  <c r="Z40" i="98"/>
  <c r="Y45" i="98"/>
  <c r="W42" i="98"/>
  <c r="X42" i="98" s="1"/>
  <c r="AC42" i="98" s="1"/>
  <c r="Z42" i="98"/>
  <c r="M42" i="98"/>
  <c r="N42" i="98" s="1"/>
  <c r="Z34" i="98"/>
  <c r="W34" i="98"/>
  <c r="X34" i="98" s="1"/>
  <c r="AC34" i="98" s="1"/>
  <c r="Z35" i="98"/>
  <c r="N35" i="98"/>
  <c r="W43" i="98"/>
  <c r="X43" i="98" s="1"/>
  <c r="N32" i="98"/>
  <c r="U32" i="98"/>
  <c r="U38" i="98"/>
  <c r="W38" i="98" s="1"/>
  <c r="X38" i="98" s="1"/>
  <c r="AC38" i="98" s="1"/>
  <c r="M34" i="98"/>
  <c r="W39" i="98"/>
  <c r="X39" i="98" s="1"/>
  <c r="AC39" i="98" s="1"/>
  <c r="N44" i="98"/>
  <c r="U33" i="98"/>
  <c r="L17" i="98"/>
  <c r="M33" i="98"/>
  <c r="W41" i="98"/>
  <c r="X41" i="98" s="1"/>
  <c r="AC41" i="98" s="1"/>
  <c r="M41" i="98"/>
  <c r="N41" i="98" s="1"/>
  <c r="W37" i="98"/>
  <c r="X37" i="98" s="1"/>
  <c r="W40" i="98"/>
  <c r="X40" i="98" s="1"/>
  <c r="AC40" i="98" s="1"/>
  <c r="W35" i="98"/>
  <c r="X35" i="98" s="1"/>
  <c r="AC35" i="98" s="1"/>
  <c r="M39" i="98"/>
  <c r="N39" i="98" s="1"/>
  <c r="M40" i="98"/>
  <c r="M38" i="98"/>
  <c r="Z36" i="98"/>
  <c r="W36" i="98"/>
  <c r="X36" i="98" s="1"/>
  <c r="AC36" i="98" s="1"/>
  <c r="N37" i="98"/>
  <c r="M36" i="98"/>
  <c r="M24" i="98"/>
  <c r="N24" i="98" s="1"/>
  <c r="U24" i="98"/>
  <c r="V24" i="98"/>
  <c r="U25" i="98"/>
  <c r="U23" i="98"/>
  <c r="Z23" i="98" s="1"/>
  <c r="L23" i="98"/>
  <c r="M23" i="98" s="1"/>
  <c r="U28" i="98"/>
  <c r="L28" i="98"/>
  <c r="M28" i="98" s="1"/>
  <c r="U27" i="98"/>
  <c r="V27" i="98"/>
  <c r="U26" i="98"/>
  <c r="Z26" i="98" s="1"/>
  <c r="V26" i="98"/>
  <c r="L27" i="98"/>
  <c r="M26" i="98"/>
  <c r="N26" i="98" s="1"/>
  <c r="L25" i="98"/>
  <c r="M25" i="98" s="1"/>
  <c r="N25" i="98" s="1"/>
  <c r="M19" i="98"/>
  <c r="N19" i="98" s="1"/>
  <c r="M21" i="98"/>
  <c r="N21" i="98" s="1"/>
  <c r="U22" i="98"/>
  <c r="W22" i="98" s="1"/>
  <c r="X22" i="98" s="1"/>
  <c r="AC22" i="98" s="1"/>
  <c r="L22" i="98"/>
  <c r="M22" i="98" s="1"/>
  <c r="U20" i="98"/>
  <c r="Z20" i="98" s="1"/>
  <c r="U17" i="98"/>
  <c r="U18" i="98"/>
  <c r="W18" i="98" s="1"/>
  <c r="X18" i="98" s="1"/>
  <c r="AC18" i="98" s="1"/>
  <c r="L20" i="98"/>
  <c r="M20" i="98" s="1"/>
  <c r="V20" i="98"/>
  <c r="L18" i="98"/>
  <c r="V19" i="98"/>
  <c r="E23" i="97"/>
  <c r="F22" i="97"/>
  <c r="E22" i="97"/>
  <c r="Y44" i="98" l="1"/>
  <c r="AC44" i="98"/>
  <c r="Y43" i="98"/>
  <c r="AC43" i="98"/>
  <c r="Y37" i="98"/>
  <c r="AC37" i="98"/>
  <c r="U46" i="98"/>
  <c r="M46" i="98"/>
  <c r="L47" i="98"/>
  <c r="L29" i="98"/>
  <c r="U19" i="98"/>
  <c r="T47" i="98"/>
  <c r="T29" i="98"/>
  <c r="AA19" i="98" s="1"/>
  <c r="N40" i="98"/>
  <c r="Y42" i="98"/>
  <c r="N34" i="98"/>
  <c r="Y35" i="98"/>
  <c r="Z38" i="98"/>
  <c r="W32" i="98"/>
  <c r="X32" i="98" s="1"/>
  <c r="AC32" i="98" s="1"/>
  <c r="Z32" i="98"/>
  <c r="Y34" i="98"/>
  <c r="W33" i="98"/>
  <c r="X33" i="98" s="1"/>
  <c r="AC33" i="98" s="1"/>
  <c r="N33" i="98"/>
  <c r="Z33" i="98"/>
  <c r="Y41" i="98"/>
  <c r="Y39" i="98"/>
  <c r="Y40" i="98"/>
  <c r="Y38" i="98"/>
  <c r="N38" i="98"/>
  <c r="Y36" i="98"/>
  <c r="N36" i="98"/>
  <c r="AA37" i="98"/>
  <c r="AA36" i="98"/>
  <c r="AA35" i="98"/>
  <c r="AA40" i="98"/>
  <c r="AA38" i="98"/>
  <c r="AA33" i="98"/>
  <c r="Z24" i="98"/>
  <c r="W24" i="98"/>
  <c r="X24" i="98" s="1"/>
  <c r="M18" i="98"/>
  <c r="N18" i="98" s="1"/>
  <c r="Z25" i="98"/>
  <c r="W25" i="98"/>
  <c r="X25" i="98" s="1"/>
  <c r="Z22" i="98"/>
  <c r="N23" i="98"/>
  <c r="W23" i="98"/>
  <c r="X23" i="98" s="1"/>
  <c r="Z28" i="98"/>
  <c r="W28" i="98"/>
  <c r="X28" i="98" s="1"/>
  <c r="N28" i="98"/>
  <c r="Z27" i="98"/>
  <c r="W27" i="98"/>
  <c r="X27" i="98" s="1"/>
  <c r="AC27" i="98" s="1"/>
  <c r="W26" i="98"/>
  <c r="X26" i="98" s="1"/>
  <c r="M27" i="98"/>
  <c r="N27" i="98" s="1"/>
  <c r="Y22" i="98"/>
  <c r="N22" i="98"/>
  <c r="M17" i="98"/>
  <c r="W20" i="98"/>
  <c r="X20" i="98" s="1"/>
  <c r="U21" i="98"/>
  <c r="AB18" i="98"/>
  <c r="Z18" i="98"/>
  <c r="AF20" i="98"/>
  <c r="N20" i="98"/>
  <c r="Z17" i="98"/>
  <c r="W17" i="98"/>
  <c r="X17" i="98" s="1"/>
  <c r="AC17" i="98" s="1"/>
  <c r="R60" i="88"/>
  <c r="Q60" i="88"/>
  <c r="K60" i="88"/>
  <c r="R58" i="88"/>
  <c r="Q58" i="88"/>
  <c r="K58" i="88"/>
  <c r="V17" i="96"/>
  <c r="T17" i="96"/>
  <c r="K17" i="96"/>
  <c r="Z19" i="98" l="1"/>
  <c r="W19" i="98"/>
  <c r="X19" i="98" s="1"/>
  <c r="Y24" i="98"/>
  <c r="AC24" i="98"/>
  <c r="Y25" i="98"/>
  <c r="AC25" i="98"/>
  <c r="Y23" i="98"/>
  <c r="AC23" i="98"/>
  <c r="Y28" i="98"/>
  <c r="AC28" i="98"/>
  <c r="Y26" i="98"/>
  <c r="AC26" i="98"/>
  <c r="Y20" i="98"/>
  <c r="AC20" i="98"/>
  <c r="AC47" i="98"/>
  <c r="X46" i="98"/>
  <c r="Y46" i="98" s="1"/>
  <c r="N46" i="98"/>
  <c r="M47" i="98"/>
  <c r="M29" i="98"/>
  <c r="U29" i="98"/>
  <c r="U47" i="98"/>
  <c r="Y32" i="98"/>
  <c r="Y33" i="98"/>
  <c r="Y18" i="98"/>
  <c r="Y27" i="98"/>
  <c r="AA20" i="98"/>
  <c r="N17" i="98"/>
  <c r="AA22" i="98"/>
  <c r="AA18" i="98"/>
  <c r="AA17" i="98"/>
  <c r="AA21" i="98"/>
  <c r="Y17" i="98"/>
  <c r="W21" i="98"/>
  <c r="X21" i="98" s="1"/>
  <c r="AC21" i="98" s="1"/>
  <c r="Z21" i="98"/>
  <c r="L60" i="88"/>
  <c r="M60" i="88" s="1"/>
  <c r="U60" i="88"/>
  <c r="Z60" i="88" s="1"/>
  <c r="V60" i="88"/>
  <c r="L58" i="88"/>
  <c r="M58" i="88" s="1"/>
  <c r="U58" i="88"/>
  <c r="V58" i="88"/>
  <c r="U17" i="96"/>
  <c r="W17" i="96"/>
  <c r="X17" i="96" s="1"/>
  <c r="L17" i="96"/>
  <c r="R18" i="96"/>
  <c r="Q18" i="96"/>
  <c r="K18" i="96"/>
  <c r="AA16" i="96"/>
  <c r="Z16" i="96"/>
  <c r="Z15" i="96"/>
  <c r="AA12" i="96"/>
  <c r="M10" i="96"/>
  <c r="AC19" i="98" l="1"/>
  <c r="Y19" i="98"/>
  <c r="N47" i="98"/>
  <c r="N29" i="98"/>
  <c r="Y21" i="98"/>
  <c r="X29" i="98"/>
  <c r="X47" i="98"/>
  <c r="D25" i="100" s="1"/>
  <c r="E25" i="100" s="1"/>
  <c r="F25" i="100" s="1"/>
  <c r="C8" i="94"/>
  <c r="Y29" i="98"/>
  <c r="M17" i="96"/>
  <c r="N17" i="96" s="1"/>
  <c r="Z17" i="96"/>
  <c r="W60" i="88"/>
  <c r="X60" i="88" s="1"/>
  <c r="N60" i="88"/>
  <c r="Z58" i="88"/>
  <c r="W58" i="88"/>
  <c r="X58" i="88" s="1"/>
  <c r="N58" i="88"/>
  <c r="L18" i="96"/>
  <c r="M18" i="96" s="1"/>
  <c r="T18" i="96"/>
  <c r="V18" i="96"/>
  <c r="Y60" i="88" l="1"/>
  <c r="AC60" i="88"/>
  <c r="Y58" i="88"/>
  <c r="AC58" i="88"/>
  <c r="Y47" i="98"/>
  <c r="AA17" i="96"/>
  <c r="Y17" i="96"/>
  <c r="N18" i="96"/>
  <c r="U18" i="96"/>
  <c r="Z18" i="96" s="1"/>
  <c r="D8" i="94" l="1"/>
  <c r="Z47" i="98"/>
  <c r="AA47" i="98" s="1"/>
  <c r="C7" i="94"/>
  <c r="AA18" i="96"/>
  <c r="W18" i="96"/>
  <c r="X18" i="96" s="1"/>
  <c r="Y18" i="96" s="1"/>
  <c r="D7" i="94" l="1"/>
  <c r="Y19" i="96"/>
  <c r="Z20" i="96" l="1"/>
  <c r="AA20" i="96" s="1"/>
  <c r="R19" i="93" l="1"/>
  <c r="Q19" i="93"/>
  <c r="T19" i="93" s="1"/>
  <c r="K19" i="93"/>
  <c r="R18" i="93"/>
  <c r="Q18" i="93"/>
  <c r="K18" i="93"/>
  <c r="L18" i="93" s="1"/>
  <c r="M18" i="93" s="1"/>
  <c r="V17" i="93"/>
  <c r="K17" i="93"/>
  <c r="AA16" i="93"/>
  <c r="Z16" i="93"/>
  <c r="Z15" i="93"/>
  <c r="AA12" i="93"/>
  <c r="M10" i="93"/>
  <c r="R43" i="88"/>
  <c r="Q43" i="88"/>
  <c r="K43" i="88"/>
  <c r="L43" i="88" s="1"/>
  <c r="L17" i="93" l="1"/>
  <c r="U19" i="93"/>
  <c r="Z19" i="93" s="1"/>
  <c r="V19" i="93"/>
  <c r="L19" i="93"/>
  <c r="U17" i="93"/>
  <c r="V18" i="93"/>
  <c r="U18" i="93"/>
  <c r="Z18" i="93" s="1"/>
  <c r="N18" i="93"/>
  <c r="M43" i="88"/>
  <c r="V43" i="88"/>
  <c r="U20" i="93" l="1"/>
  <c r="U21" i="93"/>
  <c r="M17" i="93"/>
  <c r="N17" i="93" s="1"/>
  <c r="L20" i="93"/>
  <c r="L21" i="93"/>
  <c r="Z17" i="93"/>
  <c r="W19" i="93"/>
  <c r="X19" i="93" s="1"/>
  <c r="M19" i="93"/>
  <c r="N19" i="93" s="1"/>
  <c r="W17" i="93"/>
  <c r="X17" i="93" s="1"/>
  <c r="W18" i="93"/>
  <c r="X18" i="93" s="1"/>
  <c r="U43" i="88"/>
  <c r="W43" i="88" s="1"/>
  <c r="X43" i="88" s="1"/>
  <c r="AC43" i="88" s="1"/>
  <c r="N43" i="88"/>
  <c r="Y18" i="93" l="1"/>
  <c r="AM18" i="93"/>
  <c r="AM17" i="93"/>
  <c r="X20" i="93"/>
  <c r="X21" i="93"/>
  <c r="M21" i="93"/>
  <c r="M20" i="93"/>
  <c r="N20" i="93"/>
  <c r="N21" i="93"/>
  <c r="C6" i="94" s="1"/>
  <c r="Y17" i="93"/>
  <c r="AA19" i="93"/>
  <c r="AA18" i="93"/>
  <c r="AA17" i="93"/>
  <c r="Y19" i="93"/>
  <c r="Y43" i="88"/>
  <c r="Z43" i="88"/>
  <c r="AM21" i="93" l="1"/>
  <c r="Y21" i="93"/>
  <c r="D6" i="94"/>
  <c r="Z21" i="93"/>
  <c r="AA21" i="93" s="1"/>
  <c r="Y20" i="93"/>
  <c r="R139" i="88" l="1"/>
  <c r="Q139" i="88"/>
  <c r="K139" i="88"/>
  <c r="T139" i="88" l="1"/>
  <c r="V139" i="88"/>
  <c r="L139" i="88"/>
  <c r="U139" i="88" l="1"/>
  <c r="M139" i="88"/>
  <c r="R77" i="88"/>
  <c r="Q77" i="88"/>
  <c r="K77" i="88"/>
  <c r="L77" i="88" s="1"/>
  <c r="M77" i="88" s="1"/>
  <c r="K63" i="88"/>
  <c r="R63" i="88"/>
  <c r="W139" i="88" l="1"/>
  <c r="X139" i="88" s="1"/>
  <c r="AC139" i="88" s="1"/>
  <c r="N139" i="88"/>
  <c r="Z139" i="88"/>
  <c r="N77" i="88"/>
  <c r="U77" i="88"/>
  <c r="V77" i="88"/>
  <c r="L63" i="88"/>
  <c r="M63" i="88" s="1"/>
  <c r="T63" i="88"/>
  <c r="V63" i="88"/>
  <c r="K59" i="88"/>
  <c r="K57" i="88"/>
  <c r="R59" i="88"/>
  <c r="Q59" i="88"/>
  <c r="R57" i="88"/>
  <c r="Q57" i="88"/>
  <c r="R106" i="88"/>
  <c r="Q106" i="88"/>
  <c r="V106" i="88" s="1"/>
  <c r="K106" i="88"/>
  <c r="U63" i="88" l="1"/>
  <c r="Z63" i="88" s="1"/>
  <c r="AF63" i="88"/>
  <c r="Y139" i="88"/>
  <c r="V57" i="88"/>
  <c r="Z77" i="88"/>
  <c r="W77" i="88"/>
  <c r="X77" i="88" s="1"/>
  <c r="N63" i="88"/>
  <c r="L57" i="88"/>
  <c r="T59" i="88"/>
  <c r="L59" i="88"/>
  <c r="V59" i="88"/>
  <c r="U106" i="88"/>
  <c r="Z106" i="88" s="1"/>
  <c r="L106" i="88"/>
  <c r="M106" i="88" s="1"/>
  <c r="Y77" i="88" l="1"/>
  <c r="AC77" i="88"/>
  <c r="U57" i="88"/>
  <c r="W63" i="88"/>
  <c r="X63" i="88" s="1"/>
  <c r="U59" i="88"/>
  <c r="M59" i="88"/>
  <c r="N59" i="88" s="1"/>
  <c r="M57" i="88"/>
  <c r="N106" i="88"/>
  <c r="W106" i="88"/>
  <c r="X106" i="88" s="1"/>
  <c r="Z57" i="88" l="1"/>
  <c r="W57" i="88"/>
  <c r="X57" i="88" s="1"/>
  <c r="Y63" i="88"/>
  <c r="AC63" i="88"/>
  <c r="Y106" i="88"/>
  <c r="AC106" i="88"/>
  <c r="Z59" i="88"/>
  <c r="W59" i="88"/>
  <c r="X59" i="88" s="1"/>
  <c r="AC59" i="88" s="1"/>
  <c r="N57" i="88"/>
  <c r="AC57" i="88" l="1"/>
  <c r="Y57" i="88"/>
  <c r="Y59" i="88"/>
  <c r="R50" i="88" l="1"/>
  <c r="Q50" i="88"/>
  <c r="K50" i="88"/>
  <c r="L50" i="88" s="1"/>
  <c r="M50" i="88" l="1"/>
  <c r="N50" i="88" s="1"/>
  <c r="T50" i="88"/>
  <c r="V50" i="88"/>
  <c r="U50" i="88" l="1"/>
  <c r="Z50" i="88" s="1"/>
  <c r="AF50" i="88"/>
  <c r="W50" i="88" l="1"/>
  <c r="X50" i="88" s="1"/>
  <c r="R107" i="88"/>
  <c r="Q107" i="88"/>
  <c r="V107" i="88" s="1"/>
  <c r="K107" i="88"/>
  <c r="R46" i="88"/>
  <c r="Q46" i="88"/>
  <c r="V46" i="88" s="1"/>
  <c r="K46" i="88"/>
  <c r="R45" i="88"/>
  <c r="Q45" i="88"/>
  <c r="K45" i="88"/>
  <c r="R44" i="88"/>
  <c r="Q44" i="88"/>
  <c r="K44" i="88"/>
  <c r="L44" i="88" s="1"/>
  <c r="R42" i="88"/>
  <c r="Q42" i="88"/>
  <c r="V42" i="88" s="1"/>
  <c r="K42" i="88"/>
  <c r="R82" i="88"/>
  <c r="Q82" i="88"/>
  <c r="K82" i="88"/>
  <c r="L82" i="88" s="1"/>
  <c r="Y50" i="88" l="1"/>
  <c r="AC50" i="88"/>
  <c r="L45" i="88"/>
  <c r="M45" i="88" s="1"/>
  <c r="U107" i="88"/>
  <c r="W107" i="88" s="1"/>
  <c r="X107" i="88" s="1"/>
  <c r="AC107" i="88" s="1"/>
  <c r="L107" i="88"/>
  <c r="U46" i="88"/>
  <c r="Z46" i="88" s="1"/>
  <c r="L46" i="88"/>
  <c r="V45" i="88"/>
  <c r="M44" i="88"/>
  <c r="N44" i="88" s="1"/>
  <c r="U44" i="88"/>
  <c r="Z44" i="88" s="1"/>
  <c r="V44" i="88"/>
  <c r="L42" i="88"/>
  <c r="M82" i="88"/>
  <c r="N82" i="88" s="1"/>
  <c r="U82" i="88"/>
  <c r="Z82" i="88" s="1"/>
  <c r="V82" i="88"/>
  <c r="R51" i="88"/>
  <c r="Q51" i="88"/>
  <c r="K51" i="88"/>
  <c r="R40" i="88"/>
  <c r="Q40" i="88"/>
  <c r="K40" i="88"/>
  <c r="L40" i="88" s="1"/>
  <c r="M40" i="88" s="1"/>
  <c r="R49" i="88"/>
  <c r="Q49" i="88"/>
  <c r="K49" i="88"/>
  <c r="L49" i="88" s="1"/>
  <c r="R48" i="88"/>
  <c r="Q48" i="88"/>
  <c r="K48" i="88"/>
  <c r="L48" i="88" s="1"/>
  <c r="R47" i="88"/>
  <c r="Q47" i="88"/>
  <c r="K47" i="88"/>
  <c r="L47" i="88" s="1"/>
  <c r="U45" i="88" l="1"/>
  <c r="Z45" i="88" s="1"/>
  <c r="N45" i="88"/>
  <c r="M42" i="88"/>
  <c r="U42" i="88"/>
  <c r="Z107" i="88"/>
  <c r="M107" i="88"/>
  <c r="W46" i="88"/>
  <c r="X46" i="88" s="1"/>
  <c r="AC46" i="88" s="1"/>
  <c r="M46" i="88"/>
  <c r="N46" i="88" s="1"/>
  <c r="W44" i="88"/>
  <c r="X44" i="88" s="1"/>
  <c r="W82" i="88"/>
  <c r="X82" i="88" s="1"/>
  <c r="T49" i="88"/>
  <c r="L51" i="88"/>
  <c r="T51" i="88"/>
  <c r="V51" i="88"/>
  <c r="V40" i="88"/>
  <c r="N40" i="88"/>
  <c r="V49" i="88"/>
  <c r="M49" i="88"/>
  <c r="N49" i="88" s="1"/>
  <c r="U48" i="88"/>
  <c r="Z48" i="88" s="1"/>
  <c r="V48" i="88"/>
  <c r="M48" i="88"/>
  <c r="N48" i="88" s="1"/>
  <c r="U47" i="88"/>
  <c r="Z47" i="88" s="1"/>
  <c r="V47" i="88"/>
  <c r="M47" i="88"/>
  <c r="N47" i="88" s="1"/>
  <c r="Y44" i="88" l="1"/>
  <c r="AC44" i="88"/>
  <c r="Y82" i="88"/>
  <c r="AC82" i="88"/>
  <c r="U40" i="88"/>
  <c r="Z40" i="88" s="1"/>
  <c r="AF40" i="88"/>
  <c r="N42" i="88"/>
  <c r="U49" i="88"/>
  <c r="Z49" i="88" s="1"/>
  <c r="AF49" i="88"/>
  <c r="W45" i="88"/>
  <c r="X45" i="88" s="1"/>
  <c r="Z42" i="88"/>
  <c r="W42" i="88"/>
  <c r="X42" i="88" s="1"/>
  <c r="AC42" i="88" s="1"/>
  <c r="U51" i="88"/>
  <c r="Z51" i="88" s="1"/>
  <c r="AF51" i="88"/>
  <c r="N107" i="88"/>
  <c r="Y107" i="88"/>
  <c r="Y46" i="88"/>
  <c r="M51" i="88"/>
  <c r="W48" i="88"/>
  <c r="X48" i="88" s="1"/>
  <c r="W47" i="88"/>
  <c r="X47" i="88" s="1"/>
  <c r="Y45" i="88" l="1"/>
  <c r="AC45" i="88"/>
  <c r="Y48" i="88"/>
  <c r="AC48" i="88"/>
  <c r="Y47" i="88"/>
  <c r="AC47" i="88"/>
  <c r="W40" i="88"/>
  <c r="X40" i="88" s="1"/>
  <c r="AC40" i="88" s="1"/>
  <c r="W49" i="88"/>
  <c r="X49" i="88" s="1"/>
  <c r="Y42" i="88"/>
  <c r="W51" i="88"/>
  <c r="X51" i="88" s="1"/>
  <c r="N51" i="88"/>
  <c r="Y49" i="88" l="1"/>
  <c r="AC49" i="88"/>
  <c r="Y51" i="88"/>
  <c r="AC51" i="88"/>
  <c r="Y40" i="88"/>
  <c r="R134" i="88"/>
  <c r="Q134" i="88"/>
  <c r="K134" i="88"/>
  <c r="L134" i="88" l="1"/>
  <c r="V134" i="88"/>
  <c r="R122" i="88"/>
  <c r="Q122" i="88"/>
  <c r="V122" i="88" s="1"/>
  <c r="K122" i="88"/>
  <c r="K70" i="88"/>
  <c r="R70" i="88"/>
  <c r="V70" i="88"/>
  <c r="R137" i="88"/>
  <c r="Q137" i="88"/>
  <c r="K137" i="88"/>
  <c r="U134" i="88" l="1"/>
  <c r="Z134" i="88" s="1"/>
  <c r="M134" i="88"/>
  <c r="N134" i="88" s="1"/>
  <c r="U122" i="88"/>
  <c r="Z122" i="88" s="1"/>
  <c r="L122" i="88"/>
  <c r="M122" i="88" s="1"/>
  <c r="N122" i="88" s="1"/>
  <c r="T70" i="88"/>
  <c r="L70" i="88"/>
  <c r="L137" i="88"/>
  <c r="U137" i="88"/>
  <c r="V137" i="88"/>
  <c r="R52" i="88"/>
  <c r="Q52" i="88"/>
  <c r="V52" i="88" s="1"/>
  <c r="K52" i="88"/>
  <c r="R108" i="88"/>
  <c r="Q108" i="88"/>
  <c r="K108" i="88"/>
  <c r="R135" i="88"/>
  <c r="Q135" i="88"/>
  <c r="R133" i="88"/>
  <c r="Q133" i="88"/>
  <c r="R132" i="88"/>
  <c r="Q132" i="88"/>
  <c r="R131" i="88"/>
  <c r="Q131" i="88"/>
  <c r="R130" i="88"/>
  <c r="Q130" i="88"/>
  <c r="V130" i="88" s="1"/>
  <c r="R129" i="88"/>
  <c r="Q129" i="88"/>
  <c r="R128" i="88"/>
  <c r="Q128" i="88"/>
  <c r="V128" i="88" s="1"/>
  <c r="R127" i="88"/>
  <c r="Q127" i="88"/>
  <c r="V127" i="88" s="1"/>
  <c r="R126" i="88"/>
  <c r="Q126" i="88"/>
  <c r="V126" i="88" s="1"/>
  <c r="R125" i="88"/>
  <c r="Q125" i="88"/>
  <c r="R124" i="88"/>
  <c r="Q124" i="88"/>
  <c r="R123" i="88"/>
  <c r="Q123" i="88"/>
  <c r="R138" i="88"/>
  <c r="Q138" i="88"/>
  <c r="K138" i="88"/>
  <c r="R136" i="88"/>
  <c r="Q136" i="88"/>
  <c r="V136" i="88" s="1"/>
  <c r="K136" i="88"/>
  <c r="K135" i="88"/>
  <c r="K133" i="88"/>
  <c r="K132" i="88"/>
  <c r="K131" i="88"/>
  <c r="L131" i="88" s="1"/>
  <c r="K130" i="88"/>
  <c r="L130" i="88" s="1"/>
  <c r="K129" i="88"/>
  <c r="L129" i="88" s="1"/>
  <c r="M129" i="88" s="1"/>
  <c r="N129" i="88" s="1"/>
  <c r="K128" i="88"/>
  <c r="K127" i="88"/>
  <c r="K126" i="88"/>
  <c r="K125" i="88"/>
  <c r="L125" i="88" s="1"/>
  <c r="K124" i="88"/>
  <c r="K123" i="88"/>
  <c r="K105" i="88"/>
  <c r="R30" i="88"/>
  <c r="Q30" i="88"/>
  <c r="V30" i="88" s="1"/>
  <c r="K30" i="88"/>
  <c r="T29" i="88"/>
  <c r="K29" i="88"/>
  <c r="V29" i="88"/>
  <c r="R68" i="88"/>
  <c r="Q68" i="88"/>
  <c r="K68" i="88"/>
  <c r="L68" i="88" s="1"/>
  <c r="R85" i="88"/>
  <c r="Q85" i="88"/>
  <c r="K85" i="88"/>
  <c r="R84" i="88"/>
  <c r="Q84" i="88"/>
  <c r="V84" i="88" s="1"/>
  <c r="K84" i="88"/>
  <c r="Q83" i="88"/>
  <c r="K83" i="88"/>
  <c r="R81" i="88"/>
  <c r="K81" i="88"/>
  <c r="K93" i="88"/>
  <c r="R93" i="88"/>
  <c r="Q93" i="88"/>
  <c r="R90" i="88"/>
  <c r="Q90" i="88"/>
  <c r="V90" i="88" s="1"/>
  <c r="K90" i="88"/>
  <c r="L90" i="88" s="1"/>
  <c r="R28" i="88"/>
  <c r="Q28" i="88"/>
  <c r="K28" i="88"/>
  <c r="R74" i="88"/>
  <c r="Q74" i="88"/>
  <c r="K74" i="88"/>
  <c r="R73" i="88"/>
  <c r="Q73" i="88"/>
  <c r="K73" i="88"/>
  <c r="L73" i="88" s="1"/>
  <c r="R72" i="88"/>
  <c r="Q72" i="88"/>
  <c r="K72" i="88"/>
  <c r="R53" i="88"/>
  <c r="Q53" i="88"/>
  <c r="V53" i="88" s="1"/>
  <c r="K53" i="88"/>
  <c r="Q104" i="88"/>
  <c r="Q103" i="88"/>
  <c r="R101" i="88"/>
  <c r="Q101" i="88"/>
  <c r="V101" i="88" s="1"/>
  <c r="K101" i="88"/>
  <c r="K102" i="88" s="1"/>
  <c r="Q100" i="88"/>
  <c r="Q99" i="88"/>
  <c r="R97" i="88"/>
  <c r="Q97" i="88"/>
  <c r="K97" i="88"/>
  <c r="K98" i="88" s="1"/>
  <c r="Q96" i="88"/>
  <c r="Q95" i="88"/>
  <c r="R91" i="88"/>
  <c r="Q91" i="88"/>
  <c r="V91" i="88" s="1"/>
  <c r="K91" i="88"/>
  <c r="R92" i="88"/>
  <c r="Q92" i="88"/>
  <c r="V92" i="88" s="1"/>
  <c r="K92" i="88"/>
  <c r="R89" i="88"/>
  <c r="Q89" i="88"/>
  <c r="K89" i="88"/>
  <c r="Q88" i="88"/>
  <c r="Q87" i="88"/>
  <c r="Q66" i="88"/>
  <c r="Q65" i="88"/>
  <c r="R76" i="88"/>
  <c r="Q76" i="88"/>
  <c r="K76" i="88"/>
  <c r="R75" i="88"/>
  <c r="K75" i="88"/>
  <c r="R71" i="88"/>
  <c r="Q71" i="88"/>
  <c r="K71" i="88"/>
  <c r="R69" i="88"/>
  <c r="K69" i="88"/>
  <c r="R67" i="88"/>
  <c r="Q67" i="88"/>
  <c r="K67" i="88"/>
  <c r="R62" i="88"/>
  <c r="Q62" i="88"/>
  <c r="K62" i="88"/>
  <c r="R61" i="88"/>
  <c r="Q61" i="88"/>
  <c r="K61" i="88"/>
  <c r="K64" i="88" s="1"/>
  <c r="Q56" i="88"/>
  <c r="Q55" i="88"/>
  <c r="R41" i="88"/>
  <c r="Q41" i="88"/>
  <c r="V41" i="88" s="1"/>
  <c r="K41" i="88"/>
  <c r="R39" i="88"/>
  <c r="Q39" i="88"/>
  <c r="K39" i="88"/>
  <c r="Q38" i="88"/>
  <c r="Q37" i="88"/>
  <c r="Q114" i="88"/>
  <c r="V114" i="88" s="1"/>
  <c r="R114" i="88"/>
  <c r="K114" i="88"/>
  <c r="Q121" i="88"/>
  <c r="V121" i="88" s="1"/>
  <c r="R121" i="88"/>
  <c r="K121" i="88"/>
  <c r="K35" i="88"/>
  <c r="K34" i="88"/>
  <c r="K36" i="88" s="1"/>
  <c r="Q120" i="88"/>
  <c r="K120" i="88"/>
  <c r="R35" i="88"/>
  <c r="Q35" i="88"/>
  <c r="R34" i="88"/>
  <c r="Q34" i="88"/>
  <c r="Q33" i="88"/>
  <c r="Q32" i="88"/>
  <c r="R119" i="88"/>
  <c r="Q119" i="88"/>
  <c r="K119" i="88"/>
  <c r="K118" i="88"/>
  <c r="R117" i="88"/>
  <c r="Q117" i="88"/>
  <c r="K117" i="88"/>
  <c r="R116" i="88"/>
  <c r="Q116" i="88"/>
  <c r="K116" i="88"/>
  <c r="R115" i="88"/>
  <c r="K115" i="88"/>
  <c r="R113" i="88"/>
  <c r="Q113" i="88"/>
  <c r="K113" i="88"/>
  <c r="R112" i="88"/>
  <c r="Q112" i="88"/>
  <c r="K112" i="88"/>
  <c r="Q111" i="88"/>
  <c r="V27" i="88"/>
  <c r="T27" i="88"/>
  <c r="K27" i="88"/>
  <c r="Z25" i="88"/>
  <c r="V23" i="88"/>
  <c r="Q22" i="88"/>
  <c r="Q21" i="88"/>
  <c r="V20" i="88"/>
  <c r="V19" i="88"/>
  <c r="V18" i="88"/>
  <c r="AF18" i="88"/>
  <c r="Q17" i="88"/>
  <c r="K20" i="88"/>
  <c r="K18" i="88"/>
  <c r="K23" i="88"/>
  <c r="K22" i="88"/>
  <c r="K21" i="88"/>
  <c r="K19" i="88"/>
  <c r="L19" i="88" s="1"/>
  <c r="K17" i="88"/>
  <c r="Q16" i="88"/>
  <c r="Q15" i="88"/>
  <c r="K109" i="88" l="1"/>
  <c r="K54" i="88"/>
  <c r="K86" i="88"/>
  <c r="K78" i="88"/>
  <c r="K94" i="88"/>
  <c r="K140" i="88"/>
  <c r="K31" i="88"/>
  <c r="K24" i="88"/>
  <c r="K141" i="88"/>
  <c r="U81" i="88"/>
  <c r="W134" i="88"/>
  <c r="X134" i="88" s="1"/>
  <c r="U70" i="88"/>
  <c r="L113" i="88"/>
  <c r="M113" i="88" s="1"/>
  <c r="AF27" i="88"/>
  <c r="W122" i="88"/>
  <c r="X122" i="88" s="1"/>
  <c r="M70" i="88"/>
  <c r="Z137" i="88"/>
  <c r="W137" i="88"/>
  <c r="X137" i="88" s="1"/>
  <c r="AC137" i="88" s="1"/>
  <c r="M137" i="88"/>
  <c r="T52" i="88"/>
  <c r="L52" i="88"/>
  <c r="U129" i="88"/>
  <c r="Z129" i="88" s="1"/>
  <c r="L108" i="88"/>
  <c r="U108" i="88"/>
  <c r="V108" i="88"/>
  <c r="U128" i="88"/>
  <c r="U136" i="88"/>
  <c r="Z136" i="88" s="1"/>
  <c r="U125" i="88"/>
  <c r="Z125" i="88" s="1"/>
  <c r="V129" i="88"/>
  <c r="U130" i="88"/>
  <c r="Z130" i="88" s="1"/>
  <c r="L138" i="88"/>
  <c r="M138" i="88" s="1"/>
  <c r="V125" i="88"/>
  <c r="L136" i="88"/>
  <c r="M136" i="88" s="1"/>
  <c r="U126" i="88"/>
  <c r="Z126" i="88" s="1"/>
  <c r="M130" i="88"/>
  <c r="N130" i="88" s="1"/>
  <c r="M125" i="88"/>
  <c r="N125" i="88" s="1"/>
  <c r="M131" i="88"/>
  <c r="N131" i="88" s="1"/>
  <c r="L132" i="88"/>
  <c r="M132" i="88" s="1"/>
  <c r="L123" i="88"/>
  <c r="T132" i="88"/>
  <c r="V132" i="88"/>
  <c r="V133" i="88"/>
  <c r="L133" i="88"/>
  <c r="L124" i="88"/>
  <c r="M124" i="88" s="1"/>
  <c r="V123" i="88"/>
  <c r="L126" i="88"/>
  <c r="M126" i="88" s="1"/>
  <c r="L127" i="88"/>
  <c r="L128" i="88"/>
  <c r="L135" i="88"/>
  <c r="M135" i="88" s="1"/>
  <c r="T133" i="88"/>
  <c r="U138" i="88"/>
  <c r="V138" i="88"/>
  <c r="U135" i="88"/>
  <c r="V135" i="88"/>
  <c r="V131" i="88"/>
  <c r="U131" i="88"/>
  <c r="Z131" i="88" s="1"/>
  <c r="U124" i="88"/>
  <c r="Z124" i="88" s="1"/>
  <c r="V124" i="88"/>
  <c r="L105" i="88"/>
  <c r="T105" i="88"/>
  <c r="V105" i="88"/>
  <c r="U29" i="88"/>
  <c r="W29" i="88" s="1"/>
  <c r="X29" i="88" s="1"/>
  <c r="AC29" i="88" s="1"/>
  <c r="L30" i="88"/>
  <c r="U30" i="88"/>
  <c r="L29" i="88"/>
  <c r="M29" i="88" s="1"/>
  <c r="M68" i="88"/>
  <c r="N68" i="88" s="1"/>
  <c r="U68" i="88"/>
  <c r="V68" i="88"/>
  <c r="L83" i="88"/>
  <c r="L84" i="88"/>
  <c r="L85" i="88"/>
  <c r="L81" i="88"/>
  <c r="U84" i="88"/>
  <c r="U85" i="88"/>
  <c r="V85" i="88"/>
  <c r="T83" i="88"/>
  <c r="T86" i="88" s="1"/>
  <c r="V83" i="88"/>
  <c r="V81" i="88"/>
  <c r="U90" i="88"/>
  <c r="Z90" i="88" s="1"/>
  <c r="L93" i="88"/>
  <c r="V93" i="88"/>
  <c r="M90" i="88"/>
  <c r="N90" i="88" s="1"/>
  <c r="L28" i="88"/>
  <c r="M28" i="88" s="1"/>
  <c r="T28" i="88"/>
  <c r="V28" i="88"/>
  <c r="L74" i="88"/>
  <c r="U74" i="88"/>
  <c r="V74" i="88"/>
  <c r="M73" i="88"/>
  <c r="N73" i="88" s="1"/>
  <c r="L72" i="88"/>
  <c r="U73" i="88"/>
  <c r="Z73" i="88" s="1"/>
  <c r="V73" i="88"/>
  <c r="V72" i="88"/>
  <c r="U72" i="88"/>
  <c r="Z72" i="88" s="1"/>
  <c r="U53" i="88"/>
  <c r="Z53" i="88" s="1"/>
  <c r="L53" i="88"/>
  <c r="M53" i="88" s="1"/>
  <c r="U62" i="88"/>
  <c r="T102" i="88"/>
  <c r="L101" i="88"/>
  <c r="L102" i="88" s="1"/>
  <c r="T92" i="88"/>
  <c r="V97" i="88"/>
  <c r="T98" i="88"/>
  <c r="L97" i="88"/>
  <c r="L98" i="88" s="1"/>
  <c r="V89" i="88"/>
  <c r="T89" i="88"/>
  <c r="T91" i="88"/>
  <c r="L91" i="88"/>
  <c r="L92" i="88"/>
  <c r="L89" i="88"/>
  <c r="L94" i="88" s="1"/>
  <c r="U76" i="88"/>
  <c r="V71" i="88"/>
  <c r="U71" i="88"/>
  <c r="Z71" i="88" s="1"/>
  <c r="V76" i="88"/>
  <c r="V62" i="88"/>
  <c r="L76" i="88"/>
  <c r="M76" i="88" s="1"/>
  <c r="N76" i="88" s="1"/>
  <c r="L75" i="88"/>
  <c r="M75" i="88" s="1"/>
  <c r="L71" i="88"/>
  <c r="M71" i="88" s="1"/>
  <c r="N71" i="88" s="1"/>
  <c r="V69" i="88"/>
  <c r="L69" i="88"/>
  <c r="M69" i="88" s="1"/>
  <c r="L67" i="88"/>
  <c r="L62" i="88"/>
  <c r="V75" i="88"/>
  <c r="T75" i="88"/>
  <c r="V67" i="88"/>
  <c r="V61" i="88"/>
  <c r="L61" i="88"/>
  <c r="L64" i="88" s="1"/>
  <c r="V39" i="88"/>
  <c r="T41" i="88"/>
  <c r="L41" i="88"/>
  <c r="M41" i="88" s="1"/>
  <c r="N41" i="88" s="1"/>
  <c r="L39" i="88"/>
  <c r="U114" i="88"/>
  <c r="L114" i="88"/>
  <c r="M114" i="88" s="1"/>
  <c r="N114" i="88" s="1"/>
  <c r="V35" i="88"/>
  <c r="L121" i="88"/>
  <c r="M121" i="88" s="1"/>
  <c r="N121" i="88" s="1"/>
  <c r="V118" i="88"/>
  <c r="V34" i="88"/>
  <c r="T36" i="88"/>
  <c r="L35" i="88"/>
  <c r="L34" i="88"/>
  <c r="L36" i="88" s="1"/>
  <c r="V120" i="88"/>
  <c r="T120" i="88"/>
  <c r="L120" i="88"/>
  <c r="M120" i="88" s="1"/>
  <c r="V119" i="88"/>
  <c r="V117" i="88"/>
  <c r="V116" i="88"/>
  <c r="V113" i="88"/>
  <c r="V115" i="88"/>
  <c r="V112" i="88"/>
  <c r="L119" i="88"/>
  <c r="L118" i="88"/>
  <c r="L117" i="88"/>
  <c r="L116" i="88"/>
  <c r="M116" i="88" s="1"/>
  <c r="N116" i="88" s="1"/>
  <c r="L115" i="88"/>
  <c r="L112" i="88"/>
  <c r="U27" i="88"/>
  <c r="L27" i="88"/>
  <c r="U23" i="88"/>
  <c r="W23" i="88" s="1"/>
  <c r="X23" i="88" s="1"/>
  <c r="AC23" i="88" s="1"/>
  <c r="U19" i="88"/>
  <c r="U20" i="88"/>
  <c r="Z26" i="88"/>
  <c r="AA26" i="88"/>
  <c r="V22" i="88"/>
  <c r="V21" i="88"/>
  <c r="U18" i="88"/>
  <c r="V17" i="88"/>
  <c r="L20" i="88"/>
  <c r="M20" i="88" s="1"/>
  <c r="L18" i="88"/>
  <c r="M18" i="88" s="1"/>
  <c r="L23" i="88"/>
  <c r="M23" i="88" s="1"/>
  <c r="N23" i="88" s="1"/>
  <c r="L22" i="88"/>
  <c r="M22" i="88" s="1"/>
  <c r="L21" i="88"/>
  <c r="M21" i="88" s="1"/>
  <c r="M19" i="88"/>
  <c r="N19" i="88" s="1"/>
  <c r="L17" i="88"/>
  <c r="M10" i="88"/>
  <c r="Y134" i="88" l="1"/>
  <c r="AC134" i="88"/>
  <c r="Y122" i="88"/>
  <c r="AC122" i="88"/>
  <c r="T64" i="88"/>
  <c r="L78" i="88"/>
  <c r="T54" i="88"/>
  <c r="L54" i="88"/>
  <c r="T140" i="88"/>
  <c r="L109" i="88"/>
  <c r="T109" i="88"/>
  <c r="L86" i="88"/>
  <c r="T78" i="88"/>
  <c r="AA67" i="88" s="1"/>
  <c r="T94" i="88"/>
  <c r="L140" i="88"/>
  <c r="L31" i="88"/>
  <c r="AF28" i="88"/>
  <c r="T31" i="88"/>
  <c r="AA27" i="88" s="1"/>
  <c r="T141" i="88"/>
  <c r="T24" i="88"/>
  <c r="AA17" i="88" s="1"/>
  <c r="L24" i="88"/>
  <c r="L141" i="88"/>
  <c r="AF115" i="88"/>
  <c r="U118" i="88"/>
  <c r="W118" i="88" s="1"/>
  <c r="X118" i="88" s="1"/>
  <c r="AC118" i="88" s="1"/>
  <c r="AF118" i="88"/>
  <c r="M62" i="88"/>
  <c r="Z62" i="88"/>
  <c r="U133" i="88"/>
  <c r="W133" i="88" s="1"/>
  <c r="X133" i="88" s="1"/>
  <c r="AC133" i="88" s="1"/>
  <c r="N137" i="88"/>
  <c r="U69" i="88"/>
  <c r="W69" i="88" s="1"/>
  <c r="X69" i="88" s="1"/>
  <c r="AC69" i="88" s="1"/>
  <c r="M83" i="88"/>
  <c r="U83" i="88"/>
  <c r="U132" i="88"/>
  <c r="Z85" i="88"/>
  <c r="Z128" i="88"/>
  <c r="M128" i="88"/>
  <c r="U127" i="88"/>
  <c r="W127" i="88" s="1"/>
  <c r="X127" i="88" s="1"/>
  <c r="AC127" i="88" s="1"/>
  <c r="U52" i="88"/>
  <c r="U93" i="88"/>
  <c r="W70" i="88"/>
  <c r="X70" i="88" s="1"/>
  <c r="Z70" i="88"/>
  <c r="U75" i="88"/>
  <c r="Z75" i="88" s="1"/>
  <c r="AF75" i="88"/>
  <c r="AF39" i="88"/>
  <c r="U105" i="88"/>
  <c r="U109" i="88" s="1"/>
  <c r="AF105" i="88"/>
  <c r="AF81" i="88"/>
  <c r="AF97" i="88"/>
  <c r="U41" i="88"/>
  <c r="Z41" i="88" s="1"/>
  <c r="AF41" i="88"/>
  <c r="M115" i="88"/>
  <c r="Z108" i="88"/>
  <c r="N113" i="88"/>
  <c r="U123" i="88"/>
  <c r="Z123" i="88" s="1"/>
  <c r="N70" i="88"/>
  <c r="Y137" i="88"/>
  <c r="W129" i="88"/>
  <c r="X129" i="88" s="1"/>
  <c r="M52" i="88"/>
  <c r="W125" i="88"/>
  <c r="X125" i="88" s="1"/>
  <c r="W124" i="88"/>
  <c r="X124" i="88" s="1"/>
  <c r="Z138" i="88"/>
  <c r="W138" i="88"/>
  <c r="X138" i="88" s="1"/>
  <c r="W108" i="88"/>
  <c r="X108" i="88" s="1"/>
  <c r="AC108" i="88" s="1"/>
  <c r="M108" i="88"/>
  <c r="W128" i="88"/>
  <c r="X128" i="88" s="1"/>
  <c r="AC128" i="88" s="1"/>
  <c r="W130" i="88"/>
  <c r="X130" i="88" s="1"/>
  <c r="N138" i="88"/>
  <c r="Z135" i="88"/>
  <c r="W135" i="88"/>
  <c r="X135" i="88" s="1"/>
  <c r="W126" i="88"/>
  <c r="X126" i="88" s="1"/>
  <c r="W136" i="88"/>
  <c r="X136" i="88" s="1"/>
  <c r="N136" i="88"/>
  <c r="W131" i="88"/>
  <c r="X131" i="88" s="1"/>
  <c r="N132" i="88"/>
  <c r="N126" i="88"/>
  <c r="M133" i="88"/>
  <c r="N133" i="88" s="1"/>
  <c r="N124" i="88"/>
  <c r="N135" i="88"/>
  <c r="M123" i="88"/>
  <c r="M127" i="88"/>
  <c r="Z29" i="88"/>
  <c r="M105" i="88"/>
  <c r="Z30" i="88"/>
  <c r="W30" i="88"/>
  <c r="X30" i="88" s="1"/>
  <c r="AC30" i="88" s="1"/>
  <c r="M30" i="88"/>
  <c r="N30" i="88" s="1"/>
  <c r="N29" i="88"/>
  <c r="Y29" i="88"/>
  <c r="Z68" i="88"/>
  <c r="W68" i="88"/>
  <c r="X68" i="88" s="1"/>
  <c r="AC68" i="88" s="1"/>
  <c r="M81" i="88"/>
  <c r="U28" i="88"/>
  <c r="W85" i="88"/>
  <c r="X85" i="88" s="1"/>
  <c r="AC85" i="88" s="1"/>
  <c r="Z84" i="88"/>
  <c r="W84" i="88"/>
  <c r="X84" i="88" s="1"/>
  <c r="AC84" i="88" s="1"/>
  <c r="M85" i="88"/>
  <c r="M84" i="88"/>
  <c r="N84" i="88" s="1"/>
  <c r="M93" i="88"/>
  <c r="W90" i="88"/>
  <c r="X90" i="88" s="1"/>
  <c r="N28" i="88"/>
  <c r="Z74" i="88"/>
  <c r="W74" i="88"/>
  <c r="X74" i="88" s="1"/>
  <c r="AC74" i="88" s="1"/>
  <c r="W73" i="88"/>
  <c r="X73" i="88" s="1"/>
  <c r="W72" i="88"/>
  <c r="X72" i="88" s="1"/>
  <c r="AC72" i="88" s="1"/>
  <c r="M74" i="88"/>
  <c r="M72" i="88"/>
  <c r="N72" i="88" s="1"/>
  <c r="W53" i="88"/>
  <c r="X53" i="88" s="1"/>
  <c r="AC53" i="88" s="1"/>
  <c r="U89" i="88"/>
  <c r="M112" i="88"/>
  <c r="U91" i="88"/>
  <c r="W91" i="88" s="1"/>
  <c r="X91" i="88" s="1"/>
  <c r="AC91" i="88" s="1"/>
  <c r="AF91" i="88"/>
  <c r="U101" i="88"/>
  <c r="U102" i="88" s="1"/>
  <c r="M92" i="88"/>
  <c r="N53" i="88"/>
  <c r="AA101" i="88"/>
  <c r="M101" i="88"/>
  <c r="M102" i="88" s="1"/>
  <c r="U92" i="88"/>
  <c r="U97" i="88"/>
  <c r="U98" i="88" s="1"/>
  <c r="AA97" i="88"/>
  <c r="M97" i="88"/>
  <c r="M98" i="88" s="1"/>
  <c r="M89" i="88"/>
  <c r="M91" i="88"/>
  <c r="Z76" i="88"/>
  <c r="W76" i="88"/>
  <c r="X76" i="88" s="1"/>
  <c r="W71" i="88"/>
  <c r="X71" i="88" s="1"/>
  <c r="M67" i="88"/>
  <c r="U67" i="88"/>
  <c r="M61" i="88"/>
  <c r="N69" i="88"/>
  <c r="W62" i="88"/>
  <c r="X62" i="88" s="1"/>
  <c r="AC62" i="88" s="1"/>
  <c r="U61" i="88"/>
  <c r="U64" i="88" s="1"/>
  <c r="N75" i="88"/>
  <c r="U35" i="88"/>
  <c r="U39" i="88"/>
  <c r="M39" i="88"/>
  <c r="Z114" i="88"/>
  <c r="W114" i="88"/>
  <c r="X114" i="88" s="1"/>
  <c r="U34" i="88"/>
  <c r="U36" i="88" s="1"/>
  <c r="U121" i="88"/>
  <c r="M34" i="88"/>
  <c r="M35" i="88"/>
  <c r="N120" i="88"/>
  <c r="U120" i="88"/>
  <c r="U119" i="88"/>
  <c r="M27" i="88"/>
  <c r="U117" i="88"/>
  <c r="U116" i="88"/>
  <c r="U113" i="88"/>
  <c r="U115" i="88"/>
  <c r="U112" i="88"/>
  <c r="M119" i="88"/>
  <c r="N119" i="88" s="1"/>
  <c r="M118" i="88"/>
  <c r="N118" i="88" s="1"/>
  <c r="M117" i="88"/>
  <c r="W27" i="88"/>
  <c r="X27" i="88" s="1"/>
  <c r="AC27" i="88" s="1"/>
  <c r="Z27" i="88"/>
  <c r="Z23" i="88"/>
  <c r="Y23" i="88"/>
  <c r="Z19" i="88"/>
  <c r="W19" i="88"/>
  <c r="X19" i="88" s="1"/>
  <c r="Z20" i="88"/>
  <c r="W20" i="88"/>
  <c r="X20" i="88" s="1"/>
  <c r="U22" i="88"/>
  <c r="W18" i="88"/>
  <c r="X18" i="88" s="1"/>
  <c r="Z18" i="88"/>
  <c r="U21" i="88"/>
  <c r="U17" i="88"/>
  <c r="N20" i="88"/>
  <c r="N21" i="88"/>
  <c r="N18" i="88"/>
  <c r="N22" i="88"/>
  <c r="M17" i="88"/>
  <c r="AA12" i="88"/>
  <c r="Y70" i="88" l="1"/>
  <c r="AC70" i="88"/>
  <c r="Y129" i="88"/>
  <c r="AC129" i="88"/>
  <c r="Y124" i="88"/>
  <c r="AC124" i="88"/>
  <c r="Y130" i="88"/>
  <c r="AC130" i="88"/>
  <c r="Y126" i="88"/>
  <c r="AC126" i="88"/>
  <c r="Y136" i="88"/>
  <c r="AC136" i="88"/>
  <c r="Y131" i="88"/>
  <c r="AC131" i="88"/>
  <c r="Y90" i="88"/>
  <c r="AC90" i="88"/>
  <c r="Y73" i="88"/>
  <c r="AC73" i="88"/>
  <c r="Y71" i="88"/>
  <c r="AC71" i="88"/>
  <c r="Y114" i="88"/>
  <c r="AC114" i="88"/>
  <c r="Y18" i="88"/>
  <c r="AC18" i="88"/>
  <c r="Y19" i="88"/>
  <c r="AC19" i="88"/>
  <c r="Y20" i="88"/>
  <c r="AC20" i="88"/>
  <c r="Y135" i="88"/>
  <c r="AC135" i="88"/>
  <c r="Y76" i="88"/>
  <c r="AC76" i="88"/>
  <c r="Y125" i="88"/>
  <c r="AC125" i="88"/>
  <c r="Y138" i="88"/>
  <c r="AC138" i="88"/>
  <c r="M78" i="88"/>
  <c r="M36" i="88"/>
  <c r="M31" i="88"/>
  <c r="M109" i="88"/>
  <c r="M86" i="88"/>
  <c r="M64" i="88"/>
  <c r="M54" i="88"/>
  <c r="U140" i="88"/>
  <c r="U94" i="88"/>
  <c r="M140" i="88"/>
  <c r="M94" i="88"/>
  <c r="U54" i="88"/>
  <c r="U78" i="88"/>
  <c r="W83" i="88"/>
  <c r="X83" i="88" s="1"/>
  <c r="U86" i="88"/>
  <c r="W132" i="88"/>
  <c r="X132" i="88" s="1"/>
  <c r="Z132" i="88"/>
  <c r="Z28" i="88"/>
  <c r="U31" i="88"/>
  <c r="U141" i="88"/>
  <c r="U24" i="88"/>
  <c r="M141" i="88"/>
  <c r="M24" i="88"/>
  <c r="Z118" i="88"/>
  <c r="N74" i="88"/>
  <c r="Z105" i="88"/>
  <c r="N105" i="88"/>
  <c r="Y62" i="88"/>
  <c r="N62" i="88"/>
  <c r="W93" i="88"/>
  <c r="X93" i="88" s="1"/>
  <c r="Z133" i="88"/>
  <c r="Y69" i="88"/>
  <c r="Z69" i="88"/>
  <c r="N127" i="88"/>
  <c r="Z83" i="88"/>
  <c r="N83" i="88"/>
  <c r="Y128" i="88"/>
  <c r="N128" i="88"/>
  <c r="Y53" i="88"/>
  <c r="Z127" i="88"/>
  <c r="Z93" i="88"/>
  <c r="W75" i="88"/>
  <c r="X75" i="88" s="1"/>
  <c r="W52" i="88"/>
  <c r="X52" i="88" s="1"/>
  <c r="AC52" i="88" s="1"/>
  <c r="N52" i="88"/>
  <c r="Z52" i="88"/>
  <c r="N93" i="88"/>
  <c r="N117" i="88"/>
  <c r="W41" i="88"/>
  <c r="X41" i="88" s="1"/>
  <c r="W105" i="88"/>
  <c r="X105" i="88" s="1"/>
  <c r="N115" i="88"/>
  <c r="N108" i="88"/>
  <c r="W123" i="88"/>
  <c r="X123" i="88" s="1"/>
  <c r="N123" i="88"/>
  <c r="Y127" i="88"/>
  <c r="Y108" i="88"/>
  <c r="Y133" i="88"/>
  <c r="W81" i="88"/>
  <c r="X81" i="88" s="1"/>
  <c r="N81" i="88"/>
  <c r="Y30" i="88"/>
  <c r="Y68" i="88"/>
  <c r="W28" i="88"/>
  <c r="X28" i="88" s="1"/>
  <c r="AC28" i="88" s="1"/>
  <c r="Z81" i="88"/>
  <c r="Y85" i="88"/>
  <c r="Y84" i="88"/>
  <c r="N85" i="88"/>
  <c r="W89" i="88"/>
  <c r="X89" i="88" s="1"/>
  <c r="AC89" i="88" s="1"/>
  <c r="W97" i="88"/>
  <c r="X97" i="88" s="1"/>
  <c r="Z91" i="88"/>
  <c r="W101" i="88"/>
  <c r="X101" i="88" s="1"/>
  <c r="Z101" i="88"/>
  <c r="Y74" i="88"/>
  <c r="Y72" i="88"/>
  <c r="Y91" i="88"/>
  <c r="N112" i="88"/>
  <c r="N89" i="88"/>
  <c r="Z89" i="88"/>
  <c r="N92" i="88"/>
  <c r="Z97" i="88"/>
  <c r="N101" i="88"/>
  <c r="N102" i="88" s="1"/>
  <c r="W92" i="88"/>
  <c r="X92" i="88" s="1"/>
  <c r="AC92" i="88" s="1"/>
  <c r="Z92" i="88"/>
  <c r="AA92" i="88"/>
  <c r="AA89" i="88"/>
  <c r="AA91" i="88"/>
  <c r="N97" i="88"/>
  <c r="N98" i="88" s="1"/>
  <c r="N61" i="88"/>
  <c r="N91" i="88"/>
  <c r="N67" i="88"/>
  <c r="W67" i="88"/>
  <c r="X67" i="88" s="1"/>
  <c r="AC67" i="88" s="1"/>
  <c r="Z67" i="88"/>
  <c r="AA69" i="88"/>
  <c r="AA71" i="88"/>
  <c r="AA75" i="88"/>
  <c r="AA76" i="88"/>
  <c r="AA62" i="88"/>
  <c r="AA61" i="88"/>
  <c r="W61" i="88"/>
  <c r="X61" i="88" s="1"/>
  <c r="Z61" i="88"/>
  <c r="Z35" i="88"/>
  <c r="W35" i="88"/>
  <c r="X35" i="88" s="1"/>
  <c r="AA35" i="88"/>
  <c r="AA34" i="88"/>
  <c r="W39" i="88"/>
  <c r="X39" i="88" s="1"/>
  <c r="AC39" i="88" s="1"/>
  <c r="Z39" i="88"/>
  <c r="N39" i="88"/>
  <c r="AA41" i="88"/>
  <c r="AA39" i="88"/>
  <c r="N34" i="88"/>
  <c r="AA21" i="88"/>
  <c r="AA22" i="88"/>
  <c r="AA18" i="88"/>
  <c r="AA19" i="88"/>
  <c r="AA20" i="88"/>
  <c r="AA23" i="88"/>
  <c r="N27" i="88"/>
  <c r="N31" i="88" s="1"/>
  <c r="Z121" i="88"/>
  <c r="W121" i="88"/>
  <c r="X121" i="88" s="1"/>
  <c r="AA121" i="88"/>
  <c r="W34" i="88"/>
  <c r="X34" i="88" s="1"/>
  <c r="AC34" i="88" s="1"/>
  <c r="Z34" i="88"/>
  <c r="AA120" i="88"/>
  <c r="N35" i="88"/>
  <c r="W120" i="88"/>
  <c r="X120" i="88" s="1"/>
  <c r="Z120" i="88"/>
  <c r="Z119" i="88"/>
  <c r="W119" i="88"/>
  <c r="X119" i="88" s="1"/>
  <c r="AC119" i="88" s="1"/>
  <c r="Z117" i="88"/>
  <c r="W117" i="88"/>
  <c r="X117" i="88" s="1"/>
  <c r="AC117" i="88" s="1"/>
  <c r="W113" i="88"/>
  <c r="X113" i="88" s="1"/>
  <c r="AC113" i="88" s="1"/>
  <c r="Z113" i="88"/>
  <c r="W115" i="88"/>
  <c r="X115" i="88" s="1"/>
  <c r="AC115" i="88" s="1"/>
  <c r="Z115" i="88"/>
  <c r="W112" i="88"/>
  <c r="X112" i="88" s="1"/>
  <c r="AC112" i="88" s="1"/>
  <c r="Z112" i="88"/>
  <c r="W116" i="88"/>
  <c r="X116" i="88" s="1"/>
  <c r="AC116" i="88" s="1"/>
  <c r="Z116" i="88"/>
  <c r="AA112" i="88"/>
  <c r="AA115" i="88"/>
  <c r="AA113" i="88"/>
  <c r="AA116" i="88"/>
  <c r="AA117" i="88"/>
  <c r="AA118" i="88"/>
  <c r="AA119" i="88"/>
  <c r="Y27" i="88"/>
  <c r="Y118" i="88"/>
  <c r="W22" i="88"/>
  <c r="X22" i="88" s="1"/>
  <c r="Z22" i="88"/>
  <c r="W21" i="88"/>
  <c r="X21" i="88" s="1"/>
  <c r="AC21" i="88" s="1"/>
  <c r="Z21" i="88"/>
  <c r="W17" i="88"/>
  <c r="X17" i="88" s="1"/>
  <c r="AC17" i="88" s="1"/>
  <c r="Z17" i="88"/>
  <c r="N17" i="88"/>
  <c r="Y83" i="88" l="1"/>
  <c r="AC83" i="88"/>
  <c r="Y132" i="88"/>
  <c r="AC132" i="88"/>
  <c r="Y93" i="88"/>
  <c r="AC93" i="88"/>
  <c r="Y75" i="88"/>
  <c r="AC75" i="88"/>
  <c r="Y41" i="88"/>
  <c r="AC41" i="88"/>
  <c r="X109" i="88"/>
  <c r="Y109" i="88" s="1"/>
  <c r="AC105" i="88"/>
  <c r="X86" i="88"/>
  <c r="Y86" i="88" s="1"/>
  <c r="AC81" i="88"/>
  <c r="X98" i="88"/>
  <c r="AC97" i="88"/>
  <c r="X64" i="88"/>
  <c r="Y64" i="88" s="1"/>
  <c r="AC61" i="88"/>
  <c r="Y35" i="88"/>
  <c r="AC35" i="88"/>
  <c r="Y120" i="88"/>
  <c r="AC120" i="88"/>
  <c r="Y22" i="88"/>
  <c r="AC22" i="88"/>
  <c r="Y123" i="88"/>
  <c r="AC123" i="88"/>
  <c r="Y121" i="88"/>
  <c r="AC121" i="88"/>
  <c r="X102" i="88"/>
  <c r="Y102" i="88" s="1"/>
  <c r="AC101" i="88"/>
  <c r="X36" i="88"/>
  <c r="N140" i="88"/>
  <c r="N64" i="88"/>
  <c r="N78" i="88"/>
  <c r="X78" i="88"/>
  <c r="Y78" i="88" s="1"/>
  <c r="X54" i="88"/>
  <c r="Y54" i="88" s="1"/>
  <c r="N54" i="88"/>
  <c r="X140" i="88"/>
  <c r="Y140" i="88" s="1"/>
  <c r="N94" i="88"/>
  <c r="N36" i="88"/>
  <c r="N109" i="88"/>
  <c r="N86" i="88"/>
  <c r="X94" i="88"/>
  <c r="Y94" i="88" s="1"/>
  <c r="Y28" i="88"/>
  <c r="X31" i="88"/>
  <c r="Y31" i="88" s="1"/>
  <c r="X141" i="88"/>
  <c r="X24" i="88"/>
  <c r="Y24" i="88" s="1"/>
  <c r="N141" i="88"/>
  <c r="N24" i="88"/>
  <c r="Y36" i="88"/>
  <c r="Y105" i="88"/>
  <c r="Y52" i="88"/>
  <c r="Y117" i="88"/>
  <c r="Y115" i="88"/>
  <c r="Y113" i="88"/>
  <c r="Y81" i="88"/>
  <c r="Y89" i="88"/>
  <c r="Y97" i="88"/>
  <c r="Y101" i="88"/>
  <c r="Y112" i="88"/>
  <c r="Y119" i="88"/>
  <c r="Y92" i="88"/>
  <c r="Y67" i="88"/>
  <c r="Y61" i="88"/>
  <c r="Y39" i="88"/>
  <c r="Y34" i="88"/>
  <c r="AB17" i="88"/>
  <c r="Y116" i="88"/>
  <c r="AB27" i="88"/>
  <c r="Y21" i="88"/>
  <c r="Y17" i="88"/>
  <c r="AB21" i="88"/>
  <c r="AB22" i="88"/>
  <c r="AB23" i="88"/>
  <c r="AB20" i="88"/>
  <c r="AB19" i="88"/>
  <c r="AB18" i="88"/>
  <c r="Y98" i="88" l="1"/>
  <c r="AC141" i="88"/>
  <c r="C5" i="94"/>
  <c r="C9" i="94" s="1"/>
  <c r="C22" i="100"/>
  <c r="C26" i="100" s="1"/>
  <c r="D22" i="100"/>
  <c r="D26" i="100" s="1"/>
  <c r="AD162" i="88"/>
  <c r="AD160" i="88"/>
  <c r="Y141" i="88"/>
  <c r="D5" i="94" s="1"/>
  <c r="D9" i="94" s="1"/>
  <c r="N144" i="88"/>
  <c r="D37" i="100" l="1"/>
  <c r="C14" i="94"/>
  <c r="C11" i="94"/>
  <c r="E22" i="100"/>
  <c r="F10" i="94"/>
  <c r="F11" i="94" s="1"/>
  <c r="Z141" i="88"/>
  <c r="AA141" i="88" s="1"/>
  <c r="E37" i="100" l="1"/>
  <c r="F22" i="100"/>
  <c r="E26" i="100"/>
  <c r="F26" i="100" s="1"/>
  <c r="F37" i="100" l="1"/>
  <c r="F40" i="10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tc={05472E17-0A19-48F4-A59C-E350137B5449}</author>
    <author>tc={AF31CF75-8B67-4FB8-BE5A-AEE21B3FA885}</author>
    <author>tc={F7D90598-5216-4727-BF5E-EE209EB5DB39}</author>
    <author>tc={47F81BDE-9F1D-4F24-B4FB-6911B746D41A}</author>
    <author>tc={A8E0A892-47C5-4F6A-B84E-B09C489B0E82}</author>
    <author>tc={D96CF391-44A4-48AF-B0CD-50800EA4545D}</author>
    <author>tc={5DDFF8BF-09B5-4F5A-901D-09915FB30CE6}</author>
    <author>tc={34AD622C-FFD7-4528-9A79-69FC544235B0}</author>
  </authors>
  <commentList>
    <comment ref="F40" authorId="0" shapeId="0" xr:uid="{05472E17-0A19-48F4-A59C-E350137B544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Conseguimos uma otima negociação!</t>
      </text>
    </comment>
    <comment ref="S51" authorId="1" shapeId="0" xr:uid="{AF31CF75-8B67-4FB8-BE5A-AEE21B3FA885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5%</t>
      </text>
    </comment>
    <comment ref="S76" authorId="2" shapeId="0" xr:uid="{F7D90598-5216-4727-BF5E-EE209EB5DB3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 diferença dos valores é nossa</t>
      </text>
    </comment>
    <comment ref="F85" authorId="3" shapeId="0" xr:uid="{47F81BDE-9F1D-4F24-B4FB-6911B746D41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Negociamos o valor!</t>
      </text>
    </comment>
    <comment ref="F127" authorId="4" shapeId="0" xr:uid="{A8E0A892-47C5-4F6A-B84E-B09C489B0E8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Valor negociado!</t>
      </text>
    </comment>
    <comment ref="F128" authorId="5" shapeId="0" xr:uid="{D96CF391-44A4-48AF-B0CD-50800EA4545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Valor negociado!</t>
      </text>
    </comment>
    <comment ref="F132" authorId="6" shapeId="0" xr:uid="{5DDFF8BF-09B5-4F5A-901D-09915FB30CE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Deixamos somente 01 diária!</t>
      </text>
    </comment>
    <comment ref="F134" authorId="7" shapeId="0" xr:uid="{34AD622C-FFD7-4528-9A79-69FC544235B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Deixamos somenter 01 promotor de ativação para F1</t>
      </text>
    </comment>
  </commentList>
</comments>
</file>

<file path=xl/sharedStrings.xml><?xml version="1.0" encoding="utf-8"?>
<sst xmlns="http://schemas.openxmlformats.org/spreadsheetml/2006/main" count="1786" uniqueCount="791">
  <si>
    <t>ORÇAMENTO 5.1</t>
  </si>
  <si>
    <t>Oggi Comunicação e Eventos</t>
  </si>
  <si>
    <t>CÓDIGO DO JOB: LE_217</t>
  </si>
  <si>
    <t xml:space="preserve">CLIENTE: LENOVO </t>
  </si>
  <si>
    <t>EVENTO: TECH WORLD</t>
  </si>
  <si>
    <t>LOCAL: PARQUE MIRANTE (ALLIANZ)</t>
  </si>
  <si>
    <t>DATA DO EVENTO: EM DEFINIÇÃO</t>
  </si>
  <si>
    <t>ATENDIMENTO: FERNANDA PINHEIRO</t>
  </si>
  <si>
    <t>PRODUTOR: PATRICK BAYEUX</t>
  </si>
  <si>
    <t>NOME PLANILHA: LE_217_TECH WORLD.MKT</t>
  </si>
  <si>
    <t>CUSTOS (valor de custo c/ NF ou recibo)</t>
  </si>
  <si>
    <t>DIFERENÇA NF (Lucro)</t>
  </si>
  <si>
    <t>ENCARGOS PUBLI</t>
  </si>
  <si>
    <t>SOLICITAÇÃO DE PAGAMENTO</t>
  </si>
  <si>
    <t>FORNECEDOR</t>
  </si>
  <si>
    <t>Solicitado</t>
  </si>
  <si>
    <t>PAGAMENTOS</t>
  </si>
  <si>
    <t>ÍNDICE</t>
  </si>
  <si>
    <t>ÍNDICE PUBLI</t>
  </si>
  <si>
    <t>CATEGORIA</t>
  </si>
  <si>
    <t>TIPO DE CUSTOS</t>
  </si>
  <si>
    <t>TIPO DE FATURAMENTO</t>
  </si>
  <si>
    <t>RESUMO</t>
  </si>
  <si>
    <t>DESCRITIVO</t>
  </si>
  <si>
    <t>Qtd</t>
  </si>
  <si>
    <t>Diária</t>
  </si>
  <si>
    <t>R$ unit</t>
  </si>
  <si>
    <t>VALOR</t>
  </si>
  <si>
    <t>SUBTOTAL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</si>
  <si>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</si>
  <si>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</si>
  <si>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</si>
  <si>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</si>
  <si>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</si>
  <si>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</si>
  <si>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</si>
  <si>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</si>
  <si>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</si>
  <si>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</si>
  <si>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Peso</t>
  </si>
  <si>
    <t>GRUPO</t>
  </si>
  <si>
    <t xml:space="preserve">INTERNOS </t>
  </si>
  <si>
    <t>1.1</t>
  </si>
  <si>
    <t>SUBGRUPO</t>
  </si>
  <si>
    <t xml:space="preserve">INTERNOS  </t>
  </si>
  <si>
    <t>AGENCIAMENTO</t>
  </si>
  <si>
    <t>IMPOSTOS</t>
  </si>
  <si>
    <t>Marg.</t>
  </si>
  <si>
    <t>1.1.1</t>
  </si>
  <si>
    <t>ITEM</t>
  </si>
  <si>
    <t>INTERNO</t>
  </si>
  <si>
    <t>FAT.OGGI</t>
  </si>
  <si>
    <t>Atendimento</t>
  </si>
  <si>
    <t>Responsável por ser a ponte principal entre o cliente e a equipe interna (produção, criação, planejamento). Atua desde o briefing inicial, passando pela venda da ideia, acompanhamento do planejamento, execução no dia do evento (in loco) e pós-evento, garantindo a satisfação do cliente e a qualidade da entrega;</t>
  </si>
  <si>
    <t>1.1.2</t>
  </si>
  <si>
    <t>Planejamento</t>
  </si>
  <si>
    <t>É a etapa estratégica e meticulosa de conceber, estruturar e organizar as diretrizes de um evento antes da sua execução física. Este setor atua como a ponte entre os objetivos de negócio do cliente (marketing, branding, vendas) e a experiência final do participante, garantindo que o evento seja memorável, eficiente e alinhado ao orçamento;</t>
  </si>
  <si>
    <t>1.1.3</t>
  </si>
  <si>
    <t xml:space="preserve">Criação </t>
  </si>
  <si>
    <t>Focado em conectar o evento ao público-alvo, detalhando conceito, objetivos, público, linkando (temática, cenografia, tecnologia, sensorial) e experiência. Além de criação de KV e peças;</t>
  </si>
  <si>
    <t>1.1.4</t>
  </si>
  <si>
    <t>3D</t>
  </si>
  <si>
    <t>È o responsável por traduzir conceitos criativos e briefings em visualizações tridimensionais realistas de estandes, palcos, ativações de marca e cenografias. Esse profissional transforma ideias abstratas em imagens e projetos técnicos que guiarão a montagem física do evento;</t>
  </si>
  <si>
    <t>1.1.5</t>
  </si>
  <si>
    <t>Produtor Executivo</t>
  </si>
  <si>
    <t>Responsável pela concepção, orçamento, cronograma macro, viabilidade financeira e negociação com clientes e/ou stakeholders;</t>
  </si>
  <si>
    <t>1.1.6</t>
  </si>
  <si>
    <t>Assistente de Produção</t>
  </si>
  <si>
    <t>Dá o suporte atuando desde a cotação com fornecedores e controle de cronogramas até o suporte logístico no local, incluindo montagem/desmontagem, comunicação com equipes, atendimento a clientes e controle de materiais, garantindo que todas as etapas ocorram dentro do prazo e dos objetivos do projeto;</t>
  </si>
  <si>
    <t>1.1.7</t>
  </si>
  <si>
    <t>Produtor Financeiro</t>
  </si>
  <si>
    <t>Responsável por resolver a sazonalidade, o descasamento entre o alto volume de pagamentos a fornecedores (antes do evento) e o recebimento das receitas. Além de ser responsável por todo processo de prestação de conta e faturamento;</t>
  </si>
  <si>
    <t>SUBTOTAL SUBGRUPO</t>
  </si>
  <si>
    <t xml:space="preserve">Subtotal INTERNOS  </t>
  </si>
  <si>
    <t>LOCAL | LOCAÇÃO</t>
  </si>
  <si>
    <t>LOCAL</t>
  </si>
  <si>
    <t>2.1</t>
  </si>
  <si>
    <t>2.1.1</t>
  </si>
  <si>
    <t>OPERACIONAL</t>
  </si>
  <si>
    <t>FAT.CLIENTE</t>
  </si>
  <si>
    <t>Parque Mirante (Allianz)</t>
  </si>
  <si>
    <t xml:space="preserve">_x000D_
</t>
  </si>
  <si>
    <t>2.1.2</t>
  </si>
  <si>
    <t>Gerador Paralelo</t>
  </si>
  <si>
    <t>GRUPO GERADOR
Potência (kVA) 400 | Tensão 380V | Horas 11 | Sistema Paralelo;
(02 Equipamentos ligados paralelamente, um por 11h e o outro por 8h. Se houver queda de um, o outro já estara funcionando - não há delay)</t>
  </si>
  <si>
    <t>_x000D_
CAM ENERGY LOCACAO DE EQUIPAMENTOS LTDA</t>
  </si>
  <si>
    <t>_x000D_
28.585.395/0001-50</t>
  </si>
  <si>
    <t>Subtotal LOCAL</t>
  </si>
  <si>
    <t>TAXAS</t>
  </si>
  <si>
    <t>3.1</t>
  </si>
  <si>
    <t>3.1.1</t>
  </si>
  <si>
    <t>Seguro</t>
  </si>
  <si>
    <t>Seguro do evento;</t>
  </si>
  <si>
    <t>3.1.2</t>
  </si>
  <si>
    <t>ECAD</t>
  </si>
  <si>
    <t>Taxa de Ecad;</t>
  </si>
  <si>
    <t>Subtotal TAXAS</t>
  </si>
  <si>
    <t>CENOGRAFIA</t>
  </si>
  <si>
    <t>4.1</t>
  </si>
  <si>
    <t>4.1.1</t>
  </si>
  <si>
    <t>Entrada | Plenária | Happy hour | Área imprensa</t>
  </si>
  <si>
    <t>Área Externa: Pórtico externo de entrada na área de credenciamento/estacionamento;
Credenciamento: Balcão (estrutura pra led) e backdrop;
Entrada: Túnel de entrada (estrutura + luzes);
Piso Superior: Biombos, cortina, parede de lonas;
Plénária: Portal, palco e fechamentos;
HH: Palco dj;
Espaço para os jornalistas;</t>
  </si>
  <si>
    <t>_x000D_
CORNER | SOCIO 01</t>
  </si>
  <si>
    <t>_x000D_
279.765.888-42</t>
  </si>
  <si>
    <t>4.1.2</t>
  </si>
  <si>
    <t>Booths</t>
  </si>
  <si>
    <t>_x000D_
Michael Asam | SOCIO 02</t>
  </si>
  <si>
    <t>_x000D_
265.155.758-74</t>
  </si>
  <si>
    <t>4.1.3</t>
  </si>
  <si>
    <t>Mobiliário Plenária</t>
  </si>
  <si>
    <t>220 Cadeiras plenária + 04 poltronas;</t>
  </si>
  <si>
    <t>Subtotal CENOGRAFIA</t>
  </si>
  <si>
    <t>AUDIOVISUAL</t>
  </si>
  <si>
    <t>5.1</t>
  </si>
  <si>
    <t>5.1.1</t>
  </si>
  <si>
    <t>LED Paineis</t>
  </si>
  <si>
    <t>5.1.2</t>
  </si>
  <si>
    <t>Som &amp; Luz</t>
  </si>
  <si>
    <t>Subtotal AUDIOVISUAL</t>
  </si>
  <si>
    <t>CREDENCIAMENTO &amp; RECEPÇÃO</t>
  </si>
  <si>
    <t>6.1</t>
  </si>
  <si>
    <t>6.1.1</t>
  </si>
  <si>
    <t>RSVP</t>
  </si>
  <si>
    <t>6.1.2</t>
  </si>
  <si>
    <t>Kit Jornalista</t>
  </si>
  <si>
    <t>6.1.3</t>
  </si>
  <si>
    <t>6.1.4</t>
  </si>
  <si>
    <t>Cracha</t>
  </si>
  <si>
    <t>6.1.5</t>
  </si>
  <si>
    <t>Uniforme Recepcionistas</t>
  </si>
  <si>
    <t>Uniforme (vide apresentação);</t>
  </si>
  <si>
    <t>fatura para 20 dias</t>
  </si>
  <si>
    <t>_x000D_
ATELIER L&amp;M CONFECCOES LTDA</t>
  </si>
  <si>
    <t>_x000D_
36.399.600/0001-11</t>
  </si>
  <si>
    <t>6.1.6</t>
  </si>
  <si>
    <t>Camiseta</t>
  </si>
  <si>
    <t>Subtotal CREDENCIAMENTO &amp; RECEPÇÃO</t>
  </si>
  <si>
    <t>A&amp;B | BUFFET</t>
  </si>
  <si>
    <t>7.1</t>
  </si>
  <si>
    <t>BUFFET</t>
  </si>
  <si>
    <t>7.1.1</t>
  </si>
  <si>
    <t>A&amp;B</t>
  </si>
  <si>
    <t>Welcome Coffee, Coquetel finger food, Salgados quentes (volante), Mesa de saída
(Menu vide apresentação);</t>
  </si>
  <si>
    <t>_x000D_
BUFFET CELANO GASTRONOMIA LTDA</t>
  </si>
  <si>
    <t>_x000D_
13.718.607/0001-53</t>
  </si>
  <si>
    <t>7.1.2</t>
  </si>
  <si>
    <t>Ilha All Day</t>
  </si>
  <si>
    <t>7.1.3</t>
  </si>
  <si>
    <t>Pacote de Bebidas</t>
  </si>
  <si>
    <t>7.1.4</t>
  </si>
  <si>
    <t>Estrutura</t>
  </si>
  <si>
    <t>Subtotal BUFFET</t>
  </si>
  <si>
    <t>ARTISTICO</t>
  </si>
  <si>
    <t>8.1</t>
  </si>
  <si>
    <t>8.1.1</t>
  </si>
  <si>
    <t>MC</t>
  </si>
  <si>
    <t>8.1.2</t>
  </si>
  <si>
    <t>DJ</t>
  </si>
  <si>
    <t>8.1.3</t>
  </si>
  <si>
    <t>Embaixadinha</t>
  </si>
  <si>
    <t>Subtotal ARTISTICO</t>
  </si>
  <si>
    <t>BRINDES</t>
  </si>
  <si>
    <t>9.1</t>
  </si>
  <si>
    <t>9.1.1</t>
  </si>
  <si>
    <t>Brindes</t>
  </si>
  <si>
    <t>_x000D_
SERTHA INDUSTRIA E COMERCIO DE BRINDES LTDA</t>
  </si>
  <si>
    <t>_x000D_
74.645.169/0001-35</t>
  </si>
  <si>
    <t>Subtotal BRINDES</t>
  </si>
  <si>
    <t>TRADUÇÃO E LEGENDAGEM</t>
  </si>
  <si>
    <t>10.1</t>
  </si>
  <si>
    <t>10.1.1</t>
  </si>
  <si>
    <t>Videos</t>
  </si>
  <si>
    <t>Tradução e legendagem de 03 vídeos de até 5 minutos (enviados pelo cliente);</t>
  </si>
  <si>
    <t>Subtotal TRADUÇÃO E LEGENDAGEM</t>
  </si>
  <si>
    <t>ATIVAÇÕES</t>
  </si>
  <si>
    <t>11.1</t>
  </si>
  <si>
    <t>11.1.1</t>
  </si>
  <si>
    <t>11.1.2</t>
  </si>
  <si>
    <t>11.1.3</t>
  </si>
  <si>
    <t>11.1.4</t>
  </si>
  <si>
    <t>_x000D_
POLE &amp; ZUUK LTDA</t>
  </si>
  <si>
    <t>_x000D_
38.056.203/0001-72</t>
  </si>
  <si>
    <t>Subtotal ATIVAÇÕES</t>
  </si>
  <si>
    <t>TIME | STAFF</t>
  </si>
  <si>
    <t>12.1</t>
  </si>
  <si>
    <t>STAFF</t>
  </si>
  <si>
    <t>12.1.1</t>
  </si>
  <si>
    <t>Produtor de montagem e desmontagem</t>
  </si>
  <si>
    <t>Responsável pela coordenação das equipes, cronogramas e processos de montagem e desmontagem, garantindo cumprimento de prazos e segurança operacional;</t>
  </si>
  <si>
    <t>12.1.2</t>
  </si>
  <si>
    <t>Produtores Operacionais</t>
  </si>
  <si>
    <t>12.1.3</t>
  </si>
  <si>
    <t>Recepcionistas</t>
  </si>
  <si>
    <t>Responsáveis pelo acolhimento e orientação dos convidados, apoio ao credenciamento, direcionamento de fluxos e atendimento ao público, garantindo cordialidade, organização e boa experiência desde a chegada ao evento;</t>
  </si>
  <si>
    <t>12.1.4</t>
  </si>
  <si>
    <t>Equipe de Segurança</t>
  </si>
  <si>
    <t>12.1.5</t>
  </si>
  <si>
    <t>Equipe de Limpeza</t>
  </si>
  <si>
    <t>12.1.6</t>
  </si>
  <si>
    <t>Equipe de Carregadores</t>
  </si>
  <si>
    <t>12.1.7</t>
  </si>
  <si>
    <t>Brigadistas</t>
  </si>
  <si>
    <t>12.1.8</t>
  </si>
  <si>
    <t>Fotografo</t>
  </si>
  <si>
    <t>Responsável pelo registro fotográfico do evento, captando momentos, ambientação e detalhes conforme briefing e objetivos definidos;</t>
  </si>
  <si>
    <t>12.1.9</t>
  </si>
  <si>
    <t>Ambulancia</t>
  </si>
  <si>
    <t>12.1.10</t>
  </si>
  <si>
    <t>Radios</t>
  </si>
  <si>
    <t>Rádio comunicador, com carregadores e baterias extras;</t>
  </si>
  <si>
    <t>Subtotal STAFF</t>
  </si>
  <si>
    <t>Marg. Lucro</t>
  </si>
  <si>
    <t>Lucro</t>
  </si>
  <si>
    <t>SUBTOTAL PLANILHA</t>
  </si>
  <si>
    <t xml:space="preserve">TOTAL </t>
  </si>
  <si>
    <t>TOTAL</t>
  </si>
  <si>
    <t>DATA DO EVENTO: 24.03</t>
  </si>
  <si>
    <t>_x000D_
Vanessa Cristofani de Carvalho</t>
  </si>
  <si>
    <t>_x000D_
164.709.468-28</t>
  </si>
  <si>
    <t>Samara: 11 99569-9855</t>
  </si>
  <si>
    <t>Claudia: 11 98444-4083</t>
  </si>
  <si>
    <t>2.1.3</t>
  </si>
  <si>
    <t>Ar condicionado</t>
  </si>
  <si>
    <t>Diária de ligação ar-condicionado: Período de 10 horas;</t>
  </si>
  <si>
    <t>2.1.4</t>
  </si>
  <si>
    <t>Estacionamento</t>
  </si>
  <si>
    <t>Vagas de estacionamento considerando 50 carros; (Passando entra em complemento)</t>
  </si>
  <si>
    <t>Sidney:  11 99249-7560</t>
  </si>
  <si>
    <t>Fechamento</t>
  </si>
  <si>
    <t>Fechamento em tecido tencionado para separação de ambientes;</t>
  </si>
  <si>
    <t>Gabriel: 11 96919-8309</t>
  </si>
  <si>
    <t>_x000D_
PB PRODUCOES CENOGRAFICAS LTDA</t>
  </si>
  <si>
    <t>_x000D_
55.974.610/0001-88</t>
  </si>
  <si>
    <t>05 Espaços estruturados para exposição de produtos;</t>
  </si>
  <si>
    <t>4.1.4</t>
  </si>
  <si>
    <t>Novos Booths</t>
  </si>
  <si>
    <t>Novos espaços solicitados no decorrer do projeto. (Incluso parte tecnica e construtiva)</t>
  </si>
  <si>
    <t>4.1.5</t>
  </si>
  <si>
    <t>Locação de TV's</t>
  </si>
  <si>
    <t>TV 50' - 06 unidades;
TV 46" Verttical - 01 unidade;
TV 32" - 02 unidades;
TV 75" - 01 unidade;</t>
  </si>
  <si>
    <t>4.1.6</t>
  </si>
  <si>
    <t>Testeira</t>
  </si>
  <si>
    <t>Paty</t>
  </si>
  <si>
    <t>4.1.7</t>
  </si>
  <si>
    <t>Peças Graficas</t>
  </si>
  <si>
    <t>Placas de credeciamento A4 em acrilico, prisma "Reservado";</t>
  </si>
  <si>
    <t>4.1.8</t>
  </si>
  <si>
    <t>Assets dos Produtos</t>
  </si>
  <si>
    <t>4.1.9</t>
  </si>
  <si>
    <t>Bases de Notebook</t>
  </si>
  <si>
    <t>10 Bases p/ 01 notebook com Led  (Formica bambu + Formplast Vermelho + Kit de comunicação);</t>
  </si>
  <si>
    <t>Fornecedores cliente</t>
  </si>
  <si>
    <t>4.1.10</t>
  </si>
  <si>
    <t>Bases de Tablet</t>
  </si>
  <si>
    <t>05 Bases p/ Tablet com Led  (Formica bambu + Formplast Vermelho + Kit de comunicação);</t>
  </si>
  <si>
    <t>4.1.11</t>
  </si>
  <si>
    <t>Display (Fazz)</t>
  </si>
  <si>
    <t>Display "Estação de Comissão Técnica";</t>
  </si>
  <si>
    <t>_x000D_
FUE INDUSTRIA E COMERCIO DE MOVEIS LTDA</t>
  </si>
  <si>
    <t>_x000D_
22.545.294/0001-70</t>
  </si>
  <si>
    <t>4.1.12</t>
  </si>
  <si>
    <t>Display "Smart Conect';</t>
  </si>
  <si>
    <t>4.1.13</t>
  </si>
  <si>
    <t>Motorola</t>
  </si>
  <si>
    <t>Mesa construída em madeira com acabamento laminado, pés em madeira recortados em router, e
aplique / corte no tampo conforme projeto, medidas de 1,54m x 0,96m x 1,00m (LxAxP)</t>
  </si>
  <si>
    <t>Silvio: 11 98415-9596 (5%)</t>
  </si>
  <si>
    <t>_x000D_
S3 LIVE MARKETING LTDA</t>
  </si>
  <si>
    <t>_x000D_
34.718.204/0001-84</t>
  </si>
  <si>
    <t>4.1.14</t>
  </si>
  <si>
    <t>Dragão</t>
  </si>
  <si>
    <t xml:space="preserve">Transporte do Dragão para o evento: Coleta &gt; Evento &gt; Retorno; </t>
  </si>
  <si>
    <t>4.1.15</t>
  </si>
  <si>
    <t>LED - Esfera</t>
  </si>
  <si>
    <t>Esfera de Led com 2m de diâmetro;</t>
  </si>
  <si>
    <t>Célio: 11 99812-1241 (Negociação Sergio)</t>
  </si>
  <si>
    <t>Supervisor de Movimentação de Cargas</t>
  </si>
  <si>
    <t>Responsável pela operação e coordenação de guindastes durante o evento, garantindo segurança e eficiência nas movimentações de carga. Atua no planejamento das operações, posicionamento dos equipamentos e cumprimento das normas técnicas. Assegura a integridade das estruturas, equipe e materiais envolvidos.</t>
  </si>
  <si>
    <t>?</t>
  </si>
  <si>
    <t>5.1.3</t>
  </si>
  <si>
    <t xml:space="preserve">Guindaste </t>
  </si>
  <si>
    <t>Içamento de esfera de LED para rooftop, utilizando guindaste adequado à carga e altura do local. O serviço inclui amarração segura do equipamento, elevação controlada e posicionamento da esfera no ponto definido para o evento, realizado por equipe técnica especializada e seguindo os procedimentos de segurança.</t>
  </si>
  <si>
    <t>Daniel: 11 95388-2233</t>
  </si>
  <si>
    <t>5.1.4</t>
  </si>
  <si>
    <t>Documentação</t>
  </si>
  <si>
    <t>Certificado de Operador de Guindaste (NR-11);
Treinamento de Segurança em Movimentação de Cargas;
ASO (Atestado de Saúde Ocupacional);
Carteira de habilitação (quando aplicável ao equipamento);
Certificado de Rigger/Sinaleiro (se também atuar nessa função);</t>
  </si>
  <si>
    <t>5.1.5</t>
  </si>
  <si>
    <t>Painel de led curvo | Palco;
Painel de led laterais | Palco;
Painel de led | Dj;</t>
  </si>
  <si>
    <t>LPL: 11 95075-9707</t>
  </si>
  <si>
    <t>5.1.6</t>
  </si>
  <si>
    <t xml:space="preserve">Plenária, área de exposição de produtos, varanda happy hour </t>
  </si>
  <si>
    <t>5.1.7</t>
  </si>
  <si>
    <t>Gobos</t>
  </si>
  <si>
    <t>Foto Gobo Preto e Branco: 02 Tech World, 01 Lenovo e 01 Motorola (Frete incluso);</t>
  </si>
  <si>
    <t>Gobos: 11 4368-8291</t>
  </si>
  <si>
    <t>_x000D_
GOBOS DO BRASIL LTDA</t>
  </si>
  <si>
    <t>_x000D_
05.436.980/0001-93</t>
  </si>
  <si>
    <t>Clean Up do mailing;
Envio de whatsapp em massa (200x5);
Concierge via Whatsapp (02 semanas);
Adm/Relatórios RSVP;</t>
  </si>
  <si>
    <t>Adriana (Nine): 11 96605-0210</t>
  </si>
  <si>
    <t>Programação e Gestão da Plataforma EVNTS</t>
  </si>
  <si>
    <t>05 Documentos de Mail Marketing
Desenvolvimento + Armazenagem das imagens 
• HTML 
• Configuração EVNTS</t>
  </si>
  <si>
    <t>Marcelo: 11 97396-7618</t>
  </si>
  <si>
    <t>Kit jornalista: Agasalho ADIDAS, inserção de logos em DTF + caixa adesivada + carta + manuseio;</t>
  </si>
  <si>
    <t>Despesas (soma de notas)</t>
  </si>
  <si>
    <t>Jaqueta Lenovo + Motorola</t>
  </si>
  <si>
    <t>Agasalho vermelho com logos;</t>
  </si>
  <si>
    <t>Senhor Coelho</t>
  </si>
  <si>
    <t xml:space="preserve">Cracha medindo 10x15, plastificação rígida, com impressão UV e dados variaveis; </t>
  </si>
  <si>
    <t>Cordão Imprensa (claro)</t>
  </si>
  <si>
    <t>Cordão sublimação, 2 x 85 cm, impressão frente e verso, 2uni., fixador dentado 20mm, 2uni. mosquete metal;</t>
  </si>
  <si>
    <t>6.1.7</t>
  </si>
  <si>
    <t>Cordão Convidados (bordo)</t>
  </si>
  <si>
    <t>6.1.8</t>
  </si>
  <si>
    <t>Cordão Lenovo (roxo)</t>
  </si>
  <si>
    <t>6.1.9</t>
  </si>
  <si>
    <t>Amanda: 11 94243-3784</t>
  </si>
  <si>
    <t>6.1.10</t>
  </si>
  <si>
    <t>Camiseta em algodão egípcio para colaboradores com logo Lenovo + FIFA - "We are Lenovo";</t>
  </si>
  <si>
    <t>Ale: 11 96559-5326</t>
  </si>
  <si>
    <t>6.1.11</t>
  </si>
  <si>
    <t>Totem de Led | Estacionamento</t>
  </si>
  <si>
    <t>Totem de Led com arte da ativação e parceria (Lenovo + Motorola);</t>
  </si>
  <si>
    <t>Celso (Celano): 11 99543-9083</t>
  </si>
  <si>
    <t>Almoço Cliente</t>
  </si>
  <si>
    <t>Almoço para o dia do ensaio (Executivos Lenovo)</t>
  </si>
  <si>
    <t>Reembolso Patrick</t>
  </si>
  <si>
    <t>7.1.5</t>
  </si>
  <si>
    <t>Felipe Andreoli - Considerando a "agenda sugerida pela cliente com chegada as 10h30";</t>
  </si>
  <si>
    <t>Operacional</t>
  </si>
  <si>
    <t>Custos relacionados a logistica (terrestre) e itens de camarim; 
(exigencias do talento e assessoria)</t>
  </si>
  <si>
    <t>Dj Kokay;</t>
  </si>
  <si>
    <t>8.1.4</t>
  </si>
  <si>
    <t>Arthurzin - Presença no evento por até 6h. Não há entregas digitais na contratação;</t>
  </si>
  <si>
    <t>8.1.5</t>
  </si>
  <si>
    <t>Operacional Atrações</t>
  </si>
  <si>
    <t>Custos relacionados a logistica (aereo e terrestre) e itens de camarim;
(exigencias do talento e assessoria)</t>
  </si>
  <si>
    <t>• Balde de 2,2 litros para pipoca, feito em polipropileno atóxico
Altura: 14,7cm | Largura: 18,9cm | Circunferência: 58,8cm | DTF UV;
• Copos de 550 mls in mold labe com tirande com silicone 120cm x 20 mm;
• Sacola Kraft, tag e manuseio;</t>
  </si>
  <si>
    <t>Simulador F1</t>
  </si>
  <si>
    <t>Simulador profissional (03 telas, base shaker e volante profissional) com envelopamento base e inserção da marca no circuito dentro do jogo;</t>
  </si>
  <si>
    <t>Totem de Led</t>
  </si>
  <si>
    <t>Bola Oficial da Copa</t>
  </si>
  <si>
    <t>Bola oficial da Copa do Mundo PRO tamanho 5;</t>
  </si>
  <si>
    <t>Premiação Booths</t>
  </si>
  <si>
    <t>Bola oficial da Copa do Mundo tamanho 5 com caixa | Sorteio aleatório de acordo com a programação da plenária (Frete incluso);</t>
  </si>
  <si>
    <t>Responsáveis pela execução e acompanhamento das operações no local do evento, apoiando logística, fornecedores, equipes e demandas emergenciais
01 p/ Estacionamento;
02 p/ Credenciamento/Recepção;
02 p/ Plenária;
02 p/ Artístico;
01 p/ Serviços;
01 p/ Ativação/HH;
02 p/ Booths;</t>
  </si>
  <si>
    <t>_x000D_
ZCOPS SEGURANCA PATRIMONIAL LTDA</t>
  </si>
  <si>
    <t>_x000D_
04.492.592/0001-67</t>
  </si>
  <si>
    <t>Temos essa diferença entre a compra e venda</t>
  </si>
  <si>
    <t>Responsável pelo transporte, carga e descarga de equipamentos, materiais e cenografia, apoiando as equipes técnicas na montagem e desmontagem do evento;
Escala:
Montagem (22/03) turno de 12h | 04 apoios;
Montagem (23/03) turno de 12h | 02 apoios;
Evento (24/03) turno de 12h | 04 apoios;
Desmontagem turno de 12h | 04 apoios;</t>
  </si>
  <si>
    <t>_x000D_
MABRUCA PRODUCOES SERVICOS LTDA</t>
  </si>
  <si>
    <t>_x000D_
52.800.588/0001-61</t>
  </si>
  <si>
    <t>Ambulancia pelo período de montagem, evento e desmontagem. Considerando básica na montagem/desmontagem e UTI movel no evento;
Escala:
Montagem turno de 12h | Ambulancia suporte Básico;
Evento turno de 12h | Ambulancia suporte Avançado;
Desmontagem turno de 12h | Ambulancia suporte Básico;</t>
  </si>
  <si>
    <t>12.1.11</t>
  </si>
  <si>
    <t>Técnico Booths</t>
  </si>
  <si>
    <t>Técnico de produtos responsavel por alinhamento, implantação e supervisão da produção dos Booths;</t>
  </si>
  <si>
    <t>12.1.12</t>
  </si>
  <si>
    <t>Diretor Artístico</t>
  </si>
  <si>
    <t>Responsável pela concepção criativa do evento, definindo linguagem, estética, narrativa e experiência do público, em alinhamento com os objetivos do cliente;</t>
  </si>
  <si>
    <t>12.1.13</t>
  </si>
  <si>
    <t>Assistente de Palco</t>
  </si>
  <si>
    <t>Responsável pelo controle da dinâmica de palco, cumprimento do roteiro e apoio direto ao diretor artístico, garantindo fluidez, tempo e organização durante o evento;</t>
  </si>
  <si>
    <t>12.1.14</t>
  </si>
  <si>
    <t>Diretor Técnico</t>
  </si>
  <si>
    <t>Responsável pelo planejamento, coordenação e supervisão de toda a operação técnica do evento, assegurando integração entre som, luz, vídeo e infraestrutura;</t>
  </si>
  <si>
    <t>12.1.15</t>
  </si>
  <si>
    <t>Roteirista</t>
  </si>
  <si>
    <t>Responsável pela criação e organização do roteiro do evento, estruturando conteúdos, falas, tempos e transições conforme a proposta e o formato definidos;</t>
  </si>
  <si>
    <t>12.1.16</t>
  </si>
  <si>
    <t>Sonoplasta</t>
  </si>
  <si>
    <t>Responsável pela criação, operação e disparo de trilhas sonoras, efeitos e vinhetas, em sincronia com o roteiro e a direção artística;</t>
  </si>
  <si>
    <t>12.1.17</t>
  </si>
  <si>
    <t>Operador de PPT</t>
  </si>
  <si>
    <t>Responsável pela organização, conferência e operação das apresentações em PowerPoint da plenária, garantindo padronização visual, compatibilidade técnica e execução precisa dos slides conforme o roteiro do evento. Atua em alinhamento com a coordenação de palco e direção técnica, realizando testes prévios e assegurando fluidez e segurança na exibição do conteúdo.</t>
  </si>
  <si>
    <t>12.1.18</t>
  </si>
  <si>
    <t>Técnico de som</t>
  </si>
  <si>
    <t>Responsável pela montagem, operação e desmontagem dos sistemas de áudio, garantindo qualidade sonora para palco, público e transmissão, quando aplicável;</t>
  </si>
  <si>
    <t>12.1.19</t>
  </si>
  <si>
    <t>Técnico de luz</t>
  </si>
  <si>
    <t>Responsável pela montagem, programação, operação e desmontagem dos sistemas de iluminação, assegurando adequação técnica e estética à proposta do evento;</t>
  </si>
  <si>
    <t>12.1.20</t>
  </si>
  <si>
    <t>Eletricista</t>
  </si>
  <si>
    <t>Responsável pela instalação, operação, monitoramento e desmontagem das redes elétricas temporárias do evento, garantindo fornecimento seguro de energia para equipamentos, estruturas e áreas operacionais, conforme normas técnicas e de segurança;</t>
  </si>
  <si>
    <t>12.1.21</t>
  </si>
  <si>
    <t>Produtor de A&amp;B</t>
  </si>
  <si>
    <t>Responsável pela gestão dos serviços de alimentos e bebidas, incluindo fornecedores, logística, horários e padrões de qualidade;</t>
  </si>
  <si>
    <t>12.1.22</t>
  </si>
  <si>
    <t>Equipe de Credenciamento</t>
  </si>
  <si>
    <t>Responsável pelo atendimento aos convidados no acesso ao evento, realizando conferência de dados, check-in, entrega de credenciais, materiais ou kits, garantindo organização, agilidade e bom fluxo de entrada. Atua de forma alinhada à produção e coordenação do evento, assegurando cordialidade no atendimento, controle de acesso e suporte a demandas pontuais dos participantes;</t>
  </si>
  <si>
    <t>NINE</t>
  </si>
  <si>
    <t>12.1.23</t>
  </si>
  <si>
    <t>Promotores | Ativações</t>
  </si>
  <si>
    <t>Promotores responsáveis pelo atendimento ao publico, controle das ativações e mecanica do sorteio;</t>
  </si>
  <si>
    <t>12.1.24</t>
  </si>
  <si>
    <t>Video maker</t>
  </si>
  <si>
    <t>Responsável pela captação de imagens em vídeo do evento, incluindo registros institucionais, cobertura e conteúdos para divulgação, conforme briefing estabelecido;</t>
  </si>
  <si>
    <t>12.1.25</t>
  </si>
  <si>
    <t>Motion Designer</t>
  </si>
  <si>
    <t>Profissional responsável pela criação de conteúdos visuais animados para painéis de LED, telões e apresentações em motion. Desenvolve vinhetas, loops, fundos de palco, vídeos e animações alinhadas ao conceito do evento e identidade da marca.</t>
  </si>
  <si>
    <t>12.1.26</t>
  </si>
  <si>
    <t>Logistica</t>
  </si>
  <si>
    <t>Envio e retirada dos materiais para o evento;</t>
  </si>
  <si>
    <t>12.1.27</t>
  </si>
  <si>
    <t>Custos Operacionais</t>
  </si>
  <si>
    <t>Inclui despesas com equipe, logística, suporte técnico e demais necessidades operacionais não previstas;</t>
  </si>
  <si>
    <t>12.1.28</t>
  </si>
  <si>
    <t>R.</t>
  </si>
  <si>
    <t>Valor esperado...</t>
  </si>
  <si>
    <t>equipe de credenciamento</t>
  </si>
  <si>
    <t>operacional atração</t>
  </si>
  <si>
    <t>som e luz</t>
  </si>
  <si>
    <t>Led</t>
  </si>
  <si>
    <t>doc</t>
  </si>
  <si>
    <t>café</t>
  </si>
  <si>
    <t>testeira</t>
  </si>
  <si>
    <t>peças graficas</t>
  </si>
  <si>
    <t>assets</t>
  </si>
  <si>
    <t>ceno</t>
  </si>
  <si>
    <t>booths</t>
  </si>
  <si>
    <t>booths extras</t>
  </si>
  <si>
    <t>buffet</t>
  </si>
  <si>
    <t>Técnico de informatica</t>
  </si>
  <si>
    <t>TALKSHOW</t>
  </si>
  <si>
    <t>Dilma</t>
  </si>
  <si>
    <t>Dilma Mendes (3 vezes melhor do Mundo de Fut7);
https://www.instagram.com/dilmamendesoficial</t>
  </si>
  <si>
    <t>Formiga</t>
  </si>
  <si>
    <t>Dir. de Políticas de Fut e Fut.Fem;
https://www.instagram.com/oficial_formiga/</t>
  </si>
  <si>
    <t>Rosana Augusto</t>
  </si>
  <si>
    <t>Treinadora do @palmeirasfeminino
Lenda FIFA |Medalhista Olímpica e Mundial | 04 Olimpíadas | 04 Mundiais
https://www.instagram.com/rosanafut_oficial/</t>
  </si>
  <si>
    <t>Subtotal TALKSHOW</t>
  </si>
  <si>
    <t>INTERNET</t>
  </si>
  <si>
    <t>Responsável pela instalação, configuração e suporte dos equipamentos de informática durante o evento, garantindo o pleno funcionamento de sistemas, internet e dispositivos. Atua na resolução rápida de falhas técnicas, assegurando a continuidade das operações.</t>
  </si>
  <si>
    <t>Banda</t>
  </si>
  <si>
    <t>50MB</t>
  </si>
  <si>
    <t>EXTRAS | SOLICITAÇÕES FEITAS APÓS A APROVAÇÃO DA PROPOSTA</t>
  </si>
  <si>
    <t>EXTRAS</t>
  </si>
  <si>
    <t>Mic. Extra</t>
  </si>
  <si>
    <t>Microfone de lapela (Solicitação feita pelo palestrante Lenovo);</t>
  </si>
  <si>
    <t>Camiseta da Seleção Brasileira</t>
  </si>
  <si>
    <t>Camiseta da seleção Brasileira para emprestimo ao Arthurzin;</t>
  </si>
  <si>
    <t>Cordão Imprensa</t>
  </si>
  <si>
    <t>Cordão Convidados</t>
  </si>
  <si>
    <t>Cordão Lenovo</t>
  </si>
  <si>
    <t>1.1.8</t>
  </si>
  <si>
    <t>1.1.9</t>
  </si>
  <si>
    <t xml:space="preserve">Garrafa de alumínio </t>
  </si>
  <si>
    <t>Garrafa de alumínio de 800ml;</t>
  </si>
  <si>
    <t>1.1.10</t>
  </si>
  <si>
    <t xml:space="preserve">TAG </t>
  </si>
  <si>
    <t>200 TAG 6x6;</t>
  </si>
  <si>
    <t>1.1.11</t>
  </si>
  <si>
    <t xml:space="preserve">Sacolas </t>
  </si>
  <si>
    <t>200 Sacola Kraft tamano P;</t>
  </si>
  <si>
    <t>1.1.12</t>
  </si>
  <si>
    <t xml:space="preserve">Manuseio </t>
  </si>
  <si>
    <t>Manuseio de TAG e embalagem de garrafas;</t>
  </si>
  <si>
    <t>EXTRAS | SOLICITAÇÕES FEITAS NA MONTAGEM E NO EVENTO</t>
  </si>
  <si>
    <t>Vinheta</t>
  </si>
  <si>
    <t>Vinheta jogadoras (Dilma, Formiga e Rosana)</t>
  </si>
  <si>
    <t>Cenografia</t>
  </si>
  <si>
    <t>Extenção do teto do portal;
Estruturação da parede para receber as TV's do TP;
Base de madeira para a Esfera;
OS Lenovo no Booths;
Dog house de retorno;</t>
  </si>
  <si>
    <t xml:space="preserve">Paisagismo </t>
  </si>
  <si>
    <t>Arranjos florais pequenos em mesas e grandes em pontos de buffet;</t>
  </si>
  <si>
    <t>TP</t>
  </si>
  <si>
    <t>Serviço de Teleprompter</t>
  </si>
  <si>
    <t>2.1.5</t>
  </si>
  <si>
    <t>TP | TV</t>
  </si>
  <si>
    <t>Locação de TV'S (Montagem e evento)</t>
  </si>
  <si>
    <t>2.1.6</t>
  </si>
  <si>
    <t>40 Vagas de estacionamento excedente;</t>
  </si>
  <si>
    <t>2.1.7</t>
  </si>
  <si>
    <t>Welcome Coffee, Coquetel finger food, Salgados quentes (volante), Mesa de saída (Menu vide apresentação);</t>
  </si>
  <si>
    <t>2.1.8</t>
  </si>
  <si>
    <t>Quebra de materiais</t>
  </si>
  <si>
    <t>Valor referente a quebra de materiais pelos convidados do evento, onerando de maneira simbolica o custo dos itens;</t>
  </si>
  <si>
    <t>2.1.9</t>
  </si>
  <si>
    <t>Almoço | Local</t>
  </si>
  <si>
    <t>Almoço servido no local do evento;</t>
  </si>
  <si>
    <t>2.1.10</t>
  </si>
  <si>
    <t>Presente Palestrantes</t>
  </si>
  <si>
    <t>2.1.11</t>
  </si>
  <si>
    <t>Passadeira</t>
  </si>
  <si>
    <t>Passadeira para roupas dos palestrantes Lenovo;</t>
  </si>
  <si>
    <t>2.1.12</t>
  </si>
  <si>
    <t>Chuteira</t>
  </si>
  <si>
    <t>Chuteira manequim;</t>
  </si>
  <si>
    <t>2.1.13</t>
  </si>
  <si>
    <t>Mobiliário Extras</t>
  </si>
  <si>
    <t>Cadeiras plenária;</t>
  </si>
  <si>
    <t>2.1.14</t>
  </si>
  <si>
    <t>Impressos</t>
  </si>
  <si>
    <t>Material grafico em PS e Backlights;</t>
  </si>
  <si>
    <t xml:space="preserve">Subtotal </t>
  </si>
  <si>
    <t>PRINCIPAL</t>
  </si>
  <si>
    <t>TALK</t>
  </si>
  <si>
    <t>INTERNET 50 MEGA</t>
  </si>
  <si>
    <t>Índice</t>
  </si>
  <si>
    <t>Grupo</t>
  </si>
  <si>
    <t>Subgrupo</t>
  </si>
  <si>
    <t>Resumo</t>
  </si>
  <si>
    <t>Descrição</t>
  </si>
  <si>
    <t>Data da Solicitação</t>
  </si>
  <si>
    <t>Solicitante</t>
  </si>
  <si>
    <t>Aprovação</t>
  </si>
  <si>
    <t>CNPJ</t>
  </si>
  <si>
    <t>RAZÃO SOCIAL</t>
  </si>
  <si>
    <t>CONTATO</t>
  </si>
  <si>
    <t>DESCRITIVO PARQUE MIRANTE
Principais áreas: Salão principal (968 m²), Varanda (1.400 m²), Recepção (500 m²) e Bar Estádio mobiliado (300 m²) com vista para o campo.
Infraestrutura: Cozinha equipada, 2 salas de apoio/camarim, 24 banheiros femininos, 21 masculinos, 2 PNEs e 2 vestiários para staff.
Acessibilidade: 3 elevadores sociais e 2 de carga.
Capacidade: Alvará para 1.350 pessoas e AVCB para 2.655 pessoas.
Estacionamento: Credenciado com 1.900 vagas junto à Estapar.
Elevador: Técnico incluso no dia do evento por 10 horas.
(Evento + montagem)</t>
  </si>
  <si>
    <t>12/02/2026</t>
  </si>
  <si>
    <t>Patrick</t>
  </si>
  <si>
    <t>Peterson</t>
  </si>
  <si>
    <t/>
  </si>
  <si>
    <t>13/02/2026</t>
  </si>
  <si>
    <t>10/03/2026</t>
  </si>
  <si>
    <t>R$ 15.291,88</t>
  </si>
  <si>
    <t>34.718.204/0001-84</t>
  </si>
  <si>
    <t>S3 LIVE MARKETING LTDA</t>
  </si>
  <si>
    <t>(11) 4119-1161</t>
  </si>
  <si>
    <t>15/03/2026</t>
  </si>
  <si>
    <t>R$ 21.618,00</t>
  </si>
  <si>
    <t>28.585.395/0001-50</t>
  </si>
  <si>
    <t>CAM ENERGY LOCACAO DE EQUIPAMENTOS LTDA</t>
  </si>
  <si>
    <t>(11) 4427-5226</t>
  </si>
  <si>
    <t>R$ 100.000,00</t>
  </si>
  <si>
    <t>279.765.888-42</t>
  </si>
  <si>
    <t>CORNER | SOCIO 01</t>
  </si>
  <si>
    <t>Sidney</t>
  </si>
  <si>
    <t>05 Espaços estruturados para exposição de produtos (Estimado)</t>
  </si>
  <si>
    <t>265.155.758-74</t>
  </si>
  <si>
    <t>Michael Asam | SOCIO 02</t>
  </si>
  <si>
    <t>R$ 1.147,49</t>
  </si>
  <si>
    <t>22.545.294/0001-70</t>
  </si>
  <si>
    <t>FUE INDUSTRIA E COMERCIO DE MOVEIS LTDA</t>
  </si>
  <si>
    <t>(11) 9973-0309</t>
  </si>
  <si>
    <t>R$ 8.034,92</t>
  </si>
  <si>
    <t>R$ 1.890,00</t>
  </si>
  <si>
    <t>36.399.600/0001-11</t>
  </si>
  <si>
    <t>ATELIER L&amp;M CONFECCOES LTDA</t>
  </si>
  <si>
    <t>(11) 2618-1258</t>
  </si>
  <si>
    <t>R$ 7.000,00</t>
  </si>
  <si>
    <t>38.056.203/0001-72</t>
  </si>
  <si>
    <t>POLE &amp; ZUUK LTDA</t>
  </si>
  <si>
    <t>(11) 2382-4919</t>
  </si>
  <si>
    <t>R$ 58.750,00</t>
  </si>
  <si>
    <t>13.718.607/0001-53</t>
  </si>
  <si>
    <t>BUFFET CELANO GASTRONOMIA LTDA</t>
  </si>
  <si>
    <t>(11) 5505-2111</t>
  </si>
  <si>
    <t>16/03/2026</t>
  </si>
  <si>
    <t>R$ 6.520,00</t>
  </si>
  <si>
    <t>74.645.169/0001-35</t>
  </si>
  <si>
    <t>SERTHA INDUSTRIA E COMERCIO DE BRINDES LTDA</t>
  </si>
  <si>
    <t>(11) 3952-1500 / (11) 2082-1920</t>
  </si>
  <si>
    <t>R$ 7.500,00</t>
  </si>
  <si>
    <t>55.974.610/0001-88</t>
  </si>
  <si>
    <t>PB PRODUCOES CENOGRAFICAS LTDA</t>
  </si>
  <si>
    <t>(11) 9559-9603 / (0000) 0000-0000</t>
  </si>
  <si>
    <t>Responsáveis pela prevenção e atendimento inicial a emergências, atuando conforme normas de segurança, orientando o público e apoiando evacuações quando necessário;
Escala:
Montagem (22/03) turno de 12h | 02 brigadistas;
Montagem (23/03) turno de 12h | 02 brigadistas;
Evento (24/03) turno de 12h | 02 brigadistas;
Desmontagem turno de 12h | 02 brigadistas;
Obs.: Escala obrigatória Allianz.</t>
  </si>
  <si>
    <t>18/03/2026</t>
  </si>
  <si>
    <t>R$ 3.636,00</t>
  </si>
  <si>
    <t>52.800.588/0001-61</t>
  </si>
  <si>
    <t>MABRUCA PRODUCOES SERVICOS LTDA</t>
  </si>
  <si>
    <t>(11) 3666-0241 / (11) 3663-1915</t>
  </si>
  <si>
    <t>R$ 2.776,68</t>
  </si>
  <si>
    <t>05.436.980/0001-93</t>
  </si>
  <si>
    <t>GOBOS DO BRASIL LTDA</t>
  </si>
  <si>
    <t>(11) 4368-8291</t>
  </si>
  <si>
    <t>R$ 48.500,00</t>
  </si>
  <si>
    <t>164.709.468-28</t>
  </si>
  <si>
    <t>Vanessa Cristofani de Carvalho</t>
  </si>
  <si>
    <t>Vanessa</t>
  </si>
  <si>
    <t>Responsável pela segurança patrimonial e das pessoas durante o evento, realizando controle de acesso, monitoramento de áreas internas e externas, orientação do público e prevenção de incidentes. Atua de forma integrada à produção, garantindo ordem, cumprimento das normas do local e rápida resposta a situações emergenciais;
Escala:
Montagem (22/03) turno de 12h | 06 agentes e 01 líder;
Montagem (23/03) turno de 12h | 06 agente e 01 líder;
Evento (24/03) turno de 12h | 13 agentes e 01 supervisor;
Desmontagem turno de 12h | 06 agente e 01 líder;
Obs.: Escala obrigatória Allianz.</t>
  </si>
  <si>
    <t>PATRICK</t>
  </si>
  <si>
    <t>R$ 12.398,14</t>
  </si>
  <si>
    <t>04.492.592/0001-67</t>
  </si>
  <si>
    <t>ZCOPS SEGURANCA PATRIMONIAL LTDA</t>
  </si>
  <si>
    <t>(11) 3501-8315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</si>
  <si>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</si>
  <si>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</si>
  <si>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</si>
  <si>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</si>
  <si>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</si>
  <si>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</si>
  <si>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</si>
  <si>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</si>
  <si>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</si>
  <si>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</si>
  <si>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</si>
  <si>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</si>
  <si>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</si>
  <si>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Valor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</si>
  <si>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</si>
  <si>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</si>
  <si>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</si>
  <si>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</si>
  <si>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</si>
  <si>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</si>
  <si>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</si>
  <si>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 xml:space="preserve">  1</t>
  </si>
  <si>
    <t>CUSTOS INTERNOS</t>
  </si>
  <si>
    <t>Aguardando Aprovação</t>
  </si>
  <si>
    <t>PM</t>
  </si>
  <si>
    <t>0,00%</t>
  </si>
  <si>
    <t xml:space="preserve">  1.  1</t>
  </si>
  <si>
    <t>PRODUÇÃO</t>
  </si>
  <si>
    <t>ServicosInternos</t>
  </si>
  <si>
    <t xml:space="preserve">  1.  1.  1</t>
  </si>
  <si>
    <t>8,00%</t>
  </si>
  <si>
    <t>Planejamento do Job</t>
  </si>
  <si>
    <t xml:space="preserve">  1.  1.  2</t>
  </si>
  <si>
    <t>Produção executiva</t>
  </si>
  <si>
    <t xml:space="preserve">  1.  1.  3</t>
  </si>
  <si>
    <t>DIREÇÃO DE PRODUÇÃO</t>
  </si>
  <si>
    <t>Resp. pela gestão executiva operacional da ação. Pré Produção, implementação do projeto e pós produção.</t>
  </si>
  <si>
    <t>ServicosTerceiros</t>
  </si>
  <si>
    <t xml:space="preserve">  1.  1.  4</t>
  </si>
  <si>
    <t>CORTESIA LED</t>
  </si>
  <si>
    <t xml:space="preserve">  1.  1.  5</t>
  </si>
  <si>
    <t>HEAD DE ATENDIMENTO</t>
  </si>
  <si>
    <t xml:space="preserve">Resp. pela interface de atendimento junto ao cliente, elaboração de plano estratégico para briefing interno da agencia após reunião de Brainstorming,  alinhamentos gerais, fluxo interno, alterações e condução de pauta. </t>
  </si>
  <si>
    <t xml:space="preserve">  1.  1.  6</t>
  </si>
  <si>
    <t>BANDA</t>
  </si>
  <si>
    <t>PG</t>
  </si>
  <si>
    <t>15,00%</t>
  </si>
  <si>
    <t xml:space="preserve">  1.  2</t>
  </si>
  <si>
    <t xml:space="preserve">  1.  2.  1</t>
  </si>
  <si>
    <t>Coffee Break - 20pax
Coffee Break Chegada - 350 pax
Coffee Break tarde - 350 pax 
Coquetel Happy Hour - 350 pax
Estação Permanente - Café e agua plenária</t>
  </si>
  <si>
    <t xml:space="preserve">  1.  2.  2</t>
  </si>
  <si>
    <t>BAR</t>
  </si>
  <si>
    <t>Serviço de cerveja, prosecco
contratado para 300 pax</t>
  </si>
  <si>
    <t xml:space="preserve">  2</t>
  </si>
  <si>
    <t xml:space="preserve">  2.  1</t>
  </si>
  <si>
    <t>ATRAÇÃO</t>
  </si>
  <si>
    <t xml:space="preserve">  2.  1.  1</t>
  </si>
  <si>
    <t>MUSICO</t>
  </si>
  <si>
    <t xml:space="preserve">  2.  1.  2</t>
  </si>
  <si>
    <t>(*)Fim dos Itens</t>
  </si>
  <si>
    <t>Linhas iniciais de 1 a 9 e que contem o (*) não podem ser excluídas</t>
  </si>
  <si>
    <t>Para novos itens não preencher o campo Lançamento</t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</si>
  <si>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</si>
  <si>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</si>
  <si>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</si>
  <si>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</si>
  <si>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</si>
  <si>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</si>
  <si>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</si>
  <si>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 xml:space="preserve"> </t>
  </si>
  <si>
    <t>Planilha:</t>
  </si>
  <si>
    <t>LE_217_Tech World.V08_18.03.xlsm</t>
  </si>
  <si>
    <t>Item:</t>
  </si>
  <si>
    <t>DADOS PARA PAGAMENTO</t>
  </si>
  <si>
    <t>( X ) Pessoa Jurídica</t>
  </si>
  <si>
    <t>() Pessoa Jurídica</t>
  </si>
  <si>
    <t>Razão Social</t>
  </si>
  <si>
    <t>Fantasia:</t>
  </si>
  <si>
    <t>Banco:</t>
  </si>
  <si>
    <t xml:space="preserve"> BRADESCO 237</t>
  </si>
  <si>
    <t>Agência</t>
  </si>
  <si>
    <t>0287</t>
  </si>
  <si>
    <t>Conta:</t>
  </si>
  <si>
    <t>0198756-9</t>
  </si>
  <si>
    <t>Pix:</t>
  </si>
  <si>
    <t>CNPJ:</t>
  </si>
  <si>
    <t>CPF:</t>
  </si>
  <si>
    <t>Contato:</t>
  </si>
  <si>
    <t>Celular:</t>
  </si>
  <si>
    <t>Parcela</t>
  </si>
  <si>
    <t>Data</t>
  </si>
  <si>
    <t>Forma de Pagamento</t>
  </si>
  <si>
    <t>1ª</t>
  </si>
  <si>
    <t>20/03/26</t>
  </si>
  <si>
    <t>R$ 6.199,07</t>
  </si>
  <si>
    <t>(   ) Boleto</t>
  </si>
  <si>
    <t>(   ) Depósito</t>
  </si>
  <si>
    <t>( X ) Pix</t>
  </si>
  <si>
    <t>2ª</t>
  </si>
  <si>
    <t>10/04/26</t>
  </si>
  <si>
    <t>3ª</t>
  </si>
  <si>
    <t>(   ) Pix</t>
  </si>
  <si>
    <t>4ª</t>
  </si>
  <si>
    <t>OBSERVAÇÕES</t>
  </si>
  <si>
    <t>APROVAÇÕES</t>
  </si>
  <si>
    <t>PENDENTE</t>
  </si>
  <si>
    <t>EFETUADO</t>
  </si>
  <si>
    <r>
      <rPr>
        <b/>
        <sz val="18"/>
        <color theme="1"/>
        <rFont val="Trebuchet MS"/>
        <family val="2"/>
      </rPr>
      <t>Pacote de bebidas | 02 horas de serviço</t>
    </r>
    <r>
      <rPr>
        <sz val="18"/>
        <color theme="1"/>
        <rFont val="Trebuchet MS"/>
        <family val="2"/>
      </rPr>
      <t xml:space="preserve">
Pacote de bebidas | 02 horas de serviço
Refrigerantes Coca cola normal e zero | Guaraná normal e zero | Água com e sem gás
Suco maracujá com cardamômo | Cerveja Heineken –lata | Inclusão de Vinho/Taças em louça;</t>
    </r>
  </si>
  <si>
    <r>
      <rPr>
        <b/>
        <sz val="16"/>
        <color theme="1"/>
        <rFont val="Trebuchet MS"/>
        <family val="2"/>
      </rPr>
      <t>DESCRITIVO PARQUE MIRANTE</t>
    </r>
    <r>
      <rPr>
        <sz val="16"/>
        <color theme="1"/>
        <rFont val="Trebuchet MS"/>
        <family val="2"/>
      </rPr>
      <t xml:space="preserve">
</t>
    </r>
    <r>
      <rPr>
        <b/>
        <sz val="16"/>
        <color theme="1"/>
        <rFont val="Trebuchet MS"/>
        <family val="2"/>
      </rPr>
      <t>Principais áreas:</t>
    </r>
    <r>
      <rPr>
        <sz val="16"/>
        <color theme="1"/>
        <rFont val="Trebuchet MS"/>
        <family val="2"/>
      </rPr>
      <t xml:space="preserve"> Salão principal (968 m²), Varanda (1.400 m²), Recepção (500 m²) e Bar Estádio mobiliado (300 m²) com vista para o campo.
</t>
    </r>
    <r>
      <rPr>
        <b/>
        <sz val="16"/>
        <color theme="1"/>
        <rFont val="Trebuchet MS"/>
        <family val="2"/>
      </rPr>
      <t>Infraestrutura:</t>
    </r>
    <r>
      <rPr>
        <sz val="16"/>
        <color theme="1"/>
        <rFont val="Trebuchet MS"/>
        <family val="2"/>
      </rPr>
      <t xml:space="preserve"> Cozinha equipada, 2 salas de apoio/camarim, 24 banheiros femininos, 21 masculinos, 2 PNEs e 2 vestiários para staff.
</t>
    </r>
    <r>
      <rPr>
        <b/>
        <sz val="16"/>
        <color theme="1"/>
        <rFont val="Trebuchet MS"/>
        <family val="2"/>
      </rPr>
      <t>Acessibilidade:</t>
    </r>
    <r>
      <rPr>
        <sz val="16"/>
        <color theme="1"/>
        <rFont val="Trebuchet MS"/>
        <family val="2"/>
      </rPr>
      <t xml:space="preserve"> 3 elevadores sociais e 2 de carga.
</t>
    </r>
    <r>
      <rPr>
        <b/>
        <sz val="16"/>
        <color theme="1"/>
        <rFont val="Trebuchet MS"/>
        <family val="2"/>
      </rPr>
      <t>Capacidade:</t>
    </r>
    <r>
      <rPr>
        <sz val="16"/>
        <color theme="1"/>
        <rFont val="Trebuchet MS"/>
        <family val="2"/>
      </rPr>
      <t xml:space="preserve"> Alvará para 1.350 pessoas e AVCB para 2.655 pessoas.
</t>
    </r>
    <r>
      <rPr>
        <b/>
        <sz val="16"/>
        <color theme="1"/>
        <rFont val="Trebuchet MS"/>
        <family val="2"/>
      </rPr>
      <t>Estacionamento:</t>
    </r>
    <r>
      <rPr>
        <sz val="16"/>
        <color theme="1"/>
        <rFont val="Trebuchet MS"/>
        <family val="2"/>
      </rPr>
      <t xml:space="preserve"> Credenciado com 1.900 vagas junto à Estapar.
</t>
    </r>
    <r>
      <rPr>
        <b/>
        <sz val="16"/>
        <color theme="1"/>
        <rFont val="Trebuchet MS"/>
        <family val="2"/>
      </rPr>
      <t xml:space="preserve">Elevador: </t>
    </r>
    <r>
      <rPr>
        <sz val="16"/>
        <color theme="1"/>
        <rFont val="Trebuchet MS"/>
        <family val="2"/>
      </rPr>
      <t>Técnico incluso no dia do evento por 10 horas.
(Evento + montagem)</t>
    </r>
  </si>
  <si>
    <r>
      <t xml:space="preserve">"Orelhas" (10x19cm) com frases para as maquinas/produtos (IDG e ISG) | 
</t>
    </r>
    <r>
      <rPr>
        <b/>
        <sz val="16"/>
        <color rgb="FFFF0000"/>
        <rFont val="Trebuchet MS"/>
        <family val="2"/>
      </rPr>
      <t>Aguardando definição de produtos e quant.</t>
    </r>
  </si>
  <si>
    <r>
      <t xml:space="preserve">Placas em PS com os assets de cada produto | </t>
    </r>
    <r>
      <rPr>
        <b/>
        <sz val="16"/>
        <color rgb="FFFF0000"/>
        <rFont val="Trebuchet MS"/>
        <family val="2"/>
      </rPr>
      <t>Aguardando definição de produtos e quant.</t>
    </r>
  </si>
  <si>
    <r>
      <rPr>
        <b/>
        <sz val="16"/>
        <color theme="1"/>
        <rFont val="Trebuchet MS"/>
        <family val="2"/>
      </rPr>
      <t xml:space="preserve">Ponto | 04 horas de serviço </t>
    </r>
    <r>
      <rPr>
        <sz val="16"/>
        <color theme="1"/>
        <rFont val="Trebuchet MS"/>
        <family val="2"/>
      </rPr>
      <t xml:space="preserve">
Café - servido em térmicas; 
Água mineral  - servido em refresqueiras;</t>
    </r>
  </si>
  <si>
    <r>
      <rPr>
        <b/>
        <sz val="16"/>
        <color theme="1"/>
        <rFont val="Trebuchet MS"/>
        <family val="2"/>
      </rPr>
      <t>Pacote de bebidas | 02 horas de serviço</t>
    </r>
    <r>
      <rPr>
        <sz val="16"/>
        <color theme="1"/>
        <rFont val="Trebuchet MS"/>
        <family val="2"/>
      </rPr>
      <t xml:space="preserve">
Pacote de bebidas | 02 horas de serviço
Refrigerantes Coca cola normal e zero | Guaraná normal e zero | Água com e sem gás
Suco maracujá com cardamômo | Cerveja Heineken –lata | Inclusão de Vinho/Taças em louça;</t>
    </r>
  </si>
  <si>
    <r>
      <rPr>
        <b/>
        <sz val="16"/>
        <color theme="1"/>
        <rFont val="Trebuchet MS"/>
        <family val="2"/>
      </rPr>
      <t xml:space="preserve">Welcome Coffee/ Ilha All Day: 
</t>
    </r>
    <r>
      <rPr>
        <sz val="16"/>
        <color theme="1"/>
        <rFont val="Trebuchet MS"/>
        <family val="2"/>
      </rPr>
      <t xml:space="preserve">Mesas de madeira para buffet; 
Copos biodegradáveis para bebidas quentes e frias; 
Todos equipamentos de cozinha necessários;
</t>
    </r>
    <r>
      <rPr>
        <b/>
        <sz val="16"/>
        <color theme="1"/>
        <rFont val="Trebuchet MS"/>
        <family val="2"/>
      </rPr>
      <t xml:space="preserve">
Para o Coquetel:
</t>
    </r>
    <r>
      <rPr>
        <sz val="16"/>
        <color theme="1"/>
        <rFont val="Trebuchet MS"/>
        <family val="2"/>
      </rPr>
      <t>Copo/taçade vidro;
Todos equipamentos de cozinha necessário;
Logistica de produtos e alimentos e Time de garçons e copeiras para o atendimento.</t>
    </r>
  </si>
  <si>
    <r>
      <t xml:space="preserve">Responsável pela segurança patrimonial e das pessoas durante o evento, realizando controle de acesso, monitoramento de áreas internas e externas, orientação do público e prevenção de incidentes. Atua de forma integrada à produção, garantindo ordem, cumprimento das normas do local e rápida resposta a situações emergenciais;
Escala:
Montagem (22/03) turno de 12h | 06 agentes e 01 líder;
Montagem (23/03) turno de 12h | 06 agente e 01 líder;
Evento (24/03) turno de 12h | 13 agentes e 01 supervisor;
Desmontagem turno de 12h | 06 agente e 01 líder;
</t>
    </r>
    <r>
      <rPr>
        <b/>
        <sz val="16"/>
        <color theme="1"/>
        <rFont val="Trebuchet MS"/>
        <family val="2"/>
      </rPr>
      <t>Obs.: Escala obrigatória Allianz.</t>
    </r>
  </si>
  <si>
    <r>
      <t xml:space="preserve">Responsável pela limpeza, organização e manutenção dos ambientes do evento, antes, durante e após a realização, garantindo higiene, conforto e boa apresentação dos espaços;
Escala:
Montagem (22/03) turno de 12h | 06 responsáveis;
Montagem (23/03) turno de 12h | 06 responsáveis;
Evento (24/03) turno de 12h | 08 responsáveis e 01 líder;
Desmontagem turno de 12h | 06 responsáveis;
</t>
    </r>
    <r>
      <rPr>
        <b/>
        <sz val="16"/>
        <color theme="1"/>
        <rFont val="Trebuchet MS"/>
        <family val="2"/>
      </rPr>
      <t>Obs.: Escala obrigatória Allianz.</t>
    </r>
    <r>
      <rPr>
        <sz val="16"/>
        <color theme="1"/>
        <rFont val="Trebuchet MS"/>
        <family val="2"/>
      </rPr>
      <t xml:space="preserve">
Pacote Premium de materiais de limpeza e insumos para banheiro - Incluso: enxaguante bucal, absorventes, fio dental, desodorante spray, bom ar, sacos de lixo coloridos para a separação dos lixos recicláveis, papel toalha , papel higiênico, desinfetante, sabonete liquido, vassoura, rodo, pá de lixo, pano de chão, tudo voltado a material de insumos. </t>
    </r>
  </si>
  <si>
    <r>
      <t xml:space="preserve">Responsáveis pela prevenção e atendimento inicial a emergências, atuando conforme normas de segurança, orientando o público e apoiando evacuações quando necessário;
Escala:
Montagem (22/03) turno de 12h | 02 brigadistas;
Montagem (23/03) turno de 12h | 02 brigadistas;
Evento (24/03) turno de 12h | 02 brigadistas;
Desmontagem turno de 12h | 02 brigadistas;
</t>
    </r>
    <r>
      <rPr>
        <b/>
        <sz val="16"/>
        <color theme="1"/>
        <rFont val="Trebuchet MS"/>
        <family val="2"/>
      </rPr>
      <t>Obs.: Escala obrigatória Allianz.</t>
    </r>
  </si>
  <si>
    <t>FERNANDA SILVA PINHEIRO</t>
  </si>
  <si>
    <t>BRUNO HENRIQUE DE MELO MENDONCA</t>
  </si>
  <si>
    <t>SILVIA CRISTIANE FERREIRA BRITO</t>
  </si>
  <si>
    <t>VINICIUS HENRIQUE DE MELO MENDONCA</t>
  </si>
  <si>
    <t>MERCADOLIVRE.COM ATIVIDADES DE INTERNET LTDA</t>
  </si>
  <si>
    <t>PATRICK BAYEUX DA SILVA</t>
  </si>
  <si>
    <t>CHARLES DALBERTO MARCONATO DA SILVA</t>
  </si>
  <si>
    <t>LAVANDERIA TEMPOS MODERNOS LTDA</t>
  </si>
  <si>
    <t>GIOVANNI VERNIANO PERES FERREIRA</t>
  </si>
  <si>
    <t>MARCELO BAYEUX DA SILVA</t>
  </si>
  <si>
    <t xml:space="preserve">NOME </t>
  </si>
  <si>
    <t xml:space="preserve">VALOR </t>
  </si>
  <si>
    <t>ENGEGUIND</t>
  </si>
  <si>
    <t xml:space="preserve">GOBOS </t>
  </si>
  <si>
    <t>RODOLFO</t>
  </si>
  <si>
    <t>LINKZ</t>
  </si>
  <si>
    <t>SENHOR COELHO</t>
  </si>
  <si>
    <t>SAPIENS</t>
  </si>
  <si>
    <t xml:space="preserve">ATELIER L&amp;M - </t>
  </si>
  <si>
    <t>ALESSANDRO</t>
  </si>
  <si>
    <t>LT CRAVO</t>
  </si>
  <si>
    <t>JAQUELINE BRUN</t>
  </si>
  <si>
    <t xml:space="preserve">LIGHTING </t>
  </si>
  <si>
    <t>DANIEL FERRAZ</t>
  </si>
  <si>
    <t>MC SERVIÇOS</t>
  </si>
  <si>
    <t>MICHAEL ASAM SOCIO 02</t>
  </si>
  <si>
    <t xml:space="preserve">SUPERSONICA - IDEIA ACESA </t>
  </si>
  <si>
    <t>ZORELLO</t>
  </si>
  <si>
    <t>BS TOZZINI</t>
  </si>
  <si>
    <t>TG4 LOCAÇOES</t>
  </si>
  <si>
    <t>HARTMANN</t>
  </si>
  <si>
    <t xml:space="preserve">BUFFET CELANO </t>
  </si>
  <si>
    <t>FUE INDUSTRIA</t>
  </si>
  <si>
    <t>WATERLIGHT</t>
  </si>
  <si>
    <t>FORMIGASPORTS</t>
  </si>
  <si>
    <t xml:space="preserve">MABRUCA </t>
  </si>
  <si>
    <t>TJ PRODUÇÕES</t>
  </si>
  <si>
    <t>YURI VICTOR</t>
  </si>
  <si>
    <t>PRISCILA KAORI - 5D EXPERIENCE</t>
  </si>
  <si>
    <t>MARCOS JORGE</t>
  </si>
  <si>
    <t xml:space="preserve">ROSANA </t>
  </si>
  <si>
    <t xml:space="preserve">INGRID CAROLINE - LIVIA MARIA - VERONIKA SALVADOR - RENATA MENDES - MONYQUE GONÇALVES </t>
  </si>
  <si>
    <t>JVAL</t>
  </si>
  <si>
    <t xml:space="preserve">ANDRE DE SENA </t>
  </si>
  <si>
    <t>KAZUO EVENTOS</t>
  </si>
  <si>
    <t xml:space="preserve">ROBERTA QUINTEIRO </t>
  </si>
  <si>
    <t>RAFAEL QUINTEIRO</t>
  </si>
  <si>
    <t>FASHION SHOES</t>
  </si>
  <si>
    <t>INFRAEXT</t>
  </si>
  <si>
    <t>RRP SOBRINHO</t>
  </si>
  <si>
    <t>CAM ENERGY</t>
  </si>
  <si>
    <t>TFT MIRANTE</t>
  </si>
  <si>
    <t>JULYANA RESENDE</t>
  </si>
  <si>
    <t>S3 LIVE</t>
  </si>
  <si>
    <t>ADIDAS</t>
  </si>
  <si>
    <t>GUSTAVO VIEIRA</t>
  </si>
  <si>
    <t>SERTHA</t>
  </si>
  <si>
    <t>CHUBB</t>
  </si>
  <si>
    <t>MIRELLA ROSSINI</t>
  </si>
  <si>
    <t>2S LOCAÇÕES - GLOBAL AUDIOVISUAL</t>
  </si>
  <si>
    <t>KARIDAS</t>
  </si>
  <si>
    <t>WALACE CRISTOFER</t>
  </si>
  <si>
    <t>SAKURA</t>
  </si>
  <si>
    <t xml:space="preserve">CELIO FERNANDES </t>
  </si>
  <si>
    <t xml:space="preserve">TPMARK PRODUÇÕES </t>
  </si>
  <si>
    <t>VELHO MUNDO</t>
  </si>
  <si>
    <t>TORRE EMERGENCIAS</t>
  </si>
  <si>
    <t>BLUES COMUNICAÇÃO - SK COPIADORA</t>
  </si>
  <si>
    <t>DA ORIKASSA</t>
  </si>
  <si>
    <t>LUXAS FELIPE</t>
  </si>
  <si>
    <t>VÍDEO</t>
  </si>
  <si>
    <t>STUDIO ROCA</t>
  </si>
  <si>
    <t>VENDA</t>
  </si>
  <si>
    <t xml:space="preserve">CUSTO </t>
  </si>
  <si>
    <t>LUCRO</t>
  </si>
  <si>
    <t>NOTAS EMITIDAS</t>
  </si>
  <si>
    <t>CUSTO TOTAL</t>
  </si>
  <si>
    <t>EXTRA</t>
  </si>
  <si>
    <t>PB PRODUÇÕES</t>
  </si>
  <si>
    <t>MR LOCAÇÕES - MEND COMERCIO</t>
  </si>
  <si>
    <t>NINE O CLOCK</t>
  </si>
  <si>
    <t>VANESSA CRISTOFANI</t>
  </si>
  <si>
    <t>BADGEST</t>
  </si>
  <si>
    <t>POLE &amp; ZUUK</t>
  </si>
  <si>
    <t>ZCOPS SEGURANCA</t>
  </si>
  <si>
    <t>CESAR VENTURA</t>
  </si>
  <si>
    <t>CUSTOS OP.</t>
  </si>
  <si>
    <t>ALLPARK</t>
  </si>
  <si>
    <t>JAQUELINE BRUN - RAFAEL MONTI - ALINE SANCHES - ELAINE APARECIDA - BARBARA CAROLINA - JORGE LUIZ - JEFERSON DE OLIVEIRA - ALEX ERCEGO - GABRIELA GOULART - FERNANDA -  BENTO - MARCELO BAYEUX - AGENCIA DE PUBLI. - MARCELO BAYEUX</t>
  </si>
  <si>
    <t>S3 LIVE MARKETING - BV FORNECEDOR</t>
  </si>
  <si>
    <t>LENOVO - NOTA DE DÉBITO 249</t>
  </si>
  <si>
    <t>LENOVO - NOTA FISCAL 2843</t>
  </si>
  <si>
    <t>LENOVO - NOTA FISCAL 2846</t>
  </si>
  <si>
    <t>LENOVO - NOTA DE DÉBITO 250</t>
  </si>
  <si>
    <t>CORNER SOCIO 01 - SASAM</t>
  </si>
  <si>
    <t>ZCOPS SEGURANCA  - BV FORNECEDOR NOTA FISCAL 2861</t>
  </si>
  <si>
    <t>ND</t>
  </si>
  <si>
    <t>TFT MIRANTE - BV FORNECEDORNOTA FISCAL 2860</t>
  </si>
  <si>
    <t>CAM ENERGY LOCACAO - BV FORNECEDOR NOTA FISCAL 2864</t>
  </si>
  <si>
    <t>LENOVO - NOTA DE DÉBITO 259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</si>
</sst>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</numFmts>
  <fonts count="6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6"/>
      <color theme="0"/>
      <name val="Trebuchet MS"/>
      <family val="2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8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name val="Trebuchet MS"/>
      <family val="2"/>
    </font>
    <font>
      <b/>
      <sz val="18"/>
      <color theme="1"/>
      <name val="Gadugi"/>
      <family val="2"/>
    </font>
    <font>
      <sz val="18"/>
      <name val="Trebuchet MS"/>
      <family val="2"/>
    </font>
    <font>
      <b/>
      <sz val="18"/>
      <color indexed="63"/>
      <name val="Trebuchet MS"/>
      <family val="2"/>
    </font>
    <font>
      <b/>
      <sz val="18"/>
      <color theme="1"/>
      <name val="Calibri"/>
      <family val="2"/>
      <scheme val="minor"/>
    </font>
    <font>
      <b/>
      <sz val="18"/>
      <color theme="1"/>
      <name val="Trebuchet MS"/>
      <family val="2"/>
    </font>
    <font>
      <sz val="18"/>
      <color theme="0"/>
      <name val="Calibri"/>
      <family val="2"/>
      <scheme val="minor"/>
    </font>
    <font>
      <sz val="18"/>
      <color theme="1"/>
      <name val="Trebuchet MS"/>
      <family val="2"/>
    </font>
    <font>
      <sz val="18"/>
      <color indexed="63"/>
      <name val="Trebuchet MS"/>
      <family val="2"/>
    </font>
    <font>
      <b/>
      <sz val="18"/>
      <color rgb="FFFF0000"/>
      <name val="Trebuchet MS"/>
      <family val="2"/>
    </font>
    <font>
      <b/>
      <sz val="18"/>
      <color rgb="FF00B050"/>
      <name val="Trebuchet MS"/>
      <family val="2"/>
    </font>
    <font>
      <b/>
      <sz val="18"/>
      <color theme="0"/>
      <name val="Trebuchet MS"/>
      <family val="2"/>
    </font>
    <font>
      <sz val="16"/>
      <color theme="1"/>
      <name val="Calibri"/>
      <family val="2"/>
      <scheme val="minor"/>
    </font>
    <font>
      <b/>
      <sz val="16"/>
      <name val="Trebuchet MS"/>
      <family val="2"/>
    </font>
    <font>
      <b/>
      <sz val="16"/>
      <color theme="1"/>
      <name val="Gadugi"/>
      <family val="2"/>
    </font>
    <font>
      <sz val="16"/>
      <name val="Trebuchet MS"/>
      <family val="2"/>
    </font>
    <font>
      <b/>
      <sz val="16"/>
      <color indexed="63"/>
      <name val="Trebuchet MS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Trebuchet MS"/>
      <family val="2"/>
    </font>
    <font>
      <sz val="16"/>
      <color theme="0"/>
      <name val="Calibri"/>
      <family val="2"/>
      <scheme val="minor"/>
    </font>
    <font>
      <sz val="16"/>
      <color theme="1"/>
      <name val="Trebuchet MS"/>
      <family val="2"/>
    </font>
    <font>
      <sz val="16"/>
      <color indexed="63"/>
      <name val="Trebuchet MS"/>
      <family val="2"/>
    </font>
    <font>
      <b/>
      <sz val="16"/>
      <color rgb="FFFF0000"/>
      <name val="Trebuchet MS"/>
      <family val="2"/>
    </font>
    <font>
      <b/>
      <sz val="16"/>
      <color rgb="FF00B050"/>
      <name val="Trebuchet MS"/>
      <family val="2"/>
    </font>
    <font>
      <sz val="16"/>
      <color rgb="FF00B050"/>
      <name val="Trebuchet MS"/>
      <family val="2"/>
    </font>
    <font>
      <sz val="16"/>
      <color rgb="FFFF0000"/>
      <name val="Trebuchet MS"/>
      <family val="2"/>
    </font>
    <font>
      <sz val="16"/>
      <color theme="0"/>
      <name val="Trebuchet MS"/>
      <family val="2"/>
    </font>
    <font>
      <b/>
      <sz val="16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2"/>
      <color theme="0"/>
      <name val="Trebuchet MS"/>
      <family val="2"/>
    </font>
    <font>
      <b/>
      <sz val="12"/>
      <name val="Trebuchet MS"/>
      <family val="2"/>
    </font>
    <font>
      <sz val="22"/>
      <color theme="1"/>
      <name val="Trebuchet MS"/>
      <family val="2"/>
    </font>
    <font>
      <b/>
      <sz val="18"/>
      <name val="Calibri"/>
      <family val="2"/>
      <scheme val="minor"/>
    </font>
    <font>
      <b/>
      <sz val="20"/>
      <color theme="1"/>
      <name val="Trebuchet MS"/>
      <family val="2"/>
    </font>
    <font>
      <sz val="14"/>
      <name val="Trebuchet MS"/>
      <family val="2"/>
    </font>
    <font>
      <sz val="12"/>
      <color rgb="FFFFFFFF"/>
      <name val="Trebuchet MS"/>
      <family val="2"/>
    </font>
    <font>
      <sz val="13.5"/>
      <color rgb="FF1F4968"/>
      <name val="Source Sans Pro"/>
      <family val="2"/>
    </font>
  </fonts>
  <fills count="2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rgb="FFF0F0F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14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rgb="FFA9A9A9"/>
      </left>
      <right/>
      <top style="thin">
        <color rgb="FFA9A9A9"/>
      </top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/>
      <diagonal/>
    </border>
    <border>
      <left style="thin">
        <color rgb="FFA9A9A9"/>
      </left>
      <right/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0" tint="-0.1499069185460982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6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9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844">
    <xf numFmtId="0" fontId="0" fillId="0" borderId="0" xfId="0"/>
    <xf numFmtId="0" fontId="0" fillId="0" borderId="9" xfId="0" applyBorder="1"/>
    <xf numFmtId="0" fontId="0" fillId="0" borderId="10" xfId="0" applyBorder="1"/>
    <xf numFmtId="0" fontId="2" fillId="0" borderId="12" xfId="0" applyFont="1" applyBorder="1"/>
    <xf numFmtId="0" fontId="2" fillId="0" borderId="16" xfId="0" applyFont="1" applyBorder="1"/>
    <xf numFmtId="0" fontId="0" fillId="0" borderId="2" xfId="0" applyBorder="1" applyAlignment="1">
      <alignment horizontal="left"/>
    </xf>
    <xf numFmtId="0" fontId="0" fillId="0" borderId="18" xfId="0" applyBorder="1" applyAlignment="1">
      <alignment horizontal="left"/>
    </xf>
    <xf numFmtId="0" fontId="2" fillId="0" borderId="19" xfId="0" applyFont="1" applyBorder="1"/>
    <xf numFmtId="0" fontId="2" fillId="0" borderId="19" xfId="0" applyFont="1" applyBorder="1" applyAlignment="1">
      <alignment horizontal="center"/>
    </xf>
    <xf numFmtId="0" fontId="0" fillId="0" borderId="11" xfId="0" applyBorder="1"/>
    <xf numFmtId="0" fontId="2" fillId="0" borderId="23" xfId="0" applyFont="1" applyBorder="1"/>
    <xf numFmtId="0" fontId="2" fillId="0" borderId="2" xfId="0" applyFont="1" applyBorder="1" applyAlignment="1">
      <alignment horizontal="left"/>
    </xf>
    <xf numFmtId="0" fontId="2" fillId="0" borderId="16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0" xfId="0" applyAlignment="1">
      <alignment horizontal="right"/>
    </xf>
    <xf numFmtId="0" fontId="7" fillId="4" borderId="28" xfId="0" applyFont="1" applyFill="1" applyBorder="1"/>
    <xf numFmtId="0" fontId="7" fillId="4" borderId="29" xfId="0" applyFont="1" applyFill="1" applyBorder="1"/>
    <xf numFmtId="0" fontId="10" fillId="8" borderId="34" xfId="0" applyFont="1" applyFill="1" applyBorder="1" applyAlignment="1">
      <alignment vertical="center"/>
    </xf>
    <xf numFmtId="0" fontId="12" fillId="8" borderId="34" xfId="0" applyFont="1" applyFill="1" applyBorder="1" applyAlignment="1">
      <alignment horizontal="center" vertical="center"/>
    </xf>
    <xf numFmtId="22" fontId="10" fillId="8" borderId="34" xfId="0" applyNumberFormat="1" applyFont="1" applyFill="1" applyBorder="1" applyAlignment="1">
      <alignment horizontal="center" vertical="center"/>
    </xf>
    <xf numFmtId="0" fontId="14" fillId="8" borderId="35" xfId="0" applyFont="1" applyFill="1" applyBorder="1" applyAlignment="1">
      <alignment horizontal="center" vertical="center" wrapText="1"/>
    </xf>
    <xf numFmtId="0" fontId="14" fillId="8" borderId="36" xfId="0" applyFont="1" applyFill="1" applyBorder="1" applyAlignment="1">
      <alignment horizontal="center" vertical="center" wrapText="1"/>
    </xf>
    <xf numFmtId="0" fontId="0" fillId="9" borderId="37" xfId="0" applyFill="1" applyBorder="1" applyAlignment="1">
      <alignment vertical="center"/>
    </xf>
    <xf numFmtId="0" fontId="0" fillId="9" borderId="37" xfId="0" applyFill="1" applyBorder="1" applyAlignment="1">
      <alignment horizontal="right" vertical="center"/>
    </xf>
    <xf numFmtId="4" fontId="0" fillId="9" borderId="37" xfId="0" applyNumberFormat="1" applyFill="1" applyBorder="1" applyAlignment="1">
      <alignment horizontal="right" vertical="center"/>
    </xf>
    <xf numFmtId="9" fontId="0" fillId="9" borderId="37" xfId="0" applyNumberFormat="1" applyFill="1" applyBorder="1" applyAlignment="1">
      <alignment horizontal="right" vertical="center"/>
    </xf>
    <xf numFmtId="0" fontId="0" fillId="9" borderId="38" xfId="0" applyFill="1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37" xfId="0" applyBorder="1" applyAlignment="1">
      <alignment horizontal="right" vertical="center"/>
    </xf>
    <xf numFmtId="4" fontId="0" fillId="0" borderId="37" xfId="0" applyNumberFormat="1" applyBorder="1" applyAlignment="1">
      <alignment horizontal="right" vertical="center"/>
    </xf>
    <xf numFmtId="9" fontId="0" fillId="0" borderId="37" xfId="0" applyNumberFormat="1" applyBorder="1" applyAlignment="1">
      <alignment horizontal="right" vertical="center"/>
    </xf>
    <xf numFmtId="0" fontId="0" fillId="0" borderId="38" xfId="0" applyBorder="1" applyAlignment="1">
      <alignment vertical="center"/>
    </xf>
    <xf numFmtId="0" fontId="0" fillId="0" borderId="38" xfId="0" applyBorder="1" applyAlignment="1">
      <alignment vertical="center" wrapText="1"/>
    </xf>
    <xf numFmtId="0" fontId="0" fillId="9" borderId="38" xfId="0" applyFill="1" applyBorder="1" applyAlignment="1">
      <alignment vertical="center" wrapText="1"/>
    </xf>
    <xf numFmtId="0" fontId="0" fillId="9" borderId="39" xfId="0" applyFill="1" applyBorder="1" applyAlignment="1">
      <alignment vertical="center"/>
    </xf>
    <xf numFmtId="0" fontId="0" fillId="9" borderId="39" xfId="0" applyFill="1" applyBorder="1" applyAlignment="1">
      <alignment horizontal="right" vertical="center"/>
    </xf>
    <xf numFmtId="4" fontId="0" fillId="9" borderId="39" xfId="0" applyNumberFormat="1" applyFill="1" applyBorder="1" applyAlignment="1">
      <alignment horizontal="right" vertical="center"/>
    </xf>
    <xf numFmtId="9" fontId="0" fillId="9" borderId="39" xfId="0" applyNumberFormat="1" applyFill="1" applyBorder="1" applyAlignment="1">
      <alignment horizontal="right" vertical="center"/>
    </xf>
    <xf numFmtId="0" fontId="0" fillId="9" borderId="40" xfId="0" applyFill="1" applyBorder="1" applyAlignment="1">
      <alignment vertical="center"/>
    </xf>
    <xf numFmtId="44" fontId="16" fillId="12" borderId="56" xfId="8" applyFont="1" applyFill="1" applyBorder="1" applyAlignment="1">
      <alignment vertical="center"/>
    </xf>
    <xf numFmtId="44" fontId="16" fillId="12" borderId="75" xfId="8" applyFont="1" applyFill="1" applyBorder="1" applyAlignment="1">
      <alignment vertical="center"/>
    </xf>
    <xf numFmtId="0" fontId="18" fillId="17" borderId="30" xfId="0" applyFont="1" applyFill="1" applyBorder="1"/>
    <xf numFmtId="44" fontId="18" fillId="17" borderId="30" xfId="0" applyNumberFormat="1" applyFont="1" applyFill="1" applyBorder="1"/>
    <xf numFmtId="0" fontId="18" fillId="17" borderId="30" xfId="0" applyFont="1" applyFill="1" applyBorder="1" applyAlignment="1">
      <alignment horizontal="center" vertical="center"/>
    </xf>
    <xf numFmtId="0" fontId="18" fillId="17" borderId="100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8" fillId="17" borderId="100" xfId="0" applyFont="1" applyFill="1" applyBorder="1"/>
    <xf numFmtId="9" fontId="18" fillId="17" borderId="11" xfId="1" applyFont="1" applyFill="1" applyBorder="1"/>
    <xf numFmtId="0" fontId="0" fillId="0" borderId="53" xfId="0" applyBorder="1"/>
    <xf numFmtId="0" fontId="0" fillId="0" borderId="0" xfId="0" applyAlignment="1">
      <alignment horizontal="left"/>
    </xf>
    <xf numFmtId="0" fontId="7" fillId="4" borderId="29" xfId="0" applyFont="1" applyFill="1" applyBorder="1" applyAlignment="1">
      <alignment horizontal="left"/>
    </xf>
    <xf numFmtId="170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44" fontId="16" fillId="12" borderId="77" xfId="8" applyFont="1" applyFill="1" applyBorder="1" applyAlignment="1">
      <alignment vertical="center"/>
    </xf>
    <xf numFmtId="44" fontId="18" fillId="17" borderId="104" xfId="0" applyNumberFormat="1" applyFont="1" applyFill="1" applyBorder="1"/>
    <xf numFmtId="44" fontId="18" fillId="17" borderId="106" xfId="8" applyFont="1" applyFill="1" applyBorder="1"/>
    <xf numFmtId="170" fontId="0" fillId="0" borderId="0" xfId="0" applyNumberFormat="1"/>
    <xf numFmtId="44" fontId="0" fillId="0" borderId="0" xfId="0" applyNumberFormat="1"/>
    <xf numFmtId="44" fontId="19" fillId="0" borderId="0" xfId="0" applyNumberFormat="1" applyFont="1"/>
    <xf numFmtId="0" fontId="0" fillId="0" borderId="60" xfId="0" applyBorder="1"/>
    <xf numFmtId="0" fontId="0" fillId="0" borderId="103" xfId="0" applyBorder="1"/>
    <xf numFmtId="44" fontId="0" fillId="0" borderId="74" xfId="0" applyNumberFormat="1" applyBorder="1"/>
    <xf numFmtId="44" fontId="0" fillId="0" borderId="84" xfId="0" applyNumberFormat="1" applyBorder="1"/>
    <xf numFmtId="44" fontId="0" fillId="0" borderId="76" xfId="0" applyNumberFormat="1" applyBorder="1"/>
    <xf numFmtId="170" fontId="21" fillId="0" borderId="0" xfId="0" applyNumberFormat="1" applyFont="1"/>
    <xf numFmtId="44" fontId="0" fillId="18" borderId="0" xfId="0" applyNumberFormat="1" applyFill="1"/>
    <xf numFmtId="0" fontId="0" fillId="0" borderId="68" xfId="0" applyBorder="1"/>
    <xf numFmtId="44" fontId="0" fillId="0" borderId="52" xfId="0" applyNumberFormat="1" applyBorder="1"/>
    <xf numFmtId="9" fontId="19" fillId="0" borderId="0" xfId="1" applyFont="1"/>
    <xf numFmtId="0" fontId="17" fillId="19" borderId="72" xfId="0" applyFont="1" applyFill="1" applyBorder="1" applyAlignment="1">
      <alignment horizontal="left" vertical="center" wrapText="1"/>
    </xf>
    <xf numFmtId="0" fontId="17" fillId="19" borderId="95" xfId="0" applyFont="1" applyFill="1" applyBorder="1" applyAlignment="1">
      <alignment horizontal="left" vertical="center" wrapText="1"/>
    </xf>
    <xf numFmtId="0" fontId="17" fillId="19" borderId="54" xfId="0" applyFont="1" applyFill="1" applyBorder="1" applyAlignment="1">
      <alignment horizontal="left" vertical="center" wrapText="1"/>
    </xf>
    <xf numFmtId="0" fontId="17" fillId="19" borderId="98" xfId="0" applyFont="1" applyFill="1" applyBorder="1" applyAlignment="1">
      <alignment horizontal="left" vertical="center" wrapText="1"/>
    </xf>
    <xf numFmtId="44" fontId="16" fillId="12" borderId="60" xfId="8" applyFont="1" applyFill="1" applyBorder="1" applyAlignment="1">
      <alignment vertical="center"/>
    </xf>
    <xf numFmtId="44" fontId="16" fillId="12" borderId="53" xfId="8" applyFont="1" applyFill="1" applyBorder="1" applyAlignment="1">
      <alignment vertical="center"/>
    </xf>
    <xf numFmtId="44" fontId="16" fillId="0" borderId="53" xfId="8" applyFont="1" applyBorder="1" applyAlignment="1">
      <alignment vertical="center"/>
    </xf>
    <xf numFmtId="44" fontId="16" fillId="12" borderId="103" xfId="8" applyFont="1" applyFill="1" applyBorder="1" applyAlignment="1">
      <alignment vertical="center"/>
    </xf>
    <xf numFmtId="44" fontId="23" fillId="0" borderId="0" xfId="0" applyNumberFormat="1" applyFont="1"/>
    <xf numFmtId="0" fontId="0" fillId="0" borderId="105" xfId="0" applyBorder="1"/>
    <xf numFmtId="0" fontId="0" fillId="0" borderId="95" xfId="0" applyBorder="1"/>
    <xf numFmtId="0" fontId="0" fillId="0" borderId="92" xfId="0" applyBorder="1"/>
    <xf numFmtId="0" fontId="0" fillId="0" borderId="99" xfId="0" applyBorder="1"/>
    <xf numFmtId="0" fontId="0" fillId="0" borderId="106" xfId="0" applyBorder="1"/>
    <xf numFmtId="0" fontId="24" fillId="0" borderId="0" xfId="0" applyFont="1"/>
    <xf numFmtId="49" fontId="25" fillId="0" borderId="0" xfId="2" applyNumberFormat="1" applyFont="1" applyAlignment="1">
      <alignment horizontal="left" vertical="center" wrapText="1"/>
    </xf>
    <xf numFmtId="0" fontId="25" fillId="0" borderId="0" xfId="2" applyFont="1" applyAlignment="1">
      <alignment horizontal="left" vertical="center" wrapText="1"/>
    </xf>
    <xf numFmtId="0" fontId="24" fillId="0" borderId="0" xfId="0" applyFont="1" applyAlignment="1">
      <alignment horizontal="center" vertical="center"/>
    </xf>
    <xf numFmtId="0" fontId="24" fillId="12" borderId="0" xfId="0" applyFont="1" applyFill="1"/>
    <xf numFmtId="0" fontId="24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164" fontId="25" fillId="0" borderId="0" xfId="2" applyNumberFormat="1" applyFont="1" applyAlignment="1">
      <alignment horizontal="left" vertical="center"/>
    </xf>
    <xf numFmtId="164" fontId="27" fillId="0" borderId="13" xfId="2" applyNumberFormat="1" applyFont="1" applyBorder="1" applyAlignment="1" applyProtection="1">
      <alignment horizontal="left" vertical="center"/>
      <protection locked="0"/>
    </xf>
    <xf numFmtId="164" fontId="27" fillId="0" borderId="15" xfId="2" applyNumberFormat="1" applyFont="1" applyBorder="1" applyAlignment="1" applyProtection="1">
      <alignment horizontal="left" vertical="center"/>
      <protection locked="0"/>
    </xf>
    <xf numFmtId="164" fontId="27" fillId="0" borderId="24" xfId="2" applyNumberFormat="1" applyFont="1" applyBorder="1" applyAlignment="1" applyProtection="1">
      <alignment horizontal="left" vertical="center"/>
      <protection locked="0"/>
    </xf>
    <xf numFmtId="164" fontId="27" fillId="0" borderId="25" xfId="2" applyNumberFormat="1" applyFont="1" applyBorder="1" applyAlignment="1" applyProtection="1">
      <alignment horizontal="left" vertical="center"/>
      <protection locked="0"/>
    </xf>
    <xf numFmtId="0" fontId="27" fillId="0" borderId="18" xfId="2" applyFont="1" applyBorder="1" applyAlignment="1" applyProtection="1">
      <alignment horizontal="left" vertical="center"/>
      <protection locked="0"/>
    </xf>
    <xf numFmtId="14" fontId="27" fillId="0" borderId="25" xfId="2" applyNumberFormat="1" applyFont="1" applyBorder="1" applyAlignment="1" applyProtection="1">
      <alignment horizontal="left" vertical="center"/>
      <protection locked="0"/>
    </xf>
    <xf numFmtId="164" fontId="27" fillId="0" borderId="31" xfId="2" applyNumberFormat="1" applyFont="1" applyBorder="1" applyAlignment="1" applyProtection="1">
      <alignment horizontal="left" vertical="center"/>
      <protection locked="0"/>
    </xf>
    <xf numFmtId="0" fontId="27" fillId="0" borderId="22" xfId="2" applyFont="1" applyBorder="1" applyAlignment="1" applyProtection="1">
      <alignment horizontal="left" vertical="center"/>
      <protection locked="0"/>
    </xf>
    <xf numFmtId="49" fontId="24" fillId="0" borderId="0" xfId="0" applyNumberFormat="1" applyFont="1"/>
    <xf numFmtId="0" fontId="24" fillId="0" borderId="0" xfId="1" applyNumberFormat="1" applyFont="1"/>
    <xf numFmtId="165" fontId="28" fillId="6" borderId="60" xfId="4" applyFont="1" applyFill="1" applyBorder="1" applyAlignment="1">
      <alignment horizontal="center" vertical="center" wrapText="1"/>
    </xf>
    <xf numFmtId="168" fontId="29" fillId="0" borderId="75" xfId="1" applyNumberFormat="1" applyFont="1" applyBorder="1"/>
    <xf numFmtId="166" fontId="28" fillId="0" borderId="32" xfId="4" applyNumberFormat="1" applyFont="1" applyBorder="1" applyAlignment="1">
      <alignment horizontal="center" vertical="center" wrapText="1"/>
    </xf>
    <xf numFmtId="0" fontId="30" fillId="5" borderId="0" xfId="0" applyFont="1" applyFill="1"/>
    <xf numFmtId="49" fontId="30" fillId="5" borderId="0" xfId="0" applyNumberFormat="1" applyFont="1" applyFill="1"/>
    <xf numFmtId="0" fontId="31" fillId="0" borderId="0" xfId="0" applyFont="1"/>
    <xf numFmtId="0" fontId="24" fillId="0" borderId="53" xfId="0" applyFont="1" applyBorder="1"/>
    <xf numFmtId="0" fontId="24" fillId="0" borderId="56" xfId="0" applyFont="1" applyBorder="1"/>
    <xf numFmtId="0" fontId="32" fillId="0" borderId="41" xfId="0" applyFont="1" applyBorder="1" applyAlignment="1">
      <alignment horizontal="left" vertical="center"/>
    </xf>
    <xf numFmtId="49" fontId="32" fillId="0" borderId="42" xfId="0" applyNumberFormat="1" applyFont="1" applyBorder="1" applyAlignment="1">
      <alignment horizontal="left" vertical="center"/>
    </xf>
    <xf numFmtId="0" fontId="32" fillId="0" borderId="43" xfId="0" applyFont="1" applyBorder="1" applyAlignment="1">
      <alignment horizontal="left" vertical="center"/>
    </xf>
    <xf numFmtId="0" fontId="32" fillId="0" borderId="41" xfId="0" applyFont="1" applyBorder="1" applyAlignment="1">
      <alignment horizontal="left" vertical="center" wrapText="1"/>
    </xf>
    <xf numFmtId="0" fontId="25" fillId="6" borderId="45" xfId="3" applyFont="1" applyFill="1" applyBorder="1" applyAlignment="1">
      <alignment horizontal="left" vertical="center"/>
    </xf>
    <xf numFmtId="0" fontId="25" fillId="6" borderId="46" xfId="3" applyFont="1" applyFill="1" applyBorder="1" applyAlignment="1">
      <alignment horizontal="center" vertical="center"/>
    </xf>
    <xf numFmtId="0" fontId="30" fillId="6" borderId="46" xfId="3" applyFont="1" applyFill="1" applyBorder="1" applyAlignment="1">
      <alignment horizontal="center" vertical="center"/>
    </xf>
    <xf numFmtId="169" fontId="30" fillId="6" borderId="46" xfId="3" applyNumberFormat="1" applyFont="1" applyFill="1" applyBorder="1" applyAlignment="1">
      <alignment horizontal="center" vertical="center" wrapText="1"/>
    </xf>
    <xf numFmtId="0" fontId="30" fillId="6" borderId="46" xfId="3" applyFont="1" applyFill="1" applyBorder="1" applyAlignment="1">
      <alignment horizontal="center" vertical="center" wrapText="1"/>
    </xf>
    <xf numFmtId="9" fontId="30" fillId="6" borderId="46" xfId="1" applyFont="1" applyFill="1" applyBorder="1" applyAlignment="1">
      <alignment horizontal="center" vertical="center" wrapText="1"/>
    </xf>
    <xf numFmtId="10" fontId="30" fillId="6" borderId="46" xfId="1" applyNumberFormat="1" applyFont="1" applyFill="1" applyBorder="1" applyAlignment="1">
      <alignment horizontal="center" vertical="center" wrapText="1"/>
    </xf>
    <xf numFmtId="0" fontId="30" fillId="6" borderId="48" xfId="3" applyFont="1" applyFill="1" applyBorder="1" applyAlignment="1">
      <alignment horizontal="center" vertical="center" wrapText="1"/>
    </xf>
    <xf numFmtId="0" fontId="30" fillId="12" borderId="0" xfId="3" applyFont="1" applyFill="1" applyAlignment="1">
      <alignment horizontal="center" vertical="center" wrapText="1"/>
    </xf>
    <xf numFmtId="37" fontId="33" fillId="6" borderId="66" xfId="3" applyNumberFormat="1" applyFont="1" applyFill="1" applyBorder="1" applyAlignment="1">
      <alignment horizontal="center" vertical="center"/>
    </xf>
    <xf numFmtId="37" fontId="33" fillId="6" borderId="63" xfId="3" applyNumberFormat="1" applyFont="1" applyFill="1" applyBorder="1" applyAlignment="1">
      <alignment horizontal="center" vertical="center"/>
    </xf>
    <xf numFmtId="40" fontId="28" fillId="6" borderId="63" xfId="4" applyNumberFormat="1" applyFont="1" applyFill="1" applyBorder="1" applyAlignment="1">
      <alignment horizontal="center" vertical="center"/>
    </xf>
    <xf numFmtId="165" fontId="28" fillId="6" borderId="65" xfId="4" applyFont="1" applyFill="1" applyBorder="1" applyAlignment="1">
      <alignment horizontal="right" vertical="center"/>
    </xf>
    <xf numFmtId="40" fontId="28" fillId="6" borderId="64" xfId="4" applyNumberFormat="1" applyFont="1" applyFill="1" applyBorder="1" applyAlignment="1">
      <alignment horizontal="center" vertical="center" wrapText="1"/>
    </xf>
    <xf numFmtId="10" fontId="28" fillId="6" borderId="63" xfId="5" applyNumberFormat="1" applyFont="1" applyFill="1" applyBorder="1" applyAlignment="1">
      <alignment horizontal="center" vertical="center" wrapText="1"/>
    </xf>
    <xf numFmtId="165" fontId="28" fillId="6" borderId="62" xfId="4" applyFont="1" applyFill="1" applyBorder="1" applyAlignment="1">
      <alignment horizontal="center" vertical="center" wrapText="1"/>
    </xf>
    <xf numFmtId="165" fontId="28" fillId="6" borderId="61" xfId="4" applyFont="1" applyFill="1" applyBorder="1" applyAlignment="1">
      <alignment horizontal="center" vertical="center" wrapText="1"/>
    </xf>
    <xf numFmtId="165" fontId="28" fillId="6" borderId="9" xfId="4" applyFont="1" applyFill="1" applyBorder="1" applyAlignment="1">
      <alignment horizontal="center" vertical="center" wrapText="1"/>
    </xf>
    <xf numFmtId="10" fontId="28" fillId="6" borderId="53" xfId="5" applyNumberFormat="1" applyFont="1" applyFill="1" applyBorder="1" applyAlignment="1">
      <alignment horizontal="center" vertical="center" wrapText="1"/>
    </xf>
    <xf numFmtId="10" fontId="28" fillId="6" borderId="56" xfId="5" applyNumberFormat="1" applyFont="1" applyFill="1" applyBorder="1" applyAlignment="1">
      <alignment horizontal="center" vertical="center" wrapText="1"/>
    </xf>
    <xf numFmtId="166" fontId="34" fillId="6" borderId="68" xfId="4" applyNumberFormat="1" applyFont="1" applyFill="1" applyBorder="1" applyAlignment="1">
      <alignment horizontal="center" vertical="center" wrapText="1"/>
    </xf>
    <xf numFmtId="166" fontId="35" fillId="6" borderId="70" xfId="4" applyNumberFormat="1" applyFont="1" applyFill="1" applyBorder="1" applyAlignment="1">
      <alignment horizontal="center" vertical="center" wrapText="1"/>
    </xf>
    <xf numFmtId="49" fontId="32" fillId="0" borderId="42" xfId="0" applyNumberFormat="1" applyFont="1" applyBorder="1" applyAlignment="1">
      <alignment horizontal="left" vertical="center" wrapText="1"/>
    </xf>
    <xf numFmtId="0" fontId="32" fillId="0" borderId="43" xfId="0" applyFont="1" applyBorder="1" applyAlignment="1">
      <alignment horizontal="left" vertical="center" wrapText="1"/>
    </xf>
    <xf numFmtId="0" fontId="30" fillId="13" borderId="47" xfId="0" applyFont="1" applyFill="1" applyBorder="1" applyAlignment="1">
      <alignment horizontal="center" vertical="center"/>
    </xf>
    <xf numFmtId="0" fontId="30" fillId="13" borderId="46" xfId="0" applyFont="1" applyFill="1" applyBorder="1" applyAlignment="1">
      <alignment horizontal="center" vertical="center"/>
    </xf>
    <xf numFmtId="0" fontId="30" fillId="13" borderId="105" xfId="0" applyFont="1" applyFill="1" applyBorder="1" applyAlignment="1">
      <alignment horizontal="center" vertical="center"/>
    </xf>
    <xf numFmtId="0" fontId="30" fillId="12" borderId="60" xfId="0" applyFont="1" applyFill="1" applyBorder="1" applyAlignment="1">
      <alignment horizontal="left" vertical="center" wrapText="1"/>
    </xf>
    <xf numFmtId="0" fontId="32" fillId="12" borderId="74" xfId="0" applyFont="1" applyFill="1" applyBorder="1" applyAlignment="1">
      <alignment horizontal="left" vertical="center" wrapText="1"/>
    </xf>
    <xf numFmtId="0" fontId="32" fillId="12" borderId="74" xfId="0" applyFont="1" applyFill="1" applyBorder="1" applyAlignment="1">
      <alignment horizontal="center" vertical="center"/>
    </xf>
    <xf numFmtId="44" fontId="32" fillId="12" borderId="74" xfId="8" applyFont="1" applyFill="1" applyBorder="1" applyAlignment="1">
      <alignment vertical="center"/>
    </xf>
    <xf numFmtId="44" fontId="32" fillId="12" borderId="75" xfId="8" applyFont="1" applyFill="1" applyBorder="1" applyAlignment="1">
      <alignment vertical="center"/>
    </xf>
    <xf numFmtId="44" fontId="32" fillId="12" borderId="0" xfId="8" applyFont="1" applyFill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1" fontId="32" fillId="14" borderId="53" xfId="0" applyNumberFormat="1" applyFont="1" applyFill="1" applyBorder="1" applyAlignment="1">
      <alignment horizontal="center" vertical="center"/>
    </xf>
    <xf numFmtId="1" fontId="32" fillId="14" borderId="57" xfId="0" applyNumberFormat="1" applyFont="1" applyFill="1" applyBorder="1" applyAlignment="1">
      <alignment horizontal="center" vertical="center"/>
    </xf>
    <xf numFmtId="44" fontId="32" fillId="14" borderId="57" xfId="8" applyFont="1" applyFill="1" applyBorder="1" applyAlignment="1">
      <alignment vertical="center"/>
    </xf>
    <xf numFmtId="44" fontId="32" fillId="16" borderId="57" xfId="8" applyFont="1" applyFill="1" applyBorder="1" applyAlignment="1">
      <alignment vertical="center"/>
    </xf>
    <xf numFmtId="9" fontId="32" fillId="15" borderId="57" xfId="1" applyFont="1" applyFill="1" applyBorder="1" applyAlignment="1">
      <alignment vertical="center"/>
    </xf>
    <xf numFmtId="44" fontId="32" fillId="15" borderId="57" xfId="8" applyFont="1" applyFill="1" applyBorder="1" applyAlignment="1">
      <alignment vertical="center"/>
    </xf>
    <xf numFmtId="10" fontId="32" fillId="16" borderId="53" xfId="0" applyNumberFormat="1" applyFont="1" applyFill="1" applyBorder="1" applyAlignment="1">
      <alignment horizontal="center" vertical="center"/>
    </xf>
    <xf numFmtId="10" fontId="32" fillId="16" borderId="56" xfId="0" applyNumberFormat="1" applyFont="1" applyFill="1" applyBorder="1" applyAlignment="1">
      <alignment horizontal="center" vertical="center"/>
    </xf>
    <xf numFmtId="10" fontId="32" fillId="16" borderId="8" xfId="0" applyNumberFormat="1" applyFont="1" applyFill="1" applyBorder="1" applyAlignment="1">
      <alignment horizontal="center" vertical="center"/>
    </xf>
    <xf numFmtId="44" fontId="34" fillId="0" borderId="84" xfId="8" applyFont="1" applyBorder="1"/>
    <xf numFmtId="44" fontId="35" fillId="0" borderId="84" xfId="8" applyFont="1" applyBorder="1"/>
    <xf numFmtId="0" fontId="32" fillId="0" borderId="49" xfId="0" applyFont="1" applyBorder="1" applyAlignment="1">
      <alignment horizontal="left" vertical="center" wrapText="1"/>
    </xf>
    <xf numFmtId="0" fontId="32" fillId="0" borderId="51" xfId="0" applyFont="1" applyBorder="1" applyAlignment="1">
      <alignment horizontal="left" vertical="center" wrapText="1"/>
    </xf>
    <xf numFmtId="0" fontId="30" fillId="12" borderId="53" xfId="0" applyFont="1" applyFill="1" applyBorder="1" applyAlignment="1">
      <alignment horizontal="left" vertical="center" wrapText="1"/>
    </xf>
    <xf numFmtId="0" fontId="32" fillId="12" borderId="84" xfId="0" applyFont="1" applyFill="1" applyBorder="1" applyAlignment="1">
      <alignment horizontal="left" vertical="center" wrapText="1"/>
    </xf>
    <xf numFmtId="0" fontId="32" fillId="12" borderId="84" xfId="0" applyFont="1" applyFill="1" applyBorder="1" applyAlignment="1">
      <alignment horizontal="center" vertical="center"/>
    </xf>
    <xf numFmtId="44" fontId="32" fillId="12" borderId="84" xfId="8" applyFont="1" applyFill="1" applyBorder="1" applyAlignment="1">
      <alignment vertical="center"/>
    </xf>
    <xf numFmtId="44" fontId="32" fillId="12" borderId="56" xfId="8" applyFont="1" applyFill="1" applyBorder="1" applyAlignment="1">
      <alignment vertical="center"/>
    </xf>
    <xf numFmtId="1" fontId="32" fillId="14" borderId="84" xfId="0" applyNumberFormat="1" applyFont="1" applyFill="1" applyBorder="1" applyAlignment="1">
      <alignment horizontal="center" vertical="center"/>
    </xf>
    <xf numFmtId="44" fontId="32" fillId="14" borderId="84" xfId="8" applyFont="1" applyFill="1" applyBorder="1" applyAlignment="1">
      <alignment vertical="center"/>
    </xf>
    <xf numFmtId="44" fontId="32" fillId="16" borderId="84" xfId="8" applyFont="1" applyFill="1" applyBorder="1" applyAlignment="1">
      <alignment vertical="center"/>
    </xf>
    <xf numFmtId="9" fontId="32" fillId="15" borderId="84" xfId="1" applyFont="1" applyFill="1" applyBorder="1" applyAlignment="1">
      <alignment vertical="center"/>
    </xf>
    <xf numFmtId="44" fontId="32" fillId="15" borderId="84" xfId="8" applyFont="1" applyFill="1" applyBorder="1" applyAlignment="1">
      <alignment vertical="center"/>
    </xf>
    <xf numFmtId="44" fontId="32" fillId="15" borderId="5" xfId="8" applyFont="1" applyFill="1" applyBorder="1" applyAlignment="1">
      <alignment vertical="center"/>
    </xf>
    <xf numFmtId="0" fontId="32" fillId="0" borderId="67" xfId="0" applyFont="1" applyBorder="1" applyAlignment="1">
      <alignment horizontal="left" vertical="center" wrapText="1"/>
    </xf>
    <xf numFmtId="0" fontId="32" fillId="0" borderId="0" xfId="0" applyFont="1" applyAlignment="1">
      <alignment horizontal="left" vertical="center" wrapText="1"/>
    </xf>
    <xf numFmtId="44" fontId="32" fillId="12" borderId="0" xfId="8" applyFont="1" applyFill="1" applyBorder="1" applyAlignment="1">
      <alignment vertical="center"/>
    </xf>
    <xf numFmtId="10" fontId="32" fillId="16" borderId="0" xfId="0" applyNumberFormat="1" applyFont="1" applyFill="1" applyAlignment="1">
      <alignment horizontal="center" vertical="center"/>
    </xf>
    <xf numFmtId="0" fontId="30" fillId="13" borderId="10" xfId="0" applyFont="1" applyFill="1" applyBorder="1" applyAlignment="1">
      <alignment horizontal="center" vertical="center"/>
    </xf>
    <xf numFmtId="0" fontId="32" fillId="0" borderId="84" xfId="0" applyFont="1" applyBorder="1" applyAlignment="1">
      <alignment horizontal="center" vertical="center"/>
    </xf>
    <xf numFmtId="44" fontId="32" fillId="0" borderId="84" xfId="8" applyFont="1" applyBorder="1" applyAlignment="1">
      <alignment vertical="center"/>
    </xf>
    <xf numFmtId="44" fontId="32" fillId="14" borderId="7" xfId="0" applyNumberFormat="1" applyFont="1" applyFill="1" applyBorder="1"/>
    <xf numFmtId="14" fontId="32" fillId="14" borderId="8" xfId="0" applyNumberFormat="1" applyFont="1" applyFill="1" applyBorder="1"/>
    <xf numFmtId="0" fontId="32" fillId="14" borderId="5" xfId="0" applyFont="1" applyFill="1" applyBorder="1" applyAlignment="1">
      <alignment wrapText="1"/>
    </xf>
    <xf numFmtId="0" fontId="32" fillId="14" borderId="8" xfId="0" applyFont="1" applyFill="1" applyBorder="1" applyAlignment="1">
      <alignment wrapText="1"/>
    </xf>
    <xf numFmtId="1" fontId="32" fillId="14" borderId="54" xfId="0" applyNumberFormat="1" applyFont="1" applyFill="1" applyBorder="1" applyAlignment="1">
      <alignment horizontal="center" vertical="center"/>
    </xf>
    <xf numFmtId="1" fontId="32" fillId="14" borderId="69" xfId="0" applyNumberFormat="1" applyFont="1" applyFill="1" applyBorder="1" applyAlignment="1">
      <alignment horizontal="center" vertical="center"/>
    </xf>
    <xf numFmtId="44" fontId="32" fillId="14" borderId="69" xfId="8" applyFont="1" applyFill="1" applyBorder="1" applyAlignment="1">
      <alignment vertical="center"/>
    </xf>
    <xf numFmtId="44" fontId="32" fillId="16" borderId="69" xfId="8" applyFont="1" applyFill="1" applyBorder="1" applyAlignment="1">
      <alignment vertical="center"/>
    </xf>
    <xf numFmtId="9" fontId="32" fillId="15" borderId="69" xfId="1" applyFont="1" applyFill="1" applyBorder="1" applyAlignment="1">
      <alignment vertical="center"/>
    </xf>
    <xf numFmtId="44" fontId="32" fillId="15" borderId="69" xfId="8" applyFont="1" applyFill="1" applyBorder="1" applyAlignment="1">
      <alignment vertical="center"/>
    </xf>
    <xf numFmtId="0" fontId="32" fillId="0" borderId="73" xfId="0" applyFont="1" applyBorder="1" applyAlignment="1">
      <alignment horizontal="left" vertical="center" wrapText="1"/>
    </xf>
    <xf numFmtId="0" fontId="32" fillId="0" borderId="82" xfId="0" applyFont="1" applyBorder="1" applyAlignment="1">
      <alignment horizontal="left" vertical="center" wrapText="1"/>
    </xf>
    <xf numFmtId="0" fontId="32" fillId="0" borderId="84" xfId="0" applyFont="1" applyBorder="1" applyAlignment="1">
      <alignment horizontal="left" vertical="center" wrapText="1"/>
    </xf>
    <xf numFmtId="1" fontId="32" fillId="14" borderId="72" xfId="0" applyNumberFormat="1" applyFont="1" applyFill="1" applyBorder="1" applyAlignment="1">
      <alignment horizontal="center" vertical="center"/>
    </xf>
    <xf numFmtId="1" fontId="32" fillId="14" borderId="5" xfId="0" applyNumberFormat="1" applyFont="1" applyFill="1" applyBorder="1" applyAlignment="1">
      <alignment horizontal="center" vertical="center"/>
    </xf>
    <xf numFmtId="44" fontId="32" fillId="14" borderId="5" xfId="8" applyFont="1" applyFill="1" applyBorder="1" applyAlignment="1">
      <alignment vertical="center"/>
    </xf>
    <xf numFmtId="44" fontId="32" fillId="16" borderId="5" xfId="8" applyFont="1" applyFill="1" applyBorder="1" applyAlignment="1">
      <alignment vertical="center"/>
    </xf>
    <xf numFmtId="9" fontId="32" fillId="15" borderId="5" xfId="1" applyFont="1" applyFill="1" applyBorder="1" applyAlignment="1">
      <alignment vertical="center"/>
    </xf>
    <xf numFmtId="1" fontId="32" fillId="14" borderId="95" xfId="0" applyNumberFormat="1" applyFont="1" applyFill="1" applyBorder="1" applyAlignment="1">
      <alignment horizontal="center" vertical="center"/>
    </xf>
    <xf numFmtId="1" fontId="32" fillId="14" borderId="83" xfId="0" applyNumberFormat="1" applyFont="1" applyFill="1" applyBorder="1" applyAlignment="1">
      <alignment horizontal="center" vertical="center"/>
    </xf>
    <xf numFmtId="44" fontId="32" fillId="14" borderId="83" xfId="8" applyFont="1" applyFill="1" applyBorder="1" applyAlignment="1">
      <alignment vertical="center"/>
    </xf>
    <xf numFmtId="44" fontId="32" fillId="16" borderId="83" xfId="8" applyFont="1" applyFill="1" applyBorder="1" applyAlignment="1">
      <alignment vertical="center"/>
    </xf>
    <xf numFmtId="9" fontId="32" fillId="15" borderId="83" xfId="1" applyFont="1" applyFill="1" applyBorder="1" applyAlignment="1">
      <alignment vertical="center"/>
    </xf>
    <xf numFmtId="44" fontId="32" fillId="15" borderId="83" xfId="8" applyFont="1" applyFill="1" applyBorder="1" applyAlignment="1">
      <alignment vertical="center"/>
    </xf>
    <xf numFmtId="0" fontId="30" fillId="12" borderId="85" xfId="0" applyFont="1" applyFill="1" applyBorder="1" applyAlignment="1">
      <alignment horizontal="left" vertical="center" wrapText="1"/>
    </xf>
    <xf numFmtId="0" fontId="32" fillId="12" borderId="57" xfId="0" applyFont="1" applyFill="1" applyBorder="1" applyAlignment="1">
      <alignment horizontal="left" vertical="center" wrapText="1"/>
    </xf>
    <xf numFmtId="0" fontId="32" fillId="12" borderId="58" xfId="0" applyFont="1" applyFill="1" applyBorder="1" applyAlignment="1">
      <alignment horizontal="center" vertical="center"/>
    </xf>
    <xf numFmtId="44" fontId="32" fillId="12" borderId="58" xfId="8" applyFont="1" applyFill="1" applyBorder="1" applyAlignment="1">
      <alignment vertical="center"/>
    </xf>
    <xf numFmtId="44" fontId="32" fillId="12" borderId="59" xfId="8" applyFont="1" applyFill="1" applyBorder="1" applyAlignment="1">
      <alignment vertical="center"/>
    </xf>
    <xf numFmtId="0" fontId="32" fillId="12" borderId="57" xfId="0" applyFont="1" applyFill="1" applyBorder="1" applyAlignment="1">
      <alignment horizontal="center" vertical="center"/>
    </xf>
    <xf numFmtId="44" fontId="32" fillId="12" borderId="57" xfId="8" applyFont="1" applyFill="1" applyBorder="1" applyAlignment="1">
      <alignment vertical="center"/>
    </xf>
    <xf numFmtId="44" fontId="32" fillId="12" borderId="71" xfId="8" applyFont="1" applyFill="1" applyBorder="1" applyAlignment="1">
      <alignment vertical="center"/>
    </xf>
    <xf numFmtId="1" fontId="32" fillId="14" borderId="98" xfId="0" applyNumberFormat="1" applyFont="1" applyFill="1" applyBorder="1" applyAlignment="1">
      <alignment horizontal="center" vertical="center"/>
    </xf>
    <xf numFmtId="1" fontId="32" fillId="14" borderId="31" xfId="0" applyNumberFormat="1" applyFont="1" applyFill="1" applyBorder="1" applyAlignment="1">
      <alignment horizontal="center" vertical="center"/>
    </xf>
    <xf numFmtId="44" fontId="32" fillId="14" borderId="31" xfId="8" applyFont="1" applyFill="1" applyBorder="1" applyAlignment="1">
      <alignment vertical="center"/>
    </xf>
    <xf numFmtId="0" fontId="30" fillId="12" borderId="68" xfId="0" applyFont="1" applyFill="1" applyBorder="1" applyAlignment="1">
      <alignment horizontal="left" vertical="center" wrapText="1"/>
    </xf>
    <xf numFmtId="0" fontId="32" fillId="12" borderId="52" xfId="0" applyFont="1" applyFill="1" applyBorder="1" applyAlignment="1">
      <alignment horizontal="left" vertical="center" wrapText="1"/>
    </xf>
    <xf numFmtId="0" fontId="32" fillId="12" borderId="52" xfId="0" applyFont="1" applyFill="1" applyBorder="1" applyAlignment="1">
      <alignment horizontal="center" vertical="center"/>
    </xf>
    <xf numFmtId="44" fontId="32" fillId="12" borderId="52" xfId="8" applyFont="1" applyFill="1" applyBorder="1" applyAlignment="1">
      <alignment vertical="center"/>
    </xf>
    <xf numFmtId="44" fontId="32" fillId="12" borderId="70" xfId="8" applyFont="1" applyFill="1" applyBorder="1" applyAlignment="1">
      <alignment vertical="center"/>
    </xf>
    <xf numFmtId="1" fontId="32" fillId="14" borderId="68" xfId="0" applyNumberFormat="1" applyFont="1" applyFill="1" applyBorder="1" applyAlignment="1">
      <alignment horizontal="center" vertical="center"/>
    </xf>
    <xf numFmtId="1" fontId="32" fillId="14" borderId="52" xfId="0" applyNumberFormat="1" applyFont="1" applyFill="1" applyBorder="1" applyAlignment="1">
      <alignment horizontal="center" vertical="center"/>
    </xf>
    <xf numFmtId="44" fontId="32" fillId="14" borderId="52" xfId="8" applyFont="1" applyFill="1" applyBorder="1" applyAlignment="1">
      <alignment vertical="center"/>
    </xf>
    <xf numFmtId="44" fontId="32" fillId="16" borderId="52" xfId="8" applyFont="1" applyFill="1" applyBorder="1" applyAlignment="1">
      <alignment vertical="center"/>
    </xf>
    <xf numFmtId="9" fontId="32" fillId="15" borderId="52" xfId="1" applyFont="1" applyFill="1" applyBorder="1" applyAlignment="1">
      <alignment vertical="center"/>
    </xf>
    <xf numFmtId="44" fontId="32" fillId="15" borderId="52" xfId="8" applyFont="1" applyFill="1" applyBorder="1" applyAlignment="1">
      <alignment vertical="center"/>
    </xf>
    <xf numFmtId="1" fontId="32" fillId="14" borderId="85" xfId="0" applyNumberFormat="1" applyFont="1" applyFill="1" applyBorder="1" applyAlignment="1">
      <alignment horizontal="center" vertical="center"/>
    </xf>
    <xf numFmtId="44" fontId="36" fillId="17" borderId="56" xfId="8" applyFont="1" applyFill="1" applyBorder="1" applyAlignment="1">
      <alignment horizontal="center"/>
    </xf>
    <xf numFmtId="0" fontId="30" fillId="12" borderId="86" xfId="0" applyFont="1" applyFill="1" applyBorder="1" applyAlignment="1">
      <alignment horizontal="left" vertical="center" wrapText="1"/>
    </xf>
    <xf numFmtId="0" fontId="32" fillId="12" borderId="58" xfId="0" applyFont="1" applyFill="1" applyBorder="1" applyAlignment="1">
      <alignment horizontal="left" vertical="center" wrapText="1"/>
    </xf>
    <xf numFmtId="1" fontId="30" fillId="14" borderId="54" xfId="0" applyNumberFormat="1" applyFont="1" applyFill="1" applyBorder="1" applyAlignment="1">
      <alignment horizontal="center" vertical="center"/>
    </xf>
    <xf numFmtId="1" fontId="30" fillId="14" borderId="69" xfId="0" applyNumberFormat="1" applyFont="1" applyFill="1" applyBorder="1" applyAlignment="1">
      <alignment horizontal="center" vertical="center"/>
    </xf>
    <xf numFmtId="44" fontId="30" fillId="14" borderId="69" xfId="8" applyFont="1" applyFill="1" applyBorder="1" applyAlignment="1">
      <alignment vertical="center"/>
    </xf>
    <xf numFmtId="44" fontId="30" fillId="16" borderId="69" xfId="8" applyFont="1" applyFill="1" applyBorder="1" applyAlignment="1">
      <alignment vertical="center"/>
    </xf>
    <xf numFmtId="44" fontId="30" fillId="15" borderId="69" xfId="8" applyFont="1" applyFill="1" applyBorder="1" applyAlignment="1">
      <alignment vertical="center"/>
    </xf>
    <xf numFmtId="44" fontId="30" fillId="14" borderId="5" xfId="8" applyFont="1" applyFill="1" applyBorder="1" applyAlignment="1">
      <alignment vertical="center"/>
    </xf>
    <xf numFmtId="44" fontId="30" fillId="16" borderId="5" xfId="8" applyFont="1" applyFill="1" applyBorder="1" applyAlignment="1">
      <alignment vertical="center"/>
    </xf>
    <xf numFmtId="44" fontId="30" fillId="15" borderId="5" xfId="8" applyFont="1" applyFill="1" applyBorder="1" applyAlignment="1">
      <alignment vertical="center"/>
    </xf>
    <xf numFmtId="44" fontId="30" fillId="15" borderId="84" xfId="8" applyFont="1" applyFill="1" applyBorder="1" applyAlignment="1">
      <alignment vertical="center"/>
    </xf>
    <xf numFmtId="10" fontId="36" fillId="16" borderId="84" xfId="8" applyNumberFormat="1" applyFont="1" applyFill="1" applyBorder="1" applyAlignment="1">
      <alignment horizontal="center" vertical="center"/>
    </xf>
    <xf numFmtId="0" fontId="30" fillId="13" borderId="74" xfId="0" applyFont="1" applyFill="1" applyBorder="1" applyAlignment="1">
      <alignment horizontal="center" vertical="center"/>
    </xf>
    <xf numFmtId="0" fontId="32" fillId="0" borderId="52" xfId="0" applyFont="1" applyBorder="1" applyAlignment="1">
      <alignment horizontal="left" vertical="center" wrapText="1"/>
    </xf>
    <xf numFmtId="44" fontId="32" fillId="0" borderId="52" xfId="8" applyFont="1" applyBorder="1" applyAlignment="1">
      <alignment vertical="center"/>
    </xf>
    <xf numFmtId="170" fontId="36" fillId="11" borderId="11" xfId="0" applyNumberFormat="1" applyFont="1" applyFill="1" applyBorder="1" applyAlignment="1">
      <alignment horizontal="right"/>
    </xf>
    <xf numFmtId="170" fontId="36" fillId="11" borderId="106" xfId="0" applyNumberFormat="1" applyFont="1" applyFill="1" applyBorder="1" applyAlignment="1">
      <alignment horizontal="right"/>
    </xf>
    <xf numFmtId="44" fontId="36" fillId="11" borderId="11" xfId="0" applyNumberFormat="1" applyFont="1" applyFill="1" applyBorder="1" applyAlignment="1">
      <alignment horizontal="right"/>
    </xf>
    <xf numFmtId="44" fontId="30" fillId="16" borderId="11" xfId="0" applyNumberFormat="1" applyFont="1" applyFill="1" applyBorder="1"/>
    <xf numFmtId="0" fontId="24" fillId="15" borderId="11" xfId="0" applyFont="1" applyFill="1" applyBorder="1"/>
    <xf numFmtId="44" fontId="30" fillId="15" borderId="11" xfId="0" applyNumberFormat="1" applyFont="1" applyFill="1" applyBorder="1"/>
    <xf numFmtId="49" fontId="32" fillId="0" borderId="50" xfId="0" applyNumberFormat="1" applyFont="1" applyBorder="1" applyAlignment="1">
      <alignment horizontal="left" vertical="center" wrapText="1"/>
    </xf>
    <xf numFmtId="0" fontId="36" fillId="17" borderId="100" xfId="0" applyFont="1" applyFill="1" applyBorder="1"/>
    <xf numFmtId="0" fontId="36" fillId="17" borderId="30" xfId="0" applyFont="1" applyFill="1" applyBorder="1"/>
    <xf numFmtId="0" fontId="36" fillId="17" borderId="30" xfId="0" applyFont="1" applyFill="1" applyBorder="1" applyAlignment="1">
      <alignment horizontal="center" vertical="center"/>
    </xf>
    <xf numFmtId="44" fontId="36" fillId="17" borderId="30" xfId="0" applyNumberFormat="1" applyFont="1" applyFill="1" applyBorder="1"/>
    <xf numFmtId="44" fontId="36" fillId="17" borderId="104" xfId="0" applyNumberFormat="1" applyFont="1" applyFill="1" applyBorder="1"/>
    <xf numFmtId="0" fontId="36" fillId="17" borderId="100" xfId="0" applyFont="1" applyFill="1" applyBorder="1" applyAlignment="1">
      <alignment horizontal="center" vertical="center"/>
    </xf>
    <xf numFmtId="44" fontId="36" fillId="17" borderId="106" xfId="8" applyFont="1" applyFill="1" applyBorder="1"/>
    <xf numFmtId="0" fontId="37" fillId="0" borderId="0" xfId="0" applyFont="1"/>
    <xf numFmtId="49" fontId="38" fillId="0" borderId="0" xfId="2" applyNumberFormat="1" applyFont="1" applyAlignment="1">
      <alignment horizontal="left" vertical="center" wrapText="1"/>
    </xf>
    <xf numFmtId="0" fontId="38" fillId="0" borderId="0" xfId="2" applyFont="1" applyAlignment="1">
      <alignment horizontal="left" vertical="center" wrapText="1"/>
    </xf>
    <xf numFmtId="0" fontId="37" fillId="0" borderId="0" xfId="0" applyFont="1" applyAlignment="1">
      <alignment horizontal="center" vertical="center"/>
    </xf>
    <xf numFmtId="0" fontId="37" fillId="12" borderId="0" xfId="0" applyFont="1" applyFill="1"/>
    <xf numFmtId="0" fontId="37" fillId="21" borderId="0" xfId="0" applyFont="1" applyFill="1"/>
    <xf numFmtId="0" fontId="37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164" fontId="38" fillId="0" borderId="0" xfId="2" applyNumberFormat="1" applyFont="1" applyAlignment="1">
      <alignment horizontal="left" vertical="center"/>
    </xf>
    <xf numFmtId="164" fontId="40" fillId="0" borderId="13" xfId="2" applyNumberFormat="1" applyFont="1" applyBorder="1" applyAlignment="1" applyProtection="1">
      <alignment horizontal="left" vertical="center"/>
      <protection locked="0"/>
    </xf>
    <xf numFmtId="164" fontId="40" fillId="0" borderId="15" xfId="2" applyNumberFormat="1" applyFont="1" applyBorder="1" applyAlignment="1" applyProtection="1">
      <alignment horizontal="left" vertical="center"/>
      <protection locked="0"/>
    </xf>
    <xf numFmtId="164" fontId="40" fillId="0" borderId="24" xfId="2" applyNumberFormat="1" applyFont="1" applyBorder="1" applyAlignment="1" applyProtection="1">
      <alignment horizontal="left" vertical="center"/>
      <protection locked="0"/>
    </xf>
    <xf numFmtId="164" fontId="40" fillId="0" borderId="25" xfId="2" applyNumberFormat="1" applyFont="1" applyBorder="1" applyAlignment="1" applyProtection="1">
      <alignment horizontal="left" vertical="center"/>
      <protection locked="0"/>
    </xf>
    <xf numFmtId="0" fontId="40" fillId="0" borderId="18" xfId="2" applyFont="1" applyBorder="1" applyAlignment="1" applyProtection="1">
      <alignment horizontal="left" vertical="center"/>
      <protection locked="0"/>
    </xf>
    <xf numFmtId="14" fontId="40" fillId="0" borderId="25" xfId="2" applyNumberFormat="1" applyFont="1" applyBorder="1" applyAlignment="1" applyProtection="1">
      <alignment horizontal="left" vertical="center"/>
      <protection locked="0"/>
    </xf>
    <xf numFmtId="164" fontId="40" fillId="0" borderId="31" xfId="2" applyNumberFormat="1" applyFont="1" applyBorder="1" applyAlignment="1" applyProtection="1">
      <alignment horizontal="left" vertical="center"/>
      <protection locked="0"/>
    </xf>
    <xf numFmtId="0" fontId="40" fillId="0" borderId="22" xfId="2" applyFont="1" applyBorder="1" applyAlignment="1" applyProtection="1">
      <alignment horizontal="left" vertical="center"/>
      <protection locked="0"/>
    </xf>
    <xf numFmtId="49" fontId="37" fillId="0" borderId="0" xfId="0" applyNumberFormat="1" applyFont="1"/>
    <xf numFmtId="0" fontId="37" fillId="0" borderId="0" xfId="1" applyNumberFormat="1" applyFont="1"/>
    <xf numFmtId="165" fontId="41" fillId="6" borderId="60" xfId="4" applyFont="1" applyFill="1" applyBorder="1" applyAlignment="1">
      <alignment horizontal="center" vertical="center" wrapText="1"/>
    </xf>
    <xf numFmtId="168" fontId="42" fillId="0" borderId="75" xfId="1" applyNumberFormat="1" applyFont="1" applyBorder="1"/>
    <xf numFmtId="166" fontId="41" fillId="0" borderId="32" xfId="4" applyNumberFormat="1" applyFont="1" applyBorder="1" applyAlignment="1">
      <alignment horizontal="center" vertical="center" wrapText="1"/>
    </xf>
    <xf numFmtId="0" fontId="43" fillId="5" borderId="0" xfId="0" applyFont="1" applyFill="1"/>
    <xf numFmtId="49" fontId="43" fillId="5" borderId="0" xfId="0" applyNumberFormat="1" applyFont="1" applyFill="1"/>
    <xf numFmtId="0" fontId="44" fillId="0" borderId="0" xfId="0" applyFont="1"/>
    <xf numFmtId="0" fontId="37" fillId="0" borderId="53" xfId="0" applyFont="1" applyBorder="1"/>
    <xf numFmtId="0" fontId="37" fillId="0" borderId="56" xfId="0" applyFont="1" applyBorder="1"/>
    <xf numFmtId="0" fontId="45" fillId="0" borderId="41" xfId="0" applyFont="1" applyBorder="1" applyAlignment="1">
      <alignment horizontal="left" vertical="center"/>
    </xf>
    <xf numFmtId="49" fontId="45" fillId="0" borderId="42" xfId="0" applyNumberFormat="1" applyFont="1" applyBorder="1" applyAlignment="1">
      <alignment horizontal="left" vertical="center"/>
    </xf>
    <xf numFmtId="0" fontId="45" fillId="0" borderId="43" xfId="0" applyFont="1" applyBorder="1" applyAlignment="1">
      <alignment horizontal="left" vertical="center"/>
    </xf>
    <xf numFmtId="0" fontId="45" fillId="0" borderId="41" xfId="0" applyFont="1" applyBorder="1" applyAlignment="1">
      <alignment horizontal="left" vertical="center" wrapText="1"/>
    </xf>
    <xf numFmtId="0" fontId="38" fillId="6" borderId="45" xfId="3" applyFont="1" applyFill="1" applyBorder="1" applyAlignment="1">
      <alignment horizontal="left" vertical="center"/>
    </xf>
    <xf numFmtId="0" fontId="38" fillId="6" borderId="46" xfId="3" applyFont="1" applyFill="1" applyBorder="1" applyAlignment="1">
      <alignment horizontal="center" vertical="center"/>
    </xf>
    <xf numFmtId="0" fontId="43" fillId="6" borderId="46" xfId="3" applyFont="1" applyFill="1" applyBorder="1" applyAlignment="1">
      <alignment horizontal="center" vertical="center"/>
    </xf>
    <xf numFmtId="169" fontId="43" fillId="6" borderId="46" xfId="3" applyNumberFormat="1" applyFont="1" applyFill="1" applyBorder="1" applyAlignment="1">
      <alignment horizontal="center" vertical="center" wrapText="1"/>
    </xf>
    <xf numFmtId="0" fontId="43" fillId="6" borderId="46" xfId="3" applyFont="1" applyFill="1" applyBorder="1" applyAlignment="1">
      <alignment horizontal="center" vertical="center" wrapText="1"/>
    </xf>
    <xf numFmtId="9" fontId="43" fillId="6" borderId="46" xfId="1" applyFont="1" applyFill="1" applyBorder="1" applyAlignment="1">
      <alignment horizontal="center" vertical="center" wrapText="1"/>
    </xf>
    <xf numFmtId="10" fontId="43" fillId="6" borderId="46" xfId="1" applyNumberFormat="1" applyFont="1" applyFill="1" applyBorder="1" applyAlignment="1">
      <alignment horizontal="center" vertical="center" wrapText="1"/>
    </xf>
    <xf numFmtId="0" fontId="43" fillId="6" borderId="48" xfId="3" applyFont="1" applyFill="1" applyBorder="1" applyAlignment="1">
      <alignment horizontal="center" vertical="center" wrapText="1"/>
    </xf>
    <xf numFmtId="0" fontId="43" fillId="12" borderId="0" xfId="3" applyFont="1" applyFill="1" applyAlignment="1">
      <alignment horizontal="center" vertical="center" wrapText="1"/>
    </xf>
    <xf numFmtId="37" fontId="46" fillId="6" borderId="66" xfId="3" applyNumberFormat="1" applyFont="1" applyFill="1" applyBorder="1" applyAlignment="1">
      <alignment horizontal="center" vertical="center"/>
    </xf>
    <xf numFmtId="37" fontId="46" fillId="6" borderId="63" xfId="3" applyNumberFormat="1" applyFont="1" applyFill="1" applyBorder="1" applyAlignment="1">
      <alignment horizontal="center" vertical="center"/>
    </xf>
    <xf numFmtId="40" fontId="41" fillId="6" borderId="63" xfId="4" applyNumberFormat="1" applyFont="1" applyFill="1" applyBorder="1" applyAlignment="1">
      <alignment horizontal="center" vertical="center"/>
    </xf>
    <xf numFmtId="165" fontId="41" fillId="6" borderId="65" xfId="4" applyFont="1" applyFill="1" applyBorder="1" applyAlignment="1">
      <alignment horizontal="right" vertical="center"/>
    </xf>
    <xf numFmtId="40" fontId="41" fillId="6" borderId="64" xfId="4" applyNumberFormat="1" applyFont="1" applyFill="1" applyBorder="1" applyAlignment="1">
      <alignment horizontal="center" vertical="center" wrapText="1"/>
    </xf>
    <xf numFmtId="10" fontId="41" fillId="6" borderId="63" xfId="5" applyNumberFormat="1" applyFont="1" applyFill="1" applyBorder="1" applyAlignment="1">
      <alignment horizontal="center" vertical="center" wrapText="1"/>
    </xf>
    <xf numFmtId="165" fontId="41" fillId="6" borderId="62" xfId="4" applyFont="1" applyFill="1" applyBorder="1" applyAlignment="1">
      <alignment horizontal="center" vertical="center" wrapText="1"/>
    </xf>
    <xf numFmtId="165" fontId="41" fillId="6" borderId="61" xfId="4" applyFont="1" applyFill="1" applyBorder="1" applyAlignment="1">
      <alignment horizontal="center" vertical="center" wrapText="1"/>
    </xf>
    <xf numFmtId="10" fontId="41" fillId="6" borderId="8" xfId="5" applyNumberFormat="1" applyFont="1" applyFill="1" applyBorder="1" applyAlignment="1">
      <alignment horizontal="center" vertical="center" wrapText="1"/>
    </xf>
    <xf numFmtId="10" fontId="41" fillId="6" borderId="56" xfId="5" applyNumberFormat="1" applyFont="1" applyFill="1" applyBorder="1" applyAlignment="1">
      <alignment horizontal="center" vertical="center" wrapText="1"/>
    </xf>
    <xf numFmtId="166" fontId="47" fillId="6" borderId="68" xfId="4" applyNumberFormat="1" applyFont="1" applyFill="1" applyBorder="1" applyAlignment="1">
      <alignment horizontal="center" vertical="center" wrapText="1"/>
    </xf>
    <xf numFmtId="49" fontId="45" fillId="0" borderId="42" xfId="0" applyNumberFormat="1" applyFont="1" applyBorder="1" applyAlignment="1">
      <alignment horizontal="left" vertical="center" wrapText="1"/>
    </xf>
    <xf numFmtId="0" fontId="45" fillId="0" borderId="43" xfId="0" applyFont="1" applyBorder="1" applyAlignment="1">
      <alignment horizontal="left" vertical="center" wrapText="1"/>
    </xf>
    <xf numFmtId="0" fontId="18" fillId="12" borderId="0" xfId="0" applyFont="1" applyFill="1" applyAlignment="1">
      <alignment horizontal="center"/>
    </xf>
    <xf numFmtId="0" fontId="37" fillId="0" borderId="8" xfId="0" applyFont="1" applyBorder="1"/>
    <xf numFmtId="0" fontId="43" fillId="13" borderId="47" xfId="0" applyFont="1" applyFill="1" applyBorder="1" applyAlignment="1">
      <alignment horizontal="center" vertical="center"/>
    </xf>
    <xf numFmtId="0" fontId="43" fillId="13" borderId="46" xfId="0" applyFont="1" applyFill="1" applyBorder="1" applyAlignment="1">
      <alignment horizontal="center" vertical="center"/>
    </xf>
    <xf numFmtId="0" fontId="43" fillId="13" borderId="105" xfId="0" applyFont="1" applyFill="1" applyBorder="1" applyAlignment="1">
      <alignment horizontal="center" vertical="center"/>
    </xf>
    <xf numFmtId="0" fontId="43" fillId="12" borderId="0" xfId="0" applyFont="1" applyFill="1" applyAlignment="1">
      <alignment horizontal="center" vertical="center"/>
    </xf>
    <xf numFmtId="0" fontId="42" fillId="13" borderId="8" xfId="0" applyFont="1" applyFill="1" applyBorder="1" applyAlignment="1">
      <alignment horizontal="center" vertical="center"/>
    </xf>
    <xf numFmtId="0" fontId="42" fillId="13" borderId="56" xfId="0" applyFont="1" applyFill="1" applyBorder="1" applyAlignment="1">
      <alignment horizontal="center" vertical="center"/>
    </xf>
    <xf numFmtId="0" fontId="43" fillId="12" borderId="60" xfId="0" applyFont="1" applyFill="1" applyBorder="1" applyAlignment="1">
      <alignment horizontal="left" vertical="center" wrapText="1"/>
    </xf>
    <xf numFmtId="0" fontId="45" fillId="12" borderId="74" xfId="0" applyFont="1" applyFill="1" applyBorder="1" applyAlignment="1">
      <alignment horizontal="left" vertical="center" wrapText="1"/>
    </xf>
    <xf numFmtId="0" fontId="45" fillId="12" borderId="74" xfId="0" applyFont="1" applyFill="1" applyBorder="1" applyAlignment="1">
      <alignment horizontal="center" vertical="center"/>
    </xf>
    <xf numFmtId="44" fontId="45" fillId="12" borderId="74" xfId="8" applyFont="1" applyFill="1" applyBorder="1" applyAlignment="1">
      <alignment vertical="center"/>
    </xf>
    <xf numFmtId="44" fontId="45" fillId="12" borderId="75" xfId="8" applyFont="1" applyFill="1" applyBorder="1" applyAlignment="1">
      <alignment vertical="center"/>
    </xf>
    <xf numFmtId="44" fontId="49" fillId="12" borderId="0" xfId="8" applyFont="1" applyFill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1" fontId="45" fillId="14" borderId="53" xfId="0" applyNumberFormat="1" applyFont="1" applyFill="1" applyBorder="1" applyAlignment="1">
      <alignment horizontal="center" vertical="center"/>
    </xf>
    <xf numFmtId="1" fontId="45" fillId="14" borderId="57" xfId="0" applyNumberFormat="1" applyFont="1" applyFill="1" applyBorder="1" applyAlignment="1">
      <alignment horizontal="center" vertical="center"/>
    </xf>
    <xf numFmtId="44" fontId="45" fillId="14" borderId="57" xfId="8" applyFont="1" applyFill="1" applyBorder="1" applyAlignment="1">
      <alignment vertical="center"/>
    </xf>
    <xf numFmtId="44" fontId="45" fillId="16" borderId="57" xfId="8" applyFont="1" applyFill="1" applyBorder="1" applyAlignment="1">
      <alignment vertical="center"/>
    </xf>
    <xf numFmtId="9" fontId="45" fillId="15" borderId="57" xfId="1" applyFont="1" applyFill="1" applyBorder="1" applyAlignment="1">
      <alignment vertical="center"/>
    </xf>
    <xf numFmtId="44" fontId="45" fillId="15" borderId="57" xfId="8" applyFont="1" applyFill="1" applyBorder="1" applyAlignment="1">
      <alignment vertical="center"/>
    </xf>
    <xf numFmtId="44" fontId="45" fillId="15" borderId="71" xfId="8" applyFont="1" applyFill="1" applyBorder="1" applyAlignment="1">
      <alignment vertical="center"/>
    </xf>
    <xf numFmtId="10" fontId="45" fillId="16" borderId="8" xfId="0" applyNumberFormat="1" applyFont="1" applyFill="1" applyBorder="1" applyAlignment="1">
      <alignment horizontal="center" vertical="center"/>
    </xf>
    <xf numFmtId="10" fontId="45" fillId="16" borderId="56" xfId="0" applyNumberFormat="1" applyFont="1" applyFill="1" applyBorder="1" applyAlignment="1">
      <alignment horizontal="center" vertical="center"/>
    </xf>
    <xf numFmtId="44" fontId="47" fillId="0" borderId="84" xfId="8" applyFont="1" applyBorder="1"/>
    <xf numFmtId="44" fontId="48" fillId="0" borderId="84" xfId="8" applyFont="1" applyBorder="1"/>
    <xf numFmtId="0" fontId="45" fillId="0" borderId="49" xfId="0" applyFont="1" applyBorder="1" applyAlignment="1">
      <alignment horizontal="left" vertical="center" wrapText="1"/>
    </xf>
    <xf numFmtId="0" fontId="45" fillId="0" borderId="51" xfId="0" applyFont="1" applyBorder="1" applyAlignment="1">
      <alignment horizontal="left" vertical="center" wrapText="1"/>
    </xf>
    <xf numFmtId="0" fontId="43" fillId="12" borderId="53" xfId="0" applyFont="1" applyFill="1" applyBorder="1" applyAlignment="1">
      <alignment horizontal="left" vertical="center" wrapText="1"/>
    </xf>
    <xf numFmtId="0" fontId="45" fillId="12" borderId="84" xfId="0" applyFont="1" applyFill="1" applyBorder="1" applyAlignment="1">
      <alignment horizontal="left" vertical="center" wrapText="1"/>
    </xf>
    <xf numFmtId="0" fontId="45" fillId="12" borderId="84" xfId="0" applyFont="1" applyFill="1" applyBorder="1" applyAlignment="1">
      <alignment horizontal="center" vertical="center"/>
    </xf>
    <xf numFmtId="44" fontId="45" fillId="12" borderId="84" xfId="8" applyFont="1" applyFill="1" applyBorder="1" applyAlignment="1">
      <alignment vertical="center"/>
    </xf>
    <xf numFmtId="44" fontId="45" fillId="12" borderId="56" xfId="8" applyFont="1" applyFill="1" applyBorder="1" applyAlignment="1">
      <alignment vertical="center"/>
    </xf>
    <xf numFmtId="1" fontId="45" fillId="14" borderId="84" xfId="0" applyNumberFormat="1" applyFont="1" applyFill="1" applyBorder="1" applyAlignment="1">
      <alignment horizontal="center" vertical="center"/>
    </xf>
    <xf numFmtId="44" fontId="45" fillId="14" borderId="84" xfId="8" applyFont="1" applyFill="1" applyBorder="1" applyAlignment="1">
      <alignment vertical="center"/>
    </xf>
    <xf numFmtId="44" fontId="45" fillId="16" borderId="84" xfId="8" applyFont="1" applyFill="1" applyBorder="1" applyAlignment="1">
      <alignment vertical="center"/>
    </xf>
    <xf numFmtId="9" fontId="45" fillId="15" borderId="84" xfId="1" applyFont="1" applyFill="1" applyBorder="1" applyAlignment="1">
      <alignment vertical="center"/>
    </xf>
    <xf numFmtId="44" fontId="45" fillId="15" borderId="84" xfId="8" applyFont="1" applyFill="1" applyBorder="1" applyAlignment="1">
      <alignment vertical="center"/>
    </xf>
    <xf numFmtId="44" fontId="45" fillId="15" borderId="56" xfId="8" applyFont="1" applyFill="1" applyBorder="1" applyAlignment="1">
      <alignment vertical="center"/>
    </xf>
    <xf numFmtId="44" fontId="45" fillId="14" borderId="7" xfId="0" applyNumberFormat="1" applyFont="1" applyFill="1" applyBorder="1"/>
    <xf numFmtId="14" fontId="45" fillId="14" borderId="8" xfId="0" applyNumberFormat="1" applyFont="1" applyFill="1" applyBorder="1"/>
    <xf numFmtId="0" fontId="45" fillId="14" borderId="5" xfId="0" applyFont="1" applyFill="1" applyBorder="1" applyAlignment="1">
      <alignment wrapText="1"/>
    </xf>
    <xf numFmtId="0" fontId="45" fillId="14" borderId="8" xfId="0" applyFont="1" applyFill="1" applyBorder="1" applyAlignment="1">
      <alignment wrapText="1"/>
    </xf>
    <xf numFmtId="0" fontId="45" fillId="0" borderId="67" xfId="0" applyFont="1" applyBorder="1" applyAlignment="1">
      <alignment horizontal="left" vertical="center" wrapText="1"/>
    </xf>
    <xf numFmtId="0" fontId="45" fillId="0" borderId="0" xfId="0" applyFont="1" applyAlignment="1">
      <alignment horizontal="left" vertical="center" wrapText="1"/>
    </xf>
    <xf numFmtId="170" fontId="18" fillId="11" borderId="11" xfId="8" applyNumberFormat="1" applyFont="1" applyFill="1" applyBorder="1" applyAlignment="1">
      <alignment horizontal="right"/>
    </xf>
    <xf numFmtId="170" fontId="18" fillId="11" borderId="106" xfId="8" applyNumberFormat="1" applyFont="1" applyFill="1" applyBorder="1" applyAlignment="1">
      <alignment horizontal="right"/>
    </xf>
    <xf numFmtId="44" fontId="45" fillId="12" borderId="0" xfId="8" applyFont="1" applyFill="1" applyBorder="1" applyAlignment="1">
      <alignment vertical="center"/>
    </xf>
    <xf numFmtId="44" fontId="18" fillId="11" borderId="81" xfId="8" applyFont="1" applyFill="1" applyBorder="1" applyAlignment="1">
      <alignment horizontal="right"/>
    </xf>
    <xf numFmtId="44" fontId="43" fillId="16" borderId="76" xfId="8" applyFont="1" applyFill="1" applyBorder="1" applyAlignment="1">
      <alignment vertical="center"/>
    </xf>
    <xf numFmtId="9" fontId="45" fillId="15" borderId="76" xfId="1" applyFont="1" applyFill="1" applyBorder="1" applyAlignment="1">
      <alignment vertical="center"/>
    </xf>
    <xf numFmtId="44" fontId="45" fillId="15" borderId="76" xfId="8" applyFont="1" applyFill="1" applyBorder="1" applyAlignment="1">
      <alignment vertical="center"/>
    </xf>
    <xf numFmtId="44" fontId="43" fillId="15" borderId="76" xfId="8" applyFont="1" applyFill="1" applyBorder="1" applyAlignment="1">
      <alignment vertical="center"/>
    </xf>
    <xf numFmtId="44" fontId="43" fillId="15" borderId="77" xfId="8" applyFont="1" applyFill="1" applyBorder="1" applyAlignment="1">
      <alignment vertical="center"/>
    </xf>
    <xf numFmtId="10" fontId="45" fillId="16" borderId="0" xfId="0" applyNumberFormat="1" applyFont="1" applyFill="1" applyAlignment="1">
      <alignment horizontal="center" vertical="center"/>
    </xf>
    <xf numFmtId="0" fontId="37" fillId="0" borderId="111" xfId="0" applyFont="1" applyBorder="1"/>
    <xf numFmtId="0" fontId="45" fillId="0" borderId="84" xfId="0" applyFont="1" applyBorder="1" applyAlignment="1">
      <alignment horizontal="center" vertical="center"/>
    </xf>
    <xf numFmtId="44" fontId="45" fillId="0" borderId="84" xfId="8" applyFont="1" applyBorder="1" applyAlignment="1">
      <alignment vertical="center"/>
    </xf>
    <xf numFmtId="0" fontId="37" fillId="0" borderId="112" xfId="0" applyFont="1" applyBorder="1" applyAlignment="1">
      <alignment horizontal="center" vertical="center"/>
    </xf>
    <xf numFmtId="1" fontId="45" fillId="14" borderId="8" xfId="0" applyNumberFormat="1" applyFont="1" applyFill="1" applyBorder="1" applyAlignment="1">
      <alignment horizontal="center" vertical="center"/>
    </xf>
    <xf numFmtId="44" fontId="50" fillId="14" borderId="84" xfId="8" applyFont="1" applyFill="1" applyBorder="1" applyAlignment="1">
      <alignment vertical="center"/>
    </xf>
    <xf numFmtId="1" fontId="45" fillId="14" borderId="6" xfId="0" applyNumberFormat="1" applyFont="1" applyFill="1" applyBorder="1" applyAlignment="1">
      <alignment horizontal="center" vertical="center"/>
    </xf>
    <xf numFmtId="1" fontId="45" fillId="14" borderId="69" xfId="0" applyNumberFormat="1" applyFont="1" applyFill="1" applyBorder="1" applyAlignment="1">
      <alignment horizontal="center" vertical="center"/>
    </xf>
    <xf numFmtId="44" fontId="50" fillId="14" borderId="69" xfId="8" applyFont="1" applyFill="1" applyBorder="1" applyAlignment="1">
      <alignment vertical="center"/>
    </xf>
    <xf numFmtId="44" fontId="45" fillId="14" borderId="69" xfId="8" applyFont="1" applyFill="1" applyBorder="1" applyAlignment="1">
      <alignment vertical="center"/>
    </xf>
    <xf numFmtId="44" fontId="45" fillId="16" borderId="69" xfId="8" applyFont="1" applyFill="1" applyBorder="1" applyAlignment="1">
      <alignment vertical="center"/>
    </xf>
    <xf numFmtId="9" fontId="45" fillId="15" borderId="69" xfId="1" applyFont="1" applyFill="1" applyBorder="1" applyAlignment="1">
      <alignment vertical="center"/>
    </xf>
    <xf numFmtId="44" fontId="45" fillId="15" borderId="69" xfId="8" applyFont="1" applyFill="1" applyBorder="1" applyAlignment="1">
      <alignment vertical="center"/>
    </xf>
    <xf numFmtId="44" fontId="45" fillId="15" borderId="70" xfId="8" applyFont="1" applyFill="1" applyBorder="1" applyAlignment="1">
      <alignment vertical="center"/>
    </xf>
    <xf numFmtId="0" fontId="43" fillId="12" borderId="68" xfId="0" applyFont="1" applyFill="1" applyBorder="1" applyAlignment="1">
      <alignment horizontal="left" vertical="center" wrapText="1"/>
    </xf>
    <xf numFmtId="0" fontId="45" fillId="0" borderId="52" xfId="0" applyFont="1" applyBorder="1" applyAlignment="1">
      <alignment horizontal="left" vertical="center" wrapText="1"/>
    </xf>
    <xf numFmtId="0" fontId="45" fillId="0" borderId="52" xfId="0" applyFont="1" applyBorder="1" applyAlignment="1">
      <alignment horizontal="center" vertical="center"/>
    </xf>
    <xf numFmtId="44" fontId="45" fillId="0" borderId="52" xfId="8" applyFont="1" applyBorder="1" applyAlignment="1">
      <alignment vertical="center"/>
    </xf>
    <xf numFmtId="44" fontId="45" fillId="12" borderId="52" xfId="8" applyFont="1" applyFill="1" applyBorder="1" applyAlignment="1">
      <alignment vertical="center"/>
    </xf>
    <xf numFmtId="44" fontId="45" fillId="12" borderId="70" xfId="8" applyFont="1" applyFill="1" applyBorder="1" applyAlignment="1">
      <alignment vertical="center"/>
    </xf>
    <xf numFmtId="0" fontId="37" fillId="0" borderId="112" xfId="0" applyFont="1" applyBorder="1"/>
    <xf numFmtId="1" fontId="45" fillId="14" borderId="26" xfId="0" applyNumberFormat="1" applyFont="1" applyFill="1" applyBorder="1" applyAlignment="1">
      <alignment horizontal="center" vertical="center"/>
    </xf>
    <xf numFmtId="1" fontId="45" fillId="14" borderId="52" xfId="0" applyNumberFormat="1" applyFont="1" applyFill="1" applyBorder="1" applyAlignment="1">
      <alignment horizontal="center" vertical="center"/>
    </xf>
    <xf numFmtId="44" fontId="45" fillId="14" borderId="52" xfId="8" applyFont="1" applyFill="1" applyBorder="1" applyAlignment="1">
      <alignment vertical="center"/>
    </xf>
    <xf numFmtId="44" fontId="45" fillId="12" borderId="0" xfId="8" applyFont="1" applyFill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5" fillId="0" borderId="73" xfId="0" applyFont="1" applyBorder="1" applyAlignment="1">
      <alignment horizontal="left" vertical="center" wrapText="1"/>
    </xf>
    <xf numFmtId="0" fontId="45" fillId="0" borderId="82" xfId="0" applyFont="1" applyBorder="1" applyAlignment="1">
      <alignment horizontal="left" vertical="center" wrapText="1"/>
    </xf>
    <xf numFmtId="44" fontId="18" fillId="11" borderId="90" xfId="8" applyFont="1" applyFill="1" applyBorder="1" applyAlignment="1">
      <alignment horizontal="right"/>
    </xf>
    <xf numFmtId="44" fontId="43" fillId="16" borderId="93" xfId="8" applyFont="1" applyFill="1" applyBorder="1" applyAlignment="1">
      <alignment vertical="center"/>
    </xf>
    <xf numFmtId="9" fontId="45" fillId="15" borderId="93" xfId="1" applyFont="1" applyFill="1" applyBorder="1" applyAlignment="1">
      <alignment vertical="center"/>
    </xf>
    <xf numFmtId="44" fontId="45" fillId="15" borderId="93" xfId="8" applyFont="1" applyFill="1" applyBorder="1" applyAlignment="1">
      <alignment vertical="center"/>
    </xf>
    <xf numFmtId="44" fontId="43" fillId="15" borderId="93" xfId="8" applyFont="1" applyFill="1" applyBorder="1" applyAlignment="1">
      <alignment vertical="center"/>
    </xf>
    <xf numFmtId="44" fontId="43" fillId="15" borderId="94" xfId="8" applyFont="1" applyFill="1" applyBorder="1" applyAlignment="1">
      <alignment vertical="center"/>
    </xf>
    <xf numFmtId="44" fontId="43" fillId="15" borderId="8" xfId="8" applyFont="1" applyFill="1" applyBorder="1" applyAlignment="1">
      <alignment horizontal="center" vertical="center"/>
    </xf>
    <xf numFmtId="170" fontId="43" fillId="13" borderId="47" xfId="8" applyNumberFormat="1" applyFont="1" applyFill="1" applyBorder="1" applyAlignment="1">
      <alignment horizontal="center" vertical="center"/>
    </xf>
    <xf numFmtId="170" fontId="43" fillId="13" borderId="46" xfId="8" applyNumberFormat="1" applyFont="1" applyFill="1" applyBorder="1" applyAlignment="1">
      <alignment horizontal="center" vertical="center"/>
    </xf>
    <xf numFmtId="170" fontId="18" fillId="13" borderId="105" xfId="8" applyNumberFormat="1" applyFont="1" applyFill="1" applyBorder="1" applyAlignment="1">
      <alignment horizontal="center" vertical="center"/>
    </xf>
    <xf numFmtId="44" fontId="43" fillId="13" borderId="8" xfId="8" applyFont="1" applyFill="1" applyBorder="1" applyAlignment="1">
      <alignment horizontal="center" vertical="center"/>
    </xf>
    <xf numFmtId="10" fontId="43" fillId="13" borderId="56" xfId="0" applyNumberFormat="1" applyFont="1" applyFill="1" applyBorder="1" applyAlignment="1">
      <alignment horizontal="center" vertical="center"/>
    </xf>
    <xf numFmtId="0" fontId="45" fillId="0" borderId="84" xfId="0" applyFont="1" applyBorder="1" applyAlignment="1">
      <alignment horizontal="left" vertical="center" wrapText="1"/>
    </xf>
    <xf numFmtId="44" fontId="18" fillId="11" borderId="76" xfId="8" applyFont="1" applyFill="1" applyBorder="1" applyAlignment="1">
      <alignment horizontal="right"/>
    </xf>
    <xf numFmtId="1" fontId="45" fillId="14" borderId="7" xfId="0" applyNumberFormat="1" applyFont="1" applyFill="1" applyBorder="1" applyAlignment="1">
      <alignment horizontal="center" vertical="center"/>
    </xf>
    <xf numFmtId="1" fontId="45" fillId="14" borderId="5" xfId="0" applyNumberFormat="1" applyFont="1" applyFill="1" applyBorder="1" applyAlignment="1">
      <alignment horizontal="center" vertical="center"/>
    </xf>
    <xf numFmtId="44" fontId="45" fillId="14" borderId="5" xfId="8" applyFont="1" applyFill="1" applyBorder="1" applyAlignment="1">
      <alignment vertical="center"/>
    </xf>
    <xf numFmtId="44" fontId="45" fillId="16" borderId="5" xfId="8" applyFont="1" applyFill="1" applyBorder="1" applyAlignment="1">
      <alignment vertical="center"/>
    </xf>
    <xf numFmtId="9" fontId="45" fillId="15" borderId="5" xfId="1" applyFont="1" applyFill="1" applyBorder="1" applyAlignment="1">
      <alignment vertical="center"/>
    </xf>
    <xf numFmtId="44" fontId="45" fillId="15" borderId="5" xfId="8" applyFont="1" applyFill="1" applyBorder="1" applyAlignment="1">
      <alignment vertical="center"/>
    </xf>
    <xf numFmtId="10" fontId="45" fillId="16" borderId="8" xfId="8" applyNumberFormat="1" applyFont="1" applyFill="1" applyBorder="1" applyAlignment="1">
      <alignment horizontal="center" vertical="center"/>
    </xf>
    <xf numFmtId="0" fontId="43" fillId="12" borderId="85" xfId="0" applyFont="1" applyFill="1" applyBorder="1" applyAlignment="1">
      <alignment horizontal="left" vertical="center" wrapText="1"/>
    </xf>
    <xf numFmtId="0" fontId="45" fillId="12" borderId="57" xfId="0" applyFont="1" applyFill="1" applyBorder="1" applyAlignment="1">
      <alignment horizontal="left" vertical="center" wrapText="1"/>
    </xf>
    <xf numFmtId="0" fontId="45" fillId="12" borderId="57" xfId="0" applyFont="1" applyFill="1" applyBorder="1" applyAlignment="1">
      <alignment horizontal="center" vertical="center"/>
    </xf>
    <xf numFmtId="44" fontId="45" fillId="12" borderId="57" xfId="8" applyFont="1" applyFill="1" applyBorder="1" applyAlignment="1">
      <alignment vertical="center"/>
    </xf>
    <xf numFmtId="44" fontId="45" fillId="12" borderId="71" xfId="8" applyFont="1" applyFill="1" applyBorder="1" applyAlignment="1">
      <alignment vertical="center"/>
    </xf>
    <xf numFmtId="1" fontId="45" fillId="14" borderId="108" xfId="0" applyNumberFormat="1" applyFont="1" applyFill="1" applyBorder="1" applyAlignment="1">
      <alignment horizontal="center" vertical="center"/>
    </xf>
    <xf numFmtId="1" fontId="45" fillId="14" borderId="31" xfId="0" applyNumberFormat="1" applyFont="1" applyFill="1" applyBorder="1" applyAlignment="1">
      <alignment horizontal="center" vertical="center"/>
    </xf>
    <xf numFmtId="44" fontId="45" fillId="14" borderId="31" xfId="8" applyFont="1" applyFill="1" applyBorder="1" applyAlignment="1">
      <alignment vertical="center"/>
    </xf>
    <xf numFmtId="44" fontId="45" fillId="16" borderId="31" xfId="8" applyFont="1" applyFill="1" applyBorder="1" applyAlignment="1">
      <alignment vertical="center"/>
    </xf>
    <xf numFmtId="9" fontId="45" fillId="15" borderId="31" xfId="1" applyFont="1" applyFill="1" applyBorder="1" applyAlignment="1">
      <alignment vertical="center"/>
    </xf>
    <xf numFmtId="44" fontId="45" fillId="15" borderId="31" xfId="8" applyFont="1" applyFill="1" applyBorder="1" applyAlignment="1">
      <alignment vertical="center"/>
    </xf>
    <xf numFmtId="0" fontId="43" fillId="12" borderId="86" xfId="0" applyFont="1" applyFill="1" applyBorder="1" applyAlignment="1">
      <alignment horizontal="left" vertical="center" wrapText="1"/>
    </xf>
    <xf numFmtId="0" fontId="45" fillId="12" borderId="58" xfId="0" applyFont="1" applyFill="1" applyBorder="1" applyAlignment="1">
      <alignment horizontal="center" vertical="center"/>
    </xf>
    <xf numFmtId="44" fontId="45" fillId="12" borderId="58" xfId="8" applyFont="1" applyFill="1" applyBorder="1" applyAlignment="1">
      <alignment vertical="center"/>
    </xf>
    <xf numFmtId="44" fontId="45" fillId="12" borderId="59" xfId="8" applyFont="1" applyFill="1" applyBorder="1" applyAlignment="1">
      <alignment vertical="center"/>
    </xf>
    <xf numFmtId="1" fontId="45" fillId="14" borderId="0" xfId="0" applyNumberFormat="1" applyFont="1" applyFill="1" applyAlignment="1">
      <alignment horizontal="center" vertical="center"/>
    </xf>
    <xf numFmtId="1" fontId="45" fillId="14" borderId="83" xfId="0" applyNumberFormat="1" applyFont="1" applyFill="1" applyBorder="1" applyAlignment="1">
      <alignment horizontal="center" vertical="center"/>
    </xf>
    <xf numFmtId="44" fontId="45" fillId="14" borderId="83" xfId="8" applyFont="1" applyFill="1" applyBorder="1" applyAlignment="1">
      <alignment vertical="center"/>
    </xf>
    <xf numFmtId="44" fontId="45" fillId="16" borderId="83" xfId="8" applyFont="1" applyFill="1" applyBorder="1" applyAlignment="1">
      <alignment vertical="center"/>
    </xf>
    <xf numFmtId="9" fontId="45" fillId="15" borderId="83" xfId="1" applyFont="1" applyFill="1" applyBorder="1" applyAlignment="1">
      <alignment vertical="center"/>
    </xf>
    <xf numFmtId="44" fontId="45" fillId="15" borderId="83" xfId="8" applyFont="1" applyFill="1" applyBorder="1" applyAlignment="1">
      <alignment vertical="center"/>
    </xf>
    <xf numFmtId="44" fontId="45" fillId="15" borderId="59" xfId="8" applyFont="1" applyFill="1" applyBorder="1" applyAlignment="1">
      <alignment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58" xfId="0" applyFont="1" applyFill="1" applyBorder="1" applyAlignment="1">
      <alignment horizontal="left" vertical="center" wrapText="1"/>
    </xf>
    <xf numFmtId="0" fontId="45" fillId="12" borderId="52" xfId="0" applyFont="1" applyFill="1" applyBorder="1" applyAlignment="1">
      <alignment horizontal="left" vertical="center" wrapText="1"/>
    </xf>
    <xf numFmtId="44" fontId="50" fillId="14" borderId="31" xfId="8" applyFont="1" applyFill="1" applyBorder="1" applyAlignment="1">
      <alignment vertical="center"/>
    </xf>
    <xf numFmtId="170" fontId="18" fillId="11" borderId="93" xfId="8" applyNumberFormat="1" applyFont="1" applyFill="1" applyBorder="1" applyAlignment="1">
      <alignment horizontal="right"/>
    </xf>
    <xf numFmtId="170" fontId="18" fillId="11" borderId="94" xfId="8" applyNumberFormat="1" applyFont="1" applyFill="1" applyBorder="1" applyAlignment="1">
      <alignment horizontal="right"/>
    </xf>
    <xf numFmtId="44" fontId="18" fillId="11" borderId="91" xfId="8" applyFont="1" applyFill="1" applyBorder="1" applyAlignment="1">
      <alignment horizontal="right"/>
    </xf>
    <xf numFmtId="44" fontId="43" fillId="16" borderId="91" xfId="8" applyFont="1" applyFill="1" applyBorder="1" applyAlignment="1">
      <alignment vertical="center"/>
    </xf>
    <xf numFmtId="9" fontId="43" fillId="15" borderId="91" xfId="1" applyFont="1" applyFill="1" applyBorder="1" applyAlignment="1">
      <alignment vertical="center"/>
    </xf>
    <xf numFmtId="44" fontId="43" fillId="15" borderId="91" xfId="8" applyFont="1" applyFill="1" applyBorder="1" applyAlignment="1">
      <alignment vertical="center"/>
    </xf>
    <xf numFmtId="10" fontId="43" fillId="16" borderId="8" xfId="8" applyNumberFormat="1" applyFont="1" applyFill="1" applyBorder="1" applyAlignment="1">
      <alignment horizontal="center" vertical="center"/>
    </xf>
    <xf numFmtId="0" fontId="18" fillId="11" borderId="87" xfId="0" applyFont="1" applyFill="1" applyBorder="1" applyAlignment="1">
      <alignment horizontal="left"/>
    </xf>
    <xf numFmtId="44" fontId="43" fillId="13" borderId="88" xfId="8" applyFont="1" applyFill="1" applyBorder="1" applyAlignment="1">
      <alignment horizontal="center" vertical="center"/>
    </xf>
    <xf numFmtId="44" fontId="43" fillId="13" borderId="74" xfId="8" applyFont="1" applyFill="1" applyBorder="1" applyAlignment="1">
      <alignment horizontal="center" vertical="center"/>
    </xf>
    <xf numFmtId="44" fontId="43" fillId="13" borderId="78" xfId="8" applyFont="1" applyFill="1" applyBorder="1" applyAlignment="1">
      <alignment horizontal="center" vertical="center"/>
    </xf>
    <xf numFmtId="10" fontId="43" fillId="13" borderId="8" xfId="8" applyNumberFormat="1" applyFont="1" applyFill="1" applyBorder="1" applyAlignment="1">
      <alignment horizontal="center" vertical="center"/>
    </xf>
    <xf numFmtId="0" fontId="37" fillId="0" borderId="112" xfId="0" applyFont="1" applyBorder="1" applyAlignment="1">
      <alignment horizontal="center" vertical="center" wrapText="1"/>
    </xf>
    <xf numFmtId="10" fontId="43" fillId="16" borderId="56" xfId="0" applyNumberFormat="1" applyFont="1" applyFill="1" applyBorder="1" applyAlignment="1">
      <alignment horizontal="center" vertical="center"/>
    </xf>
    <xf numFmtId="44" fontId="43" fillId="13" borderId="105" xfId="8" applyFont="1" applyFill="1" applyBorder="1" applyAlignment="1">
      <alignment horizontal="center" vertical="center"/>
    </xf>
    <xf numFmtId="44" fontId="45" fillId="16" borderId="52" xfId="8" applyFont="1" applyFill="1" applyBorder="1" applyAlignment="1">
      <alignment vertical="center"/>
    </xf>
    <xf numFmtId="9" fontId="45" fillId="15" borderId="52" xfId="1" applyFont="1" applyFill="1" applyBorder="1" applyAlignment="1">
      <alignment vertical="center"/>
    </xf>
    <xf numFmtId="44" fontId="45" fillId="15" borderId="52" xfId="8" applyFont="1" applyFill="1" applyBorder="1" applyAlignment="1">
      <alignment vertical="center"/>
    </xf>
    <xf numFmtId="44" fontId="50" fillId="14" borderId="52" xfId="8" applyFont="1" applyFill="1" applyBorder="1" applyAlignment="1">
      <alignment vertical="center"/>
    </xf>
    <xf numFmtId="10" fontId="51" fillId="16" borderId="8" xfId="8" applyNumberFormat="1" applyFont="1" applyFill="1" applyBorder="1" applyAlignment="1">
      <alignment horizontal="center" vertical="center"/>
    </xf>
    <xf numFmtId="44" fontId="18" fillId="11" borderId="11" xfId="8" applyFont="1" applyFill="1" applyBorder="1" applyAlignment="1">
      <alignment horizontal="right"/>
    </xf>
    <xf numFmtId="44" fontId="43" fillId="16" borderId="11" xfId="8" applyFont="1" applyFill="1" applyBorder="1" applyAlignment="1">
      <alignment vertical="center"/>
    </xf>
    <xf numFmtId="9" fontId="43" fillId="15" borderId="11" xfId="1" applyFont="1" applyFill="1" applyBorder="1" applyAlignment="1">
      <alignment vertical="center"/>
    </xf>
    <xf numFmtId="44" fontId="43" fillId="15" borderId="11" xfId="8" applyFont="1" applyFill="1" applyBorder="1" applyAlignment="1">
      <alignment vertical="center"/>
    </xf>
    <xf numFmtId="44" fontId="43" fillId="15" borderId="106" xfId="8" applyFont="1" applyFill="1" applyBorder="1" applyAlignment="1">
      <alignment vertical="center"/>
    </xf>
    <xf numFmtId="1" fontId="18" fillId="10" borderId="8" xfId="0" applyNumberFormat="1" applyFont="1" applyFill="1" applyBorder="1"/>
    <xf numFmtId="44" fontId="18" fillId="17" borderId="56" xfId="8" applyFont="1" applyFill="1" applyBorder="1" applyAlignment="1">
      <alignment horizontal="center"/>
    </xf>
    <xf numFmtId="1" fontId="51" fillId="11" borderId="10" xfId="0" applyNumberFormat="1" applyFont="1" applyFill="1" applyBorder="1" applyAlignment="1">
      <alignment horizontal="center" vertical="center"/>
    </xf>
    <xf numFmtId="1" fontId="18" fillId="11" borderId="10" xfId="0" applyNumberFormat="1" applyFont="1" applyFill="1" applyBorder="1"/>
    <xf numFmtId="1" fontId="18" fillId="11" borderId="105" xfId="0" applyNumberFormat="1" applyFont="1" applyFill="1" applyBorder="1"/>
    <xf numFmtId="44" fontId="18" fillId="13" borderId="8" xfId="8" applyFont="1" applyFill="1" applyBorder="1" applyAlignment="1">
      <alignment horizontal="center" vertical="center"/>
    </xf>
    <xf numFmtId="10" fontId="18" fillId="16" borderId="8" xfId="8" applyNumberFormat="1" applyFont="1" applyFill="1" applyBorder="1" applyAlignment="1">
      <alignment horizontal="center" vertical="center"/>
    </xf>
    <xf numFmtId="1" fontId="45" fillId="14" borderId="109" xfId="0" applyNumberFormat="1" applyFont="1" applyFill="1" applyBorder="1" applyAlignment="1">
      <alignment horizontal="center" vertical="center"/>
    </xf>
    <xf numFmtId="44" fontId="18" fillId="11" borderId="80" xfId="8" applyFont="1" applyFill="1" applyBorder="1" applyAlignment="1">
      <alignment horizontal="right"/>
    </xf>
    <xf numFmtId="9" fontId="45" fillId="15" borderId="11" xfId="1" applyFont="1" applyFill="1" applyBorder="1" applyAlignment="1">
      <alignment vertical="center"/>
    </xf>
    <xf numFmtId="44" fontId="45" fillId="15" borderId="11" xfId="8" applyFont="1" applyFill="1" applyBorder="1" applyAlignment="1">
      <alignment vertical="center"/>
    </xf>
    <xf numFmtId="10" fontId="18" fillId="13" borderId="8" xfId="8" applyNumberFormat="1" applyFont="1" applyFill="1" applyBorder="1" applyAlignment="1">
      <alignment horizontal="center" vertical="center"/>
    </xf>
    <xf numFmtId="170" fontId="18" fillId="11" borderId="0" xfId="8" applyNumberFormat="1" applyFont="1" applyFill="1" applyBorder="1" applyAlignment="1">
      <alignment horizontal="right"/>
    </xf>
    <xf numFmtId="170" fontId="18" fillId="11" borderId="92" xfId="8" applyNumberFormat="1" applyFont="1" applyFill="1" applyBorder="1" applyAlignment="1">
      <alignment horizontal="right"/>
    </xf>
    <xf numFmtId="1" fontId="43" fillId="14" borderId="6" xfId="0" applyNumberFormat="1" applyFont="1" applyFill="1" applyBorder="1" applyAlignment="1">
      <alignment horizontal="center" vertical="center"/>
    </xf>
    <xf numFmtId="1" fontId="43" fillId="14" borderId="69" xfId="0" applyNumberFormat="1" applyFont="1" applyFill="1" applyBorder="1" applyAlignment="1">
      <alignment horizontal="center" vertical="center"/>
    </xf>
    <xf numFmtId="44" fontId="43" fillId="14" borderId="69" xfId="8" applyFont="1" applyFill="1" applyBorder="1" applyAlignment="1">
      <alignment vertical="center"/>
    </xf>
    <xf numFmtId="44" fontId="43" fillId="16" borderId="69" xfId="8" applyFont="1" applyFill="1" applyBorder="1" applyAlignment="1">
      <alignment vertical="center"/>
    </xf>
    <xf numFmtId="44" fontId="43" fillId="15" borderId="69" xfId="8" applyFont="1" applyFill="1" applyBorder="1" applyAlignment="1">
      <alignment vertical="center"/>
    </xf>
    <xf numFmtId="44" fontId="43" fillId="15" borderId="70" xfId="8" applyFont="1" applyFill="1" applyBorder="1" applyAlignment="1">
      <alignment vertical="center"/>
    </xf>
    <xf numFmtId="170" fontId="18" fillId="11" borderId="52" xfId="8" applyNumberFormat="1" applyFont="1" applyFill="1" applyBorder="1" applyAlignment="1">
      <alignment horizontal="right"/>
    </xf>
    <xf numFmtId="170" fontId="18" fillId="11" borderId="70" xfId="8" applyNumberFormat="1" applyFont="1" applyFill="1" applyBorder="1" applyAlignment="1">
      <alignment horizontal="right"/>
    </xf>
    <xf numFmtId="44" fontId="18" fillId="11" borderId="96" xfId="8" applyFont="1" applyFill="1" applyBorder="1" applyAlignment="1">
      <alignment horizontal="right"/>
    </xf>
    <xf numFmtId="44" fontId="43" fillId="16" borderId="96" xfId="8" applyFont="1" applyFill="1" applyBorder="1" applyAlignment="1">
      <alignment vertical="center"/>
    </xf>
    <xf numFmtId="9" fontId="45" fillId="15" borderId="96" xfId="1" applyFont="1" applyFill="1" applyBorder="1" applyAlignment="1">
      <alignment vertical="center"/>
    </xf>
    <xf numFmtId="44" fontId="45" fillId="15" borderId="96" xfId="8" applyFont="1" applyFill="1" applyBorder="1" applyAlignment="1">
      <alignment vertical="center"/>
    </xf>
    <xf numFmtId="44" fontId="43" fillId="15" borderId="96" xfId="8" applyFont="1" applyFill="1" applyBorder="1" applyAlignment="1">
      <alignment vertical="center"/>
    </xf>
    <xf numFmtId="0" fontId="45" fillId="0" borderId="57" xfId="0" applyFont="1" applyBorder="1" applyAlignment="1">
      <alignment horizontal="left" vertical="center" wrapText="1"/>
    </xf>
    <xf numFmtId="0" fontId="45" fillId="0" borderId="57" xfId="0" applyFont="1" applyBorder="1" applyAlignment="1">
      <alignment horizontal="center" vertical="center"/>
    </xf>
    <xf numFmtId="44" fontId="45" fillId="0" borderId="57" xfId="8" applyFont="1" applyBorder="1" applyAlignment="1">
      <alignment vertical="center"/>
    </xf>
    <xf numFmtId="9" fontId="45" fillId="15" borderId="91" xfId="1" applyFont="1" applyFill="1" applyBorder="1" applyAlignment="1">
      <alignment vertical="center"/>
    </xf>
    <xf numFmtId="44" fontId="45" fillId="15" borderId="91" xfId="8" applyFont="1" applyFill="1" applyBorder="1" applyAlignment="1">
      <alignment vertical="center"/>
    </xf>
    <xf numFmtId="0" fontId="43" fillId="13" borderId="74" xfId="0" applyFont="1" applyFill="1" applyBorder="1" applyAlignment="1">
      <alignment horizontal="center" vertical="center"/>
    </xf>
    <xf numFmtId="0" fontId="43" fillId="13" borderId="75" xfId="0" applyFont="1" applyFill="1" applyBorder="1" applyAlignment="1">
      <alignment horizontal="center" vertical="center"/>
    </xf>
    <xf numFmtId="0" fontId="51" fillId="11" borderId="87" xfId="0" applyFont="1" applyFill="1" applyBorder="1" applyAlignment="1">
      <alignment horizontal="center" vertical="center"/>
    </xf>
    <xf numFmtId="0" fontId="18" fillId="11" borderId="78" xfId="0" applyFont="1" applyFill="1" applyBorder="1" applyAlignment="1">
      <alignment horizontal="left"/>
    </xf>
    <xf numFmtId="44" fontId="45" fillId="0" borderId="56" xfId="8" applyFont="1" applyBorder="1" applyAlignment="1">
      <alignment vertical="center"/>
    </xf>
    <xf numFmtId="44" fontId="40" fillId="0" borderId="84" xfId="8" applyFont="1" applyBorder="1" applyAlignment="1">
      <alignment vertical="center"/>
    </xf>
    <xf numFmtId="0" fontId="52" fillId="0" borderId="112" xfId="0" applyFont="1" applyBorder="1" applyAlignment="1">
      <alignment horizontal="center" vertical="center" wrapText="1"/>
    </xf>
    <xf numFmtId="44" fontId="45" fillId="0" borderId="70" xfId="8" applyFont="1" applyBorder="1" applyAlignment="1">
      <alignment vertical="center"/>
    </xf>
    <xf numFmtId="44" fontId="45" fillId="0" borderId="71" xfId="8" applyFont="1" applyBorder="1" applyAlignment="1">
      <alignment vertical="center"/>
    </xf>
    <xf numFmtId="1" fontId="45" fillId="14" borderId="58" xfId="0" applyNumberFormat="1" applyFont="1" applyFill="1" applyBorder="1" applyAlignment="1">
      <alignment horizontal="center" vertical="center"/>
    </xf>
    <xf numFmtId="44" fontId="45" fillId="14" borderId="58" xfId="8" applyFont="1" applyFill="1" applyBorder="1" applyAlignment="1">
      <alignment vertical="center"/>
    </xf>
    <xf numFmtId="44" fontId="45" fillId="16" borderId="58" xfId="8" applyFont="1" applyFill="1" applyBorder="1" applyAlignment="1">
      <alignment vertical="center"/>
    </xf>
    <xf numFmtId="9" fontId="45" fillId="15" borderId="58" xfId="1" applyFont="1" applyFill="1" applyBorder="1" applyAlignment="1">
      <alignment vertical="center"/>
    </xf>
    <xf numFmtId="44" fontId="45" fillId="15" borderId="58" xfId="8" applyFont="1" applyFill="1" applyBorder="1" applyAlignment="1">
      <alignment vertical="center"/>
    </xf>
    <xf numFmtId="0" fontId="37" fillId="0" borderId="113" xfId="0" applyFont="1" applyBorder="1"/>
    <xf numFmtId="1" fontId="45" fillId="14" borderId="110" xfId="0" applyNumberFormat="1" applyFont="1" applyFill="1" applyBorder="1" applyAlignment="1">
      <alignment horizontal="center" vertical="center"/>
    </xf>
    <xf numFmtId="10" fontId="45" fillId="16" borderId="70" xfId="0" applyNumberFormat="1" applyFont="1" applyFill="1" applyBorder="1" applyAlignment="1">
      <alignment horizontal="center" vertical="center"/>
    </xf>
    <xf numFmtId="170" fontId="18" fillId="11" borderId="11" xfId="0" applyNumberFormat="1" applyFont="1" applyFill="1" applyBorder="1" applyAlignment="1">
      <alignment horizontal="right"/>
    </xf>
    <xf numFmtId="170" fontId="18" fillId="11" borderId="106" xfId="0" applyNumberFormat="1" applyFont="1" applyFill="1" applyBorder="1" applyAlignment="1">
      <alignment horizontal="right"/>
    </xf>
    <xf numFmtId="44" fontId="18" fillId="11" borderId="11" xfId="0" applyNumberFormat="1" applyFont="1" applyFill="1" applyBorder="1" applyAlignment="1">
      <alignment horizontal="right"/>
    </xf>
    <xf numFmtId="44" fontId="43" fillId="16" borderId="11" xfId="0" applyNumberFormat="1" applyFont="1" applyFill="1" applyBorder="1"/>
    <xf numFmtId="0" fontId="37" fillId="15" borderId="11" xfId="0" applyFont="1" applyFill="1" applyBorder="1"/>
    <xf numFmtId="44" fontId="43" fillId="15" borderId="11" xfId="0" applyNumberFormat="1" applyFont="1" applyFill="1" applyBorder="1"/>
    <xf numFmtId="44" fontId="43" fillId="15" borderId="106" xfId="8" applyFont="1" applyFill="1" applyBorder="1"/>
    <xf numFmtId="44" fontId="18" fillId="17" borderId="81" xfId="8" applyFont="1" applyFill="1" applyBorder="1" applyAlignment="1">
      <alignment horizontal="center"/>
    </xf>
    <xf numFmtId="44" fontId="18" fillId="17" borderId="77" xfId="8" applyFont="1" applyFill="1" applyBorder="1" applyAlignment="1">
      <alignment horizontal="center"/>
    </xf>
    <xf numFmtId="49" fontId="45" fillId="0" borderId="50" xfId="0" applyNumberFormat="1" applyFont="1" applyBorder="1" applyAlignment="1">
      <alignment horizontal="left" vertical="center" wrapText="1"/>
    </xf>
    <xf numFmtId="170" fontId="53" fillId="0" borderId="0" xfId="0" applyNumberFormat="1" applyFont="1"/>
    <xf numFmtId="170" fontId="37" fillId="0" borderId="0" xfId="0" applyNumberFormat="1" applyFont="1"/>
    <xf numFmtId="44" fontId="53" fillId="18" borderId="0" xfId="0" applyNumberFormat="1" applyFont="1" applyFill="1"/>
    <xf numFmtId="0" fontId="30" fillId="13" borderId="88" xfId="0" applyFont="1" applyFill="1" applyBorder="1" applyAlignment="1">
      <alignment horizontal="center" vertical="center"/>
    </xf>
    <xf numFmtId="0" fontId="30" fillId="13" borderId="78" xfId="0" applyFont="1" applyFill="1" applyBorder="1" applyAlignment="1">
      <alignment horizontal="center" vertical="center"/>
    </xf>
    <xf numFmtId="0" fontId="30" fillId="12" borderId="107" xfId="0" applyFont="1" applyFill="1" applyBorder="1" applyAlignment="1">
      <alignment horizontal="left" vertical="center" wrapText="1"/>
    </xf>
    <xf numFmtId="0" fontId="32" fillId="12" borderId="93" xfId="0" applyFont="1" applyFill="1" applyBorder="1" applyAlignment="1">
      <alignment horizontal="left" vertical="center" wrapText="1"/>
    </xf>
    <xf numFmtId="0" fontId="32" fillId="12" borderId="93" xfId="0" applyFont="1" applyFill="1" applyBorder="1" applyAlignment="1">
      <alignment horizontal="center" vertical="center"/>
    </xf>
    <xf numFmtId="44" fontId="32" fillId="12" borderId="93" xfId="8" applyFont="1" applyFill="1" applyBorder="1" applyAlignment="1">
      <alignment vertical="center"/>
    </xf>
    <xf numFmtId="44" fontId="32" fillId="12" borderId="94" xfId="8" applyFont="1" applyFill="1" applyBorder="1" applyAlignment="1">
      <alignment vertical="center"/>
    </xf>
    <xf numFmtId="1" fontId="32" fillId="14" borderId="86" xfId="0" applyNumberFormat="1" applyFont="1" applyFill="1" applyBorder="1" applyAlignment="1">
      <alignment horizontal="center" vertical="center"/>
    </xf>
    <xf numFmtId="1" fontId="32" fillId="14" borderId="58" xfId="0" applyNumberFormat="1" applyFont="1" applyFill="1" applyBorder="1" applyAlignment="1">
      <alignment horizontal="center" vertical="center"/>
    </xf>
    <xf numFmtId="44" fontId="32" fillId="14" borderId="58" xfId="8" applyFont="1" applyFill="1" applyBorder="1" applyAlignment="1">
      <alignment vertical="center"/>
    </xf>
    <xf numFmtId="0" fontId="30" fillId="12" borderId="102" xfId="0" applyFont="1" applyFill="1" applyBorder="1" applyAlignment="1">
      <alignment horizontal="left" vertical="center" wrapText="1"/>
    </xf>
    <xf numFmtId="0" fontId="32" fillId="12" borderId="101" xfId="0" applyFont="1" applyFill="1" applyBorder="1" applyAlignment="1">
      <alignment horizontal="left" vertical="center" wrapText="1"/>
    </xf>
    <xf numFmtId="0" fontId="32" fillId="12" borderId="101" xfId="0" applyFont="1" applyFill="1" applyBorder="1" applyAlignment="1">
      <alignment horizontal="center" vertical="center"/>
    </xf>
    <xf numFmtId="44" fontId="32" fillId="12" borderId="101" xfId="8" applyFont="1" applyFill="1" applyBorder="1" applyAlignment="1">
      <alignment vertical="center"/>
    </xf>
    <xf numFmtId="44" fontId="32" fillId="12" borderId="44" xfId="8" applyFont="1" applyFill="1" applyBorder="1" applyAlignment="1">
      <alignment vertical="center"/>
    </xf>
    <xf numFmtId="170" fontId="36" fillId="11" borderId="0" xfId="0" applyNumberFormat="1" applyFont="1" applyFill="1" applyAlignment="1">
      <alignment horizontal="right"/>
    </xf>
    <xf numFmtId="170" fontId="36" fillId="11" borderId="92" xfId="0" applyNumberFormat="1" applyFont="1" applyFill="1" applyBorder="1" applyAlignment="1">
      <alignment horizontal="right"/>
    </xf>
    <xf numFmtId="44" fontId="36" fillId="11" borderId="0" xfId="0" applyNumberFormat="1" applyFont="1" applyFill="1" applyAlignment="1">
      <alignment horizontal="right"/>
    </xf>
    <xf numFmtId="44" fontId="30" fillId="16" borderId="0" xfId="0" applyNumberFormat="1" applyFont="1" applyFill="1"/>
    <xf numFmtId="0" fontId="24" fillId="15" borderId="0" xfId="0" applyFont="1" applyFill="1"/>
    <xf numFmtId="44" fontId="30" fillId="15" borderId="0" xfId="0" applyNumberFormat="1" applyFont="1" applyFill="1"/>
    <xf numFmtId="44" fontId="30" fillId="15" borderId="0" xfId="8" applyFont="1" applyFill="1" applyBorder="1"/>
    <xf numFmtId="44" fontId="36" fillId="17" borderId="53" xfId="8" applyFont="1" applyFill="1" applyBorder="1" applyAlignment="1">
      <alignment horizontal="center"/>
    </xf>
    <xf numFmtId="9" fontId="36" fillId="17" borderId="103" xfId="1" applyFont="1" applyFill="1" applyBorder="1"/>
    <xf numFmtId="44" fontId="36" fillId="17" borderId="77" xfId="8" applyFont="1" applyFill="1" applyBorder="1"/>
    <xf numFmtId="37" fontId="33" fillId="6" borderId="60" xfId="3" applyNumberFormat="1" applyFont="1" applyFill="1" applyBorder="1" applyAlignment="1">
      <alignment horizontal="center" vertical="center"/>
    </xf>
    <xf numFmtId="37" fontId="33" fillId="6" borderId="74" xfId="3" applyNumberFormat="1" applyFont="1" applyFill="1" applyBorder="1" applyAlignment="1">
      <alignment horizontal="center" vertical="center"/>
    </xf>
    <xf numFmtId="40" fontId="28" fillId="6" borderId="74" xfId="4" applyNumberFormat="1" applyFont="1" applyFill="1" applyBorder="1" applyAlignment="1">
      <alignment horizontal="center" vertical="center"/>
    </xf>
    <xf numFmtId="165" fontId="28" fillId="6" borderId="74" xfId="4" applyFont="1" applyFill="1" applyBorder="1" applyAlignment="1">
      <alignment horizontal="right" vertical="center"/>
    </xf>
    <xf numFmtId="40" fontId="28" fillId="6" borderId="74" xfId="4" applyNumberFormat="1" applyFont="1" applyFill="1" applyBorder="1" applyAlignment="1">
      <alignment horizontal="center" vertical="center" wrapText="1"/>
    </xf>
    <xf numFmtId="10" fontId="28" fillId="6" borderId="74" xfId="5" applyNumberFormat="1" applyFont="1" applyFill="1" applyBorder="1" applyAlignment="1">
      <alignment horizontal="center" vertical="center" wrapText="1"/>
    </xf>
    <xf numFmtId="165" fontId="28" fillId="6" borderId="74" xfId="4" applyFont="1" applyFill="1" applyBorder="1" applyAlignment="1">
      <alignment horizontal="center" vertical="center" wrapText="1"/>
    </xf>
    <xf numFmtId="165" fontId="28" fillId="6" borderId="75" xfId="4" applyFont="1" applyFill="1" applyBorder="1" applyAlignment="1">
      <alignment horizontal="center" vertical="center" wrapText="1"/>
    </xf>
    <xf numFmtId="0" fontId="30" fillId="13" borderId="52" xfId="0" applyFont="1" applyFill="1" applyBorder="1" applyAlignment="1">
      <alignment horizontal="center" vertical="center"/>
    </xf>
    <xf numFmtId="0" fontId="30" fillId="13" borderId="70" xfId="0" applyFont="1" applyFill="1" applyBorder="1" applyAlignment="1">
      <alignment horizontal="center" vertical="center"/>
    </xf>
    <xf numFmtId="44" fontId="32" fillId="15" borderId="71" xfId="8" applyFont="1" applyFill="1" applyBorder="1" applyAlignment="1">
      <alignment vertical="center"/>
    </xf>
    <xf numFmtId="44" fontId="32" fillId="15" borderId="56" xfId="8" applyFont="1" applyFill="1" applyBorder="1" applyAlignment="1">
      <alignment vertical="center"/>
    </xf>
    <xf numFmtId="44" fontId="36" fillId="17" borderId="95" xfId="8" applyFont="1" applyFill="1" applyBorder="1" applyAlignment="1">
      <alignment horizontal="center"/>
    </xf>
    <xf numFmtId="44" fontId="36" fillId="17" borderId="92" xfId="8" applyFont="1" applyFill="1" applyBorder="1" applyAlignment="1">
      <alignment horizontal="center"/>
    </xf>
    <xf numFmtId="9" fontId="36" fillId="17" borderId="99" xfId="1" applyFont="1" applyFill="1" applyBorder="1"/>
    <xf numFmtId="0" fontId="0" fillId="21" borderId="0" xfId="0" applyFill="1"/>
    <xf numFmtId="0" fontId="24" fillId="21" borderId="0" xfId="0" applyFont="1" applyFill="1"/>
    <xf numFmtId="44" fontId="27" fillId="14" borderId="84" xfId="8" applyFont="1" applyFill="1" applyBorder="1" applyAlignment="1">
      <alignment vertical="center"/>
    </xf>
    <xf numFmtId="44" fontId="32" fillId="14" borderId="0" xfId="0" applyNumberFormat="1" applyFont="1" applyFill="1"/>
    <xf numFmtId="14" fontId="32" fillId="14" borderId="0" xfId="0" applyNumberFormat="1" applyFont="1" applyFill="1"/>
    <xf numFmtId="0" fontId="32" fillId="14" borderId="0" xfId="0" applyFont="1" applyFill="1" applyAlignment="1">
      <alignment wrapText="1"/>
    </xf>
    <xf numFmtId="44" fontId="32" fillId="15" borderId="70" xfId="8" applyFont="1" applyFill="1" applyBorder="1" applyAlignment="1">
      <alignment vertical="center"/>
    </xf>
    <xf numFmtId="0" fontId="30" fillId="12" borderId="103" xfId="0" applyFont="1" applyFill="1" applyBorder="1" applyAlignment="1">
      <alignment horizontal="left" vertical="center" wrapText="1"/>
    </xf>
    <xf numFmtId="0" fontId="32" fillId="12" borderId="76" xfId="0" applyFont="1" applyFill="1" applyBorder="1" applyAlignment="1">
      <alignment horizontal="left" vertical="center" wrapText="1"/>
    </xf>
    <xf numFmtId="0" fontId="32" fillId="12" borderId="76" xfId="0" applyFont="1" applyFill="1" applyBorder="1" applyAlignment="1">
      <alignment horizontal="center" vertical="center"/>
    </xf>
    <xf numFmtId="44" fontId="32" fillId="12" borderId="76" xfId="8" applyFont="1" applyFill="1" applyBorder="1" applyAlignment="1">
      <alignment vertical="center"/>
    </xf>
    <xf numFmtId="44" fontId="32" fillId="12" borderId="77" xfId="8" applyFont="1" applyFill="1" applyBorder="1" applyAlignment="1">
      <alignment vertical="center"/>
    </xf>
    <xf numFmtId="0" fontId="32" fillId="12" borderId="85" xfId="0" applyFont="1" applyFill="1" applyBorder="1" applyAlignment="1">
      <alignment horizontal="left" vertical="center" wrapText="1"/>
    </xf>
    <xf numFmtId="0" fontId="32" fillId="0" borderId="57" xfId="0" applyFont="1" applyBorder="1" applyAlignment="1">
      <alignment horizontal="left" vertical="center" wrapText="1"/>
    </xf>
    <xf numFmtId="44" fontId="32" fillId="15" borderId="59" xfId="8" applyFont="1" applyFill="1" applyBorder="1" applyAlignment="1">
      <alignment vertical="center"/>
    </xf>
    <xf numFmtId="0" fontId="32" fillId="12" borderId="68" xfId="0" applyFont="1" applyFill="1" applyBorder="1" applyAlignment="1">
      <alignment horizontal="left" vertical="center" wrapText="1"/>
    </xf>
    <xf numFmtId="0" fontId="32" fillId="12" borderId="103" xfId="0" applyFont="1" applyFill="1" applyBorder="1" applyAlignment="1">
      <alignment horizontal="left" vertical="center" wrapText="1"/>
    </xf>
    <xf numFmtId="0" fontId="32" fillId="0" borderId="76" xfId="0" applyFont="1" applyBorder="1" applyAlignment="1">
      <alignment horizontal="left" vertical="center" wrapText="1"/>
    </xf>
    <xf numFmtId="44" fontId="30" fillId="15" borderId="92" xfId="8" applyFont="1" applyFill="1" applyBorder="1"/>
    <xf numFmtId="170" fontId="30" fillId="13" borderId="47" xfId="0" applyNumberFormat="1" applyFont="1" applyFill="1" applyBorder="1" applyAlignment="1">
      <alignment horizontal="center" vertical="center"/>
    </xf>
    <xf numFmtId="170" fontId="30" fillId="13" borderId="46" xfId="0" applyNumberFormat="1" applyFont="1" applyFill="1" applyBorder="1" applyAlignment="1">
      <alignment horizontal="center" vertical="center"/>
    </xf>
    <xf numFmtId="170" fontId="36" fillId="13" borderId="105" xfId="0" applyNumberFormat="1" applyFont="1" applyFill="1" applyBorder="1" applyAlignment="1">
      <alignment horizontal="center" vertical="center"/>
    </xf>
    <xf numFmtId="44" fontId="36" fillId="13" borderId="8" xfId="8" applyFont="1" applyFill="1" applyBorder="1" applyAlignment="1">
      <alignment horizontal="center" vertical="center"/>
    </xf>
    <xf numFmtId="44" fontId="36" fillId="13" borderId="56" xfId="8" applyFont="1" applyFill="1" applyBorder="1" applyAlignment="1">
      <alignment horizontal="center" vertical="center"/>
    </xf>
    <xf numFmtId="0" fontId="32" fillId="0" borderId="68" xfId="0" applyFont="1" applyBorder="1" applyAlignment="1">
      <alignment horizontal="left" vertical="center" wrapText="1"/>
    </xf>
    <xf numFmtId="0" fontId="32" fillId="0" borderId="52" xfId="0" applyFont="1" applyBorder="1" applyAlignment="1">
      <alignment horizontal="center" vertical="center" wrapText="1"/>
    </xf>
    <xf numFmtId="44" fontId="30" fillId="15" borderId="70" xfId="8" applyFont="1" applyFill="1" applyBorder="1" applyAlignment="1">
      <alignment vertical="center"/>
    </xf>
    <xf numFmtId="10" fontId="36" fillId="16" borderId="8" xfId="8" applyNumberFormat="1" applyFont="1" applyFill="1" applyBorder="1" applyAlignment="1">
      <alignment horizontal="center" vertical="center"/>
    </xf>
    <xf numFmtId="10" fontId="36" fillId="16" borderId="56" xfId="8" applyNumberFormat="1" applyFont="1" applyFill="1" applyBorder="1" applyAlignment="1">
      <alignment horizontal="center" vertical="center"/>
    </xf>
    <xf numFmtId="0" fontId="32" fillId="0" borderId="53" xfId="0" applyFont="1" applyBorder="1" applyAlignment="1">
      <alignment horizontal="left" vertical="center" wrapText="1"/>
    </xf>
    <xf numFmtId="1" fontId="30" fillId="14" borderId="72" xfId="0" applyNumberFormat="1" applyFont="1" applyFill="1" applyBorder="1" applyAlignment="1">
      <alignment horizontal="center" vertical="center"/>
    </xf>
    <xf numFmtId="1" fontId="30" fillId="14" borderId="5" xfId="0" applyNumberFormat="1" applyFont="1" applyFill="1" applyBorder="1" applyAlignment="1">
      <alignment horizontal="center" vertical="center"/>
    </xf>
    <xf numFmtId="44" fontId="30" fillId="15" borderId="56" xfId="8" applyFont="1" applyFill="1" applyBorder="1" applyAlignment="1">
      <alignment vertical="center"/>
    </xf>
    <xf numFmtId="44" fontId="30" fillId="16" borderId="83" xfId="8" applyFont="1" applyFill="1" applyBorder="1" applyAlignment="1">
      <alignment vertical="center"/>
    </xf>
    <xf numFmtId="44" fontId="30" fillId="15" borderId="83" xfId="8" applyFont="1" applyFill="1" applyBorder="1" applyAlignment="1">
      <alignment vertical="center"/>
    </xf>
    <xf numFmtId="44" fontId="30" fillId="15" borderId="59" xfId="8" applyFont="1" applyFill="1" applyBorder="1" applyAlignment="1">
      <alignment vertical="center"/>
    </xf>
    <xf numFmtId="0" fontId="32" fillId="12" borderId="53" xfId="0" applyFont="1" applyFill="1" applyBorder="1" applyAlignment="1">
      <alignment horizontal="left" vertical="center" wrapText="1"/>
    </xf>
    <xf numFmtId="44" fontId="30" fillId="16" borderId="52" xfId="8" applyFont="1" applyFill="1" applyBorder="1" applyAlignment="1">
      <alignment vertical="center"/>
    </xf>
    <xf numFmtId="0" fontId="30" fillId="12" borderId="84" xfId="0" applyFont="1" applyFill="1" applyBorder="1" applyAlignment="1">
      <alignment horizontal="left" vertical="center" wrapText="1"/>
    </xf>
    <xf numFmtId="0" fontId="32" fillId="0" borderId="52" xfId="0" applyFont="1" applyBorder="1" applyAlignment="1">
      <alignment horizontal="center" vertical="center"/>
    </xf>
    <xf numFmtId="10" fontId="36" fillId="16" borderId="92" xfId="8" applyNumberFormat="1" applyFont="1" applyFill="1" applyBorder="1" applyAlignment="1">
      <alignment horizontal="center" vertical="center"/>
    </xf>
    <xf numFmtId="0" fontId="32" fillId="0" borderId="57" xfId="0" applyFont="1" applyBorder="1" applyAlignment="1">
      <alignment horizontal="center" vertical="center"/>
    </xf>
    <xf numFmtId="44" fontId="32" fillId="0" borderId="57" xfId="8" applyFont="1" applyBorder="1" applyAlignment="1">
      <alignment vertical="center"/>
    </xf>
    <xf numFmtId="44" fontId="30" fillId="15" borderId="106" xfId="8" applyFont="1" applyFill="1" applyBorder="1"/>
    <xf numFmtId="44" fontId="36" fillId="17" borderId="0" xfId="8" applyFont="1" applyFill="1" applyBorder="1" applyAlignment="1">
      <alignment horizontal="center"/>
    </xf>
    <xf numFmtId="0" fontId="32" fillId="0" borderId="73" xfId="0" applyFont="1" applyBorder="1" applyAlignment="1">
      <alignment horizontal="left" wrapText="1"/>
    </xf>
    <xf numFmtId="0" fontId="32" fillId="0" borderId="82" xfId="0" applyFont="1" applyBorder="1" applyAlignment="1">
      <alignment horizontal="left" wrapText="1"/>
    </xf>
    <xf numFmtId="0" fontId="36" fillId="17" borderId="99" xfId="0" applyFont="1" applyFill="1" applyBorder="1"/>
    <xf numFmtId="0" fontId="36" fillId="17" borderId="11" xfId="0" applyFont="1" applyFill="1" applyBorder="1"/>
    <xf numFmtId="0" fontId="36" fillId="17" borderId="11" xfId="0" applyFont="1" applyFill="1" applyBorder="1" applyAlignment="1">
      <alignment horizontal="center"/>
    </xf>
    <xf numFmtId="44" fontId="36" fillId="17" borderId="11" xfId="0" applyNumberFormat="1" applyFont="1" applyFill="1" applyBorder="1"/>
    <xf numFmtId="44" fontId="36" fillId="17" borderId="106" xfId="0" applyNumberFormat="1" applyFont="1" applyFill="1" applyBorder="1"/>
    <xf numFmtId="0" fontId="36" fillId="17" borderId="99" xfId="0" applyFont="1" applyFill="1" applyBorder="1" applyAlignment="1">
      <alignment horizontal="center"/>
    </xf>
    <xf numFmtId="9" fontId="36" fillId="17" borderId="11" xfId="1" applyFont="1" applyFill="1" applyBorder="1" applyAlignment="1"/>
    <xf numFmtId="44" fontId="36" fillId="17" borderId="106" xfId="8" applyFont="1" applyFill="1" applyBorder="1" applyAlignment="1"/>
    <xf numFmtId="0" fontId="2" fillId="22" borderId="0" xfId="0" applyFont="1" applyFill="1"/>
    <xf numFmtId="0" fontId="29" fillId="0" borderId="0" xfId="0" applyFont="1"/>
    <xf numFmtId="166" fontId="48" fillId="6" borderId="69" xfId="4" applyNumberFormat="1" applyFont="1" applyFill="1" applyBorder="1" applyAlignment="1">
      <alignment horizontal="center" vertical="center" wrapText="1"/>
    </xf>
    <xf numFmtId="0" fontId="42" fillId="0" borderId="0" xfId="0" applyFont="1"/>
    <xf numFmtId="8" fontId="43" fillId="0" borderId="0" xfId="0" applyNumberFormat="1" applyFont="1"/>
    <xf numFmtId="166" fontId="35" fillId="6" borderId="69" xfId="4" applyNumberFormat="1" applyFont="1" applyFill="1" applyBorder="1" applyAlignment="1">
      <alignment horizontal="center" vertical="center" wrapText="1"/>
    </xf>
    <xf numFmtId="8" fontId="30" fillId="0" borderId="0" xfId="0" applyNumberFormat="1" applyFont="1"/>
    <xf numFmtId="44" fontId="0" fillId="0" borderId="0" xfId="8" applyFont="1"/>
    <xf numFmtId="44" fontId="2" fillId="22" borderId="0" xfId="8" applyFont="1" applyFill="1" applyAlignment="1"/>
    <xf numFmtId="44" fontId="0" fillId="21" borderId="0" xfId="8" applyFont="1" applyFill="1" applyBorder="1"/>
    <xf numFmtId="0" fontId="16" fillId="0" borderId="0" xfId="0" applyFont="1"/>
    <xf numFmtId="0" fontId="16" fillId="0" borderId="0" xfId="0" applyFont="1" applyAlignment="1">
      <alignment horizontal="center"/>
    </xf>
    <xf numFmtId="16" fontId="16" fillId="23" borderId="9" xfId="0" applyNumberFormat="1" applyFont="1" applyFill="1" applyBorder="1" applyAlignment="1">
      <alignment horizontal="center"/>
    </xf>
    <xf numFmtId="16" fontId="16" fillId="23" borderId="10" xfId="0" applyNumberFormat="1" applyFont="1" applyFill="1" applyBorder="1" applyAlignment="1">
      <alignment horizontal="center"/>
    </xf>
    <xf numFmtId="16" fontId="16" fillId="24" borderId="99" xfId="0" applyNumberFormat="1" applyFont="1" applyFill="1" applyBorder="1" applyAlignment="1">
      <alignment horizontal="center"/>
    </xf>
    <xf numFmtId="16" fontId="16" fillId="24" borderId="11" xfId="0" applyNumberFormat="1" applyFont="1" applyFill="1" applyBorder="1" applyAlignment="1">
      <alignment horizontal="center"/>
    </xf>
    <xf numFmtId="0" fontId="16" fillId="25" borderId="95" xfId="0" applyFont="1" applyFill="1" applyBorder="1" applyAlignment="1">
      <alignment horizontal="center"/>
    </xf>
    <xf numFmtId="0" fontId="16" fillId="25" borderId="0" xfId="0" applyFont="1" applyFill="1" applyAlignment="1">
      <alignment horizontal="center"/>
    </xf>
    <xf numFmtId="0" fontId="54" fillId="20" borderId="99" xfId="0" applyFont="1" applyFill="1" applyBorder="1" applyAlignment="1">
      <alignment horizontal="center"/>
    </xf>
    <xf numFmtId="0" fontId="54" fillId="20" borderId="11" xfId="0" applyFont="1" applyFill="1" applyBorder="1" applyAlignment="1">
      <alignment horizontal="center"/>
    </xf>
    <xf numFmtId="164" fontId="55" fillId="0" borderId="0" xfId="2" applyNumberFormat="1" applyFont="1" applyAlignment="1" applyProtection="1">
      <alignment horizontal="center" vertical="center"/>
      <protection locked="0"/>
    </xf>
    <xf numFmtId="0" fontId="55" fillId="0" borderId="0" xfId="2" applyFont="1" applyAlignment="1" applyProtection="1">
      <alignment horizontal="center" vertical="center"/>
      <protection locked="0"/>
    </xf>
    <xf numFmtId="14" fontId="55" fillId="0" borderId="0" xfId="2" applyNumberFormat="1" applyFont="1" applyAlignment="1" applyProtection="1">
      <alignment horizontal="center" vertical="center"/>
      <protection locked="0"/>
    </xf>
    <xf numFmtId="0" fontId="17" fillId="26" borderId="84" xfId="0" applyFont="1" applyFill="1" applyBorder="1" applyAlignment="1">
      <alignment horizontal="center"/>
    </xf>
    <xf numFmtId="164" fontId="55" fillId="0" borderId="84" xfId="2" applyNumberFormat="1" applyFont="1" applyBorder="1" applyAlignment="1" applyProtection="1">
      <alignment horizontal="left" vertical="center"/>
      <protection locked="0"/>
    </xf>
    <xf numFmtId="44" fontId="17" fillId="0" borderId="84" xfId="0" applyNumberFormat="1" applyFont="1" applyBorder="1" applyAlignment="1">
      <alignment horizontal="center"/>
    </xf>
    <xf numFmtId="9" fontId="17" fillId="0" borderId="84" xfId="1" applyFont="1" applyBorder="1" applyAlignment="1">
      <alignment horizontal="center"/>
    </xf>
    <xf numFmtId="44" fontId="17" fillId="26" borderId="84" xfId="0" applyNumberFormat="1" applyFont="1" applyFill="1" applyBorder="1" applyAlignment="1">
      <alignment horizontal="center"/>
    </xf>
    <xf numFmtId="0" fontId="17" fillId="0" borderId="102" xfId="0" applyFont="1" applyBorder="1"/>
    <xf numFmtId="170" fontId="17" fillId="0" borderId="101" xfId="0" applyNumberFormat="1" applyFont="1" applyBorder="1" applyAlignment="1">
      <alignment horizontal="center"/>
    </xf>
    <xf numFmtId="44" fontId="17" fillId="0" borderId="101" xfId="0" applyNumberFormat="1" applyFont="1" applyBorder="1" applyAlignment="1">
      <alignment horizontal="center"/>
    </xf>
    <xf numFmtId="9" fontId="17" fillId="0" borderId="44" xfId="1" applyFont="1" applyBorder="1" applyAlignment="1">
      <alignment horizontal="center"/>
    </xf>
    <xf numFmtId="0" fontId="17" fillId="0" borderId="107" xfId="0" applyFont="1" applyBorder="1"/>
    <xf numFmtId="0" fontId="17" fillId="0" borderId="0" xfId="0" applyFont="1"/>
    <xf numFmtId="170" fontId="17" fillId="26" borderId="57" xfId="0" applyNumberFormat="1" applyFont="1" applyFill="1" applyBorder="1" applyAlignment="1">
      <alignment horizontal="center"/>
    </xf>
    <xf numFmtId="170" fontId="17" fillId="26" borderId="84" xfId="0" applyNumberFormat="1" applyFont="1" applyFill="1" applyBorder="1" applyAlignment="1">
      <alignment horizontal="center"/>
    </xf>
    <xf numFmtId="44" fontId="56" fillId="0" borderId="0" xfId="8" applyFont="1" applyBorder="1" applyAlignment="1">
      <alignment vertical="center"/>
    </xf>
    <xf numFmtId="9" fontId="56" fillId="0" borderId="0" xfId="1" applyFont="1" applyBorder="1" applyAlignment="1">
      <alignment horizontal="center" vertical="center"/>
    </xf>
    <xf numFmtId="0" fontId="57" fillId="0" borderId="0" xfId="0" applyFont="1"/>
    <xf numFmtId="0" fontId="58" fillId="12" borderId="0" xfId="0" applyFont="1" applyFill="1" applyAlignment="1">
      <alignment horizontal="left" vertical="center" wrapText="1"/>
    </xf>
    <xf numFmtId="164" fontId="59" fillId="0" borderId="13" xfId="2" applyNumberFormat="1" applyFont="1" applyBorder="1" applyAlignment="1" applyProtection="1">
      <alignment horizontal="left" vertical="center"/>
      <protection locked="0"/>
    </xf>
    <xf numFmtId="164" fontId="59" fillId="0" borderId="15" xfId="2" applyNumberFormat="1" applyFont="1" applyBorder="1" applyAlignment="1" applyProtection="1">
      <alignment horizontal="left" vertical="center"/>
      <protection locked="0"/>
    </xf>
    <xf numFmtId="164" fontId="59" fillId="0" borderId="24" xfId="2" applyNumberFormat="1" applyFont="1" applyBorder="1" applyAlignment="1" applyProtection="1">
      <alignment horizontal="left" vertical="center"/>
      <protection locked="0"/>
    </xf>
    <xf numFmtId="164" fontId="59" fillId="0" borderId="25" xfId="2" applyNumberFormat="1" applyFont="1" applyBorder="1" applyAlignment="1" applyProtection="1">
      <alignment horizontal="left" vertical="center"/>
      <protection locked="0"/>
    </xf>
    <xf numFmtId="0" fontId="59" fillId="0" borderId="18" xfId="2" applyFont="1" applyBorder="1" applyAlignment="1" applyProtection="1">
      <alignment horizontal="left" vertical="center"/>
      <protection locked="0"/>
    </xf>
    <xf numFmtId="14" fontId="59" fillId="0" borderId="25" xfId="2" applyNumberFormat="1" applyFont="1" applyBorder="1" applyAlignment="1" applyProtection="1">
      <alignment horizontal="left" vertical="center"/>
      <protection locked="0"/>
    </xf>
    <xf numFmtId="164" fontId="59" fillId="0" borderId="31" xfId="2" applyNumberFormat="1" applyFont="1" applyBorder="1" applyAlignment="1" applyProtection="1">
      <alignment horizontal="left" vertical="center"/>
      <protection locked="0"/>
    </xf>
    <xf numFmtId="0" fontId="59" fillId="0" borderId="22" xfId="2" applyFont="1" applyBorder="1" applyAlignment="1" applyProtection="1">
      <alignment horizontal="left" vertical="center"/>
      <protection locked="0"/>
    </xf>
    <xf numFmtId="0" fontId="60" fillId="0" borderId="0" xfId="0" applyFont="1" applyAlignment="1">
      <alignment horizontal="right"/>
    </xf>
    <xf numFmtId="4" fontId="61" fillId="0" borderId="0" xfId="0" applyNumberFormat="1" applyFont="1" applyAlignment="1">
      <alignment horizontal="center" vertical="center" wrapText="1"/>
    </xf>
    <xf numFmtId="170" fontId="16" fillId="0" borderId="0" xfId="0" applyNumberFormat="1" applyFont="1" applyAlignment="1">
      <alignment horizontal="center"/>
    </xf>
    <xf numFmtId="170" fontId="17" fillId="0" borderId="93" xfId="0" applyNumberFormat="1" applyFont="1" applyBorder="1" applyAlignment="1">
      <alignment horizontal="center"/>
    </xf>
    <xf numFmtId="9" fontId="17" fillId="0" borderId="75" xfId="1" applyFont="1" applyBorder="1" applyAlignment="1">
      <alignment horizontal="center" vertical="center"/>
    </xf>
    <xf numFmtId="170" fontId="7" fillId="0" borderId="0" xfId="0" applyNumberFormat="1" applyFont="1" applyAlignment="1">
      <alignment horizontal="center"/>
    </xf>
    <xf numFmtId="44" fontId="16" fillId="0" borderId="0" xfId="0" applyNumberFormat="1" applyFont="1" applyAlignment="1">
      <alignment horizontal="center"/>
    </xf>
    <xf numFmtId="44" fontId="16" fillId="0" borderId="105" xfId="0" applyNumberFormat="1" applyFont="1" applyBorder="1" applyAlignment="1">
      <alignment horizontal="center" vertical="center"/>
    </xf>
    <xf numFmtId="0" fontId="16" fillId="0" borderId="106" xfId="0" applyFont="1" applyBorder="1" applyAlignment="1">
      <alignment horizontal="center" vertical="center"/>
    </xf>
    <xf numFmtId="0" fontId="17" fillId="26" borderId="100" xfId="0" applyFont="1" applyFill="1" applyBorder="1" applyAlignment="1">
      <alignment horizontal="center"/>
    </xf>
    <xf numFmtId="0" fontId="17" fillId="26" borderId="30" xfId="0" applyFont="1" applyFill="1" applyBorder="1" applyAlignment="1">
      <alignment horizontal="center"/>
    </xf>
    <xf numFmtId="0" fontId="17" fillId="26" borderId="104" xfId="0" applyFont="1" applyFill="1" applyBorder="1" applyAlignment="1">
      <alignment horizontal="center"/>
    </xf>
    <xf numFmtId="44" fontId="17" fillId="0" borderId="46" xfId="0" applyNumberFormat="1" applyFont="1" applyBorder="1" applyAlignment="1">
      <alignment horizontal="center" vertical="center"/>
    </xf>
    <xf numFmtId="44" fontId="17" fillId="0" borderId="93" xfId="0" applyNumberFormat="1" applyFont="1" applyBorder="1" applyAlignment="1">
      <alignment horizontal="center" vertical="center"/>
    </xf>
    <xf numFmtId="170" fontId="17" fillId="0" borderId="46" xfId="0" applyNumberFormat="1" applyFont="1" applyBorder="1" applyAlignment="1">
      <alignment horizontal="center" vertical="center"/>
    </xf>
    <xf numFmtId="170" fontId="17" fillId="0" borderId="93" xfId="0" applyNumberFormat="1" applyFont="1" applyBorder="1" applyAlignment="1">
      <alignment horizontal="center" vertical="center"/>
    </xf>
    <xf numFmtId="9" fontId="17" fillId="0" borderId="48" xfId="1" applyFont="1" applyBorder="1" applyAlignment="1">
      <alignment horizontal="center" vertical="center"/>
    </xf>
    <xf numFmtId="9" fontId="17" fillId="0" borderId="94" xfId="1" applyFont="1" applyBorder="1" applyAlignment="1">
      <alignment horizontal="center" vertical="center"/>
    </xf>
    <xf numFmtId="0" fontId="37" fillId="0" borderId="112" xfId="0" applyFont="1" applyBorder="1" applyAlignment="1">
      <alignment horizontal="center" vertical="center"/>
    </xf>
    <xf numFmtId="0" fontId="18" fillId="10" borderId="100" xfId="0" applyFont="1" applyFill="1" applyBorder="1" applyAlignment="1">
      <alignment horizontal="center"/>
    </xf>
    <xf numFmtId="0" fontId="18" fillId="10" borderId="30" xfId="0" applyFont="1" applyFill="1" applyBorder="1" applyAlignment="1">
      <alignment horizontal="center"/>
    </xf>
    <xf numFmtId="0" fontId="18" fillId="10" borderId="104" xfId="0" applyFont="1" applyFill="1" applyBorder="1" applyAlignment="1">
      <alignment horizontal="center"/>
    </xf>
    <xf numFmtId="1" fontId="18" fillId="10" borderId="30" xfId="0" applyNumberFormat="1" applyFont="1" applyFill="1" applyBorder="1" applyAlignment="1">
      <alignment horizontal="center"/>
    </xf>
    <xf numFmtId="1" fontId="18" fillId="10" borderId="104" xfId="0" applyNumberFormat="1" applyFont="1" applyFill="1" applyBorder="1" applyAlignment="1">
      <alignment horizontal="center"/>
    </xf>
    <xf numFmtId="0" fontId="18" fillId="11" borderId="9" xfId="0" applyFont="1" applyFill="1" applyBorder="1" applyAlignment="1">
      <alignment horizontal="left"/>
    </xf>
    <xf numFmtId="0" fontId="18" fillId="11" borderId="10" xfId="0" applyFont="1" applyFill="1" applyBorder="1" applyAlignment="1">
      <alignment horizontal="left"/>
    </xf>
    <xf numFmtId="0" fontId="18" fillId="11" borderId="55" xfId="0" applyFont="1" applyFill="1" applyBorder="1" applyAlignment="1">
      <alignment horizontal="left"/>
    </xf>
    <xf numFmtId="1" fontId="18" fillId="11" borderId="10" xfId="0" applyNumberFormat="1" applyFont="1" applyFill="1" applyBorder="1" applyAlignment="1">
      <alignment horizontal="left"/>
    </xf>
    <xf numFmtId="1" fontId="18" fillId="11" borderId="105" xfId="0" applyNumberFormat="1" applyFont="1" applyFill="1" applyBorder="1" applyAlignment="1">
      <alignment horizontal="left"/>
    </xf>
    <xf numFmtId="0" fontId="18" fillId="11" borderId="99" xfId="0" applyFont="1" applyFill="1" applyBorder="1" applyAlignment="1">
      <alignment horizontal="left"/>
    </xf>
    <xf numFmtId="0" fontId="18" fillId="11" borderId="11" xfId="0" applyFont="1" applyFill="1" applyBorder="1" applyAlignment="1">
      <alignment horizontal="left"/>
    </xf>
    <xf numFmtId="1" fontId="18" fillId="11" borderId="11" xfId="0" applyNumberFormat="1" applyFont="1" applyFill="1" applyBorder="1" applyAlignment="1">
      <alignment horizontal="left"/>
    </xf>
    <xf numFmtId="0" fontId="18" fillId="10" borderId="9" xfId="0" applyFont="1" applyFill="1" applyBorder="1" applyAlignment="1">
      <alignment horizontal="center"/>
    </xf>
    <xf numFmtId="0" fontId="18" fillId="10" borderId="10" xfId="0" applyFont="1" applyFill="1" applyBorder="1" applyAlignment="1">
      <alignment horizontal="center"/>
    </xf>
    <xf numFmtId="0" fontId="18" fillId="10" borderId="105" xfId="0" applyFont="1" applyFill="1" applyBorder="1" applyAlignment="1">
      <alignment horizontal="center"/>
    </xf>
    <xf numFmtId="1" fontId="18" fillId="10" borderId="10" xfId="0" applyNumberFormat="1" applyFont="1" applyFill="1" applyBorder="1" applyAlignment="1">
      <alignment horizontal="center"/>
    </xf>
    <xf numFmtId="1" fontId="18" fillId="10" borderId="105" xfId="0" applyNumberFormat="1" applyFont="1" applyFill="1" applyBorder="1" applyAlignment="1">
      <alignment horizontal="center"/>
    </xf>
    <xf numFmtId="0" fontId="18" fillId="11" borderId="90" xfId="0" applyFont="1" applyFill="1" applyBorder="1" applyAlignment="1">
      <alignment horizontal="left"/>
    </xf>
    <xf numFmtId="1" fontId="18" fillId="11" borderId="90" xfId="0" applyNumberFormat="1" applyFont="1" applyFill="1" applyBorder="1" applyAlignment="1">
      <alignment horizontal="left"/>
    </xf>
    <xf numFmtId="0" fontId="18" fillId="11" borderId="54" xfId="0" applyFont="1" applyFill="1" applyBorder="1" applyAlignment="1">
      <alignment horizontal="left"/>
    </xf>
    <xf numFmtId="0" fontId="18" fillId="11" borderId="6" xfId="0" applyFont="1" applyFill="1" applyBorder="1" applyAlignment="1">
      <alignment horizontal="left"/>
    </xf>
    <xf numFmtId="0" fontId="18" fillId="11" borderId="26" xfId="0" applyFont="1" applyFill="1" applyBorder="1" applyAlignment="1">
      <alignment horizontal="left"/>
    </xf>
    <xf numFmtId="1" fontId="18" fillId="11" borderId="80" xfId="0" applyNumberFormat="1" applyFont="1" applyFill="1" applyBorder="1" applyAlignment="1">
      <alignment horizontal="left"/>
    </xf>
    <xf numFmtId="1" fontId="18" fillId="11" borderId="81" xfId="0" applyNumberFormat="1" applyFont="1" applyFill="1" applyBorder="1" applyAlignment="1">
      <alignment horizontal="left"/>
    </xf>
    <xf numFmtId="0" fontId="38" fillId="0" borderId="0" xfId="2" applyFont="1" applyAlignment="1">
      <alignment horizontal="left" vertical="center" wrapText="1"/>
    </xf>
    <xf numFmtId="0" fontId="38" fillId="0" borderId="0" xfId="2" applyFont="1" applyAlignment="1">
      <alignment horizontal="left" vertical="top"/>
    </xf>
    <xf numFmtId="0" fontId="41" fillId="2" borderId="3" xfId="3" applyFont="1" applyFill="1" applyBorder="1" applyAlignment="1">
      <alignment horizontal="center" vertical="center"/>
    </xf>
    <xf numFmtId="0" fontId="41" fillId="2" borderId="4" xfId="3" applyFont="1" applyFill="1" applyBorder="1" applyAlignment="1">
      <alignment horizontal="center" vertical="center"/>
    </xf>
    <xf numFmtId="0" fontId="41" fillId="2" borderId="104" xfId="3" applyFont="1" applyFill="1" applyBorder="1" applyAlignment="1">
      <alignment horizontal="center" vertical="center"/>
    </xf>
    <xf numFmtId="0" fontId="41" fillId="3" borderId="100" xfId="0" applyFont="1" applyFill="1" applyBorder="1" applyAlignment="1">
      <alignment horizontal="center" vertical="center" wrapText="1"/>
    </xf>
    <xf numFmtId="0" fontId="41" fillId="3" borderId="30" xfId="0" applyFont="1" applyFill="1" applyBorder="1" applyAlignment="1">
      <alignment horizontal="center" vertical="center" wrapText="1"/>
    </xf>
    <xf numFmtId="0" fontId="18" fillId="11" borderId="79" xfId="0" applyFont="1" applyFill="1" applyBorder="1" applyAlignment="1">
      <alignment horizontal="left"/>
    </xf>
    <xf numFmtId="0" fontId="18" fillId="11" borderId="80" xfId="0" applyFont="1" applyFill="1" applyBorder="1" applyAlignment="1">
      <alignment horizontal="left"/>
    </xf>
    <xf numFmtId="0" fontId="18" fillId="11" borderId="89" xfId="0" applyFont="1" applyFill="1" applyBorder="1" applyAlignment="1">
      <alignment horizontal="left"/>
    </xf>
    <xf numFmtId="0" fontId="18" fillId="11" borderId="87" xfId="0" applyFont="1" applyFill="1" applyBorder="1" applyAlignment="1">
      <alignment horizontal="left"/>
    </xf>
    <xf numFmtId="0" fontId="18" fillId="11" borderId="97" xfId="0" applyFont="1" applyFill="1" applyBorder="1" applyAlignment="1">
      <alignment horizontal="left"/>
    </xf>
    <xf numFmtId="1" fontId="18" fillId="11" borderId="87" xfId="0" applyNumberFormat="1" applyFont="1" applyFill="1" applyBorder="1" applyAlignment="1">
      <alignment horizontal="left"/>
    </xf>
    <xf numFmtId="1" fontId="18" fillId="11" borderId="78" xfId="0" applyNumberFormat="1" applyFont="1" applyFill="1" applyBorder="1" applyAlignment="1">
      <alignment horizontal="left"/>
    </xf>
    <xf numFmtId="166" fontId="41" fillId="0" borderId="32" xfId="4" applyNumberFormat="1" applyFont="1" applyBorder="1" applyAlignment="1">
      <alignment horizontal="center" vertical="center" wrapText="1"/>
    </xf>
    <xf numFmtId="166" fontId="41" fillId="0" borderId="33" xfId="4" applyNumberFormat="1" applyFont="1" applyBorder="1" applyAlignment="1">
      <alignment horizontal="center" vertical="center" wrapText="1"/>
    </xf>
    <xf numFmtId="166" fontId="41" fillId="4" borderId="95" xfId="4" applyNumberFormat="1" applyFont="1" applyFill="1" applyBorder="1" applyAlignment="1">
      <alignment horizontal="center" vertical="center" wrapText="1"/>
    </xf>
    <xf numFmtId="166" fontId="41" fillId="4" borderId="0" xfId="4" applyNumberFormat="1" applyFont="1" applyFill="1" applyBorder="1" applyAlignment="1">
      <alignment horizontal="center" vertical="center" wrapText="1"/>
    </xf>
    <xf numFmtId="0" fontId="18" fillId="10" borderId="45" xfId="0" applyFont="1" applyFill="1" applyBorder="1" applyAlignment="1">
      <alignment horizontal="center"/>
    </xf>
    <xf numFmtId="0" fontId="18" fillId="10" borderId="46" xfId="0" applyFont="1" applyFill="1" applyBorder="1" applyAlignment="1">
      <alignment horizontal="center"/>
    </xf>
    <xf numFmtId="0" fontId="18" fillId="10" borderId="48" xfId="0" applyFont="1" applyFill="1" applyBorder="1" applyAlignment="1">
      <alignment horizontal="center"/>
    </xf>
    <xf numFmtId="0" fontId="18" fillId="11" borderId="60" xfId="0" applyFont="1" applyFill="1" applyBorder="1" applyAlignment="1">
      <alignment horizontal="left"/>
    </xf>
    <xf numFmtId="0" fontId="18" fillId="11" borderId="46" xfId="0" applyFont="1" applyFill="1" applyBorder="1" applyAlignment="1">
      <alignment horizontal="left"/>
    </xf>
    <xf numFmtId="0" fontId="18" fillId="11" borderId="48" xfId="0" applyFont="1" applyFill="1" applyBorder="1" applyAlignment="1">
      <alignment horizontal="left"/>
    </xf>
    <xf numFmtId="166" fontId="41" fillId="4" borderId="100" xfId="4" applyNumberFormat="1" applyFont="1" applyFill="1" applyBorder="1" applyAlignment="1">
      <alignment horizontal="center" vertical="center" wrapText="1"/>
    </xf>
    <xf numFmtId="166" fontId="41" fillId="4" borderId="30" xfId="4" applyNumberFormat="1" applyFont="1" applyFill="1" applyBorder="1" applyAlignment="1">
      <alignment horizontal="center" vertical="center" wrapText="1"/>
    </xf>
    <xf numFmtId="166" fontId="41" fillId="4" borderId="104" xfId="4" applyNumberFormat="1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/>
    </xf>
    <xf numFmtId="0" fontId="18" fillId="11" borderId="0" xfId="0" applyFont="1" applyFill="1" applyAlignment="1">
      <alignment horizontal="left"/>
    </xf>
    <xf numFmtId="0" fontId="18" fillId="11" borderId="74" xfId="0" applyFont="1" applyFill="1" applyBorder="1" applyAlignment="1">
      <alignment horizontal="left"/>
    </xf>
    <xf numFmtId="1" fontId="18" fillId="11" borderId="79" xfId="0" applyNumberFormat="1" applyFont="1" applyFill="1" applyBorder="1" applyAlignment="1">
      <alignment horizontal="left"/>
    </xf>
    <xf numFmtId="0" fontId="18" fillId="10" borderId="95" xfId="0" applyFont="1" applyFill="1" applyBorder="1" applyAlignment="1">
      <alignment horizontal="center"/>
    </xf>
    <xf numFmtId="0" fontId="18" fillId="10" borderId="92" xfId="0" applyFont="1" applyFill="1" applyBorder="1" applyAlignment="1">
      <alignment horizontal="center"/>
    </xf>
    <xf numFmtId="1" fontId="18" fillId="10" borderId="55" xfId="0" applyNumberFormat="1" applyFont="1" applyFill="1" applyBorder="1" applyAlignment="1">
      <alignment horizontal="center"/>
    </xf>
    <xf numFmtId="1" fontId="18" fillId="10" borderId="46" xfId="0" applyNumberFormat="1" applyFont="1" applyFill="1" applyBorder="1" applyAlignment="1">
      <alignment horizontal="center"/>
    </xf>
    <xf numFmtId="1" fontId="18" fillId="10" borderId="48" xfId="0" applyNumberFormat="1" applyFont="1" applyFill="1" applyBorder="1" applyAlignment="1">
      <alignment horizontal="center"/>
    </xf>
    <xf numFmtId="1" fontId="18" fillId="11" borderId="97" xfId="0" applyNumberFormat="1" applyFont="1" applyFill="1" applyBorder="1" applyAlignment="1">
      <alignment horizontal="left"/>
    </xf>
    <xf numFmtId="1" fontId="18" fillId="11" borderId="74" xfId="0" applyNumberFormat="1" applyFont="1" applyFill="1" applyBorder="1" applyAlignment="1">
      <alignment horizontal="left"/>
    </xf>
    <xf numFmtId="1" fontId="18" fillId="11" borderId="75" xfId="0" applyNumberFormat="1" applyFont="1" applyFill="1" applyBorder="1" applyAlignment="1">
      <alignment horizontal="left"/>
    </xf>
    <xf numFmtId="0" fontId="36" fillId="10" borderId="0" xfId="0" applyFont="1" applyFill="1" applyAlignment="1">
      <alignment horizontal="center"/>
    </xf>
    <xf numFmtId="0" fontId="36" fillId="11" borderId="0" xfId="0" applyFont="1" applyFill="1" applyAlignment="1">
      <alignment horizontal="left"/>
    </xf>
    <xf numFmtId="0" fontId="36" fillId="11" borderId="9" xfId="0" applyFont="1" applyFill="1" applyBorder="1" applyAlignment="1">
      <alignment horizontal="left"/>
    </xf>
    <xf numFmtId="0" fontId="36" fillId="11" borderId="10" xfId="0" applyFont="1" applyFill="1" applyBorder="1" applyAlignment="1">
      <alignment horizontal="left"/>
    </xf>
    <xf numFmtId="0" fontId="36" fillId="11" borderId="54" xfId="0" applyFont="1" applyFill="1" applyBorder="1" applyAlignment="1">
      <alignment horizontal="left"/>
    </xf>
    <xf numFmtId="0" fontId="36" fillId="11" borderId="6" xfId="0" applyFont="1" applyFill="1" applyBorder="1" applyAlignment="1">
      <alignment horizontal="left"/>
    </xf>
    <xf numFmtId="0" fontId="36" fillId="10" borderId="9" xfId="0" applyFont="1" applyFill="1" applyBorder="1" applyAlignment="1">
      <alignment horizontal="center"/>
    </xf>
    <xf numFmtId="0" fontId="36" fillId="10" borderId="10" xfId="0" applyFont="1" applyFill="1" applyBorder="1" applyAlignment="1">
      <alignment horizontal="center"/>
    </xf>
    <xf numFmtId="0" fontId="36" fillId="10" borderId="105" xfId="0" applyFont="1" applyFill="1" applyBorder="1" applyAlignment="1">
      <alignment horizontal="center"/>
    </xf>
    <xf numFmtId="0" fontId="36" fillId="11" borderId="89" xfId="0" applyFont="1" applyFill="1" applyBorder="1" applyAlignment="1">
      <alignment horizontal="left"/>
    </xf>
    <xf numFmtId="0" fontId="36" fillId="11" borderId="87" xfId="0" applyFont="1" applyFill="1" applyBorder="1" applyAlignment="1">
      <alignment horizontal="left"/>
    </xf>
    <xf numFmtId="0" fontId="36" fillId="11" borderId="97" xfId="0" applyFont="1" applyFill="1" applyBorder="1" applyAlignment="1">
      <alignment horizontal="left"/>
    </xf>
    <xf numFmtId="0" fontId="36" fillId="11" borderId="55" xfId="0" applyFont="1" applyFill="1" applyBorder="1" applyAlignment="1">
      <alignment horizontal="left"/>
    </xf>
    <xf numFmtId="166" fontId="28" fillId="0" borderId="32" xfId="4" applyNumberFormat="1" applyFont="1" applyBorder="1" applyAlignment="1">
      <alignment horizontal="center" vertical="center" wrapText="1"/>
    </xf>
    <xf numFmtId="166" fontId="28" fillId="0" borderId="33" xfId="4" applyNumberFormat="1" applyFont="1" applyBorder="1" applyAlignment="1">
      <alignment horizontal="center" vertical="center" wrapText="1"/>
    </xf>
    <xf numFmtId="0" fontId="25" fillId="0" borderId="0" xfId="2" applyFont="1" applyAlignment="1">
      <alignment horizontal="left" vertical="center" wrapText="1"/>
    </xf>
    <xf numFmtId="0" fontId="25" fillId="0" borderId="0" xfId="2" applyFont="1" applyAlignment="1">
      <alignment horizontal="left" vertical="top"/>
    </xf>
    <xf numFmtId="0" fontId="28" fillId="2" borderId="3" xfId="3" applyFont="1" applyFill="1" applyBorder="1" applyAlignment="1">
      <alignment horizontal="center" vertical="center"/>
    </xf>
    <xf numFmtId="0" fontId="28" fillId="2" borderId="4" xfId="3" applyFont="1" applyFill="1" applyBorder="1" applyAlignment="1">
      <alignment horizontal="center" vertical="center"/>
    </xf>
    <xf numFmtId="0" fontId="28" fillId="2" borderId="104" xfId="3" applyFont="1" applyFill="1" applyBorder="1" applyAlignment="1">
      <alignment horizontal="center" vertical="center"/>
    </xf>
    <xf numFmtId="0" fontId="28" fillId="3" borderId="100" xfId="0" applyFont="1" applyFill="1" applyBorder="1" applyAlignment="1">
      <alignment horizontal="center" vertical="center" wrapText="1"/>
    </xf>
    <xf numFmtId="0" fontId="28" fillId="3" borderId="30" xfId="0" applyFont="1" applyFill="1" applyBorder="1" applyAlignment="1">
      <alignment horizontal="center" vertical="center" wrapText="1"/>
    </xf>
    <xf numFmtId="166" fontId="28" fillId="4" borderId="100" xfId="4" applyNumberFormat="1" applyFont="1" applyFill="1" applyBorder="1" applyAlignment="1">
      <alignment horizontal="center" vertical="center" wrapText="1"/>
    </xf>
    <xf numFmtId="166" fontId="28" fillId="4" borderId="30" xfId="4" applyNumberFormat="1" applyFont="1" applyFill="1" applyBorder="1" applyAlignment="1">
      <alignment horizontal="center" vertical="center" wrapText="1"/>
    </xf>
    <xf numFmtId="166" fontId="28" fillId="4" borderId="104" xfId="4" applyNumberFormat="1" applyFont="1" applyFill="1" applyBorder="1" applyAlignment="1">
      <alignment horizontal="center" vertical="center" wrapText="1"/>
    </xf>
    <xf numFmtId="166" fontId="28" fillId="4" borderId="95" xfId="4" applyNumberFormat="1" applyFont="1" applyFill="1" applyBorder="1" applyAlignment="1">
      <alignment horizontal="center" vertical="center" wrapText="1"/>
    </xf>
    <xf numFmtId="166" fontId="28" fillId="4" borderId="0" xfId="4" applyNumberFormat="1" applyFont="1" applyFill="1" applyBorder="1" applyAlignment="1">
      <alignment horizontal="center" vertical="center" wrapText="1"/>
    </xf>
    <xf numFmtId="0" fontId="36" fillId="11" borderId="95" xfId="0" applyFont="1" applyFill="1" applyBorder="1" applyAlignment="1">
      <alignment horizontal="left"/>
    </xf>
    <xf numFmtId="0" fontId="36" fillId="10" borderId="53" xfId="0" applyFont="1" applyFill="1" applyBorder="1" applyAlignment="1">
      <alignment horizontal="center"/>
    </xf>
    <xf numFmtId="0" fontId="36" fillId="10" borderId="84" xfId="0" applyFont="1" applyFill="1" applyBorder="1" applyAlignment="1">
      <alignment horizontal="center"/>
    </xf>
    <xf numFmtId="0" fontId="36" fillId="10" borderId="56" xfId="0" applyFont="1" applyFill="1" applyBorder="1" applyAlignment="1">
      <alignment horizontal="center"/>
    </xf>
    <xf numFmtId="0" fontId="36" fillId="11" borderId="68" xfId="0" applyFont="1" applyFill="1" applyBorder="1" applyAlignment="1">
      <alignment horizontal="left"/>
    </xf>
    <xf numFmtId="0" fontId="36" fillId="11" borderId="52" xfId="0" applyFont="1" applyFill="1" applyBorder="1" applyAlignment="1">
      <alignment horizontal="left"/>
    </xf>
    <xf numFmtId="0" fontId="36" fillId="10" borderId="100" xfId="0" applyFont="1" applyFill="1" applyBorder="1" applyAlignment="1">
      <alignment horizontal="center"/>
    </xf>
    <xf numFmtId="0" fontId="36" fillId="10" borderId="30" xfId="0" applyFont="1" applyFill="1" applyBorder="1" applyAlignment="1">
      <alignment horizontal="center"/>
    </xf>
    <xf numFmtId="0" fontId="36" fillId="10" borderId="104" xfId="0" applyFont="1" applyFill="1" applyBorder="1" applyAlignment="1">
      <alignment horizontal="center"/>
    </xf>
    <xf numFmtId="0" fontId="36" fillId="10" borderId="95" xfId="0" applyFont="1" applyFill="1" applyBorder="1" applyAlignment="1">
      <alignment horizontal="center"/>
    </xf>
    <xf numFmtId="0" fontId="36" fillId="10" borderId="92" xfId="0" applyFont="1" applyFill="1" applyBorder="1" applyAlignment="1">
      <alignment horizontal="center"/>
    </xf>
    <xf numFmtId="0" fontId="36" fillId="11" borderId="105" xfId="0" applyFont="1" applyFill="1" applyBorder="1" applyAlignment="1">
      <alignment horizontal="left"/>
    </xf>
    <xf numFmtId="0" fontId="36" fillId="11" borderId="99" xfId="0" applyFont="1" applyFill="1" applyBorder="1" applyAlignment="1">
      <alignment horizontal="left"/>
    </xf>
    <xf numFmtId="0" fontId="36" fillId="11" borderId="11" xfId="0" applyFont="1" applyFill="1" applyBorder="1" applyAlignment="1">
      <alignment horizontal="left"/>
    </xf>
    <xf numFmtId="4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center" vertical="center"/>
    </xf>
    <xf numFmtId="0" fontId="10" fillId="8" borderId="34" xfId="0" applyFont="1" applyFill="1" applyBorder="1" applyAlignment="1">
      <alignment horizontal="left" vertical="center"/>
    </xf>
    <xf numFmtId="0" fontId="10" fillId="8" borderId="34" xfId="0" applyFont="1" applyFill="1" applyBorder="1" applyAlignment="1">
      <alignment vertical="center"/>
    </xf>
    <xf numFmtId="0" fontId="10" fillId="8" borderId="0" xfId="0" applyFont="1" applyFill="1" applyAlignment="1">
      <alignment vertical="center"/>
    </xf>
    <xf numFmtId="0" fontId="11" fillId="8" borderId="34" xfId="0" applyFont="1" applyFill="1" applyBorder="1" applyAlignment="1">
      <alignment horizontal="left" vertical="top"/>
    </xf>
    <xf numFmtId="0" fontId="13" fillId="8" borderId="34" xfId="0" applyFont="1" applyFill="1" applyBorder="1" applyAlignment="1">
      <alignment horizontal="center" vertical="center" wrapText="1"/>
    </xf>
    <xf numFmtId="0" fontId="13" fillId="8" borderId="0" xfId="0" applyFont="1" applyFill="1" applyAlignment="1">
      <alignment horizontal="center" vertical="center" wrapText="1"/>
    </xf>
    <xf numFmtId="0" fontId="2" fillId="0" borderId="9" xfId="0" applyFont="1" applyBorder="1" applyAlignment="1">
      <alignment horizontal="left"/>
    </xf>
    <xf numFmtId="0" fontId="2" fillId="0" borderId="10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7" borderId="0" xfId="0" applyFont="1" applyFill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4" fontId="0" fillId="0" borderId="17" xfId="8" applyFont="1" applyBorder="1" applyAlignment="1">
      <alignment horizontal="center"/>
    </xf>
    <xf numFmtId="44" fontId="0" fillId="0" borderId="18" xfId="8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44" fontId="0" fillId="0" borderId="20" xfId="8" applyFont="1" applyBorder="1" applyAlignment="1">
      <alignment horizontal="center"/>
    </xf>
    <xf numFmtId="44" fontId="0" fillId="0" borderId="22" xfId="8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8" xfId="0" applyBorder="1" applyAlignment="1">
      <alignment horizontal="left"/>
    </xf>
    <xf numFmtId="0" fontId="2" fillId="0" borderId="14" xfId="0" applyFont="1" applyBorder="1" applyAlignment="1">
      <alignment horizontal="center"/>
    </xf>
    <xf numFmtId="0" fontId="0" fillId="0" borderId="24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25" xfId="0" applyBorder="1" applyAlignment="1">
      <alignment horizontal="left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6" fillId="0" borderId="99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06" xfId="0" applyFont="1" applyBorder="1" applyAlignment="1">
      <alignment horizontal="center" vertical="center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5" xfId="0" applyBorder="1" applyAlignment="1">
      <alignment horizontal="left"/>
    </xf>
    <xf numFmtId="44" fontId="17" fillId="0" borderId="46" xfId="0" applyNumberFormat="1" applyFont="1" applyBorder="1" applyAlignment="1">
      <alignment horizontal="center"/>
    </xf>
  </cellXfs>
  <cellStyles count="26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3 2 2" xfId="23" xr:uid="{B9D00E9A-DE4E-4027-94ED-4A332556C96D}"/>
    <cellStyle name="Moeda 3 3" xfId="19" xr:uid="{94605F6A-C77E-4E8A-A71E-1EAAF1F8B5CC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4 2 2 2" xfId="24" xr:uid="{27E0942E-733A-4B23-BAE9-1994E2BC4C0B}"/>
    <cellStyle name="Moeda 4 2 3" xfId="20" xr:uid="{10E49F19-CF6C-499B-9BA1-581F63D8A003}"/>
    <cellStyle name="Moeda 5" xfId="11" xr:uid="{2124AE60-0557-4AC3-B48A-633CB17E3340}"/>
    <cellStyle name="Moeda 5 2" xfId="17" xr:uid="{0C993D40-EFA9-480A-9766-C4BE8F04E4F7}"/>
    <cellStyle name="Moeda 5 2 2" xfId="25" xr:uid="{44E9E63E-2A1E-421A-A4B7-08313DEF9C5C}"/>
    <cellStyle name="Moeda 5 3" xfId="21" xr:uid="{271CE193-6240-4DE3-BBAE-638699C93BC4}"/>
    <cellStyle name="Moeda 6" xfId="14" xr:uid="{574A822A-71B7-46B2-A0C3-1C5E8591DADA}"/>
    <cellStyle name="Moeda 6 2" xfId="22" xr:uid="{FF2501E2-CBB6-4947-9027-3346CB06705C}"/>
    <cellStyle name="Moeda 7" xfId="18" xr:uid="{193A8759-EDB5-478B-A722-F3048D343C85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655320</xdr:colOff>
          <xdr:row>0</xdr:row>
          <xdr:rowOff>152400</xdr:rowOff>
        </xdr:from>
        <xdr:to>
          <xdr:col>5</xdr:col>
          <xdr:colOff>518160</xdr:colOff>
          <xdr:row>1</xdr:row>
          <xdr:rowOff>60960</xdr:rowOff>
        </xdr:to>
        <xdr:sp macro="" textlink="">
          <xdr:nvSpPr>
            <xdr:cNvPr id="23553" name="Label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250031</xdr:colOff>
      <xdr:row>0</xdr:row>
      <xdr:rowOff>130971</xdr:rowOff>
    </xdr:from>
    <xdr:to>
      <xdr:col>1</xdr:col>
      <xdr:colOff>624225</xdr:colOff>
      <xdr:row>0</xdr:row>
      <xdr:rowOff>509588</xdr:rowOff>
    </xdr:to>
    <xdr:pic macro="[0]!ChamaForm_Menu">
      <xdr:nvPicPr>
        <xdr:cNvPr id="2" name="Imagem 1">
          <a:extLst>
            <a:ext uri="{FF2B5EF4-FFF2-40B4-BE49-F238E27FC236}">
              <a16:creationId xmlns:a16="http://schemas.microsoft.com/office/drawing/2014/main" id="{EF5DD17D-65E5-40CB-9B3E-4FA7C71BC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2267" cy="3722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63</xdr:col>
          <xdr:colOff>198120</xdr:colOff>
          <xdr:row>0</xdr:row>
          <xdr:rowOff>190500</xdr:rowOff>
        </xdr:from>
        <xdr:to>
          <xdr:col>64</xdr:col>
          <xdr:colOff>556260</xdr:colOff>
          <xdr:row>1</xdr:row>
          <xdr:rowOff>106680</xdr:rowOff>
        </xdr:to>
        <xdr:sp macro="" textlink="">
          <xdr:nvSpPr>
            <xdr:cNvPr id="23554" name="Label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62</xdr:col>
      <xdr:colOff>361455</xdr:colOff>
      <xdr:row>0</xdr:row>
      <xdr:rowOff>185741</xdr:rowOff>
    </xdr:from>
    <xdr:to>
      <xdr:col>63</xdr:col>
      <xdr:colOff>187622</xdr:colOff>
      <xdr:row>0</xdr:row>
      <xdr:rowOff>548483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F88C1B43-5247-450D-B9B4-B0686500E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25873" y="179391"/>
          <a:ext cx="365917" cy="362742"/>
        </a:xfrm>
        <a:prstGeom prst="rect">
          <a:avLst/>
        </a:prstGeom>
      </xdr:spPr>
    </xdr:pic>
    <xdr:clientData/>
  </xdr:twoCellAnchor>
  <xdr:oneCellAnchor>
    <xdr:from>
      <xdr:col>10</xdr:col>
      <xdr:colOff>688637</xdr:colOff>
      <xdr:row>1</xdr:row>
      <xdr:rowOff>39121</xdr:rowOff>
    </xdr:from>
    <xdr:ext cx="2776118" cy="1993675"/>
    <xdr:pic>
      <xdr:nvPicPr>
        <xdr:cNvPr id="4" name="Imagem 3">
          <a:extLst>
            <a:ext uri="{FF2B5EF4-FFF2-40B4-BE49-F238E27FC236}">
              <a16:creationId xmlns:a16="http://schemas.microsoft.com/office/drawing/2014/main" id="{85D7F44F-2C46-4302-9643-B8EE58CBD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75137" y="665050"/>
          <a:ext cx="2776118" cy="199367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234950</xdr:colOff>
      <xdr:row>0</xdr:row>
      <xdr:rowOff>139700</xdr:rowOff>
    </xdr:from>
    <xdr:to>
      <xdr:col>5</xdr:col>
      <xdr:colOff>1156608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31745"/>
            </a:ext>
            <a:ext uri="{FF2B5EF4-FFF2-40B4-BE49-F238E27FC236}">
              <a16:creationId xmlns:a16="http://schemas.microsoft.com/office/drawing/2014/main" id="{121C2FE2-6DFE-4801-984E-171F64F7D80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5</xdr:col>
      <xdr:colOff>192879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8026DC42-F034-48FD-AC8E-C6BD17832A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1473" cy="375442"/>
        </a:xfrm>
        <a:prstGeom prst="rect">
          <a:avLst/>
        </a:prstGeom>
      </xdr:spPr>
    </xdr:pic>
    <xdr:clientData/>
  </xdr:twoCellAnchor>
  <xdr:twoCellAnchor editAs="absolute">
    <xdr:from>
      <xdr:col>53</xdr:col>
      <xdr:colOff>49893</xdr:colOff>
      <xdr:row>0</xdr:row>
      <xdr:rowOff>190500</xdr:rowOff>
    </xdr:from>
    <xdr:to>
      <xdr:col>54</xdr:col>
      <xdr:colOff>308429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31746"/>
            </a:ext>
            <a:ext uri="{FF2B5EF4-FFF2-40B4-BE49-F238E27FC236}">
              <a16:creationId xmlns:a16="http://schemas.microsoft.com/office/drawing/2014/main" id="{90B84FCD-40AB-40B7-9EC1-B8F134BA80A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52</xdr:col>
      <xdr:colOff>159541</xdr:colOff>
      <xdr:row>0</xdr:row>
      <xdr:rowOff>182566</xdr:rowOff>
    </xdr:from>
    <xdr:to>
      <xdr:col>52</xdr:col>
      <xdr:colOff>557208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E8E74BA1-3A36-48B2-BE9F-C5E055144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55002" y="182566"/>
          <a:ext cx="410367" cy="362742"/>
        </a:xfrm>
        <a:prstGeom prst="rect">
          <a:avLst/>
        </a:prstGeom>
      </xdr:spPr>
    </xdr:pic>
    <xdr:clientData/>
  </xdr:twoCellAnchor>
  <xdr:oneCellAnchor>
    <xdr:from>
      <xdr:col>11</xdr:col>
      <xdr:colOff>787061</xdr:colOff>
      <xdr:row>0</xdr:row>
      <xdr:rowOff>593839</xdr:rowOff>
    </xdr:from>
    <xdr:ext cx="2776118" cy="1993675"/>
    <xdr:pic>
      <xdr:nvPicPr>
        <xdr:cNvPr id="6" name="Imagem 5">
          <a:extLst>
            <a:ext uri="{FF2B5EF4-FFF2-40B4-BE49-F238E27FC236}">
              <a16:creationId xmlns:a16="http://schemas.microsoft.com/office/drawing/2014/main" id="{F1FA2B17-15AC-486B-8EE5-56957BCA8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07061" y="593839"/>
          <a:ext cx="2776118" cy="1993675"/>
        </a:xfrm>
        <a:prstGeom prst="rect">
          <a:avLst/>
        </a:prstGeom>
      </xdr:spPr>
    </xdr:pic>
    <xdr:clientData/>
  </xdr:oneCellAnchor>
  <xdr:twoCellAnchor editAs="absolute">
    <xdr:from>
      <xdr:col>5</xdr:col>
      <xdr:colOff>234950</xdr:colOff>
      <xdr:row>0</xdr:row>
      <xdr:rowOff>139700</xdr:rowOff>
    </xdr:from>
    <xdr:to>
      <xdr:col>5</xdr:col>
      <xdr:colOff>1156608</xdr:colOff>
      <xdr:row>1</xdr:row>
      <xdr:rowOff>57150</xdr:rowOff>
    </xdr:to>
    <xdr:pic>
      <xdr:nvPicPr>
        <xdr:cNvPr id="31745" name="Label1">
          <a:extLst>
            <a:ext uri="{FF2B5EF4-FFF2-40B4-BE49-F238E27FC236}">
              <a16:creationId xmlns:a16="http://schemas.microsoft.com/office/drawing/2014/main" id="{4260462E-2DC4-59E2-4D3F-95E5694AF36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3100" y="146050"/>
          <a:ext cx="971550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53</xdr:col>
      <xdr:colOff>49893</xdr:colOff>
      <xdr:row>0</xdr:row>
      <xdr:rowOff>190500</xdr:rowOff>
    </xdr:from>
    <xdr:to>
      <xdr:col>54</xdr:col>
      <xdr:colOff>308429</xdr:colOff>
      <xdr:row>1</xdr:row>
      <xdr:rowOff>120650</xdr:rowOff>
    </xdr:to>
    <xdr:pic>
      <xdr:nvPicPr>
        <xdr:cNvPr id="31746" name="Label2">
          <a:extLst>
            <a:ext uri="{FF2B5EF4-FFF2-40B4-BE49-F238E27FC236}">
              <a16:creationId xmlns:a16="http://schemas.microsoft.com/office/drawing/2014/main" id="{7217C9E5-AEA8-9988-A52B-C45F93D2339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60850" y="190500"/>
          <a:ext cx="977900" cy="5651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238125</xdr:colOff>
      <xdr:row>0</xdr:row>
      <xdr:rowOff>142875</xdr:rowOff>
    </xdr:from>
    <xdr:to>
      <xdr:col>5</xdr:col>
      <xdr:colOff>1156608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31745"/>
            </a:ext>
            <a:ext uri="{FF2B5EF4-FFF2-40B4-BE49-F238E27FC236}">
              <a16:creationId xmlns:a16="http://schemas.microsoft.com/office/drawing/2014/main" id="{04712578-68EF-4500-8B12-C1349731764D}"/>
            </a:ext>
          </a:extLst>
        </xdr:cNvPr>
        <xdr:cNvSpPr/>
      </xdr:nvSpPr>
      <xdr:spPr bwMode="auto">
        <a:xfrm>
          <a:off x="666750" y="139700"/>
          <a:ext cx="977900" cy="546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5</xdr:col>
      <xdr:colOff>192879</xdr:colOff>
      <xdr:row>0</xdr:row>
      <xdr:rowOff>503238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EDFC05DB-40E7-411A-877E-D7EFAD45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4648" cy="375442"/>
        </a:xfrm>
        <a:prstGeom prst="rect">
          <a:avLst/>
        </a:prstGeom>
      </xdr:spPr>
    </xdr:pic>
    <xdr:clientData/>
  </xdr:twoCellAnchor>
  <xdr:twoCellAnchor editAs="absolute">
    <xdr:from>
      <xdr:col>51</xdr:col>
      <xdr:colOff>115207</xdr:colOff>
      <xdr:row>0</xdr:row>
      <xdr:rowOff>190500</xdr:rowOff>
    </xdr:from>
    <xdr:to>
      <xdr:col>52</xdr:col>
      <xdr:colOff>405039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31746"/>
            </a:ext>
            <a:ext uri="{FF2B5EF4-FFF2-40B4-BE49-F238E27FC236}">
              <a16:creationId xmlns:a16="http://schemas.microsoft.com/office/drawing/2014/main" id="{83CB3249-D5B2-4F01-AC36-084FD595AAA7}"/>
            </a:ext>
          </a:extLst>
        </xdr:cNvPr>
        <xdr:cNvSpPr/>
      </xdr:nvSpPr>
      <xdr:spPr bwMode="auto">
        <a:xfrm>
          <a:off x="29641800" y="190500"/>
          <a:ext cx="984250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50</xdr:col>
      <xdr:colOff>215330</xdr:colOff>
      <xdr:row>0</xdr:row>
      <xdr:rowOff>179391</xdr:rowOff>
    </xdr:from>
    <xdr:to>
      <xdr:col>51</xdr:col>
      <xdr:colOff>28797</xdr:colOff>
      <xdr:row>0</xdr:row>
      <xdr:rowOff>542133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A5D8B77A-C752-48AE-A8E9-B36D3EC1C6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9127" y="182566"/>
          <a:ext cx="410367" cy="362742"/>
        </a:xfrm>
        <a:prstGeom prst="rect">
          <a:avLst/>
        </a:prstGeom>
      </xdr:spPr>
    </xdr:pic>
    <xdr:clientData/>
  </xdr:twoCellAnchor>
  <xdr:oneCellAnchor>
    <xdr:from>
      <xdr:col>11</xdr:col>
      <xdr:colOff>555740</xdr:colOff>
      <xdr:row>2</xdr:row>
      <xdr:rowOff>103981</xdr:rowOff>
    </xdr:from>
    <xdr:ext cx="2776118" cy="1993675"/>
    <xdr:pic>
      <xdr:nvPicPr>
        <xdr:cNvPr id="6" name="Imagem 5">
          <a:extLst>
            <a:ext uri="{FF2B5EF4-FFF2-40B4-BE49-F238E27FC236}">
              <a16:creationId xmlns:a16="http://schemas.microsoft.com/office/drawing/2014/main" id="{EADDBA33-FFD4-4BB2-8D45-A8FBEF664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09883" y="1042874"/>
          <a:ext cx="2776118" cy="1993675"/>
        </a:xfrm>
        <a:prstGeom prst="rect">
          <a:avLst/>
        </a:prstGeom>
      </xdr:spPr>
    </xdr:pic>
    <xdr:clientData/>
  </xdr:oneCellAnchor>
  <xdr:twoCellAnchor editAs="absolute">
    <xdr:from>
      <xdr:col>5</xdr:col>
      <xdr:colOff>238125</xdr:colOff>
      <xdr:row>0</xdr:row>
      <xdr:rowOff>142875</xdr:rowOff>
    </xdr:from>
    <xdr:to>
      <xdr:col>5</xdr:col>
      <xdr:colOff>1156608</xdr:colOff>
      <xdr:row>1</xdr:row>
      <xdr:rowOff>57150</xdr:rowOff>
    </xdr:to>
    <xdr:pic>
      <xdr:nvPicPr>
        <xdr:cNvPr id="7" name="Label1">
          <a:extLst>
            <a:ext uri="{FF2B5EF4-FFF2-40B4-BE49-F238E27FC236}">
              <a16:creationId xmlns:a16="http://schemas.microsoft.com/office/drawing/2014/main" id="{7BF12161-8B00-4C3B-B9F1-3D78BD92238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3100" y="146050"/>
          <a:ext cx="971550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51</xdr:col>
      <xdr:colOff>137432</xdr:colOff>
      <xdr:row>0</xdr:row>
      <xdr:rowOff>190500</xdr:rowOff>
    </xdr:from>
    <xdr:to>
      <xdr:col>52</xdr:col>
      <xdr:colOff>405039</xdr:colOff>
      <xdr:row>1</xdr:row>
      <xdr:rowOff>123825</xdr:rowOff>
    </xdr:to>
    <xdr:pic>
      <xdr:nvPicPr>
        <xdr:cNvPr id="8" name="Label2">
          <a:extLst>
            <a:ext uri="{FF2B5EF4-FFF2-40B4-BE49-F238E27FC236}">
              <a16:creationId xmlns:a16="http://schemas.microsoft.com/office/drawing/2014/main" id="{D81B3A3B-1A89-4DB7-8301-2E075C45C76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48150" y="190500"/>
          <a:ext cx="977900" cy="5651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654050</xdr:colOff>
      <xdr:row>0</xdr:row>
      <xdr:rowOff>139700</xdr:rowOff>
    </xdr:from>
    <xdr:to>
      <xdr:col>5</xdr:col>
      <xdr:colOff>566058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31745"/>
            </a:ext>
            <a:ext uri="{FF2B5EF4-FFF2-40B4-BE49-F238E27FC236}">
              <a16:creationId xmlns:a16="http://schemas.microsoft.com/office/drawing/2014/main" id="{7F82B250-CFD8-4569-8718-4094C23A8CEA}"/>
            </a:ext>
          </a:extLst>
        </xdr:cNvPr>
        <xdr:cNvSpPr/>
      </xdr:nvSpPr>
      <xdr:spPr bwMode="auto">
        <a:xfrm>
          <a:off x="666750" y="139700"/>
          <a:ext cx="977900" cy="546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611979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2120852B-3BE3-45A6-B8DD-7768E1DF53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4648" cy="375442"/>
        </a:xfrm>
        <a:prstGeom prst="rect">
          <a:avLst/>
        </a:prstGeom>
      </xdr:spPr>
    </xdr:pic>
    <xdr:clientData/>
  </xdr:twoCellAnchor>
  <xdr:twoCellAnchor editAs="absolute">
    <xdr:from>
      <xdr:col>41</xdr:col>
      <xdr:colOff>1341664</xdr:colOff>
      <xdr:row>0</xdr:row>
      <xdr:rowOff>190500</xdr:rowOff>
    </xdr:from>
    <xdr:to>
      <xdr:col>43</xdr:col>
      <xdr:colOff>293914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31746"/>
            </a:ext>
            <a:ext uri="{FF2B5EF4-FFF2-40B4-BE49-F238E27FC236}">
              <a16:creationId xmlns:a16="http://schemas.microsoft.com/office/drawing/2014/main" id="{5C5D3FA5-A00E-4934-A135-12C206B38CFB}"/>
            </a:ext>
          </a:extLst>
        </xdr:cNvPr>
        <xdr:cNvSpPr/>
      </xdr:nvSpPr>
      <xdr:spPr bwMode="auto">
        <a:xfrm>
          <a:off x="29637264" y="190500"/>
          <a:ext cx="980622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41</xdr:col>
      <xdr:colOff>920634</xdr:colOff>
      <xdr:row>0</xdr:row>
      <xdr:rowOff>182566</xdr:rowOff>
    </xdr:from>
    <xdr:to>
      <xdr:col>41</xdr:col>
      <xdr:colOff>1249358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7939FC8F-6961-40C5-B327-2ACBEAB4C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4591" y="182566"/>
          <a:ext cx="410367" cy="362742"/>
        </a:xfrm>
        <a:prstGeom prst="rect">
          <a:avLst/>
        </a:prstGeom>
      </xdr:spPr>
    </xdr:pic>
    <xdr:clientData/>
  </xdr:twoCellAnchor>
  <xdr:oneCellAnchor>
    <xdr:from>
      <xdr:col>12</xdr:col>
      <xdr:colOff>446883</xdr:colOff>
      <xdr:row>4</xdr:row>
      <xdr:rowOff>103982</xdr:rowOff>
    </xdr:from>
    <xdr:ext cx="2776118" cy="1993675"/>
    <xdr:pic>
      <xdr:nvPicPr>
        <xdr:cNvPr id="6" name="Imagem 5">
          <a:extLst>
            <a:ext uri="{FF2B5EF4-FFF2-40B4-BE49-F238E27FC236}">
              <a16:creationId xmlns:a16="http://schemas.microsoft.com/office/drawing/2014/main" id="{2128BD59-ECBA-40AF-B2FE-64DC4E635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550812" y="1559946"/>
          <a:ext cx="2776118" cy="1993675"/>
        </a:xfrm>
        <a:prstGeom prst="rect">
          <a:avLst/>
        </a:prstGeom>
      </xdr:spPr>
    </xdr:pic>
    <xdr:clientData/>
  </xdr:oneCellAnchor>
  <xdr:twoCellAnchor editAs="absolute">
    <xdr:from>
      <xdr:col>1</xdr:col>
      <xdr:colOff>654050</xdr:colOff>
      <xdr:row>0</xdr:row>
      <xdr:rowOff>139700</xdr:rowOff>
    </xdr:from>
    <xdr:to>
      <xdr:col>5</xdr:col>
      <xdr:colOff>566058</xdr:colOff>
      <xdr:row>1</xdr:row>
      <xdr:rowOff>57150</xdr:rowOff>
    </xdr:to>
    <xdr:pic>
      <xdr:nvPicPr>
        <xdr:cNvPr id="7" name="Label1">
          <a:extLst>
            <a:ext uri="{FF2B5EF4-FFF2-40B4-BE49-F238E27FC236}">
              <a16:creationId xmlns:a16="http://schemas.microsoft.com/office/drawing/2014/main" id="{12041E61-BFED-4600-98FC-DC6C72C74E6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3100" y="146050"/>
          <a:ext cx="971550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41</xdr:col>
      <xdr:colOff>1341664</xdr:colOff>
      <xdr:row>0</xdr:row>
      <xdr:rowOff>190500</xdr:rowOff>
    </xdr:from>
    <xdr:to>
      <xdr:col>43</xdr:col>
      <xdr:colOff>293914</xdr:colOff>
      <xdr:row>1</xdr:row>
      <xdr:rowOff>120650</xdr:rowOff>
    </xdr:to>
    <xdr:pic>
      <xdr:nvPicPr>
        <xdr:cNvPr id="8" name="Label2">
          <a:extLst>
            <a:ext uri="{FF2B5EF4-FFF2-40B4-BE49-F238E27FC236}">
              <a16:creationId xmlns:a16="http://schemas.microsoft.com/office/drawing/2014/main" id="{8F4C118A-8FB2-43F1-A05C-36185F92E39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43614" y="190500"/>
          <a:ext cx="974272" cy="5651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OGGI%20EVENTOS/Sergio%20pessoal/Fechamentos/2024/Fluxo_de_Caixa_v6_TURISMO.xlsx" TargetMode="External"/><Relationship Id="rId2" Type="http://schemas.openxmlformats.org/officeDocument/2006/relationships/externalLinkPath" Target="file:///D:\OGGI%20EVENTOS\Sergio%20pessoal\Fechamentos\2024\Fluxo_de_Caixa_v6_TURISMO.xlsx" TargetMode="External"/><Relationship Id="rId1" Type="http://schemas.openxmlformats.org/officeDocument/2006/relationships/externalLinkPath" Target="/OGGI%20EVENTOS/Sergio%20pessoal/Fechamentos/2024/Fluxo_de_Caixa_v6_TURISM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PAGAMENTOS TOTAL"/>
      <sheetName val="RECEBIMENTOS TOTAL"/>
      <sheetName val="MÊS A MÊS"/>
      <sheetName val="Base"/>
      <sheetName val="DashBoard"/>
      <sheetName val="Tabela Dinâmica"/>
      <sheetName val="Resultado Diário"/>
      <sheetName val="Auxiliar"/>
      <sheetName val="Fluxo_de_Caixa_v6_TURISM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4">
          <cell r="AI4">
            <v>0</v>
          </cell>
        </row>
      </sheetData>
      <sheetData sheetId="8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Patrick Silva" id="{4236783C-B8C9-4C63-BCDA-B97B5826B569}" userId="S::patrick.silva@oggilive.com.br::b7afbe72-bb26-4b1c-9800-a27d4eea8bc2" providerId="AD"/>
</personList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40" dT="2026-03-17T16:24:40.43" personId="{4236783C-B8C9-4C63-BCDA-B97B5826B569}" id="{05472E17-0A19-48F4-A59C-E350137B5449}">
    <text>Conseguimos uma otima negociação!</text>
  </threadedComment>
  <threadedComment ref="S51" dT="2026-03-31T15:00:05.70" personId="{4236783C-B8C9-4C63-BCDA-B97B5826B569}" id="{AF31CF75-8B67-4FB8-BE5A-AEE21B3FA885}">
    <text>5%</text>
  </threadedComment>
  <threadedComment ref="S76" dT="2026-03-31T15:18:49.19" personId="{4236783C-B8C9-4C63-BCDA-B97B5826B569}" id="{F7D90598-5216-4727-BF5E-EE209EB5DB39}">
    <text>A diferença dos valores é nossa</text>
  </threadedComment>
  <threadedComment ref="F85" dT="2026-03-17T16:32:56.00" personId="{4236783C-B8C9-4C63-BCDA-B97B5826B569}" id="{47F81BDE-9F1D-4F24-B4FB-6911B746D41A}">
    <text>Negociamos o valor!</text>
  </threadedComment>
  <threadedComment ref="F127" dT="2026-03-17T16:34:46.25" personId="{4236783C-B8C9-4C63-BCDA-B97B5826B569}" id="{A8E0A892-47C5-4F6A-B84E-B09C489B0E82}">
    <text>Valor negociado!</text>
  </threadedComment>
  <threadedComment ref="F128" dT="2026-03-17T16:35:41.24" personId="{4236783C-B8C9-4C63-BCDA-B97B5826B569}" id="{D96CF391-44A4-48AF-B0CD-50800EA4545D}">
    <text>Valor negociado!</text>
  </threadedComment>
  <threadedComment ref="F132" dT="2026-03-17T16:36:22.60" personId="{4236783C-B8C9-4C63-BCDA-B97B5826B569}" id="{5DDFF8BF-09B5-4F5A-901D-09915FB30CE6}">
    <text>Deixamos somente 01 diária!</text>
  </threadedComment>
  <threadedComment ref="F134" dT="2026-03-17T16:16:40.06" personId="{4236783C-B8C9-4C63-BCDA-B97B5826B569}" id="{34AD622C-FFD7-4528-9A79-69FC544235B0}">
    <text>Deixamos somenter 01 promotor de ativação para F1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466FB-297A-4220-B627-2A6D9023EACB}">
  <dimension ref="A1:F45"/>
  <sheetViews>
    <sheetView showGridLines="0" tabSelected="1" topLeftCell="A33" zoomScaleNormal="100" workbookViewId="0">
      <selection activeCell="E44" sqref="E44"/>
    </sheetView>
  </sheetViews>
  <sheetFormatPr defaultColWidth="8.6640625" defaultRowHeight="16.2" x14ac:dyDescent="0.35"/>
  <cols>
    <col min="1" max="1" width="8.6640625" style="631"/>
    <col min="2" max="2" width="69.33203125" style="631" bestFit="1" customWidth="1"/>
    <col min="3" max="3" width="22.6640625" style="632" customWidth="1"/>
    <col min="4" max="4" width="21" style="632" bestFit="1" customWidth="1"/>
    <col min="5" max="5" width="20.88671875" style="632" bestFit="1" customWidth="1"/>
    <col min="6" max="6" width="11.6640625" style="632" bestFit="1" customWidth="1"/>
    <col min="7" max="7" width="12.6640625" style="631" bestFit="1" customWidth="1"/>
    <col min="8" max="8" width="12.5546875" style="631" bestFit="1" customWidth="1"/>
    <col min="9" max="16384" width="8.6640625" style="631"/>
  </cols>
  <sheetData>
    <row r="1" spans="1:5" s="632" customFormat="1" hidden="1" x14ac:dyDescent="0.35">
      <c r="A1" s="631"/>
      <c r="B1" s="631"/>
    </row>
    <row r="2" spans="1:5" s="632" customFormat="1" hidden="1" x14ac:dyDescent="0.35">
      <c r="A2" s="631"/>
      <c r="B2" s="631"/>
    </row>
    <row r="3" spans="1:5" s="632" customFormat="1" hidden="1" x14ac:dyDescent="0.35">
      <c r="A3" s="631"/>
      <c r="B3" s="631"/>
      <c r="C3" s="633">
        <v>45866</v>
      </c>
      <c r="D3" s="634"/>
      <c r="E3" s="676" t="e">
        <f>SUM(#REF!)</f>
        <v>#REF!</v>
      </c>
    </row>
    <row r="4" spans="1:5" s="632" customFormat="1" ht="15.6" hidden="1" customHeight="1" thickBot="1" x14ac:dyDescent="0.4">
      <c r="A4" s="631"/>
      <c r="B4" s="631"/>
      <c r="C4" s="635">
        <v>45867</v>
      </c>
      <c r="D4" s="636"/>
      <c r="E4" s="677"/>
    </row>
    <row r="5" spans="1:5" s="632" customFormat="1" hidden="1" x14ac:dyDescent="0.35">
      <c r="A5" s="631"/>
      <c r="B5" s="631"/>
      <c r="C5" s="637" t="s">
        <v>761</v>
      </c>
      <c r="D5" s="638"/>
    </row>
    <row r="6" spans="1:5" s="632" customFormat="1" hidden="1" x14ac:dyDescent="0.35">
      <c r="A6" s="631"/>
      <c r="B6" s="631"/>
      <c r="C6" s="637" t="s">
        <v>762</v>
      </c>
      <c r="D6" s="638"/>
    </row>
    <row r="7" spans="1:5" s="632" customFormat="1" ht="16.8" hidden="1" thickBot="1" x14ac:dyDescent="0.4">
      <c r="A7" s="631"/>
      <c r="B7" s="631"/>
      <c r="C7" s="639" t="s">
        <v>215</v>
      </c>
      <c r="D7" s="640"/>
    </row>
    <row r="9" spans="1:5" s="632" customFormat="1" x14ac:dyDescent="0.35">
      <c r="A9" s="631" t="s">
        <v>643</v>
      </c>
      <c r="B9" s="631"/>
    </row>
    <row r="10" spans="1:5" s="632" customFormat="1" ht="24" customHeight="1" x14ac:dyDescent="0.35">
      <c r="A10" s="631"/>
      <c r="B10" s="631"/>
    </row>
    <row r="12" spans="1:5" s="632" customFormat="1" ht="15" customHeight="1" x14ac:dyDescent="0.35">
      <c r="A12" s="631"/>
      <c r="B12" s="661" t="s">
        <v>2</v>
      </c>
      <c r="C12" s="662"/>
      <c r="D12" s="641"/>
    </row>
    <row r="13" spans="1:5" s="632" customFormat="1" ht="15" customHeight="1" x14ac:dyDescent="0.35">
      <c r="A13" s="631"/>
      <c r="B13" s="663" t="s">
        <v>3</v>
      </c>
      <c r="C13" s="664"/>
      <c r="D13" s="641"/>
    </row>
    <row r="14" spans="1:5" s="632" customFormat="1" ht="15" customHeight="1" x14ac:dyDescent="0.35">
      <c r="A14" s="631"/>
      <c r="B14" s="663" t="s">
        <v>4</v>
      </c>
      <c r="C14" s="665"/>
      <c r="D14" s="642"/>
    </row>
    <row r="15" spans="1:5" s="632" customFormat="1" ht="15" customHeight="1" x14ac:dyDescent="0.35">
      <c r="A15" s="631"/>
      <c r="B15" s="663" t="s">
        <v>5</v>
      </c>
      <c r="C15" s="665"/>
      <c r="D15" s="642"/>
    </row>
    <row r="16" spans="1:5" s="632" customFormat="1" ht="15" customHeight="1" x14ac:dyDescent="0.35">
      <c r="A16" s="631"/>
      <c r="B16" s="663" t="s">
        <v>216</v>
      </c>
      <c r="C16" s="666"/>
      <c r="D16" s="643"/>
    </row>
    <row r="17" spans="2:6" ht="15" customHeight="1" x14ac:dyDescent="0.35">
      <c r="B17" s="663" t="s">
        <v>7</v>
      </c>
      <c r="C17" s="665"/>
      <c r="D17" s="642"/>
    </row>
    <row r="18" spans="2:6" ht="15" customHeight="1" x14ac:dyDescent="0.35">
      <c r="B18" s="663" t="s">
        <v>8</v>
      </c>
      <c r="C18" s="665"/>
      <c r="D18" s="642"/>
    </row>
    <row r="19" spans="2:6" ht="15" customHeight="1" x14ac:dyDescent="0.35">
      <c r="B19" s="667" t="s">
        <v>9</v>
      </c>
      <c r="C19" s="668"/>
      <c r="D19" s="642"/>
    </row>
    <row r="21" spans="2:6" ht="15.6" customHeight="1" x14ac:dyDescent="0.35">
      <c r="B21" s="644"/>
      <c r="C21" s="644" t="s">
        <v>763</v>
      </c>
      <c r="D21" s="644" t="s">
        <v>764</v>
      </c>
      <c r="E21" s="644" t="s">
        <v>765</v>
      </c>
    </row>
    <row r="22" spans="2:6" x14ac:dyDescent="0.35">
      <c r="B22" s="645" t="s">
        <v>491</v>
      </c>
      <c r="C22" s="646">
        <f>PRINCIPAL!N141</f>
        <v>1978797.6788281347</v>
      </c>
      <c r="D22" s="646">
        <f>PRINCIPAL!X141</f>
        <v>1333837.3500000001</v>
      </c>
      <c r="E22" s="646">
        <f t="shared" ref="E22:E25" si="0">C22-D22</f>
        <v>644960.32882813457</v>
      </c>
      <c r="F22" s="647">
        <f t="shared" ref="F22:F25" si="1">E22*100%/C22</f>
        <v>0.32593545855081407</v>
      </c>
    </row>
    <row r="23" spans="2:6" x14ac:dyDescent="0.35">
      <c r="B23" s="645" t="s">
        <v>420</v>
      </c>
      <c r="C23" s="646">
        <f>TALKSHOW!N21</f>
        <v>54970.796570150371</v>
      </c>
      <c r="D23" s="646">
        <f>TALKSHOW!X21</f>
        <v>50000</v>
      </c>
      <c r="E23" s="646">
        <f t="shared" si="0"/>
        <v>4970.7965701503708</v>
      </c>
      <c r="F23" s="647">
        <f t="shared" si="1"/>
        <v>9.0426133152481131E-2</v>
      </c>
    </row>
    <row r="24" spans="2:6" x14ac:dyDescent="0.35">
      <c r="B24" s="645" t="s">
        <v>428</v>
      </c>
      <c r="C24" s="646">
        <f>INTERNET!N20</f>
        <v>22986.588293774075</v>
      </c>
      <c r="D24" s="646">
        <f>INTERNET!X20</f>
        <v>11280</v>
      </c>
      <c r="E24" s="646">
        <f t="shared" si="0"/>
        <v>11706.588293774075</v>
      </c>
      <c r="F24" s="647">
        <f t="shared" si="1"/>
        <v>0.5092790693495306</v>
      </c>
    </row>
    <row r="25" spans="2:6" x14ac:dyDescent="0.35">
      <c r="B25" s="645" t="s">
        <v>768</v>
      </c>
      <c r="C25" s="646">
        <f>EXTRA!N47</f>
        <v>80570.883433577721</v>
      </c>
      <c r="D25" s="646">
        <f>EXTRA!X47</f>
        <v>25189.870000000003</v>
      </c>
      <c r="E25" s="646">
        <f t="shared" si="0"/>
        <v>55381.013433577718</v>
      </c>
      <c r="F25" s="647">
        <f t="shared" si="1"/>
        <v>0.6873576541981643</v>
      </c>
    </row>
    <row r="26" spans="2:6" x14ac:dyDescent="0.35">
      <c r="B26" s="644" t="s">
        <v>215</v>
      </c>
      <c r="C26" s="648">
        <f>SUM(C22:C25)</f>
        <v>2137325.947125637</v>
      </c>
      <c r="D26" s="648">
        <f>SUM(D22:D25)</f>
        <v>1420307.2200000002</v>
      </c>
      <c r="E26" s="648">
        <f>SUM(E22:E25)</f>
        <v>717018.72712563677</v>
      </c>
      <c r="F26" s="647">
        <f>E26*100%/C26</f>
        <v>0.33547467483371585</v>
      </c>
    </row>
    <row r="27" spans="2:6" ht="18" x14ac:dyDescent="0.35">
      <c r="D27" s="670"/>
    </row>
    <row r="28" spans="2:6" ht="200.1" hidden="1" customHeight="1" x14ac:dyDescent="0.35"/>
    <row r="29" spans="2:6" ht="16.8" thickBot="1" x14ac:dyDescent="0.4">
      <c r="B29" s="669" t="s">
        <v>787</v>
      </c>
      <c r="C29" s="674">
        <f>SUM(C37+C38)</f>
        <v>1777734.44</v>
      </c>
    </row>
    <row r="30" spans="2:6" ht="22.2" customHeight="1" thickBot="1" x14ac:dyDescent="0.4">
      <c r="B30" s="678" t="s">
        <v>766</v>
      </c>
      <c r="C30" s="679"/>
      <c r="D30" s="679"/>
      <c r="E30" s="679"/>
      <c r="F30" s="680"/>
    </row>
    <row r="31" spans="2:6" ht="25.2" customHeight="1" thickBot="1" x14ac:dyDescent="0.4">
      <c r="B31" s="649" t="s">
        <v>780</v>
      </c>
      <c r="C31" s="650">
        <v>764.59</v>
      </c>
      <c r="D31" s="651">
        <f t="shared" ref="D31:D36" si="2">C31*0.15</f>
        <v>114.6885</v>
      </c>
      <c r="E31" s="650">
        <f>C31-D31</f>
        <v>649.90150000000006</v>
      </c>
      <c r="F31" s="652">
        <f>E31*100%/C31</f>
        <v>0.85000000000000009</v>
      </c>
    </row>
    <row r="32" spans="2:6" ht="25.2" customHeight="1" thickBot="1" x14ac:dyDescent="0.4">
      <c r="B32" s="653" t="s">
        <v>786</v>
      </c>
      <c r="C32" s="672">
        <v>980.73</v>
      </c>
      <c r="D32" s="651">
        <f t="shared" si="2"/>
        <v>147.1095</v>
      </c>
      <c r="E32" s="650">
        <f>C32-D32</f>
        <v>833.62049999999999</v>
      </c>
      <c r="F32" s="652">
        <f t="shared" ref="F32:F35" si="3">E32*100%/C32</f>
        <v>0.85</v>
      </c>
    </row>
    <row r="33" spans="2:6" ht="25.2" customHeight="1" thickBot="1" x14ac:dyDescent="0.4">
      <c r="B33" s="653" t="s">
        <v>789</v>
      </c>
      <c r="C33" s="672">
        <v>2161.8000000000002</v>
      </c>
      <c r="D33" s="651">
        <f t="shared" si="2"/>
        <v>324.27000000000004</v>
      </c>
      <c r="E33" s="650">
        <f>C33-D33</f>
        <v>1837.5300000000002</v>
      </c>
      <c r="F33" s="652">
        <f t="shared" ref="F33" si="4">E33*100%/C33</f>
        <v>0.85</v>
      </c>
    </row>
    <row r="34" spans="2:6" ht="25.2" customHeight="1" thickBot="1" x14ac:dyDescent="0.4">
      <c r="B34" s="653" t="s">
        <v>788</v>
      </c>
      <c r="C34" s="672">
        <v>8603.2000000000007</v>
      </c>
      <c r="D34" s="651">
        <f t="shared" si="2"/>
        <v>1290.48</v>
      </c>
      <c r="E34" s="650">
        <f t="shared" ref="E34" si="5">C34-D34</f>
        <v>7312.7200000000012</v>
      </c>
      <c r="F34" s="652">
        <f t="shared" si="3"/>
        <v>0.85000000000000009</v>
      </c>
    </row>
    <row r="35" spans="2:6" ht="25.2" customHeight="1" thickBot="1" x14ac:dyDescent="0.4">
      <c r="B35" s="653" t="s">
        <v>783</v>
      </c>
      <c r="C35" s="672">
        <v>1987.97</v>
      </c>
      <c r="D35" s="651">
        <f t="shared" si="2"/>
        <v>298.19549999999998</v>
      </c>
      <c r="E35" s="650">
        <f>C35-D35</f>
        <v>1689.7745</v>
      </c>
      <c r="F35" s="652">
        <f t="shared" si="3"/>
        <v>0.85</v>
      </c>
    </row>
    <row r="36" spans="2:6" ht="25.2" customHeight="1" thickBot="1" x14ac:dyDescent="0.4">
      <c r="B36" s="653" t="s">
        <v>782</v>
      </c>
      <c r="C36" s="672">
        <v>299017.07</v>
      </c>
      <c r="D36" s="651">
        <f t="shared" si="2"/>
        <v>44852.5605</v>
      </c>
      <c r="E36" s="650">
        <f>C36-D36</f>
        <v>254164.50950000001</v>
      </c>
      <c r="F36" s="652">
        <f>E36*100%/C36</f>
        <v>0.85</v>
      </c>
    </row>
    <row r="37" spans="2:6" ht="25.2" customHeight="1" thickBot="1" x14ac:dyDescent="0.4">
      <c r="B37" s="653" t="s">
        <v>781</v>
      </c>
      <c r="C37" s="672">
        <v>1757737.99</v>
      </c>
      <c r="D37" s="681">
        <f>D26</f>
        <v>1420307.2200000002</v>
      </c>
      <c r="E37" s="683">
        <f>C29-D37</f>
        <v>357427.21999999974</v>
      </c>
      <c r="F37" s="685">
        <f>E37*100%/C37</f>
        <v>0.20334499341395001</v>
      </c>
    </row>
    <row r="38" spans="2:6" ht="25.2" customHeight="1" thickBot="1" x14ac:dyDescent="0.4">
      <c r="B38" s="653" t="s">
        <v>784</v>
      </c>
      <c r="C38" s="672">
        <v>19996.45</v>
      </c>
      <c r="D38" s="682"/>
      <c r="E38" s="684"/>
      <c r="F38" s="686"/>
    </row>
    <row r="39" spans="2:6" ht="25.2" customHeight="1" thickBot="1" x14ac:dyDescent="0.4">
      <c r="B39" s="653" t="s">
        <v>790</v>
      </c>
      <c r="C39" s="672">
        <v>9212.2900000000009</v>
      </c>
      <c r="D39" s="843">
        <v>0</v>
      </c>
      <c r="E39" s="650">
        <f t="shared" ref="E39" si="6">C39-D39</f>
        <v>9212.2900000000009</v>
      </c>
      <c r="F39" s="652">
        <f>E39*100%/C39</f>
        <v>1</v>
      </c>
    </row>
    <row r="40" spans="2:6" ht="20.25" customHeight="1" x14ac:dyDescent="0.35">
      <c r="B40" s="654"/>
      <c r="C40" s="655">
        <f>SUM(C31:C39)</f>
        <v>2100462.09</v>
      </c>
      <c r="D40" s="648">
        <f>SUM(D31:D39)</f>
        <v>1467334.5240000002</v>
      </c>
      <c r="E40" s="656">
        <f>SUM(E31:E39)</f>
        <v>633127.56599999988</v>
      </c>
      <c r="F40" s="673">
        <f>E40*100%/C40</f>
        <v>0.30142299116667226</v>
      </c>
    </row>
    <row r="41" spans="2:6" x14ac:dyDescent="0.35">
      <c r="C41" s="671"/>
    </row>
    <row r="45" spans="2:6" x14ac:dyDescent="0.35">
      <c r="C45" s="675"/>
    </row>
  </sheetData>
  <mergeCells count="5">
    <mergeCell ref="E3:E4"/>
    <mergeCell ref="B30:F30"/>
    <mergeCell ref="D37:D38"/>
    <mergeCell ref="E37:E38"/>
    <mergeCell ref="F37:F38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B9E09-8154-459A-AE62-6A4242823A27}">
  <sheetPr codeName="Planilha10">
    <pageSetUpPr autoPageBreaks="0"/>
  </sheetPr>
  <dimension ref="A1:AP162"/>
  <sheetViews>
    <sheetView showGridLines="0" topLeftCell="F1" zoomScale="50" zoomScaleNormal="50" workbookViewId="0">
      <pane ySplit="1" topLeftCell="A135" activePane="bottomLeft" state="frozen"/>
      <selection activeCell="AC1" sqref="AC1"/>
      <selection pane="bottomLeft" activeCell="AD162" sqref="AD162"/>
    </sheetView>
  </sheetViews>
  <sheetFormatPr defaultColWidth="9.109375" defaultRowHeight="21" x14ac:dyDescent="0.4"/>
  <cols>
    <col min="1" max="1" width="4.88671875" style="258" hidden="1" customWidth="1"/>
    <col min="2" max="2" width="16" style="258" customWidth="1"/>
    <col min="3" max="3" width="5.6640625" style="258" hidden="1" customWidth="1"/>
    <col min="4" max="4" width="6.6640625" style="258" hidden="1" customWidth="1"/>
    <col min="5" max="5" width="10.88671875" style="258" hidden="1" customWidth="1"/>
    <col min="6" max="6" width="30.88671875" style="258" customWidth="1"/>
    <col min="7" max="7" width="55" style="258" customWidth="1"/>
    <col min="8" max="8" width="6.109375" style="261" hidden="1" customWidth="1"/>
    <col min="9" max="9" width="8.109375" style="261" hidden="1" customWidth="1"/>
    <col min="10" max="10" width="18.5546875" style="258" hidden="1" customWidth="1"/>
    <col min="11" max="11" width="28.33203125" style="258" customWidth="1"/>
    <col min="12" max="12" width="25.5546875" style="258" customWidth="1"/>
    <col min="13" max="13" width="23.44140625" style="258" customWidth="1"/>
    <col min="14" max="14" width="31.109375" style="258" customWidth="1"/>
    <col min="15" max="15" width="7.44140625" style="262" hidden="1" customWidth="1"/>
    <col min="16" max="16" width="31.109375" style="258" hidden="1" customWidth="1"/>
    <col min="17" max="17" width="9.109375" style="261" customWidth="1"/>
    <col min="18" max="18" width="10.44140625" style="261" hidden="1" customWidth="1"/>
    <col min="19" max="19" width="17.5546875" style="258" hidden="1" customWidth="1"/>
    <col min="20" max="20" width="28.5546875" style="258" customWidth="1"/>
    <col min="21" max="21" width="28.6640625" style="258" hidden="1" customWidth="1"/>
    <col min="22" max="23" width="28.33203125" style="258" hidden="1" customWidth="1"/>
    <col min="24" max="24" width="28.33203125" style="258" customWidth="1"/>
    <col min="25" max="26" width="27.6640625" style="258" hidden="1" customWidth="1"/>
    <col min="27" max="27" width="25.6640625" style="258" hidden="1" customWidth="1"/>
    <col min="28" max="28" width="38.109375" style="258" hidden="1" customWidth="1"/>
    <col min="29" max="30" width="38.109375" style="263" customWidth="1"/>
    <col min="31" max="31" width="33" style="624" customWidth="1"/>
    <col min="32" max="32" width="33" style="258" hidden="1" customWidth="1"/>
    <col min="33" max="33" width="28" style="258" hidden="1" customWidth="1"/>
    <col min="34" max="34" width="1.33203125" style="258" hidden="1" customWidth="1"/>
    <col min="35" max="35" width="81.5546875" style="258" hidden="1" customWidth="1"/>
    <col min="36" max="36" width="36.6640625" style="258" hidden="1" customWidth="1"/>
    <col min="37" max="37" width="1.5546875" style="258" hidden="1" customWidth="1"/>
    <col min="38" max="38" width="20.33203125" style="258" hidden="1" customWidth="1"/>
    <col min="39" max="39" width="25.33203125" style="258" hidden="1" customWidth="1"/>
    <col min="40" max="40" width="24.88671875" style="258" hidden="1" customWidth="1"/>
    <col min="41" max="41" width="0" style="258" hidden="1" customWidth="1"/>
    <col min="42" max="42" width="21.33203125" style="258" hidden="1" customWidth="1"/>
    <col min="43" max="59" width="0" style="258" hidden="1" customWidth="1"/>
    <col min="60" max="16384" width="9.109375" style="258"/>
  </cols>
  <sheetData>
    <row r="1" spans="1:40" ht="49.5" customHeight="1" x14ac:dyDescent="0.4">
      <c r="B1" s="259"/>
      <c r="C1" s="260"/>
      <c r="D1" s="260"/>
      <c r="F1" s="713" t="s">
        <v>0</v>
      </c>
      <c r="G1" s="713"/>
    </row>
    <row r="2" spans="1:40" ht="24.75" customHeight="1" x14ac:dyDescent="0.4">
      <c r="B2" s="264"/>
      <c r="D2" s="260"/>
      <c r="F2" s="714" t="s">
        <v>1</v>
      </c>
      <c r="G2" s="714"/>
    </row>
    <row r="3" spans="1:40" ht="22.2" x14ac:dyDescent="0.4">
      <c r="B3" s="265"/>
      <c r="F3" s="266"/>
      <c r="G3" s="266"/>
    </row>
    <row r="4" spans="1:40" ht="21.9" customHeight="1" x14ac:dyDescent="0.4">
      <c r="F4" s="267" t="s">
        <v>2</v>
      </c>
      <c r="G4" s="268"/>
    </row>
    <row r="5" spans="1:40" ht="22.2" x14ac:dyDescent="0.4">
      <c r="F5" s="269" t="s">
        <v>3</v>
      </c>
      <c r="G5" s="270"/>
    </row>
    <row r="6" spans="1:40" ht="22.2" x14ac:dyDescent="0.4">
      <c r="F6" s="269" t="s">
        <v>4</v>
      </c>
      <c r="G6" s="271"/>
    </row>
    <row r="7" spans="1:40" ht="21.75" customHeight="1" x14ac:dyDescent="0.4">
      <c r="F7" s="269" t="s">
        <v>5</v>
      </c>
      <c r="G7" s="271"/>
    </row>
    <row r="8" spans="1:40" ht="22.2" x14ac:dyDescent="0.4">
      <c r="F8" s="269" t="s">
        <v>216</v>
      </c>
      <c r="G8" s="272"/>
    </row>
    <row r="9" spans="1:40" ht="22.2" x14ac:dyDescent="0.4">
      <c r="F9" s="269" t="s">
        <v>7</v>
      </c>
      <c r="G9" s="271"/>
      <c r="M9" s="258">
        <v>0.80469999999999997</v>
      </c>
    </row>
    <row r="10" spans="1:40" ht="27" customHeight="1" x14ac:dyDescent="0.4">
      <c r="F10" s="269" t="s">
        <v>8</v>
      </c>
      <c r="G10" s="271"/>
      <c r="M10" s="258">
        <f>1-M9</f>
        <v>0.19530000000000003</v>
      </c>
    </row>
    <row r="11" spans="1:40" ht="22.2" x14ac:dyDescent="0.4">
      <c r="F11" s="273" t="s">
        <v>9</v>
      </c>
      <c r="G11" s="274"/>
    </row>
    <row r="12" spans="1:40" ht="22.8" hidden="1" thickBot="1" x14ac:dyDescent="0.45">
      <c r="B12" s="275"/>
      <c r="M12" s="276"/>
      <c r="R12" s="715" t="s">
        <v>10</v>
      </c>
      <c r="S12" s="716"/>
      <c r="T12" s="716"/>
      <c r="U12" s="717"/>
      <c r="V12" s="718" t="s">
        <v>11</v>
      </c>
      <c r="W12" s="719"/>
      <c r="X12" s="719"/>
      <c r="Y12" s="719"/>
      <c r="Z12" s="277" t="s">
        <v>12</v>
      </c>
      <c r="AA12" s="278" t="e">
        <f>(1/(1-#REF!))-1</f>
        <v>#REF!</v>
      </c>
      <c r="AE12" s="737" t="s">
        <v>13</v>
      </c>
      <c r="AF12" s="738"/>
      <c r="AG12" s="739"/>
      <c r="AI12" s="729" t="s">
        <v>14</v>
      </c>
      <c r="AJ12" s="730"/>
      <c r="AL12" s="279" t="s">
        <v>15</v>
      </c>
      <c r="AM12" s="727" t="s">
        <v>16</v>
      </c>
      <c r="AN12" s="728"/>
    </row>
    <row r="13" spans="1:40" ht="22.8" thickBot="1" x14ac:dyDescent="0.5">
      <c r="A13" s="280" t="s">
        <v>17</v>
      </c>
      <c r="B13" s="281" t="s">
        <v>18</v>
      </c>
      <c r="C13" s="280" t="s">
        <v>19</v>
      </c>
      <c r="D13" s="280" t="s">
        <v>20</v>
      </c>
      <c r="E13" s="280" t="s">
        <v>21</v>
      </c>
      <c r="M13" s="282">
        <v>0.81</v>
      </c>
      <c r="Z13" s="283"/>
      <c r="AA13" s="284"/>
    </row>
    <row r="14" spans="1:40" ht="39.9" customHeight="1" thickBot="1" x14ac:dyDescent="0.45">
      <c r="A14" s="285">
        <v>0</v>
      </c>
      <c r="B14" s="286"/>
      <c r="C14" s="287"/>
      <c r="D14" s="288"/>
      <c r="E14" s="288"/>
      <c r="F14" s="289" t="s">
        <v>22</v>
      </c>
      <c r="G14" s="290" t="s">
        <v>23</v>
      </c>
      <c r="H14" s="291" t="s">
        <v>24</v>
      </c>
      <c r="I14" s="291" t="s">
        <v>25</v>
      </c>
      <c r="J14" s="292" t="s">
        <v>26</v>
      </c>
      <c r="K14" s="293" t="s">
        <v>27</v>
      </c>
      <c r="L14" s="294">
        <v>0.08</v>
      </c>
      <c r="M14" s="295">
        <v>0.1953</v>
      </c>
      <c r="N14" s="296" t="s">
        <v>28</v>
      </c>
      <c r="O14" s="297"/>
      <c r="Q14" s="298" t="s">
        <v>29</v>
      </c>
      <c r="R14" s="299" t="s">
        <v>30</v>
      </c>
      <c r="S14" s="300" t="s">
        <v>31</v>
      </c>
      <c r="T14" s="301" t="s">
        <v>32</v>
      </c>
      <c r="U14" s="302" t="s">
        <v>33</v>
      </c>
      <c r="V14" s="303" t="s">
        <v>34</v>
      </c>
      <c r="W14" s="304" t="s">
        <v>35</v>
      </c>
      <c r="X14" s="305" t="s">
        <v>36</v>
      </c>
      <c r="Y14" s="305" t="s">
        <v>37</v>
      </c>
      <c r="Z14" s="306" t="s">
        <v>38</v>
      </c>
      <c r="AA14" s="307" t="s">
        <v>39</v>
      </c>
      <c r="AC14" s="308" t="s">
        <v>679</v>
      </c>
      <c r="AD14" s="623" t="s">
        <v>680</v>
      </c>
    </row>
    <row r="15" spans="1:40" ht="39.9" customHeight="1" thickBot="1" x14ac:dyDescent="0.5">
      <c r="A15" s="288">
        <v>1</v>
      </c>
      <c r="B15" s="309">
        <v>1</v>
      </c>
      <c r="C15" s="310" t="s">
        <v>40</v>
      </c>
      <c r="D15" s="288"/>
      <c r="E15" s="288"/>
      <c r="F15" s="701" t="s">
        <v>41</v>
      </c>
      <c r="G15" s="702"/>
      <c r="H15" s="702"/>
      <c r="I15" s="702"/>
      <c r="J15" s="702"/>
      <c r="K15" s="702"/>
      <c r="L15" s="702"/>
      <c r="M15" s="702"/>
      <c r="N15" s="703"/>
      <c r="O15" s="311"/>
      <c r="Q15" s="731" t="str">
        <f>IF(F15&lt;&gt;"",F15,"")</f>
        <v xml:space="preserve">INTERNOS </v>
      </c>
      <c r="R15" s="732"/>
      <c r="S15" s="732"/>
      <c r="T15" s="732"/>
      <c r="U15" s="732"/>
      <c r="V15" s="732"/>
      <c r="W15" s="732"/>
      <c r="X15" s="732"/>
      <c r="Y15" s="733"/>
      <c r="Z15" s="312"/>
      <c r="AA15" s="284"/>
      <c r="AC15" s="740"/>
      <c r="AD15" s="740"/>
    </row>
    <row r="16" spans="1:40" ht="39.9" customHeight="1" thickBot="1" x14ac:dyDescent="0.5">
      <c r="A16" s="288">
        <v>2</v>
      </c>
      <c r="B16" s="309" t="s">
        <v>42</v>
      </c>
      <c r="C16" s="310" t="s">
        <v>43</v>
      </c>
      <c r="D16" s="288"/>
      <c r="E16" s="288"/>
      <c r="F16" s="693" t="s">
        <v>44</v>
      </c>
      <c r="G16" s="694"/>
      <c r="H16" s="694"/>
      <c r="I16" s="694"/>
      <c r="J16" s="694"/>
      <c r="K16" s="695"/>
      <c r="L16" s="313" t="s">
        <v>45</v>
      </c>
      <c r="M16" s="314" t="s">
        <v>46</v>
      </c>
      <c r="N16" s="315" t="s">
        <v>28</v>
      </c>
      <c r="O16" s="316"/>
      <c r="Q16" s="734" t="str">
        <f>IF(F16&lt;&gt;"",F16,"")</f>
        <v xml:space="preserve">INTERNOS  </v>
      </c>
      <c r="R16" s="735"/>
      <c r="S16" s="735"/>
      <c r="T16" s="735"/>
      <c r="U16" s="735"/>
      <c r="V16" s="735"/>
      <c r="W16" s="735"/>
      <c r="X16" s="735"/>
      <c r="Y16" s="736"/>
      <c r="Z16" s="317" t="s">
        <v>47</v>
      </c>
      <c r="AA16" s="318" t="s">
        <v>39</v>
      </c>
      <c r="AC16" s="741"/>
      <c r="AD16" s="741"/>
    </row>
    <row r="17" spans="1:36" ht="99.9" customHeight="1" x14ac:dyDescent="0.45">
      <c r="A17" s="288">
        <v>3</v>
      </c>
      <c r="B17" s="309" t="s">
        <v>48</v>
      </c>
      <c r="C17" s="310" t="s">
        <v>49</v>
      </c>
      <c r="D17" s="288" t="s">
        <v>50</v>
      </c>
      <c r="E17" s="288" t="s">
        <v>51</v>
      </c>
      <c r="F17" s="319" t="s">
        <v>52</v>
      </c>
      <c r="G17" s="320" t="s">
        <v>53</v>
      </c>
      <c r="H17" s="321">
        <v>1</v>
      </c>
      <c r="I17" s="321">
        <v>1</v>
      </c>
      <c r="J17" s="322">
        <v>16000</v>
      </c>
      <c r="K17" s="322">
        <f t="shared" ref="K17:K23" si="0">IF(F17&lt;&gt;"",H17*I17*J17,"")</f>
        <v>16000</v>
      </c>
      <c r="L17" s="322">
        <f t="shared" ref="L17:L23" si="1">IF(K17&lt;&gt;"",IF(D17="INTERNO",0,K17*$L$14),"")</f>
        <v>0</v>
      </c>
      <c r="M17" s="322">
        <f t="shared" ref="M17:M23" si="2">IF(K17&lt;&gt;"",IF(E17="FAT.OGGI",SUM(K17:L17)*(1/(1-$M$14)-1),L17*(1/(1-$M$14)-1)),"")</f>
        <v>3883.1862806014678</v>
      </c>
      <c r="N17" s="323">
        <f t="shared" ref="N17:N23" si="3">SUM(K17:M17)</f>
        <v>19883.186280601469</v>
      </c>
      <c r="O17" s="324" t="b">
        <v>1</v>
      </c>
      <c r="Q17" s="325">
        <f t="shared" ref="Q17" si="4">IF(H17&lt;&gt;"",H17,"")</f>
        <v>1</v>
      </c>
      <c r="R17" s="326">
        <v>1</v>
      </c>
      <c r="S17" s="327">
        <v>50000</v>
      </c>
      <c r="T17" s="327">
        <v>0</v>
      </c>
      <c r="U17" s="328">
        <f t="shared" ref="U17:U23" si="5">IF(Q17&lt;&gt;"",K17-T17,"")</f>
        <v>16000</v>
      </c>
      <c r="V17" s="329">
        <f t="shared" ref="V17:V23" si="6">IF(Q17&lt;&gt;"",0%,"")</f>
        <v>0</v>
      </c>
      <c r="W17" s="330">
        <f t="shared" ref="W17:W23" si="7">IF(Q17&lt;&gt;"",V17*U17,"")</f>
        <v>0</v>
      </c>
      <c r="X17" s="330">
        <f t="shared" ref="X17:X23" si="8">IF(Q17&lt;&gt;"",W17+T17,"")</f>
        <v>0</v>
      </c>
      <c r="Y17" s="331">
        <f t="shared" ref="Y17:Y24" si="9">IF(Q17&lt;&gt;"",X17+M17,"")</f>
        <v>3883.1862806014678</v>
      </c>
      <c r="Z17" s="332">
        <f t="shared" ref="Z17:Z23" si="10">IF(Q17&lt;&gt;"",U17/K17,"")</f>
        <v>1</v>
      </c>
      <c r="AA17" s="333">
        <f t="shared" ref="AA17:AA23" si="11">T17/$T$24</f>
        <v>0</v>
      </c>
      <c r="AB17" s="332" t="e">
        <f>U17/#REF!</f>
        <v>#REF!</v>
      </c>
      <c r="AC17" s="334">
        <f>X17-AD17</f>
        <v>0</v>
      </c>
      <c r="AD17" s="335">
        <v>0</v>
      </c>
    </row>
    <row r="18" spans="1:36" ht="99.9" customHeight="1" x14ac:dyDescent="0.45">
      <c r="A18" s="336">
        <v>4</v>
      </c>
      <c r="B18" s="309" t="s">
        <v>54</v>
      </c>
      <c r="C18" s="337" t="s">
        <v>49</v>
      </c>
      <c r="D18" s="288" t="s">
        <v>50</v>
      </c>
      <c r="E18" s="288" t="s">
        <v>51</v>
      </c>
      <c r="F18" s="338" t="s">
        <v>55</v>
      </c>
      <c r="G18" s="339" t="s">
        <v>56</v>
      </c>
      <c r="H18" s="340">
        <v>1</v>
      </c>
      <c r="I18" s="340">
        <v>1</v>
      </c>
      <c r="J18" s="341">
        <v>14500</v>
      </c>
      <c r="K18" s="341">
        <f t="shared" si="0"/>
        <v>14500</v>
      </c>
      <c r="L18" s="341">
        <f t="shared" si="1"/>
        <v>0</v>
      </c>
      <c r="M18" s="341">
        <f t="shared" si="2"/>
        <v>3519.1375667950801</v>
      </c>
      <c r="N18" s="342">
        <f t="shared" si="3"/>
        <v>18019.137566795082</v>
      </c>
      <c r="O18" s="324" t="b">
        <v>1</v>
      </c>
      <c r="Q18" s="325">
        <v>1</v>
      </c>
      <c r="R18" s="343">
        <v>0</v>
      </c>
      <c r="S18" s="344">
        <v>8000</v>
      </c>
      <c r="T18" s="344">
        <v>48500</v>
      </c>
      <c r="U18" s="345">
        <f t="shared" si="5"/>
        <v>-34000</v>
      </c>
      <c r="V18" s="346">
        <f t="shared" si="6"/>
        <v>0</v>
      </c>
      <c r="W18" s="347">
        <f t="shared" si="7"/>
        <v>0</v>
      </c>
      <c r="X18" s="347">
        <f t="shared" si="8"/>
        <v>48500</v>
      </c>
      <c r="Y18" s="348">
        <f t="shared" si="9"/>
        <v>52019.137566795078</v>
      </c>
      <c r="Z18" s="332">
        <f t="shared" si="10"/>
        <v>-2.3448275862068964</v>
      </c>
      <c r="AA18" s="333">
        <f t="shared" si="11"/>
        <v>0.65013404825737264</v>
      </c>
      <c r="AB18" s="332" t="e">
        <f>U18/#REF!</f>
        <v>#REF!</v>
      </c>
      <c r="AC18" s="334">
        <f t="shared" ref="AC18:AC81" si="12">X18-AD18</f>
        <v>0</v>
      </c>
      <c r="AD18" s="335">
        <f>24500+24000</f>
        <v>48500</v>
      </c>
      <c r="AE18" s="625" t="s">
        <v>772</v>
      </c>
      <c r="AF18" s="349" t="e">
        <f>T18-AE18</f>
        <v>#VALUE!</v>
      </c>
      <c r="AG18" s="350">
        <v>46099</v>
      </c>
      <c r="AI18" s="351" t="s">
        <v>217</v>
      </c>
      <c r="AJ18" s="352" t="s">
        <v>218</v>
      </c>
    </row>
    <row r="19" spans="1:36" ht="99.9" customHeight="1" x14ac:dyDescent="0.45">
      <c r="A19" s="353">
        <v>5</v>
      </c>
      <c r="B19" s="309" t="s">
        <v>57</v>
      </c>
      <c r="C19" s="354" t="s">
        <v>49</v>
      </c>
      <c r="D19" s="353" t="s">
        <v>50</v>
      </c>
      <c r="E19" s="353" t="s">
        <v>51</v>
      </c>
      <c r="F19" s="338" t="s">
        <v>58</v>
      </c>
      <c r="G19" s="339" t="s">
        <v>59</v>
      </c>
      <c r="H19" s="340">
        <v>1</v>
      </c>
      <c r="I19" s="340">
        <v>1</v>
      </c>
      <c r="J19" s="341">
        <v>19000</v>
      </c>
      <c r="K19" s="341">
        <f t="shared" si="0"/>
        <v>19000</v>
      </c>
      <c r="L19" s="341">
        <f t="shared" si="1"/>
        <v>0</v>
      </c>
      <c r="M19" s="341">
        <f t="shared" si="2"/>
        <v>4611.2837082142432</v>
      </c>
      <c r="N19" s="342">
        <f t="shared" si="3"/>
        <v>23611.283708214243</v>
      </c>
      <c r="O19" s="324" t="b">
        <v>1</v>
      </c>
      <c r="Q19" s="325">
        <v>1</v>
      </c>
      <c r="R19" s="343">
        <v>0</v>
      </c>
      <c r="S19" s="344">
        <v>12000</v>
      </c>
      <c r="T19" s="344">
        <v>900</v>
      </c>
      <c r="U19" s="345">
        <f t="shared" si="5"/>
        <v>18100</v>
      </c>
      <c r="V19" s="346">
        <f t="shared" si="6"/>
        <v>0</v>
      </c>
      <c r="W19" s="347">
        <f t="shared" si="7"/>
        <v>0</v>
      </c>
      <c r="X19" s="347">
        <f t="shared" si="8"/>
        <v>900</v>
      </c>
      <c r="Y19" s="348">
        <f t="shared" si="9"/>
        <v>5511.2837082142432</v>
      </c>
      <c r="Z19" s="332">
        <f t="shared" si="10"/>
        <v>0.95263157894736838</v>
      </c>
      <c r="AA19" s="333">
        <f t="shared" si="11"/>
        <v>1.2064343163538873E-2</v>
      </c>
      <c r="AB19" s="332" t="e">
        <f>U19/#REF!</f>
        <v>#REF!</v>
      </c>
      <c r="AC19" s="334">
        <f t="shared" si="12"/>
        <v>0</v>
      </c>
      <c r="AD19" s="335">
        <v>900</v>
      </c>
      <c r="AE19" s="624" t="s">
        <v>749</v>
      </c>
    </row>
    <row r="20" spans="1:36" ht="99.9" customHeight="1" x14ac:dyDescent="0.45">
      <c r="A20" s="336">
        <v>6</v>
      </c>
      <c r="B20" s="309" t="s">
        <v>60</v>
      </c>
      <c r="C20" s="337" t="s">
        <v>49</v>
      </c>
      <c r="D20" s="353" t="s">
        <v>50</v>
      </c>
      <c r="E20" s="353" t="s">
        <v>51</v>
      </c>
      <c r="F20" s="338" t="s">
        <v>61</v>
      </c>
      <c r="G20" s="339" t="s">
        <v>62</v>
      </c>
      <c r="H20" s="340">
        <v>1</v>
      </c>
      <c r="I20" s="340">
        <v>1</v>
      </c>
      <c r="J20" s="341">
        <v>13500</v>
      </c>
      <c r="K20" s="341">
        <f t="shared" si="0"/>
        <v>13500</v>
      </c>
      <c r="L20" s="341">
        <f t="shared" si="1"/>
        <v>0</v>
      </c>
      <c r="M20" s="341">
        <f t="shared" si="2"/>
        <v>3276.4384242574884</v>
      </c>
      <c r="N20" s="342">
        <f t="shared" si="3"/>
        <v>16776.438424257489</v>
      </c>
      <c r="O20" s="324" t="b">
        <v>1</v>
      </c>
      <c r="Q20" s="325">
        <v>1</v>
      </c>
      <c r="R20" s="343">
        <v>0</v>
      </c>
      <c r="S20" s="344">
        <v>15000</v>
      </c>
      <c r="T20" s="344">
        <v>21200</v>
      </c>
      <c r="U20" s="345">
        <f t="shared" si="5"/>
        <v>-7700</v>
      </c>
      <c r="V20" s="346">
        <f t="shared" si="6"/>
        <v>0</v>
      </c>
      <c r="W20" s="347">
        <f t="shared" si="7"/>
        <v>0</v>
      </c>
      <c r="X20" s="347">
        <f t="shared" si="8"/>
        <v>21200</v>
      </c>
      <c r="Y20" s="348">
        <f t="shared" si="9"/>
        <v>24476.438424257489</v>
      </c>
      <c r="Z20" s="332">
        <f t="shared" si="10"/>
        <v>-0.57037037037037042</v>
      </c>
      <c r="AA20" s="333">
        <f t="shared" si="11"/>
        <v>0.28418230563002683</v>
      </c>
      <c r="AB20" s="332" t="e">
        <f>U20/#REF!</f>
        <v>#REF!</v>
      </c>
      <c r="AC20" s="334">
        <f t="shared" si="12"/>
        <v>0</v>
      </c>
      <c r="AD20" s="335">
        <f>10000+11200</f>
        <v>21200</v>
      </c>
      <c r="AE20" s="624" t="s">
        <v>746</v>
      </c>
    </row>
    <row r="21" spans="1:36" ht="99.9" customHeight="1" x14ac:dyDescent="0.45">
      <c r="A21" s="353">
        <v>7</v>
      </c>
      <c r="B21" s="309" t="s">
        <v>63</v>
      </c>
      <c r="C21" s="354" t="s">
        <v>49</v>
      </c>
      <c r="D21" s="353" t="s">
        <v>50</v>
      </c>
      <c r="E21" s="353" t="s">
        <v>51</v>
      </c>
      <c r="F21" s="338" t="s">
        <v>64</v>
      </c>
      <c r="G21" s="339" t="s">
        <v>65</v>
      </c>
      <c r="H21" s="340">
        <v>1</v>
      </c>
      <c r="I21" s="340">
        <v>1</v>
      </c>
      <c r="J21" s="341">
        <v>16000</v>
      </c>
      <c r="K21" s="341">
        <f t="shared" si="0"/>
        <v>16000</v>
      </c>
      <c r="L21" s="341">
        <f t="shared" si="1"/>
        <v>0</v>
      </c>
      <c r="M21" s="341">
        <f t="shared" si="2"/>
        <v>3883.1862806014678</v>
      </c>
      <c r="N21" s="342">
        <f t="shared" si="3"/>
        <v>19883.186280601469</v>
      </c>
      <c r="O21" s="324" t="b">
        <v>1</v>
      </c>
      <c r="Q21" s="325">
        <f>IF(H21&lt;&gt;"",H21,"")</f>
        <v>1</v>
      </c>
      <c r="R21" s="343">
        <v>1</v>
      </c>
      <c r="S21" s="344">
        <v>10000</v>
      </c>
      <c r="T21" s="344">
        <v>0</v>
      </c>
      <c r="U21" s="345">
        <f t="shared" si="5"/>
        <v>16000</v>
      </c>
      <c r="V21" s="346">
        <f t="shared" si="6"/>
        <v>0</v>
      </c>
      <c r="W21" s="347">
        <f t="shared" si="7"/>
        <v>0</v>
      </c>
      <c r="X21" s="347">
        <f t="shared" si="8"/>
        <v>0</v>
      </c>
      <c r="Y21" s="348">
        <f t="shared" si="9"/>
        <v>3883.1862806014678</v>
      </c>
      <c r="Z21" s="332">
        <f t="shared" si="10"/>
        <v>1</v>
      </c>
      <c r="AA21" s="333">
        <f t="shared" si="11"/>
        <v>0</v>
      </c>
      <c r="AB21" s="332" t="e">
        <f>U21/#REF!</f>
        <v>#REF!</v>
      </c>
      <c r="AC21" s="334">
        <f t="shared" si="12"/>
        <v>0</v>
      </c>
      <c r="AD21" s="335">
        <v>0</v>
      </c>
    </row>
    <row r="22" spans="1:36" ht="99.9" customHeight="1" x14ac:dyDescent="0.45">
      <c r="A22" s="288">
        <v>8</v>
      </c>
      <c r="B22" s="309" t="s">
        <v>66</v>
      </c>
      <c r="C22" s="310" t="s">
        <v>49</v>
      </c>
      <c r="D22" s="288" t="s">
        <v>50</v>
      </c>
      <c r="E22" s="288" t="s">
        <v>51</v>
      </c>
      <c r="F22" s="338" t="s">
        <v>67</v>
      </c>
      <c r="G22" s="339" t="s">
        <v>68</v>
      </c>
      <c r="H22" s="340">
        <v>1</v>
      </c>
      <c r="I22" s="340">
        <v>1</v>
      </c>
      <c r="J22" s="341">
        <v>12000</v>
      </c>
      <c r="K22" s="341">
        <f t="shared" si="0"/>
        <v>12000</v>
      </c>
      <c r="L22" s="341">
        <f t="shared" si="1"/>
        <v>0</v>
      </c>
      <c r="M22" s="341">
        <f t="shared" si="2"/>
        <v>2912.3897104511007</v>
      </c>
      <c r="N22" s="342">
        <f t="shared" si="3"/>
        <v>14912.389710451102</v>
      </c>
      <c r="O22" s="324" t="b">
        <v>1</v>
      </c>
      <c r="Q22" s="325">
        <f t="shared" ref="Q22" si="13">IF(H22&lt;&gt;"",H22,"")</f>
        <v>1</v>
      </c>
      <c r="R22" s="326">
        <v>0</v>
      </c>
      <c r="S22" s="327">
        <v>6000</v>
      </c>
      <c r="T22" s="327">
        <v>0</v>
      </c>
      <c r="U22" s="328">
        <f t="shared" si="5"/>
        <v>12000</v>
      </c>
      <c r="V22" s="329">
        <f t="shared" si="6"/>
        <v>0</v>
      </c>
      <c r="W22" s="330">
        <f t="shared" si="7"/>
        <v>0</v>
      </c>
      <c r="X22" s="330">
        <f t="shared" si="8"/>
        <v>0</v>
      </c>
      <c r="Y22" s="331">
        <f t="shared" si="9"/>
        <v>2912.3897104511007</v>
      </c>
      <c r="Z22" s="332">
        <f t="shared" si="10"/>
        <v>1</v>
      </c>
      <c r="AA22" s="333">
        <f t="shared" si="11"/>
        <v>0</v>
      </c>
      <c r="AB22" s="332" t="e">
        <f>U22/#REF!</f>
        <v>#REF!</v>
      </c>
      <c r="AC22" s="334">
        <f t="shared" si="12"/>
        <v>0</v>
      </c>
      <c r="AD22" s="335">
        <v>0</v>
      </c>
    </row>
    <row r="23" spans="1:36" ht="99.9" customHeight="1" x14ac:dyDescent="0.45">
      <c r="A23" s="288">
        <v>9</v>
      </c>
      <c r="B23" s="309" t="s">
        <v>69</v>
      </c>
      <c r="C23" s="310" t="s">
        <v>49</v>
      </c>
      <c r="D23" s="288" t="s">
        <v>50</v>
      </c>
      <c r="E23" s="288" t="s">
        <v>51</v>
      </c>
      <c r="F23" s="338" t="s">
        <v>70</v>
      </c>
      <c r="G23" s="339" t="s">
        <v>71</v>
      </c>
      <c r="H23" s="340">
        <v>1</v>
      </c>
      <c r="I23" s="340">
        <v>1</v>
      </c>
      <c r="J23" s="341">
        <v>9000</v>
      </c>
      <c r="K23" s="341">
        <f t="shared" si="0"/>
        <v>9000</v>
      </c>
      <c r="L23" s="341">
        <f t="shared" si="1"/>
        <v>0</v>
      </c>
      <c r="M23" s="341">
        <f t="shared" si="2"/>
        <v>2184.2922828383257</v>
      </c>
      <c r="N23" s="342">
        <f t="shared" si="3"/>
        <v>11184.292282838325</v>
      </c>
      <c r="O23" s="324" t="b">
        <v>1</v>
      </c>
      <c r="Q23" s="325">
        <v>1</v>
      </c>
      <c r="R23" s="343">
        <v>0</v>
      </c>
      <c r="S23" s="344">
        <v>6000</v>
      </c>
      <c r="T23" s="344">
        <v>4000</v>
      </c>
      <c r="U23" s="345">
        <f t="shared" si="5"/>
        <v>5000</v>
      </c>
      <c r="V23" s="346">
        <f t="shared" si="6"/>
        <v>0</v>
      </c>
      <c r="W23" s="347">
        <f t="shared" si="7"/>
        <v>0</v>
      </c>
      <c r="X23" s="347">
        <f t="shared" si="8"/>
        <v>4000</v>
      </c>
      <c r="Y23" s="348">
        <f t="shared" si="9"/>
        <v>6184.2922828383253</v>
      </c>
      <c r="Z23" s="332">
        <f t="shared" si="10"/>
        <v>0.55555555555555558</v>
      </c>
      <c r="AA23" s="333">
        <f t="shared" si="11"/>
        <v>5.3619302949061663E-2</v>
      </c>
      <c r="AB23" s="332" t="e">
        <f>U23/#REF!</f>
        <v>#REF!</v>
      </c>
      <c r="AC23" s="334">
        <f t="shared" si="12"/>
        <v>0</v>
      </c>
      <c r="AD23" s="335">
        <v>4000</v>
      </c>
      <c r="AE23" s="624" t="s">
        <v>712</v>
      </c>
    </row>
    <row r="24" spans="1:36" ht="39.9" customHeight="1" thickBot="1" x14ac:dyDescent="0.5">
      <c r="A24" s="336">
        <v>10</v>
      </c>
      <c r="B24" s="309"/>
      <c r="C24" s="337" t="s">
        <v>72</v>
      </c>
      <c r="D24" s="336"/>
      <c r="E24" s="336"/>
      <c r="F24" s="720" t="s">
        <v>73</v>
      </c>
      <c r="G24" s="721"/>
      <c r="H24" s="721"/>
      <c r="I24" s="721"/>
      <c r="J24" s="721"/>
      <c r="K24" s="355">
        <f>SUM(K17:K23)</f>
        <v>100000</v>
      </c>
      <c r="L24" s="355">
        <f>SUM(L17:L23)</f>
        <v>0</v>
      </c>
      <c r="M24" s="355">
        <f>SUM(M17:M23)</f>
        <v>24269.914253759176</v>
      </c>
      <c r="N24" s="356">
        <f>SUM(N17:N23)</f>
        <v>124269.91425375917</v>
      </c>
      <c r="O24" s="357"/>
      <c r="Q24" s="743" t="s">
        <v>73</v>
      </c>
      <c r="R24" s="711"/>
      <c r="S24" s="711"/>
      <c r="T24" s="358">
        <f>SUM(T17:T23)</f>
        <v>74600</v>
      </c>
      <c r="U24" s="359">
        <f>SUM(U17:U23)</f>
        <v>25400</v>
      </c>
      <c r="V24" s="360"/>
      <c r="W24" s="361"/>
      <c r="X24" s="362">
        <f>SUM(X17:X23)</f>
        <v>74600</v>
      </c>
      <c r="Y24" s="363">
        <f t="shared" si="9"/>
        <v>98869.914253759169</v>
      </c>
      <c r="Z24" s="332"/>
      <c r="AA24" s="333"/>
      <c r="AB24" s="364"/>
      <c r="AC24" s="334"/>
      <c r="AD24" s="335"/>
    </row>
    <row r="25" spans="1:36" ht="39.9" customHeight="1" thickBot="1" x14ac:dyDescent="0.5">
      <c r="A25" s="288">
        <v>11</v>
      </c>
      <c r="B25" s="309">
        <v>2</v>
      </c>
      <c r="C25" s="310" t="s">
        <v>40</v>
      </c>
      <c r="D25" s="288"/>
      <c r="E25" s="288"/>
      <c r="F25" s="701" t="s">
        <v>74</v>
      </c>
      <c r="G25" s="702"/>
      <c r="H25" s="702"/>
      <c r="I25" s="702"/>
      <c r="J25" s="702"/>
      <c r="K25" s="702"/>
      <c r="L25" s="702"/>
      <c r="M25" s="702"/>
      <c r="N25" s="703"/>
      <c r="O25" s="357"/>
      <c r="Q25" s="701" t="s">
        <v>75</v>
      </c>
      <c r="R25" s="702"/>
      <c r="S25" s="702"/>
      <c r="T25" s="702"/>
      <c r="U25" s="702"/>
      <c r="V25" s="702"/>
      <c r="W25" s="702"/>
      <c r="X25" s="702"/>
      <c r="Y25" s="703"/>
      <c r="Z25" s="332" t="e">
        <f t="shared" ref="Z25:Z30" si="14">IF(Q25&lt;&gt;"",U25/K25,"")</f>
        <v>#DIV/0!</v>
      </c>
      <c r="AA25" s="333"/>
      <c r="AC25" s="334"/>
      <c r="AD25" s="335"/>
    </row>
    <row r="26" spans="1:36" ht="39.9" customHeight="1" x14ac:dyDescent="0.45">
      <c r="A26" s="288">
        <v>12</v>
      </c>
      <c r="B26" s="309" t="s">
        <v>76</v>
      </c>
      <c r="C26" s="310" t="s">
        <v>43</v>
      </c>
      <c r="D26" s="288"/>
      <c r="E26" s="288"/>
      <c r="F26" s="693" t="s">
        <v>75</v>
      </c>
      <c r="G26" s="694"/>
      <c r="H26" s="694"/>
      <c r="I26" s="694"/>
      <c r="J26" s="694"/>
      <c r="K26" s="695"/>
      <c r="L26" s="313" t="s">
        <v>45</v>
      </c>
      <c r="M26" s="314" t="s">
        <v>46</v>
      </c>
      <c r="N26" s="315" t="s">
        <v>28</v>
      </c>
      <c r="O26" s="357"/>
      <c r="P26" s="365"/>
      <c r="Q26" s="694" t="s">
        <v>75</v>
      </c>
      <c r="R26" s="694"/>
      <c r="S26" s="694"/>
      <c r="T26" s="694"/>
      <c r="U26" s="694"/>
      <c r="V26" s="695"/>
      <c r="W26" s="313" t="s">
        <v>45</v>
      </c>
      <c r="X26" s="314" t="s">
        <v>46</v>
      </c>
      <c r="Y26" s="315" t="s">
        <v>28</v>
      </c>
      <c r="Z26" s="332" t="e">
        <f t="shared" si="14"/>
        <v>#DIV/0!</v>
      </c>
      <c r="AA26" s="333" t="e">
        <f>T26/#REF!</f>
        <v>#REF!</v>
      </c>
      <c r="AC26" s="334"/>
      <c r="AD26" s="335"/>
    </row>
    <row r="27" spans="1:36" ht="99.9" customHeight="1" x14ac:dyDescent="0.45">
      <c r="A27" s="288">
        <v>13</v>
      </c>
      <c r="B27" s="309" t="s">
        <v>77</v>
      </c>
      <c r="C27" s="310" t="s">
        <v>49</v>
      </c>
      <c r="D27" s="288" t="s">
        <v>78</v>
      </c>
      <c r="E27" s="288" t="s">
        <v>79</v>
      </c>
      <c r="F27" s="338" t="s">
        <v>80</v>
      </c>
      <c r="G27" s="339" t="s">
        <v>682</v>
      </c>
      <c r="H27" s="366">
        <v>1</v>
      </c>
      <c r="I27" s="366">
        <v>1</v>
      </c>
      <c r="J27" s="367">
        <v>198000</v>
      </c>
      <c r="K27" s="341">
        <f t="shared" ref="K27" si="15">IF(F27&lt;&gt;"",H27*I27*J27,"")</f>
        <v>198000</v>
      </c>
      <c r="L27" s="341">
        <f t="shared" ref="L27" si="16">IF(K27&lt;&gt;"",IF(D27="INTERNO",0,K27*$L$14),"")</f>
        <v>15840</v>
      </c>
      <c r="M27" s="341">
        <f t="shared" ref="M27" si="17">IF(K27&lt;&gt;"",IF(E27="FAT.OGGI",SUM(K27:L27)*(1/(1-$M$14)-1),L27*(1/(1-$M$14)-1)),"")</f>
        <v>3844.3544177954532</v>
      </c>
      <c r="N27" s="342">
        <f t="shared" ref="N27" si="18">SUM(K27:M27)</f>
        <v>217684.35441779546</v>
      </c>
      <c r="O27" s="324" t="b">
        <v>1</v>
      </c>
      <c r="P27" s="368" t="s">
        <v>219</v>
      </c>
      <c r="Q27" s="369">
        <v>1</v>
      </c>
      <c r="R27" s="343">
        <v>1</v>
      </c>
      <c r="S27" s="370">
        <v>198000</v>
      </c>
      <c r="T27" s="344">
        <f t="shared" ref="T27" si="19">IF(Q27&lt;&gt;"",Q27*R27*S27,"")</f>
        <v>198000</v>
      </c>
      <c r="U27" s="345">
        <f t="shared" ref="U27" si="20">IF(Q27&lt;&gt;"",K27-T27,"")</f>
        <v>0</v>
      </c>
      <c r="V27" s="346">
        <f t="shared" ref="V27" si="21">IF(Q27&lt;&gt;"",0%,"")</f>
        <v>0</v>
      </c>
      <c r="W27" s="347">
        <f t="shared" ref="W27" si="22">IF(Q27&lt;&gt;"",V27*U27,"")</f>
        <v>0</v>
      </c>
      <c r="X27" s="347">
        <f>IF(Q27&lt;&gt;"",W27+T27,"")</f>
        <v>198000</v>
      </c>
      <c r="Y27" s="348">
        <f>IF(Q27&lt;&gt;"",X27+M27,"")</f>
        <v>201844.35441779546</v>
      </c>
      <c r="Z27" s="332">
        <f t="shared" si="14"/>
        <v>0</v>
      </c>
      <c r="AA27" s="333">
        <f>T27/$T$31</f>
        <v>0.80570340348649838</v>
      </c>
      <c r="AB27" s="332" t="e">
        <f>U27/#REF!</f>
        <v>#REF!</v>
      </c>
      <c r="AC27" s="334">
        <f t="shared" si="12"/>
        <v>0</v>
      </c>
      <c r="AD27" s="335">
        <f>49000+50000+99000</f>
        <v>198000</v>
      </c>
      <c r="AE27" s="625" t="s">
        <v>742</v>
      </c>
      <c r="AF27" s="349" t="e">
        <f>T27-AE27</f>
        <v>#VALUE!</v>
      </c>
      <c r="AG27" s="350">
        <v>46065</v>
      </c>
      <c r="AI27" s="351" t="s">
        <v>81</v>
      </c>
      <c r="AJ27" s="352" t="s">
        <v>81</v>
      </c>
    </row>
    <row r="28" spans="1:36" ht="99.9" customHeight="1" x14ac:dyDescent="0.45">
      <c r="A28" s="288">
        <v>14</v>
      </c>
      <c r="B28" s="309" t="s">
        <v>82</v>
      </c>
      <c r="C28" s="310" t="s">
        <v>49</v>
      </c>
      <c r="D28" s="288" t="s">
        <v>78</v>
      </c>
      <c r="E28" s="288" t="s">
        <v>79</v>
      </c>
      <c r="F28" s="338" t="s">
        <v>83</v>
      </c>
      <c r="G28" s="339" t="s">
        <v>84</v>
      </c>
      <c r="H28" s="366">
        <v>1</v>
      </c>
      <c r="I28" s="366">
        <v>1</v>
      </c>
      <c r="J28" s="367">
        <v>21618</v>
      </c>
      <c r="K28" s="341">
        <f>IF(F28&lt;&gt;"",H28*I28*J28,"")</f>
        <v>21618</v>
      </c>
      <c r="L28" s="341">
        <f>IF(K28&lt;&gt;"",IF(D28="INTERNO",0,K28*$L$14),"")</f>
        <v>1729.44</v>
      </c>
      <c r="M28" s="341">
        <f>IF(K28&lt;&gt;"",IF(E28="FAT.OGGI",SUM(K28:L28)*(1/(1-$M$14)-1),L28*(1/(1-$M$14)-1)),"")</f>
        <v>419.73360507021266</v>
      </c>
      <c r="N28" s="342">
        <f>SUM(K28:M28)</f>
        <v>23767.173605070213</v>
      </c>
      <c r="O28" s="324" t="b">
        <v>1</v>
      </c>
      <c r="P28" s="368" t="s">
        <v>220</v>
      </c>
      <c r="Q28" s="371">
        <f>IF(H28&lt;&gt;"",H28,"")</f>
        <v>1</v>
      </c>
      <c r="R28" s="372">
        <f>IF(I28&lt;&gt;"",I28,"")</f>
        <v>1</v>
      </c>
      <c r="S28" s="373">
        <v>21618</v>
      </c>
      <c r="T28" s="374">
        <f>IF(Q28&lt;&gt;"",Q28*R28*S28,"")</f>
        <v>21618</v>
      </c>
      <c r="U28" s="375">
        <f>IF(Q28&lt;&gt;"",K28-T28,"")</f>
        <v>0</v>
      </c>
      <c r="V28" s="376">
        <f>IF(Q28&lt;&gt;"",0%,"")</f>
        <v>0</v>
      </c>
      <c r="W28" s="377">
        <f>IF(Q28&lt;&gt;"",V28*U28,"")</f>
        <v>0</v>
      </c>
      <c r="X28" s="377">
        <f>IF(Q28&lt;&gt;"",W28+T28,"")</f>
        <v>21618</v>
      </c>
      <c r="Y28" s="378">
        <f>IF(Q28&lt;&gt;"",X28+M28,"")</f>
        <v>22037.733605070214</v>
      </c>
      <c r="Z28" s="332">
        <f t="shared" si="14"/>
        <v>0</v>
      </c>
      <c r="AA28" s="333"/>
      <c r="AB28" s="364"/>
      <c r="AC28" s="334">
        <f t="shared" si="12"/>
        <v>0</v>
      </c>
      <c r="AD28" s="335">
        <v>21618</v>
      </c>
      <c r="AE28" s="625" t="s">
        <v>741</v>
      </c>
      <c r="AF28" s="349" t="e">
        <f>T28-AE28</f>
        <v>#VALUE!</v>
      </c>
      <c r="AG28" s="350">
        <v>46096</v>
      </c>
      <c r="AI28" s="351" t="s">
        <v>85</v>
      </c>
      <c r="AJ28" s="352" t="s">
        <v>86</v>
      </c>
    </row>
    <row r="29" spans="1:36" ht="99.9" customHeight="1" x14ac:dyDescent="0.45">
      <c r="A29" s="288">
        <v>15</v>
      </c>
      <c r="B29" s="309" t="s">
        <v>221</v>
      </c>
      <c r="C29" s="310" t="s">
        <v>49</v>
      </c>
      <c r="D29" s="288" t="s">
        <v>78</v>
      </c>
      <c r="E29" s="288" t="s">
        <v>79</v>
      </c>
      <c r="F29" s="379" t="s">
        <v>222</v>
      </c>
      <c r="G29" s="380" t="s">
        <v>223</v>
      </c>
      <c r="H29" s="381">
        <v>1</v>
      </c>
      <c r="I29" s="381">
        <v>1</v>
      </c>
      <c r="J29" s="382">
        <v>17490</v>
      </c>
      <c r="K29" s="383">
        <f t="shared" ref="K29" si="23">IF(F29&lt;&gt;"",H29*I29*J29,"")</f>
        <v>17490</v>
      </c>
      <c r="L29" s="383">
        <f t="shared" ref="L29" si="24">IF(K29&lt;&gt;"",IF(D29="INTERNO",0,K29*$L$14),"")</f>
        <v>1399.2</v>
      </c>
      <c r="M29" s="383">
        <f t="shared" ref="M29" si="25">IF(K29&lt;&gt;"",IF(E29="FAT.OGGI",SUM(K29:L29)*(1/(1-$M$14)-1),L29*(1/(1-$M$14)-1)),"")</f>
        <v>339.58464023859835</v>
      </c>
      <c r="N29" s="384">
        <f t="shared" ref="N29" si="26">SUM(K29:M29)</f>
        <v>19228.784640238599</v>
      </c>
      <c r="O29" s="324" t="b">
        <v>1</v>
      </c>
      <c r="P29" s="385"/>
      <c r="Q29" s="386">
        <v>1</v>
      </c>
      <c r="R29" s="387">
        <v>1</v>
      </c>
      <c r="S29" s="388">
        <v>17490</v>
      </c>
      <c r="T29" s="388">
        <f t="shared" ref="T29" si="27">IF(Q29&lt;&gt;"",Q29*R29*S29,"")</f>
        <v>17490</v>
      </c>
      <c r="U29" s="375">
        <f>IF(Q29&lt;&gt;"",K29-T29,"")</f>
        <v>0</v>
      </c>
      <c r="V29" s="376">
        <f>IF(Q29&lt;&gt;"",0%,"")</f>
        <v>0</v>
      </c>
      <c r="W29" s="377">
        <f>IF(Q29&lt;&gt;"",V29*U29,"")</f>
        <v>0</v>
      </c>
      <c r="X29" s="377">
        <f>IF(Q29&lt;&gt;"",W29+T29,"")</f>
        <v>17490</v>
      </c>
      <c r="Y29" s="378">
        <f>IF(Q29&lt;&gt;"",X29+M29,"")</f>
        <v>17829.584640238598</v>
      </c>
      <c r="Z29" s="332">
        <f t="shared" si="14"/>
        <v>0</v>
      </c>
      <c r="AA29" s="333"/>
      <c r="AB29" s="364"/>
      <c r="AC29" s="334">
        <f t="shared" si="12"/>
        <v>0</v>
      </c>
      <c r="AD29" s="335">
        <v>17490</v>
      </c>
      <c r="AE29" s="624" t="s">
        <v>740</v>
      </c>
    </row>
    <row r="30" spans="1:36" ht="99.9" customHeight="1" x14ac:dyDescent="0.45">
      <c r="A30" s="288">
        <v>16</v>
      </c>
      <c r="B30" s="309" t="s">
        <v>224</v>
      </c>
      <c r="C30" s="310" t="s">
        <v>49</v>
      </c>
      <c r="D30" s="288" t="s">
        <v>78</v>
      </c>
      <c r="E30" s="288" t="s">
        <v>79</v>
      </c>
      <c r="F30" s="379" t="s">
        <v>225</v>
      </c>
      <c r="G30" s="380" t="s">
        <v>226</v>
      </c>
      <c r="H30" s="381">
        <v>50</v>
      </c>
      <c r="I30" s="381">
        <v>1</v>
      </c>
      <c r="J30" s="382">
        <v>90</v>
      </c>
      <c r="K30" s="383">
        <f>IF(F30&lt;&gt;"",H30*I30*J30,"")</f>
        <v>4500</v>
      </c>
      <c r="L30" s="383">
        <f>IF(K30&lt;&gt;"",IF(D30="INTERNO",0,K30*$L$14),"")</f>
        <v>360</v>
      </c>
      <c r="M30" s="383">
        <f>IF(K30&lt;&gt;"",IF(E30="FAT.OGGI",SUM(K30:L30)*(1/(1-$M$14)-1),L30*(1/(1-$M$14)-1)),"")</f>
        <v>87.37169131353302</v>
      </c>
      <c r="N30" s="384">
        <f>SUM(K30:M30)</f>
        <v>4947.3716913135331</v>
      </c>
      <c r="O30" s="389" t="b">
        <v>0</v>
      </c>
      <c r="P30" s="385"/>
      <c r="Q30" s="371">
        <f>IF(H30&lt;&gt;"",H30,"")</f>
        <v>50</v>
      </c>
      <c r="R30" s="372">
        <f>IF(I30&lt;&gt;"",I30,"")</f>
        <v>1</v>
      </c>
      <c r="S30" s="374">
        <v>90</v>
      </c>
      <c r="T30" s="374">
        <v>8640</v>
      </c>
      <c r="U30" s="375">
        <f>IF(Q30&lt;&gt;"",K30-T30,"")</f>
        <v>-4140</v>
      </c>
      <c r="V30" s="376">
        <f>IF(Q30&lt;&gt;"",0%,"")</f>
        <v>0</v>
      </c>
      <c r="W30" s="377">
        <f>IF(Q30&lt;&gt;"",V30*U30,"")</f>
        <v>0</v>
      </c>
      <c r="X30" s="377">
        <f>IF(Q30&lt;&gt;"",W30+T30,"")</f>
        <v>8640</v>
      </c>
      <c r="Y30" s="378">
        <f>IF(Q30&lt;&gt;"",X30+M30,"")</f>
        <v>8727.3716913135322</v>
      </c>
      <c r="Z30" s="332">
        <f t="shared" si="14"/>
        <v>-0.92</v>
      </c>
      <c r="AA30" s="333"/>
      <c r="AB30" s="364"/>
      <c r="AC30" s="334">
        <f t="shared" si="12"/>
        <v>0</v>
      </c>
      <c r="AD30" s="335">
        <v>8640</v>
      </c>
      <c r="AE30" s="624" t="s">
        <v>778</v>
      </c>
    </row>
    <row r="31" spans="1:36" ht="39.9" customHeight="1" thickBot="1" x14ac:dyDescent="0.5">
      <c r="A31" s="390">
        <v>17</v>
      </c>
      <c r="B31" s="309"/>
      <c r="C31" s="391" t="s">
        <v>72</v>
      </c>
      <c r="D31" s="390"/>
      <c r="E31" s="390"/>
      <c r="F31" s="698" t="s">
        <v>87</v>
      </c>
      <c r="G31" s="699"/>
      <c r="H31" s="699"/>
      <c r="I31" s="699"/>
      <c r="J31" s="699"/>
      <c r="K31" s="355">
        <f>SUM(K27:K30)</f>
        <v>241608</v>
      </c>
      <c r="L31" s="355">
        <f>SUM(L27:L30)</f>
        <v>19328.64</v>
      </c>
      <c r="M31" s="355">
        <f>SUM(M27:M30)</f>
        <v>4691.0443544177979</v>
      </c>
      <c r="N31" s="356">
        <f>SUM(N27:N30)</f>
        <v>265627.68435441778</v>
      </c>
      <c r="O31" s="357"/>
      <c r="P31" s="385"/>
      <c r="Q31" s="700" t="s">
        <v>87</v>
      </c>
      <c r="R31" s="700"/>
      <c r="S31" s="700"/>
      <c r="T31" s="392">
        <f>SUM(T27:T30)</f>
        <v>245748</v>
      </c>
      <c r="U31" s="393">
        <f>SUM(U27:U30)</f>
        <v>-4140</v>
      </c>
      <c r="V31" s="394"/>
      <c r="W31" s="395"/>
      <c r="X31" s="396">
        <f>SUM(X27:X30)</f>
        <v>245748</v>
      </c>
      <c r="Y31" s="397">
        <f>IF(Q31&lt;&gt;"",X31+M31,"")</f>
        <v>250439.0443544178</v>
      </c>
      <c r="Z31" s="332"/>
      <c r="AA31" s="333"/>
      <c r="AB31" s="364"/>
      <c r="AC31" s="334"/>
      <c r="AD31" s="335"/>
    </row>
    <row r="32" spans="1:36" ht="39.9" customHeight="1" thickBot="1" x14ac:dyDescent="0.5">
      <c r="A32" s="288">
        <v>18</v>
      </c>
      <c r="B32" s="309">
        <v>3</v>
      </c>
      <c r="C32" s="310" t="s">
        <v>40</v>
      </c>
      <c r="D32" s="288"/>
      <c r="E32" s="288"/>
      <c r="F32" s="701" t="s">
        <v>88</v>
      </c>
      <c r="G32" s="702"/>
      <c r="H32" s="702"/>
      <c r="I32" s="702"/>
      <c r="J32" s="702"/>
      <c r="K32" s="702"/>
      <c r="L32" s="702"/>
      <c r="M32" s="702"/>
      <c r="N32" s="703"/>
      <c r="O32" s="357"/>
      <c r="P32" s="385"/>
      <c r="Q32" s="746" t="str">
        <f>IF(F32&lt;&gt;"",F32,"")</f>
        <v>TAXAS</v>
      </c>
      <c r="R32" s="747"/>
      <c r="S32" s="747"/>
      <c r="T32" s="747"/>
      <c r="U32" s="747"/>
      <c r="V32" s="747"/>
      <c r="W32" s="747"/>
      <c r="X32" s="747"/>
      <c r="Y32" s="748"/>
      <c r="Z32" s="398"/>
      <c r="AA32" s="333"/>
      <c r="AC32" s="334"/>
      <c r="AD32" s="335"/>
    </row>
    <row r="33" spans="1:36" ht="39.9" customHeight="1" x14ac:dyDescent="0.45">
      <c r="A33" s="288">
        <v>19</v>
      </c>
      <c r="B33" s="309" t="s">
        <v>89</v>
      </c>
      <c r="C33" s="310" t="s">
        <v>43</v>
      </c>
      <c r="D33" s="288"/>
      <c r="E33" s="288"/>
      <c r="F33" s="693" t="s">
        <v>88</v>
      </c>
      <c r="G33" s="694"/>
      <c r="H33" s="694"/>
      <c r="I33" s="694"/>
      <c r="J33" s="694"/>
      <c r="K33" s="695"/>
      <c r="L33" s="399" t="s">
        <v>45</v>
      </c>
      <c r="M33" s="400" t="s">
        <v>46</v>
      </c>
      <c r="N33" s="401" t="s">
        <v>28</v>
      </c>
      <c r="O33" s="357"/>
      <c r="P33" s="385"/>
      <c r="Q33" s="749" t="str">
        <f>IF(F33&lt;&gt;"",F33,"")</f>
        <v>TAXAS</v>
      </c>
      <c r="R33" s="750"/>
      <c r="S33" s="750"/>
      <c r="T33" s="750"/>
      <c r="U33" s="750"/>
      <c r="V33" s="750"/>
      <c r="W33" s="750"/>
      <c r="X33" s="750"/>
      <c r="Y33" s="751"/>
      <c r="Z33" s="402" t="s">
        <v>47</v>
      </c>
      <c r="AA33" s="403" t="s">
        <v>39</v>
      </c>
      <c r="AC33" s="334"/>
      <c r="AD33" s="335"/>
    </row>
    <row r="34" spans="1:36" ht="99.9" customHeight="1" x14ac:dyDescent="0.45">
      <c r="A34" s="288">
        <v>20</v>
      </c>
      <c r="B34" s="309" t="s">
        <v>90</v>
      </c>
      <c r="C34" s="310" t="s">
        <v>49</v>
      </c>
      <c r="D34" s="288" t="s">
        <v>78</v>
      </c>
      <c r="E34" s="288" t="s">
        <v>79</v>
      </c>
      <c r="F34" s="338" t="s">
        <v>91</v>
      </c>
      <c r="G34" s="404" t="s">
        <v>92</v>
      </c>
      <c r="H34" s="366">
        <v>1</v>
      </c>
      <c r="I34" s="366">
        <v>1</v>
      </c>
      <c r="J34" s="367">
        <v>2200</v>
      </c>
      <c r="K34" s="341">
        <f t="shared" ref="K34:K35" si="28">IF(F34&lt;&gt;"",H34*I34*J34,"")</f>
        <v>2200</v>
      </c>
      <c r="L34" s="341">
        <f t="shared" ref="L34:L35" si="29">IF(K34&lt;&gt;"",IF(D34="INTERNO",0,K34*$L$14),"")</f>
        <v>176</v>
      </c>
      <c r="M34" s="341">
        <f t="shared" ref="M34:M35" si="30">IF(K34&lt;&gt;"",IF(E34="FAT.OGGI",SUM(K34:L34)*(1/(1-$M$14)-1),L34*(1/(1-$M$14)-1)),"")</f>
        <v>42.715049086616148</v>
      </c>
      <c r="N34" s="342">
        <f t="shared" ref="N34:N35" si="31">SUM(K34:M34)</f>
        <v>2418.7150490866161</v>
      </c>
      <c r="O34" s="324" t="b">
        <v>1</v>
      </c>
      <c r="P34" s="385"/>
      <c r="Q34" s="369">
        <f>IF(H34&lt;&gt;"",H34,"")</f>
        <v>1</v>
      </c>
      <c r="R34" s="343">
        <f>IF(I34&lt;&gt;"",I34,"")</f>
        <v>1</v>
      </c>
      <c r="S34" s="344">
        <v>2200</v>
      </c>
      <c r="T34" s="344">
        <v>1873.31</v>
      </c>
      <c r="U34" s="345">
        <f>IF(Q34&lt;&gt;"",K34-T34,"")</f>
        <v>326.69000000000005</v>
      </c>
      <c r="V34" s="346">
        <f>IF(Q34&lt;&gt;"",0%,"")</f>
        <v>0</v>
      </c>
      <c r="W34" s="347">
        <f>IF(Q34&lt;&gt;"",V34*U34,"")</f>
        <v>0</v>
      </c>
      <c r="X34" s="347">
        <f>IF(Q34&lt;&gt;"",W34+T34,"")</f>
        <v>1873.31</v>
      </c>
      <c r="Y34" s="348">
        <f>IF(Q34&lt;&gt;"",X34+M34,"")</f>
        <v>1916.025049086616</v>
      </c>
      <c r="Z34" s="332">
        <f>IF(Q34&lt;&gt;"",U34/K34,"")</f>
        <v>0.14849545454545457</v>
      </c>
      <c r="AA34" s="333">
        <f>T34/$T$36</f>
        <v>1</v>
      </c>
      <c r="AB34" s="332"/>
      <c r="AC34" s="334">
        <f t="shared" si="12"/>
        <v>0</v>
      </c>
      <c r="AD34" s="335">
        <v>1873.31</v>
      </c>
      <c r="AE34" s="624" t="s">
        <v>748</v>
      </c>
    </row>
    <row r="35" spans="1:36" ht="99.9" customHeight="1" x14ac:dyDescent="0.45">
      <c r="A35" s="288">
        <v>21</v>
      </c>
      <c r="B35" s="309" t="s">
        <v>93</v>
      </c>
      <c r="C35" s="310" t="s">
        <v>49</v>
      </c>
      <c r="D35" s="288" t="s">
        <v>78</v>
      </c>
      <c r="E35" s="288" t="s">
        <v>79</v>
      </c>
      <c r="F35" s="338" t="s">
        <v>94</v>
      </c>
      <c r="G35" s="404" t="s">
        <v>95</v>
      </c>
      <c r="H35" s="366">
        <v>1</v>
      </c>
      <c r="I35" s="366">
        <v>1</v>
      </c>
      <c r="J35" s="367">
        <v>3000</v>
      </c>
      <c r="K35" s="341">
        <f t="shared" si="28"/>
        <v>3000</v>
      </c>
      <c r="L35" s="341">
        <f t="shared" si="29"/>
        <v>240</v>
      </c>
      <c r="M35" s="341">
        <f t="shared" si="30"/>
        <v>58.247794209022018</v>
      </c>
      <c r="N35" s="342">
        <f t="shared" si="31"/>
        <v>3298.2477942090222</v>
      </c>
      <c r="O35" s="389" t="b">
        <v>0</v>
      </c>
      <c r="P35" s="385"/>
      <c r="Q35" s="369">
        <f>IF(H35&lt;&gt;"",H35,"")</f>
        <v>1</v>
      </c>
      <c r="R35" s="343">
        <f>IF(I35&lt;&gt;"",I35,"")</f>
        <v>1</v>
      </c>
      <c r="S35" s="344">
        <v>3000</v>
      </c>
      <c r="T35" s="344">
        <v>0</v>
      </c>
      <c r="U35" s="345">
        <f>IF(Q35&lt;&gt;"",K35-T35,"")</f>
        <v>3000</v>
      </c>
      <c r="V35" s="346">
        <f>IF(Q35&lt;&gt;"",0%,"")</f>
        <v>0</v>
      </c>
      <c r="W35" s="347">
        <f>IF(Q35&lt;&gt;"",V35*U35,"")</f>
        <v>0</v>
      </c>
      <c r="X35" s="347">
        <f>IF(Q35&lt;&gt;"",W35+T35,"")</f>
        <v>0</v>
      </c>
      <c r="Y35" s="348">
        <f>IF(Q35&lt;&gt;"",X35+M35,"")</f>
        <v>58.247794209022018</v>
      </c>
      <c r="Z35" s="332">
        <f>IF(Q35&lt;&gt;"",U35/K35,"")</f>
        <v>1</v>
      </c>
      <c r="AA35" s="333">
        <f>T35/$T$36</f>
        <v>0</v>
      </c>
      <c r="AB35" s="332"/>
      <c r="AC35" s="334">
        <f t="shared" si="12"/>
        <v>0</v>
      </c>
      <c r="AD35" s="335">
        <v>0</v>
      </c>
    </row>
    <row r="36" spans="1:36" ht="39.9" customHeight="1" thickBot="1" x14ac:dyDescent="0.5">
      <c r="A36" s="336">
        <v>22</v>
      </c>
      <c r="B36" s="309"/>
      <c r="C36" s="337" t="s">
        <v>72</v>
      </c>
      <c r="D36" s="336"/>
      <c r="E36" s="336"/>
      <c r="F36" s="720" t="s">
        <v>96</v>
      </c>
      <c r="G36" s="721"/>
      <c r="H36" s="721"/>
      <c r="I36" s="721"/>
      <c r="J36" s="721"/>
      <c r="K36" s="355">
        <f>SUM(K34:K35)</f>
        <v>5200</v>
      </c>
      <c r="L36" s="355">
        <f>SUM(L34:L35)</f>
        <v>416</v>
      </c>
      <c r="M36" s="355">
        <f>SUM(M34:M35)</f>
        <v>100.96284329563817</v>
      </c>
      <c r="N36" s="356">
        <f>SUM(N34:N35)</f>
        <v>5716.9628432956379</v>
      </c>
      <c r="O36" s="357"/>
      <c r="P36" s="385"/>
      <c r="Q36" s="711" t="s">
        <v>96</v>
      </c>
      <c r="R36" s="711"/>
      <c r="S36" s="712"/>
      <c r="T36" s="405">
        <f>SUM(T34:T35)</f>
        <v>1873.31</v>
      </c>
      <c r="U36" s="359">
        <f>SUM(U34:U35)</f>
        <v>3326.69</v>
      </c>
      <c r="V36" s="360"/>
      <c r="W36" s="361"/>
      <c r="X36" s="362">
        <f>SUM(X34:X35)</f>
        <v>1873.31</v>
      </c>
      <c r="Y36" s="363">
        <f>IF(Q36&lt;&gt;"",X36+M36,"")</f>
        <v>1974.272843295638</v>
      </c>
      <c r="Z36" s="332"/>
      <c r="AA36" s="333"/>
      <c r="AB36" s="364"/>
      <c r="AC36" s="334"/>
      <c r="AD36" s="335"/>
    </row>
    <row r="37" spans="1:36" ht="39.9" customHeight="1" thickBot="1" x14ac:dyDescent="0.5">
      <c r="A37" s="288">
        <v>23</v>
      </c>
      <c r="B37" s="309">
        <v>4</v>
      </c>
      <c r="C37" s="310" t="s">
        <v>40</v>
      </c>
      <c r="D37" s="288"/>
      <c r="E37" s="288"/>
      <c r="F37" s="701" t="s">
        <v>97</v>
      </c>
      <c r="G37" s="702"/>
      <c r="H37" s="702"/>
      <c r="I37" s="702"/>
      <c r="J37" s="702"/>
      <c r="K37" s="702"/>
      <c r="L37" s="702"/>
      <c r="M37" s="702"/>
      <c r="N37" s="703"/>
      <c r="O37" s="357"/>
      <c r="P37" s="385"/>
      <c r="Q37" s="704" t="str">
        <f>IF(F37&lt;&gt;"",F37,"")</f>
        <v>CENOGRAFIA</v>
      </c>
      <c r="R37" s="704"/>
      <c r="S37" s="704"/>
      <c r="T37" s="704"/>
      <c r="U37" s="704"/>
      <c r="V37" s="704"/>
      <c r="W37" s="704"/>
      <c r="X37" s="704"/>
      <c r="Y37" s="705"/>
      <c r="Z37" s="398"/>
      <c r="AA37" s="333"/>
      <c r="AC37" s="334"/>
      <c r="AD37" s="335"/>
    </row>
    <row r="38" spans="1:36" ht="39.9" customHeight="1" x14ac:dyDescent="0.45">
      <c r="A38" s="288">
        <v>24</v>
      </c>
      <c r="B38" s="309" t="s">
        <v>98</v>
      </c>
      <c r="C38" s="310" t="s">
        <v>43</v>
      </c>
      <c r="D38" s="288"/>
      <c r="E38" s="288"/>
      <c r="F38" s="693" t="s">
        <v>97</v>
      </c>
      <c r="G38" s="694"/>
      <c r="H38" s="694"/>
      <c r="I38" s="694"/>
      <c r="J38" s="694"/>
      <c r="K38" s="695"/>
      <c r="L38" s="399" t="s">
        <v>45</v>
      </c>
      <c r="M38" s="400" t="s">
        <v>46</v>
      </c>
      <c r="N38" s="401" t="s">
        <v>28</v>
      </c>
      <c r="O38" s="357"/>
      <c r="P38" s="385"/>
      <c r="Q38" s="696" t="str">
        <f>IF(F38&lt;&gt;"",F38,"")</f>
        <v>CENOGRAFIA</v>
      </c>
      <c r="R38" s="696"/>
      <c r="S38" s="696"/>
      <c r="T38" s="696"/>
      <c r="U38" s="696"/>
      <c r="V38" s="696"/>
      <c r="W38" s="696"/>
      <c r="X38" s="696"/>
      <c r="Y38" s="697"/>
      <c r="Z38" s="402" t="s">
        <v>47</v>
      </c>
      <c r="AA38" s="403" t="s">
        <v>39</v>
      </c>
      <c r="AC38" s="334"/>
      <c r="AD38" s="335"/>
    </row>
    <row r="39" spans="1:36" ht="99.9" customHeight="1" x14ac:dyDescent="0.45">
      <c r="A39" s="288">
        <v>25</v>
      </c>
      <c r="B39" s="309" t="s">
        <v>99</v>
      </c>
      <c r="C39" s="310" t="s">
        <v>49</v>
      </c>
      <c r="D39" s="288" t="s">
        <v>78</v>
      </c>
      <c r="E39" s="288" t="s">
        <v>79</v>
      </c>
      <c r="F39" s="338" t="s">
        <v>100</v>
      </c>
      <c r="G39" s="339" t="s">
        <v>101</v>
      </c>
      <c r="H39" s="340">
        <v>1</v>
      </c>
      <c r="I39" s="340">
        <v>1</v>
      </c>
      <c r="J39" s="341">
        <v>195000</v>
      </c>
      <c r="K39" s="341">
        <f t="shared" ref="K39:K41" si="32">IF(F39&lt;&gt;"",H39*I39*J39,"")</f>
        <v>195000</v>
      </c>
      <c r="L39" s="341">
        <f t="shared" ref="L39:L41" si="33">IF(K39&lt;&gt;"",IF(D39="INTERNO",0,K39*$L$14),"")</f>
        <v>15600</v>
      </c>
      <c r="M39" s="341">
        <f t="shared" ref="M39:M41" si="34">IF(K39&lt;&gt;"",IF(E39="FAT.OGGI",SUM(K39:L39)*(1/(1-$M$14)-1),L39*(1/(1-$M$14)-1)),"")</f>
        <v>3786.1066235864309</v>
      </c>
      <c r="N39" s="342">
        <f t="shared" ref="N39:N41" si="35">SUM(K39:M39)</f>
        <v>214386.10662358644</v>
      </c>
      <c r="O39" s="389" t="b">
        <v>1</v>
      </c>
      <c r="P39" s="368" t="s">
        <v>227</v>
      </c>
      <c r="Q39" s="406">
        <f t="shared" ref="Q39:R41" si="36">IF(H39&lt;&gt;"",H39,"")</f>
        <v>1</v>
      </c>
      <c r="R39" s="407">
        <f t="shared" si="36"/>
        <v>1</v>
      </c>
      <c r="S39" s="408">
        <v>125000</v>
      </c>
      <c r="T39" s="408">
        <v>229233.99</v>
      </c>
      <c r="U39" s="409">
        <f t="shared" ref="U39:U41" si="37">IF(Q39&lt;&gt;"",K39-T39,"")</f>
        <v>-34233.989999999991</v>
      </c>
      <c r="V39" s="410">
        <f t="shared" ref="V39:V41" si="38">IF(Q39&lt;&gt;"",0%,"")</f>
        <v>0</v>
      </c>
      <c r="W39" s="411">
        <f t="shared" ref="W39:W41" si="39">IF(Q39&lt;&gt;"",V39*U39,"")</f>
        <v>0</v>
      </c>
      <c r="X39" s="411">
        <f t="shared" ref="X39:X53" si="40">IF(Q39&lt;&gt;"",W39+T39,"")</f>
        <v>229233.99</v>
      </c>
      <c r="Y39" s="348">
        <f t="shared" ref="Y39:Y54" si="41">IF(Q39&lt;&gt;"",X39+M39,"")</f>
        <v>233020.09662358643</v>
      </c>
      <c r="Z39" s="412">
        <f t="shared" ref="Z39:Z53" si="42">IF(Q39&lt;&gt;"",U39/K39,"")</f>
        <v>-0.17555892307692303</v>
      </c>
      <c r="AA39" s="333">
        <f>T39/$T$54</f>
        <v>0.53256410295130818</v>
      </c>
      <c r="AC39" s="334">
        <f t="shared" si="12"/>
        <v>0</v>
      </c>
      <c r="AD39" s="335">
        <f>25000+100000+104233.99</f>
        <v>229233.99</v>
      </c>
      <c r="AE39" s="625" t="s">
        <v>785</v>
      </c>
      <c r="AF39" s="349" t="e">
        <f>T39-AE39</f>
        <v>#VALUE!</v>
      </c>
      <c r="AG39" s="350">
        <v>46096</v>
      </c>
      <c r="AI39" s="351" t="s">
        <v>102</v>
      </c>
      <c r="AJ39" s="352" t="s">
        <v>103</v>
      </c>
    </row>
    <row r="40" spans="1:36" ht="99.9" customHeight="1" x14ac:dyDescent="0.45">
      <c r="A40" s="336">
        <v>26</v>
      </c>
      <c r="B40" s="309" t="s">
        <v>104</v>
      </c>
      <c r="C40" s="337" t="s">
        <v>49</v>
      </c>
      <c r="D40" s="288" t="s">
        <v>78</v>
      </c>
      <c r="E40" s="288" t="s">
        <v>79</v>
      </c>
      <c r="F40" s="413" t="s">
        <v>228</v>
      </c>
      <c r="G40" s="414" t="s">
        <v>229</v>
      </c>
      <c r="H40" s="415">
        <v>1</v>
      </c>
      <c r="I40" s="415">
        <v>1</v>
      </c>
      <c r="J40" s="416">
        <v>32000</v>
      </c>
      <c r="K40" s="416">
        <f>IF(F40&lt;&gt;"",H40*I40*J40,"")</f>
        <v>32000</v>
      </c>
      <c r="L40" s="416">
        <f>IF(K40&lt;&gt;"",IF(D40="INTERNO",0,K40*$L$14),"")</f>
        <v>2560</v>
      </c>
      <c r="M40" s="416">
        <f>IF(K40&lt;&gt;"",IF(E40="FAT.OGGI",SUM(K40:L40)*(1/(1-$M$14)-1),L40*(1/(1-$M$14)-1)),"")</f>
        <v>621.30980489623482</v>
      </c>
      <c r="N40" s="417">
        <f>SUM(K40:M40)</f>
        <v>35181.309804896235</v>
      </c>
      <c r="O40" s="389" t="b">
        <v>1</v>
      </c>
      <c r="P40" s="368" t="s">
        <v>230</v>
      </c>
      <c r="Q40" s="418">
        <f>IF(H40&lt;&gt;"",H40,"")</f>
        <v>1</v>
      </c>
      <c r="R40" s="419">
        <f>IF(I40&lt;&gt;"",I40,"")</f>
        <v>1</v>
      </c>
      <c r="S40" s="420">
        <v>10000</v>
      </c>
      <c r="T40" s="420">
        <v>12000</v>
      </c>
      <c r="U40" s="421">
        <f>IF(Q40&lt;&gt;"",K40-T40,"")</f>
        <v>20000</v>
      </c>
      <c r="V40" s="422">
        <f>IF(Q40&lt;&gt;"",0%,"")</f>
        <v>0</v>
      </c>
      <c r="W40" s="423">
        <f>IF(Q40&lt;&gt;"",V40*U40,"")</f>
        <v>0</v>
      </c>
      <c r="X40" s="423">
        <f t="shared" si="40"/>
        <v>12000</v>
      </c>
      <c r="Y40" s="331">
        <f t="shared" si="41"/>
        <v>12621.309804896235</v>
      </c>
      <c r="Z40" s="412">
        <f t="shared" si="42"/>
        <v>0.625</v>
      </c>
      <c r="AA40" s="333"/>
      <c r="AC40" s="334">
        <f t="shared" si="12"/>
        <v>0</v>
      </c>
      <c r="AD40" s="335">
        <f>2500+4500+5000</f>
        <v>12000</v>
      </c>
      <c r="AE40" s="625" t="s">
        <v>769</v>
      </c>
      <c r="AF40" s="349" t="e">
        <f>T40-AE40</f>
        <v>#VALUE!</v>
      </c>
      <c r="AG40" s="350">
        <v>46097</v>
      </c>
      <c r="AI40" s="351" t="s">
        <v>231</v>
      </c>
      <c r="AJ40" s="352" t="s">
        <v>232</v>
      </c>
    </row>
    <row r="41" spans="1:36" ht="99.9" customHeight="1" x14ac:dyDescent="0.45">
      <c r="A41" s="353">
        <v>27</v>
      </c>
      <c r="B41" s="309" t="s">
        <v>108</v>
      </c>
      <c r="C41" s="354" t="s">
        <v>49</v>
      </c>
      <c r="D41" s="353" t="s">
        <v>78</v>
      </c>
      <c r="E41" s="353" t="s">
        <v>79</v>
      </c>
      <c r="F41" s="424" t="s">
        <v>105</v>
      </c>
      <c r="G41" s="339" t="s">
        <v>233</v>
      </c>
      <c r="H41" s="425">
        <v>1</v>
      </c>
      <c r="I41" s="425">
        <v>1</v>
      </c>
      <c r="J41" s="426">
        <v>165000</v>
      </c>
      <c r="K41" s="426">
        <f t="shared" si="32"/>
        <v>165000</v>
      </c>
      <c r="L41" s="426">
        <f t="shared" si="33"/>
        <v>13200</v>
      </c>
      <c r="M41" s="426">
        <f t="shared" si="34"/>
        <v>3203.6286814962109</v>
      </c>
      <c r="N41" s="427">
        <f t="shared" si="35"/>
        <v>181403.62868149622</v>
      </c>
      <c r="O41" s="389" t="b">
        <v>1</v>
      </c>
      <c r="P41" s="368" t="s">
        <v>227</v>
      </c>
      <c r="Q41" s="428">
        <f t="shared" si="36"/>
        <v>1</v>
      </c>
      <c r="R41" s="429">
        <f t="shared" si="36"/>
        <v>1</v>
      </c>
      <c r="S41" s="430">
        <v>125000</v>
      </c>
      <c r="T41" s="430">
        <f t="shared" ref="T41" si="43">IF(Q41&lt;&gt;"",Q41*R41*S41,"")</f>
        <v>125000</v>
      </c>
      <c r="U41" s="431">
        <f t="shared" si="37"/>
        <v>40000</v>
      </c>
      <c r="V41" s="432">
        <f t="shared" si="38"/>
        <v>0</v>
      </c>
      <c r="W41" s="433">
        <f t="shared" si="39"/>
        <v>0</v>
      </c>
      <c r="X41" s="433">
        <f t="shared" si="40"/>
        <v>125000</v>
      </c>
      <c r="Y41" s="434">
        <f t="shared" si="41"/>
        <v>128203.62868149621</v>
      </c>
      <c r="Z41" s="412">
        <f t="shared" si="42"/>
        <v>0.24242424242424243</v>
      </c>
      <c r="AA41" s="333">
        <f>T41/$T$54</f>
        <v>0.29040419733964201</v>
      </c>
      <c r="AC41" s="334">
        <f t="shared" si="12"/>
        <v>0</v>
      </c>
      <c r="AD41" s="335">
        <f>25000+100000</f>
        <v>125000</v>
      </c>
      <c r="AE41" s="625" t="s">
        <v>716</v>
      </c>
      <c r="AF41" s="349" t="e">
        <f>T41-AE41</f>
        <v>#VALUE!</v>
      </c>
      <c r="AG41" s="350">
        <v>46096</v>
      </c>
      <c r="AI41" s="351" t="s">
        <v>106</v>
      </c>
      <c r="AJ41" s="352" t="s">
        <v>107</v>
      </c>
    </row>
    <row r="42" spans="1:36" ht="99.9" customHeight="1" x14ac:dyDescent="0.45">
      <c r="A42" s="288">
        <v>28</v>
      </c>
      <c r="B42" s="309" t="s">
        <v>234</v>
      </c>
      <c r="C42" s="310" t="s">
        <v>49</v>
      </c>
      <c r="D42" s="353" t="s">
        <v>78</v>
      </c>
      <c r="E42" s="353" t="s">
        <v>79</v>
      </c>
      <c r="F42" s="338" t="s">
        <v>235</v>
      </c>
      <c r="G42" s="339" t="s">
        <v>236</v>
      </c>
      <c r="H42" s="435">
        <v>1</v>
      </c>
      <c r="I42" s="435">
        <v>1</v>
      </c>
      <c r="J42" s="383">
        <v>152500</v>
      </c>
      <c r="K42" s="383">
        <f t="shared" ref="K42:K53" si="44">IF(F42&lt;&gt;"",H42*I42*J42,"")</f>
        <v>152500</v>
      </c>
      <c r="L42" s="383">
        <f t="shared" ref="L42:L53" si="45">IF(K42&lt;&gt;"",IF(D42="INTERNO",0,K42*$L$14),"")</f>
        <v>12200</v>
      </c>
      <c r="M42" s="383">
        <f t="shared" ref="M42:M53" si="46">IF(K42&lt;&gt;"",IF(E42="FAT.OGGI",SUM(K42:L42)*(1/(1-$M$14)-1),L42*(1/(1-$M$14)-1)),"")</f>
        <v>2960.9295389586191</v>
      </c>
      <c r="N42" s="384">
        <f t="shared" ref="N42:N53" si="47">SUM(K42:M42)</f>
        <v>167660.92953895862</v>
      </c>
      <c r="O42" s="389" t="b">
        <v>1</v>
      </c>
      <c r="P42" s="368" t="s">
        <v>227</v>
      </c>
      <c r="Q42" s="371">
        <f t="shared" ref="Q42:Q53" si="48">IF(H42&lt;&gt;"",H42,"")</f>
        <v>1</v>
      </c>
      <c r="R42" s="372">
        <f t="shared" ref="R42:R53" si="49">IF(I42&lt;&gt;"",I42,"")</f>
        <v>1</v>
      </c>
      <c r="S42" s="374">
        <v>98000</v>
      </c>
      <c r="T42" s="374">
        <v>4820</v>
      </c>
      <c r="U42" s="375">
        <f t="shared" ref="U42:U53" si="50">IF(Q42&lt;&gt;"",K42-T42,"")</f>
        <v>147680</v>
      </c>
      <c r="V42" s="376">
        <f t="shared" ref="V42:V53" si="51">IF(Q42&lt;&gt;"",0%,"")</f>
        <v>0</v>
      </c>
      <c r="W42" s="377">
        <f t="shared" ref="W42:W53" si="52">IF(Q42&lt;&gt;"",V42*U42,"")</f>
        <v>0</v>
      </c>
      <c r="X42" s="377">
        <f t="shared" si="40"/>
        <v>4820</v>
      </c>
      <c r="Y42" s="378">
        <f t="shared" si="41"/>
        <v>7780.9295389586187</v>
      </c>
      <c r="Z42" s="412">
        <f t="shared" si="42"/>
        <v>0.9683934426229508</v>
      </c>
      <c r="AA42" s="333"/>
      <c r="AC42" s="334">
        <f t="shared" si="12"/>
        <v>0</v>
      </c>
      <c r="AD42" s="335">
        <f>4820</f>
        <v>4820</v>
      </c>
      <c r="AE42" s="624" t="s">
        <v>719</v>
      </c>
    </row>
    <row r="43" spans="1:36" ht="99.9" customHeight="1" x14ac:dyDescent="0.45">
      <c r="A43" s="336">
        <v>29</v>
      </c>
      <c r="B43" s="309" t="s">
        <v>237</v>
      </c>
      <c r="C43" s="337" t="s">
        <v>49</v>
      </c>
      <c r="D43" s="353" t="s">
        <v>78</v>
      </c>
      <c r="E43" s="353" t="s">
        <v>79</v>
      </c>
      <c r="F43" s="338" t="s">
        <v>238</v>
      </c>
      <c r="G43" s="339" t="s">
        <v>239</v>
      </c>
      <c r="H43" s="340">
        <v>1</v>
      </c>
      <c r="I43" s="340">
        <v>1</v>
      </c>
      <c r="J43" s="341">
        <v>10800</v>
      </c>
      <c r="K43" s="341">
        <f t="shared" ref="K43" si="53">IF(F43&lt;&gt;"",H43*I43*J43,"")</f>
        <v>10800</v>
      </c>
      <c r="L43" s="341">
        <f t="shared" ref="L43" si="54">IF(K43&lt;&gt;"",IF(D43="INTERNO",0,K43*$L$14),"")</f>
        <v>864</v>
      </c>
      <c r="M43" s="341">
        <f t="shared" ref="M43" si="55">IF(K43&lt;&gt;"",IF(E43="FAT.OGGI",SUM(K43:L43)*(1/(1-$M$14)-1),L43*(1/(1-$M$14)-1)),"")</f>
        <v>209.69205915247926</v>
      </c>
      <c r="N43" s="342">
        <f t="shared" ref="N43" si="56">SUM(K43:M43)</f>
        <v>11873.692059152479</v>
      </c>
      <c r="O43" s="389" t="b">
        <v>0</v>
      </c>
      <c r="P43" s="368"/>
      <c r="Q43" s="406">
        <f t="shared" ref="Q43" si="57">IF(H43&lt;&gt;"",H43,"")</f>
        <v>1</v>
      </c>
      <c r="R43" s="407">
        <f t="shared" ref="R43" si="58">IF(I43&lt;&gt;"",I43,"")</f>
        <v>1</v>
      </c>
      <c r="S43" s="408">
        <v>9000</v>
      </c>
      <c r="T43" s="408">
        <v>8620</v>
      </c>
      <c r="U43" s="409">
        <f t="shared" ref="U43" si="59">IF(Q43&lt;&gt;"",K43-T43,"")</f>
        <v>2180</v>
      </c>
      <c r="V43" s="410">
        <f t="shared" ref="V43" si="60">IF(Q43&lt;&gt;"",0%,"")</f>
        <v>0</v>
      </c>
      <c r="W43" s="411">
        <f t="shared" ref="W43" si="61">IF(Q43&lt;&gt;"",V43*U43,"")</f>
        <v>0</v>
      </c>
      <c r="X43" s="411">
        <f t="shared" si="40"/>
        <v>8620</v>
      </c>
      <c r="Y43" s="348">
        <f t="shared" si="41"/>
        <v>8829.6920591524795</v>
      </c>
      <c r="Z43" s="412">
        <f t="shared" si="42"/>
        <v>0.20185185185185187</v>
      </c>
      <c r="AA43" s="333"/>
      <c r="AC43" s="334">
        <f t="shared" si="12"/>
        <v>0</v>
      </c>
      <c r="AD43" s="335">
        <f>2800+400+5420</f>
        <v>8620</v>
      </c>
      <c r="AE43" s="624" t="s">
        <v>750</v>
      </c>
    </row>
    <row r="44" spans="1:36" ht="99.9" customHeight="1" x14ac:dyDescent="0.45">
      <c r="A44" s="353">
        <v>30</v>
      </c>
      <c r="B44" s="309" t="s">
        <v>240</v>
      </c>
      <c r="C44" s="354" t="s">
        <v>49</v>
      </c>
      <c r="D44" s="353" t="s">
        <v>78</v>
      </c>
      <c r="E44" s="353" t="s">
        <v>79</v>
      </c>
      <c r="F44" s="424" t="s">
        <v>241</v>
      </c>
      <c r="G44" s="436" t="s">
        <v>683</v>
      </c>
      <c r="H44" s="425">
        <v>1</v>
      </c>
      <c r="I44" s="425">
        <v>1</v>
      </c>
      <c r="J44" s="426">
        <v>2800</v>
      </c>
      <c r="K44" s="426">
        <f t="shared" si="44"/>
        <v>2800</v>
      </c>
      <c r="L44" s="426">
        <f t="shared" si="45"/>
        <v>224</v>
      </c>
      <c r="M44" s="426">
        <f t="shared" si="46"/>
        <v>54.364607928420547</v>
      </c>
      <c r="N44" s="427">
        <f t="shared" si="47"/>
        <v>3078.3646079284204</v>
      </c>
      <c r="O44" s="389" t="b">
        <v>0</v>
      </c>
      <c r="P44" s="368" t="s">
        <v>242</v>
      </c>
      <c r="Q44" s="428">
        <f t="shared" si="48"/>
        <v>1</v>
      </c>
      <c r="R44" s="429">
        <f t="shared" si="49"/>
        <v>1</v>
      </c>
      <c r="S44" s="430">
        <v>450</v>
      </c>
      <c r="T44" s="430">
        <v>0</v>
      </c>
      <c r="U44" s="431">
        <f t="shared" si="50"/>
        <v>2800</v>
      </c>
      <c r="V44" s="432">
        <f t="shared" si="51"/>
        <v>0</v>
      </c>
      <c r="W44" s="433">
        <f t="shared" si="52"/>
        <v>0</v>
      </c>
      <c r="X44" s="433">
        <f t="shared" si="40"/>
        <v>0</v>
      </c>
      <c r="Y44" s="434">
        <f t="shared" si="41"/>
        <v>54.364607928420547</v>
      </c>
      <c r="Z44" s="412">
        <f t="shared" si="42"/>
        <v>1</v>
      </c>
      <c r="AA44" s="333"/>
      <c r="AC44" s="334">
        <f t="shared" si="12"/>
        <v>0</v>
      </c>
      <c r="AD44" s="335">
        <v>0</v>
      </c>
    </row>
    <row r="45" spans="1:36" ht="99.9" customHeight="1" x14ac:dyDescent="0.45">
      <c r="A45" s="288">
        <v>31</v>
      </c>
      <c r="B45" s="309" t="s">
        <v>243</v>
      </c>
      <c r="C45" s="310" t="s">
        <v>49</v>
      </c>
      <c r="D45" s="353" t="s">
        <v>78</v>
      </c>
      <c r="E45" s="353" t="s">
        <v>79</v>
      </c>
      <c r="F45" s="379" t="s">
        <v>244</v>
      </c>
      <c r="G45" s="437" t="s">
        <v>245</v>
      </c>
      <c r="H45" s="435">
        <v>1</v>
      </c>
      <c r="I45" s="435">
        <v>1</v>
      </c>
      <c r="J45" s="383">
        <v>1800</v>
      </c>
      <c r="K45" s="383">
        <f t="shared" si="44"/>
        <v>1800</v>
      </c>
      <c r="L45" s="383">
        <f t="shared" si="45"/>
        <v>144</v>
      </c>
      <c r="M45" s="383">
        <f t="shared" si="46"/>
        <v>34.948676525413205</v>
      </c>
      <c r="N45" s="384">
        <f t="shared" si="47"/>
        <v>1978.9486765254132</v>
      </c>
      <c r="O45" s="389" t="b">
        <v>0</v>
      </c>
      <c r="P45" s="368" t="s">
        <v>242</v>
      </c>
      <c r="Q45" s="386">
        <f t="shared" si="48"/>
        <v>1</v>
      </c>
      <c r="R45" s="372">
        <f t="shared" si="49"/>
        <v>1</v>
      </c>
      <c r="S45" s="374">
        <v>200</v>
      </c>
      <c r="T45" s="374">
        <v>0</v>
      </c>
      <c r="U45" s="375">
        <f t="shared" si="50"/>
        <v>1800</v>
      </c>
      <c r="V45" s="376">
        <f t="shared" si="51"/>
        <v>0</v>
      </c>
      <c r="W45" s="377">
        <f t="shared" si="52"/>
        <v>0</v>
      </c>
      <c r="X45" s="377">
        <f t="shared" si="40"/>
        <v>0</v>
      </c>
      <c r="Y45" s="378">
        <f t="shared" si="41"/>
        <v>34.948676525413205</v>
      </c>
      <c r="Z45" s="412">
        <f t="shared" si="42"/>
        <v>1</v>
      </c>
      <c r="AA45" s="333"/>
      <c r="AC45" s="334">
        <f t="shared" si="12"/>
        <v>0</v>
      </c>
      <c r="AD45" s="335">
        <v>0</v>
      </c>
    </row>
    <row r="46" spans="1:36" ht="99.9" customHeight="1" x14ac:dyDescent="0.45">
      <c r="A46" s="336">
        <v>32</v>
      </c>
      <c r="B46" s="309" t="s">
        <v>246</v>
      </c>
      <c r="C46" s="337" t="s">
        <v>49</v>
      </c>
      <c r="D46" s="353" t="s">
        <v>78</v>
      </c>
      <c r="E46" s="353" t="s">
        <v>79</v>
      </c>
      <c r="F46" s="338" t="s">
        <v>247</v>
      </c>
      <c r="G46" s="339" t="s">
        <v>684</v>
      </c>
      <c r="H46" s="340">
        <v>1</v>
      </c>
      <c r="I46" s="340">
        <v>1</v>
      </c>
      <c r="J46" s="341">
        <v>2500</v>
      </c>
      <c r="K46" s="341">
        <f t="shared" si="44"/>
        <v>2500</v>
      </c>
      <c r="L46" s="341">
        <f t="shared" si="45"/>
        <v>200</v>
      </c>
      <c r="M46" s="341">
        <f t="shared" si="46"/>
        <v>48.539828507518344</v>
      </c>
      <c r="N46" s="342">
        <f t="shared" si="47"/>
        <v>2748.5398285075185</v>
      </c>
      <c r="O46" s="389" t="b">
        <v>0</v>
      </c>
      <c r="P46" s="368" t="s">
        <v>242</v>
      </c>
      <c r="Q46" s="369">
        <f t="shared" si="48"/>
        <v>1</v>
      </c>
      <c r="R46" s="407">
        <f t="shared" si="49"/>
        <v>1</v>
      </c>
      <c r="S46" s="408">
        <v>1000</v>
      </c>
      <c r="T46" s="408">
        <v>0</v>
      </c>
      <c r="U46" s="409">
        <f t="shared" si="50"/>
        <v>2500</v>
      </c>
      <c r="V46" s="410">
        <f t="shared" si="51"/>
        <v>0</v>
      </c>
      <c r="W46" s="411">
        <f t="shared" si="52"/>
        <v>0</v>
      </c>
      <c r="X46" s="411">
        <f t="shared" si="40"/>
        <v>0</v>
      </c>
      <c r="Y46" s="348">
        <f t="shared" si="41"/>
        <v>48.539828507518344</v>
      </c>
      <c r="Z46" s="412">
        <f t="shared" si="42"/>
        <v>1</v>
      </c>
      <c r="AA46" s="333"/>
      <c r="AC46" s="334">
        <f t="shared" si="12"/>
        <v>0</v>
      </c>
      <c r="AD46" s="335">
        <v>0</v>
      </c>
    </row>
    <row r="47" spans="1:36" ht="99.9" customHeight="1" x14ac:dyDescent="0.45">
      <c r="A47" s="353">
        <v>33</v>
      </c>
      <c r="B47" s="309" t="s">
        <v>248</v>
      </c>
      <c r="C47" s="354" t="s">
        <v>49</v>
      </c>
      <c r="D47" s="353" t="s">
        <v>78</v>
      </c>
      <c r="E47" s="353" t="s">
        <v>79</v>
      </c>
      <c r="F47" s="424" t="s">
        <v>249</v>
      </c>
      <c r="G47" s="436" t="s">
        <v>250</v>
      </c>
      <c r="H47" s="425">
        <v>1</v>
      </c>
      <c r="I47" s="425">
        <v>1</v>
      </c>
      <c r="J47" s="426">
        <v>9722.68</v>
      </c>
      <c r="K47" s="426">
        <f t="shared" si="44"/>
        <v>9722.68</v>
      </c>
      <c r="L47" s="426">
        <f t="shared" si="45"/>
        <v>777.81440000000009</v>
      </c>
      <c r="M47" s="426">
        <f t="shared" si="46"/>
        <v>188.7748879333914</v>
      </c>
      <c r="N47" s="427">
        <f t="shared" si="47"/>
        <v>10689.269287933392</v>
      </c>
      <c r="O47" s="324" t="b">
        <v>1</v>
      </c>
      <c r="P47" s="687" t="s">
        <v>251</v>
      </c>
      <c r="Q47" s="428">
        <f t="shared" si="48"/>
        <v>1</v>
      </c>
      <c r="R47" s="429">
        <f t="shared" si="49"/>
        <v>1</v>
      </c>
      <c r="S47" s="430">
        <v>9722.68</v>
      </c>
      <c r="T47" s="430">
        <v>0</v>
      </c>
      <c r="U47" s="431">
        <f t="shared" si="50"/>
        <v>9722.68</v>
      </c>
      <c r="V47" s="432">
        <f t="shared" si="51"/>
        <v>0</v>
      </c>
      <c r="W47" s="433">
        <f t="shared" si="52"/>
        <v>0</v>
      </c>
      <c r="X47" s="433">
        <f t="shared" si="40"/>
        <v>0</v>
      </c>
      <c r="Y47" s="434">
        <f t="shared" si="41"/>
        <v>188.7748879333914</v>
      </c>
      <c r="Z47" s="412">
        <f t="shared" si="42"/>
        <v>1</v>
      </c>
      <c r="AA47" s="333"/>
      <c r="AC47" s="334">
        <f t="shared" si="12"/>
        <v>0</v>
      </c>
      <c r="AD47" s="335">
        <v>0</v>
      </c>
    </row>
    <row r="48" spans="1:36" ht="99.9" customHeight="1" x14ac:dyDescent="0.45">
      <c r="A48" s="288">
        <v>34</v>
      </c>
      <c r="B48" s="309" t="s">
        <v>252</v>
      </c>
      <c r="C48" s="310" t="s">
        <v>49</v>
      </c>
      <c r="D48" s="288" t="s">
        <v>78</v>
      </c>
      <c r="E48" s="288" t="s">
        <v>79</v>
      </c>
      <c r="F48" s="379" t="s">
        <v>253</v>
      </c>
      <c r="G48" s="437" t="s">
        <v>254</v>
      </c>
      <c r="H48" s="435">
        <v>1</v>
      </c>
      <c r="I48" s="435">
        <v>1</v>
      </c>
      <c r="J48" s="383">
        <v>4413.59</v>
      </c>
      <c r="K48" s="383">
        <f t="shared" si="44"/>
        <v>4413.59</v>
      </c>
      <c r="L48" s="383">
        <f t="shared" si="45"/>
        <v>353.0872</v>
      </c>
      <c r="M48" s="383">
        <f t="shared" si="46"/>
        <v>85.693960680999155</v>
      </c>
      <c r="N48" s="384">
        <f t="shared" si="47"/>
        <v>4852.3711606809993</v>
      </c>
      <c r="O48" s="324" t="b">
        <v>1</v>
      </c>
      <c r="P48" s="687"/>
      <c r="Q48" s="371">
        <f t="shared" si="48"/>
        <v>1</v>
      </c>
      <c r="R48" s="372">
        <f t="shared" si="49"/>
        <v>1</v>
      </c>
      <c r="S48" s="374">
        <v>4413.59</v>
      </c>
      <c r="T48" s="374">
        <v>14136.27</v>
      </c>
      <c r="U48" s="375">
        <f t="shared" si="50"/>
        <v>-9722.68</v>
      </c>
      <c r="V48" s="376">
        <f t="shared" si="51"/>
        <v>0</v>
      </c>
      <c r="W48" s="377">
        <f t="shared" si="52"/>
        <v>0</v>
      </c>
      <c r="X48" s="377">
        <f t="shared" si="40"/>
        <v>14136.27</v>
      </c>
      <c r="Y48" s="378">
        <f t="shared" si="41"/>
        <v>14221.963960681</v>
      </c>
      <c r="Z48" s="412">
        <f t="shared" si="42"/>
        <v>-2.2028960551387873</v>
      </c>
      <c r="AA48" s="333"/>
      <c r="AC48" s="334">
        <f t="shared" si="12"/>
        <v>0</v>
      </c>
      <c r="AD48" s="335">
        <f>14136.27</f>
        <v>14136.27</v>
      </c>
      <c r="AE48" s="624" t="s">
        <v>708</v>
      </c>
    </row>
    <row r="49" spans="1:36" ht="99.9" customHeight="1" x14ac:dyDescent="0.45">
      <c r="A49" s="288">
        <v>35</v>
      </c>
      <c r="B49" s="309" t="s">
        <v>255</v>
      </c>
      <c r="C49" s="310" t="s">
        <v>49</v>
      </c>
      <c r="D49" s="288" t="s">
        <v>78</v>
      </c>
      <c r="E49" s="288" t="s">
        <v>79</v>
      </c>
      <c r="F49" s="379" t="s">
        <v>256</v>
      </c>
      <c r="G49" s="437" t="s">
        <v>257</v>
      </c>
      <c r="H49" s="435">
        <v>1</v>
      </c>
      <c r="I49" s="435">
        <v>1</v>
      </c>
      <c r="J49" s="383">
        <v>8034.92</v>
      </c>
      <c r="K49" s="383">
        <f t="shared" si="44"/>
        <v>8034.92</v>
      </c>
      <c r="L49" s="383">
        <f t="shared" si="45"/>
        <v>642.79359999999997</v>
      </c>
      <c r="M49" s="383">
        <f t="shared" si="46"/>
        <v>156.00545554865172</v>
      </c>
      <c r="N49" s="384">
        <f t="shared" si="47"/>
        <v>8833.7190555486504</v>
      </c>
      <c r="O49" s="324" t="b">
        <v>1</v>
      </c>
      <c r="P49" s="687"/>
      <c r="Q49" s="371">
        <f t="shared" si="48"/>
        <v>1</v>
      </c>
      <c r="R49" s="372">
        <f t="shared" si="49"/>
        <v>1</v>
      </c>
      <c r="S49" s="374">
        <v>8034.92</v>
      </c>
      <c r="T49" s="374">
        <f t="shared" ref="T49:T52" si="62">IF(Q49&lt;&gt;"",Q49*R49*S49,"")</f>
        <v>8034.92</v>
      </c>
      <c r="U49" s="375">
        <f t="shared" si="50"/>
        <v>0</v>
      </c>
      <c r="V49" s="376">
        <f t="shared" si="51"/>
        <v>0</v>
      </c>
      <c r="W49" s="377">
        <f t="shared" si="52"/>
        <v>0</v>
      </c>
      <c r="X49" s="377">
        <f t="shared" si="40"/>
        <v>8034.92</v>
      </c>
      <c r="Y49" s="378">
        <f t="shared" si="41"/>
        <v>8190.9254555486514</v>
      </c>
      <c r="Z49" s="412">
        <f t="shared" si="42"/>
        <v>0</v>
      </c>
      <c r="AA49" s="333"/>
      <c r="AC49" s="334">
        <f t="shared" si="12"/>
        <v>0</v>
      </c>
      <c r="AD49" s="335">
        <v>8034.92</v>
      </c>
      <c r="AE49" s="625" t="s">
        <v>723</v>
      </c>
      <c r="AF49" s="349" t="e">
        <f>T49-AE49</f>
        <v>#VALUE!</v>
      </c>
      <c r="AG49" s="350">
        <v>46096</v>
      </c>
      <c r="AI49" s="351" t="s">
        <v>258</v>
      </c>
      <c r="AJ49" s="352" t="s">
        <v>259</v>
      </c>
    </row>
    <row r="50" spans="1:36" ht="99.9" customHeight="1" x14ac:dyDescent="0.45">
      <c r="A50" s="336">
        <v>36</v>
      </c>
      <c r="B50" s="309" t="s">
        <v>260</v>
      </c>
      <c r="C50" s="337" t="s">
        <v>49</v>
      </c>
      <c r="D50" s="288" t="s">
        <v>78</v>
      </c>
      <c r="E50" s="288" t="s">
        <v>79</v>
      </c>
      <c r="F50" s="338" t="s">
        <v>256</v>
      </c>
      <c r="G50" s="339" t="s">
        <v>261</v>
      </c>
      <c r="H50" s="340">
        <v>1</v>
      </c>
      <c r="I50" s="340">
        <v>1</v>
      </c>
      <c r="J50" s="341">
        <v>1147.49</v>
      </c>
      <c r="K50" s="341">
        <f>IF(F50&lt;&gt;"",H50*I50*J50,"")</f>
        <v>1147.49</v>
      </c>
      <c r="L50" s="341">
        <f>IF(K50&lt;&gt;"",IF(D50="INTERNO",0,K50*$L$14),"")</f>
        <v>91.799199999999999</v>
      </c>
      <c r="M50" s="341">
        <f>IF(K50&lt;&gt;"",IF(E50="FAT.OGGI",SUM(K50:L50)*(1/(1-$M$14)-1),L50*(1/(1-$M$14)-1)),"")</f>
        <v>22.27958712563689</v>
      </c>
      <c r="N50" s="342">
        <f>SUM(K50:M50)</f>
        <v>1261.5687871256368</v>
      </c>
      <c r="O50" s="324" t="b">
        <v>1</v>
      </c>
      <c r="P50" s="687"/>
      <c r="Q50" s="369">
        <f>IF(H50&lt;&gt;"",H50,"")</f>
        <v>1</v>
      </c>
      <c r="R50" s="407">
        <f>IF(I50&lt;&gt;"",I50,"")</f>
        <v>1</v>
      </c>
      <c r="S50" s="408">
        <v>1147.49</v>
      </c>
      <c r="T50" s="408">
        <f>IF(Q50&lt;&gt;"",Q50*R50*S50,"")</f>
        <v>1147.49</v>
      </c>
      <c r="U50" s="409">
        <f>IF(Q50&lt;&gt;"",K50-T50,"")</f>
        <v>0</v>
      </c>
      <c r="V50" s="410">
        <f>IF(Q50&lt;&gt;"",0%,"")</f>
        <v>0</v>
      </c>
      <c r="W50" s="411">
        <f>IF(Q50&lt;&gt;"",V50*U50,"")</f>
        <v>0</v>
      </c>
      <c r="X50" s="411">
        <f t="shared" si="40"/>
        <v>1147.49</v>
      </c>
      <c r="Y50" s="348">
        <f t="shared" si="41"/>
        <v>1169.7695871256369</v>
      </c>
      <c r="Z50" s="412">
        <f t="shared" si="42"/>
        <v>0</v>
      </c>
      <c r="AA50" s="333"/>
      <c r="AC50" s="334">
        <f t="shared" si="12"/>
        <v>0</v>
      </c>
      <c r="AD50" s="335">
        <v>1147.49</v>
      </c>
      <c r="AE50" s="625" t="s">
        <v>723</v>
      </c>
      <c r="AF50" s="349" t="e">
        <f>T50-AE50</f>
        <v>#VALUE!</v>
      </c>
      <c r="AG50" s="350">
        <v>46096</v>
      </c>
      <c r="AI50" s="351" t="s">
        <v>258</v>
      </c>
      <c r="AJ50" s="352" t="s">
        <v>259</v>
      </c>
    </row>
    <row r="51" spans="1:36" ht="99.9" customHeight="1" x14ac:dyDescent="0.45">
      <c r="A51" s="390">
        <v>37</v>
      </c>
      <c r="B51" s="309" t="s">
        <v>262</v>
      </c>
      <c r="C51" s="391" t="s">
        <v>49</v>
      </c>
      <c r="D51" s="353" t="s">
        <v>78</v>
      </c>
      <c r="E51" s="353" t="s">
        <v>79</v>
      </c>
      <c r="F51" s="413" t="s">
        <v>263</v>
      </c>
      <c r="G51" s="414" t="s">
        <v>264</v>
      </c>
      <c r="H51" s="415">
        <v>1</v>
      </c>
      <c r="I51" s="415">
        <v>1</v>
      </c>
      <c r="J51" s="416">
        <v>15291.88</v>
      </c>
      <c r="K51" s="416">
        <f t="shared" si="44"/>
        <v>15291.88</v>
      </c>
      <c r="L51" s="416">
        <f t="shared" si="45"/>
        <v>1223.3504</v>
      </c>
      <c r="M51" s="416">
        <f t="shared" si="46"/>
        <v>296.90609310301988</v>
      </c>
      <c r="N51" s="417">
        <f t="shared" si="47"/>
        <v>16812.136493103018</v>
      </c>
      <c r="O51" s="324" t="b">
        <v>1</v>
      </c>
      <c r="P51" s="368" t="s">
        <v>265</v>
      </c>
      <c r="Q51" s="418">
        <f t="shared" si="48"/>
        <v>1</v>
      </c>
      <c r="R51" s="419">
        <f t="shared" si="49"/>
        <v>1</v>
      </c>
      <c r="S51" s="438">
        <v>15291.88</v>
      </c>
      <c r="T51" s="420">
        <f t="shared" si="62"/>
        <v>15291.88</v>
      </c>
      <c r="U51" s="421">
        <f t="shared" si="50"/>
        <v>0</v>
      </c>
      <c r="V51" s="422">
        <f t="shared" si="51"/>
        <v>0</v>
      </c>
      <c r="W51" s="423">
        <f t="shared" si="52"/>
        <v>0</v>
      </c>
      <c r="X51" s="423">
        <f t="shared" si="40"/>
        <v>15291.88</v>
      </c>
      <c r="Y51" s="331">
        <f t="shared" si="41"/>
        <v>15588.786093103019</v>
      </c>
      <c r="Z51" s="412">
        <f t="shared" si="42"/>
        <v>0</v>
      </c>
      <c r="AA51" s="333"/>
      <c r="AC51" s="334">
        <f t="shared" si="12"/>
        <v>0</v>
      </c>
      <c r="AD51" s="335">
        <v>15291.88</v>
      </c>
      <c r="AE51" s="625" t="s">
        <v>744</v>
      </c>
      <c r="AF51" s="349" t="e">
        <f>T51-AE51</f>
        <v>#VALUE!</v>
      </c>
      <c r="AG51" s="350">
        <v>46091</v>
      </c>
      <c r="AI51" s="351" t="s">
        <v>266</v>
      </c>
      <c r="AJ51" s="352" t="s">
        <v>267</v>
      </c>
    </row>
    <row r="52" spans="1:36" ht="99.9" customHeight="1" x14ac:dyDescent="0.45">
      <c r="A52" s="390">
        <v>38</v>
      </c>
      <c r="B52" s="309" t="s">
        <v>268</v>
      </c>
      <c r="C52" s="391" t="s">
        <v>49</v>
      </c>
      <c r="D52" s="353" t="s">
        <v>78</v>
      </c>
      <c r="E52" s="353" t="s">
        <v>79</v>
      </c>
      <c r="F52" s="413" t="s">
        <v>269</v>
      </c>
      <c r="G52" s="414" t="s">
        <v>270</v>
      </c>
      <c r="H52" s="415">
        <v>2</v>
      </c>
      <c r="I52" s="415">
        <v>1</v>
      </c>
      <c r="J52" s="416">
        <v>980</v>
      </c>
      <c r="K52" s="416">
        <f t="shared" si="44"/>
        <v>1960</v>
      </c>
      <c r="L52" s="416">
        <f t="shared" si="45"/>
        <v>156.80000000000001</v>
      </c>
      <c r="M52" s="416">
        <f t="shared" si="46"/>
        <v>38.055225549894388</v>
      </c>
      <c r="N52" s="417">
        <f t="shared" si="47"/>
        <v>2154.8552255498944</v>
      </c>
      <c r="O52" s="389" t="b">
        <v>0</v>
      </c>
      <c r="P52" s="385"/>
      <c r="Q52" s="418">
        <f t="shared" si="48"/>
        <v>2</v>
      </c>
      <c r="R52" s="419">
        <f t="shared" si="49"/>
        <v>1</v>
      </c>
      <c r="S52" s="420">
        <v>0</v>
      </c>
      <c r="T52" s="420">
        <f t="shared" si="62"/>
        <v>0</v>
      </c>
      <c r="U52" s="421">
        <f t="shared" si="50"/>
        <v>1960</v>
      </c>
      <c r="V52" s="422">
        <f t="shared" si="51"/>
        <v>0</v>
      </c>
      <c r="W52" s="423">
        <f t="shared" si="52"/>
        <v>0</v>
      </c>
      <c r="X52" s="423">
        <f t="shared" si="40"/>
        <v>0</v>
      </c>
      <c r="Y52" s="331">
        <f t="shared" si="41"/>
        <v>38.055225549894388</v>
      </c>
      <c r="Z52" s="412">
        <f t="shared" si="42"/>
        <v>1</v>
      </c>
      <c r="AA52" s="333"/>
      <c r="AC52" s="334">
        <f t="shared" si="12"/>
        <v>0</v>
      </c>
      <c r="AD52" s="335"/>
    </row>
    <row r="53" spans="1:36" ht="99.9" customHeight="1" x14ac:dyDescent="0.45">
      <c r="A53" s="353">
        <v>39</v>
      </c>
      <c r="B53" s="309" t="s">
        <v>271</v>
      </c>
      <c r="C53" s="354" t="s">
        <v>49</v>
      </c>
      <c r="D53" s="353" t="s">
        <v>78</v>
      </c>
      <c r="E53" s="353" t="s">
        <v>79</v>
      </c>
      <c r="F53" s="338" t="s">
        <v>109</v>
      </c>
      <c r="G53" s="339" t="s">
        <v>110</v>
      </c>
      <c r="H53" s="425">
        <v>224</v>
      </c>
      <c r="I53" s="425">
        <v>1</v>
      </c>
      <c r="J53" s="426">
        <v>60</v>
      </c>
      <c r="K53" s="426">
        <f t="shared" si="44"/>
        <v>13440</v>
      </c>
      <c r="L53" s="426">
        <f t="shared" si="45"/>
        <v>1075.2</v>
      </c>
      <c r="M53" s="426">
        <f t="shared" si="46"/>
        <v>260.95011805641866</v>
      </c>
      <c r="N53" s="427">
        <f t="shared" si="47"/>
        <v>14776.150118056419</v>
      </c>
      <c r="O53" s="389" t="b">
        <v>0</v>
      </c>
      <c r="P53" s="385"/>
      <c r="Q53" s="428">
        <f t="shared" si="48"/>
        <v>224</v>
      </c>
      <c r="R53" s="429">
        <f t="shared" si="49"/>
        <v>1</v>
      </c>
      <c r="S53" s="430">
        <v>60</v>
      </c>
      <c r="T53" s="430">
        <v>12150</v>
      </c>
      <c r="U53" s="431">
        <f t="shared" si="50"/>
        <v>1290</v>
      </c>
      <c r="V53" s="432">
        <f t="shared" si="51"/>
        <v>0</v>
      </c>
      <c r="W53" s="433">
        <f t="shared" si="52"/>
        <v>0</v>
      </c>
      <c r="X53" s="433">
        <f t="shared" si="40"/>
        <v>12150</v>
      </c>
      <c r="Y53" s="434">
        <f t="shared" si="41"/>
        <v>12410.950118056418</v>
      </c>
      <c r="Z53" s="412">
        <f t="shared" si="42"/>
        <v>9.5982142857142863E-2</v>
      </c>
      <c r="AA53" s="333"/>
      <c r="AC53" s="334">
        <f t="shared" si="12"/>
        <v>0</v>
      </c>
      <c r="AD53" s="335">
        <v>12150</v>
      </c>
      <c r="AE53" s="624" t="s">
        <v>720</v>
      </c>
    </row>
    <row r="54" spans="1:36" ht="39.9" customHeight="1" thickBot="1" x14ac:dyDescent="0.5">
      <c r="A54" s="353">
        <v>40</v>
      </c>
      <c r="B54" s="309"/>
      <c r="C54" s="354" t="s">
        <v>72</v>
      </c>
      <c r="D54" s="353"/>
      <c r="E54" s="353"/>
      <c r="F54" s="698" t="s">
        <v>111</v>
      </c>
      <c r="G54" s="699"/>
      <c r="H54" s="699"/>
      <c r="I54" s="699"/>
      <c r="J54" s="706"/>
      <c r="K54" s="439">
        <f>SUM(K39:K53)</f>
        <v>616410.56000000006</v>
      </c>
      <c r="L54" s="439">
        <f>SUM(L39:L53)</f>
        <v>49312.844800000006</v>
      </c>
      <c r="M54" s="439">
        <f>SUM(M39:M53)</f>
        <v>11968.185149049341</v>
      </c>
      <c r="N54" s="440">
        <f>SUM(N39:N53)</f>
        <v>677691.58994904929</v>
      </c>
      <c r="O54" s="357"/>
      <c r="P54" s="385"/>
      <c r="Q54" s="700" t="s">
        <v>111</v>
      </c>
      <c r="R54" s="700"/>
      <c r="S54" s="707"/>
      <c r="T54" s="441">
        <f>SUM(T39:T53)</f>
        <v>430434.55</v>
      </c>
      <c r="U54" s="442">
        <f>SUM(U39:U53)</f>
        <v>185976.01</v>
      </c>
      <c r="V54" s="443"/>
      <c r="W54" s="444"/>
      <c r="X54" s="444">
        <f>SUM(X39:X53)</f>
        <v>430434.55</v>
      </c>
      <c r="Y54" s="397">
        <f t="shared" si="41"/>
        <v>442402.73514904932</v>
      </c>
      <c r="Z54" s="445"/>
      <c r="AA54" s="403"/>
      <c r="AC54" s="334"/>
      <c r="AD54" s="335"/>
    </row>
    <row r="55" spans="1:36" ht="39.9" customHeight="1" thickBot="1" x14ac:dyDescent="0.5">
      <c r="A55" s="288">
        <v>41</v>
      </c>
      <c r="B55" s="309">
        <v>5</v>
      </c>
      <c r="C55" s="310" t="s">
        <v>40</v>
      </c>
      <c r="D55" s="288"/>
      <c r="E55" s="288"/>
      <c r="F55" s="701" t="s">
        <v>112</v>
      </c>
      <c r="G55" s="702"/>
      <c r="H55" s="702"/>
      <c r="I55" s="702"/>
      <c r="J55" s="702"/>
      <c r="K55" s="702"/>
      <c r="L55" s="702"/>
      <c r="M55" s="702"/>
      <c r="N55" s="703"/>
      <c r="O55" s="357"/>
      <c r="P55" s="385"/>
      <c r="Q55" s="691" t="str">
        <f>IF(F55&lt;&gt;"",F55,"")</f>
        <v>AUDIOVISUAL</v>
      </c>
      <c r="R55" s="691"/>
      <c r="S55" s="691"/>
      <c r="T55" s="691"/>
      <c r="U55" s="691"/>
      <c r="V55" s="691"/>
      <c r="W55" s="691"/>
      <c r="X55" s="691"/>
      <c r="Y55" s="692"/>
      <c r="Z55" s="445"/>
      <c r="AA55" s="403"/>
      <c r="AC55" s="334"/>
      <c r="AD55" s="335"/>
    </row>
    <row r="56" spans="1:36" ht="39.9" customHeight="1" x14ac:dyDescent="0.45">
      <c r="A56" s="288">
        <v>42</v>
      </c>
      <c r="B56" s="309" t="s">
        <v>113</v>
      </c>
      <c r="C56" s="310" t="s">
        <v>43</v>
      </c>
      <c r="D56" s="288"/>
      <c r="E56" s="288"/>
      <c r="F56" s="722" t="s">
        <v>112</v>
      </c>
      <c r="G56" s="723"/>
      <c r="H56" s="723"/>
      <c r="I56" s="723"/>
      <c r="J56" s="723"/>
      <c r="K56" s="724"/>
      <c r="L56" s="447" t="s">
        <v>45</v>
      </c>
      <c r="M56" s="448" t="s">
        <v>46</v>
      </c>
      <c r="N56" s="449" t="s">
        <v>28</v>
      </c>
      <c r="O56" s="357"/>
      <c r="P56" s="385"/>
      <c r="Q56" s="696" t="str">
        <f>IF(F56&lt;&gt;"",F56,"")</f>
        <v>AUDIOVISUAL</v>
      </c>
      <c r="R56" s="696"/>
      <c r="S56" s="696"/>
      <c r="T56" s="696"/>
      <c r="U56" s="696"/>
      <c r="V56" s="696"/>
      <c r="W56" s="696"/>
      <c r="X56" s="696"/>
      <c r="Y56" s="697"/>
      <c r="Z56" s="450" t="s">
        <v>47</v>
      </c>
      <c r="AA56" s="403" t="s">
        <v>39</v>
      </c>
      <c r="AC56" s="334"/>
      <c r="AD56" s="335"/>
    </row>
    <row r="57" spans="1:36" ht="99.9" customHeight="1" x14ac:dyDescent="0.45">
      <c r="A57" s="288">
        <v>43</v>
      </c>
      <c r="B57" s="309" t="s">
        <v>114</v>
      </c>
      <c r="C57" s="310" t="s">
        <v>49</v>
      </c>
      <c r="D57" s="288" t="s">
        <v>78</v>
      </c>
      <c r="E57" s="288" t="s">
        <v>79</v>
      </c>
      <c r="F57" s="424" t="s">
        <v>272</v>
      </c>
      <c r="G57" s="436" t="s">
        <v>273</v>
      </c>
      <c r="H57" s="425">
        <v>1</v>
      </c>
      <c r="I57" s="425">
        <v>1</v>
      </c>
      <c r="J57" s="426">
        <v>28000</v>
      </c>
      <c r="K57" s="426">
        <f t="shared" ref="K57:K63" si="63">IF(F57&lt;&gt;"",H57*I57*J57,"")</f>
        <v>28000</v>
      </c>
      <c r="L57" s="426">
        <f t="shared" ref="L57:L63" si="64">IF(K57&lt;&gt;"",IF(D57="INTERNO",0,K57*$L$14),"")</f>
        <v>2240</v>
      </c>
      <c r="M57" s="426">
        <f t="shared" ref="M57:M63" si="65">IF(K57&lt;&gt;"",IF(E57="FAT.OGGI",SUM(K57:L57)*(1/(1-$M$14)-1),L57*(1/(1-$M$14)-1)),"")</f>
        <v>543.64607928420548</v>
      </c>
      <c r="N57" s="427">
        <f t="shared" ref="N57:N63" si="66">SUM(K57:M57)</f>
        <v>30783.646079284204</v>
      </c>
      <c r="O57" s="389" t="b">
        <v>0</v>
      </c>
      <c r="P57" s="451" t="s">
        <v>274</v>
      </c>
      <c r="Q57" s="371">
        <f t="shared" ref="Q57:R60" si="67">IF(H57&lt;&gt;"",H57,"")</f>
        <v>1</v>
      </c>
      <c r="R57" s="372">
        <f t="shared" si="67"/>
        <v>1</v>
      </c>
      <c r="S57" s="374">
        <v>28000</v>
      </c>
      <c r="T57" s="374">
        <v>25000</v>
      </c>
      <c r="U57" s="375">
        <f t="shared" ref="U57:U63" si="68">IF(Q57&lt;&gt;"",K57-T57,"")</f>
        <v>3000</v>
      </c>
      <c r="V57" s="376">
        <f t="shared" ref="V57:V63" si="69">IF(Q57&lt;&gt;"",0%,"")</f>
        <v>0</v>
      </c>
      <c r="W57" s="377">
        <f t="shared" ref="W57:W63" si="70">IF(Q57&lt;&gt;"",V57*U57,"")</f>
        <v>0</v>
      </c>
      <c r="X57" s="377">
        <f t="shared" ref="X57:X63" si="71">IF(Q57&lt;&gt;"",W57+T57,"")</f>
        <v>25000</v>
      </c>
      <c r="Y57" s="378">
        <f t="shared" ref="Y57:Y64" si="72">IF(Q57&lt;&gt;"",X57+M57,"")</f>
        <v>25543.646079284204</v>
      </c>
      <c r="Z57" s="445">
        <f t="shared" ref="Z57:Z63" si="73">IF(Q57&lt;&gt;"",U57/K57,"")</f>
        <v>0.10714285714285714</v>
      </c>
      <c r="AA57" s="403"/>
      <c r="AC57" s="334">
        <f t="shared" si="12"/>
        <v>0</v>
      </c>
      <c r="AD57" s="335">
        <v>25000</v>
      </c>
      <c r="AE57" s="624" t="s">
        <v>754</v>
      </c>
    </row>
    <row r="58" spans="1:36" ht="99.9" customHeight="1" x14ac:dyDescent="0.45">
      <c r="A58" s="336">
        <v>44</v>
      </c>
      <c r="B58" s="309" t="s">
        <v>116</v>
      </c>
      <c r="C58" s="337" t="s">
        <v>49</v>
      </c>
      <c r="D58" s="288" t="s">
        <v>78</v>
      </c>
      <c r="E58" s="288" t="s">
        <v>79</v>
      </c>
      <c r="F58" s="338" t="s">
        <v>275</v>
      </c>
      <c r="G58" s="339" t="s">
        <v>276</v>
      </c>
      <c r="H58" s="340">
        <v>1</v>
      </c>
      <c r="I58" s="340">
        <v>1</v>
      </c>
      <c r="J58" s="341">
        <v>12000</v>
      </c>
      <c r="K58" s="341">
        <f t="shared" si="63"/>
        <v>12000</v>
      </c>
      <c r="L58" s="341">
        <f t="shared" si="64"/>
        <v>960</v>
      </c>
      <c r="M58" s="341">
        <f t="shared" si="65"/>
        <v>232.99117683608807</v>
      </c>
      <c r="N58" s="342">
        <f t="shared" si="66"/>
        <v>13192.991176836089</v>
      </c>
      <c r="O58" s="389" t="b">
        <v>0</v>
      </c>
      <c r="P58" s="368" t="s">
        <v>277</v>
      </c>
      <c r="Q58" s="406">
        <f t="shared" si="67"/>
        <v>1</v>
      </c>
      <c r="R58" s="407">
        <f t="shared" si="67"/>
        <v>1</v>
      </c>
      <c r="S58" s="408">
        <v>12000</v>
      </c>
      <c r="T58" s="408">
        <v>0</v>
      </c>
      <c r="U58" s="409">
        <f t="shared" si="68"/>
        <v>12000</v>
      </c>
      <c r="V58" s="410">
        <f t="shared" si="69"/>
        <v>0</v>
      </c>
      <c r="W58" s="411">
        <f t="shared" si="70"/>
        <v>0</v>
      </c>
      <c r="X58" s="411">
        <f t="shared" si="71"/>
        <v>0</v>
      </c>
      <c r="Y58" s="348">
        <f t="shared" si="72"/>
        <v>232.99117683608807</v>
      </c>
      <c r="Z58" s="445">
        <f t="shared" si="73"/>
        <v>1</v>
      </c>
      <c r="AA58" s="403"/>
      <c r="AC58" s="334">
        <f t="shared" si="12"/>
        <v>0</v>
      </c>
      <c r="AD58" s="335">
        <v>0</v>
      </c>
    </row>
    <row r="59" spans="1:36" ht="99.9" customHeight="1" x14ac:dyDescent="0.45">
      <c r="A59" s="353">
        <v>45</v>
      </c>
      <c r="B59" s="309" t="s">
        <v>278</v>
      </c>
      <c r="C59" s="354" t="s">
        <v>49</v>
      </c>
      <c r="D59" s="353" t="s">
        <v>78</v>
      </c>
      <c r="E59" s="353" t="s">
        <v>79</v>
      </c>
      <c r="F59" s="424" t="s">
        <v>279</v>
      </c>
      <c r="G59" s="436" t="s">
        <v>280</v>
      </c>
      <c r="H59" s="425">
        <v>1</v>
      </c>
      <c r="I59" s="425">
        <v>1</v>
      </c>
      <c r="J59" s="426">
        <v>22500</v>
      </c>
      <c r="K59" s="426">
        <f t="shared" si="63"/>
        <v>22500</v>
      </c>
      <c r="L59" s="426">
        <f t="shared" si="64"/>
        <v>1800</v>
      </c>
      <c r="M59" s="426">
        <f t="shared" si="65"/>
        <v>436.85845656766509</v>
      </c>
      <c r="N59" s="427">
        <f t="shared" si="66"/>
        <v>24736.858456567665</v>
      </c>
      <c r="O59" s="324" t="b">
        <v>1</v>
      </c>
      <c r="P59" s="368" t="s">
        <v>281</v>
      </c>
      <c r="Q59" s="428">
        <f t="shared" si="67"/>
        <v>1</v>
      </c>
      <c r="R59" s="429">
        <f t="shared" si="67"/>
        <v>1</v>
      </c>
      <c r="S59" s="430">
        <v>20000</v>
      </c>
      <c r="T59" s="430">
        <f t="shared" ref="T59:T63" si="74">IF(Q59&lt;&gt;"",Q59*R59*S59,"")</f>
        <v>20000</v>
      </c>
      <c r="U59" s="431">
        <f t="shared" si="68"/>
        <v>2500</v>
      </c>
      <c r="V59" s="432">
        <f t="shared" si="69"/>
        <v>0</v>
      </c>
      <c r="W59" s="433">
        <f t="shared" si="70"/>
        <v>0</v>
      </c>
      <c r="X59" s="433">
        <f t="shared" si="71"/>
        <v>20000</v>
      </c>
      <c r="Y59" s="434">
        <f t="shared" si="72"/>
        <v>20436.858456567665</v>
      </c>
      <c r="Z59" s="445">
        <f t="shared" si="73"/>
        <v>0.1111111111111111</v>
      </c>
      <c r="AA59" s="403"/>
      <c r="AC59" s="334">
        <f t="shared" si="12"/>
        <v>0</v>
      </c>
      <c r="AD59" s="335">
        <v>20000</v>
      </c>
      <c r="AE59" s="624" t="s">
        <v>703</v>
      </c>
    </row>
    <row r="60" spans="1:36" ht="99.9" customHeight="1" x14ac:dyDescent="0.45">
      <c r="A60" s="336">
        <v>46</v>
      </c>
      <c r="B60" s="309" t="s">
        <v>282</v>
      </c>
      <c r="C60" s="337" t="s">
        <v>49</v>
      </c>
      <c r="D60" s="353" t="s">
        <v>78</v>
      </c>
      <c r="E60" s="353" t="s">
        <v>79</v>
      </c>
      <c r="F60" s="338" t="s">
        <v>283</v>
      </c>
      <c r="G60" s="339" t="s">
        <v>284</v>
      </c>
      <c r="H60" s="340">
        <v>1</v>
      </c>
      <c r="I60" s="340">
        <v>1</v>
      </c>
      <c r="J60" s="341">
        <v>5000</v>
      </c>
      <c r="K60" s="341">
        <f t="shared" si="63"/>
        <v>5000</v>
      </c>
      <c r="L60" s="341">
        <f t="shared" si="64"/>
        <v>400</v>
      </c>
      <c r="M60" s="341">
        <f t="shared" si="65"/>
        <v>97.079657015036688</v>
      </c>
      <c r="N60" s="342">
        <f t="shared" si="66"/>
        <v>5497.0796570150369</v>
      </c>
      <c r="O60" s="389" t="b">
        <v>0</v>
      </c>
      <c r="P60" s="368" t="s">
        <v>277</v>
      </c>
      <c r="Q60" s="406">
        <f t="shared" si="67"/>
        <v>1</v>
      </c>
      <c r="R60" s="407">
        <f t="shared" si="67"/>
        <v>1</v>
      </c>
      <c r="S60" s="408">
        <v>5000</v>
      </c>
      <c r="T60" s="408">
        <v>0</v>
      </c>
      <c r="U60" s="409">
        <f t="shared" si="68"/>
        <v>5000</v>
      </c>
      <c r="V60" s="410">
        <f t="shared" si="69"/>
        <v>0</v>
      </c>
      <c r="W60" s="411">
        <f t="shared" si="70"/>
        <v>0</v>
      </c>
      <c r="X60" s="411">
        <f t="shared" si="71"/>
        <v>0</v>
      </c>
      <c r="Y60" s="348">
        <f t="shared" si="72"/>
        <v>97.079657015036688</v>
      </c>
      <c r="Z60" s="445">
        <f t="shared" si="73"/>
        <v>1</v>
      </c>
      <c r="AA60" s="403"/>
      <c r="AC60" s="334">
        <f t="shared" si="12"/>
        <v>0</v>
      </c>
      <c r="AD60" s="335">
        <v>0</v>
      </c>
    </row>
    <row r="61" spans="1:36" ht="99.9" customHeight="1" x14ac:dyDescent="0.45">
      <c r="A61" s="353">
        <v>47</v>
      </c>
      <c r="B61" s="309" t="s">
        <v>285</v>
      </c>
      <c r="C61" s="354" t="s">
        <v>49</v>
      </c>
      <c r="D61" s="353" t="s">
        <v>78</v>
      </c>
      <c r="E61" s="353" t="s">
        <v>79</v>
      </c>
      <c r="F61" s="413" t="s">
        <v>115</v>
      </c>
      <c r="G61" s="414" t="s">
        <v>286</v>
      </c>
      <c r="H61" s="415">
        <v>1</v>
      </c>
      <c r="I61" s="415">
        <v>1</v>
      </c>
      <c r="J61" s="416">
        <v>78000</v>
      </c>
      <c r="K61" s="416">
        <f t="shared" si="63"/>
        <v>78000</v>
      </c>
      <c r="L61" s="416">
        <f t="shared" si="64"/>
        <v>6240</v>
      </c>
      <c r="M61" s="416">
        <f t="shared" si="65"/>
        <v>1514.4426494345723</v>
      </c>
      <c r="N61" s="417">
        <f t="shared" si="66"/>
        <v>85754.442649434568</v>
      </c>
      <c r="O61" s="389" t="b">
        <v>0</v>
      </c>
      <c r="P61" s="368" t="s">
        <v>287</v>
      </c>
      <c r="Q61" s="418">
        <f t="shared" ref="Q61:R62" si="75">IF(H61&lt;&gt;"",H61,"")</f>
        <v>1</v>
      </c>
      <c r="R61" s="419">
        <f t="shared" si="75"/>
        <v>1</v>
      </c>
      <c r="S61" s="420">
        <v>48000</v>
      </c>
      <c r="T61" s="420">
        <v>0</v>
      </c>
      <c r="U61" s="421">
        <f t="shared" si="68"/>
        <v>78000</v>
      </c>
      <c r="V61" s="422">
        <f t="shared" si="69"/>
        <v>0</v>
      </c>
      <c r="W61" s="423">
        <f t="shared" si="70"/>
        <v>0</v>
      </c>
      <c r="X61" s="423">
        <f t="shared" si="71"/>
        <v>0</v>
      </c>
      <c r="Y61" s="331">
        <f t="shared" si="72"/>
        <v>1514.4426494345723</v>
      </c>
      <c r="Z61" s="412">
        <f t="shared" si="73"/>
        <v>1</v>
      </c>
      <c r="AA61" s="333">
        <f>T61/$T$64</f>
        <v>0</v>
      </c>
      <c r="AC61" s="334">
        <f t="shared" si="12"/>
        <v>0</v>
      </c>
      <c r="AD61" s="335">
        <v>0</v>
      </c>
    </row>
    <row r="62" spans="1:36" ht="99.9" customHeight="1" x14ac:dyDescent="0.45">
      <c r="A62" s="353">
        <v>48</v>
      </c>
      <c r="B62" s="309" t="s">
        <v>288</v>
      </c>
      <c r="C62" s="354" t="s">
        <v>49</v>
      </c>
      <c r="D62" s="353" t="s">
        <v>78</v>
      </c>
      <c r="E62" s="353" t="s">
        <v>79</v>
      </c>
      <c r="F62" s="379" t="s">
        <v>117</v>
      </c>
      <c r="G62" s="437" t="s">
        <v>289</v>
      </c>
      <c r="H62" s="435">
        <v>1</v>
      </c>
      <c r="I62" s="435">
        <v>1</v>
      </c>
      <c r="J62" s="383">
        <v>84900</v>
      </c>
      <c r="K62" s="383">
        <f t="shared" si="63"/>
        <v>84900</v>
      </c>
      <c r="L62" s="383">
        <f t="shared" si="64"/>
        <v>6792</v>
      </c>
      <c r="M62" s="383">
        <f t="shared" si="65"/>
        <v>1648.412576115323</v>
      </c>
      <c r="N62" s="384">
        <f t="shared" si="66"/>
        <v>93340.412576115326</v>
      </c>
      <c r="O62" s="389" t="b">
        <v>0</v>
      </c>
      <c r="P62" s="368" t="s">
        <v>287</v>
      </c>
      <c r="Q62" s="428">
        <f t="shared" si="75"/>
        <v>1</v>
      </c>
      <c r="R62" s="429">
        <f t="shared" si="75"/>
        <v>1</v>
      </c>
      <c r="S62" s="430">
        <v>54900</v>
      </c>
      <c r="T62" s="430">
        <v>103477.88</v>
      </c>
      <c r="U62" s="431">
        <f t="shared" si="68"/>
        <v>-18577.880000000005</v>
      </c>
      <c r="V62" s="432">
        <f t="shared" si="69"/>
        <v>0</v>
      </c>
      <c r="W62" s="433">
        <f t="shared" si="70"/>
        <v>0</v>
      </c>
      <c r="X62" s="433">
        <f t="shared" si="71"/>
        <v>103477.88</v>
      </c>
      <c r="Y62" s="434">
        <f t="shared" si="72"/>
        <v>105126.29257611533</v>
      </c>
      <c r="Z62" s="412">
        <f t="shared" si="73"/>
        <v>-0.21882073027090701</v>
      </c>
      <c r="AA62" s="333">
        <f>T62/$T$64</f>
        <v>0.68413064703636051</v>
      </c>
      <c r="AC62" s="334">
        <f t="shared" si="12"/>
        <v>0</v>
      </c>
      <c r="AD62" s="335">
        <f>3400+30023.37+70054.51</f>
        <v>103477.87999999999</v>
      </c>
      <c r="AE62" s="624" t="s">
        <v>713</v>
      </c>
    </row>
    <row r="63" spans="1:36" ht="99.9" customHeight="1" x14ac:dyDescent="0.45">
      <c r="A63" s="336">
        <v>49</v>
      </c>
      <c r="B63" s="309" t="s">
        <v>290</v>
      </c>
      <c r="C63" s="337" t="s">
        <v>49</v>
      </c>
      <c r="D63" s="353" t="s">
        <v>78</v>
      </c>
      <c r="E63" s="353" t="s">
        <v>79</v>
      </c>
      <c r="F63" s="379" t="s">
        <v>291</v>
      </c>
      <c r="G63" s="437" t="s">
        <v>292</v>
      </c>
      <c r="H63" s="435">
        <v>4</v>
      </c>
      <c r="I63" s="435">
        <v>1</v>
      </c>
      <c r="J63" s="383">
        <v>1650</v>
      </c>
      <c r="K63" s="383">
        <f t="shared" si="63"/>
        <v>6600</v>
      </c>
      <c r="L63" s="383">
        <f t="shared" si="64"/>
        <v>528</v>
      </c>
      <c r="M63" s="383">
        <f t="shared" si="65"/>
        <v>128.14514725984844</v>
      </c>
      <c r="N63" s="384">
        <f t="shared" si="66"/>
        <v>7256.1451472598483</v>
      </c>
      <c r="O63" s="324" t="b">
        <v>1</v>
      </c>
      <c r="P63" s="368" t="s">
        <v>293</v>
      </c>
      <c r="Q63" s="406">
        <v>1</v>
      </c>
      <c r="R63" s="407">
        <f>IF(I63&lt;&gt;"",I63,"")</f>
        <v>1</v>
      </c>
      <c r="S63" s="408">
        <v>2776.68</v>
      </c>
      <c r="T63" s="408">
        <f t="shared" si="74"/>
        <v>2776.68</v>
      </c>
      <c r="U63" s="409">
        <f t="shared" si="68"/>
        <v>3823.32</v>
      </c>
      <c r="V63" s="410">
        <f t="shared" si="69"/>
        <v>0</v>
      </c>
      <c r="W63" s="411">
        <f t="shared" si="70"/>
        <v>0</v>
      </c>
      <c r="X63" s="411">
        <f t="shared" si="71"/>
        <v>2776.68</v>
      </c>
      <c r="Y63" s="348">
        <f t="shared" si="72"/>
        <v>2904.8251472598481</v>
      </c>
      <c r="Z63" s="412">
        <f t="shared" si="73"/>
        <v>0.57929090909090908</v>
      </c>
      <c r="AA63" s="333"/>
      <c r="AC63" s="334">
        <f t="shared" si="12"/>
        <v>0</v>
      </c>
      <c r="AD63" s="335">
        <v>2776.68</v>
      </c>
      <c r="AE63" s="624" t="s">
        <v>704</v>
      </c>
      <c r="AF63" s="349" t="e">
        <f>T63-AE63</f>
        <v>#VALUE!</v>
      </c>
      <c r="AG63" s="350">
        <v>46099</v>
      </c>
      <c r="AI63" s="351" t="s">
        <v>294</v>
      </c>
      <c r="AJ63" s="352" t="s">
        <v>295</v>
      </c>
    </row>
    <row r="64" spans="1:36" ht="39.9" customHeight="1" thickBot="1" x14ac:dyDescent="0.5">
      <c r="A64" s="353">
        <v>50</v>
      </c>
      <c r="B64" s="309"/>
      <c r="C64" s="354" t="s">
        <v>72</v>
      </c>
      <c r="D64" s="353"/>
      <c r="E64" s="353"/>
      <c r="F64" s="698" t="s">
        <v>118</v>
      </c>
      <c r="G64" s="699"/>
      <c r="H64" s="699"/>
      <c r="I64" s="699"/>
      <c r="J64" s="706"/>
      <c r="K64" s="439">
        <f>SUM(K57:K63)</f>
        <v>237000</v>
      </c>
      <c r="L64" s="439">
        <f>SUM(L57:L63)</f>
        <v>18960</v>
      </c>
      <c r="M64" s="439">
        <f>SUM(M57:M63)</f>
        <v>4601.5757425127385</v>
      </c>
      <c r="N64" s="440">
        <f>SUM(N57:N63)</f>
        <v>260561.57574251274</v>
      </c>
      <c r="O64" s="357"/>
      <c r="P64" s="385"/>
      <c r="Q64" s="700" t="s">
        <v>118</v>
      </c>
      <c r="R64" s="700"/>
      <c r="S64" s="707"/>
      <c r="T64" s="441">
        <f>SUM(T57:T63)</f>
        <v>151254.56</v>
      </c>
      <c r="U64" s="442">
        <f>SUM(U57:U63)</f>
        <v>85745.44</v>
      </c>
      <c r="V64" s="443"/>
      <c r="W64" s="444"/>
      <c r="X64" s="444">
        <f>SUM(X57:X63)</f>
        <v>151254.56</v>
      </c>
      <c r="Y64" s="397">
        <f t="shared" si="72"/>
        <v>155856.13574251274</v>
      </c>
      <c r="Z64" s="445"/>
      <c r="AA64" s="452"/>
      <c r="AC64" s="334"/>
      <c r="AD64" s="335"/>
    </row>
    <row r="65" spans="1:36" ht="39.9" customHeight="1" thickBot="1" x14ac:dyDescent="0.5">
      <c r="A65" s="288">
        <v>51</v>
      </c>
      <c r="B65" s="309">
        <v>6</v>
      </c>
      <c r="C65" s="310" t="s">
        <v>40</v>
      </c>
      <c r="D65" s="288"/>
      <c r="E65" s="288"/>
      <c r="F65" s="701" t="s">
        <v>119</v>
      </c>
      <c r="G65" s="702"/>
      <c r="H65" s="702"/>
      <c r="I65" s="702"/>
      <c r="J65" s="702"/>
      <c r="K65" s="702"/>
      <c r="L65" s="702"/>
      <c r="M65" s="702"/>
      <c r="N65" s="703"/>
      <c r="O65" s="357"/>
      <c r="P65" s="385"/>
      <c r="Q65" s="704" t="str">
        <f>IF(F65&lt;&gt;"",F65,"")</f>
        <v>CREDENCIAMENTO &amp; RECEPÇÃO</v>
      </c>
      <c r="R65" s="704"/>
      <c r="S65" s="704"/>
      <c r="T65" s="704"/>
      <c r="U65" s="704"/>
      <c r="V65" s="704"/>
      <c r="W65" s="704"/>
      <c r="X65" s="704"/>
      <c r="Y65" s="705"/>
      <c r="Z65" s="445"/>
      <c r="AA65" s="452"/>
      <c r="AC65" s="334"/>
      <c r="AD65" s="335"/>
    </row>
    <row r="66" spans="1:36" ht="39.9" customHeight="1" x14ac:dyDescent="0.45">
      <c r="A66" s="336">
        <v>52</v>
      </c>
      <c r="B66" s="309" t="s">
        <v>120</v>
      </c>
      <c r="C66" s="337" t="s">
        <v>43</v>
      </c>
      <c r="D66" s="336"/>
      <c r="E66" s="336"/>
      <c r="F66" s="722" t="s">
        <v>119</v>
      </c>
      <c r="G66" s="723"/>
      <c r="H66" s="723"/>
      <c r="I66" s="723"/>
      <c r="J66" s="723"/>
      <c r="K66" s="724"/>
      <c r="L66" s="447" t="s">
        <v>45</v>
      </c>
      <c r="M66" s="448" t="s">
        <v>46</v>
      </c>
      <c r="N66" s="453" t="s">
        <v>28</v>
      </c>
      <c r="O66" s="357"/>
      <c r="P66" s="385"/>
      <c r="Q66" s="725" t="str">
        <f>IF(F66&lt;&gt;"",F66,"")</f>
        <v>CREDENCIAMENTO &amp; RECEPÇÃO</v>
      </c>
      <c r="R66" s="725"/>
      <c r="S66" s="725"/>
      <c r="T66" s="725"/>
      <c r="U66" s="725"/>
      <c r="V66" s="725"/>
      <c r="W66" s="725"/>
      <c r="X66" s="725"/>
      <c r="Y66" s="726"/>
      <c r="Z66" s="450" t="s">
        <v>47</v>
      </c>
      <c r="AA66" s="403" t="s">
        <v>39</v>
      </c>
      <c r="AC66" s="334"/>
      <c r="AD66" s="335"/>
    </row>
    <row r="67" spans="1:36" ht="99.9" customHeight="1" x14ac:dyDescent="0.45">
      <c r="A67" s="353">
        <v>53</v>
      </c>
      <c r="B67" s="309" t="s">
        <v>121</v>
      </c>
      <c r="C67" s="354" t="s">
        <v>49</v>
      </c>
      <c r="D67" s="353" t="s">
        <v>78</v>
      </c>
      <c r="E67" s="353" t="s">
        <v>79</v>
      </c>
      <c r="F67" s="379" t="s">
        <v>122</v>
      </c>
      <c r="G67" s="437" t="s">
        <v>296</v>
      </c>
      <c r="H67" s="435">
        <v>1</v>
      </c>
      <c r="I67" s="435">
        <v>1</v>
      </c>
      <c r="J67" s="383">
        <v>10500</v>
      </c>
      <c r="K67" s="383">
        <f t="shared" ref="K67:K76" si="76">IF(F67&lt;&gt;"",H67*I67*J67,"")</f>
        <v>10500</v>
      </c>
      <c r="L67" s="383">
        <f t="shared" ref="L67:L76" si="77">IF(K67&lt;&gt;"",IF(D67="INTERNO",0,K67*$L$14),"")</f>
        <v>840</v>
      </c>
      <c r="M67" s="383">
        <f t="shared" ref="M67:M76" si="78">IF(K67&lt;&gt;"",IF(E67="FAT.OGGI",SUM(K67:L67)*(1/(1-$M$14)-1),L67*(1/(1-$M$14)-1)),"")</f>
        <v>203.86727973157704</v>
      </c>
      <c r="N67" s="384">
        <f t="shared" ref="N67:N76" si="79">SUM(K67:M67)</f>
        <v>11543.867279731578</v>
      </c>
      <c r="O67" s="389" t="b">
        <v>1</v>
      </c>
      <c r="P67" s="368" t="s">
        <v>297</v>
      </c>
      <c r="Q67" s="369">
        <f t="shared" ref="Q67:R76" si="80">IF(H67&lt;&gt;"",H67,"")</f>
        <v>1</v>
      </c>
      <c r="R67" s="343">
        <f t="shared" si="80"/>
        <v>1</v>
      </c>
      <c r="S67" s="344">
        <v>9500</v>
      </c>
      <c r="T67" s="344">
        <v>8915.75</v>
      </c>
      <c r="U67" s="345">
        <f t="shared" ref="U67:U76" si="81">IF(Q67&lt;&gt;"",K67-T67,"")</f>
        <v>1584.25</v>
      </c>
      <c r="V67" s="346">
        <f t="shared" ref="V67:V76" si="82">IF(Q67&lt;&gt;"",0%,"")</f>
        <v>0</v>
      </c>
      <c r="W67" s="347">
        <f t="shared" ref="W67:W76" si="83">IF(Q67&lt;&gt;"",V67*U67,"")</f>
        <v>0</v>
      </c>
      <c r="X67" s="347">
        <f t="shared" ref="X67:X77" si="84">IF(Q67&lt;&gt;"",W67+T67,"")</f>
        <v>8915.75</v>
      </c>
      <c r="Y67" s="348">
        <f t="shared" ref="Y67:Y78" si="85">IF(Q67&lt;&gt;"",X67+M67,"")</f>
        <v>9119.6172797315776</v>
      </c>
      <c r="Z67" s="412">
        <f t="shared" ref="Z67:Z77" si="86">IF(Q67&lt;&gt;"",U67/K67,"")</f>
        <v>0.15088095238095239</v>
      </c>
      <c r="AA67" s="333">
        <f>T67/$T$78</f>
        <v>0.17866711715448808</v>
      </c>
      <c r="AC67" s="334">
        <f t="shared" si="12"/>
        <v>0</v>
      </c>
      <c r="AD67" s="335">
        <v>8915.75</v>
      </c>
      <c r="AE67" s="624" t="s">
        <v>771</v>
      </c>
    </row>
    <row r="68" spans="1:36" ht="99.9" customHeight="1" x14ac:dyDescent="0.45">
      <c r="A68" s="336">
        <v>54</v>
      </c>
      <c r="B68" s="309" t="s">
        <v>123</v>
      </c>
      <c r="C68" s="337" t="s">
        <v>49</v>
      </c>
      <c r="D68" s="336" t="s">
        <v>78</v>
      </c>
      <c r="E68" s="336" t="s">
        <v>79</v>
      </c>
      <c r="F68" s="338" t="s">
        <v>298</v>
      </c>
      <c r="G68" s="339" t="s">
        <v>299</v>
      </c>
      <c r="H68" s="340">
        <v>1</v>
      </c>
      <c r="I68" s="340">
        <v>1</v>
      </c>
      <c r="J68" s="341">
        <v>2000</v>
      </c>
      <c r="K68" s="341">
        <f>IF(F68&lt;&gt;"",H68*I68*J68,"")</f>
        <v>2000</v>
      </c>
      <c r="L68" s="341">
        <f>IF(K68&lt;&gt;"",IF(D68="INTERNO",0,K68*$L$14),"")</f>
        <v>160</v>
      </c>
      <c r="M68" s="341">
        <f>IF(K68&lt;&gt;"",IF(E68="FAT.OGGI",SUM(K68:L68)*(1/(1-$M$14)-1),L68*(1/(1-$M$14)-1)),"")</f>
        <v>38.831862806014676</v>
      </c>
      <c r="N68" s="342">
        <f>SUM(K68:M68)</f>
        <v>2198.8318628060147</v>
      </c>
      <c r="O68" s="389" t="b">
        <v>1</v>
      </c>
      <c r="P68" s="368" t="s">
        <v>300</v>
      </c>
      <c r="Q68" s="369">
        <f>IF(H68&lt;&gt;"",H68,"")</f>
        <v>1</v>
      </c>
      <c r="R68" s="343">
        <f>IF(I68&lt;&gt;"",I68,"")</f>
        <v>1</v>
      </c>
      <c r="S68" s="344">
        <v>1500</v>
      </c>
      <c r="T68" s="344">
        <v>2000</v>
      </c>
      <c r="U68" s="345">
        <f>IF(Q68&lt;&gt;"",K68-T68,"")</f>
        <v>0</v>
      </c>
      <c r="V68" s="346">
        <f>IF(Q68&lt;&gt;"",0%,"")</f>
        <v>0</v>
      </c>
      <c r="W68" s="347">
        <f>IF(Q68&lt;&gt;"",V68*U68,"")</f>
        <v>0</v>
      </c>
      <c r="X68" s="347">
        <f t="shared" si="84"/>
        <v>2000</v>
      </c>
      <c r="Y68" s="348">
        <f t="shared" si="85"/>
        <v>2038.8318628060147</v>
      </c>
      <c r="Z68" s="412">
        <f t="shared" si="86"/>
        <v>0</v>
      </c>
      <c r="AA68" s="333"/>
      <c r="AC68" s="334">
        <f t="shared" si="12"/>
        <v>0</v>
      </c>
      <c r="AD68" s="335">
        <v>2000</v>
      </c>
      <c r="AE68" s="624" t="s">
        <v>706</v>
      </c>
    </row>
    <row r="69" spans="1:36" ht="99.9" customHeight="1" x14ac:dyDescent="0.45">
      <c r="A69" s="353">
        <v>55</v>
      </c>
      <c r="B69" s="309" t="s">
        <v>125</v>
      </c>
      <c r="C69" s="354" t="s">
        <v>49</v>
      </c>
      <c r="D69" s="353" t="s">
        <v>78</v>
      </c>
      <c r="E69" s="353" t="s">
        <v>79</v>
      </c>
      <c r="F69" s="338" t="s">
        <v>124</v>
      </c>
      <c r="G69" s="339" t="s">
        <v>301</v>
      </c>
      <c r="H69" s="340">
        <v>60</v>
      </c>
      <c r="I69" s="340">
        <v>1</v>
      </c>
      <c r="J69" s="341">
        <v>850</v>
      </c>
      <c r="K69" s="341">
        <f t="shared" si="76"/>
        <v>51000</v>
      </c>
      <c r="L69" s="341">
        <f t="shared" si="77"/>
        <v>4080</v>
      </c>
      <c r="M69" s="341">
        <f t="shared" si="78"/>
        <v>990.2125015533743</v>
      </c>
      <c r="N69" s="342">
        <f t="shared" si="79"/>
        <v>56070.212501553375</v>
      </c>
      <c r="O69" s="324" t="b">
        <v>1</v>
      </c>
      <c r="P69" s="368" t="s">
        <v>302</v>
      </c>
      <c r="Q69" s="386">
        <v>1</v>
      </c>
      <c r="R69" s="387">
        <f t="shared" si="80"/>
        <v>1</v>
      </c>
      <c r="S69" s="388">
        <v>38000</v>
      </c>
      <c r="T69" s="388">
        <v>3999.92</v>
      </c>
      <c r="U69" s="454">
        <f t="shared" si="81"/>
        <v>47000.08</v>
      </c>
      <c r="V69" s="455">
        <f t="shared" si="82"/>
        <v>0</v>
      </c>
      <c r="W69" s="456">
        <f t="shared" si="83"/>
        <v>0</v>
      </c>
      <c r="X69" s="456">
        <f t="shared" si="84"/>
        <v>3999.92</v>
      </c>
      <c r="Y69" s="378">
        <f t="shared" si="85"/>
        <v>4990.1325015533748</v>
      </c>
      <c r="Z69" s="412">
        <f t="shared" si="86"/>
        <v>0.92157019607843138</v>
      </c>
      <c r="AA69" s="333">
        <f>T69/$T$78</f>
        <v>8.015637217828897E-2</v>
      </c>
      <c r="AC69" s="334">
        <f t="shared" si="12"/>
        <v>0</v>
      </c>
      <c r="AD69" s="335">
        <v>3999.92</v>
      </c>
      <c r="AE69" s="624" t="s">
        <v>745</v>
      </c>
    </row>
    <row r="70" spans="1:36" ht="99.9" customHeight="1" x14ac:dyDescent="0.45">
      <c r="A70" s="336">
        <v>56</v>
      </c>
      <c r="B70" s="309" t="s">
        <v>126</v>
      </c>
      <c r="C70" s="337" t="s">
        <v>49</v>
      </c>
      <c r="D70" s="353" t="s">
        <v>78</v>
      </c>
      <c r="E70" s="353" t="s">
        <v>79</v>
      </c>
      <c r="F70" s="338" t="s">
        <v>303</v>
      </c>
      <c r="G70" s="339" t="s">
        <v>304</v>
      </c>
      <c r="H70" s="340">
        <v>60</v>
      </c>
      <c r="I70" s="340">
        <v>1</v>
      </c>
      <c r="J70" s="341">
        <v>490</v>
      </c>
      <c r="K70" s="341">
        <f t="shared" ref="K70" si="87">IF(F70&lt;&gt;"",H70*I70*J70,"")</f>
        <v>29400</v>
      </c>
      <c r="L70" s="341">
        <f t="shared" ref="L70" si="88">IF(K70&lt;&gt;"",IF(D70="INTERNO",0,K70*$L$14),"")</f>
        <v>2352</v>
      </c>
      <c r="M70" s="341">
        <f t="shared" ref="M70" si="89">IF(K70&lt;&gt;"",IF(E70="FAT.OGGI",SUM(K70:L70)*(1/(1-$M$14)-1),L70*(1/(1-$M$14)-1)),"")</f>
        <v>570.82838324841578</v>
      </c>
      <c r="N70" s="342">
        <f t="shared" ref="N70" si="90">SUM(K70:M70)</f>
        <v>32322.828383248416</v>
      </c>
      <c r="O70" s="324" t="b">
        <v>1</v>
      </c>
      <c r="P70" s="368" t="s">
        <v>305</v>
      </c>
      <c r="Q70" s="406">
        <v>1</v>
      </c>
      <c r="R70" s="407">
        <f>IF(I70&lt;&gt;"",I70,"")</f>
        <v>1</v>
      </c>
      <c r="S70" s="408">
        <v>18540</v>
      </c>
      <c r="T70" s="408">
        <f>IF(Q70&lt;&gt;"",Q70*R70*S70,"")</f>
        <v>18540</v>
      </c>
      <c r="U70" s="409">
        <f>IF(Q70&lt;&gt;"",K70-T70,"")</f>
        <v>10860</v>
      </c>
      <c r="V70" s="410">
        <f>IF(Q70&lt;&gt;"",0%,"")</f>
        <v>0</v>
      </c>
      <c r="W70" s="411">
        <f>IF(Q70&lt;&gt;"",V70*U70,"")</f>
        <v>0</v>
      </c>
      <c r="X70" s="411">
        <f t="shared" si="84"/>
        <v>18540</v>
      </c>
      <c r="Y70" s="348">
        <f t="shared" si="85"/>
        <v>19110.828383248416</v>
      </c>
      <c r="Z70" s="412">
        <f t="shared" si="86"/>
        <v>0.3693877551020408</v>
      </c>
      <c r="AA70" s="333"/>
      <c r="AC70" s="334">
        <f t="shared" si="12"/>
        <v>0</v>
      </c>
      <c r="AD70" s="335">
        <v>18540</v>
      </c>
      <c r="AE70" s="624" t="s">
        <v>707</v>
      </c>
    </row>
    <row r="71" spans="1:36" ht="99.9" customHeight="1" x14ac:dyDescent="0.45">
      <c r="A71" s="288">
        <v>57</v>
      </c>
      <c r="B71" s="309" t="s">
        <v>128</v>
      </c>
      <c r="C71" s="310" t="s">
        <v>49</v>
      </c>
      <c r="D71" s="288" t="s">
        <v>78</v>
      </c>
      <c r="E71" s="288" t="s">
        <v>79</v>
      </c>
      <c r="F71" s="338" t="s">
        <v>127</v>
      </c>
      <c r="G71" s="339" t="s">
        <v>306</v>
      </c>
      <c r="H71" s="340">
        <v>300</v>
      </c>
      <c r="I71" s="340">
        <v>1</v>
      </c>
      <c r="J71" s="341">
        <v>8.5</v>
      </c>
      <c r="K71" s="341">
        <f t="shared" si="76"/>
        <v>2550</v>
      </c>
      <c r="L71" s="341">
        <f t="shared" si="77"/>
        <v>204</v>
      </c>
      <c r="M71" s="341">
        <f t="shared" si="78"/>
        <v>49.510625077668713</v>
      </c>
      <c r="N71" s="342">
        <f t="shared" si="79"/>
        <v>2803.5106250776689</v>
      </c>
      <c r="O71" s="389" t="b">
        <v>0</v>
      </c>
      <c r="P71" s="687" t="s">
        <v>242</v>
      </c>
      <c r="Q71" s="369">
        <f t="shared" si="80"/>
        <v>300</v>
      </c>
      <c r="R71" s="343">
        <f t="shared" si="80"/>
        <v>1</v>
      </c>
      <c r="S71" s="344">
        <v>6.1</v>
      </c>
      <c r="T71" s="344">
        <v>0</v>
      </c>
      <c r="U71" s="345">
        <f t="shared" si="81"/>
        <v>2550</v>
      </c>
      <c r="V71" s="346">
        <f t="shared" si="82"/>
        <v>0</v>
      </c>
      <c r="W71" s="347">
        <f t="shared" si="83"/>
        <v>0</v>
      </c>
      <c r="X71" s="347">
        <f t="shared" si="84"/>
        <v>0</v>
      </c>
      <c r="Y71" s="348">
        <f t="shared" si="85"/>
        <v>49.510625077668713</v>
      </c>
      <c r="Z71" s="412">
        <f t="shared" si="86"/>
        <v>1</v>
      </c>
      <c r="AA71" s="333">
        <f>T71/$T$78</f>
        <v>0</v>
      </c>
      <c r="AC71" s="334">
        <f t="shared" si="12"/>
        <v>0</v>
      </c>
      <c r="AD71" s="335">
        <v>0</v>
      </c>
    </row>
    <row r="72" spans="1:36" ht="99.9" customHeight="1" x14ac:dyDescent="0.45">
      <c r="A72" s="288">
        <v>58</v>
      </c>
      <c r="B72" s="309" t="s">
        <v>134</v>
      </c>
      <c r="C72" s="310" t="s">
        <v>49</v>
      </c>
      <c r="D72" s="288" t="s">
        <v>78</v>
      </c>
      <c r="E72" s="288" t="s">
        <v>79</v>
      </c>
      <c r="F72" s="338" t="s">
        <v>307</v>
      </c>
      <c r="G72" s="339" t="s">
        <v>308</v>
      </c>
      <c r="H72" s="340">
        <v>60</v>
      </c>
      <c r="I72" s="340">
        <v>1</v>
      </c>
      <c r="J72" s="341">
        <v>9.49</v>
      </c>
      <c r="K72" s="341">
        <f>IF(F72&lt;&gt;"",H72*I72*J72,"")</f>
        <v>569.4</v>
      </c>
      <c r="L72" s="341">
        <f>IF(K72&lt;&gt;"",IF(D72="INTERNO",0,K72*$L$14),"")</f>
        <v>45.552</v>
      </c>
      <c r="M72" s="341">
        <f>IF(K72&lt;&gt;"",IF(E72="FAT.OGGI",SUM(K72:L72)*(1/(1-$M$14)-1),L72*(1/(1-$M$14)-1)),"")</f>
        <v>11.055431340872378</v>
      </c>
      <c r="N72" s="342">
        <f>SUM(K72:M72)</f>
        <v>626.00743134087236</v>
      </c>
      <c r="O72" s="389" t="b">
        <v>0</v>
      </c>
      <c r="P72" s="687"/>
      <c r="Q72" s="369">
        <f t="shared" ref="Q72:R74" si="91">IF(H72&lt;&gt;"",H72,"")</f>
        <v>60</v>
      </c>
      <c r="R72" s="343">
        <f t="shared" si="91"/>
        <v>1</v>
      </c>
      <c r="S72" s="344">
        <v>7.49</v>
      </c>
      <c r="T72" s="344">
        <v>0</v>
      </c>
      <c r="U72" s="345">
        <f>IF(Q72&lt;&gt;"",K72-T72,"")</f>
        <v>569.4</v>
      </c>
      <c r="V72" s="346">
        <f>IF(Q72&lt;&gt;"",0%,"")</f>
        <v>0</v>
      </c>
      <c r="W72" s="347">
        <f>IF(Q72&lt;&gt;"",V72*U72,"")</f>
        <v>0</v>
      </c>
      <c r="X72" s="347">
        <f t="shared" si="84"/>
        <v>0</v>
      </c>
      <c r="Y72" s="348">
        <f t="shared" si="85"/>
        <v>11.055431340872378</v>
      </c>
      <c r="Z72" s="412">
        <f t="shared" si="86"/>
        <v>1</v>
      </c>
      <c r="AA72" s="333"/>
      <c r="AC72" s="334">
        <f t="shared" si="12"/>
        <v>0</v>
      </c>
      <c r="AD72" s="335">
        <v>0</v>
      </c>
    </row>
    <row r="73" spans="1:36" ht="99.9" customHeight="1" x14ac:dyDescent="0.45">
      <c r="A73" s="288">
        <v>59</v>
      </c>
      <c r="B73" s="309" t="s">
        <v>309</v>
      </c>
      <c r="C73" s="310" t="s">
        <v>49</v>
      </c>
      <c r="D73" s="288" t="s">
        <v>78</v>
      </c>
      <c r="E73" s="288" t="s">
        <v>79</v>
      </c>
      <c r="F73" s="338" t="s">
        <v>310</v>
      </c>
      <c r="G73" s="339" t="s">
        <v>308</v>
      </c>
      <c r="H73" s="340">
        <v>160</v>
      </c>
      <c r="I73" s="340">
        <v>1</v>
      </c>
      <c r="J73" s="341">
        <v>8.99</v>
      </c>
      <c r="K73" s="341">
        <f>IF(F73&lt;&gt;"",H73*I73*J73,"")</f>
        <v>1438.4</v>
      </c>
      <c r="L73" s="341">
        <f>IF(K73&lt;&gt;"",IF(D73="INTERNO",0,K73*$L$14),"")</f>
        <v>115.072</v>
      </c>
      <c r="M73" s="341">
        <f>IF(K73&lt;&gt;"",IF(E73="FAT.OGGI",SUM(K73:L73)*(1/(1-$M$14)-1),L73*(1/(1-$M$14)-1)),"")</f>
        <v>27.927875730085756</v>
      </c>
      <c r="N73" s="342">
        <f>SUM(K73:M73)</f>
        <v>1581.399875730086</v>
      </c>
      <c r="O73" s="389" t="b">
        <v>0</v>
      </c>
      <c r="P73" s="687"/>
      <c r="Q73" s="369">
        <f t="shared" si="91"/>
        <v>160</v>
      </c>
      <c r="R73" s="343">
        <f t="shared" si="91"/>
        <v>1</v>
      </c>
      <c r="S73" s="344">
        <v>6.99</v>
      </c>
      <c r="T73" s="344">
        <v>2405.79</v>
      </c>
      <c r="U73" s="345">
        <f>IF(Q73&lt;&gt;"",K73-T73,"")</f>
        <v>-967.38999999999987</v>
      </c>
      <c r="V73" s="346">
        <f>IF(Q73&lt;&gt;"",0%,"")</f>
        <v>0</v>
      </c>
      <c r="W73" s="347">
        <f>IF(Q73&lt;&gt;"",V73*U73,"")</f>
        <v>0</v>
      </c>
      <c r="X73" s="347">
        <f t="shared" si="84"/>
        <v>2405.79</v>
      </c>
      <c r="Y73" s="348">
        <f t="shared" si="85"/>
        <v>2433.7178757300858</v>
      </c>
      <c r="Z73" s="412">
        <f t="shared" si="86"/>
        <v>-0.67254588431590645</v>
      </c>
      <c r="AA73" s="333"/>
      <c r="AC73" s="334">
        <f t="shared" si="12"/>
        <v>0</v>
      </c>
      <c r="AD73" s="335">
        <v>2405.79</v>
      </c>
      <c r="AE73" s="624" t="s">
        <v>773</v>
      </c>
    </row>
    <row r="74" spans="1:36" ht="99.9" customHeight="1" x14ac:dyDescent="0.45">
      <c r="A74" s="336">
        <v>60</v>
      </c>
      <c r="B74" s="309" t="s">
        <v>311</v>
      </c>
      <c r="C74" s="337" t="s">
        <v>49</v>
      </c>
      <c r="D74" s="288" t="s">
        <v>78</v>
      </c>
      <c r="E74" s="288" t="s">
        <v>79</v>
      </c>
      <c r="F74" s="338" t="s">
        <v>312</v>
      </c>
      <c r="G74" s="339" t="s">
        <v>308</v>
      </c>
      <c r="H74" s="340">
        <v>80</v>
      </c>
      <c r="I74" s="340">
        <v>1</v>
      </c>
      <c r="J74" s="341">
        <v>8.99</v>
      </c>
      <c r="K74" s="341">
        <f>IF(F74&lt;&gt;"",H74*I74*J74,"")</f>
        <v>719.2</v>
      </c>
      <c r="L74" s="341">
        <f>IF(K74&lt;&gt;"",IF(D74="INTERNO",0,K74*$L$14),"")</f>
        <v>57.536000000000001</v>
      </c>
      <c r="M74" s="341">
        <f>IF(K74&lt;&gt;"",IF(E74="FAT.OGGI",SUM(K74:L74)*(1/(1-$M$14)-1),L74*(1/(1-$M$14)-1)),"")</f>
        <v>13.963937865042878</v>
      </c>
      <c r="N74" s="342">
        <f>SUM(K74:M74)</f>
        <v>790.69993786504301</v>
      </c>
      <c r="O74" s="389" t="b">
        <v>0</v>
      </c>
      <c r="P74" s="687"/>
      <c r="Q74" s="369">
        <f t="shared" si="91"/>
        <v>80</v>
      </c>
      <c r="R74" s="343">
        <f t="shared" si="91"/>
        <v>1</v>
      </c>
      <c r="S74" s="344">
        <v>6.99</v>
      </c>
      <c r="T74" s="344">
        <v>0</v>
      </c>
      <c r="U74" s="345">
        <f>IF(Q74&lt;&gt;"",K74-T74,"")</f>
        <v>719.2</v>
      </c>
      <c r="V74" s="346">
        <f>IF(Q74&lt;&gt;"",0%,"")</f>
        <v>0</v>
      </c>
      <c r="W74" s="347">
        <f>IF(Q74&lt;&gt;"",V74*U74,"")</f>
        <v>0</v>
      </c>
      <c r="X74" s="347">
        <f t="shared" si="84"/>
        <v>0</v>
      </c>
      <c r="Y74" s="348">
        <f t="shared" si="85"/>
        <v>13.963937865042878</v>
      </c>
      <c r="Z74" s="412">
        <f t="shared" si="86"/>
        <v>1</v>
      </c>
      <c r="AA74" s="333"/>
      <c r="AC74" s="334">
        <f t="shared" si="12"/>
        <v>0</v>
      </c>
      <c r="AD74" s="335">
        <v>0</v>
      </c>
    </row>
    <row r="75" spans="1:36" ht="99.9" customHeight="1" x14ac:dyDescent="0.45">
      <c r="A75" s="353">
        <v>61</v>
      </c>
      <c r="B75" s="309" t="s">
        <v>313</v>
      </c>
      <c r="C75" s="354" t="s">
        <v>49</v>
      </c>
      <c r="D75" s="353" t="s">
        <v>78</v>
      </c>
      <c r="E75" s="353" t="s">
        <v>79</v>
      </c>
      <c r="F75" s="338" t="s">
        <v>129</v>
      </c>
      <c r="G75" s="339" t="s">
        <v>130</v>
      </c>
      <c r="H75" s="340">
        <v>4</v>
      </c>
      <c r="I75" s="340">
        <v>1</v>
      </c>
      <c r="J75" s="341">
        <v>800</v>
      </c>
      <c r="K75" s="341">
        <f t="shared" si="76"/>
        <v>3200</v>
      </c>
      <c r="L75" s="341">
        <f t="shared" si="77"/>
        <v>256</v>
      </c>
      <c r="M75" s="341">
        <f t="shared" si="78"/>
        <v>62.130980489623482</v>
      </c>
      <c r="N75" s="342">
        <f t="shared" si="79"/>
        <v>3518.1309804896237</v>
      </c>
      <c r="O75" s="324" t="b">
        <v>1</v>
      </c>
      <c r="P75" s="368" t="s">
        <v>314</v>
      </c>
      <c r="Q75" s="369">
        <v>1</v>
      </c>
      <c r="R75" s="343">
        <f t="shared" si="80"/>
        <v>1</v>
      </c>
      <c r="S75" s="344">
        <v>2940</v>
      </c>
      <c r="T75" s="344">
        <f t="shared" ref="T75" si="92">IF(Q75&lt;&gt;"",Q75*R75*S75,"")</f>
        <v>2940</v>
      </c>
      <c r="U75" s="345">
        <f t="shared" si="81"/>
        <v>260</v>
      </c>
      <c r="V75" s="346">
        <f t="shared" si="82"/>
        <v>0</v>
      </c>
      <c r="W75" s="347">
        <f t="shared" si="83"/>
        <v>0</v>
      </c>
      <c r="X75" s="347">
        <f t="shared" si="84"/>
        <v>2940</v>
      </c>
      <c r="Y75" s="348">
        <f t="shared" si="85"/>
        <v>3002.1309804896237</v>
      </c>
      <c r="Z75" s="412">
        <f t="shared" si="86"/>
        <v>8.1250000000000003E-2</v>
      </c>
      <c r="AA75" s="333">
        <f>T75/$T$78</f>
        <v>5.8916111873279858E-2</v>
      </c>
      <c r="AB75" s="258" t="s">
        <v>131</v>
      </c>
      <c r="AC75" s="334">
        <f t="shared" si="12"/>
        <v>0</v>
      </c>
      <c r="AD75" s="335">
        <f>1890+1050</f>
        <v>2940</v>
      </c>
      <c r="AE75" s="624" t="s">
        <v>709</v>
      </c>
      <c r="AF75" s="349" t="e">
        <f>T75-AE75</f>
        <v>#VALUE!</v>
      </c>
      <c r="AG75" s="350">
        <v>46096</v>
      </c>
      <c r="AI75" s="351" t="s">
        <v>132</v>
      </c>
      <c r="AJ75" s="352" t="s">
        <v>133</v>
      </c>
    </row>
    <row r="76" spans="1:36" ht="99.9" customHeight="1" x14ac:dyDescent="0.45">
      <c r="A76" s="288">
        <v>62</v>
      </c>
      <c r="B76" s="309" t="s">
        <v>315</v>
      </c>
      <c r="C76" s="310" t="s">
        <v>49</v>
      </c>
      <c r="D76" s="288" t="s">
        <v>78</v>
      </c>
      <c r="E76" s="288" t="s">
        <v>79</v>
      </c>
      <c r="F76" s="379" t="s">
        <v>135</v>
      </c>
      <c r="G76" s="437" t="s">
        <v>316</v>
      </c>
      <c r="H76" s="435">
        <v>100</v>
      </c>
      <c r="I76" s="435">
        <v>1</v>
      </c>
      <c r="J76" s="383">
        <v>110</v>
      </c>
      <c r="K76" s="383">
        <f t="shared" si="76"/>
        <v>11000</v>
      </c>
      <c r="L76" s="383">
        <f t="shared" si="77"/>
        <v>880</v>
      </c>
      <c r="M76" s="383">
        <f t="shared" si="78"/>
        <v>213.57524543308071</v>
      </c>
      <c r="N76" s="384">
        <f t="shared" si="79"/>
        <v>12093.575245433081</v>
      </c>
      <c r="O76" s="324" t="b">
        <v>1</v>
      </c>
      <c r="P76" s="368" t="s">
        <v>317</v>
      </c>
      <c r="Q76" s="386">
        <f t="shared" si="80"/>
        <v>100</v>
      </c>
      <c r="R76" s="387">
        <f t="shared" si="80"/>
        <v>1</v>
      </c>
      <c r="S76" s="457">
        <v>95</v>
      </c>
      <c r="T76" s="388">
        <v>11100</v>
      </c>
      <c r="U76" s="454">
        <f t="shared" si="81"/>
        <v>-100</v>
      </c>
      <c r="V76" s="455">
        <f t="shared" si="82"/>
        <v>0</v>
      </c>
      <c r="W76" s="456">
        <f t="shared" si="83"/>
        <v>0</v>
      </c>
      <c r="X76" s="456">
        <f t="shared" si="84"/>
        <v>11100</v>
      </c>
      <c r="Y76" s="378">
        <f t="shared" si="85"/>
        <v>11313.575245433081</v>
      </c>
      <c r="Z76" s="412">
        <f t="shared" si="86"/>
        <v>-9.0909090909090905E-3</v>
      </c>
      <c r="AA76" s="333">
        <f>T76/$T$78</f>
        <v>0.22243838156238316</v>
      </c>
      <c r="AB76" s="258" t="s">
        <v>131</v>
      </c>
      <c r="AC76" s="334">
        <f t="shared" si="12"/>
        <v>0</v>
      </c>
      <c r="AD76" s="335">
        <f>11000+100</f>
        <v>11100</v>
      </c>
      <c r="AE76" s="624" t="s">
        <v>710</v>
      </c>
    </row>
    <row r="77" spans="1:36" ht="99.9" customHeight="1" x14ac:dyDescent="0.45">
      <c r="A77" s="336">
        <v>63</v>
      </c>
      <c r="B77" s="309" t="s">
        <v>318</v>
      </c>
      <c r="C77" s="337" t="s">
        <v>49</v>
      </c>
      <c r="D77" s="288" t="s">
        <v>78</v>
      </c>
      <c r="E77" s="288" t="s">
        <v>79</v>
      </c>
      <c r="F77" s="338" t="s">
        <v>319</v>
      </c>
      <c r="G77" s="339" t="s">
        <v>320</v>
      </c>
      <c r="H77" s="340">
        <v>1</v>
      </c>
      <c r="I77" s="340">
        <v>1</v>
      </c>
      <c r="J77" s="341">
        <v>2100</v>
      </c>
      <c r="K77" s="341">
        <f>IF(F77&lt;&gt;"",H77*I77*J77,"")</f>
        <v>2100</v>
      </c>
      <c r="L77" s="341">
        <f>IF(K77&lt;&gt;"",IF(D77="INTERNO",0,K77*$L$14),"")</f>
        <v>168</v>
      </c>
      <c r="M77" s="341">
        <f>IF(K77&lt;&gt;"",IF(E77="FAT.OGGI",SUM(K77:L77)*(1/(1-$M$14)-1),L77*(1/(1-$M$14)-1)),"")</f>
        <v>40.773455946315408</v>
      </c>
      <c r="N77" s="342">
        <f>SUM(K77:M77)</f>
        <v>2308.7734559463156</v>
      </c>
      <c r="O77" s="389" t="b">
        <v>0</v>
      </c>
      <c r="P77" s="385"/>
      <c r="Q77" s="406">
        <f>IF(H77&lt;&gt;"",H77,"")</f>
        <v>1</v>
      </c>
      <c r="R77" s="407">
        <f>IF(I77&lt;&gt;"",I77,"")</f>
        <v>1</v>
      </c>
      <c r="S77" s="408">
        <v>1200</v>
      </c>
      <c r="T77" s="408">
        <v>0</v>
      </c>
      <c r="U77" s="409">
        <f>IF(Q77&lt;&gt;"",K77-T77,"")</f>
        <v>2100</v>
      </c>
      <c r="V77" s="410">
        <f>IF(Q77&lt;&gt;"",0%,"")</f>
        <v>0</v>
      </c>
      <c r="W77" s="411">
        <f>IF(Q77&lt;&gt;"",V77*U77,"")</f>
        <v>0</v>
      </c>
      <c r="X77" s="411">
        <f t="shared" si="84"/>
        <v>0</v>
      </c>
      <c r="Y77" s="348">
        <f t="shared" si="85"/>
        <v>40.773455946315408</v>
      </c>
      <c r="Z77" s="458">
        <f t="shared" si="86"/>
        <v>1</v>
      </c>
      <c r="AA77" s="333"/>
      <c r="AB77" s="364"/>
      <c r="AC77" s="334">
        <f t="shared" si="12"/>
        <v>0</v>
      </c>
      <c r="AD77" s="335">
        <v>0</v>
      </c>
    </row>
    <row r="78" spans="1:36" ht="39.9" customHeight="1" thickBot="1" x14ac:dyDescent="0.5">
      <c r="A78" s="353">
        <v>64</v>
      </c>
      <c r="B78" s="309"/>
      <c r="C78" s="354" t="s">
        <v>72</v>
      </c>
      <c r="D78" s="353"/>
      <c r="E78" s="353"/>
      <c r="F78" s="698" t="s">
        <v>136</v>
      </c>
      <c r="G78" s="699"/>
      <c r="H78" s="699"/>
      <c r="I78" s="699"/>
      <c r="J78" s="699"/>
      <c r="K78" s="355">
        <f>SUM(K67:K77)</f>
        <v>114476.99999999999</v>
      </c>
      <c r="L78" s="355">
        <f>SUM(L67:L77)</f>
        <v>9158.16</v>
      </c>
      <c r="M78" s="355">
        <f>SUM(M67:M77)</f>
        <v>2222.6775792220715</v>
      </c>
      <c r="N78" s="356">
        <f>SUM(N67:N77)</f>
        <v>125857.83757922208</v>
      </c>
      <c r="O78" s="357"/>
      <c r="P78" s="385"/>
      <c r="Q78" s="700" t="s">
        <v>136</v>
      </c>
      <c r="R78" s="700"/>
      <c r="S78" s="700"/>
      <c r="T78" s="459">
        <f>SUM(T67:T77)</f>
        <v>49901.46</v>
      </c>
      <c r="U78" s="460">
        <f>SUM(U67:U77)</f>
        <v>64575.54</v>
      </c>
      <c r="V78" s="461"/>
      <c r="W78" s="462"/>
      <c r="X78" s="462">
        <f>SUM(X67:X77)</f>
        <v>49901.46</v>
      </c>
      <c r="Y78" s="463">
        <f t="shared" si="85"/>
        <v>52124.137579222072</v>
      </c>
      <c r="Z78" s="445"/>
      <c r="AA78" s="452"/>
      <c r="AC78" s="334"/>
      <c r="AD78" s="335"/>
    </row>
    <row r="79" spans="1:36" ht="39.9" customHeight="1" thickBot="1" x14ac:dyDescent="0.5">
      <c r="A79" s="353">
        <v>65</v>
      </c>
      <c r="B79" s="309">
        <v>7</v>
      </c>
      <c r="C79" s="354" t="s">
        <v>40</v>
      </c>
      <c r="D79" s="353"/>
      <c r="E79" s="353"/>
      <c r="F79" s="688" t="s">
        <v>137</v>
      </c>
      <c r="G79" s="689"/>
      <c r="H79" s="689"/>
      <c r="I79" s="689"/>
      <c r="J79" s="689"/>
      <c r="K79" s="689"/>
      <c r="L79" s="689"/>
      <c r="M79" s="689"/>
      <c r="N79" s="690"/>
      <c r="O79" s="357"/>
      <c r="P79" s="385"/>
      <c r="Q79" s="740" t="s">
        <v>137</v>
      </c>
      <c r="R79" s="740"/>
      <c r="S79" s="740"/>
      <c r="T79" s="740"/>
      <c r="U79" s="740"/>
      <c r="V79" s="740"/>
      <c r="W79" s="740"/>
      <c r="X79" s="740"/>
      <c r="Y79" s="745"/>
      <c r="Z79" s="464"/>
      <c r="AA79" s="465"/>
      <c r="AC79" s="334"/>
      <c r="AD79" s="335"/>
    </row>
    <row r="80" spans="1:36" ht="39.9" customHeight="1" x14ac:dyDescent="0.45">
      <c r="A80" s="288">
        <v>66</v>
      </c>
      <c r="B80" s="309" t="s">
        <v>138</v>
      </c>
      <c r="C80" s="310" t="s">
        <v>43</v>
      </c>
      <c r="D80" s="288"/>
      <c r="E80" s="288"/>
      <c r="F80" s="693" t="s">
        <v>139</v>
      </c>
      <c r="G80" s="694"/>
      <c r="H80" s="694"/>
      <c r="I80" s="694"/>
      <c r="J80" s="694"/>
      <c r="K80" s="695"/>
      <c r="L80" s="399" t="s">
        <v>45</v>
      </c>
      <c r="M80" s="400" t="s">
        <v>46</v>
      </c>
      <c r="N80" s="401" t="s">
        <v>28</v>
      </c>
      <c r="O80" s="357"/>
      <c r="P80" s="385"/>
      <c r="Q80" s="466"/>
      <c r="R80" s="466"/>
      <c r="S80" s="467"/>
      <c r="T80" s="467"/>
      <c r="U80" s="467"/>
      <c r="V80" s="467"/>
      <c r="W80" s="467"/>
      <c r="X80" s="467"/>
      <c r="Y80" s="468"/>
      <c r="Z80" s="469" t="s">
        <v>47</v>
      </c>
      <c r="AA80" s="284"/>
      <c r="AC80" s="334"/>
      <c r="AD80" s="335"/>
    </row>
    <row r="81" spans="1:36" ht="99.9" customHeight="1" x14ac:dyDescent="0.45">
      <c r="A81" s="288">
        <v>67</v>
      </c>
      <c r="B81" s="309" t="s">
        <v>140</v>
      </c>
      <c r="C81" s="310" t="s">
        <v>49</v>
      </c>
      <c r="D81" s="288" t="s">
        <v>78</v>
      </c>
      <c r="E81" s="288" t="s">
        <v>79</v>
      </c>
      <c r="F81" s="379" t="s">
        <v>141</v>
      </c>
      <c r="G81" s="437" t="s">
        <v>142</v>
      </c>
      <c r="H81" s="435">
        <v>230</v>
      </c>
      <c r="I81" s="435">
        <v>1</v>
      </c>
      <c r="J81" s="383">
        <v>370</v>
      </c>
      <c r="K81" s="383">
        <f>IF(F81&lt;&gt;"",H81*I81*J81,"")</f>
        <v>85100</v>
      </c>
      <c r="L81" s="383">
        <f>IF(K81&lt;&gt;"",IF(D81="INTERNO",0,K81*$L$14),"")</f>
        <v>6808</v>
      </c>
      <c r="M81" s="383">
        <f>IF(K81&lt;&gt;"",IF(E81="FAT.OGGI",SUM(K81:L81)*(1/(1-$M$14)-1),L81*(1/(1-$M$14)-1)),"")</f>
        <v>1652.2957623959244</v>
      </c>
      <c r="N81" s="384">
        <f>SUM(K81:M81)</f>
        <v>93560.295762395923</v>
      </c>
      <c r="O81" s="389" t="b">
        <v>0</v>
      </c>
      <c r="P81" s="368" t="s">
        <v>321</v>
      </c>
      <c r="Q81" s="386">
        <f t="shared" ref="Q81:R85" si="93">IF(H81&lt;&gt;"",H81,"")</f>
        <v>230</v>
      </c>
      <c r="R81" s="387">
        <f t="shared" si="93"/>
        <v>1</v>
      </c>
      <c r="S81" s="388">
        <v>335</v>
      </c>
      <c r="T81" s="388">
        <v>87713</v>
      </c>
      <c r="U81" s="454">
        <f>IF(Q81&lt;&gt;"",K81-T81,"")</f>
        <v>-2613</v>
      </c>
      <c r="V81" s="455">
        <f>IF(Q81&lt;&gt;"",0%,"")</f>
        <v>0</v>
      </c>
      <c r="W81" s="456">
        <f>IF(Q81&lt;&gt;"",V81*U81,"")</f>
        <v>0</v>
      </c>
      <c r="X81" s="456">
        <f>IF(Q81&lt;&gt;"",W81+T81,"")</f>
        <v>87713</v>
      </c>
      <c r="Y81" s="378">
        <f t="shared" ref="Y81:Y86" si="94">IF(Q81&lt;&gt;"",X81+M81,"")</f>
        <v>89365.295762395923</v>
      </c>
      <c r="Z81" s="470">
        <f>IF(Q81&lt;&gt;"",U81/K81,"")</f>
        <v>-3.0705052878965921E-2</v>
      </c>
      <c r="AA81" s="284"/>
      <c r="AC81" s="334">
        <f t="shared" si="12"/>
        <v>0</v>
      </c>
      <c r="AD81" s="335">
        <f>28963+30000+28750</f>
        <v>87713</v>
      </c>
      <c r="AE81" s="625" t="s">
        <v>722</v>
      </c>
      <c r="AF81" s="349" t="e">
        <f>T81-AE81</f>
        <v>#VALUE!</v>
      </c>
      <c r="AG81" s="350">
        <v>46096</v>
      </c>
      <c r="AI81" s="351" t="s">
        <v>143</v>
      </c>
      <c r="AJ81" s="352" t="s">
        <v>144</v>
      </c>
    </row>
    <row r="82" spans="1:36" ht="99.9" customHeight="1" x14ac:dyDescent="0.45">
      <c r="A82" s="336">
        <v>68</v>
      </c>
      <c r="B82" s="309" t="s">
        <v>145</v>
      </c>
      <c r="C82" s="337" t="s">
        <v>49</v>
      </c>
      <c r="D82" s="288" t="s">
        <v>78</v>
      </c>
      <c r="E82" s="288" t="s">
        <v>79</v>
      </c>
      <c r="F82" s="338" t="s">
        <v>322</v>
      </c>
      <c r="G82" s="339" t="s">
        <v>323</v>
      </c>
      <c r="H82" s="340">
        <v>16</v>
      </c>
      <c r="I82" s="340">
        <v>1</v>
      </c>
      <c r="J82" s="341">
        <v>120</v>
      </c>
      <c r="K82" s="341">
        <f>IF(F82&lt;&gt;"",H82*I82*J82,"")</f>
        <v>1920</v>
      </c>
      <c r="L82" s="341">
        <f>IF(K82&lt;&gt;"",IF(D82="INTERNO",0,K82*$L$14),"")</f>
        <v>153.6</v>
      </c>
      <c r="M82" s="341">
        <f>IF(K82&lt;&gt;"",IF(E82="FAT.OGGI",SUM(K82:L82)*(1/(1-$M$14)-1),L82*(1/(1-$M$14)-1)),"")</f>
        <v>37.278588293774085</v>
      </c>
      <c r="N82" s="342">
        <f>SUM(K82:M82)</f>
        <v>2110.8785882937741</v>
      </c>
      <c r="O82" s="389" t="b">
        <v>0</v>
      </c>
      <c r="P82" s="368" t="s">
        <v>324</v>
      </c>
      <c r="Q82" s="369">
        <f t="shared" ref="Q82" si="95">IF(H82&lt;&gt;"",H82,"")</f>
        <v>16</v>
      </c>
      <c r="R82" s="343">
        <f t="shared" ref="R82" si="96">IF(I82&lt;&gt;"",I82,"")</f>
        <v>1</v>
      </c>
      <c r="S82" s="344">
        <v>120</v>
      </c>
      <c r="T82" s="344">
        <v>0</v>
      </c>
      <c r="U82" s="345">
        <f>IF(Q82&lt;&gt;"",K82-T82,"")</f>
        <v>1920</v>
      </c>
      <c r="V82" s="346">
        <f>IF(Q82&lt;&gt;"",0%,"")</f>
        <v>0</v>
      </c>
      <c r="W82" s="347">
        <f>IF(Q82&lt;&gt;"",V82*U82,"")</f>
        <v>0</v>
      </c>
      <c r="X82" s="347">
        <f>IF(Q82&lt;&gt;"",W82+T82,"")</f>
        <v>0</v>
      </c>
      <c r="Y82" s="348">
        <f t="shared" si="94"/>
        <v>37.278588293774085</v>
      </c>
      <c r="Z82" s="470">
        <f>IF(Q82&lt;&gt;"",U82/K82,"")</f>
        <v>1</v>
      </c>
      <c r="AA82" s="284"/>
      <c r="AC82" s="334">
        <f t="shared" ref="AC82:AC139" si="97">X82-AD82</f>
        <v>0</v>
      </c>
      <c r="AD82" s="335">
        <v>0</v>
      </c>
    </row>
    <row r="83" spans="1:36" ht="99.9" customHeight="1" x14ac:dyDescent="0.45">
      <c r="A83" s="353">
        <v>69</v>
      </c>
      <c r="B83" s="309" t="s">
        <v>147</v>
      </c>
      <c r="C83" s="354" t="s">
        <v>49</v>
      </c>
      <c r="D83" s="353" t="s">
        <v>78</v>
      </c>
      <c r="E83" s="353" t="s">
        <v>79</v>
      </c>
      <c r="F83" s="413" t="s">
        <v>146</v>
      </c>
      <c r="G83" s="414" t="s">
        <v>685</v>
      </c>
      <c r="H83" s="415">
        <v>200</v>
      </c>
      <c r="I83" s="415">
        <v>1</v>
      </c>
      <c r="J83" s="416">
        <v>32</v>
      </c>
      <c r="K83" s="416">
        <f>IF(F83&lt;&gt;"",H83*I83*J83,"")</f>
        <v>6400</v>
      </c>
      <c r="L83" s="416">
        <f>IF(K83&lt;&gt;"",IF(D83="INTERNO",0,K83*$L$14),"")</f>
        <v>512</v>
      </c>
      <c r="M83" s="416">
        <f>IF(K83&lt;&gt;"",IF(E83="FAT.OGGI",SUM(K83:L83)*(1/(1-$M$14)-1),L83*(1/(1-$M$14)-1)),"")</f>
        <v>124.26196097924696</v>
      </c>
      <c r="N83" s="417">
        <f>SUM(K83:M83)</f>
        <v>7036.2619609792473</v>
      </c>
      <c r="O83" s="389" t="b">
        <v>0</v>
      </c>
      <c r="P83" s="385"/>
      <c r="Q83" s="471">
        <f t="shared" si="93"/>
        <v>200</v>
      </c>
      <c r="R83" s="326">
        <v>0</v>
      </c>
      <c r="S83" s="327">
        <v>32</v>
      </c>
      <c r="T83" s="327">
        <f>IF(Q83&lt;&gt;"",Q83*R83*S83,"")</f>
        <v>0</v>
      </c>
      <c r="U83" s="328">
        <f>IF(Q83&lt;&gt;"",K83-T83,"")</f>
        <v>6400</v>
      </c>
      <c r="V83" s="329">
        <f>IF(Q83&lt;&gt;"",0%,"")</f>
        <v>0</v>
      </c>
      <c r="W83" s="330">
        <f>IF(Q83&lt;&gt;"",V83*U83,"")</f>
        <v>0</v>
      </c>
      <c r="X83" s="330">
        <f>IF(Q83&lt;&gt;"",W83+T83,"")</f>
        <v>0</v>
      </c>
      <c r="Y83" s="331">
        <f t="shared" si="94"/>
        <v>124.26196097924696</v>
      </c>
      <c r="Z83" s="470">
        <f>IF(Q83&lt;&gt;"",U83/K83,"")</f>
        <v>1</v>
      </c>
      <c r="AA83" s="284"/>
      <c r="AC83" s="334">
        <f t="shared" si="97"/>
        <v>0</v>
      </c>
      <c r="AD83" s="335">
        <v>0</v>
      </c>
    </row>
    <row r="84" spans="1:36" ht="99.9" customHeight="1" x14ac:dyDescent="0.45">
      <c r="A84" s="288">
        <v>70</v>
      </c>
      <c r="B84" s="309" t="s">
        <v>149</v>
      </c>
      <c r="C84" s="310" t="s">
        <v>49</v>
      </c>
      <c r="D84" s="288" t="s">
        <v>78</v>
      </c>
      <c r="E84" s="288" t="s">
        <v>79</v>
      </c>
      <c r="F84" s="338" t="s">
        <v>148</v>
      </c>
      <c r="G84" s="339" t="s">
        <v>686</v>
      </c>
      <c r="H84" s="340">
        <v>180</v>
      </c>
      <c r="I84" s="340">
        <v>1</v>
      </c>
      <c r="J84" s="341">
        <v>90</v>
      </c>
      <c r="K84" s="341">
        <f>IF(F84&lt;&gt;"",H84*I84*J84,"")</f>
        <v>16200</v>
      </c>
      <c r="L84" s="341">
        <f>IF(K84&lt;&gt;"",IF(D84="INTERNO",0,K84*$L$14),"")</f>
        <v>1296</v>
      </c>
      <c r="M84" s="341">
        <f>IF(K84&lt;&gt;"",IF(E84="FAT.OGGI",SUM(K84:L84)*(1/(1-$M$14)-1),L84*(1/(1-$M$14)-1)),"")</f>
        <v>314.53808872871889</v>
      </c>
      <c r="N84" s="342">
        <f>SUM(K84:M84)</f>
        <v>17810.538088728717</v>
      </c>
      <c r="O84" s="389" t="b">
        <v>0</v>
      </c>
      <c r="P84" s="385"/>
      <c r="Q84" s="369">
        <f t="shared" si="93"/>
        <v>180</v>
      </c>
      <c r="R84" s="343">
        <f t="shared" si="93"/>
        <v>1</v>
      </c>
      <c r="S84" s="344">
        <v>90</v>
      </c>
      <c r="T84" s="344">
        <v>4010</v>
      </c>
      <c r="U84" s="345">
        <f>IF(Q84&lt;&gt;"",K84-T84,"")</f>
        <v>12190</v>
      </c>
      <c r="V84" s="346">
        <f>IF(Q84&lt;&gt;"",0%,"")</f>
        <v>0</v>
      </c>
      <c r="W84" s="347">
        <f>IF(Q84&lt;&gt;"",V84*U84,"")</f>
        <v>0</v>
      </c>
      <c r="X84" s="347">
        <f>IF(Q84&lt;&gt;"",W84+T84,"")</f>
        <v>4010</v>
      </c>
      <c r="Y84" s="348">
        <f t="shared" si="94"/>
        <v>4324.5380887287192</v>
      </c>
      <c r="Z84" s="470">
        <f>IF(Q84&lt;&gt;"",U84/K84,"")</f>
        <v>0.7524691358024691</v>
      </c>
      <c r="AA84" s="284"/>
      <c r="AC84" s="334">
        <f t="shared" si="97"/>
        <v>0</v>
      </c>
      <c r="AD84" s="335">
        <f>4010</f>
        <v>4010</v>
      </c>
      <c r="AE84" s="624" t="s">
        <v>756</v>
      </c>
    </row>
    <row r="85" spans="1:36" ht="99.9" customHeight="1" x14ac:dyDescent="0.45">
      <c r="A85" s="336">
        <v>71</v>
      </c>
      <c r="B85" s="309" t="s">
        <v>325</v>
      </c>
      <c r="C85" s="337" t="s">
        <v>49</v>
      </c>
      <c r="D85" s="288" t="s">
        <v>78</v>
      </c>
      <c r="E85" s="288" t="s">
        <v>79</v>
      </c>
      <c r="F85" s="338" t="s">
        <v>150</v>
      </c>
      <c r="G85" s="339" t="s">
        <v>687</v>
      </c>
      <c r="H85" s="340">
        <v>1</v>
      </c>
      <c r="I85" s="340">
        <v>1</v>
      </c>
      <c r="J85" s="341">
        <v>19500</v>
      </c>
      <c r="K85" s="341">
        <f>IF(F85&lt;&gt;"",H85*I85*J85,"")</f>
        <v>19500</v>
      </c>
      <c r="L85" s="341">
        <f>IF(K85&lt;&gt;"",IF(D85="INTERNO",0,K85*$L$14),"")</f>
        <v>1560</v>
      </c>
      <c r="M85" s="341">
        <f>IF(K85&lt;&gt;"",IF(E85="FAT.OGGI",SUM(K85:L85)*(1/(1-$M$14)-1),L85*(1/(1-$M$14)-1)),"")</f>
        <v>378.61066235864308</v>
      </c>
      <c r="N85" s="342">
        <f>SUM(K85:M85)</f>
        <v>21438.610662358642</v>
      </c>
      <c r="O85" s="389" t="b">
        <v>0</v>
      </c>
      <c r="P85" s="385"/>
      <c r="Q85" s="369">
        <f t="shared" si="93"/>
        <v>1</v>
      </c>
      <c r="R85" s="343">
        <f t="shared" si="93"/>
        <v>1</v>
      </c>
      <c r="S85" s="344">
        <v>12000</v>
      </c>
      <c r="T85" s="344">
        <v>0</v>
      </c>
      <c r="U85" s="345">
        <f>IF(Q85&lt;&gt;"",K85-T85,"")</f>
        <v>19500</v>
      </c>
      <c r="V85" s="346">
        <f>IF(Q85&lt;&gt;"",0%,"")</f>
        <v>0</v>
      </c>
      <c r="W85" s="347">
        <f>IF(Q85&lt;&gt;"",V85*U85,"")</f>
        <v>0</v>
      </c>
      <c r="X85" s="347">
        <f>IF(Q85&lt;&gt;"",W85+T85,"")</f>
        <v>0</v>
      </c>
      <c r="Y85" s="348">
        <f t="shared" si="94"/>
        <v>378.61066235864308</v>
      </c>
      <c r="Z85" s="470">
        <f>IF(Q85&lt;&gt;"",U85/K85,"")</f>
        <v>1</v>
      </c>
      <c r="AA85" s="284"/>
      <c r="AC85" s="334">
        <f t="shared" si="97"/>
        <v>0</v>
      </c>
      <c r="AD85" s="335">
        <v>0</v>
      </c>
    </row>
    <row r="86" spans="1:36" ht="39.9" customHeight="1" thickBot="1" x14ac:dyDescent="0.5">
      <c r="A86" s="288">
        <v>72</v>
      </c>
      <c r="B86" s="309"/>
      <c r="C86" s="310" t="s">
        <v>72</v>
      </c>
      <c r="D86" s="288"/>
      <c r="E86" s="288"/>
      <c r="F86" s="720" t="s">
        <v>151</v>
      </c>
      <c r="G86" s="721"/>
      <c r="H86" s="721"/>
      <c r="I86" s="721"/>
      <c r="J86" s="721"/>
      <c r="K86" s="355">
        <f>SUM(K81:K85)</f>
        <v>129120</v>
      </c>
      <c r="L86" s="355">
        <f>SUM(L81:L85)</f>
        <v>10329.6</v>
      </c>
      <c r="M86" s="355">
        <f>SUM(M81:M85)</f>
        <v>2506.9850627563073</v>
      </c>
      <c r="N86" s="356">
        <f>SUM(N81:N85)</f>
        <v>141956.58506275632</v>
      </c>
      <c r="O86" s="357"/>
      <c r="P86" s="385"/>
      <c r="Q86" s="711" t="s">
        <v>151</v>
      </c>
      <c r="R86" s="711"/>
      <c r="S86" s="711"/>
      <c r="T86" s="472">
        <f>SUM(T81:T85)</f>
        <v>91723</v>
      </c>
      <c r="U86" s="460">
        <f>SUM(U81:U85)</f>
        <v>37397</v>
      </c>
      <c r="V86" s="473"/>
      <c r="W86" s="474"/>
      <c r="X86" s="462">
        <f>SUM(X81:X85)</f>
        <v>91723</v>
      </c>
      <c r="Y86" s="463">
        <f t="shared" si="94"/>
        <v>94229.985062756314</v>
      </c>
      <c r="Z86" s="470"/>
      <c r="AA86" s="333"/>
      <c r="AB86" s="364"/>
      <c r="AC86" s="334"/>
      <c r="AD86" s="335"/>
    </row>
    <row r="87" spans="1:36" ht="39.9" customHeight="1" thickBot="1" x14ac:dyDescent="0.5">
      <c r="A87" s="288">
        <v>73</v>
      </c>
      <c r="B87" s="309">
        <v>8</v>
      </c>
      <c r="C87" s="310" t="s">
        <v>40</v>
      </c>
      <c r="D87" s="288"/>
      <c r="E87" s="288"/>
      <c r="F87" s="701" t="s">
        <v>152</v>
      </c>
      <c r="G87" s="702"/>
      <c r="H87" s="702"/>
      <c r="I87" s="702"/>
      <c r="J87" s="702"/>
      <c r="K87" s="702"/>
      <c r="L87" s="702"/>
      <c r="M87" s="702"/>
      <c r="N87" s="703"/>
      <c r="O87" s="357"/>
      <c r="P87" s="385"/>
      <c r="Q87" s="704" t="str">
        <f>IF(F87&lt;&gt;"",F87,"")</f>
        <v>ARTISTICO</v>
      </c>
      <c r="R87" s="704"/>
      <c r="S87" s="704"/>
      <c r="T87" s="704"/>
      <c r="U87" s="704"/>
      <c r="V87" s="704"/>
      <c r="W87" s="704"/>
      <c r="X87" s="704"/>
      <c r="Y87" s="705"/>
      <c r="Z87" s="470"/>
      <c r="AA87" s="333"/>
      <c r="AB87" s="364"/>
      <c r="AC87" s="334"/>
      <c r="AD87" s="335"/>
    </row>
    <row r="88" spans="1:36" ht="39.9" customHeight="1" x14ac:dyDescent="0.45">
      <c r="A88" s="288">
        <v>74</v>
      </c>
      <c r="B88" s="309" t="s">
        <v>153</v>
      </c>
      <c r="C88" s="310" t="s">
        <v>43</v>
      </c>
      <c r="D88" s="288"/>
      <c r="E88" s="288"/>
      <c r="F88" s="693" t="s">
        <v>152</v>
      </c>
      <c r="G88" s="694"/>
      <c r="H88" s="694"/>
      <c r="I88" s="694"/>
      <c r="J88" s="694"/>
      <c r="K88" s="695"/>
      <c r="L88" s="399" t="s">
        <v>45</v>
      </c>
      <c r="M88" s="400" t="s">
        <v>46</v>
      </c>
      <c r="N88" s="401" t="s">
        <v>28</v>
      </c>
      <c r="O88" s="357"/>
      <c r="P88" s="385"/>
      <c r="Q88" s="696" t="str">
        <f>IF(F88&lt;&gt;"",F88,"")</f>
        <v>ARTISTICO</v>
      </c>
      <c r="R88" s="696"/>
      <c r="S88" s="696"/>
      <c r="T88" s="696"/>
      <c r="U88" s="696"/>
      <c r="V88" s="696"/>
      <c r="W88" s="696"/>
      <c r="X88" s="696"/>
      <c r="Y88" s="697"/>
      <c r="Z88" s="475" t="s">
        <v>47</v>
      </c>
      <c r="AA88" s="403" t="s">
        <v>39</v>
      </c>
      <c r="AB88" s="364"/>
      <c r="AC88" s="334"/>
      <c r="AD88" s="335"/>
    </row>
    <row r="89" spans="1:36" ht="99.9" customHeight="1" x14ac:dyDescent="0.45">
      <c r="A89" s="288">
        <v>75</v>
      </c>
      <c r="B89" s="309" t="s">
        <v>154</v>
      </c>
      <c r="C89" s="310" t="s">
        <v>49</v>
      </c>
      <c r="D89" s="288" t="s">
        <v>78</v>
      </c>
      <c r="E89" s="288" t="s">
        <v>79</v>
      </c>
      <c r="F89" s="379" t="s">
        <v>155</v>
      </c>
      <c r="G89" s="437" t="s">
        <v>326</v>
      </c>
      <c r="H89" s="435">
        <v>1</v>
      </c>
      <c r="I89" s="435">
        <v>1</v>
      </c>
      <c r="J89" s="383">
        <v>50000</v>
      </c>
      <c r="K89" s="383">
        <f t="shared" ref="K89:K93" si="98">IF(F89&lt;&gt;"",H89*I89*J89,"")</f>
        <v>50000</v>
      </c>
      <c r="L89" s="383">
        <f t="shared" ref="L89:L93" si="99">IF(K89&lt;&gt;"",IF(D89="INTERNO",0,K89*$L$14),"")</f>
        <v>4000</v>
      </c>
      <c r="M89" s="383">
        <f t="shared" ref="M89:M93" si="100">IF(K89&lt;&gt;"",IF(E89="FAT.OGGI",SUM(K89:L89)*(1/(1-$M$14)-1),L89*(1/(1-$M$14)-1)),"")</f>
        <v>970.79657015036696</v>
      </c>
      <c r="N89" s="384">
        <f t="shared" ref="N89:N93" si="101">SUM(K89:M89)</f>
        <v>54970.796570150364</v>
      </c>
      <c r="O89" s="324" t="b">
        <v>1</v>
      </c>
      <c r="P89" s="385"/>
      <c r="Q89" s="371">
        <f t="shared" ref="Q89:R92" si="102">IF(H89&lt;&gt;"",H89,"")</f>
        <v>1</v>
      </c>
      <c r="R89" s="372">
        <f t="shared" si="102"/>
        <v>1</v>
      </c>
      <c r="S89" s="374">
        <v>50000</v>
      </c>
      <c r="T89" s="374">
        <f t="shared" ref="T89:T92" si="103">IF(Q89&lt;&gt;"",Q89*R89*S89,"")</f>
        <v>50000</v>
      </c>
      <c r="U89" s="375">
        <f t="shared" ref="U89:U93" si="104">IF(Q89&lt;&gt;"",K89-T89,"")</f>
        <v>0</v>
      </c>
      <c r="V89" s="376">
        <f t="shared" ref="V89:V93" si="105">IF(Q89&lt;&gt;"",0%,"")</f>
        <v>0</v>
      </c>
      <c r="W89" s="377">
        <f t="shared" ref="W89:W93" si="106">IF(Q89&lt;&gt;"",V89*U89,"")</f>
        <v>0</v>
      </c>
      <c r="X89" s="377">
        <f>IF(Q89&lt;&gt;"",W89+T89,"")</f>
        <v>50000</v>
      </c>
      <c r="Y89" s="378">
        <f t="shared" ref="Y89:Y94" si="107">IF(Q89&lt;&gt;"",X89+M89,"")</f>
        <v>50970.796570150364</v>
      </c>
      <c r="Z89" s="458">
        <f>IF(Q89&lt;&gt;"",U89/K89,"")</f>
        <v>0</v>
      </c>
      <c r="AA89" s="333">
        <f>T89/$T$94</f>
        <v>0.84033613445378152</v>
      </c>
      <c r="AB89" s="364"/>
      <c r="AC89" s="334">
        <f t="shared" si="97"/>
        <v>0</v>
      </c>
      <c r="AD89" s="335">
        <f>10000+40000</f>
        <v>50000</v>
      </c>
      <c r="AE89" s="624" t="s">
        <v>717</v>
      </c>
    </row>
    <row r="90" spans="1:36" ht="99.9" customHeight="1" x14ac:dyDescent="0.45">
      <c r="A90" s="288">
        <v>76</v>
      </c>
      <c r="B90" s="309" t="s">
        <v>156</v>
      </c>
      <c r="C90" s="310" t="s">
        <v>49</v>
      </c>
      <c r="D90" s="288" t="s">
        <v>78</v>
      </c>
      <c r="E90" s="288" t="s">
        <v>79</v>
      </c>
      <c r="F90" s="338" t="s">
        <v>327</v>
      </c>
      <c r="G90" s="339" t="s">
        <v>328</v>
      </c>
      <c r="H90" s="340">
        <v>1</v>
      </c>
      <c r="I90" s="340">
        <v>1</v>
      </c>
      <c r="J90" s="341">
        <v>2500</v>
      </c>
      <c r="K90" s="341">
        <f t="shared" si="98"/>
        <v>2500</v>
      </c>
      <c r="L90" s="341">
        <f t="shared" si="99"/>
        <v>200</v>
      </c>
      <c r="M90" s="341">
        <f t="shared" si="100"/>
        <v>48.539828507518344</v>
      </c>
      <c r="N90" s="342">
        <f t="shared" si="101"/>
        <v>2748.5398285075185</v>
      </c>
      <c r="O90" s="389" t="b">
        <v>1</v>
      </c>
      <c r="P90" s="385"/>
      <c r="Q90" s="371">
        <f t="shared" ref="Q90:R90" si="108">IF(H90&lt;&gt;"",H90,"")</f>
        <v>1</v>
      </c>
      <c r="R90" s="372">
        <f t="shared" si="108"/>
        <v>1</v>
      </c>
      <c r="S90" s="374">
        <v>2500</v>
      </c>
      <c r="T90" s="374">
        <v>0</v>
      </c>
      <c r="U90" s="375">
        <f t="shared" si="104"/>
        <v>2500</v>
      </c>
      <c r="V90" s="376">
        <f t="shared" si="105"/>
        <v>0</v>
      </c>
      <c r="W90" s="377">
        <f t="shared" si="106"/>
        <v>0</v>
      </c>
      <c r="X90" s="377">
        <f>IF(Q90&lt;&gt;"",W90+T90,"")</f>
        <v>0</v>
      </c>
      <c r="Y90" s="378">
        <f t="shared" si="107"/>
        <v>48.539828507518344</v>
      </c>
      <c r="Z90" s="458">
        <f>IF(Q90&lt;&gt;"",U90/K90,"")</f>
        <v>1</v>
      </c>
      <c r="AA90" s="333"/>
      <c r="AB90" s="364"/>
      <c r="AC90" s="334">
        <f t="shared" si="97"/>
        <v>0</v>
      </c>
      <c r="AD90" s="335">
        <v>0</v>
      </c>
    </row>
    <row r="91" spans="1:36" ht="99.9" customHeight="1" x14ac:dyDescent="0.45">
      <c r="A91" s="390">
        <v>77</v>
      </c>
      <c r="B91" s="309" t="s">
        <v>158</v>
      </c>
      <c r="C91" s="391" t="s">
        <v>49</v>
      </c>
      <c r="D91" s="353" t="s">
        <v>78</v>
      </c>
      <c r="E91" s="353" t="s">
        <v>79</v>
      </c>
      <c r="F91" s="413" t="s">
        <v>157</v>
      </c>
      <c r="G91" s="414" t="s">
        <v>329</v>
      </c>
      <c r="H91" s="415">
        <v>1</v>
      </c>
      <c r="I91" s="415">
        <v>1</v>
      </c>
      <c r="J91" s="416">
        <v>3500</v>
      </c>
      <c r="K91" s="416">
        <f t="shared" si="98"/>
        <v>3500</v>
      </c>
      <c r="L91" s="416">
        <f t="shared" si="99"/>
        <v>280</v>
      </c>
      <c r="M91" s="416">
        <f t="shared" si="100"/>
        <v>67.955759910525686</v>
      </c>
      <c r="N91" s="417">
        <f t="shared" si="101"/>
        <v>3847.9557599105256</v>
      </c>
      <c r="O91" s="324" t="b">
        <v>1</v>
      </c>
      <c r="P91" s="385"/>
      <c r="Q91" s="418">
        <f t="shared" si="102"/>
        <v>1</v>
      </c>
      <c r="R91" s="419">
        <f t="shared" si="102"/>
        <v>1</v>
      </c>
      <c r="S91" s="420">
        <v>3500</v>
      </c>
      <c r="T91" s="420">
        <f t="shared" si="103"/>
        <v>3500</v>
      </c>
      <c r="U91" s="421">
        <f t="shared" si="104"/>
        <v>0</v>
      </c>
      <c r="V91" s="422">
        <f t="shared" si="105"/>
        <v>0</v>
      </c>
      <c r="W91" s="423">
        <f t="shared" si="106"/>
        <v>0</v>
      </c>
      <c r="X91" s="423">
        <f>IF(Q91&lt;&gt;"",W91+T91,"")</f>
        <v>3500</v>
      </c>
      <c r="Y91" s="331">
        <f t="shared" si="107"/>
        <v>3567.9557599105256</v>
      </c>
      <c r="Z91" s="458">
        <f>IF(Q91&lt;&gt;"",U91/K91,"")</f>
        <v>0</v>
      </c>
      <c r="AA91" s="333">
        <f>T91/$T$94</f>
        <v>5.8823529411764705E-2</v>
      </c>
      <c r="AB91" s="364"/>
      <c r="AC91" s="334">
        <f t="shared" si="97"/>
        <v>0</v>
      </c>
      <c r="AD91" s="335">
        <v>3500</v>
      </c>
      <c r="AE91" s="625" t="s">
        <v>743</v>
      </c>
      <c r="AF91" s="349" t="e">
        <f>T91-AE91</f>
        <v>#VALUE!</v>
      </c>
      <c r="AG91" s="350">
        <v>46066</v>
      </c>
      <c r="AI91" s="351" t="s">
        <v>81</v>
      </c>
      <c r="AJ91" s="352" t="s">
        <v>81</v>
      </c>
    </row>
    <row r="92" spans="1:36" ht="99.9" customHeight="1" x14ac:dyDescent="0.45">
      <c r="A92" s="353">
        <v>78</v>
      </c>
      <c r="B92" s="309" t="s">
        <v>330</v>
      </c>
      <c r="C92" s="354" t="s">
        <v>49</v>
      </c>
      <c r="D92" s="288" t="s">
        <v>78</v>
      </c>
      <c r="E92" s="288" t="s">
        <v>79</v>
      </c>
      <c r="F92" s="424" t="s">
        <v>159</v>
      </c>
      <c r="G92" s="436" t="s">
        <v>331</v>
      </c>
      <c r="H92" s="425">
        <v>1</v>
      </c>
      <c r="I92" s="425">
        <v>1</v>
      </c>
      <c r="J92" s="426">
        <v>6000</v>
      </c>
      <c r="K92" s="426">
        <f t="shared" si="98"/>
        <v>6000</v>
      </c>
      <c r="L92" s="426">
        <f t="shared" si="99"/>
        <v>480</v>
      </c>
      <c r="M92" s="426">
        <f t="shared" si="100"/>
        <v>116.49558841804404</v>
      </c>
      <c r="N92" s="427">
        <f t="shared" si="101"/>
        <v>6596.4955884180445</v>
      </c>
      <c r="O92" s="389" t="b">
        <v>1</v>
      </c>
      <c r="P92" s="385"/>
      <c r="Q92" s="428">
        <f t="shared" si="102"/>
        <v>1</v>
      </c>
      <c r="R92" s="429">
        <f t="shared" si="102"/>
        <v>1</v>
      </c>
      <c r="S92" s="430">
        <v>6000</v>
      </c>
      <c r="T92" s="430">
        <f t="shared" si="103"/>
        <v>6000</v>
      </c>
      <c r="U92" s="431">
        <f t="shared" si="104"/>
        <v>0</v>
      </c>
      <c r="V92" s="432">
        <f t="shared" si="105"/>
        <v>0</v>
      </c>
      <c r="W92" s="433">
        <f t="shared" si="106"/>
        <v>0</v>
      </c>
      <c r="X92" s="433">
        <f>IF(Q92&lt;&gt;"",W92+T92,"")</f>
        <v>6000</v>
      </c>
      <c r="Y92" s="434">
        <f t="shared" si="107"/>
        <v>6116.4955884180445</v>
      </c>
      <c r="Z92" s="458">
        <f>IF(Q92&lt;&gt;"",U92/K92,"")</f>
        <v>0</v>
      </c>
      <c r="AA92" s="333">
        <f>T92/$T$94</f>
        <v>0.10084033613445378</v>
      </c>
      <c r="AB92" s="364"/>
      <c r="AC92" s="334">
        <f t="shared" si="97"/>
        <v>0</v>
      </c>
      <c r="AD92" s="335">
        <v>6000</v>
      </c>
      <c r="AE92" s="624" t="s">
        <v>721</v>
      </c>
    </row>
    <row r="93" spans="1:36" ht="99.9" customHeight="1" x14ac:dyDescent="0.45">
      <c r="A93" s="288">
        <v>79</v>
      </c>
      <c r="B93" s="309" t="s">
        <v>332</v>
      </c>
      <c r="C93" s="310" t="s">
        <v>49</v>
      </c>
      <c r="D93" s="288" t="s">
        <v>78</v>
      </c>
      <c r="E93" s="288" t="s">
        <v>79</v>
      </c>
      <c r="F93" s="379" t="s">
        <v>333</v>
      </c>
      <c r="G93" s="437" t="s">
        <v>334</v>
      </c>
      <c r="H93" s="435">
        <v>1</v>
      </c>
      <c r="I93" s="435">
        <v>1</v>
      </c>
      <c r="J93" s="383">
        <v>8702</v>
      </c>
      <c r="K93" s="383">
        <f t="shared" si="98"/>
        <v>8702</v>
      </c>
      <c r="L93" s="383">
        <f t="shared" si="99"/>
        <v>696.16</v>
      </c>
      <c r="M93" s="383">
        <f t="shared" si="100"/>
        <v>168.95743506896986</v>
      </c>
      <c r="N93" s="384">
        <f t="shared" si="101"/>
        <v>9567.1174350689689</v>
      </c>
      <c r="O93" s="389" t="b">
        <v>1</v>
      </c>
      <c r="P93" s="385"/>
      <c r="Q93" s="371">
        <f t="shared" ref="Q93:R93" si="109">IF(H93&lt;&gt;"",H93,"")</f>
        <v>1</v>
      </c>
      <c r="R93" s="372">
        <f t="shared" si="109"/>
        <v>1</v>
      </c>
      <c r="S93" s="374">
        <v>3500</v>
      </c>
      <c r="T93" s="374">
        <v>0</v>
      </c>
      <c r="U93" s="375">
        <f t="shared" si="104"/>
        <v>8702</v>
      </c>
      <c r="V93" s="376">
        <f t="shared" si="105"/>
        <v>0</v>
      </c>
      <c r="W93" s="377">
        <f t="shared" si="106"/>
        <v>0</v>
      </c>
      <c r="X93" s="377">
        <f>IF(Q93&lt;&gt;"",W93+T93,"")</f>
        <v>0</v>
      </c>
      <c r="Y93" s="378">
        <f t="shared" si="107"/>
        <v>168.95743506896986</v>
      </c>
      <c r="Z93" s="458">
        <f>IF(Q93&lt;&gt;"",U93/K93,"")</f>
        <v>1</v>
      </c>
      <c r="AA93" s="333"/>
      <c r="AB93" s="364"/>
      <c r="AC93" s="334">
        <f t="shared" si="97"/>
        <v>0</v>
      </c>
      <c r="AD93" s="335">
        <v>0</v>
      </c>
    </row>
    <row r="94" spans="1:36" ht="39.9" customHeight="1" thickBot="1" x14ac:dyDescent="0.5">
      <c r="A94" s="353">
        <v>80</v>
      </c>
      <c r="B94" s="309"/>
      <c r="C94" s="354" t="s">
        <v>72</v>
      </c>
      <c r="D94" s="353"/>
      <c r="E94" s="353"/>
      <c r="F94" s="698" t="s">
        <v>160</v>
      </c>
      <c r="G94" s="699"/>
      <c r="H94" s="699"/>
      <c r="I94" s="699"/>
      <c r="J94" s="699"/>
      <c r="K94" s="355">
        <f>SUM(K89:K93)</f>
        <v>70702</v>
      </c>
      <c r="L94" s="355">
        <f>SUM(L89:L93)</f>
        <v>5656.16</v>
      </c>
      <c r="M94" s="355">
        <f>SUM(M89:M93)</f>
        <v>1372.7451820554247</v>
      </c>
      <c r="N94" s="356">
        <f>SUM(N89:N93)</f>
        <v>77730.905182055416</v>
      </c>
      <c r="O94" s="357"/>
      <c r="P94" s="385"/>
      <c r="Q94" s="700" t="s">
        <v>160</v>
      </c>
      <c r="R94" s="700"/>
      <c r="S94" s="700"/>
      <c r="T94" s="459">
        <f>SUM(T89:T93)</f>
        <v>59500</v>
      </c>
      <c r="U94" s="460">
        <f>SUM(U89:U93)</f>
        <v>11202</v>
      </c>
      <c r="V94" s="473"/>
      <c r="W94" s="474"/>
      <c r="X94" s="462">
        <f>SUM(X89:X93)</f>
        <v>59500</v>
      </c>
      <c r="Y94" s="463">
        <f t="shared" si="107"/>
        <v>60872.745182055427</v>
      </c>
      <c r="Z94" s="470"/>
      <c r="AA94" s="333"/>
      <c r="AB94" s="364"/>
      <c r="AC94" s="334"/>
      <c r="AD94" s="335"/>
    </row>
    <row r="95" spans="1:36" ht="39.9" customHeight="1" thickBot="1" x14ac:dyDescent="0.5">
      <c r="A95" s="288">
        <v>81</v>
      </c>
      <c r="B95" s="309">
        <v>9</v>
      </c>
      <c r="C95" s="310" t="s">
        <v>40</v>
      </c>
      <c r="D95" s="288"/>
      <c r="E95" s="288"/>
      <c r="F95" s="701" t="s">
        <v>161</v>
      </c>
      <c r="G95" s="702"/>
      <c r="H95" s="702"/>
      <c r="I95" s="702"/>
      <c r="J95" s="702"/>
      <c r="K95" s="702"/>
      <c r="L95" s="702"/>
      <c r="M95" s="702"/>
      <c r="N95" s="703"/>
      <c r="O95" s="357"/>
      <c r="P95" s="385"/>
      <c r="Q95" s="704" t="str">
        <f>IF(F95&lt;&gt;"",F95,"")</f>
        <v>BRINDES</v>
      </c>
      <c r="R95" s="704"/>
      <c r="S95" s="704"/>
      <c r="T95" s="704"/>
      <c r="U95" s="704"/>
      <c r="V95" s="704"/>
      <c r="W95" s="704"/>
      <c r="X95" s="704"/>
      <c r="Y95" s="705"/>
      <c r="Z95" s="470"/>
      <c r="AA95" s="333"/>
      <c r="AB95" s="364"/>
      <c r="AC95" s="334"/>
      <c r="AD95" s="335"/>
    </row>
    <row r="96" spans="1:36" ht="39.9" customHeight="1" x14ac:dyDescent="0.45">
      <c r="A96" s="288">
        <v>82</v>
      </c>
      <c r="B96" s="309" t="s">
        <v>162</v>
      </c>
      <c r="C96" s="310" t="s">
        <v>43</v>
      </c>
      <c r="D96" s="288"/>
      <c r="E96" s="288"/>
      <c r="F96" s="693" t="s">
        <v>161</v>
      </c>
      <c r="G96" s="694"/>
      <c r="H96" s="694"/>
      <c r="I96" s="694"/>
      <c r="J96" s="694"/>
      <c r="K96" s="695"/>
      <c r="L96" s="399" t="s">
        <v>45</v>
      </c>
      <c r="M96" s="400" t="s">
        <v>46</v>
      </c>
      <c r="N96" s="401" t="s">
        <v>28</v>
      </c>
      <c r="O96" s="357"/>
      <c r="P96" s="385"/>
      <c r="Q96" s="696" t="str">
        <f>IF(F96&lt;&gt;"",F96,"")</f>
        <v>BRINDES</v>
      </c>
      <c r="R96" s="696"/>
      <c r="S96" s="696"/>
      <c r="T96" s="696"/>
      <c r="U96" s="696"/>
      <c r="V96" s="696"/>
      <c r="W96" s="696"/>
      <c r="X96" s="696"/>
      <c r="Y96" s="697"/>
      <c r="Z96" s="475" t="s">
        <v>47</v>
      </c>
      <c r="AA96" s="403" t="s">
        <v>39</v>
      </c>
      <c r="AB96" s="364"/>
      <c r="AC96" s="334"/>
      <c r="AD96" s="335"/>
    </row>
    <row r="97" spans="1:36" ht="99.9" customHeight="1" x14ac:dyDescent="0.45">
      <c r="A97" s="288">
        <v>83</v>
      </c>
      <c r="B97" s="309" t="s">
        <v>163</v>
      </c>
      <c r="C97" s="310" t="s">
        <v>49</v>
      </c>
      <c r="D97" s="288" t="s">
        <v>78</v>
      </c>
      <c r="E97" s="288" t="s">
        <v>79</v>
      </c>
      <c r="F97" s="338" t="s">
        <v>164</v>
      </c>
      <c r="G97" s="339" t="s">
        <v>335</v>
      </c>
      <c r="H97" s="340">
        <v>250</v>
      </c>
      <c r="I97" s="340">
        <v>1</v>
      </c>
      <c r="J97" s="341">
        <v>88</v>
      </c>
      <c r="K97" s="341">
        <f>IF(F97&lt;&gt;"",H97*I97*J97,"")</f>
        <v>22000</v>
      </c>
      <c r="L97" s="341">
        <f>IF(K97&lt;&gt;"",IF(D97="INTERNO",0,K97*$L$14),"")</f>
        <v>1760</v>
      </c>
      <c r="M97" s="341">
        <f>IF(K97&lt;&gt;"",IF(E97="FAT.OGGI",SUM(K97:L97)*(1/(1-$M$14)-1),L97*(1/(1-$M$14)-1)),"")</f>
        <v>427.15049086616142</v>
      </c>
      <c r="N97" s="342">
        <f>SUM(K97:M97)</f>
        <v>24187.150490866163</v>
      </c>
      <c r="O97" s="389" t="b">
        <v>1</v>
      </c>
      <c r="P97" s="385"/>
      <c r="Q97" s="406">
        <f>IF(H97&lt;&gt;"",H97,"")</f>
        <v>250</v>
      </c>
      <c r="R97" s="407">
        <f>IF(I97&lt;&gt;"",I97,"")</f>
        <v>1</v>
      </c>
      <c r="S97" s="408">
        <v>50</v>
      </c>
      <c r="T97" s="408">
        <v>6520</v>
      </c>
      <c r="U97" s="409">
        <f>IF(Q97&lt;&gt;"",K97-T97,"")</f>
        <v>15480</v>
      </c>
      <c r="V97" s="410">
        <f>IF(Q97&lt;&gt;"",0%,"")</f>
        <v>0</v>
      </c>
      <c r="W97" s="411">
        <f>IF(Q97&lt;&gt;"",V97*U97,"")</f>
        <v>0</v>
      </c>
      <c r="X97" s="411">
        <f>IF(Q97&lt;&gt;"",W97+T97,"")</f>
        <v>6520</v>
      </c>
      <c r="Y97" s="348">
        <f>IF(Q97&lt;&gt;"",X97+M97,"")</f>
        <v>6947.1504908661618</v>
      </c>
      <c r="Z97" s="470">
        <f>IF(Q97&lt;&gt;"",U97/K97,"")</f>
        <v>0.70363636363636362</v>
      </c>
      <c r="AA97" s="333">
        <f>T97/$T$98</f>
        <v>1</v>
      </c>
      <c r="AB97" s="364"/>
      <c r="AC97" s="334">
        <f t="shared" si="97"/>
        <v>0</v>
      </c>
      <c r="AD97" s="335">
        <f>3260+3260</f>
        <v>6520</v>
      </c>
      <c r="AE97" s="625" t="s">
        <v>747</v>
      </c>
      <c r="AF97" s="349" t="e">
        <f>T97-AE97</f>
        <v>#VALUE!</v>
      </c>
      <c r="AG97" s="350">
        <v>46097</v>
      </c>
      <c r="AI97" s="351" t="s">
        <v>165</v>
      </c>
      <c r="AJ97" s="352" t="s">
        <v>166</v>
      </c>
    </row>
    <row r="98" spans="1:36" ht="39.9" customHeight="1" thickBot="1" x14ac:dyDescent="0.5">
      <c r="A98" s="288">
        <v>84</v>
      </c>
      <c r="B98" s="309"/>
      <c r="C98" s="310" t="s">
        <v>72</v>
      </c>
      <c r="D98" s="288"/>
      <c r="E98" s="288"/>
      <c r="F98" s="708" t="s">
        <v>167</v>
      </c>
      <c r="G98" s="709"/>
      <c r="H98" s="709"/>
      <c r="I98" s="709"/>
      <c r="J98" s="709"/>
      <c r="K98" s="476">
        <f>SUM(K97:K97)</f>
        <v>22000</v>
      </c>
      <c r="L98" s="476">
        <f>SUM(L97:L97)</f>
        <v>1760</v>
      </c>
      <c r="M98" s="476">
        <f>SUM(M97:M97)</f>
        <v>427.15049086616142</v>
      </c>
      <c r="N98" s="477">
        <f>SUM(N97:N97)</f>
        <v>24187.150490866163</v>
      </c>
      <c r="O98" s="357"/>
      <c r="P98" s="385"/>
      <c r="Q98" s="711" t="s">
        <v>167</v>
      </c>
      <c r="R98" s="711"/>
      <c r="S98" s="711"/>
      <c r="T98" s="459">
        <f>SUM(T97:T97)</f>
        <v>6520</v>
      </c>
      <c r="U98" s="460">
        <f>SUM(U97:U97)</f>
        <v>15480</v>
      </c>
      <c r="V98" s="473"/>
      <c r="W98" s="474"/>
      <c r="X98" s="462">
        <f>SUM(X97:X97)</f>
        <v>6520</v>
      </c>
      <c r="Y98" s="463">
        <f>IF(Q98&lt;&gt;"",X98+M98,"")</f>
        <v>6947.1504908661618</v>
      </c>
      <c r="Z98" s="470"/>
      <c r="AA98" s="333"/>
      <c r="AB98" s="364"/>
      <c r="AC98" s="334"/>
      <c r="AD98" s="335"/>
    </row>
    <row r="99" spans="1:36" ht="39.9" customHeight="1" thickBot="1" x14ac:dyDescent="0.5">
      <c r="A99" s="288">
        <v>85</v>
      </c>
      <c r="B99" s="309">
        <v>10</v>
      </c>
      <c r="C99" s="310" t="s">
        <v>40</v>
      </c>
      <c r="D99" s="288"/>
      <c r="E99" s="288"/>
      <c r="F99" s="688" t="s">
        <v>168</v>
      </c>
      <c r="G99" s="689"/>
      <c r="H99" s="689"/>
      <c r="I99" s="689"/>
      <c r="J99" s="689"/>
      <c r="K99" s="689"/>
      <c r="L99" s="689"/>
      <c r="M99" s="689"/>
      <c r="N99" s="690"/>
      <c r="O99" s="357"/>
      <c r="P99" s="385"/>
      <c r="Q99" s="704" t="str">
        <f>IF(F99&lt;&gt;"",F99,"")</f>
        <v>TRADUÇÃO E LEGENDAGEM</v>
      </c>
      <c r="R99" s="704"/>
      <c r="S99" s="704"/>
      <c r="T99" s="704"/>
      <c r="U99" s="704"/>
      <c r="V99" s="704"/>
      <c r="W99" s="704"/>
      <c r="X99" s="704"/>
      <c r="Y99" s="705"/>
      <c r="Z99" s="470"/>
      <c r="AA99" s="333"/>
      <c r="AB99" s="364"/>
      <c r="AC99" s="334"/>
      <c r="AD99" s="335"/>
    </row>
    <row r="100" spans="1:36" ht="39.9" customHeight="1" x14ac:dyDescent="0.45">
      <c r="A100" s="288">
        <v>86</v>
      </c>
      <c r="B100" s="309" t="s">
        <v>169</v>
      </c>
      <c r="C100" s="310" t="s">
        <v>43</v>
      </c>
      <c r="D100" s="288"/>
      <c r="E100" s="288"/>
      <c r="F100" s="693" t="s">
        <v>168</v>
      </c>
      <c r="G100" s="694"/>
      <c r="H100" s="694"/>
      <c r="I100" s="694"/>
      <c r="J100" s="694"/>
      <c r="K100" s="695"/>
      <c r="L100" s="399" t="s">
        <v>45</v>
      </c>
      <c r="M100" s="400" t="s">
        <v>46</v>
      </c>
      <c r="N100" s="401" t="s">
        <v>28</v>
      </c>
      <c r="O100" s="357"/>
      <c r="P100" s="385"/>
      <c r="Q100" s="696" t="str">
        <f>IF(F100&lt;&gt;"",F100,"")</f>
        <v>TRADUÇÃO E LEGENDAGEM</v>
      </c>
      <c r="R100" s="696"/>
      <c r="S100" s="696"/>
      <c r="T100" s="696"/>
      <c r="U100" s="696"/>
      <c r="V100" s="696"/>
      <c r="W100" s="696"/>
      <c r="X100" s="696"/>
      <c r="Y100" s="697"/>
      <c r="Z100" s="475" t="s">
        <v>47</v>
      </c>
      <c r="AA100" s="403" t="s">
        <v>39</v>
      </c>
      <c r="AB100" s="364"/>
      <c r="AC100" s="334"/>
      <c r="AD100" s="335"/>
    </row>
    <row r="101" spans="1:36" ht="99.9" customHeight="1" x14ac:dyDescent="0.45">
      <c r="A101" s="288">
        <v>87</v>
      </c>
      <c r="B101" s="309" t="s">
        <v>170</v>
      </c>
      <c r="C101" s="310" t="s">
        <v>49</v>
      </c>
      <c r="D101" s="288" t="s">
        <v>78</v>
      </c>
      <c r="E101" s="288" t="s">
        <v>79</v>
      </c>
      <c r="F101" s="379" t="s">
        <v>171</v>
      </c>
      <c r="G101" s="437" t="s">
        <v>172</v>
      </c>
      <c r="H101" s="435">
        <v>3</v>
      </c>
      <c r="I101" s="435">
        <v>1</v>
      </c>
      <c r="J101" s="383">
        <v>4850</v>
      </c>
      <c r="K101" s="383">
        <f>IF(F101&lt;&gt;"",H101*I101*J101,"")</f>
        <v>14550</v>
      </c>
      <c r="L101" s="383">
        <f>IF(K101&lt;&gt;"",IF(D101="INTERNO",0,K101*$L$14),"")</f>
        <v>1164</v>
      </c>
      <c r="M101" s="383">
        <f>IF(K101&lt;&gt;"",IF(E101="FAT.OGGI",SUM(K101:L101)*(1/(1-$M$14)-1),L101*(1/(1-$M$14)-1)),"")</f>
        <v>282.50180191375676</v>
      </c>
      <c r="N101" s="384">
        <f>SUM(K101:M101)</f>
        <v>15996.501801913757</v>
      </c>
      <c r="O101" s="389" t="b">
        <v>1</v>
      </c>
      <c r="P101" s="385"/>
      <c r="Q101" s="478">
        <f>IF(H101&lt;&gt;"",H101,"")</f>
        <v>3</v>
      </c>
      <c r="R101" s="479">
        <f>IF(I101&lt;&gt;"",I101,"")</f>
        <v>1</v>
      </c>
      <c r="S101" s="480">
        <v>3850</v>
      </c>
      <c r="T101" s="480">
        <v>7600</v>
      </c>
      <c r="U101" s="481">
        <f>IF(Q101&lt;&gt;"",K101-T101,"")</f>
        <v>6950</v>
      </c>
      <c r="V101" s="376">
        <f>IF(Q101&lt;&gt;"",0%,"")</f>
        <v>0</v>
      </c>
      <c r="W101" s="377">
        <f>IF(Q101&lt;&gt;"",V101*U101,"")</f>
        <v>0</v>
      </c>
      <c r="X101" s="482">
        <f>IF(Q101&lt;&gt;"",W101+T101,"")</f>
        <v>7600</v>
      </c>
      <c r="Y101" s="483">
        <f>IF(Q101&lt;&gt;"",X101+M101,"")</f>
        <v>7882.5018019137569</v>
      </c>
      <c r="Z101" s="470">
        <f>IF(Q101&lt;&gt;"",U101/K101,"")</f>
        <v>0.47766323024054985</v>
      </c>
      <c r="AA101" s="333">
        <f>T101/$T$102</f>
        <v>1</v>
      </c>
      <c r="AB101" s="364"/>
      <c r="AC101" s="334">
        <f t="shared" si="97"/>
        <v>0</v>
      </c>
      <c r="AD101" s="335">
        <v>7600</v>
      </c>
      <c r="AE101" s="624" t="s">
        <v>711</v>
      </c>
    </row>
    <row r="102" spans="1:36" ht="39.9" customHeight="1" thickBot="1" x14ac:dyDescent="0.5">
      <c r="A102" s="288">
        <v>88</v>
      </c>
      <c r="B102" s="309"/>
      <c r="C102" s="310" t="s">
        <v>72</v>
      </c>
      <c r="D102" s="288"/>
      <c r="E102" s="288"/>
      <c r="F102" s="708" t="s">
        <v>173</v>
      </c>
      <c r="G102" s="709"/>
      <c r="H102" s="709"/>
      <c r="I102" s="709"/>
      <c r="J102" s="710"/>
      <c r="K102" s="484">
        <f>SUM(K101:K101)</f>
        <v>14550</v>
      </c>
      <c r="L102" s="484">
        <f>SUM(L101:L101)</f>
        <v>1164</v>
      </c>
      <c r="M102" s="484">
        <f>SUM(M101:M101)</f>
        <v>282.50180191375676</v>
      </c>
      <c r="N102" s="485">
        <f>SUM(N101:N101)</f>
        <v>15996.501801913757</v>
      </c>
      <c r="O102" s="357"/>
      <c r="P102" s="385"/>
      <c r="Q102" s="711" t="s">
        <v>173</v>
      </c>
      <c r="R102" s="711"/>
      <c r="S102" s="712"/>
      <c r="T102" s="486">
        <f>SUM(T101:T101)</f>
        <v>7600</v>
      </c>
      <c r="U102" s="487">
        <f>SUM(U101:U101)</f>
        <v>6950</v>
      </c>
      <c r="V102" s="488"/>
      <c r="W102" s="489"/>
      <c r="X102" s="490">
        <f>SUM(X101:X101)</f>
        <v>7600</v>
      </c>
      <c r="Y102" s="363">
        <f>IF(Q102&lt;&gt;"",X102+M102,"")</f>
        <v>7882.5018019137569</v>
      </c>
      <c r="Z102" s="470"/>
      <c r="AA102" s="333"/>
      <c r="AB102" s="364"/>
      <c r="AC102" s="334"/>
      <c r="AD102" s="335"/>
    </row>
    <row r="103" spans="1:36" ht="39.9" customHeight="1" thickBot="1" x14ac:dyDescent="0.5">
      <c r="A103" s="288">
        <v>89</v>
      </c>
      <c r="B103" s="309">
        <v>11</v>
      </c>
      <c r="C103" s="310" t="s">
        <v>40</v>
      </c>
      <c r="D103" s="288"/>
      <c r="E103" s="288"/>
      <c r="F103" s="688" t="s">
        <v>174</v>
      </c>
      <c r="G103" s="689"/>
      <c r="H103" s="689"/>
      <c r="I103" s="689"/>
      <c r="J103" s="689"/>
      <c r="K103" s="689"/>
      <c r="L103" s="689"/>
      <c r="M103" s="689"/>
      <c r="N103" s="690"/>
      <c r="O103" s="357"/>
      <c r="P103" s="385"/>
      <c r="Q103" s="691" t="str">
        <f>IF(F103&lt;&gt;"",F103,"")</f>
        <v>ATIVAÇÕES</v>
      </c>
      <c r="R103" s="691"/>
      <c r="S103" s="691"/>
      <c r="T103" s="691"/>
      <c r="U103" s="691"/>
      <c r="V103" s="691"/>
      <c r="W103" s="691"/>
      <c r="X103" s="691"/>
      <c r="Y103" s="692"/>
      <c r="Z103" s="470"/>
      <c r="AA103" s="333"/>
      <c r="AB103" s="364"/>
      <c r="AC103" s="334"/>
      <c r="AD103" s="335"/>
    </row>
    <row r="104" spans="1:36" ht="39.9" customHeight="1" x14ac:dyDescent="0.45">
      <c r="A104" s="288">
        <v>90</v>
      </c>
      <c r="B104" s="309" t="s">
        <v>175</v>
      </c>
      <c r="C104" s="310" t="s">
        <v>43</v>
      </c>
      <c r="D104" s="288"/>
      <c r="E104" s="288"/>
      <c r="F104" s="693" t="s">
        <v>174</v>
      </c>
      <c r="G104" s="694"/>
      <c r="H104" s="694"/>
      <c r="I104" s="694"/>
      <c r="J104" s="694"/>
      <c r="K104" s="695"/>
      <c r="L104" s="399" t="s">
        <v>45</v>
      </c>
      <c r="M104" s="400" t="s">
        <v>46</v>
      </c>
      <c r="N104" s="401" t="s">
        <v>28</v>
      </c>
      <c r="O104" s="357"/>
      <c r="P104" s="385"/>
      <c r="Q104" s="696" t="str">
        <f>IF(F104&lt;&gt;"",F104,"")</f>
        <v>ATIVAÇÕES</v>
      </c>
      <c r="R104" s="696"/>
      <c r="S104" s="696"/>
      <c r="T104" s="696"/>
      <c r="U104" s="696"/>
      <c r="V104" s="696"/>
      <c r="W104" s="696"/>
      <c r="X104" s="696"/>
      <c r="Y104" s="697"/>
      <c r="Z104" s="475" t="s">
        <v>47</v>
      </c>
      <c r="AA104" s="403" t="s">
        <v>39</v>
      </c>
      <c r="AB104" s="364"/>
      <c r="AC104" s="334"/>
      <c r="AD104" s="335"/>
    </row>
    <row r="105" spans="1:36" ht="99.9" customHeight="1" x14ac:dyDescent="0.45">
      <c r="A105" s="288">
        <v>91</v>
      </c>
      <c r="B105" s="309" t="s">
        <v>176</v>
      </c>
      <c r="C105" s="310" t="s">
        <v>49</v>
      </c>
      <c r="D105" s="288" t="s">
        <v>78</v>
      </c>
      <c r="E105" s="288" t="s">
        <v>79</v>
      </c>
      <c r="F105" s="379" t="s">
        <v>336</v>
      </c>
      <c r="G105" s="437" t="s">
        <v>337</v>
      </c>
      <c r="H105" s="435">
        <v>1</v>
      </c>
      <c r="I105" s="435">
        <v>1</v>
      </c>
      <c r="J105" s="383">
        <v>14000</v>
      </c>
      <c r="K105" s="383">
        <f t="shared" ref="K105" si="110">IF(F105&lt;&gt;"",H105*I105*J105,"")</f>
        <v>14000</v>
      </c>
      <c r="L105" s="383">
        <f t="shared" ref="L105" si="111">IF(K105&lt;&gt;"",IF(D105="INTERNO",0,K105*$L$14),"")</f>
        <v>1120</v>
      </c>
      <c r="M105" s="383">
        <f t="shared" ref="M105" si="112">IF(K105&lt;&gt;"",IF(E105="FAT.OGGI",SUM(K105:L105)*(1/(1-$M$14)-1),L105*(1/(1-$M$14)-1)),"")</f>
        <v>271.82303964210274</v>
      </c>
      <c r="N105" s="384">
        <f t="shared" ref="N105" si="113">SUM(K105:M105)</f>
        <v>15391.823039642102</v>
      </c>
      <c r="O105" s="324" t="b">
        <v>1</v>
      </c>
      <c r="P105" s="385"/>
      <c r="Q105" s="386">
        <v>1</v>
      </c>
      <c r="R105" s="387">
        <v>1</v>
      </c>
      <c r="S105" s="388">
        <v>7000</v>
      </c>
      <c r="T105" s="388">
        <f t="shared" ref="T105" si="114">IF(Q105&lt;&gt;"",Q105*R105*S105,"")</f>
        <v>7000</v>
      </c>
      <c r="U105" s="454">
        <f t="shared" ref="U105" si="115">IF(Q105&lt;&gt;"",K105-T105,"")</f>
        <v>7000</v>
      </c>
      <c r="V105" s="455">
        <f t="shared" ref="V105" si="116">IF(Q105&lt;&gt;"",0%,"")</f>
        <v>0</v>
      </c>
      <c r="W105" s="456">
        <f t="shared" ref="W105" si="117">IF(Q105&lt;&gt;"",V105*U105,"")</f>
        <v>0</v>
      </c>
      <c r="X105" s="456">
        <f>IF(Q105&lt;&gt;"",W105+T105,"")</f>
        <v>7000</v>
      </c>
      <c r="Y105" s="378">
        <f>IF(Q105&lt;&gt;"",X105+M105,"")</f>
        <v>7271.8230396421031</v>
      </c>
      <c r="Z105" s="458">
        <f>IF(Q105&lt;&gt;"",U105/K105,"")</f>
        <v>0.5</v>
      </c>
      <c r="AA105" s="333"/>
      <c r="AB105" s="364"/>
      <c r="AC105" s="334">
        <f t="shared" si="97"/>
        <v>0</v>
      </c>
      <c r="AD105" s="335">
        <v>7000</v>
      </c>
      <c r="AE105" s="625" t="s">
        <v>774</v>
      </c>
      <c r="AF105" s="349" t="e">
        <f>T105-AE105</f>
        <v>#VALUE!</v>
      </c>
      <c r="AG105" s="350">
        <v>46096</v>
      </c>
      <c r="AI105" s="351" t="s">
        <v>180</v>
      </c>
      <c r="AJ105" s="352" t="s">
        <v>181</v>
      </c>
    </row>
    <row r="106" spans="1:36" ht="99.9" customHeight="1" x14ac:dyDescent="0.45">
      <c r="A106" s="336">
        <v>92</v>
      </c>
      <c r="B106" s="309" t="s">
        <v>177</v>
      </c>
      <c r="C106" s="337" t="s">
        <v>49</v>
      </c>
      <c r="D106" s="288" t="s">
        <v>78</v>
      </c>
      <c r="E106" s="288" t="s">
        <v>79</v>
      </c>
      <c r="F106" s="338" t="s">
        <v>338</v>
      </c>
      <c r="G106" s="339" t="s">
        <v>320</v>
      </c>
      <c r="H106" s="340">
        <v>1</v>
      </c>
      <c r="I106" s="340">
        <v>1</v>
      </c>
      <c r="J106" s="341">
        <v>2100</v>
      </c>
      <c r="K106" s="341">
        <f>IF(F106&lt;&gt;"",H106*I106*J106,"")</f>
        <v>2100</v>
      </c>
      <c r="L106" s="341">
        <f>IF(K106&lt;&gt;"",IF(D106="INTERNO",0,K106*$L$14),"")</f>
        <v>168</v>
      </c>
      <c r="M106" s="341">
        <f>IF(K106&lt;&gt;"",IF(E106="FAT.OGGI",SUM(K106:L106)*(1/(1-$M$14)-1),L106*(1/(1-$M$14)-1)),"")</f>
        <v>40.773455946315408</v>
      </c>
      <c r="N106" s="342">
        <f>SUM(K106:M106)</f>
        <v>2308.7734559463156</v>
      </c>
      <c r="O106" s="389" t="b">
        <v>1</v>
      </c>
      <c r="P106" s="385"/>
      <c r="Q106" s="406">
        <f>IF(H106&lt;&gt;"",H106,"")</f>
        <v>1</v>
      </c>
      <c r="R106" s="407">
        <f>IF(I106&lt;&gt;"",I106,"")</f>
        <v>1</v>
      </c>
      <c r="S106" s="408">
        <v>1200</v>
      </c>
      <c r="T106" s="408">
        <v>0</v>
      </c>
      <c r="U106" s="409">
        <f>IF(Q106&lt;&gt;"",K106-T106,"")</f>
        <v>2100</v>
      </c>
      <c r="V106" s="410">
        <f>IF(Q106&lt;&gt;"",0%,"")</f>
        <v>0</v>
      </c>
      <c r="W106" s="411">
        <f>IF(Q106&lt;&gt;"",V106*U106,"")</f>
        <v>0</v>
      </c>
      <c r="X106" s="411">
        <f>IF(Q106&lt;&gt;"",W106+T106,"")</f>
        <v>0</v>
      </c>
      <c r="Y106" s="348">
        <f>IF(Q106&lt;&gt;"",X106+M106,"")</f>
        <v>40.773455946315408</v>
      </c>
      <c r="Z106" s="458">
        <f>IF(Q106&lt;&gt;"",U106/K106,"")</f>
        <v>1</v>
      </c>
      <c r="AA106" s="333"/>
      <c r="AB106" s="364"/>
      <c r="AC106" s="334">
        <f t="shared" si="97"/>
        <v>0</v>
      </c>
      <c r="AD106" s="335">
        <v>0</v>
      </c>
    </row>
    <row r="107" spans="1:36" ht="99.9" customHeight="1" x14ac:dyDescent="0.45">
      <c r="A107" s="336">
        <v>93</v>
      </c>
      <c r="B107" s="309" t="s">
        <v>178</v>
      </c>
      <c r="C107" s="337" t="s">
        <v>49</v>
      </c>
      <c r="D107" s="288" t="s">
        <v>78</v>
      </c>
      <c r="E107" s="288" t="s">
        <v>79</v>
      </c>
      <c r="F107" s="338" t="s">
        <v>339</v>
      </c>
      <c r="G107" s="404" t="s">
        <v>340</v>
      </c>
      <c r="H107" s="366">
        <v>1</v>
      </c>
      <c r="I107" s="366">
        <v>1</v>
      </c>
      <c r="J107" s="367">
        <v>1299.99</v>
      </c>
      <c r="K107" s="341">
        <f>IF(F107&lt;&gt;"",H107*I107*J107,"")</f>
        <v>1299.99</v>
      </c>
      <c r="L107" s="341">
        <f>IF(K107&lt;&gt;"",IF(D107="INTERNO",0,K107*$L$14),"")</f>
        <v>103.9992</v>
      </c>
      <c r="M107" s="341">
        <f>IF(K107&lt;&gt;"",IF(E107="FAT.OGGI",SUM(K107:L107)*(1/(1-$M$14)-1),L107*(1/(1-$M$14)-1)),"")</f>
        <v>25.240516664595511</v>
      </c>
      <c r="N107" s="342">
        <f>SUM(K107:M107)</f>
        <v>1429.2297166645956</v>
      </c>
      <c r="O107" s="324" t="b">
        <v>1</v>
      </c>
      <c r="P107" s="385"/>
      <c r="Q107" s="406">
        <f>IF(H107&lt;&gt;"",H107,"")</f>
        <v>1</v>
      </c>
      <c r="R107" s="407">
        <f>IF(I107&lt;&gt;"",I107,"")</f>
        <v>1</v>
      </c>
      <c r="S107" s="408">
        <v>1299.99</v>
      </c>
      <c r="T107" s="408">
        <v>20599.580000000002</v>
      </c>
      <c r="U107" s="409">
        <f>IF(Q107&lt;&gt;"",K107-T107,"")</f>
        <v>-19299.59</v>
      </c>
      <c r="V107" s="410">
        <f>IF(Q107&lt;&gt;"",0%,"")</f>
        <v>0</v>
      </c>
      <c r="W107" s="411">
        <f>IF(Q107&lt;&gt;"",V107*U107,"")</f>
        <v>0</v>
      </c>
      <c r="X107" s="411">
        <f>IF(Q107&lt;&gt;"",W107+T107,"")</f>
        <v>20599.580000000002</v>
      </c>
      <c r="Y107" s="348">
        <f>IF(Q107&lt;&gt;"",X107+M107,"")</f>
        <v>20624.820516664597</v>
      </c>
      <c r="Z107" s="458">
        <f>IF(Q107&lt;&gt;"",U107/K107,"")</f>
        <v>-14.845952661174318</v>
      </c>
      <c r="AA107" s="333"/>
      <c r="AB107" s="364"/>
      <c r="AC107" s="334">
        <f t="shared" si="97"/>
        <v>0</v>
      </c>
      <c r="AD107" s="335">
        <v>20599.580000000002</v>
      </c>
      <c r="AE107" s="624" t="s">
        <v>738</v>
      </c>
    </row>
    <row r="108" spans="1:36" ht="99.9" customHeight="1" x14ac:dyDescent="0.45">
      <c r="A108" s="390">
        <v>94</v>
      </c>
      <c r="B108" s="309" t="s">
        <v>179</v>
      </c>
      <c r="C108" s="391" t="s">
        <v>49</v>
      </c>
      <c r="D108" s="353" t="s">
        <v>78</v>
      </c>
      <c r="E108" s="353" t="s">
        <v>79</v>
      </c>
      <c r="F108" s="413" t="s">
        <v>341</v>
      </c>
      <c r="G108" s="491" t="s">
        <v>342</v>
      </c>
      <c r="H108" s="492">
        <v>6</v>
      </c>
      <c r="I108" s="492">
        <v>1</v>
      </c>
      <c r="J108" s="493">
        <v>299.99</v>
      </c>
      <c r="K108" s="416">
        <f>IF(F108&lt;&gt;"",H108*I108*J108,"")</f>
        <v>1799.94</v>
      </c>
      <c r="L108" s="416">
        <f>IF(K108&lt;&gt;"",IF(D108="INTERNO",0,K108*$L$14),"")</f>
        <v>143.99520000000001</v>
      </c>
      <c r="M108" s="416">
        <f>IF(K108&lt;&gt;"",IF(E108="FAT.OGGI",SUM(K108:L108)*(1/(1-$M$14)-1),L108*(1/(1-$M$14)-1)),"")</f>
        <v>34.947511569529034</v>
      </c>
      <c r="N108" s="417">
        <f>SUM(K108:M108)</f>
        <v>1978.8827115695292</v>
      </c>
      <c r="O108" s="324" t="b">
        <v>1</v>
      </c>
      <c r="P108" s="385"/>
      <c r="Q108" s="471">
        <f t="shared" ref="Q108:R108" si="118">IF(H108&lt;&gt;"",H108,"")</f>
        <v>6</v>
      </c>
      <c r="R108" s="326">
        <f t="shared" si="118"/>
        <v>1</v>
      </c>
      <c r="S108" s="327">
        <v>299.99</v>
      </c>
      <c r="T108" s="327">
        <v>0</v>
      </c>
      <c r="U108" s="328">
        <f>IF(Q108&lt;&gt;"",K108-T108,"")</f>
        <v>1799.94</v>
      </c>
      <c r="V108" s="329">
        <f>IF(Q108&lt;&gt;"",0%,"")</f>
        <v>0</v>
      </c>
      <c r="W108" s="330">
        <f>IF(Q108&lt;&gt;"",V108*U108,"")</f>
        <v>0</v>
      </c>
      <c r="X108" s="330">
        <f>IF(Q108&lt;&gt;"",W108+T108,"")</f>
        <v>0</v>
      </c>
      <c r="Y108" s="331">
        <f>IF(Q108&lt;&gt;"",X108+M108,"")</f>
        <v>34.947511569529034</v>
      </c>
      <c r="Z108" s="458">
        <f>IF(Q108&lt;&gt;"",U108/K108,"")</f>
        <v>1</v>
      </c>
      <c r="AA108" s="333"/>
      <c r="AB108" s="364"/>
      <c r="AC108" s="334">
        <f t="shared" si="97"/>
        <v>0</v>
      </c>
      <c r="AD108" s="335">
        <v>0</v>
      </c>
    </row>
    <row r="109" spans="1:36" ht="39.9" customHeight="1" thickBot="1" x14ac:dyDescent="0.5">
      <c r="A109" s="390">
        <v>95</v>
      </c>
      <c r="B109" s="309"/>
      <c r="C109" s="391" t="s">
        <v>72</v>
      </c>
      <c r="D109" s="390"/>
      <c r="E109" s="390"/>
      <c r="F109" s="698" t="s">
        <v>182</v>
      </c>
      <c r="G109" s="699"/>
      <c r="H109" s="699"/>
      <c r="I109" s="699"/>
      <c r="J109" s="706"/>
      <c r="K109" s="439">
        <f>SUM(K105:K108)</f>
        <v>19199.93</v>
      </c>
      <c r="L109" s="439">
        <f>SUM(L105:L108)</f>
        <v>1535.9944</v>
      </c>
      <c r="M109" s="439">
        <f>SUM(M105:M108)</f>
        <v>372.78452382254272</v>
      </c>
      <c r="N109" s="440">
        <f>SUM(N105:N108)</f>
        <v>21108.708923822542</v>
      </c>
      <c r="O109" s="357"/>
      <c r="P109" s="385"/>
      <c r="Q109" s="700" t="s">
        <v>182</v>
      </c>
      <c r="R109" s="700"/>
      <c r="S109" s="707"/>
      <c r="T109" s="441">
        <f>SUM(T105:T108)</f>
        <v>27599.58</v>
      </c>
      <c r="U109" s="442">
        <f>SUM(U105:U108)</f>
        <v>-8399.65</v>
      </c>
      <c r="V109" s="494"/>
      <c r="W109" s="495"/>
      <c r="X109" s="444">
        <f>SUM(X105:X108)</f>
        <v>27599.58</v>
      </c>
      <c r="Y109" s="397">
        <f>IF(Q109&lt;&gt;"",X109+M109,"")</f>
        <v>27972.364523822544</v>
      </c>
      <c r="Z109" s="470"/>
      <c r="AA109" s="333"/>
      <c r="AB109" s="364"/>
      <c r="AC109" s="334"/>
      <c r="AD109" s="335"/>
    </row>
    <row r="110" spans="1:36" ht="39.9" customHeight="1" thickBot="1" x14ac:dyDescent="0.5">
      <c r="A110" s="353">
        <v>96</v>
      </c>
      <c r="B110" s="309">
        <v>12</v>
      </c>
      <c r="C110" s="354" t="s">
        <v>40</v>
      </c>
      <c r="D110" s="353"/>
      <c r="E110" s="353"/>
      <c r="F110" s="744" t="s">
        <v>183</v>
      </c>
      <c r="G110" s="740"/>
      <c r="H110" s="740"/>
      <c r="I110" s="740"/>
      <c r="J110" s="740"/>
      <c r="K110" s="740"/>
      <c r="L110" s="740"/>
      <c r="M110" s="740"/>
      <c r="N110" s="745"/>
      <c r="O110" s="357"/>
      <c r="P110" s="385"/>
      <c r="Q110" s="740" t="s">
        <v>183</v>
      </c>
      <c r="R110" s="740"/>
      <c r="S110" s="740"/>
      <c r="T110" s="740"/>
      <c r="U110" s="740"/>
      <c r="V110" s="740"/>
      <c r="W110" s="740"/>
      <c r="X110" s="740"/>
      <c r="Y110" s="745"/>
      <c r="Z110" s="312"/>
      <c r="AA110" s="284"/>
      <c r="AC110" s="334"/>
      <c r="AD110" s="335"/>
    </row>
    <row r="111" spans="1:36" ht="39.9" customHeight="1" x14ac:dyDescent="0.45">
      <c r="A111" s="288">
        <v>97</v>
      </c>
      <c r="B111" s="309" t="s">
        <v>184</v>
      </c>
      <c r="C111" s="310" t="s">
        <v>43</v>
      </c>
      <c r="D111" s="288"/>
      <c r="E111" s="288"/>
      <c r="F111" s="734" t="s">
        <v>185</v>
      </c>
      <c r="G111" s="742"/>
      <c r="H111" s="742"/>
      <c r="I111" s="742"/>
      <c r="J111" s="742"/>
      <c r="K111" s="742"/>
      <c r="L111" s="496" t="s">
        <v>45</v>
      </c>
      <c r="M111" s="496" t="s">
        <v>46</v>
      </c>
      <c r="N111" s="497" t="s">
        <v>28</v>
      </c>
      <c r="O111" s="357"/>
      <c r="P111" s="385"/>
      <c r="Q111" s="498" t="str">
        <f>IF(F111&lt;&gt;"",F111,"")</f>
        <v>STAFF</v>
      </c>
      <c r="R111" s="498"/>
      <c r="S111" s="446"/>
      <c r="T111" s="446"/>
      <c r="U111" s="446"/>
      <c r="V111" s="446"/>
      <c r="W111" s="446"/>
      <c r="X111" s="446"/>
      <c r="Y111" s="499"/>
      <c r="Z111" s="317" t="s">
        <v>47</v>
      </c>
      <c r="AA111" s="318" t="s">
        <v>39</v>
      </c>
      <c r="AC111" s="334"/>
      <c r="AD111" s="335"/>
    </row>
    <row r="112" spans="1:36" ht="99.9" customHeight="1" x14ac:dyDescent="0.45">
      <c r="A112" s="353">
        <v>98</v>
      </c>
      <c r="B112" s="309" t="s">
        <v>186</v>
      </c>
      <c r="C112" s="354" t="s">
        <v>49</v>
      </c>
      <c r="D112" s="353" t="s">
        <v>78</v>
      </c>
      <c r="E112" s="353" t="s">
        <v>79</v>
      </c>
      <c r="F112" s="338" t="s">
        <v>187</v>
      </c>
      <c r="G112" s="404" t="s">
        <v>188</v>
      </c>
      <c r="H112" s="340">
        <v>1</v>
      </c>
      <c r="I112" s="340">
        <v>3</v>
      </c>
      <c r="J112" s="367">
        <v>950</v>
      </c>
      <c r="K112" s="367">
        <f t="shared" ref="K112:K121" si="119">IF(F112&lt;&gt;"",H112*I112*J112,"")</f>
        <v>2850</v>
      </c>
      <c r="L112" s="367">
        <f t="shared" ref="L112:L121" si="120">IF(K112&lt;&gt;"",IF(D112="INTERNO",0,K112*$L$14),"")</f>
        <v>228</v>
      </c>
      <c r="M112" s="367">
        <f t="shared" ref="M112:M121" si="121">IF(K112&lt;&gt;"",IF(E112="FAT.OGGI",SUM(K112:L112)*(1/(1-$M$14)-1),L112*(1/(1-$M$14)-1)),"")</f>
        <v>55.335404498570917</v>
      </c>
      <c r="N112" s="500">
        <f t="shared" ref="N112:N121" si="122">SUM(K112:M112)</f>
        <v>3133.3354044985708</v>
      </c>
      <c r="O112" s="389" t="b">
        <v>0</v>
      </c>
      <c r="P112" s="385"/>
      <c r="Q112" s="369">
        <f t="shared" ref="Q112:Q114" si="123">IF(H112&lt;&gt;"",H112,"")</f>
        <v>1</v>
      </c>
      <c r="R112" s="343">
        <f t="shared" ref="R112:R114" si="124">IF(I112&lt;&gt;"",I112,"")</f>
        <v>3</v>
      </c>
      <c r="S112" s="344">
        <v>750</v>
      </c>
      <c r="T112" s="344">
        <v>3000</v>
      </c>
      <c r="U112" s="345">
        <f t="shared" ref="U112:U121" si="125">IF(Q112&lt;&gt;"",K112-T112,"")</f>
        <v>-150</v>
      </c>
      <c r="V112" s="346">
        <f t="shared" ref="V112:V121" si="126">IF(Q112&lt;&gt;"",0%,"")</f>
        <v>0</v>
      </c>
      <c r="W112" s="347">
        <f t="shared" ref="W112:W121" si="127">IF(Q112&lt;&gt;"",V112*U112,"")</f>
        <v>0</v>
      </c>
      <c r="X112" s="347">
        <f t="shared" ref="X112:X139" si="128">IF(Q112&lt;&gt;"",W112+T112,"")</f>
        <v>3000</v>
      </c>
      <c r="Y112" s="348">
        <f t="shared" ref="Y112:Y140" si="129">IF(Q112&lt;&gt;"",X112+M112,"")</f>
        <v>3055.3354044985708</v>
      </c>
      <c r="Z112" s="332">
        <f t="shared" ref="Z112:Z122" si="130">IF(Q112&lt;&gt;"",U112/K112,"")</f>
        <v>-5.2631578947368418E-2</v>
      </c>
      <c r="AA112" s="333">
        <f>T112/$T$140</f>
        <v>1.6035672743776836E-2</v>
      </c>
      <c r="AC112" s="334">
        <f t="shared" si="97"/>
        <v>0</v>
      </c>
      <c r="AD112" s="335">
        <v>3000</v>
      </c>
      <c r="AE112" s="624" t="s">
        <v>733</v>
      </c>
    </row>
    <row r="113" spans="1:36" ht="99.9" customHeight="1" x14ac:dyDescent="0.45">
      <c r="A113" s="288">
        <v>99</v>
      </c>
      <c r="B113" s="309" t="s">
        <v>189</v>
      </c>
      <c r="C113" s="310" t="s">
        <v>49</v>
      </c>
      <c r="D113" s="288" t="s">
        <v>78</v>
      </c>
      <c r="E113" s="288" t="s">
        <v>79</v>
      </c>
      <c r="F113" s="338" t="s">
        <v>190</v>
      </c>
      <c r="G113" s="404" t="s">
        <v>343</v>
      </c>
      <c r="H113" s="340">
        <v>11</v>
      </c>
      <c r="I113" s="340">
        <v>1</v>
      </c>
      <c r="J113" s="367">
        <v>900</v>
      </c>
      <c r="K113" s="367">
        <f t="shared" si="119"/>
        <v>9900</v>
      </c>
      <c r="L113" s="367">
        <f t="shared" si="120"/>
        <v>792</v>
      </c>
      <c r="M113" s="367">
        <f t="shared" si="121"/>
        <v>192.21772088977264</v>
      </c>
      <c r="N113" s="500">
        <f t="shared" si="122"/>
        <v>10884.217720889772</v>
      </c>
      <c r="O113" s="389" t="b">
        <v>0</v>
      </c>
      <c r="P113" s="385"/>
      <c r="Q113" s="369">
        <f t="shared" si="123"/>
        <v>11</v>
      </c>
      <c r="R113" s="343">
        <f t="shared" si="124"/>
        <v>1</v>
      </c>
      <c r="S113" s="344">
        <v>650</v>
      </c>
      <c r="T113" s="344">
        <v>17512.5</v>
      </c>
      <c r="U113" s="345">
        <f t="shared" si="125"/>
        <v>-7612.5</v>
      </c>
      <c r="V113" s="346">
        <f t="shared" si="126"/>
        <v>0</v>
      </c>
      <c r="W113" s="347">
        <f t="shared" si="127"/>
        <v>0</v>
      </c>
      <c r="X113" s="347">
        <f t="shared" si="128"/>
        <v>17512.5</v>
      </c>
      <c r="Y113" s="348">
        <f t="shared" si="129"/>
        <v>17704.717720889774</v>
      </c>
      <c r="Z113" s="332">
        <f t="shared" si="130"/>
        <v>-0.76893939393939392</v>
      </c>
      <c r="AA113" s="333">
        <f>T113/$T$140</f>
        <v>9.3608239641797278E-2</v>
      </c>
      <c r="AC113" s="334">
        <f t="shared" si="97"/>
        <v>0</v>
      </c>
      <c r="AD113" s="335">
        <f>1150+2400+650+650+650+650+650+650+662.5+1650+2150+2800+300+2500</f>
        <v>17512.5</v>
      </c>
      <c r="AE113" s="624" t="s">
        <v>779</v>
      </c>
    </row>
    <row r="114" spans="1:36" ht="99.9" customHeight="1" x14ac:dyDescent="0.45">
      <c r="A114" s="336">
        <v>100</v>
      </c>
      <c r="B114" s="309" t="s">
        <v>191</v>
      </c>
      <c r="C114" s="337" t="s">
        <v>49</v>
      </c>
      <c r="D114" s="288" t="s">
        <v>78</v>
      </c>
      <c r="E114" s="288" t="s">
        <v>79</v>
      </c>
      <c r="F114" s="338" t="s">
        <v>192</v>
      </c>
      <c r="G114" s="404" t="s">
        <v>193</v>
      </c>
      <c r="H114" s="340">
        <v>4</v>
      </c>
      <c r="I114" s="340">
        <v>1</v>
      </c>
      <c r="J114" s="367">
        <v>800</v>
      </c>
      <c r="K114" s="367">
        <f t="shared" si="119"/>
        <v>3200</v>
      </c>
      <c r="L114" s="367">
        <f t="shared" si="120"/>
        <v>256</v>
      </c>
      <c r="M114" s="367">
        <f t="shared" si="121"/>
        <v>62.130980489623482</v>
      </c>
      <c r="N114" s="500">
        <f t="shared" si="122"/>
        <v>3518.1309804896237</v>
      </c>
      <c r="O114" s="324" t="b">
        <v>1</v>
      </c>
      <c r="P114" s="385"/>
      <c r="Q114" s="369">
        <f t="shared" si="123"/>
        <v>4</v>
      </c>
      <c r="R114" s="343">
        <f t="shared" si="124"/>
        <v>1</v>
      </c>
      <c r="S114" s="344">
        <v>500</v>
      </c>
      <c r="T114" s="344">
        <v>2920</v>
      </c>
      <c r="U114" s="345">
        <f t="shared" si="125"/>
        <v>280</v>
      </c>
      <c r="V114" s="346">
        <f t="shared" si="126"/>
        <v>0</v>
      </c>
      <c r="W114" s="347">
        <f t="shared" si="127"/>
        <v>0</v>
      </c>
      <c r="X114" s="347">
        <f t="shared" si="128"/>
        <v>2920</v>
      </c>
      <c r="Y114" s="348">
        <f t="shared" si="129"/>
        <v>2982.1309804896237</v>
      </c>
      <c r="Z114" s="332">
        <f t="shared" si="130"/>
        <v>8.7499999999999994E-2</v>
      </c>
      <c r="AA114" s="333"/>
      <c r="AC114" s="334">
        <f t="shared" si="97"/>
        <v>0</v>
      </c>
      <c r="AD114" s="335">
        <f>500+500+500+500+500+420</f>
        <v>2920</v>
      </c>
      <c r="AE114" s="624" t="s">
        <v>732</v>
      </c>
    </row>
    <row r="115" spans="1:36" ht="99.9" customHeight="1" x14ac:dyDescent="0.45">
      <c r="A115" s="353">
        <v>101</v>
      </c>
      <c r="B115" s="309" t="s">
        <v>194</v>
      </c>
      <c r="C115" s="354" t="s">
        <v>49</v>
      </c>
      <c r="D115" s="353" t="s">
        <v>78</v>
      </c>
      <c r="E115" s="353" t="s">
        <v>79</v>
      </c>
      <c r="F115" s="338" t="s">
        <v>195</v>
      </c>
      <c r="G115" s="404" t="s">
        <v>688</v>
      </c>
      <c r="H115" s="340">
        <v>1</v>
      </c>
      <c r="I115" s="340">
        <v>1</v>
      </c>
      <c r="J115" s="501">
        <v>15240.5</v>
      </c>
      <c r="K115" s="367">
        <f t="shared" si="119"/>
        <v>15240.5</v>
      </c>
      <c r="L115" s="367">
        <f t="shared" si="120"/>
        <v>1219.24</v>
      </c>
      <c r="M115" s="367">
        <f t="shared" si="121"/>
        <v>295.90850254753332</v>
      </c>
      <c r="N115" s="500">
        <f t="shared" si="122"/>
        <v>16755.648502547534</v>
      </c>
      <c r="O115" s="324" t="b">
        <v>1</v>
      </c>
      <c r="P115" s="385"/>
      <c r="Q115" s="369">
        <v>1</v>
      </c>
      <c r="R115" s="343">
        <f>IF(I115&lt;&gt;"",I115,"")</f>
        <v>1</v>
      </c>
      <c r="S115" s="370">
        <v>15240.5</v>
      </c>
      <c r="T115" s="344">
        <v>12398.14</v>
      </c>
      <c r="U115" s="345">
        <f t="shared" si="125"/>
        <v>2842.3600000000006</v>
      </c>
      <c r="V115" s="346">
        <f t="shared" si="126"/>
        <v>0</v>
      </c>
      <c r="W115" s="347">
        <f t="shared" si="127"/>
        <v>0</v>
      </c>
      <c r="X115" s="347">
        <f t="shared" si="128"/>
        <v>12398.14</v>
      </c>
      <c r="Y115" s="348">
        <f t="shared" si="129"/>
        <v>12694.048502547532</v>
      </c>
      <c r="Z115" s="332">
        <f t="shared" si="130"/>
        <v>0.18650044289885506</v>
      </c>
      <c r="AA115" s="333">
        <f t="shared" ref="AA115:AA121" si="131">T115/$T$140</f>
        <v>6.6270838557176442E-2</v>
      </c>
      <c r="AC115" s="334">
        <f t="shared" si="97"/>
        <v>0</v>
      </c>
      <c r="AD115" s="335">
        <f>6199.07+6199.07</f>
        <v>12398.14</v>
      </c>
      <c r="AE115" s="625" t="s">
        <v>775</v>
      </c>
      <c r="AF115" s="349" t="e">
        <f>T115-AE115</f>
        <v>#VALUE!</v>
      </c>
      <c r="AG115" s="350">
        <v>46099</v>
      </c>
      <c r="AI115" s="351" t="s">
        <v>344</v>
      </c>
      <c r="AJ115" s="352" t="s">
        <v>345</v>
      </c>
    </row>
    <row r="116" spans="1:36" ht="99.9" customHeight="1" x14ac:dyDescent="0.45">
      <c r="A116" s="288">
        <v>102</v>
      </c>
      <c r="B116" s="309" t="s">
        <v>196</v>
      </c>
      <c r="C116" s="310" t="s">
        <v>49</v>
      </c>
      <c r="D116" s="288" t="s">
        <v>78</v>
      </c>
      <c r="E116" s="288" t="s">
        <v>79</v>
      </c>
      <c r="F116" s="338" t="s">
        <v>197</v>
      </c>
      <c r="G116" s="404" t="s">
        <v>689</v>
      </c>
      <c r="H116" s="340">
        <v>1</v>
      </c>
      <c r="I116" s="340">
        <v>1</v>
      </c>
      <c r="J116" s="367">
        <v>12560</v>
      </c>
      <c r="K116" s="367">
        <f t="shared" si="119"/>
        <v>12560</v>
      </c>
      <c r="L116" s="367">
        <f t="shared" si="120"/>
        <v>1004.8000000000001</v>
      </c>
      <c r="M116" s="367">
        <f t="shared" si="121"/>
        <v>243.86409842177218</v>
      </c>
      <c r="N116" s="500">
        <f t="shared" si="122"/>
        <v>13808.664098421772</v>
      </c>
      <c r="O116" s="389" t="b">
        <v>0</v>
      </c>
      <c r="P116" s="502" t="s">
        <v>346</v>
      </c>
      <c r="Q116" s="369">
        <f>IF(H116&lt;&gt;"",H116,"")</f>
        <v>1</v>
      </c>
      <c r="R116" s="343">
        <f>IF(I116&lt;&gt;"",I116,"")</f>
        <v>1</v>
      </c>
      <c r="S116" s="344">
        <v>12280</v>
      </c>
      <c r="T116" s="344">
        <v>27884</v>
      </c>
      <c r="U116" s="345">
        <f t="shared" si="125"/>
        <v>-15324</v>
      </c>
      <c r="V116" s="346">
        <f t="shared" si="126"/>
        <v>0</v>
      </c>
      <c r="W116" s="347">
        <f t="shared" si="127"/>
        <v>0</v>
      </c>
      <c r="X116" s="347">
        <f t="shared" si="128"/>
        <v>27884</v>
      </c>
      <c r="Y116" s="348">
        <f t="shared" si="129"/>
        <v>28127.864098421771</v>
      </c>
      <c r="Z116" s="332">
        <f t="shared" si="130"/>
        <v>-1.2200636942675158</v>
      </c>
      <c r="AA116" s="333">
        <f t="shared" si="131"/>
        <v>0.14904623292915775</v>
      </c>
      <c r="AC116" s="334">
        <f t="shared" si="97"/>
        <v>0</v>
      </c>
      <c r="AD116" s="335">
        <f>6140+6140+15604</f>
        <v>27884</v>
      </c>
      <c r="AE116" s="624" t="s">
        <v>715</v>
      </c>
    </row>
    <row r="117" spans="1:36" ht="99.9" customHeight="1" x14ac:dyDescent="0.45">
      <c r="A117" s="288">
        <v>103</v>
      </c>
      <c r="B117" s="309" t="s">
        <v>198</v>
      </c>
      <c r="C117" s="310" t="s">
        <v>49</v>
      </c>
      <c r="D117" s="288" t="s">
        <v>78</v>
      </c>
      <c r="E117" s="288" t="s">
        <v>79</v>
      </c>
      <c r="F117" s="338" t="s">
        <v>199</v>
      </c>
      <c r="G117" s="404" t="s">
        <v>347</v>
      </c>
      <c r="H117" s="340">
        <v>1</v>
      </c>
      <c r="I117" s="340">
        <v>1</v>
      </c>
      <c r="J117" s="367">
        <v>4200</v>
      </c>
      <c r="K117" s="367">
        <f t="shared" si="119"/>
        <v>4200</v>
      </c>
      <c r="L117" s="367">
        <f t="shared" si="120"/>
        <v>336</v>
      </c>
      <c r="M117" s="367">
        <f t="shared" si="121"/>
        <v>81.546911892630817</v>
      </c>
      <c r="N117" s="500">
        <f t="shared" si="122"/>
        <v>4617.5469118926312</v>
      </c>
      <c r="O117" s="389" t="b">
        <v>0</v>
      </c>
      <c r="P117" s="385"/>
      <c r="Q117" s="369">
        <f>IF(H117&lt;&gt;"",H117,"")</f>
        <v>1</v>
      </c>
      <c r="R117" s="343">
        <f>IF(I117&lt;&gt;"",I117,"")</f>
        <v>1</v>
      </c>
      <c r="S117" s="344">
        <v>4200</v>
      </c>
      <c r="T117" s="344">
        <v>0</v>
      </c>
      <c r="U117" s="345">
        <f t="shared" si="125"/>
        <v>4200</v>
      </c>
      <c r="V117" s="346">
        <f t="shared" si="126"/>
        <v>0</v>
      </c>
      <c r="W117" s="347">
        <f t="shared" si="127"/>
        <v>0</v>
      </c>
      <c r="X117" s="347">
        <f t="shared" si="128"/>
        <v>0</v>
      </c>
      <c r="Y117" s="348">
        <f t="shared" si="129"/>
        <v>81.546911892630817</v>
      </c>
      <c r="Z117" s="332">
        <f t="shared" si="130"/>
        <v>1</v>
      </c>
      <c r="AA117" s="333">
        <f t="shared" si="131"/>
        <v>0</v>
      </c>
      <c r="AC117" s="334">
        <f t="shared" si="97"/>
        <v>0</v>
      </c>
      <c r="AD117" s="335">
        <v>0</v>
      </c>
    </row>
    <row r="118" spans="1:36" ht="99.9" customHeight="1" x14ac:dyDescent="0.45">
      <c r="A118" s="288">
        <v>104</v>
      </c>
      <c r="B118" s="309" t="s">
        <v>200</v>
      </c>
      <c r="C118" s="310" t="s">
        <v>49</v>
      </c>
      <c r="D118" s="288" t="s">
        <v>78</v>
      </c>
      <c r="E118" s="288" t="s">
        <v>79</v>
      </c>
      <c r="F118" s="338" t="s">
        <v>201</v>
      </c>
      <c r="G118" s="404" t="s">
        <v>690</v>
      </c>
      <c r="H118" s="340">
        <v>1</v>
      </c>
      <c r="I118" s="340">
        <v>8</v>
      </c>
      <c r="J118" s="367">
        <v>454.5</v>
      </c>
      <c r="K118" s="367">
        <f t="shared" si="119"/>
        <v>3636</v>
      </c>
      <c r="L118" s="367">
        <f t="shared" si="120"/>
        <v>290.88</v>
      </c>
      <c r="M118" s="367">
        <f t="shared" si="121"/>
        <v>70.596326581334679</v>
      </c>
      <c r="N118" s="500">
        <f t="shared" si="122"/>
        <v>3997.4763265813349</v>
      </c>
      <c r="O118" s="389" t="b">
        <v>0</v>
      </c>
      <c r="P118" s="385"/>
      <c r="Q118" s="369">
        <v>1</v>
      </c>
      <c r="R118" s="343">
        <v>1</v>
      </c>
      <c r="S118" s="344">
        <v>3636</v>
      </c>
      <c r="T118" s="344">
        <v>3636.8</v>
      </c>
      <c r="U118" s="345">
        <f t="shared" si="125"/>
        <v>-0.8000000000001819</v>
      </c>
      <c r="V118" s="346">
        <f t="shared" si="126"/>
        <v>0</v>
      </c>
      <c r="W118" s="347">
        <f t="shared" si="127"/>
        <v>0</v>
      </c>
      <c r="X118" s="347">
        <f t="shared" si="128"/>
        <v>3636.8</v>
      </c>
      <c r="Y118" s="348">
        <f t="shared" si="129"/>
        <v>3707.396326581335</v>
      </c>
      <c r="Z118" s="332">
        <f t="shared" si="130"/>
        <v>-2.2002200220027005E-4</v>
      </c>
      <c r="AA118" s="333">
        <f t="shared" si="131"/>
        <v>1.9439511544855865E-2</v>
      </c>
      <c r="AC118" s="334">
        <f t="shared" si="97"/>
        <v>0</v>
      </c>
      <c r="AD118" s="335">
        <f>2181.9+1454.9</f>
        <v>3636.8</v>
      </c>
      <c r="AE118" s="625" t="s">
        <v>726</v>
      </c>
      <c r="AF118" s="349" t="e">
        <f>T118-AE118</f>
        <v>#VALUE!</v>
      </c>
      <c r="AG118" s="350">
        <v>46099</v>
      </c>
      <c r="AI118" s="351" t="s">
        <v>348</v>
      </c>
      <c r="AJ118" s="352" t="s">
        <v>349</v>
      </c>
    </row>
    <row r="119" spans="1:36" ht="99.9" customHeight="1" x14ac:dyDescent="0.45">
      <c r="A119" s="353">
        <v>105</v>
      </c>
      <c r="B119" s="309" t="s">
        <v>202</v>
      </c>
      <c r="C119" s="354" t="s">
        <v>49</v>
      </c>
      <c r="D119" s="353" t="s">
        <v>78</v>
      </c>
      <c r="E119" s="353" t="s">
        <v>79</v>
      </c>
      <c r="F119" s="338" t="s">
        <v>203</v>
      </c>
      <c r="G119" s="404" t="s">
        <v>204</v>
      </c>
      <c r="H119" s="340">
        <v>1</v>
      </c>
      <c r="I119" s="340">
        <v>1</v>
      </c>
      <c r="J119" s="367">
        <v>2000</v>
      </c>
      <c r="K119" s="367">
        <f t="shared" si="119"/>
        <v>2000</v>
      </c>
      <c r="L119" s="367">
        <f t="shared" si="120"/>
        <v>160</v>
      </c>
      <c r="M119" s="367">
        <f t="shared" si="121"/>
        <v>38.831862806014676</v>
      </c>
      <c r="N119" s="500">
        <f t="shared" si="122"/>
        <v>2198.8318628060147</v>
      </c>
      <c r="O119" s="389" t="b">
        <v>0</v>
      </c>
      <c r="P119" s="385"/>
      <c r="Q119" s="369">
        <f>IF(H119&lt;&gt;"",H119,"")</f>
        <v>1</v>
      </c>
      <c r="R119" s="343">
        <f>IF(I119&lt;&gt;"",I119,"")</f>
        <v>1</v>
      </c>
      <c r="S119" s="344">
        <v>1500</v>
      </c>
      <c r="T119" s="344">
        <v>2000</v>
      </c>
      <c r="U119" s="345">
        <f t="shared" si="125"/>
        <v>0</v>
      </c>
      <c r="V119" s="346">
        <f t="shared" si="126"/>
        <v>0</v>
      </c>
      <c r="W119" s="347">
        <f t="shared" si="127"/>
        <v>0</v>
      </c>
      <c r="X119" s="347">
        <f t="shared" si="128"/>
        <v>2000</v>
      </c>
      <c r="Y119" s="348">
        <f t="shared" si="129"/>
        <v>2038.8318628060147</v>
      </c>
      <c r="Z119" s="332">
        <f t="shared" si="130"/>
        <v>0</v>
      </c>
      <c r="AA119" s="333">
        <f t="shared" si="131"/>
        <v>1.0690448495851223E-2</v>
      </c>
      <c r="AC119" s="334">
        <f t="shared" si="97"/>
        <v>0</v>
      </c>
      <c r="AD119" s="335">
        <v>2000</v>
      </c>
      <c r="AE119" s="624" t="s">
        <v>734</v>
      </c>
    </row>
    <row r="120" spans="1:36" ht="99.9" customHeight="1" x14ac:dyDescent="0.45">
      <c r="A120" s="288">
        <v>106</v>
      </c>
      <c r="B120" s="309" t="s">
        <v>205</v>
      </c>
      <c r="C120" s="310" t="s">
        <v>49</v>
      </c>
      <c r="D120" s="288" t="s">
        <v>78</v>
      </c>
      <c r="E120" s="288" t="s">
        <v>79</v>
      </c>
      <c r="F120" s="338" t="s">
        <v>206</v>
      </c>
      <c r="G120" s="404" t="s">
        <v>350</v>
      </c>
      <c r="H120" s="340">
        <v>1</v>
      </c>
      <c r="I120" s="340">
        <v>1</v>
      </c>
      <c r="J120" s="367">
        <v>7196</v>
      </c>
      <c r="K120" s="367">
        <f t="shared" si="119"/>
        <v>7196</v>
      </c>
      <c r="L120" s="367">
        <f t="shared" si="120"/>
        <v>575.68000000000006</v>
      </c>
      <c r="M120" s="367">
        <f t="shared" si="121"/>
        <v>139.71704237604081</v>
      </c>
      <c r="N120" s="500">
        <f t="shared" si="122"/>
        <v>7911.3970423760411</v>
      </c>
      <c r="O120" s="389" t="b">
        <v>0</v>
      </c>
      <c r="P120" s="385"/>
      <c r="Q120" s="369">
        <f>IF(H120&lt;&gt;"",H120,"")</f>
        <v>1</v>
      </c>
      <c r="R120" s="343">
        <v>1</v>
      </c>
      <c r="S120" s="344">
        <v>7196</v>
      </c>
      <c r="T120" s="344">
        <f t="shared" ref="T120" si="132">IF(Q120&lt;&gt;"",Q120*R120*S120,"")</f>
        <v>7196</v>
      </c>
      <c r="U120" s="345">
        <f t="shared" si="125"/>
        <v>0</v>
      </c>
      <c r="V120" s="346">
        <f t="shared" si="126"/>
        <v>0</v>
      </c>
      <c r="W120" s="347">
        <f t="shared" si="127"/>
        <v>0</v>
      </c>
      <c r="X120" s="347">
        <f t="shared" si="128"/>
        <v>7196</v>
      </c>
      <c r="Y120" s="348">
        <f t="shared" si="129"/>
        <v>7335.7170423760408</v>
      </c>
      <c r="Z120" s="332">
        <f t="shared" si="130"/>
        <v>0</v>
      </c>
      <c r="AA120" s="333">
        <f t="shared" si="131"/>
        <v>3.8464233688072703E-2</v>
      </c>
      <c r="AC120" s="334">
        <f t="shared" si="97"/>
        <v>0</v>
      </c>
      <c r="AD120" s="335">
        <v>7196</v>
      </c>
      <c r="AE120" s="624" t="s">
        <v>757</v>
      </c>
    </row>
    <row r="121" spans="1:36" ht="99.9" customHeight="1" x14ac:dyDescent="0.45">
      <c r="A121" s="288">
        <v>107</v>
      </c>
      <c r="B121" s="309" t="s">
        <v>207</v>
      </c>
      <c r="C121" s="310" t="s">
        <v>49</v>
      </c>
      <c r="D121" s="288" t="s">
        <v>78</v>
      </c>
      <c r="E121" s="288" t="s">
        <v>79</v>
      </c>
      <c r="F121" s="379" t="s">
        <v>208</v>
      </c>
      <c r="G121" s="380" t="s">
        <v>209</v>
      </c>
      <c r="H121" s="435">
        <v>30</v>
      </c>
      <c r="I121" s="435">
        <v>2</v>
      </c>
      <c r="J121" s="382">
        <v>48</v>
      </c>
      <c r="K121" s="382">
        <f t="shared" si="119"/>
        <v>2880</v>
      </c>
      <c r="L121" s="382">
        <f t="shared" si="120"/>
        <v>230.4</v>
      </c>
      <c r="M121" s="382">
        <f t="shared" si="121"/>
        <v>55.917882440661138</v>
      </c>
      <c r="N121" s="503">
        <f t="shared" si="122"/>
        <v>3166.3178824406614</v>
      </c>
      <c r="O121" s="389" t="b">
        <v>0</v>
      </c>
      <c r="P121" s="385"/>
      <c r="Q121" s="386">
        <f>IF(H121&lt;&gt;"",H121,"")</f>
        <v>30</v>
      </c>
      <c r="R121" s="387">
        <f>IF(I121&lt;&gt;"",I121,"")</f>
        <v>2</v>
      </c>
      <c r="S121" s="388">
        <v>30</v>
      </c>
      <c r="T121" s="388">
        <v>2850</v>
      </c>
      <c r="U121" s="454">
        <f t="shared" si="125"/>
        <v>30</v>
      </c>
      <c r="V121" s="455">
        <f t="shared" si="126"/>
        <v>0</v>
      </c>
      <c r="W121" s="456">
        <f t="shared" si="127"/>
        <v>0</v>
      </c>
      <c r="X121" s="456">
        <f t="shared" si="128"/>
        <v>2850</v>
      </c>
      <c r="Y121" s="378">
        <f t="shared" si="129"/>
        <v>2905.9178824406613</v>
      </c>
      <c r="Z121" s="332">
        <f t="shared" si="130"/>
        <v>1.0416666666666666E-2</v>
      </c>
      <c r="AA121" s="333">
        <f t="shared" si="131"/>
        <v>1.5233889106587992E-2</v>
      </c>
      <c r="AC121" s="334">
        <f t="shared" si="97"/>
        <v>0</v>
      </c>
      <c r="AD121" s="335">
        <f>1050+1800</f>
        <v>2850</v>
      </c>
      <c r="AE121" s="624" t="s">
        <v>770</v>
      </c>
    </row>
    <row r="122" spans="1:36" ht="99.9" customHeight="1" x14ac:dyDescent="0.45">
      <c r="A122" s="336">
        <v>108</v>
      </c>
      <c r="B122" s="309" t="s">
        <v>351</v>
      </c>
      <c r="C122" s="337" t="s">
        <v>49</v>
      </c>
      <c r="D122" s="288" t="s">
        <v>78</v>
      </c>
      <c r="E122" s="288" t="s">
        <v>79</v>
      </c>
      <c r="F122" s="338" t="s">
        <v>352</v>
      </c>
      <c r="G122" s="404" t="s">
        <v>353</v>
      </c>
      <c r="H122" s="340">
        <v>1</v>
      </c>
      <c r="I122" s="340">
        <v>1</v>
      </c>
      <c r="J122" s="367">
        <v>18000</v>
      </c>
      <c r="K122" s="367">
        <f>IF(F122&lt;&gt;"",H122*I122*J122,"")</f>
        <v>18000</v>
      </c>
      <c r="L122" s="367">
        <f>IF(K122&lt;&gt;"",IF(D122="INTERNO",0,K122*$L$14),"")</f>
        <v>1440</v>
      </c>
      <c r="M122" s="367">
        <f>IF(K122&lt;&gt;"",IF(E122="FAT.OGGI",SUM(K122:L122)*(1/(1-$M$14)-1),L122*(1/(1-$M$14)-1)),"")</f>
        <v>349.48676525413208</v>
      </c>
      <c r="N122" s="500">
        <f>SUM(K122:M122)</f>
        <v>19789.486765254132</v>
      </c>
      <c r="O122" s="389" t="b">
        <v>0</v>
      </c>
      <c r="P122" s="385"/>
      <c r="Q122" s="406">
        <f>IF(H122&lt;&gt;"",H122,"")</f>
        <v>1</v>
      </c>
      <c r="R122" s="407">
        <f>IF(I122&lt;&gt;"",I122,"")</f>
        <v>1</v>
      </c>
      <c r="S122" s="408">
        <v>15000</v>
      </c>
      <c r="T122" s="408">
        <v>7500</v>
      </c>
      <c r="U122" s="409">
        <f>IF(Q122&lt;&gt;"",K122-T122,"")</f>
        <v>10500</v>
      </c>
      <c r="V122" s="410">
        <f>IF(Q122&lt;&gt;"",0%,"")</f>
        <v>0</v>
      </c>
      <c r="W122" s="411">
        <f>IF(Q122&lt;&gt;"",V122*U122,"")</f>
        <v>0</v>
      </c>
      <c r="X122" s="411">
        <f t="shared" si="128"/>
        <v>7500</v>
      </c>
      <c r="Y122" s="348">
        <f t="shared" si="129"/>
        <v>7849.4867652541325</v>
      </c>
      <c r="Z122" s="332">
        <f t="shared" si="130"/>
        <v>0.58333333333333337</v>
      </c>
      <c r="AA122" s="333"/>
      <c r="AC122" s="334">
        <f t="shared" si="97"/>
        <v>0</v>
      </c>
      <c r="AD122" s="335">
        <v>7500</v>
      </c>
      <c r="AE122" s="624" t="s">
        <v>737</v>
      </c>
    </row>
    <row r="123" spans="1:36" ht="99.9" customHeight="1" x14ac:dyDescent="0.45">
      <c r="A123" s="353">
        <v>109</v>
      </c>
      <c r="B123" s="309" t="s">
        <v>354</v>
      </c>
      <c r="C123" s="354" t="s">
        <v>49</v>
      </c>
      <c r="D123" s="353" t="s">
        <v>78</v>
      </c>
      <c r="E123" s="353" t="s">
        <v>79</v>
      </c>
      <c r="F123" s="413" t="s">
        <v>355</v>
      </c>
      <c r="G123" s="491" t="s">
        <v>356</v>
      </c>
      <c r="H123" s="415">
        <v>1</v>
      </c>
      <c r="I123" s="415">
        <v>1</v>
      </c>
      <c r="J123" s="493">
        <v>18000</v>
      </c>
      <c r="K123" s="493">
        <f t="shared" ref="K123:K138" si="133">IF(F123&lt;&gt;"",H123*I123*J123,"")</f>
        <v>18000</v>
      </c>
      <c r="L123" s="493">
        <f t="shared" ref="L123:L138" si="134">IF(K123&lt;&gt;"",IF(D123="INTERNO",0,K123*$L$14),"")</f>
        <v>1440</v>
      </c>
      <c r="M123" s="493">
        <f t="shared" ref="M123:M138" si="135">IF(K123&lt;&gt;"",IF(E123="FAT.OGGI",SUM(K123:L123)*(1/(1-$M$14)-1),L123*(1/(1-$M$14)-1)),"")</f>
        <v>349.48676525413208</v>
      </c>
      <c r="N123" s="504">
        <f t="shared" ref="N123:N138" si="136">SUM(K123:M123)</f>
        <v>19789.486765254132</v>
      </c>
      <c r="O123" s="389" t="b">
        <v>0</v>
      </c>
      <c r="P123" s="385"/>
      <c r="Q123" s="471">
        <f t="shared" ref="Q123:R133" si="137">IF(H123&lt;&gt;"",H123,"")</f>
        <v>1</v>
      </c>
      <c r="R123" s="326">
        <f t="shared" si="137"/>
        <v>1</v>
      </c>
      <c r="S123" s="327">
        <v>13500</v>
      </c>
      <c r="T123" s="327">
        <v>20000</v>
      </c>
      <c r="U123" s="328">
        <f t="shared" ref="U123:U138" si="138">IF(Q123&lt;&gt;"",K123-T123,"")</f>
        <v>-2000</v>
      </c>
      <c r="V123" s="329">
        <f t="shared" ref="V123:V138" si="139">IF(Q123&lt;&gt;"",0%,"")</f>
        <v>0</v>
      </c>
      <c r="W123" s="330">
        <f t="shared" ref="W123:W138" si="140">IF(Q123&lt;&gt;"",V123*U123,"")</f>
        <v>0</v>
      </c>
      <c r="X123" s="330">
        <f t="shared" si="128"/>
        <v>20000</v>
      </c>
      <c r="Y123" s="331">
        <f t="shared" si="129"/>
        <v>20349.486765254132</v>
      </c>
      <c r="Z123" s="332">
        <f t="shared" ref="Z123:Z138" si="141">IF(Q123&lt;&gt;"",U123/K123,"")</f>
        <v>-0.1111111111111111</v>
      </c>
      <c r="AA123" s="333"/>
      <c r="AC123" s="334">
        <f t="shared" si="97"/>
        <v>0</v>
      </c>
      <c r="AD123" s="335">
        <v>20000</v>
      </c>
      <c r="AE123" s="624" t="s">
        <v>727</v>
      </c>
    </row>
    <row r="124" spans="1:36" ht="99.9" customHeight="1" x14ac:dyDescent="0.45">
      <c r="A124" s="288">
        <v>110</v>
      </c>
      <c r="B124" s="309" t="s">
        <v>357</v>
      </c>
      <c r="C124" s="310" t="s">
        <v>49</v>
      </c>
      <c r="D124" s="288" t="s">
        <v>78</v>
      </c>
      <c r="E124" s="288" t="s">
        <v>79</v>
      </c>
      <c r="F124" s="338" t="s">
        <v>358</v>
      </c>
      <c r="G124" s="404" t="s">
        <v>359</v>
      </c>
      <c r="H124" s="340">
        <v>1</v>
      </c>
      <c r="I124" s="340">
        <v>1</v>
      </c>
      <c r="J124" s="367">
        <v>9500</v>
      </c>
      <c r="K124" s="367">
        <f t="shared" si="133"/>
        <v>9500</v>
      </c>
      <c r="L124" s="367">
        <f t="shared" si="134"/>
        <v>760</v>
      </c>
      <c r="M124" s="367">
        <f t="shared" si="135"/>
        <v>184.45134832856971</v>
      </c>
      <c r="N124" s="500">
        <f t="shared" si="136"/>
        <v>10444.45134832857</v>
      </c>
      <c r="O124" s="389" t="b">
        <v>0</v>
      </c>
      <c r="P124" s="385"/>
      <c r="Q124" s="369">
        <f t="shared" si="137"/>
        <v>1</v>
      </c>
      <c r="R124" s="343">
        <f t="shared" si="137"/>
        <v>1</v>
      </c>
      <c r="S124" s="344">
        <v>7500</v>
      </c>
      <c r="T124" s="344">
        <v>0</v>
      </c>
      <c r="U124" s="345">
        <f t="shared" si="138"/>
        <v>9500</v>
      </c>
      <c r="V124" s="346">
        <f t="shared" si="139"/>
        <v>0</v>
      </c>
      <c r="W124" s="347">
        <f t="shared" si="140"/>
        <v>0</v>
      </c>
      <c r="X124" s="347">
        <f t="shared" si="128"/>
        <v>0</v>
      </c>
      <c r="Y124" s="348">
        <f t="shared" si="129"/>
        <v>184.45134832856971</v>
      </c>
      <c r="Z124" s="332">
        <f t="shared" si="141"/>
        <v>1</v>
      </c>
      <c r="AA124" s="333"/>
      <c r="AC124" s="334">
        <f t="shared" si="97"/>
        <v>0</v>
      </c>
      <c r="AD124" s="335">
        <v>0</v>
      </c>
    </row>
    <row r="125" spans="1:36" ht="99.9" customHeight="1" x14ac:dyDescent="0.45">
      <c r="A125" s="288">
        <v>111</v>
      </c>
      <c r="B125" s="309" t="s">
        <v>360</v>
      </c>
      <c r="C125" s="310" t="s">
        <v>49</v>
      </c>
      <c r="D125" s="288" t="s">
        <v>78</v>
      </c>
      <c r="E125" s="288" t="s">
        <v>79</v>
      </c>
      <c r="F125" s="338" t="s">
        <v>361</v>
      </c>
      <c r="G125" s="404" t="s">
        <v>362</v>
      </c>
      <c r="H125" s="340">
        <v>1</v>
      </c>
      <c r="I125" s="340">
        <v>1</v>
      </c>
      <c r="J125" s="367">
        <v>9900</v>
      </c>
      <c r="K125" s="367">
        <f t="shared" si="133"/>
        <v>9900</v>
      </c>
      <c r="L125" s="367">
        <f t="shared" si="134"/>
        <v>792</v>
      </c>
      <c r="M125" s="367">
        <f t="shared" si="135"/>
        <v>192.21772088977264</v>
      </c>
      <c r="N125" s="500">
        <f t="shared" si="136"/>
        <v>10884.217720889772</v>
      </c>
      <c r="O125" s="389" t="b">
        <v>0</v>
      </c>
      <c r="P125" s="385"/>
      <c r="Q125" s="369">
        <f t="shared" si="137"/>
        <v>1</v>
      </c>
      <c r="R125" s="343">
        <f t="shared" si="137"/>
        <v>1</v>
      </c>
      <c r="S125" s="344">
        <v>4500</v>
      </c>
      <c r="T125" s="344">
        <v>4050</v>
      </c>
      <c r="U125" s="345">
        <f t="shared" si="138"/>
        <v>5850</v>
      </c>
      <c r="V125" s="346">
        <f t="shared" si="139"/>
        <v>0</v>
      </c>
      <c r="W125" s="347">
        <f t="shared" si="140"/>
        <v>0</v>
      </c>
      <c r="X125" s="347">
        <f t="shared" si="128"/>
        <v>4050</v>
      </c>
      <c r="Y125" s="348">
        <f t="shared" si="129"/>
        <v>4242.2177208897729</v>
      </c>
      <c r="Z125" s="332">
        <f t="shared" si="141"/>
        <v>0.59090909090909094</v>
      </c>
      <c r="AA125" s="333"/>
      <c r="AC125" s="334">
        <f t="shared" si="97"/>
        <v>0</v>
      </c>
      <c r="AD125" s="335">
        <f>650+3400</f>
        <v>4050</v>
      </c>
      <c r="AE125" s="624" t="s">
        <v>705</v>
      </c>
    </row>
    <row r="126" spans="1:36" ht="99.9" customHeight="1" x14ac:dyDescent="0.45">
      <c r="A126" s="288">
        <v>112</v>
      </c>
      <c r="B126" s="309" t="s">
        <v>363</v>
      </c>
      <c r="C126" s="310" t="s">
        <v>49</v>
      </c>
      <c r="D126" s="288" t="s">
        <v>78</v>
      </c>
      <c r="E126" s="288" t="s">
        <v>79</v>
      </c>
      <c r="F126" s="338" t="s">
        <v>364</v>
      </c>
      <c r="G126" s="404" t="s">
        <v>365</v>
      </c>
      <c r="H126" s="340">
        <v>1</v>
      </c>
      <c r="I126" s="340">
        <v>1</v>
      </c>
      <c r="J126" s="367">
        <v>12000</v>
      </c>
      <c r="K126" s="367">
        <f t="shared" si="133"/>
        <v>12000</v>
      </c>
      <c r="L126" s="367">
        <f t="shared" si="134"/>
        <v>960</v>
      </c>
      <c r="M126" s="367">
        <f t="shared" si="135"/>
        <v>232.99117683608807</v>
      </c>
      <c r="N126" s="500">
        <f t="shared" si="136"/>
        <v>13192.991176836089</v>
      </c>
      <c r="O126" s="389" t="b">
        <v>0</v>
      </c>
      <c r="P126" s="385"/>
      <c r="Q126" s="369">
        <f t="shared" si="137"/>
        <v>1</v>
      </c>
      <c r="R126" s="343">
        <f t="shared" si="137"/>
        <v>1</v>
      </c>
      <c r="S126" s="344">
        <v>10000</v>
      </c>
      <c r="T126" s="344">
        <v>0</v>
      </c>
      <c r="U126" s="345">
        <f t="shared" si="138"/>
        <v>12000</v>
      </c>
      <c r="V126" s="346">
        <f t="shared" si="139"/>
        <v>0</v>
      </c>
      <c r="W126" s="347">
        <f t="shared" si="140"/>
        <v>0</v>
      </c>
      <c r="X126" s="347">
        <f t="shared" si="128"/>
        <v>0</v>
      </c>
      <c r="Y126" s="348">
        <f t="shared" si="129"/>
        <v>232.99117683608807</v>
      </c>
      <c r="Z126" s="332">
        <f t="shared" si="141"/>
        <v>1</v>
      </c>
      <c r="AA126" s="333"/>
      <c r="AC126" s="334">
        <f t="shared" si="97"/>
        <v>0</v>
      </c>
      <c r="AD126" s="335">
        <v>0</v>
      </c>
    </row>
    <row r="127" spans="1:36" ht="99.9" customHeight="1" x14ac:dyDescent="0.45">
      <c r="A127" s="288">
        <v>113</v>
      </c>
      <c r="B127" s="309" t="s">
        <v>366</v>
      </c>
      <c r="C127" s="310" t="s">
        <v>49</v>
      </c>
      <c r="D127" s="288" t="s">
        <v>78</v>
      </c>
      <c r="E127" s="288" t="s">
        <v>79</v>
      </c>
      <c r="F127" s="338" t="s">
        <v>367</v>
      </c>
      <c r="G127" s="339" t="s">
        <v>368</v>
      </c>
      <c r="H127" s="340">
        <v>1</v>
      </c>
      <c r="I127" s="340">
        <v>1</v>
      </c>
      <c r="J127" s="341">
        <v>6900</v>
      </c>
      <c r="K127" s="341">
        <f t="shared" si="133"/>
        <v>6900</v>
      </c>
      <c r="L127" s="341">
        <f t="shared" si="134"/>
        <v>552</v>
      </c>
      <c r="M127" s="341">
        <f t="shared" si="135"/>
        <v>133.96992668075063</v>
      </c>
      <c r="N127" s="342">
        <f t="shared" si="136"/>
        <v>7585.9699266807511</v>
      </c>
      <c r="O127" s="389" t="b">
        <v>0</v>
      </c>
      <c r="P127" s="385"/>
      <c r="Q127" s="369">
        <f t="shared" si="137"/>
        <v>1</v>
      </c>
      <c r="R127" s="343">
        <f t="shared" si="137"/>
        <v>1</v>
      </c>
      <c r="S127" s="344">
        <v>1850</v>
      </c>
      <c r="T127" s="344">
        <v>2000</v>
      </c>
      <c r="U127" s="345">
        <f t="shared" si="138"/>
        <v>4900</v>
      </c>
      <c r="V127" s="346">
        <f t="shared" si="139"/>
        <v>0</v>
      </c>
      <c r="W127" s="347">
        <f t="shared" si="140"/>
        <v>0</v>
      </c>
      <c r="X127" s="347">
        <f t="shared" si="128"/>
        <v>2000</v>
      </c>
      <c r="Y127" s="348">
        <f t="shared" si="129"/>
        <v>2133.9699266807506</v>
      </c>
      <c r="Z127" s="332">
        <f t="shared" si="141"/>
        <v>0.71014492753623193</v>
      </c>
      <c r="AA127" s="333"/>
      <c r="AC127" s="334">
        <f t="shared" si="97"/>
        <v>0</v>
      </c>
      <c r="AD127" s="335">
        <v>2000</v>
      </c>
      <c r="AE127" s="624" t="s">
        <v>728</v>
      </c>
    </row>
    <row r="128" spans="1:36" ht="99.9" customHeight="1" x14ac:dyDescent="0.45">
      <c r="A128" s="288">
        <v>114</v>
      </c>
      <c r="B128" s="309" t="s">
        <v>369</v>
      </c>
      <c r="C128" s="310" t="s">
        <v>49</v>
      </c>
      <c r="D128" s="288" t="s">
        <v>78</v>
      </c>
      <c r="E128" s="288" t="s">
        <v>79</v>
      </c>
      <c r="F128" s="338" t="s">
        <v>370</v>
      </c>
      <c r="G128" s="339" t="s">
        <v>371</v>
      </c>
      <c r="H128" s="340">
        <v>1</v>
      </c>
      <c r="I128" s="340">
        <v>1</v>
      </c>
      <c r="J128" s="341">
        <v>10800</v>
      </c>
      <c r="K128" s="341">
        <f t="shared" si="133"/>
        <v>10800</v>
      </c>
      <c r="L128" s="341">
        <f t="shared" si="134"/>
        <v>864</v>
      </c>
      <c r="M128" s="341">
        <f t="shared" si="135"/>
        <v>209.69205915247926</v>
      </c>
      <c r="N128" s="342">
        <f t="shared" si="136"/>
        <v>11873.692059152479</v>
      </c>
      <c r="O128" s="389" t="b">
        <v>0</v>
      </c>
      <c r="P128" s="385"/>
      <c r="Q128" s="369">
        <f t="shared" si="137"/>
        <v>1</v>
      </c>
      <c r="R128" s="343">
        <f t="shared" si="137"/>
        <v>1</v>
      </c>
      <c r="S128" s="344">
        <v>7000</v>
      </c>
      <c r="T128" s="344">
        <v>1200</v>
      </c>
      <c r="U128" s="345">
        <f t="shared" si="138"/>
        <v>9600</v>
      </c>
      <c r="V128" s="346">
        <f t="shared" si="139"/>
        <v>0</v>
      </c>
      <c r="W128" s="347">
        <f t="shared" si="140"/>
        <v>0</v>
      </c>
      <c r="X128" s="347">
        <f t="shared" si="128"/>
        <v>1200</v>
      </c>
      <c r="Y128" s="348">
        <f t="shared" si="129"/>
        <v>1409.6920591524793</v>
      </c>
      <c r="Z128" s="332">
        <f t="shared" si="141"/>
        <v>0.88888888888888884</v>
      </c>
      <c r="AA128" s="333"/>
      <c r="AC128" s="334">
        <f t="shared" si="97"/>
        <v>0</v>
      </c>
      <c r="AD128" s="335">
        <f>1200</f>
        <v>1200</v>
      </c>
      <c r="AE128" s="624" t="s">
        <v>776</v>
      </c>
    </row>
    <row r="129" spans="1:31" ht="99.9" customHeight="1" x14ac:dyDescent="0.45">
      <c r="A129" s="288">
        <v>115</v>
      </c>
      <c r="B129" s="309" t="s">
        <v>372</v>
      </c>
      <c r="C129" s="310" t="s">
        <v>49</v>
      </c>
      <c r="D129" s="288" t="s">
        <v>78</v>
      </c>
      <c r="E129" s="288" t="s">
        <v>79</v>
      </c>
      <c r="F129" s="338" t="s">
        <v>373</v>
      </c>
      <c r="G129" s="404" t="s">
        <v>374</v>
      </c>
      <c r="H129" s="340">
        <v>1</v>
      </c>
      <c r="I129" s="340">
        <v>1</v>
      </c>
      <c r="J129" s="367">
        <v>5500</v>
      </c>
      <c r="K129" s="367">
        <f t="shared" si="133"/>
        <v>5500</v>
      </c>
      <c r="L129" s="367">
        <f t="shared" si="134"/>
        <v>440</v>
      </c>
      <c r="M129" s="367">
        <f t="shared" si="135"/>
        <v>106.78762271654035</v>
      </c>
      <c r="N129" s="500">
        <f t="shared" si="136"/>
        <v>6046.7876227165407</v>
      </c>
      <c r="O129" s="389" t="b">
        <v>0</v>
      </c>
      <c r="P129" s="385"/>
      <c r="Q129" s="369">
        <f t="shared" si="137"/>
        <v>1</v>
      </c>
      <c r="R129" s="343">
        <f t="shared" si="137"/>
        <v>1</v>
      </c>
      <c r="S129" s="344">
        <v>3000</v>
      </c>
      <c r="T129" s="344">
        <v>0</v>
      </c>
      <c r="U129" s="345">
        <f t="shared" si="138"/>
        <v>5500</v>
      </c>
      <c r="V129" s="346">
        <f t="shared" si="139"/>
        <v>0</v>
      </c>
      <c r="W129" s="347">
        <f t="shared" si="140"/>
        <v>0</v>
      </c>
      <c r="X129" s="347">
        <f t="shared" si="128"/>
        <v>0</v>
      </c>
      <c r="Y129" s="348">
        <f t="shared" si="129"/>
        <v>106.78762271654035</v>
      </c>
      <c r="Z129" s="332">
        <f t="shared" si="141"/>
        <v>1</v>
      </c>
      <c r="AA129" s="333"/>
      <c r="AC129" s="334">
        <f t="shared" si="97"/>
        <v>0</v>
      </c>
      <c r="AD129" s="335">
        <v>0</v>
      </c>
    </row>
    <row r="130" spans="1:31" ht="99.9" customHeight="1" x14ac:dyDescent="0.45">
      <c r="A130" s="288">
        <v>116</v>
      </c>
      <c r="B130" s="309" t="s">
        <v>375</v>
      </c>
      <c r="C130" s="310" t="s">
        <v>49</v>
      </c>
      <c r="D130" s="288" t="s">
        <v>78</v>
      </c>
      <c r="E130" s="288" t="s">
        <v>79</v>
      </c>
      <c r="F130" s="338" t="s">
        <v>376</v>
      </c>
      <c r="G130" s="404" t="s">
        <v>377</v>
      </c>
      <c r="H130" s="340">
        <v>1</v>
      </c>
      <c r="I130" s="340">
        <v>1</v>
      </c>
      <c r="J130" s="367">
        <v>5500</v>
      </c>
      <c r="K130" s="367">
        <f t="shared" si="133"/>
        <v>5500</v>
      </c>
      <c r="L130" s="367">
        <f t="shared" si="134"/>
        <v>440</v>
      </c>
      <c r="M130" s="367">
        <f t="shared" si="135"/>
        <v>106.78762271654035</v>
      </c>
      <c r="N130" s="500">
        <f t="shared" si="136"/>
        <v>6046.7876227165407</v>
      </c>
      <c r="O130" s="389" t="b">
        <v>0</v>
      </c>
      <c r="P130" s="385"/>
      <c r="Q130" s="369">
        <f t="shared" si="137"/>
        <v>1</v>
      </c>
      <c r="R130" s="343">
        <f t="shared" si="137"/>
        <v>1</v>
      </c>
      <c r="S130" s="344">
        <v>3000</v>
      </c>
      <c r="T130" s="344">
        <v>0</v>
      </c>
      <c r="U130" s="345">
        <f t="shared" si="138"/>
        <v>5500</v>
      </c>
      <c r="V130" s="346">
        <f t="shared" si="139"/>
        <v>0</v>
      </c>
      <c r="W130" s="347">
        <f t="shared" si="140"/>
        <v>0</v>
      </c>
      <c r="X130" s="347">
        <f t="shared" si="128"/>
        <v>0</v>
      </c>
      <c r="Y130" s="348">
        <f t="shared" si="129"/>
        <v>106.78762271654035</v>
      </c>
      <c r="Z130" s="332">
        <f t="shared" si="141"/>
        <v>1</v>
      </c>
      <c r="AA130" s="333"/>
      <c r="AC130" s="334">
        <f t="shared" si="97"/>
        <v>0</v>
      </c>
      <c r="AD130" s="335">
        <v>0</v>
      </c>
    </row>
    <row r="131" spans="1:31" ht="99.9" customHeight="1" x14ac:dyDescent="0.45">
      <c r="A131" s="288">
        <v>117</v>
      </c>
      <c r="B131" s="309" t="s">
        <v>378</v>
      </c>
      <c r="C131" s="310" t="s">
        <v>49</v>
      </c>
      <c r="D131" s="288" t="s">
        <v>78</v>
      </c>
      <c r="E131" s="288" t="s">
        <v>79</v>
      </c>
      <c r="F131" s="338" t="s">
        <v>379</v>
      </c>
      <c r="G131" s="339" t="s">
        <v>380</v>
      </c>
      <c r="H131" s="340">
        <v>1</v>
      </c>
      <c r="I131" s="340">
        <v>2</v>
      </c>
      <c r="J131" s="341">
        <v>5500</v>
      </c>
      <c r="K131" s="341">
        <f t="shared" si="133"/>
        <v>11000</v>
      </c>
      <c r="L131" s="341">
        <f t="shared" si="134"/>
        <v>880</v>
      </c>
      <c r="M131" s="341">
        <f t="shared" si="135"/>
        <v>213.57524543308071</v>
      </c>
      <c r="N131" s="342">
        <f t="shared" si="136"/>
        <v>12093.575245433081</v>
      </c>
      <c r="O131" s="389" t="b">
        <v>0</v>
      </c>
      <c r="P131" s="385"/>
      <c r="Q131" s="369">
        <f t="shared" si="137"/>
        <v>1</v>
      </c>
      <c r="R131" s="343">
        <f t="shared" si="137"/>
        <v>2</v>
      </c>
      <c r="S131" s="344">
        <v>3500</v>
      </c>
      <c r="T131" s="344">
        <v>6000</v>
      </c>
      <c r="U131" s="345">
        <f t="shared" si="138"/>
        <v>5000</v>
      </c>
      <c r="V131" s="346">
        <f t="shared" si="139"/>
        <v>0</v>
      </c>
      <c r="W131" s="347">
        <f t="shared" si="140"/>
        <v>0</v>
      </c>
      <c r="X131" s="347">
        <f t="shared" si="128"/>
        <v>6000</v>
      </c>
      <c r="Y131" s="348">
        <f t="shared" si="129"/>
        <v>6213.5752454330805</v>
      </c>
      <c r="Z131" s="332">
        <f t="shared" si="141"/>
        <v>0.45454545454545453</v>
      </c>
      <c r="AA131" s="333"/>
      <c r="AC131" s="334">
        <f t="shared" si="97"/>
        <v>0</v>
      </c>
      <c r="AD131" s="335">
        <v>6000</v>
      </c>
      <c r="AE131" s="624" t="s">
        <v>724</v>
      </c>
    </row>
    <row r="132" spans="1:31" ht="99.9" customHeight="1" x14ac:dyDescent="0.45">
      <c r="A132" s="288">
        <v>118</v>
      </c>
      <c r="B132" s="309" t="s">
        <v>381</v>
      </c>
      <c r="C132" s="310" t="s">
        <v>49</v>
      </c>
      <c r="D132" s="288" t="s">
        <v>78</v>
      </c>
      <c r="E132" s="288" t="s">
        <v>79</v>
      </c>
      <c r="F132" s="338" t="s">
        <v>382</v>
      </c>
      <c r="G132" s="339" t="s">
        <v>383</v>
      </c>
      <c r="H132" s="340">
        <v>1</v>
      </c>
      <c r="I132" s="340">
        <v>1</v>
      </c>
      <c r="J132" s="341">
        <v>950</v>
      </c>
      <c r="K132" s="341">
        <f t="shared" si="133"/>
        <v>950</v>
      </c>
      <c r="L132" s="341">
        <f t="shared" si="134"/>
        <v>76</v>
      </c>
      <c r="M132" s="341">
        <f t="shared" si="135"/>
        <v>18.445134832856972</v>
      </c>
      <c r="N132" s="342">
        <f t="shared" si="136"/>
        <v>1044.4451348328569</v>
      </c>
      <c r="O132" s="389" t="b">
        <v>0</v>
      </c>
      <c r="P132" s="385"/>
      <c r="Q132" s="369">
        <f t="shared" si="137"/>
        <v>1</v>
      </c>
      <c r="R132" s="343">
        <f t="shared" si="137"/>
        <v>1</v>
      </c>
      <c r="S132" s="344">
        <v>650</v>
      </c>
      <c r="T132" s="344">
        <f t="shared" ref="T132:T133" si="142">IF(Q132&lt;&gt;"",Q132*R132*S132,"")</f>
        <v>650</v>
      </c>
      <c r="U132" s="345">
        <f t="shared" si="138"/>
        <v>300</v>
      </c>
      <c r="V132" s="346">
        <f t="shared" si="139"/>
        <v>0</v>
      </c>
      <c r="W132" s="347">
        <f t="shared" si="140"/>
        <v>0</v>
      </c>
      <c r="X132" s="347">
        <f t="shared" si="128"/>
        <v>650</v>
      </c>
      <c r="Y132" s="348">
        <f t="shared" si="129"/>
        <v>668.44513483285698</v>
      </c>
      <c r="Z132" s="332">
        <f t="shared" si="141"/>
        <v>0.31578947368421051</v>
      </c>
      <c r="AA132" s="333"/>
      <c r="AC132" s="334">
        <f t="shared" si="97"/>
        <v>0</v>
      </c>
      <c r="AD132" s="335">
        <v>650</v>
      </c>
      <c r="AE132" s="624" t="s">
        <v>735</v>
      </c>
    </row>
    <row r="133" spans="1:31" ht="99.9" customHeight="1" x14ac:dyDescent="0.45">
      <c r="A133" s="288">
        <v>119</v>
      </c>
      <c r="B133" s="309" t="s">
        <v>384</v>
      </c>
      <c r="C133" s="310" t="s">
        <v>49</v>
      </c>
      <c r="D133" s="288" t="s">
        <v>78</v>
      </c>
      <c r="E133" s="288" t="s">
        <v>79</v>
      </c>
      <c r="F133" s="379" t="s">
        <v>385</v>
      </c>
      <c r="G133" s="437" t="s">
        <v>386</v>
      </c>
      <c r="H133" s="435">
        <v>1</v>
      </c>
      <c r="I133" s="435">
        <v>1</v>
      </c>
      <c r="J133" s="383">
        <v>5400</v>
      </c>
      <c r="K133" s="383">
        <f t="shared" si="133"/>
        <v>5400</v>
      </c>
      <c r="L133" s="383">
        <f t="shared" si="134"/>
        <v>432</v>
      </c>
      <c r="M133" s="383">
        <f t="shared" si="135"/>
        <v>104.84602957623963</v>
      </c>
      <c r="N133" s="384">
        <f t="shared" si="136"/>
        <v>5936.8460295762397</v>
      </c>
      <c r="O133" s="389" t="b">
        <v>0</v>
      </c>
      <c r="P133" s="368" t="s">
        <v>387</v>
      </c>
      <c r="Q133" s="386">
        <f t="shared" si="137"/>
        <v>1</v>
      </c>
      <c r="R133" s="387">
        <f t="shared" si="137"/>
        <v>1</v>
      </c>
      <c r="S133" s="388">
        <v>0</v>
      </c>
      <c r="T133" s="388">
        <f t="shared" si="142"/>
        <v>0</v>
      </c>
      <c r="U133" s="454">
        <f t="shared" si="138"/>
        <v>5400</v>
      </c>
      <c r="V133" s="455">
        <f t="shared" si="139"/>
        <v>0</v>
      </c>
      <c r="W133" s="456">
        <f t="shared" si="140"/>
        <v>0</v>
      </c>
      <c r="X133" s="456">
        <f t="shared" si="128"/>
        <v>0</v>
      </c>
      <c r="Y133" s="378">
        <f t="shared" si="129"/>
        <v>104.84602957623963</v>
      </c>
      <c r="Z133" s="332">
        <f t="shared" si="141"/>
        <v>1</v>
      </c>
      <c r="AA133" s="333"/>
      <c r="AC133" s="334">
        <f t="shared" si="97"/>
        <v>0</v>
      </c>
      <c r="AD133" s="335">
        <v>0</v>
      </c>
    </row>
    <row r="134" spans="1:31" ht="99.9" customHeight="1" x14ac:dyDescent="0.45">
      <c r="A134" s="336">
        <v>120</v>
      </c>
      <c r="B134" s="309" t="s">
        <v>388</v>
      </c>
      <c r="C134" s="337" t="s">
        <v>49</v>
      </c>
      <c r="D134" s="288" t="s">
        <v>78</v>
      </c>
      <c r="E134" s="288" t="s">
        <v>79</v>
      </c>
      <c r="F134" s="338" t="s">
        <v>389</v>
      </c>
      <c r="G134" s="339" t="s">
        <v>390</v>
      </c>
      <c r="H134" s="340">
        <v>1</v>
      </c>
      <c r="I134" s="340">
        <v>1</v>
      </c>
      <c r="J134" s="341">
        <v>850</v>
      </c>
      <c r="K134" s="341">
        <f>IF(F134&lt;&gt;"",H134*I134*J134,"")</f>
        <v>850</v>
      </c>
      <c r="L134" s="341">
        <f>IF(K134&lt;&gt;"",IF(D134="INTERNO",0,K134*$L$14),"")</f>
        <v>68</v>
      </c>
      <c r="M134" s="341">
        <f>IF(K134&lt;&gt;"",IF(E134="FAT.OGGI",SUM(K134:L134)*(1/(1-$M$14)-1),L134*(1/(1-$M$14)-1)),"")</f>
        <v>16.503541692556237</v>
      </c>
      <c r="N134" s="342">
        <f>SUM(K134:M134)</f>
        <v>934.50354169255627</v>
      </c>
      <c r="O134" s="389" t="b">
        <v>0</v>
      </c>
      <c r="P134" s="385"/>
      <c r="Q134" s="406">
        <f>IF(H134&lt;&gt;"",H134,"")</f>
        <v>1</v>
      </c>
      <c r="R134" s="407">
        <f>IF(I134&lt;&gt;"",I134,"")</f>
        <v>1</v>
      </c>
      <c r="S134" s="408">
        <v>650</v>
      </c>
      <c r="T134" s="408">
        <v>0</v>
      </c>
      <c r="U134" s="409">
        <f>IF(Q134&lt;&gt;"",K134-T134,"")</f>
        <v>850</v>
      </c>
      <c r="V134" s="410">
        <f>IF(Q134&lt;&gt;"",0%,"")</f>
        <v>0</v>
      </c>
      <c r="W134" s="411">
        <f>IF(Q134&lt;&gt;"",V134*U134,"")</f>
        <v>0</v>
      </c>
      <c r="X134" s="411">
        <f t="shared" si="128"/>
        <v>0</v>
      </c>
      <c r="Y134" s="348">
        <f t="shared" si="129"/>
        <v>16.503541692556237</v>
      </c>
      <c r="Z134" s="332">
        <f>IF(Q134&lt;&gt;"",U134/K134,"")</f>
        <v>1</v>
      </c>
      <c r="AA134" s="333"/>
      <c r="AC134" s="334">
        <f t="shared" si="97"/>
        <v>0</v>
      </c>
      <c r="AD134" s="335">
        <v>0</v>
      </c>
    </row>
    <row r="135" spans="1:31" ht="99.9" customHeight="1" x14ac:dyDescent="0.45">
      <c r="A135" s="353">
        <v>121</v>
      </c>
      <c r="B135" s="309" t="s">
        <v>391</v>
      </c>
      <c r="C135" s="354" t="s">
        <v>49</v>
      </c>
      <c r="D135" s="353" t="s">
        <v>78</v>
      </c>
      <c r="E135" s="353" t="s">
        <v>79</v>
      </c>
      <c r="F135" s="413" t="s">
        <v>392</v>
      </c>
      <c r="G135" s="414" t="s">
        <v>393</v>
      </c>
      <c r="H135" s="415">
        <v>1</v>
      </c>
      <c r="I135" s="415">
        <v>1</v>
      </c>
      <c r="J135" s="416">
        <v>3000</v>
      </c>
      <c r="K135" s="416">
        <f t="shared" si="133"/>
        <v>3000</v>
      </c>
      <c r="L135" s="416">
        <f t="shared" si="134"/>
        <v>240</v>
      </c>
      <c r="M135" s="416">
        <f t="shared" si="135"/>
        <v>58.247794209022018</v>
      </c>
      <c r="N135" s="417">
        <f t="shared" si="136"/>
        <v>3298.2477942090222</v>
      </c>
      <c r="O135" s="389" t="b">
        <v>0</v>
      </c>
      <c r="P135" s="385"/>
      <c r="Q135" s="471">
        <f t="shared" ref="Q135:R138" si="143">IF(H135&lt;&gt;"",H135,"")</f>
        <v>1</v>
      </c>
      <c r="R135" s="326">
        <f t="shared" si="143"/>
        <v>1</v>
      </c>
      <c r="S135" s="327">
        <v>1500</v>
      </c>
      <c r="T135" s="327">
        <v>1200</v>
      </c>
      <c r="U135" s="328">
        <f t="shared" si="138"/>
        <v>1800</v>
      </c>
      <c r="V135" s="329">
        <f t="shared" si="139"/>
        <v>0</v>
      </c>
      <c r="W135" s="330">
        <f t="shared" si="140"/>
        <v>0</v>
      </c>
      <c r="X135" s="330">
        <f t="shared" si="128"/>
        <v>1200</v>
      </c>
      <c r="Y135" s="331">
        <f t="shared" si="129"/>
        <v>1258.247794209022</v>
      </c>
      <c r="Z135" s="332">
        <f t="shared" si="141"/>
        <v>0.6</v>
      </c>
      <c r="AA135" s="333"/>
      <c r="AC135" s="334">
        <f t="shared" si="97"/>
        <v>0</v>
      </c>
      <c r="AD135" s="335">
        <v>1200</v>
      </c>
      <c r="AE135" s="624" t="s">
        <v>711</v>
      </c>
    </row>
    <row r="136" spans="1:31" ht="99.9" customHeight="1" x14ac:dyDescent="0.45">
      <c r="A136" s="288">
        <v>122</v>
      </c>
      <c r="B136" s="309" t="s">
        <v>394</v>
      </c>
      <c r="C136" s="310" t="s">
        <v>49</v>
      </c>
      <c r="D136" s="288" t="s">
        <v>78</v>
      </c>
      <c r="E136" s="288" t="s">
        <v>79</v>
      </c>
      <c r="F136" s="379" t="s">
        <v>395</v>
      </c>
      <c r="G136" s="437" t="s">
        <v>396</v>
      </c>
      <c r="H136" s="435">
        <v>1</v>
      </c>
      <c r="I136" s="435">
        <v>1</v>
      </c>
      <c r="J136" s="383">
        <v>15000</v>
      </c>
      <c r="K136" s="383">
        <f t="shared" si="133"/>
        <v>15000</v>
      </c>
      <c r="L136" s="383">
        <f t="shared" si="134"/>
        <v>1200</v>
      </c>
      <c r="M136" s="383">
        <f t="shared" si="135"/>
        <v>291.23897104511008</v>
      </c>
      <c r="N136" s="384">
        <f t="shared" si="136"/>
        <v>16491.23897104511</v>
      </c>
      <c r="O136" s="389" t="b">
        <v>0</v>
      </c>
      <c r="P136" s="385"/>
      <c r="Q136" s="386">
        <f t="shared" si="143"/>
        <v>1</v>
      </c>
      <c r="R136" s="387">
        <f t="shared" si="143"/>
        <v>1</v>
      </c>
      <c r="S136" s="388">
        <v>10000</v>
      </c>
      <c r="T136" s="388">
        <v>21000</v>
      </c>
      <c r="U136" s="454">
        <f t="shared" si="138"/>
        <v>-6000</v>
      </c>
      <c r="V136" s="455">
        <f t="shared" si="139"/>
        <v>0</v>
      </c>
      <c r="W136" s="456">
        <f t="shared" si="140"/>
        <v>0</v>
      </c>
      <c r="X136" s="456">
        <f t="shared" si="128"/>
        <v>21000</v>
      </c>
      <c r="Y136" s="378">
        <f t="shared" si="129"/>
        <v>21291.23897104511</v>
      </c>
      <c r="Z136" s="332">
        <f t="shared" si="141"/>
        <v>-0.4</v>
      </c>
      <c r="AA136" s="333"/>
      <c r="AC136" s="334">
        <f t="shared" si="97"/>
        <v>0</v>
      </c>
      <c r="AD136" s="335">
        <f>10000+11000</f>
        <v>21000</v>
      </c>
      <c r="AE136" s="624" t="s">
        <v>729</v>
      </c>
    </row>
    <row r="137" spans="1:31" ht="99.9" customHeight="1" x14ac:dyDescent="0.45">
      <c r="A137" s="336">
        <v>123</v>
      </c>
      <c r="B137" s="309" t="s">
        <v>397</v>
      </c>
      <c r="C137" s="337" t="s">
        <v>49</v>
      </c>
      <c r="D137" s="288" t="s">
        <v>78</v>
      </c>
      <c r="E137" s="288" t="s">
        <v>79</v>
      </c>
      <c r="F137" s="338" t="s">
        <v>398</v>
      </c>
      <c r="G137" s="339" t="s">
        <v>399</v>
      </c>
      <c r="H137" s="340">
        <v>1</v>
      </c>
      <c r="I137" s="340">
        <v>1</v>
      </c>
      <c r="J137" s="341">
        <v>12600</v>
      </c>
      <c r="K137" s="341">
        <f>IF(F137&lt;&gt;"",H137*I137*J137,"")</f>
        <v>12600</v>
      </c>
      <c r="L137" s="341">
        <f>IF(K137&lt;&gt;"",IF(D137="INTERNO",0,K137*$L$14),"")</f>
        <v>1008</v>
      </c>
      <c r="M137" s="341">
        <f>IF(K137&lt;&gt;"",IF(E137="FAT.OGGI",SUM(K137:L137)*(1/(1-$M$14)-1),L137*(1/(1-$M$14)-1)),"")</f>
        <v>244.64073567789245</v>
      </c>
      <c r="N137" s="342">
        <f>SUM(K137:M137)</f>
        <v>13852.640735677893</v>
      </c>
      <c r="O137" s="389" t="b">
        <v>0</v>
      </c>
      <c r="P137" s="385"/>
      <c r="Q137" s="406">
        <f>IF(H137&lt;&gt;"",H137,"")</f>
        <v>1</v>
      </c>
      <c r="R137" s="407">
        <f>IF(I137&lt;&gt;"",I137,"")</f>
        <v>1</v>
      </c>
      <c r="S137" s="408">
        <v>3500</v>
      </c>
      <c r="T137" s="408">
        <v>8660</v>
      </c>
      <c r="U137" s="409">
        <f>IF(Q137&lt;&gt;"",K137-T137,"")</f>
        <v>3940</v>
      </c>
      <c r="V137" s="410">
        <f>IF(Q137&lt;&gt;"",0%,"")</f>
        <v>0</v>
      </c>
      <c r="W137" s="411">
        <f>IF(Q137&lt;&gt;"",V137*U137,"")</f>
        <v>0</v>
      </c>
      <c r="X137" s="411">
        <f t="shared" si="128"/>
        <v>8660</v>
      </c>
      <c r="Y137" s="348">
        <f t="shared" si="129"/>
        <v>8904.6407356778927</v>
      </c>
      <c r="Z137" s="332">
        <f>IF(Q137&lt;&gt;"",U137/K137,"")</f>
        <v>0.3126984126984127</v>
      </c>
      <c r="AA137" s="333"/>
      <c r="AC137" s="334">
        <f t="shared" si="97"/>
        <v>0</v>
      </c>
      <c r="AD137" s="335">
        <v>8660</v>
      </c>
      <c r="AE137" s="624" t="s">
        <v>759</v>
      </c>
    </row>
    <row r="138" spans="1:31" ht="99.9" customHeight="1" x14ac:dyDescent="0.45">
      <c r="A138" s="353">
        <v>124</v>
      </c>
      <c r="B138" s="309" t="s">
        <v>400</v>
      </c>
      <c r="C138" s="354" t="s">
        <v>49</v>
      </c>
      <c r="D138" s="353" t="s">
        <v>78</v>
      </c>
      <c r="E138" s="353" t="s">
        <v>79</v>
      </c>
      <c r="F138" s="424" t="s">
        <v>401</v>
      </c>
      <c r="G138" s="436" t="s">
        <v>402</v>
      </c>
      <c r="H138" s="425">
        <v>1</v>
      </c>
      <c r="I138" s="425">
        <v>1</v>
      </c>
      <c r="J138" s="426">
        <v>8000</v>
      </c>
      <c r="K138" s="426">
        <f t="shared" si="133"/>
        <v>8000</v>
      </c>
      <c r="L138" s="426">
        <f t="shared" si="134"/>
        <v>640</v>
      </c>
      <c r="M138" s="426">
        <f t="shared" si="135"/>
        <v>155.32745122405871</v>
      </c>
      <c r="N138" s="427">
        <f t="shared" si="136"/>
        <v>8795.3274512240587</v>
      </c>
      <c r="O138" s="389" t="b">
        <v>0</v>
      </c>
      <c r="P138" s="385"/>
      <c r="Q138" s="369">
        <f t="shared" si="143"/>
        <v>1</v>
      </c>
      <c r="R138" s="505">
        <f t="shared" si="143"/>
        <v>1</v>
      </c>
      <c r="S138" s="506">
        <v>8000</v>
      </c>
      <c r="T138" s="506">
        <v>35425.449999999997</v>
      </c>
      <c r="U138" s="507">
        <f t="shared" si="138"/>
        <v>-27425.449999999997</v>
      </c>
      <c r="V138" s="508">
        <f t="shared" si="139"/>
        <v>0</v>
      </c>
      <c r="W138" s="509">
        <f t="shared" si="140"/>
        <v>0</v>
      </c>
      <c r="X138" s="509">
        <f t="shared" si="128"/>
        <v>35425.449999999997</v>
      </c>
      <c r="Y138" s="434">
        <f t="shared" si="129"/>
        <v>35580.777451224058</v>
      </c>
      <c r="Z138" s="332">
        <f t="shared" si="141"/>
        <v>-3.4281812499999997</v>
      </c>
      <c r="AA138" s="333"/>
      <c r="AC138" s="334">
        <f t="shared" si="97"/>
        <v>0</v>
      </c>
      <c r="AD138" s="335">
        <f>'CUSTOS OP.'!H27</f>
        <v>35425.449999999997</v>
      </c>
      <c r="AE138" s="624" t="s">
        <v>777</v>
      </c>
    </row>
    <row r="139" spans="1:31" ht="99.9" customHeight="1" thickBot="1" x14ac:dyDescent="0.5">
      <c r="A139" s="336">
        <v>125</v>
      </c>
      <c r="B139" s="309" t="s">
        <v>403</v>
      </c>
      <c r="C139" s="337" t="s">
        <v>49</v>
      </c>
      <c r="D139" s="353" t="s">
        <v>78</v>
      </c>
      <c r="E139" s="353" t="s">
        <v>79</v>
      </c>
      <c r="F139" s="338" t="s">
        <v>404</v>
      </c>
      <c r="G139" s="339" t="s">
        <v>405</v>
      </c>
      <c r="H139" s="340">
        <v>1</v>
      </c>
      <c r="I139" s="340">
        <v>0</v>
      </c>
      <c r="J139" s="341">
        <v>162000</v>
      </c>
      <c r="K139" s="341">
        <f>IF(F139&lt;&gt;"",H139*I139*J139,"")</f>
        <v>0</v>
      </c>
      <c r="L139" s="341">
        <f>IF(K139&lt;&gt;"",IF(D139="INTERNO",0,K139*$L$14),"")</f>
        <v>0</v>
      </c>
      <c r="M139" s="341">
        <f>IF(K139&lt;&gt;"",IF(E139="FAT.OGGI",SUM(K139:L139)*(1/(1-$M$14)-1),L139*(1/(1-$M$14)-1)),"")</f>
        <v>0</v>
      </c>
      <c r="N139" s="342">
        <f>SUM(K139:M139)</f>
        <v>0</v>
      </c>
      <c r="O139" s="389" t="b">
        <v>0</v>
      </c>
      <c r="P139" s="510"/>
      <c r="Q139" s="511">
        <f>IF(H139&lt;&gt;"",H139,"")</f>
        <v>1</v>
      </c>
      <c r="R139" s="407">
        <f>IF(I139&lt;&gt;"",I139,"")</f>
        <v>0</v>
      </c>
      <c r="S139" s="408">
        <v>162000</v>
      </c>
      <c r="T139" s="408">
        <f>IF(Q139&lt;&gt;"",Q139*R139*S139,"")</f>
        <v>0</v>
      </c>
      <c r="U139" s="409">
        <f>IF(Q139&lt;&gt;"",K139-T139,"")</f>
        <v>0</v>
      </c>
      <c r="V139" s="410">
        <f>IF(Q139&lt;&gt;"",0%,"")</f>
        <v>0</v>
      </c>
      <c r="W139" s="411">
        <f>IF(Q139&lt;&gt;"",V139*U139,"")</f>
        <v>0</v>
      </c>
      <c r="X139" s="411">
        <f t="shared" si="128"/>
        <v>0</v>
      </c>
      <c r="Y139" s="348">
        <f t="shared" si="129"/>
        <v>0</v>
      </c>
      <c r="Z139" s="332" t="e">
        <f>IF(Q139&lt;&gt;"",U139/K139,"")</f>
        <v>#DIV/0!</v>
      </c>
      <c r="AA139" s="512"/>
      <c r="AC139" s="334">
        <f t="shared" si="97"/>
        <v>0</v>
      </c>
      <c r="AD139" s="335">
        <v>0</v>
      </c>
    </row>
    <row r="140" spans="1:31" ht="39.9" customHeight="1" thickBot="1" x14ac:dyDescent="0.5">
      <c r="A140" s="353">
        <v>126</v>
      </c>
      <c r="B140" s="309"/>
      <c r="C140" s="354" t="s">
        <v>72</v>
      </c>
      <c r="D140" s="353"/>
      <c r="E140" s="353"/>
      <c r="F140" s="698" t="s">
        <v>210</v>
      </c>
      <c r="G140" s="699"/>
      <c r="H140" s="699"/>
      <c r="I140" s="699"/>
      <c r="J140" s="699"/>
      <c r="K140" s="513">
        <f>SUM(K112:K139)</f>
        <v>216562.5</v>
      </c>
      <c r="L140" s="513">
        <f>SUM(L112:L139)</f>
        <v>17325</v>
      </c>
      <c r="M140" s="513">
        <f>SUM(M112:M139)</f>
        <v>4204.7626444637763</v>
      </c>
      <c r="N140" s="514">
        <f>SUM(N112:N139)</f>
        <v>238092.26264446374</v>
      </c>
      <c r="O140" s="357"/>
      <c r="Q140" s="698" t="s">
        <v>210</v>
      </c>
      <c r="R140" s="699"/>
      <c r="S140" s="699"/>
      <c r="T140" s="515">
        <f>SUM(T112:T139)</f>
        <v>187082.89</v>
      </c>
      <c r="U140" s="516">
        <f>SUM(U112:U139)</f>
        <v>29479.61</v>
      </c>
      <c r="V140" s="517"/>
      <c r="W140" s="517"/>
      <c r="X140" s="518">
        <f>SUM(X112:X139)</f>
        <v>187082.89</v>
      </c>
      <c r="Y140" s="519">
        <f t="shared" si="129"/>
        <v>191287.65264446379</v>
      </c>
      <c r="Z140" s="520" t="s">
        <v>211</v>
      </c>
      <c r="AA140" s="521" t="s">
        <v>212</v>
      </c>
      <c r="AC140" s="334"/>
      <c r="AD140" s="335"/>
    </row>
    <row r="141" spans="1:31" ht="39.9" customHeight="1" thickBot="1" x14ac:dyDescent="0.5">
      <c r="A141" s="336">
        <v>127</v>
      </c>
      <c r="B141" s="522"/>
      <c r="C141" s="337" t="s">
        <v>213</v>
      </c>
      <c r="D141" s="336"/>
      <c r="E141" s="336"/>
      <c r="F141" s="50" t="s">
        <v>214</v>
      </c>
      <c r="G141" s="45"/>
      <c r="H141" s="47"/>
      <c r="I141" s="47"/>
      <c r="J141" s="45"/>
      <c r="K141" s="46">
        <f>SUM(K17:K23)+SUM(K27:K30)+SUM(K34:K35)+SUM(K39:K53)+SUM(K57:K63)+SUM(K67:K77)+SUM(K81:K85)+SUM(K89:K93)+SUM(K97:K97)+SUM(K101:K101)+SUM(K105:K108)+SUM(K112:K139)</f>
        <v>1786829.99</v>
      </c>
      <c r="L141" s="46">
        <f>SUM(L17:L23)+SUM(L27:L30)+SUM(L34:L35)+SUM(L39:L53)+SUM(L57:L63)+SUM(L67:L77)+SUM(L81:L85)+SUM(L89:L93)+SUM(L97:L97)+SUM(L101:L101)+SUM(L105:L108)+SUM(L112:L139)</f>
        <v>134946.39920000001</v>
      </c>
      <c r="M141" s="46">
        <f>SUM(M17:M23)+SUM(M27:M30)+SUM(M34:M35)+SUM(M39:M53)+SUM(M57:M63)+SUM(M67:M77)+SUM(M81:M85)+SUM(M89:M93)+SUM(M97:M97)+SUM(M101:M101)+SUM(M105:M108)+SUM(M112:M139)</f>
        <v>57021.289628134735</v>
      </c>
      <c r="N141" s="58">
        <f>SUM(N17:N23)+SUM(N27:N30)+SUM(N34:N35)+SUM(N39:N53)+SUM(N57:N63)+SUM(N67:N77)+SUM(N81:N85)+SUM(N89:N93)+SUM(N97:N97)+SUM(N101:N101)+SUM(N105:N108)+SUM(N112:N139)</f>
        <v>1978797.6788281347</v>
      </c>
      <c r="O141" s="357"/>
      <c r="Q141" s="48" t="s">
        <v>215</v>
      </c>
      <c r="R141" s="47"/>
      <c r="S141" s="45"/>
      <c r="T141" s="46">
        <f>SUM(T17:T23)+SUM(T27:T30)+SUM(T34:T35)+SUM(T39:T53)+SUM(T57:T63)+SUM(T67:T77)+SUM(T81:T85)+SUM(T89:T93)+SUM(T97:T97)+SUM(T101:T101)+SUM(T105:T108)+SUM(T112:T139)</f>
        <v>1333837.3500000001</v>
      </c>
      <c r="U141" s="46">
        <f>SUM(U17:U23)+SUM(U27:U30)+SUM(U34:U35)+SUM(U39:U53)+SUM(U57:U63)+SUM(U67:U77)+SUM(U81:U85)+SUM(U89:U93)+SUM(U97:U97)+SUM(U101:U101)+SUM(U105:U108)+SUM(U112:U139)</f>
        <v>452992.63999999996</v>
      </c>
      <c r="V141" s="45"/>
      <c r="W141" s="45"/>
      <c r="X141" s="46">
        <f>SUM(X17:X23)+SUM(X27:X30)+SUM(X34:X35)+SUM(X39:X53)+SUM(X57:X63)+SUM(X67:X77)+SUM(X81:X85)+SUM(X89:X93)+SUM(X97:X97)+SUM(X101:X101)+SUM(X105:X108)+SUM(X112:X139)</f>
        <v>1333837.3500000001</v>
      </c>
      <c r="Y141" s="58">
        <f>SUM(Y17:Y23)+SUM(Y27:Y30)+SUM(Y34:Y35)+SUM(Y39:Y53)+SUM(Y57:Y63)+SUM(Y67:Y77)+SUM(Y81:Y85)+SUM(Y89:Y93)+SUM(Y97:Y97)+SUM(Y101:Y101)+SUM(Y105:Y108)+SUM(Y112:Y139)</f>
        <v>1390858.6396281349</v>
      </c>
      <c r="Z141" s="51">
        <f>IF(Q141&lt;&gt;"",(N141-Y141)/N141,"")</f>
        <v>0.29711932932334123</v>
      </c>
      <c r="AA141" s="59">
        <f>IF(Z141&lt;&gt;"",(N141-Y141),"")</f>
        <v>587939.03919999977</v>
      </c>
      <c r="AC141" s="334">
        <f>SUM(AC17:AC139)</f>
        <v>0</v>
      </c>
      <c r="AD141" s="335">
        <f>SUM(AD17:AD139)</f>
        <v>1333837.3500000003</v>
      </c>
    </row>
    <row r="142" spans="1:31" ht="36.6" hidden="1" customHeight="1" x14ac:dyDescent="0.4">
      <c r="N142" s="523">
        <v>1989630</v>
      </c>
    </row>
    <row r="143" spans="1:31" hidden="1" x14ac:dyDescent="0.4">
      <c r="J143" s="524">
        <v>18000</v>
      </c>
    </row>
    <row r="144" spans="1:31" hidden="1" x14ac:dyDescent="0.4">
      <c r="J144" s="524">
        <v>13500</v>
      </c>
      <c r="N144" s="525">
        <f>N141-N142</f>
        <v>-10832.321171865333</v>
      </c>
    </row>
    <row r="145" spans="10:31" hidden="1" x14ac:dyDescent="0.4">
      <c r="J145" s="524">
        <v>10500</v>
      </c>
    </row>
    <row r="146" spans="10:31" hidden="1" x14ac:dyDescent="0.4">
      <c r="J146" s="524">
        <v>2000</v>
      </c>
      <c r="K146" s="258" t="s">
        <v>406</v>
      </c>
    </row>
    <row r="147" spans="10:31" hidden="1" x14ac:dyDescent="0.4">
      <c r="J147" s="524">
        <v>4000</v>
      </c>
      <c r="K147" s="258" t="s">
        <v>407</v>
      </c>
    </row>
    <row r="148" spans="10:31" hidden="1" x14ac:dyDescent="0.4">
      <c r="J148" s="524">
        <v>10000</v>
      </c>
      <c r="K148" s="258" t="s">
        <v>408</v>
      </c>
    </row>
    <row r="149" spans="10:31" hidden="1" x14ac:dyDescent="0.4">
      <c r="J149" s="524">
        <v>20000</v>
      </c>
      <c r="K149" s="258" t="s">
        <v>409</v>
      </c>
    </row>
    <row r="150" spans="10:31" hidden="1" x14ac:dyDescent="0.4">
      <c r="J150" s="524">
        <v>5000</v>
      </c>
      <c r="K150" s="258" t="s">
        <v>410</v>
      </c>
    </row>
    <row r="151" spans="10:31" hidden="1" x14ac:dyDescent="0.4">
      <c r="J151" s="524">
        <v>6400</v>
      </c>
      <c r="K151" s="258" t="s">
        <v>411</v>
      </c>
    </row>
    <row r="152" spans="10:31" hidden="1" x14ac:dyDescent="0.4">
      <c r="J152" s="524">
        <v>2000</v>
      </c>
      <c r="K152" s="258" t="s">
        <v>412</v>
      </c>
    </row>
    <row r="153" spans="10:31" hidden="1" x14ac:dyDescent="0.4">
      <c r="J153" s="524">
        <v>1400</v>
      </c>
      <c r="K153" s="258" t="s">
        <v>413</v>
      </c>
    </row>
    <row r="154" spans="10:31" hidden="1" x14ac:dyDescent="0.4">
      <c r="J154" s="524">
        <v>1000</v>
      </c>
      <c r="K154" s="258" t="s">
        <v>414</v>
      </c>
    </row>
    <row r="155" spans="10:31" hidden="1" x14ac:dyDescent="0.4">
      <c r="J155" s="524">
        <v>20000</v>
      </c>
      <c r="K155" s="258" t="s">
        <v>415</v>
      </c>
    </row>
    <row r="156" spans="10:31" hidden="1" x14ac:dyDescent="0.4">
      <c r="J156" s="524">
        <v>20000</v>
      </c>
      <c r="K156" s="258" t="s">
        <v>416</v>
      </c>
    </row>
    <row r="157" spans="10:31" hidden="1" x14ac:dyDescent="0.4">
      <c r="J157" s="524">
        <v>30000</v>
      </c>
      <c r="K157" s="258" t="s">
        <v>417</v>
      </c>
    </row>
    <row r="158" spans="10:31" hidden="1" x14ac:dyDescent="0.4">
      <c r="J158" s="524">
        <v>11100</v>
      </c>
      <c r="K158" s="258" t="s">
        <v>418</v>
      </c>
    </row>
    <row r="159" spans="10:31" hidden="1" x14ac:dyDescent="0.4"/>
    <row r="160" spans="10:31" ht="28.8" x14ac:dyDescent="0.4">
      <c r="AD160" s="657">
        <f>X141</f>
        <v>1333837.3500000001</v>
      </c>
      <c r="AE160" s="660" t="s">
        <v>767</v>
      </c>
    </row>
    <row r="161" spans="30:31" ht="28.8" x14ac:dyDescent="0.4">
      <c r="AD161" s="657">
        <f>N141-X141</f>
        <v>644960.32882813457</v>
      </c>
      <c r="AE161" s="660" t="s">
        <v>765</v>
      </c>
    </row>
    <row r="162" spans="30:31" ht="28.8" x14ac:dyDescent="0.45">
      <c r="AD162" s="658">
        <f>AD161*100%/N141</f>
        <v>0.32593545855081407</v>
      </c>
      <c r="AE162" s="659"/>
    </row>
  </sheetData>
  <autoFilter ref="A17:AN158" xr:uid="{107B9E09-8154-459A-AE62-6A4242823A27}"/>
  <mergeCells count="81">
    <mergeCell ref="F24:J24"/>
    <mergeCell ref="Q24:S24"/>
    <mergeCell ref="F31:J31"/>
    <mergeCell ref="Q31:S31"/>
    <mergeCell ref="F110:N110"/>
    <mergeCell ref="Q79:Y79"/>
    <mergeCell ref="Q110:Y110"/>
    <mergeCell ref="F32:N32"/>
    <mergeCell ref="Q32:Y32"/>
    <mergeCell ref="F33:K33"/>
    <mergeCell ref="Q33:Y33"/>
    <mergeCell ref="F26:K26"/>
    <mergeCell ref="Q26:V26"/>
    <mergeCell ref="F65:N65"/>
    <mergeCell ref="Q65:Y65"/>
    <mergeCell ref="F66:K66"/>
    <mergeCell ref="F140:J140"/>
    <mergeCell ref="Q140:S140"/>
    <mergeCell ref="F86:J86"/>
    <mergeCell ref="Q86:S86"/>
    <mergeCell ref="F111:K111"/>
    <mergeCell ref="F88:K88"/>
    <mergeCell ref="Q88:Y88"/>
    <mergeCell ref="F94:J94"/>
    <mergeCell ref="Q94:S94"/>
    <mergeCell ref="F95:N95"/>
    <mergeCell ref="Q95:Y95"/>
    <mergeCell ref="F96:K96"/>
    <mergeCell ref="Q96:Y96"/>
    <mergeCell ref="F98:J98"/>
    <mergeCell ref="Q98:S98"/>
    <mergeCell ref="F99:N99"/>
    <mergeCell ref="AM12:AN12"/>
    <mergeCell ref="AI12:AJ12"/>
    <mergeCell ref="F15:N15"/>
    <mergeCell ref="Q15:Y15"/>
    <mergeCell ref="F16:K16"/>
    <mergeCell ref="Q16:Y16"/>
    <mergeCell ref="AE12:AG12"/>
    <mergeCell ref="AC15:AD15"/>
    <mergeCell ref="AC16:AD16"/>
    <mergeCell ref="Q66:Y66"/>
    <mergeCell ref="F37:N37"/>
    <mergeCell ref="Q37:Y37"/>
    <mergeCell ref="F38:K38"/>
    <mergeCell ref="Q38:Y38"/>
    <mergeCell ref="P47:P50"/>
    <mergeCell ref="F1:G1"/>
    <mergeCell ref="F2:G2"/>
    <mergeCell ref="R12:U12"/>
    <mergeCell ref="V12:Y12"/>
    <mergeCell ref="F64:J64"/>
    <mergeCell ref="Q64:S64"/>
    <mergeCell ref="F54:J54"/>
    <mergeCell ref="Q54:S54"/>
    <mergeCell ref="F36:J36"/>
    <mergeCell ref="Q36:S36"/>
    <mergeCell ref="F55:N55"/>
    <mergeCell ref="Q55:Y55"/>
    <mergeCell ref="F56:K56"/>
    <mergeCell ref="Q56:Y56"/>
    <mergeCell ref="F25:N25"/>
    <mergeCell ref="Q25:Y25"/>
    <mergeCell ref="F109:J109"/>
    <mergeCell ref="Q109:S109"/>
    <mergeCell ref="Q99:Y99"/>
    <mergeCell ref="F100:K100"/>
    <mergeCell ref="Q100:Y100"/>
    <mergeCell ref="F102:J102"/>
    <mergeCell ref="Q102:S102"/>
    <mergeCell ref="P71:P74"/>
    <mergeCell ref="F103:N103"/>
    <mergeCell ref="Q103:Y103"/>
    <mergeCell ref="F104:K104"/>
    <mergeCell ref="Q104:Y104"/>
    <mergeCell ref="F78:J78"/>
    <mergeCell ref="Q78:S78"/>
    <mergeCell ref="F87:N87"/>
    <mergeCell ref="Q87:Y87"/>
    <mergeCell ref="F80:K80"/>
    <mergeCell ref="F79:N79"/>
  </mergeCells>
  <dataValidations count="3">
    <dataValidation type="list" allowBlank="1" showInputMessage="1" showErrorMessage="1" sqref="E17:E24 E112:E139 E27:E109" xr:uid="{F9907BAC-0CF7-42E1-A472-5B9B9E3DC5D5}">
      <formula1>"FAT.OGGI,FAT.CLIENTE"</formula1>
    </dataValidation>
    <dataValidation type="list" allowBlank="1" showInputMessage="1" showErrorMessage="1" sqref="D17:D24 D141 D112:D139 D27:D109" xr:uid="{98866BC7-DB5C-4861-B11E-20182FBA42DD}">
      <formula1>"INTERNO,OPERACIONAL"</formula1>
    </dataValidation>
    <dataValidation type="list" allowBlank="1" showInputMessage="1" showErrorMessage="1" sqref="E141" xr:uid="{C7D5B582-1B95-4E43-BB2B-49DAE723CAAF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23553" r:id="rId4" name="Label1">
          <controlPr defaultSize="0" autoLine="0" autoPict="0" r:id="rId5">
            <anchor>
              <from>
                <xdr:col>1</xdr:col>
                <xdr:colOff>655320</xdr:colOff>
                <xdr:row>0</xdr:row>
                <xdr:rowOff>152400</xdr:rowOff>
              </from>
              <to>
                <xdr:col>5</xdr:col>
                <xdr:colOff>518160</xdr:colOff>
                <xdr:row>1</xdr:row>
                <xdr:rowOff>60960</xdr:rowOff>
              </to>
            </anchor>
          </controlPr>
        </control>
      </mc:Choice>
      <mc:Fallback>
        <control shapeId="23553" r:id="rId4" name="Label1"/>
      </mc:Fallback>
    </mc:AlternateContent>
    <mc:AlternateContent xmlns:mc="http://schemas.openxmlformats.org/markup-compatibility/2006">
      <mc:Choice Requires="x14">
        <control shapeId="23554" r:id="rId6" name="Label2">
          <controlPr defaultSize="0" autoLine="0" autoPict="0" r:id="rId7">
            <anchor>
              <from>
                <xdr:col>63</xdr:col>
                <xdr:colOff>198120</xdr:colOff>
                <xdr:row>0</xdr:row>
                <xdr:rowOff>190500</xdr:rowOff>
              </from>
              <to>
                <xdr:col>64</xdr:col>
                <xdr:colOff>556260</xdr:colOff>
                <xdr:row>1</xdr:row>
                <xdr:rowOff>106680</xdr:rowOff>
              </to>
            </anchor>
          </controlPr>
        </control>
      </mc:Choice>
      <mc:Fallback>
        <control shapeId="23554" r:id="rId6" name="Label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69EB5-4247-4EDC-9971-C5F45780832D}">
  <sheetPr codeName="Planilha12">
    <pageSetUpPr autoPageBreaks="0"/>
  </sheetPr>
  <dimension ref="A1:AO21"/>
  <sheetViews>
    <sheetView showGridLines="0" topLeftCell="B1" zoomScale="50" zoomScaleNormal="50" workbookViewId="0">
      <pane ySplit="1" topLeftCell="A15" activePane="bottomLeft" state="frozen"/>
      <selection activeCell="AC1" sqref="AC1"/>
      <selection pane="bottomLeft" activeCell="AT18" sqref="AT18"/>
    </sheetView>
  </sheetViews>
  <sheetFormatPr defaultColWidth="9.109375" defaultRowHeight="23.4" x14ac:dyDescent="0.45"/>
  <cols>
    <col min="1" max="1" width="4.88671875" style="87" hidden="1" customWidth="1"/>
    <col min="2" max="2" width="6.33203125" style="87" customWidth="1"/>
    <col min="3" max="3" width="5.6640625" style="87" hidden="1" customWidth="1"/>
    <col min="4" max="4" width="6.6640625" style="87" hidden="1" customWidth="1"/>
    <col min="5" max="5" width="10.109375" style="87" hidden="1" customWidth="1"/>
    <col min="6" max="6" width="32" style="87" customWidth="1"/>
    <col min="7" max="7" width="52.44140625" style="87" customWidth="1"/>
    <col min="8" max="8" width="6.109375" style="90" hidden="1" customWidth="1"/>
    <col min="9" max="9" width="8.109375" style="90" hidden="1" customWidth="1"/>
    <col min="10" max="10" width="18.5546875" style="87" hidden="1" customWidth="1"/>
    <col min="11" max="11" width="26.44140625" style="87" bestFit="1" customWidth="1"/>
    <col min="12" max="12" width="24.33203125" style="87" bestFit="1" customWidth="1"/>
    <col min="13" max="13" width="21" style="87" bestFit="1" customWidth="1"/>
    <col min="14" max="14" width="26.44140625" style="87" bestFit="1" customWidth="1"/>
    <col min="15" max="15" width="7.44140625" style="91" hidden="1" customWidth="1"/>
    <col min="16" max="16" width="5.109375" style="87" hidden="1" customWidth="1"/>
    <col min="17" max="17" width="9.109375" style="90" customWidth="1"/>
    <col min="18" max="18" width="10.44140625" style="90" hidden="1" customWidth="1"/>
    <col min="19" max="19" width="17.5546875" style="87" hidden="1" customWidth="1"/>
    <col min="20" max="20" width="26.44140625" style="87" customWidth="1"/>
    <col min="21" max="21" width="28.6640625" style="87" hidden="1" customWidth="1"/>
    <col min="22" max="23" width="28.33203125" style="87" hidden="1" customWidth="1"/>
    <col min="24" max="24" width="28.33203125" style="87" customWidth="1"/>
    <col min="25" max="26" width="27.6640625" style="87" hidden="1" customWidth="1"/>
    <col min="27" max="27" width="25.6640625" style="87" hidden="1" customWidth="1"/>
    <col min="28" max="28" width="38.109375" style="87" hidden="1" customWidth="1"/>
    <col min="29" max="30" width="33" style="87" hidden="1" customWidth="1"/>
    <col min="31" max="31" width="28" style="87" hidden="1" customWidth="1"/>
    <col min="32" max="32" width="1.33203125" style="87" hidden="1" customWidth="1"/>
    <col min="33" max="33" width="81.5546875" style="87" hidden="1" customWidth="1"/>
    <col min="34" max="34" width="36.6640625" style="87" hidden="1" customWidth="1"/>
    <col min="35" max="35" width="1.5546875" style="87" hidden="1" customWidth="1"/>
    <col min="36" max="36" width="20.33203125" style="87" hidden="1" customWidth="1"/>
    <col min="37" max="37" width="25.33203125" style="87" hidden="1" customWidth="1"/>
    <col min="38" max="38" width="24.88671875" style="87" hidden="1" customWidth="1"/>
    <col min="39" max="40" width="26.44140625" style="87" bestFit="1" customWidth="1"/>
    <col min="41" max="41" width="9.109375" style="622"/>
    <col min="42" max="16384" width="9.109375" style="87"/>
  </cols>
  <sheetData>
    <row r="1" spans="1:40" ht="49.5" customHeight="1" x14ac:dyDescent="0.45">
      <c r="B1" s="88"/>
      <c r="C1" s="89"/>
      <c r="D1" s="89"/>
      <c r="F1" s="767" t="s">
        <v>0</v>
      </c>
      <c r="G1" s="767"/>
    </row>
    <row r="2" spans="1:40" ht="24.75" customHeight="1" x14ac:dyDescent="0.45">
      <c r="B2" s="92"/>
      <c r="D2" s="89"/>
      <c r="F2" s="768" t="s">
        <v>1</v>
      </c>
      <c r="G2" s="768"/>
    </row>
    <row r="3" spans="1:40" x14ac:dyDescent="0.45">
      <c r="B3" s="93"/>
      <c r="F3" s="94"/>
      <c r="G3" s="94"/>
    </row>
    <row r="4" spans="1:40" ht="21.9" customHeight="1" x14ac:dyDescent="0.45">
      <c r="F4" s="95" t="s">
        <v>2</v>
      </c>
      <c r="G4" s="96"/>
    </row>
    <row r="5" spans="1:40" x14ac:dyDescent="0.45">
      <c r="F5" s="97" t="s">
        <v>3</v>
      </c>
      <c r="G5" s="98"/>
    </row>
    <row r="6" spans="1:40" x14ac:dyDescent="0.45">
      <c r="F6" s="97" t="s">
        <v>4</v>
      </c>
      <c r="G6" s="99"/>
    </row>
    <row r="7" spans="1:40" ht="21.75" customHeight="1" x14ac:dyDescent="0.45">
      <c r="F7" s="97" t="s">
        <v>5</v>
      </c>
      <c r="G7" s="99"/>
    </row>
    <row r="8" spans="1:40" x14ac:dyDescent="0.45">
      <c r="F8" s="97" t="s">
        <v>216</v>
      </c>
      <c r="G8" s="100"/>
    </row>
    <row r="9" spans="1:40" x14ac:dyDescent="0.45">
      <c r="F9" s="97" t="s">
        <v>7</v>
      </c>
      <c r="G9" s="99"/>
      <c r="M9" s="87">
        <v>0.80469999999999997</v>
      </c>
    </row>
    <row r="10" spans="1:40" ht="27" customHeight="1" x14ac:dyDescent="0.45">
      <c r="F10" s="97" t="s">
        <v>8</v>
      </c>
      <c r="G10" s="99"/>
      <c r="M10" s="87">
        <f>1-M9</f>
        <v>0.19530000000000003</v>
      </c>
    </row>
    <row r="11" spans="1:40" x14ac:dyDescent="0.45">
      <c r="F11" s="101" t="s">
        <v>9</v>
      </c>
      <c r="G11" s="102"/>
    </row>
    <row r="12" spans="1:40" ht="47.4" hidden="1" thickBot="1" x14ac:dyDescent="0.5">
      <c r="B12" s="103"/>
      <c r="M12" s="104"/>
      <c r="R12" s="769" t="s">
        <v>10</v>
      </c>
      <c r="S12" s="770"/>
      <c r="T12" s="770"/>
      <c r="U12" s="771"/>
      <c r="V12" s="772" t="s">
        <v>11</v>
      </c>
      <c r="W12" s="773"/>
      <c r="X12" s="773"/>
      <c r="Y12" s="773"/>
      <c r="Z12" s="105" t="s">
        <v>12</v>
      </c>
      <c r="AA12" s="106" t="e">
        <f>(1/(1-#REF!))-1</f>
        <v>#REF!</v>
      </c>
      <c r="AC12" s="774" t="s">
        <v>13</v>
      </c>
      <c r="AD12" s="775"/>
      <c r="AE12" s="776"/>
      <c r="AG12" s="777" t="s">
        <v>14</v>
      </c>
      <c r="AH12" s="778"/>
      <c r="AJ12" s="107" t="s">
        <v>15</v>
      </c>
      <c r="AK12" s="765" t="s">
        <v>16</v>
      </c>
      <c r="AL12" s="766"/>
    </row>
    <row r="13" spans="1:40" ht="24" thickBot="1" x14ac:dyDescent="0.5">
      <c r="A13" s="108" t="s">
        <v>17</v>
      </c>
      <c r="B13" s="109" t="s">
        <v>18</v>
      </c>
      <c r="C13" s="108" t="s">
        <v>19</v>
      </c>
      <c r="D13" s="108" t="s">
        <v>20</v>
      </c>
      <c r="E13" s="108" t="s">
        <v>21</v>
      </c>
      <c r="M13" s="110">
        <v>0.81</v>
      </c>
      <c r="Z13" s="111"/>
      <c r="AA13" s="112"/>
    </row>
    <row r="14" spans="1:40" ht="39.9" customHeight="1" thickBot="1" x14ac:dyDescent="0.5">
      <c r="A14" s="113">
        <v>0</v>
      </c>
      <c r="B14" s="114"/>
      <c r="C14" s="115"/>
      <c r="D14" s="116"/>
      <c r="E14" s="116"/>
      <c r="F14" s="117" t="s">
        <v>22</v>
      </c>
      <c r="G14" s="118" t="s">
        <v>23</v>
      </c>
      <c r="H14" s="119" t="s">
        <v>24</v>
      </c>
      <c r="I14" s="119" t="s">
        <v>25</v>
      </c>
      <c r="J14" s="120" t="s">
        <v>26</v>
      </c>
      <c r="K14" s="121" t="s">
        <v>27</v>
      </c>
      <c r="L14" s="122">
        <v>0.08</v>
      </c>
      <c r="M14" s="123">
        <v>0.1953</v>
      </c>
      <c r="N14" s="124" t="s">
        <v>28</v>
      </c>
      <c r="O14" s="125"/>
      <c r="Q14" s="126" t="s">
        <v>29</v>
      </c>
      <c r="R14" s="127" t="s">
        <v>30</v>
      </c>
      <c r="S14" s="128" t="s">
        <v>31</v>
      </c>
      <c r="T14" s="129" t="s">
        <v>32</v>
      </c>
      <c r="U14" s="130" t="s">
        <v>33</v>
      </c>
      <c r="V14" s="131" t="s">
        <v>34</v>
      </c>
      <c r="W14" s="132" t="s">
        <v>35</v>
      </c>
      <c r="X14" s="133" t="s">
        <v>36</v>
      </c>
      <c r="Y14" s="134" t="s">
        <v>37</v>
      </c>
      <c r="Z14" s="135" t="s">
        <v>38</v>
      </c>
      <c r="AA14" s="136" t="s">
        <v>39</v>
      </c>
      <c r="AM14" s="137" t="s">
        <v>679</v>
      </c>
      <c r="AN14" s="138" t="s">
        <v>680</v>
      </c>
    </row>
    <row r="15" spans="1:40" ht="39.9" customHeight="1" thickBot="1" x14ac:dyDescent="0.5">
      <c r="A15" s="116">
        <v>1</v>
      </c>
      <c r="B15" s="139">
        <v>1</v>
      </c>
      <c r="C15" s="140" t="s">
        <v>40</v>
      </c>
      <c r="D15" s="116"/>
      <c r="E15" s="116"/>
      <c r="F15" s="758" t="s">
        <v>420</v>
      </c>
      <c r="G15" s="759"/>
      <c r="H15" s="759"/>
      <c r="I15" s="759"/>
      <c r="J15" s="759"/>
      <c r="K15" s="759"/>
      <c r="L15" s="759"/>
      <c r="M15" s="759"/>
      <c r="N15" s="760"/>
      <c r="O15" s="176"/>
      <c r="Q15" s="758" t="s">
        <v>75</v>
      </c>
      <c r="R15" s="759"/>
      <c r="S15" s="759"/>
      <c r="T15" s="759"/>
      <c r="U15" s="759"/>
      <c r="V15" s="759"/>
      <c r="W15" s="759"/>
      <c r="X15" s="759"/>
      <c r="Y15" s="759"/>
      <c r="Z15" s="156" t="e">
        <f t="shared" ref="Z15:Z16" si="0">IF(Q15&lt;&gt;"",U15/K15,"")</f>
        <v>#DIV/0!</v>
      </c>
      <c r="AA15" s="157"/>
      <c r="AM15" s="752"/>
      <c r="AN15" s="752"/>
    </row>
    <row r="16" spans="1:40" ht="39.9" customHeight="1" x14ac:dyDescent="0.45">
      <c r="A16" s="116">
        <v>2</v>
      </c>
      <c r="B16" s="139" t="s">
        <v>42</v>
      </c>
      <c r="C16" s="140" t="s">
        <v>43</v>
      </c>
      <c r="D16" s="116"/>
      <c r="E16" s="116"/>
      <c r="F16" s="761" t="s">
        <v>420</v>
      </c>
      <c r="G16" s="762"/>
      <c r="H16" s="762"/>
      <c r="I16" s="762"/>
      <c r="J16" s="762"/>
      <c r="K16" s="763"/>
      <c r="L16" s="526" t="s">
        <v>45</v>
      </c>
      <c r="M16" s="241" t="s">
        <v>46</v>
      </c>
      <c r="N16" s="527" t="s">
        <v>28</v>
      </c>
      <c r="O16" s="176"/>
      <c r="Q16" s="754" t="s">
        <v>75</v>
      </c>
      <c r="R16" s="755"/>
      <c r="S16" s="755"/>
      <c r="T16" s="755"/>
      <c r="U16" s="755"/>
      <c r="V16" s="764"/>
      <c r="W16" s="141" t="s">
        <v>45</v>
      </c>
      <c r="X16" s="142" t="s">
        <v>46</v>
      </c>
      <c r="Y16" s="178" t="s">
        <v>28</v>
      </c>
      <c r="Z16" s="156" t="e">
        <f t="shared" si="0"/>
        <v>#DIV/0!</v>
      </c>
      <c r="AA16" s="157" t="e">
        <f>T16/#REF!</f>
        <v>#REF!</v>
      </c>
      <c r="AM16" s="753"/>
      <c r="AN16" s="753"/>
    </row>
    <row r="17" spans="1:41" ht="99.9" customHeight="1" thickBot="1" x14ac:dyDescent="0.5">
      <c r="A17" s="174">
        <v>3</v>
      </c>
      <c r="B17" s="139" t="s">
        <v>48</v>
      </c>
      <c r="C17" s="175" t="s">
        <v>49</v>
      </c>
      <c r="D17" s="174" t="s">
        <v>78</v>
      </c>
      <c r="E17" s="174" t="s">
        <v>79</v>
      </c>
      <c r="F17" s="528" t="s">
        <v>421</v>
      </c>
      <c r="G17" s="529" t="s">
        <v>422</v>
      </c>
      <c r="H17" s="530">
        <v>1</v>
      </c>
      <c r="I17" s="530">
        <v>1</v>
      </c>
      <c r="J17" s="531">
        <v>10000</v>
      </c>
      <c r="K17" s="531">
        <f t="shared" ref="K17" si="1">IF(F17&lt;&gt;"",H17*I17*J17,"")</f>
        <v>10000</v>
      </c>
      <c r="L17" s="531">
        <f t="shared" ref="L17" si="2">IF(K17&lt;&gt;"",IF(D17="INTERNO",0,K17*$L$14),"")</f>
        <v>800</v>
      </c>
      <c r="M17" s="531">
        <f t="shared" ref="M17" si="3">IF(K17&lt;&gt;"",IF(E17="FAT.OGGI",SUM(K17:L17)*(1/(1-$M$14)-1),L17*(1/(1-$M$14)-1)),"")</f>
        <v>194.15931403007338</v>
      </c>
      <c r="N17" s="532">
        <f t="shared" ref="N17" si="4">SUM(K17:M17)</f>
        <v>10994.159314030074</v>
      </c>
      <c r="O17" s="149" t="b">
        <v>0</v>
      </c>
      <c r="Q17" s="533">
        <v>1</v>
      </c>
      <c r="R17" s="534">
        <v>1</v>
      </c>
      <c r="S17" s="535">
        <v>10000</v>
      </c>
      <c r="T17" s="535">
        <v>30000</v>
      </c>
      <c r="U17" s="202">
        <f t="shared" ref="U17:U19" si="5">IF(Q17&lt;&gt;"",K17-T17,"")</f>
        <v>-20000</v>
      </c>
      <c r="V17" s="203">
        <f t="shared" ref="V17:V19" si="6">IF(Q17&lt;&gt;"",0%,"")</f>
        <v>0</v>
      </c>
      <c r="W17" s="204">
        <f t="shared" ref="W17:W19" si="7">IF(Q17&lt;&gt;"",V17*U17,"")</f>
        <v>0</v>
      </c>
      <c r="X17" s="204">
        <f t="shared" ref="X17:X19" si="8">IF(Q17&lt;&gt;"",W17+T17,"")</f>
        <v>30000</v>
      </c>
      <c r="Y17" s="204">
        <f t="shared" ref="Y17:Y20" si="9">IF(Q17&lt;&gt;"",X17+M17,"")</f>
        <v>30194.159314030072</v>
      </c>
      <c r="Z17" s="156">
        <f t="shared" ref="Z17:Z19" si="10">IF(Q17&lt;&gt;"",U17/K17,"")</f>
        <v>-2</v>
      </c>
      <c r="AA17" s="157">
        <f>T17/$T$20</f>
        <v>0.6</v>
      </c>
      <c r="AB17" s="177"/>
      <c r="AM17" s="159">
        <f>X17-AN17</f>
        <v>0</v>
      </c>
      <c r="AN17" s="160">
        <v>30000</v>
      </c>
      <c r="AO17" s="622" t="s">
        <v>725</v>
      </c>
    </row>
    <row r="18" spans="1:41" ht="99.9" customHeight="1" thickBot="1" x14ac:dyDescent="0.5">
      <c r="A18" s="116">
        <v>4</v>
      </c>
      <c r="B18" s="139" t="s">
        <v>54</v>
      </c>
      <c r="C18" s="140" t="s">
        <v>49</v>
      </c>
      <c r="D18" s="116" t="s">
        <v>78</v>
      </c>
      <c r="E18" s="116" t="s">
        <v>79</v>
      </c>
      <c r="F18" s="229" t="s">
        <v>423</v>
      </c>
      <c r="G18" s="230" t="s">
        <v>424</v>
      </c>
      <c r="H18" s="207">
        <v>1</v>
      </c>
      <c r="I18" s="207">
        <v>1</v>
      </c>
      <c r="J18" s="208">
        <v>20000</v>
      </c>
      <c r="K18" s="208">
        <f>IF(F18&lt;&gt;"",H18*I18*J18,"")</f>
        <v>20000</v>
      </c>
      <c r="L18" s="208">
        <f>IF(K18&lt;&gt;"",IF(D18="INTERNO",0,K18*$L$14),"")</f>
        <v>1600</v>
      </c>
      <c r="M18" s="208">
        <f>IF(K18&lt;&gt;"",IF(E18="FAT.OGGI",SUM(K18:L18)*(1/(1-$M$14)-1),L18*(1/(1-$M$14)-1)),"")</f>
        <v>388.31862806014675</v>
      </c>
      <c r="N18" s="209">
        <f>SUM(K18:M18)</f>
        <v>21988.318628060148</v>
      </c>
      <c r="O18" s="149" t="b">
        <v>0</v>
      </c>
      <c r="Q18" s="185">
        <f t="shared" ref="Q18:R19" si="11">IF(H18&lt;&gt;"",H18,"")</f>
        <v>1</v>
      </c>
      <c r="R18" s="186">
        <f t="shared" si="11"/>
        <v>1</v>
      </c>
      <c r="S18" s="187">
        <v>20000</v>
      </c>
      <c r="T18" s="187">
        <v>0</v>
      </c>
      <c r="U18" s="188">
        <f t="shared" si="5"/>
        <v>20000</v>
      </c>
      <c r="V18" s="189">
        <f t="shared" si="6"/>
        <v>0</v>
      </c>
      <c r="W18" s="190">
        <f t="shared" si="7"/>
        <v>0</v>
      </c>
      <c r="X18" s="190">
        <f t="shared" si="8"/>
        <v>0</v>
      </c>
      <c r="Y18" s="190">
        <f t="shared" si="9"/>
        <v>388.31862806014675</v>
      </c>
      <c r="Z18" s="156">
        <f t="shared" si="10"/>
        <v>1</v>
      </c>
      <c r="AA18" s="157">
        <f>T18/$T$20</f>
        <v>0</v>
      </c>
      <c r="AB18" s="177"/>
      <c r="AM18" s="159">
        <f t="shared" ref="AM18:AM19" si="12">X18-AN18</f>
        <v>0</v>
      </c>
      <c r="AN18" s="160">
        <v>0</v>
      </c>
    </row>
    <row r="19" spans="1:41" ht="99.9" customHeight="1" thickBot="1" x14ac:dyDescent="0.5">
      <c r="A19" s="116">
        <v>5</v>
      </c>
      <c r="B19" s="139" t="s">
        <v>57</v>
      </c>
      <c r="C19" s="140" t="s">
        <v>49</v>
      </c>
      <c r="D19" s="116" t="s">
        <v>78</v>
      </c>
      <c r="E19" s="116" t="s">
        <v>79</v>
      </c>
      <c r="F19" s="536" t="s">
        <v>425</v>
      </c>
      <c r="G19" s="537" t="s">
        <v>426</v>
      </c>
      <c r="H19" s="538">
        <v>1</v>
      </c>
      <c r="I19" s="538">
        <v>1</v>
      </c>
      <c r="J19" s="539">
        <v>20000</v>
      </c>
      <c r="K19" s="539">
        <f>IF(F19&lt;&gt;"",H19*I19*J19,"")</f>
        <v>20000</v>
      </c>
      <c r="L19" s="539">
        <f>IF(K19&lt;&gt;"",IF(D19="INTERNO",0,K19*$L$14),"")</f>
        <v>1600</v>
      </c>
      <c r="M19" s="539">
        <f>IF(K19&lt;&gt;"",IF(E19="FAT.OGGI",SUM(K19:L19)*(1/(1-$M$14)-1),L19*(1/(1-$M$14)-1)),"")</f>
        <v>388.31862806014675</v>
      </c>
      <c r="N19" s="540">
        <f>SUM(K19:M19)</f>
        <v>21988.318628060148</v>
      </c>
      <c r="O19" s="149" t="b">
        <v>0</v>
      </c>
      <c r="Q19" s="194">
        <f t="shared" si="11"/>
        <v>1</v>
      </c>
      <c r="R19" s="195">
        <f t="shared" si="11"/>
        <v>1</v>
      </c>
      <c r="S19" s="196">
        <v>20000</v>
      </c>
      <c r="T19" s="196">
        <f>IF(Q19&lt;&gt;"",Q19*R19*S19,"")</f>
        <v>20000</v>
      </c>
      <c r="U19" s="197">
        <f t="shared" si="5"/>
        <v>0</v>
      </c>
      <c r="V19" s="198">
        <f t="shared" si="6"/>
        <v>0</v>
      </c>
      <c r="W19" s="173">
        <f t="shared" si="7"/>
        <v>0</v>
      </c>
      <c r="X19" s="173">
        <f t="shared" si="8"/>
        <v>20000</v>
      </c>
      <c r="Y19" s="173">
        <f t="shared" si="9"/>
        <v>20388.318628060148</v>
      </c>
      <c r="Z19" s="156">
        <f t="shared" si="10"/>
        <v>0</v>
      </c>
      <c r="AA19" s="157">
        <f>T19/$T$20</f>
        <v>0.4</v>
      </c>
      <c r="AB19" s="177"/>
      <c r="AM19" s="159">
        <f t="shared" si="12"/>
        <v>0</v>
      </c>
      <c r="AN19" s="160">
        <v>20000</v>
      </c>
      <c r="AO19" s="622" t="s">
        <v>731</v>
      </c>
    </row>
    <row r="20" spans="1:41" ht="39.9" customHeight="1" thickBot="1" x14ac:dyDescent="0.5">
      <c r="A20" s="116">
        <v>6</v>
      </c>
      <c r="B20" s="139"/>
      <c r="C20" s="140" t="s">
        <v>72</v>
      </c>
      <c r="D20" s="116"/>
      <c r="E20" s="116"/>
      <c r="F20" s="754" t="s">
        <v>427</v>
      </c>
      <c r="G20" s="755"/>
      <c r="H20" s="755"/>
      <c r="I20" s="755"/>
      <c r="J20" s="755"/>
      <c r="K20" s="541">
        <f>SUM(K17:K19)</f>
        <v>50000</v>
      </c>
      <c r="L20" s="541">
        <f>SUM(L17:L19)</f>
        <v>4000</v>
      </c>
      <c r="M20" s="541">
        <f>SUM(M17:M19)</f>
        <v>970.79657015036696</v>
      </c>
      <c r="N20" s="542">
        <f>SUM(N17:N19)</f>
        <v>54970.796570150371</v>
      </c>
      <c r="Q20" s="756" t="s">
        <v>427</v>
      </c>
      <c r="R20" s="757"/>
      <c r="S20" s="757"/>
      <c r="T20" s="543">
        <f>SUM(T17:T19)</f>
        <v>50000</v>
      </c>
      <c r="U20" s="544">
        <f>SUM(U17:U19)</f>
        <v>0</v>
      </c>
      <c r="V20" s="545"/>
      <c r="W20" s="545"/>
      <c r="X20" s="546">
        <f>SUM(X17:X19)</f>
        <v>50000</v>
      </c>
      <c r="Y20" s="547">
        <f t="shared" si="9"/>
        <v>50970.796570150364</v>
      </c>
      <c r="Z20" s="548" t="s">
        <v>211</v>
      </c>
      <c r="AA20" s="228" t="s">
        <v>212</v>
      </c>
      <c r="AM20" s="159"/>
      <c r="AN20" s="160">
        <v>0</v>
      </c>
    </row>
    <row r="21" spans="1:41" ht="39.9" customHeight="1" thickBot="1" x14ac:dyDescent="0.5">
      <c r="A21" s="161">
        <v>7</v>
      </c>
      <c r="B21" s="250"/>
      <c r="C21" s="162" t="s">
        <v>213</v>
      </c>
      <c r="D21" s="161"/>
      <c r="E21" s="161"/>
      <c r="F21" s="251" t="s">
        <v>214</v>
      </c>
      <c r="G21" s="252"/>
      <c r="H21" s="253"/>
      <c r="I21" s="253"/>
      <c r="J21" s="252"/>
      <c r="K21" s="254">
        <f>SUM(K17:K19)</f>
        <v>50000</v>
      </c>
      <c r="L21" s="254">
        <f>SUM(L17:L19)</f>
        <v>4000</v>
      </c>
      <c r="M21" s="254">
        <f>SUM(M17:M19)</f>
        <v>970.79657015036696</v>
      </c>
      <c r="N21" s="255">
        <f>SUM(N17:N19)</f>
        <v>54970.796570150371</v>
      </c>
      <c r="Q21" s="256" t="s">
        <v>215</v>
      </c>
      <c r="R21" s="253"/>
      <c r="S21" s="252"/>
      <c r="T21" s="254">
        <f>SUM(T17:T19)</f>
        <v>50000</v>
      </c>
      <c r="U21" s="254">
        <f>SUM(U17:U19)</f>
        <v>0</v>
      </c>
      <c r="V21" s="252"/>
      <c r="W21" s="252"/>
      <c r="X21" s="254">
        <f>SUM(X17:X19)</f>
        <v>50000</v>
      </c>
      <c r="Y21" s="254">
        <f>SUM(Y17:Y19)</f>
        <v>50970.796570150371</v>
      </c>
      <c r="Z21" s="549">
        <f>IF(Q21&lt;&gt;"",(N21-Y21)/N21,"")</f>
        <v>7.2765909347801513E-2</v>
      </c>
      <c r="AA21" s="550">
        <f>IF(Z21&lt;&gt;"",(N21-Y21),"")</f>
        <v>4000</v>
      </c>
      <c r="AM21" s="159">
        <f>SUM(AM17:AM20)</f>
        <v>0</v>
      </c>
      <c r="AN21" s="160">
        <f>SUM(AN17:AN20)</f>
        <v>50000</v>
      </c>
    </row>
  </sheetData>
  <mergeCells count="15">
    <mergeCell ref="AK12:AL12"/>
    <mergeCell ref="F1:G1"/>
    <mergeCell ref="F2:G2"/>
    <mergeCell ref="R12:U12"/>
    <mergeCell ref="V12:Y12"/>
    <mergeCell ref="AC12:AE12"/>
    <mergeCell ref="AG12:AH12"/>
    <mergeCell ref="AM15:AN15"/>
    <mergeCell ref="AM16:AN16"/>
    <mergeCell ref="F20:J20"/>
    <mergeCell ref="Q20:S20"/>
    <mergeCell ref="F15:N15"/>
    <mergeCell ref="Q15:Y15"/>
    <mergeCell ref="F16:K16"/>
    <mergeCell ref="Q16:V16"/>
  </mergeCells>
  <dataValidations count="3">
    <dataValidation type="list" allowBlank="1" showInputMessage="1" showErrorMessage="1" sqref="D21 D17:D19" xr:uid="{275CF306-60F2-4697-B75E-C00F571C14A3}">
      <formula1>"INTERNO,OPERACIONAL"</formula1>
    </dataValidation>
    <dataValidation type="list" allowBlank="1" showInputMessage="1" showErrorMessage="1" sqref="E21" xr:uid="{E4066339-3CFE-4A56-B125-195A183192C4}">
      <formula1>"FAT.OGGI,FAT.CLIENTE "</formula1>
    </dataValidation>
    <dataValidation type="list" allowBlank="1" showInputMessage="1" showErrorMessage="1" sqref="E17:E19" xr:uid="{ECFD34F3-7C95-433C-BB73-FFEFF2F4E911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A4AFF-71CB-4018-9072-8393B5172221}">
  <sheetPr codeName="Planilha13">
    <pageSetUpPr autoPageBreaks="0"/>
  </sheetPr>
  <dimension ref="A1:AO20"/>
  <sheetViews>
    <sheetView showGridLines="0" topLeftCell="B1" zoomScale="50" zoomScaleNormal="50" workbookViewId="0">
      <pane ySplit="1" topLeftCell="A10" activePane="bottomLeft" state="frozen"/>
      <selection activeCell="AC1" sqref="AC1"/>
      <selection pane="bottomLeft" activeCell="AS16" sqref="AS16"/>
    </sheetView>
  </sheetViews>
  <sheetFormatPr defaultColWidth="9.109375" defaultRowHeight="23.4" x14ac:dyDescent="0.45"/>
  <cols>
    <col min="1" max="1" width="4.88671875" style="87" hidden="1" customWidth="1"/>
    <col min="2" max="2" width="6.33203125" style="87" customWidth="1"/>
    <col min="3" max="3" width="5.6640625" style="87" hidden="1" customWidth="1"/>
    <col min="4" max="4" width="6.6640625" style="87" hidden="1" customWidth="1"/>
    <col min="5" max="5" width="10.109375" style="87" hidden="1" customWidth="1"/>
    <col min="6" max="6" width="32" style="87" customWidth="1"/>
    <col min="7" max="7" width="68" style="87" customWidth="1"/>
    <col min="8" max="8" width="13" style="90" hidden="1" customWidth="1"/>
    <col min="9" max="9" width="12.88671875" style="90" hidden="1" customWidth="1"/>
    <col min="10" max="10" width="18.5546875" style="87" hidden="1" customWidth="1"/>
    <col min="11" max="11" width="26.44140625" style="87" bestFit="1" customWidth="1"/>
    <col min="12" max="12" width="24.33203125" style="87" bestFit="1" customWidth="1"/>
    <col min="13" max="13" width="21" style="87" bestFit="1" customWidth="1"/>
    <col min="14" max="14" width="26.44140625" style="87" bestFit="1" customWidth="1"/>
    <col min="15" max="15" width="10.109375" style="91" hidden="1" customWidth="1"/>
    <col min="16" max="16" width="2.109375" style="91" hidden="1" customWidth="1"/>
    <col min="17" max="17" width="9.109375" style="90" customWidth="1"/>
    <col min="18" max="18" width="10.44140625" style="90" hidden="1" customWidth="1"/>
    <col min="19" max="19" width="17.5546875" style="87" hidden="1" customWidth="1"/>
    <col min="20" max="20" width="26.44140625" style="87" customWidth="1"/>
    <col min="21" max="21" width="28.6640625" style="87" hidden="1" customWidth="1"/>
    <col min="22" max="23" width="28.33203125" style="87" hidden="1" customWidth="1"/>
    <col min="24" max="24" width="28.33203125" style="87" customWidth="1"/>
    <col min="25" max="26" width="27.6640625" style="87" hidden="1" customWidth="1"/>
    <col min="27" max="27" width="25.6640625" style="87" hidden="1" customWidth="1"/>
    <col min="28" max="28" width="38.109375" style="87" hidden="1" customWidth="1"/>
    <col min="29" max="30" width="33" style="87" hidden="1" customWidth="1"/>
    <col min="31" max="31" width="28" style="87" hidden="1" customWidth="1"/>
    <col min="32" max="32" width="1.33203125" style="87" hidden="1" customWidth="1"/>
    <col min="33" max="33" width="81.5546875" style="87" hidden="1" customWidth="1"/>
    <col min="34" max="34" width="36.6640625" style="87" hidden="1" customWidth="1"/>
    <col min="35" max="35" width="1.5546875" style="87" hidden="1" customWidth="1"/>
    <col min="36" max="36" width="20.33203125" style="87" hidden="1" customWidth="1"/>
    <col min="37" max="37" width="25.33203125" style="87" hidden="1" customWidth="1"/>
    <col min="38" max="38" width="24.88671875" style="87" hidden="1" customWidth="1"/>
    <col min="39" max="39" width="26.44140625" style="87" bestFit="1" customWidth="1"/>
    <col min="40" max="40" width="27.88671875" style="87" customWidth="1"/>
    <col min="41" max="41" width="9.109375" style="622"/>
    <col min="42" max="16384" width="9.109375" style="87"/>
  </cols>
  <sheetData>
    <row r="1" spans="1:40" ht="49.5" customHeight="1" x14ac:dyDescent="0.45">
      <c r="B1" s="88"/>
      <c r="C1" s="89"/>
      <c r="D1" s="89"/>
      <c r="F1" s="767" t="s">
        <v>0</v>
      </c>
      <c r="G1" s="767"/>
    </row>
    <row r="2" spans="1:40" ht="24.75" customHeight="1" x14ac:dyDescent="0.45">
      <c r="B2" s="92"/>
      <c r="D2" s="89"/>
      <c r="F2" s="768" t="s">
        <v>1</v>
      </c>
      <c r="G2" s="768"/>
    </row>
    <row r="3" spans="1:40" x14ac:dyDescent="0.45">
      <c r="B3" s="93"/>
      <c r="F3" s="94"/>
      <c r="G3" s="94"/>
    </row>
    <row r="4" spans="1:40" ht="21.9" customHeight="1" x14ac:dyDescent="0.45">
      <c r="F4" s="95" t="s">
        <v>2</v>
      </c>
      <c r="G4" s="96"/>
    </row>
    <row r="5" spans="1:40" x14ac:dyDescent="0.45">
      <c r="F5" s="97" t="s">
        <v>3</v>
      </c>
      <c r="G5" s="98"/>
    </row>
    <row r="6" spans="1:40" x14ac:dyDescent="0.45">
      <c r="F6" s="97" t="s">
        <v>4</v>
      </c>
      <c r="G6" s="99"/>
    </row>
    <row r="7" spans="1:40" ht="21.75" customHeight="1" x14ac:dyDescent="0.45">
      <c r="F7" s="97" t="s">
        <v>5</v>
      </c>
      <c r="G7" s="99"/>
    </row>
    <row r="8" spans="1:40" x14ac:dyDescent="0.45">
      <c r="F8" s="97" t="s">
        <v>216</v>
      </c>
      <c r="G8" s="100"/>
    </row>
    <row r="9" spans="1:40" x14ac:dyDescent="0.45">
      <c r="F9" s="97" t="s">
        <v>7</v>
      </c>
      <c r="G9" s="99"/>
      <c r="M9" s="87">
        <v>0.80469999999999997</v>
      </c>
    </row>
    <row r="10" spans="1:40" ht="27" customHeight="1" x14ac:dyDescent="0.45">
      <c r="F10" s="97" t="s">
        <v>8</v>
      </c>
      <c r="G10" s="99"/>
      <c r="M10" s="87">
        <f>1-M9</f>
        <v>0.19530000000000003</v>
      </c>
    </row>
    <row r="11" spans="1:40" x14ac:dyDescent="0.45">
      <c r="F11" s="101" t="s">
        <v>9</v>
      </c>
      <c r="G11" s="102"/>
    </row>
    <row r="12" spans="1:40" ht="47.4" hidden="1" thickBot="1" x14ac:dyDescent="0.5">
      <c r="B12" s="103"/>
      <c r="M12" s="104"/>
      <c r="R12" s="769" t="s">
        <v>10</v>
      </c>
      <c r="S12" s="770"/>
      <c r="T12" s="770"/>
      <c r="U12" s="771"/>
      <c r="V12" s="772" t="s">
        <v>11</v>
      </c>
      <c r="W12" s="773"/>
      <c r="X12" s="773"/>
      <c r="Y12" s="773"/>
      <c r="Z12" s="105" t="s">
        <v>12</v>
      </c>
      <c r="AA12" s="106" t="e">
        <f>(1/(1-#REF!))-1</f>
        <v>#REF!</v>
      </c>
      <c r="AC12" s="774" t="s">
        <v>13</v>
      </c>
      <c r="AD12" s="775"/>
      <c r="AE12" s="776"/>
      <c r="AG12" s="777" t="s">
        <v>14</v>
      </c>
      <c r="AH12" s="778"/>
      <c r="AJ12" s="107" t="s">
        <v>15</v>
      </c>
      <c r="AK12" s="765" t="s">
        <v>16</v>
      </c>
      <c r="AL12" s="766"/>
    </row>
    <row r="13" spans="1:40" ht="24" thickBot="1" x14ac:dyDescent="0.5">
      <c r="A13" s="108" t="s">
        <v>17</v>
      </c>
      <c r="B13" s="109" t="s">
        <v>18</v>
      </c>
      <c r="C13" s="108" t="s">
        <v>19</v>
      </c>
      <c r="D13" s="108" t="s">
        <v>20</v>
      </c>
      <c r="E13" s="108" t="s">
        <v>21</v>
      </c>
      <c r="M13" s="110">
        <v>0.81</v>
      </c>
      <c r="Z13" s="111"/>
      <c r="AA13" s="112"/>
    </row>
    <row r="14" spans="1:40" ht="39.9" customHeight="1" thickBot="1" x14ac:dyDescent="0.5">
      <c r="A14" s="113">
        <v>0</v>
      </c>
      <c r="B14" s="114"/>
      <c r="C14" s="115"/>
      <c r="D14" s="116"/>
      <c r="E14" s="116"/>
      <c r="F14" s="117" t="s">
        <v>22</v>
      </c>
      <c r="G14" s="118" t="s">
        <v>23</v>
      </c>
      <c r="H14" s="119" t="s">
        <v>24</v>
      </c>
      <c r="I14" s="119" t="s">
        <v>25</v>
      </c>
      <c r="J14" s="120" t="s">
        <v>26</v>
      </c>
      <c r="K14" s="121" t="s">
        <v>27</v>
      </c>
      <c r="L14" s="122">
        <v>0.08</v>
      </c>
      <c r="M14" s="123">
        <v>0.1953</v>
      </c>
      <c r="N14" s="124" t="s">
        <v>28</v>
      </c>
      <c r="O14" s="125"/>
      <c r="P14" s="125"/>
      <c r="Q14" s="551" t="s">
        <v>29</v>
      </c>
      <c r="R14" s="552" t="s">
        <v>30</v>
      </c>
      <c r="S14" s="553" t="s">
        <v>31</v>
      </c>
      <c r="T14" s="554" t="s">
        <v>32</v>
      </c>
      <c r="U14" s="555" t="s">
        <v>33</v>
      </c>
      <c r="V14" s="556" t="s">
        <v>34</v>
      </c>
      <c r="W14" s="557" t="s">
        <v>35</v>
      </c>
      <c r="X14" s="557" t="s">
        <v>36</v>
      </c>
      <c r="Y14" s="558" t="s">
        <v>37</v>
      </c>
      <c r="Z14" s="135" t="s">
        <v>38</v>
      </c>
      <c r="AA14" s="136" t="s">
        <v>39</v>
      </c>
      <c r="AM14" s="137" t="s">
        <v>679</v>
      </c>
      <c r="AN14" s="138" t="s">
        <v>680</v>
      </c>
    </row>
    <row r="15" spans="1:40" ht="39.9" customHeight="1" thickBot="1" x14ac:dyDescent="0.5">
      <c r="A15" s="116">
        <v>1</v>
      </c>
      <c r="B15" s="139">
        <v>1</v>
      </c>
      <c r="C15" s="140" t="s">
        <v>40</v>
      </c>
      <c r="D15" s="116"/>
      <c r="E15" s="116"/>
      <c r="F15" s="758" t="s">
        <v>428</v>
      </c>
      <c r="G15" s="759"/>
      <c r="H15" s="759"/>
      <c r="I15" s="759"/>
      <c r="J15" s="759"/>
      <c r="K15" s="759"/>
      <c r="L15" s="759"/>
      <c r="M15" s="759"/>
      <c r="N15" s="760"/>
      <c r="O15" s="176"/>
      <c r="P15" s="176"/>
      <c r="Q15" s="780" t="s">
        <v>75</v>
      </c>
      <c r="R15" s="781"/>
      <c r="S15" s="781"/>
      <c r="T15" s="781"/>
      <c r="U15" s="781"/>
      <c r="V15" s="781"/>
      <c r="W15" s="781"/>
      <c r="X15" s="781"/>
      <c r="Y15" s="782"/>
      <c r="Z15" s="156" t="e">
        <f t="shared" ref="Z15:Z18" si="0">IF(Q15&lt;&gt;"",U15/K15,"")</f>
        <v>#DIV/0!</v>
      </c>
      <c r="AA15" s="157"/>
      <c r="AM15" s="752"/>
      <c r="AN15" s="752"/>
    </row>
    <row r="16" spans="1:40" ht="39.9" customHeight="1" x14ac:dyDescent="0.45">
      <c r="A16" s="116">
        <v>2</v>
      </c>
      <c r="B16" s="139" t="s">
        <v>42</v>
      </c>
      <c r="C16" s="140" t="s">
        <v>43</v>
      </c>
      <c r="D16" s="116"/>
      <c r="E16" s="116"/>
      <c r="F16" s="754" t="s">
        <v>428</v>
      </c>
      <c r="G16" s="755"/>
      <c r="H16" s="755"/>
      <c r="I16" s="755"/>
      <c r="J16" s="755"/>
      <c r="K16" s="764"/>
      <c r="L16" s="141" t="s">
        <v>45</v>
      </c>
      <c r="M16" s="142" t="s">
        <v>46</v>
      </c>
      <c r="N16" s="143" t="s">
        <v>28</v>
      </c>
      <c r="O16" s="176"/>
      <c r="P16" s="176"/>
      <c r="Q16" s="783" t="s">
        <v>75</v>
      </c>
      <c r="R16" s="784"/>
      <c r="S16" s="784"/>
      <c r="T16" s="784"/>
      <c r="U16" s="784"/>
      <c r="V16" s="784"/>
      <c r="W16" s="559" t="s">
        <v>45</v>
      </c>
      <c r="X16" s="559" t="s">
        <v>46</v>
      </c>
      <c r="Y16" s="560" t="s">
        <v>28</v>
      </c>
      <c r="Z16" s="156" t="e">
        <f t="shared" si="0"/>
        <v>#DIV/0!</v>
      </c>
      <c r="AA16" s="157" t="e">
        <f>T16/#REF!</f>
        <v>#REF!</v>
      </c>
      <c r="AM16" s="753"/>
      <c r="AN16" s="753"/>
    </row>
    <row r="17" spans="1:41" ht="99.9" customHeight="1" x14ac:dyDescent="0.45">
      <c r="A17" s="161">
        <v>3</v>
      </c>
      <c r="B17" s="139" t="s">
        <v>48</v>
      </c>
      <c r="C17" s="162" t="s">
        <v>49</v>
      </c>
      <c r="D17" s="174" t="s">
        <v>78</v>
      </c>
      <c r="E17" s="174" t="s">
        <v>79</v>
      </c>
      <c r="F17" s="205" t="s">
        <v>419</v>
      </c>
      <c r="G17" s="206" t="s">
        <v>429</v>
      </c>
      <c r="H17" s="210">
        <v>1</v>
      </c>
      <c r="I17" s="210">
        <v>1</v>
      </c>
      <c r="J17" s="211">
        <v>8500</v>
      </c>
      <c r="K17" s="211">
        <f t="shared" ref="K17" si="1">IF(F17&lt;&gt;"",H17*I17*J17,"")</f>
        <v>8500</v>
      </c>
      <c r="L17" s="211">
        <f t="shared" ref="L17" si="2">IF(K17&lt;&gt;"",IF(D17="INTERNO",0,K17*$L$14),"")</f>
        <v>680</v>
      </c>
      <c r="M17" s="211">
        <f t="shared" ref="M17" si="3">IF(K17&lt;&gt;"",IF(E17="FAT.OGGI",SUM(K17:L17)*(1/(1-$M$14)-1),L17*(1/(1-$M$14)-1)),"")</f>
        <v>165.03541692556237</v>
      </c>
      <c r="N17" s="212">
        <f t="shared" ref="N17" si="4">SUM(K17:M17)</f>
        <v>9345.0354169255625</v>
      </c>
      <c r="O17" s="149" t="b">
        <v>0</v>
      </c>
      <c r="P17" s="176"/>
      <c r="Q17" s="227">
        <v>1</v>
      </c>
      <c r="R17" s="151">
        <v>1</v>
      </c>
      <c r="S17" s="152">
        <v>0</v>
      </c>
      <c r="T17" s="152">
        <f t="shared" ref="T17" si="5">IF(Q17&lt;&gt;"",Q17*R17*S17,"")</f>
        <v>0</v>
      </c>
      <c r="U17" s="153">
        <f t="shared" ref="U17:U18" si="6">IF(Q17&lt;&gt;"",K17-T17,"")</f>
        <v>8500</v>
      </c>
      <c r="V17" s="154">
        <f t="shared" ref="V17" si="7">IF(Q17&lt;&gt;"",0%,"")</f>
        <v>0</v>
      </c>
      <c r="W17" s="155">
        <f t="shared" ref="W17" si="8">IF(Q17&lt;&gt;"",V17*U17,"")</f>
        <v>0</v>
      </c>
      <c r="X17" s="155">
        <f t="shared" ref="X17" si="9">IF(Q17&lt;&gt;"",W17+T17,"")</f>
        <v>0</v>
      </c>
      <c r="Y17" s="561">
        <f t="shared" ref="Y17:Y19" si="10">IF(Q17&lt;&gt;"",X17+M17,"")</f>
        <v>165.03541692556237</v>
      </c>
      <c r="Z17" s="156">
        <f t="shared" si="0"/>
        <v>1</v>
      </c>
      <c r="AA17" s="157">
        <f>T17/$T$19</f>
        <v>0</v>
      </c>
      <c r="AM17" s="159">
        <f>X17-AN17</f>
        <v>0</v>
      </c>
      <c r="AN17" s="160">
        <v>0</v>
      </c>
    </row>
    <row r="18" spans="1:41" ht="99.9" customHeight="1" x14ac:dyDescent="0.45">
      <c r="A18" s="116">
        <v>4</v>
      </c>
      <c r="B18" s="139" t="s">
        <v>54</v>
      </c>
      <c r="C18" s="140" t="s">
        <v>49</v>
      </c>
      <c r="D18" s="116" t="s">
        <v>78</v>
      </c>
      <c r="E18" s="116" t="s">
        <v>79</v>
      </c>
      <c r="F18" s="163" t="s">
        <v>430</v>
      </c>
      <c r="G18" s="164" t="s">
        <v>431</v>
      </c>
      <c r="H18" s="165">
        <v>1</v>
      </c>
      <c r="I18" s="165">
        <v>1</v>
      </c>
      <c r="J18" s="166">
        <v>12408</v>
      </c>
      <c r="K18" s="166">
        <f t="shared" ref="K18" si="11">IF(F18&lt;&gt;"",H18*I18*J18,"")</f>
        <v>12408</v>
      </c>
      <c r="L18" s="166">
        <f t="shared" ref="L18" si="12">IF(K18&lt;&gt;"",IF(D18="INTERNO",0,K18*$L$14),"")</f>
        <v>992.64</v>
      </c>
      <c r="M18" s="166">
        <f t="shared" ref="M18" si="13">IF(K18&lt;&gt;"",IF(E18="FAT.OGGI",SUM(K18:L18)*(1/(1-$M$14)-1),L18*(1/(1-$M$14)-1)),"")</f>
        <v>240.91287684851505</v>
      </c>
      <c r="N18" s="167">
        <f t="shared" ref="N18" si="14">SUM(K18:M18)</f>
        <v>13641.552876848515</v>
      </c>
      <c r="O18" s="149" t="b">
        <v>0</v>
      </c>
      <c r="P18" s="176"/>
      <c r="Q18" s="150">
        <f t="shared" ref="Q18:R18" si="15">IF(H18&lt;&gt;"",H18,"")</f>
        <v>1</v>
      </c>
      <c r="R18" s="168">
        <f t="shared" si="15"/>
        <v>1</v>
      </c>
      <c r="S18" s="169">
        <v>11280</v>
      </c>
      <c r="T18" s="169">
        <f t="shared" ref="T18" si="16">IF(Q18&lt;&gt;"",Q18*R18*S18,"")</f>
        <v>11280</v>
      </c>
      <c r="U18" s="170">
        <f t="shared" si="6"/>
        <v>1128</v>
      </c>
      <c r="V18" s="171">
        <f t="shared" ref="V18" si="17">IF(Q18&lt;&gt;"",0%,"")</f>
        <v>0</v>
      </c>
      <c r="W18" s="172">
        <f t="shared" ref="W18" si="18">IF(Q18&lt;&gt;"",V18*U18,"")</f>
        <v>0</v>
      </c>
      <c r="X18" s="172">
        <f t="shared" ref="X18" si="19">IF(Q18&lt;&gt;"",W18+T18,"")</f>
        <v>11280</v>
      </c>
      <c r="Y18" s="562">
        <f t="shared" si="10"/>
        <v>11520.912876848515</v>
      </c>
      <c r="Z18" s="156">
        <f t="shared" si="0"/>
        <v>9.0909090909090912E-2</v>
      </c>
      <c r="AA18" s="157">
        <f>T18/$T$19</f>
        <v>1</v>
      </c>
      <c r="AB18" s="177"/>
      <c r="AM18" s="159">
        <f t="shared" ref="AM18" si="20">X18-AN18</f>
        <v>0</v>
      </c>
      <c r="AN18" s="160">
        <v>11280</v>
      </c>
      <c r="AO18" s="622" t="s">
        <v>739</v>
      </c>
    </row>
    <row r="19" spans="1:41" ht="39.9" customHeight="1" thickBot="1" x14ac:dyDescent="0.5">
      <c r="A19" s="174">
        <v>5</v>
      </c>
      <c r="B19" s="139"/>
      <c r="C19" s="175" t="s">
        <v>72</v>
      </c>
      <c r="D19" s="174"/>
      <c r="E19" s="174"/>
      <c r="F19" s="779" t="s">
        <v>427</v>
      </c>
      <c r="G19" s="753"/>
      <c r="H19" s="753"/>
      <c r="I19" s="753"/>
      <c r="J19" s="753"/>
      <c r="K19" s="541">
        <f>SUM(K17:K18)</f>
        <v>20908</v>
      </c>
      <c r="L19" s="541">
        <f>SUM(L17:L18)</f>
        <v>1672.6399999999999</v>
      </c>
      <c r="M19" s="541">
        <f>SUM(M17:M18)</f>
        <v>405.94829377407746</v>
      </c>
      <c r="N19" s="542">
        <f>SUM(N17:N18)</f>
        <v>22986.588293774075</v>
      </c>
      <c r="Q19" s="779" t="s">
        <v>427</v>
      </c>
      <c r="R19" s="753"/>
      <c r="S19" s="753"/>
      <c r="T19" s="543">
        <f>SUM(T17:T18)</f>
        <v>11280</v>
      </c>
      <c r="U19" s="544">
        <f>SUM(U17:U18)</f>
        <v>9628</v>
      </c>
      <c r="V19" s="545"/>
      <c r="W19" s="545"/>
      <c r="X19" s="546">
        <f>SUM(X17:X18)</f>
        <v>11280</v>
      </c>
      <c r="Y19" s="547">
        <f t="shared" si="10"/>
        <v>11685.948293774078</v>
      </c>
      <c r="Z19" s="563" t="s">
        <v>211</v>
      </c>
      <c r="AA19" s="564" t="s">
        <v>212</v>
      </c>
      <c r="AM19" s="159"/>
      <c r="AN19" s="160"/>
    </row>
    <row r="20" spans="1:41" ht="39.9" customHeight="1" thickBot="1" x14ac:dyDescent="0.5">
      <c r="A20" s="161">
        <v>6</v>
      </c>
      <c r="B20" s="250"/>
      <c r="C20" s="162" t="s">
        <v>213</v>
      </c>
      <c r="D20" s="161"/>
      <c r="E20" s="161"/>
      <c r="F20" s="251" t="s">
        <v>214</v>
      </c>
      <c r="G20" s="252"/>
      <c r="H20" s="253"/>
      <c r="I20" s="253"/>
      <c r="J20" s="252"/>
      <c r="K20" s="254">
        <f>SUM(K17:K18)</f>
        <v>20908</v>
      </c>
      <c r="L20" s="254">
        <f>SUM(L17:L18)</f>
        <v>1672.6399999999999</v>
      </c>
      <c r="M20" s="254">
        <f>SUM(M17:M18)</f>
        <v>405.94829377407746</v>
      </c>
      <c r="N20" s="255">
        <f>SUM(N17:N18)</f>
        <v>22986.588293774075</v>
      </c>
      <c r="Q20" s="256" t="s">
        <v>215</v>
      </c>
      <c r="R20" s="253"/>
      <c r="S20" s="252"/>
      <c r="T20" s="254">
        <f>SUM(T17:T18)</f>
        <v>11280</v>
      </c>
      <c r="U20" s="254">
        <f>SUM(U17:U18)</f>
        <v>9628</v>
      </c>
      <c r="V20" s="252"/>
      <c r="W20" s="252"/>
      <c r="X20" s="254">
        <f>SUM(X17:X18)</f>
        <v>11280</v>
      </c>
      <c r="Y20" s="255">
        <f>SUM(Y17:Y18)</f>
        <v>11685.948293774078</v>
      </c>
      <c r="Z20" s="565">
        <f>IF(Q20&lt;&gt;"",(N20-Y20)/N20,"")</f>
        <v>0.49161884554485102</v>
      </c>
      <c r="AA20" s="257">
        <f>IF(Z20&lt;&gt;"",(N20-Y20),"")</f>
        <v>11300.639999999998</v>
      </c>
      <c r="AM20" s="159">
        <f>SUM(AM17:AM19)</f>
        <v>0</v>
      </c>
      <c r="AN20" s="160">
        <f>SUM(AN17:AN19)</f>
        <v>11280</v>
      </c>
    </row>
  </sheetData>
  <mergeCells count="15">
    <mergeCell ref="AM15:AN15"/>
    <mergeCell ref="AM16:AN16"/>
    <mergeCell ref="F19:J19"/>
    <mergeCell ref="Q19:S19"/>
    <mergeCell ref="F1:G1"/>
    <mergeCell ref="F2:G2"/>
    <mergeCell ref="R12:U12"/>
    <mergeCell ref="AK12:AL12"/>
    <mergeCell ref="F15:N15"/>
    <mergeCell ref="Q15:Y15"/>
    <mergeCell ref="F16:K16"/>
    <mergeCell ref="Q16:V16"/>
    <mergeCell ref="V12:Y12"/>
    <mergeCell ref="AC12:AE12"/>
    <mergeCell ref="AG12:AH12"/>
  </mergeCells>
  <dataValidations count="3">
    <dataValidation type="list" allowBlank="1" showInputMessage="1" showErrorMessage="1" sqref="E20" xr:uid="{2EB78158-F3FB-428F-AC26-B3188525133F}">
      <formula1>"FAT.OGGI,FAT.CLIENTE "</formula1>
    </dataValidation>
    <dataValidation type="list" allowBlank="1" showInputMessage="1" showErrorMessage="1" sqref="D20 D17:D18" xr:uid="{60491202-938E-4352-A380-11AB589AD5D5}">
      <formula1>"INTERNO,OPERACIONAL"</formula1>
    </dataValidation>
    <dataValidation type="list" allowBlank="1" showInputMessage="1" showErrorMessage="1" sqref="E17:E18" xr:uid="{EE6FFCCE-4130-42DC-9EA7-B71E160A35BB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A9E76-A861-4C87-BE8D-25F2E74C4C18}">
  <sheetPr codeName="Planilha14">
    <pageSetUpPr autoPageBreaks="0"/>
  </sheetPr>
  <dimension ref="A1:AN47"/>
  <sheetViews>
    <sheetView showGridLines="0" topLeftCell="B1" zoomScale="50" zoomScaleNormal="50" workbookViewId="0">
      <pane ySplit="1" topLeftCell="A42" activePane="bottomLeft" state="frozen"/>
      <selection activeCell="AC1" sqref="AC1"/>
      <selection pane="bottomLeft" activeCell="AC49" sqref="AC49"/>
    </sheetView>
  </sheetViews>
  <sheetFormatPr defaultColWidth="9.109375" defaultRowHeight="23.4" x14ac:dyDescent="0.45"/>
  <cols>
    <col min="1" max="1" width="4.88671875" style="87" hidden="1" customWidth="1"/>
    <col min="2" max="2" width="15.109375" style="87" customWidth="1"/>
    <col min="3" max="3" width="5.6640625" style="87" hidden="1" customWidth="1"/>
    <col min="4" max="4" width="6.6640625" style="87" hidden="1" customWidth="1"/>
    <col min="5" max="5" width="10.109375" style="87" hidden="1" customWidth="1"/>
    <col min="6" max="6" width="35.6640625" style="87" customWidth="1"/>
    <col min="7" max="7" width="66.5546875" style="87" customWidth="1"/>
    <col min="8" max="9" width="9.33203125" style="90" hidden="1" customWidth="1"/>
    <col min="10" max="10" width="15.6640625" style="87" hidden="1" customWidth="1"/>
    <col min="11" max="11" width="26.44140625" style="87" bestFit="1" customWidth="1"/>
    <col min="12" max="12" width="28.109375" style="87" bestFit="1" customWidth="1"/>
    <col min="13" max="13" width="24.33203125" style="87" bestFit="1" customWidth="1"/>
    <col min="14" max="14" width="26.44140625" style="87" bestFit="1" customWidth="1"/>
    <col min="15" max="15" width="10.109375" style="91" hidden="1" customWidth="1"/>
    <col min="16" max="16" width="2.109375" style="91" hidden="1" customWidth="1"/>
    <col min="17" max="17" width="9.109375" style="90" customWidth="1"/>
    <col min="18" max="18" width="10.44140625" style="90" hidden="1" customWidth="1"/>
    <col min="19" max="19" width="17.5546875" style="87" hidden="1" customWidth="1"/>
    <col min="20" max="20" width="26.44140625" style="87" customWidth="1"/>
    <col min="21" max="21" width="28.6640625" style="87" hidden="1" customWidth="1"/>
    <col min="22" max="23" width="28.33203125" style="87" hidden="1" customWidth="1"/>
    <col min="24" max="24" width="28.33203125" style="87" customWidth="1"/>
    <col min="25" max="26" width="27.6640625" style="87" hidden="1" customWidth="1"/>
    <col min="27" max="27" width="25.6640625" style="87" hidden="1" customWidth="1"/>
    <col min="28" max="28" width="38.109375" style="87" hidden="1" customWidth="1"/>
    <col min="29" max="30" width="38.109375" style="567" customWidth="1"/>
    <col min="31" max="31" width="33" style="622" customWidth="1"/>
    <col min="32" max="32" width="33" style="87" hidden="1" customWidth="1"/>
    <col min="33" max="33" width="28" style="87" hidden="1" customWidth="1"/>
    <col min="34" max="34" width="1.33203125" style="87" hidden="1" customWidth="1"/>
    <col min="35" max="35" width="81.5546875" style="87" hidden="1" customWidth="1"/>
    <col min="36" max="36" width="36.6640625" style="87" hidden="1" customWidth="1"/>
    <col min="37" max="37" width="1.5546875" style="87" hidden="1" customWidth="1"/>
    <col min="38" max="38" width="20.33203125" style="87" hidden="1" customWidth="1"/>
    <col min="39" max="39" width="25.33203125" style="87" hidden="1" customWidth="1"/>
    <col min="40" max="40" width="24.88671875" style="87" hidden="1" customWidth="1"/>
    <col min="41" max="41" width="9.109375" style="87"/>
    <col min="42" max="42" width="21.33203125" style="87" customWidth="1"/>
    <col min="43" max="16384" width="9.109375" style="87"/>
  </cols>
  <sheetData>
    <row r="1" spans="1:40" ht="49.5" customHeight="1" x14ac:dyDescent="0.45">
      <c r="B1" s="88"/>
      <c r="C1" s="89"/>
      <c r="D1" s="89"/>
      <c r="F1" s="767" t="s">
        <v>0</v>
      </c>
      <c r="G1" s="767"/>
    </row>
    <row r="2" spans="1:40" ht="24.75" customHeight="1" x14ac:dyDescent="0.45">
      <c r="B2" s="92"/>
      <c r="D2" s="89"/>
      <c r="F2" s="768" t="s">
        <v>1</v>
      </c>
      <c r="G2" s="768"/>
    </row>
    <row r="3" spans="1:40" x14ac:dyDescent="0.45">
      <c r="B3" s="93"/>
      <c r="F3" s="94"/>
      <c r="G3" s="94"/>
    </row>
    <row r="4" spans="1:40" ht="21.9" customHeight="1" x14ac:dyDescent="0.45">
      <c r="F4" s="95" t="s">
        <v>2</v>
      </c>
      <c r="G4" s="96"/>
    </row>
    <row r="5" spans="1:40" x14ac:dyDescent="0.45">
      <c r="F5" s="97" t="s">
        <v>3</v>
      </c>
      <c r="G5" s="98"/>
    </row>
    <row r="6" spans="1:40" x14ac:dyDescent="0.45">
      <c r="F6" s="97" t="s">
        <v>4</v>
      </c>
      <c r="G6" s="99"/>
    </row>
    <row r="7" spans="1:40" ht="21.75" customHeight="1" x14ac:dyDescent="0.45">
      <c r="F7" s="97" t="s">
        <v>5</v>
      </c>
      <c r="G7" s="99"/>
    </row>
    <row r="8" spans="1:40" x14ac:dyDescent="0.45">
      <c r="F8" s="97" t="s">
        <v>6</v>
      </c>
      <c r="G8" s="100"/>
    </row>
    <row r="9" spans="1:40" x14ac:dyDescent="0.45">
      <c r="F9" s="97" t="s">
        <v>7</v>
      </c>
      <c r="G9" s="99"/>
      <c r="M9" s="87">
        <v>0.80469999999999997</v>
      </c>
    </row>
    <row r="10" spans="1:40" ht="27" customHeight="1" x14ac:dyDescent="0.45">
      <c r="F10" s="97" t="s">
        <v>8</v>
      </c>
      <c r="G10" s="99"/>
      <c r="M10" s="87">
        <f>1-M9</f>
        <v>0.19530000000000003</v>
      </c>
    </row>
    <row r="11" spans="1:40" x14ac:dyDescent="0.45">
      <c r="F11" s="101" t="s">
        <v>9</v>
      </c>
      <c r="G11" s="102"/>
    </row>
    <row r="12" spans="1:40" ht="47.4" hidden="1" thickBot="1" x14ac:dyDescent="0.5">
      <c r="B12" s="103"/>
      <c r="M12" s="104"/>
      <c r="R12" s="769" t="s">
        <v>10</v>
      </c>
      <c r="S12" s="770"/>
      <c r="T12" s="770"/>
      <c r="U12" s="771"/>
      <c r="V12" s="772" t="s">
        <v>11</v>
      </c>
      <c r="W12" s="773"/>
      <c r="X12" s="773"/>
      <c r="Y12" s="773"/>
      <c r="Z12" s="105" t="s">
        <v>12</v>
      </c>
      <c r="AA12" s="106" t="e">
        <f>(1/(1-#REF!))-1</f>
        <v>#REF!</v>
      </c>
      <c r="AE12" s="774" t="s">
        <v>13</v>
      </c>
      <c r="AF12" s="775"/>
      <c r="AG12" s="776"/>
      <c r="AI12" s="777" t="s">
        <v>14</v>
      </c>
      <c r="AJ12" s="778"/>
      <c r="AL12" s="107" t="s">
        <v>15</v>
      </c>
      <c r="AM12" s="765" t="s">
        <v>16</v>
      </c>
      <c r="AN12" s="766"/>
    </row>
    <row r="13" spans="1:40" ht="24" thickBot="1" x14ac:dyDescent="0.5">
      <c r="A13" s="108" t="s">
        <v>17</v>
      </c>
      <c r="B13" s="109" t="s">
        <v>18</v>
      </c>
      <c r="C13" s="108" t="s">
        <v>19</v>
      </c>
      <c r="D13" s="108" t="s">
        <v>20</v>
      </c>
      <c r="E13" s="108" t="s">
        <v>21</v>
      </c>
      <c r="M13" s="110">
        <v>0.81</v>
      </c>
      <c r="Z13" s="111"/>
      <c r="AA13" s="112"/>
    </row>
    <row r="14" spans="1:40" ht="39.9" customHeight="1" thickBot="1" x14ac:dyDescent="0.5">
      <c r="A14" s="113">
        <v>0</v>
      </c>
      <c r="B14" s="114"/>
      <c r="C14" s="115"/>
      <c r="D14" s="116"/>
      <c r="E14" s="116"/>
      <c r="F14" s="117" t="s">
        <v>22</v>
      </c>
      <c r="G14" s="118" t="s">
        <v>23</v>
      </c>
      <c r="H14" s="119" t="s">
        <v>24</v>
      </c>
      <c r="I14" s="119" t="s">
        <v>25</v>
      </c>
      <c r="J14" s="120" t="s">
        <v>26</v>
      </c>
      <c r="K14" s="121" t="s">
        <v>27</v>
      </c>
      <c r="L14" s="122">
        <v>0.08</v>
      </c>
      <c r="M14" s="123">
        <v>0.1953</v>
      </c>
      <c r="N14" s="124" t="s">
        <v>28</v>
      </c>
      <c r="O14" s="125"/>
      <c r="P14" s="125"/>
      <c r="Q14" s="551" t="s">
        <v>29</v>
      </c>
      <c r="R14" s="552" t="s">
        <v>30</v>
      </c>
      <c r="S14" s="553" t="s">
        <v>31</v>
      </c>
      <c r="T14" s="554" t="s">
        <v>32</v>
      </c>
      <c r="U14" s="555" t="s">
        <v>33</v>
      </c>
      <c r="V14" s="556" t="s">
        <v>34</v>
      </c>
      <c r="W14" s="557" t="s">
        <v>35</v>
      </c>
      <c r="X14" s="557" t="s">
        <v>36</v>
      </c>
      <c r="Y14" s="558" t="s">
        <v>37</v>
      </c>
      <c r="Z14" s="135" t="s">
        <v>38</v>
      </c>
      <c r="AA14" s="136" t="s">
        <v>39</v>
      </c>
      <c r="AC14" s="137" t="s">
        <v>679</v>
      </c>
      <c r="AD14" s="626" t="s">
        <v>680</v>
      </c>
    </row>
    <row r="15" spans="1:40" ht="39.9" customHeight="1" thickBot="1" x14ac:dyDescent="0.5">
      <c r="A15" s="116">
        <v>1</v>
      </c>
      <c r="B15" s="139">
        <v>1</v>
      </c>
      <c r="C15" s="140" t="s">
        <v>40</v>
      </c>
      <c r="D15" s="116"/>
      <c r="E15" s="116"/>
      <c r="F15" s="758" t="s">
        <v>432</v>
      </c>
      <c r="G15" s="759"/>
      <c r="H15" s="759"/>
      <c r="I15" s="759"/>
      <c r="J15" s="759"/>
      <c r="K15" s="759"/>
      <c r="L15" s="759"/>
      <c r="M15" s="759"/>
      <c r="N15" s="760"/>
      <c r="O15" s="176"/>
      <c r="P15" s="176"/>
      <c r="Q15" s="780" t="s">
        <v>75</v>
      </c>
      <c r="R15" s="781"/>
      <c r="S15" s="781"/>
      <c r="T15" s="781"/>
      <c r="U15" s="781"/>
      <c r="V15" s="781"/>
      <c r="W15" s="781"/>
      <c r="X15" s="781"/>
      <c r="Y15" s="782"/>
      <c r="Z15" s="156" t="e">
        <f t="shared" ref="Z15:Z22" si="0">IF(Q15&lt;&gt;"",U15/K15,"")</f>
        <v>#DIV/0!</v>
      </c>
      <c r="AA15" s="157"/>
      <c r="AC15" s="752"/>
      <c r="AD15" s="752"/>
    </row>
    <row r="16" spans="1:40" ht="39.9" customHeight="1" thickBot="1" x14ac:dyDescent="0.5">
      <c r="A16" s="116">
        <v>2</v>
      </c>
      <c r="B16" s="139" t="s">
        <v>42</v>
      </c>
      <c r="C16" s="140" t="s">
        <v>43</v>
      </c>
      <c r="D16" s="116"/>
      <c r="E16" s="116"/>
      <c r="F16" s="754" t="s">
        <v>433</v>
      </c>
      <c r="G16" s="755"/>
      <c r="H16" s="755"/>
      <c r="I16" s="755"/>
      <c r="J16" s="755"/>
      <c r="K16" s="764"/>
      <c r="L16" s="141" t="s">
        <v>45</v>
      </c>
      <c r="M16" s="142" t="s">
        <v>46</v>
      </c>
      <c r="N16" s="143" t="s">
        <v>28</v>
      </c>
      <c r="O16" s="176"/>
      <c r="P16" s="176"/>
      <c r="Q16" s="783" t="s">
        <v>75</v>
      </c>
      <c r="R16" s="784"/>
      <c r="S16" s="784"/>
      <c r="T16" s="784"/>
      <c r="U16" s="784"/>
      <c r="V16" s="784"/>
      <c r="W16" s="559" t="s">
        <v>45</v>
      </c>
      <c r="X16" s="559" t="s">
        <v>46</v>
      </c>
      <c r="Y16" s="560" t="s">
        <v>28</v>
      </c>
      <c r="Z16" s="156" t="e">
        <f t="shared" si="0"/>
        <v>#DIV/0!</v>
      </c>
      <c r="AA16" s="157" t="e">
        <f>T16/#REF!</f>
        <v>#REF!</v>
      </c>
      <c r="AC16" s="753"/>
      <c r="AD16" s="753"/>
    </row>
    <row r="17" spans="1:36" ht="99.9" customHeight="1" thickBot="1" x14ac:dyDescent="0.5">
      <c r="A17" s="161">
        <v>3</v>
      </c>
      <c r="B17" s="139" t="s">
        <v>48</v>
      </c>
      <c r="C17" s="162" t="s">
        <v>49</v>
      </c>
      <c r="D17" s="174" t="s">
        <v>78</v>
      </c>
      <c r="E17" s="174" t="s">
        <v>79</v>
      </c>
      <c r="F17" s="536" t="s">
        <v>434</v>
      </c>
      <c r="G17" s="537" t="s">
        <v>435</v>
      </c>
      <c r="H17" s="538">
        <v>1</v>
      </c>
      <c r="I17" s="538">
        <v>1</v>
      </c>
      <c r="J17" s="539">
        <v>785</v>
      </c>
      <c r="K17" s="539">
        <f t="shared" ref="K17:K18" si="1">IF(F17&lt;&gt;"",H17*I17*J17,"")</f>
        <v>785</v>
      </c>
      <c r="L17" s="539">
        <f>IF(K17&lt;&gt;"",IF(D17="INTERNO",0,K17*$L$14),"")</f>
        <v>62.800000000000004</v>
      </c>
      <c r="M17" s="539">
        <f t="shared" ref="M17:M18" si="2">IF(K17&lt;&gt;"",IF(E17="FAT.OGGI",SUM(K17:L17)*(1/(1-$M$14)-1),L17*(1/(1-$M$14)-1)),"")</f>
        <v>15.241506151360761</v>
      </c>
      <c r="N17" s="540">
        <f t="shared" ref="N17:N18" si="3">SUM(K17:M17)</f>
        <v>863.04150615136075</v>
      </c>
      <c r="O17" s="149" t="b">
        <v>0</v>
      </c>
      <c r="P17" s="176"/>
      <c r="Q17" s="150">
        <v>1</v>
      </c>
      <c r="R17" s="168">
        <v>1</v>
      </c>
      <c r="S17" s="568">
        <v>650</v>
      </c>
      <c r="T17" s="169">
        <v>0</v>
      </c>
      <c r="U17" s="153">
        <f t="shared" ref="U17:U22" si="4">IF(Q17&lt;&gt;"",K17-T17,"")</f>
        <v>785</v>
      </c>
      <c r="V17" s="154">
        <f t="shared" ref="V17:V22" si="5">IF(Q17&lt;&gt;"",0%,"")</f>
        <v>0</v>
      </c>
      <c r="W17" s="155">
        <f t="shared" ref="W17:W22" si="6">IF(Q17&lt;&gt;"",V17*U17,"")</f>
        <v>0</v>
      </c>
      <c r="X17" s="155">
        <f t="shared" ref="X17:X22" si="7">IF(Q17&lt;&gt;"",W17+T17,"")</f>
        <v>0</v>
      </c>
      <c r="Y17" s="561">
        <f t="shared" ref="Y17:Y29" si="8">IF(Q17&lt;&gt;"",X17+M17,"")</f>
        <v>15.241506151360761</v>
      </c>
      <c r="Z17" s="156">
        <f t="shared" si="0"/>
        <v>1</v>
      </c>
      <c r="AA17" s="157">
        <f t="shared" ref="AA17:AA22" si="9">T17/$T$29</f>
        <v>0</v>
      </c>
      <c r="AC17" s="159">
        <f>X17-AD17</f>
        <v>0</v>
      </c>
      <c r="AD17" s="160">
        <v>0</v>
      </c>
    </row>
    <row r="18" spans="1:36" ht="99.9" customHeight="1" thickBot="1" x14ac:dyDescent="0.5">
      <c r="A18" s="174">
        <v>4</v>
      </c>
      <c r="B18" s="139" t="s">
        <v>54</v>
      </c>
      <c r="C18" s="175" t="s">
        <v>49</v>
      </c>
      <c r="D18" s="174" t="s">
        <v>78</v>
      </c>
      <c r="E18" s="174" t="s">
        <v>79</v>
      </c>
      <c r="F18" s="536" t="s">
        <v>436</v>
      </c>
      <c r="G18" s="537" t="s">
        <v>437</v>
      </c>
      <c r="H18" s="538">
        <v>1</v>
      </c>
      <c r="I18" s="538">
        <v>1</v>
      </c>
      <c r="J18" s="539">
        <v>499.99</v>
      </c>
      <c r="K18" s="539">
        <f t="shared" si="1"/>
        <v>499.99</v>
      </c>
      <c r="L18" s="539">
        <f t="shared" ref="L18" si="10">IF(K18&lt;&gt;"",IF(D18="INTERNO",0,K18*$L$14),"")</f>
        <v>39.999200000000002</v>
      </c>
      <c r="M18" s="539">
        <f t="shared" si="2"/>
        <v>9.70777154218964</v>
      </c>
      <c r="N18" s="540">
        <f t="shared" si="3"/>
        <v>549.69697154218966</v>
      </c>
      <c r="O18" s="149" t="b">
        <v>0</v>
      </c>
      <c r="P18" s="176"/>
      <c r="Q18" s="150">
        <v>1</v>
      </c>
      <c r="R18" s="168">
        <v>1</v>
      </c>
      <c r="S18" s="568">
        <v>499.99</v>
      </c>
      <c r="T18" s="169">
        <v>0</v>
      </c>
      <c r="U18" s="153">
        <f t="shared" si="4"/>
        <v>499.99</v>
      </c>
      <c r="V18" s="154">
        <f t="shared" si="5"/>
        <v>0</v>
      </c>
      <c r="W18" s="155">
        <f t="shared" si="6"/>
        <v>0</v>
      </c>
      <c r="X18" s="155">
        <f t="shared" si="7"/>
        <v>0</v>
      </c>
      <c r="Y18" s="561">
        <f t="shared" si="8"/>
        <v>9.70777154218964</v>
      </c>
      <c r="Z18" s="156">
        <f t="shared" si="0"/>
        <v>1</v>
      </c>
      <c r="AA18" s="157">
        <f t="shared" si="9"/>
        <v>0</v>
      </c>
      <c r="AB18" s="158" t="e">
        <f>U18/#REF!</f>
        <v>#REF!</v>
      </c>
      <c r="AC18" s="159">
        <f t="shared" ref="AC18:AC45" si="11">X18-AD18</f>
        <v>0</v>
      </c>
      <c r="AD18" s="160">
        <v>0</v>
      </c>
      <c r="AE18" s="627"/>
      <c r="AF18" s="181">
        <f>T18-AE18</f>
        <v>0</v>
      </c>
      <c r="AG18" s="182">
        <v>46065</v>
      </c>
      <c r="AI18" s="183" t="s">
        <v>81</v>
      </c>
      <c r="AJ18" s="184" t="s">
        <v>81</v>
      </c>
    </row>
    <row r="19" spans="1:36" ht="99.9" customHeight="1" x14ac:dyDescent="0.45">
      <c r="A19" s="161">
        <v>5</v>
      </c>
      <c r="B19" s="139" t="s">
        <v>57</v>
      </c>
      <c r="C19" s="162" t="s">
        <v>49</v>
      </c>
      <c r="D19" s="116" t="s">
        <v>78</v>
      </c>
      <c r="E19" s="116" t="s">
        <v>79</v>
      </c>
      <c r="F19" s="144" t="s">
        <v>127</v>
      </c>
      <c r="G19" s="145" t="s">
        <v>306</v>
      </c>
      <c r="H19" s="146">
        <v>70</v>
      </c>
      <c r="I19" s="146">
        <v>1</v>
      </c>
      <c r="J19" s="147">
        <v>8.5</v>
      </c>
      <c r="K19" s="147">
        <f>IF(F19&lt;&gt;"",H19*I19*J19,"")</f>
        <v>595</v>
      </c>
      <c r="L19" s="147">
        <f>IF(K19&lt;&gt;"",IF(D19="INTERNO",0,K19*$L$14),"")</f>
        <v>47.6</v>
      </c>
      <c r="M19" s="147">
        <f>IF(K19&lt;&gt;"",IF(E19="FAT.OGGI",SUM(K19:L19)*(1/(1-$M$14)-1),L19*(1/(1-$M$14)-1)),"")</f>
        <v>11.552479184789366</v>
      </c>
      <c r="N19" s="148">
        <f>SUM(K19:M19)</f>
        <v>654.1524791847894</v>
      </c>
      <c r="O19" s="149" t="b">
        <v>0</v>
      </c>
      <c r="P19" s="176"/>
      <c r="Q19" s="150">
        <f t="shared" ref="Q19:R21" si="12">IF(H19&lt;&gt;"",H19,"")</f>
        <v>70</v>
      </c>
      <c r="R19" s="168">
        <f t="shared" si="12"/>
        <v>1</v>
      </c>
      <c r="S19" s="169">
        <v>6.1</v>
      </c>
      <c r="T19" s="169">
        <v>0</v>
      </c>
      <c r="U19" s="170">
        <f t="shared" si="4"/>
        <v>595</v>
      </c>
      <c r="V19" s="171">
        <f t="shared" si="5"/>
        <v>0</v>
      </c>
      <c r="W19" s="172">
        <f t="shared" si="6"/>
        <v>0</v>
      </c>
      <c r="X19" s="172">
        <f t="shared" si="7"/>
        <v>0</v>
      </c>
      <c r="Y19" s="562">
        <f t="shared" si="8"/>
        <v>11.552479184789366</v>
      </c>
      <c r="Z19" s="156">
        <f t="shared" si="0"/>
        <v>1</v>
      </c>
      <c r="AA19" s="157">
        <f t="shared" si="9"/>
        <v>0</v>
      </c>
      <c r="AB19" s="177"/>
      <c r="AC19" s="159">
        <f t="shared" si="11"/>
        <v>0</v>
      </c>
      <c r="AD19" s="160">
        <v>0</v>
      </c>
      <c r="AE19" s="627"/>
      <c r="AF19" s="181"/>
      <c r="AG19" s="182"/>
      <c r="AI19" s="183"/>
      <c r="AJ19" s="184"/>
    </row>
    <row r="20" spans="1:36" ht="99.9" customHeight="1" x14ac:dyDescent="0.45">
      <c r="A20" s="174">
        <v>6</v>
      </c>
      <c r="B20" s="139" t="s">
        <v>60</v>
      </c>
      <c r="C20" s="175" t="s">
        <v>49</v>
      </c>
      <c r="D20" s="174" t="s">
        <v>78</v>
      </c>
      <c r="E20" s="174" t="s">
        <v>79</v>
      </c>
      <c r="F20" s="163" t="s">
        <v>438</v>
      </c>
      <c r="G20" s="164" t="s">
        <v>308</v>
      </c>
      <c r="H20" s="165">
        <v>10</v>
      </c>
      <c r="I20" s="165">
        <v>1</v>
      </c>
      <c r="J20" s="166">
        <v>9.49</v>
      </c>
      <c r="K20" s="166">
        <f>IF(F20&lt;&gt;"",H20*I20*J20,"")</f>
        <v>94.9</v>
      </c>
      <c r="L20" s="166">
        <f>IF(K20&lt;&gt;"",IF(D20="INTERNO",0,K20*$L$14),"")</f>
        <v>7.5920000000000005</v>
      </c>
      <c r="M20" s="166">
        <f>IF(K20&lt;&gt;"",IF(E20="FAT.OGGI",SUM(K20:L20)*(1/(1-$M$14)-1),L20*(1/(1-$M$14)-1)),"")</f>
        <v>1.8425718901453965</v>
      </c>
      <c r="N20" s="167">
        <f>SUM(K20:M20)</f>
        <v>104.3345718901454</v>
      </c>
      <c r="O20" s="149" t="b">
        <v>0</v>
      </c>
      <c r="P20" s="176"/>
      <c r="Q20" s="150">
        <f t="shared" si="12"/>
        <v>10</v>
      </c>
      <c r="R20" s="168">
        <f t="shared" si="12"/>
        <v>1</v>
      </c>
      <c r="S20" s="169">
        <v>7.49</v>
      </c>
      <c r="T20" s="169">
        <v>0</v>
      </c>
      <c r="U20" s="170">
        <f t="shared" si="4"/>
        <v>94.9</v>
      </c>
      <c r="V20" s="171">
        <f t="shared" si="5"/>
        <v>0</v>
      </c>
      <c r="W20" s="172">
        <f t="shared" si="6"/>
        <v>0</v>
      </c>
      <c r="X20" s="172">
        <f t="shared" si="7"/>
        <v>0</v>
      </c>
      <c r="Y20" s="562">
        <f t="shared" si="8"/>
        <v>1.8425718901453965</v>
      </c>
      <c r="Z20" s="156">
        <f t="shared" si="0"/>
        <v>1</v>
      </c>
      <c r="AA20" s="157">
        <f t="shared" si="9"/>
        <v>0</v>
      </c>
      <c r="AB20" s="177"/>
      <c r="AC20" s="159">
        <f t="shared" si="11"/>
        <v>0</v>
      </c>
      <c r="AD20" s="160">
        <v>0</v>
      </c>
      <c r="AE20" s="627"/>
      <c r="AF20" s="181">
        <f>T20-AE20</f>
        <v>0</v>
      </c>
      <c r="AG20" s="182">
        <v>46096</v>
      </c>
      <c r="AI20" s="183" t="s">
        <v>85</v>
      </c>
      <c r="AJ20" s="184" t="s">
        <v>86</v>
      </c>
    </row>
    <row r="21" spans="1:36" ht="99.9" customHeight="1" x14ac:dyDescent="0.45">
      <c r="A21" s="161">
        <v>7</v>
      </c>
      <c r="B21" s="139" t="s">
        <v>63</v>
      </c>
      <c r="C21" s="162" t="s">
        <v>49</v>
      </c>
      <c r="D21" s="174" t="s">
        <v>78</v>
      </c>
      <c r="E21" s="174" t="s">
        <v>79</v>
      </c>
      <c r="F21" s="163" t="s">
        <v>439</v>
      </c>
      <c r="G21" s="164" t="s">
        <v>308</v>
      </c>
      <c r="H21" s="165">
        <v>40</v>
      </c>
      <c r="I21" s="165">
        <v>1</v>
      </c>
      <c r="J21" s="166">
        <v>8.99</v>
      </c>
      <c r="K21" s="166">
        <f>IF(F21&lt;&gt;"",H21*I21*J21,"")</f>
        <v>359.6</v>
      </c>
      <c r="L21" s="166">
        <f>IF(K21&lt;&gt;"",IF(D21="INTERNO",0,K21*$L$14),"")</f>
        <v>28.768000000000001</v>
      </c>
      <c r="M21" s="166">
        <f>IF(K21&lt;&gt;"",IF(E21="FAT.OGGI",SUM(K21:L21)*(1/(1-$M$14)-1),L21*(1/(1-$M$14)-1)),"")</f>
        <v>6.9819689325214389</v>
      </c>
      <c r="N21" s="167">
        <f>SUM(K21:M21)</f>
        <v>395.34996893252151</v>
      </c>
      <c r="O21" s="149" t="b">
        <v>0</v>
      </c>
      <c r="P21" s="176"/>
      <c r="Q21" s="150">
        <f t="shared" si="12"/>
        <v>40</v>
      </c>
      <c r="R21" s="168">
        <f t="shared" si="12"/>
        <v>1</v>
      </c>
      <c r="S21" s="169">
        <v>6.99</v>
      </c>
      <c r="T21" s="169">
        <v>0</v>
      </c>
      <c r="U21" s="170">
        <f t="shared" si="4"/>
        <v>359.6</v>
      </c>
      <c r="V21" s="171">
        <f t="shared" si="5"/>
        <v>0</v>
      </c>
      <c r="W21" s="172">
        <f t="shared" si="6"/>
        <v>0</v>
      </c>
      <c r="X21" s="172">
        <f t="shared" si="7"/>
        <v>0</v>
      </c>
      <c r="Y21" s="562">
        <f t="shared" si="8"/>
        <v>6.9819689325214389</v>
      </c>
      <c r="Z21" s="156">
        <f t="shared" si="0"/>
        <v>1</v>
      </c>
      <c r="AA21" s="157">
        <f t="shared" si="9"/>
        <v>0</v>
      </c>
      <c r="AB21" s="177"/>
      <c r="AC21" s="159">
        <f t="shared" si="11"/>
        <v>0</v>
      </c>
      <c r="AD21" s="160">
        <v>0</v>
      </c>
      <c r="AE21" s="627"/>
      <c r="AF21" s="569"/>
      <c r="AG21" s="570"/>
      <c r="AI21" s="571"/>
      <c r="AJ21" s="571"/>
    </row>
    <row r="22" spans="1:36" ht="99.9" customHeight="1" thickBot="1" x14ac:dyDescent="0.5">
      <c r="A22" s="174">
        <v>8</v>
      </c>
      <c r="B22" s="139" t="s">
        <v>66</v>
      </c>
      <c r="C22" s="175" t="s">
        <v>49</v>
      </c>
      <c r="D22" s="174" t="s">
        <v>78</v>
      </c>
      <c r="E22" s="174" t="s">
        <v>79</v>
      </c>
      <c r="F22" s="216" t="s">
        <v>440</v>
      </c>
      <c r="G22" s="217" t="s">
        <v>308</v>
      </c>
      <c r="H22" s="218">
        <v>20</v>
      </c>
      <c r="I22" s="218">
        <v>1</v>
      </c>
      <c r="J22" s="219">
        <v>8.99</v>
      </c>
      <c r="K22" s="219">
        <f t="shared" ref="K22" si="13">IF(F22&lt;&gt;"",H22*I22*J22,"")</f>
        <v>179.8</v>
      </c>
      <c r="L22" s="219">
        <f t="shared" ref="L22" si="14">IF(K22&lt;&gt;"",IF(D22="INTERNO",0,K22*$L$14),"")</f>
        <v>14.384</v>
      </c>
      <c r="M22" s="219">
        <f t="shared" ref="M22" si="15">IF(K22&lt;&gt;"",IF(E22="FAT.OGGI",SUM(K22:L22)*(1/(1-$M$14)-1),L22*(1/(1-$M$14)-1)),"")</f>
        <v>3.4909844662607195</v>
      </c>
      <c r="N22" s="220">
        <f t="shared" ref="N22" si="16">SUM(K22:M22)</f>
        <v>197.67498446626075</v>
      </c>
      <c r="O22" s="149" t="b">
        <v>0</v>
      </c>
      <c r="P22" s="176"/>
      <c r="Q22" s="221">
        <v>1</v>
      </c>
      <c r="R22" s="222">
        <v>0</v>
      </c>
      <c r="S22" s="223">
        <v>6.99</v>
      </c>
      <c r="T22" s="223">
        <v>0</v>
      </c>
      <c r="U22" s="224">
        <f t="shared" si="4"/>
        <v>179.8</v>
      </c>
      <c r="V22" s="225">
        <f t="shared" si="5"/>
        <v>0</v>
      </c>
      <c r="W22" s="226">
        <f t="shared" si="6"/>
        <v>0</v>
      </c>
      <c r="X22" s="226">
        <f t="shared" si="7"/>
        <v>0</v>
      </c>
      <c r="Y22" s="572">
        <f t="shared" si="8"/>
        <v>3.4909844662607195</v>
      </c>
      <c r="Z22" s="156">
        <f t="shared" si="0"/>
        <v>1</v>
      </c>
      <c r="AA22" s="157">
        <f t="shared" si="9"/>
        <v>0</v>
      </c>
      <c r="AB22" s="177"/>
      <c r="AC22" s="159">
        <f t="shared" si="11"/>
        <v>0</v>
      </c>
      <c r="AD22" s="160">
        <v>0</v>
      </c>
    </row>
    <row r="23" spans="1:36" ht="99.9" customHeight="1" x14ac:dyDescent="0.45">
      <c r="A23" s="161">
        <v>9</v>
      </c>
      <c r="B23" s="139" t="s">
        <v>69</v>
      </c>
      <c r="C23" s="162" t="s">
        <v>49</v>
      </c>
      <c r="D23" s="174" t="s">
        <v>78</v>
      </c>
      <c r="E23" s="174" t="s">
        <v>79</v>
      </c>
      <c r="F23" s="144" t="s">
        <v>141</v>
      </c>
      <c r="G23" s="145" t="s">
        <v>142</v>
      </c>
      <c r="H23" s="146">
        <v>20</v>
      </c>
      <c r="I23" s="146">
        <v>1</v>
      </c>
      <c r="J23" s="147">
        <v>370</v>
      </c>
      <c r="K23" s="147">
        <f t="shared" ref="K23:K28" si="17">IF(F23&lt;&gt;"",H23*I23*J23,"")</f>
        <v>7400</v>
      </c>
      <c r="L23" s="147">
        <f t="shared" ref="L23:L28" si="18">IF(K23&lt;&gt;"",IF(D23="INTERNO",0,K23*$L$14),"")</f>
        <v>592</v>
      </c>
      <c r="M23" s="147">
        <f t="shared" ref="M23:M28" si="19">IF(K23&lt;&gt;"",IF(E23="FAT.OGGI",SUM(K23:L23)*(1/(1-$M$14)-1),L23*(1/(1-$M$14)-1)),"")</f>
        <v>143.6778923822543</v>
      </c>
      <c r="N23" s="148">
        <f t="shared" ref="N23:N28" si="20">SUM(K23:M23)</f>
        <v>8135.677892382254</v>
      </c>
      <c r="O23" s="149" t="b">
        <v>0</v>
      </c>
      <c r="P23" s="176"/>
      <c r="Q23" s="194">
        <f t="shared" ref="Q23:R25" si="21">IF(H23&lt;&gt;"",H23,"")</f>
        <v>20</v>
      </c>
      <c r="R23" s="195">
        <f t="shared" si="21"/>
        <v>1</v>
      </c>
      <c r="S23" s="196">
        <v>335</v>
      </c>
      <c r="T23" s="196">
        <v>0</v>
      </c>
      <c r="U23" s="197">
        <f t="shared" ref="U23:U28" si="22">IF(Q23&lt;&gt;"",K23-T23,"")</f>
        <v>7400</v>
      </c>
      <c r="V23" s="198">
        <f t="shared" ref="V23:V28" si="23">IF(Q23&lt;&gt;"",0%,"")</f>
        <v>0</v>
      </c>
      <c r="W23" s="173">
        <f t="shared" ref="W23:W28" si="24">IF(Q23&lt;&gt;"",V23*U23,"")</f>
        <v>0</v>
      </c>
      <c r="X23" s="173">
        <f t="shared" ref="X23:X28" si="25">IF(Q23&lt;&gt;"",W23+T23,"")</f>
        <v>0</v>
      </c>
      <c r="Y23" s="562">
        <f t="shared" ref="Y23:Y28" si="26">IF(Q23&lt;&gt;"",X23+M23,"")</f>
        <v>143.6778923822543</v>
      </c>
      <c r="Z23" s="156">
        <f t="shared" ref="Z23:Z28" si="27">IF(Q23&lt;&gt;"",U23/K23,"")</f>
        <v>1</v>
      </c>
      <c r="AA23" s="157"/>
      <c r="AB23" s="177"/>
      <c r="AC23" s="159">
        <f t="shared" si="11"/>
        <v>0</v>
      </c>
      <c r="AD23" s="160">
        <v>0</v>
      </c>
    </row>
    <row r="24" spans="1:36" ht="99.9" customHeight="1" thickBot="1" x14ac:dyDescent="0.5">
      <c r="A24" s="161">
        <v>10</v>
      </c>
      <c r="B24" s="139" t="s">
        <v>441</v>
      </c>
      <c r="C24" s="162" t="s">
        <v>49</v>
      </c>
      <c r="D24" s="174" t="s">
        <v>78</v>
      </c>
      <c r="E24" s="174" t="s">
        <v>79</v>
      </c>
      <c r="F24" s="573" t="s">
        <v>148</v>
      </c>
      <c r="G24" s="574" t="s">
        <v>681</v>
      </c>
      <c r="H24" s="575">
        <v>20</v>
      </c>
      <c r="I24" s="575">
        <v>1</v>
      </c>
      <c r="J24" s="576">
        <v>90</v>
      </c>
      <c r="K24" s="576">
        <f t="shared" si="17"/>
        <v>1800</v>
      </c>
      <c r="L24" s="576">
        <f t="shared" si="18"/>
        <v>144</v>
      </c>
      <c r="M24" s="576">
        <f t="shared" si="19"/>
        <v>34.948676525413205</v>
      </c>
      <c r="N24" s="577">
        <f t="shared" si="20"/>
        <v>1978.9486765254132</v>
      </c>
      <c r="O24" s="149" t="b">
        <v>0</v>
      </c>
      <c r="P24" s="176"/>
      <c r="Q24" s="194">
        <f t="shared" si="21"/>
        <v>20</v>
      </c>
      <c r="R24" s="195">
        <f t="shared" si="21"/>
        <v>1</v>
      </c>
      <c r="S24" s="196">
        <v>90</v>
      </c>
      <c r="T24" s="196">
        <v>0</v>
      </c>
      <c r="U24" s="197">
        <f t="shared" si="22"/>
        <v>1800</v>
      </c>
      <c r="V24" s="198">
        <f t="shared" si="23"/>
        <v>0</v>
      </c>
      <c r="W24" s="173">
        <f t="shared" si="24"/>
        <v>0</v>
      </c>
      <c r="X24" s="173">
        <f t="shared" si="25"/>
        <v>0</v>
      </c>
      <c r="Y24" s="562">
        <f t="shared" si="26"/>
        <v>34.948676525413205</v>
      </c>
      <c r="Z24" s="156">
        <f t="shared" si="27"/>
        <v>1</v>
      </c>
      <c r="AA24" s="157"/>
      <c r="AB24" s="177"/>
      <c r="AC24" s="159">
        <f t="shared" si="11"/>
        <v>0</v>
      </c>
      <c r="AD24" s="160">
        <v>0</v>
      </c>
    </row>
    <row r="25" spans="1:36" ht="99.9" customHeight="1" x14ac:dyDescent="0.45">
      <c r="A25" s="174">
        <v>11</v>
      </c>
      <c r="B25" s="139" t="s">
        <v>442</v>
      </c>
      <c r="C25" s="175" t="s">
        <v>49</v>
      </c>
      <c r="D25" s="174" t="s">
        <v>78</v>
      </c>
      <c r="E25" s="174" t="s">
        <v>79</v>
      </c>
      <c r="F25" s="578" t="s">
        <v>443</v>
      </c>
      <c r="G25" s="579" t="s">
        <v>444</v>
      </c>
      <c r="H25" s="210">
        <v>200</v>
      </c>
      <c r="I25" s="210">
        <v>1</v>
      </c>
      <c r="J25" s="211">
        <v>34</v>
      </c>
      <c r="K25" s="211">
        <f t="shared" si="17"/>
        <v>6800</v>
      </c>
      <c r="L25" s="211">
        <f t="shared" si="18"/>
        <v>544</v>
      </c>
      <c r="M25" s="211">
        <f t="shared" si="19"/>
        <v>132.02833354044989</v>
      </c>
      <c r="N25" s="212">
        <f t="shared" si="20"/>
        <v>7476.0283335404501</v>
      </c>
      <c r="O25" s="149" t="b">
        <v>0</v>
      </c>
      <c r="P25" s="176"/>
      <c r="Q25" s="194">
        <f t="shared" si="21"/>
        <v>200</v>
      </c>
      <c r="R25" s="195">
        <f t="shared" si="21"/>
        <v>1</v>
      </c>
      <c r="S25" s="196">
        <v>25.03</v>
      </c>
      <c r="T25" s="196">
        <f t="shared" ref="T25" si="28">IF(Q25&lt;&gt;"",Q25*R25*S25,"")</f>
        <v>5006</v>
      </c>
      <c r="U25" s="197">
        <f t="shared" si="22"/>
        <v>1794</v>
      </c>
      <c r="V25" s="198">
        <f t="shared" si="23"/>
        <v>0</v>
      </c>
      <c r="W25" s="173">
        <f t="shared" si="24"/>
        <v>0</v>
      </c>
      <c r="X25" s="173">
        <f t="shared" si="25"/>
        <v>5006</v>
      </c>
      <c r="Y25" s="562">
        <f t="shared" si="26"/>
        <v>5138.0283335404501</v>
      </c>
      <c r="Z25" s="156">
        <f t="shared" si="27"/>
        <v>0.26382352941176468</v>
      </c>
      <c r="AA25" s="157"/>
      <c r="AB25" s="177"/>
      <c r="AC25" s="159">
        <f t="shared" si="11"/>
        <v>0</v>
      </c>
      <c r="AD25" s="160">
        <v>5006</v>
      </c>
      <c r="AE25" s="622" t="s">
        <v>718</v>
      </c>
    </row>
    <row r="26" spans="1:36" ht="99.9" customHeight="1" x14ac:dyDescent="0.45">
      <c r="A26" s="174">
        <v>12</v>
      </c>
      <c r="B26" s="139" t="s">
        <v>445</v>
      </c>
      <c r="C26" s="175" t="s">
        <v>49</v>
      </c>
      <c r="D26" s="174" t="s">
        <v>78</v>
      </c>
      <c r="E26" s="174" t="s">
        <v>79</v>
      </c>
      <c r="F26" s="578" t="s">
        <v>446</v>
      </c>
      <c r="G26" s="579" t="s">
        <v>447</v>
      </c>
      <c r="H26" s="207">
        <v>1</v>
      </c>
      <c r="I26" s="207">
        <v>1</v>
      </c>
      <c r="J26" s="208">
        <v>450</v>
      </c>
      <c r="K26" s="208">
        <f t="shared" si="17"/>
        <v>450</v>
      </c>
      <c r="L26" s="208">
        <f t="shared" si="18"/>
        <v>36</v>
      </c>
      <c r="M26" s="208">
        <f t="shared" si="19"/>
        <v>8.7371691313533013</v>
      </c>
      <c r="N26" s="209">
        <f t="shared" si="20"/>
        <v>494.73716913135331</v>
      </c>
      <c r="O26" s="149" t="b">
        <v>0</v>
      </c>
      <c r="P26" s="176"/>
      <c r="Q26" s="199">
        <v>1</v>
      </c>
      <c r="R26" s="200">
        <f>IF(I26&lt;&gt;"",I26,"")</f>
        <v>1</v>
      </c>
      <c r="S26" s="201">
        <v>350</v>
      </c>
      <c r="T26" s="201">
        <v>0</v>
      </c>
      <c r="U26" s="202">
        <f t="shared" si="22"/>
        <v>450</v>
      </c>
      <c r="V26" s="203">
        <f t="shared" si="23"/>
        <v>0</v>
      </c>
      <c r="W26" s="204">
        <f t="shared" si="24"/>
        <v>0</v>
      </c>
      <c r="X26" s="204">
        <f t="shared" si="25"/>
        <v>0</v>
      </c>
      <c r="Y26" s="580">
        <f t="shared" si="26"/>
        <v>8.7371691313533013</v>
      </c>
      <c r="Z26" s="156">
        <f t="shared" si="27"/>
        <v>1</v>
      </c>
      <c r="AA26" s="157"/>
      <c r="AB26" s="177"/>
      <c r="AC26" s="159">
        <f t="shared" si="11"/>
        <v>0</v>
      </c>
      <c r="AD26" s="160">
        <v>0</v>
      </c>
    </row>
    <row r="27" spans="1:36" ht="99.9" customHeight="1" x14ac:dyDescent="0.45">
      <c r="A27" s="116">
        <v>13</v>
      </c>
      <c r="B27" s="139" t="s">
        <v>448</v>
      </c>
      <c r="C27" s="140" t="s">
        <v>49</v>
      </c>
      <c r="D27" s="174" t="s">
        <v>78</v>
      </c>
      <c r="E27" s="174" t="s">
        <v>79</v>
      </c>
      <c r="F27" s="581" t="s">
        <v>449</v>
      </c>
      <c r="G27" s="242" t="s">
        <v>450</v>
      </c>
      <c r="H27" s="218">
        <v>1</v>
      </c>
      <c r="I27" s="218">
        <v>1</v>
      </c>
      <c r="J27" s="219">
        <v>235.6</v>
      </c>
      <c r="K27" s="219">
        <f t="shared" si="17"/>
        <v>235.6</v>
      </c>
      <c r="L27" s="219">
        <f t="shared" si="18"/>
        <v>18.847999999999999</v>
      </c>
      <c r="M27" s="219">
        <f t="shared" si="19"/>
        <v>4.5743934385485288</v>
      </c>
      <c r="N27" s="220">
        <f t="shared" si="20"/>
        <v>259.02239343854853</v>
      </c>
      <c r="O27" s="149" t="b">
        <v>0</v>
      </c>
      <c r="P27" s="176"/>
      <c r="Q27" s="185">
        <f>IF(H27&lt;&gt;"",H27,"")</f>
        <v>1</v>
      </c>
      <c r="R27" s="186">
        <f>IF(I27&lt;&gt;"",I27,"")</f>
        <v>1</v>
      </c>
      <c r="S27" s="187">
        <v>235.6</v>
      </c>
      <c r="T27" s="187">
        <v>0</v>
      </c>
      <c r="U27" s="188">
        <f t="shared" si="22"/>
        <v>235.6</v>
      </c>
      <c r="V27" s="189">
        <f t="shared" si="23"/>
        <v>0</v>
      </c>
      <c r="W27" s="190">
        <f t="shared" si="24"/>
        <v>0</v>
      </c>
      <c r="X27" s="190">
        <f t="shared" si="25"/>
        <v>0</v>
      </c>
      <c r="Y27" s="572">
        <f t="shared" si="26"/>
        <v>4.5743934385485288</v>
      </c>
      <c r="Z27" s="156">
        <f t="shared" si="27"/>
        <v>1</v>
      </c>
      <c r="AA27" s="157"/>
      <c r="AB27" s="177"/>
      <c r="AC27" s="159">
        <f t="shared" si="11"/>
        <v>0</v>
      </c>
      <c r="AD27" s="160">
        <v>0</v>
      </c>
    </row>
    <row r="28" spans="1:36" ht="99.9" customHeight="1" thickBot="1" x14ac:dyDescent="0.5">
      <c r="A28" s="116">
        <v>14</v>
      </c>
      <c r="B28" s="139" t="s">
        <v>451</v>
      </c>
      <c r="C28" s="140" t="s">
        <v>49</v>
      </c>
      <c r="D28" s="174" t="s">
        <v>78</v>
      </c>
      <c r="E28" s="174" t="s">
        <v>79</v>
      </c>
      <c r="F28" s="582" t="s">
        <v>452</v>
      </c>
      <c r="G28" s="583" t="s">
        <v>453</v>
      </c>
      <c r="H28" s="575">
        <v>1</v>
      </c>
      <c r="I28" s="575">
        <v>1</v>
      </c>
      <c r="J28" s="576">
        <v>800</v>
      </c>
      <c r="K28" s="576">
        <f t="shared" si="17"/>
        <v>800</v>
      </c>
      <c r="L28" s="576">
        <f t="shared" si="18"/>
        <v>64</v>
      </c>
      <c r="M28" s="576">
        <f t="shared" si="19"/>
        <v>15.532745122405871</v>
      </c>
      <c r="N28" s="577">
        <f t="shared" si="20"/>
        <v>879.53274512240591</v>
      </c>
      <c r="O28" s="149" t="b">
        <v>0</v>
      </c>
      <c r="P28" s="176"/>
      <c r="Q28" s="185">
        <f>IF(H28&lt;&gt;"",H28,"")</f>
        <v>1</v>
      </c>
      <c r="R28" s="186">
        <f>IF(I28&lt;&gt;"",I28,"")</f>
        <v>1</v>
      </c>
      <c r="S28" s="187">
        <v>235.6</v>
      </c>
      <c r="T28" s="187">
        <v>0</v>
      </c>
      <c r="U28" s="188">
        <f t="shared" si="22"/>
        <v>800</v>
      </c>
      <c r="V28" s="189">
        <f t="shared" si="23"/>
        <v>0</v>
      </c>
      <c r="W28" s="190">
        <f t="shared" si="24"/>
        <v>0</v>
      </c>
      <c r="X28" s="190">
        <f t="shared" si="25"/>
        <v>0</v>
      </c>
      <c r="Y28" s="572">
        <f t="shared" si="26"/>
        <v>15.532745122405871</v>
      </c>
      <c r="Z28" s="156">
        <f t="shared" si="27"/>
        <v>1</v>
      </c>
      <c r="AA28" s="157"/>
      <c r="AB28" s="177"/>
      <c r="AC28" s="159">
        <f t="shared" si="11"/>
        <v>0</v>
      </c>
      <c r="AD28" s="160">
        <v>0</v>
      </c>
    </row>
    <row r="29" spans="1:36" ht="39.9" customHeight="1" thickBot="1" x14ac:dyDescent="0.5">
      <c r="A29" s="174">
        <v>15</v>
      </c>
      <c r="B29" s="139"/>
      <c r="C29" s="175" t="s">
        <v>72</v>
      </c>
      <c r="D29" s="174"/>
      <c r="E29" s="174"/>
      <c r="F29" s="779" t="s">
        <v>427</v>
      </c>
      <c r="G29" s="753"/>
      <c r="H29" s="753"/>
      <c r="I29" s="753"/>
      <c r="J29" s="753"/>
      <c r="K29" s="541">
        <f>SUM(K17:K28)</f>
        <v>19999.89</v>
      </c>
      <c r="L29" s="541">
        <f>SUM(L17:L28)</f>
        <v>1599.9911999999999</v>
      </c>
      <c r="M29" s="541">
        <f>SUM(M17:M28)</f>
        <v>388.31649230769239</v>
      </c>
      <c r="N29" s="542">
        <f>SUM(N17:N28)</f>
        <v>21988.197692307695</v>
      </c>
      <c r="Q29" s="779" t="s">
        <v>427</v>
      </c>
      <c r="R29" s="753"/>
      <c r="S29" s="753"/>
      <c r="T29" s="543">
        <f>SUM(T17:T28)</f>
        <v>5006</v>
      </c>
      <c r="U29" s="544">
        <f>SUM(U17:U28)</f>
        <v>14993.890000000001</v>
      </c>
      <c r="V29" s="545"/>
      <c r="W29" s="545"/>
      <c r="X29" s="546">
        <f>SUM(X17:X28)</f>
        <v>5006</v>
      </c>
      <c r="Y29" s="584">
        <f t="shared" si="8"/>
        <v>5394.316492307692</v>
      </c>
      <c r="Z29" s="563" t="s">
        <v>211</v>
      </c>
      <c r="AA29" s="564" t="s">
        <v>212</v>
      </c>
      <c r="AC29" s="159"/>
      <c r="AD29" s="160"/>
    </row>
    <row r="30" spans="1:36" ht="39.9" customHeight="1" thickBot="1" x14ac:dyDescent="0.5">
      <c r="A30" s="116">
        <v>16</v>
      </c>
      <c r="B30" s="139">
        <v>2</v>
      </c>
      <c r="C30" s="140" t="s">
        <v>40</v>
      </c>
      <c r="D30" s="116"/>
      <c r="E30" s="116"/>
      <c r="F30" s="785" t="s">
        <v>454</v>
      </c>
      <c r="G30" s="786"/>
      <c r="H30" s="786"/>
      <c r="I30" s="786"/>
      <c r="J30" s="786"/>
      <c r="K30" s="786"/>
      <c r="L30" s="786"/>
      <c r="M30" s="786"/>
      <c r="N30" s="787"/>
      <c r="Q30" s="788" t="str">
        <f>IF(F30&lt;&gt;"",F30,"")</f>
        <v>EXTRAS | SOLICITAÇÕES FEITAS NA MONTAGEM E NO EVENTO</v>
      </c>
      <c r="R30" s="752"/>
      <c r="S30" s="752"/>
      <c r="T30" s="752"/>
      <c r="U30" s="752"/>
      <c r="V30" s="752"/>
      <c r="W30" s="752"/>
      <c r="X30" s="752"/>
      <c r="Y30" s="789"/>
      <c r="Z30" s="563"/>
      <c r="AA30" s="564"/>
      <c r="AC30" s="159"/>
      <c r="AD30" s="160"/>
    </row>
    <row r="31" spans="1:36" ht="39.9" customHeight="1" x14ac:dyDescent="0.45">
      <c r="A31" s="116">
        <v>17</v>
      </c>
      <c r="B31" s="139" t="s">
        <v>76</v>
      </c>
      <c r="C31" s="140" t="s">
        <v>43</v>
      </c>
      <c r="D31" s="116"/>
      <c r="E31" s="116"/>
      <c r="F31" s="754" t="s">
        <v>433</v>
      </c>
      <c r="G31" s="755"/>
      <c r="H31" s="755"/>
      <c r="I31" s="755"/>
      <c r="J31" s="755"/>
      <c r="K31" s="764"/>
      <c r="L31" s="585" t="s">
        <v>45</v>
      </c>
      <c r="M31" s="586" t="s">
        <v>46</v>
      </c>
      <c r="N31" s="587" t="s">
        <v>28</v>
      </c>
      <c r="Q31" s="754" t="str">
        <f>IF(F31&lt;&gt;"",F31,"")</f>
        <v>EXTRAS</v>
      </c>
      <c r="R31" s="755"/>
      <c r="S31" s="755"/>
      <c r="T31" s="755"/>
      <c r="U31" s="755"/>
      <c r="V31" s="755"/>
      <c r="W31" s="755"/>
      <c r="X31" s="755"/>
      <c r="Y31" s="790"/>
      <c r="Z31" s="588" t="s">
        <v>47</v>
      </c>
      <c r="AA31" s="589" t="s">
        <v>39</v>
      </c>
      <c r="AC31" s="159"/>
      <c r="AD31" s="160"/>
    </row>
    <row r="32" spans="1:36" ht="99.9" customHeight="1" x14ac:dyDescent="0.45">
      <c r="A32" s="116">
        <v>18</v>
      </c>
      <c r="B32" s="139" t="s">
        <v>77</v>
      </c>
      <c r="C32" s="140" t="s">
        <v>49</v>
      </c>
      <c r="D32" s="116" t="s">
        <v>78</v>
      </c>
      <c r="E32" s="116" t="s">
        <v>79</v>
      </c>
      <c r="F32" s="590" t="s">
        <v>455</v>
      </c>
      <c r="G32" s="242" t="s">
        <v>456</v>
      </c>
      <c r="H32" s="591">
        <v>3</v>
      </c>
      <c r="I32" s="591">
        <v>1</v>
      </c>
      <c r="J32" s="219">
        <v>1800</v>
      </c>
      <c r="K32" s="219">
        <f>IF(F32&lt;&gt;"",H32*I32*J32,"")</f>
        <v>5400</v>
      </c>
      <c r="L32" s="219">
        <f>IF(K32&lt;&gt;"",IF(D32="INTERNO",0,K32*$L$14),"")</f>
        <v>432</v>
      </c>
      <c r="M32" s="219">
        <f>IF(K32&lt;&gt;"",IF(E32="FAT.OGGI",SUM(K32:L32)*(1/(1-$M$14)-1),L32*(1/(1-$M$14)-1)),"")</f>
        <v>104.84602957623963</v>
      </c>
      <c r="N32" s="220">
        <f>SUM(K32:M32)</f>
        <v>5936.8460295762397</v>
      </c>
      <c r="O32" s="149" t="b">
        <v>0</v>
      </c>
      <c r="Q32" s="231">
        <f t="shared" ref="Q32:R34" si="29">IF(H32&lt;&gt;"",H32,"")</f>
        <v>3</v>
      </c>
      <c r="R32" s="232">
        <f t="shared" si="29"/>
        <v>1</v>
      </c>
      <c r="S32" s="233">
        <v>0</v>
      </c>
      <c r="T32" s="233">
        <v>1000</v>
      </c>
      <c r="U32" s="234">
        <f t="shared" ref="U32:U45" si="30">IF(Q32&lt;&gt;"",K32-T32,"")</f>
        <v>4400</v>
      </c>
      <c r="V32" s="189">
        <f t="shared" ref="V32:V45" si="31">IF(Q32&lt;&gt;"",0%,"")</f>
        <v>0</v>
      </c>
      <c r="W32" s="190">
        <f t="shared" ref="W32:W45" si="32">IF(Q32&lt;&gt;"",V32*U32,"")</f>
        <v>0</v>
      </c>
      <c r="X32" s="235">
        <f t="shared" ref="X32:X45" si="33">IF(Q32&lt;&gt;"",W32+T32,"")</f>
        <v>1000</v>
      </c>
      <c r="Y32" s="592">
        <f t="shared" ref="Y32:Y46" si="34">IF(Q32&lt;&gt;"",X32+M32,"")</f>
        <v>1104.8460295762397</v>
      </c>
      <c r="Z32" s="593">
        <f t="shared" ref="Z32:Z45" si="35">IF(Q32&lt;&gt;"",U32/K32,"")</f>
        <v>0.81481481481481477</v>
      </c>
      <c r="AA32" s="594">
        <f>T32/$T$46</f>
        <v>4.9544512524109595E-2</v>
      </c>
      <c r="AC32" s="159">
        <f t="shared" si="11"/>
        <v>0</v>
      </c>
      <c r="AD32" s="160">
        <v>1000</v>
      </c>
      <c r="AE32" s="622" t="s">
        <v>714</v>
      </c>
    </row>
    <row r="33" spans="1:31" ht="99.9" customHeight="1" x14ac:dyDescent="0.45">
      <c r="A33" s="116">
        <v>19</v>
      </c>
      <c r="B33" s="139" t="s">
        <v>82</v>
      </c>
      <c r="C33" s="140" t="s">
        <v>49</v>
      </c>
      <c r="D33" s="116" t="s">
        <v>78</v>
      </c>
      <c r="E33" s="116" t="s">
        <v>79</v>
      </c>
      <c r="F33" s="590" t="s">
        <v>457</v>
      </c>
      <c r="G33" s="242" t="s">
        <v>458</v>
      </c>
      <c r="H33" s="591">
        <v>1</v>
      </c>
      <c r="I33" s="591">
        <v>1</v>
      </c>
      <c r="J33" s="219">
        <v>6609.76</v>
      </c>
      <c r="K33" s="219">
        <f>IF(F33&lt;&gt;"",H33*I33*J33,"")</f>
        <v>6609.76</v>
      </c>
      <c r="L33" s="219">
        <f>IF(K33&lt;&gt;"",IF(D33="INTERNO",0,K33*$L$14),"")</f>
        <v>528.7808</v>
      </c>
      <c r="M33" s="219">
        <f>IF(K33&lt;&gt;"",IF(E33="FAT.OGGI",SUM(K33:L33)*(1/(1-$M$14)-1),L33*(1/(1-$M$14)-1)),"")</f>
        <v>128.33464675034179</v>
      </c>
      <c r="N33" s="220">
        <f>SUM(K33:M33)</f>
        <v>7266.8754467503422</v>
      </c>
      <c r="O33" s="149" t="b">
        <v>0</v>
      </c>
      <c r="Q33" s="231">
        <f t="shared" si="29"/>
        <v>1</v>
      </c>
      <c r="R33" s="232">
        <f t="shared" si="29"/>
        <v>1</v>
      </c>
      <c r="S33" s="233">
        <v>5609.76</v>
      </c>
      <c r="T33" s="233">
        <v>1971.5</v>
      </c>
      <c r="U33" s="234">
        <f t="shared" si="30"/>
        <v>4638.26</v>
      </c>
      <c r="V33" s="189">
        <f t="shared" si="31"/>
        <v>0</v>
      </c>
      <c r="W33" s="190">
        <f t="shared" si="32"/>
        <v>0</v>
      </c>
      <c r="X33" s="235">
        <f t="shared" si="33"/>
        <v>1971.5</v>
      </c>
      <c r="Y33" s="592">
        <f t="shared" si="34"/>
        <v>2099.8346467503416</v>
      </c>
      <c r="Z33" s="593">
        <f t="shared" si="35"/>
        <v>0.70172895838880689</v>
      </c>
      <c r="AA33" s="594">
        <f>T33/$T$46</f>
        <v>9.7677006441282063E-2</v>
      </c>
      <c r="AC33" s="159">
        <f t="shared" si="11"/>
        <v>0</v>
      </c>
      <c r="AD33" s="160">
        <v>1971.5</v>
      </c>
      <c r="AE33" s="622" t="s">
        <v>751</v>
      </c>
    </row>
    <row r="34" spans="1:31" ht="99.9" customHeight="1" x14ac:dyDescent="0.45">
      <c r="A34" s="161">
        <v>20</v>
      </c>
      <c r="B34" s="139" t="s">
        <v>221</v>
      </c>
      <c r="C34" s="162" t="s">
        <v>49</v>
      </c>
      <c r="D34" s="116" t="s">
        <v>78</v>
      </c>
      <c r="E34" s="116" t="s">
        <v>79</v>
      </c>
      <c r="F34" s="595" t="s">
        <v>459</v>
      </c>
      <c r="G34" s="193" t="s">
        <v>460</v>
      </c>
      <c r="H34" s="179">
        <v>1</v>
      </c>
      <c r="I34" s="179">
        <v>1</v>
      </c>
      <c r="J34" s="166">
        <v>4100</v>
      </c>
      <c r="K34" s="166">
        <f>IF(F34&lt;&gt;"",H34*I34*J34,"")</f>
        <v>4100</v>
      </c>
      <c r="L34" s="166">
        <f>IF(K34&lt;&gt;"",IF(D34="INTERNO",0,K34*$L$14),"")</f>
        <v>328</v>
      </c>
      <c r="M34" s="166">
        <f>IF(K34&lt;&gt;"",IF(E34="FAT.OGGI",SUM(K34:L34)*(1/(1-$M$14)-1),L34*(1/(1-$M$14)-1)),"")</f>
        <v>79.605318752330092</v>
      </c>
      <c r="N34" s="167">
        <f>SUM(K34:M34)</f>
        <v>4507.6053187523303</v>
      </c>
      <c r="O34" s="149" t="b">
        <v>0</v>
      </c>
      <c r="Q34" s="596">
        <f t="shared" si="29"/>
        <v>1</v>
      </c>
      <c r="R34" s="597">
        <f t="shared" si="29"/>
        <v>1</v>
      </c>
      <c r="S34" s="236">
        <v>2229</v>
      </c>
      <c r="T34" s="236">
        <f>IF(Q34&lt;&gt;"",Q34*R34*S34,"")</f>
        <v>2229</v>
      </c>
      <c r="U34" s="237">
        <f t="shared" si="30"/>
        <v>1871</v>
      </c>
      <c r="V34" s="198">
        <f t="shared" si="31"/>
        <v>0</v>
      </c>
      <c r="W34" s="173">
        <f t="shared" si="32"/>
        <v>0</v>
      </c>
      <c r="X34" s="238">
        <f t="shared" si="33"/>
        <v>2229</v>
      </c>
      <c r="Y34" s="598">
        <f t="shared" si="34"/>
        <v>2308.6053187523303</v>
      </c>
      <c r="Z34" s="593">
        <f t="shared" si="35"/>
        <v>0.45634146341463416</v>
      </c>
      <c r="AA34" s="594"/>
      <c r="AC34" s="159">
        <f t="shared" si="11"/>
        <v>0</v>
      </c>
      <c r="AD34" s="160">
        <v>2229</v>
      </c>
      <c r="AE34" s="622" t="s">
        <v>736</v>
      </c>
    </row>
    <row r="35" spans="1:31" ht="99.9" customHeight="1" x14ac:dyDescent="0.45">
      <c r="A35" s="174">
        <v>21</v>
      </c>
      <c r="B35" s="139" t="s">
        <v>224</v>
      </c>
      <c r="C35" s="175" t="s">
        <v>49</v>
      </c>
      <c r="D35" s="174" t="s">
        <v>78</v>
      </c>
      <c r="E35" s="174" t="s">
        <v>79</v>
      </c>
      <c r="F35" s="578" t="s">
        <v>461</v>
      </c>
      <c r="G35" s="579" t="s">
        <v>462</v>
      </c>
      <c r="H35" s="210">
        <v>1</v>
      </c>
      <c r="I35" s="210">
        <v>1</v>
      </c>
      <c r="J35" s="211">
        <v>5000</v>
      </c>
      <c r="K35" s="211">
        <f t="shared" ref="K35:K37" si="36">IF(F35&lt;&gt;"",H35*I35*J35,"")</f>
        <v>5000</v>
      </c>
      <c r="L35" s="211">
        <f t="shared" ref="L35:L37" si="37">IF(K35&lt;&gt;"",IF(D35="INTERNO",0,K35*$L$14),"")</f>
        <v>400</v>
      </c>
      <c r="M35" s="211">
        <f t="shared" ref="M35:M37" si="38">IF(K35&lt;&gt;"",IF(E35="FAT.OGGI",SUM(K35:L35)*(1/(1-$M$14)-1),L35*(1/(1-$M$14)-1)),"")</f>
        <v>97.079657015036688</v>
      </c>
      <c r="N35" s="212">
        <f t="shared" ref="N35:N37" si="39">SUM(K35:M35)</f>
        <v>5497.0796570150369</v>
      </c>
      <c r="O35" s="149" t="b">
        <v>0</v>
      </c>
      <c r="P35" s="176"/>
      <c r="Q35" s="213">
        <f t="shared" ref="Q35:Q36" si="40">IF(H35&lt;&gt;"",H35,"")</f>
        <v>1</v>
      </c>
      <c r="R35" s="214">
        <f t="shared" ref="R35:R36" si="41">IF(I35&lt;&gt;"",I35,"")</f>
        <v>1</v>
      </c>
      <c r="S35" s="215">
        <v>4000</v>
      </c>
      <c r="T35" s="215">
        <v>0</v>
      </c>
      <c r="U35" s="599">
        <f t="shared" si="30"/>
        <v>5000</v>
      </c>
      <c r="V35" s="203">
        <f t="shared" si="31"/>
        <v>0</v>
      </c>
      <c r="W35" s="204">
        <f t="shared" si="32"/>
        <v>0</v>
      </c>
      <c r="X35" s="600">
        <f t="shared" si="33"/>
        <v>0</v>
      </c>
      <c r="Y35" s="601">
        <f t="shared" si="34"/>
        <v>97.079657015036688</v>
      </c>
      <c r="Z35" s="593">
        <f t="shared" si="35"/>
        <v>1</v>
      </c>
      <c r="AA35" s="594">
        <f>T35/$T$46</f>
        <v>0</v>
      </c>
      <c r="AC35" s="159">
        <f t="shared" si="11"/>
        <v>0</v>
      </c>
      <c r="AD35" s="160">
        <v>0</v>
      </c>
    </row>
    <row r="36" spans="1:31" ht="99.9" customHeight="1" x14ac:dyDescent="0.45">
      <c r="A36" s="116">
        <v>22</v>
      </c>
      <c r="B36" s="139" t="s">
        <v>463</v>
      </c>
      <c r="C36" s="140" t="s">
        <v>49</v>
      </c>
      <c r="D36" s="116" t="s">
        <v>78</v>
      </c>
      <c r="E36" s="116" t="s">
        <v>79</v>
      </c>
      <c r="F36" s="578" t="s">
        <v>464</v>
      </c>
      <c r="G36" s="579" t="s">
        <v>465</v>
      </c>
      <c r="H36" s="210">
        <v>1</v>
      </c>
      <c r="I36" s="210">
        <v>1</v>
      </c>
      <c r="J36" s="211">
        <v>3050</v>
      </c>
      <c r="K36" s="211">
        <f t="shared" si="36"/>
        <v>3050</v>
      </c>
      <c r="L36" s="211">
        <f t="shared" si="37"/>
        <v>244</v>
      </c>
      <c r="M36" s="211">
        <f t="shared" si="38"/>
        <v>59.218590779172381</v>
      </c>
      <c r="N36" s="212">
        <f t="shared" si="39"/>
        <v>3353.2185907791722</v>
      </c>
      <c r="O36" s="149" t="b">
        <v>0</v>
      </c>
      <c r="P36" s="176"/>
      <c r="Q36" s="194">
        <f t="shared" si="40"/>
        <v>1</v>
      </c>
      <c r="R36" s="195">
        <f t="shared" si="41"/>
        <v>1</v>
      </c>
      <c r="S36" s="196">
        <v>2750</v>
      </c>
      <c r="T36" s="196">
        <v>4000</v>
      </c>
      <c r="U36" s="234">
        <f t="shared" si="30"/>
        <v>-950</v>
      </c>
      <c r="V36" s="189">
        <f t="shared" si="31"/>
        <v>0</v>
      </c>
      <c r="W36" s="190">
        <f t="shared" si="32"/>
        <v>0</v>
      </c>
      <c r="X36" s="235">
        <f t="shared" si="33"/>
        <v>4000</v>
      </c>
      <c r="Y36" s="592">
        <f t="shared" si="34"/>
        <v>4059.2185907791722</v>
      </c>
      <c r="Z36" s="593">
        <f t="shared" si="35"/>
        <v>-0.31147540983606559</v>
      </c>
      <c r="AA36" s="594">
        <f>T36/$T$46</f>
        <v>0.19817805009643838</v>
      </c>
      <c r="AC36" s="159">
        <f t="shared" si="11"/>
        <v>0</v>
      </c>
      <c r="AD36" s="160">
        <v>4000</v>
      </c>
      <c r="AE36" s="622" t="s">
        <v>755</v>
      </c>
    </row>
    <row r="37" spans="1:31" ht="99.9" customHeight="1" x14ac:dyDescent="0.45">
      <c r="A37" s="116">
        <v>23</v>
      </c>
      <c r="B37" s="139" t="s">
        <v>466</v>
      </c>
      <c r="C37" s="140" t="s">
        <v>49</v>
      </c>
      <c r="D37" s="116" t="s">
        <v>78</v>
      </c>
      <c r="E37" s="116" t="s">
        <v>79</v>
      </c>
      <c r="F37" s="602" t="s">
        <v>225</v>
      </c>
      <c r="G37" s="193" t="s">
        <v>467</v>
      </c>
      <c r="H37" s="165">
        <v>40</v>
      </c>
      <c r="I37" s="165">
        <v>1</v>
      </c>
      <c r="J37" s="166">
        <v>90</v>
      </c>
      <c r="K37" s="166">
        <f t="shared" si="36"/>
        <v>3600</v>
      </c>
      <c r="L37" s="166">
        <f t="shared" si="37"/>
        <v>288</v>
      </c>
      <c r="M37" s="166">
        <f t="shared" si="38"/>
        <v>69.89735305082641</v>
      </c>
      <c r="N37" s="167">
        <f t="shared" si="39"/>
        <v>3957.8973530508265</v>
      </c>
      <c r="O37" s="149" t="b">
        <v>0</v>
      </c>
      <c r="P37" s="176"/>
      <c r="Q37" s="194">
        <v>40</v>
      </c>
      <c r="R37" s="195">
        <f t="shared" ref="R37:R45" si="42">IF(I37&lt;&gt;"",I37,"")</f>
        <v>1</v>
      </c>
      <c r="S37" s="196">
        <v>90</v>
      </c>
      <c r="T37" s="169">
        <v>0</v>
      </c>
      <c r="U37" s="234">
        <f t="shared" si="30"/>
        <v>3600</v>
      </c>
      <c r="V37" s="189">
        <f t="shared" si="31"/>
        <v>0</v>
      </c>
      <c r="W37" s="190">
        <f t="shared" si="32"/>
        <v>0</v>
      </c>
      <c r="X37" s="235">
        <f t="shared" si="33"/>
        <v>0</v>
      </c>
      <c r="Y37" s="592">
        <f t="shared" si="34"/>
        <v>69.89735305082641</v>
      </c>
      <c r="Z37" s="593">
        <f t="shared" si="35"/>
        <v>1</v>
      </c>
      <c r="AA37" s="594">
        <f>T37/$T$46</f>
        <v>0</v>
      </c>
      <c r="AC37" s="159">
        <f t="shared" si="11"/>
        <v>0</v>
      </c>
      <c r="AD37" s="160">
        <v>0</v>
      </c>
    </row>
    <row r="38" spans="1:31" ht="99.9" customHeight="1" x14ac:dyDescent="0.45">
      <c r="A38" s="116">
        <v>24</v>
      </c>
      <c r="B38" s="139" t="s">
        <v>468</v>
      </c>
      <c r="C38" s="140" t="s">
        <v>49</v>
      </c>
      <c r="D38" s="116" t="s">
        <v>78</v>
      </c>
      <c r="E38" s="116" t="s">
        <v>79</v>
      </c>
      <c r="F38" s="216" t="s">
        <v>141</v>
      </c>
      <c r="G38" s="217" t="s">
        <v>469</v>
      </c>
      <c r="H38" s="218">
        <v>50</v>
      </c>
      <c r="I38" s="218">
        <v>1</v>
      </c>
      <c r="J38" s="219">
        <v>370</v>
      </c>
      <c r="K38" s="219">
        <f t="shared" ref="K38:K45" si="43">IF(F38&lt;&gt;"",H38*I38*J38,"")</f>
        <v>18500</v>
      </c>
      <c r="L38" s="219">
        <f t="shared" ref="L38:L45" si="44">IF(K38&lt;&gt;"",IF(D38="INTERNO",0,K38*$L$14),"")</f>
        <v>1480</v>
      </c>
      <c r="M38" s="219">
        <f t="shared" ref="M38:M45" si="45">IF(K38&lt;&gt;"",IF(E38="FAT.OGGI",SUM(K38:L38)*(1/(1-$M$14)-1),L38*(1/(1-$M$14)-1)),"")</f>
        <v>359.19473095563575</v>
      </c>
      <c r="N38" s="220">
        <f t="shared" ref="N38:N45" si="46">SUM(K38:M38)</f>
        <v>20339.194730955634</v>
      </c>
      <c r="O38" s="149" t="b">
        <v>0</v>
      </c>
      <c r="Q38" s="185">
        <f t="shared" ref="Q38:Q45" si="47">IF(H38&lt;&gt;"",H38,"")</f>
        <v>50</v>
      </c>
      <c r="R38" s="186">
        <f t="shared" si="42"/>
        <v>1</v>
      </c>
      <c r="S38" s="187">
        <v>335</v>
      </c>
      <c r="T38" s="187">
        <v>0</v>
      </c>
      <c r="U38" s="603">
        <f t="shared" si="30"/>
        <v>18500</v>
      </c>
      <c r="V38" s="189">
        <f t="shared" si="31"/>
        <v>0</v>
      </c>
      <c r="W38" s="190">
        <f t="shared" si="32"/>
        <v>0</v>
      </c>
      <c r="X38" s="235">
        <f t="shared" si="33"/>
        <v>0</v>
      </c>
      <c r="Y38" s="592">
        <f t="shared" si="34"/>
        <v>359.19473095563575</v>
      </c>
      <c r="Z38" s="593">
        <f t="shared" si="35"/>
        <v>1</v>
      </c>
      <c r="AA38" s="594">
        <f>T38/$T$46</f>
        <v>0</v>
      </c>
      <c r="AC38" s="159">
        <f t="shared" si="11"/>
        <v>0</v>
      </c>
      <c r="AD38" s="160">
        <v>0</v>
      </c>
    </row>
    <row r="39" spans="1:31" ht="99.9" customHeight="1" x14ac:dyDescent="0.45">
      <c r="A39" s="161">
        <v>25</v>
      </c>
      <c r="B39" s="139" t="s">
        <v>470</v>
      </c>
      <c r="C39" s="162" t="s">
        <v>49</v>
      </c>
      <c r="D39" s="116" t="s">
        <v>78</v>
      </c>
      <c r="E39" s="116" t="s">
        <v>79</v>
      </c>
      <c r="F39" s="163" t="s">
        <v>471</v>
      </c>
      <c r="G39" s="164" t="s">
        <v>472</v>
      </c>
      <c r="H39" s="165">
        <v>1</v>
      </c>
      <c r="I39" s="165">
        <v>1</v>
      </c>
      <c r="J39" s="166">
        <v>963</v>
      </c>
      <c r="K39" s="166">
        <f t="shared" si="43"/>
        <v>963</v>
      </c>
      <c r="L39" s="166">
        <f t="shared" si="44"/>
        <v>77.040000000000006</v>
      </c>
      <c r="M39" s="166">
        <f t="shared" si="45"/>
        <v>18.69754194109607</v>
      </c>
      <c r="N39" s="167">
        <f t="shared" si="46"/>
        <v>1058.737541941096</v>
      </c>
      <c r="O39" s="149" t="b">
        <v>0</v>
      </c>
      <c r="Q39" s="194">
        <f t="shared" si="47"/>
        <v>1</v>
      </c>
      <c r="R39" s="195">
        <f t="shared" si="42"/>
        <v>1</v>
      </c>
      <c r="S39" s="196">
        <v>963</v>
      </c>
      <c r="T39" s="196">
        <v>0</v>
      </c>
      <c r="U39" s="237">
        <f t="shared" si="30"/>
        <v>963</v>
      </c>
      <c r="V39" s="198">
        <f t="shared" si="31"/>
        <v>0</v>
      </c>
      <c r="W39" s="173">
        <f t="shared" si="32"/>
        <v>0</v>
      </c>
      <c r="X39" s="238">
        <f t="shared" si="33"/>
        <v>0</v>
      </c>
      <c r="Y39" s="598">
        <f t="shared" si="34"/>
        <v>18.69754194109607</v>
      </c>
      <c r="Z39" s="593">
        <f t="shared" si="35"/>
        <v>1</v>
      </c>
      <c r="AA39" s="594"/>
      <c r="AC39" s="159">
        <f t="shared" si="11"/>
        <v>0</v>
      </c>
      <c r="AD39" s="160">
        <v>0</v>
      </c>
    </row>
    <row r="40" spans="1:31" ht="99.9" customHeight="1" x14ac:dyDescent="0.45">
      <c r="A40" s="174">
        <v>26</v>
      </c>
      <c r="B40" s="139" t="s">
        <v>473</v>
      </c>
      <c r="C40" s="175" t="s">
        <v>49</v>
      </c>
      <c r="D40" s="174" t="s">
        <v>78</v>
      </c>
      <c r="E40" s="174" t="s">
        <v>79</v>
      </c>
      <c r="F40" s="163" t="s">
        <v>474</v>
      </c>
      <c r="G40" s="604" t="s">
        <v>475</v>
      </c>
      <c r="H40" s="165">
        <v>20</v>
      </c>
      <c r="I40" s="165">
        <v>1</v>
      </c>
      <c r="J40" s="166">
        <v>70</v>
      </c>
      <c r="K40" s="219">
        <f t="shared" si="43"/>
        <v>1400</v>
      </c>
      <c r="L40" s="219">
        <f t="shared" si="44"/>
        <v>112</v>
      </c>
      <c r="M40" s="219">
        <f t="shared" si="45"/>
        <v>27.182303964210274</v>
      </c>
      <c r="N40" s="220">
        <f t="shared" si="46"/>
        <v>1539.1823039642102</v>
      </c>
      <c r="O40" s="149" t="b">
        <v>0</v>
      </c>
      <c r="Q40" s="199">
        <f t="shared" si="47"/>
        <v>20</v>
      </c>
      <c r="R40" s="200">
        <f t="shared" si="42"/>
        <v>1</v>
      </c>
      <c r="S40" s="201">
        <v>60</v>
      </c>
      <c r="T40" s="201">
        <v>0</v>
      </c>
      <c r="U40" s="599">
        <f t="shared" si="30"/>
        <v>1400</v>
      </c>
      <c r="V40" s="203">
        <f t="shared" si="31"/>
        <v>0</v>
      </c>
      <c r="W40" s="204">
        <f t="shared" si="32"/>
        <v>0</v>
      </c>
      <c r="X40" s="600">
        <f t="shared" si="33"/>
        <v>0</v>
      </c>
      <c r="Y40" s="601">
        <f t="shared" si="34"/>
        <v>27.182303964210274</v>
      </c>
      <c r="Z40" s="593">
        <f t="shared" si="35"/>
        <v>1</v>
      </c>
      <c r="AA40" s="594">
        <f>T40/$T$46</f>
        <v>0</v>
      </c>
      <c r="AC40" s="159">
        <f t="shared" si="11"/>
        <v>0</v>
      </c>
      <c r="AD40" s="160">
        <v>0</v>
      </c>
    </row>
    <row r="41" spans="1:31" ht="99.9" customHeight="1" x14ac:dyDescent="0.45">
      <c r="A41" s="116">
        <v>27</v>
      </c>
      <c r="B41" s="139" t="s">
        <v>476</v>
      </c>
      <c r="C41" s="140" t="s">
        <v>49</v>
      </c>
      <c r="D41" s="174" t="s">
        <v>78</v>
      </c>
      <c r="E41" s="174" t="s">
        <v>79</v>
      </c>
      <c r="F41" s="216" t="s">
        <v>477</v>
      </c>
      <c r="G41" s="242" t="s">
        <v>342</v>
      </c>
      <c r="H41" s="605">
        <v>3</v>
      </c>
      <c r="I41" s="605">
        <v>1</v>
      </c>
      <c r="J41" s="243">
        <v>299.99</v>
      </c>
      <c r="K41" s="219">
        <f t="shared" si="43"/>
        <v>899.97</v>
      </c>
      <c r="L41" s="219">
        <f t="shared" si="44"/>
        <v>71.997600000000006</v>
      </c>
      <c r="M41" s="219">
        <f t="shared" si="45"/>
        <v>17.473755784764517</v>
      </c>
      <c r="N41" s="220">
        <f t="shared" si="46"/>
        <v>989.4413557847646</v>
      </c>
      <c r="O41" s="149" t="b">
        <v>0</v>
      </c>
      <c r="Q41" s="185">
        <f t="shared" si="47"/>
        <v>3</v>
      </c>
      <c r="R41" s="186">
        <f t="shared" si="42"/>
        <v>1</v>
      </c>
      <c r="S41" s="187">
        <v>299.99</v>
      </c>
      <c r="T41" s="187">
        <v>0</v>
      </c>
      <c r="U41" s="234">
        <f t="shared" si="30"/>
        <v>899.97</v>
      </c>
      <c r="V41" s="189">
        <f t="shared" si="31"/>
        <v>0</v>
      </c>
      <c r="W41" s="190">
        <f t="shared" si="32"/>
        <v>0</v>
      </c>
      <c r="X41" s="235">
        <f t="shared" si="33"/>
        <v>0</v>
      </c>
      <c r="Y41" s="592">
        <f t="shared" si="34"/>
        <v>17.473755784764517</v>
      </c>
      <c r="Z41" s="593">
        <f t="shared" si="35"/>
        <v>1</v>
      </c>
      <c r="AA41" s="606"/>
      <c r="AC41" s="159">
        <f t="shared" si="11"/>
        <v>0</v>
      </c>
      <c r="AD41" s="160">
        <v>0</v>
      </c>
    </row>
    <row r="42" spans="1:31" ht="99.9" customHeight="1" x14ac:dyDescent="0.45">
      <c r="A42" s="161">
        <v>28</v>
      </c>
      <c r="B42" s="139" t="s">
        <v>478</v>
      </c>
      <c r="C42" s="162" t="s">
        <v>49</v>
      </c>
      <c r="D42" s="174" t="s">
        <v>78</v>
      </c>
      <c r="E42" s="174" t="s">
        <v>79</v>
      </c>
      <c r="F42" s="163" t="s">
        <v>479</v>
      </c>
      <c r="G42" s="193" t="s">
        <v>480</v>
      </c>
      <c r="H42" s="179">
        <v>1</v>
      </c>
      <c r="I42" s="179">
        <v>1</v>
      </c>
      <c r="J42" s="180">
        <v>400</v>
      </c>
      <c r="K42" s="166">
        <f t="shared" si="43"/>
        <v>400</v>
      </c>
      <c r="L42" s="166">
        <f t="shared" si="44"/>
        <v>32</v>
      </c>
      <c r="M42" s="166">
        <f t="shared" si="45"/>
        <v>7.7663725612029353</v>
      </c>
      <c r="N42" s="167">
        <f t="shared" si="46"/>
        <v>439.76637256120296</v>
      </c>
      <c r="O42" s="149" t="b">
        <v>0</v>
      </c>
      <c r="Q42" s="150">
        <f t="shared" si="47"/>
        <v>1</v>
      </c>
      <c r="R42" s="195">
        <f t="shared" si="42"/>
        <v>1</v>
      </c>
      <c r="S42" s="196">
        <v>400</v>
      </c>
      <c r="T42" s="196">
        <v>0</v>
      </c>
      <c r="U42" s="237">
        <f t="shared" si="30"/>
        <v>400</v>
      </c>
      <c r="V42" s="198">
        <f t="shared" si="31"/>
        <v>0</v>
      </c>
      <c r="W42" s="173">
        <f t="shared" si="32"/>
        <v>0</v>
      </c>
      <c r="X42" s="238">
        <f t="shared" si="33"/>
        <v>0</v>
      </c>
      <c r="Y42" s="239">
        <f t="shared" si="34"/>
        <v>7.7663725612029353</v>
      </c>
      <c r="Z42" s="240">
        <f t="shared" si="35"/>
        <v>1</v>
      </c>
      <c r="AA42" s="606"/>
      <c r="AC42" s="159">
        <f t="shared" si="11"/>
        <v>0</v>
      </c>
      <c r="AD42" s="160">
        <v>0</v>
      </c>
    </row>
    <row r="43" spans="1:31" ht="99.9" customHeight="1" x14ac:dyDescent="0.45">
      <c r="A43" s="174">
        <v>29</v>
      </c>
      <c r="B43" s="139" t="s">
        <v>481</v>
      </c>
      <c r="C43" s="175" t="s">
        <v>49</v>
      </c>
      <c r="D43" s="174" t="s">
        <v>78</v>
      </c>
      <c r="E43" s="174" t="s">
        <v>79</v>
      </c>
      <c r="F43" s="205" t="s">
        <v>482</v>
      </c>
      <c r="G43" s="579" t="s">
        <v>483</v>
      </c>
      <c r="H43" s="607">
        <v>1</v>
      </c>
      <c r="I43" s="607">
        <v>1</v>
      </c>
      <c r="J43" s="608">
        <v>220</v>
      </c>
      <c r="K43" s="211">
        <f t="shared" si="43"/>
        <v>220</v>
      </c>
      <c r="L43" s="211">
        <f t="shared" si="44"/>
        <v>17.600000000000001</v>
      </c>
      <c r="M43" s="211">
        <f t="shared" si="45"/>
        <v>4.2715049086616146</v>
      </c>
      <c r="N43" s="212">
        <f t="shared" si="46"/>
        <v>241.87150490866162</v>
      </c>
      <c r="O43" s="149" t="b">
        <v>0</v>
      </c>
      <c r="Q43" s="199">
        <f t="shared" si="47"/>
        <v>1</v>
      </c>
      <c r="R43" s="200">
        <f t="shared" si="42"/>
        <v>1</v>
      </c>
      <c r="S43" s="201">
        <v>220</v>
      </c>
      <c r="T43" s="201">
        <v>0</v>
      </c>
      <c r="U43" s="599">
        <f t="shared" si="30"/>
        <v>220</v>
      </c>
      <c r="V43" s="203">
        <f t="shared" si="31"/>
        <v>0</v>
      </c>
      <c r="W43" s="204">
        <f t="shared" si="32"/>
        <v>0</v>
      </c>
      <c r="X43" s="600">
        <f t="shared" si="33"/>
        <v>0</v>
      </c>
      <c r="Y43" s="601">
        <f t="shared" si="34"/>
        <v>4.2715049086616146</v>
      </c>
      <c r="Z43" s="593">
        <f t="shared" si="35"/>
        <v>1</v>
      </c>
      <c r="AA43" s="606"/>
      <c r="AC43" s="159">
        <f t="shared" si="11"/>
        <v>0</v>
      </c>
      <c r="AD43" s="160">
        <v>0</v>
      </c>
    </row>
    <row r="44" spans="1:31" ht="99.9" customHeight="1" x14ac:dyDescent="0.45">
      <c r="A44" s="116">
        <v>30</v>
      </c>
      <c r="B44" s="139" t="s">
        <v>484</v>
      </c>
      <c r="C44" s="140" t="s">
        <v>49</v>
      </c>
      <c r="D44" s="174" t="s">
        <v>78</v>
      </c>
      <c r="E44" s="174" t="s">
        <v>79</v>
      </c>
      <c r="F44" s="163" t="s">
        <v>485</v>
      </c>
      <c r="G44" s="164" t="s">
        <v>486</v>
      </c>
      <c r="H44" s="165">
        <v>1</v>
      </c>
      <c r="I44" s="165">
        <v>1</v>
      </c>
      <c r="J44" s="166">
        <v>1390</v>
      </c>
      <c r="K44" s="166">
        <f t="shared" si="43"/>
        <v>1390</v>
      </c>
      <c r="L44" s="166">
        <f t="shared" si="44"/>
        <v>111.2</v>
      </c>
      <c r="M44" s="166">
        <f t="shared" si="45"/>
        <v>26.9881446501802</v>
      </c>
      <c r="N44" s="167">
        <f t="shared" si="46"/>
        <v>1528.1881446501802</v>
      </c>
      <c r="O44" s="149" t="b">
        <v>0</v>
      </c>
      <c r="Q44" s="185">
        <f t="shared" si="47"/>
        <v>1</v>
      </c>
      <c r="R44" s="186">
        <f t="shared" si="42"/>
        <v>1</v>
      </c>
      <c r="S44" s="187">
        <v>1390</v>
      </c>
      <c r="T44" s="187">
        <v>0</v>
      </c>
      <c r="U44" s="234">
        <f t="shared" si="30"/>
        <v>1390</v>
      </c>
      <c r="V44" s="189">
        <f t="shared" si="31"/>
        <v>0</v>
      </c>
      <c r="W44" s="190">
        <f t="shared" si="32"/>
        <v>0</v>
      </c>
      <c r="X44" s="235">
        <f t="shared" si="33"/>
        <v>0</v>
      </c>
      <c r="Y44" s="592">
        <f t="shared" si="34"/>
        <v>26.9881446501802</v>
      </c>
      <c r="Z44" s="593">
        <f t="shared" si="35"/>
        <v>1</v>
      </c>
      <c r="AA44" s="606"/>
      <c r="AC44" s="159">
        <f t="shared" si="11"/>
        <v>0</v>
      </c>
      <c r="AD44" s="160">
        <v>0</v>
      </c>
    </row>
    <row r="45" spans="1:31" ht="99.9" customHeight="1" x14ac:dyDescent="0.45">
      <c r="A45" s="116">
        <v>31</v>
      </c>
      <c r="B45" s="139" t="s">
        <v>487</v>
      </c>
      <c r="C45" s="140" t="s">
        <v>49</v>
      </c>
      <c r="D45" s="174" t="s">
        <v>78</v>
      </c>
      <c r="E45" s="174" t="s">
        <v>79</v>
      </c>
      <c r="F45" s="229" t="s">
        <v>488</v>
      </c>
      <c r="G45" s="230" t="s">
        <v>489</v>
      </c>
      <c r="H45" s="207">
        <v>1</v>
      </c>
      <c r="I45" s="207">
        <v>1</v>
      </c>
      <c r="J45" s="208">
        <v>1752.55</v>
      </c>
      <c r="K45" s="208">
        <f t="shared" si="43"/>
        <v>1752.55</v>
      </c>
      <c r="L45" s="208">
        <f t="shared" si="44"/>
        <v>140.20400000000001</v>
      </c>
      <c r="M45" s="208">
        <f t="shared" si="45"/>
        <v>34.027390580340516</v>
      </c>
      <c r="N45" s="209">
        <f t="shared" si="46"/>
        <v>1926.7813905803405</v>
      </c>
      <c r="O45" s="149" t="b">
        <v>0</v>
      </c>
      <c r="Q45" s="185">
        <f t="shared" si="47"/>
        <v>1</v>
      </c>
      <c r="R45" s="186">
        <f t="shared" si="42"/>
        <v>1</v>
      </c>
      <c r="S45" s="187">
        <v>1390</v>
      </c>
      <c r="T45" s="187">
        <v>10983.37</v>
      </c>
      <c r="U45" s="234">
        <f t="shared" si="30"/>
        <v>-9230.8200000000015</v>
      </c>
      <c r="V45" s="189">
        <f t="shared" si="31"/>
        <v>0</v>
      </c>
      <c r="W45" s="190">
        <f t="shared" si="32"/>
        <v>0</v>
      </c>
      <c r="X45" s="235">
        <f t="shared" si="33"/>
        <v>10983.37</v>
      </c>
      <c r="Y45" s="592">
        <f t="shared" si="34"/>
        <v>11017.397390580341</v>
      </c>
      <c r="Z45" s="593">
        <f t="shared" si="35"/>
        <v>-5.2670793985906261</v>
      </c>
      <c r="AA45" s="606"/>
      <c r="AC45" s="159">
        <f t="shared" si="11"/>
        <v>0</v>
      </c>
      <c r="AD45" s="160">
        <f>1129.52+9853.85</f>
        <v>10983.37</v>
      </c>
      <c r="AE45" s="622" t="s">
        <v>758</v>
      </c>
    </row>
    <row r="46" spans="1:31" ht="39.9" customHeight="1" thickBot="1" x14ac:dyDescent="0.5">
      <c r="A46" s="191">
        <v>32</v>
      </c>
      <c r="B46" s="139"/>
      <c r="C46" s="192" t="s">
        <v>72</v>
      </c>
      <c r="D46" s="174" t="s">
        <v>78</v>
      </c>
      <c r="E46" s="174" t="s">
        <v>79</v>
      </c>
      <c r="F46" s="791" t="s">
        <v>490</v>
      </c>
      <c r="G46" s="792"/>
      <c r="H46" s="792"/>
      <c r="I46" s="792"/>
      <c r="J46" s="792"/>
      <c r="K46" s="244">
        <f>SUM(K32:K45)</f>
        <v>53285.280000000006</v>
      </c>
      <c r="L46" s="244">
        <f>SUM(L32:L45)</f>
        <v>4262.8224</v>
      </c>
      <c r="M46" s="244">
        <f>SUM(M32:M45)</f>
        <v>1034.583341270039</v>
      </c>
      <c r="N46" s="245">
        <f>SUM(N32:N45)</f>
        <v>58582.685741270034</v>
      </c>
      <c r="Q46" s="791" t="s">
        <v>490</v>
      </c>
      <c r="R46" s="792"/>
      <c r="S46" s="792"/>
      <c r="T46" s="246">
        <f>SUM(T32:T45)</f>
        <v>20183.870000000003</v>
      </c>
      <c r="U46" s="247">
        <f>SUM(U32:U45)</f>
        <v>33101.410000000003</v>
      </c>
      <c r="V46" s="248"/>
      <c r="W46" s="248"/>
      <c r="X46" s="249">
        <f>SUM(X32:X45)</f>
        <v>20183.870000000003</v>
      </c>
      <c r="Y46" s="609">
        <f t="shared" si="34"/>
        <v>21218.45334127004</v>
      </c>
      <c r="Z46" s="610"/>
      <c r="AA46" s="564"/>
      <c r="AC46" s="159"/>
      <c r="AD46" s="160"/>
    </row>
    <row r="47" spans="1:31" ht="39.9" customHeight="1" thickBot="1" x14ac:dyDescent="0.5">
      <c r="A47" s="611">
        <v>33</v>
      </c>
      <c r="B47" s="250"/>
      <c r="C47" s="612" t="s">
        <v>213</v>
      </c>
      <c r="D47" s="611"/>
      <c r="E47" s="611"/>
      <c r="F47" s="613" t="s">
        <v>214</v>
      </c>
      <c r="G47" s="614"/>
      <c r="H47" s="615"/>
      <c r="I47" s="615"/>
      <c r="J47" s="614"/>
      <c r="K47" s="616">
        <f>SUM(K17:K28)+SUM(K32:K45)</f>
        <v>73285.170000000013</v>
      </c>
      <c r="L47" s="616">
        <f>SUM(L17:L28)+SUM(L32:L45)</f>
        <v>5862.8135999999995</v>
      </c>
      <c r="M47" s="616">
        <f>SUM(M17:M28)+SUM(M32:M45)</f>
        <v>1422.8998335777314</v>
      </c>
      <c r="N47" s="617">
        <f>SUM(N17:N28)+SUM(N32:N45)</f>
        <v>80570.883433577721</v>
      </c>
      <c r="Q47" s="618" t="s">
        <v>215</v>
      </c>
      <c r="R47" s="615"/>
      <c r="S47" s="614"/>
      <c r="T47" s="616">
        <f>SUM(T17:T28)+SUM(T32:T45)</f>
        <v>25189.870000000003</v>
      </c>
      <c r="U47" s="616">
        <f>SUM(U17:U28)+SUM(U32:U45)</f>
        <v>48095.3</v>
      </c>
      <c r="V47" s="614"/>
      <c r="W47" s="614"/>
      <c r="X47" s="616">
        <f>SUM(X17:X28)+SUM(X32:X45)</f>
        <v>25189.870000000003</v>
      </c>
      <c r="Y47" s="617">
        <f>SUM(Y17:Y28)+SUM(Y32:Y45)</f>
        <v>26612.769833577731</v>
      </c>
      <c r="Z47" s="619">
        <f>IF(Q47&lt;&gt;"",(N47-Y47)/N47,"")</f>
        <v>0.66969743039348473</v>
      </c>
      <c r="AA47" s="620">
        <f>IF(Z47&lt;&gt;"",(N47-Y47),"")</f>
        <v>53958.11359999999</v>
      </c>
      <c r="AC47" s="159">
        <f>SUM(AC32:AC46)</f>
        <v>0</v>
      </c>
      <c r="AD47" s="160">
        <f>SUM(AD32:AD46,AD17:AD31)</f>
        <v>25189.870000000003</v>
      </c>
    </row>
  </sheetData>
  <autoFilter ref="A17:AN47" xr:uid="{865A9E76-A861-4C87-BE8D-25F2E74C4C18}"/>
  <mergeCells count="21">
    <mergeCell ref="F29:J29"/>
    <mergeCell ref="Q29:S29"/>
    <mergeCell ref="F1:G1"/>
    <mergeCell ref="F2:G2"/>
    <mergeCell ref="R12:U12"/>
    <mergeCell ref="AM12:AN12"/>
    <mergeCell ref="F15:N15"/>
    <mergeCell ref="Q15:Y15"/>
    <mergeCell ref="F16:K16"/>
    <mergeCell ref="Q16:V16"/>
    <mergeCell ref="V12:Y12"/>
    <mergeCell ref="AE12:AG12"/>
    <mergeCell ref="AI12:AJ12"/>
    <mergeCell ref="AC15:AD15"/>
    <mergeCell ref="AC16:AD16"/>
    <mergeCell ref="F30:N30"/>
    <mergeCell ref="Q30:Y30"/>
    <mergeCell ref="F31:K31"/>
    <mergeCell ref="Q31:Y31"/>
    <mergeCell ref="F46:J46"/>
    <mergeCell ref="Q46:S46"/>
  </mergeCells>
  <dataValidations count="3">
    <dataValidation type="list" allowBlank="1" showInputMessage="1" showErrorMessage="1" sqref="D17:D28 D32:D47" xr:uid="{36418A92-3C7B-4A40-A5A1-AA1F82BDDEBD}">
      <formula1>"INTERNO,OPERACIONAL"</formula1>
    </dataValidation>
    <dataValidation type="list" allowBlank="1" showInputMessage="1" showErrorMessage="1" sqref="E47" xr:uid="{6FFBDCBB-F2AC-4CD3-B210-5F2EAC0AE60D}">
      <formula1>"FAT.OGGI,FAT.CLIENTE "</formula1>
    </dataValidation>
    <dataValidation type="list" allowBlank="1" showInputMessage="1" showErrorMessage="1" sqref="E17:E28 E32:E46" xr:uid="{C34DD66D-7F22-4A22-9F89-A2B82A6D4E0D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9DEF5-9266-43E8-96C4-4925E3A133FE}">
  <dimension ref="G1:J266"/>
  <sheetViews>
    <sheetView topLeftCell="A16" workbookViewId="0">
      <selection activeCell="G26" sqref="G26"/>
    </sheetView>
  </sheetViews>
  <sheetFormatPr defaultRowHeight="14.4" x14ac:dyDescent="0.3"/>
  <cols>
    <col min="7" max="7" width="48.5546875" style="566" bestFit="1" customWidth="1"/>
    <col min="8" max="8" width="13.33203125" style="630" bestFit="1" customWidth="1"/>
    <col min="9" max="9" width="9.109375" style="566"/>
    <col min="10" max="10" width="13.33203125" bestFit="1" customWidth="1"/>
  </cols>
  <sheetData>
    <row r="1" spans="7:9" x14ac:dyDescent="0.3">
      <c r="G1"/>
      <c r="H1" s="628"/>
      <c r="I1"/>
    </row>
    <row r="2" spans="7:9" x14ac:dyDescent="0.3">
      <c r="G2"/>
      <c r="H2" s="628"/>
      <c r="I2"/>
    </row>
    <row r="3" spans="7:9" x14ac:dyDescent="0.3">
      <c r="G3" s="621" t="s">
        <v>701</v>
      </c>
      <c r="H3" s="629" t="s">
        <v>702</v>
      </c>
      <c r="I3"/>
    </row>
    <row r="4" spans="7:9" x14ac:dyDescent="0.3">
      <c r="G4" t="s">
        <v>691</v>
      </c>
      <c r="H4" s="628">
        <v>74.81</v>
      </c>
      <c r="I4"/>
    </row>
    <row r="5" spans="7:9" x14ac:dyDescent="0.3">
      <c r="G5" t="s">
        <v>692</v>
      </c>
      <c r="H5" s="628">
        <v>110.88</v>
      </c>
      <c r="I5"/>
    </row>
    <row r="6" spans="7:9" x14ac:dyDescent="0.3">
      <c r="G6" t="s">
        <v>693</v>
      </c>
      <c r="H6" s="628">
        <v>167.39</v>
      </c>
      <c r="I6"/>
    </row>
    <row r="7" spans="7:9" x14ac:dyDescent="0.3">
      <c r="G7" t="s">
        <v>694</v>
      </c>
      <c r="H7" s="628">
        <v>200</v>
      </c>
      <c r="I7"/>
    </row>
    <row r="8" spans="7:9" x14ac:dyDescent="0.3">
      <c r="G8" t="s">
        <v>695</v>
      </c>
      <c r="H8" s="628">
        <v>274.5</v>
      </c>
      <c r="I8"/>
    </row>
    <row r="9" spans="7:9" x14ac:dyDescent="0.3">
      <c r="G9" t="s">
        <v>696</v>
      </c>
      <c r="H9" s="628">
        <v>285.54000000000002</v>
      </c>
      <c r="I9"/>
    </row>
    <row r="10" spans="7:9" x14ac:dyDescent="0.3">
      <c r="G10" t="s">
        <v>691</v>
      </c>
      <c r="H10" s="628">
        <v>304.69</v>
      </c>
      <c r="I10"/>
    </row>
    <row r="11" spans="7:9" x14ac:dyDescent="0.3">
      <c r="G11" t="s">
        <v>697</v>
      </c>
      <c r="H11" s="628">
        <v>350</v>
      </c>
      <c r="I11"/>
    </row>
    <row r="12" spans="7:9" x14ac:dyDescent="0.3">
      <c r="G12" t="s">
        <v>760</v>
      </c>
      <c r="H12" s="628">
        <v>500</v>
      </c>
      <c r="I12"/>
    </row>
    <row r="13" spans="7:9" x14ac:dyDescent="0.3">
      <c r="G13" t="s">
        <v>753</v>
      </c>
      <c r="H13" s="628">
        <v>734.02</v>
      </c>
      <c r="I13"/>
    </row>
    <row r="14" spans="7:9" x14ac:dyDescent="0.3">
      <c r="G14" t="s">
        <v>698</v>
      </c>
      <c r="H14" s="628">
        <v>1113</v>
      </c>
      <c r="I14"/>
    </row>
    <row r="15" spans="7:9" x14ac:dyDescent="0.3">
      <c r="G15" t="s">
        <v>753</v>
      </c>
      <c r="H15" s="628">
        <v>1727.57</v>
      </c>
      <c r="I15"/>
    </row>
    <row r="16" spans="7:9" x14ac:dyDescent="0.3">
      <c r="G16" t="s">
        <v>699</v>
      </c>
      <c r="H16" s="628">
        <v>2126.69</v>
      </c>
      <c r="I16"/>
    </row>
    <row r="17" spans="7:10" x14ac:dyDescent="0.3">
      <c r="G17" t="s">
        <v>730</v>
      </c>
      <c r="H17" s="628">
        <v>2500</v>
      </c>
      <c r="I17"/>
    </row>
    <row r="18" spans="7:10" x14ac:dyDescent="0.3">
      <c r="G18" t="s">
        <v>695</v>
      </c>
      <c r="H18" s="628">
        <v>2745</v>
      </c>
      <c r="I18"/>
    </row>
    <row r="19" spans="7:10" x14ac:dyDescent="0.3">
      <c r="G19" t="s">
        <v>752</v>
      </c>
      <c r="H19" s="628">
        <v>3300</v>
      </c>
      <c r="I19"/>
    </row>
    <row r="20" spans="7:10" x14ac:dyDescent="0.3">
      <c r="G20" t="s">
        <v>700</v>
      </c>
      <c r="H20" s="628">
        <v>3900.66</v>
      </c>
      <c r="I20"/>
    </row>
    <row r="21" spans="7:10" x14ac:dyDescent="0.3">
      <c r="G21" t="s">
        <v>696</v>
      </c>
      <c r="H21" s="628">
        <v>4410.83</v>
      </c>
      <c r="I21"/>
    </row>
    <row r="22" spans="7:10" x14ac:dyDescent="0.3">
      <c r="G22" t="s">
        <v>696</v>
      </c>
      <c r="H22" s="628">
        <v>4836.8500000000004</v>
      </c>
      <c r="I22"/>
    </row>
    <row r="23" spans="7:10" x14ac:dyDescent="0.3">
      <c r="G23" t="s">
        <v>693</v>
      </c>
      <c r="H23" s="628">
        <v>4999.8999999999996</v>
      </c>
      <c r="I23"/>
    </row>
    <row r="24" spans="7:10" x14ac:dyDescent="0.3">
      <c r="G24" t="s">
        <v>696</v>
      </c>
      <c r="H24" s="628">
        <v>480.67</v>
      </c>
      <c r="I24"/>
    </row>
    <row r="25" spans="7:10" x14ac:dyDescent="0.3">
      <c r="G25" t="s">
        <v>712</v>
      </c>
      <c r="H25" s="628">
        <v>282.45</v>
      </c>
      <c r="I25"/>
      <c r="J25" s="61"/>
    </row>
    <row r="26" spans="7:10" x14ac:dyDescent="0.3">
      <c r="G26"/>
      <c r="H26" s="628"/>
      <c r="I26"/>
    </row>
    <row r="27" spans="7:10" x14ac:dyDescent="0.3">
      <c r="G27"/>
      <c r="H27" s="628">
        <f>SUM(H4:H26)</f>
        <v>35425.449999999997</v>
      </c>
      <c r="I27"/>
    </row>
    <row r="28" spans="7:10" x14ac:dyDescent="0.3">
      <c r="G28"/>
      <c r="H28" s="628"/>
      <c r="I28"/>
      <c r="J28" s="61"/>
    </row>
    <row r="29" spans="7:10" x14ac:dyDescent="0.3">
      <c r="G29"/>
      <c r="H29" s="628"/>
      <c r="I29"/>
    </row>
    <row r="30" spans="7:10" x14ac:dyDescent="0.3">
      <c r="G30"/>
      <c r="H30" s="628"/>
      <c r="I30"/>
    </row>
    <row r="31" spans="7:10" x14ac:dyDescent="0.3">
      <c r="G31"/>
      <c r="H31" s="628"/>
      <c r="I31"/>
    </row>
    <row r="32" spans="7:10" x14ac:dyDescent="0.3">
      <c r="G32"/>
      <c r="H32" s="628"/>
      <c r="I32"/>
    </row>
    <row r="33" spans="8:8" customFormat="1" x14ac:dyDescent="0.3">
      <c r="H33" s="628"/>
    </row>
    <row r="34" spans="8:8" customFormat="1" x14ac:dyDescent="0.3">
      <c r="H34" s="628"/>
    </row>
    <row r="35" spans="8:8" customFormat="1" x14ac:dyDescent="0.3">
      <c r="H35" s="628"/>
    </row>
    <row r="36" spans="8:8" customFormat="1" x14ac:dyDescent="0.3">
      <c r="H36" s="628"/>
    </row>
    <row r="37" spans="8:8" customFormat="1" x14ac:dyDescent="0.3">
      <c r="H37" s="628"/>
    </row>
    <row r="38" spans="8:8" customFormat="1" x14ac:dyDescent="0.3">
      <c r="H38" s="628"/>
    </row>
    <row r="39" spans="8:8" customFormat="1" x14ac:dyDescent="0.3">
      <c r="H39" s="628"/>
    </row>
    <row r="40" spans="8:8" customFormat="1" x14ac:dyDescent="0.3">
      <c r="H40" s="628"/>
    </row>
    <row r="41" spans="8:8" customFormat="1" x14ac:dyDescent="0.3">
      <c r="H41" s="628"/>
    </row>
    <row r="42" spans="8:8" customFormat="1" x14ac:dyDescent="0.3">
      <c r="H42" s="628"/>
    </row>
    <row r="43" spans="8:8" customFormat="1" x14ac:dyDescent="0.3">
      <c r="H43" s="628"/>
    </row>
    <row r="44" spans="8:8" customFormat="1" x14ac:dyDescent="0.3">
      <c r="H44" s="628"/>
    </row>
    <row r="45" spans="8:8" customFormat="1" x14ac:dyDescent="0.3">
      <c r="H45" s="628"/>
    </row>
    <row r="46" spans="8:8" customFormat="1" x14ac:dyDescent="0.3">
      <c r="H46" s="628"/>
    </row>
    <row r="47" spans="8:8" customFormat="1" x14ac:dyDescent="0.3">
      <c r="H47" s="628"/>
    </row>
    <row r="48" spans="8:8" customFormat="1" x14ac:dyDescent="0.3">
      <c r="H48" s="628"/>
    </row>
    <row r="49" spans="8:8" customFormat="1" x14ac:dyDescent="0.3">
      <c r="H49" s="628"/>
    </row>
    <row r="50" spans="8:8" customFormat="1" x14ac:dyDescent="0.3">
      <c r="H50" s="628"/>
    </row>
    <row r="51" spans="8:8" customFormat="1" x14ac:dyDescent="0.3">
      <c r="H51" s="628"/>
    </row>
    <row r="52" spans="8:8" customFormat="1" x14ac:dyDescent="0.3">
      <c r="H52" s="628"/>
    </row>
    <row r="53" spans="8:8" customFormat="1" x14ac:dyDescent="0.3">
      <c r="H53" s="628"/>
    </row>
    <row r="54" spans="8:8" customFormat="1" x14ac:dyDescent="0.3">
      <c r="H54" s="628"/>
    </row>
    <row r="55" spans="8:8" customFormat="1" x14ac:dyDescent="0.3">
      <c r="H55" s="628"/>
    </row>
    <row r="56" spans="8:8" customFormat="1" x14ac:dyDescent="0.3">
      <c r="H56" s="628"/>
    </row>
    <row r="57" spans="8:8" customFormat="1" x14ac:dyDescent="0.3">
      <c r="H57" s="628"/>
    </row>
    <row r="58" spans="8:8" customFormat="1" x14ac:dyDescent="0.3">
      <c r="H58" s="628"/>
    </row>
    <row r="59" spans="8:8" customFormat="1" x14ac:dyDescent="0.3">
      <c r="H59" s="628"/>
    </row>
    <row r="60" spans="8:8" customFormat="1" x14ac:dyDescent="0.3">
      <c r="H60" s="628"/>
    </row>
    <row r="61" spans="8:8" customFormat="1" x14ac:dyDescent="0.3">
      <c r="H61" s="628"/>
    </row>
    <row r="62" spans="8:8" customFormat="1" x14ac:dyDescent="0.3">
      <c r="H62" s="628"/>
    </row>
    <row r="63" spans="8:8" customFormat="1" x14ac:dyDescent="0.3">
      <c r="H63" s="628"/>
    </row>
    <row r="64" spans="8:8" customFormat="1" x14ac:dyDescent="0.3">
      <c r="H64" s="628"/>
    </row>
    <row r="65" spans="8:8" customFormat="1" x14ac:dyDescent="0.3">
      <c r="H65" s="628"/>
    </row>
    <row r="66" spans="8:8" customFormat="1" x14ac:dyDescent="0.3">
      <c r="H66" s="628"/>
    </row>
    <row r="67" spans="8:8" customFormat="1" x14ac:dyDescent="0.3">
      <c r="H67" s="628"/>
    </row>
    <row r="68" spans="8:8" customFormat="1" x14ac:dyDescent="0.3">
      <c r="H68" s="628"/>
    </row>
    <row r="69" spans="8:8" customFormat="1" x14ac:dyDescent="0.3">
      <c r="H69" s="628"/>
    </row>
    <row r="70" spans="8:8" customFormat="1" x14ac:dyDescent="0.3">
      <c r="H70" s="628"/>
    </row>
    <row r="71" spans="8:8" customFormat="1" x14ac:dyDescent="0.3">
      <c r="H71" s="628"/>
    </row>
    <row r="72" spans="8:8" customFormat="1" x14ac:dyDescent="0.3">
      <c r="H72" s="628"/>
    </row>
    <row r="73" spans="8:8" customFormat="1" x14ac:dyDescent="0.3">
      <c r="H73" s="628"/>
    </row>
    <row r="74" spans="8:8" customFormat="1" x14ac:dyDescent="0.3">
      <c r="H74" s="628"/>
    </row>
    <row r="75" spans="8:8" customFormat="1" x14ac:dyDescent="0.3">
      <c r="H75" s="628"/>
    </row>
    <row r="76" spans="8:8" customFormat="1" x14ac:dyDescent="0.3">
      <c r="H76" s="628"/>
    </row>
    <row r="77" spans="8:8" customFormat="1" x14ac:dyDescent="0.3">
      <c r="H77" s="628"/>
    </row>
    <row r="78" spans="8:8" customFormat="1" x14ac:dyDescent="0.3">
      <c r="H78" s="628"/>
    </row>
    <row r="79" spans="8:8" customFormat="1" x14ac:dyDescent="0.3">
      <c r="H79" s="628"/>
    </row>
    <row r="80" spans="8:8" customFormat="1" x14ac:dyDescent="0.3">
      <c r="H80" s="628"/>
    </row>
    <row r="81" spans="8:8" customFormat="1" x14ac:dyDescent="0.3">
      <c r="H81" s="628"/>
    </row>
    <row r="82" spans="8:8" customFormat="1" x14ac:dyDescent="0.3">
      <c r="H82" s="628"/>
    </row>
    <row r="83" spans="8:8" customFormat="1" x14ac:dyDescent="0.3">
      <c r="H83" s="628"/>
    </row>
    <row r="84" spans="8:8" customFormat="1" x14ac:dyDescent="0.3">
      <c r="H84" s="628"/>
    </row>
    <row r="85" spans="8:8" customFormat="1" x14ac:dyDescent="0.3">
      <c r="H85" s="628"/>
    </row>
    <row r="86" spans="8:8" customFormat="1" x14ac:dyDescent="0.3">
      <c r="H86" s="628"/>
    </row>
    <row r="87" spans="8:8" customFormat="1" x14ac:dyDescent="0.3">
      <c r="H87" s="628"/>
    </row>
    <row r="88" spans="8:8" customFormat="1" x14ac:dyDescent="0.3">
      <c r="H88" s="628"/>
    </row>
    <row r="89" spans="8:8" customFormat="1" x14ac:dyDescent="0.3">
      <c r="H89" s="628"/>
    </row>
    <row r="90" spans="8:8" customFormat="1" x14ac:dyDescent="0.3">
      <c r="H90" s="628"/>
    </row>
    <row r="91" spans="8:8" customFormat="1" x14ac:dyDescent="0.3">
      <c r="H91" s="628"/>
    </row>
    <row r="92" spans="8:8" customFormat="1" x14ac:dyDescent="0.3">
      <c r="H92" s="628"/>
    </row>
    <row r="93" spans="8:8" customFormat="1" x14ac:dyDescent="0.3">
      <c r="H93" s="628"/>
    </row>
    <row r="94" spans="8:8" customFormat="1" x14ac:dyDescent="0.3">
      <c r="H94" s="628"/>
    </row>
    <row r="95" spans="8:8" customFormat="1" x14ac:dyDescent="0.3">
      <c r="H95" s="628"/>
    </row>
    <row r="96" spans="8:8" customFormat="1" x14ac:dyDescent="0.3">
      <c r="H96" s="628"/>
    </row>
    <row r="97" spans="8:8" customFormat="1" x14ac:dyDescent="0.3">
      <c r="H97" s="628"/>
    </row>
    <row r="98" spans="8:8" customFormat="1" x14ac:dyDescent="0.3">
      <c r="H98" s="628"/>
    </row>
    <row r="99" spans="8:8" customFormat="1" x14ac:dyDescent="0.3">
      <c r="H99" s="628"/>
    </row>
    <row r="100" spans="8:8" customFormat="1" x14ac:dyDescent="0.3">
      <c r="H100" s="628"/>
    </row>
    <row r="101" spans="8:8" customFormat="1" x14ac:dyDescent="0.3">
      <c r="H101" s="628"/>
    </row>
    <row r="102" spans="8:8" customFormat="1" x14ac:dyDescent="0.3">
      <c r="H102" s="628"/>
    </row>
    <row r="103" spans="8:8" customFormat="1" x14ac:dyDescent="0.3">
      <c r="H103" s="628"/>
    </row>
    <row r="104" spans="8:8" customFormat="1" x14ac:dyDescent="0.3">
      <c r="H104" s="628"/>
    </row>
    <row r="105" spans="8:8" customFormat="1" x14ac:dyDescent="0.3">
      <c r="H105" s="628"/>
    </row>
    <row r="106" spans="8:8" customFormat="1" x14ac:dyDescent="0.3">
      <c r="H106" s="628"/>
    </row>
    <row r="107" spans="8:8" customFormat="1" x14ac:dyDescent="0.3">
      <c r="H107" s="628"/>
    </row>
    <row r="108" spans="8:8" customFormat="1" x14ac:dyDescent="0.3">
      <c r="H108" s="628"/>
    </row>
    <row r="109" spans="8:8" customFormat="1" x14ac:dyDescent="0.3">
      <c r="H109" s="628"/>
    </row>
    <row r="110" spans="8:8" customFormat="1" x14ac:dyDescent="0.3">
      <c r="H110" s="628"/>
    </row>
    <row r="111" spans="8:8" customFormat="1" x14ac:dyDescent="0.3">
      <c r="H111" s="628"/>
    </row>
    <row r="112" spans="8:8" customFormat="1" x14ac:dyDescent="0.3">
      <c r="H112" s="628"/>
    </row>
    <row r="113" spans="8:8" customFormat="1" x14ac:dyDescent="0.3">
      <c r="H113" s="628"/>
    </row>
    <row r="114" spans="8:8" customFormat="1" x14ac:dyDescent="0.3">
      <c r="H114" s="628"/>
    </row>
    <row r="115" spans="8:8" customFormat="1" x14ac:dyDescent="0.3">
      <c r="H115" s="628"/>
    </row>
    <row r="116" spans="8:8" customFormat="1" x14ac:dyDescent="0.3">
      <c r="H116" s="628"/>
    </row>
    <row r="117" spans="8:8" customFormat="1" x14ac:dyDescent="0.3">
      <c r="H117" s="628"/>
    </row>
    <row r="118" spans="8:8" customFormat="1" x14ac:dyDescent="0.3">
      <c r="H118" s="628"/>
    </row>
    <row r="119" spans="8:8" customFormat="1" x14ac:dyDescent="0.3">
      <c r="H119" s="628"/>
    </row>
    <row r="120" spans="8:8" customFormat="1" x14ac:dyDescent="0.3">
      <c r="H120" s="628"/>
    </row>
    <row r="121" spans="8:8" customFormat="1" x14ac:dyDescent="0.3">
      <c r="H121" s="628"/>
    </row>
    <row r="122" spans="8:8" customFormat="1" x14ac:dyDescent="0.3">
      <c r="H122" s="628"/>
    </row>
    <row r="123" spans="8:8" customFormat="1" x14ac:dyDescent="0.3">
      <c r="H123" s="628"/>
    </row>
    <row r="124" spans="8:8" customFormat="1" x14ac:dyDescent="0.3">
      <c r="H124" s="628"/>
    </row>
    <row r="125" spans="8:8" customFormat="1" x14ac:dyDescent="0.3">
      <c r="H125" s="628"/>
    </row>
    <row r="126" spans="8:8" customFormat="1" x14ac:dyDescent="0.3">
      <c r="H126" s="628"/>
    </row>
    <row r="127" spans="8:8" customFormat="1" x14ac:dyDescent="0.3">
      <c r="H127" s="628"/>
    </row>
    <row r="128" spans="8:8" customFormat="1" x14ac:dyDescent="0.3">
      <c r="H128" s="628"/>
    </row>
    <row r="129" spans="8:8" customFormat="1" x14ac:dyDescent="0.3">
      <c r="H129" s="628"/>
    </row>
    <row r="130" spans="8:8" customFormat="1" x14ac:dyDescent="0.3">
      <c r="H130" s="628"/>
    </row>
    <row r="131" spans="8:8" customFormat="1" x14ac:dyDescent="0.3">
      <c r="H131" s="628"/>
    </row>
    <row r="132" spans="8:8" customFormat="1" x14ac:dyDescent="0.3">
      <c r="H132" s="628"/>
    </row>
    <row r="133" spans="8:8" customFormat="1" x14ac:dyDescent="0.3">
      <c r="H133" s="628"/>
    </row>
    <row r="134" spans="8:8" customFormat="1" x14ac:dyDescent="0.3">
      <c r="H134" s="628"/>
    </row>
    <row r="135" spans="8:8" customFormat="1" x14ac:dyDescent="0.3">
      <c r="H135" s="628"/>
    </row>
    <row r="136" spans="8:8" customFormat="1" x14ac:dyDescent="0.3">
      <c r="H136" s="628"/>
    </row>
    <row r="137" spans="8:8" customFormat="1" x14ac:dyDescent="0.3">
      <c r="H137" s="628"/>
    </row>
    <row r="138" spans="8:8" customFormat="1" x14ac:dyDescent="0.3">
      <c r="H138" s="628"/>
    </row>
    <row r="139" spans="8:8" customFormat="1" x14ac:dyDescent="0.3">
      <c r="H139" s="628"/>
    </row>
    <row r="140" spans="8:8" customFormat="1" x14ac:dyDescent="0.3">
      <c r="H140" s="628"/>
    </row>
    <row r="141" spans="8:8" customFormat="1" x14ac:dyDescent="0.3">
      <c r="H141" s="628"/>
    </row>
    <row r="142" spans="8:8" customFormat="1" x14ac:dyDescent="0.3">
      <c r="H142" s="628"/>
    </row>
    <row r="143" spans="8:8" customFormat="1" x14ac:dyDescent="0.3">
      <c r="H143" s="628"/>
    </row>
    <row r="144" spans="8:8" customFormat="1" x14ac:dyDescent="0.3">
      <c r="H144" s="628"/>
    </row>
    <row r="145" spans="8:8" customFormat="1" x14ac:dyDescent="0.3">
      <c r="H145" s="628"/>
    </row>
    <row r="146" spans="8:8" customFormat="1" x14ac:dyDescent="0.3">
      <c r="H146" s="628"/>
    </row>
    <row r="147" spans="8:8" customFormat="1" x14ac:dyDescent="0.3">
      <c r="H147" s="628"/>
    </row>
    <row r="148" spans="8:8" customFormat="1" x14ac:dyDescent="0.3">
      <c r="H148" s="628"/>
    </row>
    <row r="149" spans="8:8" customFormat="1" x14ac:dyDescent="0.3">
      <c r="H149" s="628"/>
    </row>
    <row r="150" spans="8:8" customFormat="1" x14ac:dyDescent="0.3">
      <c r="H150" s="628"/>
    </row>
    <row r="151" spans="8:8" customFormat="1" x14ac:dyDescent="0.3">
      <c r="H151" s="628"/>
    </row>
    <row r="152" spans="8:8" customFormat="1" x14ac:dyDescent="0.3">
      <c r="H152" s="628"/>
    </row>
    <row r="153" spans="8:8" customFormat="1" x14ac:dyDescent="0.3">
      <c r="H153" s="628"/>
    </row>
    <row r="154" spans="8:8" customFormat="1" x14ac:dyDescent="0.3">
      <c r="H154" s="628"/>
    </row>
    <row r="155" spans="8:8" customFormat="1" x14ac:dyDescent="0.3">
      <c r="H155" s="628"/>
    </row>
    <row r="156" spans="8:8" customFormat="1" x14ac:dyDescent="0.3">
      <c r="H156" s="628"/>
    </row>
    <row r="157" spans="8:8" customFormat="1" x14ac:dyDescent="0.3">
      <c r="H157" s="628"/>
    </row>
    <row r="158" spans="8:8" customFormat="1" x14ac:dyDescent="0.3">
      <c r="H158" s="628"/>
    </row>
    <row r="159" spans="8:8" customFormat="1" x14ac:dyDescent="0.3">
      <c r="H159" s="628"/>
    </row>
    <row r="160" spans="8:8" customFormat="1" x14ac:dyDescent="0.3">
      <c r="H160" s="628"/>
    </row>
    <row r="161" spans="8:8" customFormat="1" x14ac:dyDescent="0.3">
      <c r="H161" s="628"/>
    </row>
    <row r="162" spans="8:8" customFormat="1" x14ac:dyDescent="0.3">
      <c r="H162" s="628"/>
    </row>
    <row r="163" spans="8:8" customFormat="1" x14ac:dyDescent="0.3">
      <c r="H163" s="628"/>
    </row>
    <row r="164" spans="8:8" customFormat="1" x14ac:dyDescent="0.3">
      <c r="H164" s="628"/>
    </row>
    <row r="165" spans="8:8" customFormat="1" x14ac:dyDescent="0.3">
      <c r="H165" s="628"/>
    </row>
    <row r="166" spans="8:8" customFormat="1" x14ac:dyDescent="0.3">
      <c r="H166" s="628"/>
    </row>
    <row r="167" spans="8:8" customFormat="1" x14ac:dyDescent="0.3">
      <c r="H167" s="628"/>
    </row>
    <row r="168" spans="8:8" customFormat="1" x14ac:dyDescent="0.3">
      <c r="H168" s="628"/>
    </row>
    <row r="169" spans="8:8" customFormat="1" x14ac:dyDescent="0.3">
      <c r="H169" s="628"/>
    </row>
    <row r="170" spans="8:8" customFormat="1" x14ac:dyDescent="0.3">
      <c r="H170" s="628"/>
    </row>
    <row r="171" spans="8:8" customFormat="1" x14ac:dyDescent="0.3">
      <c r="H171" s="628"/>
    </row>
    <row r="172" spans="8:8" customFormat="1" x14ac:dyDescent="0.3">
      <c r="H172" s="628"/>
    </row>
    <row r="173" spans="8:8" customFormat="1" x14ac:dyDescent="0.3">
      <c r="H173" s="628"/>
    </row>
    <row r="174" spans="8:8" customFormat="1" x14ac:dyDescent="0.3">
      <c r="H174" s="628"/>
    </row>
    <row r="175" spans="8:8" customFormat="1" x14ac:dyDescent="0.3">
      <c r="H175" s="628"/>
    </row>
    <row r="176" spans="8:8" customFormat="1" x14ac:dyDescent="0.3">
      <c r="H176" s="628"/>
    </row>
    <row r="177" spans="8:8" customFormat="1" x14ac:dyDescent="0.3">
      <c r="H177" s="628"/>
    </row>
    <row r="178" spans="8:8" customFormat="1" x14ac:dyDescent="0.3">
      <c r="H178" s="628"/>
    </row>
    <row r="179" spans="8:8" customFormat="1" x14ac:dyDescent="0.3">
      <c r="H179" s="628"/>
    </row>
    <row r="180" spans="8:8" customFormat="1" x14ac:dyDescent="0.3">
      <c r="H180" s="628"/>
    </row>
    <row r="181" spans="8:8" customFormat="1" x14ac:dyDescent="0.3">
      <c r="H181" s="628"/>
    </row>
    <row r="182" spans="8:8" customFormat="1" x14ac:dyDescent="0.3">
      <c r="H182" s="628"/>
    </row>
    <row r="183" spans="8:8" customFormat="1" x14ac:dyDescent="0.3">
      <c r="H183" s="628"/>
    </row>
    <row r="184" spans="8:8" customFormat="1" x14ac:dyDescent="0.3">
      <c r="H184" s="628"/>
    </row>
    <row r="185" spans="8:8" customFormat="1" x14ac:dyDescent="0.3">
      <c r="H185" s="628"/>
    </row>
    <row r="186" spans="8:8" customFormat="1" x14ac:dyDescent="0.3">
      <c r="H186" s="628"/>
    </row>
    <row r="187" spans="8:8" customFormat="1" x14ac:dyDescent="0.3">
      <c r="H187" s="628"/>
    </row>
    <row r="188" spans="8:8" customFormat="1" x14ac:dyDescent="0.3">
      <c r="H188" s="628"/>
    </row>
    <row r="189" spans="8:8" customFormat="1" x14ac:dyDescent="0.3">
      <c r="H189" s="628"/>
    </row>
    <row r="190" spans="8:8" customFormat="1" x14ac:dyDescent="0.3">
      <c r="H190" s="628"/>
    </row>
    <row r="191" spans="8:8" customFormat="1" x14ac:dyDescent="0.3">
      <c r="H191" s="628"/>
    </row>
    <row r="192" spans="8:8" customFormat="1" x14ac:dyDescent="0.3">
      <c r="H192" s="628"/>
    </row>
    <row r="193" spans="8:8" customFormat="1" x14ac:dyDescent="0.3">
      <c r="H193" s="628"/>
    </row>
    <row r="194" spans="8:8" customFormat="1" x14ac:dyDescent="0.3">
      <c r="H194" s="628"/>
    </row>
    <row r="195" spans="8:8" customFormat="1" x14ac:dyDescent="0.3">
      <c r="H195" s="628"/>
    </row>
    <row r="196" spans="8:8" customFormat="1" x14ac:dyDescent="0.3">
      <c r="H196" s="628"/>
    </row>
    <row r="197" spans="8:8" customFormat="1" x14ac:dyDescent="0.3">
      <c r="H197" s="628"/>
    </row>
    <row r="198" spans="8:8" customFormat="1" x14ac:dyDescent="0.3">
      <c r="H198" s="628"/>
    </row>
    <row r="199" spans="8:8" customFormat="1" x14ac:dyDescent="0.3">
      <c r="H199" s="628"/>
    </row>
    <row r="200" spans="8:8" customFormat="1" x14ac:dyDescent="0.3">
      <c r="H200" s="628"/>
    </row>
    <row r="201" spans="8:8" customFormat="1" x14ac:dyDescent="0.3">
      <c r="H201" s="628"/>
    </row>
    <row r="202" spans="8:8" customFormat="1" x14ac:dyDescent="0.3">
      <c r="H202" s="628"/>
    </row>
    <row r="203" spans="8:8" customFormat="1" x14ac:dyDescent="0.3">
      <c r="H203" s="628"/>
    </row>
    <row r="204" spans="8:8" customFormat="1" x14ac:dyDescent="0.3">
      <c r="H204" s="628"/>
    </row>
    <row r="205" spans="8:8" customFormat="1" x14ac:dyDescent="0.3">
      <c r="H205" s="628"/>
    </row>
    <row r="206" spans="8:8" customFormat="1" x14ac:dyDescent="0.3">
      <c r="H206" s="628"/>
    </row>
    <row r="207" spans="8:8" customFormat="1" x14ac:dyDescent="0.3">
      <c r="H207" s="628"/>
    </row>
    <row r="208" spans="8:8" customFormat="1" x14ac:dyDescent="0.3">
      <c r="H208" s="628"/>
    </row>
    <row r="209" spans="8:8" customFormat="1" x14ac:dyDescent="0.3">
      <c r="H209" s="628"/>
    </row>
    <row r="210" spans="8:8" customFormat="1" x14ac:dyDescent="0.3">
      <c r="H210" s="628"/>
    </row>
    <row r="211" spans="8:8" customFormat="1" x14ac:dyDescent="0.3">
      <c r="H211" s="628"/>
    </row>
    <row r="212" spans="8:8" customFormat="1" x14ac:dyDescent="0.3">
      <c r="H212" s="628"/>
    </row>
    <row r="213" spans="8:8" customFormat="1" x14ac:dyDescent="0.3">
      <c r="H213" s="628"/>
    </row>
    <row r="214" spans="8:8" customFormat="1" x14ac:dyDescent="0.3">
      <c r="H214" s="628"/>
    </row>
    <row r="215" spans="8:8" customFormat="1" x14ac:dyDescent="0.3">
      <c r="H215" s="628"/>
    </row>
    <row r="216" spans="8:8" customFormat="1" x14ac:dyDescent="0.3">
      <c r="H216" s="628"/>
    </row>
    <row r="217" spans="8:8" customFormat="1" x14ac:dyDescent="0.3">
      <c r="H217" s="628"/>
    </row>
    <row r="218" spans="8:8" customFormat="1" x14ac:dyDescent="0.3">
      <c r="H218" s="628"/>
    </row>
    <row r="219" spans="8:8" customFormat="1" x14ac:dyDescent="0.3">
      <c r="H219" s="628"/>
    </row>
    <row r="220" spans="8:8" customFormat="1" x14ac:dyDescent="0.3">
      <c r="H220" s="628"/>
    </row>
    <row r="221" spans="8:8" customFormat="1" x14ac:dyDescent="0.3">
      <c r="H221" s="628"/>
    </row>
    <row r="222" spans="8:8" customFormat="1" x14ac:dyDescent="0.3">
      <c r="H222" s="628"/>
    </row>
    <row r="223" spans="8:8" customFormat="1" x14ac:dyDescent="0.3">
      <c r="H223" s="628"/>
    </row>
    <row r="224" spans="8:8" customFormat="1" x14ac:dyDescent="0.3">
      <c r="H224" s="628"/>
    </row>
    <row r="225" spans="8:8" customFormat="1" x14ac:dyDescent="0.3">
      <c r="H225" s="628"/>
    </row>
    <row r="226" spans="8:8" customFormat="1" x14ac:dyDescent="0.3">
      <c r="H226" s="628"/>
    </row>
    <row r="227" spans="8:8" customFormat="1" x14ac:dyDescent="0.3">
      <c r="H227" s="628"/>
    </row>
    <row r="228" spans="8:8" customFormat="1" x14ac:dyDescent="0.3">
      <c r="H228" s="628"/>
    </row>
    <row r="229" spans="8:8" customFormat="1" x14ac:dyDescent="0.3">
      <c r="H229" s="628"/>
    </row>
    <row r="230" spans="8:8" customFormat="1" x14ac:dyDescent="0.3">
      <c r="H230" s="628"/>
    </row>
    <row r="231" spans="8:8" customFormat="1" x14ac:dyDescent="0.3">
      <c r="H231" s="628"/>
    </row>
    <row r="232" spans="8:8" customFormat="1" x14ac:dyDescent="0.3">
      <c r="H232" s="628"/>
    </row>
    <row r="233" spans="8:8" customFormat="1" x14ac:dyDescent="0.3">
      <c r="H233" s="628"/>
    </row>
    <row r="234" spans="8:8" customFormat="1" x14ac:dyDescent="0.3">
      <c r="H234" s="628"/>
    </row>
    <row r="235" spans="8:8" customFormat="1" x14ac:dyDescent="0.3">
      <c r="H235" s="628"/>
    </row>
    <row r="236" spans="8:8" customFormat="1" x14ac:dyDescent="0.3">
      <c r="H236" s="628"/>
    </row>
    <row r="237" spans="8:8" customFormat="1" x14ac:dyDescent="0.3">
      <c r="H237" s="628"/>
    </row>
    <row r="238" spans="8:8" customFormat="1" x14ac:dyDescent="0.3">
      <c r="H238" s="628"/>
    </row>
    <row r="239" spans="8:8" customFormat="1" x14ac:dyDescent="0.3">
      <c r="H239" s="628"/>
    </row>
    <row r="240" spans="8:8" customFormat="1" x14ac:dyDescent="0.3">
      <c r="H240" s="628"/>
    </row>
    <row r="241" spans="8:8" customFormat="1" x14ac:dyDescent="0.3">
      <c r="H241" s="628"/>
    </row>
    <row r="242" spans="8:8" customFormat="1" x14ac:dyDescent="0.3">
      <c r="H242" s="628"/>
    </row>
    <row r="243" spans="8:8" customFormat="1" x14ac:dyDescent="0.3">
      <c r="H243" s="628"/>
    </row>
    <row r="244" spans="8:8" customFormat="1" x14ac:dyDescent="0.3">
      <c r="H244" s="628"/>
    </row>
    <row r="245" spans="8:8" customFormat="1" x14ac:dyDescent="0.3">
      <c r="H245" s="628"/>
    </row>
    <row r="246" spans="8:8" customFormat="1" x14ac:dyDescent="0.3">
      <c r="H246" s="628"/>
    </row>
    <row r="247" spans="8:8" customFormat="1" x14ac:dyDescent="0.3">
      <c r="H247" s="628"/>
    </row>
    <row r="248" spans="8:8" customFormat="1" x14ac:dyDescent="0.3">
      <c r="H248" s="628"/>
    </row>
    <row r="249" spans="8:8" customFormat="1" x14ac:dyDescent="0.3">
      <c r="H249" s="628"/>
    </row>
    <row r="250" spans="8:8" customFormat="1" x14ac:dyDescent="0.3">
      <c r="H250" s="628"/>
    </row>
    <row r="251" spans="8:8" customFormat="1" x14ac:dyDescent="0.3">
      <c r="H251" s="628"/>
    </row>
    <row r="252" spans="8:8" customFormat="1" x14ac:dyDescent="0.3">
      <c r="H252" s="628"/>
    </row>
    <row r="253" spans="8:8" customFormat="1" x14ac:dyDescent="0.3">
      <c r="H253" s="628"/>
    </row>
    <row r="254" spans="8:8" customFormat="1" x14ac:dyDescent="0.3">
      <c r="H254" s="628"/>
    </row>
    <row r="255" spans="8:8" customFormat="1" x14ac:dyDescent="0.3">
      <c r="H255" s="628"/>
    </row>
    <row r="256" spans="8:8" customFormat="1" x14ac:dyDescent="0.3">
      <c r="H256" s="628"/>
    </row>
    <row r="257" spans="8:8" customFormat="1" x14ac:dyDescent="0.3">
      <c r="H257" s="628"/>
    </row>
    <row r="258" spans="8:8" customFormat="1" x14ac:dyDescent="0.3">
      <c r="H258" s="628"/>
    </row>
    <row r="259" spans="8:8" customFormat="1" x14ac:dyDescent="0.3">
      <c r="H259" s="628"/>
    </row>
    <row r="260" spans="8:8" customFormat="1" x14ac:dyDescent="0.3">
      <c r="H260" s="628"/>
    </row>
    <row r="261" spans="8:8" customFormat="1" x14ac:dyDescent="0.3">
      <c r="H261" s="628"/>
    </row>
    <row r="262" spans="8:8" customFormat="1" x14ac:dyDescent="0.3">
      <c r="H262" s="628"/>
    </row>
    <row r="263" spans="8:8" customFormat="1" x14ac:dyDescent="0.3">
      <c r="H263" s="628"/>
    </row>
    <row r="264" spans="8:8" customFormat="1" x14ac:dyDescent="0.3">
      <c r="H264" s="628"/>
    </row>
    <row r="265" spans="8:8" customFormat="1" x14ac:dyDescent="0.3">
      <c r="H265" s="628"/>
    </row>
    <row r="266" spans="8:8" customFormat="1" x14ac:dyDescent="0.3">
      <c r="H266" s="628"/>
    </row>
  </sheetData>
  <autoFilter ref="G3:H3" xr:uid="{65A9DEF5-9266-43E8-96C4-4925E3A133FE}">
    <sortState xmlns:xlrd2="http://schemas.microsoft.com/office/spreadsheetml/2017/richdata2" ref="G4:H23">
      <sortCondition ref="H3"/>
    </sortState>
  </autoFilter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4E6BA-95DC-423F-BA8D-1A8A855FC201}">
  <sheetPr codeName="Planilha1"/>
  <dimension ref="B4:F14"/>
  <sheetViews>
    <sheetView zoomScale="130" zoomScaleNormal="130" workbookViewId="0">
      <selection activeCell="C5" sqref="C5:C7"/>
    </sheetView>
  </sheetViews>
  <sheetFormatPr defaultRowHeight="14.4" x14ac:dyDescent="0.3"/>
  <cols>
    <col min="2" max="2" width="19.88671875" customWidth="1"/>
    <col min="3" max="3" width="23.5546875" customWidth="1"/>
    <col min="4" max="4" width="23.109375" customWidth="1"/>
    <col min="6" max="6" width="14.88671875" customWidth="1"/>
  </cols>
  <sheetData>
    <row r="4" spans="2:6" ht="15" thickBot="1" x14ac:dyDescent="0.35"/>
    <row r="5" spans="2:6" x14ac:dyDescent="0.3">
      <c r="B5" s="63" t="s">
        <v>491</v>
      </c>
      <c r="C5" s="65">
        <f>PRINCIPAL!N141</f>
        <v>1978797.6788281347</v>
      </c>
      <c r="D5" s="61">
        <f>PRINCIPAL!Y141</f>
        <v>1390858.6396281349</v>
      </c>
    </row>
    <row r="6" spans="2:6" x14ac:dyDescent="0.3">
      <c r="B6" s="52" t="s">
        <v>492</v>
      </c>
      <c r="C6" s="66">
        <f>TALKSHOW!N21</f>
        <v>54970.796570150371</v>
      </c>
      <c r="D6" s="61">
        <f>TALKSHOW!Y21</f>
        <v>50970.796570150371</v>
      </c>
    </row>
    <row r="7" spans="2:6" x14ac:dyDescent="0.3">
      <c r="B7" s="70" t="s">
        <v>493</v>
      </c>
      <c r="C7" s="71">
        <f>INTERNET!N20</f>
        <v>22986.588293774075</v>
      </c>
      <c r="D7" s="61">
        <f>INTERNET!Y20</f>
        <v>11685.948293774078</v>
      </c>
    </row>
    <row r="8" spans="2:6" x14ac:dyDescent="0.3">
      <c r="B8" s="70" t="s">
        <v>433</v>
      </c>
      <c r="C8" s="71">
        <f>EXTRA!N47</f>
        <v>80570.883433577721</v>
      </c>
      <c r="D8" s="61">
        <f>EXTRA!Y47</f>
        <v>26612.769833577731</v>
      </c>
    </row>
    <row r="9" spans="2:6" ht="15" thickBot="1" x14ac:dyDescent="0.35">
      <c r="B9" s="64" t="s">
        <v>215</v>
      </c>
      <c r="C9" s="67">
        <f>SUM(C5:C8)</f>
        <v>2137325.947125637</v>
      </c>
      <c r="D9" s="61">
        <f>SUM(D5:D8)</f>
        <v>1480128.1543256373</v>
      </c>
    </row>
    <row r="10" spans="2:6" ht="23.4" x14ac:dyDescent="0.45">
      <c r="C10" s="68">
        <v>1989630</v>
      </c>
      <c r="F10" s="62">
        <f>C9-D9</f>
        <v>657197.7927999997</v>
      </c>
    </row>
    <row r="11" spans="2:6" x14ac:dyDescent="0.3">
      <c r="C11" s="69">
        <f>C9-C10</f>
        <v>147695.94712563697</v>
      </c>
      <c r="F11" s="72">
        <f>(F10/C9)*100%</f>
        <v>0.30748599374083585</v>
      </c>
    </row>
    <row r="13" spans="2:6" x14ac:dyDescent="0.3">
      <c r="C13" s="60">
        <v>2137325.9500000002</v>
      </c>
    </row>
    <row r="14" spans="2:6" x14ac:dyDescent="0.3">
      <c r="C14" s="60">
        <f>C13-C9</f>
        <v>2.8743632137775421E-3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25"/>
  <sheetViews>
    <sheetView topLeftCell="A9" zoomScale="70" zoomScaleNormal="70" workbookViewId="0">
      <selection activeCell="B9" sqref="B9"/>
    </sheetView>
  </sheetViews>
  <sheetFormatPr defaultColWidth="46.332031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6640625" bestFit="1" customWidth="1"/>
    <col min="7" max="7" width="20.88671875" bestFit="1" customWidth="1"/>
    <col min="8" max="8" width="12.6640625" customWidth="1"/>
    <col min="9" max="9" width="15.5546875" style="53" customWidth="1"/>
  </cols>
  <sheetData>
    <row r="8" spans="1:12" ht="16.2" x14ac:dyDescent="0.35">
      <c r="A8" s="19" t="s">
        <v>494</v>
      </c>
      <c r="B8" s="19" t="s">
        <v>495</v>
      </c>
      <c r="C8" s="19" t="s">
        <v>496</v>
      </c>
      <c r="D8" s="19" t="s">
        <v>497</v>
      </c>
      <c r="E8" s="19" t="s">
        <v>498</v>
      </c>
      <c r="F8" s="19" t="s">
        <v>499</v>
      </c>
      <c r="G8" s="20" t="s">
        <v>500</v>
      </c>
      <c r="H8" s="20" t="s">
        <v>501</v>
      </c>
      <c r="I8" s="54" t="s">
        <v>27</v>
      </c>
      <c r="J8" s="20" t="s">
        <v>502</v>
      </c>
      <c r="K8" s="20" t="s">
        <v>503</v>
      </c>
      <c r="L8" s="20" t="s">
        <v>504</v>
      </c>
    </row>
    <row r="9" spans="1:12" s="53" customFormat="1" ht="144" x14ac:dyDescent="0.3">
      <c r="A9" s="53">
        <v>13</v>
      </c>
      <c r="B9" s="53" t="s">
        <v>74</v>
      </c>
      <c r="C9" s="53" t="s">
        <v>75</v>
      </c>
      <c r="D9" s="53" t="s">
        <v>80</v>
      </c>
      <c r="E9" s="56" t="s">
        <v>505</v>
      </c>
      <c r="F9" s="53" t="s">
        <v>506</v>
      </c>
      <c r="G9" s="53" t="s">
        <v>507</v>
      </c>
      <c r="H9" s="53" t="s">
        <v>508</v>
      </c>
      <c r="I9" s="55">
        <v>198000</v>
      </c>
      <c r="J9" s="53" t="s">
        <v>509</v>
      </c>
      <c r="K9" s="53" t="s">
        <v>509</v>
      </c>
      <c r="L9" s="53" t="s">
        <v>509</v>
      </c>
    </row>
    <row r="10" spans="1:12" s="53" customFormat="1" ht="29.1" customHeight="1" x14ac:dyDescent="0.3">
      <c r="A10" s="53">
        <v>51</v>
      </c>
      <c r="B10" s="53" t="s">
        <v>152</v>
      </c>
      <c r="C10" s="53" t="s">
        <v>152</v>
      </c>
      <c r="D10" s="53" t="s">
        <v>157</v>
      </c>
      <c r="E10" s="53" t="s">
        <v>329</v>
      </c>
      <c r="F10" s="53" t="s">
        <v>510</v>
      </c>
      <c r="G10" s="53" t="s">
        <v>507</v>
      </c>
      <c r="H10" s="53" t="s">
        <v>507</v>
      </c>
      <c r="I10" s="55">
        <v>3500</v>
      </c>
      <c r="J10" s="53" t="s">
        <v>509</v>
      </c>
      <c r="K10" s="53" t="s">
        <v>509</v>
      </c>
      <c r="L10" s="53" t="s">
        <v>509</v>
      </c>
    </row>
    <row r="11" spans="1:12" s="53" customFormat="1" ht="57.6" x14ac:dyDescent="0.3">
      <c r="A11" s="53">
        <v>36</v>
      </c>
      <c r="B11" s="53" t="s">
        <v>97</v>
      </c>
      <c r="C11" s="53" t="s">
        <v>97</v>
      </c>
      <c r="D11" s="53" t="s">
        <v>263</v>
      </c>
      <c r="E11" s="56" t="s">
        <v>264</v>
      </c>
      <c r="F11" s="53" t="s">
        <v>511</v>
      </c>
      <c r="G11" s="53" t="s">
        <v>507</v>
      </c>
      <c r="H11" s="53" t="s">
        <v>507</v>
      </c>
      <c r="I11" s="53" t="s">
        <v>512</v>
      </c>
      <c r="J11" s="53" t="s">
        <v>513</v>
      </c>
      <c r="K11" s="53" t="s">
        <v>514</v>
      </c>
      <c r="L11" s="53" t="s">
        <v>515</v>
      </c>
    </row>
    <row r="12" spans="1:12" s="53" customFormat="1" ht="57.6" x14ac:dyDescent="0.3">
      <c r="A12" s="53">
        <v>14</v>
      </c>
      <c r="B12" s="53" t="s">
        <v>74</v>
      </c>
      <c r="C12" s="53" t="s">
        <v>75</v>
      </c>
      <c r="D12" s="53" t="s">
        <v>83</v>
      </c>
      <c r="E12" s="56" t="s">
        <v>84</v>
      </c>
      <c r="F12" s="53" t="s">
        <v>516</v>
      </c>
      <c r="G12" s="53" t="s">
        <v>507</v>
      </c>
      <c r="H12" s="53" t="s">
        <v>507</v>
      </c>
      <c r="I12" s="53" t="s">
        <v>517</v>
      </c>
      <c r="J12" s="53" t="s">
        <v>518</v>
      </c>
      <c r="K12" s="53" t="s">
        <v>519</v>
      </c>
      <c r="L12" s="53" t="s">
        <v>520</v>
      </c>
    </row>
    <row r="13" spans="1:12" ht="115.2" x14ac:dyDescent="0.3">
      <c r="A13">
        <v>25</v>
      </c>
      <c r="B13" t="s">
        <v>97</v>
      </c>
      <c r="C13" t="s">
        <v>97</v>
      </c>
      <c r="D13" t="s">
        <v>100</v>
      </c>
      <c r="E13" s="49" t="s">
        <v>101</v>
      </c>
      <c r="F13" t="s">
        <v>516</v>
      </c>
      <c r="G13" t="s">
        <v>507</v>
      </c>
      <c r="H13" t="s">
        <v>507</v>
      </c>
      <c r="I13" s="53" t="s">
        <v>521</v>
      </c>
      <c r="J13" t="s">
        <v>522</v>
      </c>
      <c r="K13" t="s">
        <v>523</v>
      </c>
      <c r="L13" t="s">
        <v>524</v>
      </c>
    </row>
    <row r="14" spans="1:12" x14ac:dyDescent="0.3">
      <c r="A14">
        <v>27</v>
      </c>
      <c r="B14" t="s">
        <v>97</v>
      </c>
      <c r="C14" t="s">
        <v>97</v>
      </c>
      <c r="D14" t="s">
        <v>105</v>
      </c>
      <c r="E14" t="s">
        <v>525</v>
      </c>
      <c r="F14" t="s">
        <v>516</v>
      </c>
      <c r="G14" t="s">
        <v>507</v>
      </c>
      <c r="H14" t="s">
        <v>507</v>
      </c>
      <c r="I14" s="53" t="s">
        <v>521</v>
      </c>
      <c r="J14" t="s">
        <v>526</v>
      </c>
      <c r="K14" t="s">
        <v>527</v>
      </c>
      <c r="L14" t="s">
        <v>524</v>
      </c>
    </row>
    <row r="15" spans="1:12" x14ac:dyDescent="0.3">
      <c r="A15">
        <v>35</v>
      </c>
      <c r="B15" t="s">
        <v>97</v>
      </c>
      <c r="C15" t="s">
        <v>97</v>
      </c>
      <c r="D15" t="s">
        <v>256</v>
      </c>
      <c r="E15" t="s">
        <v>261</v>
      </c>
      <c r="F15" t="s">
        <v>516</v>
      </c>
      <c r="G15" t="s">
        <v>507</v>
      </c>
      <c r="H15" t="s">
        <v>507</v>
      </c>
      <c r="I15" s="53" t="s">
        <v>528</v>
      </c>
      <c r="J15" t="s">
        <v>529</v>
      </c>
      <c r="K15" t="s">
        <v>530</v>
      </c>
      <c r="L15" t="s">
        <v>531</v>
      </c>
    </row>
    <row r="16" spans="1:12" x14ac:dyDescent="0.3">
      <c r="A16">
        <v>34</v>
      </c>
      <c r="B16" t="s">
        <v>97</v>
      </c>
      <c r="C16" t="s">
        <v>97</v>
      </c>
      <c r="D16" t="s">
        <v>256</v>
      </c>
      <c r="E16" t="s">
        <v>257</v>
      </c>
      <c r="F16" t="s">
        <v>516</v>
      </c>
      <c r="G16" t="s">
        <v>507</v>
      </c>
      <c r="H16" t="s">
        <v>507</v>
      </c>
      <c r="I16" s="53" t="s">
        <v>532</v>
      </c>
      <c r="J16" t="s">
        <v>529</v>
      </c>
      <c r="K16" t="s">
        <v>530</v>
      </c>
      <c r="L16" t="s">
        <v>531</v>
      </c>
    </row>
    <row r="17" spans="1:12" x14ac:dyDescent="0.3">
      <c r="A17">
        <v>61</v>
      </c>
      <c r="B17" t="s">
        <v>119</v>
      </c>
      <c r="C17" t="s">
        <v>119</v>
      </c>
      <c r="D17" t="s">
        <v>129</v>
      </c>
      <c r="E17" t="s">
        <v>130</v>
      </c>
      <c r="F17" t="s">
        <v>516</v>
      </c>
      <c r="G17" t="s">
        <v>507</v>
      </c>
      <c r="H17" t="s">
        <v>507</v>
      </c>
      <c r="I17" s="53" t="s">
        <v>533</v>
      </c>
      <c r="J17" t="s">
        <v>534</v>
      </c>
      <c r="K17" t="s">
        <v>535</v>
      </c>
      <c r="L17" t="s">
        <v>536</v>
      </c>
    </row>
    <row r="18" spans="1:12" x14ac:dyDescent="0.3">
      <c r="A18">
        <v>98</v>
      </c>
      <c r="B18" t="s">
        <v>174</v>
      </c>
      <c r="C18" t="s">
        <v>174</v>
      </c>
      <c r="D18" t="s">
        <v>336</v>
      </c>
      <c r="E18" t="s">
        <v>337</v>
      </c>
      <c r="F18" t="s">
        <v>516</v>
      </c>
      <c r="G18" t="s">
        <v>507</v>
      </c>
      <c r="H18" t="s">
        <v>507</v>
      </c>
      <c r="I18" s="53" t="s">
        <v>537</v>
      </c>
      <c r="J18" t="s">
        <v>538</v>
      </c>
      <c r="K18" t="s">
        <v>539</v>
      </c>
      <c r="L18" t="s">
        <v>540</v>
      </c>
    </row>
    <row r="19" spans="1:12" ht="28.8" x14ac:dyDescent="0.3">
      <c r="A19">
        <v>67</v>
      </c>
      <c r="B19" t="s">
        <v>137</v>
      </c>
      <c r="C19" t="s">
        <v>139</v>
      </c>
      <c r="D19" t="s">
        <v>141</v>
      </c>
      <c r="E19" s="49" t="s">
        <v>142</v>
      </c>
      <c r="F19" t="s">
        <v>516</v>
      </c>
      <c r="G19" t="s">
        <v>507</v>
      </c>
      <c r="H19" t="s">
        <v>507</v>
      </c>
      <c r="I19" s="53" t="s">
        <v>541</v>
      </c>
      <c r="J19" t="s">
        <v>542</v>
      </c>
      <c r="K19" t="s">
        <v>543</v>
      </c>
      <c r="L19" t="s">
        <v>544</v>
      </c>
    </row>
    <row r="20" spans="1:12" ht="57.6" x14ac:dyDescent="0.3">
      <c r="A20">
        <v>87</v>
      </c>
      <c r="B20" t="s">
        <v>161</v>
      </c>
      <c r="C20" t="s">
        <v>161</v>
      </c>
      <c r="D20" t="s">
        <v>164</v>
      </c>
      <c r="E20" s="49" t="s">
        <v>335</v>
      </c>
      <c r="F20" t="s">
        <v>545</v>
      </c>
      <c r="G20" t="s">
        <v>507</v>
      </c>
      <c r="H20" t="s">
        <v>507</v>
      </c>
      <c r="I20" s="53" t="s">
        <v>546</v>
      </c>
      <c r="J20" t="s">
        <v>547</v>
      </c>
      <c r="K20" t="s">
        <v>548</v>
      </c>
      <c r="L20" t="s">
        <v>549</v>
      </c>
    </row>
    <row r="21" spans="1:12" x14ac:dyDescent="0.3">
      <c r="A21">
        <v>26</v>
      </c>
      <c r="B21" t="s">
        <v>97</v>
      </c>
      <c r="C21" t="s">
        <v>97</v>
      </c>
      <c r="D21" t="s">
        <v>228</v>
      </c>
      <c r="E21" t="s">
        <v>229</v>
      </c>
      <c r="F21" t="s">
        <v>545</v>
      </c>
      <c r="G21" t="s">
        <v>507</v>
      </c>
      <c r="H21" t="s">
        <v>507</v>
      </c>
      <c r="I21" s="53" t="s">
        <v>550</v>
      </c>
      <c r="J21" t="s">
        <v>551</v>
      </c>
      <c r="K21" t="s">
        <v>552</v>
      </c>
      <c r="L21" t="s">
        <v>553</v>
      </c>
    </row>
    <row r="22" spans="1:12" ht="158.4" x14ac:dyDescent="0.3">
      <c r="A22">
        <v>107</v>
      </c>
      <c r="B22" t="s">
        <v>183</v>
      </c>
      <c r="C22" t="s">
        <v>185</v>
      </c>
      <c r="D22" t="s">
        <v>201</v>
      </c>
      <c r="E22" s="49" t="s">
        <v>554</v>
      </c>
      <c r="F22" t="s">
        <v>555</v>
      </c>
      <c r="G22" t="s">
        <v>507</v>
      </c>
      <c r="H22" t="s">
        <v>507</v>
      </c>
      <c r="I22" s="53" t="s">
        <v>556</v>
      </c>
      <c r="J22" t="s">
        <v>557</v>
      </c>
      <c r="K22" t="s">
        <v>558</v>
      </c>
      <c r="L22" t="s">
        <v>559</v>
      </c>
    </row>
    <row r="23" spans="1:12" x14ac:dyDescent="0.3">
      <c r="A23">
        <v>49</v>
      </c>
      <c r="B23" t="s">
        <v>112</v>
      </c>
      <c r="C23" t="s">
        <v>112</v>
      </c>
      <c r="D23" t="s">
        <v>291</v>
      </c>
      <c r="E23" t="s">
        <v>292</v>
      </c>
      <c r="F23" t="s">
        <v>555</v>
      </c>
      <c r="G23" t="s">
        <v>509</v>
      </c>
      <c r="H23" t="s">
        <v>509</v>
      </c>
      <c r="I23" s="53" t="s">
        <v>560</v>
      </c>
      <c r="J23" t="s">
        <v>561</v>
      </c>
      <c r="K23" t="s">
        <v>562</v>
      </c>
      <c r="L23" t="s">
        <v>563</v>
      </c>
    </row>
    <row r="24" spans="1:12" x14ac:dyDescent="0.3">
      <c r="A24">
        <v>4</v>
      </c>
      <c r="B24" t="s">
        <v>41</v>
      </c>
      <c r="C24" t="s">
        <v>44</v>
      </c>
      <c r="D24" t="s">
        <v>55</v>
      </c>
      <c r="E24" t="s">
        <v>56</v>
      </c>
      <c r="F24" t="s">
        <v>555</v>
      </c>
      <c r="G24" t="s">
        <v>508</v>
      </c>
      <c r="H24" t="s">
        <v>508</v>
      </c>
      <c r="I24" s="53" t="s">
        <v>564</v>
      </c>
      <c r="J24" t="s">
        <v>565</v>
      </c>
      <c r="K24" t="s">
        <v>566</v>
      </c>
      <c r="L24" t="s">
        <v>567</v>
      </c>
    </row>
    <row r="25" spans="1:12" ht="172.8" x14ac:dyDescent="0.3">
      <c r="A25">
        <v>106</v>
      </c>
      <c r="B25" t="s">
        <v>183</v>
      </c>
      <c r="C25" t="s">
        <v>185</v>
      </c>
      <c r="D25" t="s">
        <v>195</v>
      </c>
      <c r="E25" s="49" t="s">
        <v>568</v>
      </c>
      <c r="F25" t="s">
        <v>555</v>
      </c>
      <c r="G25" t="s">
        <v>569</v>
      </c>
      <c r="H25" t="s">
        <v>569</v>
      </c>
      <c r="I25" s="53" t="s">
        <v>570</v>
      </c>
      <c r="J25" t="s">
        <v>571</v>
      </c>
      <c r="K25" t="s">
        <v>572</v>
      </c>
      <c r="L25" t="s">
        <v>573</v>
      </c>
    </row>
  </sheetData>
  <phoneticPr fontId="20" type="noConversion"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3AC7B-7BF5-432A-A7FC-4C32F7C6A1A1}">
  <dimension ref="D6:F23"/>
  <sheetViews>
    <sheetView topLeftCell="A5" zoomScale="80" zoomScaleNormal="80" workbookViewId="0">
      <selection activeCell="D20" sqref="D20"/>
    </sheetView>
  </sheetViews>
  <sheetFormatPr defaultRowHeight="14.4" x14ac:dyDescent="0.3"/>
  <cols>
    <col min="4" max="4" width="30.5546875" customWidth="1"/>
    <col min="5" max="5" width="16.88671875" bestFit="1" customWidth="1"/>
    <col min="6" max="6" width="21.88671875" customWidth="1"/>
  </cols>
  <sheetData>
    <row r="6" spans="4:6" ht="15" thickBot="1" x14ac:dyDescent="0.35"/>
    <row r="7" spans="4:6" ht="48.6" x14ac:dyDescent="0.3">
      <c r="D7" s="73" t="s">
        <v>100</v>
      </c>
      <c r="E7" s="77">
        <v>195000</v>
      </c>
      <c r="F7" s="44">
        <v>175000</v>
      </c>
    </row>
    <row r="8" spans="4:6" ht="16.2" x14ac:dyDescent="0.3">
      <c r="D8" s="74" t="s">
        <v>105</v>
      </c>
      <c r="E8" s="78">
        <v>165000</v>
      </c>
      <c r="F8" s="43">
        <v>145000</v>
      </c>
    </row>
    <row r="9" spans="4:6" ht="16.2" x14ac:dyDescent="0.3">
      <c r="D9" s="73" t="s">
        <v>235</v>
      </c>
      <c r="E9" s="78">
        <v>152500</v>
      </c>
      <c r="F9" s="43">
        <v>122500</v>
      </c>
    </row>
    <row r="10" spans="4:6" ht="16.2" x14ac:dyDescent="0.3">
      <c r="D10" s="74" t="s">
        <v>241</v>
      </c>
      <c r="E10" s="78">
        <v>2800</v>
      </c>
      <c r="F10" s="43">
        <v>800</v>
      </c>
    </row>
    <row r="11" spans="4:6" ht="16.2" x14ac:dyDescent="0.3">
      <c r="D11" s="75" t="s">
        <v>244</v>
      </c>
      <c r="E11" s="78">
        <v>1800</v>
      </c>
      <c r="F11" s="43">
        <v>400</v>
      </c>
    </row>
    <row r="12" spans="4:6" ht="16.2" x14ac:dyDescent="0.3">
      <c r="D12" s="73" t="s">
        <v>247</v>
      </c>
      <c r="E12" s="78">
        <v>2500</v>
      </c>
      <c r="F12" s="43">
        <v>1500</v>
      </c>
    </row>
    <row r="13" spans="4:6" ht="32.4" x14ac:dyDescent="0.3">
      <c r="D13" s="73" t="s">
        <v>275</v>
      </c>
      <c r="E13" s="78">
        <v>12000</v>
      </c>
      <c r="F13" s="43">
        <v>0</v>
      </c>
    </row>
    <row r="14" spans="4:6" ht="16.2" x14ac:dyDescent="0.3">
      <c r="D14" s="73" t="s">
        <v>283</v>
      </c>
      <c r="E14" s="78">
        <v>5000</v>
      </c>
      <c r="F14" s="43">
        <v>0</v>
      </c>
    </row>
    <row r="15" spans="4:6" ht="16.2" x14ac:dyDescent="0.3">
      <c r="D15" s="76" t="s">
        <v>115</v>
      </c>
      <c r="E15" s="78">
        <v>78000</v>
      </c>
      <c r="F15" s="43">
        <v>58000</v>
      </c>
    </row>
    <row r="16" spans="4:6" ht="16.2" x14ac:dyDescent="0.3">
      <c r="D16" s="75" t="s">
        <v>117</v>
      </c>
      <c r="E16" s="78">
        <v>84900</v>
      </c>
      <c r="F16" s="43">
        <v>74900</v>
      </c>
    </row>
    <row r="17" spans="4:6" ht="16.2" x14ac:dyDescent="0.3">
      <c r="D17" s="76" t="s">
        <v>146</v>
      </c>
      <c r="E17" s="78">
        <v>6400</v>
      </c>
      <c r="F17" s="43">
        <v>0</v>
      </c>
    </row>
    <row r="18" spans="4:6" ht="16.2" x14ac:dyDescent="0.3">
      <c r="D18" s="75" t="s">
        <v>333</v>
      </c>
      <c r="E18" s="78">
        <v>8702</v>
      </c>
      <c r="F18" s="43">
        <v>4702</v>
      </c>
    </row>
    <row r="19" spans="4:6" ht="16.2" x14ac:dyDescent="0.3">
      <c r="D19" s="75" t="s">
        <v>385</v>
      </c>
      <c r="E19" s="79">
        <v>5400</v>
      </c>
      <c r="F19" s="43">
        <v>3400</v>
      </c>
    </row>
    <row r="20" spans="4:6" ht="16.2" x14ac:dyDescent="0.3">
      <c r="D20" s="73" t="s">
        <v>398</v>
      </c>
      <c r="E20" s="79">
        <v>12600</v>
      </c>
      <c r="F20" s="43">
        <v>4000</v>
      </c>
    </row>
    <row r="21" spans="4:6" ht="16.8" thickBot="1" x14ac:dyDescent="0.35">
      <c r="D21" s="76" t="s">
        <v>419</v>
      </c>
      <c r="E21" s="80">
        <v>8500</v>
      </c>
      <c r="F21" s="57">
        <v>0</v>
      </c>
    </row>
    <row r="22" spans="4:6" x14ac:dyDescent="0.3">
      <c r="E22" s="81">
        <f>SUM(E7:E21)</f>
        <v>741102</v>
      </c>
      <c r="F22" s="81">
        <f>SUM(F7:F21)</f>
        <v>590202</v>
      </c>
    </row>
    <row r="23" spans="4:6" x14ac:dyDescent="0.3">
      <c r="E23" s="793">
        <f>E22-F22</f>
        <v>150900</v>
      </c>
      <c r="F23" s="794"/>
    </row>
  </sheetData>
  <mergeCells count="1">
    <mergeCell ref="E23:F23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28"/>
  <sheetViews>
    <sheetView zoomScaleNormal="100" workbookViewId="0">
      <selection activeCell="D17" sqref="D17"/>
    </sheetView>
  </sheetViews>
  <sheetFormatPr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796" t="s">
        <v>509</v>
      </c>
      <c r="B1" s="796"/>
      <c r="C1" s="796"/>
      <c r="D1" s="798" t="s">
        <v>574</v>
      </c>
      <c r="E1" s="798"/>
      <c r="F1" s="798"/>
      <c r="G1" s="798"/>
      <c r="H1" s="798"/>
      <c r="I1" s="798"/>
      <c r="J1" s="21" t="s">
        <v>509</v>
      </c>
      <c r="K1" s="21" t="s">
        <v>509</v>
      </c>
      <c r="L1" s="21" t="s">
        <v>509</v>
      </c>
      <c r="M1" s="21" t="s">
        <v>509</v>
      </c>
      <c r="N1" s="21" t="s">
        <v>509</v>
      </c>
      <c r="O1" s="22" t="s">
        <v>509</v>
      </c>
    </row>
    <row r="2" spans="1:15" x14ac:dyDescent="0.3">
      <c r="A2" s="797"/>
      <c r="B2" s="797"/>
      <c r="C2" s="797"/>
      <c r="D2" s="796" t="s">
        <v>575</v>
      </c>
      <c r="E2" s="796"/>
      <c r="F2" s="796"/>
      <c r="G2" s="796"/>
      <c r="H2" s="796"/>
      <c r="I2" s="796"/>
      <c r="J2" s="21"/>
      <c r="K2" s="21"/>
      <c r="L2" s="21"/>
      <c r="M2" s="21"/>
      <c r="N2" s="21"/>
      <c r="O2" s="799" t="s">
        <v>576</v>
      </c>
    </row>
    <row r="3" spans="1:15" x14ac:dyDescent="0.3">
      <c r="A3" s="797"/>
      <c r="B3" s="797"/>
      <c r="C3" s="797"/>
      <c r="D3" s="796" t="s">
        <v>577</v>
      </c>
      <c r="E3" s="796"/>
      <c r="F3" s="796"/>
      <c r="G3" s="796"/>
      <c r="H3" s="796"/>
      <c r="I3" s="796"/>
      <c r="J3" s="21"/>
      <c r="K3" s="21"/>
      <c r="L3" s="21"/>
      <c r="M3" s="21"/>
      <c r="N3" s="21"/>
      <c r="O3" s="800"/>
    </row>
    <row r="4" spans="1:15" x14ac:dyDescent="0.3">
      <c r="A4" s="797"/>
      <c r="B4" s="797"/>
      <c r="C4" s="797"/>
      <c r="D4" s="796" t="s">
        <v>578</v>
      </c>
      <c r="E4" s="796"/>
      <c r="F4" s="796"/>
      <c r="G4" s="796"/>
      <c r="H4" s="796"/>
      <c r="I4" s="796"/>
      <c r="J4" s="21"/>
      <c r="K4" s="21"/>
      <c r="L4" s="21"/>
      <c r="M4" s="21"/>
      <c r="N4" s="21"/>
      <c r="O4" s="800"/>
    </row>
    <row r="5" spans="1:15" x14ac:dyDescent="0.3">
      <c r="A5" s="797"/>
      <c r="B5" s="797"/>
      <c r="C5" s="797"/>
      <c r="D5" s="796" t="s">
        <v>579</v>
      </c>
      <c r="E5" s="796"/>
      <c r="F5" s="796"/>
      <c r="G5" s="796"/>
      <c r="H5" s="796"/>
      <c r="I5" s="796"/>
      <c r="J5" s="21"/>
      <c r="K5" s="21"/>
      <c r="L5" s="21"/>
      <c r="M5" s="21"/>
      <c r="N5" s="21"/>
      <c r="O5" s="800"/>
    </row>
    <row r="6" spans="1:15" x14ac:dyDescent="0.3">
      <c r="A6" s="797"/>
      <c r="B6" s="797"/>
      <c r="C6" s="797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800"/>
    </row>
    <row r="7" spans="1:15" x14ac:dyDescent="0.3">
      <c r="A7" s="797"/>
      <c r="B7" s="797"/>
      <c r="C7" s="797"/>
      <c r="D7" s="796" t="s">
        <v>580</v>
      </c>
      <c r="E7" s="796"/>
      <c r="F7" s="796"/>
      <c r="G7" s="796"/>
      <c r="H7" s="796"/>
      <c r="I7" s="796"/>
      <c r="J7" s="21"/>
      <c r="K7" s="21"/>
      <c r="L7" s="21"/>
      <c r="M7" s="21"/>
      <c r="N7" s="21"/>
      <c r="O7" s="23">
        <v>45264.482613275461</v>
      </c>
    </row>
    <row r="8" spans="1:15" x14ac:dyDescent="0.3">
      <c r="A8" s="795" t="s">
        <v>581</v>
      </c>
      <c r="B8" s="795"/>
      <c r="C8" s="795"/>
      <c r="D8" s="795"/>
      <c r="E8" s="795"/>
      <c r="F8" s="795"/>
      <c r="G8" s="795"/>
      <c r="H8" s="795"/>
      <c r="I8" s="795"/>
      <c r="J8" s="795"/>
      <c r="K8" s="795"/>
      <c r="L8" s="795"/>
      <c r="M8" s="795"/>
      <c r="N8" s="795"/>
      <c r="O8" s="795"/>
    </row>
    <row r="9" spans="1:15" ht="27.6" x14ac:dyDescent="0.3">
      <c r="A9" s="24" t="s">
        <v>582</v>
      </c>
      <c r="B9" s="24" t="s">
        <v>583</v>
      </c>
      <c r="C9" s="24" t="s">
        <v>584</v>
      </c>
      <c r="D9" s="24" t="s">
        <v>498</v>
      </c>
      <c r="E9" s="24" t="s">
        <v>585</v>
      </c>
      <c r="F9" s="24" t="s">
        <v>586</v>
      </c>
      <c r="G9" s="24" t="s">
        <v>587</v>
      </c>
      <c r="H9" s="24" t="s">
        <v>588</v>
      </c>
      <c r="I9" s="24" t="s">
        <v>589</v>
      </c>
      <c r="J9" s="24" t="s">
        <v>586</v>
      </c>
      <c r="K9" s="24" t="s">
        <v>590</v>
      </c>
      <c r="L9" s="24" t="s">
        <v>591</v>
      </c>
      <c r="M9" s="24" t="s">
        <v>592</v>
      </c>
      <c r="N9" s="24" t="s">
        <v>593</v>
      </c>
      <c r="O9" s="25" t="s">
        <v>594</v>
      </c>
    </row>
    <row r="10" spans="1:15" x14ac:dyDescent="0.3">
      <c r="A10" s="26" t="s">
        <v>495</v>
      </c>
      <c r="B10" s="27">
        <v>1</v>
      </c>
      <c r="C10" s="26" t="s">
        <v>595</v>
      </c>
      <c r="D10" s="26" t="s">
        <v>596</v>
      </c>
      <c r="E10" s="26">
        <v>1</v>
      </c>
      <c r="F10" s="28">
        <v>20000</v>
      </c>
      <c r="G10" s="28">
        <v>20000</v>
      </c>
      <c r="H10" s="26" t="s">
        <v>597</v>
      </c>
      <c r="I10" s="28">
        <v>9900</v>
      </c>
      <c r="J10" s="28">
        <v>9900</v>
      </c>
      <c r="K10" s="28" t="s">
        <v>598</v>
      </c>
      <c r="L10" s="29" t="s">
        <v>599</v>
      </c>
      <c r="M10" s="29" t="s">
        <v>599</v>
      </c>
      <c r="N10" s="28">
        <v>0</v>
      </c>
      <c r="O10" s="30" t="s">
        <v>509</v>
      </c>
    </row>
    <row r="11" spans="1:15" x14ac:dyDescent="0.3">
      <c r="A11" s="31" t="s">
        <v>495</v>
      </c>
      <c r="B11" s="32">
        <v>2</v>
      </c>
      <c r="C11" s="31" t="s">
        <v>600</v>
      </c>
      <c r="D11" s="31" t="s">
        <v>601</v>
      </c>
      <c r="E11" s="31">
        <v>1</v>
      </c>
      <c r="F11" s="33">
        <v>11500</v>
      </c>
      <c r="G11" s="33">
        <v>11500</v>
      </c>
      <c r="H11" s="31" t="s">
        <v>597</v>
      </c>
      <c r="I11" s="33">
        <v>7400</v>
      </c>
      <c r="J11" s="33">
        <v>7400</v>
      </c>
      <c r="K11" s="33" t="s">
        <v>598</v>
      </c>
      <c r="L11" s="34" t="s">
        <v>599</v>
      </c>
      <c r="M11" s="34" t="s">
        <v>599</v>
      </c>
      <c r="N11" s="33">
        <v>0</v>
      </c>
      <c r="O11" s="35" t="s">
        <v>509</v>
      </c>
    </row>
    <row r="12" spans="1:15" x14ac:dyDescent="0.3">
      <c r="A12" s="26" t="s">
        <v>602</v>
      </c>
      <c r="B12" s="27">
        <v>3</v>
      </c>
      <c r="C12" s="26" t="s">
        <v>603</v>
      </c>
      <c r="D12" s="26" t="s">
        <v>55</v>
      </c>
      <c r="E12" s="26">
        <v>1</v>
      </c>
      <c r="F12" s="28">
        <v>1000</v>
      </c>
      <c r="G12" s="28">
        <v>1000</v>
      </c>
      <c r="H12" s="26" t="s">
        <v>597</v>
      </c>
      <c r="I12" s="28">
        <v>900</v>
      </c>
      <c r="J12" s="28">
        <v>900</v>
      </c>
      <c r="K12" s="28" t="s">
        <v>598</v>
      </c>
      <c r="L12" s="29" t="s">
        <v>604</v>
      </c>
      <c r="M12" s="29" t="s">
        <v>599</v>
      </c>
      <c r="N12" s="28">
        <v>0</v>
      </c>
      <c r="O12" s="30" t="s">
        <v>605</v>
      </c>
    </row>
    <row r="13" spans="1:15" x14ac:dyDescent="0.3">
      <c r="A13" s="31" t="s">
        <v>602</v>
      </c>
      <c r="B13" s="32">
        <v>4</v>
      </c>
      <c r="C13" s="31" t="s">
        <v>606</v>
      </c>
      <c r="D13" s="31" t="s">
        <v>607</v>
      </c>
      <c r="E13" s="31">
        <v>1</v>
      </c>
      <c r="F13" s="33">
        <v>2000</v>
      </c>
      <c r="G13" s="33">
        <v>2000</v>
      </c>
      <c r="H13" s="31" t="s">
        <v>597</v>
      </c>
      <c r="I13" s="33">
        <v>500</v>
      </c>
      <c r="J13" s="33">
        <v>500</v>
      </c>
      <c r="K13" s="33" t="s">
        <v>598</v>
      </c>
      <c r="L13" s="34" t="s">
        <v>604</v>
      </c>
      <c r="M13" s="34" t="s">
        <v>599</v>
      </c>
      <c r="N13" s="33">
        <v>0</v>
      </c>
      <c r="O13" s="35" t="s">
        <v>508</v>
      </c>
    </row>
    <row r="14" spans="1:15" x14ac:dyDescent="0.3">
      <c r="A14" s="26" t="s">
        <v>602</v>
      </c>
      <c r="B14" s="27">
        <v>5</v>
      </c>
      <c r="C14" s="26" t="s">
        <v>608</v>
      </c>
      <c r="D14" s="26" t="s">
        <v>609</v>
      </c>
      <c r="E14" s="26">
        <v>1</v>
      </c>
      <c r="F14" s="28">
        <v>4000</v>
      </c>
      <c r="G14" s="28">
        <v>4000</v>
      </c>
      <c r="H14" s="26" t="s">
        <v>597</v>
      </c>
      <c r="I14" s="28">
        <v>2000</v>
      </c>
      <c r="J14" s="28">
        <v>2000</v>
      </c>
      <c r="K14" s="28" t="s">
        <v>598</v>
      </c>
      <c r="L14" s="29" t="s">
        <v>604</v>
      </c>
      <c r="M14" s="29" t="s">
        <v>599</v>
      </c>
      <c r="N14" s="28">
        <v>0</v>
      </c>
      <c r="O14" s="30" t="s">
        <v>610</v>
      </c>
    </row>
    <row r="15" spans="1:15" x14ac:dyDescent="0.3">
      <c r="A15" s="31" t="s">
        <v>611</v>
      </c>
      <c r="B15" s="32">
        <v>6</v>
      </c>
      <c r="C15" s="31" t="s">
        <v>612</v>
      </c>
      <c r="D15" s="31" t="s">
        <v>613</v>
      </c>
      <c r="E15" s="31">
        <v>1</v>
      </c>
      <c r="F15" s="33">
        <v>0</v>
      </c>
      <c r="G15" s="33">
        <v>0</v>
      </c>
      <c r="H15" s="31" t="s">
        <v>597</v>
      </c>
      <c r="I15" s="33">
        <v>1000</v>
      </c>
      <c r="J15" s="33">
        <v>1000</v>
      </c>
      <c r="K15" s="33" t="s">
        <v>598</v>
      </c>
      <c r="L15" s="34" t="s">
        <v>604</v>
      </c>
      <c r="M15" s="34" t="s">
        <v>599</v>
      </c>
      <c r="N15" s="33">
        <v>0</v>
      </c>
      <c r="O15" s="35" t="s">
        <v>509</v>
      </c>
    </row>
    <row r="16" spans="1:15" x14ac:dyDescent="0.3">
      <c r="A16" s="26" t="s">
        <v>602</v>
      </c>
      <c r="B16" s="27">
        <v>7</v>
      </c>
      <c r="C16" s="26" t="s">
        <v>614</v>
      </c>
      <c r="D16" s="26" t="s">
        <v>615</v>
      </c>
      <c r="E16" s="26">
        <v>1</v>
      </c>
      <c r="F16" s="28">
        <v>2000</v>
      </c>
      <c r="G16" s="28">
        <v>2000</v>
      </c>
      <c r="H16" s="26" t="s">
        <v>597</v>
      </c>
      <c r="I16" s="28">
        <v>1000</v>
      </c>
      <c r="J16" s="28">
        <v>1000</v>
      </c>
      <c r="K16" s="28" t="s">
        <v>598</v>
      </c>
      <c r="L16" s="29" t="s">
        <v>604</v>
      </c>
      <c r="M16" s="29" t="s">
        <v>599</v>
      </c>
      <c r="N16" s="28">
        <v>0</v>
      </c>
      <c r="O16" s="30" t="s">
        <v>616</v>
      </c>
    </row>
    <row r="17" spans="1:15" x14ac:dyDescent="0.3">
      <c r="A17" s="31" t="s">
        <v>611</v>
      </c>
      <c r="B17" s="32">
        <v>14</v>
      </c>
      <c r="C17" s="31" t="s">
        <v>617</v>
      </c>
      <c r="D17" s="31" t="s">
        <v>618</v>
      </c>
      <c r="E17" s="31">
        <v>1</v>
      </c>
      <c r="F17" s="33">
        <v>2500</v>
      </c>
      <c r="G17" s="33">
        <v>2500</v>
      </c>
      <c r="H17" s="31" t="s">
        <v>597</v>
      </c>
      <c r="I17" s="33">
        <v>2000</v>
      </c>
      <c r="J17" s="33">
        <v>2000</v>
      </c>
      <c r="K17" s="33" t="s">
        <v>619</v>
      </c>
      <c r="L17" s="34" t="s">
        <v>620</v>
      </c>
      <c r="M17" s="34" t="s">
        <v>599</v>
      </c>
      <c r="N17" s="33">
        <v>0</v>
      </c>
      <c r="O17" s="35" t="s">
        <v>509</v>
      </c>
    </row>
    <row r="18" spans="1:15" x14ac:dyDescent="0.3">
      <c r="A18" s="26" t="s">
        <v>495</v>
      </c>
      <c r="B18" s="27">
        <v>8</v>
      </c>
      <c r="C18" s="26" t="s">
        <v>621</v>
      </c>
      <c r="D18" s="26" t="s">
        <v>327</v>
      </c>
      <c r="E18" s="26">
        <v>1</v>
      </c>
      <c r="F18" s="28">
        <v>8500</v>
      </c>
      <c r="G18" s="28">
        <v>8500</v>
      </c>
      <c r="H18" s="26" t="s">
        <v>597</v>
      </c>
      <c r="I18" s="28">
        <v>2500</v>
      </c>
      <c r="J18" s="28">
        <v>2500</v>
      </c>
      <c r="K18" s="28" t="s">
        <v>598</v>
      </c>
      <c r="L18" s="29" t="s">
        <v>599</v>
      </c>
      <c r="M18" s="29" t="s">
        <v>599</v>
      </c>
      <c r="N18" s="28">
        <v>0</v>
      </c>
      <c r="O18" s="30" t="s">
        <v>509</v>
      </c>
    </row>
    <row r="19" spans="1:15" ht="72" x14ac:dyDescent="0.3">
      <c r="A19" s="31" t="s">
        <v>602</v>
      </c>
      <c r="B19" s="32">
        <v>9</v>
      </c>
      <c r="C19" s="31" t="s">
        <v>622</v>
      </c>
      <c r="D19" s="31" t="s">
        <v>139</v>
      </c>
      <c r="E19" s="31">
        <v>2</v>
      </c>
      <c r="F19" s="33">
        <v>2000</v>
      </c>
      <c r="G19" s="33">
        <v>4000</v>
      </c>
      <c r="H19" s="31" t="s">
        <v>597</v>
      </c>
      <c r="I19" s="33">
        <v>1000</v>
      </c>
      <c r="J19" s="33">
        <v>500</v>
      </c>
      <c r="K19" s="33" t="s">
        <v>598</v>
      </c>
      <c r="L19" s="34" t="s">
        <v>604</v>
      </c>
      <c r="M19" s="34" t="s">
        <v>599</v>
      </c>
      <c r="N19" s="33">
        <v>0</v>
      </c>
      <c r="O19" s="36" t="s">
        <v>623</v>
      </c>
    </row>
    <row r="20" spans="1:15" ht="28.8" x14ac:dyDescent="0.3">
      <c r="A20" s="26" t="s">
        <v>602</v>
      </c>
      <c r="B20" s="27">
        <v>10</v>
      </c>
      <c r="C20" s="26" t="s">
        <v>624</v>
      </c>
      <c r="D20" s="26" t="s">
        <v>625</v>
      </c>
      <c r="E20" s="26">
        <v>3</v>
      </c>
      <c r="F20" s="28">
        <v>1500</v>
      </c>
      <c r="G20" s="28">
        <v>4500</v>
      </c>
      <c r="H20" s="26" t="s">
        <v>597</v>
      </c>
      <c r="I20" s="28">
        <v>1500</v>
      </c>
      <c r="J20" s="28">
        <v>500</v>
      </c>
      <c r="K20" s="28" t="s">
        <v>598</v>
      </c>
      <c r="L20" s="29" t="s">
        <v>604</v>
      </c>
      <c r="M20" s="29" t="s">
        <v>599</v>
      </c>
      <c r="N20" s="28">
        <v>0</v>
      </c>
      <c r="O20" s="37" t="s">
        <v>626</v>
      </c>
    </row>
    <row r="21" spans="1:15" x14ac:dyDescent="0.3">
      <c r="A21" s="31" t="s">
        <v>495</v>
      </c>
      <c r="B21" s="32">
        <v>11</v>
      </c>
      <c r="C21" s="31" t="s">
        <v>627</v>
      </c>
      <c r="D21" s="31" t="s">
        <v>152</v>
      </c>
      <c r="E21" s="31">
        <v>1</v>
      </c>
      <c r="F21" s="33">
        <v>7000</v>
      </c>
      <c r="G21" s="33">
        <v>7000</v>
      </c>
      <c r="H21" s="31" t="s">
        <v>597</v>
      </c>
      <c r="I21" s="33">
        <v>300</v>
      </c>
      <c r="J21" s="33">
        <v>300</v>
      </c>
      <c r="K21" s="33" t="s">
        <v>598</v>
      </c>
      <c r="L21" s="34" t="s">
        <v>599</v>
      </c>
      <c r="M21" s="34" t="s">
        <v>599</v>
      </c>
      <c r="N21" s="33">
        <v>0</v>
      </c>
      <c r="O21" s="35" t="s">
        <v>509</v>
      </c>
    </row>
    <row r="22" spans="1:15" x14ac:dyDescent="0.3">
      <c r="A22" s="26" t="s">
        <v>495</v>
      </c>
      <c r="B22" s="27">
        <v>12</v>
      </c>
      <c r="C22" s="26" t="s">
        <v>628</v>
      </c>
      <c r="D22" s="26" t="s">
        <v>629</v>
      </c>
      <c r="E22" s="26">
        <v>1</v>
      </c>
      <c r="F22" s="28">
        <v>7000</v>
      </c>
      <c r="G22" s="28">
        <v>7000</v>
      </c>
      <c r="H22" s="26" t="s">
        <v>597</v>
      </c>
      <c r="I22" s="28">
        <v>300</v>
      </c>
      <c r="J22" s="28">
        <v>300</v>
      </c>
      <c r="K22" s="28" t="s">
        <v>598</v>
      </c>
      <c r="L22" s="29" t="s">
        <v>599</v>
      </c>
      <c r="M22" s="29" t="s">
        <v>599</v>
      </c>
      <c r="N22" s="28">
        <v>0</v>
      </c>
      <c r="O22" s="30" t="s">
        <v>509</v>
      </c>
    </row>
    <row r="23" spans="1:15" x14ac:dyDescent="0.3">
      <c r="A23" s="31" t="s">
        <v>602</v>
      </c>
      <c r="B23" s="32">
        <v>13</v>
      </c>
      <c r="C23" s="31" t="s">
        <v>630</v>
      </c>
      <c r="D23" s="31" t="s">
        <v>631</v>
      </c>
      <c r="E23" s="31">
        <v>1</v>
      </c>
      <c r="F23" s="33">
        <v>5000</v>
      </c>
      <c r="G23" s="33">
        <v>5000</v>
      </c>
      <c r="H23" s="31" t="s">
        <v>597</v>
      </c>
      <c r="I23" s="33">
        <v>200</v>
      </c>
      <c r="J23" s="33">
        <v>200</v>
      </c>
      <c r="K23" s="33" t="s">
        <v>598</v>
      </c>
      <c r="L23" s="34" t="s">
        <v>604</v>
      </c>
      <c r="M23" s="34" t="s">
        <v>599</v>
      </c>
      <c r="N23" s="33">
        <v>0</v>
      </c>
      <c r="O23" s="35" t="s">
        <v>509</v>
      </c>
    </row>
    <row r="24" spans="1:15" x14ac:dyDescent="0.3">
      <c r="A24" s="26" t="s">
        <v>602</v>
      </c>
      <c r="B24" s="27">
        <v>15</v>
      </c>
      <c r="C24" s="26" t="s">
        <v>632</v>
      </c>
      <c r="D24" s="26" t="s">
        <v>618</v>
      </c>
      <c r="E24" s="26">
        <v>1</v>
      </c>
      <c r="F24" s="28">
        <v>2000</v>
      </c>
      <c r="G24" s="28">
        <v>2000</v>
      </c>
      <c r="H24" s="26" t="s">
        <v>597</v>
      </c>
      <c r="I24" s="28">
        <v>100</v>
      </c>
      <c r="J24" s="28">
        <v>100</v>
      </c>
      <c r="K24" s="28" t="s">
        <v>598</v>
      </c>
      <c r="L24" s="29" t="s">
        <v>604</v>
      </c>
      <c r="M24" s="29" t="s">
        <v>599</v>
      </c>
      <c r="N24" s="28">
        <v>0</v>
      </c>
      <c r="O24" s="30" t="s">
        <v>509</v>
      </c>
    </row>
    <row r="25" spans="1:15" x14ac:dyDescent="0.3">
      <c r="A25" s="31"/>
      <c r="B25" s="32"/>
      <c r="C25" s="31"/>
      <c r="D25" s="31"/>
      <c r="E25" s="31"/>
      <c r="F25" s="33"/>
      <c r="G25" s="33"/>
      <c r="H25" s="31"/>
      <c r="I25" s="33"/>
      <c r="J25" s="33"/>
      <c r="K25" s="33"/>
      <c r="L25" s="34"/>
      <c r="M25" s="34"/>
      <c r="N25" s="33"/>
      <c r="O25" s="35"/>
    </row>
    <row r="26" spans="1:15" x14ac:dyDescent="0.3">
      <c r="A26" s="26" t="s">
        <v>633</v>
      </c>
      <c r="B26" s="27"/>
      <c r="C26" s="26"/>
      <c r="D26" s="26"/>
      <c r="E26" s="26"/>
      <c r="F26" s="28"/>
      <c r="G26" s="28"/>
      <c r="H26" s="26"/>
      <c r="I26" s="28"/>
      <c r="J26" s="28"/>
      <c r="K26" s="28"/>
      <c r="L26" s="29"/>
      <c r="M26" s="29"/>
      <c r="N26" s="28"/>
      <c r="O26" s="30"/>
    </row>
    <row r="27" spans="1:15" x14ac:dyDescent="0.3">
      <c r="A27" s="31" t="s">
        <v>634</v>
      </c>
      <c r="B27" s="32"/>
      <c r="C27" s="31"/>
      <c r="D27" s="31"/>
      <c r="E27" s="31"/>
      <c r="F27" s="33"/>
      <c r="G27" s="33"/>
      <c r="H27" s="31"/>
      <c r="I27" s="33"/>
      <c r="J27" s="33"/>
      <c r="K27" s="33"/>
      <c r="L27" s="34"/>
      <c r="M27" s="34"/>
      <c r="N27" s="33"/>
      <c r="O27" s="35"/>
    </row>
    <row r="28" spans="1:15" x14ac:dyDescent="0.3">
      <c r="A28" s="38" t="s">
        <v>635</v>
      </c>
      <c r="B28" s="39"/>
      <c r="C28" s="38"/>
      <c r="D28" s="38"/>
      <c r="E28" s="38"/>
      <c r="F28" s="40"/>
      <c r="G28" s="40"/>
      <c r="H28" s="38"/>
      <c r="I28" s="40"/>
      <c r="J28" s="40"/>
      <c r="K28" s="40"/>
      <c r="L28" s="41"/>
      <c r="M28" s="41"/>
      <c r="N28" s="40"/>
      <c r="O28" s="42"/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554687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834" t="s">
        <v>13</v>
      </c>
      <c r="C2" s="835"/>
      <c r="D2" s="835"/>
      <c r="E2" s="835"/>
      <c r="F2" s="835"/>
      <c r="G2" s="835"/>
      <c r="H2" s="835"/>
      <c r="I2" s="835"/>
      <c r="J2" s="835"/>
      <c r="K2" s="835"/>
      <c r="L2" s="836"/>
    </row>
    <row r="3" spans="2:12" ht="47.4" customHeight="1" thickBot="1" x14ac:dyDescent="0.35">
      <c r="B3" s="837" t="s">
        <v>636</v>
      </c>
      <c r="C3" s="838"/>
      <c r="D3" s="838"/>
      <c r="E3" s="838"/>
      <c r="F3" s="838"/>
      <c r="G3" s="838"/>
      <c r="H3" s="838"/>
      <c r="I3" s="838"/>
      <c r="J3" s="838"/>
      <c r="K3" s="838"/>
      <c r="L3" s="839"/>
    </row>
    <row r="4" spans="2:12" ht="7.2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82"/>
    </row>
    <row r="6" spans="2:12" x14ac:dyDescent="0.3">
      <c r="B6" s="83"/>
      <c r="C6" s="806" t="s">
        <v>637</v>
      </c>
      <c r="D6" s="806"/>
      <c r="E6" s="806"/>
      <c r="F6" s="806"/>
      <c r="G6" s="806"/>
      <c r="H6" s="806"/>
      <c r="I6" s="806"/>
      <c r="J6" s="806"/>
      <c r="K6" s="806"/>
      <c r="L6" s="84"/>
    </row>
    <row r="7" spans="2:12" ht="6" customHeight="1" x14ac:dyDescent="0.3">
      <c r="B7" s="83"/>
      <c r="L7" s="84"/>
    </row>
    <row r="8" spans="2:12" x14ac:dyDescent="0.3">
      <c r="B8" s="83"/>
      <c r="C8" s="3" t="s">
        <v>638</v>
      </c>
      <c r="D8" s="840" t="s">
        <v>555</v>
      </c>
      <c r="E8" s="841"/>
      <c r="F8" s="841"/>
      <c r="G8" s="841"/>
      <c r="H8" s="841"/>
      <c r="I8" s="841"/>
      <c r="J8" s="841"/>
      <c r="K8" s="842"/>
      <c r="L8" s="84"/>
    </row>
    <row r="9" spans="2:12" x14ac:dyDescent="0.3">
      <c r="B9" s="83"/>
      <c r="C9" s="4" t="s">
        <v>639</v>
      </c>
      <c r="D9" s="827" t="s">
        <v>640</v>
      </c>
      <c r="E9" s="828"/>
      <c r="F9" s="828"/>
      <c r="G9" s="828"/>
      <c r="H9" s="828"/>
      <c r="I9" s="828"/>
      <c r="J9" s="828"/>
      <c r="K9" s="829"/>
      <c r="L9" s="84"/>
    </row>
    <row r="10" spans="2:12" x14ac:dyDescent="0.3">
      <c r="B10" s="83"/>
      <c r="C10" s="4" t="s">
        <v>641</v>
      </c>
      <c r="D10" s="827" t="s">
        <v>509</v>
      </c>
      <c r="E10" s="828"/>
      <c r="F10" s="828"/>
      <c r="G10" s="828"/>
      <c r="H10" s="828"/>
      <c r="I10" s="828"/>
      <c r="J10" s="828"/>
      <c r="K10" s="829"/>
      <c r="L10" s="84"/>
    </row>
    <row r="11" spans="2:12" x14ac:dyDescent="0.3">
      <c r="B11" s="83"/>
      <c r="C11" s="4" t="s">
        <v>642</v>
      </c>
      <c r="D11" s="827" t="s">
        <v>643</v>
      </c>
      <c r="E11" s="828"/>
      <c r="F11" s="828"/>
      <c r="G11" s="828"/>
      <c r="H11" s="828"/>
      <c r="I11" s="828"/>
      <c r="J11" s="828"/>
      <c r="K11" s="829"/>
      <c r="L11" s="84"/>
    </row>
    <row r="12" spans="2:12" x14ac:dyDescent="0.3">
      <c r="B12" s="83"/>
      <c r="C12" s="7" t="s">
        <v>644</v>
      </c>
      <c r="D12" s="824" t="s">
        <v>645</v>
      </c>
      <c r="E12" s="825"/>
      <c r="F12" s="825"/>
      <c r="G12" s="825"/>
      <c r="H12" s="826"/>
      <c r="I12" s="8" t="s">
        <v>646</v>
      </c>
      <c r="J12" s="824" t="s">
        <v>194</v>
      </c>
      <c r="K12" s="826"/>
      <c r="L12" s="84"/>
    </row>
    <row r="13" spans="2:12" ht="6" customHeight="1" thickBot="1" x14ac:dyDescent="0.35">
      <c r="B13" s="85"/>
      <c r="C13" s="9"/>
      <c r="D13" s="9"/>
      <c r="E13" s="9"/>
      <c r="F13" s="9"/>
      <c r="G13" s="9"/>
      <c r="H13" s="9"/>
      <c r="I13" s="9"/>
      <c r="J13" s="9"/>
      <c r="K13" s="9"/>
      <c r="L13" s="86"/>
    </row>
    <row r="14" spans="2:12" ht="7.2" customHeight="1" thickBot="1" x14ac:dyDescent="0.35"/>
    <row r="15" spans="2:12" ht="7.95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82"/>
    </row>
    <row r="16" spans="2:12" x14ac:dyDescent="0.3">
      <c r="B16" s="83"/>
      <c r="C16" s="806" t="s">
        <v>647</v>
      </c>
      <c r="D16" s="806"/>
      <c r="E16" s="806"/>
      <c r="F16" s="806"/>
      <c r="G16" s="806"/>
      <c r="H16" s="806"/>
      <c r="I16" s="806"/>
      <c r="J16" s="806"/>
      <c r="K16" s="806"/>
      <c r="L16" s="84"/>
    </row>
    <row r="17" spans="2:12" ht="9" customHeight="1" x14ac:dyDescent="0.3">
      <c r="B17" s="83"/>
      <c r="L17" s="84"/>
    </row>
    <row r="18" spans="2:12" x14ac:dyDescent="0.3">
      <c r="B18" s="83"/>
      <c r="C18" s="3"/>
      <c r="D18" s="830" t="s">
        <v>648</v>
      </c>
      <c r="E18" s="830"/>
      <c r="F18" s="830"/>
      <c r="G18" s="821"/>
      <c r="H18" s="830" t="s">
        <v>649</v>
      </c>
      <c r="I18" s="830"/>
      <c r="J18" s="830"/>
      <c r="K18" s="821"/>
      <c r="L18" s="84"/>
    </row>
    <row r="19" spans="2:12" x14ac:dyDescent="0.3">
      <c r="B19" s="83"/>
      <c r="C19" s="10" t="s">
        <v>650</v>
      </c>
      <c r="D19" s="831" t="s">
        <v>572</v>
      </c>
      <c r="E19" s="832"/>
      <c r="F19" s="832"/>
      <c r="G19" s="832"/>
      <c r="H19" s="832"/>
      <c r="I19" s="832"/>
      <c r="J19" s="832"/>
      <c r="K19" s="833"/>
      <c r="L19" s="84"/>
    </row>
    <row r="20" spans="2:12" x14ac:dyDescent="0.3">
      <c r="B20" s="83"/>
      <c r="C20" s="4" t="s">
        <v>651</v>
      </c>
      <c r="D20" s="827"/>
      <c r="E20" s="828"/>
      <c r="F20" s="828"/>
      <c r="G20" s="828"/>
      <c r="H20" s="828"/>
      <c r="I20" s="828"/>
      <c r="J20" s="828"/>
      <c r="K20" s="829"/>
      <c r="L20" s="84"/>
    </row>
    <row r="21" spans="2:12" x14ac:dyDescent="0.3">
      <c r="B21" s="83"/>
      <c r="C21" s="4" t="s">
        <v>652</v>
      </c>
      <c r="D21" s="827" t="s">
        <v>653</v>
      </c>
      <c r="E21" s="829"/>
      <c r="F21" s="4" t="s">
        <v>654</v>
      </c>
      <c r="G21" s="11" t="s">
        <v>655</v>
      </c>
      <c r="H21" s="4" t="s">
        <v>656</v>
      </c>
      <c r="I21" s="5" t="s">
        <v>657</v>
      </c>
      <c r="J21" s="4" t="s">
        <v>658</v>
      </c>
      <c r="K21" s="6" t="s">
        <v>502</v>
      </c>
      <c r="L21" s="84"/>
    </row>
    <row r="22" spans="2:12" x14ac:dyDescent="0.3">
      <c r="B22" s="83"/>
      <c r="C22" s="4" t="s">
        <v>659</v>
      </c>
      <c r="D22" s="827" t="s">
        <v>571</v>
      </c>
      <c r="E22" s="828"/>
      <c r="F22" s="828"/>
      <c r="G22" s="829"/>
      <c r="H22" s="4" t="s">
        <v>660</v>
      </c>
      <c r="I22" s="827"/>
      <c r="J22" s="828"/>
      <c r="K22" s="829"/>
      <c r="L22" s="84"/>
    </row>
    <row r="23" spans="2:12" x14ac:dyDescent="0.3">
      <c r="B23" s="83"/>
      <c r="C23" s="7" t="s">
        <v>661</v>
      </c>
      <c r="D23" s="824" t="s">
        <v>573</v>
      </c>
      <c r="E23" s="825"/>
      <c r="F23" s="825"/>
      <c r="G23" s="826"/>
      <c r="H23" s="7" t="s">
        <v>662</v>
      </c>
      <c r="I23" s="824" t="s">
        <v>509</v>
      </c>
      <c r="J23" s="825"/>
      <c r="K23" s="826"/>
      <c r="L23" s="84"/>
    </row>
    <row r="24" spans="2:12" ht="6.6" customHeight="1" thickBot="1" x14ac:dyDescent="0.35">
      <c r="B24" s="85"/>
      <c r="C24" s="9"/>
      <c r="D24" s="9"/>
      <c r="E24" s="9"/>
      <c r="F24" s="9"/>
      <c r="G24" s="9"/>
      <c r="H24" s="9"/>
      <c r="I24" s="9"/>
      <c r="J24" s="9"/>
      <c r="K24" s="9"/>
      <c r="L24" s="86"/>
    </row>
    <row r="25" spans="2:12" ht="9.6" customHeight="1" thickBot="1" x14ac:dyDescent="0.35"/>
    <row r="26" spans="2:12" ht="7.95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82"/>
    </row>
    <row r="27" spans="2:12" x14ac:dyDescent="0.3">
      <c r="B27" s="83"/>
      <c r="C27" s="806" t="s">
        <v>647</v>
      </c>
      <c r="D27" s="806"/>
      <c r="E27" s="806"/>
      <c r="F27" s="806"/>
      <c r="G27" s="806"/>
      <c r="H27" s="806"/>
      <c r="I27" s="806"/>
      <c r="J27" s="806"/>
      <c r="K27" s="806"/>
      <c r="L27" s="84"/>
    </row>
    <row r="28" spans="2:12" x14ac:dyDescent="0.3">
      <c r="B28" s="83"/>
      <c r="L28" s="84"/>
    </row>
    <row r="29" spans="2:12" x14ac:dyDescent="0.3">
      <c r="B29" s="83"/>
      <c r="C29" s="3" t="s">
        <v>663</v>
      </c>
      <c r="D29" s="820" t="s">
        <v>664</v>
      </c>
      <c r="E29" s="821"/>
      <c r="F29" s="820" t="s">
        <v>587</v>
      </c>
      <c r="G29" s="821"/>
      <c r="H29" s="822" t="s">
        <v>665</v>
      </c>
      <c r="I29" s="822"/>
      <c r="J29" s="822"/>
      <c r="K29" s="823"/>
      <c r="L29" s="84"/>
    </row>
    <row r="30" spans="2:12" x14ac:dyDescent="0.3">
      <c r="B30" s="83"/>
      <c r="C30" s="12" t="s">
        <v>666</v>
      </c>
      <c r="D30" s="807" t="s">
        <v>667</v>
      </c>
      <c r="E30" s="808"/>
      <c r="F30" s="809" t="s">
        <v>668</v>
      </c>
      <c r="G30" s="810"/>
      <c r="H30" s="13" t="s">
        <v>669</v>
      </c>
      <c r="I30" s="820" t="s">
        <v>670</v>
      </c>
      <c r="J30" s="821"/>
      <c r="K30" s="3" t="s">
        <v>671</v>
      </c>
      <c r="L30" s="84"/>
    </row>
    <row r="31" spans="2:12" x14ac:dyDescent="0.3">
      <c r="B31" s="83"/>
      <c r="C31" s="12" t="s">
        <v>672</v>
      </c>
      <c r="D31" s="807" t="s">
        <v>673</v>
      </c>
      <c r="E31" s="808"/>
      <c r="F31" s="809" t="s">
        <v>668</v>
      </c>
      <c r="G31" s="810"/>
      <c r="H31" s="12" t="s">
        <v>669</v>
      </c>
      <c r="I31" s="811" t="s">
        <v>670</v>
      </c>
      <c r="J31" s="812"/>
      <c r="K31" s="4" t="s">
        <v>671</v>
      </c>
      <c r="L31" s="84"/>
    </row>
    <row r="32" spans="2:12" x14ac:dyDescent="0.3">
      <c r="B32" s="83"/>
      <c r="C32" s="12" t="s">
        <v>674</v>
      </c>
      <c r="D32" s="807" t="s">
        <v>509</v>
      </c>
      <c r="E32" s="808"/>
      <c r="F32" s="809" t="s">
        <v>509</v>
      </c>
      <c r="G32" s="810"/>
      <c r="H32" s="12" t="s">
        <v>669</v>
      </c>
      <c r="I32" s="811" t="s">
        <v>670</v>
      </c>
      <c r="J32" s="812"/>
      <c r="K32" s="4" t="s">
        <v>675</v>
      </c>
      <c r="L32" s="84"/>
    </row>
    <row r="33" spans="2:12" x14ac:dyDescent="0.3">
      <c r="B33" s="83"/>
      <c r="C33" s="14" t="s">
        <v>676</v>
      </c>
      <c r="D33" s="807" t="s">
        <v>509</v>
      </c>
      <c r="E33" s="808"/>
      <c r="F33" s="813" t="s">
        <v>509</v>
      </c>
      <c r="G33" s="814"/>
      <c r="H33" s="12" t="s">
        <v>669</v>
      </c>
      <c r="I33" s="811" t="s">
        <v>670</v>
      </c>
      <c r="J33" s="812"/>
      <c r="K33" s="4" t="s">
        <v>675</v>
      </c>
      <c r="L33" s="84"/>
    </row>
    <row r="34" spans="2:12" x14ac:dyDescent="0.3">
      <c r="B34" s="83"/>
      <c r="C34" s="815" t="s">
        <v>215</v>
      </c>
      <c r="D34" s="816"/>
      <c r="E34" s="817"/>
      <c r="F34" s="818" t="s">
        <v>570</v>
      </c>
      <c r="G34" s="819"/>
      <c r="H34" s="15"/>
      <c r="I34" s="16"/>
      <c r="J34" s="17"/>
      <c r="K34" s="15"/>
      <c r="L34" s="84"/>
    </row>
    <row r="35" spans="2:12" ht="15" thickBot="1" x14ac:dyDescent="0.35">
      <c r="B35" s="85"/>
      <c r="C35" s="9"/>
      <c r="D35" s="9"/>
      <c r="E35" s="9"/>
      <c r="F35" s="9"/>
      <c r="G35" s="9"/>
      <c r="H35" s="9"/>
      <c r="I35" s="9"/>
      <c r="J35" s="9"/>
      <c r="K35" s="9"/>
      <c r="L35" s="86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82"/>
    </row>
    <row r="38" spans="2:12" x14ac:dyDescent="0.3">
      <c r="B38" s="83"/>
      <c r="C38" s="806" t="s">
        <v>677</v>
      </c>
      <c r="D38" s="806"/>
      <c r="E38" s="806"/>
      <c r="F38" s="806"/>
      <c r="G38" s="806"/>
      <c r="H38" s="806"/>
      <c r="I38" s="806"/>
      <c r="J38" s="806"/>
      <c r="K38" s="806"/>
      <c r="L38" s="84"/>
    </row>
    <row r="39" spans="2:12" x14ac:dyDescent="0.3">
      <c r="B39" s="83"/>
      <c r="C39" s="804" t="s">
        <v>509</v>
      </c>
      <c r="D39" s="804"/>
      <c r="E39" s="804"/>
      <c r="F39" s="804"/>
      <c r="G39" s="804"/>
      <c r="H39" s="804"/>
      <c r="I39" s="804"/>
      <c r="J39" s="804"/>
      <c r="K39" s="804"/>
      <c r="L39" s="84"/>
    </row>
    <row r="40" spans="2:12" x14ac:dyDescent="0.3">
      <c r="B40" s="83"/>
      <c r="C40" s="804"/>
      <c r="D40" s="804"/>
      <c r="E40" s="804"/>
      <c r="F40" s="804"/>
      <c r="G40" s="804"/>
      <c r="H40" s="804"/>
      <c r="I40" s="804"/>
      <c r="J40" s="804"/>
      <c r="K40" s="804"/>
      <c r="L40" s="84"/>
    </row>
    <row r="41" spans="2:12" x14ac:dyDescent="0.3">
      <c r="B41" s="83"/>
      <c r="C41" s="804"/>
      <c r="D41" s="804"/>
      <c r="E41" s="804"/>
      <c r="F41" s="804"/>
      <c r="G41" s="804"/>
      <c r="H41" s="804"/>
      <c r="I41" s="804"/>
      <c r="J41" s="804"/>
      <c r="K41" s="804"/>
      <c r="L41" s="84"/>
    </row>
    <row r="42" spans="2:12" x14ac:dyDescent="0.3">
      <c r="B42" s="83"/>
      <c r="C42" s="804"/>
      <c r="D42" s="804"/>
      <c r="E42" s="804"/>
      <c r="F42" s="804"/>
      <c r="G42" s="804"/>
      <c r="H42" s="804"/>
      <c r="I42" s="804"/>
      <c r="J42" s="804"/>
      <c r="K42" s="804"/>
      <c r="L42" s="84"/>
    </row>
    <row r="43" spans="2:12" x14ac:dyDescent="0.3">
      <c r="B43" s="83"/>
      <c r="C43" s="804"/>
      <c r="D43" s="804"/>
      <c r="E43" s="804"/>
      <c r="F43" s="804"/>
      <c r="G43" s="804"/>
      <c r="H43" s="804"/>
      <c r="I43" s="804"/>
      <c r="J43" s="804"/>
      <c r="K43" s="804"/>
      <c r="L43" s="84"/>
    </row>
    <row r="44" spans="2:12" x14ac:dyDescent="0.3">
      <c r="B44" s="83"/>
      <c r="C44" s="804"/>
      <c r="D44" s="804"/>
      <c r="E44" s="804"/>
      <c r="F44" s="804"/>
      <c r="G44" s="804"/>
      <c r="H44" s="804"/>
      <c r="I44" s="804"/>
      <c r="J44" s="804"/>
      <c r="K44" s="804"/>
      <c r="L44" s="84"/>
    </row>
    <row r="45" spans="2:12" x14ac:dyDescent="0.3">
      <c r="B45" s="83"/>
      <c r="C45" s="805"/>
      <c r="D45" s="805"/>
      <c r="E45" s="805"/>
      <c r="F45" s="805"/>
      <c r="G45" s="805"/>
      <c r="H45" s="805"/>
      <c r="I45" s="805"/>
      <c r="J45" s="805"/>
      <c r="K45" s="805"/>
      <c r="L45" s="84"/>
    </row>
    <row r="46" spans="2:12" ht="8.4" customHeight="1" thickBot="1" x14ac:dyDescent="0.35">
      <c r="B46" s="85"/>
      <c r="C46" s="9"/>
      <c r="D46" s="9"/>
      <c r="E46" s="9"/>
      <c r="F46" s="9"/>
      <c r="G46" s="9"/>
      <c r="H46" s="9"/>
      <c r="I46" s="9"/>
      <c r="J46" s="9"/>
      <c r="K46" s="9"/>
      <c r="L46" s="86"/>
    </row>
    <row r="47" spans="2:12" ht="9" customHeight="1" thickBot="1" x14ac:dyDescent="0.35"/>
    <row r="48" spans="2:12" x14ac:dyDescent="0.3">
      <c r="B48" s="801" t="s">
        <v>678</v>
      </c>
      <c r="C48" s="802"/>
      <c r="D48" s="2"/>
      <c r="E48" s="2"/>
      <c r="F48" s="2"/>
      <c r="G48" s="2"/>
      <c r="H48" s="2"/>
      <c r="I48" s="2"/>
      <c r="J48" s="2"/>
      <c r="K48" s="2"/>
      <c r="L48" s="82"/>
    </row>
    <row r="49" spans="2:12" x14ac:dyDescent="0.3">
      <c r="B49" s="83"/>
      <c r="L49" s="84"/>
    </row>
    <row r="50" spans="2:12" x14ac:dyDescent="0.3">
      <c r="B50" s="83"/>
      <c r="C50" s="18"/>
      <c r="L50" s="84"/>
    </row>
    <row r="51" spans="2:12" x14ac:dyDescent="0.3">
      <c r="B51" s="83"/>
      <c r="C51" s="803" t="s">
        <v>500</v>
      </c>
      <c r="D51" s="803"/>
      <c r="E51" s="803"/>
      <c r="F51" s="803"/>
      <c r="H51" s="803" t="s">
        <v>501</v>
      </c>
      <c r="I51" s="803"/>
      <c r="J51" s="803"/>
      <c r="K51" s="803"/>
      <c r="L51" s="84"/>
    </row>
    <row r="52" spans="2:12" ht="15" thickBot="1" x14ac:dyDescent="0.35">
      <c r="B52" s="85"/>
      <c r="C52" s="9"/>
      <c r="D52" s="9"/>
      <c r="E52" s="9"/>
      <c r="F52" s="9"/>
      <c r="G52" s="9"/>
      <c r="H52" s="9"/>
      <c r="I52" s="9"/>
      <c r="J52" s="9"/>
      <c r="K52" s="9"/>
      <c r="L52" s="86"/>
    </row>
  </sheetData>
  <mergeCells count="42">
    <mergeCell ref="D10:K10"/>
    <mergeCell ref="B2:L2"/>
    <mergeCell ref="B3:L3"/>
    <mergeCell ref="C6:K6"/>
    <mergeCell ref="D8:K8"/>
    <mergeCell ref="D9:K9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C27:K27"/>
    <mergeCell ref="D29:E29"/>
    <mergeCell ref="F29:G29"/>
    <mergeCell ref="H29:K29"/>
    <mergeCell ref="D30:E30"/>
    <mergeCell ref="F30:G30"/>
    <mergeCell ref="I30:J30"/>
    <mergeCell ref="D33:E33"/>
    <mergeCell ref="F33:G33"/>
    <mergeCell ref="I33:J33"/>
    <mergeCell ref="C34:E34"/>
    <mergeCell ref="F34:G34"/>
    <mergeCell ref="D31:E31"/>
    <mergeCell ref="F31:G31"/>
    <mergeCell ref="I31:J31"/>
    <mergeCell ref="D32:E32"/>
    <mergeCell ref="F32:G32"/>
    <mergeCell ref="I32:J32"/>
    <mergeCell ref="B48:C48"/>
    <mergeCell ref="C51:F51"/>
    <mergeCell ref="H51:K51"/>
    <mergeCell ref="C39:K45"/>
    <mergeCell ref="C38:K38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88C4C5C67B1C40A7414AD25E2D3AE6" ma:contentTypeVersion="13" ma:contentTypeDescription="Crie um novo documento." ma:contentTypeScope="" ma:versionID="1b5178e88f018b74586964b6babab4f8">
  <xsd:schema xmlns:xsd="http://www.w3.org/2001/XMLSchema" xmlns:xs="http://www.w3.org/2001/XMLSchema" xmlns:p="http://schemas.microsoft.com/office/2006/metadata/properties" xmlns:ns2="29a79990-ee87-4241-abc6-9e01ab9b2464" xmlns:ns3="8f4bf414-7d56-47ef-876f-a064b6139123" targetNamespace="http://schemas.microsoft.com/office/2006/metadata/properties" ma:root="true" ma:fieldsID="266d05339a4efad8584a7b69e9357b72" ns2:_="" ns3:_="">
    <xsd:import namespace="29a79990-ee87-4241-abc6-9e01ab9b2464"/>
    <xsd:import namespace="8f4bf414-7d56-47ef-876f-a064b61391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79990-ee87-4241-abc6-9e01ab9b24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5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dd800daa-7c7e-4072-b01c-3023f6f7af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4bf414-7d56-47ef-876f-a064b613912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689cacdc-4c80-4a01-81af-803e241e380a}" ma:internalName="TaxCatchAll" ma:showField="CatchAllData" ma:web="8f4bf414-7d56-47ef-876f-a064b61391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f4bf414-7d56-47ef-876f-a064b6139123" xsi:nil="true"/>
    <lcf76f155ced4ddcb4097134ff3c332f xmlns="29a79990-ee87-4241-abc6-9e01ab9b246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E794EC55-6B09-4105-A37B-437DC1173B4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AE5A941-7157-4F8A-9E51-8A82DFC396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a79990-ee87-4241-abc6-9e01ab9b2464"/>
    <ds:schemaRef ds:uri="8f4bf414-7d56-47ef-876f-a064b61391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E630B420-0419-4E92-8B4E-5D38E35439D8}">
  <ds:schemaRefs>
    <ds:schemaRef ds:uri="http://schemas.microsoft.com/office/2006/metadata/properties"/>
    <ds:schemaRef ds:uri="http://schemas.microsoft.com/office/infopath/2007/PartnerControls"/>
    <ds:schemaRef ds:uri="8f4bf414-7d56-47ef-876f-a064b6139123"/>
    <ds:schemaRef ds:uri="29a79990-ee87-4241-abc6-9e01ab9b246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15</vt:i4>
      </vt:variant>
    </vt:vector>
  </HeadingPairs>
  <TitlesOfParts>
    <vt:vector size="26" baseType="lpstr">
      <vt:lpstr>RESUMO</vt:lpstr>
      <vt:lpstr>PRINCIPAL</vt:lpstr>
      <vt:lpstr>TALKSHOW</vt:lpstr>
      <vt:lpstr>INTERNET</vt:lpstr>
      <vt:lpstr>EXTRA</vt:lpstr>
      <vt:lpstr>CUSTOS OP.</vt:lpstr>
      <vt:lpstr>TOTAL</vt:lpstr>
      <vt:lpstr>Solicitações de Pagamento</vt:lpstr>
      <vt:lpstr>Planilha1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Rafael QdS</dc:creator>
  <cp:keywords/>
  <dc:description/>
  <cp:lastModifiedBy>Bruno Silva</cp:lastModifiedBy>
  <cp:revision/>
  <cp:lastPrinted>2026-04-24T20:02:14Z</cp:lastPrinted>
  <dcterms:created xsi:type="dcterms:W3CDTF">2023-09-21T21:02:20Z</dcterms:created>
  <dcterms:modified xsi:type="dcterms:W3CDTF">2026-06-26T20:02:59Z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0x010100F388C4C5C67B1C40A7414AD25E2D3AE6</vt:lpwstr>
  </property>
  <property fmtid="{D5CDD505-2E9C-101B-9397-08002B2CF9AE}" pid="3" name="MediaServiceImageTags">
    <vt:lpwstr/>
  </property>
</Properties>
</file>