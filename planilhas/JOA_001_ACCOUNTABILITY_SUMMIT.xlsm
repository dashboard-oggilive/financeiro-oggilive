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5 maio\"/>
    </mc:Choice>
  </mc:AlternateContent>
  <xr:revisionPtr revIDLastSave="0" documentId="13_ncr:1_{5C483E31-4176-41DD-A946-ADC6142CB89A}" xr6:coauthVersionLast="47" xr6:coauthVersionMax="47" xr10:uidLastSave="{00000000-0000-0000-0000-000000000000}"/>
  <bookViews>
    <workbookView xWindow="-108" yWindow="-108" windowWidth="23256" windowHeight="12456" tabRatio="822" firstSheet="1" activeTab="1" xr2:uid="{83D4A4F0-59AC-45D6-BDA2-9A1B100CD857}"/>
  </bookViews>
  <sheets>
    <sheet name="PRINCIPAL" sheetId="88" state="hidden" r:id="rId1"/>
    <sheet name="RESUMO" sheetId="91" r:id="rId2"/>
    <sheet name="PRINCIPAL." sheetId="89" r:id="rId3"/>
    <sheet name="Tradução Simultânea" sheetId="90" r:id="rId4"/>
    <sheet name="CUSTOS OP." sheetId="92" r:id="rId5"/>
    <sheet name="Solicitações de Pagamento" sheetId="4" r:id="rId6"/>
    <sheet name="ItensOrc" sheetId="76" state="hidden" r:id="rId7"/>
    <sheet name="Template SP" sheetId="3" state="hidden" r:id="rId8"/>
  </sheets>
  <definedNames>
    <definedName name="_xlnm._FilterDatabase" localSheetId="0" hidden="1">PRINCIPAL!#REF!</definedName>
    <definedName name="_xlnm._FilterDatabase" localSheetId="2" hidden="1">PRINCIPAL.!$A$17:$EF$17</definedName>
    <definedName name="_xlnm._FilterDatabase" localSheetId="3" hidden="1">'Tradução Simultânea'!$I$1:$I$21</definedName>
    <definedName name="_xleta.N" hidden="1" xlm="1">#NAME?</definedName>
    <definedName name="_xleta.SUM" hidden="1" xlm="1">#NAME?</definedName>
    <definedName name="itensorc_desconto" localSheetId="6">ItensOrc!$M:$M</definedName>
    <definedName name="itensorc_desconto">#REF!</definedName>
    <definedName name="itensorc_descricao" localSheetId="6">ItensOrc!$D:$D</definedName>
    <definedName name="itensorc_descricao">#REF!</definedName>
    <definedName name="itensorc_encargos" localSheetId="6">ItensOrc!$N:$N</definedName>
    <definedName name="itensorc_encargos">#REF!</definedName>
    <definedName name="itensorc_especifica" localSheetId="6">ItensOrc!$O:$O</definedName>
    <definedName name="itensorc_especifica">#REF!</definedName>
    <definedName name="itensorc_item" localSheetId="6">ItensOrc!$C:$C</definedName>
    <definedName name="itensorc_item">#REF!</definedName>
    <definedName name="itensorc_lancamento" localSheetId="6">ItensOrc!$B:$B</definedName>
    <definedName name="itensorc_lancamento">#REF!</definedName>
    <definedName name="itensorc_percentualhonorarios" localSheetId="6">ItensOrc!$L:$L</definedName>
    <definedName name="itensorc_percentualhonorarios">#REF!</definedName>
    <definedName name="itensorc_quantidade" localSheetId="6">ItensOrc!$E:$E</definedName>
    <definedName name="itensorc_quantidade">#REF!</definedName>
    <definedName name="itensorc_situacao" localSheetId="6">ItensOrc!$H:$H</definedName>
    <definedName name="itensorc_situacao">#REF!</definedName>
    <definedName name="itensorc_subtipo" localSheetId="6">ItensOrc!$K:$K</definedName>
    <definedName name="itensorc_subtipo">#REF!</definedName>
    <definedName name="itensorc_tiporeceita" localSheetId="6">ItensOrc!$A:$A</definedName>
    <definedName name="itensorc_tiporeceita">#REF!</definedName>
    <definedName name="itensorc_valor" localSheetId="6">ItensOrc!$G:$G</definedName>
    <definedName name="itensorc_valor">#REF!</definedName>
    <definedName name="itensorc_valorfornecedor" localSheetId="6">ItensOrc!$I:$I</definedName>
    <definedName name="itensorc_valorfornecedor">#REF!</definedName>
    <definedName name="itensorc_valorfornecedorunitario" localSheetId="6">ItensOrc!$J:$J</definedName>
    <definedName name="itensorc_valorfornecedorunitario">#REF!</definedName>
    <definedName name="itensorc_valorunitario" localSheetId="6">ItensOrc!$F:$F</definedName>
    <definedName name="itensorc_valorunitari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91" l="1"/>
  <c r="D21" i="91"/>
  <c r="C22" i="91"/>
  <c r="C21" i="91"/>
  <c r="AO25" i="90"/>
  <c r="AO23" i="90"/>
  <c r="K24" i="90"/>
  <c r="EE77" i="89"/>
  <c r="EF73" i="89"/>
  <c r="EE75" i="89"/>
  <c r="AO24" i="90"/>
  <c r="AO26" i="90" s="1"/>
  <c r="AP18" i="90"/>
  <c r="EE76" i="89"/>
  <c r="E21" i="91" s="1"/>
  <c r="E22" i="91" l="1"/>
  <c r="F22" i="91" s="1"/>
  <c r="E23" i="91" l="1"/>
  <c r="U73" i="89"/>
  <c r="V73" i="89"/>
  <c r="W73" i="89"/>
  <c r="X73" i="89"/>
  <c r="T73" i="89"/>
  <c r="EF65" i="89"/>
  <c r="F16" i="92"/>
  <c r="EF53" i="89"/>
  <c r="EF64" i="89"/>
  <c r="EF35" i="89"/>
  <c r="EF59" i="89"/>
  <c r="EF45" i="89"/>
  <c r="EF48" i="89"/>
  <c r="F10" i="92"/>
  <c r="AP21" i="90" l="1"/>
  <c r="E3" i="91"/>
  <c r="S64" i="89" l="1"/>
  <c r="S48" i="89"/>
  <c r="S33" i="89"/>
  <c r="S70" i="89"/>
  <c r="S53" i="89" l="1"/>
  <c r="S35" i="89" l="1"/>
  <c r="S71" i="89"/>
  <c r="Q71" i="89"/>
  <c r="K71" i="89"/>
  <c r="L71" i="89" s="1"/>
  <c r="R70" i="89"/>
  <c r="Q70" i="89"/>
  <c r="V70" i="89" s="1"/>
  <c r="K70" i="89"/>
  <c r="R69" i="89"/>
  <c r="Q69" i="89"/>
  <c r="K69" i="89"/>
  <c r="Q68" i="89"/>
  <c r="Q67" i="89"/>
  <c r="R19" i="90"/>
  <c r="Q19" i="90"/>
  <c r="V19" i="90" s="1"/>
  <c r="K19" i="90"/>
  <c r="R18" i="90"/>
  <c r="Q18" i="90"/>
  <c r="V18" i="90" s="1"/>
  <c r="K18" i="90"/>
  <c r="Q17" i="90"/>
  <c r="Q16" i="90"/>
  <c r="Q15" i="90"/>
  <c r="AA12" i="90"/>
  <c r="M10" i="90"/>
  <c r="U70" i="89" l="1"/>
  <c r="Z70" i="89" s="1"/>
  <c r="U71" i="89"/>
  <c r="Z71" i="89" s="1"/>
  <c r="M71" i="89"/>
  <c r="N71" i="89" s="1"/>
  <c r="L70" i="89"/>
  <c r="M70" i="89" s="1"/>
  <c r="N70" i="89" s="1"/>
  <c r="T69" i="89"/>
  <c r="V69" i="89"/>
  <c r="L69" i="89"/>
  <c r="K72" i="89"/>
  <c r="V71" i="89"/>
  <c r="K20" i="90"/>
  <c r="K21" i="90"/>
  <c r="L18" i="90"/>
  <c r="M18" i="90" s="1"/>
  <c r="N18" i="90" s="1"/>
  <c r="L19" i="90"/>
  <c r="U18" i="90"/>
  <c r="Z18" i="90" s="1"/>
  <c r="R37" i="89"/>
  <c r="Q37" i="89"/>
  <c r="K37" i="89"/>
  <c r="W71" i="89" l="1"/>
  <c r="X71" i="89" s="1"/>
  <c r="EE71" i="89" s="1"/>
  <c r="T72" i="89"/>
  <c r="L37" i="89"/>
  <c r="W70" i="89"/>
  <c r="X70" i="89" s="1"/>
  <c r="U69" i="89"/>
  <c r="L72" i="89"/>
  <c r="M69" i="89"/>
  <c r="U19" i="90"/>
  <c r="W19" i="90" s="1"/>
  <c r="X19" i="90" s="1"/>
  <c r="AO19" i="90" s="1"/>
  <c r="T21" i="90"/>
  <c r="T20" i="90"/>
  <c r="M19" i="90"/>
  <c r="N19" i="90" s="1"/>
  <c r="L21" i="90"/>
  <c r="L20" i="90"/>
  <c r="W18" i="90"/>
  <c r="X18" i="90" s="1"/>
  <c r="T37" i="89"/>
  <c r="V37" i="89"/>
  <c r="R34" i="89"/>
  <c r="Q34" i="89"/>
  <c r="K34" i="89"/>
  <c r="L34" i="89" s="1"/>
  <c r="Y18" i="90" l="1"/>
  <c r="AO18" i="90"/>
  <c r="AO21" i="90" s="1"/>
  <c r="U20" i="90"/>
  <c r="U21" i="90"/>
  <c r="Z19" i="90"/>
  <c r="Y71" i="89"/>
  <c r="Y70" i="89"/>
  <c r="EE70" i="89"/>
  <c r="T34" i="89"/>
  <c r="M72" i="89"/>
  <c r="M37" i="89"/>
  <c r="U72" i="89"/>
  <c r="Z69" i="89"/>
  <c r="W69" i="89"/>
  <c r="X69" i="89" s="1"/>
  <c r="EE69" i="89" s="1"/>
  <c r="N69" i="89"/>
  <c r="N72" i="89" s="1"/>
  <c r="U37" i="89"/>
  <c r="Y19" i="90"/>
  <c r="Y21" i="90"/>
  <c r="N21" i="90"/>
  <c r="N20" i="90"/>
  <c r="X20" i="90"/>
  <c r="X21" i="90"/>
  <c r="M21" i="90"/>
  <c r="M20" i="90"/>
  <c r="V34" i="89"/>
  <c r="U34" i="89"/>
  <c r="M34" i="89"/>
  <c r="N34" i="89" s="1"/>
  <c r="W37" i="89" l="1"/>
  <c r="X37" i="89" s="1"/>
  <c r="EE37" i="89" s="1"/>
  <c r="N37" i="89"/>
  <c r="X72" i="89"/>
  <c r="Y72" i="89" s="1"/>
  <c r="Y69" i="89"/>
  <c r="Z37" i="89"/>
  <c r="Y20" i="90"/>
  <c r="W34" i="89"/>
  <c r="X34" i="89" s="1"/>
  <c r="Z34" i="89"/>
  <c r="Y34" i="89" l="1"/>
  <c r="EE34" i="89"/>
  <c r="Y37" i="89"/>
  <c r="Z21" i="90"/>
  <c r="AA21" i="90" s="1"/>
  <c r="R93" i="88"/>
  <c r="Q93" i="88"/>
  <c r="K93" i="88"/>
  <c r="R60" i="89"/>
  <c r="Q60" i="89"/>
  <c r="K60" i="89"/>
  <c r="K45" i="89"/>
  <c r="L45" i="89" s="1"/>
  <c r="Q45" i="89"/>
  <c r="V45" i="89" s="1"/>
  <c r="R45" i="89"/>
  <c r="Q36" i="89"/>
  <c r="R38" i="89"/>
  <c r="Q38" i="89"/>
  <c r="R54" i="89"/>
  <c r="Q54" i="89"/>
  <c r="R64" i="89"/>
  <c r="Q64" i="89"/>
  <c r="K64" i="89"/>
  <c r="R65" i="89"/>
  <c r="Q65" i="89"/>
  <c r="K65" i="89"/>
  <c r="V63" i="89"/>
  <c r="K63" i="89"/>
  <c r="L63" i="89" s="1"/>
  <c r="V62" i="89"/>
  <c r="K62" i="89"/>
  <c r="R61" i="89"/>
  <c r="Q61" i="89"/>
  <c r="K61" i="89"/>
  <c r="R59" i="89"/>
  <c r="Q59" i="89"/>
  <c r="K59" i="89"/>
  <c r="R58" i="89"/>
  <c r="Q58" i="89"/>
  <c r="V58" i="89" s="1"/>
  <c r="K58" i="89"/>
  <c r="Q57" i="89"/>
  <c r="K36" i="89"/>
  <c r="K38" i="89"/>
  <c r="L38" i="89" s="1"/>
  <c r="K54" i="89"/>
  <c r="R53" i="89"/>
  <c r="Q53" i="89"/>
  <c r="V53" i="89" s="1"/>
  <c r="K53" i="89"/>
  <c r="R52" i="89"/>
  <c r="Q52" i="89"/>
  <c r="K52" i="89"/>
  <c r="Q51" i="89"/>
  <c r="Q50" i="89"/>
  <c r="R47" i="89"/>
  <c r="V47" i="89"/>
  <c r="K47" i="89"/>
  <c r="V48" i="89"/>
  <c r="K48" i="89"/>
  <c r="R46" i="89"/>
  <c r="K46" i="89"/>
  <c r="Q44" i="89"/>
  <c r="Q43" i="89"/>
  <c r="R40" i="89"/>
  <c r="Q40" i="89"/>
  <c r="K40" i="89"/>
  <c r="L40" i="89" s="1"/>
  <c r="M40" i="89" s="1"/>
  <c r="R39" i="89"/>
  <c r="Q39" i="89"/>
  <c r="K39" i="89"/>
  <c r="R41" i="89"/>
  <c r="Q41" i="89"/>
  <c r="K41" i="89"/>
  <c r="R35" i="89"/>
  <c r="K35" i="89"/>
  <c r="R33" i="89"/>
  <c r="K33" i="89"/>
  <c r="R32" i="89"/>
  <c r="K32" i="89"/>
  <c r="Q31" i="89"/>
  <c r="Q30" i="89"/>
  <c r="R28" i="89"/>
  <c r="Q28" i="89"/>
  <c r="V28" i="89" s="1"/>
  <c r="K28" i="89"/>
  <c r="L28" i="89" s="1"/>
  <c r="M28" i="89" s="1"/>
  <c r="R27" i="89"/>
  <c r="Q27" i="89"/>
  <c r="K27" i="89"/>
  <c r="Q26" i="89"/>
  <c r="Q25" i="89"/>
  <c r="V23" i="89"/>
  <c r="T23" i="89"/>
  <c r="K23" i="89"/>
  <c r="R22" i="89"/>
  <c r="Q22" i="89"/>
  <c r="K22" i="89"/>
  <c r="L22" i="89" s="1"/>
  <c r="R21" i="89"/>
  <c r="Q21" i="89"/>
  <c r="V21" i="89" s="1"/>
  <c r="K21" i="89"/>
  <c r="L21" i="89" s="1"/>
  <c r="V20" i="89"/>
  <c r="K20" i="89"/>
  <c r="V19" i="89"/>
  <c r="K19" i="89"/>
  <c r="L19" i="89" s="1"/>
  <c r="M19" i="89" s="1"/>
  <c r="V18" i="89"/>
  <c r="K18" i="89"/>
  <c r="R17" i="89"/>
  <c r="Q17" i="89"/>
  <c r="K17" i="89"/>
  <c r="Q16" i="89"/>
  <c r="Q15" i="89"/>
  <c r="AA12" i="89"/>
  <c r="M10" i="89"/>
  <c r="R47" i="88"/>
  <c r="Q47" i="88"/>
  <c r="V47" i="88" s="1"/>
  <c r="K47" i="88"/>
  <c r="Q71" i="88"/>
  <c r="K71" i="88"/>
  <c r="R70" i="88"/>
  <c r="Q70" i="88"/>
  <c r="K70" i="88"/>
  <c r="R46" i="88"/>
  <c r="Q46" i="88"/>
  <c r="V46" i="88" s="1"/>
  <c r="K46" i="88"/>
  <c r="R108" i="88"/>
  <c r="Q108" i="88"/>
  <c r="K108" i="88"/>
  <c r="R57" i="88"/>
  <c r="Q57" i="88"/>
  <c r="V57" i="88" s="1"/>
  <c r="K57" i="88"/>
  <c r="R56" i="88"/>
  <c r="Q56" i="88"/>
  <c r="K56" i="88"/>
  <c r="R55" i="88"/>
  <c r="Q55" i="88"/>
  <c r="V55" i="88" s="1"/>
  <c r="K55" i="88"/>
  <c r="R42" i="88"/>
  <c r="Q42" i="88"/>
  <c r="V42" i="88" s="1"/>
  <c r="K42" i="88"/>
  <c r="R41" i="88"/>
  <c r="Q41" i="88"/>
  <c r="V41" i="88" s="1"/>
  <c r="K41" i="88"/>
  <c r="L41" i="88" s="1"/>
  <c r="R69" i="88"/>
  <c r="Q69" i="88"/>
  <c r="K69" i="88"/>
  <c r="L69" i="88" s="1"/>
  <c r="R54" i="88"/>
  <c r="Q54" i="88"/>
  <c r="K54" i="88"/>
  <c r="L54" i="88" s="1"/>
  <c r="R53" i="88"/>
  <c r="Q53" i="88"/>
  <c r="V53" i="88" s="1"/>
  <c r="K53" i="88"/>
  <c r="R52" i="88"/>
  <c r="Q52" i="88"/>
  <c r="K52" i="88"/>
  <c r="R51" i="88"/>
  <c r="Q51" i="88"/>
  <c r="K51" i="88"/>
  <c r="Q50" i="88"/>
  <c r="Q49" i="88"/>
  <c r="R65" i="88"/>
  <c r="Q65" i="88"/>
  <c r="K65" i="88"/>
  <c r="R64" i="88"/>
  <c r="Q64" i="88"/>
  <c r="K64" i="88"/>
  <c r="R63" i="88"/>
  <c r="Q63" i="88"/>
  <c r="K63" i="88"/>
  <c r="L63" i="88" s="1"/>
  <c r="R68" i="88"/>
  <c r="Q68" i="88"/>
  <c r="K68" i="88"/>
  <c r="L68" i="88" s="1"/>
  <c r="R67" i="88"/>
  <c r="Q67" i="88"/>
  <c r="K67" i="88"/>
  <c r="R45" i="88"/>
  <c r="Q45" i="88"/>
  <c r="K45" i="88"/>
  <c r="R44" i="88"/>
  <c r="Q44" i="88"/>
  <c r="K44" i="88"/>
  <c r="K29" i="89" l="1"/>
  <c r="K24" i="89"/>
  <c r="K55" i="89"/>
  <c r="L58" i="89"/>
  <c r="M58" i="89" s="1"/>
  <c r="K66" i="89"/>
  <c r="L33" i="89"/>
  <c r="K42" i="89"/>
  <c r="K73" i="89"/>
  <c r="K49" i="89"/>
  <c r="L17" i="89"/>
  <c r="L36" i="89"/>
  <c r="L93" i="88"/>
  <c r="T93" i="88"/>
  <c r="U93" i="88" s="1"/>
  <c r="V93" i="88"/>
  <c r="T60" i="89"/>
  <c r="U60" i="89" s="1"/>
  <c r="V60" i="89"/>
  <c r="L60" i="89"/>
  <c r="M45" i="89"/>
  <c r="N45" i="89" s="1"/>
  <c r="U45" i="89"/>
  <c r="T70" i="88"/>
  <c r="U70" i="88" s="1"/>
  <c r="T71" i="88"/>
  <c r="U71" i="88" s="1"/>
  <c r="Z71" i="88" s="1"/>
  <c r="T108" i="88"/>
  <c r="U108" i="88" s="1"/>
  <c r="Z108" i="88" s="1"/>
  <c r="K58" i="88"/>
  <c r="T47" i="88"/>
  <c r="U47" i="88" s="1"/>
  <c r="W47" i="88" s="1"/>
  <c r="X47" i="88" s="1"/>
  <c r="T59" i="89"/>
  <c r="U59" i="89" s="1"/>
  <c r="Z59" i="89" s="1"/>
  <c r="U65" i="89"/>
  <c r="Z65" i="89" s="1"/>
  <c r="U64" i="89"/>
  <c r="Z64" i="89" s="1"/>
  <c r="U18" i="89"/>
  <c r="U47" i="89"/>
  <c r="U63" i="89"/>
  <c r="Z63" i="89" s="1"/>
  <c r="L20" i="89"/>
  <c r="M20" i="89" s="1"/>
  <c r="N20" i="89" s="1"/>
  <c r="V46" i="89"/>
  <c r="L65" i="89"/>
  <c r="M65" i="89" s="1"/>
  <c r="N65" i="89" s="1"/>
  <c r="V17" i="89"/>
  <c r="L48" i="89"/>
  <c r="T36" i="89"/>
  <c r="U62" i="89"/>
  <c r="Z62" i="89" s="1"/>
  <c r="V33" i="89"/>
  <c r="T41" i="89"/>
  <c r="M38" i="89"/>
  <c r="N38" i="89" s="1"/>
  <c r="V36" i="89"/>
  <c r="T54" i="89"/>
  <c r="U21" i="89"/>
  <c r="L64" i="89"/>
  <c r="M64" i="89" s="1"/>
  <c r="N64" i="89" s="1"/>
  <c r="T27" i="89"/>
  <c r="L46" i="89"/>
  <c r="M46" i="89" s="1"/>
  <c r="N46" i="89" s="1"/>
  <c r="L53" i="89"/>
  <c r="V38" i="89"/>
  <c r="M22" i="89"/>
  <c r="N22" i="89" s="1"/>
  <c r="L62" i="89"/>
  <c r="M21" i="89"/>
  <c r="N21" i="89" s="1"/>
  <c r="V22" i="89"/>
  <c r="T22" i="89"/>
  <c r="V32" i="89"/>
  <c r="L35" i="89"/>
  <c r="M35" i="89" s="1"/>
  <c r="N35" i="89" s="1"/>
  <c r="V40" i="89"/>
  <c r="M63" i="89"/>
  <c r="N63" i="89" s="1"/>
  <c r="N40" i="89"/>
  <c r="L47" i="89"/>
  <c r="V61" i="89"/>
  <c r="T61" i="89"/>
  <c r="V39" i="89"/>
  <c r="U20" i="89"/>
  <c r="N19" i="89"/>
  <c r="U23" i="89"/>
  <c r="N28" i="89"/>
  <c r="T39" i="89"/>
  <c r="L23" i="89"/>
  <c r="M23" i="89" s="1"/>
  <c r="U19" i="89"/>
  <c r="T28" i="89"/>
  <c r="L59" i="89"/>
  <c r="V65" i="89"/>
  <c r="V27" i="89"/>
  <c r="V41" i="89"/>
  <c r="V52" i="89"/>
  <c r="V54" i="89"/>
  <c r="L61" i="89"/>
  <c r="M61" i="89" s="1"/>
  <c r="V64" i="89"/>
  <c r="T58" i="89"/>
  <c r="L27" i="89"/>
  <c r="L29" i="89" s="1"/>
  <c r="V35" i="89"/>
  <c r="L41" i="89"/>
  <c r="M41" i="89" s="1"/>
  <c r="N41" i="89" s="1"/>
  <c r="L52" i="89"/>
  <c r="L54" i="89"/>
  <c r="V59" i="89"/>
  <c r="L18" i="89"/>
  <c r="L39" i="89"/>
  <c r="L32" i="89"/>
  <c r="L47" i="88"/>
  <c r="V71" i="88"/>
  <c r="V70" i="88"/>
  <c r="T46" i="88"/>
  <c r="U46" i="88" s="1"/>
  <c r="L71" i="88"/>
  <c r="L70" i="88"/>
  <c r="V108" i="88"/>
  <c r="L46" i="88"/>
  <c r="T55" i="88"/>
  <c r="L108" i="88"/>
  <c r="T57" i="88"/>
  <c r="U57" i="88" s="1"/>
  <c r="T56" i="88"/>
  <c r="U56" i="88" s="1"/>
  <c r="V56" i="88"/>
  <c r="L57" i="88"/>
  <c r="L56" i="88"/>
  <c r="M56" i="88" s="1"/>
  <c r="N56" i="88" s="1"/>
  <c r="L55" i="88"/>
  <c r="T41" i="88"/>
  <c r="U41" i="88" s="1"/>
  <c r="Z41" i="88" s="1"/>
  <c r="T42" i="88"/>
  <c r="U42" i="88" s="1"/>
  <c r="Z42" i="88" s="1"/>
  <c r="L42" i="88"/>
  <c r="M41" i="88"/>
  <c r="N41" i="88" s="1"/>
  <c r="T69" i="88"/>
  <c r="U69" i="88" s="1"/>
  <c r="V69" i="88"/>
  <c r="M69" i="88"/>
  <c r="N69" i="88" s="1"/>
  <c r="T53" i="88"/>
  <c r="U53" i="88" s="1"/>
  <c r="W53" i="88" s="1"/>
  <c r="X53" i="88" s="1"/>
  <c r="M54" i="88"/>
  <c r="L53" i="88"/>
  <c r="M53" i="88" s="1"/>
  <c r="L52" i="88"/>
  <c r="L51" i="88"/>
  <c r="T54" i="88"/>
  <c r="V54" i="88"/>
  <c r="T52" i="88"/>
  <c r="U52" i="88" s="1"/>
  <c r="V52" i="88"/>
  <c r="T51" i="88"/>
  <c r="V51" i="88"/>
  <c r="L65" i="88"/>
  <c r="T65" i="88"/>
  <c r="V65" i="88"/>
  <c r="T67" i="88"/>
  <c r="L64" i="88"/>
  <c r="M64" i="88" s="1"/>
  <c r="M63" i="88"/>
  <c r="N63" i="88" s="1"/>
  <c r="T64" i="88"/>
  <c r="U64" i="88" s="1"/>
  <c r="Z64" i="88" s="1"/>
  <c r="V64" i="88"/>
  <c r="T63" i="88"/>
  <c r="V63" i="88"/>
  <c r="V68" i="88"/>
  <c r="T68" i="88"/>
  <c r="M68" i="88"/>
  <c r="V67" i="88"/>
  <c r="L67" i="88"/>
  <c r="M67" i="88" s="1"/>
  <c r="L45" i="88"/>
  <c r="T45" i="88"/>
  <c r="U45" i="88" s="1"/>
  <c r="Z45" i="88" s="1"/>
  <c r="V45" i="88"/>
  <c r="L44" i="88"/>
  <c r="T44" i="88"/>
  <c r="U44" i="88" s="1"/>
  <c r="Z44" i="88" s="1"/>
  <c r="V44" i="88"/>
  <c r="K28" i="88"/>
  <c r="T28" i="88"/>
  <c r="V28" i="88"/>
  <c r="T24" i="89" l="1"/>
  <c r="AA21" i="89" s="1"/>
  <c r="M17" i="89"/>
  <c r="L24" i="89"/>
  <c r="T66" i="89"/>
  <c r="AA58" i="89" s="1"/>
  <c r="L42" i="89"/>
  <c r="T29" i="89"/>
  <c r="AA27" i="89" s="1"/>
  <c r="L66" i="89"/>
  <c r="U53" i="89"/>
  <c r="Z53" i="89" s="1"/>
  <c r="T55" i="89"/>
  <c r="M53" i="89"/>
  <c r="L55" i="89"/>
  <c r="M33" i="89"/>
  <c r="T42" i="89"/>
  <c r="AA36" i="89" s="1"/>
  <c r="N33" i="89"/>
  <c r="M48" i="89"/>
  <c r="L73" i="89"/>
  <c r="K76" i="89" s="1"/>
  <c r="L49" i="89"/>
  <c r="U48" i="89"/>
  <c r="T49" i="89"/>
  <c r="U41" i="89"/>
  <c r="Z41" i="89" s="1"/>
  <c r="U33" i="89"/>
  <c r="U35" i="89"/>
  <c r="Z35" i="89" s="1"/>
  <c r="U38" i="89"/>
  <c r="Z38" i="89" s="1"/>
  <c r="U40" i="89"/>
  <c r="Z40" i="89" s="1"/>
  <c r="U39" i="89"/>
  <c r="Z39" i="89" s="1"/>
  <c r="U61" i="89"/>
  <c r="Z61" i="89" s="1"/>
  <c r="U54" i="89"/>
  <c r="Z54" i="89" s="1"/>
  <c r="U46" i="89"/>
  <c r="Z46" i="89" s="1"/>
  <c r="M47" i="89"/>
  <c r="Z47" i="89"/>
  <c r="U36" i="89"/>
  <c r="Z36" i="89" s="1"/>
  <c r="M36" i="89"/>
  <c r="M54" i="89"/>
  <c r="N54" i="89" s="1"/>
  <c r="U52" i="89"/>
  <c r="W52" i="89" s="1"/>
  <c r="X52" i="89" s="1"/>
  <c r="EE52" i="89" s="1"/>
  <c r="Z93" i="88"/>
  <c r="W93" i="88"/>
  <c r="X93" i="88" s="1"/>
  <c r="M93" i="88"/>
  <c r="N93" i="88" s="1"/>
  <c r="W60" i="89"/>
  <c r="X60" i="89" s="1"/>
  <c r="EE60" i="89" s="1"/>
  <c r="Z60" i="89"/>
  <c r="M60" i="89"/>
  <c r="N60" i="89" s="1"/>
  <c r="W45" i="89"/>
  <c r="X45" i="89" s="1"/>
  <c r="Z45" i="89"/>
  <c r="W71" i="88"/>
  <c r="X71" i="88" s="1"/>
  <c r="Z70" i="88"/>
  <c r="W70" i="88"/>
  <c r="X70" i="88" s="1"/>
  <c r="Z69" i="88"/>
  <c r="W69" i="88"/>
  <c r="X69" i="88" s="1"/>
  <c r="Y69" i="88" s="1"/>
  <c r="N68" i="88"/>
  <c r="M55" i="88"/>
  <c r="L58" i="88"/>
  <c r="U55" i="88"/>
  <c r="W55" i="88" s="1"/>
  <c r="X55" i="88" s="1"/>
  <c r="T58" i="88"/>
  <c r="AA53" i="88" s="1"/>
  <c r="W46" i="88"/>
  <c r="X46" i="88" s="1"/>
  <c r="Z46" i="88"/>
  <c r="Z47" i="88"/>
  <c r="Z18" i="89"/>
  <c r="N58" i="89"/>
  <c r="N17" i="89"/>
  <c r="U17" i="89"/>
  <c r="U27" i="89"/>
  <c r="U58" i="89"/>
  <c r="W18" i="89"/>
  <c r="X18" i="89" s="1"/>
  <c r="EE18" i="89" s="1"/>
  <c r="W59" i="89"/>
  <c r="X59" i="89" s="1"/>
  <c r="EE59" i="89" s="1"/>
  <c r="W63" i="89"/>
  <c r="X63" i="89" s="1"/>
  <c r="M27" i="89"/>
  <c r="M29" i="89" s="1"/>
  <c r="W65" i="89"/>
  <c r="X65" i="89" s="1"/>
  <c r="N61" i="89"/>
  <c r="W47" i="89"/>
  <c r="X47" i="89" s="1"/>
  <c r="EE47" i="89" s="1"/>
  <c r="U28" i="89"/>
  <c r="N23" i="89"/>
  <c r="W62" i="89"/>
  <c r="X62" i="89" s="1"/>
  <c r="EE62" i="89" s="1"/>
  <c r="M62" i="89"/>
  <c r="N62" i="89" s="1"/>
  <c r="Z23" i="89"/>
  <c r="W23" i="89"/>
  <c r="X23" i="89" s="1"/>
  <c r="M52" i="89"/>
  <c r="Z21" i="89"/>
  <c r="U32" i="89"/>
  <c r="U22" i="89"/>
  <c r="W21" i="89"/>
  <c r="X21" i="89" s="1"/>
  <c r="W64" i="89"/>
  <c r="X64" i="89" s="1"/>
  <c r="M59" i="89"/>
  <c r="N59" i="89" s="1"/>
  <c r="Z20" i="89"/>
  <c r="M39" i="89"/>
  <c r="N39" i="89" s="1"/>
  <c r="Z19" i="89"/>
  <c r="W19" i="89"/>
  <c r="X19" i="89" s="1"/>
  <c r="M32" i="89"/>
  <c r="M18" i="89"/>
  <c r="N18" i="89" s="1"/>
  <c r="W20" i="89"/>
  <c r="X20" i="89" s="1"/>
  <c r="M47" i="88"/>
  <c r="N47" i="88" s="1"/>
  <c r="M71" i="88"/>
  <c r="N71" i="88" s="1"/>
  <c r="M70" i="88"/>
  <c r="N70" i="88" s="1"/>
  <c r="M46" i="88"/>
  <c r="N46" i="88" s="1"/>
  <c r="W42" i="88"/>
  <c r="X42" i="88" s="1"/>
  <c r="W108" i="88"/>
  <c r="X108" i="88" s="1"/>
  <c r="M108" i="88"/>
  <c r="N108" i="88" s="1"/>
  <c r="Z57" i="88"/>
  <c r="W57" i="88"/>
  <c r="X57" i="88" s="1"/>
  <c r="Z56" i="88"/>
  <c r="W56" i="88"/>
  <c r="X56" i="88" s="1"/>
  <c r="Y56" i="88" s="1"/>
  <c r="M57" i="88"/>
  <c r="N57" i="88" s="1"/>
  <c r="W41" i="88"/>
  <c r="X41" i="88" s="1"/>
  <c r="Y41" i="88" s="1"/>
  <c r="M42" i="88"/>
  <c r="L28" i="88"/>
  <c r="N54" i="88"/>
  <c r="U54" i="88"/>
  <c r="M51" i="88"/>
  <c r="U51" i="88"/>
  <c r="U67" i="88"/>
  <c r="Z67" i="88" s="1"/>
  <c r="U63" i="88"/>
  <c r="Z63" i="88" s="1"/>
  <c r="U68" i="88"/>
  <c r="U65" i="88"/>
  <c r="Y53" i="88"/>
  <c r="Z53" i="88"/>
  <c r="Z52" i="88"/>
  <c r="W52" i="88"/>
  <c r="X52" i="88" s="1"/>
  <c r="M52" i="88"/>
  <c r="N52" i="88" s="1"/>
  <c r="N53" i="88"/>
  <c r="M65" i="88"/>
  <c r="W64" i="88"/>
  <c r="X64" i="88" s="1"/>
  <c r="Y64" i="88" s="1"/>
  <c r="N64" i="88"/>
  <c r="N67" i="88"/>
  <c r="W45" i="88"/>
  <c r="X45" i="88" s="1"/>
  <c r="M45" i="88"/>
  <c r="N45" i="88" s="1"/>
  <c r="W44" i="88"/>
  <c r="X44" i="88" s="1"/>
  <c r="M44" i="88"/>
  <c r="N44" i="88" s="1"/>
  <c r="U28" i="88"/>
  <c r="Y63" i="89" l="1"/>
  <c r="EE63" i="89"/>
  <c r="Y23" i="89"/>
  <c r="EE23" i="89"/>
  <c r="Y20" i="89"/>
  <c r="EE20" i="89"/>
  <c r="Y21" i="89"/>
  <c r="EE21" i="89"/>
  <c r="U55" i="89"/>
  <c r="Y65" i="89"/>
  <c r="EE65" i="89"/>
  <c r="Y64" i="89"/>
  <c r="EE64" i="89"/>
  <c r="Y19" i="89"/>
  <c r="EE19" i="89"/>
  <c r="Y45" i="89"/>
  <c r="EE45" i="89"/>
  <c r="U66" i="89"/>
  <c r="M42" i="89"/>
  <c r="U24" i="89"/>
  <c r="W53" i="89"/>
  <c r="X53" i="89" s="1"/>
  <c r="M55" i="89"/>
  <c r="N24" i="89"/>
  <c r="AA70" i="89"/>
  <c r="AA71" i="89"/>
  <c r="AA69" i="89"/>
  <c r="N53" i="89"/>
  <c r="M66" i="89"/>
  <c r="N66" i="89"/>
  <c r="M24" i="89"/>
  <c r="U29" i="89"/>
  <c r="Z33" i="89"/>
  <c r="U42" i="89"/>
  <c r="U49" i="89"/>
  <c r="N48" i="89"/>
  <c r="M73" i="89"/>
  <c r="M49" i="89"/>
  <c r="W48" i="89"/>
  <c r="X48" i="89" s="1"/>
  <c r="EE48" i="89" s="1"/>
  <c r="Z48" i="89"/>
  <c r="W61" i="89"/>
  <c r="X61" i="89" s="1"/>
  <c r="W41" i="89"/>
  <c r="X41" i="89" s="1"/>
  <c r="AA38" i="89"/>
  <c r="AA35" i="89"/>
  <c r="AA33" i="89"/>
  <c r="W38" i="89"/>
  <c r="X38" i="89" s="1"/>
  <c r="W36" i="89"/>
  <c r="X36" i="89" s="1"/>
  <c r="W39" i="89"/>
  <c r="X39" i="89" s="1"/>
  <c r="W40" i="89"/>
  <c r="X40" i="89" s="1"/>
  <c r="W33" i="89"/>
  <c r="X33" i="89" s="1"/>
  <c r="EE33" i="89" s="1"/>
  <c r="W35" i="89"/>
  <c r="X35" i="89" s="1"/>
  <c r="AA41" i="89"/>
  <c r="AA39" i="89"/>
  <c r="AA34" i="89"/>
  <c r="AA37" i="89"/>
  <c r="AA40" i="89"/>
  <c r="AA48" i="89"/>
  <c r="AA47" i="89"/>
  <c r="AA45" i="89"/>
  <c r="W54" i="89"/>
  <c r="X54" i="89" s="1"/>
  <c r="AA46" i="89"/>
  <c r="AA54" i="89"/>
  <c r="W46" i="89"/>
  <c r="X46" i="89" s="1"/>
  <c r="N47" i="89"/>
  <c r="Y47" i="89"/>
  <c r="N36" i="89"/>
  <c r="W22" i="89"/>
  <c r="X22" i="89" s="1"/>
  <c r="EE22" i="89" s="1"/>
  <c r="Z52" i="89"/>
  <c r="Y93" i="88"/>
  <c r="Y60" i="89"/>
  <c r="W17" i="89"/>
  <c r="X17" i="89" s="1"/>
  <c r="EE17" i="89" s="1"/>
  <c r="Y71" i="88"/>
  <c r="Y70" i="88"/>
  <c r="Y55" i="88"/>
  <c r="U58" i="88"/>
  <c r="Z55" i="88"/>
  <c r="N55" i="88"/>
  <c r="M58" i="88"/>
  <c r="Y47" i="88"/>
  <c r="Y46" i="88"/>
  <c r="Z17" i="89"/>
  <c r="W27" i="89"/>
  <c r="X27" i="89" s="1"/>
  <c r="EE27" i="89" s="1"/>
  <c r="Y52" i="89"/>
  <c r="N32" i="89"/>
  <c r="N42" i="89" s="1"/>
  <c r="Z58" i="89"/>
  <c r="W58" i="89"/>
  <c r="X58" i="89" s="1"/>
  <c r="EE58" i="89" s="1"/>
  <c r="Z27" i="89"/>
  <c r="Y18" i="89"/>
  <c r="N27" i="89"/>
  <c r="N29" i="89" s="1"/>
  <c r="AA28" i="89"/>
  <c r="N52" i="89"/>
  <c r="AA22" i="89"/>
  <c r="AA20" i="89"/>
  <c r="AA18" i="89"/>
  <c r="Y62" i="89"/>
  <c r="Y59" i="89"/>
  <c r="AA17" i="89"/>
  <c r="AA19" i="89"/>
  <c r="AA23" i="89"/>
  <c r="Z28" i="89"/>
  <c r="W28" i="89"/>
  <c r="X28" i="89" s="1"/>
  <c r="EE28" i="89" s="1"/>
  <c r="Z32" i="89"/>
  <c r="AA63" i="89"/>
  <c r="AA59" i="89"/>
  <c r="AA62" i="89"/>
  <c r="Z22" i="89"/>
  <c r="W32" i="89"/>
  <c r="X32" i="89" s="1"/>
  <c r="EE32" i="89" s="1"/>
  <c r="AA53" i="89"/>
  <c r="AA52" i="89"/>
  <c r="AA32" i="89"/>
  <c r="Y42" i="88"/>
  <c r="Y108" i="88"/>
  <c r="Y57" i="88"/>
  <c r="N42" i="88"/>
  <c r="W63" i="88"/>
  <c r="X63" i="88" s="1"/>
  <c r="Y63" i="88" s="1"/>
  <c r="W67" i="88"/>
  <c r="X67" i="88" s="1"/>
  <c r="Y67" i="88" s="1"/>
  <c r="M28" i="88"/>
  <c r="Z54" i="88"/>
  <c r="W54" i="88"/>
  <c r="X54" i="88" s="1"/>
  <c r="Z65" i="88"/>
  <c r="N65" i="88"/>
  <c r="W51" i="88"/>
  <c r="X51" i="88" s="1"/>
  <c r="Y51" i="88" s="1"/>
  <c r="Z51" i="88"/>
  <c r="W65" i="88"/>
  <c r="X65" i="88" s="1"/>
  <c r="N51" i="88"/>
  <c r="Z68" i="88"/>
  <c r="W68" i="88"/>
  <c r="X68" i="88" s="1"/>
  <c r="Y52" i="88"/>
  <c r="AA51" i="88"/>
  <c r="AA54" i="88"/>
  <c r="AA52" i="88"/>
  <c r="Y45" i="88"/>
  <c r="Y44" i="88"/>
  <c r="Z28" i="88"/>
  <c r="W28" i="88"/>
  <c r="X28" i="88" s="1"/>
  <c r="AB28" i="88"/>
  <c r="Y36" i="89" l="1"/>
  <c r="EE36" i="89"/>
  <c r="Y53" i="89"/>
  <c r="EE53" i="89"/>
  <c r="Y46" i="89"/>
  <c r="EE46" i="89"/>
  <c r="Y35" i="89"/>
  <c r="EE35" i="89"/>
  <c r="Y38" i="89"/>
  <c r="EE38" i="89"/>
  <c r="Y41" i="89"/>
  <c r="EE41" i="89"/>
  <c r="Y54" i="89"/>
  <c r="EE54" i="89"/>
  <c r="Y40" i="89"/>
  <c r="EE40" i="89"/>
  <c r="Y61" i="89"/>
  <c r="EE61" i="89"/>
  <c r="Y39" i="89"/>
  <c r="EE39" i="89"/>
  <c r="N73" i="89"/>
  <c r="X66" i="89"/>
  <c r="N55" i="89"/>
  <c r="X55" i="89"/>
  <c r="Y55" i="89" s="1"/>
  <c r="Y17" i="89"/>
  <c r="X24" i="89"/>
  <c r="Y24" i="89" s="1"/>
  <c r="Y33" i="89"/>
  <c r="X42" i="89"/>
  <c r="Y42" i="89" s="1"/>
  <c r="X29" i="89"/>
  <c r="Y29" i="89" s="1"/>
  <c r="N49" i="89"/>
  <c r="Y48" i="89"/>
  <c r="X49" i="89"/>
  <c r="Y49" i="89" s="1"/>
  <c r="Y22" i="89"/>
  <c r="N58" i="88"/>
  <c r="Y27" i="89"/>
  <c r="X58" i="88"/>
  <c r="Y58" i="88" s="1"/>
  <c r="Y58" i="89"/>
  <c r="Y66" i="89"/>
  <c r="Y32" i="89"/>
  <c r="Y28" i="89"/>
  <c r="N28" i="88"/>
  <c r="Y28" i="88"/>
  <c r="Y54" i="88"/>
  <c r="Y65" i="88"/>
  <c r="Y68" i="88"/>
  <c r="EE73" i="89" l="1"/>
  <c r="EE78" i="89"/>
  <c r="D23" i="91"/>
  <c r="Y73" i="89"/>
  <c r="Z73" i="89" s="1"/>
  <c r="AA73" i="89" s="1"/>
  <c r="R62" i="88"/>
  <c r="Q62" i="88"/>
  <c r="V62" i="88" s="1"/>
  <c r="K62" i="88"/>
  <c r="R106" i="88"/>
  <c r="Q106" i="88"/>
  <c r="R105" i="88"/>
  <c r="Q105" i="88"/>
  <c r="V105" i="88" s="1"/>
  <c r="R104" i="88"/>
  <c r="Q104" i="88"/>
  <c r="V104" i="88" s="1"/>
  <c r="R103" i="88"/>
  <c r="Q103" i="88"/>
  <c r="V103" i="88" s="1"/>
  <c r="R102" i="88"/>
  <c r="Q102" i="88"/>
  <c r="R107" i="88"/>
  <c r="Q107" i="88"/>
  <c r="K107" i="88"/>
  <c r="K106" i="88"/>
  <c r="K105" i="88"/>
  <c r="K104" i="88"/>
  <c r="K103" i="88"/>
  <c r="K102" i="88"/>
  <c r="K87" i="88"/>
  <c r="R86" i="88"/>
  <c r="Q86" i="88"/>
  <c r="K86" i="88"/>
  <c r="R29" i="88"/>
  <c r="Q29" i="88"/>
  <c r="V29" i="88" s="1"/>
  <c r="K29" i="88"/>
  <c r="R79" i="88"/>
  <c r="Q79" i="88"/>
  <c r="K79" i="88"/>
  <c r="K80" i="88" s="1"/>
  <c r="R39" i="88"/>
  <c r="Q39" i="88"/>
  <c r="K39" i="88"/>
  <c r="R66" i="88"/>
  <c r="Q66" i="88"/>
  <c r="V66" i="88" s="1"/>
  <c r="K66" i="88"/>
  <c r="R84" i="88"/>
  <c r="Q84" i="88"/>
  <c r="V84" i="88" s="1"/>
  <c r="K84" i="88"/>
  <c r="R83" i="88"/>
  <c r="Q83" i="88"/>
  <c r="V83" i="88" s="1"/>
  <c r="K83" i="88"/>
  <c r="Q82" i="88"/>
  <c r="Q81" i="88"/>
  <c r="R85" i="88"/>
  <c r="Q85" i="88"/>
  <c r="K85" i="88"/>
  <c r="Q37" i="88"/>
  <c r="Q36" i="88"/>
  <c r="R40" i="88"/>
  <c r="Q40" i="88"/>
  <c r="K40" i="88"/>
  <c r="R38" i="88"/>
  <c r="Q38" i="88"/>
  <c r="K38" i="88"/>
  <c r="R75" i="88"/>
  <c r="Q75" i="88"/>
  <c r="K75" i="88"/>
  <c r="K76" i="88" s="1"/>
  <c r="Q74" i="88"/>
  <c r="Q73" i="88"/>
  <c r="R61" i="88"/>
  <c r="Q61" i="88"/>
  <c r="V61" i="88" s="1"/>
  <c r="K61" i="88"/>
  <c r="K72" i="88" s="1"/>
  <c r="R43" i="88"/>
  <c r="Q43" i="88"/>
  <c r="K43" i="88"/>
  <c r="Q60" i="88"/>
  <c r="Q59" i="88"/>
  <c r="Q94" i="88"/>
  <c r="V94" i="88" s="1"/>
  <c r="R94" i="88"/>
  <c r="K94" i="88"/>
  <c r="Q101" i="88"/>
  <c r="V101" i="88" s="1"/>
  <c r="R101" i="88"/>
  <c r="K101" i="88"/>
  <c r="K34" i="88"/>
  <c r="L34" i="88" s="1"/>
  <c r="K33" i="88"/>
  <c r="Q100" i="88"/>
  <c r="K100" i="88"/>
  <c r="R34" i="88"/>
  <c r="Q34" i="88"/>
  <c r="R33" i="88"/>
  <c r="Q33" i="88"/>
  <c r="Q32" i="88"/>
  <c r="Q31" i="88"/>
  <c r="R99" i="88"/>
  <c r="Q99" i="88"/>
  <c r="K99" i="88"/>
  <c r="K98" i="88"/>
  <c r="R97" i="88"/>
  <c r="Q97" i="88"/>
  <c r="K97" i="88"/>
  <c r="R96" i="88"/>
  <c r="Q96" i="88"/>
  <c r="K96" i="88"/>
  <c r="R95" i="88"/>
  <c r="K95" i="88"/>
  <c r="R92" i="88"/>
  <c r="Q92" i="88"/>
  <c r="K92" i="88"/>
  <c r="L92" i="88" s="1"/>
  <c r="R91" i="88"/>
  <c r="Q91" i="88"/>
  <c r="K91" i="88"/>
  <c r="Q90" i="88"/>
  <c r="V27" i="88"/>
  <c r="T27" i="88"/>
  <c r="K27" i="88"/>
  <c r="K30" i="88" s="1"/>
  <c r="Z25" i="88"/>
  <c r="V23" i="88"/>
  <c r="T23" i="88"/>
  <c r="R22" i="88"/>
  <c r="Q22" i="88"/>
  <c r="R21" i="88"/>
  <c r="Q21" i="88"/>
  <c r="V20" i="88"/>
  <c r="T20" i="88"/>
  <c r="V19" i="88"/>
  <c r="T19" i="88"/>
  <c r="V18" i="88"/>
  <c r="T18" i="88"/>
  <c r="R17" i="88"/>
  <c r="Q17" i="88"/>
  <c r="K20" i="88"/>
  <c r="K18" i="88"/>
  <c r="K23" i="88"/>
  <c r="K22" i="88"/>
  <c r="K21" i="88"/>
  <c r="K19" i="88"/>
  <c r="L19" i="88" s="1"/>
  <c r="K17" i="88"/>
  <c r="Q16" i="88"/>
  <c r="Q15" i="88"/>
  <c r="C23" i="91" l="1"/>
  <c r="K110" i="88"/>
  <c r="K48" i="88"/>
  <c r="K35" i="88"/>
  <c r="K88" i="88"/>
  <c r="K24" i="88"/>
  <c r="K109" i="88"/>
  <c r="AD27" i="88"/>
  <c r="T62" i="88"/>
  <c r="L62" i="88"/>
  <c r="T104" i="88"/>
  <c r="T105" i="88"/>
  <c r="L107" i="88"/>
  <c r="M107" i="88" s="1"/>
  <c r="T103" i="88"/>
  <c r="U103" i="88" s="1"/>
  <c r="Z103" i="88" s="1"/>
  <c r="L102" i="88"/>
  <c r="T102" i="88"/>
  <c r="U102" i="88" s="1"/>
  <c r="Z102" i="88" s="1"/>
  <c r="V102" i="88"/>
  <c r="L103" i="88"/>
  <c r="M103" i="88" s="1"/>
  <c r="L104" i="88"/>
  <c r="L105" i="88"/>
  <c r="L106" i="88"/>
  <c r="M106" i="88" s="1"/>
  <c r="T107" i="88"/>
  <c r="U107" i="88" s="1"/>
  <c r="V107" i="88"/>
  <c r="T106" i="88"/>
  <c r="U106" i="88" s="1"/>
  <c r="V106" i="88"/>
  <c r="L87" i="88"/>
  <c r="L86" i="88"/>
  <c r="M86" i="88" s="1"/>
  <c r="T87" i="88"/>
  <c r="U87" i="88" s="1"/>
  <c r="V87" i="88"/>
  <c r="V86" i="88"/>
  <c r="T86" i="88"/>
  <c r="U86" i="88" s="1"/>
  <c r="Z86" i="88" s="1"/>
  <c r="L29" i="88"/>
  <c r="T29" i="88"/>
  <c r="U29" i="88" s="1"/>
  <c r="L79" i="88"/>
  <c r="L80" i="88" s="1"/>
  <c r="T79" i="88"/>
  <c r="T80" i="88" s="1"/>
  <c r="V79" i="88"/>
  <c r="L39" i="88"/>
  <c r="V39" i="88"/>
  <c r="T39" i="88"/>
  <c r="U39" i="88" s="1"/>
  <c r="Z39" i="88" s="1"/>
  <c r="T66" i="88"/>
  <c r="L66" i="88"/>
  <c r="T83" i="88"/>
  <c r="T84" i="88"/>
  <c r="V85" i="88"/>
  <c r="T85" i="88"/>
  <c r="L84" i="88"/>
  <c r="L83" i="88"/>
  <c r="L85" i="88"/>
  <c r="M85" i="88" s="1"/>
  <c r="V38" i="88"/>
  <c r="T38" i="88"/>
  <c r="T75" i="88"/>
  <c r="T76" i="88" s="1"/>
  <c r="L40" i="88"/>
  <c r="M40" i="88" s="1"/>
  <c r="L38" i="88"/>
  <c r="V40" i="88"/>
  <c r="T40" i="88"/>
  <c r="U40" i="88" s="1"/>
  <c r="Z40" i="88" s="1"/>
  <c r="V75" i="88"/>
  <c r="L75" i="88"/>
  <c r="L76" i="88" s="1"/>
  <c r="V43" i="88"/>
  <c r="T43" i="88"/>
  <c r="T61" i="88"/>
  <c r="T72" i="88" s="1"/>
  <c r="L61" i="88"/>
  <c r="L72" i="88" s="1"/>
  <c r="L43" i="88"/>
  <c r="T94" i="88"/>
  <c r="U94" i="88" s="1"/>
  <c r="L94" i="88"/>
  <c r="M94" i="88" s="1"/>
  <c r="N94" i="88" s="1"/>
  <c r="V34" i="88"/>
  <c r="T34" i="88"/>
  <c r="T101" i="88"/>
  <c r="L101" i="88"/>
  <c r="M101" i="88" s="1"/>
  <c r="N101" i="88" s="1"/>
  <c r="V98" i="88"/>
  <c r="T98" i="88"/>
  <c r="U98" i="88" s="1"/>
  <c r="V33" i="88"/>
  <c r="T33" i="88"/>
  <c r="T35" i="88" s="1"/>
  <c r="L33" i="88"/>
  <c r="L35" i="88" s="1"/>
  <c r="V100" i="88"/>
  <c r="T100" i="88"/>
  <c r="L100" i="88"/>
  <c r="M100" i="88" s="1"/>
  <c r="V99" i="88"/>
  <c r="T99" i="88"/>
  <c r="V97" i="88"/>
  <c r="T97" i="88"/>
  <c r="V96" i="88"/>
  <c r="T96" i="88"/>
  <c r="V92" i="88"/>
  <c r="T92" i="88"/>
  <c r="V95" i="88"/>
  <c r="T95" i="88"/>
  <c r="V91" i="88"/>
  <c r="T91" i="88"/>
  <c r="L99" i="88"/>
  <c r="L98" i="88"/>
  <c r="L97" i="88"/>
  <c r="L96" i="88"/>
  <c r="M96" i="88" s="1"/>
  <c r="N96" i="88" s="1"/>
  <c r="L95" i="88"/>
  <c r="M95" i="88" s="1"/>
  <c r="N95" i="88" s="1"/>
  <c r="M92" i="88"/>
  <c r="N92" i="88" s="1"/>
  <c r="L91" i="88"/>
  <c r="U27" i="88"/>
  <c r="L27" i="88"/>
  <c r="L30" i="88" s="1"/>
  <c r="U23" i="88"/>
  <c r="W23" i="88" s="1"/>
  <c r="X23" i="88" s="1"/>
  <c r="U19" i="88"/>
  <c r="U20" i="88"/>
  <c r="Z26" i="88"/>
  <c r="AA26" i="88"/>
  <c r="V22" i="88"/>
  <c r="T22" i="88"/>
  <c r="V21" i="88"/>
  <c r="T21" i="88"/>
  <c r="U18" i="88"/>
  <c r="V17" i="88"/>
  <c r="T17" i="88"/>
  <c r="T110" i="88" s="1"/>
  <c r="L20" i="88"/>
  <c r="M20" i="88" s="1"/>
  <c r="L18" i="88"/>
  <c r="M18" i="88" s="1"/>
  <c r="L23" i="88"/>
  <c r="M23" i="88" s="1"/>
  <c r="N23" i="88" s="1"/>
  <c r="L22" i="88"/>
  <c r="M22" i="88" s="1"/>
  <c r="L21" i="88"/>
  <c r="M21" i="88" s="1"/>
  <c r="M19" i="88"/>
  <c r="N19" i="88" s="1"/>
  <c r="L17" i="88"/>
  <c r="M10" i="88"/>
  <c r="F23" i="91" l="1"/>
  <c r="F21" i="91"/>
  <c r="L110" i="88"/>
  <c r="U30" i="88"/>
  <c r="L88" i="88"/>
  <c r="L109" i="88"/>
  <c r="L24" i="88"/>
  <c r="T48" i="88"/>
  <c r="T24" i="88"/>
  <c r="T88" i="88"/>
  <c r="L48" i="88"/>
  <c r="T109" i="88"/>
  <c r="T30" i="88"/>
  <c r="AA17" i="88"/>
  <c r="Z87" i="88"/>
  <c r="U105" i="88"/>
  <c r="M105" i="88"/>
  <c r="N105" i="88" s="1"/>
  <c r="M66" i="88"/>
  <c r="N66" i="88" s="1"/>
  <c r="AA62" i="88"/>
  <c r="U104" i="88"/>
  <c r="Z104" i="88" s="1"/>
  <c r="M84" i="88"/>
  <c r="U38" i="88"/>
  <c r="M38" i="88"/>
  <c r="M48" i="88" s="1"/>
  <c r="M61" i="88"/>
  <c r="M72" i="88" s="1"/>
  <c r="U66" i="88"/>
  <c r="U61" i="88"/>
  <c r="U62" i="88"/>
  <c r="Z62" i="88" s="1"/>
  <c r="U84" i="88"/>
  <c r="M62" i="88"/>
  <c r="N62" i="88" s="1"/>
  <c r="Z107" i="88"/>
  <c r="W107" i="88"/>
  <c r="X107" i="88" s="1"/>
  <c r="Y107" i="88" s="1"/>
  <c r="N107" i="88"/>
  <c r="Z106" i="88"/>
  <c r="W106" i="88"/>
  <c r="X106" i="88" s="1"/>
  <c r="Y106" i="88" s="1"/>
  <c r="W102" i="88"/>
  <c r="X102" i="88" s="1"/>
  <c r="W103" i="88"/>
  <c r="X103" i="88" s="1"/>
  <c r="Y103" i="88" s="1"/>
  <c r="N103" i="88"/>
  <c r="N106" i="88"/>
  <c r="M102" i="88"/>
  <c r="N102" i="88" s="1"/>
  <c r="M104" i="88"/>
  <c r="N104" i="88" s="1"/>
  <c r="M83" i="88"/>
  <c r="U83" i="88"/>
  <c r="M87" i="88"/>
  <c r="W87" i="88"/>
  <c r="X87" i="88" s="1"/>
  <c r="W86" i="88"/>
  <c r="X86" i="88" s="1"/>
  <c r="Y86" i="88" s="1"/>
  <c r="N86" i="88"/>
  <c r="Z29" i="88"/>
  <c r="W29" i="88"/>
  <c r="X29" i="88" s="1"/>
  <c r="M29" i="88"/>
  <c r="N29" i="88" s="1"/>
  <c r="M79" i="88"/>
  <c r="M80" i="88" s="1"/>
  <c r="U79" i="88"/>
  <c r="U80" i="88" s="1"/>
  <c r="W39" i="88"/>
  <c r="X39" i="88" s="1"/>
  <c r="M39" i="88"/>
  <c r="N39" i="88" s="1"/>
  <c r="M91" i="88"/>
  <c r="U85" i="88"/>
  <c r="N85" i="88"/>
  <c r="W40" i="88"/>
  <c r="X40" i="88" s="1"/>
  <c r="Y40" i="88" s="1"/>
  <c r="M75" i="88"/>
  <c r="M76" i="88" s="1"/>
  <c r="U75" i="88"/>
  <c r="U76" i="88" s="1"/>
  <c r="N40" i="88"/>
  <c r="U34" i="88"/>
  <c r="U43" i="88"/>
  <c r="M43" i="88"/>
  <c r="Z94" i="88"/>
  <c r="W94" i="88"/>
  <c r="X94" i="88" s="1"/>
  <c r="Y94" i="88" s="1"/>
  <c r="U33" i="88"/>
  <c r="U101" i="88"/>
  <c r="M33" i="88"/>
  <c r="M34" i="88"/>
  <c r="N100" i="88"/>
  <c r="U100" i="88"/>
  <c r="U99" i="88"/>
  <c r="M27" i="88"/>
  <c r="U97" i="88"/>
  <c r="U96" i="88"/>
  <c r="U92" i="88"/>
  <c r="U95" i="88"/>
  <c r="U91" i="88"/>
  <c r="W98" i="88"/>
  <c r="X98" i="88" s="1"/>
  <c r="Z98" i="88"/>
  <c r="M99" i="88"/>
  <c r="N99" i="88" s="1"/>
  <c r="M98" i="88"/>
  <c r="M97" i="88"/>
  <c r="N97" i="88" s="1"/>
  <c r="W27" i="88"/>
  <c r="X27" i="88" s="1"/>
  <c r="Z27" i="88"/>
  <c r="Z23" i="88"/>
  <c r="Y23" i="88"/>
  <c r="Z19" i="88"/>
  <c r="W19" i="88"/>
  <c r="X19" i="88" s="1"/>
  <c r="Y19" i="88" s="1"/>
  <c r="Z20" i="88"/>
  <c r="W20" i="88"/>
  <c r="X20" i="88" s="1"/>
  <c r="Y20" i="88" s="1"/>
  <c r="U22" i="88"/>
  <c r="W18" i="88"/>
  <c r="X18" i="88" s="1"/>
  <c r="Y18" i="88" s="1"/>
  <c r="Z18" i="88"/>
  <c r="U21" i="88"/>
  <c r="U17" i="88"/>
  <c r="N20" i="88"/>
  <c r="N21" i="88"/>
  <c r="N18" i="88"/>
  <c r="N22" i="88"/>
  <c r="M17" i="88"/>
  <c r="AA12" i="88"/>
  <c r="M110" i="88" l="1"/>
  <c r="U110" i="88"/>
  <c r="M35" i="88"/>
  <c r="M30" i="88"/>
  <c r="Z61" i="88"/>
  <c r="U72" i="88"/>
  <c r="W38" i="88"/>
  <c r="X38" i="88" s="1"/>
  <c r="Y38" i="88" s="1"/>
  <c r="U48" i="88"/>
  <c r="U24" i="88"/>
  <c r="U35" i="88"/>
  <c r="M109" i="88"/>
  <c r="U88" i="88"/>
  <c r="M24" i="88"/>
  <c r="M88" i="88"/>
  <c r="X30" i="88"/>
  <c r="U109" i="88"/>
  <c r="W104" i="88"/>
  <c r="X104" i="88" s="1"/>
  <c r="Y104" i="88" s="1"/>
  <c r="N87" i="88"/>
  <c r="Z105" i="88"/>
  <c r="W105" i="88"/>
  <c r="X105" i="88" s="1"/>
  <c r="N98" i="88"/>
  <c r="W84" i="88"/>
  <c r="X84" i="88" s="1"/>
  <c r="Y84" i="88" s="1"/>
  <c r="N84" i="88"/>
  <c r="W62" i="88"/>
  <c r="X62" i="88" s="1"/>
  <c r="Y62" i="88" s="1"/>
  <c r="N38" i="88"/>
  <c r="Z38" i="88"/>
  <c r="Z66" i="88"/>
  <c r="W66" i="88"/>
  <c r="X66" i="88" s="1"/>
  <c r="W61" i="88"/>
  <c r="X61" i="88" s="1"/>
  <c r="AA68" i="88"/>
  <c r="AA67" i="88"/>
  <c r="AA63" i="88"/>
  <c r="AA64" i="88"/>
  <c r="AA65" i="88"/>
  <c r="AA61" i="88"/>
  <c r="N61" i="88"/>
  <c r="N72" i="88" s="1"/>
  <c r="AA66" i="88"/>
  <c r="Z84" i="88"/>
  <c r="AA27" i="88"/>
  <c r="AA28" i="88"/>
  <c r="Y102" i="88"/>
  <c r="W83" i="88"/>
  <c r="X83" i="88" s="1"/>
  <c r="Z83" i="88"/>
  <c r="N83" i="88"/>
  <c r="Y87" i="88"/>
  <c r="W79" i="88"/>
  <c r="X79" i="88" s="1"/>
  <c r="X80" i="88" s="1"/>
  <c r="N79" i="88"/>
  <c r="N80" i="88" s="1"/>
  <c r="Y29" i="88"/>
  <c r="Z79" i="88"/>
  <c r="Y39" i="88"/>
  <c r="N91" i="88"/>
  <c r="W85" i="88"/>
  <c r="X85" i="88" s="1"/>
  <c r="Y85" i="88" s="1"/>
  <c r="Z85" i="88"/>
  <c r="AA84" i="88"/>
  <c r="AA83" i="88"/>
  <c r="AA85" i="88"/>
  <c r="N75" i="88"/>
  <c r="N76" i="88" s="1"/>
  <c r="AA38" i="88"/>
  <c r="AA40" i="88"/>
  <c r="AA75" i="88"/>
  <c r="W75" i="88"/>
  <c r="X75" i="88" s="1"/>
  <c r="X76" i="88" s="1"/>
  <c r="Z75" i="88"/>
  <c r="Z34" i="88"/>
  <c r="W34" i="88"/>
  <c r="X34" i="88" s="1"/>
  <c r="AA34" i="88"/>
  <c r="AA33" i="88"/>
  <c r="W43" i="88"/>
  <c r="X43" i="88" s="1"/>
  <c r="Z43" i="88"/>
  <c r="N43" i="88"/>
  <c r="AA43" i="88"/>
  <c r="N33" i="88"/>
  <c r="AA21" i="88"/>
  <c r="AA22" i="88"/>
  <c r="AA18" i="88"/>
  <c r="AA19" i="88"/>
  <c r="AA20" i="88"/>
  <c r="AA23" i="88"/>
  <c r="N27" i="88"/>
  <c r="N30" i="88" s="1"/>
  <c r="Z101" i="88"/>
  <c r="W101" i="88"/>
  <c r="X101" i="88" s="1"/>
  <c r="Y101" i="88" s="1"/>
  <c r="AA101" i="88"/>
  <c r="W33" i="88"/>
  <c r="X33" i="88" s="1"/>
  <c r="X35" i="88" s="1"/>
  <c r="Z33" i="88"/>
  <c r="AA100" i="88"/>
  <c r="N34" i="88"/>
  <c r="W100" i="88"/>
  <c r="X100" i="88" s="1"/>
  <c r="Y100" i="88" s="1"/>
  <c r="Z100" i="88"/>
  <c r="Z99" i="88"/>
  <c r="W99" i="88"/>
  <c r="X99" i="88" s="1"/>
  <c r="Z97" i="88"/>
  <c r="W97" i="88"/>
  <c r="X97" i="88" s="1"/>
  <c r="Y97" i="88" s="1"/>
  <c r="W92" i="88"/>
  <c r="X92" i="88" s="1"/>
  <c r="Y92" i="88" s="1"/>
  <c r="Z92" i="88"/>
  <c r="W95" i="88"/>
  <c r="X95" i="88" s="1"/>
  <c r="Y95" i="88" s="1"/>
  <c r="Z95" i="88"/>
  <c r="W91" i="88"/>
  <c r="X91" i="88" s="1"/>
  <c r="Z91" i="88"/>
  <c r="W96" i="88"/>
  <c r="X96" i="88" s="1"/>
  <c r="Z96" i="88"/>
  <c r="AA91" i="88"/>
  <c r="AA95" i="88"/>
  <c r="AA92" i="88"/>
  <c r="AA96" i="88"/>
  <c r="AA97" i="88"/>
  <c r="AA98" i="88"/>
  <c r="AA99" i="88"/>
  <c r="Y27" i="88"/>
  <c r="Y98" i="88"/>
  <c r="W22" i="88"/>
  <c r="X22" i="88" s="1"/>
  <c r="Y22" i="88" s="1"/>
  <c r="Z22" i="88"/>
  <c r="W21" i="88"/>
  <c r="X21" i="88" s="1"/>
  <c r="Z21" i="88"/>
  <c r="W17" i="88"/>
  <c r="X17" i="88" s="1"/>
  <c r="Z17" i="88"/>
  <c r="N17" i="88"/>
  <c r="N110" i="88" l="1"/>
  <c r="X110" i="88"/>
  <c r="N48" i="88"/>
  <c r="X109" i="88"/>
  <c r="Y109" i="88" s="1"/>
  <c r="N35" i="88"/>
  <c r="N88" i="88"/>
  <c r="X88" i="88"/>
  <c r="Y88" i="88" s="1"/>
  <c r="Y61" i="88"/>
  <c r="X72" i="88"/>
  <c r="Y72" i="88" s="1"/>
  <c r="X48" i="88"/>
  <c r="Y48" i="88" s="1"/>
  <c r="N24" i="88"/>
  <c r="X24" i="88"/>
  <c r="Y24" i="88" s="1"/>
  <c r="N109" i="88"/>
  <c r="Y34" i="88"/>
  <c r="Y35" i="88"/>
  <c r="Y76" i="88"/>
  <c r="Y80" i="88"/>
  <c r="Y105" i="88"/>
  <c r="Y30" i="88"/>
  <c r="Y66" i="88"/>
  <c r="Y83" i="88"/>
  <c r="Y79" i="88"/>
  <c r="Y91" i="88"/>
  <c r="Y99" i="88"/>
  <c r="Y75" i="88"/>
  <c r="Y43" i="88"/>
  <c r="Y33" i="88"/>
  <c r="AB17" i="88"/>
  <c r="Y96" i="88"/>
  <c r="AB27" i="88"/>
  <c r="Y21" i="88"/>
  <c r="Y17" i="88"/>
  <c r="AB21" i="88"/>
  <c r="AB22" i="88"/>
  <c r="AB23" i="88"/>
  <c r="AB20" i="88"/>
  <c r="AB19" i="88"/>
  <c r="AB18" i="88"/>
  <c r="Y110" i="88" l="1"/>
  <c r="Z110" i="88"/>
  <c r="AA110" i="88" s="1"/>
</calcChain>
</file>

<file path=xl/sharedStrings.xml><?xml version="1.0" encoding="utf-8"?>
<sst xmlns="http://schemas.openxmlformats.org/spreadsheetml/2006/main" count="1305" uniqueCount="494">
  <si>
    <t>ORÇAMENTO 5.1</t>
  </si>
  <si>
    <t>Oggi Comunicação e Eventos</t>
  </si>
  <si>
    <t>CÓDIGO DO JOB: JOA_001</t>
  </si>
  <si>
    <t>CLIENTE: JOÃO CORDEIRO</t>
  </si>
  <si>
    <t>EVENTO: ACCOUNTABILITY SUMMIT</t>
  </si>
  <si>
    <t>LOCAL: JW MARRIOT</t>
  </si>
  <si>
    <t>DATA DO EVENTO: 07/05/2026</t>
  </si>
  <si>
    <t>ATENDIMENTO: CAROL KELM</t>
  </si>
  <si>
    <t>PRODUTOR: SILVIA BRITO</t>
  </si>
  <si>
    <t>NOME PLANILHA: JOA_001_ACCOUNTABILITY SUMMIT.mkt</t>
  </si>
  <si>
    <t>CUSTOS (valor de custo c/ NF ou recibo)</t>
  </si>
  <si>
    <t>DIFERENÇA NF (Lucro)</t>
  </si>
  <si>
    <t>ENCARGOS PUBLI</t>
  </si>
  <si>
    <t>SOLICITAÇÃO DE PAGAMENTO</t>
  </si>
  <si>
    <t>FORNECEDOR</t>
  </si>
  <si>
    <t>Solicitado</t>
  </si>
  <si>
    <t>PAGAMENTOS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</si>
  <si>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</si>
  <si>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</si>
  <si>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</si>
  <si>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</si>
  <si>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</si>
  <si>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</si>
  <si>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</si>
  <si>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</si>
  <si>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</si>
  <si>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</si>
  <si>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</si>
  <si>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</si>
  <si>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</si>
  <si>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</si>
  <si>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</si>
  <si>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</si>
  <si>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</si>
  <si>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</si>
  <si>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</si>
  <si>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</si>
  <si>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</si>
  <si>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</si>
  <si>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Peso</t>
  </si>
  <si>
    <t>GRUPO</t>
  </si>
  <si>
    <t xml:space="preserve">INTERNOS </t>
  </si>
  <si>
    <t>1.1</t>
  </si>
  <si>
    <t>SUBGRUPO</t>
  </si>
  <si>
    <t xml:space="preserve">INTERNOS  </t>
  </si>
  <si>
    <t>AGENCIAMENTO</t>
  </si>
  <si>
    <t>IMPOSTOS</t>
  </si>
  <si>
    <t>Marg.</t>
  </si>
  <si>
    <t>1.1.1</t>
  </si>
  <si>
    <t>ITEM</t>
  </si>
  <si>
    <t>INTERNO</t>
  </si>
  <si>
    <t>FAT.OGGI</t>
  </si>
  <si>
    <t>Atendimento</t>
  </si>
  <si>
    <r>
      <t xml:space="preserve">Responsável por ser a ponte principal entre o cliente e a equipe interna (produção, criação, planejamento). Atua desde o briefing inicial, passando pela venda da ideia, acompanhamento do planejamento, execução no dia do evento (in loco) e pós-evento, garantindo a satisfação do cliente e a qualidade da entrega;
</t>
    </r>
    <r>
      <rPr>
        <sz val="12"/>
        <color rgb="FFFF0000"/>
        <rFont val="Trebuchet MS"/>
        <family val="2"/>
      </rPr>
      <t>Obs:. Valor com desconto;</t>
    </r>
  </si>
  <si>
    <t>1.1.2</t>
  </si>
  <si>
    <t>Planejamento</t>
  </si>
  <si>
    <r>
      <t>É a etapa estratégica e meticulosa de conceber, estruturar e organizar as diretrizes de um evento antes da sua execução física. Este setor atua como a ponte entre os objetivos de negócio do cliente (marketing, branding, vendas) e a experiência final do participante, garantindo que o evento seja memorável, eficiente e alinhado ao orçamento;</t>
    </r>
    <r>
      <rPr>
        <sz val="12"/>
        <color rgb="FFFF0000"/>
        <rFont val="Trebuchet MS"/>
        <family val="2"/>
      </rPr>
      <t xml:space="preserve">
Obs.: Não se aplica neste projeto.</t>
    </r>
  </si>
  <si>
    <t>1.1.3</t>
  </si>
  <si>
    <t xml:space="preserve">Criação </t>
  </si>
  <si>
    <r>
      <t>Focado em conectar o evento ao público-alvo, detalhando conceito, objetivos, público, linkando (temática, cenografia, tecnologia, sensorial) e experiência. Além de criação de KV e peças;</t>
    </r>
    <r>
      <rPr>
        <sz val="12"/>
        <color rgb="FFFF0000"/>
        <rFont val="Trebuchet MS"/>
        <family val="2"/>
      </rPr>
      <t xml:space="preserve">
Obs:. Valor com desconto (75%) por ser somente os desdobramentos do KV do cliente;</t>
    </r>
  </si>
  <si>
    <t>1.1.4</t>
  </si>
  <si>
    <t>3D</t>
  </si>
  <si>
    <r>
      <t xml:space="preserve">È o responsável por traduzir conceitos criativos e briefings em visualizações tridimensionais realistas de estandes, palcos, ativações de marca e cenografias. Esse profissional transforma ideias abstratas em imagens e projetos técnicos que guiarão a montagem física do evento;
</t>
    </r>
    <r>
      <rPr>
        <sz val="12"/>
        <color rgb="FFFF0000"/>
        <rFont val="Trebuchet MS"/>
        <family val="2"/>
      </rPr>
      <t>Obs.: Não se aplica neste projeto.</t>
    </r>
  </si>
  <si>
    <t>1.1.5</t>
  </si>
  <si>
    <t>Produtor Executivo</t>
  </si>
  <si>
    <r>
      <t xml:space="preserve">Responsável pela concepção, orçamento, cronograma macro, viabilidade financeira e negociação com clientes e/ou stakeholders;
</t>
    </r>
    <r>
      <rPr>
        <sz val="12"/>
        <color rgb="FFFF0000"/>
        <rFont val="Trebuchet MS"/>
        <family val="2"/>
      </rPr>
      <t>Obs:. Valor com desconto</t>
    </r>
    <r>
      <rPr>
        <sz val="12"/>
        <color theme="1"/>
        <rFont val="Trebuchet MS"/>
        <family val="2"/>
      </rPr>
      <t>;</t>
    </r>
  </si>
  <si>
    <t>1.1.6</t>
  </si>
  <si>
    <t>Assistente de Produção</t>
  </si>
  <si>
    <r>
      <t xml:space="preserve">Dá o suporte atuando desde a cotação com fornecedores e controle de cronogramas até o suporte logístico no local, incluindo montagem/desmontagem, comunicação com equipes, atendimento a clientes e controle de materiais, garantindo que todas as etapas ocorram dentro do prazo e dos objetivos do projeto;
</t>
    </r>
    <r>
      <rPr>
        <sz val="12"/>
        <color rgb="FFFF0000"/>
        <rFont val="Trebuchet MS"/>
        <family val="2"/>
      </rPr>
      <t>Obs:. Valor com desconto</t>
    </r>
    <r>
      <rPr>
        <sz val="12"/>
        <color theme="1"/>
        <rFont val="Trebuchet MS"/>
        <family val="2"/>
      </rPr>
      <t>;</t>
    </r>
  </si>
  <si>
    <t>1.1.7</t>
  </si>
  <si>
    <t>Produtor Financeiro</t>
  </si>
  <si>
    <r>
      <t xml:space="preserve">Responsável por resolver a sazonalidade, o descasamento entre o alto volume de pagamentos a fornecedores (antes do evento) e o recebimento das receitas. Além de ser responsável por todo processo de prestação de conta e faturamento;
</t>
    </r>
    <r>
      <rPr>
        <sz val="12"/>
        <color rgb="FFFF0000"/>
        <rFont val="Trebuchet MS"/>
        <family val="2"/>
      </rPr>
      <t>Obs:. Valor com desconto;</t>
    </r>
  </si>
  <si>
    <t>SUBTOTAL SUBGRUPO</t>
  </si>
  <si>
    <t xml:space="preserve">Subtotal INTERNOS  </t>
  </si>
  <si>
    <t>LOCAL | LOCAÇÃO</t>
  </si>
  <si>
    <t>LOCAL</t>
  </si>
  <si>
    <t>2.1</t>
  </si>
  <si>
    <t>2.1.1</t>
  </si>
  <si>
    <t>OPERACIONAL</t>
  </si>
  <si>
    <r>
      <t xml:space="preserve">JW Marriott
</t>
    </r>
    <r>
      <rPr>
        <b/>
        <sz val="12"/>
        <color rgb="FFFF0000"/>
        <rFont val="Trebuchet MS"/>
        <family val="2"/>
      </rPr>
      <t>Responsabilidade do fornecedor parceiro do cliente</t>
    </r>
  </si>
  <si>
    <r>
      <t xml:space="preserve">Ballroom 1 e 2 </t>
    </r>
    <r>
      <rPr>
        <sz val="12"/>
        <color rgb="FFFF0000"/>
        <rFont val="Trebuchet MS"/>
        <family val="2"/>
      </rPr>
      <t>(Negociação do cliente)</t>
    </r>
    <r>
      <rPr>
        <sz val="12"/>
        <color theme="1"/>
        <rFont val="Trebuchet MS"/>
        <family val="2"/>
      </rPr>
      <t>;</t>
    </r>
  </si>
  <si>
    <t xml:space="preserve">_x000D_
</t>
  </si>
  <si>
    <t>2.1.2</t>
  </si>
  <si>
    <r>
      <t xml:space="preserve">Gerador
</t>
    </r>
    <r>
      <rPr>
        <b/>
        <sz val="12"/>
        <color rgb="FFFF0000"/>
        <rFont val="Trebuchet MS"/>
        <family val="2"/>
      </rPr>
      <t>Responsabilidade do fornecedor parceiro do cliente</t>
    </r>
  </si>
  <si>
    <r>
      <t xml:space="preserve">Equipamento para geração de energia </t>
    </r>
    <r>
      <rPr>
        <sz val="12"/>
        <color rgb="FFFF0000"/>
        <rFont val="Trebuchet MS"/>
        <family val="2"/>
      </rPr>
      <t>(Negociação do cliente)</t>
    </r>
    <r>
      <rPr>
        <sz val="12"/>
        <color theme="1"/>
        <rFont val="Trebuchet MS"/>
        <family val="2"/>
      </rPr>
      <t>;</t>
    </r>
  </si>
  <si>
    <t>2.1.3</t>
  </si>
  <si>
    <t>Estacionamento</t>
  </si>
  <si>
    <r>
      <t xml:space="preserve">Vagas de estacionamento </t>
    </r>
    <r>
      <rPr>
        <sz val="12"/>
        <color rgb="FFFF0000"/>
        <rFont val="Trebuchet MS"/>
        <family val="2"/>
      </rPr>
      <t>(Negociação do cliente)</t>
    </r>
    <r>
      <rPr>
        <sz val="12"/>
        <color theme="1"/>
        <rFont val="Trebuchet MS"/>
        <family val="2"/>
      </rPr>
      <t>;</t>
    </r>
  </si>
  <si>
    <t>Subtotal LOCAL</t>
  </si>
  <si>
    <t>TAXAS</t>
  </si>
  <si>
    <t>3.1</t>
  </si>
  <si>
    <t>3.1.1</t>
  </si>
  <si>
    <t>Seguro</t>
  </si>
  <si>
    <t>Seguro do evento;</t>
  </si>
  <si>
    <t>3.1.2</t>
  </si>
  <si>
    <t>ECAD</t>
  </si>
  <si>
    <r>
      <t xml:space="preserve">Taxa de Ecad;
</t>
    </r>
    <r>
      <rPr>
        <sz val="12"/>
        <color rgb="FFFF0000"/>
        <rFont val="Trebuchet MS"/>
        <family val="2"/>
      </rPr>
      <t>Pagamento direto pelo cliente</t>
    </r>
  </si>
  <si>
    <t>Subtotal TAXAS</t>
  </si>
  <si>
    <t>CREDENCIAMENTO &amp; RECEPÇÃO</t>
  </si>
  <si>
    <t>4.1</t>
  </si>
  <si>
    <t>4.1.1</t>
  </si>
  <si>
    <t>Crachá</t>
  </si>
  <si>
    <t>Cracha medindo 10x15, plastificação rígida, com impressão UV e dados variaveis.</t>
  </si>
  <si>
    <t>4.1.2</t>
  </si>
  <si>
    <t>Cordão</t>
  </si>
  <si>
    <t>Cordão sublimação, 2 x 85 cm, impressão frente e verso, 2uni., fixador dentado 20mm, 2uni. mosquete metal.</t>
  </si>
  <si>
    <t>4.1.3</t>
  </si>
  <si>
    <t>Uniforme Recepcionistas</t>
  </si>
  <si>
    <t>Vestido tubinho preto  mnada 3/4+meia calça preta+ lenço personalizado.</t>
  </si>
  <si>
    <t>4.1.4</t>
  </si>
  <si>
    <t>Uniforme Staff</t>
  </si>
  <si>
    <t>Camisa social preta personalizada com logo do evento.</t>
  </si>
  <si>
    <t>4.1.5</t>
  </si>
  <si>
    <t>Botom Palestrante</t>
  </si>
  <si>
    <t xml:space="preserve">
Botton personalizado, redondo, 3,5 cm, com impressão colorida e acabamento brilhante.
</t>
  </si>
  <si>
    <t>4.1.6</t>
  </si>
  <si>
    <t>Balcão</t>
  </si>
  <si>
    <t>Balcão medindo 0,80 x 3,00, com lona aplicada;</t>
  </si>
  <si>
    <t>4.1.7</t>
  </si>
  <si>
    <t xml:space="preserve">Backdrop </t>
  </si>
  <si>
    <t>Backdrop com KV do evento, ficara atrá so balcão de credenciamento;</t>
  </si>
  <si>
    <t>4.1.8</t>
  </si>
  <si>
    <r>
      <t xml:space="preserve">Totem de Led
</t>
    </r>
    <r>
      <rPr>
        <b/>
        <sz val="12"/>
        <color rgb="FFFF0000"/>
        <rFont val="Trebuchet MS"/>
        <family val="2"/>
      </rPr>
      <t>Responsabilidade do fornecedor parceiro do cliente</t>
    </r>
  </si>
  <si>
    <t>Totem de led com KV do evento e "boas vindas";</t>
  </si>
  <si>
    <t>4.1.9</t>
  </si>
  <si>
    <t>Displays A4</t>
  </si>
  <si>
    <t>Displays de acrílico para comunicado + impressão:
1 - Termo de uso de imagem
1 - Venda dos livros (QR CODE para pagamento)</t>
  </si>
  <si>
    <t>4.1.10</t>
  </si>
  <si>
    <t>Locação de impressora</t>
  </si>
  <si>
    <t>Locação de impressora para etiquetas de credenciais + suprimentos para impressão 
Capacidade de 500 impressões.</t>
  </si>
  <si>
    <t>Subtotal CREDENCIAMENTO &amp; RECEPÇÃO</t>
  </si>
  <si>
    <t>KIT PARTICIPANTE</t>
  </si>
  <si>
    <t>5.1</t>
  </si>
  <si>
    <t>5.1.1</t>
  </si>
  <si>
    <t>Opção 01</t>
  </si>
  <si>
    <r>
      <t xml:space="preserve">Livro + voucher + chocolates;
</t>
    </r>
    <r>
      <rPr>
        <sz val="12"/>
        <color rgb="FFFF0000"/>
        <rFont val="Trebuchet MS"/>
        <family val="2"/>
      </rPr>
      <t>Responsabilidade do cliente</t>
    </r>
  </si>
  <si>
    <t>5.1.2</t>
  </si>
  <si>
    <t>Opção 02</t>
  </si>
  <si>
    <t>Moleskine  com capa em tecido RPET e espaço para caneta na capa, capa dobrável para suporte de smartphone,miolo com 80 folhas pautadas.</t>
  </si>
  <si>
    <t>5.1.3</t>
  </si>
  <si>
    <t>Opção 03</t>
  </si>
  <si>
    <t>Caneta;</t>
  </si>
  <si>
    <t>5.1.4</t>
  </si>
  <si>
    <t>Opção 05</t>
  </si>
  <si>
    <t>Caneca Térmica;</t>
  </si>
  <si>
    <t>5.1.5</t>
  </si>
  <si>
    <t>Lápis</t>
  </si>
  <si>
    <t>Lápis feito em madeira com grafite preto HB, guarnição em metal e borracha na extremidade oposta.</t>
  </si>
  <si>
    <t>5.1.6</t>
  </si>
  <si>
    <t>Pulseira</t>
  </si>
  <si>
    <t>Pulseira participantes:Tivek personalizada.</t>
  </si>
  <si>
    <t>5.1.7</t>
  </si>
  <si>
    <t>Bag para gift out</t>
  </si>
  <si>
    <t>Bag Sacola de algodão 300 gr com alças costuradas na parte interna. Altura : 40 cm Largura : 30 cm Profundidade :  11,5 cm:
- livro+ voucher das aulas do ead do accountability + baralho accountability + trousseau (em definição do produto) + chocolate.</t>
  </si>
  <si>
    <t xml:space="preserve">Subtotal </t>
  </si>
  <si>
    <t>PLENÁRIA</t>
  </si>
  <si>
    <t>6.1</t>
  </si>
  <si>
    <t>6.1.1</t>
  </si>
  <si>
    <r>
      <t xml:space="preserve">Palco
</t>
    </r>
    <r>
      <rPr>
        <b/>
        <sz val="12"/>
        <color rgb="FFFF0000"/>
        <rFont val="Trebuchet MS"/>
        <family val="2"/>
      </rPr>
      <t>Responsabilidade do fornecedor parceiro do cliente</t>
    </r>
  </si>
  <si>
    <t>Palco nas medidas...</t>
  </si>
  <si>
    <t>6.1.2</t>
  </si>
  <si>
    <t>Backdrop (Fundo de Palco)</t>
  </si>
  <si>
    <t>Backdrop nas medidas de...</t>
  </si>
  <si>
    <t>6.1.3</t>
  </si>
  <si>
    <r>
      <t xml:space="preserve">Painel de Led (Central)
</t>
    </r>
    <r>
      <rPr>
        <b/>
        <sz val="12"/>
        <color rgb="FFFF0000"/>
        <rFont val="Trebuchet MS"/>
        <family val="2"/>
      </rPr>
      <t>Responsabilidade do fornecedor parceiro do cliente</t>
    </r>
  </si>
  <si>
    <t>Painel de led central nas medidas de...</t>
  </si>
  <si>
    <t>6.1.4</t>
  </si>
  <si>
    <r>
      <t xml:space="preserve">Painel de Led (Laterais)
</t>
    </r>
    <r>
      <rPr>
        <b/>
        <sz val="12"/>
        <color rgb="FFFF0000"/>
        <rFont val="Trebuchet MS"/>
        <family val="2"/>
      </rPr>
      <t>Responsabilidade do fornecedor parceiro do cliente</t>
    </r>
  </si>
  <si>
    <t>Painel de led nas laterias nas medidas de...</t>
  </si>
  <si>
    <t>6.1.5</t>
  </si>
  <si>
    <r>
      <t xml:space="preserve">Som &amp; Luz
</t>
    </r>
    <r>
      <rPr>
        <b/>
        <sz val="12"/>
        <color rgb="FFFF0000"/>
        <rFont val="Trebuchet MS"/>
        <family val="2"/>
      </rPr>
      <t>Responsabilidade do fornecedor parceiro do cliente</t>
    </r>
  </si>
  <si>
    <t>Sonorização e iluminação cenica para plenária considerando: ...</t>
  </si>
  <si>
    <t>6.1.6</t>
  </si>
  <si>
    <r>
      <t xml:space="preserve">Mobiliário (Mesas e cadeiras)
</t>
    </r>
    <r>
      <rPr>
        <b/>
        <sz val="12"/>
        <color rgb="FFFF0000"/>
        <rFont val="Trebuchet MS"/>
        <family val="2"/>
      </rPr>
      <t>Responsabilidade cliente</t>
    </r>
  </si>
  <si>
    <r>
      <t xml:space="preserve">19 mesas redondas em formato meia lua, considerando 08 cadeiras em cada </t>
    </r>
    <r>
      <rPr>
        <sz val="12"/>
        <color rgb="FFFF0000"/>
        <rFont val="Trebuchet MS"/>
        <family val="2"/>
      </rPr>
      <t>(Negociação do cliente);</t>
    </r>
  </si>
  <si>
    <t>6.1.7</t>
  </si>
  <si>
    <t>Mobiliário (Plenária)</t>
  </si>
  <si>
    <t>Poltronas para speakers no painnel; 
4 poltronas
2 mesas de centro
2 mesas bistrôs</t>
  </si>
  <si>
    <t>6.1.8</t>
  </si>
  <si>
    <t>Paisagismo</t>
  </si>
  <si>
    <t>25 Arranjos para centro de mesa e 04 pontos de buffet.</t>
  </si>
  <si>
    <t>6.1.10</t>
  </si>
  <si>
    <t>Mobiliário (Bistrôs - para A&amp;B)</t>
  </si>
  <si>
    <t>Mobiliários para A&amp;B
Mesas Bistrôs
Banquetas</t>
  </si>
  <si>
    <t>6.1.11</t>
  </si>
  <si>
    <t>Prisma de mesa</t>
  </si>
  <si>
    <t>Prismas em Ps. Tam:10 x 10cm
Porta lápis</t>
  </si>
  <si>
    <t>6.1.12</t>
  </si>
  <si>
    <t>Ficha de palco</t>
  </si>
  <si>
    <t>Ficha de palco com acetato, para apoio do MC e palestrantes</t>
  </si>
  <si>
    <t>Subtotal PLENÁRIA</t>
  </si>
  <si>
    <t>ARTISTICO</t>
  </si>
  <si>
    <t>7.1</t>
  </si>
  <si>
    <t>7.1.1</t>
  </si>
  <si>
    <r>
      <t xml:space="preserve">MC | PALESTRANTE
</t>
    </r>
    <r>
      <rPr>
        <b/>
        <sz val="12"/>
        <color rgb="FFFF0000"/>
        <rFont val="Trebuchet MS"/>
        <family val="2"/>
      </rPr>
      <t>Responsabilidade do cliente</t>
    </r>
  </si>
  <si>
    <r>
      <rPr>
        <sz val="12"/>
        <color rgb="FFFF0000"/>
        <rFont val="Trebuchet MS"/>
        <family val="2"/>
      </rPr>
      <t>(Responsábilidade do cliente)</t>
    </r>
    <r>
      <rPr>
        <sz val="12"/>
        <color theme="1"/>
        <rFont val="Trebuchet MS"/>
        <family val="2"/>
      </rPr>
      <t>;</t>
    </r>
  </si>
  <si>
    <t>Subtotal AUDIOVISUAL</t>
  </si>
  <si>
    <t>A&amp;B | BUFFET</t>
  </si>
  <si>
    <t>8.1</t>
  </si>
  <si>
    <t>BUFFET</t>
  </si>
  <si>
    <t>8.1.1</t>
  </si>
  <si>
    <r>
      <t xml:space="preserve">A&amp;B
</t>
    </r>
    <r>
      <rPr>
        <b/>
        <sz val="12"/>
        <color rgb="FFFF0000"/>
        <rFont val="Trebuchet MS"/>
        <family val="2"/>
      </rPr>
      <t>Responsabilidade do cliente</t>
    </r>
  </si>
  <si>
    <r>
      <t xml:space="preserve">Welcome Coffee 03 itens;
Coffeee Break manhã 03 itens;
Almoço Live com Chef em pé com água e refrigerantes;
Pacote de sucos naturais;
Coffee Break tarde 03 itens,
Coquetel 08 itens;
Pacote de bebidas não alcoólicas - Coquetel;
</t>
    </r>
    <r>
      <rPr>
        <sz val="12"/>
        <color rgb="FFFF0000"/>
        <rFont val="Trebuchet MS"/>
        <family val="2"/>
      </rPr>
      <t>(Negociação do cliente)</t>
    </r>
  </si>
  <si>
    <t>Subtotal BUFFET</t>
  </si>
  <si>
    <t>HAPPY HOUR</t>
  </si>
  <si>
    <t>9.1</t>
  </si>
  <si>
    <t>9.1.1</t>
  </si>
  <si>
    <r>
      <t xml:space="preserve">DJ
</t>
    </r>
    <r>
      <rPr>
        <b/>
        <sz val="12"/>
        <color rgb="FFFF0000"/>
        <rFont val="Trebuchet MS"/>
        <family val="2"/>
      </rPr>
      <t>Responsabilidade do fornecedor parceiro do cliente</t>
    </r>
  </si>
  <si>
    <t>DJ por 2h</t>
  </si>
  <si>
    <t>9.1.2</t>
  </si>
  <si>
    <t>Voz violão</t>
  </si>
  <si>
    <t>Apresentação do... Por 2h;</t>
  </si>
  <si>
    <t>9.1.3</t>
  </si>
  <si>
    <t>Saxofone</t>
  </si>
  <si>
    <t>9.1.4</t>
  </si>
  <si>
    <t>Cenografia</t>
  </si>
  <si>
    <t>Palco pequeno de praticavel e ...</t>
  </si>
  <si>
    <t>9.1.5</t>
  </si>
  <si>
    <t>Subtotal ATIVAÇÕES</t>
  </si>
  <si>
    <t>TIME | STAFF</t>
  </si>
  <si>
    <t>10.1</t>
  </si>
  <si>
    <t>STAFF</t>
  </si>
  <si>
    <t>10.1.1</t>
  </si>
  <si>
    <t>Produtor de montagem e desmontagem</t>
  </si>
  <si>
    <t>Responsável pela coordenação das equipes, cronogramas e processos de montagem e desmontagem, garantindo cumprimento de prazos e segurança operacional;</t>
  </si>
  <si>
    <t>10.1.2</t>
  </si>
  <si>
    <t>Produtores Operacionais</t>
  </si>
  <si>
    <t>Responsáveis pela execução e acompanhamento das operações no local do evento, apoiando logística, fornecedores, equipes e demandas emergenciais
01 p/ Montagem e Desmontagem (x2)
01 p/ Credenciamento;
01 p/ Plenária;
01 p/ Serviços;
01 p/ A&amp;B;</t>
  </si>
  <si>
    <t>10.1.3</t>
  </si>
  <si>
    <t>Alimentação Staff</t>
  </si>
  <si>
    <t>Verba destinada a alimentação do time de Staff Oggi.</t>
  </si>
  <si>
    <t>10.1.4</t>
  </si>
  <si>
    <t>Recepcionistas</t>
  </si>
  <si>
    <t>Responsáveis pelo acolhimento e orientação dos convidados, apoio ao credenciamento, direcionamento de fluxos e atendimento ao público, garantindo cordialidade, organização e boa experiência desde a chegada ao evento;</t>
  </si>
  <si>
    <t>10.1.5</t>
  </si>
  <si>
    <r>
      <t xml:space="preserve">Equipe de Segurança
</t>
    </r>
    <r>
      <rPr>
        <b/>
        <sz val="12"/>
        <color rgb="FFFF0000"/>
        <rFont val="Trebuchet MS"/>
        <family val="2"/>
      </rPr>
      <t>Responsabilidade do fornecedor parceiro do cliente</t>
    </r>
  </si>
  <si>
    <r>
      <t xml:space="preserve">Responsável pela segurança patrimonial e das pessoas durante o evento, realizando controle de acesso, monitoramento de áreas internas e externas, orientação do público e prevenção de incidentes. Atua de forma integrada à produção, garantindo ordem, cumprimento das normas do local e rápida resposta a situações emergenciais;
</t>
    </r>
    <r>
      <rPr>
        <sz val="12"/>
        <color rgb="FFFF0000"/>
        <rFont val="Trebuchet MS"/>
        <family val="2"/>
      </rPr>
      <t>(Negociação do cliente)</t>
    </r>
  </si>
  <si>
    <t>10.1.6</t>
  </si>
  <si>
    <t>Equipe de Limpeza</t>
  </si>
  <si>
    <r>
      <t xml:space="preserve">Responsável pela limpeza, organização e manutenção dos ambientes do evento, antes, durante e após a realização, garantindo higiene, conforto e boa apresentação dos espaços;
</t>
    </r>
    <r>
      <rPr>
        <sz val="12"/>
        <color rgb="FFFF0000"/>
        <rFont val="Trebuchet MS"/>
        <family val="2"/>
      </rPr>
      <t>(Negociação do cliente)</t>
    </r>
  </si>
  <si>
    <t>10.1.7</t>
  </si>
  <si>
    <t>Equipe de Carregadores</t>
  </si>
  <si>
    <t>Responsável pelo transporte, carga e descarga de equipamentos, materiais e cenografia, apoiando as equipes técnicas na montagem e desmontagem do evento;</t>
  </si>
  <si>
    <t>10.1.8</t>
  </si>
  <si>
    <t>Brigadistas</t>
  </si>
  <si>
    <r>
      <t xml:space="preserve">Responsáveis pela prevenção e atendimento inicial a emergências, atuando conforme normas de segurança, orientando o público e apoiando evacuações quando necessário;
</t>
    </r>
    <r>
      <rPr>
        <sz val="12"/>
        <color rgb="FFFF0000"/>
        <rFont val="Trebuchet MS"/>
        <family val="2"/>
      </rPr>
      <t>(Negociação do cliente)</t>
    </r>
  </si>
  <si>
    <t>10.1.9</t>
  </si>
  <si>
    <t>Fotografo</t>
  </si>
  <si>
    <t>Responsável pelo registro fotográfico do evento, captando momentos, ambientação e detalhes conforme briefing e objetivos definidos;</t>
  </si>
  <si>
    <t>10.1.10</t>
  </si>
  <si>
    <t>Ambulancia</t>
  </si>
  <si>
    <r>
      <t xml:space="preserve">Ambulancia pelo período de montagem, evento e desmontagem. Considerando básica na montagem/desmontagem e UTI movel no evento;
</t>
    </r>
    <r>
      <rPr>
        <sz val="12"/>
        <color rgb="FFFF0000"/>
        <rFont val="Trebuchet MS"/>
        <family val="2"/>
      </rPr>
      <t>(Negociação do cliente)</t>
    </r>
  </si>
  <si>
    <t>10.1.11</t>
  </si>
  <si>
    <t>Radios</t>
  </si>
  <si>
    <t>Rádio comunicador, com carregadores e baterias extras;</t>
  </si>
  <si>
    <t>10.1.12</t>
  </si>
  <si>
    <t>Diretor Artístico</t>
  </si>
  <si>
    <r>
      <t xml:space="preserve">Responsável pela concepção criativa do evento, definindo linguagem, estética, narrativa e experiência do público, em alinhamento com os objetivos do cliente;
</t>
    </r>
    <r>
      <rPr>
        <sz val="12"/>
        <color rgb="FFFF0000"/>
        <rFont val="Trebuchet MS"/>
        <family val="2"/>
      </rPr>
      <t>Obs:. Valor com desconto;</t>
    </r>
  </si>
  <si>
    <t>10.1.13</t>
  </si>
  <si>
    <t>Roteirista</t>
  </si>
  <si>
    <r>
      <t xml:space="preserve">Responsável pela criação e organização do roteiro do evento, estruturando conteúdos, falas, tempos e transições conforme a proposta e o formato definidos;
</t>
    </r>
    <r>
      <rPr>
        <sz val="12"/>
        <color rgb="FFFF0000"/>
        <rFont val="Trebuchet MS"/>
        <family val="2"/>
      </rPr>
      <t>Obs:. Valor com desconto;</t>
    </r>
  </si>
  <si>
    <t>10.1.14</t>
  </si>
  <si>
    <r>
      <t xml:space="preserve">Sonoplasta
</t>
    </r>
    <r>
      <rPr>
        <b/>
        <sz val="12"/>
        <color rgb="FFFF0000"/>
        <rFont val="Trebuchet MS"/>
        <family val="2"/>
      </rPr>
      <t>Responsabilidade do fornecedor parceiro do cliente</t>
    </r>
  </si>
  <si>
    <r>
      <t xml:space="preserve">Responsável pela criação, operação e disparo de trilhas sonoras, efeitos e vinhetas, em sincronia com o roteiro e a direção artística;
</t>
    </r>
    <r>
      <rPr>
        <sz val="12"/>
        <color rgb="FFFF0000"/>
        <rFont val="Trebuchet MS"/>
        <family val="2"/>
      </rPr>
      <t>Obs:. Valor com desconto;</t>
    </r>
  </si>
  <si>
    <t>10.1.15</t>
  </si>
  <si>
    <r>
      <t xml:space="preserve">Operador de PPT
</t>
    </r>
    <r>
      <rPr>
        <b/>
        <sz val="12"/>
        <color rgb="FFFF0000"/>
        <rFont val="Trebuchet MS"/>
        <family val="2"/>
      </rPr>
      <t>Responsabilidade do fornecedor parceiro do cliente</t>
    </r>
  </si>
  <si>
    <r>
      <t xml:space="preserve">Responsável pela organização, conferência e operação das apresentações em PowerPoint da plenária, garantindo padronização visual, compatibilidade técnica e execução precisa dos slides conforme o roteiro do evento. Atua em alinhamento com a coordenação de palco e direção técnica, realizando testes prévios e assegurando fluidez e segurança na exibição do conteúdo.
</t>
    </r>
    <r>
      <rPr>
        <sz val="12"/>
        <color rgb="FFFF0000"/>
        <rFont val="Trebuchet MS"/>
        <family val="2"/>
      </rPr>
      <t>Obs:. Valor com desconto;</t>
    </r>
  </si>
  <si>
    <t>10.1.16</t>
  </si>
  <si>
    <r>
      <t xml:space="preserve">Video maker
</t>
    </r>
    <r>
      <rPr>
        <b/>
        <sz val="12"/>
        <color rgb="FFFF0000"/>
        <rFont val="Trebuchet MS"/>
        <family val="2"/>
      </rPr>
      <t>Responsabilidade do cliente</t>
    </r>
  </si>
  <si>
    <t>Responsável pela captação de imagens em vídeo do evento, incluindo registros institucionais, cobertura e conteúdos para divulgação, conforme briefing estabelecido;</t>
  </si>
  <si>
    <t>10.1.17</t>
  </si>
  <si>
    <t>Custos Operacionais</t>
  </si>
  <si>
    <t>Inclui despesas com equipe, logística, suporte técnico e demais necessidades operacionais não previstas.</t>
  </si>
  <si>
    <t>10.1.18</t>
  </si>
  <si>
    <t>Manuseio + logística</t>
  </si>
  <si>
    <t>Manuseio para os kits + logística</t>
  </si>
  <si>
    <t>Subtotal STAFF</t>
  </si>
  <si>
    <t>Marg. Lucro</t>
  </si>
  <si>
    <t>Lucro</t>
  </si>
  <si>
    <t>SUBTOTAL PLANILHA</t>
  </si>
  <si>
    <t xml:space="preserve">TOTAL </t>
  </si>
  <si>
    <t>TOTAL</t>
  </si>
  <si>
    <t>DATA DO EVENTO: 27/05/2026</t>
  </si>
  <si>
    <t>3.1.3</t>
  </si>
  <si>
    <t>Crachá Staff</t>
  </si>
  <si>
    <t>Crachá com foto, medindo 10x15, plastificação rígida, com impressão UV.PVC + cordão sublimado</t>
  </si>
  <si>
    <t>3.1.4</t>
  </si>
  <si>
    <t>Vestido tubinho preto  manga 3/4+meia calça preta+ lenço personalizado.</t>
  </si>
  <si>
    <t>3.1.5</t>
  </si>
  <si>
    <t>3.1.6</t>
  </si>
  <si>
    <t>Prisma de mesa Reservado</t>
  </si>
  <si>
    <t>3.1.7</t>
  </si>
  <si>
    <t xml:space="preserve">Porta Lápis </t>
  </si>
  <si>
    <t>3.1.8</t>
  </si>
  <si>
    <t>3.1.9</t>
  </si>
  <si>
    <t>3.1.10</t>
  </si>
  <si>
    <t>Totem de led com KV do evento e "boas vindas".</t>
  </si>
  <si>
    <t>Brinde Opção 02</t>
  </si>
  <si>
    <t>Moleskine, Feita em rPET, com cerca de 80  folhas.Altura:21,2 cm/Largura:14,8 cm /Espessura:1,7 cm</t>
  </si>
  <si>
    <t>Pulseira Numerada</t>
  </si>
  <si>
    <t>Bag Sacola de algodão 300 gr com alças costuradas na parte interna. Altura : 40 cm Largura : 30 cm Profundidade :  11,5 cm.
- livro+ voucher das aulas do ead do accountability + baralho accountability + trousseau (em definição do produto) + chocolate.</t>
  </si>
  <si>
    <t>Mobiliários para A&amp;B
Mesas Bistrôs:10 unid.
Banquetas :30 unid.</t>
  </si>
  <si>
    <t>Responsável pela coordenação das equipes, cronogramas e processos de montagem e desmontagem, garantindo cumprimento de prazos e segurança operacional.</t>
  </si>
  <si>
    <t>Verba destinada a alimentação do time de Staff Oggi.Time Oggi + Recepcionistas.</t>
  </si>
  <si>
    <t>Responsável pelo transporte, carga e descarga de equipamentos, materiais e cenografia, apoiando as equipes técnicas na montagem e desmontagem do evento.</t>
  </si>
  <si>
    <t>Rádios</t>
  </si>
  <si>
    <t>Manuseio para os kits + logística.
Porissionais para realizar a montagem dos kits e logistica de entrega de materiais no evento.</t>
  </si>
  <si>
    <t>Índice</t>
  </si>
  <si>
    <t>Grupo</t>
  </si>
  <si>
    <t>Subgrupo</t>
  </si>
  <si>
    <t>Resumo</t>
  </si>
  <si>
    <t>Descrição</t>
  </si>
  <si>
    <t>Data da Solicitação</t>
  </si>
  <si>
    <t>Solicitante</t>
  </si>
  <si>
    <t>Aprovação</t>
  </si>
  <si>
    <t>CNPJ</t>
  </si>
  <si>
    <t>RAZÃO SOCIAL</t>
  </si>
  <si>
    <t>CONTATO</t>
  </si>
  <si>
    <t/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</si>
  <si>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</si>
  <si>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</si>
  <si>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</si>
  <si>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</si>
  <si>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</si>
  <si>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</si>
  <si>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</si>
  <si>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</si>
  <si>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</si>
  <si>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</si>
  <si>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</si>
  <si>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</si>
  <si>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</si>
  <si>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Valor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</si>
  <si>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</si>
  <si>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</si>
  <si>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</si>
  <si>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</si>
  <si>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</si>
  <si>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</si>
  <si>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</si>
  <si>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 xml:space="preserve">  1</t>
  </si>
  <si>
    <t>CUSTOS INTERNOS</t>
  </si>
  <si>
    <t>Aguardando Aprovação</t>
  </si>
  <si>
    <t>PM</t>
  </si>
  <si>
    <t>0,00%</t>
  </si>
  <si>
    <t xml:space="preserve">  1.  1</t>
  </si>
  <si>
    <t>PRODUÇÃO</t>
  </si>
  <si>
    <t>ServicosInternos</t>
  </si>
  <si>
    <t xml:space="preserve">  1.  1.  1</t>
  </si>
  <si>
    <t>8,00%</t>
  </si>
  <si>
    <t>Planejamento do Job</t>
  </si>
  <si>
    <t xml:space="preserve">  1.  1.  2</t>
  </si>
  <si>
    <t>Produção executiva</t>
  </si>
  <si>
    <t>Peterson</t>
  </si>
  <si>
    <t xml:space="preserve">  1.  1.  3</t>
  </si>
  <si>
    <t>DIREÇÃO DE PRODUÇÃO</t>
  </si>
  <si>
    <t>Resp. pela gestão executiva operacional da ação. Pré Produção, implementação do projeto e pós produção.</t>
  </si>
  <si>
    <t>ServicosTerceiros</t>
  </si>
  <si>
    <t xml:space="preserve">  1.  1.  4</t>
  </si>
  <si>
    <t>CORTESIA LED</t>
  </si>
  <si>
    <t xml:space="preserve">  1.  1.  5</t>
  </si>
  <si>
    <t>HEAD DE ATENDIMENTO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</si>
  <si>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</si>
  <si>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 xml:space="preserve">  1.  1.  6</t>
  </si>
  <si>
    <t>BANDA</t>
  </si>
  <si>
    <t>PG</t>
  </si>
  <si>
    <t>15,00%</t>
  </si>
  <si>
    <t xml:space="preserve">  1.  2</t>
  </si>
  <si>
    <t>Operacional</t>
  </si>
  <si>
    <t xml:space="preserve">  1.  2.  1</t>
  </si>
  <si>
    <t>Coffee Break - 20pax
Coffee Break Chegada - 350 pax
Coffee Break tarde - 350 pax 
Coquetel Happy Hour - 350 pax
Estação Permanente - Café e agua plenária</t>
  </si>
  <si>
    <t xml:space="preserve">  1.  2.  2</t>
  </si>
  <si>
    <t>BAR</t>
  </si>
  <si>
    <t>Serviço de cerveja, prosecco
contratado para 300 pax</t>
  </si>
  <si>
    <t xml:space="preserve">  2</t>
  </si>
  <si>
    <t xml:space="preserve">  2.  1</t>
  </si>
  <si>
    <t>ATRAÇÃO</t>
  </si>
  <si>
    <t xml:space="preserve">  2.  1.  1</t>
  </si>
  <si>
    <t>MUSICO</t>
  </si>
  <si>
    <t xml:space="preserve">  2.  1.  2</t>
  </si>
  <si>
    <t>(*)Fim dos Itens</t>
  </si>
  <si>
    <t>Linhas iniciais de 1 a 9 e que contem o (*) não podem ser excluídas</t>
  </si>
  <si>
    <t>Para novos itens não preencher o campo Lançamento</t>
  </si>
  <si>
    <t>PREENCHER OS CAMPOS CORRETAMENTE</t>
  </si>
  <si>
    <t>DADOS DO JOB</t>
  </si>
  <si>
    <t>Data:</t>
  </si>
  <si>
    <t>13/02/2026</t>
  </si>
  <si>
    <t>Contratante:</t>
  </si>
  <si>
    <t>Oggi Eventos</t>
  </si>
  <si>
    <t>Cliente:</t>
  </si>
  <si>
    <t>Job:</t>
  </si>
  <si>
    <t xml:space="preserve"> </t>
  </si>
  <si>
    <t>Planilha:</t>
  </si>
  <si>
    <t>LE_217_Tech World.V02_11.02.xlsm</t>
  </si>
  <si>
    <t>Item:</t>
  </si>
  <si>
    <t>8.1.2</t>
  </si>
  <si>
    <t>DADOS PARA PAGAMENTO</t>
  </si>
  <si>
    <t>( X ) Pessoa Jurídica</t>
  </si>
  <si>
    <t>() Pessoa Jurídica</t>
  </si>
  <si>
    <t>Razão Social</t>
  </si>
  <si>
    <t>Fantasia:</t>
  </si>
  <si>
    <t>Banco:</t>
  </si>
  <si>
    <t>Agência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</si>
  <si>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</si>
  <si>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</si>
  <si>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</si>
  <si>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</si>
  <si>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</si>
  <si>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</si>
  <si>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</si>
  <si>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</si>
  <si>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Forma de Pagamento</t>
  </si>
  <si>
    <t>1ª</t>
  </si>
  <si>
    <t>(   ) Boleto</t>
  </si>
  <si>
    <t>(   ) Depósito</t>
  </si>
  <si>
    <t>(   ) Pix</t>
  </si>
  <si>
    <t>2ª</t>
  </si>
  <si>
    <t>3ª</t>
  </si>
  <si>
    <t>4ª</t>
  </si>
  <si>
    <t>R$ 0,00</t>
  </si>
  <si>
    <t>OBSERVAÇÕES</t>
  </si>
  <si>
    <t>APROVAÇÕES</t>
  </si>
  <si>
    <t>Badge -  
Vencimento 07/06</t>
  </si>
  <si>
    <t>InPrima - 
Vencimento 23/06</t>
  </si>
  <si>
    <t>Jovi Brindes - 
Vencimento 29/05</t>
  </si>
  <si>
    <t>Verde Leasing 
Pagamento 23/06</t>
  </si>
  <si>
    <t xml:space="preserve">Disktem 
Pagamento - </t>
  </si>
  <si>
    <t>Cabine</t>
  </si>
  <si>
    <t xml:space="preserve">Tradução simultânea </t>
  </si>
  <si>
    <t>Cabine 2,5x2,5m
01 Transmissor fixo
06 Receptores Led sem fio digitais</t>
  </si>
  <si>
    <t>2 Profissionais contratados por até 6h líquidas de interpretação por dia; ou até 8h corridas por dia, incluindo tempo com coffee break, refeição e teste de som prévio. Portugues x Mandarim.</t>
  </si>
  <si>
    <t>AB - Traduções
50% - 29/05
50% - 05/06</t>
  </si>
  <si>
    <t>7.1.2</t>
  </si>
  <si>
    <t>7.1.3</t>
  </si>
  <si>
    <t>SUBTOTAL GRUPO</t>
  </si>
  <si>
    <t>EXTRAS</t>
  </si>
  <si>
    <t>Toalha</t>
  </si>
  <si>
    <t>Rider Camarim - O Pensador</t>
  </si>
  <si>
    <t>Apartamento - Apoio</t>
  </si>
  <si>
    <t>Placa de reservado para patrocinadores: 12 - Granda Advogados, 5 - Croma e 3 -Trousseau + 10 reservados.Impresso ,couche 180g,</t>
  </si>
  <si>
    <t>Porta Lapis em Ps. Tam:10 x 10cm.</t>
  </si>
  <si>
    <t>Backdrop</t>
  </si>
  <si>
    <t>Cracha medindo 10x15, plastificação rígida, com impressão UV e dados variaveis.
Palestrantes: 10
Patrocinador: 23
Participante: 126 + 30 backup (sem nome)</t>
  </si>
  <si>
    <t>Poltronas para speakers no painel: 
3 poltronas
2 mesas de centro
2 mesas bistrôs
Inclui taxa de entrega e retirada.</t>
  </si>
  <si>
    <t>Apto para apoio de manuseio, equipe de produção</t>
  </si>
  <si>
    <t>Sushi, pizzas, bebidas, guloseimas.</t>
  </si>
  <si>
    <t>Toalhas para pranchão</t>
  </si>
  <si>
    <t>Cordão sublimação, 2 x 85 cm, impressão frente e verso, 2uni., fixador dentado 20mm, 2uni. mosquete metal.
Participantes + backup.</t>
  </si>
  <si>
    <r>
      <rPr>
        <sz val="16"/>
        <color rgb="FF000000"/>
        <rFont val="Arial"/>
        <family val="2"/>
      </rPr>
      <t xml:space="preserve">Responsável por ser a ponte principal entre o cliente e a equipe interna (produção, criação, planejamento). Atua desde o briefing inicial, passando pela venda da ideia, acompanhamento do planejamento, execução no dia do evento (in loco) e pós-evento, garantindo a satisfação do cliente e a qualidade da entrega;
</t>
    </r>
    <r>
      <rPr>
        <sz val="16"/>
        <color rgb="FFFF0000"/>
        <rFont val="Arial"/>
        <family val="2"/>
      </rPr>
      <t>Obs:. Valor com desconto;</t>
    </r>
  </si>
  <si>
    <r>
      <t>É a etapa estratégica e meticulosa de conceber, estruturar e organizar as diretrizes de um evento antes da sua execução física. Este setor atua como a ponte entre os objetivos de negócio do cliente (marketing, branding, vendas) e a experiência final do participante, garantindo que o evento seja memorável, eficiente e alinhado ao orçamento;</t>
    </r>
    <r>
      <rPr>
        <sz val="16"/>
        <color rgb="FFFF0000"/>
        <rFont val="Arial"/>
        <family val="2"/>
      </rPr>
      <t xml:space="preserve">
Obs.: Não se aplica neste projeto.</t>
    </r>
  </si>
  <si>
    <r>
      <t>Focado em conectar o evento ao público-alvo, detalhando conceito, objetivos, público, linkando (temática, cenografia, tecnologia, sensorial) e experiência. Além de criação de KV e peças;</t>
    </r>
    <r>
      <rPr>
        <sz val="16"/>
        <color rgb="FFFF0000"/>
        <rFont val="Arial"/>
        <family val="2"/>
      </rPr>
      <t xml:space="preserve">
Obs:. Valor com desconto (75%) por ser somente os desdobramentos do KV do cliente.
Crachá · Cordão · Uniforme recepcionistas · Uniforme staff · Botom palestrante · Displays A4 · Moleskine · Bag · Lápis · Pulseira · Ficha de palco · Backdrop · Prisma de mesa</t>
    </r>
  </si>
  <si>
    <r>
      <t xml:space="preserve">È o responsável por traduzir conceitos criativos e briefings em visualizações tridimensionais realistas de estandes, palcos, ativações de marca e cenografias. Esse profissional transforma ideias abstratas em imagens e projetos técnicos que guiarão a montagem física do evento;
</t>
    </r>
    <r>
      <rPr>
        <sz val="16"/>
        <color rgb="FFFF0000"/>
        <rFont val="Arial"/>
        <family val="2"/>
      </rPr>
      <t>Obs.: Não se aplica neste projeto.</t>
    </r>
  </si>
  <si>
    <r>
      <t xml:space="preserve">Responsável pela concepção, orçamento, cronograma macro, viabilidade financeira e negociação com clientes e/ou stakeholders;
</t>
    </r>
    <r>
      <rPr>
        <sz val="16"/>
        <color rgb="FFFF0000"/>
        <rFont val="Arial"/>
        <family val="2"/>
      </rPr>
      <t>Obs:. Valor com desconto</t>
    </r>
    <r>
      <rPr>
        <sz val="16"/>
        <color theme="1"/>
        <rFont val="Arial"/>
        <family val="2"/>
      </rPr>
      <t>;</t>
    </r>
  </si>
  <si>
    <r>
      <rPr>
        <sz val="16"/>
        <color rgb="FF000000"/>
        <rFont val="Arial"/>
        <family val="2"/>
      </rPr>
      <t xml:space="preserve">Dá o suporte atuando desde a cotação com fornecedores e controle de cronogramas até o suporte logístico no local, incluindo montagem/desmontagem, comunicação com equipes, atendimento a clientes e controle de materiais, garantindo que todas as etapas ocorram dentro do prazo e dos objetivos do projeto;
</t>
    </r>
    <r>
      <rPr>
        <sz val="16"/>
        <color rgb="FFFF0000"/>
        <rFont val="Arial"/>
        <family val="2"/>
      </rPr>
      <t>Obs:. Valor com desconto</t>
    </r>
    <r>
      <rPr>
        <sz val="16"/>
        <color rgb="FF000000"/>
        <rFont val="Arial"/>
        <family val="2"/>
      </rPr>
      <t>;</t>
    </r>
  </si>
  <si>
    <r>
      <rPr>
        <sz val="16"/>
        <color rgb="FF000000"/>
        <rFont val="Arial"/>
        <family val="2"/>
      </rPr>
      <t xml:space="preserve">Responsável por resolver a sazonalidade, o descasamento entre o alto volume de pagamentos a fornecedores (antes do evento) e o recebimento das receitas. Além de ser responsável por todo processo de prestação de conta e faturamento;
</t>
    </r>
    <r>
      <rPr>
        <sz val="16"/>
        <color rgb="FFFF0000"/>
        <rFont val="Arial"/>
        <family val="2"/>
      </rPr>
      <t>Obs:. Valor com desconto;</t>
    </r>
  </si>
  <si>
    <r>
      <t xml:space="preserve">Seguro
</t>
    </r>
    <r>
      <rPr>
        <b/>
        <sz val="16"/>
        <color rgb="FFFF0000"/>
        <rFont val="Arial"/>
        <family val="2"/>
      </rPr>
      <t>Responsabilidade do cliente</t>
    </r>
  </si>
  <si>
    <r>
      <t xml:space="preserve">ECAD
</t>
    </r>
    <r>
      <rPr>
        <b/>
        <sz val="16"/>
        <color rgb="FFFF0000"/>
        <rFont val="Arial"/>
        <family val="2"/>
      </rPr>
      <t>Responsabilidade do cliente</t>
    </r>
  </si>
  <si>
    <r>
      <t xml:space="preserve">Taxa de Ecad;
</t>
    </r>
    <r>
      <rPr>
        <sz val="16"/>
        <color rgb="FFFF0000"/>
        <rFont val="Arial"/>
        <family val="2"/>
      </rPr>
      <t>Pagamento direto pelo cliente</t>
    </r>
  </si>
  <si>
    <r>
      <t xml:space="preserve">Totem de Led
</t>
    </r>
    <r>
      <rPr>
        <sz val="16"/>
        <color rgb="FFFF0000"/>
        <rFont val="Arial"/>
        <family val="2"/>
      </rPr>
      <t>Responsabilidade do fornecedor parceiro do cliente</t>
    </r>
  </si>
  <si>
    <r>
      <t xml:space="preserve">Mobiliário (Bistrôs - para A&amp;B)
</t>
    </r>
    <r>
      <rPr>
        <sz val="16"/>
        <color rgb="FFFF0000"/>
        <rFont val="Arial"/>
        <family val="2"/>
      </rPr>
      <t>item excluído</t>
    </r>
  </si>
  <si>
    <r>
      <t xml:space="preserve">Responsáveis pela execução e acompanhamento das operações no local do evento, apoiando logística, fornecedores, equipes e demandas emergenciais
01 p/ Credenciamento;
01 p/ Plenária;
01 p/ </t>
    </r>
    <r>
      <rPr>
        <b/>
        <sz val="16"/>
        <color theme="1"/>
        <rFont val="Arial"/>
        <family val="2"/>
      </rPr>
      <t>Serviços;</t>
    </r>
    <r>
      <rPr>
        <sz val="16"/>
        <color theme="1"/>
        <rFont val="Arial"/>
        <family val="2"/>
      </rPr>
      <t xml:space="preserve">
01 p/ </t>
    </r>
    <r>
      <rPr>
        <b/>
        <sz val="16"/>
        <color theme="1"/>
        <rFont val="Arial"/>
        <family val="2"/>
      </rPr>
      <t>A&amp;B;</t>
    </r>
  </si>
  <si>
    <t>VÍDEO</t>
  </si>
  <si>
    <t>STUDIO ROCA</t>
  </si>
  <si>
    <t>FERNANDA PINHEIRO</t>
  </si>
  <si>
    <t>VENDA</t>
  </si>
  <si>
    <t xml:space="preserve">CUSTO </t>
  </si>
  <si>
    <t>LUCRO</t>
  </si>
  <si>
    <t>IMPOSTO</t>
  </si>
  <si>
    <t>CUSTO TOTAL</t>
  </si>
  <si>
    <t>PENDENTE</t>
  </si>
  <si>
    <t>EFETUADO</t>
  </si>
  <si>
    <t>NOME</t>
  </si>
  <si>
    <t>SILVIA BRITO</t>
  </si>
  <si>
    <t>GABRIEL VITOR</t>
  </si>
  <si>
    <t>CARTÃO 1823</t>
  </si>
  <si>
    <t>ETIQUETAS FERREIRA</t>
  </si>
  <si>
    <t>AVANCE BRINDES</t>
  </si>
  <si>
    <t>LUCAS FELIPE - THIAGO GOMES - JOÃO ANTONIO - WAGNER CESAR</t>
  </si>
  <si>
    <t xml:space="preserve">WILLIANS GONÇALVES </t>
  </si>
  <si>
    <t>LUIS JAVIER</t>
  </si>
  <si>
    <t>GABRIELA GOULART</t>
  </si>
  <si>
    <t>SILVIA BRITO (COMERCIAL CORDOVA) - ALESSANDRO</t>
  </si>
  <si>
    <t>CLAUDIA - DANIEL - DA ORIKASSA</t>
  </si>
  <si>
    <t>AS CASTING</t>
  </si>
  <si>
    <t>BADGESET</t>
  </si>
  <si>
    <t>TOZZINI</t>
  </si>
  <si>
    <t>DISKTEM - VERDE LEASING</t>
  </si>
  <si>
    <t>MR LOCAÇÃOES</t>
  </si>
  <si>
    <t>SK COPIADORA</t>
  </si>
  <si>
    <t>CARTÃO ISABELA</t>
  </si>
  <si>
    <t>FISH DELIVERY</t>
  </si>
  <si>
    <t>NATALIA NOBESCHI</t>
  </si>
  <si>
    <t>PRINCIPAL</t>
  </si>
  <si>
    <t>TRADUÇÃO SIMULTÂNEA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</si>
</sst>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sz val="11"/>
      <name val="Verdana"/>
      <family val="2"/>
    </font>
    <font>
      <b/>
      <sz val="12"/>
      <color indexed="63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4"/>
      <color theme="1"/>
      <name val="Gadugi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4"/>
      <color theme="0"/>
      <name val="Trebuchet MS"/>
      <family val="2"/>
    </font>
    <font>
      <sz val="14"/>
      <name val="Trebuchet MS"/>
      <family val="2"/>
    </font>
    <font>
      <sz val="13"/>
      <name val="Trebuchet MS"/>
      <family val="2"/>
    </font>
    <font>
      <b/>
      <sz val="10"/>
      <color theme="0"/>
      <name val="Trebuchet MS"/>
      <family val="2"/>
    </font>
    <font>
      <b/>
      <sz val="12"/>
      <color theme="0"/>
      <name val="Trebuchet MS"/>
      <family val="2"/>
    </font>
    <font>
      <b/>
      <sz val="16"/>
      <color theme="0"/>
      <name val="Trebuchet MS"/>
      <family val="2"/>
    </font>
    <font>
      <sz val="14"/>
      <color theme="0"/>
      <name val="Trebuchet MS"/>
      <family val="2"/>
    </font>
    <font>
      <sz val="12"/>
      <color rgb="FFFF0000"/>
      <name val="Trebuchet MS"/>
      <family val="2"/>
    </font>
    <font>
      <b/>
      <sz val="12"/>
      <color rgb="FFFF0000"/>
      <name val="Trebuchet MS"/>
      <family val="2"/>
    </font>
    <font>
      <sz val="8"/>
      <name val="Calibri"/>
      <family val="2"/>
      <scheme val="minor"/>
    </font>
    <font>
      <sz val="9.5"/>
      <color theme="1"/>
      <name val="Trebuchet MS"/>
      <family val="2"/>
    </font>
    <font>
      <b/>
      <sz val="14"/>
      <color theme="1"/>
      <name val="Arial"/>
      <family val="2"/>
    </font>
    <font>
      <b/>
      <sz val="16"/>
      <color theme="0"/>
      <name val="Arial"/>
      <family val="2"/>
    </font>
    <font>
      <sz val="16"/>
      <color theme="1"/>
      <name val="Arial"/>
      <family val="2"/>
    </font>
    <font>
      <b/>
      <sz val="16"/>
      <name val="Arial"/>
      <family val="2"/>
    </font>
    <font>
      <b/>
      <sz val="16"/>
      <color theme="1"/>
      <name val="Arial"/>
      <family val="2"/>
    </font>
    <font>
      <sz val="16"/>
      <name val="Arial"/>
      <family val="2"/>
    </font>
    <font>
      <b/>
      <sz val="16"/>
      <color indexed="63"/>
      <name val="Arial"/>
      <family val="2"/>
    </font>
    <font>
      <sz val="16"/>
      <color theme="0"/>
      <name val="Arial"/>
      <family val="2"/>
    </font>
    <font>
      <sz val="16"/>
      <color rgb="FF000000"/>
      <name val="Arial"/>
      <family val="2"/>
    </font>
    <font>
      <sz val="16"/>
      <color rgb="FFFF0000"/>
      <name val="Arial"/>
      <family val="2"/>
    </font>
    <font>
      <b/>
      <sz val="16"/>
      <color rgb="FFFF0000"/>
      <name val="Arial"/>
      <family val="2"/>
    </font>
    <font>
      <b/>
      <sz val="11"/>
      <name val="Trebuchet MS"/>
      <family val="2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b/>
      <sz val="18"/>
      <color theme="0"/>
      <name val="Trebuchet MS"/>
      <family val="2"/>
    </font>
    <font>
      <b/>
      <sz val="18"/>
      <color rgb="FFFF0000"/>
      <name val="Calibri"/>
      <family val="2"/>
      <scheme val="minor"/>
    </font>
    <font>
      <b/>
      <sz val="18"/>
      <color rgb="FF00B05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name val="Trebuchet MS"/>
      <family val="2"/>
    </font>
  </fonts>
  <fills count="3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F9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11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7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13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2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21">
    <xf numFmtId="0" fontId="0" fillId="0" borderId="0" xfId="0"/>
    <xf numFmtId="49" fontId="0" fillId="0" borderId="0" xfId="0" applyNumberFormat="1"/>
    <xf numFmtId="0" fontId="0" fillId="0" borderId="9" xfId="0" applyBorder="1"/>
    <xf numFmtId="0" fontId="0" fillId="0" borderId="10" xfId="0" applyBorder="1"/>
    <xf numFmtId="0" fontId="2" fillId="0" borderId="12" xfId="0" applyFont="1" applyBorder="1"/>
    <xf numFmtId="0" fontId="2" fillId="0" borderId="16" xfId="0" applyFont="1" applyBorder="1"/>
    <xf numFmtId="0" fontId="0" fillId="0" borderId="2" xfId="0" applyBorder="1" applyAlignment="1">
      <alignment horizontal="left"/>
    </xf>
    <xf numFmtId="0" fontId="0" fillId="0" borderId="18" xfId="0" applyBorder="1" applyAlignment="1">
      <alignment horizontal="left"/>
    </xf>
    <xf numFmtId="0" fontId="2" fillId="0" borderId="19" xfId="0" applyFont="1" applyBorder="1"/>
    <xf numFmtId="0" fontId="2" fillId="0" borderId="19" xfId="0" applyFont="1" applyBorder="1" applyAlignment="1">
      <alignment horizontal="center"/>
    </xf>
    <xf numFmtId="0" fontId="0" fillId="0" borderId="11" xfId="0" applyBorder="1"/>
    <xf numFmtId="0" fontId="2" fillId="0" borderId="23" xfId="0" applyFont="1" applyBorder="1"/>
    <xf numFmtId="0" fontId="2" fillId="0" borderId="2" xfId="0" applyFont="1" applyBorder="1" applyAlignment="1">
      <alignment horizontal="left"/>
    </xf>
    <xf numFmtId="0" fontId="2" fillId="0" borderId="16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0" xfId="0" applyAlignment="1">
      <alignment horizontal="right"/>
    </xf>
    <xf numFmtId="0" fontId="11" fillId="4" borderId="28" xfId="0" applyFont="1" applyFill="1" applyBorder="1"/>
    <xf numFmtId="0" fontId="11" fillId="4" borderId="29" xfId="0" applyFont="1" applyFill="1" applyBorder="1"/>
    <xf numFmtId="0" fontId="0" fillId="0" borderId="0" xfId="1" applyNumberFormat="1" applyFont="1"/>
    <xf numFmtId="0" fontId="14" fillId="0" borderId="0" xfId="0" applyFont="1"/>
    <xf numFmtId="165" fontId="8" fillId="6" borderId="31" xfId="4" applyFont="1" applyFill="1" applyBorder="1" applyAlignment="1">
      <alignment horizontal="center" vertical="center" wrapText="1"/>
    </xf>
    <xf numFmtId="0" fontId="15" fillId="5" borderId="0" xfId="0" applyFont="1" applyFill="1"/>
    <xf numFmtId="49" fontId="15" fillId="5" borderId="0" xfId="0" applyNumberFormat="1" applyFont="1" applyFill="1"/>
    <xf numFmtId="164" fontId="6" fillId="0" borderId="0" xfId="2" applyNumberFormat="1" applyFont="1" applyAlignment="1">
      <alignment horizontal="left" vertical="center"/>
    </xf>
    <xf numFmtId="166" fontId="8" fillId="0" borderId="33" xfId="4" applyNumberFormat="1" applyFont="1" applyBorder="1" applyAlignment="1">
      <alignment horizontal="center" vertical="center" wrapText="1"/>
    </xf>
    <xf numFmtId="0" fontId="16" fillId="8" borderId="35" xfId="0" applyFont="1" applyFill="1" applyBorder="1" applyAlignment="1">
      <alignment vertical="center"/>
    </xf>
    <xf numFmtId="0" fontId="18" fillId="8" borderId="35" xfId="0" applyFont="1" applyFill="1" applyBorder="1" applyAlignment="1">
      <alignment horizontal="center" vertical="center"/>
    </xf>
    <xf numFmtId="22" fontId="16" fillId="8" borderId="35" xfId="0" applyNumberFormat="1" applyFont="1" applyFill="1" applyBorder="1" applyAlignment="1">
      <alignment horizontal="center" vertical="center"/>
    </xf>
    <xf numFmtId="0" fontId="20" fillId="8" borderId="36" xfId="0" applyFont="1" applyFill="1" applyBorder="1" applyAlignment="1">
      <alignment horizontal="center" vertical="center" wrapText="1"/>
    </xf>
    <xf numFmtId="0" fontId="20" fillId="8" borderId="37" xfId="0" applyFont="1" applyFill="1" applyBorder="1" applyAlignment="1">
      <alignment horizontal="center" vertical="center" wrapText="1"/>
    </xf>
    <xf numFmtId="0" fontId="0" fillId="9" borderId="38" xfId="0" applyFill="1" applyBorder="1" applyAlignment="1">
      <alignment vertical="center"/>
    </xf>
    <xf numFmtId="0" fontId="0" fillId="9" borderId="38" xfId="0" applyFill="1" applyBorder="1" applyAlignment="1">
      <alignment horizontal="right" vertical="center"/>
    </xf>
    <xf numFmtId="4" fontId="0" fillId="9" borderId="38" xfId="0" applyNumberFormat="1" applyFill="1" applyBorder="1" applyAlignment="1">
      <alignment horizontal="right" vertical="center"/>
    </xf>
    <xf numFmtId="9" fontId="0" fillId="9" borderId="38" xfId="0" applyNumberFormat="1" applyFill="1" applyBorder="1" applyAlignment="1">
      <alignment horizontal="right" vertical="center"/>
    </xf>
    <xf numFmtId="0" fontId="0" fillId="9" borderId="39" xfId="0" applyFill="1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38" xfId="0" applyBorder="1" applyAlignment="1">
      <alignment horizontal="right" vertical="center"/>
    </xf>
    <xf numFmtId="4" fontId="0" fillId="0" borderId="38" xfId="0" applyNumberFormat="1" applyBorder="1" applyAlignment="1">
      <alignment horizontal="right" vertical="center"/>
    </xf>
    <xf numFmtId="9" fontId="0" fillId="0" borderId="38" xfId="0" applyNumberFormat="1" applyBorder="1" applyAlignment="1">
      <alignment horizontal="right" vertical="center"/>
    </xf>
    <xf numFmtId="0" fontId="0" fillId="0" borderId="39" xfId="0" applyBorder="1" applyAlignment="1">
      <alignment vertical="center"/>
    </xf>
    <xf numFmtId="0" fontId="0" fillId="0" borderId="39" xfId="0" applyBorder="1" applyAlignment="1">
      <alignment vertical="center" wrapText="1"/>
    </xf>
    <xf numFmtId="0" fontId="0" fillId="9" borderId="39" xfId="0" applyFill="1" applyBorder="1" applyAlignment="1">
      <alignment vertical="center" wrapText="1"/>
    </xf>
    <xf numFmtId="0" fontId="0" fillId="9" borderId="40" xfId="0" applyFill="1" applyBorder="1" applyAlignment="1">
      <alignment vertical="center"/>
    </xf>
    <xf numFmtId="0" fontId="0" fillId="9" borderId="40" xfId="0" applyFill="1" applyBorder="1" applyAlignment="1">
      <alignment horizontal="right" vertical="center"/>
    </xf>
    <xf numFmtId="4" fontId="0" fillId="9" borderId="40" xfId="0" applyNumberFormat="1" applyFill="1" applyBorder="1" applyAlignment="1">
      <alignment horizontal="right" vertical="center"/>
    </xf>
    <xf numFmtId="9" fontId="0" fillId="9" borderId="40" xfId="0" applyNumberFormat="1" applyFill="1" applyBorder="1" applyAlignment="1">
      <alignment horizontal="right" vertical="center"/>
    </xf>
    <xf numFmtId="0" fontId="0" fillId="9" borderId="41" xfId="0" applyFill="1" applyBorder="1" applyAlignment="1">
      <alignment vertical="center"/>
    </xf>
    <xf numFmtId="0" fontId="0" fillId="0" borderId="0" xfId="0" applyAlignment="1">
      <alignment horizontal="center"/>
    </xf>
    <xf numFmtId="49" fontId="4" fillId="0" borderId="0" xfId="2" applyNumberFormat="1" applyFont="1" applyAlignment="1">
      <alignment horizontal="left" vertical="center" wrapText="1"/>
    </xf>
    <xf numFmtId="0" fontId="4" fillId="0" borderId="0" xfId="2" applyFont="1" applyAlignment="1">
      <alignment horizontal="left" vertical="center" wrapText="1"/>
    </xf>
    <xf numFmtId="0" fontId="21" fillId="0" borderId="0" xfId="0" applyFont="1" applyAlignment="1">
      <alignment horizontal="center"/>
    </xf>
    <xf numFmtId="0" fontId="23" fillId="0" borderId="42" xfId="0" applyFont="1" applyBorder="1" applyAlignment="1">
      <alignment horizontal="left" vertical="center" wrapText="1"/>
    </xf>
    <xf numFmtId="0" fontId="23" fillId="0" borderId="42" xfId="0" applyFont="1" applyBorder="1" applyAlignment="1">
      <alignment horizontal="left" vertical="center"/>
    </xf>
    <xf numFmtId="49" fontId="23" fillId="0" borderId="43" xfId="0" applyNumberFormat="1" applyFont="1" applyBorder="1" applyAlignment="1">
      <alignment horizontal="left" vertical="center"/>
    </xf>
    <xf numFmtId="0" fontId="23" fillId="0" borderId="44" xfId="0" applyFont="1" applyBorder="1" applyAlignment="1">
      <alignment horizontal="left" vertical="center"/>
    </xf>
    <xf numFmtId="10" fontId="8" fillId="6" borderId="45" xfId="5" applyNumberFormat="1" applyFont="1" applyFill="1" applyBorder="1" applyAlignment="1">
      <alignment horizontal="center" vertical="center" wrapText="1"/>
    </xf>
    <xf numFmtId="10" fontId="24" fillId="6" borderId="47" xfId="1" applyNumberFormat="1" applyFont="1" applyFill="1" applyBorder="1" applyAlignment="1">
      <alignment horizontal="center" vertical="center" wrapText="1"/>
    </xf>
    <xf numFmtId="0" fontId="4" fillId="6" borderId="46" xfId="3" applyFont="1" applyFill="1" applyBorder="1" applyAlignment="1">
      <alignment horizontal="left" vertical="center"/>
    </xf>
    <xf numFmtId="0" fontId="4" fillId="6" borderId="47" xfId="3" applyFont="1" applyFill="1" applyBorder="1" applyAlignment="1">
      <alignment horizontal="center" vertical="center"/>
    </xf>
    <xf numFmtId="0" fontId="24" fillId="6" borderId="47" xfId="3" applyFont="1" applyFill="1" applyBorder="1" applyAlignment="1">
      <alignment horizontal="center" vertical="center"/>
    </xf>
    <xf numFmtId="169" fontId="24" fillId="6" borderId="47" xfId="3" applyNumberFormat="1" applyFont="1" applyFill="1" applyBorder="1" applyAlignment="1">
      <alignment horizontal="center" vertical="center" wrapText="1"/>
    </xf>
    <xf numFmtId="0" fontId="24" fillId="6" borderId="49" xfId="3" applyFont="1" applyFill="1" applyBorder="1" applyAlignment="1">
      <alignment horizontal="center" vertical="center" wrapText="1"/>
    </xf>
    <xf numFmtId="0" fontId="23" fillId="0" borderId="50" xfId="0" applyFont="1" applyBorder="1" applyAlignment="1">
      <alignment horizontal="left" vertical="center" wrapText="1"/>
    </xf>
    <xf numFmtId="0" fontId="23" fillId="0" borderId="52" xfId="0" applyFont="1" applyBorder="1" applyAlignment="1">
      <alignment horizontal="left" vertical="center" wrapText="1"/>
    </xf>
    <xf numFmtId="0" fontId="23" fillId="0" borderId="44" xfId="0" applyFont="1" applyBorder="1" applyAlignment="1">
      <alignment horizontal="left" vertical="center" wrapText="1"/>
    </xf>
    <xf numFmtId="49" fontId="23" fillId="0" borderId="43" xfId="0" applyNumberFormat="1" applyFont="1" applyBorder="1" applyAlignment="1">
      <alignment horizontal="left" vertical="center" wrapText="1"/>
    </xf>
    <xf numFmtId="0" fontId="24" fillId="13" borderId="48" xfId="0" applyFont="1" applyFill="1" applyBorder="1" applyAlignment="1">
      <alignment horizontal="center" vertical="center"/>
    </xf>
    <xf numFmtId="0" fontId="24" fillId="13" borderId="47" xfId="0" applyFont="1" applyFill="1" applyBorder="1" applyAlignment="1">
      <alignment horizontal="center" vertical="center"/>
    </xf>
    <xf numFmtId="44" fontId="23" fillId="0" borderId="57" xfId="8" applyFont="1" applyBorder="1" applyAlignment="1">
      <alignment vertical="center"/>
    </xf>
    <xf numFmtId="10" fontId="23" fillId="16" borderId="8" xfId="0" applyNumberFormat="1" applyFont="1" applyFill="1" applyBorder="1" applyAlignment="1">
      <alignment horizontal="center" vertical="center"/>
    </xf>
    <xf numFmtId="44" fontId="23" fillId="15" borderId="57" xfId="8" applyFont="1" applyFill="1" applyBorder="1" applyAlignment="1">
      <alignment vertical="center"/>
    </xf>
    <xf numFmtId="164" fontId="26" fillId="0" borderId="15" xfId="2" applyNumberFormat="1" applyFont="1" applyBorder="1" applyAlignment="1" applyProtection="1">
      <alignment horizontal="left" vertical="center"/>
      <protection locked="0"/>
    </xf>
    <xf numFmtId="164" fontId="26" fillId="0" borderId="25" xfId="2" applyNumberFormat="1" applyFont="1" applyBorder="1" applyAlignment="1" applyProtection="1">
      <alignment horizontal="left" vertical="center"/>
      <protection locked="0"/>
    </xf>
    <xf numFmtId="0" fontId="27" fillId="0" borderId="18" xfId="2" applyFont="1" applyBorder="1" applyAlignment="1" applyProtection="1">
      <alignment horizontal="left" vertical="center"/>
      <protection locked="0"/>
    </xf>
    <xf numFmtId="0" fontId="26" fillId="0" borderId="18" xfId="2" applyFont="1" applyBorder="1" applyAlignment="1" applyProtection="1">
      <alignment horizontal="left" vertical="center"/>
      <protection locked="0"/>
    </xf>
    <xf numFmtId="14" fontId="27" fillId="0" borderId="25" xfId="2" applyNumberFormat="1" applyFont="1" applyBorder="1" applyAlignment="1" applyProtection="1">
      <alignment horizontal="left" vertical="center"/>
      <protection locked="0"/>
    </xf>
    <xf numFmtId="44" fontId="23" fillId="12" borderId="57" xfId="8" applyFont="1" applyFill="1" applyBorder="1" applyAlignment="1">
      <alignment vertical="center"/>
    </xf>
    <xf numFmtId="1" fontId="23" fillId="14" borderId="54" xfId="0" applyNumberFormat="1" applyFont="1" applyFill="1" applyBorder="1" applyAlignment="1">
      <alignment horizontal="center" vertical="center"/>
    </xf>
    <xf numFmtId="170" fontId="25" fillId="11" borderId="11" xfId="8" applyNumberFormat="1" applyFont="1" applyFill="1" applyBorder="1" applyAlignment="1">
      <alignment horizontal="right"/>
    </xf>
    <xf numFmtId="165" fontId="8" fillId="6" borderId="62" xfId="4" applyFont="1" applyFill="1" applyBorder="1" applyAlignment="1">
      <alignment horizontal="center" vertical="center" wrapText="1"/>
    </xf>
    <xf numFmtId="165" fontId="8" fillId="6" borderId="63" xfId="4" applyFont="1" applyFill="1" applyBorder="1" applyAlignment="1">
      <alignment horizontal="center" vertical="center" wrapText="1"/>
    </xf>
    <xf numFmtId="10" fontId="8" fillId="6" borderId="64" xfId="5" applyNumberFormat="1" applyFont="1" applyFill="1" applyBorder="1" applyAlignment="1">
      <alignment horizontal="center" vertical="center" wrapText="1"/>
    </xf>
    <xf numFmtId="40" fontId="8" fillId="6" borderId="65" xfId="4" applyNumberFormat="1" applyFont="1" applyFill="1" applyBorder="1" applyAlignment="1">
      <alignment horizontal="center" vertical="center" wrapText="1"/>
    </xf>
    <xf numFmtId="165" fontId="8" fillId="6" borderId="66" xfId="4" applyFont="1" applyFill="1" applyBorder="1" applyAlignment="1">
      <alignment horizontal="right" vertical="center"/>
    </xf>
    <xf numFmtId="40" fontId="8" fillId="6" borderId="64" xfId="4" applyNumberFormat="1" applyFont="1" applyFill="1" applyBorder="1" applyAlignment="1">
      <alignment horizontal="center" vertical="center"/>
    </xf>
    <xf numFmtId="9" fontId="24" fillId="6" borderId="47" xfId="1" applyFont="1" applyFill="1" applyBorder="1" applyAlignment="1">
      <alignment horizontal="center" vertical="center" wrapText="1"/>
    </xf>
    <xf numFmtId="0" fontId="24" fillId="6" borderId="47" xfId="3" applyFont="1" applyFill="1" applyBorder="1" applyAlignment="1">
      <alignment horizontal="center" vertical="center" wrapText="1"/>
    </xf>
    <xf numFmtId="164" fontId="26" fillId="0" borderId="13" xfId="2" applyNumberFormat="1" applyFont="1" applyBorder="1" applyAlignment="1" applyProtection="1">
      <alignment horizontal="left" vertical="center"/>
      <protection locked="0"/>
    </xf>
    <xf numFmtId="164" fontId="26" fillId="0" borderId="24" xfId="2" applyNumberFormat="1" applyFont="1" applyBorder="1" applyAlignment="1" applyProtection="1">
      <alignment horizontal="left" vertical="center"/>
      <protection locked="0"/>
    </xf>
    <xf numFmtId="164" fontId="26" fillId="0" borderId="32" xfId="2" applyNumberFormat="1" applyFont="1" applyBorder="1" applyAlignment="1" applyProtection="1">
      <alignment horizontal="left" vertical="center"/>
      <protection locked="0"/>
    </xf>
    <xf numFmtId="0" fontId="26" fillId="0" borderId="22" xfId="2" applyFont="1" applyBorder="1" applyAlignment="1" applyProtection="1">
      <alignment horizontal="left" vertical="center"/>
      <protection locked="0"/>
    </xf>
    <xf numFmtId="0" fontId="23" fillId="0" borderId="68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1" fontId="23" fillId="14" borderId="53" xfId="0" applyNumberFormat="1" applyFont="1" applyFill="1" applyBorder="1" applyAlignment="1">
      <alignment horizontal="center" vertical="center"/>
    </xf>
    <xf numFmtId="44" fontId="23" fillId="14" borderId="53" xfId="8" applyFont="1" applyFill="1" applyBorder="1" applyAlignment="1">
      <alignment vertical="center"/>
    </xf>
    <xf numFmtId="44" fontId="23" fillId="16" borderId="53" xfId="8" applyFont="1" applyFill="1" applyBorder="1" applyAlignment="1">
      <alignment vertical="center"/>
    </xf>
    <xf numFmtId="9" fontId="23" fillId="15" borderId="53" xfId="1" applyFont="1" applyFill="1" applyBorder="1" applyAlignment="1">
      <alignment vertical="center"/>
    </xf>
    <xf numFmtId="44" fontId="23" fillId="15" borderId="53" xfId="8" applyFont="1" applyFill="1" applyBorder="1" applyAlignment="1">
      <alignment vertical="center"/>
    </xf>
    <xf numFmtId="44" fontId="23" fillId="15" borderId="71" xfId="8" applyFont="1" applyFill="1" applyBorder="1" applyAlignment="1">
      <alignment vertical="center"/>
    </xf>
    <xf numFmtId="0" fontId="23" fillId="0" borderId="74" xfId="0" applyFont="1" applyBorder="1" applyAlignment="1">
      <alignment horizontal="left" vertical="center" wrapText="1"/>
    </xf>
    <xf numFmtId="0" fontId="23" fillId="12" borderId="75" xfId="0" applyFont="1" applyFill="1" applyBorder="1" applyAlignment="1">
      <alignment horizontal="left" vertical="center" wrapText="1"/>
    </xf>
    <xf numFmtId="0" fontId="23" fillId="12" borderId="75" xfId="0" applyFont="1" applyFill="1" applyBorder="1" applyAlignment="1">
      <alignment horizontal="center" vertical="center"/>
    </xf>
    <xf numFmtId="44" fontId="23" fillId="12" borderId="75" xfId="8" applyFont="1" applyFill="1" applyBorder="1" applyAlignment="1">
      <alignment vertical="center"/>
    </xf>
    <xf numFmtId="44" fontId="23" fillId="12" borderId="76" xfId="8" applyFont="1" applyFill="1" applyBorder="1" applyAlignment="1">
      <alignment vertical="center"/>
    </xf>
    <xf numFmtId="1" fontId="23" fillId="14" borderId="58" xfId="0" applyNumberFormat="1" applyFont="1" applyFill="1" applyBorder="1" applyAlignment="1">
      <alignment horizontal="center" vertical="center"/>
    </xf>
    <xf numFmtId="44" fontId="23" fillId="14" borderId="58" xfId="8" applyFont="1" applyFill="1" applyBorder="1" applyAlignment="1">
      <alignment vertical="center"/>
    </xf>
    <xf numFmtId="44" fontId="23" fillId="16" borderId="58" xfId="8" applyFont="1" applyFill="1" applyBorder="1" applyAlignment="1">
      <alignment vertical="center"/>
    </xf>
    <xf numFmtId="9" fontId="23" fillId="15" borderId="58" xfId="1" applyFont="1" applyFill="1" applyBorder="1" applyAlignment="1">
      <alignment vertical="center"/>
    </xf>
    <xf numFmtId="44" fontId="23" fillId="15" borderId="58" xfId="8" applyFont="1" applyFill="1" applyBorder="1" applyAlignment="1">
      <alignment vertical="center"/>
    </xf>
    <xf numFmtId="44" fontId="23" fillId="15" borderId="77" xfId="8" applyFont="1" applyFill="1" applyBorder="1" applyAlignment="1">
      <alignment vertical="center"/>
    </xf>
    <xf numFmtId="10" fontId="23" fillId="16" borderId="26" xfId="0" applyNumberFormat="1" applyFont="1" applyFill="1" applyBorder="1" applyAlignment="1">
      <alignment horizontal="center" vertical="center"/>
    </xf>
    <xf numFmtId="170" fontId="24" fillId="13" borderId="48" xfId="8" applyNumberFormat="1" applyFont="1" applyFill="1" applyBorder="1" applyAlignment="1">
      <alignment horizontal="center" vertical="center"/>
    </xf>
    <xf numFmtId="170" fontId="24" fillId="13" borderId="47" xfId="8" applyNumberFormat="1" applyFont="1" applyFill="1" applyBorder="1" applyAlignment="1">
      <alignment horizontal="center" vertical="center"/>
    </xf>
    <xf numFmtId="10" fontId="29" fillId="16" borderId="8" xfId="8" applyNumberFormat="1" applyFont="1" applyFill="1" applyBorder="1" applyAlignment="1">
      <alignment horizontal="center" vertical="center"/>
    </xf>
    <xf numFmtId="44" fontId="23" fillId="0" borderId="53" xfId="8" applyFont="1" applyBorder="1" applyAlignment="1">
      <alignment vertical="center"/>
    </xf>
    <xf numFmtId="0" fontId="23" fillId="0" borderId="83" xfId="0" applyFont="1" applyBorder="1" applyAlignment="1">
      <alignment horizontal="left" vertical="center" wrapText="1"/>
    </xf>
    <xf numFmtId="0" fontId="23" fillId="0" borderId="53" xfId="0" applyFont="1" applyBorder="1" applyAlignment="1">
      <alignment horizontal="left" vertical="center" wrapText="1"/>
    </xf>
    <xf numFmtId="0" fontId="23" fillId="0" borderId="53" xfId="0" applyFont="1" applyBorder="1" applyAlignment="1">
      <alignment horizontal="center" vertical="center"/>
    </xf>
    <xf numFmtId="0" fontId="24" fillId="12" borderId="54" xfId="0" applyFont="1" applyFill="1" applyBorder="1" applyAlignment="1">
      <alignment horizontal="left" vertical="center" wrapText="1"/>
    </xf>
    <xf numFmtId="0" fontId="23" fillId="12" borderId="53" xfId="0" applyFont="1" applyFill="1" applyBorder="1" applyAlignment="1">
      <alignment horizontal="center" vertical="center"/>
    </xf>
    <xf numFmtId="0" fontId="23" fillId="12" borderId="53" xfId="0" applyFont="1" applyFill="1" applyBorder="1" applyAlignment="1">
      <alignment horizontal="left" vertical="center" wrapText="1"/>
    </xf>
    <xf numFmtId="44" fontId="23" fillId="12" borderId="53" xfId="8" applyFont="1" applyFill="1" applyBorder="1" applyAlignment="1">
      <alignment vertical="center"/>
    </xf>
    <xf numFmtId="44" fontId="23" fillId="12" borderId="71" xfId="8" applyFont="1" applyFill="1" applyBorder="1" applyAlignment="1">
      <alignment vertical="center"/>
    </xf>
    <xf numFmtId="44" fontId="23" fillId="14" borderId="70" xfId="8" applyFont="1" applyFill="1" applyBorder="1" applyAlignment="1">
      <alignment vertical="center"/>
    </xf>
    <xf numFmtId="44" fontId="23" fillId="16" borderId="70" xfId="8" applyFont="1" applyFill="1" applyBorder="1" applyAlignment="1">
      <alignment vertical="center"/>
    </xf>
    <xf numFmtId="9" fontId="23" fillId="15" borderId="70" xfId="1" applyFont="1" applyFill="1" applyBorder="1" applyAlignment="1">
      <alignment vertical="center"/>
    </xf>
    <xf numFmtId="44" fontId="23" fillId="15" borderId="70" xfId="8" applyFont="1" applyFill="1" applyBorder="1" applyAlignment="1">
      <alignment vertical="center"/>
    </xf>
    <xf numFmtId="44" fontId="23" fillId="14" borderId="5" xfId="8" applyFont="1" applyFill="1" applyBorder="1" applyAlignment="1">
      <alignment vertical="center"/>
    </xf>
    <xf numFmtId="44" fontId="23" fillId="16" borderId="5" xfId="8" applyFont="1" applyFill="1" applyBorder="1" applyAlignment="1">
      <alignment vertical="center"/>
    </xf>
    <xf numFmtId="9" fontId="23" fillId="15" borderId="5" xfId="1" applyFont="1" applyFill="1" applyBorder="1" applyAlignment="1">
      <alignment vertical="center"/>
    </xf>
    <xf numFmtId="44" fontId="23" fillId="15" borderId="5" xfId="8" applyFont="1" applyFill="1" applyBorder="1" applyAlignment="1">
      <alignment vertical="center"/>
    </xf>
    <xf numFmtId="1" fontId="23" fillId="14" borderId="55" xfId="0" applyNumberFormat="1" applyFont="1" applyFill="1" applyBorder="1" applyAlignment="1">
      <alignment horizontal="center" vertical="center"/>
    </xf>
    <xf numFmtId="1" fontId="23" fillId="14" borderId="70" xfId="0" applyNumberFormat="1" applyFont="1" applyFill="1" applyBorder="1" applyAlignment="1">
      <alignment horizontal="center" vertical="center"/>
    </xf>
    <xf numFmtId="1" fontId="23" fillId="14" borderId="73" xfId="0" applyNumberFormat="1" applyFont="1" applyFill="1" applyBorder="1" applyAlignment="1">
      <alignment horizontal="center" vertical="center"/>
    </xf>
    <xf numFmtId="1" fontId="23" fillId="14" borderId="5" xfId="0" applyNumberFormat="1" applyFont="1" applyFill="1" applyBorder="1" applyAlignment="1">
      <alignment horizontal="center" vertical="center"/>
    </xf>
    <xf numFmtId="0" fontId="0" fillId="12" borderId="0" xfId="0" applyFill="1"/>
    <xf numFmtId="44" fontId="23" fillId="12" borderId="0" xfId="8" applyFont="1" applyFill="1" applyBorder="1" applyAlignment="1">
      <alignment vertical="center"/>
    </xf>
    <xf numFmtId="0" fontId="24" fillId="12" borderId="0" xfId="3" applyFont="1" applyFill="1" applyAlignment="1">
      <alignment horizontal="center" vertical="center" wrapText="1"/>
    </xf>
    <xf numFmtId="0" fontId="25" fillId="12" borderId="0" xfId="0" applyFont="1" applyFill="1" applyAlignment="1">
      <alignment horizontal="center"/>
    </xf>
    <xf numFmtId="0" fontId="24" fillId="12" borderId="0" xfId="0" applyFont="1" applyFill="1" applyAlignment="1">
      <alignment horizontal="center" vertical="center"/>
    </xf>
    <xf numFmtId="170" fontId="25" fillId="12" borderId="0" xfId="8" applyNumberFormat="1" applyFont="1" applyFill="1" applyBorder="1" applyAlignment="1">
      <alignment horizontal="right"/>
    </xf>
    <xf numFmtId="170" fontId="29" fillId="12" borderId="0" xfId="8" applyNumberFormat="1" applyFont="1" applyFill="1" applyBorder="1" applyAlignment="1">
      <alignment horizontal="center" vertical="center"/>
    </xf>
    <xf numFmtId="1" fontId="23" fillId="14" borderId="84" xfId="0" applyNumberFormat="1" applyFont="1" applyFill="1" applyBorder="1" applyAlignment="1">
      <alignment horizontal="center" vertical="center"/>
    </xf>
    <xf numFmtId="44" fontId="23" fillId="14" borderId="84" xfId="8" applyFont="1" applyFill="1" applyBorder="1" applyAlignment="1">
      <alignment vertical="center"/>
    </xf>
    <xf numFmtId="44" fontId="23" fillId="16" borderId="84" xfId="8" applyFont="1" applyFill="1" applyBorder="1" applyAlignment="1">
      <alignment vertical="center"/>
    </xf>
    <xf numFmtId="9" fontId="23" fillId="15" borderId="84" xfId="1" applyFont="1" applyFill="1" applyBorder="1" applyAlignment="1">
      <alignment vertical="center"/>
    </xf>
    <xf numFmtId="44" fontId="23" fillId="15" borderId="84" xfId="8" applyFont="1" applyFill="1" applyBorder="1" applyAlignment="1">
      <alignment vertical="center"/>
    </xf>
    <xf numFmtId="0" fontId="24" fillId="13" borderId="75" xfId="0" applyFont="1" applyFill="1" applyBorder="1" applyAlignment="1">
      <alignment horizontal="center" vertical="center"/>
    </xf>
    <xf numFmtId="0" fontId="24" fillId="13" borderId="76" xfId="0" applyFont="1" applyFill="1" applyBorder="1" applyAlignment="1">
      <alignment horizontal="center" vertical="center"/>
    </xf>
    <xf numFmtId="0" fontId="23" fillId="12" borderId="58" xfId="0" applyFont="1" applyFill="1" applyBorder="1" applyAlignment="1">
      <alignment horizontal="center" vertical="center"/>
    </xf>
    <xf numFmtId="0" fontId="25" fillId="11" borderId="87" xfId="0" applyFont="1" applyFill="1" applyBorder="1" applyAlignment="1">
      <alignment horizontal="left"/>
    </xf>
    <xf numFmtId="44" fontId="15" fillId="15" borderId="77" xfId="8" applyFont="1" applyFill="1" applyBorder="1" applyAlignment="1">
      <alignment vertical="center"/>
    </xf>
    <xf numFmtId="44" fontId="23" fillId="15" borderId="60" xfId="8" applyFont="1" applyFill="1" applyBorder="1" applyAlignment="1">
      <alignment vertical="center"/>
    </xf>
    <xf numFmtId="1" fontId="23" fillId="14" borderId="69" xfId="0" applyNumberFormat="1" applyFont="1" applyFill="1" applyBorder="1" applyAlignment="1">
      <alignment horizontal="center" vertical="center"/>
    </xf>
    <xf numFmtId="10" fontId="23" fillId="16" borderId="57" xfId="0" applyNumberFormat="1" applyFont="1" applyFill="1" applyBorder="1" applyAlignment="1">
      <alignment horizontal="center" vertical="center"/>
    </xf>
    <xf numFmtId="44" fontId="23" fillId="15" borderId="11" xfId="8" applyFont="1" applyFill="1" applyBorder="1" applyAlignment="1">
      <alignment vertical="center"/>
    </xf>
    <xf numFmtId="44" fontId="15" fillId="15" borderId="11" xfId="8" applyFont="1" applyFill="1" applyBorder="1" applyAlignment="1">
      <alignment vertical="center"/>
    </xf>
    <xf numFmtId="10" fontId="23" fillId="16" borderId="0" xfId="0" applyNumberFormat="1" applyFont="1" applyFill="1" applyAlignment="1">
      <alignment horizontal="center" vertical="center"/>
    </xf>
    <xf numFmtId="44" fontId="23" fillId="12" borderId="59" xfId="8" applyFont="1" applyFill="1" applyBorder="1" applyAlignment="1">
      <alignment vertical="center"/>
    </xf>
    <xf numFmtId="44" fontId="23" fillId="12" borderId="60" xfId="8" applyFont="1" applyFill="1" applyBorder="1" applyAlignment="1">
      <alignment vertical="center"/>
    </xf>
    <xf numFmtId="170" fontId="25" fillId="11" borderId="93" xfId="8" applyNumberFormat="1" applyFont="1" applyFill="1" applyBorder="1" applyAlignment="1">
      <alignment horizontal="right"/>
    </xf>
    <xf numFmtId="44" fontId="25" fillId="11" borderId="11" xfId="8" applyFont="1" applyFill="1" applyBorder="1" applyAlignment="1">
      <alignment horizontal="right"/>
    </xf>
    <xf numFmtId="44" fontId="15" fillId="16" borderId="11" xfId="8" applyFont="1" applyFill="1" applyBorder="1" applyAlignment="1">
      <alignment vertical="center"/>
    </xf>
    <xf numFmtId="9" fontId="23" fillId="15" borderId="11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44" fontId="25" fillId="11" borderId="81" xfId="8" applyFont="1" applyFill="1" applyBorder="1" applyAlignment="1">
      <alignment horizontal="right"/>
    </xf>
    <xf numFmtId="44" fontId="25" fillId="11" borderId="82" xfId="8" applyFont="1" applyFill="1" applyBorder="1" applyAlignment="1">
      <alignment horizontal="right"/>
    </xf>
    <xf numFmtId="44" fontId="15" fillId="16" borderId="77" xfId="8" applyFont="1" applyFill="1" applyBorder="1" applyAlignment="1">
      <alignment vertical="center"/>
    </xf>
    <xf numFmtId="9" fontId="23" fillId="15" borderId="77" xfId="1" applyFont="1" applyFill="1" applyBorder="1" applyAlignment="1">
      <alignment vertical="center"/>
    </xf>
    <xf numFmtId="170" fontId="25" fillId="11" borderId="0" xfId="8" applyNumberFormat="1" applyFont="1" applyFill="1" applyBorder="1" applyAlignment="1">
      <alignment horizontal="right"/>
    </xf>
    <xf numFmtId="170" fontId="25" fillId="11" borderId="92" xfId="8" applyNumberFormat="1" applyFont="1" applyFill="1" applyBorder="1" applyAlignment="1">
      <alignment horizontal="right"/>
    </xf>
    <xf numFmtId="44" fontId="23" fillId="12" borderId="58" xfId="8" applyFont="1" applyFill="1" applyBorder="1" applyAlignment="1">
      <alignment vertical="center"/>
    </xf>
    <xf numFmtId="44" fontId="23" fillId="12" borderId="72" xfId="8" applyFont="1" applyFill="1" applyBorder="1" applyAlignment="1">
      <alignment vertical="center"/>
    </xf>
    <xf numFmtId="0" fontId="23" fillId="12" borderId="59" xfId="0" applyFont="1" applyFill="1" applyBorder="1" applyAlignment="1">
      <alignment horizontal="left" vertical="center" wrapText="1"/>
    </xf>
    <xf numFmtId="0" fontId="23" fillId="12" borderId="59" xfId="0" applyFont="1" applyFill="1" applyBorder="1" applyAlignment="1">
      <alignment horizontal="center" vertical="center"/>
    </xf>
    <xf numFmtId="44" fontId="25" fillId="11" borderId="77" xfId="8" applyFont="1" applyFill="1" applyBorder="1" applyAlignment="1">
      <alignment horizontal="right"/>
    </xf>
    <xf numFmtId="44" fontId="25" fillId="11" borderId="96" xfId="8" applyFont="1" applyFill="1" applyBorder="1" applyAlignment="1">
      <alignment horizontal="right"/>
    </xf>
    <xf numFmtId="44" fontId="15" fillId="16" borderId="96" xfId="8" applyFont="1" applyFill="1" applyBorder="1" applyAlignment="1">
      <alignment vertical="center"/>
    </xf>
    <xf numFmtId="9" fontId="24" fillId="15" borderId="96" xfId="1" applyFont="1" applyFill="1" applyBorder="1" applyAlignment="1">
      <alignment vertical="center"/>
    </xf>
    <xf numFmtId="44" fontId="24" fillId="15" borderId="96" xfId="8" applyFont="1" applyFill="1" applyBorder="1" applyAlignment="1">
      <alignment vertical="center"/>
    </xf>
    <xf numFmtId="44" fontId="15" fillId="15" borderId="96" xfId="8" applyFont="1" applyFill="1" applyBorder="1" applyAlignment="1">
      <alignment vertical="center"/>
    </xf>
    <xf numFmtId="0" fontId="23" fillId="0" borderId="85" xfId="0" applyFont="1" applyBorder="1" applyAlignment="1">
      <alignment horizontal="left" vertical="center" wrapText="1"/>
    </xf>
    <xf numFmtId="0" fontId="23" fillId="0" borderId="85" xfId="0" applyFont="1" applyBorder="1" applyAlignment="1">
      <alignment horizontal="center" vertical="center"/>
    </xf>
    <xf numFmtId="44" fontId="23" fillId="0" borderId="85" xfId="8" applyFont="1" applyBorder="1" applyAlignment="1">
      <alignment vertical="center"/>
    </xf>
    <xf numFmtId="44" fontId="23" fillId="12" borderId="85" xfId="8" applyFont="1" applyFill="1" applyBorder="1" applyAlignment="1">
      <alignment vertical="center"/>
    </xf>
    <xf numFmtId="1" fontId="23" fillId="14" borderId="85" xfId="0" applyNumberFormat="1" applyFont="1" applyFill="1" applyBorder="1" applyAlignment="1">
      <alignment horizontal="center" vertical="center"/>
    </xf>
    <xf numFmtId="44" fontId="23" fillId="14" borderId="85" xfId="8" applyFont="1" applyFill="1" applyBorder="1" applyAlignment="1">
      <alignment vertical="center"/>
    </xf>
    <xf numFmtId="44" fontId="23" fillId="16" borderId="85" xfId="8" applyFont="1" applyFill="1" applyBorder="1" applyAlignment="1">
      <alignment vertical="center"/>
    </xf>
    <xf numFmtId="9" fontId="23" fillId="15" borderId="85" xfId="1" applyFont="1" applyFill="1" applyBorder="1" applyAlignment="1">
      <alignment vertical="center"/>
    </xf>
    <xf numFmtId="44" fontId="23" fillId="15" borderId="85" xfId="8" applyFont="1" applyFill="1" applyBorder="1" applyAlignment="1">
      <alignment vertical="center"/>
    </xf>
    <xf numFmtId="0" fontId="23" fillId="12" borderId="85" xfId="0" applyFont="1" applyFill="1" applyBorder="1" applyAlignment="1">
      <alignment horizontal="left" vertical="center" wrapText="1"/>
    </xf>
    <xf numFmtId="44" fontId="24" fillId="13" borderId="48" xfId="8" applyFont="1" applyFill="1" applyBorder="1" applyAlignment="1">
      <alignment horizontal="center" vertical="center"/>
    </xf>
    <xf numFmtId="44" fontId="24" fillId="13" borderId="47" xfId="8" applyFont="1" applyFill="1" applyBorder="1" applyAlignment="1">
      <alignment horizontal="center" vertical="center"/>
    </xf>
    <xf numFmtId="9" fontId="24" fillId="15" borderId="11" xfId="1" applyFont="1" applyFill="1" applyBorder="1" applyAlignment="1">
      <alignment vertical="center"/>
    </xf>
    <xf numFmtId="44" fontId="24" fillId="15" borderId="11" xfId="8" applyFont="1" applyFill="1" applyBorder="1" applyAlignment="1">
      <alignment vertical="center"/>
    </xf>
    <xf numFmtId="0" fontId="23" fillId="12" borderId="85" xfId="0" applyFont="1" applyFill="1" applyBorder="1" applyAlignment="1">
      <alignment horizontal="center" vertical="center"/>
    </xf>
    <xf numFmtId="44" fontId="24" fillId="13" borderId="88" xfId="8" applyFont="1" applyFill="1" applyBorder="1" applyAlignment="1">
      <alignment horizontal="center" vertical="center"/>
    </xf>
    <xf numFmtId="44" fontId="24" fillId="13" borderId="75" xfId="8" applyFont="1" applyFill="1" applyBorder="1" applyAlignment="1">
      <alignment horizontal="center" vertical="center"/>
    </xf>
    <xf numFmtId="0" fontId="31" fillId="11" borderId="89" xfId="0" applyFont="1" applyFill="1" applyBorder="1" applyAlignment="1">
      <alignment horizontal="center" vertical="center"/>
    </xf>
    <xf numFmtId="0" fontId="31" fillId="11" borderId="87" xfId="0" applyFont="1" applyFill="1" applyBorder="1" applyAlignment="1">
      <alignment horizontal="center" vertical="center"/>
    </xf>
    <xf numFmtId="0" fontId="23" fillId="12" borderId="58" xfId="0" applyFont="1" applyFill="1" applyBorder="1" applyAlignment="1">
      <alignment horizontal="left" vertical="center" wrapText="1"/>
    </xf>
    <xf numFmtId="44" fontId="25" fillId="11" borderId="91" xfId="8" applyFont="1" applyFill="1" applyBorder="1" applyAlignment="1">
      <alignment horizontal="right"/>
    </xf>
    <xf numFmtId="44" fontId="15" fillId="16" borderId="91" xfId="8" applyFont="1" applyFill="1" applyBorder="1" applyAlignment="1">
      <alignment vertical="center"/>
    </xf>
    <xf numFmtId="44" fontId="15" fillId="15" borderId="91" xfId="8" applyFont="1" applyFill="1" applyBorder="1" applyAlignment="1">
      <alignment vertical="center"/>
    </xf>
    <xf numFmtId="10" fontId="24" fillId="13" borderId="57" xfId="0" applyNumberFormat="1" applyFont="1" applyFill="1" applyBorder="1" applyAlignment="1">
      <alignment horizontal="center" vertical="center"/>
    </xf>
    <xf numFmtId="10" fontId="24" fillId="16" borderId="57" xfId="0" applyNumberFormat="1" applyFont="1" applyFill="1" applyBorder="1" applyAlignment="1">
      <alignment horizontal="center" vertical="center"/>
    </xf>
    <xf numFmtId="44" fontId="28" fillId="17" borderId="57" xfId="8" applyFont="1" applyFill="1" applyBorder="1" applyAlignment="1">
      <alignment horizontal="center"/>
    </xf>
    <xf numFmtId="0" fontId="0" fillId="0" borderId="57" xfId="0" applyBorder="1"/>
    <xf numFmtId="10" fontId="23" fillId="16" borderId="78" xfId="0" applyNumberFormat="1" applyFont="1" applyFill="1" applyBorder="1" applyAlignment="1">
      <alignment horizontal="center" vertical="center"/>
    </xf>
    <xf numFmtId="10" fontId="23" fillId="16" borderId="72" xfId="0" applyNumberFormat="1" applyFont="1" applyFill="1" applyBorder="1" applyAlignment="1">
      <alignment horizontal="center" vertical="center"/>
    </xf>
    <xf numFmtId="0" fontId="2" fillId="13" borderId="45" xfId="0" applyFont="1" applyFill="1" applyBorder="1" applyAlignment="1">
      <alignment horizontal="center" vertical="center"/>
    </xf>
    <xf numFmtId="10" fontId="23" fillId="16" borderId="71" xfId="0" applyNumberFormat="1" applyFont="1" applyFill="1" applyBorder="1" applyAlignment="1">
      <alignment horizontal="center" vertical="center"/>
    </xf>
    <xf numFmtId="10" fontId="24" fillId="13" borderId="45" xfId="0" applyNumberFormat="1" applyFont="1" applyFill="1" applyBorder="1" applyAlignment="1">
      <alignment horizontal="center" vertical="center"/>
    </xf>
    <xf numFmtId="10" fontId="24" fillId="13" borderId="71" xfId="0" applyNumberFormat="1" applyFont="1" applyFill="1" applyBorder="1" applyAlignment="1">
      <alignment horizontal="center" vertical="center"/>
    </xf>
    <xf numFmtId="0" fontId="0" fillId="0" borderId="71" xfId="0" applyBorder="1"/>
    <xf numFmtId="8" fontId="23" fillId="14" borderId="5" xfId="0" applyNumberFormat="1" applyFont="1" applyFill="1" applyBorder="1"/>
    <xf numFmtId="44" fontId="23" fillId="14" borderId="7" xfId="0" applyNumberFormat="1" applyFont="1" applyFill="1" applyBorder="1"/>
    <xf numFmtId="14" fontId="23" fillId="14" borderId="8" xfId="0" applyNumberFormat="1" applyFont="1" applyFill="1" applyBorder="1"/>
    <xf numFmtId="0" fontId="0" fillId="0" borderId="0" xfId="0" applyAlignment="1">
      <alignment wrapText="1"/>
    </xf>
    <xf numFmtId="0" fontId="23" fillId="14" borderId="5" xfId="0" applyFont="1" applyFill="1" applyBorder="1" applyAlignment="1">
      <alignment wrapText="1"/>
    </xf>
    <xf numFmtId="0" fontId="23" fillId="14" borderId="8" xfId="0" applyFont="1" applyFill="1" applyBorder="1" applyAlignment="1">
      <alignment wrapText="1"/>
    </xf>
    <xf numFmtId="10" fontId="23" fillId="16" borderId="8" xfId="8" applyNumberFormat="1" applyFont="1" applyFill="1" applyBorder="1" applyAlignment="1">
      <alignment horizontal="center" vertical="center"/>
    </xf>
    <xf numFmtId="1" fontId="23" fillId="14" borderId="95" xfId="0" applyNumberFormat="1" applyFont="1" applyFill="1" applyBorder="1" applyAlignment="1">
      <alignment horizontal="center" vertical="center"/>
    </xf>
    <xf numFmtId="10" fontId="24" fillId="13" borderId="8" xfId="8" applyNumberFormat="1" applyFont="1" applyFill="1" applyBorder="1" applyAlignment="1">
      <alignment horizontal="center" vertical="center"/>
    </xf>
    <xf numFmtId="10" fontId="24" fillId="16" borderId="8" xfId="8" applyNumberFormat="1" applyFont="1" applyFill="1" applyBorder="1" applyAlignment="1">
      <alignment horizontal="center" vertical="center"/>
    </xf>
    <xf numFmtId="170" fontId="25" fillId="11" borderId="94" xfId="8" applyNumberFormat="1" applyFont="1" applyFill="1" applyBorder="1" applyAlignment="1">
      <alignment horizontal="right"/>
    </xf>
    <xf numFmtId="44" fontId="15" fillId="15" borderId="94" xfId="8" applyFont="1" applyFill="1" applyBorder="1" applyAlignment="1">
      <alignment vertical="center"/>
    </xf>
    <xf numFmtId="10" fontId="29" fillId="13" borderId="98" xfId="8" applyNumberFormat="1" applyFont="1" applyFill="1" applyBorder="1" applyAlignment="1">
      <alignment horizontal="center" vertical="center"/>
    </xf>
    <xf numFmtId="10" fontId="11" fillId="16" borderId="8" xfId="8" applyNumberFormat="1" applyFont="1" applyFill="1" applyBorder="1" applyAlignment="1">
      <alignment horizontal="center" vertical="center"/>
    </xf>
    <xf numFmtId="44" fontId="23" fillId="15" borderId="72" xfId="8" applyFont="1" applyFill="1" applyBorder="1" applyAlignment="1">
      <alignment vertical="center"/>
    </xf>
    <xf numFmtId="44" fontId="28" fillId="13" borderId="8" xfId="8" applyFont="1" applyFill="1" applyBorder="1" applyAlignment="1">
      <alignment horizontal="center" vertical="center"/>
    </xf>
    <xf numFmtId="1" fontId="31" fillId="11" borderId="9" xfId="0" applyNumberFormat="1" applyFont="1" applyFill="1" applyBorder="1" applyAlignment="1">
      <alignment horizontal="center" vertical="center"/>
    </xf>
    <xf numFmtId="1" fontId="31" fillId="11" borderId="10" xfId="0" applyNumberFormat="1" applyFont="1" applyFill="1" applyBorder="1" applyAlignment="1">
      <alignment horizontal="center" vertical="center"/>
    </xf>
    <xf numFmtId="1" fontId="25" fillId="11" borderId="10" xfId="0" applyNumberFormat="1" applyFont="1" applyFill="1" applyBorder="1"/>
    <xf numFmtId="44" fontId="25" fillId="11" borderId="90" xfId="8" applyFont="1" applyFill="1" applyBorder="1" applyAlignment="1">
      <alignment horizontal="right"/>
    </xf>
    <xf numFmtId="44" fontId="15" fillId="16" borderId="93" xfId="8" applyFont="1" applyFill="1" applyBorder="1" applyAlignment="1">
      <alignment vertical="center"/>
    </xf>
    <xf numFmtId="9" fontId="23" fillId="15" borderId="93" xfId="1" applyFont="1" applyFill="1" applyBorder="1" applyAlignment="1">
      <alignment vertical="center"/>
    </xf>
    <xf numFmtId="44" fontId="23" fillId="15" borderId="93" xfId="8" applyFont="1" applyFill="1" applyBorder="1" applyAlignment="1">
      <alignment vertical="center"/>
    </xf>
    <xf numFmtId="44" fontId="15" fillId="15" borderId="93" xfId="8" applyFont="1" applyFill="1" applyBorder="1" applyAlignment="1">
      <alignment vertical="center"/>
    </xf>
    <xf numFmtId="9" fontId="23" fillId="15" borderId="91" xfId="1" applyFont="1" applyFill="1" applyBorder="1" applyAlignment="1">
      <alignment vertical="center"/>
    </xf>
    <xf numFmtId="44" fontId="23" fillId="15" borderId="91" xfId="8" applyFont="1" applyFill="1" applyBorder="1" applyAlignment="1">
      <alignment vertical="center"/>
    </xf>
    <xf numFmtId="10" fontId="23" fillId="16" borderId="92" xfId="0" applyNumberFormat="1" applyFont="1" applyFill="1" applyBorder="1" applyAlignment="1">
      <alignment horizontal="center" vertical="center"/>
    </xf>
    <xf numFmtId="10" fontId="23" fillId="16" borderId="101" xfId="0" applyNumberFormat="1" applyFont="1" applyFill="1" applyBorder="1" applyAlignment="1">
      <alignment horizontal="center" vertical="center"/>
    </xf>
    <xf numFmtId="0" fontId="2" fillId="13" borderId="98" xfId="0" applyFont="1" applyFill="1" applyBorder="1" applyAlignment="1">
      <alignment horizontal="center" vertical="center"/>
    </xf>
    <xf numFmtId="0" fontId="25" fillId="11" borderId="79" xfId="0" applyFont="1" applyFill="1" applyBorder="1" applyAlignment="1">
      <alignment horizontal="left"/>
    </xf>
    <xf numFmtId="10" fontId="23" fillId="16" borderId="101" xfId="8" applyNumberFormat="1" applyFont="1" applyFill="1" applyBorder="1" applyAlignment="1">
      <alignment horizontal="center" vertical="center"/>
    </xf>
    <xf numFmtId="170" fontId="25" fillId="11" borderId="77" xfId="8" applyNumberFormat="1" applyFont="1" applyFill="1" applyBorder="1" applyAlignment="1">
      <alignment horizontal="right"/>
    </xf>
    <xf numFmtId="170" fontId="25" fillId="11" borderId="78" xfId="8" applyNumberFormat="1" applyFont="1" applyFill="1" applyBorder="1" applyAlignment="1">
      <alignment horizontal="right"/>
    </xf>
    <xf numFmtId="10" fontId="24" fillId="13" borderId="98" xfId="8" applyNumberFormat="1" applyFont="1" applyFill="1" applyBorder="1" applyAlignment="1">
      <alignment horizontal="center" vertical="center"/>
    </xf>
    <xf numFmtId="44" fontId="15" fillId="15" borderId="78" xfId="8" applyFont="1" applyFill="1" applyBorder="1" applyAlignment="1">
      <alignment vertical="center"/>
    </xf>
    <xf numFmtId="44" fontId="15" fillId="13" borderId="98" xfId="8" applyFont="1" applyFill="1" applyBorder="1" applyAlignment="1">
      <alignment horizontal="center" vertical="center"/>
    </xf>
    <xf numFmtId="10" fontId="24" fillId="16" borderId="26" xfId="8" applyNumberFormat="1" applyFont="1" applyFill="1" applyBorder="1" applyAlignment="1">
      <alignment horizontal="center" vertical="center"/>
    </xf>
    <xf numFmtId="10" fontId="24" fillId="16" borderId="71" xfId="0" applyNumberFormat="1" applyFont="1" applyFill="1" applyBorder="1" applyAlignment="1">
      <alignment horizontal="center" vertical="center"/>
    </xf>
    <xf numFmtId="10" fontId="24" fillId="13" borderId="85" xfId="0" applyNumberFormat="1" applyFont="1" applyFill="1" applyBorder="1" applyAlignment="1">
      <alignment horizontal="center" vertical="center"/>
    </xf>
    <xf numFmtId="10" fontId="23" fillId="16" borderId="85" xfId="0" applyNumberFormat="1" applyFont="1" applyFill="1" applyBorder="1" applyAlignment="1">
      <alignment horizontal="center" vertical="center"/>
    </xf>
    <xf numFmtId="10" fontId="24" fillId="13" borderId="49" xfId="0" applyNumberFormat="1" applyFont="1" applyFill="1" applyBorder="1" applyAlignment="1">
      <alignment horizontal="center" vertical="center"/>
    </xf>
    <xf numFmtId="37" fontId="8" fillId="6" borderId="67" xfId="3" applyNumberFormat="1" applyFont="1" applyFill="1" applyBorder="1" applyAlignment="1">
      <alignment horizontal="center" vertical="center"/>
    </xf>
    <xf numFmtId="37" fontId="8" fillId="6" borderId="64" xfId="3" applyNumberFormat="1" applyFont="1" applyFill="1" applyBorder="1" applyAlignment="1">
      <alignment horizontal="center" vertical="center"/>
    </xf>
    <xf numFmtId="10" fontId="8" fillId="6" borderId="98" xfId="5" applyNumberFormat="1" applyFont="1" applyFill="1" applyBorder="1" applyAlignment="1">
      <alignment horizontal="center" vertical="center" wrapText="1"/>
    </xf>
    <xf numFmtId="44" fontId="15" fillId="15" borderId="26" xfId="8" applyFont="1" applyFill="1" applyBorder="1" applyAlignment="1">
      <alignment horizontal="center" vertical="center"/>
    </xf>
    <xf numFmtId="1" fontId="25" fillId="10" borderId="8" xfId="0" applyNumberFormat="1" applyFont="1" applyFill="1" applyBorder="1"/>
    <xf numFmtId="10" fontId="29" fillId="16" borderId="26" xfId="8" applyNumberFormat="1" applyFont="1" applyFill="1" applyBorder="1" applyAlignment="1">
      <alignment horizontal="center" vertical="center"/>
    </xf>
    <xf numFmtId="0" fontId="0" fillId="0" borderId="26" xfId="0" applyBorder="1"/>
    <xf numFmtId="0" fontId="24" fillId="18" borderId="61" xfId="0" applyFont="1" applyFill="1" applyBorder="1" applyAlignment="1">
      <alignment horizontal="left" vertical="center" wrapText="1"/>
    </xf>
    <xf numFmtId="0" fontId="24" fillId="18" borderId="54" xfId="0" applyFont="1" applyFill="1" applyBorder="1" applyAlignment="1">
      <alignment horizontal="left" vertical="center" wrapText="1"/>
    </xf>
    <xf numFmtId="0" fontId="24" fillId="20" borderId="69" xfId="0" applyFont="1" applyFill="1" applyBorder="1" applyAlignment="1">
      <alignment horizontal="left" vertical="center" wrapText="1"/>
    </xf>
    <xf numFmtId="0" fontId="24" fillId="21" borderId="54" xfId="0" applyFont="1" applyFill="1" applyBorder="1" applyAlignment="1">
      <alignment horizontal="left" vertical="center" wrapText="1"/>
    </xf>
    <xf numFmtId="0" fontId="24" fillId="21" borderId="69" xfId="0" applyFont="1" applyFill="1" applyBorder="1" applyAlignment="1">
      <alignment horizontal="left" vertical="center" wrapText="1"/>
    </xf>
    <xf numFmtId="0" fontId="24" fillId="21" borderId="86" xfId="0" applyFont="1" applyFill="1" applyBorder="1" applyAlignment="1">
      <alignment horizontal="left" vertical="center" wrapText="1"/>
    </xf>
    <xf numFmtId="0" fontId="24" fillId="22" borderId="54" xfId="0" applyFont="1" applyFill="1" applyBorder="1" applyAlignment="1">
      <alignment horizontal="left" vertical="center" wrapText="1"/>
    </xf>
    <xf numFmtId="0" fontId="24" fillId="23" borderId="54" xfId="0" applyFont="1" applyFill="1" applyBorder="1" applyAlignment="1">
      <alignment horizontal="left" vertical="center" wrapText="1"/>
    </xf>
    <xf numFmtId="0" fontId="24" fillId="20" borderId="54" xfId="0" applyFont="1" applyFill="1" applyBorder="1" applyAlignment="1">
      <alignment horizontal="left" vertical="center" wrapText="1"/>
    </xf>
    <xf numFmtId="0" fontId="24" fillId="0" borderId="54" xfId="0" applyFont="1" applyBorder="1" applyAlignment="1">
      <alignment horizontal="left" vertical="center" wrapText="1"/>
    </xf>
    <xf numFmtId="44" fontId="23" fillId="0" borderId="85" xfId="8" applyFont="1" applyFill="1" applyBorder="1" applyAlignment="1">
      <alignment vertical="center"/>
    </xf>
    <xf numFmtId="0" fontId="23" fillId="12" borderId="85" xfId="0" applyFont="1" applyFill="1" applyBorder="1" applyAlignment="1">
      <alignment vertical="center"/>
    </xf>
    <xf numFmtId="0" fontId="24" fillId="19" borderId="85" xfId="0" applyFont="1" applyFill="1" applyBorder="1" applyAlignment="1">
      <alignment horizontal="left" vertical="center" wrapText="1"/>
    </xf>
    <xf numFmtId="1" fontId="23" fillId="14" borderId="5" xfId="0" applyNumberFormat="1" applyFont="1" applyFill="1" applyBorder="1" applyAlignment="1">
      <alignment vertical="center"/>
    </xf>
    <xf numFmtId="10" fontId="23" fillId="16" borderId="85" xfId="8" applyNumberFormat="1" applyFont="1" applyFill="1" applyBorder="1" applyAlignment="1">
      <alignment horizontal="center" vertical="center"/>
    </xf>
    <xf numFmtId="0" fontId="24" fillId="0" borderId="69" xfId="0" applyFont="1" applyBorder="1" applyAlignment="1">
      <alignment horizontal="left" vertical="center" wrapText="1"/>
    </xf>
    <xf numFmtId="0" fontId="24" fillId="18" borderId="69" xfId="0" applyFont="1" applyFill="1" applyBorder="1" applyAlignment="1">
      <alignment horizontal="left" vertical="center" wrapText="1"/>
    </xf>
    <xf numFmtId="0" fontId="24" fillId="20" borderId="102" xfId="0" applyFont="1" applyFill="1" applyBorder="1" applyAlignment="1">
      <alignment horizontal="left" vertical="center" wrapText="1"/>
    </xf>
    <xf numFmtId="0" fontId="23" fillId="12" borderId="53" xfId="0" applyFont="1" applyFill="1" applyBorder="1" applyAlignment="1">
      <alignment vertical="center"/>
    </xf>
    <xf numFmtId="1" fontId="23" fillId="14" borderId="70" xfId="0" applyNumberFormat="1" applyFont="1" applyFill="1" applyBorder="1" applyAlignment="1">
      <alignment vertical="center"/>
    </xf>
    <xf numFmtId="0" fontId="23" fillId="12" borderId="85" xfId="0" quotePrefix="1" applyFont="1" applyFill="1" applyBorder="1" applyAlignment="1">
      <alignment horizontal="center" vertical="center"/>
    </xf>
    <xf numFmtId="10" fontId="23" fillId="16" borderId="70" xfId="0" applyNumberFormat="1" applyFont="1" applyFill="1" applyBorder="1" applyAlignment="1">
      <alignment horizontal="center" vertical="center"/>
    </xf>
    <xf numFmtId="44" fontId="23" fillId="0" borderId="71" xfId="8" applyFont="1" applyBorder="1" applyAlignment="1">
      <alignment vertical="center"/>
    </xf>
    <xf numFmtId="0" fontId="24" fillId="22" borderId="69" xfId="0" applyFont="1" applyFill="1" applyBorder="1" applyAlignment="1">
      <alignment horizontal="left" vertical="center" wrapText="1"/>
    </xf>
    <xf numFmtId="9" fontId="24" fillId="15" borderId="91" xfId="1" applyFont="1" applyFill="1" applyBorder="1" applyAlignment="1">
      <alignment vertical="center"/>
    </xf>
    <xf numFmtId="44" fontId="24" fillId="15" borderId="91" xfId="8" applyFont="1" applyFill="1" applyBorder="1" applyAlignment="1">
      <alignment vertical="center"/>
    </xf>
    <xf numFmtId="0" fontId="23" fillId="12" borderId="53" xfId="0" applyFont="1" applyFill="1" applyBorder="1" applyAlignment="1">
      <alignment horizontal="left" wrapText="1"/>
    </xf>
    <xf numFmtId="0" fontId="24" fillId="19" borderId="69" xfId="0" applyFont="1" applyFill="1" applyBorder="1" applyAlignment="1">
      <alignment horizontal="left" vertical="center" wrapText="1"/>
    </xf>
    <xf numFmtId="0" fontId="24" fillId="19" borderId="54" xfId="0" applyFont="1" applyFill="1" applyBorder="1" applyAlignment="1">
      <alignment horizontal="left" vertical="center" wrapText="1"/>
    </xf>
    <xf numFmtId="0" fontId="24" fillId="20" borderId="85" xfId="0" applyFont="1" applyFill="1" applyBorder="1" applyAlignment="1">
      <alignment horizontal="left" vertical="center" wrapText="1"/>
    </xf>
    <xf numFmtId="0" fontId="24" fillId="0" borderId="85" xfId="0" applyFont="1" applyBorder="1" applyAlignment="1">
      <alignment horizontal="left" vertical="center" wrapText="1"/>
    </xf>
    <xf numFmtId="170" fontId="25" fillId="11" borderId="0" xfId="0" applyNumberFormat="1" applyFont="1" applyFill="1" applyAlignment="1">
      <alignment horizontal="right"/>
    </xf>
    <xf numFmtId="170" fontId="25" fillId="11" borderId="92" xfId="0" applyNumberFormat="1" applyFont="1" applyFill="1" applyBorder="1" applyAlignment="1">
      <alignment horizontal="right"/>
    </xf>
    <xf numFmtId="44" fontId="25" fillId="11" borderId="0" xfId="0" applyNumberFormat="1" applyFont="1" applyFill="1" applyAlignment="1">
      <alignment horizontal="right"/>
    </xf>
    <xf numFmtId="44" fontId="15" fillId="16" borderId="0" xfId="0" applyNumberFormat="1" applyFont="1" applyFill="1"/>
    <xf numFmtId="0" fontId="0" fillId="15" borderId="0" xfId="0" applyFill="1"/>
    <xf numFmtId="44" fontId="15" fillId="15" borderId="0" xfId="0" applyNumberFormat="1" applyFont="1" applyFill="1"/>
    <xf numFmtId="44" fontId="15" fillId="15" borderId="0" xfId="8" applyFont="1" applyFill="1" applyBorder="1"/>
    <xf numFmtId="0" fontId="30" fillId="17" borderId="9" xfId="0" applyFont="1" applyFill="1" applyBorder="1"/>
    <xf numFmtId="0" fontId="30" fillId="17" borderId="10" xfId="0" applyFont="1" applyFill="1" applyBorder="1"/>
    <xf numFmtId="44" fontId="30" fillId="17" borderId="10" xfId="0" applyNumberFormat="1" applyFont="1" applyFill="1" applyBorder="1"/>
    <xf numFmtId="44" fontId="28" fillId="17" borderId="9" xfId="8" applyFont="1" applyFill="1" applyBorder="1" applyAlignment="1">
      <alignment horizontal="center"/>
    </xf>
    <xf numFmtId="44" fontId="28" fillId="17" borderId="104" xfId="8" applyFont="1" applyFill="1" applyBorder="1" applyAlignment="1">
      <alignment horizontal="center"/>
    </xf>
    <xf numFmtId="44" fontId="30" fillId="17" borderId="105" xfId="8" applyFont="1" applyFill="1" applyBorder="1"/>
    <xf numFmtId="0" fontId="35" fillId="0" borderId="68" xfId="0" applyFont="1" applyBorder="1" applyAlignment="1">
      <alignment horizontal="left" vertical="center" wrapText="1"/>
    </xf>
    <xf numFmtId="10" fontId="23" fillId="16" borderId="53" xfId="0" applyNumberFormat="1" applyFont="1" applyFill="1" applyBorder="1" applyAlignment="1">
      <alignment horizontal="center" vertical="center"/>
    </xf>
    <xf numFmtId="44" fontId="30" fillId="17" borderId="104" xfId="0" applyNumberFormat="1" applyFont="1" applyFill="1" applyBorder="1"/>
    <xf numFmtId="9" fontId="30" fillId="17" borderId="95" xfId="1" applyFont="1" applyFill="1" applyBorder="1"/>
    <xf numFmtId="44" fontId="23" fillId="14" borderId="32" xfId="8" applyFont="1" applyFill="1" applyBorder="1" applyAlignment="1">
      <alignment vertical="center"/>
    </xf>
    <xf numFmtId="44" fontId="23" fillId="16" borderId="32" xfId="8" applyFont="1" applyFill="1" applyBorder="1" applyAlignment="1">
      <alignment vertical="center"/>
    </xf>
    <xf numFmtId="9" fontId="23" fillId="15" borderId="32" xfId="1" applyFont="1" applyFill="1" applyBorder="1" applyAlignment="1">
      <alignment vertical="center"/>
    </xf>
    <xf numFmtId="44" fontId="23" fillId="15" borderId="32" xfId="8" applyFont="1" applyFill="1" applyBorder="1" applyAlignment="1">
      <alignment vertical="center"/>
    </xf>
    <xf numFmtId="0" fontId="24" fillId="0" borderId="53" xfId="0" applyFont="1" applyBorder="1" applyAlignment="1">
      <alignment horizontal="left" vertical="center" wrapText="1"/>
    </xf>
    <xf numFmtId="0" fontId="24" fillId="19" borderId="58" xfId="0" applyFont="1" applyFill="1" applyBorder="1" applyAlignment="1">
      <alignment horizontal="left" vertical="center" wrapText="1"/>
    </xf>
    <xf numFmtId="0" fontId="23" fillId="0" borderId="58" xfId="0" applyFont="1" applyBorder="1" applyAlignment="1">
      <alignment vertical="center"/>
    </xf>
    <xf numFmtId="44" fontId="23" fillId="0" borderId="58" xfId="8" applyFont="1" applyFill="1" applyBorder="1" applyAlignment="1">
      <alignment vertical="center"/>
    </xf>
    <xf numFmtId="1" fontId="23" fillId="14" borderId="32" xfId="0" applyNumberFormat="1" applyFont="1" applyFill="1" applyBorder="1" applyAlignment="1">
      <alignment vertical="center"/>
    </xf>
    <xf numFmtId="0" fontId="24" fillId="13" borderId="104" xfId="0" applyFont="1" applyFill="1" applyBorder="1" applyAlignment="1">
      <alignment horizontal="center" vertical="center"/>
    </xf>
    <xf numFmtId="170" fontId="25" fillId="11" borderId="105" xfId="8" applyNumberFormat="1" applyFont="1" applyFill="1" applyBorder="1" applyAlignment="1">
      <alignment horizontal="right"/>
    </xf>
    <xf numFmtId="170" fontId="29" fillId="13" borderId="104" xfId="8" applyNumberFormat="1" applyFont="1" applyFill="1" applyBorder="1" applyAlignment="1">
      <alignment horizontal="center" vertical="center"/>
    </xf>
    <xf numFmtId="44" fontId="24" fillId="13" borderId="104" xfId="8" applyFont="1" applyFill="1" applyBorder="1" applyAlignment="1">
      <alignment horizontal="center" vertical="center"/>
    </xf>
    <xf numFmtId="0" fontId="0" fillId="0" borderId="104" xfId="0" applyBorder="1"/>
    <xf numFmtId="44" fontId="15" fillId="15" borderId="105" xfId="8" applyFont="1" applyFill="1" applyBorder="1" applyAlignment="1">
      <alignment vertical="center"/>
    </xf>
    <xf numFmtId="44" fontId="23" fillId="0" borderId="59" xfId="8" applyFont="1" applyFill="1" applyBorder="1" applyAlignment="1">
      <alignment vertical="center"/>
    </xf>
    <xf numFmtId="44" fontId="23" fillId="0" borderId="53" xfId="8" applyFont="1" applyFill="1" applyBorder="1" applyAlignment="1">
      <alignment vertical="center"/>
    </xf>
    <xf numFmtId="168" fontId="2" fillId="0" borderId="103" xfId="1" applyNumberFormat="1" applyFont="1" applyBorder="1"/>
    <xf numFmtId="1" fontId="25" fillId="11" borderId="104" xfId="0" applyNumberFormat="1" applyFont="1" applyFill="1" applyBorder="1"/>
    <xf numFmtId="0" fontId="0" fillId="0" borderId="95" xfId="0" applyBorder="1"/>
    <xf numFmtId="0" fontId="0" fillId="0" borderId="92" xfId="0" applyBorder="1"/>
    <xf numFmtId="0" fontId="0" fillId="0" borderId="99" xfId="0" applyBorder="1"/>
    <xf numFmtId="0" fontId="0" fillId="0" borderId="105" xfId="0" applyBorder="1"/>
    <xf numFmtId="0" fontId="37" fillId="17" borderId="100" xfId="0" applyFont="1" applyFill="1" applyBorder="1"/>
    <xf numFmtId="0" fontId="37" fillId="17" borderId="30" xfId="0" applyFont="1" applyFill="1" applyBorder="1"/>
    <xf numFmtId="0" fontId="37" fillId="17" borderId="30" xfId="0" applyFont="1" applyFill="1" applyBorder="1" applyAlignment="1">
      <alignment horizontal="center" vertical="center"/>
    </xf>
    <xf numFmtId="44" fontId="37" fillId="17" borderId="30" xfId="0" applyNumberFormat="1" applyFont="1" applyFill="1" applyBorder="1"/>
    <xf numFmtId="44" fontId="37" fillId="17" borderId="107" xfId="0" applyNumberFormat="1" applyFont="1" applyFill="1" applyBorder="1"/>
    <xf numFmtId="0" fontId="37" fillId="17" borderId="100" xfId="0" applyFont="1" applyFill="1" applyBorder="1" applyAlignment="1">
      <alignment horizontal="center" vertical="center"/>
    </xf>
    <xf numFmtId="9" fontId="37" fillId="17" borderId="99" xfId="1" applyFont="1" applyFill="1" applyBorder="1"/>
    <xf numFmtId="44" fontId="37" fillId="17" borderId="109" xfId="8" applyFont="1" applyFill="1" applyBorder="1"/>
    <xf numFmtId="0" fontId="38" fillId="0" borderId="0" xfId="0" applyFont="1"/>
    <xf numFmtId="49" fontId="39" fillId="0" borderId="0" xfId="2" applyNumberFormat="1" applyFont="1" applyAlignment="1">
      <alignment horizontal="left" vertical="center" wrapText="1"/>
    </xf>
    <xf numFmtId="0" fontId="39" fillId="0" borderId="0" xfId="2" applyFont="1" applyAlignment="1">
      <alignment horizontal="left" vertical="center" wrapText="1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164" fontId="39" fillId="0" borderId="0" xfId="2" applyNumberFormat="1" applyFont="1" applyAlignment="1">
      <alignment horizontal="left" vertical="center"/>
    </xf>
    <xf numFmtId="164" fontId="41" fillId="0" borderId="13" xfId="2" applyNumberFormat="1" applyFont="1" applyBorder="1" applyAlignment="1" applyProtection="1">
      <alignment horizontal="left" vertical="center"/>
      <protection locked="0"/>
    </xf>
    <xf numFmtId="164" fontId="41" fillId="0" borderId="15" xfId="2" applyNumberFormat="1" applyFont="1" applyBorder="1" applyAlignment="1" applyProtection="1">
      <alignment horizontal="left" vertical="center"/>
      <protection locked="0"/>
    </xf>
    <xf numFmtId="164" fontId="41" fillId="0" borderId="24" xfId="2" applyNumberFormat="1" applyFont="1" applyBorder="1" applyAlignment="1" applyProtection="1">
      <alignment horizontal="left" vertical="center"/>
      <protection locked="0"/>
    </xf>
    <xf numFmtId="164" fontId="41" fillId="0" borderId="25" xfId="2" applyNumberFormat="1" applyFont="1" applyBorder="1" applyAlignment="1" applyProtection="1">
      <alignment horizontal="left" vertical="center"/>
      <protection locked="0"/>
    </xf>
    <xf numFmtId="0" fontId="41" fillId="0" borderId="18" xfId="2" applyFont="1" applyBorder="1" applyAlignment="1" applyProtection="1">
      <alignment horizontal="left" vertical="center"/>
      <protection locked="0"/>
    </xf>
    <xf numFmtId="14" fontId="41" fillId="0" borderId="25" xfId="2" applyNumberFormat="1" applyFont="1" applyBorder="1" applyAlignment="1" applyProtection="1">
      <alignment horizontal="left" vertical="center"/>
      <protection locked="0"/>
    </xf>
    <xf numFmtId="164" fontId="41" fillId="0" borderId="32" xfId="2" applyNumberFormat="1" applyFont="1" applyBorder="1" applyAlignment="1" applyProtection="1">
      <alignment horizontal="left" vertical="center"/>
      <protection locked="0"/>
    </xf>
    <xf numFmtId="0" fontId="41" fillId="0" borderId="22" xfId="2" applyFont="1" applyBorder="1" applyAlignment="1" applyProtection="1">
      <alignment horizontal="left" vertical="center"/>
      <protection locked="0"/>
    </xf>
    <xf numFmtId="49" fontId="38" fillId="0" borderId="0" xfId="0" applyNumberFormat="1" applyFont="1"/>
    <xf numFmtId="0" fontId="38" fillId="0" borderId="0" xfId="1" applyNumberFormat="1" applyFont="1"/>
    <xf numFmtId="165" fontId="42" fillId="6" borderId="31" xfId="4" applyFont="1" applyFill="1" applyBorder="1" applyAlignment="1">
      <alignment horizontal="center" vertical="center" wrapText="1"/>
    </xf>
    <xf numFmtId="168" fontId="40" fillId="0" borderId="103" xfId="1" applyNumberFormat="1" applyFont="1" applyBorder="1"/>
    <xf numFmtId="166" fontId="42" fillId="0" borderId="33" xfId="4" applyNumberFormat="1" applyFont="1" applyBorder="1" applyAlignment="1">
      <alignment horizontal="center" vertical="center" wrapText="1"/>
    </xf>
    <xf numFmtId="0" fontId="40" fillId="5" borderId="0" xfId="0" applyFont="1" applyFill="1"/>
    <xf numFmtId="49" fontId="40" fillId="5" borderId="0" xfId="0" applyNumberFormat="1" applyFont="1" applyFill="1"/>
    <xf numFmtId="0" fontId="43" fillId="0" borderId="0" xfId="0" applyFont="1"/>
    <xf numFmtId="0" fontId="38" fillId="0" borderId="42" xfId="0" applyFont="1" applyBorder="1" applyAlignment="1">
      <alignment horizontal="left" vertical="center"/>
    </xf>
    <xf numFmtId="49" fontId="38" fillId="0" borderId="43" xfId="0" applyNumberFormat="1" applyFont="1" applyBorder="1" applyAlignment="1">
      <alignment horizontal="left" vertical="center"/>
    </xf>
    <xf numFmtId="0" fontId="38" fillId="0" borderId="44" xfId="0" applyFont="1" applyBorder="1" applyAlignment="1">
      <alignment horizontal="left" vertical="center"/>
    </xf>
    <xf numFmtId="0" fontId="38" fillId="0" borderId="42" xfId="0" applyFont="1" applyBorder="1" applyAlignment="1">
      <alignment horizontal="left" vertical="center" wrapText="1"/>
    </xf>
    <xf numFmtId="0" fontId="39" fillId="6" borderId="46" xfId="3" applyFont="1" applyFill="1" applyBorder="1" applyAlignment="1">
      <alignment horizontal="left" vertical="center"/>
    </xf>
    <xf numFmtId="0" fontId="39" fillId="6" borderId="47" xfId="3" applyFont="1" applyFill="1" applyBorder="1" applyAlignment="1">
      <alignment horizontal="center" vertical="center"/>
    </xf>
    <xf numFmtId="0" fontId="40" fillId="6" borderId="47" xfId="3" applyFont="1" applyFill="1" applyBorder="1" applyAlignment="1">
      <alignment horizontal="center" vertical="center"/>
    </xf>
    <xf numFmtId="169" fontId="40" fillId="6" borderId="47" xfId="3" applyNumberFormat="1" applyFont="1" applyFill="1" applyBorder="1" applyAlignment="1">
      <alignment horizontal="center" vertical="center" wrapText="1"/>
    </xf>
    <xf numFmtId="0" fontId="40" fillId="6" borderId="47" xfId="3" applyFont="1" applyFill="1" applyBorder="1" applyAlignment="1">
      <alignment horizontal="center" vertical="center" wrapText="1"/>
    </xf>
    <xf numFmtId="9" fontId="40" fillId="6" borderId="47" xfId="1" applyFont="1" applyFill="1" applyBorder="1" applyAlignment="1">
      <alignment horizontal="center" vertical="center" wrapText="1"/>
    </xf>
    <xf numFmtId="10" fontId="40" fillId="6" borderId="47" xfId="1" applyNumberFormat="1" applyFont="1" applyFill="1" applyBorder="1" applyAlignment="1">
      <alignment horizontal="center" vertical="center" wrapText="1"/>
    </xf>
    <xf numFmtId="0" fontId="40" fillId="6" borderId="49" xfId="3" applyFont="1" applyFill="1" applyBorder="1" applyAlignment="1">
      <alignment horizontal="center" vertical="center" wrapText="1"/>
    </xf>
    <xf numFmtId="37" fontId="42" fillId="6" borderId="67" xfId="3" applyNumberFormat="1" applyFont="1" applyFill="1" applyBorder="1" applyAlignment="1">
      <alignment horizontal="center" vertical="center"/>
    </xf>
    <xf numFmtId="37" fontId="42" fillId="6" borderId="64" xfId="3" applyNumberFormat="1" applyFont="1" applyFill="1" applyBorder="1" applyAlignment="1">
      <alignment horizontal="center" vertical="center"/>
    </xf>
    <xf numFmtId="40" fontId="42" fillId="6" borderId="64" xfId="4" applyNumberFormat="1" applyFont="1" applyFill="1" applyBorder="1" applyAlignment="1">
      <alignment horizontal="center" vertical="center"/>
    </xf>
    <xf numFmtId="165" fontId="42" fillId="6" borderId="66" xfId="4" applyFont="1" applyFill="1" applyBorder="1" applyAlignment="1">
      <alignment horizontal="right" vertical="center"/>
    </xf>
    <xf numFmtId="40" fontId="42" fillId="6" borderId="65" xfId="4" applyNumberFormat="1" applyFont="1" applyFill="1" applyBorder="1" applyAlignment="1">
      <alignment horizontal="center" vertical="center" wrapText="1"/>
    </xf>
    <xf numFmtId="10" fontId="42" fillId="6" borderId="64" xfId="5" applyNumberFormat="1" applyFont="1" applyFill="1" applyBorder="1" applyAlignment="1">
      <alignment horizontal="center" vertical="center" wrapText="1"/>
    </xf>
    <xf numFmtId="165" fontId="42" fillId="6" borderId="63" xfId="4" applyFont="1" applyFill="1" applyBorder="1" applyAlignment="1">
      <alignment horizontal="center" vertical="center" wrapText="1"/>
    </xf>
    <xf numFmtId="165" fontId="42" fillId="6" borderId="62" xfId="4" applyFont="1" applyFill="1" applyBorder="1" applyAlignment="1">
      <alignment horizontal="center" vertical="center" wrapText="1"/>
    </xf>
    <xf numFmtId="10" fontId="42" fillId="6" borderId="98" xfId="5" applyNumberFormat="1" applyFont="1" applyFill="1" applyBorder="1" applyAlignment="1">
      <alignment horizontal="center" vertical="center" wrapText="1"/>
    </xf>
    <xf numFmtId="10" fontId="42" fillId="6" borderId="45" xfId="5" applyNumberFormat="1" applyFont="1" applyFill="1" applyBorder="1" applyAlignment="1">
      <alignment horizontal="center" vertical="center" wrapText="1"/>
    </xf>
    <xf numFmtId="49" fontId="38" fillId="0" borderId="43" xfId="0" applyNumberFormat="1" applyFont="1" applyBorder="1" applyAlignment="1">
      <alignment horizontal="left" vertical="center" wrapText="1"/>
    </xf>
    <xf numFmtId="0" fontId="38" fillId="0" borderId="44" xfId="0" applyFont="1" applyBorder="1" applyAlignment="1">
      <alignment horizontal="left" vertical="center" wrapText="1"/>
    </xf>
    <xf numFmtId="0" fontId="38" fillId="0" borderId="10" xfId="0" applyFont="1" applyBorder="1"/>
    <xf numFmtId="0" fontId="38" fillId="0" borderId="104" xfId="0" applyFont="1" applyBorder="1"/>
    <xf numFmtId="0" fontId="40" fillId="13" borderId="48" xfId="0" applyFont="1" applyFill="1" applyBorder="1" applyAlignment="1">
      <alignment horizontal="center" vertical="center"/>
    </xf>
    <xf numFmtId="0" fontId="40" fillId="13" borderId="47" xfId="0" applyFont="1" applyFill="1" applyBorder="1" applyAlignment="1">
      <alignment horizontal="center" vertical="center"/>
    </xf>
    <xf numFmtId="0" fontId="40" fillId="13" borderId="104" xfId="0" applyFont="1" applyFill="1" applyBorder="1" applyAlignment="1">
      <alignment horizontal="center" vertical="center"/>
    </xf>
    <xf numFmtId="0" fontId="40" fillId="13" borderId="98" xfId="0" applyFont="1" applyFill="1" applyBorder="1" applyAlignment="1">
      <alignment horizontal="center" vertical="center"/>
    </xf>
    <xf numFmtId="0" fontId="40" fillId="13" borderId="45" xfId="0" applyFont="1" applyFill="1" applyBorder="1" applyAlignment="1">
      <alignment horizontal="center" vertical="center"/>
    </xf>
    <xf numFmtId="0" fontId="40" fillId="0" borderId="61" xfId="0" applyFont="1" applyBorder="1" applyAlignment="1">
      <alignment horizontal="left" vertical="center" wrapText="1"/>
    </xf>
    <xf numFmtId="0" fontId="38" fillId="12" borderId="75" xfId="0" applyFont="1" applyFill="1" applyBorder="1" applyAlignment="1">
      <alignment horizontal="left" vertical="center" wrapText="1"/>
    </xf>
    <xf numFmtId="0" fontId="38" fillId="12" borderId="75" xfId="0" applyFont="1" applyFill="1" applyBorder="1" applyAlignment="1">
      <alignment horizontal="center" vertical="center"/>
    </xf>
    <xf numFmtId="44" fontId="38" fillId="12" borderId="75" xfId="8" applyFont="1" applyFill="1" applyBorder="1" applyAlignment="1">
      <alignment vertical="center"/>
    </xf>
    <xf numFmtId="44" fontId="38" fillId="12" borderId="76" xfId="8" applyFont="1" applyFill="1" applyBorder="1" applyAlignment="1">
      <alignment vertical="center"/>
    </xf>
    <xf numFmtId="10" fontId="38" fillId="12" borderId="0" xfId="0" applyNumberFormat="1" applyFont="1" applyFill="1" applyAlignment="1">
      <alignment horizontal="center" vertical="center"/>
    </xf>
    <xf numFmtId="1" fontId="38" fillId="14" borderId="61" xfId="0" applyNumberFormat="1" applyFont="1" applyFill="1" applyBorder="1" applyAlignment="1">
      <alignment horizontal="center" vertical="center"/>
    </xf>
    <xf numFmtId="1" fontId="38" fillId="14" borderId="75" xfId="0" applyNumberFormat="1" applyFont="1" applyFill="1" applyBorder="1" applyAlignment="1">
      <alignment horizontal="center" vertical="center"/>
    </xf>
    <xf numFmtId="44" fontId="38" fillId="14" borderId="75" xfId="8" applyFont="1" applyFill="1" applyBorder="1" applyAlignment="1">
      <alignment vertical="center"/>
    </xf>
    <xf numFmtId="44" fontId="38" fillId="16" borderId="75" xfId="8" applyFont="1" applyFill="1" applyBorder="1" applyAlignment="1">
      <alignment vertical="center"/>
    </xf>
    <xf numFmtId="9" fontId="38" fillId="15" borderId="75" xfId="1" applyFont="1" applyFill="1" applyBorder="1" applyAlignment="1">
      <alignment vertical="center"/>
    </xf>
    <xf numFmtId="44" fontId="38" fillId="15" borderId="75" xfId="8" applyFont="1" applyFill="1" applyBorder="1" applyAlignment="1">
      <alignment vertical="center"/>
    </xf>
    <xf numFmtId="44" fontId="38" fillId="15" borderId="76" xfId="8" applyFont="1" applyFill="1" applyBorder="1" applyAlignment="1">
      <alignment vertical="center"/>
    </xf>
    <xf numFmtId="10" fontId="38" fillId="16" borderId="101" xfId="0" applyNumberFormat="1" applyFont="1" applyFill="1" applyBorder="1" applyAlignment="1">
      <alignment horizontal="center" vertical="center"/>
    </xf>
    <xf numFmtId="10" fontId="38" fillId="16" borderId="72" xfId="0" applyNumberFormat="1" applyFont="1" applyFill="1" applyBorder="1" applyAlignment="1">
      <alignment horizontal="center" vertical="center"/>
    </xf>
    <xf numFmtId="0" fontId="38" fillId="0" borderId="50" xfId="0" applyFont="1" applyBorder="1" applyAlignment="1">
      <alignment horizontal="left" vertical="center" wrapText="1"/>
    </xf>
    <xf numFmtId="0" fontId="38" fillId="0" borderId="52" xfId="0" applyFont="1" applyBorder="1" applyAlignment="1">
      <alignment horizontal="left" vertical="center" wrapText="1"/>
    </xf>
    <xf numFmtId="0" fontId="40" fillId="0" borderId="54" xfId="0" applyFont="1" applyBorder="1" applyAlignment="1">
      <alignment horizontal="left" vertical="center" wrapText="1"/>
    </xf>
    <xf numFmtId="0" fontId="38" fillId="12" borderId="85" xfId="0" applyFont="1" applyFill="1" applyBorder="1" applyAlignment="1">
      <alignment horizontal="left" vertical="center" wrapText="1"/>
    </xf>
    <xf numFmtId="0" fontId="38" fillId="12" borderId="85" xfId="0" applyFont="1" applyFill="1" applyBorder="1" applyAlignment="1">
      <alignment horizontal="center" vertical="center"/>
    </xf>
    <xf numFmtId="44" fontId="38" fillId="12" borderId="85" xfId="8" applyFont="1" applyFill="1" applyBorder="1" applyAlignment="1">
      <alignment vertical="center"/>
    </xf>
    <xf numFmtId="44" fontId="38" fillId="12" borderId="57" xfId="8" applyFont="1" applyFill="1" applyBorder="1" applyAlignment="1">
      <alignment vertical="center"/>
    </xf>
    <xf numFmtId="1" fontId="38" fillId="14" borderId="54" xfId="0" applyNumberFormat="1" applyFont="1" applyFill="1" applyBorder="1" applyAlignment="1">
      <alignment horizontal="center" vertical="center"/>
    </xf>
    <xf numFmtId="1" fontId="38" fillId="14" borderId="85" xfId="0" applyNumberFormat="1" applyFont="1" applyFill="1" applyBorder="1" applyAlignment="1">
      <alignment horizontal="center" vertical="center"/>
    </xf>
    <xf numFmtId="44" fontId="38" fillId="14" borderId="85" xfId="8" applyFont="1" applyFill="1" applyBorder="1" applyAlignment="1">
      <alignment vertical="center"/>
    </xf>
    <xf numFmtId="44" fontId="38" fillId="16" borderId="85" xfId="8" applyFont="1" applyFill="1" applyBorder="1" applyAlignment="1">
      <alignment vertical="center"/>
    </xf>
    <xf numFmtId="9" fontId="38" fillId="15" borderId="85" xfId="1" applyFont="1" applyFill="1" applyBorder="1" applyAlignment="1">
      <alignment vertical="center"/>
    </xf>
    <xf numFmtId="44" fontId="38" fillId="15" borderId="85" xfId="8" applyFont="1" applyFill="1" applyBorder="1" applyAlignment="1">
      <alignment vertical="center"/>
    </xf>
    <xf numFmtId="44" fontId="38" fillId="15" borderId="57" xfId="8" applyFont="1" applyFill="1" applyBorder="1" applyAlignment="1">
      <alignment vertical="center"/>
    </xf>
    <xf numFmtId="10" fontId="38" fillId="16" borderId="8" xfId="0" applyNumberFormat="1" applyFont="1" applyFill="1" applyBorder="1" applyAlignment="1">
      <alignment horizontal="center" vertical="center"/>
    </xf>
    <xf numFmtId="10" fontId="38" fillId="16" borderId="57" xfId="0" applyNumberFormat="1" applyFont="1" applyFill="1" applyBorder="1" applyAlignment="1">
      <alignment horizontal="center" vertical="center"/>
    </xf>
    <xf numFmtId="0" fontId="38" fillId="0" borderId="68" xfId="0" applyFont="1" applyBorder="1" applyAlignment="1">
      <alignment horizontal="left" vertical="center" wrapText="1"/>
    </xf>
    <xf numFmtId="0" fontId="38" fillId="0" borderId="0" xfId="0" applyFont="1" applyAlignment="1">
      <alignment horizontal="left" vertical="center" wrapText="1"/>
    </xf>
    <xf numFmtId="44" fontId="38" fillId="0" borderId="85" xfId="8" applyFont="1" applyFill="1" applyBorder="1" applyAlignment="1">
      <alignment vertical="center"/>
    </xf>
    <xf numFmtId="0" fontId="40" fillId="26" borderId="54" xfId="0" applyFont="1" applyFill="1" applyBorder="1" applyAlignment="1">
      <alignment horizontal="left" vertical="center" wrapText="1"/>
    </xf>
    <xf numFmtId="1" fontId="38" fillId="14" borderId="58" xfId="0" applyNumberFormat="1" applyFont="1" applyFill="1" applyBorder="1" applyAlignment="1">
      <alignment horizontal="center" vertical="center"/>
    </xf>
    <xf numFmtId="44" fontId="38" fillId="14" borderId="58" xfId="8" applyFont="1" applyFill="1" applyBorder="1" applyAlignment="1">
      <alignment vertical="center"/>
    </xf>
    <xf numFmtId="44" fontId="38" fillId="16" borderId="58" xfId="8" applyFont="1" applyFill="1" applyBorder="1" applyAlignment="1">
      <alignment vertical="center"/>
    </xf>
    <xf numFmtId="9" fontId="38" fillId="15" borderId="58" xfId="1" applyFont="1" applyFill="1" applyBorder="1" applyAlignment="1">
      <alignment vertical="center"/>
    </xf>
    <xf numFmtId="44" fontId="38" fillId="15" borderId="58" xfId="8" applyFont="1" applyFill="1" applyBorder="1" applyAlignment="1">
      <alignment vertical="center"/>
    </xf>
    <xf numFmtId="44" fontId="38" fillId="15" borderId="72" xfId="8" applyFont="1" applyFill="1" applyBorder="1" applyAlignment="1">
      <alignment vertical="center"/>
    </xf>
    <xf numFmtId="0" fontId="40" fillId="12" borderId="54" xfId="0" applyFont="1" applyFill="1" applyBorder="1" applyAlignment="1">
      <alignment horizontal="left" vertical="center" wrapText="1"/>
    </xf>
    <xf numFmtId="170" fontId="37" fillId="11" borderId="11" xfId="8" applyNumberFormat="1" applyFont="1" applyFill="1" applyBorder="1" applyAlignment="1">
      <alignment horizontal="right"/>
    </xf>
    <xf numFmtId="170" fontId="37" fillId="11" borderId="105" xfId="8" applyNumberFormat="1" applyFont="1" applyFill="1" applyBorder="1" applyAlignment="1">
      <alignment horizontal="right"/>
    </xf>
    <xf numFmtId="44" fontId="37" fillId="11" borderId="82" xfId="8" applyFont="1" applyFill="1" applyBorder="1" applyAlignment="1">
      <alignment horizontal="right"/>
    </xf>
    <xf numFmtId="44" fontId="40" fillId="16" borderId="77" xfId="8" applyFont="1" applyFill="1" applyBorder="1" applyAlignment="1">
      <alignment vertical="center"/>
    </xf>
    <xf numFmtId="9" fontId="38" fillId="15" borderId="77" xfId="1" applyFont="1" applyFill="1" applyBorder="1" applyAlignment="1">
      <alignment vertical="center"/>
    </xf>
    <xf numFmtId="44" fontId="38" fillId="15" borderId="77" xfId="8" applyFont="1" applyFill="1" applyBorder="1" applyAlignment="1">
      <alignment vertical="center"/>
    </xf>
    <xf numFmtId="44" fontId="40" fillId="15" borderId="77" xfId="8" applyFont="1" applyFill="1" applyBorder="1" applyAlignment="1">
      <alignment vertical="center"/>
    </xf>
    <xf numFmtId="44" fontId="40" fillId="15" borderId="78" xfId="8" applyFont="1" applyFill="1" applyBorder="1" applyAlignment="1">
      <alignment vertical="center"/>
    </xf>
    <xf numFmtId="0" fontId="38" fillId="12" borderId="0" xfId="0" applyFont="1" applyFill="1"/>
    <xf numFmtId="44" fontId="40" fillId="15" borderId="26" xfId="8" applyFont="1" applyFill="1" applyBorder="1" applyAlignment="1">
      <alignment horizontal="center" vertical="center"/>
    </xf>
    <xf numFmtId="10" fontId="38" fillId="16" borderId="71" xfId="0" applyNumberFormat="1" applyFont="1" applyFill="1" applyBorder="1" applyAlignment="1">
      <alignment horizontal="center" vertical="center"/>
    </xf>
    <xf numFmtId="170" fontId="40" fillId="13" borderId="48" xfId="8" applyNumberFormat="1" applyFont="1" applyFill="1" applyBorder="1" applyAlignment="1">
      <alignment horizontal="center" vertical="center"/>
    </xf>
    <xf numFmtId="170" fontId="40" fillId="13" borderId="47" xfId="8" applyNumberFormat="1" applyFont="1" applyFill="1" applyBorder="1" applyAlignment="1">
      <alignment horizontal="center" vertical="center"/>
    </xf>
    <xf numFmtId="170" fontId="37" fillId="13" borderId="104" xfId="8" applyNumberFormat="1" applyFont="1" applyFill="1" applyBorder="1" applyAlignment="1">
      <alignment horizontal="center" vertical="center"/>
    </xf>
    <xf numFmtId="44" fontId="40" fillId="13" borderId="98" xfId="8" applyFont="1" applyFill="1" applyBorder="1" applyAlignment="1">
      <alignment horizontal="center" vertical="center"/>
    </xf>
    <xf numFmtId="10" fontId="40" fillId="13" borderId="45" xfId="0" applyNumberFormat="1" applyFont="1" applyFill="1" applyBorder="1" applyAlignment="1">
      <alignment horizontal="center" vertical="center"/>
    </xf>
    <xf numFmtId="0" fontId="40" fillId="24" borderId="85" xfId="0" applyFont="1" applyFill="1" applyBorder="1" applyAlignment="1">
      <alignment horizontal="left" vertical="center" wrapText="1"/>
    </xf>
    <xf numFmtId="0" fontId="38" fillId="0" borderId="85" xfId="0" applyFont="1" applyBorder="1" applyAlignment="1">
      <alignment horizontal="left" vertical="center" wrapText="1"/>
    </xf>
    <xf numFmtId="0" fontId="38" fillId="0" borderId="85" xfId="0" applyFont="1" applyBorder="1" applyAlignment="1">
      <alignment horizontal="center" vertical="center"/>
    </xf>
    <xf numFmtId="44" fontId="38" fillId="0" borderId="85" xfId="8" applyFont="1" applyBorder="1" applyAlignment="1">
      <alignment vertical="center"/>
    </xf>
    <xf numFmtId="44" fontId="37" fillId="11" borderId="77" xfId="8" applyFont="1" applyFill="1" applyBorder="1" applyAlignment="1">
      <alignment horizontal="right"/>
    </xf>
    <xf numFmtId="10" fontId="40" fillId="16" borderId="8" xfId="8" applyNumberFormat="1" applyFont="1" applyFill="1" applyBorder="1" applyAlignment="1">
      <alignment horizontal="center" vertical="center"/>
    </xf>
    <xf numFmtId="10" fontId="40" fillId="16" borderId="57" xfId="0" applyNumberFormat="1" applyFont="1" applyFill="1" applyBorder="1" applyAlignment="1">
      <alignment horizontal="center" vertical="center"/>
    </xf>
    <xf numFmtId="0" fontId="37" fillId="11" borderId="87" xfId="0" applyFont="1" applyFill="1" applyBorder="1" applyAlignment="1">
      <alignment horizontal="left"/>
    </xf>
    <xf numFmtId="44" fontId="40" fillId="13" borderId="88" xfId="8" applyFont="1" applyFill="1" applyBorder="1" applyAlignment="1">
      <alignment horizontal="center" vertical="center"/>
    </xf>
    <xf numFmtId="44" fontId="40" fillId="13" borderId="75" xfId="8" applyFont="1" applyFill="1" applyBorder="1" applyAlignment="1">
      <alignment horizontal="center" vertical="center"/>
    </xf>
    <xf numFmtId="44" fontId="40" fillId="13" borderId="104" xfId="8" applyFont="1" applyFill="1" applyBorder="1" applyAlignment="1">
      <alignment horizontal="center" vertical="center"/>
    </xf>
    <xf numFmtId="10" fontId="40" fillId="13" borderId="8" xfId="8" applyNumberFormat="1" applyFont="1" applyFill="1" applyBorder="1" applyAlignment="1">
      <alignment horizontal="center" vertical="center"/>
    </xf>
    <xf numFmtId="10" fontId="40" fillId="13" borderId="57" xfId="0" applyNumberFormat="1" applyFont="1" applyFill="1" applyBorder="1" applyAlignment="1">
      <alignment horizontal="center" vertical="center"/>
    </xf>
    <xf numFmtId="0" fontId="40" fillId="26" borderId="85" xfId="0" applyFont="1" applyFill="1" applyBorder="1" applyAlignment="1">
      <alignment horizontal="left" vertical="center" wrapText="1"/>
    </xf>
    <xf numFmtId="0" fontId="38" fillId="25" borderId="85" xfId="0" applyFont="1" applyFill="1" applyBorder="1" applyAlignment="1">
      <alignment horizontal="center" vertical="center"/>
    </xf>
    <xf numFmtId="0" fontId="38" fillId="0" borderId="0" xfId="0" applyFont="1" applyAlignment="1">
      <alignment wrapText="1"/>
    </xf>
    <xf numFmtId="10" fontId="38" fillId="16" borderId="8" xfId="8" applyNumberFormat="1" applyFont="1" applyFill="1" applyBorder="1" applyAlignment="1">
      <alignment horizontal="center" vertical="center"/>
    </xf>
    <xf numFmtId="1" fontId="38" fillId="14" borderId="69" xfId="0" applyNumberFormat="1" applyFont="1" applyFill="1" applyBorder="1" applyAlignment="1">
      <alignment horizontal="center" vertical="center"/>
    </xf>
    <xf numFmtId="1" fontId="38" fillId="14" borderId="53" xfId="0" applyNumberFormat="1" applyFont="1" applyFill="1" applyBorder="1" applyAlignment="1">
      <alignment horizontal="center" vertical="center"/>
    </xf>
    <xf numFmtId="44" fontId="38" fillId="14" borderId="53" xfId="8" applyFont="1" applyFill="1" applyBorder="1" applyAlignment="1">
      <alignment vertical="center"/>
    </xf>
    <xf numFmtId="44" fontId="38" fillId="16" borderId="53" xfId="8" applyFont="1" applyFill="1" applyBorder="1" applyAlignment="1">
      <alignment vertical="center"/>
    </xf>
    <xf numFmtId="9" fontId="38" fillId="15" borderId="53" xfId="1" applyFont="1" applyFill="1" applyBorder="1" applyAlignment="1">
      <alignment vertical="center"/>
    </xf>
    <xf numFmtId="44" fontId="38" fillId="15" borderId="53" xfId="8" applyFont="1" applyFill="1" applyBorder="1" applyAlignment="1">
      <alignment vertical="center"/>
    </xf>
    <xf numFmtId="44" fontId="38" fillId="15" borderId="71" xfId="8" applyFont="1" applyFill="1" applyBorder="1" applyAlignment="1">
      <alignment vertical="center"/>
    </xf>
    <xf numFmtId="1" fontId="38" fillId="14" borderId="73" xfId="0" applyNumberFormat="1" applyFont="1" applyFill="1" applyBorder="1" applyAlignment="1">
      <alignment horizontal="center" vertical="center"/>
    </xf>
    <xf numFmtId="1" fontId="38" fillId="14" borderId="5" xfId="0" applyNumberFormat="1" applyFont="1" applyFill="1" applyBorder="1" applyAlignment="1">
      <alignment horizontal="center" vertical="center"/>
    </xf>
    <xf numFmtId="44" fontId="38" fillId="14" borderId="5" xfId="8" applyFont="1" applyFill="1" applyBorder="1" applyAlignment="1">
      <alignment vertical="center"/>
    </xf>
    <xf numFmtId="44" fontId="38" fillId="16" borderId="5" xfId="8" applyFont="1" applyFill="1" applyBorder="1" applyAlignment="1">
      <alignment vertical="center"/>
    </xf>
    <xf numFmtId="9" fontId="38" fillId="15" borderId="5" xfId="1" applyFont="1" applyFill="1" applyBorder="1" applyAlignment="1">
      <alignment vertical="center"/>
    </xf>
    <xf numFmtId="44" fontId="38" fillId="15" borderId="5" xfId="8" applyFont="1" applyFill="1" applyBorder="1" applyAlignment="1">
      <alignment vertical="center"/>
    </xf>
    <xf numFmtId="0" fontId="38" fillId="12" borderId="85" xfId="0" applyFont="1" applyFill="1" applyBorder="1" applyAlignment="1">
      <alignment horizontal="left" wrapText="1"/>
    </xf>
    <xf numFmtId="1" fontId="38" fillId="14" borderId="102" xfId="0" applyNumberFormat="1" applyFont="1" applyFill="1" applyBorder="1" applyAlignment="1">
      <alignment horizontal="center" vertical="center"/>
    </xf>
    <xf numFmtId="1" fontId="38" fillId="14" borderId="59" xfId="0" applyNumberFormat="1" applyFont="1" applyFill="1" applyBorder="1" applyAlignment="1">
      <alignment horizontal="center" vertical="center"/>
    </xf>
    <xf numFmtId="44" fontId="38" fillId="14" borderId="59" xfId="8" applyFont="1" applyFill="1" applyBorder="1" applyAlignment="1">
      <alignment vertical="center"/>
    </xf>
    <xf numFmtId="44" fontId="38" fillId="16" borderId="59" xfId="8" applyFont="1" applyFill="1" applyBorder="1" applyAlignment="1">
      <alignment vertical="center"/>
    </xf>
    <xf numFmtId="9" fontId="38" fillId="15" borderId="59" xfId="1" applyFont="1" applyFill="1" applyBorder="1" applyAlignment="1">
      <alignment vertical="center"/>
    </xf>
    <xf numFmtId="44" fontId="38" fillId="15" borderId="59" xfId="8" applyFont="1" applyFill="1" applyBorder="1" applyAlignment="1">
      <alignment vertical="center"/>
    </xf>
    <xf numFmtId="44" fontId="38" fillId="15" borderId="60" xfId="8" applyFont="1" applyFill="1" applyBorder="1" applyAlignment="1">
      <alignment vertical="center"/>
    </xf>
    <xf numFmtId="1" fontId="38" fillId="14" borderId="55" xfId="0" applyNumberFormat="1" applyFont="1" applyFill="1" applyBorder="1" applyAlignment="1">
      <alignment horizontal="center" vertical="center"/>
    </xf>
    <xf numFmtId="1" fontId="38" fillId="14" borderId="70" xfId="0" applyNumberFormat="1" applyFont="1" applyFill="1" applyBorder="1" applyAlignment="1">
      <alignment horizontal="center" vertical="center"/>
    </xf>
    <xf numFmtId="44" fontId="38" fillId="14" borderId="70" xfId="8" applyFont="1" applyFill="1" applyBorder="1" applyAlignment="1">
      <alignment vertical="center"/>
    </xf>
    <xf numFmtId="44" fontId="38" fillId="16" borderId="70" xfId="8" applyFont="1" applyFill="1" applyBorder="1" applyAlignment="1">
      <alignment vertical="center"/>
    </xf>
    <xf numFmtId="9" fontId="38" fillId="15" borderId="70" xfId="1" applyFont="1" applyFill="1" applyBorder="1" applyAlignment="1">
      <alignment vertical="center"/>
    </xf>
    <xf numFmtId="44" fontId="38" fillId="15" borderId="70" xfId="8" applyFont="1" applyFill="1" applyBorder="1" applyAlignment="1">
      <alignment vertical="center"/>
    </xf>
    <xf numFmtId="10" fontId="38" fillId="16" borderId="85" xfId="8" applyNumberFormat="1" applyFont="1" applyFill="1" applyBorder="1" applyAlignment="1">
      <alignment horizontal="center" vertical="center"/>
    </xf>
    <xf numFmtId="10" fontId="38" fillId="16" borderId="85" xfId="0" applyNumberFormat="1" applyFont="1" applyFill="1" applyBorder="1" applyAlignment="1">
      <alignment horizontal="center" vertical="center"/>
    </xf>
    <xf numFmtId="0" fontId="38" fillId="0" borderId="74" xfId="0" applyFont="1" applyBorder="1" applyAlignment="1">
      <alignment horizontal="left" vertical="center" wrapText="1"/>
    </xf>
    <xf numFmtId="0" fontId="38" fillId="0" borderId="83" xfId="0" applyFont="1" applyBorder="1" applyAlignment="1">
      <alignment horizontal="left" vertical="center" wrapText="1"/>
    </xf>
    <xf numFmtId="170" fontId="37" fillId="11" borderId="0" xfId="8" applyNumberFormat="1" applyFont="1" applyFill="1" applyBorder="1" applyAlignment="1">
      <alignment horizontal="right"/>
    </xf>
    <xf numFmtId="170" fontId="37" fillId="11" borderId="92" xfId="8" applyNumberFormat="1" applyFont="1" applyFill="1" applyBorder="1" applyAlignment="1">
      <alignment horizontal="right"/>
    </xf>
    <xf numFmtId="44" fontId="37" fillId="11" borderId="11" xfId="8" applyFont="1" applyFill="1" applyBorder="1" applyAlignment="1">
      <alignment horizontal="right"/>
    </xf>
    <xf numFmtId="44" fontId="40" fillId="16" borderId="11" xfId="8" applyFont="1" applyFill="1" applyBorder="1" applyAlignment="1">
      <alignment vertical="center"/>
    </xf>
    <xf numFmtId="9" fontId="40" fillId="15" borderId="11" xfId="1" applyFont="1" applyFill="1" applyBorder="1" applyAlignment="1">
      <alignment vertical="center"/>
    </xf>
    <xf numFmtId="44" fontId="40" fillId="15" borderId="11" xfId="8" applyFont="1" applyFill="1" applyBorder="1" applyAlignment="1">
      <alignment vertical="center"/>
    </xf>
    <xf numFmtId="44" fontId="40" fillId="15" borderId="105" xfId="8" applyFont="1" applyFill="1" applyBorder="1" applyAlignment="1">
      <alignment vertical="center"/>
    </xf>
    <xf numFmtId="10" fontId="40" fillId="16" borderId="101" xfId="8" applyNumberFormat="1" applyFont="1" applyFill="1" applyBorder="1" applyAlignment="1">
      <alignment horizontal="center" vertical="center"/>
    </xf>
    <xf numFmtId="10" fontId="40" fillId="16" borderId="72" xfId="0" applyNumberFormat="1" applyFont="1" applyFill="1" applyBorder="1" applyAlignment="1">
      <alignment horizontal="center" vertical="center"/>
    </xf>
    <xf numFmtId="10" fontId="40" fillId="16" borderId="26" xfId="8" applyNumberFormat="1" applyFont="1" applyFill="1" applyBorder="1" applyAlignment="1">
      <alignment horizontal="center" vertical="center"/>
    </xf>
    <xf numFmtId="10" fontId="40" fillId="16" borderId="71" xfId="0" applyNumberFormat="1" applyFont="1" applyFill="1" applyBorder="1" applyAlignment="1">
      <alignment horizontal="center" vertical="center"/>
    </xf>
    <xf numFmtId="10" fontId="40" fillId="13" borderId="49" xfId="0" applyNumberFormat="1" applyFont="1" applyFill="1" applyBorder="1" applyAlignment="1">
      <alignment horizontal="center" vertical="center"/>
    </xf>
    <xf numFmtId="0" fontId="40" fillId="26" borderId="69" xfId="0" applyFont="1" applyFill="1" applyBorder="1" applyAlignment="1">
      <alignment horizontal="left" vertical="center" wrapText="1"/>
    </xf>
    <xf numFmtId="0" fontId="38" fillId="12" borderId="53" xfId="0" applyFont="1" applyFill="1" applyBorder="1" applyAlignment="1">
      <alignment horizontal="left" vertical="center" wrapText="1"/>
    </xf>
    <xf numFmtId="0" fontId="38" fillId="12" borderId="53" xfId="0" applyFont="1" applyFill="1" applyBorder="1" applyAlignment="1">
      <alignment horizontal="center" vertical="center"/>
    </xf>
    <xf numFmtId="44" fontId="38" fillId="12" borderId="53" xfId="8" applyFont="1" applyFill="1" applyBorder="1" applyAlignment="1">
      <alignment vertical="center"/>
    </xf>
    <xf numFmtId="44" fontId="38" fillId="12" borderId="71" xfId="8" applyFont="1" applyFill="1" applyBorder="1" applyAlignment="1">
      <alignment vertical="center"/>
    </xf>
    <xf numFmtId="170" fontId="37" fillId="11" borderId="93" xfId="8" applyNumberFormat="1" applyFont="1" applyFill="1" applyBorder="1" applyAlignment="1">
      <alignment horizontal="right"/>
    </xf>
    <xf numFmtId="170" fontId="37" fillId="11" borderId="94" xfId="8" applyNumberFormat="1" applyFont="1" applyFill="1" applyBorder="1" applyAlignment="1">
      <alignment horizontal="right"/>
    </xf>
    <xf numFmtId="44" fontId="37" fillId="11" borderId="91" xfId="8" applyFont="1" applyFill="1" applyBorder="1" applyAlignment="1">
      <alignment horizontal="right"/>
    </xf>
    <xf numFmtId="44" fontId="40" fillId="16" borderId="91" xfId="8" applyFont="1" applyFill="1" applyBorder="1" applyAlignment="1">
      <alignment vertical="center"/>
    </xf>
    <xf numFmtId="9" fontId="40" fillId="15" borderId="91" xfId="1" applyFont="1" applyFill="1" applyBorder="1" applyAlignment="1">
      <alignment vertical="center"/>
    </xf>
    <xf numFmtId="44" fontId="40" fillId="15" borderId="91" xfId="8" applyFont="1" applyFill="1" applyBorder="1" applyAlignment="1">
      <alignment vertical="center"/>
    </xf>
    <xf numFmtId="44" fontId="40" fillId="15" borderId="94" xfId="8" applyFont="1" applyFill="1" applyBorder="1" applyAlignment="1">
      <alignment vertical="center"/>
    </xf>
    <xf numFmtId="10" fontId="40" fillId="13" borderId="71" xfId="0" applyNumberFormat="1" applyFont="1" applyFill="1" applyBorder="1" applyAlignment="1">
      <alignment horizontal="center" vertical="center"/>
    </xf>
    <xf numFmtId="0" fontId="38" fillId="0" borderId="26" xfId="0" applyFont="1" applyBorder="1"/>
    <xf numFmtId="0" fontId="38" fillId="0" borderId="71" xfId="0" applyFont="1" applyBorder="1"/>
    <xf numFmtId="0" fontId="40" fillId="13" borderId="49" xfId="0" applyFont="1" applyFill="1" applyBorder="1" applyAlignment="1">
      <alignment horizontal="center" vertical="center"/>
    </xf>
    <xf numFmtId="0" fontId="43" fillId="11" borderId="89" xfId="0" applyFont="1" applyFill="1" applyBorder="1" applyAlignment="1">
      <alignment horizontal="center" vertical="center"/>
    </xf>
    <xf numFmtId="0" fontId="43" fillId="11" borderId="87" xfId="0" applyFont="1" applyFill="1" applyBorder="1" applyAlignment="1">
      <alignment horizontal="center" vertical="center"/>
    </xf>
    <xf numFmtId="0" fontId="37" fillId="11" borderId="79" xfId="0" applyFont="1" applyFill="1" applyBorder="1" applyAlignment="1">
      <alignment horizontal="left"/>
    </xf>
    <xf numFmtId="0" fontId="40" fillId="26" borderId="61" xfId="0" applyFont="1" applyFill="1" applyBorder="1" applyAlignment="1">
      <alignment horizontal="left" vertical="center" wrapText="1"/>
    </xf>
    <xf numFmtId="0" fontId="38" fillId="0" borderId="75" xfId="0" applyFont="1" applyBorder="1" applyAlignment="1">
      <alignment horizontal="left" vertical="center" wrapText="1"/>
    </xf>
    <xf numFmtId="44" fontId="38" fillId="0" borderId="75" xfId="8" applyFont="1" applyBorder="1" applyAlignment="1">
      <alignment vertical="center"/>
    </xf>
    <xf numFmtId="44" fontId="38" fillId="0" borderId="76" xfId="8" applyFont="1" applyBorder="1" applyAlignment="1">
      <alignment vertical="center"/>
    </xf>
    <xf numFmtId="44" fontId="38" fillId="0" borderId="57" xfId="8" applyFont="1" applyBorder="1" applyAlignment="1">
      <alignment vertical="center"/>
    </xf>
    <xf numFmtId="10" fontId="38" fillId="16" borderId="26" xfId="0" applyNumberFormat="1" applyFont="1" applyFill="1" applyBorder="1" applyAlignment="1">
      <alignment horizontal="center" vertical="center"/>
    </xf>
    <xf numFmtId="170" fontId="37" fillId="11" borderId="0" xfId="0" applyNumberFormat="1" applyFont="1" applyFill="1" applyAlignment="1">
      <alignment horizontal="right"/>
    </xf>
    <xf numFmtId="170" fontId="37" fillId="11" borderId="92" xfId="0" applyNumberFormat="1" applyFont="1" applyFill="1" applyBorder="1" applyAlignment="1">
      <alignment horizontal="right"/>
    </xf>
    <xf numFmtId="44" fontId="37" fillId="11" borderId="0" xfId="0" applyNumberFormat="1" applyFont="1" applyFill="1" applyAlignment="1">
      <alignment horizontal="right"/>
    </xf>
    <xf numFmtId="44" fontId="40" fillId="16" borderId="0" xfId="0" applyNumberFormat="1" applyFont="1" applyFill="1"/>
    <xf numFmtId="0" fontId="38" fillId="15" borderId="0" xfId="0" applyFont="1" applyFill="1"/>
    <xf numFmtId="44" fontId="40" fillId="15" borderId="0" xfId="0" applyNumberFormat="1" applyFont="1" applyFill="1"/>
    <xf numFmtId="44" fontId="40" fillId="15" borderId="92" xfId="8" applyFont="1" applyFill="1" applyBorder="1"/>
    <xf numFmtId="44" fontId="37" fillId="17" borderId="10" xfId="8" applyFont="1" applyFill="1" applyBorder="1" applyAlignment="1">
      <alignment horizontal="center"/>
    </xf>
    <xf numFmtId="44" fontId="37" fillId="17" borderId="104" xfId="8" applyFont="1" applyFill="1" applyBorder="1" applyAlignment="1">
      <alignment horizontal="center"/>
    </xf>
    <xf numFmtId="0" fontId="40" fillId="13" borderId="70" xfId="0" applyFont="1" applyFill="1" applyBorder="1" applyAlignment="1">
      <alignment horizontal="center" vertical="center"/>
    </xf>
    <xf numFmtId="0" fontId="40" fillId="13" borderId="53" xfId="0" applyFont="1" applyFill="1" applyBorder="1" applyAlignment="1">
      <alignment horizontal="center" vertical="center"/>
    </xf>
    <xf numFmtId="0" fontId="40" fillId="13" borderId="92" xfId="0" applyFont="1" applyFill="1" applyBorder="1" applyAlignment="1">
      <alignment horizontal="center" vertical="center"/>
    </xf>
    <xf numFmtId="0" fontId="40" fillId="13" borderId="8" xfId="0" applyFont="1" applyFill="1" applyBorder="1" applyAlignment="1">
      <alignment horizontal="center" vertical="center"/>
    </xf>
    <xf numFmtId="0" fontId="40" fillId="13" borderId="85" xfId="0" applyFont="1" applyFill="1" applyBorder="1" applyAlignment="1">
      <alignment horizontal="center" vertical="center"/>
    </xf>
    <xf numFmtId="0" fontId="38" fillId="26" borderId="69" xfId="0" applyFont="1" applyFill="1" applyBorder="1" applyAlignment="1">
      <alignment horizontal="left" vertical="center" wrapText="1"/>
    </xf>
    <xf numFmtId="0" fontId="38" fillId="0" borderId="53" xfId="0" applyFont="1" applyBorder="1" applyAlignment="1">
      <alignment horizontal="left" vertical="center" wrapText="1"/>
    </xf>
    <xf numFmtId="0" fontId="38" fillId="0" borderId="53" xfId="0" applyFont="1" applyBorder="1" applyAlignment="1">
      <alignment horizontal="center" vertical="center"/>
    </xf>
    <xf numFmtId="44" fontId="38" fillId="0" borderId="53" xfId="8" applyFont="1" applyBorder="1" applyAlignment="1">
      <alignment vertical="center"/>
    </xf>
    <xf numFmtId="44" fontId="38" fillId="0" borderId="71" xfId="8" applyFont="1" applyBorder="1" applyAlignment="1">
      <alignment vertical="center"/>
    </xf>
    <xf numFmtId="44" fontId="37" fillId="10" borderId="0" xfId="0" applyNumberFormat="1" applyFont="1" applyFill="1" applyAlignment="1">
      <alignment horizontal="right"/>
    </xf>
    <xf numFmtId="44" fontId="37" fillId="10" borderId="92" xfId="0" applyNumberFormat="1" applyFont="1" applyFill="1" applyBorder="1" applyAlignment="1">
      <alignment horizontal="right"/>
    </xf>
    <xf numFmtId="44" fontId="37" fillId="10" borderId="53" xfId="0" applyNumberFormat="1" applyFont="1" applyFill="1" applyBorder="1" applyAlignment="1">
      <alignment horizontal="right"/>
    </xf>
    <xf numFmtId="44" fontId="40" fillId="16" borderId="53" xfId="0" applyNumberFormat="1" applyFont="1" applyFill="1" applyBorder="1"/>
    <xf numFmtId="0" fontId="38" fillId="15" borderId="53" xfId="0" applyFont="1" applyFill="1" applyBorder="1"/>
    <xf numFmtId="44" fontId="40" fillId="15" borderId="53" xfId="0" applyNumberFormat="1" applyFont="1" applyFill="1" applyBorder="1"/>
    <xf numFmtId="44" fontId="40" fillId="15" borderId="70" xfId="8" applyFont="1" applyFill="1" applyBorder="1"/>
    <xf numFmtId="44" fontId="37" fillId="17" borderId="9" xfId="8" applyFont="1" applyFill="1" applyBorder="1" applyAlignment="1">
      <alignment horizontal="center"/>
    </xf>
    <xf numFmtId="44" fontId="37" fillId="17" borderId="108" xfId="8" applyFont="1" applyFill="1" applyBorder="1" applyAlignment="1">
      <alignment horizontal="center"/>
    </xf>
    <xf numFmtId="49" fontId="38" fillId="0" borderId="51" xfId="0" applyNumberFormat="1" applyFont="1" applyBorder="1" applyAlignment="1">
      <alignment horizontal="left" vertical="center" wrapText="1"/>
    </xf>
    <xf numFmtId="0" fontId="37" fillId="17" borderId="30" xfId="0" applyFont="1" applyFill="1" applyBorder="1" applyAlignment="1">
      <alignment horizontal="center"/>
    </xf>
    <xf numFmtId="44" fontId="37" fillId="17" borderId="103" xfId="0" applyNumberFormat="1" applyFont="1" applyFill="1" applyBorder="1"/>
    <xf numFmtId="0" fontId="37" fillId="17" borderId="100" xfId="0" applyFont="1" applyFill="1" applyBorder="1" applyAlignment="1">
      <alignment horizontal="center"/>
    </xf>
    <xf numFmtId="9" fontId="37" fillId="17" borderId="11" xfId="1" applyFont="1" applyFill="1" applyBorder="1"/>
    <xf numFmtId="44" fontId="37" fillId="17" borderId="105" xfId="8" applyFont="1" applyFill="1" applyBorder="1"/>
    <xf numFmtId="0" fontId="40" fillId="12" borderId="0" xfId="3" applyFont="1" applyFill="1" applyAlignment="1">
      <alignment horizontal="center" vertical="center" wrapText="1"/>
    </xf>
    <xf numFmtId="0" fontId="37" fillId="12" borderId="0" xfId="0" applyFont="1" applyFill="1" applyAlignment="1">
      <alignment horizontal="center"/>
    </xf>
    <xf numFmtId="170" fontId="37" fillId="12" borderId="0" xfId="8" applyNumberFormat="1" applyFont="1" applyFill="1" applyBorder="1" applyAlignment="1">
      <alignment horizontal="right"/>
    </xf>
    <xf numFmtId="0" fontId="23" fillId="0" borderId="0" xfId="0" applyFont="1"/>
    <xf numFmtId="0" fontId="23" fillId="0" borderId="0" xfId="0" applyFont="1" applyAlignment="1">
      <alignment horizontal="center"/>
    </xf>
    <xf numFmtId="16" fontId="23" fillId="27" borderId="9" xfId="0" applyNumberFormat="1" applyFont="1" applyFill="1" applyBorder="1"/>
    <xf numFmtId="16" fontId="23" fillId="27" borderId="10" xfId="0" applyNumberFormat="1" applyFont="1" applyFill="1" applyBorder="1"/>
    <xf numFmtId="16" fontId="23" fillId="23" borderId="99" xfId="0" applyNumberFormat="1" applyFont="1" applyFill="1" applyBorder="1"/>
    <xf numFmtId="16" fontId="23" fillId="23" borderId="11" xfId="0" applyNumberFormat="1" applyFont="1" applyFill="1" applyBorder="1"/>
    <xf numFmtId="0" fontId="23" fillId="28" borderId="95" xfId="0" applyFont="1" applyFill="1" applyBorder="1" applyAlignment="1">
      <alignment horizontal="right"/>
    </xf>
    <xf numFmtId="0" fontId="23" fillId="28" borderId="0" xfId="0" applyFont="1" applyFill="1" applyAlignment="1">
      <alignment horizontal="right"/>
    </xf>
    <xf numFmtId="0" fontId="29" fillId="29" borderId="99" xfId="0" applyFont="1" applyFill="1" applyBorder="1"/>
    <xf numFmtId="0" fontId="29" fillId="29" borderId="11" xfId="0" applyFont="1" applyFill="1" applyBorder="1"/>
    <xf numFmtId="0" fontId="48" fillId="30" borderId="85" xfId="0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164" fontId="47" fillId="0" borderId="85" xfId="2" applyNumberFormat="1" applyFont="1" applyBorder="1" applyAlignment="1" applyProtection="1">
      <alignment horizontal="left" vertical="center"/>
      <protection locked="0"/>
    </xf>
    <xf numFmtId="44" fontId="48" fillId="0" borderId="85" xfId="0" applyNumberFormat="1" applyFont="1" applyBorder="1"/>
    <xf numFmtId="9" fontId="48" fillId="0" borderId="85" xfId="1" applyFont="1" applyBorder="1" applyAlignment="1">
      <alignment horizontal="center"/>
    </xf>
    <xf numFmtId="44" fontId="48" fillId="30" borderId="85" xfId="0" applyNumberFormat="1" applyFont="1" applyFill="1" applyBorder="1" applyAlignment="1">
      <alignment horizontal="center"/>
    </xf>
    <xf numFmtId="170" fontId="23" fillId="0" borderId="0" xfId="0" applyNumberFormat="1" applyFont="1"/>
    <xf numFmtId="166" fontId="50" fillId="6" borderId="69" xfId="4" applyNumberFormat="1" applyFont="1" applyFill="1" applyBorder="1" applyAlignment="1">
      <alignment horizontal="center" vertical="center" wrapText="1"/>
    </xf>
    <xf numFmtId="166" fontId="51" fillId="6" borderId="71" xfId="4" applyNumberFormat="1" applyFont="1" applyFill="1" applyBorder="1" applyAlignment="1">
      <alignment horizontal="center" vertical="center" wrapText="1"/>
    </xf>
    <xf numFmtId="1" fontId="52" fillId="10" borderId="110" xfId="0" applyNumberFormat="1" applyFont="1" applyFill="1" applyBorder="1" applyAlignment="1">
      <alignment horizontal="center"/>
    </xf>
    <xf numFmtId="0" fontId="52" fillId="11" borderId="86" xfId="0" applyFont="1" applyFill="1" applyBorder="1" applyAlignment="1">
      <alignment horizontal="left"/>
    </xf>
    <xf numFmtId="44" fontId="53" fillId="0" borderId="85" xfId="8" applyFont="1" applyBorder="1"/>
    <xf numFmtId="44" fontId="54" fillId="0" borderId="85" xfId="8" applyFont="1" applyBorder="1"/>
    <xf numFmtId="44" fontId="38" fillId="19" borderId="0" xfId="0" applyNumberFormat="1" applyFont="1" applyFill="1"/>
    <xf numFmtId="44" fontId="55" fillId="0" borderId="0" xfId="0" applyNumberFormat="1" applyFont="1"/>
    <xf numFmtId="0" fontId="56" fillId="0" borderId="0" xfId="0" applyFont="1" applyAlignment="1">
      <alignment horizontal="left"/>
    </xf>
    <xf numFmtId="9" fontId="55" fillId="0" borderId="0" xfId="1" applyFont="1" applyAlignment="1">
      <alignment horizontal="right"/>
    </xf>
    <xf numFmtId="0" fontId="55" fillId="0" borderId="0" xfId="0" applyFont="1"/>
    <xf numFmtId="44" fontId="0" fillId="0" borderId="0" xfId="8" applyFont="1"/>
    <xf numFmtId="0" fontId="36" fillId="0" borderId="0" xfId="0" applyFont="1"/>
    <xf numFmtId="44" fontId="2" fillId="0" borderId="0" xfId="8" applyFont="1"/>
    <xf numFmtId="44" fontId="23" fillId="0" borderId="108" xfId="0" applyNumberFormat="1" applyFont="1" applyBorder="1" applyAlignment="1">
      <alignment horizontal="center" vertical="center"/>
    </xf>
    <xf numFmtId="0" fontId="23" fillId="0" borderId="109" xfId="0" applyFont="1" applyBorder="1" applyAlignment="1">
      <alignment horizontal="center" vertical="center"/>
    </xf>
    <xf numFmtId="0" fontId="25" fillId="11" borderId="80" xfId="0" applyFont="1" applyFill="1" applyBorder="1" applyAlignment="1">
      <alignment horizontal="left"/>
    </xf>
    <xf numFmtId="0" fontId="25" fillId="11" borderId="81" xfId="0" applyFont="1" applyFill="1" applyBorder="1" applyAlignment="1">
      <alignment horizontal="left"/>
    </xf>
    <xf numFmtId="1" fontId="25" fillId="11" borderId="80" xfId="0" applyNumberFormat="1" applyFont="1" applyFill="1" applyBorder="1" applyAlignment="1">
      <alignment horizontal="left"/>
    </xf>
    <xf numFmtId="1" fontId="25" fillId="11" borderId="81" xfId="0" applyNumberFormat="1" applyFont="1" applyFill="1" applyBorder="1" applyAlignment="1">
      <alignment horizontal="left"/>
    </xf>
    <xf numFmtId="0" fontId="25" fillId="11" borderId="99" xfId="0" applyFont="1" applyFill="1" applyBorder="1" applyAlignment="1">
      <alignment horizontal="left"/>
    </xf>
    <xf numFmtId="0" fontId="25" fillId="11" borderId="11" xfId="0" applyFont="1" applyFill="1" applyBorder="1" applyAlignment="1">
      <alignment horizontal="left"/>
    </xf>
    <xf numFmtId="1" fontId="25" fillId="11" borderId="99" xfId="0" applyNumberFormat="1" applyFont="1" applyFill="1" applyBorder="1" applyAlignment="1">
      <alignment horizontal="left"/>
    </xf>
    <xf numFmtId="1" fontId="25" fillId="11" borderId="11" xfId="0" applyNumberFormat="1" applyFont="1" applyFill="1" applyBorder="1" applyAlignment="1">
      <alignment horizontal="left"/>
    </xf>
    <xf numFmtId="0" fontId="25" fillId="10" borderId="95" xfId="0" applyFont="1" applyFill="1" applyBorder="1" applyAlignment="1">
      <alignment horizontal="center"/>
    </xf>
    <xf numFmtId="0" fontId="25" fillId="10" borderId="0" xfId="0" applyFont="1" applyFill="1" applyAlignment="1">
      <alignment horizontal="center"/>
    </xf>
    <xf numFmtId="0" fontId="25" fillId="10" borderId="92" xfId="0" applyFont="1" applyFill="1" applyBorder="1" applyAlignment="1">
      <alignment horizontal="center"/>
    </xf>
    <xf numFmtId="0" fontId="25" fillId="10" borderId="9" xfId="0" applyFont="1" applyFill="1" applyBorder="1" applyAlignment="1">
      <alignment horizontal="center"/>
    </xf>
    <xf numFmtId="0" fontId="25" fillId="10" borderId="10" xfId="0" applyFont="1" applyFill="1" applyBorder="1" applyAlignment="1">
      <alignment horizontal="center"/>
    </xf>
    <xf numFmtId="0" fontId="25" fillId="10" borderId="104" xfId="0" applyFont="1" applyFill="1" applyBorder="1" applyAlignment="1">
      <alignment horizontal="center"/>
    </xf>
    <xf numFmtId="1" fontId="25" fillId="10" borderId="46" xfId="0" applyNumberFormat="1" applyFont="1" applyFill="1" applyBorder="1" applyAlignment="1">
      <alignment horizontal="center"/>
    </xf>
    <xf numFmtId="1" fontId="25" fillId="10" borderId="47" xfId="0" applyNumberFormat="1" applyFont="1" applyFill="1" applyBorder="1" applyAlignment="1">
      <alignment horizontal="center"/>
    </xf>
    <xf numFmtId="1" fontId="25" fillId="10" borderId="49" xfId="0" applyNumberFormat="1" applyFont="1" applyFill="1" applyBorder="1" applyAlignment="1">
      <alignment horizontal="center"/>
    </xf>
    <xf numFmtId="0" fontId="25" fillId="11" borderId="9" xfId="0" applyFont="1" applyFill="1" applyBorder="1" applyAlignment="1">
      <alignment horizontal="left"/>
    </xf>
    <xf numFmtId="0" fontId="25" fillId="11" borderId="10" xfId="0" applyFont="1" applyFill="1" applyBorder="1" applyAlignment="1">
      <alignment horizontal="left"/>
    </xf>
    <xf numFmtId="0" fontId="25" fillId="11" borderId="56" xfId="0" applyFont="1" applyFill="1" applyBorder="1" applyAlignment="1">
      <alignment horizontal="left"/>
    </xf>
    <xf numFmtId="1" fontId="25" fillId="11" borderId="61" xfId="0" applyNumberFormat="1" applyFont="1" applyFill="1" applyBorder="1" applyAlignment="1">
      <alignment horizontal="left"/>
    </xf>
    <xf numFmtId="1" fontId="25" fillId="11" borderId="75" xfId="0" applyNumberFormat="1" applyFont="1" applyFill="1" applyBorder="1" applyAlignment="1">
      <alignment horizontal="left"/>
    </xf>
    <xf numFmtId="1" fontId="25" fillId="11" borderId="76" xfId="0" applyNumberFormat="1" applyFont="1" applyFill="1" applyBorder="1" applyAlignment="1">
      <alignment horizontal="left"/>
    </xf>
    <xf numFmtId="1" fontId="25" fillId="10" borderId="9" xfId="0" applyNumberFormat="1" applyFont="1" applyFill="1" applyBorder="1" applyAlignment="1">
      <alignment horizontal="center"/>
    </xf>
    <xf numFmtId="1" fontId="25" fillId="10" borderId="10" xfId="0" applyNumberFormat="1" applyFont="1" applyFill="1" applyBorder="1" applyAlignment="1">
      <alignment horizontal="center"/>
    </xf>
    <xf numFmtId="1" fontId="25" fillId="10" borderId="104" xfId="0" applyNumberFormat="1" applyFont="1" applyFill="1" applyBorder="1" applyAlignment="1">
      <alignment horizontal="center"/>
    </xf>
    <xf numFmtId="0" fontId="25" fillId="11" borderId="89" xfId="0" applyFont="1" applyFill="1" applyBorder="1" applyAlignment="1">
      <alignment horizontal="left"/>
    </xf>
    <xf numFmtId="0" fontId="25" fillId="11" borderId="87" xfId="0" applyFont="1" applyFill="1" applyBorder="1" applyAlignment="1">
      <alignment horizontal="left"/>
    </xf>
    <xf numFmtId="0" fontId="25" fillId="11" borderId="97" xfId="0" applyFont="1" applyFill="1" applyBorder="1" applyAlignment="1">
      <alignment horizontal="left"/>
    </xf>
    <xf numFmtId="0" fontId="25" fillId="11" borderId="95" xfId="0" applyFont="1" applyFill="1" applyBorder="1" applyAlignment="1">
      <alignment horizontal="left"/>
    </xf>
    <xf numFmtId="0" fontId="25" fillId="11" borderId="0" xfId="0" applyFont="1" applyFill="1" applyAlignment="1">
      <alignment horizontal="left"/>
    </xf>
    <xf numFmtId="0" fontId="25" fillId="11" borderId="61" xfId="0" applyFont="1" applyFill="1" applyBorder="1" applyAlignment="1">
      <alignment horizontal="left"/>
    </xf>
    <xf numFmtId="0" fontId="25" fillId="11" borderId="75" xfId="0" applyFont="1" applyFill="1" applyBorder="1" applyAlignment="1">
      <alignment horizontal="left"/>
    </xf>
    <xf numFmtId="0" fontId="25" fillId="10" borderId="100" xfId="0" applyFont="1" applyFill="1" applyBorder="1" applyAlignment="1">
      <alignment horizontal="center"/>
    </xf>
    <xf numFmtId="0" fontId="25" fillId="10" borderId="30" xfId="0" applyFont="1" applyFill="1" applyBorder="1" applyAlignment="1">
      <alignment horizontal="center"/>
    </xf>
    <xf numFmtId="0" fontId="25" fillId="10" borderId="103" xfId="0" applyFont="1" applyFill="1" applyBorder="1" applyAlignment="1">
      <alignment horizontal="center"/>
    </xf>
    <xf numFmtId="1" fontId="25" fillId="10" borderId="100" xfId="0" applyNumberFormat="1" applyFont="1" applyFill="1" applyBorder="1" applyAlignment="1">
      <alignment horizontal="center"/>
    </xf>
    <xf numFmtId="1" fontId="25" fillId="10" borderId="30" xfId="0" applyNumberFormat="1" applyFont="1" applyFill="1" applyBorder="1" applyAlignment="1">
      <alignment horizontal="center"/>
    </xf>
    <xf numFmtId="1" fontId="25" fillId="10" borderId="103" xfId="0" applyNumberFormat="1" applyFont="1" applyFill="1" applyBorder="1" applyAlignment="1">
      <alignment horizontal="center"/>
    </xf>
    <xf numFmtId="1" fontId="25" fillId="11" borderId="9" xfId="0" applyNumberFormat="1" applyFont="1" applyFill="1" applyBorder="1" applyAlignment="1">
      <alignment horizontal="left"/>
    </xf>
    <xf numFmtId="1" fontId="25" fillId="11" borderId="10" xfId="0" applyNumberFormat="1" applyFont="1" applyFill="1" applyBorder="1" applyAlignment="1">
      <alignment horizontal="left"/>
    </xf>
    <xf numFmtId="1" fontId="25" fillId="11" borderId="104" xfId="0" applyNumberFormat="1" applyFont="1" applyFill="1" applyBorder="1" applyAlignment="1">
      <alignment horizontal="left"/>
    </xf>
    <xf numFmtId="0" fontId="25" fillId="11" borderId="90" xfId="0" applyFont="1" applyFill="1" applyBorder="1" applyAlignment="1">
      <alignment horizontal="left"/>
    </xf>
    <xf numFmtId="1" fontId="25" fillId="11" borderId="90" xfId="0" applyNumberFormat="1" applyFont="1" applyFill="1" applyBorder="1" applyAlignment="1">
      <alignment horizontal="left"/>
    </xf>
    <xf numFmtId="166" fontId="8" fillId="0" borderId="33" xfId="4" applyNumberFormat="1" applyFont="1" applyBorder="1" applyAlignment="1">
      <alignment horizontal="center" vertical="center" wrapText="1"/>
    </xf>
    <xf numFmtId="166" fontId="8" fillId="0" borderId="34" xfId="4" applyNumberFormat="1" applyFont="1" applyBorder="1" applyAlignment="1">
      <alignment horizontal="center" vertical="center" wrapText="1"/>
    </xf>
    <xf numFmtId="166" fontId="8" fillId="4" borderId="95" xfId="4" applyNumberFormat="1" applyFont="1" applyFill="1" applyBorder="1" applyAlignment="1">
      <alignment horizontal="center" vertical="center" wrapText="1"/>
    </xf>
    <xf numFmtId="166" fontId="8" fillId="4" borderId="0" xfId="4" applyNumberFormat="1" applyFont="1" applyFill="1" applyBorder="1" applyAlignment="1">
      <alignment horizontal="center" vertical="center" wrapText="1"/>
    </xf>
    <xf numFmtId="0" fontId="25" fillId="10" borderId="46" xfId="0" applyFont="1" applyFill="1" applyBorder="1" applyAlignment="1">
      <alignment horizontal="center"/>
    </xf>
    <xf numFmtId="0" fontId="25" fillId="10" borderId="47" xfId="0" applyFont="1" applyFill="1" applyBorder="1" applyAlignment="1">
      <alignment horizontal="center"/>
    </xf>
    <xf numFmtId="0" fontId="25" fillId="10" borderId="49" xfId="0" applyFont="1" applyFill="1" applyBorder="1" applyAlignment="1">
      <alignment horizontal="center"/>
    </xf>
    <xf numFmtId="0" fontId="25" fillId="11" borderId="47" xfId="0" applyFont="1" applyFill="1" applyBorder="1" applyAlignment="1">
      <alignment horizontal="left"/>
    </xf>
    <xf numFmtId="0" fontId="25" fillId="11" borderId="49" xfId="0" applyFont="1" applyFill="1" applyBorder="1" applyAlignment="1">
      <alignment horizontal="left"/>
    </xf>
    <xf numFmtId="166" fontId="8" fillId="4" borderId="100" xfId="4" applyNumberFormat="1" applyFont="1" applyFill="1" applyBorder="1" applyAlignment="1">
      <alignment horizontal="center" vertical="center" wrapText="1"/>
    </xf>
    <xf numFmtId="166" fontId="8" fillId="4" borderId="30" xfId="4" applyNumberFormat="1" applyFont="1" applyFill="1" applyBorder="1" applyAlignment="1">
      <alignment horizontal="center" vertical="center" wrapText="1"/>
    </xf>
    <xf numFmtId="166" fontId="8" fillId="4" borderId="103" xfId="4" applyNumberFormat="1" applyFont="1" applyFill="1" applyBorder="1" applyAlignment="1">
      <alignment horizontal="center" vertical="center" wrapText="1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8" fillId="2" borderId="3" xfId="3" applyFont="1" applyFill="1" applyBorder="1" applyAlignment="1">
      <alignment horizontal="center" vertical="center"/>
    </xf>
    <xf numFmtId="0" fontId="8" fillId="2" borderId="4" xfId="3" applyFont="1" applyFill="1" applyBorder="1" applyAlignment="1">
      <alignment horizontal="center" vertical="center"/>
    </xf>
    <xf numFmtId="0" fontId="8" fillId="2" borderId="103" xfId="3" applyFont="1" applyFill="1" applyBorder="1" applyAlignment="1">
      <alignment horizontal="center" vertical="center"/>
    </xf>
    <xf numFmtId="0" fontId="8" fillId="3" borderId="100" xfId="0" applyFont="1" applyFill="1" applyBorder="1" applyAlignment="1">
      <alignment horizontal="center" vertical="center" wrapText="1"/>
    </xf>
    <xf numFmtId="0" fontId="8" fillId="3" borderId="30" xfId="0" applyFont="1" applyFill="1" applyBorder="1" applyAlignment="1">
      <alignment horizontal="center" vertical="center" wrapText="1"/>
    </xf>
    <xf numFmtId="0" fontId="8" fillId="3" borderId="103" xfId="0" applyFont="1" applyFill="1" applyBorder="1" applyAlignment="1">
      <alignment horizontal="center" vertical="center" wrapText="1"/>
    </xf>
    <xf numFmtId="0" fontId="25" fillId="11" borderId="82" xfId="0" applyFont="1" applyFill="1" applyBorder="1" applyAlignment="1">
      <alignment horizontal="left"/>
    </xf>
    <xf numFmtId="1" fontId="25" fillId="11" borderId="82" xfId="0" applyNumberFormat="1" applyFont="1" applyFill="1" applyBorder="1" applyAlignment="1">
      <alignment horizontal="left"/>
    </xf>
    <xf numFmtId="1" fontId="25" fillId="10" borderId="99" xfId="0" applyNumberFormat="1" applyFont="1" applyFill="1" applyBorder="1" applyAlignment="1">
      <alignment horizontal="center"/>
    </xf>
    <xf numFmtId="1" fontId="25" fillId="10" borderId="11" xfId="0" applyNumberFormat="1" applyFont="1" applyFill="1" applyBorder="1" applyAlignment="1">
      <alignment horizontal="center"/>
    </xf>
    <xf numFmtId="1" fontId="25" fillId="10" borderId="105" xfId="0" applyNumberFormat="1" applyFont="1" applyFill="1" applyBorder="1" applyAlignment="1">
      <alignment horizontal="center"/>
    </xf>
    <xf numFmtId="1" fontId="25" fillId="11" borderId="89" xfId="0" applyNumberFormat="1" applyFont="1" applyFill="1" applyBorder="1" applyAlignment="1">
      <alignment horizontal="left"/>
    </xf>
    <xf numFmtId="1" fontId="25" fillId="11" borderId="87" xfId="0" applyNumberFormat="1" applyFont="1" applyFill="1" applyBorder="1" applyAlignment="1">
      <alignment horizontal="left"/>
    </xf>
    <xf numFmtId="1" fontId="25" fillId="11" borderId="79" xfId="0" applyNumberFormat="1" applyFont="1" applyFill="1" applyBorder="1" applyAlignment="1">
      <alignment horizontal="left"/>
    </xf>
    <xf numFmtId="1" fontId="25" fillId="10" borderId="95" xfId="0" applyNumberFormat="1" applyFont="1" applyFill="1" applyBorder="1" applyAlignment="1">
      <alignment horizontal="center"/>
    </xf>
    <xf numFmtId="1" fontId="25" fillId="10" borderId="0" xfId="0" applyNumberFormat="1" applyFont="1" applyFill="1" applyAlignment="1">
      <alignment horizontal="center"/>
    </xf>
    <xf numFmtId="1" fontId="25" fillId="10" borderId="92" xfId="0" applyNumberFormat="1" applyFont="1" applyFill="1" applyBorder="1" applyAlignment="1">
      <alignment horizontal="center"/>
    </xf>
    <xf numFmtId="0" fontId="37" fillId="10" borderId="9" xfId="0" applyFont="1" applyFill="1" applyBorder="1" applyAlignment="1">
      <alignment horizontal="center"/>
    </xf>
    <xf numFmtId="0" fontId="37" fillId="10" borderId="10" xfId="0" applyFont="1" applyFill="1" applyBorder="1" applyAlignment="1">
      <alignment horizontal="center"/>
    </xf>
    <xf numFmtId="0" fontId="37" fillId="10" borderId="104" xfId="0" applyFont="1" applyFill="1" applyBorder="1" applyAlignment="1">
      <alignment horizontal="center"/>
    </xf>
    <xf numFmtId="0" fontId="37" fillId="10" borderId="61" xfId="0" applyFont="1" applyFill="1" applyBorder="1" applyAlignment="1">
      <alignment horizontal="center"/>
    </xf>
    <xf numFmtId="0" fontId="37" fillId="10" borderId="75" xfId="0" applyFont="1" applyFill="1" applyBorder="1" applyAlignment="1">
      <alignment horizontal="center"/>
    </xf>
    <xf numFmtId="0" fontId="37" fillId="10" borderId="76" xfId="0" applyFont="1" applyFill="1" applyBorder="1" applyAlignment="1">
      <alignment horizontal="center"/>
    </xf>
    <xf numFmtId="0" fontId="37" fillId="11" borderId="95" xfId="0" applyFont="1" applyFill="1" applyBorder="1" applyAlignment="1">
      <alignment horizontal="left"/>
    </xf>
    <xf numFmtId="0" fontId="37" fillId="11" borderId="0" xfId="0" applyFont="1" applyFill="1" applyAlignment="1">
      <alignment horizontal="left"/>
    </xf>
    <xf numFmtId="0" fontId="37" fillId="11" borderId="106" xfId="0" applyFont="1" applyFill="1" applyBorder="1" applyAlignment="1">
      <alignment horizontal="left"/>
    </xf>
    <xf numFmtId="0" fontId="37" fillId="11" borderId="54" xfId="0" applyFont="1" applyFill="1" applyBorder="1" applyAlignment="1">
      <alignment horizontal="left"/>
    </xf>
    <xf numFmtId="0" fontId="37" fillId="11" borderId="85" xfId="0" applyFont="1" applyFill="1" applyBorder="1" applyAlignment="1">
      <alignment horizontal="left"/>
    </xf>
    <xf numFmtId="0" fontId="37" fillId="11" borderId="57" xfId="0" applyFont="1" applyFill="1" applyBorder="1" applyAlignment="1">
      <alignment horizontal="left"/>
    </xf>
    <xf numFmtId="0" fontId="37" fillId="10" borderId="55" xfId="0" applyFont="1" applyFill="1" applyBorder="1" applyAlignment="1">
      <alignment horizontal="left"/>
    </xf>
    <xf numFmtId="0" fontId="37" fillId="10" borderId="6" xfId="0" applyFont="1" applyFill="1" applyBorder="1" applyAlignment="1">
      <alignment horizontal="left"/>
    </xf>
    <xf numFmtId="0" fontId="37" fillId="10" borderId="69" xfId="0" applyFont="1" applyFill="1" applyBorder="1" applyAlignment="1">
      <alignment horizontal="left"/>
    </xf>
    <xf numFmtId="0" fontId="37" fillId="10" borderId="53" xfId="0" applyFont="1" applyFill="1" applyBorder="1" applyAlignment="1">
      <alignment horizontal="left"/>
    </xf>
    <xf numFmtId="0" fontId="37" fillId="11" borderId="46" xfId="0" applyFont="1" applyFill="1" applyBorder="1" applyAlignment="1">
      <alignment horizontal="left"/>
    </xf>
    <xf numFmtId="0" fontId="37" fillId="11" borderId="47" xfId="0" applyFont="1" applyFill="1" applyBorder="1" applyAlignment="1">
      <alignment horizontal="left"/>
    </xf>
    <xf numFmtId="0" fontId="37" fillId="10" borderId="95" xfId="0" applyFont="1" applyFill="1" applyBorder="1" applyAlignment="1">
      <alignment horizontal="center"/>
    </xf>
    <xf numFmtId="0" fontId="37" fillId="10" borderId="0" xfId="0" applyFont="1" applyFill="1" applyAlignment="1">
      <alignment horizontal="center"/>
    </xf>
    <xf numFmtId="0" fontId="37" fillId="10" borderId="92" xfId="0" applyFont="1" applyFill="1" applyBorder="1" applyAlignment="1">
      <alignment horizontal="center"/>
    </xf>
    <xf numFmtId="1" fontId="37" fillId="10" borderId="95" xfId="0" applyNumberFormat="1" applyFont="1" applyFill="1" applyBorder="1" applyAlignment="1">
      <alignment horizontal="center"/>
    </xf>
    <xf numFmtId="1" fontId="37" fillId="10" borderId="0" xfId="0" applyNumberFormat="1" applyFont="1" applyFill="1" applyAlignment="1">
      <alignment horizontal="center"/>
    </xf>
    <xf numFmtId="1" fontId="37" fillId="10" borderId="92" xfId="0" applyNumberFormat="1" applyFont="1" applyFill="1" applyBorder="1" applyAlignment="1">
      <alignment horizontal="center"/>
    </xf>
    <xf numFmtId="0" fontId="37" fillId="11" borderId="9" xfId="0" applyFont="1" applyFill="1" applyBorder="1" applyAlignment="1">
      <alignment horizontal="left"/>
    </xf>
    <xf numFmtId="0" fontId="37" fillId="11" borderId="10" xfId="0" applyFont="1" applyFill="1" applyBorder="1" applyAlignment="1">
      <alignment horizontal="left"/>
    </xf>
    <xf numFmtId="0" fontId="37" fillId="11" borderId="56" xfId="0" applyFont="1" applyFill="1" applyBorder="1" applyAlignment="1">
      <alignment horizontal="left"/>
    </xf>
    <xf numFmtId="1" fontId="37" fillId="11" borderId="9" xfId="0" applyNumberFormat="1" applyFont="1" applyFill="1" applyBorder="1" applyAlignment="1">
      <alignment horizontal="left"/>
    </xf>
    <xf numFmtId="1" fontId="37" fillId="11" borderId="10" xfId="0" applyNumberFormat="1" applyFont="1" applyFill="1" applyBorder="1" applyAlignment="1">
      <alignment horizontal="left"/>
    </xf>
    <xf numFmtId="1" fontId="37" fillId="11" borderId="104" xfId="0" applyNumberFormat="1" applyFont="1" applyFill="1" applyBorder="1" applyAlignment="1">
      <alignment horizontal="left"/>
    </xf>
    <xf numFmtId="0" fontId="37" fillId="11" borderId="99" xfId="0" applyFont="1" applyFill="1" applyBorder="1" applyAlignment="1">
      <alignment horizontal="left"/>
    </xf>
    <xf numFmtId="0" fontId="37" fillId="11" borderId="11" xfId="0" applyFont="1" applyFill="1" applyBorder="1" applyAlignment="1">
      <alignment horizontal="left"/>
    </xf>
    <xf numFmtId="0" fontId="37" fillId="11" borderId="90" xfId="0" applyFont="1" applyFill="1" applyBorder="1" applyAlignment="1">
      <alignment horizontal="left"/>
    </xf>
    <xf numFmtId="1" fontId="37" fillId="11" borderId="99" xfId="0" applyNumberFormat="1" applyFont="1" applyFill="1" applyBorder="1" applyAlignment="1">
      <alignment horizontal="left"/>
    </xf>
    <xf numFmtId="1" fontId="37" fillId="11" borderId="11" xfId="0" applyNumberFormat="1" applyFont="1" applyFill="1" applyBorder="1" applyAlignment="1">
      <alignment horizontal="left"/>
    </xf>
    <xf numFmtId="1" fontId="37" fillId="11" borderId="90" xfId="0" applyNumberFormat="1" applyFont="1" applyFill="1" applyBorder="1" applyAlignment="1">
      <alignment horizontal="left"/>
    </xf>
    <xf numFmtId="0" fontId="37" fillId="10" borderId="100" xfId="0" applyFont="1" applyFill="1" applyBorder="1" applyAlignment="1">
      <alignment horizontal="center"/>
    </xf>
    <xf numFmtId="0" fontId="37" fillId="10" borderId="30" xfId="0" applyFont="1" applyFill="1" applyBorder="1" applyAlignment="1">
      <alignment horizontal="center"/>
    </xf>
    <xf numFmtId="0" fontId="37" fillId="10" borderId="103" xfId="0" applyFont="1" applyFill="1" applyBorder="1" applyAlignment="1">
      <alignment horizontal="center"/>
    </xf>
    <xf numFmtId="1" fontId="37" fillId="10" borderId="9" xfId="0" applyNumberFormat="1" applyFont="1" applyFill="1" applyBorder="1" applyAlignment="1">
      <alignment horizontal="center"/>
    </xf>
    <xf numFmtId="1" fontId="37" fillId="10" borderId="10" xfId="0" applyNumberFormat="1" applyFont="1" applyFill="1" applyBorder="1" applyAlignment="1">
      <alignment horizontal="center"/>
    </xf>
    <xf numFmtId="1" fontId="37" fillId="10" borderId="104" xfId="0" applyNumberFormat="1" applyFont="1" applyFill="1" applyBorder="1" applyAlignment="1">
      <alignment horizontal="center"/>
    </xf>
    <xf numFmtId="0" fontId="37" fillId="11" borderId="89" xfId="0" applyFont="1" applyFill="1" applyBorder="1" applyAlignment="1">
      <alignment horizontal="left"/>
    </xf>
    <xf numFmtId="0" fontId="37" fillId="11" borderId="87" xfId="0" applyFont="1" applyFill="1" applyBorder="1" applyAlignment="1">
      <alignment horizontal="left"/>
    </xf>
    <xf numFmtId="0" fontId="37" fillId="11" borderId="97" xfId="0" applyFont="1" applyFill="1" applyBorder="1" applyAlignment="1">
      <alignment horizontal="left"/>
    </xf>
    <xf numFmtId="1" fontId="37" fillId="11" borderId="89" xfId="0" applyNumberFormat="1" applyFont="1" applyFill="1" applyBorder="1" applyAlignment="1">
      <alignment horizontal="left"/>
    </xf>
    <xf numFmtId="1" fontId="37" fillId="11" borderId="87" xfId="0" applyNumberFormat="1" applyFont="1" applyFill="1" applyBorder="1" applyAlignment="1">
      <alignment horizontal="left"/>
    </xf>
    <xf numFmtId="1" fontId="37" fillId="11" borderId="79" xfId="0" applyNumberFormat="1" applyFont="1" applyFill="1" applyBorder="1" applyAlignment="1">
      <alignment horizontal="left"/>
    </xf>
    <xf numFmtId="1" fontId="37" fillId="10" borderId="46" xfId="0" applyNumberFormat="1" applyFont="1" applyFill="1" applyBorder="1" applyAlignment="1">
      <alignment horizontal="center"/>
    </xf>
    <xf numFmtId="1" fontId="37" fillId="10" borderId="47" xfId="0" applyNumberFormat="1" applyFont="1" applyFill="1" applyBorder="1" applyAlignment="1">
      <alignment horizontal="center"/>
    </xf>
    <xf numFmtId="1" fontId="37" fillId="10" borderId="49" xfId="0" applyNumberFormat="1" applyFont="1" applyFill="1" applyBorder="1" applyAlignment="1">
      <alignment horizontal="center"/>
    </xf>
    <xf numFmtId="1" fontId="37" fillId="11" borderId="61" xfId="0" applyNumberFormat="1" applyFont="1" applyFill="1" applyBorder="1" applyAlignment="1">
      <alignment horizontal="left"/>
    </xf>
    <xf numFmtId="1" fontId="37" fillId="11" borderId="75" xfId="0" applyNumberFormat="1" applyFont="1" applyFill="1" applyBorder="1" applyAlignment="1">
      <alignment horizontal="left"/>
    </xf>
    <xf numFmtId="1" fontId="37" fillId="11" borderId="76" xfId="0" applyNumberFormat="1" applyFont="1" applyFill="1" applyBorder="1" applyAlignment="1">
      <alignment horizontal="left"/>
    </xf>
    <xf numFmtId="0" fontId="37" fillId="11" borderId="80" xfId="0" applyFont="1" applyFill="1" applyBorder="1" applyAlignment="1">
      <alignment horizontal="left"/>
    </xf>
    <xf numFmtId="0" fontId="37" fillId="11" borderId="81" xfId="0" applyFont="1" applyFill="1" applyBorder="1" applyAlignment="1">
      <alignment horizontal="left"/>
    </xf>
    <xf numFmtId="1" fontId="37" fillId="11" borderId="80" xfId="0" applyNumberFormat="1" applyFont="1" applyFill="1" applyBorder="1" applyAlignment="1">
      <alignment horizontal="left"/>
    </xf>
    <xf numFmtId="1" fontId="37" fillId="11" borderId="81" xfId="0" applyNumberFormat="1" applyFont="1" applyFill="1" applyBorder="1" applyAlignment="1">
      <alignment horizontal="left"/>
    </xf>
    <xf numFmtId="1" fontId="37" fillId="11" borderId="82" xfId="0" applyNumberFormat="1" applyFont="1" applyFill="1" applyBorder="1" applyAlignment="1">
      <alignment horizontal="left"/>
    </xf>
    <xf numFmtId="166" fontId="42" fillId="0" borderId="33" xfId="4" applyNumberFormat="1" applyFont="1" applyBorder="1" applyAlignment="1">
      <alignment horizontal="center" vertical="center" wrapText="1"/>
    </xf>
    <xf numFmtId="166" fontId="42" fillId="0" borderId="34" xfId="4" applyNumberFormat="1" applyFont="1" applyBorder="1" applyAlignment="1">
      <alignment horizontal="center" vertical="center" wrapText="1"/>
    </xf>
    <xf numFmtId="0" fontId="37" fillId="10" borderId="46" xfId="0" applyFont="1" applyFill="1" applyBorder="1" applyAlignment="1">
      <alignment horizontal="center"/>
    </xf>
    <xf numFmtId="0" fontId="37" fillId="10" borderId="47" xfId="0" applyFont="1" applyFill="1" applyBorder="1" applyAlignment="1">
      <alignment horizontal="center"/>
    </xf>
    <xf numFmtId="0" fontId="37" fillId="10" borderId="49" xfId="0" applyFont="1" applyFill="1" applyBorder="1" applyAlignment="1">
      <alignment horizontal="center"/>
    </xf>
    <xf numFmtId="0" fontId="37" fillId="11" borderId="49" xfId="0" applyFont="1" applyFill="1" applyBorder="1" applyAlignment="1">
      <alignment horizontal="left"/>
    </xf>
    <xf numFmtId="0" fontId="42" fillId="3" borderId="100" xfId="0" applyFont="1" applyFill="1" applyBorder="1" applyAlignment="1">
      <alignment horizontal="center" vertical="center" wrapText="1"/>
    </xf>
    <xf numFmtId="0" fontId="42" fillId="3" borderId="30" xfId="0" applyFont="1" applyFill="1" applyBorder="1" applyAlignment="1">
      <alignment horizontal="center" vertical="center" wrapText="1"/>
    </xf>
    <xf numFmtId="0" fontId="42" fillId="3" borderId="103" xfId="0" applyFont="1" applyFill="1" applyBorder="1" applyAlignment="1">
      <alignment horizontal="center" vertical="center" wrapText="1"/>
    </xf>
    <xf numFmtId="166" fontId="42" fillId="4" borderId="100" xfId="4" applyNumberFormat="1" applyFont="1" applyFill="1" applyBorder="1" applyAlignment="1">
      <alignment horizontal="center" vertical="center" wrapText="1"/>
    </xf>
    <xf numFmtId="166" fontId="42" fillId="4" borderId="30" xfId="4" applyNumberFormat="1" applyFont="1" applyFill="1" applyBorder="1" applyAlignment="1">
      <alignment horizontal="center" vertical="center" wrapText="1"/>
    </xf>
    <xf numFmtId="166" fontId="42" fillId="4" borderId="103" xfId="4" applyNumberFormat="1" applyFont="1" applyFill="1" applyBorder="1" applyAlignment="1">
      <alignment horizontal="center" vertical="center" wrapText="1"/>
    </xf>
    <xf numFmtId="166" fontId="42" fillId="4" borderId="95" xfId="4" applyNumberFormat="1" applyFont="1" applyFill="1" applyBorder="1" applyAlignment="1">
      <alignment horizontal="center" vertical="center" wrapText="1"/>
    </xf>
    <xf numFmtId="166" fontId="42" fillId="4" borderId="0" xfId="4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left" vertical="center" wrapText="1"/>
    </xf>
    <xf numFmtId="0" fontId="39" fillId="0" borderId="0" xfId="2" applyFont="1" applyAlignment="1">
      <alignment horizontal="left" vertical="top"/>
    </xf>
    <xf numFmtId="0" fontId="42" fillId="2" borderId="3" xfId="3" applyFont="1" applyFill="1" applyBorder="1" applyAlignment="1">
      <alignment horizontal="center" vertical="center"/>
    </xf>
    <xf numFmtId="0" fontId="42" fillId="2" borderId="4" xfId="3" applyFont="1" applyFill="1" applyBorder="1" applyAlignment="1">
      <alignment horizontal="center" vertical="center"/>
    </xf>
    <xf numFmtId="0" fontId="42" fillId="2" borderId="103" xfId="3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left" vertical="center"/>
    </xf>
    <xf numFmtId="0" fontId="16" fillId="8" borderId="35" xfId="0" applyFont="1" applyFill="1" applyBorder="1" applyAlignment="1">
      <alignment vertical="center"/>
    </xf>
    <xf numFmtId="0" fontId="16" fillId="8" borderId="0" xfId="0" applyFont="1" applyFill="1" applyAlignment="1">
      <alignment vertical="center"/>
    </xf>
    <xf numFmtId="0" fontId="17" fillId="8" borderId="35" xfId="0" applyFont="1" applyFill="1" applyBorder="1" applyAlignment="1">
      <alignment horizontal="left" vertical="top"/>
    </xf>
    <xf numFmtId="0" fontId="19" fillId="8" borderId="35" xfId="0" applyFont="1" applyFill="1" applyBorder="1" applyAlignment="1">
      <alignment horizontal="center" vertical="center" wrapText="1"/>
    </xf>
    <xf numFmtId="0" fontId="19" fillId="8" borderId="0" xfId="0" applyFont="1" applyFill="1" applyAlignment="1">
      <alignment horizontal="center" vertical="center" wrapText="1"/>
    </xf>
    <xf numFmtId="0" fontId="0" fillId="0" borderId="17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8" xfId="0" applyBorder="1" applyAlignment="1">
      <alignment horizontal="left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04" xfId="0" applyFont="1" applyBorder="1" applyAlignment="1">
      <alignment horizontal="center"/>
    </xf>
    <xf numFmtId="0" fontId="10" fillId="0" borderId="99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05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24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13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7" xfId="8" applyFont="1" applyBorder="1" applyAlignment="1">
      <alignment horizontal="center"/>
    </xf>
    <xf numFmtId="44" fontId="0" fillId="0" borderId="18" xfId="8" applyFont="1" applyBorder="1" applyAlignment="1">
      <alignment horizontal="center"/>
    </xf>
    <xf numFmtId="44" fontId="0" fillId="0" borderId="20" xfId="8" applyFont="1" applyBorder="1" applyAlignment="1">
      <alignment horizontal="center"/>
    </xf>
    <xf numFmtId="44" fontId="0" fillId="0" borderId="22" xfId="8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9" xfId="0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44" fontId="23" fillId="0" borderId="0" xfId="0" applyNumberFormat="1" applyFont="1"/>
    <xf numFmtId="0" fontId="23" fillId="0" borderId="0" xfId="0" applyFont="1" applyBorder="1"/>
    <xf numFmtId="164" fontId="4" fillId="0" borderId="0" xfId="2" applyNumberFormat="1" applyFont="1" applyBorder="1" applyAlignment="1" applyProtection="1">
      <alignment horizontal="left" vertical="center"/>
      <protection locked="0"/>
    </xf>
    <xf numFmtId="0" fontId="23" fillId="0" borderId="0" xfId="0" applyFont="1" applyBorder="1" applyAlignment="1">
      <alignment horizontal="center"/>
    </xf>
    <xf numFmtId="0" fontId="4" fillId="0" borderId="0" xfId="2" applyFont="1" applyBorder="1" applyAlignment="1" applyProtection="1">
      <alignment horizontal="left" vertical="center"/>
      <protection locked="0"/>
    </xf>
    <xf numFmtId="14" fontId="4" fillId="0" borderId="0" xfId="2" applyNumberFormat="1" applyFont="1" applyBorder="1" applyAlignment="1" applyProtection="1">
      <alignment horizontal="left" vertical="center"/>
      <protection locked="0"/>
    </xf>
    <xf numFmtId="44" fontId="48" fillId="0" borderId="85" xfId="0" applyNumberFormat="1" applyFont="1" applyBorder="1" applyAlignment="1">
      <alignment horizontal="center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9F9F"/>
      <color rgb="FFFF714F"/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</xdr:colOff>
          <xdr:row>0</xdr:row>
          <xdr:rowOff>144780</xdr:rowOff>
        </xdr:from>
        <xdr:to>
          <xdr:col>4</xdr:col>
          <xdr:colOff>53340</xdr:colOff>
          <xdr:row>1</xdr:row>
          <xdr:rowOff>60960</xdr:rowOff>
        </xdr:to>
        <xdr:sp macro="" textlink="">
          <xdr:nvSpPr>
            <xdr:cNvPr id="23553" name="Label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35718</xdr:colOff>
      <xdr:row>0</xdr:row>
      <xdr:rowOff>130971</xdr:rowOff>
    </xdr:from>
    <xdr:to>
      <xdr:col>1</xdr:col>
      <xdr:colOff>411160</xdr:colOff>
      <xdr:row>0</xdr:row>
      <xdr:rowOff>506413</xdr:rowOff>
    </xdr:to>
    <xdr:pic macro="[0]!ChamaForm_Menu">
      <xdr:nvPicPr>
        <xdr:cNvPr id="2" name="Imagem 1">
          <a:extLst>
            <a:ext uri="{FF2B5EF4-FFF2-40B4-BE49-F238E27FC236}">
              <a16:creationId xmlns:a16="http://schemas.microsoft.com/office/drawing/2014/main" id="{EF5DD17D-65E5-40CB-9B3E-4FA7C71BC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2267" cy="3722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1173480</xdr:colOff>
          <xdr:row>0</xdr:row>
          <xdr:rowOff>190500</xdr:rowOff>
        </xdr:from>
        <xdr:to>
          <xdr:col>23</xdr:col>
          <xdr:colOff>175260</xdr:colOff>
          <xdr:row>1</xdr:row>
          <xdr:rowOff>114300</xdr:rowOff>
        </xdr:to>
        <xdr:sp macro="" textlink="">
          <xdr:nvSpPr>
            <xdr:cNvPr id="23554" name="Label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23</xdr:col>
      <xdr:colOff>1808727</xdr:colOff>
      <xdr:row>0</xdr:row>
      <xdr:rowOff>182566</xdr:rowOff>
    </xdr:from>
    <xdr:to>
      <xdr:col>24</xdr:col>
      <xdr:colOff>266733</xdr:colOff>
      <xdr:row>0</xdr:row>
      <xdr:rowOff>545308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F88C1B43-5247-450D-B9B4-B0686500E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25873" y="179391"/>
          <a:ext cx="365917" cy="362742"/>
        </a:xfrm>
        <a:prstGeom prst="rect">
          <a:avLst/>
        </a:prstGeom>
      </xdr:spPr>
    </xdr:pic>
    <xdr:clientData/>
  </xdr:twoCellAnchor>
  <xdr:oneCellAnchor>
    <xdr:from>
      <xdr:col>12</xdr:col>
      <xdr:colOff>634208</xdr:colOff>
      <xdr:row>4</xdr:row>
      <xdr:rowOff>107157</xdr:rowOff>
    </xdr:from>
    <xdr:ext cx="2776118" cy="1993675"/>
    <xdr:pic>
      <xdr:nvPicPr>
        <xdr:cNvPr id="4" name="Imagem 3">
          <a:extLst>
            <a:ext uri="{FF2B5EF4-FFF2-40B4-BE49-F238E27FC236}">
              <a16:creationId xmlns:a16="http://schemas.microsoft.com/office/drawing/2014/main" id="{85D7F44F-2C46-4302-9643-B8EE58CBD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684083" y="1559720"/>
          <a:ext cx="2776118" cy="19936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139700</xdr:rowOff>
    </xdr:from>
    <xdr:to>
      <xdr:col>5</xdr:col>
      <xdr:colOff>942068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6625"/>
            </a:ext>
            <a:ext uri="{FF2B5EF4-FFF2-40B4-BE49-F238E27FC236}">
              <a16:creationId xmlns:a16="http://schemas.microsoft.com/office/drawing/2014/main" id="{762A5552-5797-4CF9-B1FD-FCF4F4C9E39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247385</xdr:colOff>
      <xdr:row>0</xdr:row>
      <xdr:rowOff>130971</xdr:rowOff>
    </xdr:from>
    <xdr:to>
      <xdr:col>1</xdr:col>
      <xdr:colOff>610581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C9B88488-3B86-4897-ADC1-CAC0CD0F7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793" y="130971"/>
          <a:ext cx="375442" cy="375442"/>
        </a:xfrm>
        <a:prstGeom prst="rect">
          <a:avLst/>
        </a:prstGeom>
      </xdr:spPr>
    </xdr:pic>
    <xdr:clientData/>
  </xdr:twoCellAnchor>
  <xdr:twoCellAnchor editAs="absolute">
    <xdr:from>
      <xdr:col>146</xdr:col>
      <xdr:colOff>502407</xdr:colOff>
      <xdr:row>0</xdr:row>
      <xdr:rowOff>190500</xdr:rowOff>
    </xdr:from>
    <xdr:to>
      <xdr:col>148</xdr:col>
      <xdr:colOff>210610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6626"/>
            </a:ext>
            <a:ext uri="{FF2B5EF4-FFF2-40B4-BE49-F238E27FC236}">
              <a16:creationId xmlns:a16="http://schemas.microsoft.com/office/drawing/2014/main" id="{7A8D2EBF-F9C4-406F-A751-65050C6D17E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146</xdr:col>
      <xdr:colOff>124617</xdr:colOff>
      <xdr:row>0</xdr:row>
      <xdr:rowOff>179391</xdr:rowOff>
    </xdr:from>
    <xdr:to>
      <xdr:col>146</xdr:col>
      <xdr:colOff>469329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0F1DD061-5CEB-4AC0-80B2-DDAAF2749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55002" y="182566"/>
          <a:ext cx="429681" cy="362742"/>
        </a:xfrm>
        <a:prstGeom prst="rect">
          <a:avLst/>
        </a:prstGeom>
      </xdr:spPr>
    </xdr:pic>
    <xdr:clientData/>
  </xdr:twoCellAnchor>
  <xdr:oneCellAnchor>
    <xdr:from>
      <xdr:col>11</xdr:col>
      <xdr:colOff>999333</xdr:colOff>
      <xdr:row>2</xdr:row>
      <xdr:rowOff>138907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F1414121-E0BD-491C-98AD-D13AD3008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51208" y="1091407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2</xdr:col>
      <xdr:colOff>0</xdr:colOff>
      <xdr:row>0</xdr:row>
      <xdr:rowOff>152400</xdr:rowOff>
    </xdr:from>
    <xdr:to>
      <xdr:col>5</xdr:col>
      <xdr:colOff>942068</xdr:colOff>
      <xdr:row>1</xdr:row>
      <xdr:rowOff>57150</xdr:rowOff>
    </xdr:to>
    <xdr:pic>
      <xdr:nvPicPr>
        <xdr:cNvPr id="26625" name="Label1">
          <a:extLst>
            <a:ext uri="{FF2B5EF4-FFF2-40B4-BE49-F238E27FC236}">
              <a16:creationId xmlns:a16="http://schemas.microsoft.com/office/drawing/2014/main" id="{E816E812-F721-7A26-482B-7667C32A7B6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" y="152400"/>
          <a:ext cx="97155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146</xdr:col>
      <xdr:colOff>501953</xdr:colOff>
      <xdr:row>0</xdr:row>
      <xdr:rowOff>190500</xdr:rowOff>
    </xdr:from>
    <xdr:to>
      <xdr:col>148</xdr:col>
      <xdr:colOff>210156</xdr:colOff>
      <xdr:row>1</xdr:row>
      <xdr:rowOff>114300</xdr:rowOff>
    </xdr:to>
    <xdr:pic>
      <xdr:nvPicPr>
        <xdr:cNvPr id="26626" name="Label2">
          <a:extLst>
            <a:ext uri="{FF2B5EF4-FFF2-40B4-BE49-F238E27FC236}">
              <a16:creationId xmlns:a16="http://schemas.microsoft.com/office/drawing/2014/main" id="{98155816-1CAC-EF5D-DEAB-C5C284E7BE0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67200" y="190500"/>
          <a:ext cx="971550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48683</xdr:colOff>
      <xdr:row>0</xdr:row>
      <xdr:rowOff>142875</xdr:rowOff>
    </xdr:from>
    <xdr:to>
      <xdr:col>5</xdr:col>
      <xdr:colOff>964142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6625"/>
            </a:ext>
            <a:ext uri="{FF2B5EF4-FFF2-40B4-BE49-F238E27FC236}">
              <a16:creationId xmlns:a16="http://schemas.microsoft.com/office/drawing/2014/main" id="{A2D34B98-3DFF-4227-B8E8-AF44801E4DC8}"/>
            </a:ext>
          </a:extLst>
        </xdr:cNvPr>
        <xdr:cNvSpPr/>
      </xdr:nvSpPr>
      <xdr:spPr bwMode="auto">
        <a:xfrm>
          <a:off x="664633" y="142875"/>
          <a:ext cx="985309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247385</xdr:colOff>
      <xdr:row>0</xdr:row>
      <xdr:rowOff>130971</xdr:rowOff>
    </xdr:from>
    <xdr:to>
      <xdr:col>2</xdr:col>
      <xdr:colOff>0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73860ACA-CF79-418D-885F-74FA42B44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385" y="130971"/>
          <a:ext cx="378617" cy="375442"/>
        </a:xfrm>
        <a:prstGeom prst="rect">
          <a:avLst/>
        </a:prstGeom>
      </xdr:spPr>
    </xdr:pic>
    <xdr:clientData/>
  </xdr:twoCellAnchor>
  <xdr:twoCellAnchor editAs="absolute">
    <xdr:from>
      <xdr:col>49</xdr:col>
      <xdr:colOff>331410</xdr:colOff>
      <xdr:row>0</xdr:row>
      <xdr:rowOff>190500</xdr:rowOff>
    </xdr:from>
    <xdr:to>
      <xdr:col>51</xdr:col>
      <xdr:colOff>7863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6626"/>
            </a:ext>
            <a:ext uri="{FF2B5EF4-FFF2-40B4-BE49-F238E27FC236}">
              <a16:creationId xmlns:a16="http://schemas.microsoft.com/office/drawing/2014/main" id="{287D851E-7C81-428E-92AF-910EB4AC5F23}"/>
            </a:ext>
          </a:extLst>
        </xdr:cNvPr>
        <xdr:cNvSpPr/>
      </xdr:nvSpPr>
      <xdr:spPr bwMode="auto">
        <a:xfrm>
          <a:off x="29649360" y="190500"/>
          <a:ext cx="971853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48</xdr:col>
      <xdr:colOff>425637</xdr:colOff>
      <xdr:row>0</xdr:row>
      <xdr:rowOff>182566</xdr:rowOff>
    </xdr:from>
    <xdr:to>
      <xdr:col>49</xdr:col>
      <xdr:colOff>239368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53C721F8-A752-402D-80DD-9FD5E1B03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3512" y="182566"/>
          <a:ext cx="429681" cy="362742"/>
        </a:xfrm>
        <a:prstGeom prst="rect">
          <a:avLst/>
        </a:prstGeom>
      </xdr:spPr>
    </xdr:pic>
    <xdr:clientData/>
  </xdr:twoCellAnchor>
  <xdr:oneCellAnchor>
    <xdr:from>
      <xdr:col>11</xdr:col>
      <xdr:colOff>269083</xdr:colOff>
      <xdr:row>2</xdr:row>
      <xdr:rowOff>202407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A840A9B7-14CF-445B-A264-1FBB15E23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75208" y="1154907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5</xdr:col>
      <xdr:colOff>48683</xdr:colOff>
      <xdr:row>0</xdr:row>
      <xdr:rowOff>152400</xdr:rowOff>
    </xdr:from>
    <xdr:to>
      <xdr:col>5</xdr:col>
      <xdr:colOff>964142</xdr:colOff>
      <xdr:row>1</xdr:row>
      <xdr:rowOff>57150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CA988F05-46C5-4BA1-ADBB-6CC8FFEB72A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4633" y="152400"/>
          <a:ext cx="985309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49</xdr:col>
      <xdr:colOff>332317</xdr:colOff>
      <xdr:row>0</xdr:row>
      <xdr:rowOff>190500</xdr:rowOff>
    </xdr:from>
    <xdr:to>
      <xdr:col>50</xdr:col>
      <xdr:colOff>601134</xdr:colOff>
      <xdr:row>1</xdr:row>
      <xdr:rowOff>114300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C35961D5-9407-4FE0-B162-F073ECED9D3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53442" y="190500"/>
          <a:ext cx="97049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B9E09-8154-459A-AE62-6A4242823A27}">
  <sheetPr codeName="Planilha10">
    <pageSetUpPr autoPageBreaks="0"/>
  </sheetPr>
  <dimension ref="A1:AL112"/>
  <sheetViews>
    <sheetView showGridLines="0" zoomScale="60" zoomScaleNormal="60" workbookViewId="0">
      <pane ySplit="1" topLeftCell="A100" activePane="bottomLeft" state="frozen"/>
      <selection activeCell="AC1" sqref="AC1"/>
      <selection pane="bottomLeft" activeCell="F3" sqref="F1:F1048576"/>
    </sheetView>
  </sheetViews>
  <sheetFormatPr defaultRowHeight="14.4" x14ac:dyDescent="0.3"/>
  <cols>
    <col min="1" max="1" width="3.21875" customWidth="1"/>
    <col min="2" max="2" width="6.21875" customWidth="1"/>
    <col min="3" max="3" width="6" customWidth="1"/>
    <col min="4" max="4" width="7.5546875" customWidth="1"/>
    <col min="5" max="5" width="10.77734375" customWidth="1"/>
    <col min="6" max="6" width="39.44140625" customWidth="1"/>
    <col min="7" max="7" width="71.44140625" customWidth="1"/>
    <col min="8" max="8" width="6.21875" style="168" customWidth="1"/>
    <col min="9" max="9" width="8.21875" style="168" customWidth="1"/>
    <col min="10" max="10" width="17.5546875" customWidth="1"/>
    <col min="11" max="11" width="24.44140625" customWidth="1"/>
    <col min="12" max="12" width="22.21875" customWidth="1"/>
    <col min="13" max="13" width="23.44140625" customWidth="1"/>
    <col min="14" max="14" width="28.77734375" customWidth="1"/>
    <col min="15" max="15" width="7.44140625" style="139" customWidth="1"/>
    <col min="16" max="16" width="5.21875" customWidth="1"/>
    <col min="17" max="17" width="9.21875" style="168" customWidth="1"/>
    <col min="18" max="18" width="10.44140625" style="168" customWidth="1"/>
    <col min="19" max="19" width="17.5546875" customWidth="1"/>
    <col min="20" max="20" width="26.44140625" customWidth="1"/>
    <col min="21" max="21" width="28.77734375" customWidth="1"/>
    <col min="22" max="24" width="28.21875" customWidth="1"/>
    <col min="25" max="26" width="27.77734375" customWidth="1"/>
    <col min="27" max="27" width="25.77734375" customWidth="1"/>
    <col min="28" max="28" width="38.21875" customWidth="1"/>
    <col min="29" max="30" width="33" customWidth="1"/>
    <col min="31" max="31" width="28" customWidth="1"/>
    <col min="32" max="32" width="1.21875" customWidth="1"/>
    <col min="33" max="33" width="81.5546875" customWidth="1"/>
    <col min="34" max="34" width="36.77734375" customWidth="1"/>
    <col min="35" max="35" width="1.5546875" customWidth="1"/>
    <col min="36" max="36" width="20.21875" customWidth="1"/>
    <col min="37" max="37" width="25.21875" bestFit="1" customWidth="1"/>
    <col min="38" max="38" width="24.77734375" bestFit="1" customWidth="1"/>
    <col min="40" max="40" width="21.21875" customWidth="1"/>
  </cols>
  <sheetData>
    <row r="1" spans="1:38" ht="49.5" customHeight="1" x14ac:dyDescent="0.3">
      <c r="B1" s="52"/>
      <c r="C1" s="53"/>
      <c r="D1" s="53"/>
      <c r="F1" s="669" t="s">
        <v>0</v>
      </c>
      <c r="G1" s="669"/>
    </row>
    <row r="2" spans="1:38" ht="24.75" customHeight="1" x14ac:dyDescent="0.3">
      <c r="B2" s="51"/>
      <c r="D2" s="53"/>
      <c r="F2" s="670" t="s">
        <v>1</v>
      </c>
      <c r="G2" s="670"/>
    </row>
    <row r="3" spans="1:38" ht="18" x14ac:dyDescent="0.35">
      <c r="B3" s="54"/>
      <c r="F3" s="27"/>
      <c r="G3" s="27"/>
    </row>
    <row r="4" spans="1:38" ht="22.05" customHeight="1" x14ac:dyDescent="0.3">
      <c r="F4" s="91" t="s">
        <v>2</v>
      </c>
      <c r="G4" s="75"/>
    </row>
    <row r="5" spans="1:38" ht="18" x14ac:dyDescent="0.3">
      <c r="F5" s="92" t="s">
        <v>3</v>
      </c>
      <c r="G5" s="76"/>
    </row>
    <row r="6" spans="1:38" ht="18" x14ac:dyDescent="0.3">
      <c r="F6" s="92" t="s">
        <v>4</v>
      </c>
      <c r="G6" s="77"/>
    </row>
    <row r="7" spans="1:38" ht="21.75" customHeight="1" x14ac:dyDescent="0.3">
      <c r="F7" s="92" t="s">
        <v>5</v>
      </c>
      <c r="G7" s="78"/>
    </row>
    <row r="8" spans="1:38" ht="18" x14ac:dyDescent="0.3">
      <c r="F8" s="92" t="s">
        <v>6</v>
      </c>
      <c r="G8" s="79"/>
    </row>
    <row r="9" spans="1:38" ht="18" x14ac:dyDescent="0.3">
      <c r="F9" s="92" t="s">
        <v>7</v>
      </c>
      <c r="G9" s="78"/>
      <c r="M9">
        <v>0.80469999999999997</v>
      </c>
    </row>
    <row r="10" spans="1:38" ht="27" customHeight="1" x14ac:dyDescent="0.3">
      <c r="F10" s="92" t="s">
        <v>8</v>
      </c>
      <c r="G10" s="78"/>
      <c r="M10">
        <f>1-M9</f>
        <v>0.19530000000000003</v>
      </c>
    </row>
    <row r="11" spans="1:38" ht="18.600000000000001" thickBot="1" x14ac:dyDescent="0.35">
      <c r="F11" s="93" t="s">
        <v>9</v>
      </c>
      <c r="G11" s="94"/>
    </row>
    <row r="12" spans="1:38" ht="16.8" thickBot="1" x14ac:dyDescent="0.35">
      <c r="B12" s="1"/>
      <c r="M12" s="22"/>
      <c r="R12" s="671" t="s">
        <v>10</v>
      </c>
      <c r="S12" s="672"/>
      <c r="T12" s="672"/>
      <c r="U12" s="673"/>
      <c r="V12" s="674" t="s">
        <v>11</v>
      </c>
      <c r="W12" s="675"/>
      <c r="X12" s="675"/>
      <c r="Y12" s="676"/>
      <c r="Z12" s="24" t="s">
        <v>12</v>
      </c>
      <c r="AA12" s="332" t="e">
        <f>(1/(1-#REF!))-1</f>
        <v>#REF!</v>
      </c>
      <c r="AC12" s="666" t="s">
        <v>13</v>
      </c>
      <c r="AD12" s="667"/>
      <c r="AE12" s="668"/>
      <c r="AG12" s="659" t="s">
        <v>14</v>
      </c>
      <c r="AH12" s="660"/>
      <c r="AJ12" s="28" t="s">
        <v>15</v>
      </c>
      <c r="AK12" s="657" t="s">
        <v>16</v>
      </c>
      <c r="AL12" s="658"/>
    </row>
    <row r="13" spans="1:38" ht="18.600000000000001" thickBot="1" x14ac:dyDescent="0.4">
      <c r="A13" s="25" t="s">
        <v>17</v>
      </c>
      <c r="B13" s="26" t="s">
        <v>18</v>
      </c>
      <c r="C13" s="25" t="s">
        <v>19</v>
      </c>
      <c r="D13" s="25" t="s">
        <v>20</v>
      </c>
      <c r="E13" s="25" t="s">
        <v>21</v>
      </c>
      <c r="M13" s="23">
        <v>0.81</v>
      </c>
    </row>
    <row r="14" spans="1:38" ht="33" thickBot="1" x14ac:dyDescent="0.35">
      <c r="A14" s="56">
        <v>0</v>
      </c>
      <c r="B14" s="57"/>
      <c r="C14" s="58"/>
      <c r="D14" s="55"/>
      <c r="E14" s="55"/>
      <c r="F14" s="61" t="s">
        <v>22</v>
      </c>
      <c r="G14" s="62" t="s">
        <v>23</v>
      </c>
      <c r="H14" s="63" t="s">
        <v>24</v>
      </c>
      <c r="I14" s="63" t="s">
        <v>25</v>
      </c>
      <c r="J14" s="64" t="s">
        <v>26</v>
      </c>
      <c r="K14" s="90" t="s">
        <v>27</v>
      </c>
      <c r="L14" s="89">
        <v>0.1</v>
      </c>
      <c r="M14" s="60">
        <v>0.1953</v>
      </c>
      <c r="N14" s="65" t="s">
        <v>28</v>
      </c>
      <c r="O14" s="141"/>
      <c r="Q14" s="260" t="s">
        <v>29</v>
      </c>
      <c r="R14" s="261" t="s">
        <v>30</v>
      </c>
      <c r="S14" s="88" t="s">
        <v>31</v>
      </c>
      <c r="T14" s="87" t="s">
        <v>32</v>
      </c>
      <c r="U14" s="86" t="s">
        <v>33</v>
      </c>
      <c r="V14" s="85" t="s">
        <v>34</v>
      </c>
      <c r="W14" s="84" t="s">
        <v>35</v>
      </c>
      <c r="X14" s="83" t="s">
        <v>36</v>
      </c>
      <c r="Y14" s="83" t="s">
        <v>37</v>
      </c>
      <c r="Z14" s="262" t="s">
        <v>38</v>
      </c>
      <c r="AA14" s="59" t="s">
        <v>39</v>
      </c>
    </row>
    <row r="15" spans="1:38" ht="33" thickBot="1" x14ac:dyDescent="0.4">
      <c r="A15" s="55">
        <v>1</v>
      </c>
      <c r="B15" s="69">
        <v>1</v>
      </c>
      <c r="C15" s="68" t="s">
        <v>40</v>
      </c>
      <c r="D15" s="55"/>
      <c r="E15" s="55"/>
      <c r="F15" s="624" t="s">
        <v>41</v>
      </c>
      <c r="G15" s="625"/>
      <c r="H15" s="625"/>
      <c r="I15" s="625"/>
      <c r="J15" s="625"/>
      <c r="K15" s="625"/>
      <c r="L15" s="625"/>
      <c r="M15" s="625"/>
      <c r="N15" s="626"/>
      <c r="O15" s="142"/>
      <c r="Q15" s="661" t="str">
        <f>IF(F15&lt;&gt;"",F15,"")</f>
        <v xml:space="preserve">INTERNOS </v>
      </c>
      <c r="R15" s="662"/>
      <c r="S15" s="662"/>
      <c r="T15" s="662"/>
      <c r="U15" s="662"/>
      <c r="V15" s="662"/>
      <c r="W15" s="662"/>
      <c r="X15" s="662"/>
      <c r="Y15" s="663"/>
    </row>
    <row r="16" spans="1:38" ht="23.1" customHeight="1" thickBot="1" x14ac:dyDescent="0.4">
      <c r="A16" s="55">
        <v>2</v>
      </c>
      <c r="B16" s="69" t="s">
        <v>42</v>
      </c>
      <c r="C16" s="68" t="s">
        <v>43</v>
      </c>
      <c r="D16" s="55"/>
      <c r="E16" s="55"/>
      <c r="F16" s="630" t="s">
        <v>44</v>
      </c>
      <c r="G16" s="631"/>
      <c r="H16" s="631"/>
      <c r="I16" s="631"/>
      <c r="J16" s="631"/>
      <c r="K16" s="632"/>
      <c r="L16" s="70" t="s">
        <v>45</v>
      </c>
      <c r="M16" s="71" t="s">
        <v>46</v>
      </c>
      <c r="N16" s="324" t="s">
        <v>28</v>
      </c>
      <c r="O16" s="143"/>
      <c r="Q16" s="644" t="str">
        <f>IF(F16&lt;&gt;"",F16,"")</f>
        <v xml:space="preserve">INTERNOS  </v>
      </c>
      <c r="R16" s="664"/>
      <c r="S16" s="664"/>
      <c r="T16" s="664"/>
      <c r="U16" s="664"/>
      <c r="V16" s="664"/>
      <c r="W16" s="664"/>
      <c r="X16" s="664"/>
      <c r="Y16" s="665"/>
      <c r="Z16" s="247" t="s">
        <v>47</v>
      </c>
      <c r="AA16" s="214" t="s">
        <v>39</v>
      </c>
    </row>
    <row r="17" spans="1:34" ht="90" customHeight="1" x14ac:dyDescent="0.3">
      <c r="A17" s="55">
        <v>3</v>
      </c>
      <c r="B17" s="69" t="s">
        <v>48</v>
      </c>
      <c r="C17" s="68" t="s">
        <v>49</v>
      </c>
      <c r="D17" s="55" t="s">
        <v>50</v>
      </c>
      <c r="E17" s="55" t="s">
        <v>51</v>
      </c>
      <c r="F17" s="267" t="s">
        <v>52</v>
      </c>
      <c r="G17" s="104" t="s">
        <v>53</v>
      </c>
      <c r="H17" s="105">
        <v>1</v>
      </c>
      <c r="I17" s="105">
        <v>1</v>
      </c>
      <c r="J17" s="106">
        <v>4000</v>
      </c>
      <c r="K17" s="106">
        <f t="shared" ref="K17:K23" si="0">IF(F17&lt;&gt;"",H17*I17*J17,"")</f>
        <v>4000</v>
      </c>
      <c r="L17" s="106">
        <f t="shared" ref="L17:L23" si="1">IF(K17&lt;&gt;"",IF(D17="INTERNO",0,K17*$L$14),"")</f>
        <v>0</v>
      </c>
      <c r="M17" s="106">
        <f t="shared" ref="M17:M23" si="2">IF(K17&lt;&gt;"",IF(E17="FAT.OGGI",SUM(K17:L17)*(1/(1-$M$14)-1),L17*(1/(1-$M$14)-1)),"")</f>
        <v>970.79657015036696</v>
      </c>
      <c r="N17" s="107">
        <f t="shared" ref="N17:N23" si="3">SUM(K17:M17)</f>
        <v>4970.7965701503672</v>
      </c>
      <c r="O17" s="140"/>
      <c r="Q17" s="81">
        <f>IF(H17&lt;&gt;"",H17,"")</f>
        <v>1</v>
      </c>
      <c r="R17" s="108">
        <f>IF(I17&lt;&gt;"",I17,"")</f>
        <v>1</v>
      </c>
      <c r="S17" s="109">
        <v>8000</v>
      </c>
      <c r="T17" s="109">
        <f t="shared" ref="T17:T23" si="4">IF(Q17&lt;&gt;"",Q17*R17*S17,"")</f>
        <v>8000</v>
      </c>
      <c r="U17" s="110">
        <f t="shared" ref="U17:U23" si="5">IF(Q17&lt;&gt;"",K17-T17,"")</f>
        <v>-4000</v>
      </c>
      <c r="V17" s="111">
        <f t="shared" ref="V17:V23" si="6">IF(Q17&lt;&gt;"",0%,"")</f>
        <v>0</v>
      </c>
      <c r="W17" s="112">
        <f t="shared" ref="W17:W23" si="7">IF(Q17&lt;&gt;"",V17*U17,"")</f>
        <v>0</v>
      </c>
      <c r="X17" s="112">
        <f t="shared" ref="X17:X23" si="8">IF(Q17&lt;&gt;"",W17+T17,"")</f>
        <v>8000</v>
      </c>
      <c r="Y17" s="233">
        <f t="shared" ref="Y17:Y24" si="9">IF(Q17&lt;&gt;"",X17+M17,"")</f>
        <v>8970.7965701503672</v>
      </c>
      <c r="Z17" s="246">
        <f t="shared" ref="Z17:Z23" si="10">IF(Q17&lt;&gt;"",U17/K17,"")</f>
        <v>-1</v>
      </c>
      <c r="AA17" s="213">
        <f t="shared" ref="AA17:AA23" si="11">T17/$T$24</f>
        <v>1</v>
      </c>
      <c r="AB17" s="73" t="e">
        <f>U17/#REF!</f>
        <v>#REF!</v>
      </c>
    </row>
    <row r="18" spans="1:34" ht="94.05" customHeight="1" x14ac:dyDescent="0.3">
      <c r="A18" s="66">
        <v>4</v>
      </c>
      <c r="B18" s="69" t="s">
        <v>54</v>
      </c>
      <c r="C18" s="67" t="s">
        <v>49</v>
      </c>
      <c r="D18" s="55" t="s">
        <v>50</v>
      </c>
      <c r="E18" s="55" t="s">
        <v>51</v>
      </c>
      <c r="F18" s="268" t="s">
        <v>55</v>
      </c>
      <c r="G18" s="194" t="s">
        <v>56</v>
      </c>
      <c r="H18" s="199">
        <v>1</v>
      </c>
      <c r="I18" s="199">
        <v>1</v>
      </c>
      <c r="J18" s="188">
        <v>0</v>
      </c>
      <c r="K18" s="188">
        <f t="shared" si="0"/>
        <v>0</v>
      </c>
      <c r="L18" s="188">
        <f t="shared" si="1"/>
        <v>0</v>
      </c>
      <c r="M18" s="188">
        <f t="shared" si="2"/>
        <v>0</v>
      </c>
      <c r="N18" s="80">
        <f t="shared" si="3"/>
        <v>0</v>
      </c>
      <c r="O18" s="140"/>
      <c r="Q18" s="81">
        <v>1</v>
      </c>
      <c r="R18" s="189">
        <v>1</v>
      </c>
      <c r="S18" s="190">
        <v>0</v>
      </c>
      <c r="T18" s="190">
        <f t="shared" si="4"/>
        <v>0</v>
      </c>
      <c r="U18" s="191">
        <f t="shared" si="5"/>
        <v>0</v>
      </c>
      <c r="V18" s="192">
        <f t="shared" si="6"/>
        <v>0</v>
      </c>
      <c r="W18" s="193">
        <f t="shared" si="7"/>
        <v>0</v>
      </c>
      <c r="X18" s="193">
        <f t="shared" si="8"/>
        <v>0</v>
      </c>
      <c r="Y18" s="74">
        <f t="shared" si="9"/>
        <v>0</v>
      </c>
      <c r="Z18" s="73" t="e">
        <f t="shared" si="10"/>
        <v>#DIV/0!</v>
      </c>
      <c r="AA18" s="158">
        <f t="shared" si="11"/>
        <v>0</v>
      </c>
      <c r="AB18" s="73" t="e">
        <f>U18/#REF!</f>
        <v>#REF!</v>
      </c>
    </row>
    <row r="19" spans="1:34" ht="107.55" customHeight="1" x14ac:dyDescent="0.3">
      <c r="A19" s="95">
        <v>5</v>
      </c>
      <c r="B19" s="69" t="s">
        <v>57</v>
      </c>
      <c r="C19" s="96" t="s">
        <v>49</v>
      </c>
      <c r="D19" s="95" t="s">
        <v>50</v>
      </c>
      <c r="E19" s="95" t="s">
        <v>51</v>
      </c>
      <c r="F19" s="268" t="s">
        <v>58</v>
      </c>
      <c r="G19" s="194" t="s">
        <v>59</v>
      </c>
      <c r="H19" s="199">
        <v>1</v>
      </c>
      <c r="I19" s="199">
        <v>1</v>
      </c>
      <c r="J19" s="277">
        <v>4750</v>
      </c>
      <c r="K19" s="188">
        <f t="shared" si="0"/>
        <v>4750</v>
      </c>
      <c r="L19" s="188">
        <f t="shared" si="1"/>
        <v>0</v>
      </c>
      <c r="M19" s="188">
        <f t="shared" si="2"/>
        <v>1152.8209270535608</v>
      </c>
      <c r="N19" s="80">
        <f t="shared" si="3"/>
        <v>5902.8209270535608</v>
      </c>
      <c r="O19" s="140"/>
      <c r="Q19" s="81">
        <v>1</v>
      </c>
      <c r="R19" s="189">
        <v>1</v>
      </c>
      <c r="S19" s="190">
        <v>0</v>
      </c>
      <c r="T19" s="190">
        <f t="shared" si="4"/>
        <v>0</v>
      </c>
      <c r="U19" s="191">
        <f t="shared" si="5"/>
        <v>4750</v>
      </c>
      <c r="V19" s="192">
        <f t="shared" si="6"/>
        <v>0</v>
      </c>
      <c r="W19" s="193">
        <f t="shared" si="7"/>
        <v>0</v>
      </c>
      <c r="X19" s="193">
        <f t="shared" si="8"/>
        <v>0</v>
      </c>
      <c r="Y19" s="74">
        <f t="shared" si="9"/>
        <v>1152.8209270535608</v>
      </c>
      <c r="Z19" s="73">
        <f t="shared" si="10"/>
        <v>1</v>
      </c>
      <c r="AA19" s="158">
        <f t="shared" si="11"/>
        <v>0</v>
      </c>
      <c r="AB19" s="73" t="e">
        <f>U19/#REF!</f>
        <v>#REF!</v>
      </c>
    </row>
    <row r="20" spans="1:34" ht="83.1" customHeight="1" x14ac:dyDescent="0.3">
      <c r="A20" s="66">
        <v>6</v>
      </c>
      <c r="B20" s="69" t="s">
        <v>60</v>
      </c>
      <c r="C20" s="67" t="s">
        <v>49</v>
      </c>
      <c r="D20" s="95" t="s">
        <v>50</v>
      </c>
      <c r="E20" s="95" t="s">
        <v>51</v>
      </c>
      <c r="F20" s="268" t="s">
        <v>61</v>
      </c>
      <c r="G20" s="194" t="s">
        <v>62</v>
      </c>
      <c r="H20" s="199">
        <v>1</v>
      </c>
      <c r="I20" s="199">
        <v>1</v>
      </c>
      <c r="J20" s="188">
        <v>0</v>
      </c>
      <c r="K20" s="188">
        <f t="shared" si="0"/>
        <v>0</v>
      </c>
      <c r="L20" s="188">
        <f t="shared" si="1"/>
        <v>0</v>
      </c>
      <c r="M20" s="188">
        <f t="shared" si="2"/>
        <v>0</v>
      </c>
      <c r="N20" s="80">
        <f t="shared" si="3"/>
        <v>0</v>
      </c>
      <c r="O20" s="140"/>
      <c r="Q20" s="81">
        <v>1</v>
      </c>
      <c r="R20" s="189">
        <v>1</v>
      </c>
      <c r="S20" s="190">
        <v>0</v>
      </c>
      <c r="T20" s="190">
        <f t="shared" si="4"/>
        <v>0</v>
      </c>
      <c r="U20" s="191">
        <f t="shared" si="5"/>
        <v>0</v>
      </c>
      <c r="V20" s="192">
        <f t="shared" si="6"/>
        <v>0</v>
      </c>
      <c r="W20" s="193">
        <f t="shared" si="7"/>
        <v>0</v>
      </c>
      <c r="X20" s="193">
        <f t="shared" si="8"/>
        <v>0</v>
      </c>
      <c r="Y20" s="74">
        <f t="shared" si="9"/>
        <v>0</v>
      </c>
      <c r="Z20" s="73" t="e">
        <f t="shared" si="10"/>
        <v>#DIV/0!</v>
      </c>
      <c r="AA20" s="158">
        <f t="shared" si="11"/>
        <v>0</v>
      </c>
      <c r="AB20" s="73" t="e">
        <f>U20/#REF!</f>
        <v>#REF!</v>
      </c>
    </row>
    <row r="21" spans="1:34" ht="58.5" customHeight="1" x14ac:dyDescent="0.3">
      <c r="A21" s="95">
        <v>7</v>
      </c>
      <c r="B21" s="69" t="s">
        <v>63</v>
      </c>
      <c r="C21" s="96" t="s">
        <v>49</v>
      </c>
      <c r="D21" s="95" t="s">
        <v>50</v>
      </c>
      <c r="E21" s="95" t="s">
        <v>51</v>
      </c>
      <c r="F21" s="268" t="s">
        <v>64</v>
      </c>
      <c r="G21" s="194" t="s">
        <v>65</v>
      </c>
      <c r="H21" s="199">
        <v>1</v>
      </c>
      <c r="I21" s="199">
        <v>1</v>
      </c>
      <c r="J21" s="188">
        <v>4000</v>
      </c>
      <c r="K21" s="188">
        <f t="shared" si="0"/>
        <v>4000</v>
      </c>
      <c r="L21" s="188">
        <f t="shared" si="1"/>
        <v>0</v>
      </c>
      <c r="M21" s="188">
        <f t="shared" si="2"/>
        <v>970.79657015036696</v>
      </c>
      <c r="N21" s="80">
        <f t="shared" si="3"/>
        <v>4970.7965701503672</v>
      </c>
      <c r="O21" s="140"/>
      <c r="Q21" s="81">
        <f>IF(H21&lt;&gt;"",H21,"")</f>
        <v>1</v>
      </c>
      <c r="R21" s="189">
        <f>IF(I21&lt;&gt;"",I21,"")</f>
        <v>1</v>
      </c>
      <c r="S21" s="190">
        <v>0</v>
      </c>
      <c r="T21" s="190">
        <f t="shared" si="4"/>
        <v>0</v>
      </c>
      <c r="U21" s="191">
        <f t="shared" si="5"/>
        <v>4000</v>
      </c>
      <c r="V21" s="192">
        <f t="shared" si="6"/>
        <v>0</v>
      </c>
      <c r="W21" s="193">
        <f t="shared" si="7"/>
        <v>0</v>
      </c>
      <c r="X21" s="193">
        <f t="shared" si="8"/>
        <v>0</v>
      </c>
      <c r="Y21" s="74">
        <f t="shared" si="9"/>
        <v>970.79657015036696</v>
      </c>
      <c r="Z21" s="73">
        <f t="shared" si="10"/>
        <v>1</v>
      </c>
      <c r="AA21" s="158">
        <f t="shared" si="11"/>
        <v>0</v>
      </c>
      <c r="AB21" s="73" t="e">
        <f>U21/#REF!</f>
        <v>#REF!</v>
      </c>
    </row>
    <row r="22" spans="1:34" ht="90" customHeight="1" x14ac:dyDescent="0.3">
      <c r="A22" s="55">
        <v>8</v>
      </c>
      <c r="B22" s="69" t="s">
        <v>66</v>
      </c>
      <c r="C22" s="68" t="s">
        <v>49</v>
      </c>
      <c r="D22" s="55" t="s">
        <v>50</v>
      </c>
      <c r="E22" s="55" t="s">
        <v>51</v>
      </c>
      <c r="F22" s="268" t="s">
        <v>67</v>
      </c>
      <c r="G22" s="194" t="s">
        <v>68</v>
      </c>
      <c r="H22" s="199">
        <v>1</v>
      </c>
      <c r="I22" s="199">
        <v>1</v>
      </c>
      <c r="J22" s="188">
        <v>2000</v>
      </c>
      <c r="K22" s="188">
        <f t="shared" si="0"/>
        <v>2000</v>
      </c>
      <c r="L22" s="188">
        <f t="shared" si="1"/>
        <v>0</v>
      </c>
      <c r="M22" s="188">
        <f t="shared" si="2"/>
        <v>485.39828507518348</v>
      </c>
      <c r="N22" s="80">
        <f t="shared" si="3"/>
        <v>2485.3982850751836</v>
      </c>
      <c r="O22" s="140"/>
      <c r="Q22" s="81">
        <f>IF(H22&lt;&gt;"",H22,"")</f>
        <v>1</v>
      </c>
      <c r="R22" s="108">
        <f>IF(I22&lt;&gt;"",I22,"")</f>
        <v>1</v>
      </c>
      <c r="S22" s="109">
        <v>0</v>
      </c>
      <c r="T22" s="109">
        <f t="shared" si="4"/>
        <v>0</v>
      </c>
      <c r="U22" s="110">
        <f t="shared" si="5"/>
        <v>2000</v>
      </c>
      <c r="V22" s="111">
        <f t="shared" si="6"/>
        <v>0</v>
      </c>
      <c r="W22" s="112">
        <f t="shared" si="7"/>
        <v>0</v>
      </c>
      <c r="X22" s="112">
        <f t="shared" si="8"/>
        <v>0</v>
      </c>
      <c r="Y22" s="233">
        <f t="shared" si="9"/>
        <v>485.39828507518348</v>
      </c>
      <c r="Z22" s="73">
        <f t="shared" si="10"/>
        <v>1</v>
      </c>
      <c r="AA22" s="158">
        <f t="shared" si="11"/>
        <v>0</v>
      </c>
      <c r="AB22" s="73" t="e">
        <f>U22/#REF!</f>
        <v>#REF!</v>
      </c>
    </row>
    <row r="23" spans="1:34" ht="77.099999999999994" customHeight="1" x14ac:dyDescent="0.3">
      <c r="A23" s="55">
        <v>9</v>
      </c>
      <c r="B23" s="69" t="s">
        <v>69</v>
      </c>
      <c r="C23" s="68" t="s">
        <v>49</v>
      </c>
      <c r="D23" s="55" t="s">
        <v>50</v>
      </c>
      <c r="E23" s="55" t="s">
        <v>51</v>
      </c>
      <c r="F23" s="122" t="s">
        <v>70</v>
      </c>
      <c r="G23" s="194" t="s">
        <v>71</v>
      </c>
      <c r="H23" s="199">
        <v>1</v>
      </c>
      <c r="I23" s="199">
        <v>1</v>
      </c>
      <c r="J23" s="188">
        <v>1500</v>
      </c>
      <c r="K23" s="188">
        <f t="shared" si="0"/>
        <v>1500</v>
      </c>
      <c r="L23" s="188">
        <f t="shared" si="1"/>
        <v>0</v>
      </c>
      <c r="M23" s="188">
        <f t="shared" si="2"/>
        <v>364.04871380638758</v>
      </c>
      <c r="N23" s="80">
        <f t="shared" si="3"/>
        <v>1864.0487138063877</v>
      </c>
      <c r="O23" s="140"/>
      <c r="Q23" s="81">
        <v>1</v>
      </c>
      <c r="R23" s="189">
        <v>1</v>
      </c>
      <c r="S23" s="190">
        <v>0</v>
      </c>
      <c r="T23" s="190">
        <f t="shared" si="4"/>
        <v>0</v>
      </c>
      <c r="U23" s="191">
        <f t="shared" si="5"/>
        <v>1500</v>
      </c>
      <c r="V23" s="192">
        <f t="shared" si="6"/>
        <v>0</v>
      </c>
      <c r="W23" s="193">
        <f t="shared" si="7"/>
        <v>0</v>
      </c>
      <c r="X23" s="193">
        <f t="shared" si="8"/>
        <v>0</v>
      </c>
      <c r="Y23" s="74">
        <f t="shared" si="9"/>
        <v>364.04871380638758</v>
      </c>
      <c r="Z23" s="73">
        <f t="shared" si="10"/>
        <v>1</v>
      </c>
      <c r="AA23" s="158">
        <f t="shared" si="11"/>
        <v>0</v>
      </c>
      <c r="AB23" s="73" t="e">
        <f>U23/#REF!</f>
        <v>#REF!</v>
      </c>
    </row>
    <row r="24" spans="1:34" ht="31.5" customHeight="1" thickBot="1" x14ac:dyDescent="0.4">
      <c r="A24" s="66">
        <v>10</v>
      </c>
      <c r="B24" s="69"/>
      <c r="C24" s="67" t="s">
        <v>72</v>
      </c>
      <c r="D24" s="66"/>
      <c r="E24" s="66"/>
      <c r="F24" s="613" t="s">
        <v>73</v>
      </c>
      <c r="G24" s="614"/>
      <c r="H24" s="614"/>
      <c r="I24" s="614"/>
      <c r="J24" s="614"/>
      <c r="K24" s="82">
        <f>SUM(K17:K23)</f>
        <v>16250</v>
      </c>
      <c r="L24" s="82">
        <f>SUM(L17:L23)</f>
        <v>0</v>
      </c>
      <c r="M24" s="82">
        <f>SUM(M17:M23)</f>
        <v>3943.8610662358665</v>
      </c>
      <c r="N24" s="325">
        <f>SUM(N17:N23)</f>
        <v>20193.861066235866</v>
      </c>
      <c r="O24" s="140"/>
      <c r="Q24" s="615" t="s">
        <v>73</v>
      </c>
      <c r="R24" s="616"/>
      <c r="S24" s="616"/>
      <c r="T24" s="170">
        <f>SUM(T17:T23)</f>
        <v>8000</v>
      </c>
      <c r="U24" s="171">
        <f>SUM(U17:U23)</f>
        <v>8250</v>
      </c>
      <c r="V24" s="172"/>
      <c r="W24" s="113"/>
      <c r="X24" s="155">
        <f>SUM(X17:X23)</f>
        <v>8000</v>
      </c>
      <c r="Y24" s="253">
        <f t="shared" si="9"/>
        <v>11943.861066235866</v>
      </c>
      <c r="Z24" s="73"/>
      <c r="AA24" s="158"/>
      <c r="AB24" s="161"/>
    </row>
    <row r="25" spans="1:34" ht="30" customHeight="1" thickBot="1" x14ac:dyDescent="0.4">
      <c r="A25" s="55">
        <v>11</v>
      </c>
      <c r="B25" s="69">
        <v>2</v>
      </c>
      <c r="C25" s="68" t="s">
        <v>40</v>
      </c>
      <c r="D25" s="55"/>
      <c r="E25" s="55"/>
      <c r="F25" s="624" t="s">
        <v>74</v>
      </c>
      <c r="G25" s="625"/>
      <c r="H25" s="625"/>
      <c r="I25" s="625"/>
      <c r="J25" s="625"/>
      <c r="K25" s="625"/>
      <c r="L25" s="625"/>
      <c r="M25" s="625"/>
      <c r="N25" s="626"/>
      <c r="O25" s="142"/>
      <c r="Q25" s="624" t="s">
        <v>75</v>
      </c>
      <c r="R25" s="625"/>
      <c r="S25" s="625"/>
      <c r="T25" s="625"/>
      <c r="U25" s="625"/>
      <c r="V25" s="625"/>
      <c r="W25" s="625"/>
      <c r="X25" s="625"/>
      <c r="Y25" s="626"/>
      <c r="Z25" s="73" t="e">
        <f>IF(Q25&lt;&gt;"",U25/K25,"")</f>
        <v>#DIV/0!</v>
      </c>
      <c r="AA25" s="158"/>
    </row>
    <row r="26" spans="1:34" ht="29.1" customHeight="1" x14ac:dyDescent="0.35">
      <c r="A26" s="55">
        <v>12</v>
      </c>
      <c r="B26" s="69" t="s">
        <v>76</v>
      </c>
      <c r="C26" s="68" t="s">
        <v>43</v>
      </c>
      <c r="D26" s="55"/>
      <c r="E26" s="55"/>
      <c r="F26" s="630" t="s">
        <v>75</v>
      </c>
      <c r="G26" s="631"/>
      <c r="H26" s="631"/>
      <c r="I26" s="631"/>
      <c r="J26" s="631"/>
      <c r="K26" s="632"/>
      <c r="L26" s="70" t="s">
        <v>45</v>
      </c>
      <c r="M26" s="71" t="s">
        <v>46</v>
      </c>
      <c r="N26" s="324" t="s">
        <v>28</v>
      </c>
      <c r="O26" s="143"/>
      <c r="Q26" s="630" t="s">
        <v>75</v>
      </c>
      <c r="R26" s="631"/>
      <c r="S26" s="631"/>
      <c r="T26" s="631"/>
      <c r="U26" s="631"/>
      <c r="V26" s="632"/>
      <c r="W26" s="70" t="s">
        <v>45</v>
      </c>
      <c r="X26" s="71" t="s">
        <v>46</v>
      </c>
      <c r="Y26" s="324" t="s">
        <v>28</v>
      </c>
      <c r="Z26" s="73" t="e">
        <f>IF(Q26&lt;&gt;"",U26/K26,"")</f>
        <v>#DIV/0!</v>
      </c>
      <c r="AA26" s="158" t="e">
        <f>T26/#REF!</f>
        <v>#REF!</v>
      </c>
    </row>
    <row r="27" spans="1:34" ht="60" customHeight="1" x14ac:dyDescent="0.35">
      <c r="A27" s="55">
        <v>13</v>
      </c>
      <c r="B27" s="69" t="s">
        <v>77</v>
      </c>
      <c r="C27" s="68" t="s">
        <v>49</v>
      </c>
      <c r="D27" s="55" t="s">
        <v>78</v>
      </c>
      <c r="E27" s="55" t="s">
        <v>51</v>
      </c>
      <c r="F27" s="273" t="s">
        <v>79</v>
      </c>
      <c r="G27" s="194" t="s">
        <v>80</v>
      </c>
      <c r="H27" s="186">
        <v>1</v>
      </c>
      <c r="I27" s="186">
        <v>0</v>
      </c>
      <c r="J27" s="187">
        <v>0</v>
      </c>
      <c r="K27" s="188">
        <f>IF(F27&lt;&gt;"",H27*I27*J27,"")</f>
        <v>0</v>
      </c>
      <c r="L27" s="188">
        <f>IF(K27&lt;&gt;"",IF(D27="INTERNO",0,K27*$L$14),"")</f>
        <v>0</v>
      </c>
      <c r="M27" s="188">
        <f>IF(K27&lt;&gt;"",IF(E27="FAT.OGGI",SUM(K27:L27)*(1/(1-$M$14)-1),L27*(1/(1-$M$14)-1)),"")</f>
        <v>0</v>
      </c>
      <c r="N27" s="80">
        <f>SUM(K27:M27)</f>
        <v>0</v>
      </c>
      <c r="O27" s="140"/>
      <c r="Q27" s="81">
        <v>1</v>
      </c>
      <c r="R27" s="189">
        <v>1</v>
      </c>
      <c r="S27" s="190">
        <v>0</v>
      </c>
      <c r="T27" s="190">
        <f>IF(Q27&lt;&gt;"",Q27*R27*S27,"")</f>
        <v>0</v>
      </c>
      <c r="U27" s="191">
        <f>IF(Q27&lt;&gt;"",K27-T27,"")</f>
        <v>0</v>
      </c>
      <c r="V27" s="192">
        <f>IF(Q27&lt;&gt;"",0%,"")</f>
        <v>0</v>
      </c>
      <c r="W27" s="193">
        <f>IF(Q27&lt;&gt;"",V27*U27,"")</f>
        <v>0</v>
      </c>
      <c r="X27" s="193">
        <f>IF(Q27&lt;&gt;"",W27+T27,"")</f>
        <v>0</v>
      </c>
      <c r="Y27" s="74">
        <f>IF(Q27&lt;&gt;"",X27+M27,"")</f>
        <v>0</v>
      </c>
      <c r="Z27" s="73" t="e">
        <f>IF(Q27&lt;&gt;"",U27/K27,"")</f>
        <v>#DIV/0!</v>
      </c>
      <c r="AA27" s="158" t="e">
        <f>T27/$T$30</f>
        <v>#DIV/0!</v>
      </c>
      <c r="AB27" s="73" t="e">
        <f>U27/#REF!</f>
        <v>#REF!</v>
      </c>
      <c r="AC27" s="219">
        <v>0</v>
      </c>
      <c r="AD27" s="220">
        <f>T27-AC27</f>
        <v>0</v>
      </c>
      <c r="AE27" s="221">
        <v>46065</v>
      </c>
      <c r="AG27" s="223" t="s">
        <v>81</v>
      </c>
      <c r="AH27" s="224" t="s">
        <v>81</v>
      </c>
    </row>
    <row r="28" spans="1:34" ht="62.55" customHeight="1" x14ac:dyDescent="0.3">
      <c r="A28" s="55">
        <v>14</v>
      </c>
      <c r="B28" s="69" t="s">
        <v>82</v>
      </c>
      <c r="C28" s="68" t="s">
        <v>49</v>
      </c>
      <c r="D28" s="55" t="s">
        <v>78</v>
      </c>
      <c r="E28" s="55" t="s">
        <v>51</v>
      </c>
      <c r="F28" s="273" t="s">
        <v>83</v>
      </c>
      <c r="G28" s="194" t="s">
        <v>84</v>
      </c>
      <c r="H28" s="186">
        <v>1</v>
      </c>
      <c r="I28" s="186">
        <v>0</v>
      </c>
      <c r="J28" s="187">
        <v>0</v>
      </c>
      <c r="K28" s="188">
        <f>IF(F28&lt;&gt;"",H28*I28*J28,"")</f>
        <v>0</v>
      </c>
      <c r="L28" s="188">
        <f>IF(K28&lt;&gt;"",IF(D28="INTERNO",0,K28*$L$14),"")</f>
        <v>0</v>
      </c>
      <c r="M28" s="188">
        <f>IF(K28&lt;&gt;"",IF(E28="FAT.OGGI",SUM(K28:L28)*(1/(1-$M$14)-1),L28*(1/(1-$M$14)-1)),"")</f>
        <v>0</v>
      </c>
      <c r="N28" s="80">
        <f>SUM(K28:M28)</f>
        <v>0</v>
      </c>
      <c r="O28" s="140"/>
      <c r="Q28" s="157">
        <v>1</v>
      </c>
      <c r="R28" s="97">
        <v>1</v>
      </c>
      <c r="S28" s="98">
        <v>0</v>
      </c>
      <c r="T28" s="98">
        <f>IF(Q28&lt;&gt;"",Q28*R28*S28,"")</f>
        <v>0</v>
      </c>
      <c r="U28" s="99">
        <f>IF(Q28&lt;&gt;"",K28-T28,"")</f>
        <v>0</v>
      </c>
      <c r="V28" s="100">
        <f>IF(Q28&lt;&gt;"",0%,"")</f>
        <v>0</v>
      </c>
      <c r="W28" s="101">
        <f>IF(Q28&lt;&gt;"",V28*U28,"")</f>
        <v>0</v>
      </c>
      <c r="X28" s="101">
        <f>IF(Q28&lt;&gt;"",W28+T28,"")</f>
        <v>0</v>
      </c>
      <c r="Y28" s="102">
        <f>IF(Q28&lt;&gt;"",X28+M28,"")</f>
        <v>0</v>
      </c>
      <c r="Z28" s="73" t="e">
        <f>IF(Q28&lt;&gt;"",U28/K28,"")</f>
        <v>#DIV/0!</v>
      </c>
      <c r="AA28" s="158" t="e">
        <f>T28/$T$30</f>
        <v>#DIV/0!</v>
      </c>
      <c r="AB28" s="73" t="e">
        <f>U28/#REF!</f>
        <v>#REF!</v>
      </c>
    </row>
    <row r="29" spans="1:34" ht="36.6" customHeight="1" x14ac:dyDescent="0.3">
      <c r="A29" s="55">
        <v>15</v>
      </c>
      <c r="B29" s="69" t="s">
        <v>85</v>
      </c>
      <c r="C29" s="68" t="s">
        <v>49</v>
      </c>
      <c r="D29" s="55" t="s">
        <v>78</v>
      </c>
      <c r="E29" s="55" t="s">
        <v>51</v>
      </c>
      <c r="F29" s="282" t="s">
        <v>86</v>
      </c>
      <c r="G29" s="120" t="s">
        <v>87</v>
      </c>
      <c r="H29" s="121">
        <v>50</v>
      </c>
      <c r="I29" s="121">
        <v>0</v>
      </c>
      <c r="J29" s="118">
        <v>80</v>
      </c>
      <c r="K29" s="125">
        <f>IF(F29&lt;&gt;"",H29*I29*J29,"")</f>
        <v>0</v>
      </c>
      <c r="L29" s="125">
        <f>IF(K29&lt;&gt;"",IF(D29="INTERNO",0,K29*$L$14),"")</f>
        <v>0</v>
      </c>
      <c r="M29" s="125">
        <f>IF(K29&lt;&gt;"",IF(E29="FAT.OGGI",SUM(K29:L29)*(1/(1-$M$14)-1),L29*(1/(1-$M$14)-1)),"")</f>
        <v>0</v>
      </c>
      <c r="N29" s="126">
        <f>SUM(K29:M29)</f>
        <v>0</v>
      </c>
      <c r="O29" s="140"/>
      <c r="Q29" s="135">
        <f>IF(H29&lt;&gt;"",H29,"")</f>
        <v>50</v>
      </c>
      <c r="R29" s="136">
        <f>IF(I29&lt;&gt;"",I29,"")</f>
        <v>0</v>
      </c>
      <c r="S29" s="127">
        <v>80</v>
      </c>
      <c r="T29" s="127">
        <f>IF(Q29&lt;&gt;"",Q29*R29*S29,"")</f>
        <v>0</v>
      </c>
      <c r="U29" s="128">
        <f>IF(Q29&lt;&gt;"",K29-T29,"")</f>
        <v>0</v>
      </c>
      <c r="V29" s="129">
        <f>IF(Q29&lt;&gt;"",0%,"")</f>
        <v>0</v>
      </c>
      <c r="W29" s="130">
        <f>IF(Q29&lt;&gt;"",V29*U29,"")</f>
        <v>0</v>
      </c>
      <c r="X29" s="130">
        <f>IF(Q29&lt;&gt;"",W29+T29,"")</f>
        <v>0</v>
      </c>
      <c r="Y29" s="102">
        <f>IF(Q29&lt;&gt;"",X29+M29,"")</f>
        <v>0</v>
      </c>
      <c r="Z29" s="73" t="e">
        <f>IF(Q29&lt;&gt;"",U29/K29,"")</f>
        <v>#DIV/0!</v>
      </c>
      <c r="AA29" s="158"/>
      <c r="AB29" s="161"/>
    </row>
    <row r="30" spans="1:34" ht="37.049999999999997" customHeight="1" thickBot="1" x14ac:dyDescent="0.4">
      <c r="A30" s="103">
        <v>16</v>
      </c>
      <c r="B30" s="69"/>
      <c r="C30" s="119" t="s">
        <v>72</v>
      </c>
      <c r="D30" s="103"/>
      <c r="E30" s="103"/>
      <c r="F30" s="617" t="s">
        <v>88</v>
      </c>
      <c r="G30" s="618"/>
      <c r="H30" s="618"/>
      <c r="I30" s="618"/>
      <c r="J30" s="618"/>
      <c r="K30" s="82">
        <f>SUM(K27:K29)</f>
        <v>0</v>
      </c>
      <c r="L30" s="82">
        <f>SUM(L27:L29)</f>
        <v>0</v>
      </c>
      <c r="M30" s="82">
        <f>SUM(M27:M29)</f>
        <v>0</v>
      </c>
      <c r="N30" s="325">
        <f>SUM(N27:N29)</f>
        <v>0</v>
      </c>
      <c r="O30" s="140"/>
      <c r="Q30" s="619" t="s">
        <v>88</v>
      </c>
      <c r="R30" s="620"/>
      <c r="S30" s="620"/>
      <c r="T30" s="238">
        <f>SUM(T27:T29)</f>
        <v>0</v>
      </c>
      <c r="U30" s="239">
        <f>SUM(U27:U29)</f>
        <v>0</v>
      </c>
      <c r="V30" s="240"/>
      <c r="W30" s="241"/>
      <c r="X30" s="242">
        <f>SUM(X27:X29)</f>
        <v>0</v>
      </c>
      <c r="Y30" s="230">
        <f>IF(Q30&lt;&gt;"",X30+M30,"")</f>
        <v>0</v>
      </c>
      <c r="Z30" s="73"/>
      <c r="AA30" s="158"/>
      <c r="AB30" s="161"/>
    </row>
    <row r="31" spans="1:34" ht="31.05" customHeight="1" thickBot="1" x14ac:dyDescent="0.4">
      <c r="A31" s="55">
        <v>17</v>
      </c>
      <c r="B31" s="69">
        <v>3</v>
      </c>
      <c r="C31" s="68" t="s">
        <v>40</v>
      </c>
      <c r="D31" s="55"/>
      <c r="E31" s="55"/>
      <c r="F31" s="624" t="s">
        <v>89</v>
      </c>
      <c r="G31" s="625"/>
      <c r="H31" s="625"/>
      <c r="I31" s="625"/>
      <c r="J31" s="625"/>
      <c r="K31" s="625"/>
      <c r="L31" s="625"/>
      <c r="M31" s="625"/>
      <c r="N31" s="626"/>
      <c r="O31" s="144"/>
      <c r="Q31" s="627" t="str">
        <f>IF(F31&lt;&gt;"",F31,"")</f>
        <v>TAXAS</v>
      </c>
      <c r="R31" s="628"/>
      <c r="S31" s="628"/>
      <c r="T31" s="628"/>
      <c r="U31" s="628"/>
      <c r="V31" s="628"/>
      <c r="W31" s="628"/>
      <c r="X31" s="628"/>
      <c r="Y31" s="629"/>
      <c r="Z31" s="263"/>
      <c r="AA31" s="215"/>
    </row>
    <row r="32" spans="1:34" ht="31.05" customHeight="1" thickBot="1" x14ac:dyDescent="0.4">
      <c r="A32" s="55">
        <v>18</v>
      </c>
      <c r="B32" s="69" t="s">
        <v>90</v>
      </c>
      <c r="C32" s="68" t="s">
        <v>43</v>
      </c>
      <c r="D32" s="55" t="s">
        <v>78</v>
      </c>
      <c r="E32" s="55" t="s">
        <v>51</v>
      </c>
      <c r="F32" s="630" t="s">
        <v>89</v>
      </c>
      <c r="G32" s="631"/>
      <c r="H32" s="631"/>
      <c r="I32" s="631"/>
      <c r="J32" s="631"/>
      <c r="K32" s="632"/>
      <c r="L32" s="115" t="s">
        <v>45</v>
      </c>
      <c r="M32" s="116" t="s">
        <v>46</v>
      </c>
      <c r="N32" s="326" t="s">
        <v>28</v>
      </c>
      <c r="O32" s="144"/>
      <c r="Q32" s="633" t="str">
        <f>IF(F32&lt;&gt;"",F32,"")</f>
        <v>TAXAS</v>
      </c>
      <c r="R32" s="634"/>
      <c r="S32" s="634"/>
      <c r="T32" s="634"/>
      <c r="U32" s="634"/>
      <c r="V32" s="634"/>
      <c r="W32" s="634"/>
      <c r="X32" s="634"/>
      <c r="Y32" s="635"/>
      <c r="Z32" s="254" t="s">
        <v>47</v>
      </c>
      <c r="AA32" s="216" t="s">
        <v>39</v>
      </c>
    </row>
    <row r="33" spans="1:28" ht="31.05" customHeight="1" x14ac:dyDescent="0.35">
      <c r="A33" s="55">
        <v>19</v>
      </c>
      <c r="B33" s="69" t="s">
        <v>91</v>
      </c>
      <c r="C33" s="68" t="s">
        <v>49</v>
      </c>
      <c r="D33" s="55" t="s">
        <v>78</v>
      </c>
      <c r="E33" s="55" t="s">
        <v>51</v>
      </c>
      <c r="F33" s="122" t="s">
        <v>92</v>
      </c>
      <c r="G33" s="185" t="s">
        <v>93</v>
      </c>
      <c r="H33" s="186">
        <v>1</v>
      </c>
      <c r="I33" s="186">
        <v>1</v>
      </c>
      <c r="J33" s="187">
        <v>1800</v>
      </c>
      <c r="K33" s="188">
        <f>IF(F33&lt;&gt;"",H33*I33*J33,"")</f>
        <v>1800</v>
      </c>
      <c r="L33" s="188">
        <f>IF(K33&lt;&gt;"",IF(D33="INTERNO",0,K33*$L$14),"")</f>
        <v>180</v>
      </c>
      <c r="M33" s="188">
        <f>IF(K33&lt;&gt;"",IF(E33="FAT.OGGI",SUM(K33:L33)*(1/(1-$M$14)-1),L33*(1/(1-$M$14)-1)),"")</f>
        <v>480.54430222443165</v>
      </c>
      <c r="N33" s="80">
        <f>SUM(K33:M33)</f>
        <v>2460.5443022244317</v>
      </c>
      <c r="O33" s="144"/>
      <c r="Q33" s="81">
        <f>IF(H33&lt;&gt;"",H33,"")</f>
        <v>1</v>
      </c>
      <c r="R33" s="189">
        <f>IF(I33&lt;&gt;"",I33,"")</f>
        <v>1</v>
      </c>
      <c r="S33" s="190">
        <v>1800</v>
      </c>
      <c r="T33" s="190">
        <f>IF(Q33&lt;&gt;"",Q33*R33*S33,"")</f>
        <v>1800</v>
      </c>
      <c r="U33" s="191">
        <f>IF(Q33&lt;&gt;"",K33-T33,"")</f>
        <v>0</v>
      </c>
      <c r="V33" s="192">
        <f>IF(Q33&lt;&gt;"",0%,"")</f>
        <v>0</v>
      </c>
      <c r="W33" s="193">
        <f>IF(Q33&lt;&gt;"",V33*U33,"")</f>
        <v>0</v>
      </c>
      <c r="X33" s="193">
        <f>IF(Q33&lt;&gt;"",W33+T33,"")</f>
        <v>1800</v>
      </c>
      <c r="Y33" s="74">
        <f>IF(Q33&lt;&gt;"",X33+M33,"")</f>
        <v>2280.5443022244317</v>
      </c>
      <c r="Z33" s="246">
        <f>IF(Q33&lt;&gt;"",U33/K33,"")</f>
        <v>0</v>
      </c>
      <c r="AA33" s="213">
        <f>T33/$T$35</f>
        <v>1</v>
      </c>
      <c r="AB33" s="73"/>
    </row>
    <row r="34" spans="1:28" ht="41.1" customHeight="1" x14ac:dyDescent="0.35">
      <c r="A34" s="55">
        <v>20</v>
      </c>
      <c r="B34" s="69" t="s">
        <v>94</v>
      </c>
      <c r="C34" s="68" t="s">
        <v>49</v>
      </c>
      <c r="D34" s="55" t="s">
        <v>78</v>
      </c>
      <c r="E34" s="55" t="s">
        <v>51</v>
      </c>
      <c r="F34" s="282" t="s">
        <v>95</v>
      </c>
      <c r="G34" s="185" t="s">
        <v>96</v>
      </c>
      <c r="H34" s="186">
        <v>1</v>
      </c>
      <c r="I34" s="186">
        <v>0</v>
      </c>
      <c r="J34" s="187">
        <v>2000</v>
      </c>
      <c r="K34" s="188">
        <f>IF(F34&lt;&gt;"",H34*I34*J34,"")</f>
        <v>0</v>
      </c>
      <c r="L34" s="188">
        <f>IF(K34&lt;&gt;"",IF(D34="INTERNO",0,K34*$L$14),"")</f>
        <v>0</v>
      </c>
      <c r="M34" s="188">
        <f>IF(K34&lt;&gt;"",IF(E34="FAT.OGGI",SUM(K34:L34)*(1/(1-$M$14)-1),L34*(1/(1-$M$14)-1)),"")</f>
        <v>0</v>
      </c>
      <c r="N34" s="80">
        <f>SUM(K34:M34)</f>
        <v>0</v>
      </c>
      <c r="O34" s="144"/>
      <c r="Q34" s="81">
        <f>IF(H34&lt;&gt;"",H34,"")</f>
        <v>1</v>
      </c>
      <c r="R34" s="189">
        <f>IF(I34&lt;&gt;"",I34,"")</f>
        <v>0</v>
      </c>
      <c r="S34" s="190">
        <v>2000</v>
      </c>
      <c r="T34" s="190">
        <f>IF(Q34&lt;&gt;"",Q34*R34*S34,"")</f>
        <v>0</v>
      </c>
      <c r="U34" s="191">
        <f>IF(Q34&lt;&gt;"",K34-T34,"")</f>
        <v>0</v>
      </c>
      <c r="V34" s="192">
        <f>IF(Q34&lt;&gt;"",0%,"")</f>
        <v>0</v>
      </c>
      <c r="W34" s="193">
        <f>IF(Q34&lt;&gt;"",V34*U34,"")</f>
        <v>0</v>
      </c>
      <c r="X34" s="193">
        <f>IF(Q34&lt;&gt;"",W34+T34,"")</f>
        <v>0</v>
      </c>
      <c r="Y34" s="74">
        <f>IF(Q34&lt;&gt;"",X34+M34,"")</f>
        <v>0</v>
      </c>
      <c r="Z34" s="73" t="e">
        <f>IF(Q34&lt;&gt;"",U34/K34,"")</f>
        <v>#DIV/0!</v>
      </c>
      <c r="AA34" s="158">
        <f>T34/$T$35</f>
        <v>0</v>
      </c>
      <c r="AB34" s="73"/>
    </row>
    <row r="35" spans="1:28" ht="31.05" customHeight="1" thickBot="1" x14ac:dyDescent="0.4">
      <c r="A35" s="66">
        <v>21</v>
      </c>
      <c r="B35" s="69"/>
      <c r="C35" s="67" t="s">
        <v>72</v>
      </c>
      <c r="D35" s="66"/>
      <c r="E35" s="66"/>
      <c r="F35" s="613" t="s">
        <v>97</v>
      </c>
      <c r="G35" s="614"/>
      <c r="H35" s="614"/>
      <c r="I35" s="614"/>
      <c r="J35" s="614"/>
      <c r="K35" s="82">
        <f>SUM(K33:K34)</f>
        <v>1800</v>
      </c>
      <c r="L35" s="82">
        <f>SUM(L33:L34)</f>
        <v>180</v>
      </c>
      <c r="M35" s="82">
        <f>SUM(M33:M34)</f>
        <v>480.54430222443165</v>
      </c>
      <c r="N35" s="325">
        <f>SUM(N33:N34)</f>
        <v>2460.5443022244317</v>
      </c>
      <c r="O35" s="144"/>
      <c r="Q35" s="615" t="s">
        <v>97</v>
      </c>
      <c r="R35" s="616"/>
      <c r="S35" s="678"/>
      <c r="T35" s="179">
        <f>SUM(T33:T34)</f>
        <v>1800</v>
      </c>
      <c r="U35" s="171">
        <f>SUM(U33:U34)</f>
        <v>0</v>
      </c>
      <c r="V35" s="172"/>
      <c r="W35" s="113"/>
      <c r="X35" s="155">
        <f>SUM(X33:X34)</f>
        <v>1800</v>
      </c>
      <c r="Y35" s="253">
        <f>IF(Q35&lt;&gt;"",X35+M35,"")</f>
        <v>2280.5443022244317</v>
      </c>
      <c r="Z35" s="73"/>
      <c r="AA35" s="158"/>
      <c r="AB35" s="161"/>
    </row>
    <row r="36" spans="1:28" ht="28.05" customHeight="1" thickBot="1" x14ac:dyDescent="0.4">
      <c r="A36" s="55">
        <v>22</v>
      </c>
      <c r="B36" s="69">
        <v>4</v>
      </c>
      <c r="C36" s="68" t="s">
        <v>40</v>
      </c>
      <c r="D36" s="55"/>
      <c r="E36" s="55"/>
      <c r="F36" s="624" t="s">
        <v>98</v>
      </c>
      <c r="G36" s="625"/>
      <c r="H36" s="625"/>
      <c r="I36" s="625"/>
      <c r="J36" s="625"/>
      <c r="K36" s="625"/>
      <c r="L36" s="625"/>
      <c r="M36" s="625"/>
      <c r="N36" s="626"/>
      <c r="O36" s="144"/>
      <c r="Q36" s="636" t="str">
        <f>IF(F36&lt;&gt;"",F36,"")</f>
        <v>CREDENCIAMENTO &amp; RECEPÇÃO</v>
      </c>
      <c r="R36" s="637"/>
      <c r="S36" s="637"/>
      <c r="T36" s="637"/>
      <c r="U36" s="637"/>
      <c r="V36" s="637"/>
      <c r="W36" s="637"/>
      <c r="X36" s="637"/>
      <c r="Y36" s="638"/>
      <c r="Z36" s="228"/>
      <c r="AA36" s="209"/>
    </row>
    <row r="37" spans="1:28" ht="28.05" customHeight="1" x14ac:dyDescent="0.35">
      <c r="A37" s="66">
        <v>23</v>
      </c>
      <c r="B37" s="69" t="s">
        <v>99</v>
      </c>
      <c r="C37" s="67" t="s">
        <v>43</v>
      </c>
      <c r="D37" s="66"/>
      <c r="E37" s="66"/>
      <c r="F37" s="639" t="s">
        <v>98</v>
      </c>
      <c r="G37" s="640"/>
      <c r="H37" s="640"/>
      <c r="I37" s="640"/>
      <c r="J37" s="640"/>
      <c r="K37" s="641"/>
      <c r="L37" s="200" t="s">
        <v>45</v>
      </c>
      <c r="M37" s="201" t="s">
        <v>46</v>
      </c>
      <c r="N37" s="327" t="s">
        <v>28</v>
      </c>
      <c r="O37" s="144"/>
      <c r="Q37" s="682" t="str">
        <f>IF(F37&lt;&gt;"",F37,"")</f>
        <v>CREDENCIAMENTO &amp; RECEPÇÃO</v>
      </c>
      <c r="R37" s="683"/>
      <c r="S37" s="683"/>
      <c r="T37" s="683"/>
      <c r="U37" s="683"/>
      <c r="V37" s="683"/>
      <c r="W37" s="683"/>
      <c r="X37" s="683"/>
      <c r="Y37" s="684"/>
      <c r="Z37" s="227" t="s">
        <v>47</v>
      </c>
      <c r="AA37" s="208" t="s">
        <v>39</v>
      </c>
    </row>
    <row r="38" spans="1:28" ht="30" customHeight="1" x14ac:dyDescent="0.35">
      <c r="A38" s="55">
        <v>24</v>
      </c>
      <c r="B38" s="69" t="s">
        <v>100</v>
      </c>
      <c r="C38" s="68" t="s">
        <v>49</v>
      </c>
      <c r="D38" s="55" t="s">
        <v>78</v>
      </c>
      <c r="E38" s="55" t="s">
        <v>51</v>
      </c>
      <c r="F38" s="268" t="s">
        <v>101</v>
      </c>
      <c r="G38" s="194" t="s">
        <v>102</v>
      </c>
      <c r="H38" s="199">
        <v>150</v>
      </c>
      <c r="I38" s="199">
        <v>1</v>
      </c>
      <c r="J38" s="188">
        <v>8.5</v>
      </c>
      <c r="K38" s="188">
        <f t="shared" ref="K38:K47" si="12">IF(F38&lt;&gt;"",H38*I38*J38,"")</f>
        <v>1275</v>
      </c>
      <c r="L38" s="188">
        <f t="shared" ref="L38:L47" si="13">IF(K38&lt;&gt;"",IF(D38="INTERNO",0,K38*$L$14),"")</f>
        <v>127.5</v>
      </c>
      <c r="M38" s="188">
        <f t="shared" ref="M38:M47" si="14">IF(K38&lt;&gt;"",IF(E38="FAT.OGGI",SUM(K38:L38)*(1/(1-$M$14)-1),L38*(1/(1-$M$14)-1)),"")</f>
        <v>340.3855474089724</v>
      </c>
      <c r="N38" s="80">
        <f t="shared" ref="N38:N47" si="15">SUM(K38:M38)</f>
        <v>1742.8855474089723</v>
      </c>
      <c r="O38" s="144"/>
      <c r="Q38" s="81">
        <f t="shared" ref="Q38:Q47" si="16">IF(H38&lt;&gt;"",H38,"")</f>
        <v>150</v>
      </c>
      <c r="R38" s="189">
        <f t="shared" ref="R38:R47" si="17">IF(I38&lt;&gt;"",I38,"")</f>
        <v>1</v>
      </c>
      <c r="S38" s="190">
        <v>6.1</v>
      </c>
      <c r="T38" s="190">
        <f t="shared" ref="T38:T47" si="18">IF(Q38&lt;&gt;"",Q38*R38*S38,"")</f>
        <v>915</v>
      </c>
      <c r="U38" s="191">
        <f t="shared" ref="U38:U47" si="19">IF(Q38&lt;&gt;"",K38-T38,"")</f>
        <v>360</v>
      </c>
      <c r="V38" s="192">
        <f t="shared" ref="V38:V47" si="20">IF(Q38&lt;&gt;"",0%,"")</f>
        <v>0</v>
      </c>
      <c r="W38" s="193">
        <f t="shared" ref="W38:W47" si="21">IF(Q38&lt;&gt;"",V38*U38,"")</f>
        <v>0</v>
      </c>
      <c r="X38" s="193">
        <f t="shared" ref="X38:X47" si="22">IF(Q38&lt;&gt;"",W38+T38,"")</f>
        <v>915</v>
      </c>
      <c r="Y38" s="74">
        <f t="shared" ref="Y38:Y48" si="23">IF(Q38&lt;&gt;"",X38+M38,"")</f>
        <v>1255.3855474089723</v>
      </c>
      <c r="Z38" s="225">
        <f t="shared" ref="Z38:Z47" si="24">IF(Q38&lt;&gt;"",U38/K38,"")</f>
        <v>0.28235294117647058</v>
      </c>
      <c r="AA38" s="158">
        <f>T38/$T$48</f>
        <v>0.32235335564558748</v>
      </c>
    </row>
    <row r="39" spans="1:28" ht="44.55" customHeight="1" x14ac:dyDescent="0.35">
      <c r="A39" s="55">
        <v>25</v>
      </c>
      <c r="B39" s="69" t="s">
        <v>103</v>
      </c>
      <c r="C39" s="68" t="s">
        <v>49</v>
      </c>
      <c r="D39" s="55" t="s">
        <v>78</v>
      </c>
      <c r="E39" s="55" t="s">
        <v>51</v>
      </c>
      <c r="F39" s="268" t="s">
        <v>104</v>
      </c>
      <c r="G39" s="194" t="s">
        <v>105</v>
      </c>
      <c r="H39" s="199">
        <v>150</v>
      </c>
      <c r="I39" s="199">
        <v>1</v>
      </c>
      <c r="J39" s="277">
        <v>9.49</v>
      </c>
      <c r="K39" s="188">
        <f t="shared" si="12"/>
        <v>1423.5</v>
      </c>
      <c r="L39" s="188">
        <f t="shared" si="13"/>
        <v>142.35</v>
      </c>
      <c r="M39" s="188">
        <f t="shared" si="14"/>
        <v>380.03045234248799</v>
      </c>
      <c r="N39" s="80">
        <f t="shared" si="15"/>
        <v>1945.8804523424878</v>
      </c>
      <c r="O39" s="144"/>
      <c r="Q39" s="81">
        <f t="shared" si="16"/>
        <v>150</v>
      </c>
      <c r="R39" s="189">
        <f t="shared" si="17"/>
        <v>1</v>
      </c>
      <c r="S39" s="190">
        <v>7.49</v>
      </c>
      <c r="T39" s="190">
        <f t="shared" si="18"/>
        <v>1123.5</v>
      </c>
      <c r="U39" s="191">
        <f t="shared" si="19"/>
        <v>300</v>
      </c>
      <c r="V39" s="192">
        <f t="shared" si="20"/>
        <v>0</v>
      </c>
      <c r="W39" s="193">
        <f t="shared" si="21"/>
        <v>0</v>
      </c>
      <c r="X39" s="193">
        <f t="shared" si="22"/>
        <v>1123.5</v>
      </c>
      <c r="Y39" s="74">
        <f t="shared" si="23"/>
        <v>1503.5304523424879</v>
      </c>
      <c r="Z39" s="225">
        <f t="shared" si="24"/>
        <v>0.21074815595363541</v>
      </c>
      <c r="AA39" s="158"/>
    </row>
    <row r="40" spans="1:28" ht="48.6" x14ac:dyDescent="0.35">
      <c r="A40" s="95">
        <v>26</v>
      </c>
      <c r="B40" s="69" t="s">
        <v>106</v>
      </c>
      <c r="C40" s="96" t="s">
        <v>49</v>
      </c>
      <c r="D40" s="95" t="s">
        <v>78</v>
      </c>
      <c r="E40" s="55" t="s">
        <v>51</v>
      </c>
      <c r="F40" s="283" t="s">
        <v>107</v>
      </c>
      <c r="G40" s="293" t="s">
        <v>108</v>
      </c>
      <c r="H40" s="123">
        <v>4</v>
      </c>
      <c r="I40" s="123">
        <v>1</v>
      </c>
      <c r="J40" s="331">
        <v>300</v>
      </c>
      <c r="K40" s="125">
        <f t="shared" si="12"/>
        <v>1200</v>
      </c>
      <c r="L40" s="125">
        <f t="shared" si="13"/>
        <v>120</v>
      </c>
      <c r="M40" s="125">
        <f t="shared" si="14"/>
        <v>320.36286814962108</v>
      </c>
      <c r="N40" s="126">
        <f t="shared" si="15"/>
        <v>1640.3628681496211</v>
      </c>
      <c r="O40" s="144"/>
      <c r="Q40" s="157">
        <f t="shared" si="16"/>
        <v>4</v>
      </c>
      <c r="R40" s="97">
        <f t="shared" si="17"/>
        <v>1</v>
      </c>
      <c r="S40" s="98">
        <v>200</v>
      </c>
      <c r="T40" s="98">
        <f t="shared" si="18"/>
        <v>800</v>
      </c>
      <c r="U40" s="99">
        <f t="shared" si="19"/>
        <v>400</v>
      </c>
      <c r="V40" s="100">
        <f t="shared" si="20"/>
        <v>0</v>
      </c>
      <c r="W40" s="101">
        <f t="shared" si="21"/>
        <v>0</v>
      </c>
      <c r="X40" s="101">
        <f t="shared" si="22"/>
        <v>800</v>
      </c>
      <c r="Y40" s="102">
        <f t="shared" si="23"/>
        <v>1120.3628681496211</v>
      </c>
      <c r="Z40" s="225">
        <f t="shared" si="24"/>
        <v>0.33333333333333331</v>
      </c>
      <c r="AA40" s="158">
        <f>T40/$T$48</f>
        <v>0.28183899947155189</v>
      </c>
    </row>
    <row r="41" spans="1:28" ht="41.1" customHeight="1" x14ac:dyDescent="0.35">
      <c r="A41" s="55">
        <v>27</v>
      </c>
      <c r="B41" s="69" t="s">
        <v>109</v>
      </c>
      <c r="C41" s="68" t="s">
        <v>49</v>
      </c>
      <c r="D41" s="95" t="s">
        <v>78</v>
      </c>
      <c r="E41" s="55" t="s">
        <v>51</v>
      </c>
      <c r="F41" s="294" t="s">
        <v>110</v>
      </c>
      <c r="G41" s="124" t="s">
        <v>111</v>
      </c>
      <c r="H41" s="123">
        <v>10</v>
      </c>
      <c r="I41" s="123">
        <v>1</v>
      </c>
      <c r="J41" s="331">
        <v>180</v>
      </c>
      <c r="K41" s="125">
        <f t="shared" si="12"/>
        <v>1800</v>
      </c>
      <c r="L41" s="125">
        <f t="shared" si="13"/>
        <v>180</v>
      </c>
      <c r="M41" s="125">
        <f t="shared" si="14"/>
        <v>480.54430222443165</v>
      </c>
      <c r="N41" s="125">
        <f t="shared" si="15"/>
        <v>2460.5443022244317</v>
      </c>
      <c r="O41" s="144"/>
      <c r="Q41" s="286">
        <f t="shared" si="16"/>
        <v>10</v>
      </c>
      <c r="R41" s="286">
        <f t="shared" si="17"/>
        <v>1</v>
      </c>
      <c r="S41" s="127"/>
      <c r="T41" s="127">
        <f t="shared" si="18"/>
        <v>0</v>
      </c>
      <c r="U41" s="128">
        <f t="shared" si="19"/>
        <v>1800</v>
      </c>
      <c r="V41" s="129">
        <f t="shared" si="20"/>
        <v>0</v>
      </c>
      <c r="W41" s="130">
        <f t="shared" si="21"/>
        <v>0</v>
      </c>
      <c r="X41" s="130">
        <f t="shared" si="22"/>
        <v>0</v>
      </c>
      <c r="Y41" s="101">
        <f t="shared" si="23"/>
        <v>480.54430222443165</v>
      </c>
      <c r="Z41" s="281">
        <f t="shared" si="24"/>
        <v>1</v>
      </c>
      <c r="AA41" s="213"/>
    </row>
    <row r="42" spans="1:28" ht="29.1" customHeight="1" x14ac:dyDescent="0.35">
      <c r="A42" s="66">
        <v>28</v>
      </c>
      <c r="B42" s="69" t="s">
        <v>112</v>
      </c>
      <c r="C42" s="67" t="s">
        <v>49</v>
      </c>
      <c r="D42" s="95" t="s">
        <v>78</v>
      </c>
      <c r="E42" s="55" t="s">
        <v>51</v>
      </c>
      <c r="F42" s="295" t="s">
        <v>113</v>
      </c>
      <c r="G42" s="194" t="s">
        <v>114</v>
      </c>
      <c r="H42" s="199">
        <v>7</v>
      </c>
      <c r="I42" s="287">
        <v>1</v>
      </c>
      <c r="J42" s="277">
        <v>14.98</v>
      </c>
      <c r="K42" s="188">
        <f t="shared" si="12"/>
        <v>104.86</v>
      </c>
      <c r="L42" s="188">
        <f t="shared" si="13"/>
        <v>10.486000000000001</v>
      </c>
      <c r="M42" s="188">
        <f t="shared" si="14"/>
        <v>27.994375295141058</v>
      </c>
      <c r="N42" s="188">
        <f t="shared" si="15"/>
        <v>143.34037529514106</v>
      </c>
      <c r="O42" s="144"/>
      <c r="Q42" s="280">
        <f t="shared" si="16"/>
        <v>7</v>
      </c>
      <c r="R42" s="280">
        <f t="shared" si="17"/>
        <v>1</v>
      </c>
      <c r="S42" s="131"/>
      <c r="T42" s="131">
        <f t="shared" si="18"/>
        <v>0</v>
      </c>
      <c r="U42" s="132">
        <f t="shared" si="19"/>
        <v>104.86</v>
      </c>
      <c r="V42" s="133">
        <f t="shared" si="20"/>
        <v>0</v>
      </c>
      <c r="W42" s="134">
        <f t="shared" si="21"/>
        <v>0</v>
      </c>
      <c r="X42" s="134">
        <f t="shared" si="22"/>
        <v>0</v>
      </c>
      <c r="Y42" s="193">
        <f t="shared" si="23"/>
        <v>27.994375295141058</v>
      </c>
      <c r="Z42" s="281">
        <f t="shared" si="24"/>
        <v>1</v>
      </c>
      <c r="AA42" s="213"/>
    </row>
    <row r="43" spans="1:28" ht="33" customHeight="1" x14ac:dyDescent="0.35">
      <c r="A43" s="95">
        <v>29</v>
      </c>
      <c r="B43" s="69" t="s">
        <v>115</v>
      </c>
      <c r="C43" s="96" t="s">
        <v>49</v>
      </c>
      <c r="D43" s="95" t="s">
        <v>78</v>
      </c>
      <c r="E43" s="95" t="s">
        <v>51</v>
      </c>
      <c r="F43" s="284" t="s">
        <v>116</v>
      </c>
      <c r="G43" s="177" t="s">
        <v>117</v>
      </c>
      <c r="H43" s="178">
        <v>1</v>
      </c>
      <c r="I43" s="178">
        <v>0</v>
      </c>
      <c r="J43" s="330">
        <v>3000</v>
      </c>
      <c r="K43" s="162">
        <f t="shared" si="12"/>
        <v>0</v>
      </c>
      <c r="L43" s="162">
        <f t="shared" si="13"/>
        <v>0</v>
      </c>
      <c r="M43" s="162">
        <f t="shared" si="14"/>
        <v>0</v>
      </c>
      <c r="N43" s="163">
        <f t="shared" si="15"/>
        <v>0</v>
      </c>
      <c r="O43" s="144"/>
      <c r="Q43" s="226">
        <f t="shared" si="16"/>
        <v>1</v>
      </c>
      <c r="R43" s="146">
        <f t="shared" si="17"/>
        <v>0</v>
      </c>
      <c r="S43" s="147">
        <v>1500</v>
      </c>
      <c r="T43" s="147">
        <f t="shared" si="18"/>
        <v>0</v>
      </c>
      <c r="U43" s="148">
        <f t="shared" si="19"/>
        <v>0</v>
      </c>
      <c r="V43" s="149">
        <f t="shared" si="20"/>
        <v>0</v>
      </c>
      <c r="W43" s="150">
        <f t="shared" si="21"/>
        <v>0</v>
      </c>
      <c r="X43" s="150">
        <f t="shared" si="22"/>
        <v>0</v>
      </c>
      <c r="Y43" s="156">
        <f t="shared" si="23"/>
        <v>0</v>
      </c>
      <c r="Z43" s="249" t="e">
        <f t="shared" si="24"/>
        <v>#DIV/0!</v>
      </c>
      <c r="AA43" s="213" t="e">
        <f>T43/#REF!</f>
        <v>#REF!</v>
      </c>
    </row>
    <row r="44" spans="1:28" ht="33.6" customHeight="1" x14ac:dyDescent="0.35">
      <c r="A44" s="55">
        <v>30</v>
      </c>
      <c r="B44" s="69" t="s">
        <v>118</v>
      </c>
      <c r="C44" s="68" t="s">
        <v>49</v>
      </c>
      <c r="D44" s="55" t="s">
        <v>78</v>
      </c>
      <c r="E44" s="55" t="s">
        <v>51</v>
      </c>
      <c r="F44" s="269" t="s">
        <v>119</v>
      </c>
      <c r="G44" s="124" t="s">
        <v>120</v>
      </c>
      <c r="H44" s="123">
        <v>1</v>
      </c>
      <c r="I44" s="123">
        <v>0</v>
      </c>
      <c r="J44" s="331">
        <v>2000</v>
      </c>
      <c r="K44" s="125">
        <f t="shared" si="12"/>
        <v>0</v>
      </c>
      <c r="L44" s="125">
        <f t="shared" si="13"/>
        <v>0</v>
      </c>
      <c r="M44" s="125">
        <f t="shared" si="14"/>
        <v>0</v>
      </c>
      <c r="N44" s="126">
        <f t="shared" si="15"/>
        <v>0</v>
      </c>
      <c r="O44" s="144"/>
      <c r="Q44" s="135">
        <f t="shared" si="16"/>
        <v>1</v>
      </c>
      <c r="R44" s="136">
        <f t="shared" si="17"/>
        <v>0</v>
      </c>
      <c r="S44" s="127">
        <v>1500</v>
      </c>
      <c r="T44" s="127">
        <f t="shared" si="18"/>
        <v>0</v>
      </c>
      <c r="U44" s="128">
        <f t="shared" si="19"/>
        <v>0</v>
      </c>
      <c r="V44" s="129">
        <f t="shared" si="20"/>
        <v>0</v>
      </c>
      <c r="W44" s="130">
        <f t="shared" si="21"/>
        <v>0</v>
      </c>
      <c r="X44" s="130">
        <f t="shared" si="22"/>
        <v>0</v>
      </c>
      <c r="Y44" s="102">
        <f t="shared" si="23"/>
        <v>0</v>
      </c>
      <c r="Z44" s="225" t="e">
        <f t="shared" si="24"/>
        <v>#DIV/0!</v>
      </c>
      <c r="AA44" s="213"/>
    </row>
    <row r="45" spans="1:28" ht="68.55" customHeight="1" x14ac:dyDescent="0.35">
      <c r="A45" s="55">
        <v>31</v>
      </c>
      <c r="B45" s="69" t="s">
        <v>121</v>
      </c>
      <c r="C45" s="68" t="s">
        <v>49</v>
      </c>
      <c r="D45" s="55" t="s">
        <v>78</v>
      </c>
      <c r="E45" s="55" t="s">
        <v>51</v>
      </c>
      <c r="F45" s="290" t="s">
        <v>122</v>
      </c>
      <c r="G45" s="124" t="s">
        <v>123</v>
      </c>
      <c r="H45" s="123">
        <v>1</v>
      </c>
      <c r="I45" s="123">
        <v>0</v>
      </c>
      <c r="J45" s="331">
        <v>2000</v>
      </c>
      <c r="K45" s="125">
        <f t="shared" si="12"/>
        <v>0</v>
      </c>
      <c r="L45" s="125">
        <f t="shared" si="13"/>
        <v>0</v>
      </c>
      <c r="M45" s="125">
        <f t="shared" si="14"/>
        <v>0</v>
      </c>
      <c r="N45" s="126">
        <f t="shared" si="15"/>
        <v>0</v>
      </c>
      <c r="O45" s="144"/>
      <c r="Q45" s="135">
        <f t="shared" si="16"/>
        <v>1</v>
      </c>
      <c r="R45" s="136">
        <f t="shared" si="17"/>
        <v>0</v>
      </c>
      <c r="S45" s="127">
        <v>1200</v>
      </c>
      <c r="T45" s="127">
        <f t="shared" si="18"/>
        <v>0</v>
      </c>
      <c r="U45" s="128">
        <f t="shared" si="19"/>
        <v>0</v>
      </c>
      <c r="V45" s="129">
        <f t="shared" si="20"/>
        <v>0</v>
      </c>
      <c r="W45" s="130">
        <f t="shared" si="21"/>
        <v>0</v>
      </c>
      <c r="X45" s="130">
        <f t="shared" si="22"/>
        <v>0</v>
      </c>
      <c r="Y45" s="102">
        <f t="shared" si="23"/>
        <v>0</v>
      </c>
      <c r="Z45" s="225" t="e">
        <f t="shared" si="24"/>
        <v>#DIV/0!</v>
      </c>
      <c r="AA45" s="213"/>
    </row>
    <row r="46" spans="1:28" ht="68.55" customHeight="1" x14ac:dyDescent="0.35">
      <c r="A46" s="55">
        <v>32</v>
      </c>
      <c r="B46" s="69" t="s">
        <v>124</v>
      </c>
      <c r="C46" s="68" t="s">
        <v>49</v>
      </c>
      <c r="D46" s="55" t="s">
        <v>78</v>
      </c>
      <c r="E46" s="55" t="s">
        <v>51</v>
      </c>
      <c r="F46" s="294" t="s">
        <v>125</v>
      </c>
      <c r="G46" s="124" t="s">
        <v>126</v>
      </c>
      <c r="H46" s="285">
        <v>4</v>
      </c>
      <c r="I46" s="123">
        <v>1</v>
      </c>
      <c r="J46" s="125">
        <v>42</v>
      </c>
      <c r="K46" s="125">
        <f t="shared" si="12"/>
        <v>168</v>
      </c>
      <c r="L46" s="125">
        <f t="shared" si="13"/>
        <v>16.8</v>
      </c>
      <c r="M46" s="125">
        <f t="shared" si="14"/>
        <v>44.850801540946954</v>
      </c>
      <c r="N46" s="125">
        <f t="shared" si="15"/>
        <v>229.65080154094696</v>
      </c>
      <c r="O46" s="144"/>
      <c r="Q46" s="286">
        <f t="shared" si="16"/>
        <v>4</v>
      </c>
      <c r="R46" s="286">
        <f t="shared" si="17"/>
        <v>1</v>
      </c>
      <c r="S46" s="127"/>
      <c r="T46" s="127">
        <f t="shared" si="18"/>
        <v>0</v>
      </c>
      <c r="U46" s="128">
        <f t="shared" si="19"/>
        <v>168</v>
      </c>
      <c r="V46" s="129">
        <f t="shared" si="20"/>
        <v>0</v>
      </c>
      <c r="W46" s="130">
        <f t="shared" si="21"/>
        <v>0</v>
      </c>
      <c r="X46" s="130">
        <f t="shared" si="22"/>
        <v>0</v>
      </c>
      <c r="Y46" s="101">
        <f t="shared" si="23"/>
        <v>44.850801540946954</v>
      </c>
      <c r="Z46" s="281">
        <f t="shared" si="24"/>
        <v>1</v>
      </c>
      <c r="AA46" s="213"/>
    </row>
    <row r="47" spans="1:28" ht="68.55" customHeight="1" x14ac:dyDescent="0.35">
      <c r="A47" s="66">
        <v>33</v>
      </c>
      <c r="B47" s="69" t="s">
        <v>127</v>
      </c>
      <c r="C47" s="67" t="s">
        <v>49</v>
      </c>
      <c r="D47" s="55" t="s">
        <v>78</v>
      </c>
      <c r="E47" s="55" t="s">
        <v>51</v>
      </c>
      <c r="F47" s="295" t="s">
        <v>128</v>
      </c>
      <c r="G47" s="194" t="s">
        <v>129</v>
      </c>
      <c r="H47" s="278">
        <v>1</v>
      </c>
      <c r="I47" s="199">
        <v>1</v>
      </c>
      <c r="J47" s="188">
        <v>320</v>
      </c>
      <c r="K47" s="188">
        <f t="shared" si="12"/>
        <v>320</v>
      </c>
      <c r="L47" s="188">
        <f t="shared" si="13"/>
        <v>32</v>
      </c>
      <c r="M47" s="188">
        <f t="shared" si="14"/>
        <v>85.430098173232295</v>
      </c>
      <c r="N47" s="188">
        <f t="shared" si="15"/>
        <v>437.4300981732323</v>
      </c>
      <c r="O47" s="144"/>
      <c r="Q47" s="280">
        <f t="shared" si="16"/>
        <v>1</v>
      </c>
      <c r="R47" s="280">
        <f t="shared" si="17"/>
        <v>1</v>
      </c>
      <c r="S47" s="131">
        <v>0</v>
      </c>
      <c r="T47" s="131">
        <f t="shared" si="18"/>
        <v>0</v>
      </c>
      <c r="U47" s="132">
        <f t="shared" si="19"/>
        <v>320</v>
      </c>
      <c r="V47" s="133">
        <f t="shared" si="20"/>
        <v>0</v>
      </c>
      <c r="W47" s="134">
        <f t="shared" si="21"/>
        <v>0</v>
      </c>
      <c r="X47" s="134">
        <f t="shared" si="22"/>
        <v>0</v>
      </c>
      <c r="Y47" s="193">
        <f t="shared" si="23"/>
        <v>85.430098173232295</v>
      </c>
      <c r="Z47" s="281">
        <f t="shared" si="24"/>
        <v>1</v>
      </c>
      <c r="AA47" s="213"/>
    </row>
    <row r="48" spans="1:28" ht="28.05" customHeight="1" thickBot="1" x14ac:dyDescent="0.4">
      <c r="A48" s="95">
        <v>34</v>
      </c>
      <c r="B48" s="69"/>
      <c r="C48" s="96" t="s">
        <v>72</v>
      </c>
      <c r="D48" s="95"/>
      <c r="E48" s="95"/>
      <c r="F48" s="642" t="s">
        <v>130</v>
      </c>
      <c r="G48" s="643"/>
      <c r="H48" s="643"/>
      <c r="I48" s="643"/>
      <c r="J48" s="643"/>
      <c r="K48" s="173">
        <f>SUM(K38:K47)</f>
        <v>6291.36</v>
      </c>
      <c r="L48" s="173">
        <f>SUM(L38:L47)</f>
        <v>629.13599999999997</v>
      </c>
      <c r="M48" s="173">
        <f>SUM(M38:M47)</f>
        <v>1679.5984451348336</v>
      </c>
      <c r="N48" s="174">
        <f>SUM(N38:N47)</f>
        <v>8600.0944451348332</v>
      </c>
      <c r="O48" s="144"/>
      <c r="Q48" s="619" t="s">
        <v>130</v>
      </c>
      <c r="R48" s="620"/>
      <c r="S48" s="620"/>
      <c r="T48" s="165">
        <f>SUM(T38:T47)</f>
        <v>2838.5</v>
      </c>
      <c r="U48" s="166">
        <f>SUM(U38:U47)</f>
        <v>3452.86</v>
      </c>
      <c r="V48" s="197"/>
      <c r="W48" s="198"/>
      <c r="X48" s="160">
        <f>SUM(X38:X47)</f>
        <v>2838.5</v>
      </c>
      <c r="Y48" s="329">
        <f t="shared" si="23"/>
        <v>4518.098445134834</v>
      </c>
      <c r="Z48" s="228"/>
      <c r="AA48" s="209"/>
    </row>
    <row r="49" spans="1:27" ht="28.05" customHeight="1" thickBot="1" x14ac:dyDescent="0.4">
      <c r="A49" s="55">
        <v>35</v>
      </c>
      <c r="B49" s="69">
        <v>5</v>
      </c>
      <c r="C49" s="68" t="s">
        <v>40</v>
      </c>
      <c r="D49" s="55"/>
      <c r="E49" s="55"/>
      <c r="F49" s="646" t="s">
        <v>131</v>
      </c>
      <c r="G49" s="647"/>
      <c r="H49" s="647"/>
      <c r="I49" s="647"/>
      <c r="J49" s="647"/>
      <c r="K49" s="647"/>
      <c r="L49" s="647"/>
      <c r="M49" s="647"/>
      <c r="N49" s="648"/>
      <c r="O49" s="144"/>
      <c r="Q49" s="636" t="str">
        <f>IF(F49&lt;&gt;"",F49,"")</f>
        <v>KIT PARTICIPANTE</v>
      </c>
      <c r="R49" s="637"/>
      <c r="S49" s="637"/>
      <c r="T49" s="637"/>
      <c r="U49" s="637"/>
      <c r="V49" s="637"/>
      <c r="W49" s="637"/>
      <c r="X49" s="637"/>
      <c r="Y49" s="638"/>
      <c r="Z49" s="255"/>
      <c r="AA49" s="256"/>
    </row>
    <row r="50" spans="1:27" ht="28.05" customHeight="1" x14ac:dyDescent="0.35">
      <c r="A50" s="55">
        <v>36</v>
      </c>
      <c r="B50" s="69" t="s">
        <v>132</v>
      </c>
      <c r="C50" s="68" t="s">
        <v>43</v>
      </c>
      <c r="D50" s="55"/>
      <c r="E50" s="55"/>
      <c r="F50" s="630" t="s">
        <v>131</v>
      </c>
      <c r="G50" s="631"/>
      <c r="H50" s="631"/>
      <c r="I50" s="631"/>
      <c r="J50" s="631"/>
      <c r="K50" s="632"/>
      <c r="L50" s="115" t="s">
        <v>45</v>
      </c>
      <c r="M50" s="116" t="s">
        <v>46</v>
      </c>
      <c r="N50" s="326" t="s">
        <v>28</v>
      </c>
      <c r="O50" s="144"/>
      <c r="Q50" s="652" t="str">
        <f>IF(F50&lt;&gt;"",F50,"")</f>
        <v>KIT PARTICIPANTE</v>
      </c>
      <c r="R50" s="653"/>
      <c r="S50" s="653"/>
      <c r="T50" s="653"/>
      <c r="U50" s="653"/>
      <c r="V50" s="653"/>
      <c r="W50" s="653"/>
      <c r="X50" s="653"/>
      <c r="Y50" s="654"/>
      <c r="Z50" s="227" t="s">
        <v>47</v>
      </c>
      <c r="AA50" s="257" t="s">
        <v>39</v>
      </c>
    </row>
    <row r="51" spans="1:27" ht="41.55" customHeight="1" x14ac:dyDescent="0.35">
      <c r="A51" s="55">
        <v>37</v>
      </c>
      <c r="B51" s="69" t="s">
        <v>133</v>
      </c>
      <c r="C51" s="68" t="s">
        <v>49</v>
      </c>
      <c r="D51" s="55" t="s">
        <v>78</v>
      </c>
      <c r="E51" s="55" t="s">
        <v>51</v>
      </c>
      <c r="F51" s="269" t="s">
        <v>134</v>
      </c>
      <c r="G51" s="124" t="s">
        <v>135</v>
      </c>
      <c r="H51" s="123">
        <v>160</v>
      </c>
      <c r="I51" s="123">
        <v>0</v>
      </c>
      <c r="J51" s="125">
        <v>120</v>
      </c>
      <c r="K51" s="125">
        <f t="shared" ref="K51:K57" si="25">IF(F51&lt;&gt;"",H51*I51*J51,"")</f>
        <v>0</v>
      </c>
      <c r="L51" s="125">
        <f t="shared" ref="L51:L57" si="26">IF(K51&lt;&gt;"",IF(D51="INTERNO",0,K51*$L$14),"")</f>
        <v>0</v>
      </c>
      <c r="M51" s="125">
        <f t="shared" ref="M51:M57" si="27">IF(K51&lt;&gt;"",IF(E51="FAT.OGGI",SUM(K51:L51)*(1/(1-$M$14)-1),L51*(1/(1-$M$14)-1)),"")</f>
        <v>0</v>
      </c>
      <c r="N51" s="126">
        <f t="shared" ref="N51:N57" si="28">SUM(K51:M51)</f>
        <v>0</v>
      </c>
      <c r="O51" s="144"/>
      <c r="Q51" s="135">
        <f t="shared" ref="Q51:R57" si="29">IF(H51&lt;&gt;"",H51,"")</f>
        <v>160</v>
      </c>
      <c r="R51" s="136">
        <f t="shared" si="29"/>
        <v>0</v>
      </c>
      <c r="S51" s="127">
        <v>120</v>
      </c>
      <c r="T51" s="127">
        <f t="shared" ref="T51:T57" si="30">IF(Q51&lt;&gt;"",Q51*R51*S51,"")</f>
        <v>0</v>
      </c>
      <c r="U51" s="128">
        <f t="shared" ref="U51:U57" si="31">IF(Q51&lt;&gt;"",K51-T51,"")</f>
        <v>0</v>
      </c>
      <c r="V51" s="129">
        <f t="shared" ref="V51:V57" si="32">IF(Q51&lt;&gt;"",0%,"")</f>
        <v>0</v>
      </c>
      <c r="W51" s="130">
        <f t="shared" ref="W51:W57" si="33">IF(Q51&lt;&gt;"",V51*U51,"")</f>
        <v>0</v>
      </c>
      <c r="X51" s="130">
        <f t="shared" ref="X51:X57" si="34">IF(Q51&lt;&gt;"",W51+T51,"")</f>
        <v>0</v>
      </c>
      <c r="Y51" s="102">
        <f t="shared" ref="Y51:Y58" si="35">IF(Q51&lt;&gt;"",X51+M51,"")</f>
        <v>0</v>
      </c>
      <c r="Z51" s="225" t="e">
        <f t="shared" ref="Z51:Z57" si="36">IF(Q51&lt;&gt;"",U51/K51,"")</f>
        <v>#DIV/0!</v>
      </c>
      <c r="AA51" s="258">
        <f>T51/$T$58</f>
        <v>0</v>
      </c>
    </row>
    <row r="52" spans="1:27" ht="48.6" x14ac:dyDescent="0.35">
      <c r="A52" s="55">
        <v>38</v>
      </c>
      <c r="B52" s="69" t="s">
        <v>136</v>
      </c>
      <c r="C52" s="68" t="s">
        <v>49</v>
      </c>
      <c r="D52" s="55" t="s">
        <v>78</v>
      </c>
      <c r="E52" s="55" t="s">
        <v>51</v>
      </c>
      <c r="F52" s="276" t="s">
        <v>137</v>
      </c>
      <c r="G52" s="194" t="s">
        <v>138</v>
      </c>
      <c r="H52" s="199">
        <v>160</v>
      </c>
      <c r="I52" s="199">
        <v>1</v>
      </c>
      <c r="J52" s="188">
        <v>86</v>
      </c>
      <c r="K52" s="125">
        <f t="shared" si="25"/>
        <v>13760</v>
      </c>
      <c r="L52" s="125">
        <f t="shared" si="26"/>
        <v>1376</v>
      </c>
      <c r="M52" s="125">
        <f t="shared" si="27"/>
        <v>3673.4942214489884</v>
      </c>
      <c r="N52" s="126">
        <f t="shared" si="28"/>
        <v>18809.494221448989</v>
      </c>
      <c r="O52" s="144"/>
      <c r="Q52" s="135">
        <f t="shared" si="29"/>
        <v>160</v>
      </c>
      <c r="R52" s="136">
        <f t="shared" si="29"/>
        <v>1</v>
      </c>
      <c r="S52" s="127">
        <v>49</v>
      </c>
      <c r="T52" s="127">
        <f t="shared" si="30"/>
        <v>7840</v>
      </c>
      <c r="U52" s="128">
        <f t="shared" si="31"/>
        <v>5920</v>
      </c>
      <c r="V52" s="129">
        <f t="shared" si="32"/>
        <v>0</v>
      </c>
      <c r="W52" s="130">
        <f t="shared" si="33"/>
        <v>0</v>
      </c>
      <c r="X52" s="130">
        <f t="shared" si="34"/>
        <v>7840</v>
      </c>
      <c r="Y52" s="102">
        <f t="shared" si="35"/>
        <v>11513.494221448989</v>
      </c>
      <c r="Z52" s="225">
        <f t="shared" si="36"/>
        <v>0.43023255813953487</v>
      </c>
      <c r="AA52" s="258">
        <f>T52/$T$58</f>
        <v>0.61250000000000004</v>
      </c>
    </row>
    <row r="53" spans="1:27" ht="28.05" customHeight="1" x14ac:dyDescent="0.35">
      <c r="A53" s="55">
        <v>39</v>
      </c>
      <c r="B53" s="69" t="s">
        <v>139</v>
      </c>
      <c r="C53" s="68" t="s">
        <v>49</v>
      </c>
      <c r="D53" s="55" t="s">
        <v>78</v>
      </c>
      <c r="E53" s="55" t="s">
        <v>51</v>
      </c>
      <c r="F53" s="269" t="s">
        <v>140</v>
      </c>
      <c r="G53" s="124" t="s">
        <v>141</v>
      </c>
      <c r="H53" s="123">
        <v>160</v>
      </c>
      <c r="I53" s="123">
        <v>0</v>
      </c>
      <c r="J53" s="125">
        <v>120</v>
      </c>
      <c r="K53" s="125">
        <f t="shared" si="25"/>
        <v>0</v>
      </c>
      <c r="L53" s="125">
        <f t="shared" si="26"/>
        <v>0</v>
      </c>
      <c r="M53" s="125">
        <f t="shared" si="27"/>
        <v>0</v>
      </c>
      <c r="N53" s="126">
        <f t="shared" si="28"/>
        <v>0</v>
      </c>
      <c r="O53" s="144"/>
      <c r="Q53" s="135">
        <f t="shared" si="29"/>
        <v>160</v>
      </c>
      <c r="R53" s="136">
        <f t="shared" si="29"/>
        <v>0</v>
      </c>
      <c r="S53" s="127">
        <v>120</v>
      </c>
      <c r="T53" s="127">
        <f t="shared" si="30"/>
        <v>0</v>
      </c>
      <c r="U53" s="128">
        <f t="shared" si="31"/>
        <v>0</v>
      </c>
      <c r="V53" s="129">
        <f t="shared" si="32"/>
        <v>0</v>
      </c>
      <c r="W53" s="130">
        <f t="shared" si="33"/>
        <v>0</v>
      </c>
      <c r="X53" s="130">
        <f t="shared" si="34"/>
        <v>0</v>
      </c>
      <c r="Y53" s="102">
        <f t="shared" si="35"/>
        <v>0</v>
      </c>
      <c r="Z53" s="225" t="e">
        <f t="shared" si="36"/>
        <v>#DIV/0!</v>
      </c>
      <c r="AA53" s="258">
        <f>T53/$T$58</f>
        <v>0</v>
      </c>
    </row>
    <row r="54" spans="1:27" ht="28.05" customHeight="1" x14ac:dyDescent="0.35">
      <c r="A54" s="55">
        <v>40</v>
      </c>
      <c r="B54" s="69" t="s">
        <v>142</v>
      </c>
      <c r="C54" s="68" t="s">
        <v>49</v>
      </c>
      <c r="D54" s="55" t="s">
        <v>78</v>
      </c>
      <c r="E54" s="55" t="s">
        <v>51</v>
      </c>
      <c r="F54" s="296" t="s">
        <v>143</v>
      </c>
      <c r="G54" s="194" t="s">
        <v>144</v>
      </c>
      <c r="H54" s="199">
        <v>160</v>
      </c>
      <c r="I54" s="199">
        <v>0</v>
      </c>
      <c r="J54" s="188">
        <v>120</v>
      </c>
      <c r="K54" s="188">
        <f t="shared" si="25"/>
        <v>0</v>
      </c>
      <c r="L54" s="188">
        <f t="shared" si="26"/>
        <v>0</v>
      </c>
      <c r="M54" s="188">
        <f t="shared" si="27"/>
        <v>0</v>
      </c>
      <c r="N54" s="188">
        <f t="shared" si="28"/>
        <v>0</v>
      </c>
      <c r="O54" s="144"/>
      <c r="Q54" s="135">
        <f t="shared" si="29"/>
        <v>160</v>
      </c>
      <c r="R54" s="136">
        <f t="shared" si="29"/>
        <v>0</v>
      </c>
      <c r="S54" s="127">
        <v>120</v>
      </c>
      <c r="T54" s="127">
        <f t="shared" si="30"/>
        <v>0</v>
      </c>
      <c r="U54" s="128">
        <f t="shared" si="31"/>
        <v>0</v>
      </c>
      <c r="V54" s="129">
        <f t="shared" si="32"/>
        <v>0</v>
      </c>
      <c r="W54" s="130">
        <f t="shared" si="33"/>
        <v>0</v>
      </c>
      <c r="X54" s="130">
        <f t="shared" si="34"/>
        <v>0</v>
      </c>
      <c r="Y54" s="102">
        <f t="shared" si="35"/>
        <v>0</v>
      </c>
      <c r="Z54" s="225" t="e">
        <f t="shared" si="36"/>
        <v>#DIV/0!</v>
      </c>
      <c r="AA54" s="258">
        <f>T54/$T$58</f>
        <v>0</v>
      </c>
    </row>
    <row r="55" spans="1:27" ht="36.6" customHeight="1" x14ac:dyDescent="0.35">
      <c r="A55" s="55">
        <v>41</v>
      </c>
      <c r="B55" s="69" t="s">
        <v>145</v>
      </c>
      <c r="C55" s="68" t="s">
        <v>49</v>
      </c>
      <c r="D55" s="55" t="s">
        <v>78</v>
      </c>
      <c r="E55" s="55" t="s">
        <v>51</v>
      </c>
      <c r="F55" s="279" t="s">
        <v>146</v>
      </c>
      <c r="G55" s="194" t="s">
        <v>147</v>
      </c>
      <c r="H55" s="199">
        <v>170</v>
      </c>
      <c r="I55" s="199">
        <v>1</v>
      </c>
      <c r="J55" s="188">
        <v>3.3</v>
      </c>
      <c r="K55" s="188">
        <f t="shared" si="25"/>
        <v>561</v>
      </c>
      <c r="L55" s="188">
        <f t="shared" si="26"/>
        <v>56.1</v>
      </c>
      <c r="M55" s="188">
        <f t="shared" si="27"/>
        <v>149.76964085994786</v>
      </c>
      <c r="N55" s="188">
        <f t="shared" si="28"/>
        <v>766.86964085994782</v>
      </c>
      <c r="O55" s="144"/>
      <c r="Q55" s="286">
        <f t="shared" si="29"/>
        <v>170</v>
      </c>
      <c r="R55" s="286">
        <f t="shared" si="29"/>
        <v>1</v>
      </c>
      <c r="S55" s="127"/>
      <c r="T55" s="127">
        <f t="shared" si="30"/>
        <v>0</v>
      </c>
      <c r="U55" s="128">
        <f t="shared" si="31"/>
        <v>561</v>
      </c>
      <c r="V55" s="129">
        <f t="shared" si="32"/>
        <v>0</v>
      </c>
      <c r="W55" s="130">
        <f t="shared" si="33"/>
        <v>0</v>
      </c>
      <c r="X55" s="130">
        <f t="shared" si="34"/>
        <v>0</v>
      </c>
      <c r="Y55" s="101">
        <f t="shared" si="35"/>
        <v>149.76964085994786</v>
      </c>
      <c r="Z55" s="281">
        <f t="shared" si="36"/>
        <v>1</v>
      </c>
      <c r="AA55" s="288"/>
    </row>
    <row r="56" spans="1:27" ht="28.05" customHeight="1" x14ac:dyDescent="0.35">
      <c r="A56" s="55">
        <v>42</v>
      </c>
      <c r="B56" s="69" t="s">
        <v>148</v>
      </c>
      <c r="C56" s="68" t="s">
        <v>49</v>
      </c>
      <c r="D56" s="55" t="s">
        <v>78</v>
      </c>
      <c r="E56" s="55" t="s">
        <v>51</v>
      </c>
      <c r="F56" s="279" t="s">
        <v>149</v>
      </c>
      <c r="G56" s="194" t="s">
        <v>150</v>
      </c>
      <c r="H56" s="199">
        <v>170</v>
      </c>
      <c r="I56" s="199">
        <v>1</v>
      </c>
      <c r="J56" s="188">
        <v>4.8550000000000004</v>
      </c>
      <c r="K56" s="188">
        <f t="shared" si="25"/>
        <v>825.35</v>
      </c>
      <c r="L56" s="188">
        <f t="shared" si="26"/>
        <v>82.535000000000011</v>
      </c>
      <c r="M56" s="188">
        <f t="shared" si="27"/>
        <v>220.34291102274148</v>
      </c>
      <c r="N56" s="188">
        <f t="shared" si="28"/>
        <v>1128.2279110227414</v>
      </c>
      <c r="O56" s="144"/>
      <c r="Q56" s="286">
        <f t="shared" si="29"/>
        <v>170</v>
      </c>
      <c r="R56" s="286">
        <f t="shared" si="29"/>
        <v>1</v>
      </c>
      <c r="S56" s="127"/>
      <c r="T56" s="127">
        <f t="shared" si="30"/>
        <v>0</v>
      </c>
      <c r="U56" s="128">
        <f t="shared" si="31"/>
        <v>825.35</v>
      </c>
      <c r="V56" s="129">
        <f t="shared" si="32"/>
        <v>0</v>
      </c>
      <c r="W56" s="130">
        <f t="shared" si="33"/>
        <v>0</v>
      </c>
      <c r="X56" s="130">
        <f t="shared" si="34"/>
        <v>0</v>
      </c>
      <c r="Y56" s="101">
        <f t="shared" si="35"/>
        <v>220.34291102274148</v>
      </c>
      <c r="Z56" s="281">
        <f t="shared" si="36"/>
        <v>1</v>
      </c>
      <c r="AA56" s="288"/>
    </row>
    <row r="57" spans="1:27" ht="105" customHeight="1" x14ac:dyDescent="0.35">
      <c r="A57" s="66">
        <v>43</v>
      </c>
      <c r="B57" s="69" t="s">
        <v>151</v>
      </c>
      <c r="C57" s="67" t="s">
        <v>49</v>
      </c>
      <c r="D57" s="55" t="s">
        <v>78</v>
      </c>
      <c r="E57" s="55" t="s">
        <v>51</v>
      </c>
      <c r="F57" s="279" t="s">
        <v>152</v>
      </c>
      <c r="G57" s="194" t="s">
        <v>153</v>
      </c>
      <c r="H57" s="199">
        <v>160</v>
      </c>
      <c r="I57" s="199">
        <v>1</v>
      </c>
      <c r="J57" s="188">
        <v>38.200000000000003</v>
      </c>
      <c r="K57" s="188">
        <f t="shared" si="25"/>
        <v>6112</v>
      </c>
      <c r="L57" s="188">
        <f t="shared" si="26"/>
        <v>611.20000000000005</v>
      </c>
      <c r="M57" s="188">
        <f t="shared" si="27"/>
        <v>1631.7148751087366</v>
      </c>
      <c r="N57" s="188">
        <f t="shared" si="28"/>
        <v>8354.9148751087359</v>
      </c>
      <c r="O57" s="144"/>
      <c r="Q57" s="280">
        <f t="shared" si="29"/>
        <v>160</v>
      </c>
      <c r="R57" s="280">
        <f t="shared" si="29"/>
        <v>1</v>
      </c>
      <c r="S57" s="131">
        <v>31</v>
      </c>
      <c r="T57" s="131">
        <f t="shared" si="30"/>
        <v>4960</v>
      </c>
      <c r="U57" s="132">
        <f t="shared" si="31"/>
        <v>1152</v>
      </c>
      <c r="V57" s="133">
        <f t="shared" si="32"/>
        <v>0</v>
      </c>
      <c r="W57" s="134">
        <f t="shared" si="33"/>
        <v>0</v>
      </c>
      <c r="X57" s="134">
        <f t="shared" si="34"/>
        <v>4960</v>
      </c>
      <c r="Y57" s="193">
        <f t="shared" si="35"/>
        <v>6591.714875108737</v>
      </c>
      <c r="Z57" s="281">
        <f t="shared" si="36"/>
        <v>0.18848167539267016</v>
      </c>
      <c r="AA57" s="288"/>
    </row>
    <row r="58" spans="1:27" ht="28.05" customHeight="1" thickBot="1" x14ac:dyDescent="0.4">
      <c r="A58" s="103">
        <v>44</v>
      </c>
      <c r="B58" s="69"/>
      <c r="C58" s="119" t="s">
        <v>72</v>
      </c>
      <c r="D58" s="103"/>
      <c r="E58" s="103"/>
      <c r="F58" s="617" t="s">
        <v>154</v>
      </c>
      <c r="G58" s="618"/>
      <c r="H58" s="618"/>
      <c r="I58" s="618"/>
      <c r="J58" s="618"/>
      <c r="K58" s="82">
        <f>SUM(K51:K57)</f>
        <v>21258.35</v>
      </c>
      <c r="L58" s="82">
        <f>SUM(L51:L57)</f>
        <v>2125.835</v>
      </c>
      <c r="M58" s="82">
        <f>SUM(M51:M57)</f>
        <v>5675.3216484404147</v>
      </c>
      <c r="N58" s="325">
        <f>SUM(N51:N57)</f>
        <v>29059.506648440416</v>
      </c>
      <c r="O58" s="144"/>
      <c r="Q58" s="619" t="s">
        <v>154</v>
      </c>
      <c r="R58" s="620"/>
      <c r="S58" s="620"/>
      <c r="T58" s="165">
        <f>SUM(T51:T57)</f>
        <v>12800</v>
      </c>
      <c r="U58" s="166">
        <f>SUM(U51:U57)</f>
        <v>8458.35</v>
      </c>
      <c r="V58" s="197"/>
      <c r="W58" s="198"/>
      <c r="X58" s="160">
        <f>SUM(X51:X57)</f>
        <v>12800</v>
      </c>
      <c r="Y58" s="329">
        <f t="shared" si="35"/>
        <v>18475.321648440415</v>
      </c>
      <c r="Z58" s="255"/>
      <c r="AA58" s="256"/>
    </row>
    <row r="59" spans="1:27" ht="31.05" customHeight="1" thickBot="1" x14ac:dyDescent="0.4">
      <c r="A59" s="95">
        <v>45</v>
      </c>
      <c r="B59" s="69">
        <v>6</v>
      </c>
      <c r="C59" s="96" t="s">
        <v>40</v>
      </c>
      <c r="D59" s="95"/>
      <c r="E59" s="95"/>
      <c r="F59" s="621" t="s">
        <v>155</v>
      </c>
      <c r="G59" s="622"/>
      <c r="H59" s="622"/>
      <c r="I59" s="622"/>
      <c r="J59" s="622"/>
      <c r="K59" s="622"/>
      <c r="L59" s="622"/>
      <c r="M59" s="622"/>
      <c r="N59" s="623"/>
      <c r="O59" s="144"/>
      <c r="Q59" s="685" t="str">
        <f>IF(F59&lt;&gt;"",F59,"")</f>
        <v>PLENÁRIA</v>
      </c>
      <c r="R59" s="686"/>
      <c r="S59" s="686"/>
      <c r="T59" s="686"/>
      <c r="U59" s="686"/>
      <c r="V59" s="686"/>
      <c r="W59" s="686"/>
      <c r="X59" s="686"/>
      <c r="Y59" s="687"/>
      <c r="Z59" s="263"/>
      <c r="AA59" s="215"/>
    </row>
    <row r="60" spans="1:27" ht="28.05" customHeight="1" thickBot="1" x14ac:dyDescent="0.4">
      <c r="A60" s="55">
        <v>46</v>
      </c>
      <c r="B60" s="69" t="s">
        <v>156</v>
      </c>
      <c r="C60" s="68" t="s">
        <v>43</v>
      </c>
      <c r="D60" s="55"/>
      <c r="E60" s="55"/>
      <c r="F60" s="630" t="s">
        <v>155</v>
      </c>
      <c r="G60" s="631"/>
      <c r="H60" s="631"/>
      <c r="I60" s="631"/>
      <c r="J60" s="631"/>
      <c r="K60" s="632"/>
      <c r="L60" s="115" t="s">
        <v>45</v>
      </c>
      <c r="M60" s="116" t="s">
        <v>46</v>
      </c>
      <c r="N60" s="326" t="s">
        <v>28</v>
      </c>
      <c r="O60" s="144"/>
      <c r="Q60" s="652" t="str">
        <f>IF(F60&lt;&gt;"",F60,"")</f>
        <v>PLENÁRIA</v>
      </c>
      <c r="R60" s="653"/>
      <c r="S60" s="653"/>
      <c r="T60" s="653"/>
      <c r="U60" s="653"/>
      <c r="V60" s="653"/>
      <c r="W60" s="653"/>
      <c r="X60" s="653"/>
      <c r="Y60" s="654"/>
      <c r="Z60" s="254" t="s">
        <v>47</v>
      </c>
      <c r="AA60" s="259" t="s">
        <v>39</v>
      </c>
    </row>
    <row r="61" spans="1:27" ht="69" customHeight="1" x14ac:dyDescent="0.35">
      <c r="A61" s="95">
        <v>47</v>
      </c>
      <c r="B61" s="69" t="s">
        <v>157</v>
      </c>
      <c r="C61" s="96" t="s">
        <v>49</v>
      </c>
      <c r="D61" s="95" t="s">
        <v>78</v>
      </c>
      <c r="E61" s="95" t="s">
        <v>51</v>
      </c>
      <c r="F61" s="271" t="s">
        <v>158</v>
      </c>
      <c r="G61" s="177" t="s">
        <v>159</v>
      </c>
      <c r="H61" s="178">
        <v>1</v>
      </c>
      <c r="I61" s="178">
        <v>0</v>
      </c>
      <c r="J61" s="162">
        <v>8000</v>
      </c>
      <c r="K61" s="162">
        <f t="shared" ref="K61:K71" si="37">IF(F61&lt;&gt;"",H61*I61*J61,"")</f>
        <v>0</v>
      </c>
      <c r="L61" s="162">
        <f t="shared" ref="L61:L71" si="38">IF(K61&lt;&gt;"",IF(D61="INTERNO",0,K61*$L$14),"")</f>
        <v>0</v>
      </c>
      <c r="M61" s="162">
        <f t="shared" ref="M61:M71" si="39">IF(K61&lt;&gt;"",IF(E61="FAT.OGGI",SUM(K61:L61)*(1/(1-$M$14)-1),L61*(1/(1-$M$14)-1)),"")</f>
        <v>0</v>
      </c>
      <c r="N61" s="163">
        <f t="shared" ref="N61:N71" si="40">SUM(K61:M61)</f>
        <v>0</v>
      </c>
      <c r="O61" s="144"/>
      <c r="Q61" s="226">
        <f t="shared" ref="Q61:Q70" si="41">IF(H61&lt;&gt;"",H61,"")</f>
        <v>1</v>
      </c>
      <c r="R61" s="146">
        <f t="shared" ref="R61:R70" si="42">IF(I61&lt;&gt;"",I61,"")</f>
        <v>0</v>
      </c>
      <c r="S61" s="147">
        <v>5000</v>
      </c>
      <c r="T61" s="147">
        <f t="shared" ref="T61:T71" si="43">IF(Q61&lt;&gt;"",Q61*R61*S61,"")</f>
        <v>0</v>
      </c>
      <c r="U61" s="148">
        <f t="shared" ref="U61:U71" si="44">IF(Q61&lt;&gt;"",K61-T61,"")</f>
        <v>0</v>
      </c>
      <c r="V61" s="149">
        <f t="shared" ref="V61:V71" si="45">IF(Q61&lt;&gt;"",0%,"")</f>
        <v>0</v>
      </c>
      <c r="W61" s="150">
        <f t="shared" ref="W61:W71" si="46">IF(Q61&lt;&gt;"",V61*U61,"")</f>
        <v>0</v>
      </c>
      <c r="X61" s="150">
        <f t="shared" ref="X61:X71" si="47">IF(Q61&lt;&gt;"",W61+T61,"")</f>
        <v>0</v>
      </c>
      <c r="Y61" s="156">
        <f t="shared" ref="Y61:Y72" si="48">IF(Q61&lt;&gt;"",X61+M61,"")</f>
        <v>0</v>
      </c>
      <c r="Z61" s="225" t="e">
        <f t="shared" ref="Z61:Z71" si="49">IF(Q61&lt;&gt;"",U61/K61,"")</f>
        <v>#DIV/0!</v>
      </c>
      <c r="AA61" s="258">
        <f t="shared" ref="AA61:AA68" si="50">T61/$T$72</f>
        <v>0</v>
      </c>
    </row>
    <row r="62" spans="1:27" ht="35.1" customHeight="1" x14ac:dyDescent="0.35">
      <c r="A62" s="55">
        <v>48</v>
      </c>
      <c r="B62" s="69" t="s">
        <v>160</v>
      </c>
      <c r="C62" s="68" t="s">
        <v>49</v>
      </c>
      <c r="D62" s="55" t="s">
        <v>78</v>
      </c>
      <c r="E62" s="95" t="s">
        <v>51</v>
      </c>
      <c r="F62" s="282" t="s">
        <v>161</v>
      </c>
      <c r="G62" s="124" t="s">
        <v>162</v>
      </c>
      <c r="H62" s="123">
        <v>1</v>
      </c>
      <c r="I62" s="123">
        <v>1</v>
      </c>
      <c r="J62" s="125">
        <v>8000</v>
      </c>
      <c r="K62" s="125">
        <f t="shared" si="37"/>
        <v>8000</v>
      </c>
      <c r="L62" s="125">
        <f t="shared" si="38"/>
        <v>800</v>
      </c>
      <c r="M62" s="125">
        <f t="shared" si="39"/>
        <v>2135.7524543308073</v>
      </c>
      <c r="N62" s="126">
        <f t="shared" si="40"/>
        <v>10935.752454330806</v>
      </c>
      <c r="O62" s="144"/>
      <c r="Q62" s="135">
        <f t="shared" si="41"/>
        <v>1</v>
      </c>
      <c r="R62" s="136">
        <f t="shared" si="42"/>
        <v>1</v>
      </c>
      <c r="S62" s="127">
        <v>5000</v>
      </c>
      <c r="T62" s="127">
        <f t="shared" si="43"/>
        <v>5000</v>
      </c>
      <c r="U62" s="128">
        <f t="shared" si="44"/>
        <v>3000</v>
      </c>
      <c r="V62" s="129">
        <f t="shared" si="45"/>
        <v>0</v>
      </c>
      <c r="W62" s="130">
        <f t="shared" si="46"/>
        <v>0</v>
      </c>
      <c r="X62" s="130">
        <f t="shared" si="47"/>
        <v>5000</v>
      </c>
      <c r="Y62" s="102">
        <f t="shared" si="48"/>
        <v>7135.7524543308073</v>
      </c>
      <c r="Z62" s="225">
        <f t="shared" si="49"/>
        <v>0.375</v>
      </c>
      <c r="AA62" s="258">
        <f t="shared" si="50"/>
        <v>0.38956586779692715</v>
      </c>
    </row>
    <row r="63" spans="1:27" ht="61.5" customHeight="1" x14ac:dyDescent="0.35">
      <c r="A63" s="55">
        <v>49</v>
      </c>
      <c r="B63" s="69" t="s">
        <v>163</v>
      </c>
      <c r="C63" s="68" t="s">
        <v>49</v>
      </c>
      <c r="D63" s="55" t="s">
        <v>78</v>
      </c>
      <c r="E63" s="95" t="s">
        <v>51</v>
      </c>
      <c r="F63" s="271" t="s">
        <v>164</v>
      </c>
      <c r="G63" s="124" t="s">
        <v>165</v>
      </c>
      <c r="H63" s="123">
        <v>1</v>
      </c>
      <c r="I63" s="123">
        <v>0</v>
      </c>
      <c r="J63" s="125">
        <v>10000</v>
      </c>
      <c r="K63" s="125">
        <f t="shared" si="37"/>
        <v>0</v>
      </c>
      <c r="L63" s="125">
        <f t="shared" si="38"/>
        <v>0</v>
      </c>
      <c r="M63" s="125">
        <f t="shared" si="39"/>
        <v>0</v>
      </c>
      <c r="N63" s="126">
        <f t="shared" si="40"/>
        <v>0</v>
      </c>
      <c r="O63" s="144"/>
      <c r="Q63" s="135">
        <f t="shared" si="41"/>
        <v>1</v>
      </c>
      <c r="R63" s="136">
        <f t="shared" si="42"/>
        <v>0</v>
      </c>
      <c r="S63" s="127">
        <v>8000</v>
      </c>
      <c r="T63" s="127">
        <f t="shared" si="43"/>
        <v>0</v>
      </c>
      <c r="U63" s="128">
        <f t="shared" si="44"/>
        <v>0</v>
      </c>
      <c r="V63" s="129">
        <f t="shared" si="45"/>
        <v>0</v>
      </c>
      <c r="W63" s="130">
        <f t="shared" si="46"/>
        <v>0</v>
      </c>
      <c r="X63" s="130">
        <f t="shared" si="47"/>
        <v>0</v>
      </c>
      <c r="Y63" s="102">
        <f t="shared" si="48"/>
        <v>0</v>
      </c>
      <c r="Z63" s="225" t="e">
        <f t="shared" si="49"/>
        <v>#DIV/0!</v>
      </c>
      <c r="AA63" s="258">
        <f t="shared" si="50"/>
        <v>0</v>
      </c>
    </row>
    <row r="64" spans="1:27" ht="48.6" x14ac:dyDescent="0.35">
      <c r="A64" s="55">
        <v>50</v>
      </c>
      <c r="B64" s="69" t="s">
        <v>166</v>
      </c>
      <c r="C64" s="68" t="s">
        <v>49</v>
      </c>
      <c r="D64" s="55" t="s">
        <v>78</v>
      </c>
      <c r="E64" s="95" t="s">
        <v>51</v>
      </c>
      <c r="F64" s="271" t="s">
        <v>167</v>
      </c>
      <c r="G64" s="124" t="s">
        <v>168</v>
      </c>
      <c r="H64" s="123">
        <v>1</v>
      </c>
      <c r="I64" s="123">
        <v>0</v>
      </c>
      <c r="J64" s="125">
        <v>5000</v>
      </c>
      <c r="K64" s="125">
        <f t="shared" si="37"/>
        <v>0</v>
      </c>
      <c r="L64" s="125">
        <f t="shared" si="38"/>
        <v>0</v>
      </c>
      <c r="M64" s="125">
        <f t="shared" si="39"/>
        <v>0</v>
      </c>
      <c r="N64" s="126">
        <f t="shared" si="40"/>
        <v>0</v>
      </c>
      <c r="O64" s="144"/>
      <c r="Q64" s="135">
        <f t="shared" si="41"/>
        <v>1</v>
      </c>
      <c r="R64" s="136">
        <f t="shared" si="42"/>
        <v>0</v>
      </c>
      <c r="S64" s="127">
        <v>4000</v>
      </c>
      <c r="T64" s="127">
        <f t="shared" si="43"/>
        <v>0</v>
      </c>
      <c r="U64" s="128">
        <f t="shared" si="44"/>
        <v>0</v>
      </c>
      <c r="V64" s="129">
        <f t="shared" si="45"/>
        <v>0</v>
      </c>
      <c r="W64" s="130">
        <f t="shared" si="46"/>
        <v>0</v>
      </c>
      <c r="X64" s="130">
        <f t="shared" si="47"/>
        <v>0</v>
      </c>
      <c r="Y64" s="102">
        <f t="shared" si="48"/>
        <v>0</v>
      </c>
      <c r="Z64" s="225" t="e">
        <f t="shared" si="49"/>
        <v>#DIV/0!</v>
      </c>
      <c r="AA64" s="258">
        <f t="shared" si="50"/>
        <v>0</v>
      </c>
    </row>
    <row r="65" spans="1:28" ht="48.6" x14ac:dyDescent="0.35">
      <c r="A65" s="66">
        <v>51</v>
      </c>
      <c r="B65" s="69" t="s">
        <v>169</v>
      </c>
      <c r="C65" s="67" t="s">
        <v>49</v>
      </c>
      <c r="D65" s="55" t="s">
        <v>78</v>
      </c>
      <c r="E65" s="95" t="s">
        <v>51</v>
      </c>
      <c r="F65" s="270" t="s">
        <v>170</v>
      </c>
      <c r="G65" s="194" t="s">
        <v>171</v>
      </c>
      <c r="H65" s="199">
        <v>1</v>
      </c>
      <c r="I65" s="199">
        <v>0</v>
      </c>
      <c r="J65" s="188">
        <v>15000</v>
      </c>
      <c r="K65" s="188">
        <f t="shared" si="37"/>
        <v>0</v>
      </c>
      <c r="L65" s="188">
        <f t="shared" si="38"/>
        <v>0</v>
      </c>
      <c r="M65" s="188">
        <f t="shared" si="39"/>
        <v>0</v>
      </c>
      <c r="N65" s="80">
        <f t="shared" si="40"/>
        <v>0</v>
      </c>
      <c r="O65" s="144"/>
      <c r="Q65" s="137">
        <f t="shared" si="41"/>
        <v>1</v>
      </c>
      <c r="R65" s="138">
        <f t="shared" si="42"/>
        <v>0</v>
      </c>
      <c r="S65" s="131">
        <v>12000</v>
      </c>
      <c r="T65" s="131">
        <f t="shared" si="43"/>
        <v>0</v>
      </c>
      <c r="U65" s="132">
        <f t="shared" si="44"/>
        <v>0</v>
      </c>
      <c r="V65" s="133">
        <f t="shared" si="45"/>
        <v>0</v>
      </c>
      <c r="W65" s="134">
        <f t="shared" si="46"/>
        <v>0</v>
      </c>
      <c r="X65" s="134">
        <f t="shared" si="47"/>
        <v>0</v>
      </c>
      <c r="Y65" s="74">
        <f t="shared" si="48"/>
        <v>0</v>
      </c>
      <c r="Z65" s="225" t="e">
        <f t="shared" si="49"/>
        <v>#DIV/0!</v>
      </c>
      <c r="AA65" s="258">
        <f t="shared" si="50"/>
        <v>0</v>
      </c>
    </row>
    <row r="66" spans="1:28" ht="47.1" customHeight="1" x14ac:dyDescent="0.35">
      <c r="A66" s="95">
        <v>52</v>
      </c>
      <c r="B66" s="69" t="s">
        <v>172</v>
      </c>
      <c r="C66" s="96" t="s">
        <v>49</v>
      </c>
      <c r="D66" s="95" t="s">
        <v>78</v>
      </c>
      <c r="E66" s="95" t="s">
        <v>51</v>
      </c>
      <c r="F66" s="272" t="s">
        <v>173</v>
      </c>
      <c r="G66" s="204" t="s">
        <v>174</v>
      </c>
      <c r="H66" s="153">
        <v>1</v>
      </c>
      <c r="I66" s="153">
        <v>0</v>
      </c>
      <c r="J66" s="322">
        <v>0</v>
      </c>
      <c r="K66" s="175">
        <f t="shared" si="37"/>
        <v>0</v>
      </c>
      <c r="L66" s="175">
        <f t="shared" si="38"/>
        <v>0</v>
      </c>
      <c r="M66" s="175">
        <f t="shared" si="39"/>
        <v>0</v>
      </c>
      <c r="N66" s="176">
        <f t="shared" si="40"/>
        <v>0</v>
      </c>
      <c r="O66" s="144"/>
      <c r="Q66" s="226">
        <f t="shared" si="41"/>
        <v>1</v>
      </c>
      <c r="R66" s="146">
        <f t="shared" si="42"/>
        <v>0</v>
      </c>
      <c r="S66" s="147">
        <v>0</v>
      </c>
      <c r="T66" s="147">
        <f t="shared" si="43"/>
        <v>0</v>
      </c>
      <c r="U66" s="148">
        <f t="shared" si="44"/>
        <v>0</v>
      </c>
      <c r="V66" s="149">
        <f t="shared" si="45"/>
        <v>0</v>
      </c>
      <c r="W66" s="150">
        <f t="shared" si="46"/>
        <v>0</v>
      </c>
      <c r="X66" s="150">
        <f t="shared" si="47"/>
        <v>0</v>
      </c>
      <c r="Y66" s="156">
        <f t="shared" si="48"/>
        <v>0</v>
      </c>
      <c r="Z66" s="225" t="e">
        <f t="shared" si="49"/>
        <v>#DIV/0!</v>
      </c>
      <c r="AA66" s="258">
        <f t="shared" si="50"/>
        <v>0</v>
      </c>
    </row>
    <row r="67" spans="1:28" ht="72" customHeight="1" x14ac:dyDescent="0.35">
      <c r="A67" s="55">
        <v>53</v>
      </c>
      <c r="B67" s="69" t="s">
        <v>175</v>
      </c>
      <c r="C67" s="68" t="s">
        <v>49</v>
      </c>
      <c r="D67" s="95" t="s">
        <v>78</v>
      </c>
      <c r="E67" s="95" t="s">
        <v>51</v>
      </c>
      <c r="F67" s="297" t="s">
        <v>176</v>
      </c>
      <c r="G67" s="194" t="s">
        <v>177</v>
      </c>
      <c r="H67" s="186">
        <v>1</v>
      </c>
      <c r="I67" s="199">
        <v>1</v>
      </c>
      <c r="J67" s="277">
        <v>7000</v>
      </c>
      <c r="K67" s="188">
        <f t="shared" si="37"/>
        <v>7000</v>
      </c>
      <c r="L67" s="188">
        <f t="shared" si="38"/>
        <v>700</v>
      </c>
      <c r="M67" s="188">
        <f t="shared" si="39"/>
        <v>1868.7833975394562</v>
      </c>
      <c r="N67" s="188">
        <f t="shared" si="40"/>
        <v>9568.7833975394569</v>
      </c>
      <c r="O67" s="144"/>
      <c r="Q67" s="135">
        <f t="shared" si="41"/>
        <v>1</v>
      </c>
      <c r="R67" s="136">
        <f t="shared" si="42"/>
        <v>1</v>
      </c>
      <c r="S67" s="127">
        <v>150</v>
      </c>
      <c r="T67" s="127">
        <f t="shared" si="43"/>
        <v>150</v>
      </c>
      <c r="U67" s="128">
        <f t="shared" si="44"/>
        <v>6850</v>
      </c>
      <c r="V67" s="129">
        <f t="shared" si="45"/>
        <v>0</v>
      </c>
      <c r="W67" s="130">
        <f t="shared" si="46"/>
        <v>0</v>
      </c>
      <c r="X67" s="130">
        <f t="shared" si="47"/>
        <v>150</v>
      </c>
      <c r="Y67" s="102">
        <f t="shared" si="48"/>
        <v>2018.7833975394562</v>
      </c>
      <c r="Z67" s="225">
        <f t="shared" si="49"/>
        <v>0.97857142857142854</v>
      </c>
      <c r="AA67" s="258">
        <f t="shared" si="50"/>
        <v>1.1686976033907814E-2</v>
      </c>
    </row>
    <row r="68" spans="1:28" ht="28.05" customHeight="1" x14ac:dyDescent="0.35">
      <c r="A68" s="95">
        <v>54</v>
      </c>
      <c r="B68" s="69" t="s">
        <v>178</v>
      </c>
      <c r="C68" s="96" t="s">
        <v>49</v>
      </c>
      <c r="D68" s="95" t="s">
        <v>78</v>
      </c>
      <c r="E68" s="95" t="s">
        <v>51</v>
      </c>
      <c r="F68" s="319" t="s">
        <v>179</v>
      </c>
      <c r="G68" s="124" t="s">
        <v>180</v>
      </c>
      <c r="H68" s="123">
        <v>1</v>
      </c>
      <c r="I68" s="123">
        <v>1</v>
      </c>
      <c r="J68" s="331">
        <v>4000</v>
      </c>
      <c r="K68" s="125">
        <f t="shared" si="37"/>
        <v>4000</v>
      </c>
      <c r="L68" s="125">
        <f t="shared" si="38"/>
        <v>400</v>
      </c>
      <c r="M68" s="125">
        <f t="shared" si="39"/>
        <v>1067.8762271654036</v>
      </c>
      <c r="N68" s="125">
        <f t="shared" si="40"/>
        <v>5467.8762271654032</v>
      </c>
      <c r="O68" s="144"/>
      <c r="Q68" s="226">
        <f t="shared" si="41"/>
        <v>1</v>
      </c>
      <c r="R68" s="146">
        <f t="shared" si="42"/>
        <v>1</v>
      </c>
      <c r="S68" s="147">
        <v>2000</v>
      </c>
      <c r="T68" s="147">
        <f t="shared" si="43"/>
        <v>2000</v>
      </c>
      <c r="U68" s="148">
        <f t="shared" si="44"/>
        <v>2000</v>
      </c>
      <c r="V68" s="149">
        <f t="shared" si="45"/>
        <v>0</v>
      </c>
      <c r="W68" s="150">
        <f t="shared" si="46"/>
        <v>0</v>
      </c>
      <c r="X68" s="150">
        <f t="shared" si="47"/>
        <v>2000</v>
      </c>
      <c r="Y68" s="156">
        <f t="shared" si="48"/>
        <v>3067.8762271654036</v>
      </c>
      <c r="Z68" s="225">
        <f t="shared" si="49"/>
        <v>0.5</v>
      </c>
      <c r="AA68" s="258">
        <f t="shared" si="50"/>
        <v>0.15582634711877086</v>
      </c>
    </row>
    <row r="69" spans="1:28" ht="72" customHeight="1" x14ac:dyDescent="0.35">
      <c r="A69" s="103">
        <v>56</v>
      </c>
      <c r="B69" s="69" t="s">
        <v>181</v>
      </c>
      <c r="C69" s="119" t="s">
        <v>49</v>
      </c>
      <c r="D69" s="95" t="s">
        <v>78</v>
      </c>
      <c r="E69" s="95" t="s">
        <v>51</v>
      </c>
      <c r="F69" s="320" t="s">
        <v>182</v>
      </c>
      <c r="G69" s="204" t="s">
        <v>183</v>
      </c>
      <c r="H69" s="321">
        <v>1</v>
      </c>
      <c r="I69" s="153">
        <v>1</v>
      </c>
      <c r="J69" s="322">
        <v>4600</v>
      </c>
      <c r="K69" s="175">
        <f t="shared" si="37"/>
        <v>4600</v>
      </c>
      <c r="L69" s="175">
        <f t="shared" si="38"/>
        <v>460</v>
      </c>
      <c r="M69" s="175">
        <f t="shared" si="39"/>
        <v>1228.0576612402142</v>
      </c>
      <c r="N69" s="175">
        <f t="shared" si="40"/>
        <v>6288.0576612402147</v>
      </c>
      <c r="O69" s="144"/>
      <c r="Q69" s="323">
        <f t="shared" si="41"/>
        <v>1</v>
      </c>
      <c r="R69" s="323">
        <f t="shared" si="42"/>
        <v>1</v>
      </c>
      <c r="S69" s="315">
        <v>3800</v>
      </c>
      <c r="T69" s="315">
        <f t="shared" si="43"/>
        <v>3800</v>
      </c>
      <c r="U69" s="316">
        <f t="shared" si="44"/>
        <v>800</v>
      </c>
      <c r="V69" s="317">
        <f t="shared" si="45"/>
        <v>0</v>
      </c>
      <c r="W69" s="318">
        <f t="shared" si="46"/>
        <v>0</v>
      </c>
      <c r="X69" s="318">
        <f t="shared" si="47"/>
        <v>3800</v>
      </c>
      <c r="Y69" s="112">
        <f t="shared" si="48"/>
        <v>5028.0576612402147</v>
      </c>
      <c r="Z69" s="281">
        <f t="shared" si="49"/>
        <v>0.17391304347826086</v>
      </c>
      <c r="AA69" s="258"/>
    </row>
    <row r="70" spans="1:28" ht="48.6" x14ac:dyDescent="0.35">
      <c r="A70" s="55">
        <v>57</v>
      </c>
      <c r="B70" s="69" t="s">
        <v>184</v>
      </c>
      <c r="C70" s="68" t="s">
        <v>49</v>
      </c>
      <c r="D70" s="95" t="s">
        <v>78</v>
      </c>
      <c r="E70" s="95" t="s">
        <v>51</v>
      </c>
      <c r="F70" s="279" t="s">
        <v>185</v>
      </c>
      <c r="G70" s="194" t="s">
        <v>186</v>
      </c>
      <c r="H70" s="278">
        <v>1</v>
      </c>
      <c r="I70" s="199">
        <v>1</v>
      </c>
      <c r="J70" s="277">
        <v>1800</v>
      </c>
      <c r="K70" s="188">
        <f t="shared" si="37"/>
        <v>1800</v>
      </c>
      <c r="L70" s="188">
        <f t="shared" si="38"/>
        <v>180</v>
      </c>
      <c r="M70" s="188">
        <f t="shared" si="39"/>
        <v>480.54430222443165</v>
      </c>
      <c r="N70" s="188">
        <f t="shared" si="40"/>
        <v>2460.5443022244317</v>
      </c>
      <c r="O70" s="144"/>
      <c r="Q70" s="286">
        <f t="shared" si="41"/>
        <v>1</v>
      </c>
      <c r="R70" s="286">
        <f t="shared" si="42"/>
        <v>1</v>
      </c>
      <c r="S70" s="127">
        <v>1600</v>
      </c>
      <c r="T70" s="127">
        <f t="shared" si="43"/>
        <v>1600</v>
      </c>
      <c r="U70" s="128">
        <f t="shared" si="44"/>
        <v>200</v>
      </c>
      <c r="V70" s="129">
        <f t="shared" si="45"/>
        <v>0</v>
      </c>
      <c r="W70" s="130">
        <f t="shared" si="46"/>
        <v>0</v>
      </c>
      <c r="X70" s="130">
        <f t="shared" si="47"/>
        <v>1600</v>
      </c>
      <c r="Y70" s="101">
        <f t="shared" si="48"/>
        <v>2080.5443022244317</v>
      </c>
      <c r="Z70" s="281">
        <f t="shared" si="49"/>
        <v>0.1111111111111111</v>
      </c>
      <c r="AA70" s="288"/>
    </row>
    <row r="71" spans="1:28" ht="28.05" customHeight="1" x14ac:dyDescent="0.35">
      <c r="A71" s="66">
        <v>58</v>
      </c>
      <c r="B71" s="69" t="s">
        <v>187</v>
      </c>
      <c r="C71" s="67" t="s">
        <v>49</v>
      </c>
      <c r="D71" s="95" t="s">
        <v>78</v>
      </c>
      <c r="E71" s="95" t="s">
        <v>51</v>
      </c>
      <c r="F71" s="279" t="s">
        <v>188</v>
      </c>
      <c r="G71" s="194" t="s">
        <v>189</v>
      </c>
      <c r="H71" s="278">
        <v>32</v>
      </c>
      <c r="I71" s="199">
        <v>1</v>
      </c>
      <c r="J71" s="277">
        <v>14.6</v>
      </c>
      <c r="K71" s="188">
        <f t="shared" si="37"/>
        <v>467.2</v>
      </c>
      <c r="L71" s="188">
        <f t="shared" si="38"/>
        <v>46.72</v>
      </c>
      <c r="M71" s="188">
        <f t="shared" si="39"/>
        <v>124.72794333291912</v>
      </c>
      <c r="N71" s="188">
        <f t="shared" si="40"/>
        <v>638.64794333291911</v>
      </c>
      <c r="O71" s="144"/>
      <c r="Q71" s="280">
        <f>IF(H71&lt;&gt;"",H71,"")</f>
        <v>32</v>
      </c>
      <c r="R71" s="280">
        <v>1</v>
      </c>
      <c r="S71" s="131">
        <v>8.9</v>
      </c>
      <c r="T71" s="131">
        <f t="shared" si="43"/>
        <v>284.8</v>
      </c>
      <c r="U71" s="132">
        <f t="shared" si="44"/>
        <v>182.39999999999998</v>
      </c>
      <c r="V71" s="133">
        <f t="shared" si="45"/>
        <v>0</v>
      </c>
      <c r="W71" s="134">
        <f t="shared" si="46"/>
        <v>0</v>
      </c>
      <c r="X71" s="134">
        <f t="shared" si="47"/>
        <v>284.8</v>
      </c>
      <c r="Y71" s="193">
        <f t="shared" si="48"/>
        <v>409.52794333291911</v>
      </c>
      <c r="Z71" s="281">
        <f t="shared" si="49"/>
        <v>0.39041095890410954</v>
      </c>
      <c r="AA71" s="288"/>
    </row>
    <row r="72" spans="1:28" ht="28.05" customHeight="1" thickBot="1" x14ac:dyDescent="0.4">
      <c r="A72" s="103">
        <v>59</v>
      </c>
      <c r="B72" s="69"/>
      <c r="C72" s="119" t="s">
        <v>72</v>
      </c>
      <c r="D72" s="103"/>
      <c r="E72" s="103"/>
      <c r="F72" s="617" t="s">
        <v>190</v>
      </c>
      <c r="G72" s="618"/>
      <c r="H72" s="618"/>
      <c r="I72" s="618"/>
      <c r="J72" s="655"/>
      <c r="K72" s="164">
        <f>SUM(K61:K71)</f>
        <v>25867.200000000001</v>
      </c>
      <c r="L72" s="164">
        <f>SUM(L61:L71)</f>
        <v>2586.7199999999998</v>
      </c>
      <c r="M72" s="164">
        <f>SUM(M61:M71)</f>
        <v>6905.7419858332323</v>
      </c>
      <c r="N72" s="229">
        <f>SUM(N61:N71)</f>
        <v>35359.661985833234</v>
      </c>
      <c r="O72" s="144"/>
      <c r="Q72" s="619" t="s">
        <v>190</v>
      </c>
      <c r="R72" s="620"/>
      <c r="S72" s="656"/>
      <c r="T72" s="205">
        <f>SUM(T61:T71)</f>
        <v>12834.8</v>
      </c>
      <c r="U72" s="206">
        <f>SUM(U61:U71)</f>
        <v>13032.4</v>
      </c>
      <c r="V72" s="291"/>
      <c r="W72" s="292"/>
      <c r="X72" s="207">
        <f>SUM(X61:X71)</f>
        <v>12834.8</v>
      </c>
      <c r="Y72" s="230">
        <f t="shared" si="48"/>
        <v>19740.541985833232</v>
      </c>
      <c r="Z72" s="228"/>
      <c r="AA72" s="217"/>
    </row>
    <row r="73" spans="1:28" ht="28.05" customHeight="1" thickBot="1" x14ac:dyDescent="0.4">
      <c r="A73" s="95">
        <v>60</v>
      </c>
      <c r="B73" s="69">
        <v>7</v>
      </c>
      <c r="C73" s="96" t="s">
        <v>40</v>
      </c>
      <c r="D73" s="95"/>
      <c r="E73" s="95"/>
      <c r="F73" s="621" t="s">
        <v>191</v>
      </c>
      <c r="G73" s="622"/>
      <c r="H73" s="622"/>
      <c r="I73" s="622"/>
      <c r="J73" s="622"/>
      <c r="K73" s="622"/>
      <c r="L73" s="622"/>
      <c r="M73" s="622"/>
      <c r="N73" s="623"/>
      <c r="O73" s="144"/>
      <c r="Q73" s="679" t="str">
        <f>IF(F73&lt;&gt;"",F73,"")</f>
        <v>ARTISTICO</v>
      </c>
      <c r="R73" s="680"/>
      <c r="S73" s="680"/>
      <c r="T73" s="680"/>
      <c r="U73" s="680"/>
      <c r="V73" s="680"/>
      <c r="W73" s="680"/>
      <c r="X73" s="680"/>
      <c r="Y73" s="681"/>
      <c r="Z73" s="255"/>
      <c r="AA73" s="217"/>
    </row>
    <row r="74" spans="1:28" ht="28.05" customHeight="1" thickBot="1" x14ac:dyDescent="0.4">
      <c r="A74" s="55">
        <v>61</v>
      </c>
      <c r="B74" s="69" t="s">
        <v>192</v>
      </c>
      <c r="C74" s="68" t="s">
        <v>43</v>
      </c>
      <c r="D74" s="55"/>
      <c r="E74" s="55"/>
      <c r="F74" s="630" t="s">
        <v>191</v>
      </c>
      <c r="G74" s="631"/>
      <c r="H74" s="631"/>
      <c r="I74" s="631"/>
      <c r="J74" s="631"/>
      <c r="K74" s="632"/>
      <c r="L74" s="195" t="s">
        <v>45</v>
      </c>
      <c r="M74" s="196" t="s">
        <v>46</v>
      </c>
      <c r="N74" s="327" t="s">
        <v>28</v>
      </c>
      <c r="O74" s="144"/>
      <c r="Q74" s="652" t="str">
        <f>IF(F74&lt;&gt;"",F74,"")</f>
        <v>ARTISTICO</v>
      </c>
      <c r="R74" s="653"/>
      <c r="S74" s="653"/>
      <c r="T74" s="653"/>
      <c r="U74" s="653"/>
      <c r="V74" s="653"/>
      <c r="W74" s="653"/>
      <c r="X74" s="653"/>
      <c r="Y74" s="654"/>
      <c r="Z74" s="252" t="s">
        <v>47</v>
      </c>
      <c r="AA74" s="216" t="s">
        <v>39</v>
      </c>
    </row>
    <row r="75" spans="1:28" ht="58.5" customHeight="1" x14ac:dyDescent="0.35">
      <c r="A75" s="55">
        <v>62</v>
      </c>
      <c r="B75" s="69" t="s">
        <v>193</v>
      </c>
      <c r="C75" s="68" t="s">
        <v>49</v>
      </c>
      <c r="D75" s="55" t="s">
        <v>78</v>
      </c>
      <c r="E75" s="55" t="s">
        <v>51</v>
      </c>
      <c r="F75" s="273" t="s">
        <v>194</v>
      </c>
      <c r="G75" s="194" t="s">
        <v>195</v>
      </c>
      <c r="H75" s="199">
        <v>1</v>
      </c>
      <c r="I75" s="199">
        <v>1</v>
      </c>
      <c r="J75" s="188">
        <v>0</v>
      </c>
      <c r="K75" s="188">
        <f>IF(F75&lt;&gt;"",H75*I75*J75,"")</f>
        <v>0</v>
      </c>
      <c r="L75" s="188">
        <f>IF(K75&lt;&gt;"",IF(D75="INTERNO",0,K75*$L$14),"")</f>
        <v>0</v>
      </c>
      <c r="M75" s="188">
        <f>IF(K75&lt;&gt;"",IF(E75="FAT.OGGI",SUM(K75:L75)*(1/(1-$M$14)-1),L75*(1/(1-$M$14)-1)),"")</f>
        <v>0</v>
      </c>
      <c r="N75" s="80">
        <f>SUM(K75:M75)</f>
        <v>0</v>
      </c>
      <c r="O75" s="144"/>
      <c r="Q75" s="135">
        <f t="shared" ref="Q75:R75" si="51">IF(H75&lt;&gt;"",H75,"")</f>
        <v>1</v>
      </c>
      <c r="R75" s="136">
        <f t="shared" si="51"/>
        <v>1</v>
      </c>
      <c r="S75" s="127">
        <v>0</v>
      </c>
      <c r="T75" s="127">
        <f>IF(Q75&lt;&gt;"",Q75*R75*S75,"")</f>
        <v>0</v>
      </c>
      <c r="U75" s="128">
        <f>IF(Q75&lt;&gt;"",K75-T75,"")</f>
        <v>0</v>
      </c>
      <c r="V75" s="129">
        <f>IF(Q75&lt;&gt;"",0%,"")</f>
        <v>0</v>
      </c>
      <c r="W75" s="130">
        <f>IF(Q75&lt;&gt;"",V75*U75,"")</f>
        <v>0</v>
      </c>
      <c r="X75" s="130">
        <f>IF(Q75&lt;&gt;"",W75+T75,"")</f>
        <v>0</v>
      </c>
      <c r="Y75" s="102">
        <f>IF(Q75&lt;&gt;"",X75+M75,"")</f>
        <v>0</v>
      </c>
      <c r="Z75" s="249" t="e">
        <f>IF(Q75&lt;&gt;"",U75/K75,"")</f>
        <v>#DIV/0!</v>
      </c>
      <c r="AA75" s="213" t="e">
        <f>T75/$T$76</f>
        <v>#DIV/0!</v>
      </c>
    </row>
    <row r="76" spans="1:28" ht="28.05" customHeight="1" thickBot="1" x14ac:dyDescent="0.4">
      <c r="A76" s="55">
        <v>63</v>
      </c>
      <c r="B76" s="69"/>
      <c r="C76" s="68" t="s">
        <v>72</v>
      </c>
      <c r="D76" s="55"/>
      <c r="E76" s="55"/>
      <c r="F76" s="613" t="s">
        <v>196</v>
      </c>
      <c r="G76" s="614"/>
      <c r="H76" s="614"/>
      <c r="I76" s="614"/>
      <c r="J76" s="677"/>
      <c r="K76" s="250">
        <f>SUM(K75:K75)</f>
        <v>0</v>
      </c>
      <c r="L76" s="250">
        <f>SUM(L75:L75)</f>
        <v>0</v>
      </c>
      <c r="M76" s="250">
        <f>SUM(M75:M75)</f>
        <v>0</v>
      </c>
      <c r="N76" s="251">
        <f>SUM(N75:N75)</f>
        <v>0</v>
      </c>
      <c r="O76" s="144"/>
      <c r="Q76" s="615" t="s">
        <v>196</v>
      </c>
      <c r="R76" s="616"/>
      <c r="S76" s="678"/>
      <c r="T76" s="180">
        <f>SUM(T75:T75)</f>
        <v>0</v>
      </c>
      <c r="U76" s="181">
        <f>SUM(U75:U75)</f>
        <v>0</v>
      </c>
      <c r="V76" s="182"/>
      <c r="W76" s="183"/>
      <c r="X76" s="184">
        <f>SUM(X75:X75)</f>
        <v>0</v>
      </c>
      <c r="Y76" s="253">
        <f>IF(Q76&lt;&gt;"",X76+M76,"")</f>
        <v>0</v>
      </c>
      <c r="Z76" s="228"/>
      <c r="AA76" s="209"/>
    </row>
    <row r="77" spans="1:28" ht="28.5" customHeight="1" thickBot="1" x14ac:dyDescent="0.4">
      <c r="A77" s="95">
        <v>64</v>
      </c>
      <c r="B77" s="69">
        <v>8</v>
      </c>
      <c r="C77" s="96" t="s">
        <v>40</v>
      </c>
      <c r="D77" s="95"/>
      <c r="E77" s="95"/>
      <c r="F77" s="646" t="s">
        <v>197</v>
      </c>
      <c r="G77" s="647"/>
      <c r="H77" s="647"/>
      <c r="I77" s="647"/>
      <c r="J77" s="647"/>
      <c r="K77" s="647"/>
      <c r="L77" s="647"/>
      <c r="M77" s="647"/>
      <c r="N77" s="648"/>
      <c r="O77" s="142"/>
      <c r="Q77" s="621" t="s">
        <v>197</v>
      </c>
      <c r="R77" s="622"/>
      <c r="S77" s="622"/>
      <c r="T77" s="622"/>
      <c r="U77" s="622"/>
      <c r="V77" s="622"/>
      <c r="W77" s="622"/>
      <c r="X77" s="622"/>
      <c r="Y77" s="623"/>
      <c r="Z77" s="264"/>
      <c r="AA77" s="210"/>
    </row>
    <row r="78" spans="1:28" ht="27.6" customHeight="1" x14ac:dyDescent="0.35">
      <c r="A78" s="55">
        <v>65</v>
      </c>
      <c r="B78" s="69" t="s">
        <v>198</v>
      </c>
      <c r="C78" s="68" t="s">
        <v>43</v>
      </c>
      <c r="D78" s="55"/>
      <c r="E78" s="55"/>
      <c r="F78" s="630" t="s">
        <v>199</v>
      </c>
      <c r="G78" s="631"/>
      <c r="H78" s="631"/>
      <c r="I78" s="631"/>
      <c r="J78" s="631"/>
      <c r="K78" s="632"/>
      <c r="L78" s="115" t="s">
        <v>45</v>
      </c>
      <c r="M78" s="116" t="s">
        <v>46</v>
      </c>
      <c r="N78" s="326" t="s">
        <v>28</v>
      </c>
      <c r="O78" s="145"/>
      <c r="Q78" s="235"/>
      <c r="R78" s="236"/>
      <c r="S78" s="237"/>
      <c r="T78" s="237"/>
      <c r="U78" s="237"/>
      <c r="V78" s="237"/>
      <c r="W78" s="237"/>
      <c r="X78" s="237"/>
      <c r="Y78" s="333"/>
      <c r="Z78" s="234" t="s">
        <v>47</v>
      </c>
      <c r="AA78" s="211"/>
    </row>
    <row r="79" spans="1:28" ht="141.6" customHeight="1" x14ac:dyDescent="0.3">
      <c r="A79" s="55">
        <v>66</v>
      </c>
      <c r="B79" s="69" t="s">
        <v>200</v>
      </c>
      <c r="C79" s="68" t="s">
        <v>49</v>
      </c>
      <c r="D79" s="55" t="s">
        <v>78</v>
      </c>
      <c r="E79" s="55" t="s">
        <v>51</v>
      </c>
      <c r="F79" s="273" t="s">
        <v>201</v>
      </c>
      <c r="G79" s="194" t="s">
        <v>202</v>
      </c>
      <c r="H79" s="199">
        <v>1</v>
      </c>
      <c r="I79" s="199">
        <v>1</v>
      </c>
      <c r="J79" s="188">
        <v>0</v>
      </c>
      <c r="K79" s="188">
        <f>IF(F79&lt;&gt;"",H79*I79*J79,"")</f>
        <v>0</v>
      </c>
      <c r="L79" s="188">
        <f>IF(K79&lt;&gt;"",IF(D79="INTERNO",0,K79*$L$14),"")</f>
        <v>0</v>
      </c>
      <c r="M79" s="188">
        <f>IF(K79&lt;&gt;"",IF(E79="FAT.OGGI",SUM(K79:L79)*(1/(1-$M$14)-1),L79*(1/(1-$M$14)-1)),"")</f>
        <v>0</v>
      </c>
      <c r="N79" s="80">
        <f>SUM(K79:M79)</f>
        <v>0</v>
      </c>
      <c r="O79" s="145"/>
      <c r="Q79" s="81">
        <f t="shared" ref="Q79:R79" si="52">IF(H79&lt;&gt;"",H79,"")</f>
        <v>1</v>
      </c>
      <c r="R79" s="189">
        <f t="shared" si="52"/>
        <v>1</v>
      </c>
      <c r="S79" s="190">
        <v>0</v>
      </c>
      <c r="T79" s="190">
        <f>IF(Q79&lt;&gt;"",Q79*R79*S79,"")</f>
        <v>0</v>
      </c>
      <c r="U79" s="191">
        <f>IF(Q79&lt;&gt;"",K79-T79,"")</f>
        <v>0</v>
      </c>
      <c r="V79" s="192">
        <f>IF(Q79&lt;&gt;"",0%,"")</f>
        <v>0</v>
      </c>
      <c r="W79" s="193">
        <f>IF(Q79&lt;&gt;"",V79*U79,"")</f>
        <v>0</v>
      </c>
      <c r="X79" s="193">
        <f>IF(Q79&lt;&gt;"",W79+T79,"")</f>
        <v>0</v>
      </c>
      <c r="Y79" s="74">
        <f>IF(Q79&lt;&gt;"",X79+M79,"")</f>
        <v>0</v>
      </c>
      <c r="Z79" s="117" t="e">
        <f>IF(Q79&lt;&gt;"",U79/K79,"")</f>
        <v>#DIV/0!</v>
      </c>
      <c r="AA79" s="211"/>
    </row>
    <row r="80" spans="1:28" ht="31.05" customHeight="1" thickBot="1" x14ac:dyDescent="0.4">
      <c r="A80" s="55">
        <v>67</v>
      </c>
      <c r="B80" s="69"/>
      <c r="C80" s="68" t="s">
        <v>72</v>
      </c>
      <c r="D80" s="55"/>
      <c r="E80" s="55"/>
      <c r="F80" s="613" t="s">
        <v>203</v>
      </c>
      <c r="G80" s="614"/>
      <c r="H80" s="614"/>
      <c r="I80" s="614"/>
      <c r="J80" s="614"/>
      <c r="K80" s="82">
        <f>SUM(K79:K79)</f>
        <v>0</v>
      </c>
      <c r="L80" s="82">
        <f>SUM(L79:L79)</f>
        <v>0</v>
      </c>
      <c r="M80" s="82">
        <f>SUM(M79:M79)</f>
        <v>0</v>
      </c>
      <c r="N80" s="325">
        <f>SUM(N79:N79)</f>
        <v>0</v>
      </c>
      <c r="O80" s="140"/>
      <c r="Q80" s="615" t="s">
        <v>203</v>
      </c>
      <c r="R80" s="616"/>
      <c r="S80" s="616"/>
      <c r="T80" s="169">
        <f>SUM(T79:T79)</f>
        <v>0</v>
      </c>
      <c r="U80" s="166">
        <f>SUM(U79:U79)</f>
        <v>0</v>
      </c>
      <c r="V80" s="167"/>
      <c r="W80" s="159"/>
      <c r="X80" s="160">
        <f>SUM(X79:X79)</f>
        <v>0</v>
      </c>
      <c r="Y80" s="329">
        <f>IF(Q80&lt;&gt;"",X80+M80,"")</f>
        <v>0</v>
      </c>
      <c r="Z80" s="117"/>
      <c r="AA80" s="158"/>
      <c r="AB80" s="161"/>
    </row>
    <row r="81" spans="1:28" ht="36.6" customHeight="1" thickBot="1" x14ac:dyDescent="0.4">
      <c r="A81" s="55">
        <v>68</v>
      </c>
      <c r="B81" s="69">
        <v>9</v>
      </c>
      <c r="C81" s="68" t="s">
        <v>40</v>
      </c>
      <c r="D81" s="55"/>
      <c r="E81" s="55"/>
      <c r="F81" s="646" t="s">
        <v>204</v>
      </c>
      <c r="G81" s="647"/>
      <c r="H81" s="647"/>
      <c r="I81" s="647"/>
      <c r="J81" s="647"/>
      <c r="K81" s="647"/>
      <c r="L81" s="647"/>
      <c r="M81" s="647"/>
      <c r="N81" s="648"/>
      <c r="O81" s="140"/>
      <c r="Q81" s="649" t="str">
        <f>IF(F81&lt;&gt;"",F81,"")</f>
        <v>HAPPY HOUR</v>
      </c>
      <c r="R81" s="650"/>
      <c r="S81" s="650"/>
      <c r="T81" s="650"/>
      <c r="U81" s="650"/>
      <c r="V81" s="650"/>
      <c r="W81" s="650"/>
      <c r="X81" s="650"/>
      <c r="Y81" s="651"/>
      <c r="Z81" s="265"/>
      <c r="AA81" s="215"/>
      <c r="AB81" s="161"/>
    </row>
    <row r="82" spans="1:28" ht="29.1" customHeight="1" thickBot="1" x14ac:dyDescent="0.4">
      <c r="A82" s="55">
        <v>69</v>
      </c>
      <c r="B82" s="69" t="s">
        <v>205</v>
      </c>
      <c r="C82" s="68" t="s">
        <v>43</v>
      </c>
      <c r="D82" s="55"/>
      <c r="E82" s="55"/>
      <c r="F82" s="630" t="s">
        <v>204</v>
      </c>
      <c r="G82" s="631"/>
      <c r="H82" s="631"/>
      <c r="I82" s="631"/>
      <c r="J82" s="631"/>
      <c r="K82" s="632"/>
      <c r="L82" s="115" t="s">
        <v>45</v>
      </c>
      <c r="M82" s="116" t="s">
        <v>46</v>
      </c>
      <c r="N82" s="326" t="s">
        <v>28</v>
      </c>
      <c r="O82" s="140"/>
      <c r="Q82" s="652" t="str">
        <f>IF(F82&lt;&gt;"",F82,"")</f>
        <v>HAPPY HOUR</v>
      </c>
      <c r="R82" s="653"/>
      <c r="S82" s="653"/>
      <c r="T82" s="653"/>
      <c r="U82" s="653"/>
      <c r="V82" s="653"/>
      <c r="W82" s="653"/>
      <c r="X82" s="653"/>
      <c r="Y82" s="654"/>
      <c r="Z82" s="231" t="s">
        <v>47</v>
      </c>
      <c r="AA82" s="216" t="s">
        <v>39</v>
      </c>
      <c r="AB82" s="161"/>
    </row>
    <row r="83" spans="1:28" ht="58.5" customHeight="1" x14ac:dyDescent="0.3">
      <c r="A83" s="55">
        <v>70</v>
      </c>
      <c r="B83" s="69" t="s">
        <v>206</v>
      </c>
      <c r="C83" s="68" t="s">
        <v>49</v>
      </c>
      <c r="D83" s="55" t="s">
        <v>78</v>
      </c>
      <c r="E83" s="55" t="s">
        <v>51</v>
      </c>
      <c r="F83" s="270" t="s">
        <v>207</v>
      </c>
      <c r="G83" s="194" t="s">
        <v>208</v>
      </c>
      <c r="H83" s="199">
        <v>1</v>
      </c>
      <c r="I83" s="199">
        <v>0</v>
      </c>
      <c r="J83" s="188">
        <v>4500</v>
      </c>
      <c r="K83" s="188">
        <f t="shared" ref="K83:K87" si="53">IF(F83&lt;&gt;"",H83*I83*J83,"")</f>
        <v>0</v>
      </c>
      <c r="L83" s="188">
        <f>IF(K83&lt;&gt;"",IF(D83="INTERNO",0,K83*$L$14),"")</f>
        <v>0</v>
      </c>
      <c r="M83" s="188">
        <f>IF(K83&lt;&gt;"",IF(E83="FAT.OGGI",SUM(K83:L83)*(1/(1-$M$14)-1),L83*(1/(1-$M$14)-1)),"")</f>
        <v>0</v>
      </c>
      <c r="N83" s="80">
        <f t="shared" ref="N83:N87" si="54">SUM(K83:M83)</f>
        <v>0</v>
      </c>
      <c r="O83" s="140"/>
      <c r="Q83" s="81">
        <f t="shared" ref="Q83:R85" si="55">IF(H83&lt;&gt;"",H83,"")</f>
        <v>1</v>
      </c>
      <c r="R83" s="189">
        <f t="shared" si="55"/>
        <v>0</v>
      </c>
      <c r="S83" s="190">
        <v>3500</v>
      </c>
      <c r="T83" s="190">
        <f t="shared" ref="T83:T87" si="56">IF(Q83&lt;&gt;"",Q83*R83*S83,"")</f>
        <v>0</v>
      </c>
      <c r="U83" s="191">
        <f t="shared" ref="U83:U87" si="57">IF(Q83&lt;&gt;"",K83-T83,"")</f>
        <v>0</v>
      </c>
      <c r="V83" s="192">
        <f t="shared" ref="V83:V87" si="58">IF(Q83&lt;&gt;"",0%,"")</f>
        <v>0</v>
      </c>
      <c r="W83" s="193">
        <f t="shared" ref="W83:W87" si="59">IF(Q83&lt;&gt;"",V83*U83,"")</f>
        <v>0</v>
      </c>
      <c r="X83" s="193">
        <f t="shared" ref="X83:X87" si="60">IF(Q83&lt;&gt;"",W83+T83,"")</f>
        <v>0</v>
      </c>
      <c r="Y83" s="74">
        <f t="shared" ref="Y83:Y85" si="61">IF(Q83&lt;&gt;"",X83+M83,"")</f>
        <v>0</v>
      </c>
      <c r="Z83" s="232" t="e">
        <f t="shared" ref="Z83:Z87" si="62">IF(Q83&lt;&gt;"",U83/K83,"")</f>
        <v>#DIV/0!</v>
      </c>
      <c r="AA83" s="158">
        <f>T83/$T$88</f>
        <v>0</v>
      </c>
      <c r="AB83" s="161"/>
    </row>
    <row r="84" spans="1:28" ht="36.6" customHeight="1" x14ac:dyDescent="0.3">
      <c r="A84" s="66">
        <v>71</v>
      </c>
      <c r="B84" s="69" t="s">
        <v>209</v>
      </c>
      <c r="C84" s="67" t="s">
        <v>49</v>
      </c>
      <c r="D84" s="55" t="s">
        <v>78</v>
      </c>
      <c r="E84" s="55" t="s">
        <v>51</v>
      </c>
      <c r="F84" s="269" t="s">
        <v>210</v>
      </c>
      <c r="G84" s="194" t="s">
        <v>211</v>
      </c>
      <c r="H84" s="199">
        <v>1</v>
      </c>
      <c r="I84" s="199">
        <v>0</v>
      </c>
      <c r="J84" s="188">
        <v>6000</v>
      </c>
      <c r="K84" s="188">
        <f t="shared" si="53"/>
        <v>0</v>
      </c>
      <c r="L84" s="188">
        <f>IF(K84&lt;&gt;"",IF(D84="INTERNO",0,K84*$L$14),"")</f>
        <v>0</v>
      </c>
      <c r="M84" s="188">
        <f>IF(K84&lt;&gt;"",IF(E84="FAT.OGGI",SUM(K84:L84)*(1/(1-$M$14)-1),L84*(1/(1-$M$14)-1)),"")</f>
        <v>0</v>
      </c>
      <c r="N84" s="80">
        <f t="shared" si="54"/>
        <v>0</v>
      </c>
      <c r="O84" s="140"/>
      <c r="Q84" s="81">
        <f t="shared" si="55"/>
        <v>1</v>
      </c>
      <c r="R84" s="189">
        <f t="shared" si="55"/>
        <v>0</v>
      </c>
      <c r="S84" s="190">
        <v>4500</v>
      </c>
      <c r="T84" s="190">
        <f t="shared" si="56"/>
        <v>0</v>
      </c>
      <c r="U84" s="191">
        <f t="shared" si="57"/>
        <v>0</v>
      </c>
      <c r="V84" s="192">
        <f t="shared" si="58"/>
        <v>0</v>
      </c>
      <c r="W84" s="193">
        <f t="shared" si="59"/>
        <v>0</v>
      </c>
      <c r="X84" s="193">
        <f t="shared" si="60"/>
        <v>0</v>
      </c>
      <c r="Y84" s="74">
        <f t="shared" si="61"/>
        <v>0</v>
      </c>
      <c r="Z84" s="232" t="e">
        <f t="shared" si="62"/>
        <v>#DIV/0!</v>
      </c>
      <c r="AA84" s="158">
        <f>T84/$T$88</f>
        <v>0</v>
      </c>
      <c r="AB84" s="161"/>
    </row>
    <row r="85" spans="1:28" ht="36.6" customHeight="1" x14ac:dyDescent="0.3">
      <c r="A85" s="55">
        <v>72</v>
      </c>
      <c r="B85" s="69" t="s">
        <v>212</v>
      </c>
      <c r="C85" s="68" t="s">
        <v>49</v>
      </c>
      <c r="D85" s="55" t="s">
        <v>78</v>
      </c>
      <c r="E85" s="55" t="s">
        <v>51</v>
      </c>
      <c r="F85" s="269" t="s">
        <v>213</v>
      </c>
      <c r="G85" s="194" t="s">
        <v>211</v>
      </c>
      <c r="H85" s="199">
        <v>1</v>
      </c>
      <c r="I85" s="199">
        <v>0</v>
      </c>
      <c r="J85" s="188">
        <v>6000</v>
      </c>
      <c r="K85" s="188">
        <f t="shared" si="53"/>
        <v>0</v>
      </c>
      <c r="L85" s="188">
        <f>IF(K85&lt;&gt;"",IF(D85="INTERNO",0,K85*$L$14),"")</f>
        <v>0</v>
      </c>
      <c r="M85" s="188">
        <f>IF(K85&lt;&gt;"",IF(E85="FAT.OGGI",SUM(K85:L85)*(1/(1-$M$14)-1),L85*(1/(1-$M$14)-1)),"")</f>
        <v>0</v>
      </c>
      <c r="N85" s="80">
        <f t="shared" si="54"/>
        <v>0</v>
      </c>
      <c r="O85" s="140"/>
      <c r="Q85" s="81">
        <f t="shared" si="55"/>
        <v>1</v>
      </c>
      <c r="R85" s="189">
        <f t="shared" si="55"/>
        <v>0</v>
      </c>
      <c r="S85" s="190">
        <v>4500</v>
      </c>
      <c r="T85" s="190">
        <f t="shared" si="56"/>
        <v>0</v>
      </c>
      <c r="U85" s="191">
        <f t="shared" si="57"/>
        <v>0</v>
      </c>
      <c r="V85" s="192">
        <f t="shared" si="58"/>
        <v>0</v>
      </c>
      <c r="W85" s="193">
        <f t="shared" si="59"/>
        <v>0</v>
      </c>
      <c r="X85" s="193">
        <f t="shared" si="60"/>
        <v>0</v>
      </c>
      <c r="Y85" s="74">
        <f t="shared" si="61"/>
        <v>0</v>
      </c>
      <c r="Z85" s="232" t="e">
        <f t="shared" si="62"/>
        <v>#DIV/0!</v>
      </c>
      <c r="AA85" s="158">
        <f>T85/$T$88</f>
        <v>0</v>
      </c>
      <c r="AB85" s="161"/>
    </row>
    <row r="86" spans="1:28" ht="36.6" customHeight="1" x14ac:dyDescent="0.3">
      <c r="A86" s="55">
        <v>73</v>
      </c>
      <c r="B86" s="69" t="s">
        <v>214</v>
      </c>
      <c r="C86" s="68" t="s">
        <v>49</v>
      </c>
      <c r="D86" s="55" t="s">
        <v>78</v>
      </c>
      <c r="E86" s="55" t="s">
        <v>51</v>
      </c>
      <c r="F86" s="269" t="s">
        <v>215</v>
      </c>
      <c r="G86" s="185" t="s">
        <v>216</v>
      </c>
      <c r="H86" s="199">
        <v>1</v>
      </c>
      <c r="I86" s="199">
        <v>0</v>
      </c>
      <c r="J86" s="188">
        <v>8000</v>
      </c>
      <c r="K86" s="188">
        <f t="shared" si="53"/>
        <v>0</v>
      </c>
      <c r="L86" s="188">
        <f>IF(K86&lt;&gt;"",IF(D86="INTERNO",0,K86*$L$14),"")</f>
        <v>0</v>
      </c>
      <c r="M86" s="188">
        <f>IF(K86&lt;&gt;"",IF(E86="FAT.OGGI",SUM(K86:L86)*(1/(1-$M$14)-1),L86*(1/(1-$M$14)-1)),"")</f>
        <v>0</v>
      </c>
      <c r="N86" s="80">
        <f t="shared" si="54"/>
        <v>0</v>
      </c>
      <c r="O86" s="140"/>
      <c r="Q86" s="81">
        <f>IF(H86&lt;&gt;"",H86,"")</f>
        <v>1</v>
      </c>
      <c r="R86" s="189">
        <f>IF(I86&lt;&gt;"",I86,"")</f>
        <v>0</v>
      </c>
      <c r="S86" s="190">
        <v>5000</v>
      </c>
      <c r="T86" s="190">
        <f t="shared" si="56"/>
        <v>0</v>
      </c>
      <c r="U86" s="191">
        <f t="shared" si="57"/>
        <v>0</v>
      </c>
      <c r="V86" s="192">
        <f t="shared" si="58"/>
        <v>0</v>
      </c>
      <c r="W86" s="193">
        <f t="shared" si="59"/>
        <v>0</v>
      </c>
      <c r="X86" s="193">
        <f t="shared" si="60"/>
        <v>0</v>
      </c>
      <c r="Y86" s="74">
        <f t="shared" ref="Y86:Y87" si="63">IF(Q86&lt;&gt;"",X86+M86,"")</f>
        <v>0</v>
      </c>
      <c r="Z86" s="232" t="e">
        <f t="shared" si="62"/>
        <v>#DIV/0!</v>
      </c>
      <c r="AA86" s="158"/>
      <c r="AB86" s="161"/>
    </row>
    <row r="87" spans="1:28" ht="66" customHeight="1" x14ac:dyDescent="0.3">
      <c r="A87" s="55">
        <v>74</v>
      </c>
      <c r="B87" s="69" t="s">
        <v>217</v>
      </c>
      <c r="C87" s="68" t="s">
        <v>49</v>
      </c>
      <c r="D87" s="55" t="s">
        <v>78</v>
      </c>
      <c r="E87" s="55" t="s">
        <v>51</v>
      </c>
      <c r="F87" s="273" t="s">
        <v>170</v>
      </c>
      <c r="G87" s="194" t="s">
        <v>171</v>
      </c>
      <c r="H87" s="199">
        <v>1</v>
      </c>
      <c r="I87" s="199">
        <v>0</v>
      </c>
      <c r="J87" s="188">
        <v>8000</v>
      </c>
      <c r="K87" s="188">
        <f t="shared" si="53"/>
        <v>0</v>
      </c>
      <c r="L87" s="188">
        <f>IF(K87&lt;&gt;"",IF(D87="INTERNO",0,K87*$L$14),"")</f>
        <v>0</v>
      </c>
      <c r="M87" s="188">
        <f>IF(K87&lt;&gt;"",IF(E87="FAT.OGGI",SUM(K87:L87)*(1/(1-$M$14)-1),L87*(1/(1-$M$14)-1)),"")</f>
        <v>0</v>
      </c>
      <c r="N87" s="80">
        <f t="shared" si="54"/>
        <v>0</v>
      </c>
      <c r="O87" s="140"/>
      <c r="Q87" s="81">
        <v>1</v>
      </c>
      <c r="R87" s="189">
        <v>1</v>
      </c>
      <c r="S87" s="190">
        <v>6000</v>
      </c>
      <c r="T87" s="190">
        <f t="shared" si="56"/>
        <v>6000</v>
      </c>
      <c r="U87" s="191">
        <f t="shared" si="57"/>
        <v>-6000</v>
      </c>
      <c r="V87" s="192">
        <f t="shared" si="58"/>
        <v>0</v>
      </c>
      <c r="W87" s="193">
        <f t="shared" si="59"/>
        <v>0</v>
      </c>
      <c r="X87" s="193">
        <f t="shared" si="60"/>
        <v>6000</v>
      </c>
      <c r="Y87" s="74">
        <f t="shared" si="63"/>
        <v>6000</v>
      </c>
      <c r="Z87" s="232" t="e">
        <f t="shared" si="62"/>
        <v>#DIV/0!</v>
      </c>
      <c r="AA87" s="158"/>
      <c r="AB87" s="161"/>
    </row>
    <row r="88" spans="1:28" ht="32.1" customHeight="1" thickBot="1" x14ac:dyDescent="0.4">
      <c r="A88" s="103">
        <v>75</v>
      </c>
      <c r="B88" s="69"/>
      <c r="C88" s="119" t="s">
        <v>72</v>
      </c>
      <c r="D88" s="103"/>
      <c r="E88" s="103"/>
      <c r="F88" s="617" t="s">
        <v>218</v>
      </c>
      <c r="G88" s="618"/>
      <c r="H88" s="618"/>
      <c r="I88" s="618"/>
      <c r="J88" s="655"/>
      <c r="K88" s="164">
        <f>SUM(K83:K87)</f>
        <v>0</v>
      </c>
      <c r="L88" s="164">
        <f>SUM(L83:L87)</f>
        <v>0</v>
      </c>
      <c r="M88" s="164">
        <f>SUM(M83:M87)</f>
        <v>0</v>
      </c>
      <c r="N88" s="229">
        <f>SUM(N83:N87)</f>
        <v>0</v>
      </c>
      <c r="O88" s="140"/>
      <c r="Q88" s="619" t="s">
        <v>218</v>
      </c>
      <c r="R88" s="620"/>
      <c r="S88" s="656"/>
      <c r="T88" s="205">
        <f>SUM(T83:T87)</f>
        <v>6000</v>
      </c>
      <c r="U88" s="206">
        <f>SUM(U83:U87)</f>
        <v>-6000</v>
      </c>
      <c r="V88" s="243"/>
      <c r="W88" s="244"/>
      <c r="X88" s="207">
        <f>SUM(X83:X87)</f>
        <v>6000</v>
      </c>
      <c r="Y88" s="230">
        <f>IF(Q88&lt;&gt;"",X88+M88,"")</f>
        <v>6000</v>
      </c>
      <c r="Z88" s="117"/>
      <c r="AA88" s="158"/>
      <c r="AB88" s="161"/>
    </row>
    <row r="89" spans="1:28" ht="31.5" customHeight="1" thickBot="1" x14ac:dyDescent="0.4">
      <c r="A89" s="95">
        <v>76</v>
      </c>
      <c r="B89" s="69">
        <v>10</v>
      </c>
      <c r="C89" s="96" t="s">
        <v>40</v>
      </c>
      <c r="D89" s="95"/>
      <c r="E89" s="95"/>
      <c r="F89" s="621" t="s">
        <v>219</v>
      </c>
      <c r="G89" s="622"/>
      <c r="H89" s="622"/>
      <c r="I89" s="622"/>
      <c r="J89" s="622"/>
      <c r="K89" s="622"/>
      <c r="L89" s="622"/>
      <c r="M89" s="622"/>
      <c r="N89" s="623"/>
      <c r="O89" s="142"/>
      <c r="Q89" s="621" t="s">
        <v>219</v>
      </c>
      <c r="R89" s="622"/>
      <c r="S89" s="622"/>
      <c r="T89" s="622"/>
      <c r="U89" s="622"/>
      <c r="V89" s="622"/>
      <c r="W89" s="622"/>
      <c r="X89" s="622"/>
      <c r="Y89" s="623"/>
      <c r="Z89" s="266"/>
      <c r="AA89" s="218"/>
    </row>
    <row r="90" spans="1:28" ht="24.6" customHeight="1" thickBot="1" x14ac:dyDescent="0.4">
      <c r="A90" s="55">
        <v>77</v>
      </c>
      <c r="B90" s="69" t="s">
        <v>220</v>
      </c>
      <c r="C90" s="68" t="s">
        <v>43</v>
      </c>
      <c r="D90" s="55"/>
      <c r="E90" s="55"/>
      <c r="F90" s="644" t="s">
        <v>221</v>
      </c>
      <c r="G90" s="645"/>
      <c r="H90" s="645"/>
      <c r="I90" s="645"/>
      <c r="J90" s="645"/>
      <c r="K90" s="645"/>
      <c r="L90" s="151" t="s">
        <v>45</v>
      </c>
      <c r="M90" s="151" t="s">
        <v>46</v>
      </c>
      <c r="N90" s="152" t="s">
        <v>28</v>
      </c>
      <c r="O90" s="143"/>
      <c r="Q90" s="202" t="str">
        <f>IF(F90&lt;&gt;"",F90,"")</f>
        <v>STAFF</v>
      </c>
      <c r="R90" s="203"/>
      <c r="S90" s="154"/>
      <c r="T90" s="154"/>
      <c r="U90" s="154"/>
      <c r="V90" s="154"/>
      <c r="W90" s="154"/>
      <c r="X90" s="154"/>
      <c r="Y90" s="248"/>
      <c r="Z90" s="247" t="s">
        <v>47</v>
      </c>
      <c r="AA90" s="214" t="s">
        <v>39</v>
      </c>
    </row>
    <row r="91" spans="1:28" ht="55.05" customHeight="1" x14ac:dyDescent="0.3">
      <c r="A91" s="95">
        <v>78</v>
      </c>
      <c r="B91" s="69" t="s">
        <v>222</v>
      </c>
      <c r="C91" s="96" t="s">
        <v>49</v>
      </c>
      <c r="D91" s="95" t="s">
        <v>78</v>
      </c>
      <c r="E91" s="95" t="s">
        <v>51</v>
      </c>
      <c r="F91" s="276" t="s">
        <v>223</v>
      </c>
      <c r="G91" s="185" t="s">
        <v>224</v>
      </c>
      <c r="H91" s="199">
        <v>1</v>
      </c>
      <c r="I91" s="199">
        <v>2</v>
      </c>
      <c r="J91" s="187">
        <v>950</v>
      </c>
      <c r="K91" s="187">
        <f t="shared" ref="K91:K101" si="64">IF(F91&lt;&gt;"",H91*I91*J91,"")</f>
        <v>1900</v>
      </c>
      <c r="L91" s="187">
        <f t="shared" ref="L91:L101" si="65">IF(K91&lt;&gt;"",IF(D91="INTERNO",0,K91*$L$14),"")</f>
        <v>190</v>
      </c>
      <c r="M91" s="187">
        <f t="shared" ref="M91:M101" si="66">IF(K91&lt;&gt;"",IF(E91="FAT.OGGI",SUM(K91:L91)*(1/(1-$M$14)-1),L91*(1/(1-$M$14)-1)),"")</f>
        <v>507.2412079035667</v>
      </c>
      <c r="N91" s="72">
        <f t="shared" ref="N91:N101" si="67">SUM(K91:M91)</f>
        <v>2597.2412079035666</v>
      </c>
      <c r="O91" s="140"/>
      <c r="Q91" s="81">
        <f t="shared" ref="Q91:Q94" si="68">IF(H91&lt;&gt;"",H91,"")</f>
        <v>1</v>
      </c>
      <c r="R91" s="189">
        <f t="shared" ref="R91:R94" si="69">IF(I91&lt;&gt;"",I91,"")</f>
        <v>2</v>
      </c>
      <c r="S91" s="190">
        <v>700</v>
      </c>
      <c r="T91" s="190">
        <f t="shared" ref="T91:T101" si="70">IF(Q91&lt;&gt;"",Q91*R91*S91,"")</f>
        <v>1400</v>
      </c>
      <c r="U91" s="191">
        <f t="shared" ref="U91:U101" si="71">IF(Q91&lt;&gt;"",K91-T91,"")</f>
        <v>500</v>
      </c>
      <c r="V91" s="192">
        <f t="shared" ref="V91:V101" si="72">IF(Q91&lt;&gt;"",0%,"")</f>
        <v>0</v>
      </c>
      <c r="W91" s="193">
        <f t="shared" ref="W91:W101" si="73">IF(Q91&lt;&gt;"",V91*U91,"")</f>
        <v>0</v>
      </c>
      <c r="X91" s="193">
        <f t="shared" ref="X91:X101" si="74">IF(Q91&lt;&gt;"",W91+T91,"")</f>
        <v>1400</v>
      </c>
      <c r="Y91" s="74">
        <f t="shared" ref="Y91:Y109" si="75">IF(Q91&lt;&gt;"",X91+M91,"")</f>
        <v>1907.2412079035666</v>
      </c>
      <c r="Z91" s="246">
        <f t="shared" ref="Z91:Z101" si="76">IF(Q91&lt;&gt;"",U91/K91,"")</f>
        <v>0.26315789473684209</v>
      </c>
      <c r="AA91" s="213">
        <f>T91/$T$109</f>
        <v>8.7227414330218064E-2</v>
      </c>
    </row>
    <row r="92" spans="1:28" ht="154.05000000000001" customHeight="1" x14ac:dyDescent="0.3">
      <c r="A92" s="55">
        <v>79</v>
      </c>
      <c r="B92" s="69" t="s">
        <v>225</v>
      </c>
      <c r="C92" s="68" t="s">
        <v>49</v>
      </c>
      <c r="D92" s="55" t="s">
        <v>78</v>
      </c>
      <c r="E92" s="95" t="s">
        <v>51</v>
      </c>
      <c r="F92" s="276" t="s">
        <v>226</v>
      </c>
      <c r="G92" s="185" t="s">
        <v>227</v>
      </c>
      <c r="H92" s="199">
        <v>6</v>
      </c>
      <c r="I92" s="199">
        <v>1</v>
      </c>
      <c r="J92" s="187">
        <v>900</v>
      </c>
      <c r="K92" s="187">
        <f t="shared" si="64"/>
        <v>5400</v>
      </c>
      <c r="L92" s="187">
        <f t="shared" si="65"/>
        <v>540</v>
      </c>
      <c r="M92" s="187">
        <f t="shared" si="66"/>
        <v>1441.6329066732949</v>
      </c>
      <c r="N92" s="72">
        <f t="shared" si="67"/>
        <v>7381.6329066732951</v>
      </c>
      <c r="O92" s="140"/>
      <c r="Q92" s="81">
        <f t="shared" si="68"/>
        <v>6</v>
      </c>
      <c r="R92" s="189">
        <f t="shared" si="69"/>
        <v>1</v>
      </c>
      <c r="S92" s="190">
        <v>650</v>
      </c>
      <c r="T92" s="190">
        <f t="shared" si="70"/>
        <v>3900</v>
      </c>
      <c r="U92" s="191">
        <f t="shared" si="71"/>
        <v>1500</v>
      </c>
      <c r="V92" s="192">
        <f t="shared" si="72"/>
        <v>0</v>
      </c>
      <c r="W92" s="193">
        <f t="shared" si="73"/>
        <v>0</v>
      </c>
      <c r="X92" s="193">
        <f t="shared" si="74"/>
        <v>3900</v>
      </c>
      <c r="Y92" s="74">
        <f t="shared" si="75"/>
        <v>5341.6329066732951</v>
      </c>
      <c r="Z92" s="73">
        <f t="shared" si="76"/>
        <v>0.27777777777777779</v>
      </c>
      <c r="AA92" s="158">
        <f>T92/$T$109</f>
        <v>0.24299065420560748</v>
      </c>
    </row>
    <row r="93" spans="1:28" ht="32.4" x14ac:dyDescent="0.3">
      <c r="A93" s="66">
        <v>80</v>
      </c>
      <c r="B93" s="69" t="s">
        <v>228</v>
      </c>
      <c r="C93" s="67" t="s">
        <v>49</v>
      </c>
      <c r="D93" s="311" t="s">
        <v>78</v>
      </c>
      <c r="E93" s="311" t="s">
        <v>51</v>
      </c>
      <c r="F93" s="279" t="s">
        <v>229</v>
      </c>
      <c r="G93" s="185" t="s">
        <v>230</v>
      </c>
      <c r="H93" s="278">
        <v>11</v>
      </c>
      <c r="I93" s="278">
        <v>1</v>
      </c>
      <c r="J93" s="187">
        <v>200</v>
      </c>
      <c r="K93" s="187">
        <f>IF(F93&lt;&gt;"",H93*I93*J93,"")</f>
        <v>2200</v>
      </c>
      <c r="L93" s="187">
        <f t="shared" si="65"/>
        <v>220</v>
      </c>
      <c r="M93" s="187">
        <f t="shared" si="66"/>
        <v>587.33192494097193</v>
      </c>
      <c r="N93" s="187">
        <f>SUM(K93:M93)</f>
        <v>3007.3319249409719</v>
      </c>
      <c r="O93" s="140"/>
      <c r="Q93" s="280">
        <f>IF(H93&lt;&gt;"",H93,"")</f>
        <v>11</v>
      </c>
      <c r="R93" s="280">
        <f>IF(I93&lt;&gt;"",I93,"")</f>
        <v>1</v>
      </c>
      <c r="S93" s="131">
        <v>150</v>
      </c>
      <c r="T93" s="131">
        <f>IF(Q93&lt;&gt;"",Q93*R93*S93,"")</f>
        <v>1650</v>
      </c>
      <c r="U93" s="132">
        <f>IF(Q93&lt;&gt;"",K93-T93,"")</f>
        <v>550</v>
      </c>
      <c r="V93" s="133">
        <f>IF(Q93&lt;&gt;"",0%,"")</f>
        <v>0</v>
      </c>
      <c r="W93" s="134">
        <f>IF(Q93&lt;&gt;"",V93*U93,"")</f>
        <v>0</v>
      </c>
      <c r="X93" s="134">
        <f>IF(Q93&lt;&gt;"",W93+T93,"")</f>
        <v>1650</v>
      </c>
      <c r="Y93" s="193">
        <f>IF(Q93&lt;&gt;"",X93+M93,"")</f>
        <v>2237.3319249409719</v>
      </c>
      <c r="Z93" s="258">
        <f>IF(Q93&lt;&gt;"",U93/K93,"")</f>
        <v>0.25</v>
      </c>
      <c r="AA93" s="158"/>
    </row>
    <row r="94" spans="1:28" ht="62.55" customHeight="1" x14ac:dyDescent="0.3">
      <c r="A94" s="66">
        <v>81</v>
      </c>
      <c r="B94" s="69" t="s">
        <v>231</v>
      </c>
      <c r="C94" s="67" t="s">
        <v>49</v>
      </c>
      <c r="D94" s="55" t="s">
        <v>78</v>
      </c>
      <c r="E94" s="95" t="s">
        <v>51</v>
      </c>
      <c r="F94" s="274" t="s">
        <v>232</v>
      </c>
      <c r="G94" s="185" t="s">
        <v>233</v>
      </c>
      <c r="H94" s="199">
        <v>2</v>
      </c>
      <c r="I94" s="199">
        <v>1</v>
      </c>
      <c r="J94" s="187">
        <v>800</v>
      </c>
      <c r="K94" s="187">
        <f t="shared" si="64"/>
        <v>1600</v>
      </c>
      <c r="L94" s="187">
        <f t="shared" si="65"/>
        <v>160</v>
      </c>
      <c r="M94" s="187">
        <f t="shared" si="66"/>
        <v>427.15049086616142</v>
      </c>
      <c r="N94" s="72">
        <f t="shared" si="67"/>
        <v>2187.1504908661614</v>
      </c>
      <c r="O94" s="140"/>
      <c r="Q94" s="81">
        <f t="shared" si="68"/>
        <v>2</v>
      </c>
      <c r="R94" s="189">
        <f t="shared" si="69"/>
        <v>1</v>
      </c>
      <c r="S94" s="190">
        <v>500</v>
      </c>
      <c r="T94" s="190">
        <f t="shared" si="70"/>
        <v>1000</v>
      </c>
      <c r="U94" s="191">
        <f t="shared" si="71"/>
        <v>600</v>
      </c>
      <c r="V94" s="192">
        <f t="shared" si="72"/>
        <v>0</v>
      </c>
      <c r="W94" s="193">
        <f t="shared" si="73"/>
        <v>0</v>
      </c>
      <c r="X94" s="193">
        <f t="shared" si="74"/>
        <v>1000</v>
      </c>
      <c r="Y94" s="74">
        <f t="shared" si="75"/>
        <v>1427.1504908661614</v>
      </c>
      <c r="Z94" s="73">
        <f t="shared" si="76"/>
        <v>0.375</v>
      </c>
      <c r="AA94" s="158"/>
    </row>
    <row r="95" spans="1:28" ht="98.1" customHeight="1" x14ac:dyDescent="0.3">
      <c r="A95" s="95">
        <v>82</v>
      </c>
      <c r="B95" s="69" t="s">
        <v>234</v>
      </c>
      <c r="C95" s="96" t="s">
        <v>49</v>
      </c>
      <c r="D95" s="95" t="s">
        <v>78</v>
      </c>
      <c r="E95" s="95" t="s">
        <v>51</v>
      </c>
      <c r="F95" s="273" t="s">
        <v>235</v>
      </c>
      <c r="G95" s="185" t="s">
        <v>236</v>
      </c>
      <c r="H95" s="199">
        <v>1</v>
      </c>
      <c r="I95" s="199">
        <v>0</v>
      </c>
      <c r="J95" s="187">
        <v>0</v>
      </c>
      <c r="K95" s="187">
        <f t="shared" si="64"/>
        <v>0</v>
      </c>
      <c r="L95" s="187">
        <f t="shared" si="65"/>
        <v>0</v>
      </c>
      <c r="M95" s="187">
        <f t="shared" si="66"/>
        <v>0</v>
      </c>
      <c r="N95" s="72">
        <f t="shared" si="67"/>
        <v>0</v>
      </c>
      <c r="O95" s="140"/>
      <c r="Q95" s="81">
        <v>1</v>
      </c>
      <c r="R95" s="189">
        <f>IF(I95&lt;&gt;"",I95,"")</f>
        <v>0</v>
      </c>
      <c r="S95" s="190">
        <v>0</v>
      </c>
      <c r="T95" s="190">
        <f t="shared" si="70"/>
        <v>0</v>
      </c>
      <c r="U95" s="191">
        <f t="shared" si="71"/>
        <v>0</v>
      </c>
      <c r="V95" s="192">
        <f t="shared" si="72"/>
        <v>0</v>
      </c>
      <c r="W95" s="193">
        <f t="shared" si="73"/>
        <v>0</v>
      </c>
      <c r="X95" s="193">
        <f t="shared" si="74"/>
        <v>0</v>
      </c>
      <c r="Y95" s="74">
        <f t="shared" si="75"/>
        <v>0</v>
      </c>
      <c r="Z95" s="73" t="e">
        <f t="shared" si="76"/>
        <v>#DIV/0!</v>
      </c>
      <c r="AA95" s="158">
        <f t="shared" ref="AA95:AA101" si="77">T95/$T$109</f>
        <v>0</v>
      </c>
    </row>
    <row r="96" spans="1:28" ht="62.55" customHeight="1" x14ac:dyDescent="0.3">
      <c r="A96" s="55">
        <v>83</v>
      </c>
      <c r="B96" s="69" t="s">
        <v>237</v>
      </c>
      <c r="C96" s="68" t="s">
        <v>49</v>
      </c>
      <c r="D96" s="55" t="s">
        <v>78</v>
      </c>
      <c r="E96" s="95" t="s">
        <v>51</v>
      </c>
      <c r="F96" s="276" t="s">
        <v>238</v>
      </c>
      <c r="G96" s="185" t="s">
        <v>239</v>
      </c>
      <c r="H96" s="199">
        <v>1</v>
      </c>
      <c r="I96" s="199">
        <v>1</v>
      </c>
      <c r="J96" s="187">
        <v>0</v>
      </c>
      <c r="K96" s="187">
        <f t="shared" si="64"/>
        <v>0</v>
      </c>
      <c r="L96" s="187">
        <f t="shared" si="65"/>
        <v>0</v>
      </c>
      <c r="M96" s="187">
        <f t="shared" si="66"/>
        <v>0</v>
      </c>
      <c r="N96" s="72">
        <f t="shared" si="67"/>
        <v>0</v>
      </c>
      <c r="O96" s="140"/>
      <c r="Q96" s="81">
        <f>IF(H96&lt;&gt;"",H96,"")</f>
        <v>1</v>
      </c>
      <c r="R96" s="189">
        <f>IF(I96&lt;&gt;"",I96,"")</f>
        <v>1</v>
      </c>
      <c r="S96" s="190">
        <v>0</v>
      </c>
      <c r="T96" s="190">
        <f t="shared" si="70"/>
        <v>0</v>
      </c>
      <c r="U96" s="191">
        <f t="shared" si="71"/>
        <v>0</v>
      </c>
      <c r="V96" s="192">
        <f t="shared" si="72"/>
        <v>0</v>
      </c>
      <c r="W96" s="193">
        <f t="shared" si="73"/>
        <v>0</v>
      </c>
      <c r="X96" s="193">
        <f t="shared" si="74"/>
        <v>0</v>
      </c>
      <c r="Y96" s="74">
        <f t="shared" si="75"/>
        <v>0</v>
      </c>
      <c r="Z96" s="73" t="e">
        <f t="shared" si="76"/>
        <v>#DIV/0!</v>
      </c>
      <c r="AA96" s="158">
        <f t="shared" si="77"/>
        <v>0</v>
      </c>
    </row>
    <row r="97" spans="1:27" ht="57" customHeight="1" x14ac:dyDescent="0.3">
      <c r="A97" s="55">
        <v>84</v>
      </c>
      <c r="B97" s="69" t="s">
        <v>240</v>
      </c>
      <c r="C97" s="68" t="s">
        <v>49</v>
      </c>
      <c r="D97" s="55" t="s">
        <v>78</v>
      </c>
      <c r="E97" s="95" t="s">
        <v>51</v>
      </c>
      <c r="F97" s="276" t="s">
        <v>241</v>
      </c>
      <c r="G97" s="185" t="s">
        <v>242</v>
      </c>
      <c r="H97" s="199">
        <v>4</v>
      </c>
      <c r="I97" s="199">
        <v>2</v>
      </c>
      <c r="J97" s="187">
        <v>450</v>
      </c>
      <c r="K97" s="187">
        <f t="shared" si="64"/>
        <v>3600</v>
      </c>
      <c r="L97" s="187">
        <f t="shared" si="65"/>
        <v>360</v>
      </c>
      <c r="M97" s="187">
        <f t="shared" si="66"/>
        <v>961.08860444886329</v>
      </c>
      <c r="N97" s="72">
        <f t="shared" si="67"/>
        <v>4921.0886044488634</v>
      </c>
      <c r="O97" s="140"/>
      <c r="Q97" s="81">
        <f>IF(H97&lt;&gt;"",H97,"")</f>
        <v>4</v>
      </c>
      <c r="R97" s="189">
        <f>IF(I97&lt;&gt;"",I97,"")</f>
        <v>2</v>
      </c>
      <c r="S97" s="190">
        <v>350</v>
      </c>
      <c r="T97" s="190">
        <f t="shared" si="70"/>
        <v>2800</v>
      </c>
      <c r="U97" s="191">
        <f t="shared" si="71"/>
        <v>800</v>
      </c>
      <c r="V97" s="192">
        <f t="shared" si="72"/>
        <v>0</v>
      </c>
      <c r="W97" s="193">
        <f t="shared" si="73"/>
        <v>0</v>
      </c>
      <c r="X97" s="193">
        <f t="shared" si="74"/>
        <v>2800</v>
      </c>
      <c r="Y97" s="74">
        <f t="shared" si="75"/>
        <v>3761.0886044488634</v>
      </c>
      <c r="Z97" s="73">
        <f t="shared" si="76"/>
        <v>0.22222222222222221</v>
      </c>
      <c r="AA97" s="158">
        <f t="shared" si="77"/>
        <v>0.17445482866043613</v>
      </c>
    </row>
    <row r="98" spans="1:27" ht="82.05" customHeight="1" x14ac:dyDescent="0.3">
      <c r="A98" s="55">
        <v>85</v>
      </c>
      <c r="B98" s="69" t="s">
        <v>243</v>
      </c>
      <c r="C98" s="68" t="s">
        <v>49</v>
      </c>
      <c r="D98" s="55" t="s">
        <v>78</v>
      </c>
      <c r="E98" s="95" t="s">
        <v>51</v>
      </c>
      <c r="F98" s="275" t="s">
        <v>244</v>
      </c>
      <c r="G98" s="185" t="s">
        <v>245</v>
      </c>
      <c r="H98" s="199">
        <v>1</v>
      </c>
      <c r="I98" s="199">
        <v>1</v>
      </c>
      <c r="J98" s="187">
        <v>0</v>
      </c>
      <c r="K98" s="187">
        <f t="shared" si="64"/>
        <v>0</v>
      </c>
      <c r="L98" s="187">
        <f t="shared" si="65"/>
        <v>0</v>
      </c>
      <c r="M98" s="187">
        <f t="shared" si="66"/>
        <v>0</v>
      </c>
      <c r="N98" s="72">
        <f t="shared" si="67"/>
        <v>0</v>
      </c>
      <c r="O98" s="140"/>
      <c r="Q98" s="81">
        <v>1</v>
      </c>
      <c r="R98" s="189">
        <v>1</v>
      </c>
      <c r="S98" s="190">
        <v>0</v>
      </c>
      <c r="T98" s="190">
        <f t="shared" si="70"/>
        <v>0</v>
      </c>
      <c r="U98" s="191">
        <f t="shared" si="71"/>
        <v>0</v>
      </c>
      <c r="V98" s="192">
        <f t="shared" si="72"/>
        <v>0</v>
      </c>
      <c r="W98" s="193">
        <f t="shared" si="73"/>
        <v>0</v>
      </c>
      <c r="X98" s="193">
        <f t="shared" si="74"/>
        <v>0</v>
      </c>
      <c r="Y98" s="74">
        <f t="shared" si="75"/>
        <v>0</v>
      </c>
      <c r="Z98" s="73" t="e">
        <f t="shared" si="76"/>
        <v>#DIV/0!</v>
      </c>
      <c r="AA98" s="158">
        <f t="shared" si="77"/>
        <v>0</v>
      </c>
    </row>
    <row r="99" spans="1:27" ht="45.6" customHeight="1" x14ac:dyDescent="0.3">
      <c r="A99" s="95">
        <v>86</v>
      </c>
      <c r="B99" s="69" t="s">
        <v>246</v>
      </c>
      <c r="C99" s="96" t="s">
        <v>49</v>
      </c>
      <c r="D99" s="95" t="s">
        <v>78</v>
      </c>
      <c r="E99" s="95" t="s">
        <v>51</v>
      </c>
      <c r="F99" s="273" t="s">
        <v>247</v>
      </c>
      <c r="G99" s="185" t="s">
        <v>248</v>
      </c>
      <c r="H99" s="199">
        <v>1</v>
      </c>
      <c r="I99" s="199">
        <v>0</v>
      </c>
      <c r="J99" s="187">
        <v>1800</v>
      </c>
      <c r="K99" s="187">
        <f t="shared" si="64"/>
        <v>0</v>
      </c>
      <c r="L99" s="187">
        <f t="shared" si="65"/>
        <v>0</v>
      </c>
      <c r="M99" s="187">
        <f t="shared" si="66"/>
        <v>0</v>
      </c>
      <c r="N99" s="72">
        <f t="shared" si="67"/>
        <v>0</v>
      </c>
      <c r="O99" s="140"/>
      <c r="Q99" s="81">
        <f>IF(H99&lt;&gt;"",H99,"")</f>
        <v>1</v>
      </c>
      <c r="R99" s="189">
        <f>IF(I99&lt;&gt;"",I99,"")</f>
        <v>0</v>
      </c>
      <c r="S99" s="190">
        <v>1250</v>
      </c>
      <c r="T99" s="190">
        <f t="shared" si="70"/>
        <v>0</v>
      </c>
      <c r="U99" s="191">
        <f t="shared" si="71"/>
        <v>0</v>
      </c>
      <c r="V99" s="192">
        <f t="shared" si="72"/>
        <v>0</v>
      </c>
      <c r="W99" s="193">
        <f t="shared" si="73"/>
        <v>0</v>
      </c>
      <c r="X99" s="193">
        <f t="shared" si="74"/>
        <v>0</v>
      </c>
      <c r="Y99" s="74">
        <f t="shared" si="75"/>
        <v>0</v>
      </c>
      <c r="Z99" s="73" t="e">
        <f t="shared" si="76"/>
        <v>#DIV/0!</v>
      </c>
      <c r="AA99" s="158">
        <f t="shared" si="77"/>
        <v>0</v>
      </c>
    </row>
    <row r="100" spans="1:27" ht="63" customHeight="1" x14ac:dyDescent="0.3">
      <c r="A100" s="55">
        <v>87</v>
      </c>
      <c r="B100" s="69" t="s">
        <v>249</v>
      </c>
      <c r="C100" s="68" t="s">
        <v>49</v>
      </c>
      <c r="D100" s="55" t="s">
        <v>78</v>
      </c>
      <c r="E100" s="95" t="s">
        <v>51</v>
      </c>
      <c r="F100" s="122" t="s">
        <v>250</v>
      </c>
      <c r="G100" s="185" t="s">
        <v>251</v>
      </c>
      <c r="H100" s="199">
        <v>1</v>
      </c>
      <c r="I100" s="199">
        <v>1</v>
      </c>
      <c r="J100" s="187">
        <v>2800</v>
      </c>
      <c r="K100" s="187">
        <f t="shared" si="64"/>
        <v>2800</v>
      </c>
      <c r="L100" s="187">
        <f t="shared" si="65"/>
        <v>280</v>
      </c>
      <c r="M100" s="187">
        <f t="shared" si="66"/>
        <v>747.5133590157825</v>
      </c>
      <c r="N100" s="72">
        <f t="shared" si="67"/>
        <v>3827.5133590157825</v>
      </c>
      <c r="O100" s="140"/>
      <c r="Q100" s="81">
        <f>IF(H100&lt;&gt;"",H100,"")</f>
        <v>1</v>
      </c>
      <c r="R100" s="189">
        <v>1</v>
      </c>
      <c r="S100" s="190">
        <v>0</v>
      </c>
      <c r="T100" s="190">
        <f t="shared" si="70"/>
        <v>0</v>
      </c>
      <c r="U100" s="191">
        <f t="shared" si="71"/>
        <v>2800</v>
      </c>
      <c r="V100" s="192">
        <f t="shared" si="72"/>
        <v>0</v>
      </c>
      <c r="W100" s="193">
        <f t="shared" si="73"/>
        <v>0</v>
      </c>
      <c r="X100" s="193">
        <f t="shared" si="74"/>
        <v>0</v>
      </c>
      <c r="Y100" s="74">
        <f t="shared" si="75"/>
        <v>747.5133590157825</v>
      </c>
      <c r="Z100" s="73">
        <f t="shared" si="76"/>
        <v>1</v>
      </c>
      <c r="AA100" s="158">
        <f t="shared" si="77"/>
        <v>0</v>
      </c>
    </row>
    <row r="101" spans="1:27" ht="49.2" thickBot="1" x14ac:dyDescent="0.35">
      <c r="A101" s="55">
        <v>88</v>
      </c>
      <c r="B101" s="69" t="s">
        <v>252</v>
      </c>
      <c r="C101" s="68" t="s">
        <v>49</v>
      </c>
      <c r="D101" s="55" t="s">
        <v>78</v>
      </c>
      <c r="E101" s="95" t="s">
        <v>51</v>
      </c>
      <c r="F101" s="276" t="s">
        <v>253</v>
      </c>
      <c r="G101" s="185" t="s">
        <v>254</v>
      </c>
      <c r="H101" s="186">
        <v>5</v>
      </c>
      <c r="I101" s="199">
        <v>2</v>
      </c>
      <c r="J101" s="187">
        <v>48</v>
      </c>
      <c r="K101" s="187">
        <f t="shared" si="64"/>
        <v>480</v>
      </c>
      <c r="L101" s="187">
        <f t="shared" si="65"/>
        <v>48</v>
      </c>
      <c r="M101" s="187">
        <f t="shared" si="66"/>
        <v>128.14514725984844</v>
      </c>
      <c r="N101" s="72">
        <f t="shared" si="67"/>
        <v>656.1451472598485</v>
      </c>
      <c r="O101" s="140"/>
      <c r="Q101" s="81">
        <f>IF(H101&lt;&gt;"",H101,"")</f>
        <v>5</v>
      </c>
      <c r="R101" s="189">
        <f>IF(I101&lt;&gt;"",I101,"")</f>
        <v>2</v>
      </c>
      <c r="S101" s="190">
        <v>30</v>
      </c>
      <c r="T101" s="190">
        <f t="shared" si="70"/>
        <v>300</v>
      </c>
      <c r="U101" s="191">
        <f t="shared" si="71"/>
        <v>180</v>
      </c>
      <c r="V101" s="192">
        <f t="shared" si="72"/>
        <v>0</v>
      </c>
      <c r="W101" s="193">
        <f t="shared" si="73"/>
        <v>0</v>
      </c>
      <c r="X101" s="193">
        <f t="shared" si="74"/>
        <v>300</v>
      </c>
      <c r="Y101" s="74">
        <f t="shared" si="75"/>
        <v>428.14514725984844</v>
      </c>
      <c r="Z101" s="114">
        <f t="shared" si="76"/>
        <v>0.375</v>
      </c>
      <c r="AA101" s="212">
        <f t="shared" si="77"/>
        <v>1.8691588785046728E-2</v>
      </c>
    </row>
    <row r="102" spans="1:27" ht="55.5" customHeight="1" x14ac:dyDescent="0.3">
      <c r="A102" s="55">
        <v>89</v>
      </c>
      <c r="B102" s="69" t="s">
        <v>255</v>
      </c>
      <c r="C102" s="68" t="s">
        <v>49</v>
      </c>
      <c r="D102" s="55" t="s">
        <v>78</v>
      </c>
      <c r="E102" s="95" t="s">
        <v>51</v>
      </c>
      <c r="F102" s="275" t="s">
        <v>256</v>
      </c>
      <c r="G102" s="185" t="s">
        <v>257</v>
      </c>
      <c r="H102" s="199">
        <v>1</v>
      </c>
      <c r="I102" s="199">
        <v>0</v>
      </c>
      <c r="J102" s="187">
        <v>12000</v>
      </c>
      <c r="K102" s="187">
        <f t="shared" ref="K102:K107" si="78">IF(F102&lt;&gt;"",H102*I102*J102,"")</f>
        <v>0</v>
      </c>
      <c r="L102" s="187">
        <f t="shared" ref="L102:L107" si="79">IF(K102&lt;&gt;"",IF(D102="INTERNO",0,K102*$L$14),"")</f>
        <v>0</v>
      </c>
      <c r="M102" s="187">
        <f t="shared" ref="M102:M107" si="80">IF(K102&lt;&gt;"",IF(E102="FAT.OGGI",SUM(K102:L102)*(1/(1-$M$14)-1),L102*(1/(1-$M$14)-1)),"")</f>
        <v>0</v>
      </c>
      <c r="N102" s="72">
        <f t="shared" ref="N102:N107" si="81">SUM(K102:M102)</f>
        <v>0</v>
      </c>
      <c r="O102" s="140"/>
      <c r="Q102" s="81">
        <f t="shared" ref="Q102:R105" si="82">IF(H102&lt;&gt;"",H102,"")</f>
        <v>1</v>
      </c>
      <c r="R102" s="189">
        <f t="shared" si="82"/>
        <v>0</v>
      </c>
      <c r="S102" s="190">
        <v>10000</v>
      </c>
      <c r="T102" s="190">
        <f t="shared" ref="T102:T107" si="83">IF(Q102&lt;&gt;"",Q102*R102*S102,"")</f>
        <v>0</v>
      </c>
      <c r="U102" s="191">
        <f t="shared" ref="U102:U107" si="84">IF(Q102&lt;&gt;"",K102-T102,"")</f>
        <v>0</v>
      </c>
      <c r="V102" s="192">
        <f t="shared" ref="V102:V107" si="85">IF(Q102&lt;&gt;"",0%,"")</f>
        <v>0</v>
      </c>
      <c r="W102" s="193">
        <f t="shared" ref="W102:W107" si="86">IF(Q102&lt;&gt;"",V102*U102,"")</f>
        <v>0</v>
      </c>
      <c r="X102" s="193">
        <f t="shared" ref="X102:X107" si="87">IF(Q102&lt;&gt;"",W102+T102,"")</f>
        <v>0</v>
      </c>
      <c r="Y102" s="74">
        <f t="shared" ref="Y102:Y107" si="88">IF(Q102&lt;&gt;"",X102+M102,"")</f>
        <v>0</v>
      </c>
      <c r="Z102" s="73" t="e">
        <f t="shared" ref="Z102:Z107" si="89">IF(Q102&lt;&gt;"",U102/K102,"")</f>
        <v>#DIV/0!</v>
      </c>
      <c r="AA102" s="245"/>
    </row>
    <row r="103" spans="1:27" ht="64.8" x14ac:dyDescent="0.3">
      <c r="A103" s="55">
        <v>90</v>
      </c>
      <c r="B103" s="69" t="s">
        <v>258</v>
      </c>
      <c r="C103" s="68" t="s">
        <v>49</v>
      </c>
      <c r="D103" s="55" t="s">
        <v>78</v>
      </c>
      <c r="E103" s="95" t="s">
        <v>51</v>
      </c>
      <c r="F103" s="275" t="s">
        <v>259</v>
      </c>
      <c r="G103" s="185" t="s">
        <v>260</v>
      </c>
      <c r="H103" s="199">
        <v>1</v>
      </c>
      <c r="I103" s="199">
        <v>0</v>
      </c>
      <c r="J103" s="187">
        <v>9000</v>
      </c>
      <c r="K103" s="187">
        <f t="shared" si="78"/>
        <v>0</v>
      </c>
      <c r="L103" s="187">
        <f t="shared" si="79"/>
        <v>0</v>
      </c>
      <c r="M103" s="187">
        <f t="shared" si="80"/>
        <v>0</v>
      </c>
      <c r="N103" s="72">
        <f t="shared" si="81"/>
        <v>0</v>
      </c>
      <c r="O103" s="140"/>
      <c r="Q103" s="81">
        <f t="shared" si="82"/>
        <v>1</v>
      </c>
      <c r="R103" s="189">
        <f t="shared" si="82"/>
        <v>0</v>
      </c>
      <c r="S103" s="190">
        <v>8000</v>
      </c>
      <c r="T103" s="190">
        <f t="shared" si="83"/>
        <v>0</v>
      </c>
      <c r="U103" s="191">
        <f t="shared" si="84"/>
        <v>0</v>
      </c>
      <c r="V103" s="192">
        <f t="shared" si="85"/>
        <v>0</v>
      </c>
      <c r="W103" s="193">
        <f t="shared" si="86"/>
        <v>0</v>
      </c>
      <c r="X103" s="193">
        <f t="shared" si="87"/>
        <v>0</v>
      </c>
      <c r="Y103" s="74">
        <f t="shared" si="88"/>
        <v>0</v>
      </c>
      <c r="Z103" s="73" t="e">
        <f t="shared" si="89"/>
        <v>#DIV/0!</v>
      </c>
      <c r="AA103" s="245"/>
    </row>
    <row r="104" spans="1:27" ht="83.1" customHeight="1" x14ac:dyDescent="0.3">
      <c r="A104" s="55">
        <v>91</v>
      </c>
      <c r="B104" s="69" t="s">
        <v>261</v>
      </c>
      <c r="C104" s="68" t="s">
        <v>49</v>
      </c>
      <c r="D104" s="55" t="s">
        <v>78</v>
      </c>
      <c r="E104" s="95" t="s">
        <v>51</v>
      </c>
      <c r="F104" s="273" t="s">
        <v>262</v>
      </c>
      <c r="G104" s="185" t="s">
        <v>263</v>
      </c>
      <c r="H104" s="199">
        <v>1</v>
      </c>
      <c r="I104" s="199">
        <v>0</v>
      </c>
      <c r="J104" s="187">
        <v>6000</v>
      </c>
      <c r="K104" s="187">
        <f t="shared" si="78"/>
        <v>0</v>
      </c>
      <c r="L104" s="187">
        <f t="shared" si="79"/>
        <v>0</v>
      </c>
      <c r="M104" s="187">
        <f t="shared" si="80"/>
        <v>0</v>
      </c>
      <c r="N104" s="72">
        <f t="shared" si="81"/>
        <v>0</v>
      </c>
      <c r="O104" s="140"/>
      <c r="Q104" s="81">
        <f t="shared" si="82"/>
        <v>1</v>
      </c>
      <c r="R104" s="189">
        <f t="shared" si="82"/>
        <v>0</v>
      </c>
      <c r="S104" s="190">
        <v>4000</v>
      </c>
      <c r="T104" s="190">
        <f t="shared" si="83"/>
        <v>0</v>
      </c>
      <c r="U104" s="191">
        <f t="shared" si="84"/>
        <v>0</v>
      </c>
      <c r="V104" s="192">
        <f t="shared" si="85"/>
        <v>0</v>
      </c>
      <c r="W104" s="193">
        <f t="shared" si="86"/>
        <v>0</v>
      </c>
      <c r="X104" s="193">
        <f t="shared" si="87"/>
        <v>0</v>
      </c>
      <c r="Y104" s="74">
        <f t="shared" si="88"/>
        <v>0</v>
      </c>
      <c r="Z104" s="73" t="e">
        <f t="shared" si="89"/>
        <v>#DIV/0!</v>
      </c>
      <c r="AA104" s="245"/>
    </row>
    <row r="105" spans="1:27" ht="87.6" customHeight="1" x14ac:dyDescent="0.3">
      <c r="A105" s="55">
        <v>92</v>
      </c>
      <c r="B105" s="69" t="s">
        <v>264</v>
      </c>
      <c r="C105" s="68" t="s">
        <v>49</v>
      </c>
      <c r="D105" s="55" t="s">
        <v>78</v>
      </c>
      <c r="E105" s="95" t="s">
        <v>51</v>
      </c>
      <c r="F105" s="273" t="s">
        <v>265</v>
      </c>
      <c r="G105" s="185" t="s">
        <v>266</v>
      </c>
      <c r="H105" s="199">
        <v>1</v>
      </c>
      <c r="I105" s="199">
        <v>0</v>
      </c>
      <c r="J105" s="187">
        <v>5500</v>
      </c>
      <c r="K105" s="187">
        <f t="shared" si="78"/>
        <v>0</v>
      </c>
      <c r="L105" s="187">
        <f t="shared" si="79"/>
        <v>0</v>
      </c>
      <c r="M105" s="187">
        <f t="shared" si="80"/>
        <v>0</v>
      </c>
      <c r="N105" s="72">
        <f t="shared" si="81"/>
        <v>0</v>
      </c>
      <c r="O105" s="140"/>
      <c r="Q105" s="81">
        <f t="shared" si="82"/>
        <v>1</v>
      </c>
      <c r="R105" s="189">
        <f t="shared" si="82"/>
        <v>0</v>
      </c>
      <c r="S105" s="190">
        <v>4000</v>
      </c>
      <c r="T105" s="190">
        <f t="shared" si="83"/>
        <v>0</v>
      </c>
      <c r="U105" s="191">
        <f t="shared" si="84"/>
        <v>0</v>
      </c>
      <c r="V105" s="192">
        <f t="shared" si="85"/>
        <v>0</v>
      </c>
      <c r="W105" s="193">
        <f t="shared" si="86"/>
        <v>0</v>
      </c>
      <c r="X105" s="193">
        <f t="shared" si="87"/>
        <v>0</v>
      </c>
      <c r="Y105" s="74">
        <f t="shared" si="88"/>
        <v>0</v>
      </c>
      <c r="Z105" s="73" t="e">
        <f t="shared" si="89"/>
        <v>#DIV/0!</v>
      </c>
      <c r="AA105" s="245"/>
    </row>
    <row r="106" spans="1:27" ht="47.1" customHeight="1" x14ac:dyDescent="0.3">
      <c r="A106" s="55">
        <v>93</v>
      </c>
      <c r="B106" s="69" t="s">
        <v>267</v>
      </c>
      <c r="C106" s="68" t="s">
        <v>49</v>
      </c>
      <c r="D106" s="55" t="s">
        <v>78</v>
      </c>
      <c r="E106" s="95" t="s">
        <v>51</v>
      </c>
      <c r="F106" s="273" t="s">
        <v>268</v>
      </c>
      <c r="G106" s="185" t="s">
        <v>269</v>
      </c>
      <c r="H106" s="199">
        <v>1</v>
      </c>
      <c r="I106" s="199">
        <v>0</v>
      </c>
      <c r="J106" s="187">
        <v>3000</v>
      </c>
      <c r="K106" s="187">
        <f t="shared" si="78"/>
        <v>0</v>
      </c>
      <c r="L106" s="187">
        <f t="shared" si="79"/>
        <v>0</v>
      </c>
      <c r="M106" s="187">
        <f t="shared" si="80"/>
        <v>0</v>
      </c>
      <c r="N106" s="72">
        <f t="shared" si="81"/>
        <v>0</v>
      </c>
      <c r="O106" s="140"/>
      <c r="Q106" s="81">
        <f t="shared" ref="Q106:R107" si="90">IF(H106&lt;&gt;"",H106,"")</f>
        <v>1</v>
      </c>
      <c r="R106" s="189">
        <f t="shared" si="90"/>
        <v>0</v>
      </c>
      <c r="S106" s="190">
        <v>1500</v>
      </c>
      <c r="T106" s="190">
        <f t="shared" si="83"/>
        <v>0</v>
      </c>
      <c r="U106" s="191">
        <f t="shared" si="84"/>
        <v>0</v>
      </c>
      <c r="V106" s="192">
        <f t="shared" si="85"/>
        <v>0</v>
      </c>
      <c r="W106" s="193">
        <f t="shared" si="86"/>
        <v>0</v>
      </c>
      <c r="X106" s="193">
        <f t="shared" si="87"/>
        <v>0</v>
      </c>
      <c r="Y106" s="74">
        <f t="shared" si="88"/>
        <v>0</v>
      </c>
      <c r="Z106" s="73" t="e">
        <f t="shared" si="89"/>
        <v>#DIV/0!</v>
      </c>
      <c r="AA106" s="245"/>
    </row>
    <row r="107" spans="1:27" ht="47.1" customHeight="1" x14ac:dyDescent="0.3">
      <c r="A107" s="55">
        <v>94</v>
      </c>
      <c r="B107" s="69" t="s">
        <v>270</v>
      </c>
      <c r="C107" s="68" t="s">
        <v>49</v>
      </c>
      <c r="D107" s="55" t="s">
        <v>78</v>
      </c>
      <c r="E107" s="95" t="s">
        <v>51</v>
      </c>
      <c r="F107" s="282" t="s">
        <v>271</v>
      </c>
      <c r="G107" s="120" t="s">
        <v>272</v>
      </c>
      <c r="H107" s="123">
        <v>1</v>
      </c>
      <c r="I107" s="123">
        <v>1</v>
      </c>
      <c r="J107" s="118">
        <v>2500</v>
      </c>
      <c r="K107" s="118">
        <f t="shared" si="78"/>
        <v>2500</v>
      </c>
      <c r="L107" s="118">
        <f t="shared" si="79"/>
        <v>250</v>
      </c>
      <c r="M107" s="118">
        <f t="shared" si="80"/>
        <v>667.42264197837721</v>
      </c>
      <c r="N107" s="289">
        <f t="shared" si="81"/>
        <v>3417.4226419783772</v>
      </c>
      <c r="O107" s="140"/>
      <c r="Q107" s="157">
        <f t="shared" si="90"/>
        <v>1</v>
      </c>
      <c r="R107" s="97">
        <f t="shared" si="90"/>
        <v>1</v>
      </c>
      <c r="S107" s="98">
        <v>2500</v>
      </c>
      <c r="T107" s="98">
        <f t="shared" si="83"/>
        <v>2500</v>
      </c>
      <c r="U107" s="99">
        <f t="shared" si="84"/>
        <v>0</v>
      </c>
      <c r="V107" s="100">
        <f t="shared" si="85"/>
        <v>0</v>
      </c>
      <c r="W107" s="101">
        <f t="shared" si="86"/>
        <v>0</v>
      </c>
      <c r="X107" s="101">
        <f t="shared" si="87"/>
        <v>2500</v>
      </c>
      <c r="Y107" s="102">
        <f t="shared" si="88"/>
        <v>3167.4226419783772</v>
      </c>
      <c r="Z107" s="73">
        <f t="shared" si="89"/>
        <v>0</v>
      </c>
      <c r="AA107" s="245"/>
    </row>
    <row r="108" spans="1:27" ht="47.1" customHeight="1" thickBot="1" x14ac:dyDescent="0.35">
      <c r="A108" s="66">
        <v>95</v>
      </c>
      <c r="B108" s="69" t="s">
        <v>273</v>
      </c>
      <c r="C108" s="67" t="s">
        <v>49</v>
      </c>
      <c r="D108" s="55" t="s">
        <v>78</v>
      </c>
      <c r="E108" s="95" t="s">
        <v>51</v>
      </c>
      <c r="F108" s="279" t="s">
        <v>274</v>
      </c>
      <c r="G108" s="185" t="s">
        <v>275</v>
      </c>
      <c r="H108" s="199">
        <v>1</v>
      </c>
      <c r="I108" s="199">
        <v>1</v>
      </c>
      <c r="J108" s="187">
        <v>5000</v>
      </c>
      <c r="K108" s="187">
        <f>IF(F108&lt;&gt;"",H108*I108*J108,"")</f>
        <v>5000</v>
      </c>
      <c r="L108" s="187">
        <f>IF(K108&lt;&gt;"",IF(D108="INTERNO",0,K108*$L$14),"")</f>
        <v>500</v>
      </c>
      <c r="M108" s="187">
        <f>IF(K108&lt;&gt;"",IF(E108="FAT.OGGI",SUM(K108:L108)*(1/(1-$M$14)-1),L108*(1/(1-$M$14)-1)),"")</f>
        <v>1334.8452839567544</v>
      </c>
      <c r="N108" s="187">
        <f>SUM(K108:M108)</f>
        <v>6834.8452839567544</v>
      </c>
      <c r="O108" s="140"/>
      <c r="Q108" s="280">
        <f>IF(H108&lt;&gt;"",H108,"")</f>
        <v>1</v>
      </c>
      <c r="R108" s="280">
        <f>IF(I108&lt;&gt;"",I108,"")</f>
        <v>1</v>
      </c>
      <c r="S108" s="131">
        <v>2500</v>
      </c>
      <c r="T108" s="131">
        <f>IF(Q108&lt;&gt;"",Q108*R108*S108,"")</f>
        <v>2500</v>
      </c>
      <c r="U108" s="132">
        <f>IF(Q108&lt;&gt;"",K108-T108,"")</f>
        <v>2500</v>
      </c>
      <c r="V108" s="133">
        <f>IF(Q108&lt;&gt;"",0%,"")</f>
        <v>0</v>
      </c>
      <c r="W108" s="134">
        <f>IF(Q108&lt;&gt;"",V108*U108,"")</f>
        <v>0</v>
      </c>
      <c r="X108" s="134">
        <f>IF(Q108&lt;&gt;"",W108+T108,"")</f>
        <v>2500</v>
      </c>
      <c r="Y108" s="193">
        <f>IF(Q108&lt;&gt;"",X108+M108,"")</f>
        <v>3834.8452839567544</v>
      </c>
      <c r="Z108" s="312">
        <f>IF(Q108&lt;&gt;"",U108/K108,"")</f>
        <v>0.5</v>
      </c>
      <c r="AA108" s="245"/>
    </row>
    <row r="109" spans="1:27" ht="29.55" customHeight="1" thickBot="1" x14ac:dyDescent="0.4">
      <c r="A109" s="95">
        <v>96</v>
      </c>
      <c r="B109" s="69"/>
      <c r="C109" s="96" t="s">
        <v>72</v>
      </c>
      <c r="D109" s="95"/>
      <c r="E109" s="95"/>
      <c r="F109" s="642" t="s">
        <v>276</v>
      </c>
      <c r="G109" s="643"/>
      <c r="H109" s="643"/>
      <c r="I109" s="643"/>
      <c r="J109" s="643"/>
      <c r="K109" s="298">
        <f>SUM(K91:K108)</f>
        <v>25480</v>
      </c>
      <c r="L109" s="298">
        <f>SUM(L91:L108)</f>
        <v>2548</v>
      </c>
      <c r="M109" s="298">
        <f>SUM(M91:M108)</f>
        <v>6802.3715670436204</v>
      </c>
      <c r="N109" s="299">
        <f>SUM(N91:N108)</f>
        <v>34830.371567043621</v>
      </c>
      <c r="Q109" s="642" t="s">
        <v>276</v>
      </c>
      <c r="R109" s="643"/>
      <c r="S109" s="643"/>
      <c r="T109" s="300">
        <f>SUM(T91:T108)</f>
        <v>16050</v>
      </c>
      <c r="U109" s="301">
        <f>SUM(U91:U108)</f>
        <v>9430</v>
      </c>
      <c r="V109" s="302"/>
      <c r="W109" s="302"/>
      <c r="X109" s="303">
        <f>SUM(X91:X108)</f>
        <v>16050</v>
      </c>
      <c r="Y109" s="304">
        <f t="shared" si="75"/>
        <v>22852.371567043621</v>
      </c>
      <c r="Z109" s="308" t="s">
        <v>277</v>
      </c>
      <c r="AA109" s="309" t="s">
        <v>278</v>
      </c>
    </row>
    <row r="110" spans="1:27" ht="41.1" customHeight="1" thickBot="1" x14ac:dyDescent="0.5">
      <c r="A110" s="55">
        <v>97</v>
      </c>
      <c r="B110" s="69"/>
      <c r="C110" s="68" t="s">
        <v>279</v>
      </c>
      <c r="D110" s="55"/>
      <c r="E110" s="55"/>
      <c r="F110" s="305" t="s">
        <v>280</v>
      </c>
      <c r="G110" s="306"/>
      <c r="H110" s="306"/>
      <c r="I110" s="306"/>
      <c r="J110" s="306"/>
      <c r="K110" s="307">
        <f>SUM(K17:K23)+SUM(K27:K29)+SUM(K33:K34)+SUM(K38:K47)+SUM(K51:K57)+SUM(K61:K71)+SUM(K75:K75)+SUM(K79:K79)+SUM(K83:K87)+SUM(K91:K108)</f>
        <v>96946.91</v>
      </c>
      <c r="L110" s="307">
        <f>SUM(L17:L23)+SUM(L27:L29)+SUM(L33:L34)+SUM(L38:L47)+SUM(L51:L57)+SUM(L61:L71)+SUM(L75:L75)+SUM(L79:L79)+SUM(L83:L87)+SUM(L91:L108)</f>
        <v>8069.6909999999998</v>
      </c>
      <c r="M110" s="307">
        <f>SUM(M17:M23)+SUM(M27:M29)+SUM(M33:M34)+SUM(M38:M47)+SUM(M51:M57)+SUM(M61:M71)+SUM(M75:M75)+SUM(M79:M79)+SUM(M83:M87)+SUM(M91:M108)</f>
        <v>25487.439014912401</v>
      </c>
      <c r="N110" s="313">
        <f>SUM(N17:N23)+SUM(N27:N29)+SUM(N33:N34)+SUM(N38:N47)+SUM(N51:N57)+SUM(N61:N71)+SUM(N75:N75)+SUM(N79:N79)+SUM(N83:N87)+SUM(N91:N108)</f>
        <v>130504.0400149124</v>
      </c>
      <c r="O110"/>
      <c r="Q110" s="305" t="s">
        <v>281</v>
      </c>
      <c r="R110" s="306"/>
      <c r="S110" s="306"/>
      <c r="T110" s="307">
        <f>SUM(T17:T23)+SUM(T27:T29)+SUM(T33:T34)+SUM(T38:T47)+SUM(T51:T57)+SUM(T61:T71)+SUM(T75:T75)+SUM(T79:T79)+SUM(T83:T87)+SUM(T91:T108)</f>
        <v>60323.3</v>
      </c>
      <c r="U110" s="307">
        <f>SUM(U17:U23)+SUM(U27:U29)+SUM(U33:U34)+SUM(U38:U47)+SUM(U51:U57)+SUM(U61:U71)+SUM(U75:U75)+SUM(U79:U79)+SUM(U83:U87)+SUM(U91:U108)</f>
        <v>36623.61</v>
      </c>
      <c r="V110" s="306"/>
      <c r="W110" s="306"/>
      <c r="X110" s="307">
        <f>SUM(X17:X23)+SUM(X27:X29)+SUM(X33:X34)+SUM(X38:X47)+SUM(X51:X57)+SUM(X61:X71)+SUM(X75:X75)+SUM(X79:X79)+SUM(X83:X87)+SUM(X91:X108)</f>
        <v>60323.3</v>
      </c>
      <c r="Y110" s="313">
        <f>SUM(Y17:Y23)+SUM(Y27:Y29)+SUM(Y33:Y34)+SUM(Y38:Y47)+SUM(Y51:Y57)+SUM(Y61:Y71)+SUM(Y75:Y75)+SUM(Y79:Y79)+SUM(Y83:Y87)+SUM(Y91:Y108)</f>
        <v>85810.739014912397</v>
      </c>
      <c r="Z110" s="314">
        <f>IF(Q110&lt;&gt;"",(N110-Y110)/N110,"")</f>
        <v>0.3424668002223763</v>
      </c>
      <c r="AA110" s="310">
        <f>IF(Z110&lt;&gt;"",(N110-Y110),"")</f>
        <v>44693.301000000007</v>
      </c>
    </row>
    <row r="111" spans="1:27" x14ac:dyDescent="0.3">
      <c r="H111"/>
      <c r="I111"/>
      <c r="O111"/>
      <c r="Q111"/>
      <c r="R111"/>
    </row>
    <row r="112" spans="1:27" x14ac:dyDescent="0.3">
      <c r="H112"/>
      <c r="I112"/>
      <c r="O112"/>
      <c r="Q112"/>
      <c r="R112"/>
    </row>
  </sheetData>
  <mergeCells count="65">
    <mergeCell ref="F48:J48"/>
    <mergeCell ref="Q48:S48"/>
    <mergeCell ref="F78:K78"/>
    <mergeCell ref="F77:N77"/>
    <mergeCell ref="F49:N49"/>
    <mergeCell ref="Q49:Y49"/>
    <mergeCell ref="F50:K50"/>
    <mergeCell ref="Q50:Y50"/>
    <mergeCell ref="F58:J58"/>
    <mergeCell ref="Q58:S58"/>
    <mergeCell ref="F72:J72"/>
    <mergeCell ref="Q72:S72"/>
    <mergeCell ref="Q59:Y59"/>
    <mergeCell ref="F60:K60"/>
    <mergeCell ref="Q60:Y60"/>
    <mergeCell ref="F1:G1"/>
    <mergeCell ref="F2:G2"/>
    <mergeCell ref="R12:U12"/>
    <mergeCell ref="V12:Y12"/>
    <mergeCell ref="F76:J76"/>
    <mergeCell ref="Q76:S76"/>
    <mergeCell ref="F35:J35"/>
    <mergeCell ref="Q35:S35"/>
    <mergeCell ref="F73:N73"/>
    <mergeCell ref="Q73:Y73"/>
    <mergeCell ref="F74:K74"/>
    <mergeCell ref="Q74:Y74"/>
    <mergeCell ref="F25:N25"/>
    <mergeCell ref="Q25:Y25"/>
    <mergeCell ref="Q37:Y37"/>
    <mergeCell ref="F59:N59"/>
    <mergeCell ref="AK12:AL12"/>
    <mergeCell ref="AG12:AH12"/>
    <mergeCell ref="F15:N15"/>
    <mergeCell ref="Q15:Y15"/>
    <mergeCell ref="F16:K16"/>
    <mergeCell ref="Q16:Y16"/>
    <mergeCell ref="AC12:AE12"/>
    <mergeCell ref="F109:J109"/>
    <mergeCell ref="Q109:S109"/>
    <mergeCell ref="F80:J80"/>
    <mergeCell ref="Q80:S80"/>
    <mergeCell ref="F90:K90"/>
    <mergeCell ref="F81:N81"/>
    <mergeCell ref="Q81:Y81"/>
    <mergeCell ref="F82:K82"/>
    <mergeCell ref="Q82:Y82"/>
    <mergeCell ref="F88:J88"/>
    <mergeCell ref="Q88:S88"/>
    <mergeCell ref="F24:J24"/>
    <mergeCell ref="Q24:S24"/>
    <mergeCell ref="F30:J30"/>
    <mergeCell ref="Q30:S30"/>
    <mergeCell ref="F89:N89"/>
    <mergeCell ref="Q77:Y77"/>
    <mergeCell ref="Q89:Y89"/>
    <mergeCell ref="F31:N31"/>
    <mergeCell ref="Q31:Y31"/>
    <mergeCell ref="F32:K32"/>
    <mergeCell ref="Q32:Y32"/>
    <mergeCell ref="F26:K26"/>
    <mergeCell ref="Q26:V26"/>
    <mergeCell ref="F36:N36"/>
    <mergeCell ref="Q36:Y36"/>
    <mergeCell ref="F37:K37"/>
  </mergeCells>
  <dataValidations count="3">
    <dataValidation type="list" allowBlank="1" showInputMessage="1" showErrorMessage="1" sqref="E17:E24 E91:E108 E27:E68 E69:E88" xr:uid="{F9907BAC-0CF7-42E1-A472-5B9B9E3DC5D5}">
      <formula1>"FAT.OGGI,FAT.CLIENTE"</formula1>
    </dataValidation>
    <dataValidation type="list" allowBlank="1" showInputMessage="1" showErrorMessage="1" sqref="D17:D24 D110 D91:D108 D27:D68 D69:D88" xr:uid="{98866BC7-DB5C-4861-B11E-20182FBA42DD}">
      <formula1>"INTERNO,OPERACIONAL"</formula1>
    </dataValidation>
    <dataValidation type="list" allowBlank="1" showInputMessage="1" showErrorMessage="1" sqref="E110" xr:uid="{C7D5B582-1B95-4E43-BB2B-49DAE723CAAF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3554" r:id="rId4" name="Label2">
          <controlPr defaultSize="0" autoLine="0" r:id="rId5">
            <anchor>
              <from>
                <xdr:col>22</xdr:col>
                <xdr:colOff>1173480</xdr:colOff>
                <xdr:row>0</xdr:row>
                <xdr:rowOff>190500</xdr:rowOff>
              </from>
              <to>
                <xdr:col>23</xdr:col>
                <xdr:colOff>175260</xdr:colOff>
                <xdr:row>1</xdr:row>
                <xdr:rowOff>114300</xdr:rowOff>
              </to>
            </anchor>
          </controlPr>
        </control>
      </mc:Choice>
      <mc:Fallback>
        <control shapeId="23554" r:id="rId4" name="Label2"/>
      </mc:Fallback>
    </mc:AlternateContent>
    <mc:AlternateContent xmlns:mc="http://schemas.openxmlformats.org/markup-compatibility/2006">
      <mc:Choice Requires="x14">
        <control shapeId="23553" r:id="rId6" name="Label1">
          <controlPr defaultSize="0" autoLine="0" r:id="rId7">
            <anchor>
              <from>
                <xdr:col>2</xdr:col>
                <xdr:colOff>22860</xdr:colOff>
                <xdr:row>0</xdr:row>
                <xdr:rowOff>144780</xdr:rowOff>
              </from>
              <to>
                <xdr:col>4</xdr:col>
                <xdr:colOff>53340</xdr:colOff>
                <xdr:row>1</xdr:row>
                <xdr:rowOff>60960</xdr:rowOff>
              </to>
            </anchor>
          </controlPr>
        </control>
      </mc:Choice>
      <mc:Fallback>
        <control shapeId="23553" r:id="rId6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62B9-C247-4270-980D-6D46A0C340D5}">
  <dimension ref="A1:G25"/>
  <sheetViews>
    <sheetView showGridLines="0" tabSelected="1" topLeftCell="A9" zoomScaleNormal="100" workbookViewId="0">
      <selection activeCell="C23" sqref="C23:D23"/>
    </sheetView>
  </sheetViews>
  <sheetFormatPr defaultColWidth="8.77734375" defaultRowHeight="16.2" x14ac:dyDescent="0.35"/>
  <cols>
    <col min="1" max="1" width="8.77734375" style="580"/>
    <col min="2" max="2" width="41.21875" style="580" customWidth="1"/>
    <col min="3" max="3" width="31" style="580" customWidth="1"/>
    <col min="4" max="4" width="20.44140625" style="580" customWidth="1"/>
    <col min="5" max="5" width="18.44140625" style="580" customWidth="1"/>
    <col min="6" max="6" width="11.77734375" style="581" bestFit="1" customWidth="1"/>
    <col min="7" max="7" width="15.109375" style="580" bestFit="1" customWidth="1"/>
    <col min="8" max="8" width="12.5546875" style="580" bestFit="1" customWidth="1"/>
    <col min="9" max="16384" width="8.77734375" style="580"/>
  </cols>
  <sheetData>
    <row r="1" spans="1:6" s="581" customFormat="1" hidden="1" x14ac:dyDescent="0.35">
      <c r="A1" s="580"/>
      <c r="B1" s="580"/>
      <c r="C1" s="580"/>
      <c r="D1" s="580"/>
      <c r="E1" s="580"/>
    </row>
    <row r="2" spans="1:6" s="581" customFormat="1" hidden="1" x14ac:dyDescent="0.35">
      <c r="A2" s="580"/>
      <c r="B2" s="580"/>
      <c r="C2" s="580"/>
      <c r="D2" s="580"/>
      <c r="E2" s="580"/>
    </row>
    <row r="3" spans="1:6" s="581" customFormat="1" hidden="1" x14ac:dyDescent="0.35">
      <c r="A3" s="580"/>
      <c r="B3" s="580"/>
      <c r="C3" s="582">
        <v>45866</v>
      </c>
      <c r="D3" s="583"/>
      <c r="E3" s="611" t="e">
        <f>SUM(#REF!)</f>
        <v>#REF!</v>
      </c>
    </row>
    <row r="4" spans="1:6" s="581" customFormat="1" ht="15.6" hidden="1" customHeight="1" thickBot="1" x14ac:dyDescent="0.4">
      <c r="A4" s="580"/>
      <c r="B4" s="580"/>
      <c r="C4" s="584">
        <v>45867</v>
      </c>
      <c r="D4" s="585"/>
      <c r="E4" s="612"/>
    </row>
    <row r="5" spans="1:6" s="581" customFormat="1" hidden="1" x14ac:dyDescent="0.35">
      <c r="A5" s="580"/>
      <c r="B5" s="580"/>
      <c r="C5" s="586" t="s">
        <v>461</v>
      </c>
      <c r="D5" s="587"/>
      <c r="E5" s="580"/>
    </row>
    <row r="6" spans="1:6" s="581" customFormat="1" hidden="1" x14ac:dyDescent="0.35">
      <c r="A6" s="580"/>
      <c r="B6" s="580"/>
      <c r="C6" s="586" t="s">
        <v>462</v>
      </c>
      <c r="D6" s="587"/>
      <c r="E6" s="580"/>
    </row>
    <row r="7" spans="1:6" s="581" customFormat="1" ht="16.8" hidden="1" thickBot="1" x14ac:dyDescent="0.4">
      <c r="A7" s="580"/>
      <c r="B7" s="580"/>
      <c r="C7" s="588" t="s">
        <v>281</v>
      </c>
      <c r="D7" s="589"/>
      <c r="E7" s="580"/>
    </row>
    <row r="9" spans="1:6" s="581" customFormat="1" ht="24" customHeight="1" x14ac:dyDescent="0.35">
      <c r="A9" s="580"/>
      <c r="B9" s="580"/>
      <c r="C9" s="580"/>
      <c r="D9" s="580"/>
      <c r="E9" s="580"/>
    </row>
    <row r="11" spans="1:6" s="817" customFormat="1" ht="15" customHeight="1" x14ac:dyDescent="0.35">
      <c r="A11" s="815"/>
      <c r="B11" s="353" t="s">
        <v>2</v>
      </c>
      <c r="C11" s="354"/>
      <c r="D11" s="816"/>
      <c r="E11" s="815"/>
    </row>
    <row r="12" spans="1:6" s="817" customFormat="1" ht="15" customHeight="1" x14ac:dyDescent="0.35">
      <c r="A12" s="815"/>
      <c r="B12" s="355" t="s">
        <v>3</v>
      </c>
      <c r="C12" s="356"/>
      <c r="D12" s="816"/>
      <c r="E12" s="815"/>
    </row>
    <row r="13" spans="1:6" s="817" customFormat="1" ht="15" customHeight="1" x14ac:dyDescent="0.35">
      <c r="A13" s="815"/>
      <c r="B13" s="355" t="s">
        <v>4</v>
      </c>
      <c r="C13" s="357"/>
      <c r="D13" s="818"/>
      <c r="E13" s="815"/>
    </row>
    <row r="14" spans="1:6" s="817" customFormat="1" ht="15" customHeight="1" x14ac:dyDescent="0.35">
      <c r="A14" s="815"/>
      <c r="B14" s="355" t="s">
        <v>5</v>
      </c>
      <c r="C14" s="357"/>
      <c r="D14" s="818"/>
      <c r="E14" s="815"/>
    </row>
    <row r="15" spans="1:6" s="817" customFormat="1" ht="15" customHeight="1" x14ac:dyDescent="0.35">
      <c r="A15" s="815"/>
      <c r="B15" s="355" t="s">
        <v>282</v>
      </c>
      <c r="C15" s="358"/>
      <c r="D15" s="819"/>
      <c r="E15" s="815"/>
    </row>
    <row r="16" spans="1:6" s="815" customFormat="1" ht="15" customHeight="1" x14ac:dyDescent="0.35">
      <c r="B16" s="355" t="s">
        <v>7</v>
      </c>
      <c r="C16" s="357"/>
      <c r="D16" s="818"/>
      <c r="F16" s="817"/>
    </row>
    <row r="17" spans="2:7" s="815" customFormat="1" ht="15" customHeight="1" x14ac:dyDescent="0.35">
      <c r="B17" s="355" t="s">
        <v>8</v>
      </c>
      <c r="C17" s="357"/>
      <c r="D17" s="818"/>
      <c r="F17" s="817"/>
    </row>
    <row r="18" spans="2:7" s="815" customFormat="1" ht="15" customHeight="1" x14ac:dyDescent="0.35">
      <c r="B18" s="359" t="s">
        <v>9</v>
      </c>
      <c r="C18" s="360"/>
      <c r="D18" s="818"/>
      <c r="F18" s="817"/>
    </row>
    <row r="20" spans="2:7" ht="15.6" customHeight="1" x14ac:dyDescent="0.35">
      <c r="B20" s="590"/>
      <c r="C20" s="590" t="s">
        <v>464</v>
      </c>
      <c r="D20" s="590" t="s">
        <v>465</v>
      </c>
      <c r="E20" s="590" t="s">
        <v>466</v>
      </c>
      <c r="F20" s="591"/>
    </row>
    <row r="21" spans="2:7" x14ac:dyDescent="0.35">
      <c r="B21" s="592" t="s">
        <v>492</v>
      </c>
      <c r="C21" s="820">
        <f>PRINCIPAL.!N73</f>
        <v>110831.49620976762</v>
      </c>
      <c r="D21" s="593">
        <f>PRINCIPAL.!EE76</f>
        <v>59659.5144117647</v>
      </c>
      <c r="E21" s="593">
        <f>C21-D21</f>
        <v>51171.981798002918</v>
      </c>
      <c r="F21" s="594">
        <f>E21*100%/C21</f>
        <v>0.46170974450395547</v>
      </c>
      <c r="G21" s="814"/>
    </row>
    <row r="22" spans="2:7" x14ac:dyDescent="0.35">
      <c r="B22" s="592" t="s">
        <v>493</v>
      </c>
      <c r="C22" s="820">
        <f>'Tradução Simultânea'!N21</f>
        <v>13519.323971666459</v>
      </c>
      <c r="D22" s="593">
        <f>'Tradução Simultânea'!AO24</f>
        <v>10319.823529411766</v>
      </c>
      <c r="E22" s="593">
        <f>C22-D22</f>
        <v>3199.5004422546936</v>
      </c>
      <c r="F22" s="594">
        <f>E22*100%/C22</f>
        <v>0.23666127455486277</v>
      </c>
      <c r="G22" s="814"/>
    </row>
    <row r="23" spans="2:7" x14ac:dyDescent="0.35">
      <c r="B23" s="590" t="s">
        <v>281</v>
      </c>
      <c r="C23" s="595">
        <f>SUM(C21:C22)</f>
        <v>124350.82018143407</v>
      </c>
      <c r="D23" s="595">
        <f>SUM(D21:D22)</f>
        <v>69979.337941176462</v>
      </c>
      <c r="E23" s="595">
        <f>SUM(E21:E22)</f>
        <v>54371.48224025761</v>
      </c>
      <c r="F23" s="594">
        <f>E23*100%/C23</f>
        <v>0.43724265075957597</v>
      </c>
      <c r="G23" s="814"/>
    </row>
    <row r="24" spans="2:7" x14ac:dyDescent="0.35">
      <c r="C24" s="596"/>
    </row>
    <row r="25" spans="2:7" x14ac:dyDescent="0.35">
      <c r="E25" s="814"/>
    </row>
  </sheetData>
  <mergeCells count="1">
    <mergeCell ref="E3:E4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DEC0F-3694-4066-B142-E633EE006CFC}">
  <sheetPr codeName="Planilha11">
    <pageSetUpPr autoPageBreaks="0"/>
  </sheetPr>
  <dimension ref="A1:EG78"/>
  <sheetViews>
    <sheetView showGridLines="0" zoomScale="55" zoomScaleNormal="55" workbookViewId="0">
      <pane ySplit="1" topLeftCell="A2" activePane="bottomLeft" state="frozen"/>
      <selection activeCell="AC1" sqref="AC1"/>
      <selection pane="bottomLeft" activeCell="F4" sqref="F4:G11"/>
    </sheetView>
  </sheetViews>
  <sheetFormatPr defaultColWidth="9.21875" defaultRowHeight="20.399999999999999" x14ac:dyDescent="0.35"/>
  <cols>
    <col min="1" max="1" width="2.21875" style="346" hidden="1" customWidth="1"/>
    <col min="2" max="2" width="9.5546875" style="346" customWidth="1"/>
    <col min="3" max="3" width="8.77734375" style="346" hidden="1" customWidth="1"/>
    <col min="4" max="4" width="7.44140625" style="346" hidden="1" customWidth="1"/>
    <col min="5" max="5" width="8.21875" style="346" hidden="1" customWidth="1"/>
    <col min="6" max="6" width="36.5546875" style="346" customWidth="1"/>
    <col min="7" max="7" width="63.44140625" style="346" customWidth="1"/>
    <col min="8" max="8" width="6.21875" style="349" hidden="1" customWidth="1"/>
    <col min="9" max="9" width="7.5546875" style="349" hidden="1" customWidth="1"/>
    <col min="10" max="10" width="20.21875" style="346" hidden="1" customWidth="1"/>
    <col min="11" max="11" width="25.77734375" style="346" bestFit="1" customWidth="1"/>
    <col min="12" max="12" width="22.21875" style="346" customWidth="1"/>
    <col min="13" max="13" width="24.77734375" style="346" bestFit="1" customWidth="1"/>
    <col min="14" max="14" width="28.77734375" style="346" customWidth="1"/>
    <col min="15" max="15" width="11.5546875" style="346" hidden="1" customWidth="1"/>
    <col min="16" max="16" width="5.21875" style="346" hidden="1" customWidth="1"/>
    <col min="17" max="17" width="9.21875" style="349" customWidth="1"/>
    <col min="18" max="18" width="6.77734375" style="349" hidden="1" customWidth="1"/>
    <col min="19" max="19" width="18.5546875" style="346" hidden="1" customWidth="1"/>
    <col min="20" max="20" width="26.44140625" style="346" customWidth="1"/>
    <col min="21" max="21" width="28.77734375" style="346" hidden="1" customWidth="1"/>
    <col min="22" max="23" width="28.21875" style="346" hidden="1" customWidth="1"/>
    <col min="24" max="24" width="28.21875" style="346" customWidth="1"/>
    <col min="25" max="26" width="27.77734375" style="346" hidden="1" customWidth="1"/>
    <col min="27" max="27" width="25.77734375" style="346" hidden="1" customWidth="1"/>
    <col min="28" max="28" width="38.21875" style="346" hidden="1" customWidth="1"/>
    <col min="29" max="30" width="33" style="346" hidden="1" customWidth="1"/>
    <col min="31" max="31" width="28" style="346" hidden="1" customWidth="1"/>
    <col min="32" max="32" width="1.21875" style="346" hidden="1" customWidth="1"/>
    <col min="33" max="33" width="81.5546875" style="346" hidden="1" customWidth="1"/>
    <col min="34" max="34" width="36.77734375" style="346" hidden="1" customWidth="1"/>
    <col min="35" max="35" width="1.5546875" style="346" hidden="1" customWidth="1"/>
    <col min="36" max="36" width="20.21875" style="346" hidden="1" customWidth="1"/>
    <col min="37" max="37" width="25.21875" style="346" hidden="1" customWidth="1"/>
    <col min="38" max="38" width="24.77734375" style="346" hidden="1" customWidth="1"/>
    <col min="39" max="39" width="0" style="346" hidden="1" customWidth="1"/>
    <col min="40" max="40" width="21.21875" style="346" hidden="1" customWidth="1"/>
    <col min="41" max="134" width="0" style="346" hidden="1" customWidth="1"/>
    <col min="135" max="135" width="25.77734375" style="346" customWidth="1"/>
    <col min="136" max="136" width="27" style="346" customWidth="1"/>
    <col min="137" max="137" width="9.21875" style="609"/>
    <col min="138" max="16384" width="9.21875" style="346"/>
  </cols>
  <sheetData>
    <row r="1" spans="1:136" ht="49.5" customHeight="1" x14ac:dyDescent="0.35">
      <c r="B1" s="347"/>
      <c r="C1" s="348"/>
      <c r="D1" s="348"/>
      <c r="F1" s="761" t="s">
        <v>0</v>
      </c>
      <c r="G1" s="761"/>
    </row>
    <row r="2" spans="1:136" ht="24.75" customHeight="1" x14ac:dyDescent="0.35">
      <c r="B2" s="350"/>
      <c r="D2" s="348"/>
      <c r="F2" s="762" t="s">
        <v>1</v>
      </c>
      <c r="G2" s="762"/>
    </row>
    <row r="3" spans="1:136" ht="21" x14ac:dyDescent="0.4">
      <c r="B3" s="351"/>
      <c r="F3" s="352"/>
      <c r="G3" s="352"/>
    </row>
    <row r="4" spans="1:136" ht="22.05" customHeight="1" x14ac:dyDescent="0.35">
      <c r="F4" s="353" t="s">
        <v>2</v>
      </c>
      <c r="G4" s="354"/>
    </row>
    <row r="5" spans="1:136" x14ac:dyDescent="0.35">
      <c r="F5" s="355" t="s">
        <v>3</v>
      </c>
      <c r="G5" s="356"/>
    </row>
    <row r="6" spans="1:136" x14ac:dyDescent="0.35">
      <c r="F6" s="355" t="s">
        <v>4</v>
      </c>
      <c r="G6" s="357"/>
    </row>
    <row r="7" spans="1:136" ht="21.75" customHeight="1" x14ac:dyDescent="0.35">
      <c r="F7" s="355" t="s">
        <v>5</v>
      </c>
      <c r="G7" s="357"/>
    </row>
    <row r="8" spans="1:136" x14ac:dyDescent="0.35">
      <c r="F8" s="355" t="s">
        <v>282</v>
      </c>
      <c r="G8" s="358"/>
    </row>
    <row r="9" spans="1:136" x14ac:dyDescent="0.35">
      <c r="F9" s="355" t="s">
        <v>7</v>
      </c>
      <c r="G9" s="357"/>
      <c r="M9" s="346">
        <v>0.80469999999999997</v>
      </c>
    </row>
    <row r="10" spans="1:136" ht="27" customHeight="1" x14ac:dyDescent="0.35">
      <c r="F10" s="355" t="s">
        <v>8</v>
      </c>
      <c r="G10" s="357"/>
      <c r="M10" s="346">
        <f>1-M9</f>
        <v>0.19530000000000003</v>
      </c>
    </row>
    <row r="11" spans="1:136" x14ac:dyDescent="0.35">
      <c r="F11" s="359" t="s">
        <v>9</v>
      </c>
      <c r="G11" s="360"/>
    </row>
    <row r="12" spans="1:136" ht="42.6" hidden="1" thickBot="1" x14ac:dyDescent="0.45">
      <c r="B12" s="361"/>
      <c r="M12" s="362"/>
      <c r="R12" s="763" t="s">
        <v>10</v>
      </c>
      <c r="S12" s="764"/>
      <c r="T12" s="764"/>
      <c r="U12" s="765"/>
      <c r="V12" s="753" t="s">
        <v>11</v>
      </c>
      <c r="W12" s="754"/>
      <c r="X12" s="754"/>
      <c r="Y12" s="755"/>
      <c r="Z12" s="363" t="s">
        <v>12</v>
      </c>
      <c r="AA12" s="364" t="e">
        <f>(1/(1-#REF!))-1</f>
        <v>#REF!</v>
      </c>
      <c r="AC12" s="756" t="s">
        <v>13</v>
      </c>
      <c r="AD12" s="757"/>
      <c r="AE12" s="758"/>
      <c r="AG12" s="759" t="s">
        <v>14</v>
      </c>
      <c r="AH12" s="760"/>
      <c r="AJ12" s="365" t="s">
        <v>15</v>
      </c>
      <c r="AK12" s="747" t="s">
        <v>16</v>
      </c>
      <c r="AL12" s="748"/>
    </row>
    <row r="13" spans="1:136" ht="21.6" thickBot="1" x14ac:dyDescent="0.45">
      <c r="A13" s="366" t="s">
        <v>17</v>
      </c>
      <c r="B13" s="367" t="s">
        <v>18</v>
      </c>
      <c r="C13" s="366" t="s">
        <v>19</v>
      </c>
      <c r="D13" s="366" t="s">
        <v>20</v>
      </c>
      <c r="E13" s="366" t="s">
        <v>21</v>
      </c>
      <c r="M13" s="368">
        <v>0.81</v>
      </c>
    </row>
    <row r="14" spans="1:136" ht="44.25" customHeight="1" thickBot="1" x14ac:dyDescent="0.4">
      <c r="A14" s="369">
        <v>0</v>
      </c>
      <c r="B14" s="370"/>
      <c r="C14" s="371"/>
      <c r="D14" s="372"/>
      <c r="E14" s="372"/>
      <c r="F14" s="373" t="s">
        <v>22</v>
      </c>
      <c r="G14" s="374" t="s">
        <v>23</v>
      </c>
      <c r="H14" s="375" t="s">
        <v>24</v>
      </c>
      <c r="I14" s="375" t="s">
        <v>25</v>
      </c>
      <c r="J14" s="376" t="s">
        <v>26</v>
      </c>
      <c r="K14" s="377" t="s">
        <v>27</v>
      </c>
      <c r="L14" s="378">
        <v>0.1</v>
      </c>
      <c r="M14" s="379">
        <v>0.1953</v>
      </c>
      <c r="N14" s="380" t="s">
        <v>28</v>
      </c>
      <c r="Q14" s="381" t="s">
        <v>29</v>
      </c>
      <c r="R14" s="382" t="s">
        <v>30</v>
      </c>
      <c r="S14" s="383" t="s">
        <v>31</v>
      </c>
      <c r="T14" s="384" t="s">
        <v>32</v>
      </c>
      <c r="U14" s="385" t="s">
        <v>33</v>
      </c>
      <c r="V14" s="386" t="s">
        <v>34</v>
      </c>
      <c r="W14" s="387" t="s">
        <v>35</v>
      </c>
      <c r="X14" s="388" t="s">
        <v>36</v>
      </c>
      <c r="Y14" s="388" t="s">
        <v>37</v>
      </c>
      <c r="Z14" s="389" t="s">
        <v>38</v>
      </c>
      <c r="AA14" s="390" t="s">
        <v>39</v>
      </c>
      <c r="EE14" s="597" t="s">
        <v>469</v>
      </c>
      <c r="EF14" s="598" t="s">
        <v>470</v>
      </c>
    </row>
    <row r="15" spans="1:136" ht="30" customHeight="1" thickBot="1" x14ac:dyDescent="0.5">
      <c r="A15" s="372">
        <v>1</v>
      </c>
      <c r="B15" s="391">
        <v>1</v>
      </c>
      <c r="C15" s="392" t="s">
        <v>40</v>
      </c>
      <c r="D15" s="372"/>
      <c r="E15" s="372"/>
      <c r="F15" s="688" t="s">
        <v>41</v>
      </c>
      <c r="G15" s="689"/>
      <c r="H15" s="689"/>
      <c r="I15" s="689"/>
      <c r="J15" s="689"/>
      <c r="K15" s="689"/>
      <c r="L15" s="689"/>
      <c r="M15" s="689"/>
      <c r="N15" s="690"/>
      <c r="Q15" s="749" t="str">
        <f>IF(F15&lt;&gt;"",F15,"")</f>
        <v xml:space="preserve">INTERNOS </v>
      </c>
      <c r="R15" s="750"/>
      <c r="S15" s="750"/>
      <c r="T15" s="750"/>
      <c r="U15" s="750"/>
      <c r="V15" s="750"/>
      <c r="W15" s="750"/>
      <c r="X15" s="750"/>
      <c r="Y15" s="751"/>
      <c r="Z15" s="393"/>
      <c r="AA15" s="394"/>
      <c r="EE15" s="599"/>
      <c r="EF15" s="599"/>
    </row>
    <row r="16" spans="1:136" ht="30" customHeight="1" thickBot="1" x14ac:dyDescent="0.5">
      <c r="A16" s="372">
        <v>2</v>
      </c>
      <c r="B16" s="391" t="s">
        <v>42</v>
      </c>
      <c r="C16" s="392" t="s">
        <v>43</v>
      </c>
      <c r="D16" s="372"/>
      <c r="E16" s="372"/>
      <c r="F16" s="712" t="s">
        <v>44</v>
      </c>
      <c r="G16" s="713"/>
      <c r="H16" s="713"/>
      <c r="I16" s="713"/>
      <c r="J16" s="713"/>
      <c r="K16" s="714"/>
      <c r="L16" s="395" t="s">
        <v>45</v>
      </c>
      <c r="M16" s="396" t="s">
        <v>46</v>
      </c>
      <c r="N16" s="397" t="s">
        <v>28</v>
      </c>
      <c r="Q16" s="704" t="str">
        <f>IF(F16&lt;&gt;"",F16,"")</f>
        <v xml:space="preserve">INTERNOS  </v>
      </c>
      <c r="R16" s="705"/>
      <c r="S16" s="705"/>
      <c r="T16" s="705"/>
      <c r="U16" s="705"/>
      <c r="V16" s="705"/>
      <c r="W16" s="705"/>
      <c r="X16" s="705"/>
      <c r="Y16" s="752"/>
      <c r="Z16" s="398" t="s">
        <v>47</v>
      </c>
      <c r="AA16" s="399" t="s">
        <v>39</v>
      </c>
      <c r="EE16" s="600"/>
      <c r="EF16" s="600"/>
    </row>
    <row r="17" spans="1:137" ht="80.099999999999994" customHeight="1" x14ac:dyDescent="0.45">
      <c r="A17" s="372">
        <v>3</v>
      </c>
      <c r="B17" s="391" t="s">
        <v>48</v>
      </c>
      <c r="C17" s="392" t="s">
        <v>49</v>
      </c>
      <c r="D17" s="372" t="s">
        <v>50</v>
      </c>
      <c r="E17" s="372" t="s">
        <v>51</v>
      </c>
      <c r="F17" s="400" t="s">
        <v>52</v>
      </c>
      <c r="G17" s="401" t="s">
        <v>448</v>
      </c>
      <c r="H17" s="402">
        <v>1</v>
      </c>
      <c r="I17" s="402">
        <v>1</v>
      </c>
      <c r="J17" s="403">
        <v>4000</v>
      </c>
      <c r="K17" s="403">
        <f t="shared" ref="K17:K23" si="0">IF(F17&lt;&gt;"",H17*I17*J17,"")</f>
        <v>4000</v>
      </c>
      <c r="L17" s="403">
        <f t="shared" ref="L17:L23" si="1">IF(K17&lt;&gt;"",IF(D17="INTERNO",0,K17*$L$14),"")</f>
        <v>0</v>
      </c>
      <c r="M17" s="403">
        <f t="shared" ref="M17:M23" si="2">IF(K17&lt;&gt;"",IF(E17="FAT.OGGI",SUM(K17:L17)*(1/(1-$M$14)-1),L17*(1/(1-$M$14)-1)),"")</f>
        <v>970.79657015036696</v>
      </c>
      <c r="N17" s="404">
        <f t="shared" ref="N17:N23" si="3">SUM(K17:M17)</f>
        <v>4970.7965701503672</v>
      </c>
      <c r="O17" s="405"/>
      <c r="Q17" s="406">
        <f t="shared" ref="Q17:R17" si="4">IF(H17&lt;&gt;"",H17,"")</f>
        <v>1</v>
      </c>
      <c r="R17" s="407">
        <f t="shared" si="4"/>
        <v>1</v>
      </c>
      <c r="S17" s="408">
        <v>500</v>
      </c>
      <c r="T17" s="408">
        <v>0</v>
      </c>
      <c r="U17" s="409">
        <f t="shared" ref="U17:U23" si="5">IF(Q17&lt;&gt;"",K17-T17,"")</f>
        <v>4000</v>
      </c>
      <c r="V17" s="410">
        <f t="shared" ref="V17:V23" si="6">IF(Q17&lt;&gt;"",0%,"")</f>
        <v>0</v>
      </c>
      <c r="W17" s="411">
        <f t="shared" ref="W17:W23" si="7">IF(Q17&lt;&gt;"",V17*U17,"")</f>
        <v>0</v>
      </c>
      <c r="X17" s="411">
        <f t="shared" ref="X17:X23" si="8">IF(Q17&lt;&gt;"",W17+T17,"")</f>
        <v>0</v>
      </c>
      <c r="Y17" s="412">
        <f t="shared" ref="Y17:Y23" si="9">IF(Q17&lt;&gt;"",X17+M17,"")</f>
        <v>970.79657015036696</v>
      </c>
      <c r="Z17" s="413">
        <f t="shared" ref="Z17:Z23" si="10">IF(Q17&lt;&gt;"",U17/K17,"")</f>
        <v>1</v>
      </c>
      <c r="AA17" s="414">
        <f t="shared" ref="AA17:AA23" si="11">T17/$T$24</f>
        <v>0</v>
      </c>
      <c r="AB17" s="405"/>
      <c r="EE17" s="601">
        <f>X17-EF17</f>
        <v>0</v>
      </c>
      <c r="EF17" s="602"/>
    </row>
    <row r="18" spans="1:137" ht="80.099999999999994" customHeight="1" x14ac:dyDescent="0.45">
      <c r="A18" s="415">
        <v>4</v>
      </c>
      <c r="B18" s="391" t="s">
        <v>54</v>
      </c>
      <c r="C18" s="416" t="s">
        <v>49</v>
      </c>
      <c r="D18" s="372" t="s">
        <v>50</v>
      </c>
      <c r="E18" s="372" t="s">
        <v>51</v>
      </c>
      <c r="F18" s="417" t="s">
        <v>55</v>
      </c>
      <c r="G18" s="418" t="s">
        <v>449</v>
      </c>
      <c r="H18" s="419">
        <v>1</v>
      </c>
      <c r="I18" s="419">
        <v>1</v>
      </c>
      <c r="J18" s="420">
        <v>0</v>
      </c>
      <c r="K18" s="420">
        <f t="shared" si="0"/>
        <v>0</v>
      </c>
      <c r="L18" s="420">
        <f t="shared" si="1"/>
        <v>0</v>
      </c>
      <c r="M18" s="420">
        <f t="shared" si="2"/>
        <v>0</v>
      </c>
      <c r="N18" s="421">
        <f t="shared" si="3"/>
        <v>0</v>
      </c>
      <c r="O18" s="405"/>
      <c r="Q18" s="422">
        <v>1</v>
      </c>
      <c r="R18" s="423">
        <v>1</v>
      </c>
      <c r="S18" s="424">
        <v>500</v>
      </c>
      <c r="T18" s="424">
        <v>0</v>
      </c>
      <c r="U18" s="425">
        <f t="shared" si="5"/>
        <v>0</v>
      </c>
      <c r="V18" s="426">
        <f t="shared" si="6"/>
        <v>0</v>
      </c>
      <c r="W18" s="427">
        <f t="shared" si="7"/>
        <v>0</v>
      </c>
      <c r="X18" s="427">
        <f t="shared" si="8"/>
        <v>0</v>
      </c>
      <c r="Y18" s="428">
        <f t="shared" si="9"/>
        <v>0</v>
      </c>
      <c r="Z18" s="429" t="e">
        <f t="shared" si="10"/>
        <v>#DIV/0!</v>
      </c>
      <c r="AA18" s="430">
        <f t="shared" si="11"/>
        <v>0</v>
      </c>
      <c r="AB18" s="405"/>
      <c r="EE18" s="601">
        <f t="shared" ref="EE18:EE71" si="12">X18-EF18</f>
        <v>0</v>
      </c>
      <c r="EF18" s="602"/>
    </row>
    <row r="19" spans="1:137" ht="80.099999999999994" customHeight="1" x14ac:dyDescent="0.45">
      <c r="A19" s="431">
        <v>5</v>
      </c>
      <c r="B19" s="391" t="s">
        <v>57</v>
      </c>
      <c r="C19" s="432" t="s">
        <v>49</v>
      </c>
      <c r="D19" s="431" t="s">
        <v>50</v>
      </c>
      <c r="E19" s="431" t="s">
        <v>51</v>
      </c>
      <c r="F19" s="417" t="s">
        <v>58</v>
      </c>
      <c r="G19" s="418" t="s">
        <v>450</v>
      </c>
      <c r="H19" s="419">
        <v>1</v>
      </c>
      <c r="I19" s="419">
        <v>1</v>
      </c>
      <c r="J19" s="433">
        <v>4750</v>
      </c>
      <c r="K19" s="420">
        <f t="shared" si="0"/>
        <v>4750</v>
      </c>
      <c r="L19" s="420">
        <f t="shared" si="1"/>
        <v>0</v>
      </c>
      <c r="M19" s="420">
        <f t="shared" si="2"/>
        <v>1152.8209270535608</v>
      </c>
      <c r="N19" s="421">
        <f t="shared" si="3"/>
        <v>5902.8209270535608</v>
      </c>
      <c r="O19" s="405"/>
      <c r="Q19" s="422">
        <v>1</v>
      </c>
      <c r="R19" s="423">
        <v>1</v>
      </c>
      <c r="S19" s="424">
        <v>500</v>
      </c>
      <c r="T19" s="424">
        <v>0</v>
      </c>
      <c r="U19" s="425">
        <f t="shared" si="5"/>
        <v>4750</v>
      </c>
      <c r="V19" s="426">
        <f t="shared" si="6"/>
        <v>0</v>
      </c>
      <c r="W19" s="427">
        <f t="shared" si="7"/>
        <v>0</v>
      </c>
      <c r="X19" s="427">
        <f t="shared" si="8"/>
        <v>0</v>
      </c>
      <c r="Y19" s="428">
        <f t="shared" si="9"/>
        <v>1152.8209270535608</v>
      </c>
      <c r="Z19" s="429">
        <f t="shared" si="10"/>
        <v>1</v>
      </c>
      <c r="AA19" s="430">
        <f t="shared" si="11"/>
        <v>0</v>
      </c>
      <c r="AB19" s="405"/>
      <c r="EE19" s="601">
        <f t="shared" si="12"/>
        <v>0</v>
      </c>
      <c r="EF19" s="602"/>
    </row>
    <row r="20" spans="1:137" ht="80.099999999999994" customHeight="1" x14ac:dyDescent="0.45">
      <c r="A20" s="415">
        <v>6</v>
      </c>
      <c r="B20" s="391" t="s">
        <v>60</v>
      </c>
      <c r="C20" s="416" t="s">
        <v>49</v>
      </c>
      <c r="D20" s="431" t="s">
        <v>50</v>
      </c>
      <c r="E20" s="431" t="s">
        <v>51</v>
      </c>
      <c r="F20" s="417" t="s">
        <v>61</v>
      </c>
      <c r="G20" s="418" t="s">
        <v>451</v>
      </c>
      <c r="H20" s="419">
        <v>1</v>
      </c>
      <c r="I20" s="419">
        <v>1</v>
      </c>
      <c r="J20" s="420">
        <v>0</v>
      </c>
      <c r="K20" s="420">
        <f t="shared" si="0"/>
        <v>0</v>
      </c>
      <c r="L20" s="420">
        <f t="shared" si="1"/>
        <v>0</v>
      </c>
      <c r="M20" s="420">
        <f t="shared" si="2"/>
        <v>0</v>
      </c>
      <c r="N20" s="421">
        <f t="shared" si="3"/>
        <v>0</v>
      </c>
      <c r="O20" s="405"/>
      <c r="Q20" s="422">
        <v>1</v>
      </c>
      <c r="R20" s="423">
        <v>1</v>
      </c>
      <c r="S20" s="424">
        <v>500</v>
      </c>
      <c r="T20" s="424">
        <v>0</v>
      </c>
      <c r="U20" s="425">
        <f t="shared" si="5"/>
        <v>0</v>
      </c>
      <c r="V20" s="426">
        <f t="shared" si="6"/>
        <v>0</v>
      </c>
      <c r="W20" s="427">
        <f t="shared" si="7"/>
        <v>0</v>
      </c>
      <c r="X20" s="427">
        <f t="shared" si="8"/>
        <v>0</v>
      </c>
      <c r="Y20" s="428">
        <f t="shared" si="9"/>
        <v>0</v>
      </c>
      <c r="Z20" s="429" t="e">
        <f t="shared" si="10"/>
        <v>#DIV/0!</v>
      </c>
      <c r="AA20" s="430">
        <f t="shared" si="11"/>
        <v>0</v>
      </c>
      <c r="AB20" s="405"/>
      <c r="EE20" s="601">
        <f t="shared" si="12"/>
        <v>0</v>
      </c>
      <c r="EF20" s="602"/>
    </row>
    <row r="21" spans="1:137" ht="80.099999999999994" customHeight="1" x14ac:dyDescent="0.45">
      <c r="A21" s="431">
        <v>7</v>
      </c>
      <c r="B21" s="391" t="s">
        <v>63</v>
      </c>
      <c r="C21" s="432" t="s">
        <v>49</v>
      </c>
      <c r="D21" s="431" t="s">
        <v>50</v>
      </c>
      <c r="E21" s="431" t="s">
        <v>51</v>
      </c>
      <c r="F21" s="417" t="s">
        <v>64</v>
      </c>
      <c r="G21" s="418" t="s">
        <v>452</v>
      </c>
      <c r="H21" s="419">
        <v>1</v>
      </c>
      <c r="I21" s="419">
        <v>1</v>
      </c>
      <c r="J21" s="420">
        <v>4000</v>
      </c>
      <c r="K21" s="420">
        <f t="shared" si="0"/>
        <v>4000</v>
      </c>
      <c r="L21" s="420">
        <f t="shared" si="1"/>
        <v>0</v>
      </c>
      <c r="M21" s="420">
        <f t="shared" si="2"/>
        <v>970.79657015036696</v>
      </c>
      <c r="N21" s="421">
        <f t="shared" si="3"/>
        <v>4970.7965701503672</v>
      </c>
      <c r="O21" s="405"/>
      <c r="Q21" s="422">
        <f>IF(H21&lt;&gt;"",H21,"")</f>
        <v>1</v>
      </c>
      <c r="R21" s="423">
        <f>IF(I21&lt;&gt;"",I21,"")</f>
        <v>1</v>
      </c>
      <c r="S21" s="424">
        <v>500</v>
      </c>
      <c r="T21" s="424">
        <v>0</v>
      </c>
      <c r="U21" s="425">
        <f t="shared" si="5"/>
        <v>4000</v>
      </c>
      <c r="V21" s="426">
        <f t="shared" si="6"/>
        <v>0</v>
      </c>
      <c r="W21" s="427">
        <f t="shared" si="7"/>
        <v>0</v>
      </c>
      <c r="X21" s="427">
        <f t="shared" si="8"/>
        <v>0</v>
      </c>
      <c r="Y21" s="428">
        <f t="shared" si="9"/>
        <v>970.79657015036696</v>
      </c>
      <c r="Z21" s="429">
        <f t="shared" si="10"/>
        <v>1</v>
      </c>
      <c r="AA21" s="430">
        <f t="shared" si="11"/>
        <v>0</v>
      </c>
      <c r="AB21" s="405"/>
      <c r="EE21" s="601">
        <f t="shared" si="12"/>
        <v>0</v>
      </c>
      <c r="EF21" s="602"/>
    </row>
    <row r="22" spans="1:137" ht="80.099999999999994" customHeight="1" x14ac:dyDescent="0.45">
      <c r="A22" s="372">
        <v>8</v>
      </c>
      <c r="B22" s="391" t="s">
        <v>66</v>
      </c>
      <c r="C22" s="392" t="s">
        <v>49</v>
      </c>
      <c r="D22" s="372" t="s">
        <v>50</v>
      </c>
      <c r="E22" s="372" t="s">
        <v>51</v>
      </c>
      <c r="F22" s="434" t="s">
        <v>67</v>
      </c>
      <c r="G22" s="418" t="s">
        <v>453</v>
      </c>
      <c r="H22" s="419">
        <v>1</v>
      </c>
      <c r="I22" s="419">
        <v>1</v>
      </c>
      <c r="J22" s="420">
        <v>2000</v>
      </c>
      <c r="K22" s="420">
        <f t="shared" si="0"/>
        <v>2000</v>
      </c>
      <c r="L22" s="420">
        <f t="shared" si="1"/>
        <v>0</v>
      </c>
      <c r="M22" s="420">
        <f t="shared" si="2"/>
        <v>485.39828507518348</v>
      </c>
      <c r="N22" s="421">
        <f t="shared" si="3"/>
        <v>2485.3982850751836</v>
      </c>
      <c r="O22" s="405"/>
      <c r="Q22" s="422">
        <f t="shared" ref="Q22:R22" si="13">IF(H22&lt;&gt;"",H22,"")</f>
        <v>1</v>
      </c>
      <c r="R22" s="435">
        <f t="shared" si="13"/>
        <v>1</v>
      </c>
      <c r="S22" s="436">
        <v>3500</v>
      </c>
      <c r="T22" s="436">
        <f t="shared" ref="T22:T23" si="14">IF(Q22&lt;&gt;"",Q22*R22*S22,"")</f>
        <v>3500</v>
      </c>
      <c r="U22" s="437">
        <f t="shared" si="5"/>
        <v>-1500</v>
      </c>
      <c r="V22" s="438">
        <f t="shared" si="6"/>
        <v>0</v>
      </c>
      <c r="W22" s="439">
        <f t="shared" si="7"/>
        <v>0</v>
      </c>
      <c r="X22" s="439">
        <f t="shared" si="8"/>
        <v>3500</v>
      </c>
      <c r="Y22" s="440">
        <f t="shared" si="9"/>
        <v>3985.3982850751836</v>
      </c>
      <c r="Z22" s="429">
        <f t="shared" si="10"/>
        <v>-0.75</v>
      </c>
      <c r="AA22" s="430">
        <f t="shared" si="11"/>
        <v>1</v>
      </c>
      <c r="AB22" s="405"/>
      <c r="EE22" s="601">
        <f t="shared" si="12"/>
        <v>0</v>
      </c>
      <c r="EF22" s="602">
        <v>3500</v>
      </c>
      <c r="EG22" s="609" t="s">
        <v>480</v>
      </c>
    </row>
    <row r="23" spans="1:137" ht="80.099999999999994" customHeight="1" x14ac:dyDescent="0.45">
      <c r="A23" s="372">
        <v>9</v>
      </c>
      <c r="B23" s="391" t="s">
        <v>69</v>
      </c>
      <c r="C23" s="392" t="s">
        <v>49</v>
      </c>
      <c r="D23" s="372" t="s">
        <v>50</v>
      </c>
      <c r="E23" s="372" t="s">
        <v>51</v>
      </c>
      <c r="F23" s="441" t="s">
        <v>70</v>
      </c>
      <c r="G23" s="418" t="s">
        <v>454</v>
      </c>
      <c r="H23" s="419">
        <v>1</v>
      </c>
      <c r="I23" s="419">
        <v>1</v>
      </c>
      <c r="J23" s="420">
        <v>1500</v>
      </c>
      <c r="K23" s="420">
        <f t="shared" si="0"/>
        <v>1500</v>
      </c>
      <c r="L23" s="420">
        <f t="shared" si="1"/>
        <v>0</v>
      </c>
      <c r="M23" s="420">
        <f t="shared" si="2"/>
        <v>364.04871380638758</v>
      </c>
      <c r="N23" s="421">
        <f t="shared" si="3"/>
        <v>1864.0487138063877</v>
      </c>
      <c r="O23" s="405"/>
      <c r="Q23" s="422">
        <v>1</v>
      </c>
      <c r="R23" s="423">
        <v>1</v>
      </c>
      <c r="S23" s="424">
        <v>0</v>
      </c>
      <c r="T23" s="424">
        <f t="shared" si="14"/>
        <v>0</v>
      </c>
      <c r="U23" s="425">
        <f t="shared" si="5"/>
        <v>1500</v>
      </c>
      <c r="V23" s="426">
        <f t="shared" si="6"/>
        <v>0</v>
      </c>
      <c r="W23" s="427">
        <f t="shared" si="7"/>
        <v>0</v>
      </c>
      <c r="X23" s="427">
        <f t="shared" si="8"/>
        <v>0</v>
      </c>
      <c r="Y23" s="428">
        <f t="shared" si="9"/>
        <v>364.04871380638758</v>
      </c>
      <c r="Z23" s="429">
        <f t="shared" si="10"/>
        <v>1</v>
      </c>
      <c r="AA23" s="430">
        <f t="shared" si="11"/>
        <v>0</v>
      </c>
      <c r="AB23" s="405"/>
      <c r="EE23" s="601">
        <f t="shared" si="12"/>
        <v>0</v>
      </c>
      <c r="EF23" s="602"/>
    </row>
    <row r="24" spans="1:137" ht="30" customHeight="1" thickBot="1" x14ac:dyDescent="0.5">
      <c r="A24" s="415">
        <v>10</v>
      </c>
      <c r="B24" s="391"/>
      <c r="C24" s="416" t="s">
        <v>72</v>
      </c>
      <c r="D24" s="415"/>
      <c r="E24" s="415"/>
      <c r="F24" s="742" t="s">
        <v>73</v>
      </c>
      <c r="G24" s="743"/>
      <c r="H24" s="743"/>
      <c r="I24" s="743"/>
      <c r="J24" s="743"/>
      <c r="K24" s="442">
        <f>SUM(K17:K23)</f>
        <v>16250</v>
      </c>
      <c r="L24" s="442">
        <f>SUM(L17:L23)</f>
        <v>0</v>
      </c>
      <c r="M24" s="442">
        <f>SUM(M17:M23)</f>
        <v>3943.8610662358665</v>
      </c>
      <c r="N24" s="443">
        <f>SUM(N17:N23)</f>
        <v>20193.861066235866</v>
      </c>
      <c r="O24" s="405"/>
      <c r="Q24" s="744" t="s">
        <v>73</v>
      </c>
      <c r="R24" s="745"/>
      <c r="S24" s="745"/>
      <c r="T24" s="444">
        <f>SUM(T17:T23)</f>
        <v>3500</v>
      </c>
      <c r="U24" s="445">
        <f>SUM(U17:U23)</f>
        <v>12750</v>
      </c>
      <c r="V24" s="446"/>
      <c r="W24" s="447"/>
      <c r="X24" s="448">
        <f>SUM(X17:X23)</f>
        <v>3500</v>
      </c>
      <c r="Y24" s="449">
        <f>IF(Q24&lt;&gt;"",X24+M24,"")</f>
        <v>7443.861066235866</v>
      </c>
      <c r="Z24" s="429"/>
      <c r="AA24" s="430"/>
      <c r="AB24" s="405"/>
      <c r="EE24" s="601"/>
      <c r="EF24" s="602"/>
    </row>
    <row r="25" spans="1:137" ht="30" customHeight="1" thickBot="1" x14ac:dyDescent="0.5">
      <c r="A25" s="372">
        <v>11</v>
      </c>
      <c r="B25" s="391">
        <v>2</v>
      </c>
      <c r="C25" s="392" t="s">
        <v>40</v>
      </c>
      <c r="D25" s="372"/>
      <c r="E25" s="372"/>
      <c r="F25" s="688" t="s">
        <v>89</v>
      </c>
      <c r="G25" s="689"/>
      <c r="H25" s="689"/>
      <c r="I25" s="689"/>
      <c r="J25" s="689"/>
      <c r="K25" s="689"/>
      <c r="L25" s="689"/>
      <c r="M25" s="689"/>
      <c r="N25" s="690"/>
      <c r="O25" s="450"/>
      <c r="Q25" s="736" t="str">
        <f>IF(F25&lt;&gt;"",F25,"")</f>
        <v>TAXAS</v>
      </c>
      <c r="R25" s="737"/>
      <c r="S25" s="737"/>
      <c r="T25" s="737"/>
      <c r="U25" s="737"/>
      <c r="V25" s="737"/>
      <c r="W25" s="737"/>
      <c r="X25" s="737"/>
      <c r="Y25" s="738"/>
      <c r="Z25" s="451"/>
      <c r="AA25" s="452"/>
      <c r="AB25" s="450"/>
      <c r="EE25" s="601"/>
      <c r="EF25" s="602"/>
    </row>
    <row r="26" spans="1:137" ht="30" customHeight="1" thickBot="1" x14ac:dyDescent="0.5">
      <c r="A26" s="372">
        <v>12</v>
      </c>
      <c r="B26" s="391" t="s">
        <v>76</v>
      </c>
      <c r="C26" s="392" t="s">
        <v>43</v>
      </c>
      <c r="D26" s="372" t="s">
        <v>78</v>
      </c>
      <c r="E26" s="372" t="s">
        <v>51</v>
      </c>
      <c r="F26" s="712" t="s">
        <v>89</v>
      </c>
      <c r="G26" s="713"/>
      <c r="H26" s="713"/>
      <c r="I26" s="713"/>
      <c r="J26" s="713"/>
      <c r="K26" s="714"/>
      <c r="L26" s="453" t="s">
        <v>45</v>
      </c>
      <c r="M26" s="454" t="s">
        <v>46</v>
      </c>
      <c r="N26" s="455" t="s">
        <v>28</v>
      </c>
      <c r="O26" s="450"/>
      <c r="Q26" s="739" t="str">
        <f>IF(F26&lt;&gt;"",F26,"")</f>
        <v>TAXAS</v>
      </c>
      <c r="R26" s="740"/>
      <c r="S26" s="740"/>
      <c r="T26" s="740"/>
      <c r="U26" s="740"/>
      <c r="V26" s="740"/>
      <c r="W26" s="740"/>
      <c r="X26" s="740"/>
      <c r="Y26" s="741"/>
      <c r="Z26" s="456" t="s">
        <v>47</v>
      </c>
      <c r="AA26" s="457" t="s">
        <v>39</v>
      </c>
      <c r="AB26" s="450"/>
      <c r="EE26" s="601"/>
      <c r="EF26" s="602"/>
    </row>
    <row r="27" spans="1:137" ht="80.099999999999994" customHeight="1" x14ac:dyDescent="0.45">
      <c r="A27" s="372">
        <v>13</v>
      </c>
      <c r="B27" s="391" t="s">
        <v>77</v>
      </c>
      <c r="C27" s="392" t="s">
        <v>49</v>
      </c>
      <c r="D27" s="372" t="s">
        <v>78</v>
      </c>
      <c r="E27" s="372" t="s">
        <v>51</v>
      </c>
      <c r="F27" s="458" t="s">
        <v>455</v>
      </c>
      <c r="G27" s="459" t="s">
        <v>93</v>
      </c>
      <c r="H27" s="460">
        <v>1</v>
      </c>
      <c r="I27" s="460">
        <v>0</v>
      </c>
      <c r="J27" s="461">
        <v>1800</v>
      </c>
      <c r="K27" s="420">
        <f t="shared" ref="K27" si="15">IF(F27&lt;&gt;"",H27*I27*J27,"")</f>
        <v>0</v>
      </c>
      <c r="L27" s="420">
        <f t="shared" ref="L27" si="16">IF(K27&lt;&gt;"",IF(D27="INTERNO",0,K27*$L$14),"")</f>
        <v>0</v>
      </c>
      <c r="M27" s="420">
        <f t="shared" ref="M27" si="17">IF(K27&lt;&gt;"",IF(E27="FAT.OGGI",SUM(K27:L27)*(1/(1-$M$14)-1),L27*(1/(1-$M$14)-1)),"")</f>
        <v>0</v>
      </c>
      <c r="N27" s="421">
        <f t="shared" ref="N27" si="18">SUM(K27:M27)</f>
        <v>0</v>
      </c>
      <c r="O27" s="405"/>
      <c r="Q27" s="422">
        <f>IF(H27&lt;&gt;"",H27,"")</f>
        <v>1</v>
      </c>
      <c r="R27" s="423">
        <f>IF(I27&lt;&gt;"",I27,"")</f>
        <v>0</v>
      </c>
      <c r="S27" s="424">
        <v>1800</v>
      </c>
      <c r="T27" s="424">
        <f>IF(Q27&lt;&gt;"",Q27*R27*S27,"")</f>
        <v>0</v>
      </c>
      <c r="U27" s="425">
        <f>IF(Q27&lt;&gt;"",K27-T27,"")</f>
        <v>0</v>
      </c>
      <c r="V27" s="426">
        <f>IF(Q27&lt;&gt;"",0%,"")</f>
        <v>0</v>
      </c>
      <c r="W27" s="427">
        <f>IF(Q27&lt;&gt;"",V27*U27,"")</f>
        <v>0</v>
      </c>
      <c r="X27" s="427">
        <f>IF(Q27&lt;&gt;"",W27+T27,"")</f>
        <v>0</v>
      </c>
      <c r="Y27" s="428">
        <f>IF(Q27&lt;&gt;"",X27+M27,"")</f>
        <v>0</v>
      </c>
      <c r="Z27" s="413" t="e">
        <f>IF(Q27&lt;&gt;"",U27/K27,"")</f>
        <v>#DIV/0!</v>
      </c>
      <c r="AA27" s="414" t="e">
        <f>T27/$T$29</f>
        <v>#DIV/0!</v>
      </c>
      <c r="AB27" s="405"/>
      <c r="EE27" s="601">
        <f t="shared" si="12"/>
        <v>0</v>
      </c>
      <c r="EF27" s="602"/>
    </row>
    <row r="28" spans="1:137" ht="80.099999999999994" customHeight="1" x14ac:dyDescent="0.45">
      <c r="A28" s="372">
        <v>14</v>
      </c>
      <c r="B28" s="391" t="s">
        <v>82</v>
      </c>
      <c r="C28" s="392" t="s">
        <v>49</v>
      </c>
      <c r="D28" s="372" t="s">
        <v>78</v>
      </c>
      <c r="E28" s="372" t="s">
        <v>51</v>
      </c>
      <c r="F28" s="458" t="s">
        <v>456</v>
      </c>
      <c r="G28" s="459" t="s">
        <v>457</v>
      </c>
      <c r="H28" s="460">
        <v>1</v>
      </c>
      <c r="I28" s="460">
        <v>0</v>
      </c>
      <c r="J28" s="461">
        <v>2000</v>
      </c>
      <c r="K28" s="420">
        <f>IF(F28&lt;&gt;"",H28*I28*J28,"")</f>
        <v>0</v>
      </c>
      <c r="L28" s="420">
        <f>IF(K28&lt;&gt;"",IF(D28="INTERNO",0,K28*$L$14),"")</f>
        <v>0</v>
      </c>
      <c r="M28" s="420">
        <f>IF(K28&lt;&gt;"",IF(E28="FAT.OGGI",SUM(K28:L28)*(1/(1-$M$14)-1),L28*(1/(1-$M$14)-1)),"")</f>
        <v>0</v>
      </c>
      <c r="N28" s="421">
        <f>SUM(K28:M28)</f>
        <v>0</v>
      </c>
      <c r="O28" s="405"/>
      <c r="Q28" s="422">
        <f>IF(H28&lt;&gt;"",H28,"")</f>
        <v>1</v>
      </c>
      <c r="R28" s="423">
        <f>IF(I28&lt;&gt;"",I28,"")</f>
        <v>0</v>
      </c>
      <c r="S28" s="424">
        <v>2000</v>
      </c>
      <c r="T28" s="424">
        <f>IF(Q28&lt;&gt;"",Q28*R28*S28,"")</f>
        <v>0</v>
      </c>
      <c r="U28" s="425">
        <f>IF(Q28&lt;&gt;"",K28-T28,"")</f>
        <v>0</v>
      </c>
      <c r="V28" s="426">
        <f>IF(Q28&lt;&gt;"",0%,"")</f>
        <v>0</v>
      </c>
      <c r="W28" s="427">
        <f>IF(Q28&lt;&gt;"",V28*U28,"")</f>
        <v>0</v>
      </c>
      <c r="X28" s="427">
        <f>IF(Q28&lt;&gt;"",W28+T28,"")</f>
        <v>0</v>
      </c>
      <c r="Y28" s="428">
        <f>IF(Q28&lt;&gt;"",X28+M28,"")</f>
        <v>0</v>
      </c>
      <c r="Z28" s="429" t="e">
        <f>IF(Q28&lt;&gt;"",U28/K28,"")</f>
        <v>#DIV/0!</v>
      </c>
      <c r="AA28" s="430" t="e">
        <f>T28/$T$29</f>
        <v>#DIV/0!</v>
      </c>
      <c r="AB28" s="405"/>
      <c r="EE28" s="601">
        <f t="shared" si="12"/>
        <v>0</v>
      </c>
      <c r="EF28" s="602"/>
    </row>
    <row r="29" spans="1:137" ht="30" customHeight="1" thickBot="1" x14ac:dyDescent="0.5">
      <c r="A29" s="415">
        <v>15</v>
      </c>
      <c r="B29" s="391"/>
      <c r="C29" s="416" t="s">
        <v>72</v>
      </c>
      <c r="D29" s="415"/>
      <c r="E29" s="415"/>
      <c r="F29" s="742" t="s">
        <v>97</v>
      </c>
      <c r="G29" s="743"/>
      <c r="H29" s="743"/>
      <c r="I29" s="743"/>
      <c r="J29" s="743"/>
      <c r="K29" s="442">
        <f>SUM(K27:K28)</f>
        <v>0</v>
      </c>
      <c r="L29" s="442">
        <f>SUM(L27:L28)</f>
        <v>0</v>
      </c>
      <c r="M29" s="442">
        <f>SUM(M27:M28)</f>
        <v>0</v>
      </c>
      <c r="N29" s="443">
        <f>SUM(N27:N28)</f>
        <v>0</v>
      </c>
      <c r="O29" s="405"/>
      <c r="Q29" s="744" t="s">
        <v>97</v>
      </c>
      <c r="R29" s="745"/>
      <c r="S29" s="746"/>
      <c r="T29" s="462">
        <f>SUM(T27:T28)</f>
        <v>0</v>
      </c>
      <c r="U29" s="445">
        <f>SUM(U27:U28)</f>
        <v>0</v>
      </c>
      <c r="V29" s="446"/>
      <c r="W29" s="447"/>
      <c r="X29" s="448">
        <f>SUM(X27:X28)</f>
        <v>0</v>
      </c>
      <c r="Y29" s="449">
        <f>IF(Q29&lt;&gt;"",X29+M29,"")</f>
        <v>0</v>
      </c>
      <c r="Z29" s="429"/>
      <c r="AA29" s="430"/>
      <c r="AB29" s="405"/>
      <c r="EE29" s="601"/>
      <c r="EF29" s="602"/>
    </row>
    <row r="30" spans="1:137" ht="30" customHeight="1" thickBot="1" x14ac:dyDescent="0.5">
      <c r="A30" s="372">
        <v>16</v>
      </c>
      <c r="B30" s="391">
        <v>3</v>
      </c>
      <c r="C30" s="392" t="s">
        <v>40</v>
      </c>
      <c r="D30" s="372"/>
      <c r="E30" s="372"/>
      <c r="F30" s="688" t="s">
        <v>98</v>
      </c>
      <c r="G30" s="689"/>
      <c r="H30" s="689"/>
      <c r="I30" s="689"/>
      <c r="J30" s="689"/>
      <c r="K30" s="689"/>
      <c r="L30" s="689"/>
      <c r="M30" s="689"/>
      <c r="N30" s="690"/>
      <c r="Q30" s="727" t="str">
        <f>IF(F30&lt;&gt;"",F30,"")</f>
        <v>CREDENCIAMENTO &amp; RECEPÇÃO</v>
      </c>
      <c r="R30" s="728"/>
      <c r="S30" s="728"/>
      <c r="T30" s="728"/>
      <c r="U30" s="728"/>
      <c r="V30" s="728"/>
      <c r="W30" s="728"/>
      <c r="X30" s="728"/>
      <c r="Y30" s="729"/>
      <c r="Z30" s="463"/>
      <c r="AA30" s="464"/>
      <c r="EE30" s="601"/>
      <c r="EF30" s="602"/>
    </row>
    <row r="31" spans="1:137" ht="30" customHeight="1" x14ac:dyDescent="0.45">
      <c r="A31" s="415">
        <v>17</v>
      </c>
      <c r="B31" s="391" t="s">
        <v>90</v>
      </c>
      <c r="C31" s="416" t="s">
        <v>43</v>
      </c>
      <c r="D31" s="415"/>
      <c r="E31" s="415"/>
      <c r="F31" s="730" t="s">
        <v>98</v>
      </c>
      <c r="G31" s="731"/>
      <c r="H31" s="731"/>
      <c r="I31" s="731"/>
      <c r="J31" s="731"/>
      <c r="K31" s="732"/>
      <c r="L31" s="466" t="s">
        <v>45</v>
      </c>
      <c r="M31" s="467" t="s">
        <v>46</v>
      </c>
      <c r="N31" s="468" t="s">
        <v>28</v>
      </c>
      <c r="Q31" s="733" t="str">
        <f>IF(F31&lt;&gt;"",F31,"")</f>
        <v>CREDENCIAMENTO &amp; RECEPÇÃO</v>
      </c>
      <c r="R31" s="734"/>
      <c r="S31" s="734"/>
      <c r="T31" s="734"/>
      <c r="U31" s="734"/>
      <c r="V31" s="734"/>
      <c r="W31" s="734"/>
      <c r="X31" s="734"/>
      <c r="Y31" s="735"/>
      <c r="Z31" s="469" t="s">
        <v>47</v>
      </c>
      <c r="AA31" s="470" t="s">
        <v>39</v>
      </c>
      <c r="EE31" s="601"/>
      <c r="EF31" s="602"/>
    </row>
    <row r="32" spans="1:137" ht="80.099999999999994" customHeight="1" x14ac:dyDescent="0.45">
      <c r="A32" s="372">
        <v>18</v>
      </c>
      <c r="B32" s="391" t="s">
        <v>91</v>
      </c>
      <c r="C32" s="392" t="s">
        <v>49</v>
      </c>
      <c r="D32" s="372" t="s">
        <v>78</v>
      </c>
      <c r="E32" s="372" t="s">
        <v>51</v>
      </c>
      <c r="F32" s="471" t="s">
        <v>101</v>
      </c>
      <c r="G32" s="418" t="s">
        <v>442</v>
      </c>
      <c r="H32" s="472">
        <v>189</v>
      </c>
      <c r="I32" s="419">
        <v>1</v>
      </c>
      <c r="J32" s="420">
        <v>8.5</v>
      </c>
      <c r="K32" s="420">
        <f t="shared" ref="K32:K40" si="19">IF(F32&lt;&gt;"",H32*I32*J32,"")</f>
        <v>1606.5</v>
      </c>
      <c r="L32" s="420">
        <f t="shared" ref="L32:L40" si="20">IF(K32&lt;&gt;"",IF(D32="INTERNO",0,K32*$L$14),"")</f>
        <v>160.65</v>
      </c>
      <c r="M32" s="420">
        <f t="shared" ref="M32:M40" si="21">IF(K32&lt;&gt;"",IF(E32="FAT.OGGI",SUM(K32:L32)*(1/(1-$M$14)-1),L32*(1/(1-$M$14)-1)),"")</f>
        <v>428.88578973530525</v>
      </c>
      <c r="N32" s="420">
        <f t="shared" ref="N32:N40" si="22">SUM(K32:M32)</f>
        <v>2196.0357897353051</v>
      </c>
      <c r="O32" s="473"/>
      <c r="Q32" s="422">
        <v>1</v>
      </c>
      <c r="R32" s="423">
        <f t="shared" ref="R32:R35" si="23">IF(I32&lt;&gt;"",I32,"")</f>
        <v>1</v>
      </c>
      <c r="S32" s="424">
        <v>2192.1</v>
      </c>
      <c r="T32" s="424">
        <v>2185.1</v>
      </c>
      <c r="U32" s="425">
        <f t="shared" ref="U32:U40" si="24">IF(Q32&lt;&gt;"",K32-T32,"")</f>
        <v>-578.59999999999991</v>
      </c>
      <c r="V32" s="426">
        <f t="shared" ref="V32:V40" si="25">IF(Q32&lt;&gt;"",0%,"")</f>
        <v>0</v>
      </c>
      <c r="W32" s="427">
        <f t="shared" ref="W32:W40" si="26">IF(Q32&lt;&gt;"",V32*U32,"")</f>
        <v>0</v>
      </c>
      <c r="X32" s="427">
        <f t="shared" ref="X32:X40" si="27">IF(Q32&lt;&gt;"",W32+T32,"")</f>
        <v>2185.1</v>
      </c>
      <c r="Y32" s="428">
        <f t="shared" ref="Y32:Y42" si="28">IF(Q32&lt;&gt;"",X32+M32,"")</f>
        <v>2613.9857897353049</v>
      </c>
      <c r="Z32" s="474">
        <f t="shared" ref="Z32:Z40" si="29">IF(Q32&lt;&gt;"",U32/K32,"")</f>
        <v>-0.36016184251478361</v>
      </c>
      <c r="AA32" s="430">
        <f>T32/$T$42</f>
        <v>0.54165737091296706</v>
      </c>
      <c r="AB32" s="473" t="s">
        <v>423</v>
      </c>
      <c r="EE32" s="601">
        <f t="shared" si="12"/>
        <v>0</v>
      </c>
      <c r="EF32" s="602">
        <v>2185.1</v>
      </c>
      <c r="EG32" s="609" t="s">
        <v>488</v>
      </c>
    </row>
    <row r="33" spans="1:137" ht="80.099999999999994" customHeight="1" x14ac:dyDescent="0.45">
      <c r="A33" s="372">
        <v>19</v>
      </c>
      <c r="B33" s="391" t="s">
        <v>94</v>
      </c>
      <c r="C33" s="392" t="s">
        <v>49</v>
      </c>
      <c r="D33" s="372" t="s">
        <v>78</v>
      </c>
      <c r="E33" s="372" t="s">
        <v>51</v>
      </c>
      <c r="F33" s="471" t="s">
        <v>104</v>
      </c>
      <c r="G33" s="418" t="s">
        <v>447</v>
      </c>
      <c r="H33" s="472">
        <v>195</v>
      </c>
      <c r="I33" s="419">
        <v>1</v>
      </c>
      <c r="J33" s="420">
        <v>9.49</v>
      </c>
      <c r="K33" s="420">
        <f>IF(F33&lt;&gt;"",H33*I33*J33,"")</f>
        <v>1850.55</v>
      </c>
      <c r="L33" s="420">
        <f>IF(K33&lt;&gt;"",IF(D33="INTERNO",0,K33*$L$14),"")</f>
        <v>185.05500000000001</v>
      </c>
      <c r="M33" s="420">
        <f>IF(K33&lt;&gt;"",IF(E33="FAT.OGGI",SUM(K33:L33)*(1/(1-$M$14)-1),L33*(1/(1-$M$14)-1)),"")</f>
        <v>494.03958804523444</v>
      </c>
      <c r="N33" s="420">
        <f>SUM(K33:M33)</f>
        <v>2529.6445880452343</v>
      </c>
      <c r="O33" s="473"/>
      <c r="Q33" s="475">
        <v>1</v>
      </c>
      <c r="R33" s="476">
        <f t="shared" si="23"/>
        <v>1</v>
      </c>
      <c r="S33" s="477">
        <f>1188.3+ 611.5</f>
        <v>1799.8</v>
      </c>
      <c r="T33" s="477">
        <v>1188.3</v>
      </c>
      <c r="U33" s="478">
        <f>IF(Q33&lt;&gt;"",K33-T33,"")</f>
        <v>662.25</v>
      </c>
      <c r="V33" s="479">
        <f>IF(Q33&lt;&gt;"",0%,"")</f>
        <v>0</v>
      </c>
      <c r="W33" s="480">
        <f>IF(Q33&lt;&gt;"",V33*U33,"")</f>
        <v>0</v>
      </c>
      <c r="X33" s="480">
        <f>IF(Q33&lt;&gt;"",W33+T33,"")</f>
        <v>1188.3</v>
      </c>
      <c r="Y33" s="481">
        <f>IF(Q33&lt;&gt;"",X33+M33,"")</f>
        <v>1682.3395880452344</v>
      </c>
      <c r="Z33" s="474">
        <f>IF(Q33&lt;&gt;"",U33/K33,"")</f>
        <v>0.35786658020588474</v>
      </c>
      <c r="AA33" s="430">
        <f t="shared" ref="AA33:AA41" si="30">T33/$T$42</f>
        <v>0.29456384323640966</v>
      </c>
      <c r="AB33" s="473" t="s">
        <v>422</v>
      </c>
      <c r="EE33" s="601">
        <f t="shared" si="12"/>
        <v>0</v>
      </c>
      <c r="EF33" s="602">
        <v>1188.3</v>
      </c>
      <c r="EG33" s="609" t="s">
        <v>484</v>
      </c>
    </row>
    <row r="34" spans="1:137" ht="80.099999999999994" customHeight="1" x14ac:dyDescent="0.45">
      <c r="A34" s="415">
        <v>20</v>
      </c>
      <c r="B34" s="391" t="s">
        <v>283</v>
      </c>
      <c r="C34" s="416" t="s">
        <v>49</v>
      </c>
      <c r="D34" s="372" t="s">
        <v>78</v>
      </c>
      <c r="E34" s="372" t="s">
        <v>51</v>
      </c>
      <c r="F34" s="471" t="s">
        <v>284</v>
      </c>
      <c r="G34" s="418" t="s">
        <v>285</v>
      </c>
      <c r="H34" s="419">
        <v>10</v>
      </c>
      <c r="I34" s="419">
        <v>1</v>
      </c>
      <c r="J34" s="420">
        <v>18</v>
      </c>
      <c r="K34" s="420">
        <f>IF(F34&lt;&gt;"",H34*I34*J34,"")</f>
        <v>180</v>
      </c>
      <c r="L34" s="420">
        <f>IF(K34&lt;&gt;"",IF(D34="INTERNO",0,K34*$L$14),"")</f>
        <v>18</v>
      </c>
      <c r="M34" s="420">
        <f>IF(K34&lt;&gt;"",IF(E34="FAT.OGGI",SUM(K34:L34)*(1/(1-$M$14)-1),L34*(1/(1-$M$14)-1)),"")</f>
        <v>48.054430222443159</v>
      </c>
      <c r="N34" s="420">
        <f>SUM(K34:M34)</f>
        <v>246.05443022244316</v>
      </c>
      <c r="O34" s="473"/>
      <c r="Q34" s="482">
        <f>IF(H34&lt;&gt;"",H34,"")</f>
        <v>10</v>
      </c>
      <c r="R34" s="483">
        <f>IF(I34&lt;&gt;"",I34,"")</f>
        <v>1</v>
      </c>
      <c r="S34" s="484">
        <v>0</v>
      </c>
      <c r="T34" s="484">
        <f>IF(Q34&lt;&gt;"",Q34*R34*S34,"")</f>
        <v>0</v>
      </c>
      <c r="U34" s="485">
        <f>IF(Q34&lt;&gt;"",K34-T34,"")</f>
        <v>180</v>
      </c>
      <c r="V34" s="486">
        <f>IF(Q34&lt;&gt;"",0%,"")</f>
        <v>0</v>
      </c>
      <c r="W34" s="487">
        <f>IF(Q34&lt;&gt;"",V34*U34,"")</f>
        <v>0</v>
      </c>
      <c r="X34" s="487">
        <f>IF(Q34&lt;&gt;"",W34+T34,"")</f>
        <v>0</v>
      </c>
      <c r="Y34" s="428">
        <f>IF(Q34&lt;&gt;"",X34+M34,"")</f>
        <v>48.054430222443159</v>
      </c>
      <c r="Z34" s="474">
        <f>IF(Q34&lt;&gt;"",U34/K34,"")</f>
        <v>1</v>
      </c>
      <c r="AA34" s="430">
        <f t="shared" si="30"/>
        <v>0</v>
      </c>
      <c r="AB34" s="473" t="s">
        <v>423</v>
      </c>
      <c r="EE34" s="601">
        <f t="shared" si="12"/>
        <v>0</v>
      </c>
      <c r="EF34" s="602"/>
    </row>
    <row r="35" spans="1:137" ht="80.099999999999994" customHeight="1" x14ac:dyDescent="0.45">
      <c r="A35" s="431">
        <v>21</v>
      </c>
      <c r="B35" s="391" t="s">
        <v>286</v>
      </c>
      <c r="C35" s="432" t="s">
        <v>49</v>
      </c>
      <c r="D35" s="431" t="s">
        <v>78</v>
      </c>
      <c r="E35" s="431" t="s">
        <v>51</v>
      </c>
      <c r="F35" s="471" t="s">
        <v>107</v>
      </c>
      <c r="G35" s="488" t="s">
        <v>287</v>
      </c>
      <c r="H35" s="460">
        <v>2</v>
      </c>
      <c r="I35" s="419">
        <v>1</v>
      </c>
      <c r="J35" s="420">
        <v>300</v>
      </c>
      <c r="K35" s="420">
        <f t="shared" si="19"/>
        <v>600</v>
      </c>
      <c r="L35" s="420">
        <f t="shared" si="20"/>
        <v>60</v>
      </c>
      <c r="M35" s="420">
        <f t="shared" si="21"/>
        <v>160.18143407481054</v>
      </c>
      <c r="N35" s="420">
        <f t="shared" si="22"/>
        <v>820.18143407481057</v>
      </c>
      <c r="O35" s="473"/>
      <c r="Q35" s="489">
        <v>1</v>
      </c>
      <c r="R35" s="490">
        <f t="shared" si="23"/>
        <v>1</v>
      </c>
      <c r="S35" s="491">
        <f>260+400.7</f>
        <v>660.7</v>
      </c>
      <c r="T35" s="491">
        <v>660.7</v>
      </c>
      <c r="U35" s="492">
        <f t="shared" si="24"/>
        <v>-60.700000000000045</v>
      </c>
      <c r="V35" s="493">
        <f t="shared" si="25"/>
        <v>0</v>
      </c>
      <c r="W35" s="494">
        <f t="shared" si="26"/>
        <v>0</v>
      </c>
      <c r="X35" s="494">
        <f t="shared" si="27"/>
        <v>660.7</v>
      </c>
      <c r="Y35" s="495">
        <f t="shared" si="28"/>
        <v>820.88143407481061</v>
      </c>
      <c r="Z35" s="474">
        <f t="shared" si="29"/>
        <v>-0.10116666666666674</v>
      </c>
      <c r="AA35" s="430">
        <f t="shared" si="30"/>
        <v>0.16377878585062347</v>
      </c>
      <c r="EE35" s="601">
        <f t="shared" si="12"/>
        <v>0</v>
      </c>
      <c r="EF35" s="602">
        <f>260+400.7</f>
        <v>660.7</v>
      </c>
      <c r="EG35" s="609" t="s">
        <v>481</v>
      </c>
    </row>
    <row r="36" spans="1:137" ht="80.099999999999994" customHeight="1" x14ac:dyDescent="0.45">
      <c r="A36" s="415">
        <v>22</v>
      </c>
      <c r="B36" s="391" t="s">
        <v>288</v>
      </c>
      <c r="C36" s="416" t="s">
        <v>49</v>
      </c>
      <c r="D36" s="431" t="s">
        <v>78</v>
      </c>
      <c r="E36" s="431" t="s">
        <v>51</v>
      </c>
      <c r="F36" s="471" t="s">
        <v>188</v>
      </c>
      <c r="G36" s="418" t="s">
        <v>189</v>
      </c>
      <c r="H36" s="419">
        <v>30</v>
      </c>
      <c r="I36" s="419">
        <v>1</v>
      </c>
      <c r="J36" s="433">
        <v>14.6</v>
      </c>
      <c r="K36" s="420">
        <f>IF(F36&lt;&gt;"",H36*I36*J36,"")</f>
        <v>438</v>
      </c>
      <c r="L36" s="420">
        <f>IF(K36&lt;&gt;"",IF(D36="INTERNO",0,K36*$L$14),"")</f>
        <v>43.800000000000004</v>
      </c>
      <c r="M36" s="420">
        <f>IF(K36&lt;&gt;"",IF(E36="FAT.OGGI",SUM(K36:L36)*(1/(1-$M$14)-1),L36*(1/(1-$M$14)-1)),"")</f>
        <v>116.9324468746117</v>
      </c>
      <c r="N36" s="420">
        <f>SUM(K36:M36)</f>
        <v>598.7324468746117</v>
      </c>
      <c r="O36" s="473"/>
      <c r="Q36" s="482">
        <f>IF(H36&lt;&gt;"",H36,"")</f>
        <v>30</v>
      </c>
      <c r="R36" s="483">
        <v>1</v>
      </c>
      <c r="S36" s="484">
        <v>0</v>
      </c>
      <c r="T36" s="484">
        <f>IF(Q36&lt;&gt;"",Q36*R36*S36,"")</f>
        <v>0</v>
      </c>
      <c r="U36" s="485">
        <f>IF(Q36&lt;&gt;"",K36-T36,"")</f>
        <v>438</v>
      </c>
      <c r="V36" s="486">
        <f>IF(Q36&lt;&gt;"",0%,"")</f>
        <v>0</v>
      </c>
      <c r="W36" s="487">
        <f>IF(Q36&lt;&gt;"",V36*U36,"")</f>
        <v>0</v>
      </c>
      <c r="X36" s="487">
        <f>IF(Q36&lt;&gt;"",W36+T36,"")</f>
        <v>0</v>
      </c>
      <c r="Y36" s="428">
        <f>IF(Q36&lt;&gt;"",X36+M36,"")</f>
        <v>116.9324468746117</v>
      </c>
      <c r="Z36" s="474">
        <f>IF(Q36&lt;&gt;"",U36/K36,"")</f>
        <v>1</v>
      </c>
      <c r="AA36" s="430">
        <f t="shared" si="30"/>
        <v>0</v>
      </c>
      <c r="AB36" s="473" t="s">
        <v>423</v>
      </c>
      <c r="EE36" s="601">
        <f t="shared" si="12"/>
        <v>0</v>
      </c>
      <c r="EF36" s="602"/>
    </row>
    <row r="37" spans="1:137" ht="80.099999999999994" customHeight="1" x14ac:dyDescent="0.45">
      <c r="A37" s="415">
        <v>23</v>
      </c>
      <c r="B37" s="391" t="s">
        <v>289</v>
      </c>
      <c r="C37" s="416" t="s">
        <v>49</v>
      </c>
      <c r="D37" s="431" t="s">
        <v>78</v>
      </c>
      <c r="E37" s="431" t="s">
        <v>51</v>
      </c>
      <c r="F37" s="471" t="s">
        <v>290</v>
      </c>
      <c r="G37" s="418" t="s">
        <v>439</v>
      </c>
      <c r="H37" s="472">
        <v>30</v>
      </c>
      <c r="I37" s="419">
        <v>1</v>
      </c>
      <c r="J37" s="433">
        <v>12.49</v>
      </c>
      <c r="K37" s="420">
        <f>IF(F37&lt;&gt;"",H37*I37*J37,"")</f>
        <v>374.7</v>
      </c>
      <c r="L37" s="420">
        <f>IF(K37&lt;&gt;"",IF(D37="INTERNO",0,K37*$L$14),"")</f>
        <v>37.47</v>
      </c>
      <c r="M37" s="420">
        <f>IF(K37&lt;&gt;"",IF(E37="FAT.OGGI",SUM(K37:L37)*(1/(1-$M$14)-1),L37*(1/(1-$M$14)-1)),"")</f>
        <v>100.03330557971917</v>
      </c>
      <c r="N37" s="420">
        <f>SUM(K37:M37)</f>
        <v>512.20330557971909</v>
      </c>
      <c r="O37" s="473"/>
      <c r="Q37" s="482">
        <f>IF(H37&lt;&gt;"",H37,"")</f>
        <v>30</v>
      </c>
      <c r="R37" s="483">
        <f>IF(I37&lt;&gt;"",I37,"")</f>
        <v>1</v>
      </c>
      <c r="S37" s="484">
        <v>0</v>
      </c>
      <c r="T37" s="484">
        <f>IF(Q37&lt;&gt;"",Q37*R37*S37,"")</f>
        <v>0</v>
      </c>
      <c r="U37" s="485">
        <f>IF(Q37&lt;&gt;"",K37-T37,"")</f>
        <v>374.7</v>
      </c>
      <c r="V37" s="486">
        <f>IF(Q37&lt;&gt;"",0%,"")</f>
        <v>0</v>
      </c>
      <c r="W37" s="487">
        <f>IF(Q37&lt;&gt;"",V37*U37,"")</f>
        <v>0</v>
      </c>
      <c r="X37" s="487">
        <f>IF(Q37&lt;&gt;"",W37+T37,"")</f>
        <v>0</v>
      </c>
      <c r="Y37" s="428">
        <f>IF(Q37&lt;&gt;"",X37+M37,"")</f>
        <v>100.03330557971917</v>
      </c>
      <c r="Z37" s="474">
        <f>IF(Q37&lt;&gt;"",U37/K37,"")</f>
        <v>1</v>
      </c>
      <c r="AA37" s="430">
        <f t="shared" si="30"/>
        <v>0</v>
      </c>
      <c r="AB37" s="473" t="s">
        <v>423</v>
      </c>
      <c r="EE37" s="601">
        <f t="shared" si="12"/>
        <v>0</v>
      </c>
      <c r="EF37" s="602"/>
    </row>
    <row r="38" spans="1:137" ht="80.099999999999994" customHeight="1" x14ac:dyDescent="0.45">
      <c r="A38" s="372">
        <v>24</v>
      </c>
      <c r="B38" s="391" t="s">
        <v>291</v>
      </c>
      <c r="C38" s="392" t="s">
        <v>49</v>
      </c>
      <c r="D38" s="431" t="s">
        <v>78</v>
      </c>
      <c r="E38" s="431" t="s">
        <v>51</v>
      </c>
      <c r="F38" s="471" t="s">
        <v>292</v>
      </c>
      <c r="G38" s="418" t="s">
        <v>440</v>
      </c>
      <c r="H38" s="419">
        <v>1</v>
      </c>
      <c r="I38" s="419">
        <v>1</v>
      </c>
      <c r="J38" s="433">
        <v>1800</v>
      </c>
      <c r="K38" s="420">
        <f>IF(F38&lt;&gt;"",H38*I38*J38,"")</f>
        <v>1800</v>
      </c>
      <c r="L38" s="420">
        <f>IF(K38&lt;&gt;"",IF(D38="INTERNO",0,K38*$L$14),"")</f>
        <v>180</v>
      </c>
      <c r="M38" s="420">
        <f>IF(K38&lt;&gt;"",IF(E38="FAT.OGGI",SUM(K38:L38)*(1/(1-$M$14)-1),L38*(1/(1-$M$14)-1)),"")</f>
        <v>480.54430222443165</v>
      </c>
      <c r="N38" s="420">
        <f>SUM(K38:M38)</f>
        <v>2460.5443022244317</v>
      </c>
      <c r="Q38" s="496">
        <f>IF(H38&lt;&gt;"",H38,"")</f>
        <v>1</v>
      </c>
      <c r="R38" s="497">
        <f>IF(I38&lt;&gt;"",I38,"")</f>
        <v>1</v>
      </c>
      <c r="S38" s="498">
        <v>517.04999999999995</v>
      </c>
      <c r="T38" s="498">
        <v>0</v>
      </c>
      <c r="U38" s="499">
        <f>IF(Q38&lt;&gt;"",K38-T38,"")</f>
        <v>1800</v>
      </c>
      <c r="V38" s="500">
        <f>IF(Q38&lt;&gt;"",0%,"")</f>
        <v>0</v>
      </c>
      <c r="W38" s="501">
        <f>IF(Q38&lt;&gt;"",V38*U38,"")</f>
        <v>0</v>
      </c>
      <c r="X38" s="501">
        <f>IF(Q38&lt;&gt;"",W38+T38,"")</f>
        <v>0</v>
      </c>
      <c r="Y38" s="481">
        <f>IF(Q38&lt;&gt;"",X38+M38,"")</f>
        <v>480.54430222443165</v>
      </c>
      <c r="Z38" s="474">
        <f>IF(Q38&lt;&gt;"",U38/K38,"")</f>
        <v>1</v>
      </c>
      <c r="AA38" s="430">
        <f t="shared" si="30"/>
        <v>0</v>
      </c>
      <c r="EE38" s="601">
        <f t="shared" si="12"/>
        <v>0</v>
      </c>
      <c r="EF38" s="602"/>
    </row>
    <row r="39" spans="1:137" ht="80.099999999999994" customHeight="1" x14ac:dyDescent="0.45">
      <c r="A39" s="372">
        <v>25</v>
      </c>
      <c r="B39" s="391" t="s">
        <v>293</v>
      </c>
      <c r="C39" s="392" t="s">
        <v>49</v>
      </c>
      <c r="D39" s="372" t="s">
        <v>78</v>
      </c>
      <c r="E39" s="372" t="s">
        <v>51</v>
      </c>
      <c r="F39" s="471" t="s">
        <v>125</v>
      </c>
      <c r="G39" s="418" t="s">
        <v>126</v>
      </c>
      <c r="H39" s="419">
        <v>2</v>
      </c>
      <c r="I39" s="419">
        <v>1</v>
      </c>
      <c r="J39" s="433">
        <v>48</v>
      </c>
      <c r="K39" s="420">
        <f t="shared" si="19"/>
        <v>96</v>
      </c>
      <c r="L39" s="420">
        <f t="shared" si="20"/>
        <v>9.6000000000000014</v>
      </c>
      <c r="M39" s="420">
        <f t="shared" si="21"/>
        <v>25.629029451969686</v>
      </c>
      <c r="N39" s="420">
        <f t="shared" si="22"/>
        <v>131.22902945196967</v>
      </c>
      <c r="Q39" s="423">
        <f t="shared" ref="Q39:R40" si="31">IF(H39&lt;&gt;"",H39,"")</f>
        <v>2</v>
      </c>
      <c r="R39" s="423">
        <f t="shared" si="31"/>
        <v>1</v>
      </c>
      <c r="S39" s="424">
        <v>0</v>
      </c>
      <c r="T39" s="424">
        <f t="shared" ref="T39" si="32">IF(Q39&lt;&gt;"",Q39*R39*S39,"")</f>
        <v>0</v>
      </c>
      <c r="U39" s="425">
        <f t="shared" si="24"/>
        <v>96</v>
      </c>
      <c r="V39" s="426">
        <f t="shared" si="25"/>
        <v>0</v>
      </c>
      <c r="W39" s="427">
        <f t="shared" si="26"/>
        <v>0</v>
      </c>
      <c r="X39" s="427">
        <f t="shared" si="27"/>
        <v>0</v>
      </c>
      <c r="Y39" s="427">
        <f t="shared" si="28"/>
        <v>25.629029451969686</v>
      </c>
      <c r="Z39" s="502">
        <f t="shared" si="29"/>
        <v>1</v>
      </c>
      <c r="AA39" s="503">
        <f t="shared" si="30"/>
        <v>0</v>
      </c>
      <c r="EE39" s="601">
        <f t="shared" si="12"/>
        <v>0</v>
      </c>
      <c r="EF39" s="602"/>
    </row>
    <row r="40" spans="1:137" ht="80.099999999999994" customHeight="1" x14ac:dyDescent="0.45">
      <c r="A40" s="504">
        <v>26</v>
      </c>
      <c r="B40" s="391" t="s">
        <v>294</v>
      </c>
      <c r="C40" s="505" t="s">
        <v>49</v>
      </c>
      <c r="D40" s="431" t="s">
        <v>78</v>
      </c>
      <c r="E40" s="431" t="s">
        <v>51</v>
      </c>
      <c r="F40" s="471" t="s">
        <v>128</v>
      </c>
      <c r="G40" s="418" t="s">
        <v>129</v>
      </c>
      <c r="H40" s="419">
        <v>1</v>
      </c>
      <c r="I40" s="419">
        <v>1</v>
      </c>
      <c r="J40" s="420">
        <v>320</v>
      </c>
      <c r="K40" s="420">
        <f t="shared" si="19"/>
        <v>320</v>
      </c>
      <c r="L40" s="420">
        <f t="shared" si="20"/>
        <v>32</v>
      </c>
      <c r="M40" s="420">
        <f t="shared" si="21"/>
        <v>85.430098173232295</v>
      </c>
      <c r="N40" s="420">
        <f t="shared" si="22"/>
        <v>437.4300981732323</v>
      </c>
      <c r="Q40" s="423">
        <f t="shared" si="31"/>
        <v>1</v>
      </c>
      <c r="R40" s="423">
        <f t="shared" si="31"/>
        <v>1</v>
      </c>
      <c r="S40" s="424">
        <v>50</v>
      </c>
      <c r="T40" s="424">
        <v>0</v>
      </c>
      <c r="U40" s="425">
        <f t="shared" si="24"/>
        <v>320</v>
      </c>
      <c r="V40" s="426">
        <f t="shared" si="25"/>
        <v>0</v>
      </c>
      <c r="W40" s="427">
        <f t="shared" si="26"/>
        <v>0</v>
      </c>
      <c r="X40" s="427">
        <f t="shared" si="27"/>
        <v>0</v>
      </c>
      <c r="Y40" s="427">
        <f t="shared" si="28"/>
        <v>85.430098173232295</v>
      </c>
      <c r="Z40" s="502">
        <f t="shared" si="29"/>
        <v>1</v>
      </c>
      <c r="AA40" s="503">
        <f t="shared" si="30"/>
        <v>0</v>
      </c>
      <c r="EE40" s="601">
        <f t="shared" si="12"/>
        <v>0</v>
      </c>
      <c r="EF40" s="602"/>
    </row>
    <row r="41" spans="1:137" ht="80.099999999999994" customHeight="1" x14ac:dyDescent="0.45">
      <c r="A41" s="372">
        <v>27</v>
      </c>
      <c r="B41" s="391" t="s">
        <v>295</v>
      </c>
      <c r="C41" s="392" t="s">
        <v>49</v>
      </c>
      <c r="D41" s="372" t="s">
        <v>78</v>
      </c>
      <c r="E41" s="372" t="s">
        <v>51</v>
      </c>
      <c r="F41" s="458" t="s">
        <v>458</v>
      </c>
      <c r="G41" s="418" t="s">
        <v>296</v>
      </c>
      <c r="H41" s="419">
        <v>1</v>
      </c>
      <c r="I41" s="419">
        <v>0</v>
      </c>
      <c r="J41" s="420">
        <v>2000</v>
      </c>
      <c r="K41" s="420">
        <f>IF(F41&lt;&gt;"",H41*I41*J41,"")</f>
        <v>0</v>
      </c>
      <c r="L41" s="420">
        <f>IF(K41&lt;&gt;"",IF(D41="INTERNO",0,K41*$L$14),"")</f>
        <v>0</v>
      </c>
      <c r="M41" s="420">
        <f>IF(K41&lt;&gt;"",IF(E41="FAT.OGGI",SUM(K41:L41)*(1/(1-$M$14)-1),L41*(1/(1-$M$14)-1)),"")</f>
        <v>0</v>
      </c>
      <c r="N41" s="420">
        <f>SUM(K41:M41)</f>
        <v>0</v>
      </c>
      <c r="Q41" s="423">
        <f t="shared" ref="Q41:R41" si="33">IF(H41&lt;&gt;"",H41,"")</f>
        <v>1</v>
      </c>
      <c r="R41" s="423">
        <f t="shared" si="33"/>
        <v>0</v>
      </c>
      <c r="S41" s="424">
        <v>1200</v>
      </c>
      <c r="T41" s="424">
        <f>IF(Q41&lt;&gt;"",Q41*R41*S41,"")</f>
        <v>0</v>
      </c>
      <c r="U41" s="425">
        <f>IF(Q41&lt;&gt;"",K41-T41,"")</f>
        <v>0</v>
      </c>
      <c r="V41" s="426">
        <f>IF(Q41&lt;&gt;"",0%,"")</f>
        <v>0</v>
      </c>
      <c r="W41" s="427">
        <f>IF(Q41&lt;&gt;"",V41*U41,"")</f>
        <v>0</v>
      </c>
      <c r="X41" s="427">
        <f>IF(Q41&lt;&gt;"",W41+T41,"")</f>
        <v>0</v>
      </c>
      <c r="Y41" s="427">
        <f>IF(Q41&lt;&gt;"",X41+M41,"")</f>
        <v>0</v>
      </c>
      <c r="Z41" s="502" t="e">
        <f>IF(Q41&lt;&gt;"",U41/K41,"")</f>
        <v>#DIV/0!</v>
      </c>
      <c r="AA41" s="503">
        <f t="shared" si="30"/>
        <v>0</v>
      </c>
      <c r="EE41" s="601">
        <f t="shared" si="12"/>
        <v>0</v>
      </c>
      <c r="EF41" s="602"/>
    </row>
    <row r="42" spans="1:137" ht="30" customHeight="1" thickBot="1" x14ac:dyDescent="0.5">
      <c r="A42" s="431">
        <v>28</v>
      </c>
      <c r="B42" s="391"/>
      <c r="C42" s="432" t="s">
        <v>72</v>
      </c>
      <c r="D42" s="431"/>
      <c r="E42" s="431"/>
      <c r="F42" s="694" t="s">
        <v>130</v>
      </c>
      <c r="G42" s="695"/>
      <c r="H42" s="695"/>
      <c r="I42" s="695"/>
      <c r="J42" s="695"/>
      <c r="K42" s="506">
        <f>SUM(K32:K41)</f>
        <v>7265.75</v>
      </c>
      <c r="L42" s="506">
        <f>SUM(L32:L41)</f>
        <v>726.57500000000005</v>
      </c>
      <c r="M42" s="506">
        <f>SUM(M32:M41)</f>
        <v>1939.730424381758</v>
      </c>
      <c r="N42" s="507">
        <f>SUM(N32:N41)</f>
        <v>9932.0554243817587</v>
      </c>
      <c r="Q42" s="721" t="s">
        <v>130</v>
      </c>
      <c r="R42" s="722"/>
      <c r="S42" s="722"/>
      <c r="T42" s="508">
        <f>SUM(T32:T41)</f>
        <v>4034.0999999999995</v>
      </c>
      <c r="U42" s="509">
        <f>SUM(U32:U41)</f>
        <v>3231.65</v>
      </c>
      <c r="V42" s="510"/>
      <c r="W42" s="511"/>
      <c r="X42" s="511">
        <f>SUM(X32:X41)</f>
        <v>4034.0999999999995</v>
      </c>
      <c r="Y42" s="512">
        <f t="shared" si="28"/>
        <v>5973.8304243817574</v>
      </c>
      <c r="Z42" s="513"/>
      <c r="AA42" s="514"/>
      <c r="EE42" s="601"/>
      <c r="EF42" s="602"/>
    </row>
    <row r="43" spans="1:137" ht="30" customHeight="1" thickBot="1" x14ac:dyDescent="0.5">
      <c r="A43" s="372">
        <v>29</v>
      </c>
      <c r="B43" s="391">
        <v>4</v>
      </c>
      <c r="C43" s="392" t="s">
        <v>40</v>
      </c>
      <c r="D43" s="372"/>
      <c r="E43" s="372"/>
      <c r="F43" s="724" t="s">
        <v>131</v>
      </c>
      <c r="G43" s="725"/>
      <c r="H43" s="725"/>
      <c r="I43" s="725"/>
      <c r="J43" s="725"/>
      <c r="K43" s="725"/>
      <c r="L43" s="725"/>
      <c r="M43" s="725"/>
      <c r="N43" s="726"/>
      <c r="Q43" s="727" t="str">
        <f>IF(F43&lt;&gt;"",F43,"")</f>
        <v>KIT PARTICIPANTE</v>
      </c>
      <c r="R43" s="728"/>
      <c r="S43" s="728"/>
      <c r="T43" s="728"/>
      <c r="U43" s="728"/>
      <c r="V43" s="728"/>
      <c r="W43" s="728"/>
      <c r="X43" s="728"/>
      <c r="Y43" s="729"/>
      <c r="Z43" s="515"/>
      <c r="AA43" s="516"/>
      <c r="EE43" s="601"/>
      <c r="EF43" s="602"/>
    </row>
    <row r="44" spans="1:137" ht="30" customHeight="1" x14ac:dyDescent="0.45">
      <c r="A44" s="372">
        <v>30</v>
      </c>
      <c r="B44" s="391" t="s">
        <v>99</v>
      </c>
      <c r="C44" s="392" t="s">
        <v>43</v>
      </c>
      <c r="D44" s="372"/>
      <c r="E44" s="372"/>
      <c r="F44" s="712" t="s">
        <v>131</v>
      </c>
      <c r="G44" s="713"/>
      <c r="H44" s="713"/>
      <c r="I44" s="713"/>
      <c r="J44" s="713"/>
      <c r="K44" s="714"/>
      <c r="L44" s="453" t="s">
        <v>45</v>
      </c>
      <c r="M44" s="454" t="s">
        <v>46</v>
      </c>
      <c r="N44" s="455" t="s">
        <v>28</v>
      </c>
      <c r="Q44" s="715" t="str">
        <f>IF(F44&lt;&gt;"",F44,"")</f>
        <v>KIT PARTICIPANTE</v>
      </c>
      <c r="R44" s="716"/>
      <c r="S44" s="716"/>
      <c r="T44" s="716"/>
      <c r="U44" s="716"/>
      <c r="V44" s="716"/>
      <c r="W44" s="716"/>
      <c r="X44" s="716"/>
      <c r="Y44" s="717"/>
      <c r="Z44" s="469" t="s">
        <v>47</v>
      </c>
      <c r="AA44" s="470" t="s">
        <v>39</v>
      </c>
      <c r="EE44" s="601"/>
      <c r="EF44" s="602"/>
    </row>
    <row r="45" spans="1:137" ht="80.099999999999994" customHeight="1" x14ac:dyDescent="0.45">
      <c r="A45" s="372">
        <v>31</v>
      </c>
      <c r="B45" s="391" t="s">
        <v>100</v>
      </c>
      <c r="C45" s="392" t="s">
        <v>49</v>
      </c>
      <c r="D45" s="372" t="s">
        <v>78</v>
      </c>
      <c r="E45" s="372" t="s">
        <v>51</v>
      </c>
      <c r="F45" s="471" t="s">
        <v>297</v>
      </c>
      <c r="G45" s="418" t="s">
        <v>298</v>
      </c>
      <c r="H45" s="472">
        <v>165</v>
      </c>
      <c r="I45" s="419">
        <v>1</v>
      </c>
      <c r="J45" s="420">
        <v>68.099999999999994</v>
      </c>
      <c r="K45" s="420">
        <f>IF(F45&lt;&gt;"",H45*I45*J45,"")</f>
        <v>11236.499999999998</v>
      </c>
      <c r="L45" s="420">
        <f>IF(K45&lt;&gt;"",IF(D45="INTERNO",0,K45*$L$14),"")</f>
        <v>1123.6499999999999</v>
      </c>
      <c r="M45" s="420">
        <f>IF(K45&lt;&gt;"",IF(E45="FAT.OGGI",SUM(K45:L45)*(1/(1-$M$14)-1),L45*(1/(1-$M$14)-1)),"")</f>
        <v>2999.7978066360138</v>
      </c>
      <c r="N45" s="420">
        <f>SUM(K45:M45)</f>
        <v>15359.947806636012</v>
      </c>
      <c r="Q45" s="422">
        <f>IF(H45&lt;&gt;"",H45,"")</f>
        <v>165</v>
      </c>
      <c r="R45" s="423">
        <f>IF(I45&lt;&gt;"",I45,"")</f>
        <v>1</v>
      </c>
      <c r="S45" s="424">
        <v>38</v>
      </c>
      <c r="T45" s="424">
        <v>13177</v>
      </c>
      <c r="U45" s="425">
        <f>IF(Q45&lt;&gt;"",K45-T45,"")</f>
        <v>-1940.5000000000018</v>
      </c>
      <c r="V45" s="426">
        <f>IF(Q45&lt;&gt;"",0%,"")</f>
        <v>0</v>
      </c>
      <c r="W45" s="427">
        <f>IF(Q45&lt;&gt;"",V45*U45,"")</f>
        <v>0</v>
      </c>
      <c r="X45" s="427">
        <f>IF(Q45&lt;&gt;"",W45+T45,"")</f>
        <v>13177</v>
      </c>
      <c r="Y45" s="427">
        <f>IF(Q45&lt;&gt;"",X45+M45,"")</f>
        <v>16176.797806636014</v>
      </c>
      <c r="Z45" s="502">
        <f>IF(Q45&lt;&gt;"",U45/K45,"")</f>
        <v>-0.17269612423797465</v>
      </c>
      <c r="AA45" s="430">
        <f>T45/$T$55</f>
        <v>1.3275771741758684</v>
      </c>
      <c r="EE45" s="601">
        <f t="shared" si="12"/>
        <v>0</v>
      </c>
      <c r="EF45" s="602">
        <f>1320+5928.5+5928.5</f>
        <v>13177</v>
      </c>
      <c r="EG45" s="609" t="s">
        <v>476</v>
      </c>
    </row>
    <row r="46" spans="1:137" ht="80.099999999999994" customHeight="1" x14ac:dyDescent="0.45">
      <c r="A46" s="431">
        <v>32</v>
      </c>
      <c r="B46" s="391" t="s">
        <v>103</v>
      </c>
      <c r="C46" s="432" t="s">
        <v>49</v>
      </c>
      <c r="D46" s="431" t="s">
        <v>78</v>
      </c>
      <c r="E46" s="431" t="s">
        <v>51</v>
      </c>
      <c r="F46" s="471" t="s">
        <v>146</v>
      </c>
      <c r="G46" s="418" t="s">
        <v>147</v>
      </c>
      <c r="H46" s="472">
        <v>250</v>
      </c>
      <c r="I46" s="419">
        <v>1</v>
      </c>
      <c r="J46" s="420">
        <v>3.3</v>
      </c>
      <c r="K46" s="420">
        <f t="shared" ref="K46:K47" si="34">IF(F46&lt;&gt;"",H46*I46*J46,"")</f>
        <v>825</v>
      </c>
      <c r="L46" s="420">
        <f t="shared" ref="L46:L47" si="35">IF(K46&lt;&gt;"",IF(D46="INTERNO",0,K46*$L$14),"")</f>
        <v>82.5</v>
      </c>
      <c r="M46" s="420">
        <f t="shared" ref="M46:M47" si="36">IF(K46&lt;&gt;"",IF(E46="FAT.OGGI",SUM(K46:L46)*(1/(1-$M$14)-1),L46*(1/(1-$M$14)-1)),"")</f>
        <v>220.2494718528645</v>
      </c>
      <c r="N46" s="420">
        <f t="shared" ref="N46:N47" si="37">SUM(K46:M46)</f>
        <v>1127.7494718528644</v>
      </c>
      <c r="Q46" s="422">
        <v>200</v>
      </c>
      <c r="R46" s="423">
        <f t="shared" ref="R46:R47" si="38">IF(I46&lt;&gt;"",I46,"")</f>
        <v>1</v>
      </c>
      <c r="S46" s="424">
        <v>2.66</v>
      </c>
      <c r="T46" s="424">
        <v>0</v>
      </c>
      <c r="U46" s="425">
        <f t="shared" ref="U46:U47" si="39">IF(Q46&lt;&gt;"",K46-T46,"")</f>
        <v>825</v>
      </c>
      <c r="V46" s="426">
        <f t="shared" ref="V46:V47" si="40">IF(Q46&lt;&gt;"",0%,"")</f>
        <v>0</v>
      </c>
      <c r="W46" s="427">
        <f t="shared" ref="W46:W47" si="41">IF(Q46&lt;&gt;"",V46*U46,"")</f>
        <v>0</v>
      </c>
      <c r="X46" s="427">
        <f t="shared" ref="X46:X47" si="42">IF(Q46&lt;&gt;"",W46+T46,"")</f>
        <v>0</v>
      </c>
      <c r="Y46" s="427">
        <f t="shared" ref="Y46:Y49" si="43">IF(Q46&lt;&gt;"",X46+M46,"")</f>
        <v>220.2494718528645</v>
      </c>
      <c r="Z46" s="502">
        <f t="shared" ref="Z46:Z47" si="44">IF(Q46&lt;&gt;"",U46/K46,"")</f>
        <v>1</v>
      </c>
      <c r="AA46" s="430">
        <f>T46/$T$55</f>
        <v>0</v>
      </c>
      <c r="EE46" s="601">
        <f t="shared" si="12"/>
        <v>0</v>
      </c>
      <c r="EF46" s="602"/>
    </row>
    <row r="47" spans="1:137" ht="80.099999999999994" customHeight="1" x14ac:dyDescent="0.45">
      <c r="A47" s="415">
        <v>33</v>
      </c>
      <c r="B47" s="391" t="s">
        <v>106</v>
      </c>
      <c r="C47" s="416" t="s">
        <v>49</v>
      </c>
      <c r="D47" s="372" t="s">
        <v>78</v>
      </c>
      <c r="E47" s="372" t="s">
        <v>51</v>
      </c>
      <c r="F47" s="471" t="s">
        <v>152</v>
      </c>
      <c r="G47" s="418" t="s">
        <v>300</v>
      </c>
      <c r="H47" s="472">
        <v>170</v>
      </c>
      <c r="I47" s="419">
        <v>1</v>
      </c>
      <c r="J47" s="420">
        <v>57.9</v>
      </c>
      <c r="K47" s="420">
        <f t="shared" si="34"/>
        <v>9843</v>
      </c>
      <c r="L47" s="420">
        <f t="shared" si="35"/>
        <v>984.30000000000007</v>
      </c>
      <c r="M47" s="420">
        <f t="shared" si="36"/>
        <v>2627.7764259972669</v>
      </c>
      <c r="N47" s="420">
        <f t="shared" si="37"/>
        <v>13455.076425997266</v>
      </c>
      <c r="Q47" s="422">
        <v>170</v>
      </c>
      <c r="R47" s="423">
        <f t="shared" si="38"/>
        <v>1</v>
      </c>
      <c r="S47" s="424">
        <v>37.5</v>
      </c>
      <c r="T47" s="424">
        <v>0</v>
      </c>
      <c r="U47" s="425">
        <f t="shared" si="39"/>
        <v>9843</v>
      </c>
      <c r="V47" s="426">
        <f t="shared" si="40"/>
        <v>0</v>
      </c>
      <c r="W47" s="427">
        <f t="shared" si="41"/>
        <v>0</v>
      </c>
      <c r="X47" s="427">
        <f t="shared" si="42"/>
        <v>0</v>
      </c>
      <c r="Y47" s="427">
        <f t="shared" si="43"/>
        <v>2627.7764259972669</v>
      </c>
      <c r="Z47" s="502">
        <f t="shared" si="44"/>
        <v>1</v>
      </c>
      <c r="AA47" s="430">
        <f>T47/$T$55</f>
        <v>0</v>
      </c>
      <c r="EE47" s="601">
        <f t="shared" si="12"/>
        <v>0</v>
      </c>
      <c r="EF47" s="602"/>
    </row>
    <row r="48" spans="1:137" ht="80.099999999999994" customHeight="1" x14ac:dyDescent="0.45">
      <c r="A48" s="372">
        <v>34</v>
      </c>
      <c r="B48" s="391" t="s">
        <v>109</v>
      </c>
      <c r="C48" s="392" t="s">
        <v>49</v>
      </c>
      <c r="D48" s="372" t="s">
        <v>78</v>
      </c>
      <c r="E48" s="372" t="s">
        <v>51</v>
      </c>
      <c r="F48" s="471" t="s">
        <v>299</v>
      </c>
      <c r="G48" s="418" t="s">
        <v>150</v>
      </c>
      <c r="H48" s="472">
        <v>170</v>
      </c>
      <c r="I48" s="419">
        <v>1</v>
      </c>
      <c r="J48" s="420">
        <v>3.19</v>
      </c>
      <c r="K48" s="420">
        <f>IF(F48&lt;&gt;"",H48*I48*J48,"")</f>
        <v>542.29999999999995</v>
      </c>
      <c r="L48" s="420">
        <f>IF(K48&lt;&gt;"",IF(D48="INTERNO",0,K48*$L$14),"")</f>
        <v>54.23</v>
      </c>
      <c r="M48" s="420">
        <f>IF(K48&lt;&gt;"",IF(E48="FAT.OGGI",SUM(K48:L48)*(1/(1-$M$14)-1),L48*(1/(1-$M$14)-1)),"")</f>
        <v>144.77731949794958</v>
      </c>
      <c r="N48" s="420">
        <f>SUM(K48:M48)</f>
        <v>741.30731949794949</v>
      </c>
      <c r="O48" s="473"/>
      <c r="Q48" s="422">
        <v>1</v>
      </c>
      <c r="R48" s="423">
        <v>1</v>
      </c>
      <c r="S48" s="424">
        <f>214.5+148.3</f>
        <v>362.8</v>
      </c>
      <c r="T48" s="424">
        <v>1001.3</v>
      </c>
      <c r="U48" s="425">
        <f>IF(Q48&lt;&gt;"",K48-T48,"")</f>
        <v>-459</v>
      </c>
      <c r="V48" s="426">
        <f>IF(Q48&lt;&gt;"",0%,"")</f>
        <v>0</v>
      </c>
      <c r="W48" s="427">
        <f>IF(Q48&lt;&gt;"",V48*U48,"")</f>
        <v>0</v>
      </c>
      <c r="X48" s="427">
        <f>IF(Q48&lt;&gt;"",W48+T48,"")</f>
        <v>1001.3</v>
      </c>
      <c r="Y48" s="427">
        <f>IF(Q48&lt;&gt;"",X48+M48,"")</f>
        <v>1146.0773194979495</v>
      </c>
      <c r="Z48" s="502">
        <f>IF(Q48&lt;&gt;"",U48/K48,"")</f>
        <v>-0.8463949843260189</v>
      </c>
      <c r="AA48" s="430">
        <f>T48/$T$55</f>
        <v>0.10088055130168452</v>
      </c>
      <c r="AB48" s="473" t="s">
        <v>424</v>
      </c>
      <c r="EE48" s="601">
        <f t="shared" si="12"/>
        <v>0</v>
      </c>
      <c r="EF48" s="602">
        <f>241.5+759.8</f>
        <v>1001.3</v>
      </c>
      <c r="EG48" s="609" t="s">
        <v>475</v>
      </c>
    </row>
    <row r="49" spans="1:137" ht="30" customHeight="1" thickBot="1" x14ac:dyDescent="0.5">
      <c r="A49" s="504">
        <v>35</v>
      </c>
      <c r="B49" s="391"/>
      <c r="C49" s="505" t="s">
        <v>72</v>
      </c>
      <c r="D49" s="504"/>
      <c r="E49" s="504"/>
      <c r="F49" s="718" t="s">
        <v>154</v>
      </c>
      <c r="G49" s="719"/>
      <c r="H49" s="719"/>
      <c r="I49" s="719"/>
      <c r="J49" s="719"/>
      <c r="K49" s="442">
        <f>SUM(K45:K47)</f>
        <v>21904.5</v>
      </c>
      <c r="L49" s="442">
        <f>SUM(L45:L47)</f>
        <v>2190.4499999999998</v>
      </c>
      <c r="M49" s="442">
        <f>SUM(M45:M47)</f>
        <v>5847.8237044861453</v>
      </c>
      <c r="N49" s="443">
        <f>SUM(N45:N47)</f>
        <v>29942.773704486142</v>
      </c>
      <c r="Q49" s="721" t="s">
        <v>154</v>
      </c>
      <c r="R49" s="722"/>
      <c r="S49" s="722"/>
      <c r="T49" s="508">
        <f>SUM(T45:T47)</f>
        <v>13177</v>
      </c>
      <c r="U49" s="509">
        <f>SUM(U45:U47)</f>
        <v>8727.4999999999982</v>
      </c>
      <c r="V49" s="510"/>
      <c r="W49" s="511"/>
      <c r="X49" s="511">
        <f>SUM(X45:X47)</f>
        <v>13177</v>
      </c>
      <c r="Y49" s="512">
        <f t="shared" si="43"/>
        <v>19024.823704486145</v>
      </c>
      <c r="Z49" s="515"/>
      <c r="AA49" s="516"/>
      <c r="EE49" s="601"/>
      <c r="EF49" s="602"/>
    </row>
    <row r="50" spans="1:137" ht="30" customHeight="1" thickBot="1" x14ac:dyDescent="0.5">
      <c r="A50" s="431">
        <v>36</v>
      </c>
      <c r="B50" s="391">
        <v>5</v>
      </c>
      <c r="C50" s="432" t="s">
        <v>40</v>
      </c>
      <c r="D50" s="431"/>
      <c r="E50" s="431"/>
      <c r="F50" s="706" t="s">
        <v>155</v>
      </c>
      <c r="G50" s="707"/>
      <c r="H50" s="707"/>
      <c r="I50" s="707"/>
      <c r="J50" s="707"/>
      <c r="K50" s="707"/>
      <c r="L50" s="707"/>
      <c r="M50" s="707"/>
      <c r="N50" s="708"/>
      <c r="Q50" s="709" t="str">
        <f>IF(F50&lt;&gt;"",F50,"")</f>
        <v>PLENÁRIA</v>
      </c>
      <c r="R50" s="710"/>
      <c r="S50" s="710"/>
      <c r="T50" s="710"/>
      <c r="U50" s="710"/>
      <c r="V50" s="710"/>
      <c r="W50" s="710"/>
      <c r="X50" s="710"/>
      <c r="Y50" s="711"/>
      <c r="Z50" s="451"/>
      <c r="AA50" s="452"/>
      <c r="EE50" s="601"/>
      <c r="EF50" s="602"/>
    </row>
    <row r="51" spans="1:137" ht="30" customHeight="1" thickBot="1" x14ac:dyDescent="0.5">
      <c r="A51" s="372">
        <v>37</v>
      </c>
      <c r="B51" s="391" t="s">
        <v>132</v>
      </c>
      <c r="C51" s="392" t="s">
        <v>43</v>
      </c>
      <c r="D51" s="372"/>
      <c r="E51" s="372"/>
      <c r="F51" s="712" t="s">
        <v>155</v>
      </c>
      <c r="G51" s="713"/>
      <c r="H51" s="713"/>
      <c r="I51" s="713"/>
      <c r="J51" s="713"/>
      <c r="K51" s="714"/>
      <c r="L51" s="453" t="s">
        <v>45</v>
      </c>
      <c r="M51" s="454" t="s">
        <v>46</v>
      </c>
      <c r="N51" s="455" t="s">
        <v>28</v>
      </c>
      <c r="Q51" s="715" t="str">
        <f>IF(F51&lt;&gt;"",F51,"")</f>
        <v>PLENÁRIA</v>
      </c>
      <c r="R51" s="716"/>
      <c r="S51" s="716"/>
      <c r="T51" s="716"/>
      <c r="U51" s="716"/>
      <c r="V51" s="716"/>
      <c r="W51" s="716"/>
      <c r="X51" s="716"/>
      <c r="Y51" s="717"/>
      <c r="Z51" s="456" t="s">
        <v>47</v>
      </c>
      <c r="AA51" s="517" t="s">
        <v>39</v>
      </c>
      <c r="EE51" s="601"/>
      <c r="EF51" s="602"/>
    </row>
    <row r="52" spans="1:137" ht="80.099999999999994" customHeight="1" x14ac:dyDescent="0.45">
      <c r="A52" s="372">
        <v>38</v>
      </c>
      <c r="B52" s="391" t="s">
        <v>133</v>
      </c>
      <c r="C52" s="392" t="s">
        <v>49</v>
      </c>
      <c r="D52" s="372" t="s">
        <v>78</v>
      </c>
      <c r="E52" s="431" t="s">
        <v>51</v>
      </c>
      <c r="F52" s="518" t="s">
        <v>161</v>
      </c>
      <c r="G52" s="519" t="s">
        <v>441</v>
      </c>
      <c r="H52" s="520">
        <v>1</v>
      </c>
      <c r="I52" s="520">
        <v>1</v>
      </c>
      <c r="J52" s="521">
        <v>8000</v>
      </c>
      <c r="K52" s="521">
        <f>IF(F52&lt;&gt;"",H52*I52*J52,"")</f>
        <v>8000</v>
      </c>
      <c r="L52" s="521">
        <f>IF(K52&lt;&gt;"",IF(D52="INTERNO",0,K52*$L$14),"")</f>
        <v>800</v>
      </c>
      <c r="M52" s="521">
        <f>IF(K52&lt;&gt;"",IF(E52="FAT.OGGI",SUM(K52:L52)*(1/(1-$M$14)-1),L52*(1/(1-$M$14)-1)),"")</f>
        <v>2135.7524543308073</v>
      </c>
      <c r="N52" s="522">
        <f>SUM(K52:M52)</f>
        <v>10935.752454330806</v>
      </c>
      <c r="Q52" s="496">
        <f>IF(H52&lt;&gt;"",H52,"")</f>
        <v>1</v>
      </c>
      <c r="R52" s="497">
        <f>IF(I52&lt;&gt;"",I52,"")</f>
        <v>1</v>
      </c>
      <c r="S52" s="498">
        <v>5500</v>
      </c>
      <c r="T52" s="498">
        <v>6260</v>
      </c>
      <c r="U52" s="499">
        <f>IF(Q52&lt;&gt;"",K52-T52,"")</f>
        <v>1740</v>
      </c>
      <c r="V52" s="500">
        <f>IF(Q52&lt;&gt;"",0%,"")</f>
        <v>0</v>
      </c>
      <c r="W52" s="501">
        <f>IF(Q52&lt;&gt;"",V52*U52,"")</f>
        <v>0</v>
      </c>
      <c r="X52" s="501">
        <f>IF(Q52&lt;&gt;"",W52+T52,"")</f>
        <v>6260</v>
      </c>
      <c r="Y52" s="481">
        <f>IF(Q52&lt;&gt;"",X52+M52,"")</f>
        <v>8395.7524543308064</v>
      </c>
      <c r="Z52" s="474">
        <f>IF(Q52&lt;&gt;"",U52/K52,"")</f>
        <v>0.2175</v>
      </c>
      <c r="AA52" s="430">
        <f>T52/$T$55</f>
        <v>0.6306923510921254</v>
      </c>
      <c r="EE52" s="601">
        <f t="shared" si="12"/>
        <v>0</v>
      </c>
      <c r="EF52" s="602">
        <v>6260</v>
      </c>
      <c r="EG52" s="609" t="s">
        <v>485</v>
      </c>
    </row>
    <row r="53" spans="1:137" ht="80.099999999999994" customHeight="1" x14ac:dyDescent="0.45">
      <c r="A53" s="372">
        <v>39</v>
      </c>
      <c r="B53" s="391" t="s">
        <v>136</v>
      </c>
      <c r="C53" s="392" t="s">
        <v>49</v>
      </c>
      <c r="D53" s="431" t="s">
        <v>78</v>
      </c>
      <c r="E53" s="431" t="s">
        <v>51</v>
      </c>
      <c r="F53" s="434" t="s">
        <v>176</v>
      </c>
      <c r="G53" s="418" t="s">
        <v>443</v>
      </c>
      <c r="H53" s="460">
        <v>1</v>
      </c>
      <c r="I53" s="419">
        <v>1</v>
      </c>
      <c r="J53" s="433">
        <v>5825</v>
      </c>
      <c r="K53" s="420">
        <f t="shared" ref="K53" si="45">IF(F53&lt;&gt;"",H53*I53*J53,"")</f>
        <v>5825</v>
      </c>
      <c r="L53" s="420">
        <f t="shared" ref="L53" si="46">IF(K53&lt;&gt;"",IF(D53="INTERNO",0,K53*$L$14),"")</f>
        <v>582.5</v>
      </c>
      <c r="M53" s="420">
        <f t="shared" ref="M53" si="47">IF(K53&lt;&gt;"",IF(E53="FAT.OGGI",SUM(K53:L53)*(1/(1-$M$14)-1),L53*(1/(1-$M$14)-1)),"")</f>
        <v>1555.0947558096191</v>
      </c>
      <c r="N53" s="421">
        <f t="shared" ref="N53" si="48">SUM(K53:M53)</f>
        <v>7962.5947558096195</v>
      </c>
      <c r="O53" s="473"/>
      <c r="Q53" s="422">
        <f t="shared" ref="Q53:R53" si="49">IF(H53&lt;&gt;"",H53,"")</f>
        <v>1</v>
      </c>
      <c r="R53" s="423">
        <f t="shared" si="49"/>
        <v>1</v>
      </c>
      <c r="S53" s="424">
        <f>1500+2165.5</f>
        <v>3665.5</v>
      </c>
      <c r="T53" s="424">
        <v>3665.6</v>
      </c>
      <c r="U53" s="425">
        <f t="shared" ref="U53" si="50">IF(Q53&lt;&gt;"",K53-T53,"")</f>
        <v>2159.4</v>
      </c>
      <c r="V53" s="426">
        <f t="shared" ref="V53" si="51">IF(Q53&lt;&gt;"",0%,"")</f>
        <v>0</v>
      </c>
      <c r="W53" s="427">
        <f t="shared" ref="W53" si="52">IF(Q53&lt;&gt;"",V53*U53,"")</f>
        <v>0</v>
      </c>
      <c r="X53" s="427">
        <f t="shared" ref="X53" si="53">IF(Q53&lt;&gt;"",W53+T53,"")</f>
        <v>3665.6</v>
      </c>
      <c r="Y53" s="428">
        <f t="shared" ref="Y53:Y55" si="54">IF(Q53&lt;&gt;"",X53+M53,"")</f>
        <v>5220.694755809619</v>
      </c>
      <c r="Z53" s="474">
        <f t="shared" ref="Z53" si="55">IF(Q53&lt;&gt;"",U53/K53,"")</f>
        <v>0.37071244635193135</v>
      </c>
      <c r="AA53" s="430">
        <f>T53/$T$55</f>
        <v>0.36930764890787454</v>
      </c>
      <c r="AB53" s="473" t="s">
        <v>426</v>
      </c>
      <c r="EE53" s="601">
        <f t="shared" si="12"/>
        <v>0</v>
      </c>
      <c r="EF53" s="602">
        <f>1500+2165.6</f>
        <v>3665.6</v>
      </c>
      <c r="EG53" s="609" t="s">
        <v>486</v>
      </c>
    </row>
    <row r="54" spans="1:137" ht="80.099999999999994" customHeight="1" x14ac:dyDescent="0.45">
      <c r="A54" s="415">
        <v>40</v>
      </c>
      <c r="B54" s="391" t="s">
        <v>139</v>
      </c>
      <c r="C54" s="416" t="s">
        <v>49</v>
      </c>
      <c r="D54" s="431" t="s">
        <v>78</v>
      </c>
      <c r="E54" s="431" t="s">
        <v>51</v>
      </c>
      <c r="F54" s="417" t="s">
        <v>459</v>
      </c>
      <c r="G54" s="418" t="s">
        <v>301</v>
      </c>
      <c r="H54" s="460">
        <v>1</v>
      </c>
      <c r="I54" s="419">
        <v>0</v>
      </c>
      <c r="J54" s="433">
        <v>7180</v>
      </c>
      <c r="K54" s="420">
        <f>IF(F54&lt;&gt;"",H54*I54*J54,"")</f>
        <v>0</v>
      </c>
      <c r="L54" s="420">
        <f>IF(K54&lt;&gt;"",IF(D54="INTERNO",0,K54*$L$14),"")</f>
        <v>0</v>
      </c>
      <c r="M54" s="420">
        <f>IF(K54&lt;&gt;"",IF(E54="FAT.OGGI",SUM(K54:L54)*(1/(1-$M$14)-1),L54*(1/(1-$M$14)-1)),"")</f>
        <v>0</v>
      </c>
      <c r="N54" s="421">
        <f>SUM(K54:M54)</f>
        <v>0</v>
      </c>
      <c r="O54" s="473"/>
      <c r="Q54" s="482">
        <f>IF(H54&lt;&gt;"",H54,"")</f>
        <v>1</v>
      </c>
      <c r="R54" s="483">
        <f>IF(I54&lt;&gt;"",I54,"")</f>
        <v>0</v>
      </c>
      <c r="S54" s="484">
        <v>2700</v>
      </c>
      <c r="T54" s="484">
        <f>IF(Q54&lt;&gt;"",Q54*R54*S54,"")</f>
        <v>0</v>
      </c>
      <c r="U54" s="485">
        <f>IF(Q54&lt;&gt;"",K54-T54,"")</f>
        <v>0</v>
      </c>
      <c r="V54" s="486">
        <f>IF(Q54&lt;&gt;"",0%,"")</f>
        <v>0</v>
      </c>
      <c r="W54" s="487">
        <f>IF(Q54&lt;&gt;"",V54*U54,"")</f>
        <v>0</v>
      </c>
      <c r="X54" s="487">
        <f>IF(Q54&lt;&gt;"",W54+T54,"")</f>
        <v>0</v>
      </c>
      <c r="Y54" s="428">
        <f>IF(Q54&lt;&gt;"",X54+M54,"")</f>
        <v>0</v>
      </c>
      <c r="Z54" s="474" t="e">
        <f>IF(Q54&lt;&gt;"",U54/K54,"")</f>
        <v>#DIV/0!</v>
      </c>
      <c r="AA54" s="430">
        <f>T54/$T$55</f>
        <v>0</v>
      </c>
      <c r="AB54" s="473" t="s">
        <v>425</v>
      </c>
      <c r="EE54" s="601">
        <f t="shared" si="12"/>
        <v>0</v>
      </c>
      <c r="EF54" s="602"/>
    </row>
    <row r="55" spans="1:137" ht="30" customHeight="1" thickBot="1" x14ac:dyDescent="0.5">
      <c r="A55" s="504">
        <v>41</v>
      </c>
      <c r="B55" s="391"/>
      <c r="C55" s="505" t="s">
        <v>72</v>
      </c>
      <c r="D55" s="504"/>
      <c r="E55" s="504"/>
      <c r="F55" s="718" t="s">
        <v>190</v>
      </c>
      <c r="G55" s="719"/>
      <c r="H55" s="719"/>
      <c r="I55" s="719"/>
      <c r="J55" s="720"/>
      <c r="K55" s="523">
        <f>SUM(K52:K54)</f>
        <v>13825</v>
      </c>
      <c r="L55" s="523">
        <f>SUM(L52:L54)</f>
        <v>1382.5</v>
      </c>
      <c r="M55" s="523">
        <f>SUM(M52:M54)</f>
        <v>3690.8472101404263</v>
      </c>
      <c r="N55" s="524">
        <f>SUM(N52:N54)</f>
        <v>18898.347210140426</v>
      </c>
      <c r="Q55" s="721" t="s">
        <v>190</v>
      </c>
      <c r="R55" s="722"/>
      <c r="S55" s="723"/>
      <c r="T55" s="525">
        <f>SUM(T52:T54)</f>
        <v>9925.6</v>
      </c>
      <c r="U55" s="526">
        <f>SUM(U52:U54)</f>
        <v>3899.4</v>
      </c>
      <c r="V55" s="527"/>
      <c r="W55" s="528"/>
      <c r="X55" s="528">
        <f>SUM(X52:X54)</f>
        <v>9925.6</v>
      </c>
      <c r="Y55" s="529">
        <f t="shared" si="54"/>
        <v>13616.447210140426</v>
      </c>
      <c r="Z55" s="463"/>
      <c r="AA55" s="530"/>
      <c r="EE55" s="601"/>
      <c r="EF55" s="602"/>
    </row>
    <row r="56" spans="1:137" ht="30" customHeight="1" thickBot="1" x14ac:dyDescent="0.5">
      <c r="A56" s="431">
        <v>42</v>
      </c>
      <c r="B56" s="391">
        <v>6</v>
      </c>
      <c r="C56" s="432" t="s">
        <v>40</v>
      </c>
      <c r="D56" s="431"/>
      <c r="E56" s="431"/>
      <c r="F56" s="706" t="s">
        <v>219</v>
      </c>
      <c r="G56" s="707"/>
      <c r="H56" s="707"/>
      <c r="I56" s="707"/>
      <c r="J56" s="707"/>
      <c r="K56" s="707"/>
      <c r="L56" s="707"/>
      <c r="M56" s="707"/>
      <c r="N56" s="708"/>
      <c r="Q56" s="706" t="s">
        <v>219</v>
      </c>
      <c r="R56" s="707"/>
      <c r="S56" s="707"/>
      <c r="T56" s="707"/>
      <c r="U56" s="707"/>
      <c r="V56" s="707"/>
      <c r="W56" s="707"/>
      <c r="X56" s="707"/>
      <c r="Y56" s="708"/>
      <c r="Z56" s="531"/>
      <c r="AA56" s="532"/>
      <c r="EE56" s="601"/>
      <c r="EF56" s="602"/>
    </row>
    <row r="57" spans="1:137" ht="30" customHeight="1" thickBot="1" x14ac:dyDescent="0.5">
      <c r="A57" s="372">
        <v>43</v>
      </c>
      <c r="B57" s="391" t="s">
        <v>156</v>
      </c>
      <c r="C57" s="392" t="s">
        <v>43</v>
      </c>
      <c r="D57" s="372"/>
      <c r="E57" s="372"/>
      <c r="F57" s="704" t="s">
        <v>221</v>
      </c>
      <c r="G57" s="705"/>
      <c r="H57" s="705"/>
      <c r="I57" s="705"/>
      <c r="J57" s="705"/>
      <c r="K57" s="705"/>
      <c r="L57" s="396" t="s">
        <v>45</v>
      </c>
      <c r="M57" s="396" t="s">
        <v>46</v>
      </c>
      <c r="N57" s="533" t="s">
        <v>28</v>
      </c>
      <c r="Q57" s="534" t="str">
        <f>IF(F57&lt;&gt;"",F57,"")</f>
        <v>STAFF</v>
      </c>
      <c r="R57" s="535"/>
      <c r="S57" s="465"/>
      <c r="T57" s="465"/>
      <c r="U57" s="465"/>
      <c r="V57" s="465"/>
      <c r="W57" s="465"/>
      <c r="X57" s="465"/>
      <c r="Y57" s="536"/>
      <c r="Z57" s="398" t="s">
        <v>47</v>
      </c>
      <c r="AA57" s="399" t="s">
        <v>39</v>
      </c>
      <c r="EE57" s="601"/>
      <c r="EF57" s="602"/>
    </row>
    <row r="58" spans="1:137" ht="80.099999999999994" customHeight="1" x14ac:dyDescent="0.45">
      <c r="A58" s="431">
        <v>44</v>
      </c>
      <c r="B58" s="391" t="s">
        <v>157</v>
      </c>
      <c r="C58" s="432" t="s">
        <v>49</v>
      </c>
      <c r="D58" s="431" t="s">
        <v>78</v>
      </c>
      <c r="E58" s="431" t="s">
        <v>51</v>
      </c>
      <c r="F58" s="537" t="s">
        <v>223</v>
      </c>
      <c r="G58" s="538" t="s">
        <v>302</v>
      </c>
      <c r="H58" s="402">
        <v>1</v>
      </c>
      <c r="I58" s="402">
        <v>2</v>
      </c>
      <c r="J58" s="539">
        <v>950</v>
      </c>
      <c r="K58" s="539">
        <f t="shared" ref="K58:K63" si="56">IF(F58&lt;&gt;"",H58*I58*J58,"")</f>
        <v>1900</v>
      </c>
      <c r="L58" s="539">
        <f t="shared" ref="L58:L63" si="57">IF(K58&lt;&gt;"",IF(D58="INTERNO",0,K58*$L$14),"")</f>
        <v>190</v>
      </c>
      <c r="M58" s="539">
        <f t="shared" ref="M58:M63" si="58">IF(K58&lt;&gt;"",IF(E58="FAT.OGGI",SUM(K58:L58)*(1/(1-$M$14)-1),L58*(1/(1-$M$14)-1)),"")</f>
        <v>507.2412079035667</v>
      </c>
      <c r="N58" s="540">
        <f t="shared" ref="N58:N63" si="59">SUM(K58:M58)</f>
        <v>2597.2412079035666</v>
      </c>
      <c r="Q58" s="422">
        <f t="shared" ref="Q58:R61" si="60">IF(H58&lt;&gt;"",H58,"")</f>
        <v>1</v>
      </c>
      <c r="R58" s="423">
        <f t="shared" si="60"/>
        <v>2</v>
      </c>
      <c r="S58" s="424">
        <v>700</v>
      </c>
      <c r="T58" s="424">
        <f t="shared" ref="T58:T61" si="61">IF(Q58&lt;&gt;"",Q58*R58*S58,"")</f>
        <v>1400</v>
      </c>
      <c r="U58" s="425">
        <f t="shared" ref="U58:U63" si="62">IF(Q58&lt;&gt;"",K58-T58,"")</f>
        <v>500</v>
      </c>
      <c r="V58" s="426">
        <f t="shared" ref="V58:V63" si="63">IF(Q58&lt;&gt;"",0%,"")</f>
        <v>0</v>
      </c>
      <c r="W58" s="427">
        <f t="shared" ref="W58:W63" si="64">IF(Q58&lt;&gt;"",V58*U58,"")</f>
        <v>0</v>
      </c>
      <c r="X58" s="427">
        <f t="shared" ref="X58:X63" si="65">IF(Q58&lt;&gt;"",W58+T58,"")</f>
        <v>1400</v>
      </c>
      <c r="Y58" s="428">
        <f t="shared" ref="Y58:Y66" si="66">IF(Q58&lt;&gt;"",X58+M58,"")</f>
        <v>1907.2412079035666</v>
      </c>
      <c r="Z58" s="413">
        <f t="shared" ref="Z58:Z63" si="67">IF(Q58&lt;&gt;"",U58/K58,"")</f>
        <v>0.26315789473684209</v>
      </c>
      <c r="AA58" s="414">
        <f>T58/$T$66</f>
        <v>0.11301204546958928</v>
      </c>
      <c r="EE58" s="601">
        <f t="shared" si="12"/>
        <v>0</v>
      </c>
      <c r="EF58" s="602">
        <v>1400</v>
      </c>
      <c r="EG58" s="609" t="s">
        <v>478</v>
      </c>
    </row>
    <row r="59" spans="1:137" ht="80.099999999999994" customHeight="1" x14ac:dyDescent="0.45">
      <c r="A59" s="372">
        <v>45</v>
      </c>
      <c r="B59" s="391" t="s">
        <v>160</v>
      </c>
      <c r="C59" s="392" t="s">
        <v>49</v>
      </c>
      <c r="D59" s="372" t="s">
        <v>78</v>
      </c>
      <c r="E59" s="431" t="s">
        <v>51</v>
      </c>
      <c r="F59" s="434" t="s">
        <v>226</v>
      </c>
      <c r="G59" s="459" t="s">
        <v>460</v>
      </c>
      <c r="H59" s="419">
        <v>4</v>
      </c>
      <c r="I59" s="419">
        <v>1</v>
      </c>
      <c r="J59" s="461">
        <v>900</v>
      </c>
      <c r="K59" s="461">
        <f t="shared" si="56"/>
        <v>3600</v>
      </c>
      <c r="L59" s="461">
        <f t="shared" si="57"/>
        <v>360</v>
      </c>
      <c r="M59" s="461">
        <f t="shared" si="58"/>
        <v>961.08860444886329</v>
      </c>
      <c r="N59" s="541">
        <f t="shared" si="59"/>
        <v>4921.0886044488634</v>
      </c>
      <c r="Q59" s="422">
        <f t="shared" si="60"/>
        <v>4</v>
      </c>
      <c r="R59" s="423">
        <f t="shared" si="60"/>
        <v>1</v>
      </c>
      <c r="S59" s="424">
        <v>600</v>
      </c>
      <c r="T59" s="424">
        <f t="shared" si="61"/>
        <v>2400</v>
      </c>
      <c r="U59" s="425">
        <f t="shared" si="62"/>
        <v>1200</v>
      </c>
      <c r="V59" s="426">
        <f t="shared" si="63"/>
        <v>0</v>
      </c>
      <c r="W59" s="427">
        <f t="shared" si="64"/>
        <v>0</v>
      </c>
      <c r="X59" s="427">
        <f t="shared" si="65"/>
        <v>2400</v>
      </c>
      <c r="Y59" s="428">
        <f t="shared" si="66"/>
        <v>3361.0886044488634</v>
      </c>
      <c r="Z59" s="429">
        <f t="shared" si="67"/>
        <v>0.33333333333333331</v>
      </c>
      <c r="AA59" s="430">
        <f>T59/$T$66</f>
        <v>0.19373493509072445</v>
      </c>
      <c r="EE59" s="601">
        <f t="shared" si="12"/>
        <v>0</v>
      </c>
      <c r="EF59" s="602">
        <f>600+600+600+600</f>
        <v>2400</v>
      </c>
      <c r="EG59" s="609" t="s">
        <v>477</v>
      </c>
    </row>
    <row r="60" spans="1:137" ht="80.099999999999994" customHeight="1" x14ac:dyDescent="0.45">
      <c r="A60" s="415">
        <v>46</v>
      </c>
      <c r="B60" s="391" t="s">
        <v>163</v>
      </c>
      <c r="C60" s="416" t="s">
        <v>49</v>
      </c>
      <c r="D60" s="431" t="s">
        <v>78</v>
      </c>
      <c r="E60" s="431" t="s">
        <v>51</v>
      </c>
      <c r="F60" s="434" t="s">
        <v>229</v>
      </c>
      <c r="G60" s="459" t="s">
        <v>303</v>
      </c>
      <c r="H60" s="419">
        <v>9</v>
      </c>
      <c r="I60" s="419">
        <v>1</v>
      </c>
      <c r="J60" s="461">
        <v>200</v>
      </c>
      <c r="K60" s="461">
        <f>IF(F60&lt;&gt;"",H60*I60*J60,"")</f>
        <v>1800</v>
      </c>
      <c r="L60" s="461">
        <f>IF(K60&lt;&gt;"",IF(D60="INTERNO",0,K60*$L$14),"")</f>
        <v>180</v>
      </c>
      <c r="M60" s="461">
        <f>IF(K60&lt;&gt;"",IF(E60="FAT.OGGI",SUM(K60:L60)*(1/(1-$M$14)-1),L60*(1/(1-$M$14)-1)),"")</f>
        <v>480.54430222443165</v>
      </c>
      <c r="N60" s="541">
        <f>SUM(K60:M60)</f>
        <v>2460.5443022244317</v>
      </c>
      <c r="Q60" s="482">
        <f>IF(H60&lt;&gt;"",H60,"")</f>
        <v>9</v>
      </c>
      <c r="R60" s="483">
        <f>IF(I60&lt;&gt;"",I60,"")</f>
        <v>1</v>
      </c>
      <c r="S60" s="484">
        <v>0</v>
      </c>
      <c r="T60" s="484">
        <f>IF(Q60&lt;&gt;"",Q60*R60*S60,"")</f>
        <v>0</v>
      </c>
      <c r="U60" s="485">
        <f>IF(Q60&lt;&gt;"",K60-T60,"")</f>
        <v>1800</v>
      </c>
      <c r="V60" s="486">
        <f>IF(Q60&lt;&gt;"",0%,"")</f>
        <v>0</v>
      </c>
      <c r="W60" s="487">
        <f>IF(Q60&lt;&gt;"",V60*U60,"")</f>
        <v>0</v>
      </c>
      <c r="X60" s="487">
        <f>IF(Q60&lt;&gt;"",W60+T60,"")</f>
        <v>0</v>
      </c>
      <c r="Y60" s="428">
        <f>IF(Q60&lt;&gt;"",X60+M60,"")</f>
        <v>480.54430222443165</v>
      </c>
      <c r="Z60" s="429">
        <f>IF(Q60&lt;&gt;"",U60/K60,"")</f>
        <v>1</v>
      </c>
      <c r="AA60" s="430"/>
      <c r="EE60" s="601">
        <f t="shared" si="12"/>
        <v>0</v>
      </c>
      <c r="EF60" s="602"/>
    </row>
    <row r="61" spans="1:137" ht="80.099999999999994" customHeight="1" x14ac:dyDescent="0.45">
      <c r="A61" s="415">
        <v>47</v>
      </c>
      <c r="B61" s="391" t="s">
        <v>166</v>
      </c>
      <c r="C61" s="416" t="s">
        <v>49</v>
      </c>
      <c r="D61" s="372" t="s">
        <v>78</v>
      </c>
      <c r="E61" s="431" t="s">
        <v>51</v>
      </c>
      <c r="F61" s="434" t="s">
        <v>232</v>
      </c>
      <c r="G61" s="459" t="s">
        <v>233</v>
      </c>
      <c r="H61" s="419">
        <v>2</v>
      </c>
      <c r="I61" s="419">
        <v>1</v>
      </c>
      <c r="J61" s="461">
        <v>800</v>
      </c>
      <c r="K61" s="461">
        <f t="shared" si="56"/>
        <v>1600</v>
      </c>
      <c r="L61" s="461">
        <f t="shared" si="57"/>
        <v>160</v>
      </c>
      <c r="M61" s="461">
        <f t="shared" si="58"/>
        <v>427.15049086616142</v>
      </c>
      <c r="N61" s="541">
        <f t="shared" si="59"/>
        <v>2187.1504908661614</v>
      </c>
      <c r="Q61" s="422">
        <f t="shared" si="60"/>
        <v>2</v>
      </c>
      <c r="R61" s="423">
        <f t="shared" si="60"/>
        <v>1</v>
      </c>
      <c r="S61" s="424">
        <v>550</v>
      </c>
      <c r="T61" s="424">
        <f t="shared" si="61"/>
        <v>1100</v>
      </c>
      <c r="U61" s="425">
        <f t="shared" si="62"/>
        <v>500</v>
      </c>
      <c r="V61" s="426">
        <f t="shared" si="63"/>
        <v>0</v>
      </c>
      <c r="W61" s="427">
        <f t="shared" si="64"/>
        <v>0</v>
      </c>
      <c r="X61" s="427">
        <f t="shared" si="65"/>
        <v>1100</v>
      </c>
      <c r="Y61" s="428">
        <f t="shared" si="66"/>
        <v>1527.1504908661614</v>
      </c>
      <c r="Z61" s="429">
        <f t="shared" si="67"/>
        <v>0.3125</v>
      </c>
      <c r="AA61" s="430"/>
      <c r="EE61" s="601">
        <f t="shared" si="12"/>
        <v>0</v>
      </c>
      <c r="EF61" s="602">
        <v>1100</v>
      </c>
      <c r="EG61" s="609" t="s">
        <v>483</v>
      </c>
    </row>
    <row r="62" spans="1:137" ht="80.099999999999994" customHeight="1" x14ac:dyDescent="0.45">
      <c r="A62" s="372">
        <v>48</v>
      </c>
      <c r="B62" s="391" t="s">
        <v>169</v>
      </c>
      <c r="C62" s="392" t="s">
        <v>49</v>
      </c>
      <c r="D62" s="372" t="s">
        <v>78</v>
      </c>
      <c r="E62" s="431" t="s">
        <v>51</v>
      </c>
      <c r="F62" s="434" t="s">
        <v>241</v>
      </c>
      <c r="G62" s="459" t="s">
        <v>304</v>
      </c>
      <c r="H62" s="419">
        <v>4</v>
      </c>
      <c r="I62" s="419">
        <v>2</v>
      </c>
      <c r="J62" s="461">
        <v>450</v>
      </c>
      <c r="K62" s="461">
        <f t="shared" si="56"/>
        <v>3600</v>
      </c>
      <c r="L62" s="461">
        <f t="shared" si="57"/>
        <v>360</v>
      </c>
      <c r="M62" s="461">
        <f t="shared" si="58"/>
        <v>961.08860444886329</v>
      </c>
      <c r="N62" s="541">
        <f t="shared" si="59"/>
        <v>4921.0886044488634</v>
      </c>
      <c r="Q62" s="422">
        <v>1</v>
      </c>
      <c r="R62" s="423">
        <v>1</v>
      </c>
      <c r="S62" s="424">
        <v>600</v>
      </c>
      <c r="T62" s="424">
        <v>0</v>
      </c>
      <c r="U62" s="425">
        <f t="shared" si="62"/>
        <v>3600</v>
      </c>
      <c r="V62" s="426">
        <f t="shared" si="63"/>
        <v>0</v>
      </c>
      <c r="W62" s="427">
        <f t="shared" si="64"/>
        <v>0</v>
      </c>
      <c r="X62" s="427">
        <f t="shared" si="65"/>
        <v>0</v>
      </c>
      <c r="Y62" s="428">
        <f t="shared" si="66"/>
        <v>961.08860444886329</v>
      </c>
      <c r="Z62" s="429">
        <f t="shared" si="67"/>
        <v>1</v>
      </c>
      <c r="AA62" s="430">
        <f>T62/$T$66</f>
        <v>0</v>
      </c>
      <c r="EE62" s="601">
        <f t="shared" si="12"/>
        <v>0</v>
      </c>
      <c r="EF62" s="602"/>
    </row>
    <row r="63" spans="1:137" ht="80.099999999999994" customHeight="1" x14ac:dyDescent="0.45">
      <c r="A63" s="372">
        <v>49</v>
      </c>
      <c r="B63" s="391" t="s">
        <v>172</v>
      </c>
      <c r="C63" s="392" t="s">
        <v>49</v>
      </c>
      <c r="D63" s="372" t="s">
        <v>78</v>
      </c>
      <c r="E63" s="431" t="s">
        <v>51</v>
      </c>
      <c r="F63" s="434" t="s">
        <v>305</v>
      </c>
      <c r="G63" s="459" t="s">
        <v>254</v>
      </c>
      <c r="H63" s="460">
        <v>8</v>
      </c>
      <c r="I63" s="419">
        <v>2</v>
      </c>
      <c r="J63" s="461">
        <v>48</v>
      </c>
      <c r="K63" s="461">
        <f t="shared" si="56"/>
        <v>768</v>
      </c>
      <c r="L63" s="461">
        <f t="shared" si="57"/>
        <v>76.800000000000011</v>
      </c>
      <c r="M63" s="461">
        <f t="shared" si="58"/>
        <v>205.03223561575749</v>
      </c>
      <c r="N63" s="541">
        <f t="shared" si="59"/>
        <v>1049.8322356157573</v>
      </c>
      <c r="O63" s="473"/>
      <c r="Q63" s="422">
        <v>1</v>
      </c>
      <c r="R63" s="423">
        <v>1</v>
      </c>
      <c r="S63" s="424">
        <v>150</v>
      </c>
      <c r="T63" s="424">
        <v>240</v>
      </c>
      <c r="U63" s="425">
        <f t="shared" si="62"/>
        <v>528</v>
      </c>
      <c r="V63" s="426">
        <f t="shared" si="63"/>
        <v>0</v>
      </c>
      <c r="W63" s="427">
        <f t="shared" si="64"/>
        <v>0</v>
      </c>
      <c r="X63" s="427">
        <f t="shared" si="65"/>
        <v>240</v>
      </c>
      <c r="Y63" s="428">
        <f t="shared" si="66"/>
        <v>445.03223561575749</v>
      </c>
      <c r="Z63" s="542">
        <f t="shared" si="67"/>
        <v>0.6875</v>
      </c>
      <c r="AA63" s="430">
        <f>T63/$T$66</f>
        <v>1.9373493509072446E-2</v>
      </c>
      <c r="EE63" s="601">
        <f t="shared" si="12"/>
        <v>0</v>
      </c>
      <c r="EF63" s="602">
        <v>240</v>
      </c>
      <c r="EG63" s="609" t="s">
        <v>487</v>
      </c>
    </row>
    <row r="64" spans="1:137" ht="80.099999999999994" customHeight="1" x14ac:dyDescent="0.45">
      <c r="A64" s="415">
        <v>50</v>
      </c>
      <c r="B64" s="391" t="s">
        <v>175</v>
      </c>
      <c r="C64" s="416" t="s">
        <v>49</v>
      </c>
      <c r="D64" s="372" t="s">
        <v>78</v>
      </c>
      <c r="E64" s="431" t="s">
        <v>51</v>
      </c>
      <c r="F64" s="434" t="s">
        <v>274</v>
      </c>
      <c r="G64" s="459" t="s">
        <v>306</v>
      </c>
      <c r="H64" s="419">
        <v>1</v>
      </c>
      <c r="I64" s="419">
        <v>1</v>
      </c>
      <c r="J64" s="461">
        <v>3800</v>
      </c>
      <c r="K64" s="461">
        <f t="shared" ref="K64:K65" si="68">IF(F64&lt;&gt;"",H64*I64*J64,"")</f>
        <v>3800</v>
      </c>
      <c r="L64" s="461">
        <f t="shared" ref="L64:L65" si="69">IF(K64&lt;&gt;"",IF(D64="INTERNO",0,K64*$L$14),"")</f>
        <v>380</v>
      </c>
      <c r="M64" s="461">
        <f t="shared" ref="M64:M65" si="70">IF(K64&lt;&gt;"",IF(E64="FAT.OGGI",SUM(K64:L64)*(1/(1-$M$14)-1),L64*(1/(1-$M$14)-1)),"")</f>
        <v>1014.4824158071334</v>
      </c>
      <c r="N64" s="541">
        <f t="shared" ref="N64:N65" si="71">SUM(K64:M64)</f>
        <v>5194.4824158071333</v>
      </c>
      <c r="Q64" s="482">
        <f t="shared" ref="Q64:R64" si="72">IF(H64&lt;&gt;"",H64,"")</f>
        <v>1</v>
      </c>
      <c r="R64" s="483">
        <f t="shared" si="72"/>
        <v>1</v>
      </c>
      <c r="S64" s="484">
        <f>1600+300+155.65+280</f>
        <v>2335.65</v>
      </c>
      <c r="T64" s="484">
        <v>2035.65</v>
      </c>
      <c r="U64" s="485">
        <f t="shared" ref="U64:U65" si="73">IF(Q64&lt;&gt;"",K64-T64,"")</f>
        <v>1764.35</v>
      </c>
      <c r="V64" s="486">
        <f t="shared" ref="V64:V65" si="74">IF(Q64&lt;&gt;"",0%,"")</f>
        <v>0</v>
      </c>
      <c r="W64" s="487">
        <f t="shared" ref="W64:W65" si="75">IF(Q64&lt;&gt;"",V64*U64,"")</f>
        <v>0</v>
      </c>
      <c r="X64" s="487">
        <f t="shared" ref="X64:X65" si="76">IF(Q64&lt;&gt;"",W64+T64,"")</f>
        <v>2035.65</v>
      </c>
      <c r="Y64" s="428">
        <f t="shared" ref="Y64:Y65" si="77">IF(Q64&lt;&gt;"",X64+M64,"")</f>
        <v>3050.1324158071334</v>
      </c>
      <c r="Z64" s="429">
        <f t="shared" ref="Z64:Z65" si="78">IF(Q64&lt;&gt;"",U64/K64,"")</f>
        <v>0.46430263157894736</v>
      </c>
      <c r="AA64" s="430"/>
      <c r="EE64" s="601">
        <f t="shared" si="12"/>
        <v>0</v>
      </c>
      <c r="EF64" s="602">
        <f>155.65+280+1600</f>
        <v>2035.65</v>
      </c>
      <c r="EG64" s="609" t="s">
        <v>482</v>
      </c>
    </row>
    <row r="65" spans="1:136" ht="80.099999999999994" customHeight="1" thickBot="1" x14ac:dyDescent="0.5">
      <c r="A65" s="372">
        <v>51</v>
      </c>
      <c r="B65" s="391" t="s">
        <v>178</v>
      </c>
      <c r="C65" s="392" t="s">
        <v>49</v>
      </c>
      <c r="D65" s="372" t="s">
        <v>78</v>
      </c>
      <c r="E65" s="431" t="s">
        <v>51</v>
      </c>
      <c r="F65" s="434" t="s">
        <v>271</v>
      </c>
      <c r="G65" s="459" t="s">
        <v>272</v>
      </c>
      <c r="H65" s="419">
        <v>1</v>
      </c>
      <c r="I65" s="419">
        <v>1</v>
      </c>
      <c r="J65" s="461">
        <v>2500</v>
      </c>
      <c r="K65" s="461">
        <f t="shared" si="68"/>
        <v>2500</v>
      </c>
      <c r="L65" s="461">
        <f t="shared" si="69"/>
        <v>250</v>
      </c>
      <c r="M65" s="461">
        <f t="shared" si="70"/>
        <v>667.42264197837721</v>
      </c>
      <c r="N65" s="541">
        <f t="shared" si="71"/>
        <v>3417.4226419783772</v>
      </c>
      <c r="Q65" s="475">
        <f t="shared" ref="Q65:R65" si="79">IF(H65&lt;&gt;"",H65,"")</f>
        <v>1</v>
      </c>
      <c r="R65" s="476">
        <f t="shared" si="79"/>
        <v>1</v>
      </c>
      <c r="S65" s="477">
        <v>2355.2800000000002</v>
      </c>
      <c r="T65" s="477">
        <v>5212.41</v>
      </c>
      <c r="U65" s="478">
        <f t="shared" si="73"/>
        <v>-2712.41</v>
      </c>
      <c r="V65" s="479">
        <f t="shared" si="74"/>
        <v>0</v>
      </c>
      <c r="W65" s="480">
        <f t="shared" si="75"/>
        <v>0</v>
      </c>
      <c r="X65" s="480">
        <f t="shared" si="76"/>
        <v>5212.41</v>
      </c>
      <c r="Y65" s="481">
        <f t="shared" si="77"/>
        <v>5879.8326419783771</v>
      </c>
      <c r="Z65" s="429">
        <f t="shared" si="78"/>
        <v>-1.084964</v>
      </c>
      <c r="AA65" s="430"/>
      <c r="EE65" s="601">
        <f t="shared" si="12"/>
        <v>0</v>
      </c>
      <c r="EF65" s="602">
        <f>'CUSTOS OP.'!F16</f>
        <v>5212.41</v>
      </c>
    </row>
    <row r="66" spans="1:136" ht="30" customHeight="1" thickBot="1" x14ac:dyDescent="0.5">
      <c r="A66" s="431">
        <v>52</v>
      </c>
      <c r="B66" s="391"/>
      <c r="C66" s="432" t="s">
        <v>72</v>
      </c>
      <c r="D66" s="431"/>
      <c r="E66" s="431"/>
      <c r="F66" s="694" t="s">
        <v>276</v>
      </c>
      <c r="G66" s="695"/>
      <c r="H66" s="695"/>
      <c r="I66" s="695"/>
      <c r="J66" s="695"/>
      <c r="K66" s="543">
        <f>SUM(K58:K65)</f>
        <v>19568</v>
      </c>
      <c r="L66" s="543">
        <f>SUM(L58:L65)</f>
        <v>1956.8</v>
      </c>
      <c r="M66" s="543">
        <f>SUM(M58:M65)</f>
        <v>5224.0505032931551</v>
      </c>
      <c r="N66" s="544">
        <f>SUM(N58:N65)</f>
        <v>26748.850503293153</v>
      </c>
      <c r="Q66" s="694" t="s">
        <v>276</v>
      </c>
      <c r="R66" s="695"/>
      <c r="S66" s="695"/>
      <c r="T66" s="545">
        <f>SUM(T58:T65)</f>
        <v>12388.06</v>
      </c>
      <c r="U66" s="546">
        <f>SUM(U58:U65)</f>
        <v>7179.9400000000005</v>
      </c>
      <c r="V66" s="547"/>
      <c r="W66" s="547"/>
      <c r="X66" s="548">
        <f>SUM(X58:X65)</f>
        <v>12388.06</v>
      </c>
      <c r="Y66" s="549">
        <f t="shared" si="66"/>
        <v>17612.110503293155</v>
      </c>
      <c r="Z66" s="550" t="s">
        <v>277</v>
      </c>
      <c r="AA66" s="551" t="s">
        <v>278</v>
      </c>
      <c r="EE66" s="601"/>
      <c r="EF66" s="602"/>
    </row>
    <row r="67" spans="1:136" ht="30" customHeight="1" x14ac:dyDescent="0.45">
      <c r="A67" s="372">
        <v>53</v>
      </c>
      <c r="B67" s="391">
        <v>7</v>
      </c>
      <c r="C67" s="392" t="s">
        <v>40</v>
      </c>
      <c r="D67" s="372"/>
      <c r="E67" s="372"/>
      <c r="F67" s="688" t="s">
        <v>435</v>
      </c>
      <c r="G67" s="689"/>
      <c r="H67" s="689"/>
      <c r="I67" s="689"/>
      <c r="J67" s="689"/>
      <c r="K67" s="689"/>
      <c r="L67" s="689"/>
      <c r="M67" s="689"/>
      <c r="N67" s="690"/>
      <c r="Q67" s="691" t="str">
        <f>IF(F67&lt;&gt;"",F67,"")</f>
        <v>EXTRAS</v>
      </c>
      <c r="R67" s="692"/>
      <c r="S67" s="692"/>
      <c r="T67" s="692"/>
      <c r="U67" s="692"/>
      <c r="V67" s="692"/>
      <c r="W67" s="692"/>
      <c r="X67" s="692"/>
      <c r="Y67" s="693"/>
      <c r="EE67" s="601"/>
      <c r="EF67" s="602"/>
    </row>
    <row r="68" spans="1:136" ht="30" customHeight="1" x14ac:dyDescent="0.45">
      <c r="A68" s="372">
        <v>54</v>
      </c>
      <c r="B68" s="391" t="s">
        <v>192</v>
      </c>
      <c r="C68" s="392" t="s">
        <v>43</v>
      </c>
      <c r="D68" s="372"/>
      <c r="E68" s="372"/>
      <c r="F68" s="694" t="s">
        <v>435</v>
      </c>
      <c r="G68" s="695"/>
      <c r="H68" s="695"/>
      <c r="I68" s="695"/>
      <c r="J68" s="695"/>
      <c r="K68" s="696"/>
      <c r="L68" s="552" t="s">
        <v>45</v>
      </c>
      <c r="M68" s="553" t="s">
        <v>46</v>
      </c>
      <c r="N68" s="554" t="s">
        <v>28</v>
      </c>
      <c r="Q68" s="697" t="str">
        <f>IF(F68&lt;&gt;"",F68,"")</f>
        <v>EXTRAS</v>
      </c>
      <c r="R68" s="698"/>
      <c r="S68" s="698"/>
      <c r="T68" s="698"/>
      <c r="U68" s="698"/>
      <c r="V68" s="698"/>
      <c r="W68" s="698"/>
      <c r="X68" s="698"/>
      <c r="Y68" s="699"/>
      <c r="Z68" s="555" t="s">
        <v>47</v>
      </c>
      <c r="AA68" s="556" t="s">
        <v>39</v>
      </c>
      <c r="EE68" s="601"/>
      <c r="EF68" s="602"/>
    </row>
    <row r="69" spans="1:136" ht="80.099999999999994" customHeight="1" x14ac:dyDescent="0.45">
      <c r="A69" s="372">
        <v>55</v>
      </c>
      <c r="B69" s="391" t="s">
        <v>193</v>
      </c>
      <c r="C69" s="392" t="s">
        <v>49</v>
      </c>
      <c r="D69" s="372" t="s">
        <v>78</v>
      </c>
      <c r="E69" s="431" t="s">
        <v>51</v>
      </c>
      <c r="F69" s="557" t="s">
        <v>436</v>
      </c>
      <c r="G69" s="558" t="s">
        <v>446</v>
      </c>
      <c r="H69" s="559">
        <v>1</v>
      </c>
      <c r="I69" s="559">
        <v>1</v>
      </c>
      <c r="J69" s="560">
        <v>300</v>
      </c>
      <c r="K69" s="560">
        <f t="shared" ref="K69:K71" si="80">IF(F69&lt;&gt;"",H69*I69*J69,"")</f>
        <v>300</v>
      </c>
      <c r="L69" s="560">
        <f t="shared" ref="L69:L71" si="81">IF(K69&lt;&gt;"",IF(D69="INTERNO",0,K69*$L$14),"")</f>
        <v>30</v>
      </c>
      <c r="M69" s="560">
        <f t="shared" ref="M69:M71" si="82">IF(K69&lt;&gt;"",IF(E69="FAT.OGGI",SUM(K69:L69)*(1/(1-$M$14)-1),L69*(1/(1-$M$14)-1)),"")</f>
        <v>80.09071703740527</v>
      </c>
      <c r="N69" s="561">
        <f t="shared" ref="N69:N71" si="83">SUM(K69:M69)</f>
        <v>410.09071703740528</v>
      </c>
      <c r="Q69" s="422">
        <f t="shared" ref="Q69:R71" si="84">IF(H69&lt;&gt;"",H69,"")</f>
        <v>1</v>
      </c>
      <c r="R69" s="423">
        <f t="shared" si="84"/>
        <v>1</v>
      </c>
      <c r="S69" s="424">
        <v>0</v>
      </c>
      <c r="T69" s="424">
        <f t="shared" ref="T69" si="85">IF(Q69&lt;&gt;"",Q69*R69*S69,"")</f>
        <v>0</v>
      </c>
      <c r="U69" s="425">
        <f t="shared" ref="U69:U71" si="86">IF(Q69&lt;&gt;"",K69-T69,"")</f>
        <v>300</v>
      </c>
      <c r="V69" s="426">
        <f t="shared" ref="V69:V71" si="87">IF(Q69&lt;&gt;"",0%,"")</f>
        <v>0</v>
      </c>
      <c r="W69" s="427">
        <f t="shared" ref="W69:W71" si="88">IF(Q69&lt;&gt;"",V69*U69,"")</f>
        <v>0</v>
      </c>
      <c r="X69" s="427">
        <f t="shared" ref="X69:X71" si="89">IF(Q69&lt;&gt;"",W69+T69,"")</f>
        <v>0</v>
      </c>
      <c r="Y69" s="428">
        <f t="shared" ref="Y69:Y72" si="90">IF(Q69&lt;&gt;"",X69+M69,"")</f>
        <v>80.09071703740527</v>
      </c>
      <c r="Z69" s="429">
        <f t="shared" ref="Z69:Z71" si="91">IF(Q69&lt;&gt;"",U69/K69,"")</f>
        <v>1</v>
      </c>
      <c r="AA69" s="430">
        <f t="shared" ref="AA69:AA71" si="92">T69/$T$66</f>
        <v>0</v>
      </c>
      <c r="EE69" s="601">
        <f t="shared" si="12"/>
        <v>0</v>
      </c>
      <c r="EF69" s="602"/>
    </row>
    <row r="70" spans="1:136" ht="80.099999999999994" customHeight="1" x14ac:dyDescent="0.45">
      <c r="A70" s="372">
        <v>56</v>
      </c>
      <c r="B70" s="391" t="s">
        <v>432</v>
      </c>
      <c r="C70" s="392" t="s">
        <v>49</v>
      </c>
      <c r="D70" s="372" t="s">
        <v>78</v>
      </c>
      <c r="E70" s="431" t="s">
        <v>51</v>
      </c>
      <c r="F70" s="557" t="s">
        <v>437</v>
      </c>
      <c r="G70" s="558" t="s">
        <v>445</v>
      </c>
      <c r="H70" s="559">
        <v>1</v>
      </c>
      <c r="I70" s="559">
        <v>1</v>
      </c>
      <c r="J70" s="560">
        <v>2900</v>
      </c>
      <c r="K70" s="560">
        <f t="shared" si="80"/>
        <v>2900</v>
      </c>
      <c r="L70" s="560">
        <f t="shared" si="81"/>
        <v>290</v>
      </c>
      <c r="M70" s="560">
        <f t="shared" si="82"/>
        <v>774.21026469491756</v>
      </c>
      <c r="N70" s="561">
        <f t="shared" si="83"/>
        <v>3964.2102646949174</v>
      </c>
      <c r="Q70" s="422">
        <f t="shared" si="84"/>
        <v>1</v>
      </c>
      <c r="R70" s="423">
        <f t="shared" si="84"/>
        <v>1</v>
      </c>
      <c r="S70" s="424">
        <f>974.12+420</f>
        <v>1394.12</v>
      </c>
      <c r="T70" s="424">
        <v>0</v>
      </c>
      <c r="U70" s="425">
        <f t="shared" si="86"/>
        <v>2900</v>
      </c>
      <c r="V70" s="426">
        <f t="shared" si="87"/>
        <v>0</v>
      </c>
      <c r="W70" s="427">
        <f t="shared" si="88"/>
        <v>0</v>
      </c>
      <c r="X70" s="427">
        <f t="shared" si="89"/>
        <v>0</v>
      </c>
      <c r="Y70" s="428">
        <f t="shared" si="90"/>
        <v>774.21026469491756</v>
      </c>
      <c r="Z70" s="429">
        <f t="shared" si="91"/>
        <v>1</v>
      </c>
      <c r="AA70" s="430">
        <f t="shared" si="92"/>
        <v>0</v>
      </c>
      <c r="EE70" s="601">
        <f t="shared" si="12"/>
        <v>0</v>
      </c>
      <c r="EF70" s="602"/>
    </row>
    <row r="71" spans="1:136" ht="80.099999999999994" customHeight="1" thickBot="1" x14ac:dyDescent="0.5">
      <c r="A71" s="372">
        <v>57</v>
      </c>
      <c r="B71" s="391" t="s">
        <v>433</v>
      </c>
      <c r="C71" s="392" t="s">
        <v>49</v>
      </c>
      <c r="D71" s="372" t="s">
        <v>78</v>
      </c>
      <c r="E71" s="431" t="s">
        <v>51</v>
      </c>
      <c r="F71" s="557" t="s">
        <v>438</v>
      </c>
      <c r="G71" s="558" t="s">
        <v>444</v>
      </c>
      <c r="H71" s="559">
        <v>1</v>
      </c>
      <c r="I71" s="559">
        <v>0</v>
      </c>
      <c r="J71" s="560">
        <v>2800</v>
      </c>
      <c r="K71" s="560">
        <f t="shared" si="80"/>
        <v>0</v>
      </c>
      <c r="L71" s="560">
        <f t="shared" si="81"/>
        <v>0</v>
      </c>
      <c r="M71" s="560">
        <f t="shared" si="82"/>
        <v>0</v>
      </c>
      <c r="N71" s="561">
        <f t="shared" si="83"/>
        <v>0</v>
      </c>
      <c r="Q71" s="422">
        <f t="shared" si="84"/>
        <v>1</v>
      </c>
      <c r="R71" s="423">
        <v>1</v>
      </c>
      <c r="S71" s="424">
        <f>5472 +184.19</f>
        <v>5656.19</v>
      </c>
      <c r="T71" s="424">
        <v>0</v>
      </c>
      <c r="U71" s="425">
        <f t="shared" si="86"/>
        <v>0</v>
      </c>
      <c r="V71" s="426">
        <f t="shared" si="87"/>
        <v>0</v>
      </c>
      <c r="W71" s="427">
        <f t="shared" si="88"/>
        <v>0</v>
      </c>
      <c r="X71" s="427">
        <f t="shared" si="89"/>
        <v>0</v>
      </c>
      <c r="Y71" s="428">
        <f t="shared" si="90"/>
        <v>0</v>
      </c>
      <c r="Z71" s="429" t="e">
        <f t="shared" si="91"/>
        <v>#DIV/0!</v>
      </c>
      <c r="AA71" s="430">
        <f t="shared" si="92"/>
        <v>0</v>
      </c>
      <c r="EE71" s="601">
        <f t="shared" si="12"/>
        <v>0</v>
      </c>
      <c r="EF71" s="602"/>
    </row>
    <row r="72" spans="1:136" ht="30" customHeight="1" thickBot="1" x14ac:dyDescent="0.5">
      <c r="A72" s="372">
        <v>62</v>
      </c>
      <c r="B72" s="391"/>
      <c r="C72" s="392" t="s">
        <v>434</v>
      </c>
      <c r="D72" s="372"/>
      <c r="E72" s="372"/>
      <c r="F72" s="700" t="s">
        <v>154</v>
      </c>
      <c r="G72" s="701"/>
      <c r="H72" s="701"/>
      <c r="I72" s="701"/>
      <c r="J72" s="701"/>
      <c r="K72" s="562">
        <f>SUM(K69:K71)</f>
        <v>3200</v>
      </c>
      <c r="L72" s="562">
        <f>SUM(L69:L71)</f>
        <v>320</v>
      </c>
      <c r="M72" s="562">
        <f>SUM(M69:M71)</f>
        <v>854.30098173232284</v>
      </c>
      <c r="N72" s="563">
        <f>SUM(N69:N71)</f>
        <v>4374.3009817323227</v>
      </c>
      <c r="Q72" s="702" t="s">
        <v>154</v>
      </c>
      <c r="R72" s="703"/>
      <c r="S72" s="703"/>
      <c r="T72" s="564">
        <f>SUM(T69:T71)</f>
        <v>0</v>
      </c>
      <c r="U72" s="565">
        <f>SUM(U69:U71)</f>
        <v>3200</v>
      </c>
      <c r="V72" s="566"/>
      <c r="W72" s="566"/>
      <c r="X72" s="567">
        <f>SUM(X69:X71)</f>
        <v>0</v>
      </c>
      <c r="Y72" s="568">
        <f t="shared" si="90"/>
        <v>854.30098173232284</v>
      </c>
      <c r="Z72" s="569" t="s">
        <v>277</v>
      </c>
      <c r="AA72" s="570" t="s">
        <v>278</v>
      </c>
      <c r="EE72" s="601"/>
      <c r="EF72" s="602"/>
    </row>
    <row r="73" spans="1:136" ht="30" customHeight="1" thickBot="1" x14ac:dyDescent="0.5">
      <c r="A73" s="415">
        <v>63</v>
      </c>
      <c r="B73" s="571"/>
      <c r="C73" s="416" t="s">
        <v>279</v>
      </c>
      <c r="D73" s="415"/>
      <c r="E73" s="415"/>
      <c r="F73" s="338" t="s">
        <v>280</v>
      </c>
      <c r="G73" s="339"/>
      <c r="H73" s="340"/>
      <c r="I73" s="340"/>
      <c r="J73" s="339"/>
      <c r="K73" s="341">
        <f>SUM(K17:K23)+SUM(K27:K28)+SUM(K32:K41)+SUM(K45:K47)+SUM(K52:K54)+SUM(K58:K65)+SUM(K69:K71)</f>
        <v>82013.25</v>
      </c>
      <c r="L73" s="341">
        <f>SUM(L17:L23)+SUM(L27:L28)+SUM(L32:L41)+SUM(L45:L47)+SUM(L52:L54)+SUM(L58:L65)+SUM(L69:L71)</f>
        <v>6576.3249999999998</v>
      </c>
      <c r="M73" s="341">
        <f>SUM(M17:M23)+SUM(M27:M28)+SUM(M32:M41)+SUM(M45:M47)+SUM(M52:M54)+SUM(M58:M65)+SUM(M69:M71)</f>
        <v>21500.613890269673</v>
      </c>
      <c r="N73" s="342">
        <f>SUM(N17:N23)+SUM(N27:N28)+SUM(N32:N41)+SUM(N45:N48)+SUM(N52:N54)+SUM(N58:N65)+SUM(N69:N71)</f>
        <v>110831.49620976762</v>
      </c>
      <c r="Q73" s="343" t="s">
        <v>281</v>
      </c>
      <c r="R73" s="340"/>
      <c r="S73" s="339"/>
      <c r="T73" s="341">
        <f>SUM(T69:T71,T58:T65,T52:T54,T45:T48,T32:T41,T27:T28,T17:T23)</f>
        <v>44026.06</v>
      </c>
      <c r="U73" s="341">
        <f t="shared" ref="U73:X73" si="93">SUM(U69:U71,U58:U65,U52:U54,U45:U48,U32:U41,U27:U28,U17:U23)</f>
        <v>38529.49</v>
      </c>
      <c r="V73" s="341">
        <f t="shared" si="93"/>
        <v>0</v>
      </c>
      <c r="W73" s="341">
        <f t="shared" si="93"/>
        <v>0</v>
      </c>
      <c r="X73" s="341">
        <f t="shared" si="93"/>
        <v>44026.06</v>
      </c>
      <c r="Y73" s="342">
        <f>SUM(Y17:Y23)+SUM(Y27:Y28)+SUM(Y32:Y41)+SUM(Y45:Y47)+SUM(Y52:Y54)+SUM(Y58:Y65)+SUM(Y69:Y71)</f>
        <v>64525.373890269671</v>
      </c>
      <c r="Z73" s="344">
        <f>IF(Q73&lt;&gt;"",(N73-Y73)/N73,"")</f>
        <v>0.4178065252485238</v>
      </c>
      <c r="AA73" s="345">
        <f>IF(Z73&lt;&gt;"",(N73-Y73),"")</f>
        <v>46306.122319497947</v>
      </c>
      <c r="EE73" s="601">
        <f>SUM(EE17:EE72)</f>
        <v>0</v>
      </c>
      <c r="EF73" s="602">
        <f>SUM(EF17:EF72)</f>
        <v>44026.06</v>
      </c>
    </row>
    <row r="75" spans="1:136" ht="22.2" x14ac:dyDescent="0.45">
      <c r="EE75" s="604">
        <f>K76/0.85-K76</f>
        <v>15633.454411764702</v>
      </c>
      <c r="EF75" s="605" t="s">
        <v>467</v>
      </c>
    </row>
    <row r="76" spans="1:136" ht="22.2" x14ac:dyDescent="0.45">
      <c r="K76" s="603">
        <f>K73+L73</f>
        <v>88589.574999999997</v>
      </c>
      <c r="EE76" s="604">
        <f>X73+EE75</f>
        <v>59659.5144117647</v>
      </c>
      <c r="EF76" s="605" t="s">
        <v>468</v>
      </c>
    </row>
    <row r="77" spans="1:136" ht="22.2" x14ac:dyDescent="0.45">
      <c r="EE77" s="604">
        <f>N73-EE76</f>
        <v>51171.981798002918</v>
      </c>
      <c r="EF77" s="605" t="s">
        <v>466</v>
      </c>
    </row>
    <row r="78" spans="1:136" ht="21" x14ac:dyDescent="0.4">
      <c r="EE78" s="606">
        <f>EE77*100%/N73</f>
        <v>0.46170974450395547</v>
      </c>
      <c r="EF78" s="607"/>
    </row>
  </sheetData>
  <autoFilter ref="A17:EF17" xr:uid="{8D3DEC0F-3694-4066-B142-E633EE006CFC}"/>
  <mergeCells count="48">
    <mergeCell ref="F24:J24"/>
    <mergeCell ref="Q24:S24"/>
    <mergeCell ref="F1:G1"/>
    <mergeCell ref="F2:G2"/>
    <mergeCell ref="R12:U12"/>
    <mergeCell ref="AK12:AL12"/>
    <mergeCell ref="F15:N15"/>
    <mergeCell ref="Q15:Y15"/>
    <mergeCell ref="F16:K16"/>
    <mergeCell ref="Q16:Y16"/>
    <mergeCell ref="V12:Y12"/>
    <mergeCell ref="AC12:AE12"/>
    <mergeCell ref="AG12:AH12"/>
    <mergeCell ref="F25:N25"/>
    <mergeCell ref="Q25:Y25"/>
    <mergeCell ref="F26:K26"/>
    <mergeCell ref="Q26:Y26"/>
    <mergeCell ref="F29:J29"/>
    <mergeCell ref="Q29:S29"/>
    <mergeCell ref="F30:N30"/>
    <mergeCell ref="Q30:Y30"/>
    <mergeCell ref="F31:K31"/>
    <mergeCell ref="Q31:Y31"/>
    <mergeCell ref="F42:J42"/>
    <mergeCell ref="Q42:S42"/>
    <mergeCell ref="F43:N43"/>
    <mergeCell ref="Q43:Y43"/>
    <mergeCell ref="F44:K44"/>
    <mergeCell ref="Q44:Y44"/>
    <mergeCell ref="F49:J49"/>
    <mergeCell ref="Q49:S49"/>
    <mergeCell ref="F50:N50"/>
    <mergeCell ref="Q50:Y50"/>
    <mergeCell ref="F51:K51"/>
    <mergeCell ref="Q51:Y51"/>
    <mergeCell ref="F55:J55"/>
    <mergeCell ref="Q55:S55"/>
    <mergeCell ref="F57:K57"/>
    <mergeCell ref="F66:J66"/>
    <mergeCell ref="Q66:S66"/>
    <mergeCell ref="F56:N56"/>
    <mergeCell ref="Q56:Y56"/>
    <mergeCell ref="F67:N67"/>
    <mergeCell ref="Q67:Y67"/>
    <mergeCell ref="F68:K68"/>
    <mergeCell ref="Q68:Y68"/>
    <mergeCell ref="F72:J72"/>
    <mergeCell ref="Q72:S72"/>
  </mergeCells>
  <phoneticPr fontId="34" type="noConversion"/>
  <dataValidations disablePrompts="1" count="3">
    <dataValidation type="list" allowBlank="1" showInputMessage="1" showErrorMessage="1" sqref="D58:D65 D73 D17:D55 D69:D71" xr:uid="{916D5404-CA2A-463A-B617-BD72D3266121}">
      <formula1>"INTERNO,OPERACIONAL"</formula1>
    </dataValidation>
    <dataValidation type="list" allowBlank="1" showInputMessage="1" showErrorMessage="1" sqref="E58:E65 E17:E55 E69:E71" xr:uid="{0BCE3AA5-4FB1-49C2-8BBE-6F9333FFA445}">
      <formula1>"FAT.OGGI,FAT.CLIENTE"</formula1>
    </dataValidation>
    <dataValidation type="list" allowBlank="1" showInputMessage="1" showErrorMessage="1" sqref="E73" xr:uid="{DC3B62EA-926D-46EC-B71F-7B448F8A821A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C82B6-FCBD-43D8-B552-DFC3502439C8}">
  <sheetPr codeName="Planilha12">
    <pageSetUpPr autoPageBreaks="0"/>
  </sheetPr>
  <dimension ref="A1:AQ26"/>
  <sheetViews>
    <sheetView showGridLines="0" topLeftCell="G1" zoomScale="60" zoomScaleNormal="60" workbookViewId="0">
      <pane ySplit="1" topLeftCell="A17" activePane="bottomLeft" state="frozen"/>
      <selection activeCell="AC1" sqref="AC1"/>
      <selection pane="bottomLeft" activeCell="AO26" sqref="AO26"/>
    </sheetView>
  </sheetViews>
  <sheetFormatPr defaultColWidth="9.21875" defaultRowHeight="20.399999999999999" x14ac:dyDescent="0.35"/>
  <cols>
    <col min="1" max="1" width="5" style="346" hidden="1" customWidth="1"/>
    <col min="2" max="2" width="9" style="346" customWidth="1"/>
    <col min="3" max="5" width="5" style="346" hidden="1" customWidth="1"/>
    <col min="6" max="6" width="53.21875" style="346" customWidth="1"/>
    <col min="7" max="7" width="75.5546875" style="346" customWidth="1"/>
    <col min="8" max="8" width="6.21875" style="349" hidden="1" customWidth="1"/>
    <col min="9" max="9" width="7.5546875" style="349" hidden="1" customWidth="1"/>
    <col min="10" max="10" width="20.21875" style="346" hidden="1" customWidth="1"/>
    <col min="11" max="11" width="25.77734375" style="346" bestFit="1" customWidth="1"/>
    <col min="12" max="12" width="22.21875" style="346" customWidth="1"/>
    <col min="13" max="13" width="23.44140625" style="346" customWidth="1"/>
    <col min="14" max="14" width="28.77734375" style="346" customWidth="1"/>
    <col min="15" max="15" width="7.44140625" style="450" hidden="1" customWidth="1"/>
    <col min="16" max="16" width="5.21875" style="346" hidden="1" customWidth="1"/>
    <col min="17" max="17" width="10.44140625" style="349" customWidth="1"/>
    <col min="18" max="18" width="14.21875" style="349" hidden="1" customWidth="1"/>
    <col min="19" max="19" width="23.5546875" style="346" hidden="1" customWidth="1"/>
    <col min="20" max="20" width="26.44140625" style="346" customWidth="1"/>
    <col min="21" max="21" width="28.77734375" style="346" hidden="1" customWidth="1"/>
    <col min="22" max="23" width="28.21875" style="346" hidden="1" customWidth="1"/>
    <col min="24" max="24" width="28.21875" style="346" customWidth="1"/>
    <col min="25" max="26" width="27.77734375" style="346" hidden="1" customWidth="1"/>
    <col min="27" max="27" width="25.77734375" style="346" hidden="1" customWidth="1"/>
    <col min="28" max="28" width="38.21875" style="346" hidden="1" customWidth="1"/>
    <col min="29" max="30" width="33" style="346" hidden="1" customWidth="1"/>
    <col min="31" max="31" width="28" style="346" hidden="1" customWidth="1"/>
    <col min="32" max="32" width="1.21875" style="346" hidden="1" customWidth="1"/>
    <col min="33" max="33" width="81.5546875" style="346" hidden="1" customWidth="1"/>
    <col min="34" max="34" width="36.77734375" style="346" hidden="1" customWidth="1"/>
    <col min="35" max="35" width="1.5546875" style="346" hidden="1" customWidth="1"/>
    <col min="36" max="36" width="20.21875" style="346" hidden="1" customWidth="1"/>
    <col min="37" max="37" width="25.21875" style="346" hidden="1" customWidth="1"/>
    <col min="38" max="38" width="24.77734375" style="346" hidden="1" customWidth="1"/>
    <col min="39" max="39" width="0" style="346" hidden="1" customWidth="1"/>
    <col min="40" max="40" width="21.21875" style="346" hidden="1" customWidth="1"/>
    <col min="41" max="41" width="26.77734375" style="346" customWidth="1"/>
    <col min="42" max="42" width="27" style="346" customWidth="1"/>
    <col min="43" max="43" width="9.21875" style="609"/>
    <col min="44" max="16384" width="9.21875" style="346"/>
  </cols>
  <sheetData>
    <row r="1" spans="1:42" ht="49.5" customHeight="1" x14ac:dyDescent="0.35">
      <c r="B1" s="347"/>
      <c r="C1" s="348"/>
      <c r="D1" s="348"/>
      <c r="F1" s="761" t="s">
        <v>0</v>
      </c>
      <c r="G1" s="761"/>
    </row>
    <row r="2" spans="1:42" ht="24.75" customHeight="1" x14ac:dyDescent="0.35">
      <c r="B2" s="350"/>
      <c r="D2" s="348"/>
      <c r="F2" s="762" t="s">
        <v>1</v>
      </c>
      <c r="G2" s="762"/>
    </row>
    <row r="3" spans="1:42" ht="21" x14ac:dyDescent="0.4">
      <c r="B3" s="351"/>
      <c r="F3" s="352"/>
      <c r="G3" s="352"/>
    </row>
    <row r="4" spans="1:42" ht="22.05" customHeight="1" x14ac:dyDescent="0.35">
      <c r="F4" s="353" t="s">
        <v>2</v>
      </c>
      <c r="G4" s="354"/>
    </row>
    <row r="5" spans="1:42" x14ac:dyDescent="0.35">
      <c r="F5" s="355" t="s">
        <v>3</v>
      </c>
      <c r="G5" s="356"/>
    </row>
    <row r="6" spans="1:42" x14ac:dyDescent="0.35">
      <c r="F6" s="355" t="s">
        <v>4</v>
      </c>
      <c r="G6" s="357"/>
    </row>
    <row r="7" spans="1:42" ht="21.75" customHeight="1" x14ac:dyDescent="0.35">
      <c r="F7" s="355" t="s">
        <v>5</v>
      </c>
      <c r="G7" s="357"/>
    </row>
    <row r="8" spans="1:42" x14ac:dyDescent="0.35">
      <c r="F8" s="355" t="s">
        <v>282</v>
      </c>
      <c r="G8" s="358"/>
    </row>
    <row r="9" spans="1:42" x14ac:dyDescent="0.35">
      <c r="F9" s="355" t="s">
        <v>7</v>
      </c>
      <c r="G9" s="357"/>
      <c r="M9" s="346">
        <v>0.80469999999999997</v>
      </c>
    </row>
    <row r="10" spans="1:42" ht="27" customHeight="1" x14ac:dyDescent="0.35">
      <c r="F10" s="355" t="s">
        <v>8</v>
      </c>
      <c r="G10" s="357"/>
      <c r="M10" s="346">
        <f>1-M9</f>
        <v>0.19530000000000003</v>
      </c>
    </row>
    <row r="11" spans="1:42" x14ac:dyDescent="0.35">
      <c r="F11" s="359" t="s">
        <v>9</v>
      </c>
      <c r="G11" s="360"/>
    </row>
    <row r="12" spans="1:42" ht="42.6" hidden="1" thickBot="1" x14ac:dyDescent="0.45">
      <c r="B12" s="361"/>
      <c r="M12" s="362"/>
      <c r="R12" s="763" t="s">
        <v>10</v>
      </c>
      <c r="S12" s="764"/>
      <c r="T12" s="764"/>
      <c r="U12" s="765"/>
      <c r="V12" s="753" t="s">
        <v>11</v>
      </c>
      <c r="W12" s="754"/>
      <c r="X12" s="754"/>
      <c r="Y12" s="755"/>
      <c r="Z12" s="363" t="s">
        <v>12</v>
      </c>
      <c r="AA12" s="364" t="e">
        <f>(1/(1-#REF!))-1</f>
        <v>#REF!</v>
      </c>
      <c r="AC12" s="756" t="s">
        <v>13</v>
      </c>
      <c r="AD12" s="757"/>
      <c r="AE12" s="758"/>
      <c r="AG12" s="759" t="s">
        <v>14</v>
      </c>
      <c r="AH12" s="760"/>
      <c r="AJ12" s="365" t="s">
        <v>15</v>
      </c>
      <c r="AK12" s="747" t="s">
        <v>16</v>
      </c>
      <c r="AL12" s="748"/>
    </row>
    <row r="13" spans="1:42" ht="21.6" thickBot="1" x14ac:dyDescent="0.45">
      <c r="A13" s="366" t="s">
        <v>17</v>
      </c>
      <c r="B13" s="367" t="s">
        <v>18</v>
      </c>
      <c r="C13" s="366" t="s">
        <v>19</v>
      </c>
      <c r="D13" s="366" t="s">
        <v>20</v>
      </c>
      <c r="E13" s="366" t="s">
        <v>21</v>
      </c>
      <c r="M13" s="368">
        <v>0.81</v>
      </c>
    </row>
    <row r="14" spans="1:42" ht="42.75" customHeight="1" thickBot="1" x14ac:dyDescent="0.4">
      <c r="A14" s="369">
        <v>0</v>
      </c>
      <c r="B14" s="370"/>
      <c r="C14" s="371"/>
      <c r="D14" s="372"/>
      <c r="E14" s="372"/>
      <c r="F14" s="373" t="s">
        <v>22</v>
      </c>
      <c r="G14" s="374" t="s">
        <v>23</v>
      </c>
      <c r="H14" s="375" t="s">
        <v>24</v>
      </c>
      <c r="I14" s="375" t="s">
        <v>25</v>
      </c>
      <c r="J14" s="376" t="s">
        <v>26</v>
      </c>
      <c r="K14" s="377" t="s">
        <v>27</v>
      </c>
      <c r="L14" s="378">
        <v>0.1</v>
      </c>
      <c r="M14" s="379">
        <v>0.1953</v>
      </c>
      <c r="N14" s="380" t="s">
        <v>28</v>
      </c>
      <c r="O14" s="577"/>
      <c r="Q14" s="381" t="s">
        <v>29</v>
      </c>
      <c r="R14" s="382" t="s">
        <v>30</v>
      </c>
      <c r="S14" s="383" t="s">
        <v>31</v>
      </c>
      <c r="T14" s="384" t="s">
        <v>32</v>
      </c>
      <c r="U14" s="385" t="s">
        <v>33</v>
      </c>
      <c r="V14" s="386" t="s">
        <v>34</v>
      </c>
      <c r="W14" s="387" t="s">
        <v>35</v>
      </c>
      <c r="X14" s="388" t="s">
        <v>36</v>
      </c>
      <c r="Y14" s="388" t="s">
        <v>37</v>
      </c>
      <c r="Z14" s="389" t="s">
        <v>38</v>
      </c>
      <c r="AA14" s="390" t="s">
        <v>39</v>
      </c>
      <c r="AO14" s="597" t="s">
        <v>469</v>
      </c>
      <c r="AP14" s="598" t="s">
        <v>470</v>
      </c>
    </row>
    <row r="15" spans="1:42" ht="30" customHeight="1" thickBot="1" x14ac:dyDescent="0.5">
      <c r="A15" s="372">
        <v>1</v>
      </c>
      <c r="B15" s="391">
        <v>1</v>
      </c>
      <c r="C15" s="392" t="s">
        <v>40</v>
      </c>
      <c r="D15" s="372"/>
      <c r="E15" s="372"/>
      <c r="F15" s="688" t="s">
        <v>41</v>
      </c>
      <c r="G15" s="689"/>
      <c r="H15" s="689"/>
      <c r="I15" s="689"/>
      <c r="J15" s="689"/>
      <c r="K15" s="689"/>
      <c r="L15" s="689"/>
      <c r="M15" s="689"/>
      <c r="N15" s="690"/>
      <c r="O15" s="578"/>
      <c r="Q15" s="749" t="str">
        <f>IF(F15&lt;&gt;"",F15,"")</f>
        <v xml:space="preserve">INTERNOS </v>
      </c>
      <c r="R15" s="750"/>
      <c r="S15" s="750"/>
      <c r="T15" s="750"/>
      <c r="U15" s="750"/>
      <c r="V15" s="750"/>
      <c r="W15" s="750"/>
      <c r="X15" s="750"/>
      <c r="Y15" s="751"/>
      <c r="Z15" s="393"/>
      <c r="AA15" s="394"/>
      <c r="AO15" s="599"/>
      <c r="AP15" s="599"/>
    </row>
    <row r="16" spans="1:42" ht="30" customHeight="1" thickBot="1" x14ac:dyDescent="0.5">
      <c r="A16" s="431">
        <v>2</v>
      </c>
      <c r="B16" s="391">
        <v>2</v>
      </c>
      <c r="C16" s="432" t="s">
        <v>40</v>
      </c>
      <c r="D16" s="431"/>
      <c r="E16" s="431"/>
      <c r="F16" s="706" t="s">
        <v>155</v>
      </c>
      <c r="G16" s="707"/>
      <c r="H16" s="707"/>
      <c r="I16" s="707"/>
      <c r="J16" s="707"/>
      <c r="K16" s="707"/>
      <c r="L16" s="707"/>
      <c r="M16" s="707"/>
      <c r="N16" s="708"/>
      <c r="O16" s="579"/>
      <c r="Q16" s="709" t="str">
        <f>IF(F16&lt;&gt;"",F16,"")</f>
        <v>PLENÁRIA</v>
      </c>
      <c r="R16" s="710"/>
      <c r="S16" s="710"/>
      <c r="T16" s="710"/>
      <c r="U16" s="710"/>
      <c r="V16" s="710"/>
      <c r="W16" s="710"/>
      <c r="X16" s="710"/>
      <c r="Y16" s="711"/>
      <c r="Z16" s="451"/>
      <c r="AA16" s="452"/>
      <c r="AO16" s="600"/>
      <c r="AP16" s="600"/>
    </row>
    <row r="17" spans="1:43" ht="30" customHeight="1" thickBot="1" x14ac:dyDescent="0.45">
      <c r="A17" s="372">
        <v>3</v>
      </c>
      <c r="B17" s="391" t="s">
        <v>76</v>
      </c>
      <c r="C17" s="392" t="s">
        <v>43</v>
      </c>
      <c r="D17" s="372"/>
      <c r="E17" s="372"/>
      <c r="F17" s="712" t="s">
        <v>155</v>
      </c>
      <c r="G17" s="713"/>
      <c r="H17" s="713"/>
      <c r="I17" s="713"/>
      <c r="J17" s="713"/>
      <c r="K17" s="714"/>
      <c r="L17" s="453" t="s">
        <v>45</v>
      </c>
      <c r="M17" s="454" t="s">
        <v>46</v>
      </c>
      <c r="N17" s="455" t="s">
        <v>28</v>
      </c>
      <c r="O17" s="579"/>
      <c r="Q17" s="715" t="str">
        <f>IF(F17&lt;&gt;"",F17,"")</f>
        <v>PLENÁRIA</v>
      </c>
      <c r="R17" s="716"/>
      <c r="S17" s="716"/>
      <c r="T17" s="716"/>
      <c r="U17" s="716"/>
      <c r="V17" s="716"/>
      <c r="W17" s="716"/>
      <c r="X17" s="716"/>
      <c r="Y17" s="717"/>
      <c r="Z17" s="456" t="s">
        <v>47</v>
      </c>
      <c r="AA17" s="517" t="s">
        <v>39</v>
      </c>
      <c r="AO17" s="715"/>
      <c r="AP17" s="716"/>
    </row>
    <row r="18" spans="1:43" ht="80.099999999999994" customHeight="1" x14ac:dyDescent="0.45">
      <c r="A18" s="415">
        <v>4</v>
      </c>
      <c r="B18" s="391" t="s">
        <v>77</v>
      </c>
      <c r="C18" s="416" t="s">
        <v>49</v>
      </c>
      <c r="D18" s="431" t="s">
        <v>78</v>
      </c>
      <c r="E18" s="431" t="s">
        <v>51</v>
      </c>
      <c r="F18" s="417" t="s">
        <v>428</v>
      </c>
      <c r="G18" s="418" t="s">
        <v>430</v>
      </c>
      <c r="H18" s="419">
        <v>1</v>
      </c>
      <c r="I18" s="419">
        <v>1</v>
      </c>
      <c r="J18" s="433">
        <v>9000</v>
      </c>
      <c r="K18" s="420">
        <f>IF(F18&lt;&gt;"",H18*I18*J18,"")</f>
        <v>9000</v>
      </c>
      <c r="L18" s="420">
        <f>IF(K18&lt;&gt;"",IF(D18="INTERNO",0,K18*PRINCIPAL!$L$14),"")</f>
        <v>900</v>
      </c>
      <c r="M18" s="420">
        <f>IF(K18&lt;&gt;"",IF(E18="FAT.OGGI",SUM(K18:L18)*(1/(1-PRINCIPAL!$M$14)-1),L18*(1/(1-PRINCIPAL!$M$14)-1)),"")</f>
        <v>2402.7215111221581</v>
      </c>
      <c r="N18" s="421">
        <f>SUM(K18:M18)</f>
        <v>12302.721511122158</v>
      </c>
      <c r="O18" s="579"/>
      <c r="Q18" s="482">
        <f>IF(H18&lt;&gt;"",H18,"")</f>
        <v>1</v>
      </c>
      <c r="R18" s="483">
        <f>IF(I18&lt;&gt;"",I18,"")</f>
        <v>1</v>
      </c>
      <c r="S18" s="484">
        <v>8000</v>
      </c>
      <c r="T18" s="484">
        <v>8400</v>
      </c>
      <c r="U18" s="485">
        <f>IF(Q18&lt;&gt;"",K18-T18,"")</f>
        <v>600</v>
      </c>
      <c r="V18" s="486">
        <f>IF(Q18&lt;&gt;"",0%,"")</f>
        <v>0</v>
      </c>
      <c r="W18" s="487">
        <f>IF(Q18&lt;&gt;"",V18*U18,"")</f>
        <v>0</v>
      </c>
      <c r="X18" s="487">
        <f>IF(Q18&lt;&gt;"",W18+T18,"")</f>
        <v>8400</v>
      </c>
      <c r="Y18" s="428">
        <f>IF(Q18&lt;&gt;"",X18+M18,"")</f>
        <v>10802.721511122158</v>
      </c>
      <c r="Z18" s="474">
        <f>IF(Q18&lt;&gt;"",U18/K18,"")</f>
        <v>6.6666666666666666E-2</v>
      </c>
      <c r="AA18" s="430"/>
      <c r="AB18" s="473" t="s">
        <v>431</v>
      </c>
      <c r="AO18" s="601">
        <f>X18-AP18</f>
        <v>0</v>
      </c>
      <c r="AP18" s="602">
        <f>4000+4400</f>
        <v>8400</v>
      </c>
      <c r="AQ18" s="609" t="s">
        <v>479</v>
      </c>
    </row>
    <row r="19" spans="1:43" ht="80.099999999999994" customHeight="1" x14ac:dyDescent="0.45">
      <c r="A19" s="415">
        <v>5</v>
      </c>
      <c r="B19" s="391" t="s">
        <v>82</v>
      </c>
      <c r="C19" s="416" t="s">
        <v>49</v>
      </c>
      <c r="D19" s="431" t="s">
        <v>78</v>
      </c>
      <c r="E19" s="431" t="s">
        <v>51</v>
      </c>
      <c r="F19" s="417" t="s">
        <v>427</v>
      </c>
      <c r="G19" s="418" t="s">
        <v>429</v>
      </c>
      <c r="H19" s="460">
        <v>1</v>
      </c>
      <c r="I19" s="419">
        <v>1</v>
      </c>
      <c r="J19" s="433">
        <v>890</v>
      </c>
      <c r="K19" s="420">
        <f>IF(F19&lt;&gt;"",H19*I19*J19,"")</f>
        <v>890</v>
      </c>
      <c r="L19" s="420">
        <f>IF(K19&lt;&gt;"",IF(D19="INTERNO",0,K19*$L$14),"")</f>
        <v>89</v>
      </c>
      <c r="M19" s="420">
        <f>IF(K19&lt;&gt;"",IF(E19="FAT.OGGI",SUM(K19:L19)*(1/(1-$M$14)-1),L19*(1/(1-$M$14)-1)),"")</f>
        <v>237.60246054430229</v>
      </c>
      <c r="N19" s="421">
        <f>SUM(K19:M19)</f>
        <v>1216.6024605443022</v>
      </c>
      <c r="O19" s="579"/>
      <c r="Q19" s="482">
        <f>IF(H19&lt;&gt;"",H19,"")</f>
        <v>1</v>
      </c>
      <c r="R19" s="483">
        <f>IF(I19&lt;&gt;"",I19,"")</f>
        <v>1</v>
      </c>
      <c r="S19" s="484">
        <v>400</v>
      </c>
      <c r="T19" s="484">
        <v>0</v>
      </c>
      <c r="U19" s="485">
        <f>IF(Q19&lt;&gt;"",K19-T19,"")</f>
        <v>890</v>
      </c>
      <c r="V19" s="486">
        <f>IF(Q19&lt;&gt;"",0%,"")</f>
        <v>0</v>
      </c>
      <c r="W19" s="487">
        <f>IF(Q19&lt;&gt;"",V19*U19,"")</f>
        <v>0</v>
      </c>
      <c r="X19" s="487">
        <f>IF(Q19&lt;&gt;"",W19+T19,"")</f>
        <v>0</v>
      </c>
      <c r="Y19" s="428">
        <f>IF(Q19&lt;&gt;"",X19+M19,"")</f>
        <v>237.60246054430229</v>
      </c>
      <c r="Z19" s="474">
        <f>IF(Q19&lt;&gt;"",U19/K19,"")</f>
        <v>1</v>
      </c>
      <c r="AA19" s="430"/>
      <c r="AO19" s="601">
        <f>X19-AP19</f>
        <v>0</v>
      </c>
      <c r="AP19" s="602"/>
    </row>
    <row r="20" spans="1:43" ht="30" customHeight="1" thickBot="1" x14ac:dyDescent="0.5">
      <c r="A20" s="504">
        <v>6</v>
      </c>
      <c r="B20" s="391"/>
      <c r="C20" s="505" t="s">
        <v>72</v>
      </c>
      <c r="D20" s="504"/>
      <c r="E20" s="504"/>
      <c r="F20" s="718" t="s">
        <v>190</v>
      </c>
      <c r="G20" s="719"/>
      <c r="H20" s="719"/>
      <c r="I20" s="719"/>
      <c r="J20" s="720"/>
      <c r="K20" s="523">
        <f>SUM(K18:K19)</f>
        <v>9890</v>
      </c>
      <c r="L20" s="523">
        <f>SUM(L18:L19)</f>
        <v>989</v>
      </c>
      <c r="M20" s="523">
        <f>SUM(M18:M19)</f>
        <v>2640.3239716664602</v>
      </c>
      <c r="N20" s="524">
        <f>SUM(N18:N19)</f>
        <v>13519.323971666459</v>
      </c>
      <c r="O20" s="579"/>
      <c r="Q20" s="721" t="s">
        <v>190</v>
      </c>
      <c r="R20" s="722"/>
      <c r="S20" s="723"/>
      <c r="T20" s="525">
        <f>SUM(T18:T19)</f>
        <v>8400</v>
      </c>
      <c r="U20" s="526">
        <f>SUM(U18:U19)</f>
        <v>1490</v>
      </c>
      <c r="V20" s="527"/>
      <c r="W20" s="528"/>
      <c r="X20" s="528">
        <f>SUM(X18:X19)</f>
        <v>8400</v>
      </c>
      <c r="Y20" s="529">
        <f t="shared" ref="Y20" si="0">IF(Q20&lt;&gt;"",X20+M20,"")</f>
        <v>11040.323971666461</v>
      </c>
      <c r="Z20" s="463"/>
      <c r="AA20" s="530"/>
      <c r="AO20" s="601"/>
      <c r="AP20" s="602"/>
    </row>
    <row r="21" spans="1:43" ht="30" customHeight="1" thickBot="1" x14ac:dyDescent="0.5">
      <c r="A21" s="415">
        <v>7</v>
      </c>
      <c r="B21" s="571"/>
      <c r="C21" s="416" t="s">
        <v>279</v>
      </c>
      <c r="D21" s="415"/>
      <c r="E21" s="415"/>
      <c r="F21" s="338" t="s">
        <v>280</v>
      </c>
      <c r="G21" s="339"/>
      <c r="H21" s="572"/>
      <c r="I21" s="572"/>
      <c r="J21" s="339"/>
      <c r="K21" s="341">
        <f>SUM(K18:K19)</f>
        <v>9890</v>
      </c>
      <c r="L21" s="341">
        <f>SUM(L18:L19)</f>
        <v>989</v>
      </c>
      <c r="M21" s="341">
        <f>SUM(M18:M19)</f>
        <v>2640.3239716664602</v>
      </c>
      <c r="N21" s="573">
        <f>SUM(N18:N19)</f>
        <v>13519.323971666459</v>
      </c>
      <c r="O21" s="346"/>
      <c r="Q21" s="574" t="s">
        <v>281</v>
      </c>
      <c r="R21" s="572"/>
      <c r="S21" s="339"/>
      <c r="T21" s="341">
        <f>SUM(T18:T19)</f>
        <v>8400</v>
      </c>
      <c r="U21" s="341">
        <f>SUM(U18:U19)</f>
        <v>1490</v>
      </c>
      <c r="V21" s="339"/>
      <c r="W21" s="339"/>
      <c r="X21" s="341">
        <f>SUM(X18:X19)</f>
        <v>8400</v>
      </c>
      <c r="Y21" s="573">
        <f>SUM(Y18:Y19)</f>
        <v>11040.323971666459</v>
      </c>
      <c r="Z21" s="575">
        <f>IF(Q21&lt;&gt;"",(N21-Y21)/N21,"")</f>
        <v>0.18336715690780403</v>
      </c>
      <c r="AA21" s="576">
        <f>IF(Z21&lt;&gt;"",(N21-Y21),"")</f>
        <v>2479</v>
      </c>
      <c r="AO21" s="601">
        <f>SUM(AO18:AO20)</f>
        <v>0</v>
      </c>
      <c r="AP21" s="602">
        <f>SUM(AP18:AP20)</f>
        <v>8400</v>
      </c>
    </row>
    <row r="23" spans="1:43" ht="22.2" x14ac:dyDescent="0.45">
      <c r="AO23" s="604">
        <f>K24/0.85-K24</f>
        <v>1919.8235294117658</v>
      </c>
      <c r="AP23" s="605" t="s">
        <v>467</v>
      </c>
    </row>
    <row r="24" spans="1:43" ht="22.2" x14ac:dyDescent="0.45">
      <c r="K24" s="603">
        <f>K21+L21</f>
        <v>10879</v>
      </c>
      <c r="AO24" s="604">
        <f>X21+AO23</f>
        <v>10319.823529411766</v>
      </c>
      <c r="AP24" s="605" t="s">
        <v>468</v>
      </c>
    </row>
    <row r="25" spans="1:43" ht="22.2" x14ac:dyDescent="0.45">
      <c r="AO25" s="604">
        <f>N21-AO24</f>
        <v>3199.5004422546936</v>
      </c>
      <c r="AP25" s="605" t="s">
        <v>466</v>
      </c>
    </row>
    <row r="26" spans="1:43" ht="21" x14ac:dyDescent="0.4">
      <c r="AO26" s="606">
        <f>AO25*100%/N21</f>
        <v>0.23666127455486277</v>
      </c>
      <c r="AP26" s="607"/>
    </row>
  </sheetData>
  <autoFilter ref="I1:I21" xr:uid="{8D3DEC0F-3694-4066-B142-E633EE006CFC}"/>
  <mergeCells count="16">
    <mergeCell ref="AO17:AP17"/>
    <mergeCell ref="F16:N16"/>
    <mergeCell ref="Q16:Y16"/>
    <mergeCell ref="F17:K17"/>
    <mergeCell ref="Q17:Y17"/>
    <mergeCell ref="F20:J20"/>
    <mergeCell ref="Q20:S20"/>
    <mergeCell ref="AK12:AL12"/>
    <mergeCell ref="F15:N15"/>
    <mergeCell ref="Q15:Y15"/>
    <mergeCell ref="AG12:AH12"/>
    <mergeCell ref="F1:G1"/>
    <mergeCell ref="F2:G2"/>
    <mergeCell ref="R12:U12"/>
    <mergeCell ref="V12:Y12"/>
    <mergeCell ref="AC12:AE12"/>
  </mergeCells>
  <dataValidations disablePrompts="1" count="3">
    <dataValidation type="list" allowBlank="1" showInputMessage="1" showErrorMessage="1" sqref="D16:D21" xr:uid="{47634225-3CAB-4ACD-B2C3-876E7924A4D1}">
      <formula1>"INTERNO,OPERACIONAL"</formula1>
    </dataValidation>
    <dataValidation type="list" allowBlank="1" showInputMessage="1" showErrorMessage="1" sqref="E21" xr:uid="{73084135-6105-483B-A141-C8EE15252AE5}">
      <formula1>"FAT.OGGI,FAT.CLIENTE "</formula1>
    </dataValidation>
    <dataValidation type="list" allowBlank="1" showInputMessage="1" showErrorMessage="1" sqref="E16:E20" xr:uid="{52251A9A-1E2D-4B9A-8D34-7033C8889DA1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CF64A-023B-445A-A274-6FADFDC3CC3D}">
  <dimension ref="E3:F16"/>
  <sheetViews>
    <sheetView workbookViewId="0">
      <selection activeCell="Q6" sqref="Q6"/>
    </sheetView>
  </sheetViews>
  <sheetFormatPr defaultRowHeight="14.4" x14ac:dyDescent="0.3"/>
  <cols>
    <col min="5" max="5" width="20.21875" bestFit="1" customWidth="1"/>
    <col min="6" max="6" width="12.21875" style="608" bestFit="1" customWidth="1"/>
  </cols>
  <sheetData>
    <row r="3" spans="5:6" x14ac:dyDescent="0.3">
      <c r="E3" t="s">
        <v>471</v>
      </c>
      <c r="F3" s="608" t="s">
        <v>27</v>
      </c>
    </row>
    <row r="4" spans="5:6" x14ac:dyDescent="0.3">
      <c r="E4" t="s">
        <v>472</v>
      </c>
      <c r="F4" s="608">
        <v>5.28</v>
      </c>
    </row>
    <row r="5" spans="5:6" x14ac:dyDescent="0.3">
      <c r="E5" t="s">
        <v>473</v>
      </c>
      <c r="F5" s="608">
        <v>179.39</v>
      </c>
    </row>
    <row r="6" spans="5:6" x14ac:dyDescent="0.3">
      <c r="E6" t="s">
        <v>463</v>
      </c>
      <c r="F6" s="608">
        <v>139.19999999999999</v>
      </c>
    </row>
    <row r="7" spans="5:6" x14ac:dyDescent="0.3">
      <c r="E7" t="s">
        <v>472</v>
      </c>
      <c r="F7" s="608">
        <v>517.04999999999995</v>
      </c>
    </row>
    <row r="8" spans="5:6" x14ac:dyDescent="0.3">
      <c r="E8" t="s">
        <v>472</v>
      </c>
      <c r="F8" s="608">
        <v>1500</v>
      </c>
    </row>
    <row r="9" spans="5:6" x14ac:dyDescent="0.3">
      <c r="E9" t="s">
        <v>472</v>
      </c>
      <c r="F9" s="608">
        <v>1350</v>
      </c>
    </row>
    <row r="10" spans="5:6" x14ac:dyDescent="0.3">
      <c r="E10" t="s">
        <v>474</v>
      </c>
      <c r="F10" s="608">
        <f>67.96+487.26+100+192.9+80</f>
        <v>928.12</v>
      </c>
    </row>
    <row r="11" spans="5:6" x14ac:dyDescent="0.3">
      <c r="E11" t="s">
        <v>489</v>
      </c>
      <c r="F11" s="608">
        <v>137.59</v>
      </c>
    </row>
    <row r="12" spans="5:6" x14ac:dyDescent="0.3">
      <c r="E12" t="s">
        <v>490</v>
      </c>
      <c r="F12" s="608">
        <v>420</v>
      </c>
    </row>
    <row r="13" spans="5:6" x14ac:dyDescent="0.3">
      <c r="E13" t="s">
        <v>491</v>
      </c>
      <c r="F13" s="608">
        <v>35.78</v>
      </c>
    </row>
    <row r="16" spans="5:6" x14ac:dyDescent="0.3">
      <c r="F16" s="610">
        <f>SUM(F4:F15)</f>
        <v>5212.41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9"/>
  <sheetViews>
    <sheetView zoomScale="70" zoomScaleNormal="70" workbookViewId="0">
      <selection activeCell="K32" sqref="K32"/>
    </sheetView>
  </sheetViews>
  <sheetFormatPr defaultColWidth="46.21875" defaultRowHeight="14.4" x14ac:dyDescent="0.3"/>
  <cols>
    <col min="1" max="1" width="7.21875" bestFit="1" customWidth="1"/>
    <col min="2" max="2" width="23.21875" customWidth="1"/>
    <col min="3" max="3" width="50" customWidth="1"/>
    <col min="4" max="4" width="54.44140625" bestFit="1" customWidth="1"/>
    <col min="5" max="5" width="73.21875" customWidth="1"/>
    <col min="6" max="7" width="20.77734375" bestFit="1" customWidth="1"/>
    <col min="8" max="8" width="11.77734375" bestFit="1" customWidth="1"/>
    <col min="9" max="9" width="13.21875" customWidth="1"/>
  </cols>
  <sheetData>
    <row r="8" spans="1:12" ht="16.2" x14ac:dyDescent="0.35">
      <c r="A8" s="20" t="s">
        <v>307</v>
      </c>
      <c r="B8" s="20" t="s">
        <v>308</v>
      </c>
      <c r="C8" s="20" t="s">
        <v>309</v>
      </c>
      <c r="D8" s="20" t="s">
        <v>310</v>
      </c>
      <c r="E8" s="20" t="s">
        <v>311</v>
      </c>
      <c r="F8" s="20" t="s">
        <v>312</v>
      </c>
      <c r="G8" s="21" t="s">
        <v>313</v>
      </c>
      <c r="H8" s="21" t="s">
        <v>314</v>
      </c>
      <c r="I8" s="21" t="s">
        <v>27</v>
      </c>
      <c r="J8" s="21" t="s">
        <v>315</v>
      </c>
      <c r="K8" s="21" t="s">
        <v>316</v>
      </c>
      <c r="L8" s="21" t="s">
        <v>317</v>
      </c>
    </row>
    <row r="9" spans="1:12" x14ac:dyDescent="0.3">
      <c r="E9" s="222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21875" customWidth="1"/>
    <col min="2" max="3" width="20.21875" customWidth="1"/>
    <col min="4" max="4" width="40.44140625" customWidth="1"/>
    <col min="5" max="5" width="17.77734375" customWidth="1"/>
    <col min="6" max="7" width="15.21875" customWidth="1"/>
    <col min="8" max="8" width="25.21875" customWidth="1"/>
    <col min="9" max="10" width="15.21875" customWidth="1"/>
    <col min="11" max="11" width="10.21875" customWidth="1"/>
    <col min="12" max="12" width="15.21875" customWidth="1"/>
    <col min="13" max="13" width="12.77734375" customWidth="1"/>
    <col min="14" max="14" width="15.21875" customWidth="1"/>
    <col min="15" max="15" width="40.44140625" customWidth="1"/>
  </cols>
  <sheetData>
    <row r="1" spans="1:15" ht="15" x14ac:dyDescent="0.3">
      <c r="A1" s="767" t="s">
        <v>318</v>
      </c>
      <c r="B1" s="767"/>
      <c r="C1" s="767"/>
      <c r="D1" s="769" t="s">
        <v>319</v>
      </c>
      <c r="E1" s="769"/>
      <c r="F1" s="769"/>
      <c r="G1" s="769"/>
      <c r="H1" s="769"/>
      <c r="I1" s="769"/>
      <c r="J1" s="29" t="s">
        <v>318</v>
      </c>
      <c r="K1" s="29" t="s">
        <v>318</v>
      </c>
      <c r="L1" s="29" t="s">
        <v>318</v>
      </c>
      <c r="M1" s="29" t="s">
        <v>318</v>
      </c>
      <c r="N1" s="29" t="s">
        <v>318</v>
      </c>
      <c r="O1" s="30" t="s">
        <v>318</v>
      </c>
    </row>
    <row r="2" spans="1:15" x14ac:dyDescent="0.3">
      <c r="A2" s="768"/>
      <c r="B2" s="768"/>
      <c r="C2" s="768"/>
      <c r="D2" s="767" t="s">
        <v>320</v>
      </c>
      <c r="E2" s="767"/>
      <c r="F2" s="767"/>
      <c r="G2" s="767"/>
      <c r="H2" s="767"/>
      <c r="I2" s="767"/>
      <c r="J2" s="29"/>
      <c r="K2" s="29"/>
      <c r="L2" s="29"/>
      <c r="M2" s="29"/>
      <c r="N2" s="29"/>
      <c r="O2" s="770" t="s">
        <v>321</v>
      </c>
    </row>
    <row r="3" spans="1:15" x14ac:dyDescent="0.3">
      <c r="A3" s="768"/>
      <c r="B3" s="768"/>
      <c r="C3" s="768"/>
      <c r="D3" s="767" t="s">
        <v>322</v>
      </c>
      <c r="E3" s="767"/>
      <c r="F3" s="767"/>
      <c r="G3" s="767"/>
      <c r="H3" s="767"/>
      <c r="I3" s="767"/>
      <c r="J3" s="29"/>
      <c r="K3" s="29"/>
      <c r="L3" s="29"/>
      <c r="M3" s="29"/>
      <c r="N3" s="29"/>
      <c r="O3" s="771"/>
    </row>
    <row r="4" spans="1:15" x14ac:dyDescent="0.3">
      <c r="A4" s="768"/>
      <c r="B4" s="768"/>
      <c r="C4" s="768"/>
      <c r="D4" s="767" t="s">
        <v>323</v>
      </c>
      <c r="E4" s="767"/>
      <c r="F4" s="767"/>
      <c r="G4" s="767"/>
      <c r="H4" s="767"/>
      <c r="I4" s="767"/>
      <c r="J4" s="29"/>
      <c r="K4" s="29"/>
      <c r="L4" s="29"/>
      <c r="M4" s="29"/>
      <c r="N4" s="29"/>
      <c r="O4" s="771"/>
    </row>
    <row r="5" spans="1:15" x14ac:dyDescent="0.3">
      <c r="A5" s="768"/>
      <c r="B5" s="768"/>
      <c r="C5" s="768"/>
      <c r="D5" s="767" t="s">
        <v>324</v>
      </c>
      <c r="E5" s="767"/>
      <c r="F5" s="767"/>
      <c r="G5" s="767"/>
      <c r="H5" s="767"/>
      <c r="I5" s="767"/>
      <c r="J5" s="29"/>
      <c r="K5" s="29"/>
      <c r="L5" s="29"/>
      <c r="M5" s="29"/>
      <c r="N5" s="29"/>
      <c r="O5" s="771"/>
    </row>
    <row r="6" spans="1:15" x14ac:dyDescent="0.3">
      <c r="A6" s="768"/>
      <c r="B6" s="768"/>
      <c r="C6" s="768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71"/>
    </row>
    <row r="7" spans="1:15" x14ac:dyDescent="0.3">
      <c r="A7" s="768"/>
      <c r="B7" s="768"/>
      <c r="C7" s="768"/>
      <c r="D7" s="767" t="s">
        <v>325</v>
      </c>
      <c r="E7" s="767"/>
      <c r="F7" s="767"/>
      <c r="G7" s="767"/>
      <c r="H7" s="767"/>
      <c r="I7" s="767"/>
      <c r="J7" s="29"/>
      <c r="K7" s="29"/>
      <c r="L7" s="29"/>
      <c r="M7" s="29"/>
      <c r="N7" s="29"/>
      <c r="O7" s="31">
        <v>45264.482613275461</v>
      </c>
    </row>
    <row r="8" spans="1:15" x14ac:dyDescent="0.3">
      <c r="A8" s="766" t="s">
        <v>326</v>
      </c>
      <c r="B8" s="766"/>
      <c r="C8" s="766"/>
      <c r="D8" s="766"/>
      <c r="E8" s="766"/>
      <c r="F8" s="766"/>
      <c r="G8" s="766"/>
      <c r="H8" s="766"/>
      <c r="I8" s="766"/>
      <c r="J8" s="766"/>
      <c r="K8" s="766"/>
      <c r="L8" s="766"/>
      <c r="M8" s="766"/>
      <c r="N8" s="766"/>
      <c r="O8" s="766"/>
    </row>
    <row r="9" spans="1:15" ht="27.6" x14ac:dyDescent="0.3">
      <c r="A9" s="32" t="s">
        <v>327</v>
      </c>
      <c r="B9" s="32" t="s">
        <v>328</v>
      </c>
      <c r="C9" s="32" t="s">
        <v>329</v>
      </c>
      <c r="D9" s="32" t="s">
        <v>311</v>
      </c>
      <c r="E9" s="32" t="s">
        <v>330</v>
      </c>
      <c r="F9" s="32" t="s">
        <v>331</v>
      </c>
      <c r="G9" s="32" t="s">
        <v>332</v>
      </c>
      <c r="H9" s="32" t="s">
        <v>333</v>
      </c>
      <c r="I9" s="32" t="s">
        <v>334</v>
      </c>
      <c r="J9" s="32" t="s">
        <v>331</v>
      </c>
      <c r="K9" s="32" t="s">
        <v>335</v>
      </c>
      <c r="L9" s="32" t="s">
        <v>336</v>
      </c>
      <c r="M9" s="32" t="s">
        <v>337</v>
      </c>
      <c r="N9" s="32" t="s">
        <v>338</v>
      </c>
      <c r="O9" s="33" t="s">
        <v>339</v>
      </c>
    </row>
    <row r="10" spans="1:15" x14ac:dyDescent="0.3">
      <c r="A10" s="34" t="s">
        <v>308</v>
      </c>
      <c r="B10" s="35">
        <v>1</v>
      </c>
      <c r="C10" s="34" t="s">
        <v>340</v>
      </c>
      <c r="D10" s="34" t="s">
        <v>341</v>
      </c>
      <c r="E10" s="34">
        <v>1</v>
      </c>
      <c r="F10" s="36">
        <v>20000</v>
      </c>
      <c r="G10" s="36">
        <v>20000</v>
      </c>
      <c r="H10" s="34" t="s">
        <v>342</v>
      </c>
      <c r="I10" s="36">
        <v>9900</v>
      </c>
      <c r="J10" s="36">
        <v>9900</v>
      </c>
      <c r="K10" s="36" t="s">
        <v>343</v>
      </c>
      <c r="L10" s="37" t="s">
        <v>344</v>
      </c>
      <c r="M10" s="37" t="s">
        <v>344</v>
      </c>
      <c r="N10" s="36">
        <v>0</v>
      </c>
      <c r="O10" s="38" t="s">
        <v>318</v>
      </c>
    </row>
    <row r="11" spans="1:15" x14ac:dyDescent="0.3">
      <c r="A11" s="39" t="s">
        <v>308</v>
      </c>
      <c r="B11" s="40">
        <v>2</v>
      </c>
      <c r="C11" s="39" t="s">
        <v>345</v>
      </c>
      <c r="D11" s="39" t="s">
        <v>346</v>
      </c>
      <c r="E11" s="39">
        <v>1</v>
      </c>
      <c r="F11" s="41">
        <v>11500</v>
      </c>
      <c r="G11" s="41">
        <v>11500</v>
      </c>
      <c r="H11" s="39" t="s">
        <v>342</v>
      </c>
      <c r="I11" s="41">
        <v>7400</v>
      </c>
      <c r="J11" s="41">
        <v>7400</v>
      </c>
      <c r="K11" s="41" t="s">
        <v>343</v>
      </c>
      <c r="L11" s="42" t="s">
        <v>344</v>
      </c>
      <c r="M11" s="42" t="s">
        <v>344</v>
      </c>
      <c r="N11" s="41">
        <v>0</v>
      </c>
      <c r="O11" s="43" t="s">
        <v>318</v>
      </c>
    </row>
    <row r="12" spans="1:15" x14ac:dyDescent="0.3">
      <c r="A12" s="34" t="s">
        <v>347</v>
      </c>
      <c r="B12" s="35">
        <v>3</v>
      </c>
      <c r="C12" s="34" t="s">
        <v>348</v>
      </c>
      <c r="D12" s="34" t="s">
        <v>55</v>
      </c>
      <c r="E12" s="34">
        <v>1</v>
      </c>
      <c r="F12" s="36">
        <v>1000</v>
      </c>
      <c r="G12" s="36">
        <v>1000</v>
      </c>
      <c r="H12" s="34" t="s">
        <v>342</v>
      </c>
      <c r="I12" s="36">
        <v>900</v>
      </c>
      <c r="J12" s="36">
        <v>900</v>
      </c>
      <c r="K12" s="36" t="s">
        <v>343</v>
      </c>
      <c r="L12" s="37" t="s">
        <v>349</v>
      </c>
      <c r="M12" s="37" t="s">
        <v>344</v>
      </c>
      <c r="N12" s="36">
        <v>0</v>
      </c>
      <c r="O12" s="38" t="s">
        <v>350</v>
      </c>
    </row>
    <row r="13" spans="1:15" x14ac:dyDescent="0.3">
      <c r="A13" s="39" t="s">
        <v>347</v>
      </c>
      <c r="B13" s="40">
        <v>4</v>
      </c>
      <c r="C13" s="39" t="s">
        <v>351</v>
      </c>
      <c r="D13" s="39" t="s">
        <v>352</v>
      </c>
      <c r="E13" s="39">
        <v>1</v>
      </c>
      <c r="F13" s="41">
        <v>2000</v>
      </c>
      <c r="G13" s="41">
        <v>2000</v>
      </c>
      <c r="H13" s="39" t="s">
        <v>342</v>
      </c>
      <c r="I13" s="41">
        <v>500</v>
      </c>
      <c r="J13" s="41">
        <v>500</v>
      </c>
      <c r="K13" s="41" t="s">
        <v>343</v>
      </c>
      <c r="L13" s="42" t="s">
        <v>349</v>
      </c>
      <c r="M13" s="42" t="s">
        <v>344</v>
      </c>
      <c r="N13" s="41">
        <v>0</v>
      </c>
      <c r="O13" s="43" t="s">
        <v>353</v>
      </c>
    </row>
    <row r="14" spans="1:15" x14ac:dyDescent="0.3">
      <c r="A14" s="34" t="s">
        <v>347</v>
      </c>
      <c r="B14" s="35">
        <v>5</v>
      </c>
      <c r="C14" s="34" t="s">
        <v>354</v>
      </c>
      <c r="D14" s="34" t="s">
        <v>355</v>
      </c>
      <c r="E14" s="34">
        <v>1</v>
      </c>
      <c r="F14" s="36">
        <v>4000</v>
      </c>
      <c r="G14" s="36">
        <v>4000</v>
      </c>
      <c r="H14" s="34" t="s">
        <v>342</v>
      </c>
      <c r="I14" s="36">
        <v>2000</v>
      </c>
      <c r="J14" s="36">
        <v>2000</v>
      </c>
      <c r="K14" s="36" t="s">
        <v>343</v>
      </c>
      <c r="L14" s="37" t="s">
        <v>349</v>
      </c>
      <c r="M14" s="37" t="s">
        <v>344</v>
      </c>
      <c r="N14" s="36">
        <v>0</v>
      </c>
      <c r="O14" s="38" t="s">
        <v>356</v>
      </c>
    </row>
    <row r="15" spans="1:15" x14ac:dyDescent="0.3">
      <c r="A15" s="39" t="s">
        <v>357</v>
      </c>
      <c r="B15" s="40">
        <v>6</v>
      </c>
      <c r="C15" s="39" t="s">
        <v>358</v>
      </c>
      <c r="D15" s="39" t="s">
        <v>359</v>
      </c>
      <c r="E15" s="39">
        <v>1</v>
      </c>
      <c r="F15" s="41">
        <v>0</v>
      </c>
      <c r="G15" s="41">
        <v>0</v>
      </c>
      <c r="H15" s="39" t="s">
        <v>342</v>
      </c>
      <c r="I15" s="41">
        <v>1000</v>
      </c>
      <c r="J15" s="41">
        <v>1000</v>
      </c>
      <c r="K15" s="41" t="s">
        <v>343</v>
      </c>
      <c r="L15" s="42" t="s">
        <v>349</v>
      </c>
      <c r="M15" s="42" t="s">
        <v>344</v>
      </c>
      <c r="N15" s="41">
        <v>0</v>
      </c>
      <c r="O15" s="43" t="s">
        <v>318</v>
      </c>
    </row>
    <row r="16" spans="1:15" x14ac:dyDescent="0.3">
      <c r="A16" s="34" t="s">
        <v>347</v>
      </c>
      <c r="B16" s="35">
        <v>7</v>
      </c>
      <c r="C16" s="34" t="s">
        <v>360</v>
      </c>
      <c r="D16" s="34" t="s">
        <v>361</v>
      </c>
      <c r="E16" s="34">
        <v>1</v>
      </c>
      <c r="F16" s="36">
        <v>2000</v>
      </c>
      <c r="G16" s="36">
        <v>2000</v>
      </c>
      <c r="H16" s="34" t="s">
        <v>342</v>
      </c>
      <c r="I16" s="36">
        <v>1000</v>
      </c>
      <c r="J16" s="36">
        <v>1000</v>
      </c>
      <c r="K16" s="36" t="s">
        <v>343</v>
      </c>
      <c r="L16" s="37" t="s">
        <v>349</v>
      </c>
      <c r="M16" s="37" t="s">
        <v>344</v>
      </c>
      <c r="N16" s="36">
        <v>0</v>
      </c>
      <c r="O16" s="38" t="s">
        <v>362</v>
      </c>
    </row>
    <row r="17" spans="1:15" x14ac:dyDescent="0.3">
      <c r="A17" s="39" t="s">
        <v>357</v>
      </c>
      <c r="B17" s="40">
        <v>14</v>
      </c>
      <c r="C17" s="39" t="s">
        <v>363</v>
      </c>
      <c r="D17" s="39" t="s">
        <v>364</v>
      </c>
      <c r="E17" s="39">
        <v>1</v>
      </c>
      <c r="F17" s="41">
        <v>2500</v>
      </c>
      <c r="G17" s="41">
        <v>2500</v>
      </c>
      <c r="H17" s="39" t="s">
        <v>342</v>
      </c>
      <c r="I17" s="41">
        <v>2000</v>
      </c>
      <c r="J17" s="41">
        <v>2000</v>
      </c>
      <c r="K17" s="41" t="s">
        <v>365</v>
      </c>
      <c r="L17" s="42" t="s">
        <v>366</v>
      </c>
      <c r="M17" s="42" t="s">
        <v>344</v>
      </c>
      <c r="N17" s="41">
        <v>0</v>
      </c>
      <c r="O17" s="43" t="s">
        <v>318</v>
      </c>
    </row>
    <row r="18" spans="1:15" x14ac:dyDescent="0.3">
      <c r="A18" s="34" t="s">
        <v>308</v>
      </c>
      <c r="B18" s="35">
        <v>8</v>
      </c>
      <c r="C18" s="34" t="s">
        <v>367</v>
      </c>
      <c r="D18" s="34" t="s">
        <v>368</v>
      </c>
      <c r="E18" s="34">
        <v>1</v>
      </c>
      <c r="F18" s="36">
        <v>8500</v>
      </c>
      <c r="G18" s="36">
        <v>8500</v>
      </c>
      <c r="H18" s="34" t="s">
        <v>342</v>
      </c>
      <c r="I18" s="36">
        <v>2500</v>
      </c>
      <c r="J18" s="36">
        <v>2500</v>
      </c>
      <c r="K18" s="36" t="s">
        <v>343</v>
      </c>
      <c r="L18" s="37" t="s">
        <v>344</v>
      </c>
      <c r="M18" s="37" t="s">
        <v>344</v>
      </c>
      <c r="N18" s="36">
        <v>0</v>
      </c>
      <c r="O18" s="38" t="s">
        <v>318</v>
      </c>
    </row>
    <row r="19" spans="1:15" ht="72" x14ac:dyDescent="0.3">
      <c r="A19" s="39" t="s">
        <v>347</v>
      </c>
      <c r="B19" s="40">
        <v>9</v>
      </c>
      <c r="C19" s="39" t="s">
        <v>369</v>
      </c>
      <c r="D19" s="39" t="s">
        <v>199</v>
      </c>
      <c r="E19" s="39">
        <v>2</v>
      </c>
      <c r="F19" s="41">
        <v>2000</v>
      </c>
      <c r="G19" s="41">
        <v>4000</v>
      </c>
      <c r="H19" s="39" t="s">
        <v>342</v>
      </c>
      <c r="I19" s="41">
        <v>1000</v>
      </c>
      <c r="J19" s="41">
        <v>500</v>
      </c>
      <c r="K19" s="41" t="s">
        <v>343</v>
      </c>
      <c r="L19" s="42" t="s">
        <v>349</v>
      </c>
      <c r="M19" s="42" t="s">
        <v>344</v>
      </c>
      <c r="N19" s="41">
        <v>0</v>
      </c>
      <c r="O19" s="44" t="s">
        <v>370</v>
      </c>
    </row>
    <row r="20" spans="1:15" ht="28.8" x14ac:dyDescent="0.3">
      <c r="A20" s="34" t="s">
        <v>347</v>
      </c>
      <c r="B20" s="35">
        <v>10</v>
      </c>
      <c r="C20" s="34" t="s">
        <v>371</v>
      </c>
      <c r="D20" s="34" t="s">
        <v>372</v>
      </c>
      <c r="E20" s="34">
        <v>3</v>
      </c>
      <c r="F20" s="36">
        <v>1500</v>
      </c>
      <c r="G20" s="36">
        <v>4500</v>
      </c>
      <c r="H20" s="34" t="s">
        <v>342</v>
      </c>
      <c r="I20" s="36">
        <v>1500</v>
      </c>
      <c r="J20" s="36">
        <v>500</v>
      </c>
      <c r="K20" s="36" t="s">
        <v>343</v>
      </c>
      <c r="L20" s="37" t="s">
        <v>349</v>
      </c>
      <c r="M20" s="37" t="s">
        <v>344</v>
      </c>
      <c r="N20" s="36">
        <v>0</v>
      </c>
      <c r="O20" s="45" t="s">
        <v>373</v>
      </c>
    </row>
    <row r="21" spans="1:15" x14ac:dyDescent="0.3">
      <c r="A21" s="39" t="s">
        <v>308</v>
      </c>
      <c r="B21" s="40">
        <v>11</v>
      </c>
      <c r="C21" s="39" t="s">
        <v>374</v>
      </c>
      <c r="D21" s="39" t="s">
        <v>191</v>
      </c>
      <c r="E21" s="39">
        <v>1</v>
      </c>
      <c r="F21" s="41">
        <v>7000</v>
      </c>
      <c r="G21" s="41">
        <v>7000</v>
      </c>
      <c r="H21" s="39" t="s">
        <v>342</v>
      </c>
      <c r="I21" s="41">
        <v>300</v>
      </c>
      <c r="J21" s="41">
        <v>300</v>
      </c>
      <c r="K21" s="41" t="s">
        <v>343</v>
      </c>
      <c r="L21" s="42" t="s">
        <v>344</v>
      </c>
      <c r="M21" s="42" t="s">
        <v>344</v>
      </c>
      <c r="N21" s="41">
        <v>0</v>
      </c>
      <c r="O21" s="43" t="s">
        <v>318</v>
      </c>
    </row>
    <row r="22" spans="1:15" x14ac:dyDescent="0.3">
      <c r="A22" s="34" t="s">
        <v>308</v>
      </c>
      <c r="B22" s="35">
        <v>12</v>
      </c>
      <c r="C22" s="34" t="s">
        <v>375</v>
      </c>
      <c r="D22" s="34" t="s">
        <v>376</v>
      </c>
      <c r="E22" s="34">
        <v>1</v>
      </c>
      <c r="F22" s="36">
        <v>7000</v>
      </c>
      <c r="G22" s="36">
        <v>7000</v>
      </c>
      <c r="H22" s="34" t="s">
        <v>342</v>
      </c>
      <c r="I22" s="36">
        <v>300</v>
      </c>
      <c r="J22" s="36">
        <v>300</v>
      </c>
      <c r="K22" s="36" t="s">
        <v>343</v>
      </c>
      <c r="L22" s="37" t="s">
        <v>344</v>
      </c>
      <c r="M22" s="37" t="s">
        <v>344</v>
      </c>
      <c r="N22" s="36">
        <v>0</v>
      </c>
      <c r="O22" s="38" t="s">
        <v>318</v>
      </c>
    </row>
    <row r="23" spans="1:15" x14ac:dyDescent="0.3">
      <c r="A23" s="39" t="s">
        <v>347</v>
      </c>
      <c r="B23" s="40">
        <v>13</v>
      </c>
      <c r="C23" s="39" t="s">
        <v>377</v>
      </c>
      <c r="D23" s="39" t="s">
        <v>378</v>
      </c>
      <c r="E23" s="39">
        <v>1</v>
      </c>
      <c r="F23" s="41">
        <v>5000</v>
      </c>
      <c r="G23" s="41">
        <v>5000</v>
      </c>
      <c r="H23" s="39" t="s">
        <v>342</v>
      </c>
      <c r="I23" s="41">
        <v>200</v>
      </c>
      <c r="J23" s="41">
        <v>200</v>
      </c>
      <c r="K23" s="41" t="s">
        <v>343</v>
      </c>
      <c r="L23" s="42" t="s">
        <v>349</v>
      </c>
      <c r="M23" s="42" t="s">
        <v>344</v>
      </c>
      <c r="N23" s="41">
        <v>0</v>
      </c>
      <c r="O23" s="43" t="s">
        <v>318</v>
      </c>
    </row>
    <row r="24" spans="1:15" x14ac:dyDescent="0.3">
      <c r="A24" s="34" t="s">
        <v>347</v>
      </c>
      <c r="B24" s="35">
        <v>15</v>
      </c>
      <c r="C24" s="34" t="s">
        <v>379</v>
      </c>
      <c r="D24" s="34" t="s">
        <v>364</v>
      </c>
      <c r="E24" s="34">
        <v>1</v>
      </c>
      <c r="F24" s="36">
        <v>2000</v>
      </c>
      <c r="G24" s="36">
        <v>2000</v>
      </c>
      <c r="H24" s="34" t="s">
        <v>342</v>
      </c>
      <c r="I24" s="36">
        <v>100</v>
      </c>
      <c r="J24" s="36">
        <v>100</v>
      </c>
      <c r="K24" s="36" t="s">
        <v>343</v>
      </c>
      <c r="L24" s="37" t="s">
        <v>349</v>
      </c>
      <c r="M24" s="37" t="s">
        <v>344</v>
      </c>
      <c r="N24" s="36">
        <v>0</v>
      </c>
      <c r="O24" s="38" t="s">
        <v>318</v>
      </c>
    </row>
    <row r="25" spans="1:15" x14ac:dyDescent="0.3">
      <c r="A25" s="39"/>
      <c r="B25" s="40"/>
      <c r="C25" s="39"/>
      <c r="D25" s="39"/>
      <c r="E25" s="39"/>
      <c r="F25" s="41"/>
      <c r="G25" s="41"/>
      <c r="H25" s="39"/>
      <c r="I25" s="41"/>
      <c r="J25" s="41"/>
      <c r="K25" s="41"/>
      <c r="L25" s="42"/>
      <c r="M25" s="42"/>
      <c r="N25" s="41"/>
      <c r="O25" s="43"/>
    </row>
    <row r="26" spans="1:15" x14ac:dyDescent="0.3">
      <c r="A26" s="34" t="s">
        <v>380</v>
      </c>
      <c r="B26" s="35"/>
      <c r="C26" s="34"/>
      <c r="D26" s="34"/>
      <c r="E26" s="34"/>
      <c r="F26" s="36"/>
      <c r="G26" s="36"/>
      <c r="H26" s="34"/>
      <c r="I26" s="36"/>
      <c r="J26" s="36"/>
      <c r="K26" s="36"/>
      <c r="L26" s="37"/>
      <c r="M26" s="37"/>
      <c r="N26" s="36"/>
      <c r="O26" s="38"/>
    </row>
    <row r="27" spans="1:15" x14ac:dyDescent="0.3">
      <c r="A27" s="39" t="s">
        <v>381</v>
      </c>
      <c r="B27" s="40"/>
      <c r="C27" s="39"/>
      <c r="D27" s="39"/>
      <c r="E27" s="39"/>
      <c r="F27" s="41"/>
      <c r="G27" s="41"/>
      <c r="H27" s="39"/>
      <c r="I27" s="41"/>
      <c r="J27" s="41"/>
      <c r="K27" s="41"/>
      <c r="L27" s="42"/>
      <c r="M27" s="42"/>
      <c r="N27" s="41"/>
      <c r="O27" s="43"/>
    </row>
    <row r="28" spans="1:15" x14ac:dyDescent="0.3">
      <c r="A28" s="46" t="s">
        <v>382</v>
      </c>
      <c r="B28" s="47"/>
      <c r="C28" s="46"/>
      <c r="D28" s="46"/>
      <c r="E28" s="46"/>
      <c r="F28" s="48"/>
      <c r="G28" s="48"/>
      <c r="H28" s="46"/>
      <c r="I28" s="48"/>
      <c r="J28" s="48"/>
      <c r="K28" s="48"/>
      <c r="L28" s="49"/>
      <c r="M28" s="49"/>
      <c r="N28" s="48"/>
      <c r="O28" s="50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RowHeight="14.4" x14ac:dyDescent="0.3"/>
  <cols>
    <col min="1" max="2" width="1.77734375" customWidth="1"/>
    <col min="3" max="3" width="12.44140625" customWidth="1"/>
    <col min="4" max="4" width="4.77734375" customWidth="1"/>
    <col min="5" max="5" width="10.77734375" customWidth="1"/>
    <col min="6" max="6" width="7.77734375" bestFit="1" customWidth="1"/>
    <col min="7" max="7" width="11" customWidth="1"/>
    <col min="8" max="8" width="11.21875" customWidth="1"/>
    <col min="9" max="9" width="11.77734375" customWidth="1"/>
    <col min="10" max="10" width="4.77734375" customWidth="1"/>
    <col min="11" max="11" width="14.5546875" customWidth="1"/>
    <col min="12" max="12" width="1.77734375" customWidth="1"/>
  </cols>
  <sheetData>
    <row r="1" spans="2:12" ht="8.5500000000000007" customHeight="1" thickBot="1" x14ac:dyDescent="0.35"/>
    <row r="2" spans="2:12" ht="38.549999999999997" customHeight="1" x14ac:dyDescent="0.4">
      <c r="B2" s="775" t="s">
        <v>13</v>
      </c>
      <c r="C2" s="776"/>
      <c r="D2" s="776"/>
      <c r="E2" s="776"/>
      <c r="F2" s="776"/>
      <c r="G2" s="776"/>
      <c r="H2" s="776"/>
      <c r="I2" s="776"/>
      <c r="J2" s="776"/>
      <c r="K2" s="776"/>
      <c r="L2" s="777"/>
    </row>
    <row r="3" spans="2:12" ht="47.55" customHeight="1" thickBot="1" x14ac:dyDescent="0.35">
      <c r="B3" s="778" t="s">
        <v>383</v>
      </c>
      <c r="C3" s="779"/>
      <c r="D3" s="779"/>
      <c r="E3" s="779"/>
      <c r="F3" s="779"/>
      <c r="G3" s="779"/>
      <c r="H3" s="779"/>
      <c r="I3" s="779"/>
      <c r="J3" s="779"/>
      <c r="K3" s="779"/>
      <c r="L3" s="780"/>
    </row>
    <row r="4" spans="2:12" ht="7.2" customHeight="1" thickBot="1" x14ac:dyDescent="0.35"/>
    <row r="5" spans="2:12" x14ac:dyDescent="0.3">
      <c r="B5" s="2"/>
      <c r="C5" s="3"/>
      <c r="D5" s="3"/>
      <c r="E5" s="3"/>
      <c r="F5" s="3"/>
      <c r="G5" s="3"/>
      <c r="H5" s="3"/>
      <c r="I5" s="3"/>
      <c r="J5" s="3"/>
      <c r="K5" s="3"/>
      <c r="L5" s="328"/>
    </row>
    <row r="6" spans="2:12" x14ac:dyDescent="0.3">
      <c r="B6" s="334"/>
      <c r="C6" s="781" t="s">
        <v>384</v>
      </c>
      <c r="D6" s="781"/>
      <c r="E6" s="781"/>
      <c r="F6" s="781"/>
      <c r="G6" s="781"/>
      <c r="H6" s="781"/>
      <c r="I6" s="781"/>
      <c r="J6" s="781"/>
      <c r="K6" s="781"/>
      <c r="L6" s="335"/>
    </row>
    <row r="7" spans="2:12" ht="6" customHeight="1" x14ac:dyDescent="0.3">
      <c r="B7" s="334"/>
      <c r="L7" s="335"/>
    </row>
    <row r="8" spans="2:12" x14ac:dyDescent="0.3">
      <c r="B8" s="334"/>
      <c r="C8" s="4" t="s">
        <v>385</v>
      </c>
      <c r="D8" s="782" t="s">
        <v>386</v>
      </c>
      <c r="E8" s="783"/>
      <c r="F8" s="783"/>
      <c r="G8" s="783"/>
      <c r="H8" s="783"/>
      <c r="I8" s="783"/>
      <c r="J8" s="783"/>
      <c r="K8" s="784"/>
      <c r="L8" s="335"/>
    </row>
    <row r="9" spans="2:12" x14ac:dyDescent="0.3">
      <c r="B9" s="334"/>
      <c r="C9" s="5" t="s">
        <v>387</v>
      </c>
      <c r="D9" s="772" t="s">
        <v>388</v>
      </c>
      <c r="E9" s="773"/>
      <c r="F9" s="773"/>
      <c r="G9" s="773"/>
      <c r="H9" s="773"/>
      <c r="I9" s="773"/>
      <c r="J9" s="773"/>
      <c r="K9" s="774"/>
      <c r="L9" s="335"/>
    </row>
    <row r="10" spans="2:12" x14ac:dyDescent="0.3">
      <c r="B10" s="334"/>
      <c r="C10" s="5" t="s">
        <v>389</v>
      </c>
      <c r="D10" s="772" t="s">
        <v>318</v>
      </c>
      <c r="E10" s="773"/>
      <c r="F10" s="773"/>
      <c r="G10" s="773"/>
      <c r="H10" s="773"/>
      <c r="I10" s="773"/>
      <c r="J10" s="773"/>
      <c r="K10" s="774"/>
      <c r="L10" s="335"/>
    </row>
    <row r="11" spans="2:12" x14ac:dyDescent="0.3">
      <c r="B11" s="334"/>
      <c r="C11" s="5" t="s">
        <v>390</v>
      </c>
      <c r="D11" s="772" t="s">
        <v>391</v>
      </c>
      <c r="E11" s="773"/>
      <c r="F11" s="773"/>
      <c r="G11" s="773"/>
      <c r="H11" s="773"/>
      <c r="I11" s="773"/>
      <c r="J11" s="773"/>
      <c r="K11" s="774"/>
      <c r="L11" s="335"/>
    </row>
    <row r="12" spans="2:12" x14ac:dyDescent="0.3">
      <c r="B12" s="334"/>
      <c r="C12" s="8" t="s">
        <v>392</v>
      </c>
      <c r="D12" s="785" t="s">
        <v>393</v>
      </c>
      <c r="E12" s="786"/>
      <c r="F12" s="786"/>
      <c r="G12" s="786"/>
      <c r="H12" s="787"/>
      <c r="I12" s="9" t="s">
        <v>394</v>
      </c>
      <c r="J12" s="785" t="s">
        <v>395</v>
      </c>
      <c r="K12" s="787"/>
      <c r="L12" s="335"/>
    </row>
    <row r="13" spans="2:12" ht="6" customHeight="1" thickBot="1" x14ac:dyDescent="0.35">
      <c r="B13" s="336"/>
      <c r="C13" s="10"/>
      <c r="D13" s="10"/>
      <c r="E13" s="10"/>
      <c r="F13" s="10"/>
      <c r="G13" s="10"/>
      <c r="H13" s="10"/>
      <c r="I13" s="10"/>
      <c r="J13" s="10"/>
      <c r="K13" s="10"/>
      <c r="L13" s="337"/>
    </row>
    <row r="14" spans="2:12" ht="7.2" customHeight="1" thickBot="1" x14ac:dyDescent="0.35"/>
    <row r="15" spans="2:12" ht="7.95" customHeight="1" x14ac:dyDescent="0.3">
      <c r="B15" s="2"/>
      <c r="C15" s="3"/>
      <c r="D15" s="3"/>
      <c r="E15" s="3"/>
      <c r="F15" s="3"/>
      <c r="G15" s="3"/>
      <c r="H15" s="3"/>
      <c r="I15" s="3"/>
      <c r="J15" s="3"/>
      <c r="K15" s="3"/>
      <c r="L15" s="328"/>
    </row>
    <row r="16" spans="2:12" x14ac:dyDescent="0.3">
      <c r="B16" s="334"/>
      <c r="C16" s="781" t="s">
        <v>396</v>
      </c>
      <c r="D16" s="781"/>
      <c r="E16" s="781"/>
      <c r="F16" s="781"/>
      <c r="G16" s="781"/>
      <c r="H16" s="781"/>
      <c r="I16" s="781"/>
      <c r="J16" s="781"/>
      <c r="K16" s="781"/>
      <c r="L16" s="335"/>
    </row>
    <row r="17" spans="2:12" ht="9" customHeight="1" x14ac:dyDescent="0.3">
      <c r="B17" s="334"/>
      <c r="L17" s="335"/>
    </row>
    <row r="18" spans="2:12" x14ac:dyDescent="0.3">
      <c r="B18" s="334"/>
      <c r="C18" s="4"/>
      <c r="D18" s="788" t="s">
        <v>397</v>
      </c>
      <c r="E18" s="788"/>
      <c r="F18" s="788"/>
      <c r="G18" s="789"/>
      <c r="H18" s="788" t="s">
        <v>398</v>
      </c>
      <c r="I18" s="788"/>
      <c r="J18" s="788"/>
      <c r="K18" s="789"/>
      <c r="L18" s="335"/>
    </row>
    <row r="19" spans="2:12" x14ac:dyDescent="0.3">
      <c r="B19" s="334"/>
      <c r="C19" s="11" t="s">
        <v>399</v>
      </c>
      <c r="D19" s="790" t="s">
        <v>318</v>
      </c>
      <c r="E19" s="791"/>
      <c r="F19" s="791"/>
      <c r="G19" s="791"/>
      <c r="H19" s="791"/>
      <c r="I19" s="791"/>
      <c r="J19" s="791"/>
      <c r="K19" s="792"/>
      <c r="L19" s="335"/>
    </row>
    <row r="20" spans="2:12" x14ac:dyDescent="0.3">
      <c r="B20" s="334"/>
      <c r="C20" s="5" t="s">
        <v>400</v>
      </c>
      <c r="D20" s="772"/>
      <c r="E20" s="773"/>
      <c r="F20" s="773"/>
      <c r="G20" s="773"/>
      <c r="H20" s="773"/>
      <c r="I20" s="773"/>
      <c r="J20" s="773"/>
      <c r="K20" s="774"/>
      <c r="L20" s="335"/>
    </row>
    <row r="21" spans="2:12" x14ac:dyDescent="0.3">
      <c r="B21" s="334"/>
      <c r="C21" s="5" t="s">
        <v>401</v>
      </c>
      <c r="D21" s="772" t="s">
        <v>318</v>
      </c>
      <c r="E21" s="774"/>
      <c r="F21" s="5" t="s">
        <v>402</v>
      </c>
      <c r="G21" s="12" t="s">
        <v>318</v>
      </c>
      <c r="H21" s="5" t="s">
        <v>403</v>
      </c>
      <c r="I21" s="6" t="s">
        <v>318</v>
      </c>
      <c r="J21" s="5" t="s">
        <v>404</v>
      </c>
      <c r="K21" s="7" t="s">
        <v>318</v>
      </c>
      <c r="L21" s="335"/>
    </row>
    <row r="22" spans="2:12" x14ac:dyDescent="0.3">
      <c r="B22" s="334"/>
      <c r="C22" s="5" t="s">
        <v>405</v>
      </c>
      <c r="D22" s="772" t="s">
        <v>318</v>
      </c>
      <c r="E22" s="773"/>
      <c r="F22" s="773"/>
      <c r="G22" s="774"/>
      <c r="H22" s="5" t="s">
        <v>406</v>
      </c>
      <c r="I22" s="772"/>
      <c r="J22" s="773"/>
      <c r="K22" s="774"/>
      <c r="L22" s="335"/>
    </row>
    <row r="23" spans="2:12" x14ac:dyDescent="0.3">
      <c r="B23" s="334"/>
      <c r="C23" s="8" t="s">
        <v>407</v>
      </c>
      <c r="D23" s="785" t="s">
        <v>318</v>
      </c>
      <c r="E23" s="786"/>
      <c r="F23" s="786"/>
      <c r="G23" s="787"/>
      <c r="H23" s="8" t="s">
        <v>408</v>
      </c>
      <c r="I23" s="785" t="s">
        <v>318</v>
      </c>
      <c r="J23" s="786"/>
      <c r="K23" s="787"/>
      <c r="L23" s="335"/>
    </row>
    <row r="24" spans="2:12" ht="6.6" customHeight="1" thickBot="1" x14ac:dyDescent="0.35">
      <c r="B24" s="336"/>
      <c r="C24" s="10"/>
      <c r="D24" s="10"/>
      <c r="E24" s="10"/>
      <c r="F24" s="10"/>
      <c r="G24" s="10"/>
      <c r="H24" s="10"/>
      <c r="I24" s="10"/>
      <c r="J24" s="10"/>
      <c r="K24" s="10"/>
      <c r="L24" s="337"/>
    </row>
    <row r="25" spans="2:12" ht="9.6" customHeight="1" thickBot="1" x14ac:dyDescent="0.35"/>
    <row r="26" spans="2:12" ht="7.95" customHeight="1" x14ac:dyDescent="0.3">
      <c r="B26" s="2"/>
      <c r="C26" s="3"/>
      <c r="D26" s="3"/>
      <c r="E26" s="3"/>
      <c r="F26" s="3"/>
      <c r="G26" s="3"/>
      <c r="H26" s="3"/>
      <c r="I26" s="3"/>
      <c r="J26" s="3"/>
      <c r="K26" s="3"/>
      <c r="L26" s="328"/>
    </row>
    <row r="27" spans="2:12" x14ac:dyDescent="0.3">
      <c r="B27" s="334"/>
      <c r="C27" s="781" t="s">
        <v>396</v>
      </c>
      <c r="D27" s="781"/>
      <c r="E27" s="781"/>
      <c r="F27" s="781"/>
      <c r="G27" s="781"/>
      <c r="H27" s="781"/>
      <c r="I27" s="781"/>
      <c r="J27" s="781"/>
      <c r="K27" s="781"/>
      <c r="L27" s="335"/>
    </row>
    <row r="28" spans="2:12" x14ac:dyDescent="0.3">
      <c r="B28" s="334"/>
      <c r="L28" s="335"/>
    </row>
    <row r="29" spans="2:12" x14ac:dyDescent="0.3">
      <c r="B29" s="334"/>
      <c r="C29" s="4" t="s">
        <v>409</v>
      </c>
      <c r="D29" s="793" t="s">
        <v>410</v>
      </c>
      <c r="E29" s="789"/>
      <c r="F29" s="793" t="s">
        <v>332</v>
      </c>
      <c r="G29" s="789"/>
      <c r="H29" s="794" t="s">
        <v>411</v>
      </c>
      <c r="I29" s="794"/>
      <c r="J29" s="794"/>
      <c r="K29" s="795"/>
      <c r="L29" s="335"/>
    </row>
    <row r="30" spans="2:12" x14ac:dyDescent="0.3">
      <c r="B30" s="334"/>
      <c r="C30" s="13" t="s">
        <v>412</v>
      </c>
      <c r="D30" s="796" t="s">
        <v>318</v>
      </c>
      <c r="E30" s="797"/>
      <c r="F30" s="798" t="s">
        <v>318</v>
      </c>
      <c r="G30" s="799"/>
      <c r="H30" s="14" t="s">
        <v>413</v>
      </c>
      <c r="I30" s="793" t="s">
        <v>414</v>
      </c>
      <c r="J30" s="789"/>
      <c r="K30" s="4" t="s">
        <v>415</v>
      </c>
      <c r="L30" s="335"/>
    </row>
    <row r="31" spans="2:12" x14ac:dyDescent="0.3">
      <c r="B31" s="334"/>
      <c r="C31" s="13" t="s">
        <v>416</v>
      </c>
      <c r="D31" s="796" t="s">
        <v>318</v>
      </c>
      <c r="E31" s="797"/>
      <c r="F31" s="798" t="s">
        <v>318</v>
      </c>
      <c r="G31" s="799"/>
      <c r="H31" s="13" t="s">
        <v>413</v>
      </c>
      <c r="I31" s="802" t="s">
        <v>414</v>
      </c>
      <c r="J31" s="803"/>
      <c r="K31" s="5" t="s">
        <v>415</v>
      </c>
      <c r="L31" s="335"/>
    </row>
    <row r="32" spans="2:12" x14ac:dyDescent="0.3">
      <c r="B32" s="334"/>
      <c r="C32" s="13" t="s">
        <v>417</v>
      </c>
      <c r="D32" s="796" t="s">
        <v>318</v>
      </c>
      <c r="E32" s="797"/>
      <c r="F32" s="798" t="s">
        <v>318</v>
      </c>
      <c r="G32" s="799"/>
      <c r="H32" s="13" t="s">
        <v>413</v>
      </c>
      <c r="I32" s="802" t="s">
        <v>414</v>
      </c>
      <c r="J32" s="803"/>
      <c r="K32" s="5" t="s">
        <v>415</v>
      </c>
      <c r="L32" s="335"/>
    </row>
    <row r="33" spans="2:12" x14ac:dyDescent="0.3">
      <c r="B33" s="334"/>
      <c r="C33" s="15" t="s">
        <v>418</v>
      </c>
      <c r="D33" s="796" t="s">
        <v>318</v>
      </c>
      <c r="E33" s="797"/>
      <c r="F33" s="800" t="s">
        <v>318</v>
      </c>
      <c r="G33" s="801"/>
      <c r="H33" s="13" t="s">
        <v>413</v>
      </c>
      <c r="I33" s="802" t="s">
        <v>414</v>
      </c>
      <c r="J33" s="803"/>
      <c r="K33" s="5" t="s">
        <v>415</v>
      </c>
      <c r="L33" s="335"/>
    </row>
    <row r="34" spans="2:12" x14ac:dyDescent="0.3">
      <c r="B34" s="334"/>
      <c r="C34" s="804" t="s">
        <v>281</v>
      </c>
      <c r="D34" s="805"/>
      <c r="E34" s="806"/>
      <c r="F34" s="807" t="s">
        <v>419</v>
      </c>
      <c r="G34" s="808"/>
      <c r="H34" s="16"/>
      <c r="I34" s="17"/>
      <c r="J34" s="18"/>
      <c r="K34" s="16"/>
      <c r="L34" s="335"/>
    </row>
    <row r="35" spans="2:12" ht="15" thickBot="1" x14ac:dyDescent="0.35">
      <c r="B35" s="336"/>
      <c r="C35" s="10"/>
      <c r="D35" s="10"/>
      <c r="E35" s="10"/>
      <c r="F35" s="10"/>
      <c r="G35" s="10"/>
      <c r="H35" s="10"/>
      <c r="I35" s="10"/>
      <c r="J35" s="10"/>
      <c r="K35" s="10"/>
      <c r="L35" s="337"/>
    </row>
    <row r="36" spans="2:12" ht="15" thickBot="1" x14ac:dyDescent="0.35"/>
    <row r="37" spans="2:12" ht="6" customHeight="1" x14ac:dyDescent="0.3">
      <c r="B37" s="2"/>
      <c r="C37" s="3"/>
      <c r="D37" s="3"/>
      <c r="E37" s="3"/>
      <c r="F37" s="3"/>
      <c r="G37" s="3"/>
      <c r="H37" s="3"/>
      <c r="I37" s="3"/>
      <c r="J37" s="3"/>
      <c r="K37" s="3"/>
      <c r="L37" s="328"/>
    </row>
    <row r="38" spans="2:12" x14ac:dyDescent="0.3">
      <c r="B38" s="334"/>
      <c r="C38" s="781" t="s">
        <v>420</v>
      </c>
      <c r="D38" s="781"/>
      <c r="E38" s="781"/>
      <c r="F38" s="781"/>
      <c r="G38" s="781"/>
      <c r="H38" s="781"/>
      <c r="I38" s="781"/>
      <c r="J38" s="781"/>
      <c r="K38" s="781"/>
      <c r="L38" s="335"/>
    </row>
    <row r="39" spans="2:12" x14ac:dyDescent="0.3">
      <c r="B39" s="334"/>
      <c r="C39" s="812" t="s">
        <v>318</v>
      </c>
      <c r="D39" s="812"/>
      <c r="E39" s="812"/>
      <c r="F39" s="812"/>
      <c r="G39" s="812"/>
      <c r="H39" s="812"/>
      <c r="I39" s="812"/>
      <c r="J39" s="812"/>
      <c r="K39" s="812"/>
      <c r="L39" s="335"/>
    </row>
    <row r="40" spans="2:12" x14ac:dyDescent="0.3">
      <c r="B40" s="334"/>
      <c r="C40" s="812"/>
      <c r="D40" s="812"/>
      <c r="E40" s="812"/>
      <c r="F40" s="812"/>
      <c r="G40" s="812"/>
      <c r="H40" s="812"/>
      <c r="I40" s="812"/>
      <c r="J40" s="812"/>
      <c r="K40" s="812"/>
      <c r="L40" s="335"/>
    </row>
    <row r="41" spans="2:12" x14ac:dyDescent="0.3">
      <c r="B41" s="334"/>
      <c r="C41" s="812"/>
      <c r="D41" s="812"/>
      <c r="E41" s="812"/>
      <c r="F41" s="812"/>
      <c r="G41" s="812"/>
      <c r="H41" s="812"/>
      <c r="I41" s="812"/>
      <c r="J41" s="812"/>
      <c r="K41" s="812"/>
      <c r="L41" s="335"/>
    </row>
    <row r="42" spans="2:12" x14ac:dyDescent="0.3">
      <c r="B42" s="334"/>
      <c r="C42" s="812"/>
      <c r="D42" s="812"/>
      <c r="E42" s="812"/>
      <c r="F42" s="812"/>
      <c r="G42" s="812"/>
      <c r="H42" s="812"/>
      <c r="I42" s="812"/>
      <c r="J42" s="812"/>
      <c r="K42" s="812"/>
      <c r="L42" s="335"/>
    </row>
    <row r="43" spans="2:12" x14ac:dyDescent="0.3">
      <c r="B43" s="334"/>
      <c r="C43" s="812"/>
      <c r="D43" s="812"/>
      <c r="E43" s="812"/>
      <c r="F43" s="812"/>
      <c r="G43" s="812"/>
      <c r="H43" s="812"/>
      <c r="I43" s="812"/>
      <c r="J43" s="812"/>
      <c r="K43" s="812"/>
      <c r="L43" s="335"/>
    </row>
    <row r="44" spans="2:12" x14ac:dyDescent="0.3">
      <c r="B44" s="334"/>
      <c r="C44" s="812"/>
      <c r="D44" s="812"/>
      <c r="E44" s="812"/>
      <c r="F44" s="812"/>
      <c r="G44" s="812"/>
      <c r="H44" s="812"/>
      <c r="I44" s="812"/>
      <c r="J44" s="812"/>
      <c r="K44" s="812"/>
      <c r="L44" s="335"/>
    </row>
    <row r="45" spans="2:12" x14ac:dyDescent="0.3">
      <c r="B45" s="334"/>
      <c r="C45" s="813"/>
      <c r="D45" s="813"/>
      <c r="E45" s="813"/>
      <c r="F45" s="813"/>
      <c r="G45" s="813"/>
      <c r="H45" s="813"/>
      <c r="I45" s="813"/>
      <c r="J45" s="813"/>
      <c r="K45" s="813"/>
      <c r="L45" s="335"/>
    </row>
    <row r="46" spans="2:12" ht="8.5500000000000007" customHeight="1" thickBot="1" x14ac:dyDescent="0.35">
      <c r="B46" s="336"/>
      <c r="C46" s="10"/>
      <c r="D46" s="10"/>
      <c r="E46" s="10"/>
      <c r="F46" s="10"/>
      <c r="G46" s="10"/>
      <c r="H46" s="10"/>
      <c r="I46" s="10"/>
      <c r="J46" s="10"/>
      <c r="K46" s="10"/>
      <c r="L46" s="337"/>
    </row>
    <row r="47" spans="2:12" ht="9" customHeight="1" thickBot="1" x14ac:dyDescent="0.35"/>
    <row r="48" spans="2:12" x14ac:dyDescent="0.3">
      <c r="B48" s="809" t="s">
        <v>421</v>
      </c>
      <c r="C48" s="810"/>
      <c r="D48" s="3"/>
      <c r="E48" s="3"/>
      <c r="F48" s="3"/>
      <c r="G48" s="3"/>
      <c r="H48" s="3"/>
      <c r="I48" s="3"/>
      <c r="J48" s="3"/>
      <c r="K48" s="3"/>
      <c r="L48" s="328"/>
    </row>
    <row r="49" spans="2:12" x14ac:dyDescent="0.3">
      <c r="B49" s="334"/>
      <c r="L49" s="335"/>
    </row>
    <row r="50" spans="2:12" x14ac:dyDescent="0.3">
      <c r="B50" s="334"/>
      <c r="C50" s="19"/>
      <c r="L50" s="335"/>
    </row>
    <row r="51" spans="2:12" x14ac:dyDescent="0.3">
      <c r="B51" s="334"/>
      <c r="C51" s="811" t="s">
        <v>313</v>
      </c>
      <c r="D51" s="811"/>
      <c r="E51" s="811"/>
      <c r="F51" s="811"/>
      <c r="H51" s="811" t="s">
        <v>314</v>
      </c>
      <c r="I51" s="811"/>
      <c r="J51" s="811"/>
      <c r="K51" s="811"/>
      <c r="L51" s="335"/>
    </row>
    <row r="52" spans="2:12" ht="15" thickBot="1" x14ac:dyDescent="0.35">
      <c r="B52" s="336"/>
      <c r="C52" s="10"/>
      <c r="D52" s="10"/>
      <c r="E52" s="10"/>
      <c r="F52" s="10"/>
      <c r="G52" s="10"/>
      <c r="H52" s="10"/>
      <c r="I52" s="10"/>
      <c r="J52" s="10"/>
      <c r="K52" s="10"/>
      <c r="L52" s="337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f4bf414-7d56-47ef-876f-a064b6139123" xsi:nil="true"/>
    <lcf76f155ced4ddcb4097134ff3c332f xmlns="29a79990-ee87-4241-abc6-9e01ab9b246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ACA7EC0-3AE7-48D0-A28D-872B0AB3EA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0BEDE3B-A91E-4D05-8A30-3A9CFFD1AE0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D8AA6CA-80B8-4A91-A93D-7C2CE6918583}">
  <ds:schemaRefs>
    <ds:schemaRef ds:uri="http://schemas.microsoft.com/office/2006/metadata/properties"/>
    <ds:schemaRef ds:uri="http://schemas.microsoft.com/office/infopath/2007/PartnerControls"/>
    <ds:schemaRef ds:uri="8f4bf414-7d56-47ef-876f-a064b6139123"/>
    <ds:schemaRef ds:uri="29a79990-ee87-4241-abc6-9e01ab9b246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15</vt:i4>
      </vt:variant>
    </vt:vector>
  </HeadingPairs>
  <TitlesOfParts>
    <vt:vector size="23" baseType="lpstr">
      <vt:lpstr>PRINCIPAL</vt:lpstr>
      <vt:lpstr>RESUMO</vt:lpstr>
      <vt:lpstr>PRINCIPAL.</vt:lpstr>
      <vt:lpstr>Tradução Simultânea</vt:lpstr>
      <vt:lpstr>CUSTOS OP.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Rafael QdS</dc:creator>
  <cp:keywords/>
  <dc:description/>
  <cp:lastModifiedBy>Bruno Silva</cp:lastModifiedBy>
  <cp:revision/>
  <dcterms:created xsi:type="dcterms:W3CDTF">2023-09-21T21:02:20Z</dcterms:created>
  <dcterms:modified xsi:type="dcterms:W3CDTF">2026-06-26T21:41:13Z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