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5C51A670-BF14-4F99-933C-A418E581D94D}" xr6:coauthVersionLast="47" xr6:coauthVersionMax="47" xr10:uidLastSave="{00000000-0000-0000-0000-000000000000}"/>
  <bookViews>
    <workbookView xWindow="28692" yWindow="-108" windowWidth="29016" windowHeight="15696" tabRatio="822" xr2:uid="{00000000-000D-0000-FFFF-FFFF00000000}"/>
  </bookViews>
  <sheets>
    <sheet name="RESUMO" sheetId="94" r:id="rId1"/>
    <sheet name="OASIS" sheetId="92" r:id="rId2"/>
    <sheet name="JANTAR" sheetId="91" r:id="rId3"/>
    <sheet name="DIRECT MAIL" sheetId="93" r:id="rId4"/>
    <sheet name="Solicitações de Pagamento" sheetId="4" r:id="rId5"/>
    <sheet name="ItensOrc" sheetId="76" state="hidden" r:id="rId6"/>
    <sheet name="Template SP" sheetId="3" r:id="rId7"/>
  </sheets>
  <definedNames>
    <definedName name="_xlnm._FilterDatabase" localSheetId="3" hidden="1">'DIRECT MAIL'!$A$1:$AM$14</definedName>
    <definedName name="_xlnm._FilterDatabase" localSheetId="2" hidden="1">JANTAR!$A$1:$AM$14</definedName>
    <definedName name="_xlnm._FilterDatabase" localSheetId="1" hidden="1">OASIS!$A$1:$AM$14</definedName>
    <definedName name="_xleta.N" hidden="1" xlm="1">#NAME?</definedName>
    <definedName name="_xleta.SUM" hidden="1" xlm="1">#NAME?</definedName>
    <definedName name="itensorc_desconto" localSheetId="5">ItensOrc!$M:$M</definedName>
    <definedName name="itensorc_desconto">#REF!</definedName>
    <definedName name="itensorc_descricao" localSheetId="5">ItensOrc!$D:$D</definedName>
    <definedName name="itensorc_descricao">#REF!</definedName>
    <definedName name="itensorc_encargos" localSheetId="5">ItensOrc!$N:$N</definedName>
    <definedName name="itensorc_encargos">#REF!</definedName>
    <definedName name="itensorc_especifica" localSheetId="5">ItensOrc!$O:$O</definedName>
    <definedName name="itensorc_especifica">#REF!</definedName>
    <definedName name="itensorc_item" localSheetId="5">ItensOrc!$C:$C</definedName>
    <definedName name="itensorc_item">#REF!</definedName>
    <definedName name="itensorc_lancamento" localSheetId="5">ItensOrc!$B:$B</definedName>
    <definedName name="itensorc_lancamento">#REF!</definedName>
    <definedName name="itensorc_percentualhonorarios" localSheetId="5">ItensOrc!$L:$L</definedName>
    <definedName name="itensorc_percentualhonorarios">#REF!</definedName>
    <definedName name="itensorc_quantidade" localSheetId="5">ItensOrc!$E:$E</definedName>
    <definedName name="itensorc_quantidade">#REF!</definedName>
    <definedName name="itensorc_situacao" localSheetId="5">ItensOrc!$H:$H</definedName>
    <definedName name="itensorc_situacao">#REF!</definedName>
    <definedName name="itensorc_subtipo" localSheetId="5">ItensOrc!$K:$K</definedName>
    <definedName name="itensorc_subtipo">#REF!</definedName>
    <definedName name="itensorc_tiporeceita" localSheetId="5">ItensOrc!$A:$A</definedName>
    <definedName name="itensorc_tiporeceita">#REF!</definedName>
    <definedName name="itensorc_valor" localSheetId="5">ItensOrc!$G:$G</definedName>
    <definedName name="itensorc_valor">#REF!</definedName>
    <definedName name="itensorc_valorfornecedor" localSheetId="5">ItensOrc!$I:$I</definedName>
    <definedName name="itensorc_valorfornecedor">#REF!</definedName>
    <definedName name="itensorc_valorfornecedorunitario" localSheetId="5">ItensOrc!$J:$J</definedName>
    <definedName name="itensorc_valorfornecedorunitario">#REF!</definedName>
    <definedName name="itensorc_valorunitario" localSheetId="5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94" l="1"/>
  <c r="E36" i="94"/>
  <c r="E35" i="94"/>
  <c r="A30" i="94"/>
  <c r="D37" i="94"/>
  <c r="F37" i="94" s="1"/>
  <c r="D36" i="94"/>
  <c r="F36" i="94"/>
  <c r="F35" i="94"/>
  <c r="D35" i="94"/>
  <c r="E30" i="94"/>
  <c r="F30" i="94" s="1"/>
  <c r="D30" i="94"/>
  <c r="C38" i="94"/>
  <c r="AC32" i="91"/>
  <c r="AB41" i="93"/>
  <c r="AB40" i="93"/>
  <c r="AB39" i="93"/>
  <c r="AC28" i="91"/>
  <c r="AC27" i="93"/>
  <c r="AC32" i="93"/>
  <c r="T19" i="92"/>
  <c r="AC22" i="92"/>
  <c r="AC26" i="91"/>
  <c r="AC27" i="91"/>
  <c r="AC23" i="91"/>
  <c r="AB23" i="91" s="1"/>
  <c r="AB21" i="93"/>
  <c r="AB22" i="93"/>
  <c r="AB23" i="93"/>
  <c r="AB24" i="93"/>
  <c r="AB25" i="93"/>
  <c r="AB28" i="93"/>
  <c r="AB29" i="93"/>
  <c r="AB30" i="93"/>
  <c r="AB21" i="91"/>
  <c r="AB22" i="91"/>
  <c r="AB25" i="91"/>
  <c r="AB29" i="91"/>
  <c r="AB30" i="91"/>
  <c r="AC29" i="92"/>
  <c r="AB18" i="92"/>
  <c r="AB20" i="92"/>
  <c r="AB21" i="92"/>
  <c r="AB23" i="92"/>
  <c r="AB27" i="92"/>
  <c r="D38" i="94" l="1"/>
  <c r="E38" i="94"/>
  <c r="F38" i="94" s="1"/>
  <c r="AC35" i="91"/>
  <c r="AC34" i="93"/>
  <c r="C23" i="94"/>
  <c r="C22" i="94"/>
  <c r="C21" i="94"/>
  <c r="E3" i="94"/>
  <c r="C24" i="94" l="1"/>
  <c r="S24" i="93"/>
  <c r="R32" i="93"/>
  <c r="Q32" i="93"/>
  <c r="U32" i="93" s="1"/>
  <c r="Z32" i="93" s="1"/>
  <c r="K32" i="93"/>
  <c r="L32" i="93" s="1"/>
  <c r="R31" i="93"/>
  <c r="Q31" i="93"/>
  <c r="V31" i="93" s="1"/>
  <c r="K31" i="93"/>
  <c r="R30" i="93"/>
  <c r="Q30" i="93"/>
  <c r="K30" i="93"/>
  <c r="L30" i="93" s="1"/>
  <c r="R29" i="93"/>
  <c r="Q29" i="93"/>
  <c r="Z29" i="93"/>
  <c r="L29" i="93"/>
  <c r="K29" i="93"/>
  <c r="R28" i="93"/>
  <c r="Q28" i="93"/>
  <c r="V28" i="93"/>
  <c r="L28" i="93"/>
  <c r="K28" i="93"/>
  <c r="Q27" i="93"/>
  <c r="V27" i="93"/>
  <c r="K27" i="93"/>
  <c r="L27" i="93" s="1"/>
  <c r="R26" i="93"/>
  <c r="Q26" i="93"/>
  <c r="V26" i="93"/>
  <c r="U26" i="93"/>
  <c r="Z26" i="93" s="1"/>
  <c r="L26" i="93"/>
  <c r="K26" i="93"/>
  <c r="R25" i="93"/>
  <c r="Q25" i="93"/>
  <c r="V25" i="93"/>
  <c r="T25" i="93"/>
  <c r="K25" i="93"/>
  <c r="L25" i="93" s="1"/>
  <c r="R24" i="93"/>
  <c r="Q24" i="93"/>
  <c r="V24" i="93"/>
  <c r="K24" i="93"/>
  <c r="L24" i="93" s="1"/>
  <c r="Q23" i="93"/>
  <c r="T23" i="93" s="1"/>
  <c r="U23" i="93" s="1"/>
  <c r="Z23" i="93" s="1"/>
  <c r="V23" i="93"/>
  <c r="K23" i="93"/>
  <c r="L23" i="93" s="1"/>
  <c r="J25" i="93"/>
  <c r="Q22" i="93"/>
  <c r="Q21" i="93"/>
  <c r="K20" i="93"/>
  <c r="R19" i="93"/>
  <c r="Q19" i="93"/>
  <c r="V19" i="93"/>
  <c r="L19" i="93"/>
  <c r="M19" i="93" s="1"/>
  <c r="K19" i="93"/>
  <c r="R18" i="93"/>
  <c r="Q18" i="93"/>
  <c r="K18" i="93"/>
  <c r="R17" i="93"/>
  <c r="Q17" i="93"/>
  <c r="V17" i="93" s="1"/>
  <c r="K17" i="93"/>
  <c r="K34" i="93" s="1"/>
  <c r="Q16" i="93"/>
  <c r="Q15" i="93"/>
  <c r="M14" i="93"/>
  <c r="Z12" i="93"/>
  <c r="N19" i="93" l="1"/>
  <c r="T24" i="93"/>
  <c r="U24" i="93" s="1"/>
  <c r="Z24" i="93" s="1"/>
  <c r="M25" i="93"/>
  <c r="N25" i="93" s="1"/>
  <c r="U25" i="93"/>
  <c r="Z25" i="93" s="1"/>
  <c r="L31" i="93"/>
  <c r="L33" i="93" s="1"/>
  <c r="T28" i="93"/>
  <c r="U28" i="93" s="1"/>
  <c r="W28" i="93" s="1"/>
  <c r="X28" i="93" s="1"/>
  <c r="U31" i="93"/>
  <c r="Z31" i="93" s="1"/>
  <c r="V32" i="93"/>
  <c r="W32" i="93" s="1"/>
  <c r="X32" i="93" s="1"/>
  <c r="U27" i="93"/>
  <c r="Z27" i="93" s="1"/>
  <c r="K33" i="93"/>
  <c r="T19" i="93"/>
  <c r="U19" i="93" s="1"/>
  <c r="Z19" i="93" s="1"/>
  <c r="N32" i="93"/>
  <c r="M28" i="93"/>
  <c r="N28" i="93" s="1"/>
  <c r="M30" i="93"/>
  <c r="N30" i="93" s="1"/>
  <c r="M27" i="93"/>
  <c r="N27" i="93" s="1"/>
  <c r="M24" i="93"/>
  <c r="N24" i="93" s="1"/>
  <c r="M29" i="93"/>
  <c r="N29" i="93" s="1"/>
  <c r="M32" i="93"/>
  <c r="M26" i="93"/>
  <c r="N26" i="93" s="1"/>
  <c r="M23" i="93"/>
  <c r="W31" i="93"/>
  <c r="X31" i="93" s="1"/>
  <c r="AB31" i="93" s="1"/>
  <c r="Z30" i="93"/>
  <c r="W26" i="93"/>
  <c r="X26" i="93" s="1"/>
  <c r="AB26" i="93" s="1"/>
  <c r="W24" i="93"/>
  <c r="X24" i="93" s="1"/>
  <c r="W23" i="93"/>
  <c r="X23" i="93" s="1"/>
  <c r="W19" i="93"/>
  <c r="Y19" i="93" s="1"/>
  <c r="U17" i="93"/>
  <c r="W17" i="93" s="1"/>
  <c r="X17" i="93" s="1"/>
  <c r="AB17" i="93" s="1"/>
  <c r="V18" i="93"/>
  <c r="L17" i="93"/>
  <c r="L18" i="93"/>
  <c r="M18" i="93" s="1"/>
  <c r="N18" i="93" s="1"/>
  <c r="Y32" i="93" l="1"/>
  <c r="AB32" i="93"/>
  <c r="U33" i="93"/>
  <c r="W25" i="93"/>
  <c r="X25" i="93" s="1"/>
  <c r="Y25" i="93" s="1"/>
  <c r="W27" i="93"/>
  <c r="X27" i="93" s="1"/>
  <c r="AB27" i="93" s="1"/>
  <c r="L20" i="93"/>
  <c r="L34" i="93"/>
  <c r="N23" i="93"/>
  <c r="Y26" i="93"/>
  <c r="M31" i="93"/>
  <c r="N31" i="93" s="1"/>
  <c r="Z28" i="93"/>
  <c r="T33" i="93"/>
  <c r="AA23" i="93" s="1"/>
  <c r="Y28" i="93"/>
  <c r="X33" i="93"/>
  <c r="T34" i="93"/>
  <c r="T20" i="93"/>
  <c r="Y29" i="93"/>
  <c r="Y30" i="93"/>
  <c r="Y24" i="93"/>
  <c r="Y23" i="93"/>
  <c r="M17" i="93"/>
  <c r="Z17" i="93"/>
  <c r="U18" i="93"/>
  <c r="Y27" i="93" l="1"/>
  <c r="AA29" i="93"/>
  <c r="AA25" i="93"/>
  <c r="AA24" i="93"/>
  <c r="AA30" i="93"/>
  <c r="M34" i="93"/>
  <c r="M20" i="93"/>
  <c r="M33" i="93"/>
  <c r="AA27" i="93"/>
  <c r="Y31" i="93"/>
  <c r="AA26" i="93"/>
  <c r="AA32" i="93"/>
  <c r="Y33" i="93"/>
  <c r="AA28" i="93"/>
  <c r="N33" i="93"/>
  <c r="AA31" i="93"/>
  <c r="N17" i="93"/>
  <c r="U34" i="93"/>
  <c r="U20" i="93"/>
  <c r="AA19" i="93"/>
  <c r="AA17" i="93"/>
  <c r="AA18" i="93"/>
  <c r="Y17" i="93"/>
  <c r="W18" i="93"/>
  <c r="X18" i="93" s="1"/>
  <c r="AB18" i="93" s="1"/>
  <c r="AB34" i="93" s="1"/>
  <c r="Z18" i="93"/>
  <c r="N34" i="93" l="1"/>
  <c r="N20" i="93"/>
  <c r="X34" i="93"/>
  <c r="D23" i="94" s="1"/>
  <c r="X20" i="93"/>
  <c r="Y20" i="93" s="1"/>
  <c r="Y18" i="93"/>
  <c r="Y34" i="93" s="1"/>
  <c r="Z34" i="93" s="1"/>
  <c r="AA34" i="93" s="1"/>
  <c r="S26" i="92"/>
  <c r="R27" i="92"/>
  <c r="V27" i="92"/>
  <c r="T27" i="92"/>
  <c r="K27" i="92"/>
  <c r="L27" i="92" s="1"/>
  <c r="R26" i="92"/>
  <c r="Q26" i="92"/>
  <c r="V26" i="92"/>
  <c r="AA26" i="92"/>
  <c r="K26" i="92"/>
  <c r="R25" i="92"/>
  <c r="V25" i="92"/>
  <c r="K25" i="92"/>
  <c r="R24" i="92"/>
  <c r="Q24" i="92"/>
  <c r="AA24" i="92" s="1"/>
  <c r="V24" i="92"/>
  <c r="K24" i="92"/>
  <c r="L24" i="92" s="1"/>
  <c r="R23" i="92"/>
  <c r="Q23" i="92"/>
  <c r="V23" i="92"/>
  <c r="K23" i="92"/>
  <c r="R22" i="92"/>
  <c r="Q22" i="92"/>
  <c r="K22" i="92"/>
  <c r="K29" i="92" s="1"/>
  <c r="Q21" i="92"/>
  <c r="Q20" i="92"/>
  <c r="R18" i="92"/>
  <c r="Q18" i="92"/>
  <c r="V18" i="92" s="1"/>
  <c r="K18" i="92"/>
  <c r="R17" i="92"/>
  <c r="Q17" i="92"/>
  <c r="K17" i="92"/>
  <c r="Q16" i="92"/>
  <c r="Q15" i="92"/>
  <c r="M14" i="92"/>
  <c r="Z12" i="92" s="1"/>
  <c r="S32" i="91"/>
  <c r="R32" i="91"/>
  <c r="Q32" i="91"/>
  <c r="V32" i="91"/>
  <c r="K32" i="91"/>
  <c r="L32" i="91" s="1"/>
  <c r="R31" i="91"/>
  <c r="Q31" i="91"/>
  <c r="V31" i="91" s="1"/>
  <c r="K31" i="91"/>
  <c r="L31" i="91" s="1"/>
  <c r="R30" i="91"/>
  <c r="Q30" i="91"/>
  <c r="K30" i="91"/>
  <c r="L30" i="91" s="1"/>
  <c r="R29" i="91"/>
  <c r="Q29" i="91"/>
  <c r="V29" i="91" s="1"/>
  <c r="T29" i="91"/>
  <c r="K29" i="91"/>
  <c r="R28" i="91"/>
  <c r="Q28" i="91"/>
  <c r="V28" i="91" s="1"/>
  <c r="K28" i="91"/>
  <c r="L28" i="91" s="1"/>
  <c r="R27" i="91"/>
  <c r="Q27" i="91"/>
  <c r="V27" i="91" s="1"/>
  <c r="K27" i="91"/>
  <c r="L27" i="91" s="1"/>
  <c r="R26" i="91"/>
  <c r="Q26" i="91"/>
  <c r="V26" i="91"/>
  <c r="K26" i="91"/>
  <c r="E23" i="94" l="1"/>
  <c r="F23" i="94" s="1"/>
  <c r="K28" i="92"/>
  <c r="U28" i="91"/>
  <c r="Z28" i="91" s="1"/>
  <c r="L29" i="91"/>
  <c r="U31" i="91"/>
  <c r="Z31" i="91" s="1"/>
  <c r="U29" i="91"/>
  <c r="Z29" i="91" s="1"/>
  <c r="U27" i="91"/>
  <c r="Z27" i="91" s="1"/>
  <c r="U24" i="92"/>
  <c r="W24" i="92" s="1"/>
  <c r="X24" i="92" s="1"/>
  <c r="AB24" i="92" s="1"/>
  <c r="U27" i="92"/>
  <c r="Z27" i="92" s="1"/>
  <c r="U22" i="92"/>
  <c r="AA27" i="92"/>
  <c r="M24" i="92"/>
  <c r="N24" i="92" s="1"/>
  <c r="M27" i="92"/>
  <c r="N27" i="92" s="1"/>
  <c r="V22" i="92"/>
  <c r="L26" i="92"/>
  <c r="M26" i="92" s="1"/>
  <c r="N26" i="92" s="1"/>
  <c r="L23" i="92"/>
  <c r="L22" i="92"/>
  <c r="AA25" i="92"/>
  <c r="U26" i="92"/>
  <c r="Z26" i="92" s="1"/>
  <c r="L25" i="92"/>
  <c r="M25" i="92" s="1"/>
  <c r="N25" i="92" s="1"/>
  <c r="T23" i="92"/>
  <c r="AA23" i="92" s="1"/>
  <c r="T18" i="92"/>
  <c r="U18" i="92" s="1"/>
  <c r="Z18" i="92" s="1"/>
  <c r="L18" i="92"/>
  <c r="V17" i="92"/>
  <c r="L17" i="92"/>
  <c r="M17" i="92" s="1"/>
  <c r="K19" i="92"/>
  <c r="U17" i="92"/>
  <c r="U32" i="91"/>
  <c r="Z32" i="91" s="1"/>
  <c r="L26" i="91"/>
  <c r="U26" i="91"/>
  <c r="Z26" i="91" s="1"/>
  <c r="T30" i="91"/>
  <c r="V30" i="91"/>
  <c r="W29" i="91"/>
  <c r="X29" i="91" s="1"/>
  <c r="W28" i="91" l="1"/>
  <c r="X28" i="91" s="1"/>
  <c r="AB28" i="91" s="1"/>
  <c r="W31" i="91"/>
  <c r="X31" i="91" s="1"/>
  <c r="AB31" i="91" s="1"/>
  <c r="W27" i="91"/>
  <c r="X27" i="91" s="1"/>
  <c r="AB27" i="91" s="1"/>
  <c r="Z24" i="92"/>
  <c r="L28" i="92"/>
  <c r="L29" i="92"/>
  <c r="W22" i="92"/>
  <c r="X22" i="92" s="1"/>
  <c r="AB22" i="92" s="1"/>
  <c r="T34" i="91"/>
  <c r="AA26" i="91" s="1"/>
  <c r="W27" i="92"/>
  <c r="X27" i="92" s="1"/>
  <c r="Y27" i="92" s="1"/>
  <c r="AA22" i="92"/>
  <c r="T29" i="92"/>
  <c r="Y24" i="92"/>
  <c r="M22" i="92"/>
  <c r="Z22" i="92"/>
  <c r="M23" i="92"/>
  <c r="N23" i="92" s="1"/>
  <c r="U23" i="92"/>
  <c r="U25" i="92"/>
  <c r="W26" i="92"/>
  <c r="X26" i="92" s="1"/>
  <c r="M18" i="92"/>
  <c r="N18" i="92" s="1"/>
  <c r="W17" i="92"/>
  <c r="X17" i="92" s="1"/>
  <c r="AB17" i="92" s="1"/>
  <c r="W18" i="92"/>
  <c r="X18" i="92" s="1"/>
  <c r="U19" i="92"/>
  <c r="Z17" i="92"/>
  <c r="AA18" i="92"/>
  <c r="N17" i="92"/>
  <c r="L19" i="92"/>
  <c r="W32" i="91"/>
  <c r="X32" i="91" s="1"/>
  <c r="AB32" i="91" s="1"/>
  <c r="W26" i="91"/>
  <c r="X26" i="91" s="1"/>
  <c r="AB26" i="91" s="1"/>
  <c r="U30" i="91"/>
  <c r="Y26" i="92" l="1"/>
  <c r="AB26" i="92"/>
  <c r="Y17" i="92"/>
  <c r="AA17" i="92"/>
  <c r="M29" i="92"/>
  <c r="AA27" i="91"/>
  <c r="AA28" i="91"/>
  <c r="AA29" i="91"/>
  <c r="AA30" i="91"/>
  <c r="AA31" i="91"/>
  <c r="AA32" i="91"/>
  <c r="AA33" i="91"/>
  <c r="U28" i="92"/>
  <c r="U29" i="92"/>
  <c r="N22" i="92"/>
  <c r="M28" i="92"/>
  <c r="Y18" i="92"/>
  <c r="Y22" i="92"/>
  <c r="M19" i="92"/>
  <c r="W25" i="92"/>
  <c r="X25" i="92" s="1"/>
  <c r="Z25" i="92"/>
  <c r="W23" i="92"/>
  <c r="X23" i="92" s="1"/>
  <c r="X29" i="92" s="1"/>
  <c r="Z23" i="92"/>
  <c r="N19" i="92"/>
  <c r="X19" i="92"/>
  <c r="Z30" i="91"/>
  <c r="W30" i="91"/>
  <c r="X30" i="91" s="1"/>
  <c r="Q25" i="91"/>
  <c r="K24" i="91"/>
  <c r="R23" i="91"/>
  <c r="Q23" i="91"/>
  <c r="V23" i="91"/>
  <c r="T23" i="91"/>
  <c r="K23" i="91"/>
  <c r="Q22" i="91"/>
  <c r="Q21" i="91"/>
  <c r="R19" i="91"/>
  <c r="Q19" i="91"/>
  <c r="V19" i="91"/>
  <c r="K19" i="91"/>
  <c r="L19" i="91" s="1"/>
  <c r="R18" i="91"/>
  <c r="Q18" i="91"/>
  <c r="V18" i="91"/>
  <c r="K18" i="91"/>
  <c r="L18" i="91" s="1"/>
  <c r="R17" i="91"/>
  <c r="Q17" i="91"/>
  <c r="K17" i="91"/>
  <c r="Q16" i="91"/>
  <c r="Q15" i="91"/>
  <c r="AB33" i="92" l="1"/>
  <c r="AB34" i="92" s="1"/>
  <c r="AB35" i="92" s="1"/>
  <c r="D21" i="94"/>
  <c r="E21" i="94" s="1"/>
  <c r="F21" i="94" s="1"/>
  <c r="Y25" i="92"/>
  <c r="AB25" i="92"/>
  <c r="AB29" i="92" s="1"/>
  <c r="Y19" i="92"/>
  <c r="L17" i="91"/>
  <c r="K35" i="91"/>
  <c r="U18" i="91"/>
  <c r="Z18" i="91" s="1"/>
  <c r="L23" i="91"/>
  <c r="L33" i="91" s="1"/>
  <c r="L34" i="91" s="1"/>
  <c r="K33" i="91"/>
  <c r="K34" i="91" s="1"/>
  <c r="N28" i="92"/>
  <c r="N29" i="92"/>
  <c r="Y23" i="92"/>
  <c r="X28" i="92"/>
  <c r="Y28" i="92" s="1"/>
  <c r="L24" i="91"/>
  <c r="M23" i="91"/>
  <c r="T24" i="91"/>
  <c r="AA23" i="91" s="1"/>
  <c r="U23" i="91"/>
  <c r="U33" i="91" s="1"/>
  <c r="U34" i="91" s="1"/>
  <c r="M17" i="91"/>
  <c r="K20" i="91"/>
  <c r="U19" i="91"/>
  <c r="Z19" i="91" s="1"/>
  <c r="U17" i="91"/>
  <c r="V17" i="91"/>
  <c r="M14" i="91"/>
  <c r="Y29" i="92" l="1"/>
  <c r="Z29" i="92" s="1"/>
  <c r="AA29" i="92" s="1"/>
  <c r="M24" i="91"/>
  <c r="Z12" i="91"/>
  <c r="M26" i="91"/>
  <c r="M33" i="91" s="1"/>
  <c r="M34" i="91" s="1"/>
  <c r="M30" i="91"/>
  <c r="M28" i="91"/>
  <c r="M31" i="91"/>
  <c r="M32" i="91"/>
  <c r="M27" i="91"/>
  <c r="M29" i="91"/>
  <c r="N17" i="91"/>
  <c r="M35" i="91"/>
  <c r="W18" i="91"/>
  <c r="X18" i="91" s="1"/>
  <c r="AB18" i="91" s="1"/>
  <c r="L20" i="91"/>
  <c r="L35" i="91"/>
  <c r="T35" i="91"/>
  <c r="U35" i="91"/>
  <c r="W19" i="91"/>
  <c r="X19" i="91" s="1"/>
  <c r="AB19" i="91" s="1"/>
  <c r="Z23" i="91"/>
  <c r="U24" i="91"/>
  <c r="W23" i="91"/>
  <c r="X23" i="91" s="1"/>
  <c r="X33" i="91" s="1"/>
  <c r="X34" i="91" s="1"/>
  <c r="Y34" i="91" s="1"/>
  <c r="N23" i="91"/>
  <c r="M18" i="91"/>
  <c r="N18" i="91" s="1"/>
  <c r="N20" i="91" s="1"/>
  <c r="M19" i="91"/>
  <c r="N19" i="91" s="1"/>
  <c r="Z17" i="91"/>
  <c r="U20" i="91"/>
  <c r="T20" i="91"/>
  <c r="W17" i="91"/>
  <c r="X17" i="91" s="1"/>
  <c r="X35" i="91" l="1"/>
  <c r="AB17" i="91"/>
  <c r="AB35" i="91"/>
  <c r="Y19" i="91"/>
  <c r="N32" i="91"/>
  <c r="Y32" i="91"/>
  <c r="N30" i="91"/>
  <c r="Y30" i="91"/>
  <c r="N29" i="91"/>
  <c r="Y29" i="91"/>
  <c r="N28" i="91"/>
  <c r="Y28" i="91"/>
  <c r="Y33" i="91"/>
  <c r="N27" i="91"/>
  <c r="Y27" i="91"/>
  <c r="N24" i="91"/>
  <c r="N31" i="91"/>
  <c r="N33" i="91" s="1"/>
  <c r="Y31" i="91"/>
  <c r="N26" i="91"/>
  <c r="Y26" i="91"/>
  <c r="X24" i="91"/>
  <c r="Y24" i="91" s="1"/>
  <c r="Y23" i="91"/>
  <c r="M20" i="91"/>
  <c r="Y18" i="91"/>
  <c r="Y17" i="91"/>
  <c r="X20" i="91"/>
  <c r="Y20" i="91" s="1"/>
  <c r="AA19" i="91"/>
  <c r="AA18" i="91"/>
  <c r="AA17" i="91"/>
  <c r="D22" i="94" l="1"/>
  <c r="AB40" i="91"/>
  <c r="AB41" i="91" s="1"/>
  <c r="AB42" i="91" s="1"/>
  <c r="Y35" i="91"/>
  <c r="N34" i="91"/>
  <c r="N35" i="91"/>
  <c r="D24" i="94" l="1"/>
  <c r="E22" i="94"/>
  <c r="F22" i="94" s="1"/>
  <c r="Z35" i="91"/>
  <c r="AA35" i="91" s="1"/>
  <c r="E24" i="94" l="1"/>
  <c r="F24" i="94" s="1"/>
</calcChain>
</file>

<file path=xl/sharedStrings.xml><?xml version="1.0" encoding="utf-8"?>
<sst xmlns="http://schemas.openxmlformats.org/spreadsheetml/2006/main" count="659" uniqueCount="277">
  <si>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</si>
  <si>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</si>
  <si>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</si>
  <si>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</si>
  <si>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</si>
  <si>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</si>
  <si>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</si>
  <si>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</si>
  <si>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</si>
  <si>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</si>
  <si>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</si>
  <si>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</si>
  <si>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</si>
  <si>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</si>
  <si>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</si>
  <si>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</si>
  <si>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</si>
  <si>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</si>
  <si>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</si>
  <si>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</si>
  <si>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</si>
  <si>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</si>
  <si>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</si>
  <si>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</si>
  <si>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</si>
  <si>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</si>
  <si>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</si>
  <si>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</si>
  <si>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</si>
  <si>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</si>
  <si>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</si>
  <si>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</si>
  <si>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</si>
  <si>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</si>
  <si>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</si>
  <si>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</si>
  <si>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</si>
  <si>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</si>
  <si>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</si>
  <si>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</si>
  <si>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</si>
  <si>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</si>
  <si>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</si>
  <si>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</si>
  <si>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</si>
  <si>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</si>
  <si>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</si>
  <si>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</si>
  <si>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</si>
  <si>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</si>
  <si>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</si>
  <si>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</si>
  <si>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</si>
  <si>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</si>
  <si>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</si>
  <si>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</si>
  <si>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</si>
  <si>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</si>
  <si>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</si>
  <si>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</si>
  <si>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</si>
  <si>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</si>
  <si>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</si>
  <si>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</si>
  <si>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</si>
  <si>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</si>
  <si>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</si>
  <si>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</si>
  <si>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</si>
  <si>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</si>
  <si>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</si>
  <si>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</si>
  <si>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</si>
  <si>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</si>
  <si>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</si>
  <si>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</si>
  <si>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</si>
  <si>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</si>
  <si>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</si>
  <si>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</si>
  <si>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</si>
  <si>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</si>
  <si>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</si>
  <si>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</si>
  <si>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</si>
  <si>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</si>
  <si>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</si>
  <si>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</si>
  <si>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</si>
  <si>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</si>
  <si>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</si>
  <si>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</si>
  <si>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</si>
  <si>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</si>
  <si>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</si>
  <si>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</si>
  <si>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</si>
  <si>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</si>
  <si>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</si>
  <si>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</si>
  <si>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</si>
  <si>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</si>
  <si>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</si>
  <si>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</si>
  <si>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</si>
  <si>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</si>
  <si>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</si>
  <si>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</si>
  <si>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</si>
  <si>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</si>
  <si>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</si>
  <si>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</si>
  <si>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</si>
  <si>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</si>
  <si>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</si>
  <si>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</si>
  <si>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</si>
  <si>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</si>
  <si>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</si>
  <si>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</si>
  <si>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</si>
  <si>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</si>
  <si>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</si>
  <si>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</si>
  <si>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</si>
  <si>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</si>
  <si>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</si>
  <si>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INTERNOS OGGI</t>
  </si>
  <si>
    <t xml:space="preserve">CÓDIGO DO JOB: </t>
  </si>
  <si>
    <t>LE _207</t>
  </si>
  <si>
    <t>CLIENTE:</t>
  </si>
  <si>
    <t>LENOVO</t>
  </si>
  <si>
    <t>EVENTO:</t>
  </si>
  <si>
    <t>JANTAR</t>
  </si>
  <si>
    <t>LOCAL:</t>
  </si>
  <si>
    <t>São Paulo</t>
  </si>
  <si>
    <t>DATA:</t>
  </si>
  <si>
    <t>ATENDIMENTO:</t>
  </si>
  <si>
    <t>Fernanda Pinheiro</t>
  </si>
  <si>
    <t>PRODUTOR:</t>
  </si>
  <si>
    <t>Silvia Brito</t>
  </si>
  <si>
    <t>NOME PLANILHA:</t>
  </si>
  <si>
    <t>LE_207_JANTAR</t>
  </si>
  <si>
    <t>Produção/Atendimento</t>
  </si>
  <si>
    <t>Resp. pela interface de atendimento junto ao cliente, elaboração de plano estratégico para briefing interno da agencia após reunião de Brainstorming,  alinhamentos gerais, fluxo interno, alterações e condução de pauta. Produção: Resp. pela gestão executiva operacional da ação. Pré Produção, implementação do projeto e pós produção.</t>
  </si>
  <si>
    <t>Criação</t>
  </si>
  <si>
    <t>Peças:fiipeta,arte gift banner digital, mockup mochila.</t>
  </si>
  <si>
    <t>Produtor Financeiro</t>
  </si>
  <si>
    <t>Interface Oggi x fornecedores para elaboração de fechamento , notas, e evidencias .</t>
  </si>
  <si>
    <t>ITEM</t>
  </si>
  <si>
    <t>1.1.1</t>
  </si>
  <si>
    <t>1.1.3</t>
  </si>
  <si>
    <t>SUBTOTAL SUBGRUPO</t>
  </si>
  <si>
    <t>Subtotal INTERNOS OGGI</t>
  </si>
  <si>
    <t>2.1</t>
  </si>
  <si>
    <t>OPERACIONAL</t>
  </si>
  <si>
    <t>INTERNO</t>
  </si>
  <si>
    <t>FAT.OGGI</t>
  </si>
  <si>
    <t>2.1.1</t>
  </si>
  <si>
    <t>Subtotal JANTAR</t>
  </si>
  <si>
    <t>2.2</t>
  </si>
  <si>
    <t>Jantar Felipe Massa</t>
  </si>
  <si>
    <t>Jantar 11/12 para 35 pax das 20 as 23:30h.
Beefbar - Local: Rua Barão de Capanema, 320 – São Paulo Serviço incluso: espaço privativo + alimentos + bebidas.Street Food: Umami Caesar Salad, Tempura de milho (Rock Corn), Gyoza de Wagyu Kagoshima, Carpaccio Angus com za’atar e pistache, Tartar Tartine com crocante de gergelim.Comfort Food: Salada de espinafre com romã e pêra, Couve-flor assada com tahine verde, Papardelle com bolonhesa Wagyu, Galeto na brasa, Filet Mignon Angus. Acompanhamentos: Purê de batata (clássico e trufado), Berinjela grelhada ao missô, Vegetais orgânicosSobremesas: Gelato artesanal com toppings, Pudim com tuile de laranja Bebidas: Caipiroska, Moscow Mule, Gin Tônica, Fitzgerald, vinho branco (Pinot Grigio), vinho tinto (Montepulciano), refrigerantes, água, sucos, café.</t>
  </si>
  <si>
    <t>OPERACIONAL EVENTO</t>
  </si>
  <si>
    <t>RSVP</t>
  </si>
  <si>
    <t>Confirrmação.Envio de 90 confirmações</t>
  </si>
  <si>
    <t>Totem digital</t>
  </si>
  <si>
    <t>Totem digital de 0,80 x 2m</t>
  </si>
  <si>
    <t>Fotografo</t>
  </si>
  <si>
    <t>Fotógrafo profissional por 4 horas</t>
  </si>
  <si>
    <t>Filipeta cardápio</t>
  </si>
  <si>
    <t>Filipeta, Form. 100 x 200 mm, 1 Lâmina em Couche Fosco 170
g/m2, 4x4 cores, Refile, Dobra, Entrega, Impressão Digital Color -
Cálculo 364.552</t>
  </si>
  <si>
    <t>Impressão cartas</t>
  </si>
  <si>
    <t xml:space="preserve">Carta teclado impressão no couche brilho. </t>
  </si>
  <si>
    <t>Sonorização</t>
  </si>
  <si>
    <t>Caixa de som slim + microfone sem fio</t>
  </si>
  <si>
    <t>Custos Operacionais</t>
  </si>
  <si>
    <t>Deslocamento, motoboy retirada de materiais, e alimentação de equipe.</t>
  </si>
  <si>
    <t>FAT.CLIENTE</t>
  </si>
  <si>
    <t>2.2.1</t>
  </si>
  <si>
    <t>2.2.2</t>
  </si>
  <si>
    <t>2.2.3</t>
  </si>
  <si>
    <t>2.2.4</t>
  </si>
  <si>
    <t>2.2.5</t>
  </si>
  <si>
    <t>2.2.6</t>
  </si>
  <si>
    <t>2.2.7</t>
  </si>
  <si>
    <t>SUBTOTAL GRUPO</t>
  </si>
  <si>
    <t>Subtotal OPERACIONAL</t>
  </si>
  <si>
    <t>Subtotal OPERACIONAL EVENTO</t>
  </si>
  <si>
    <t>SUBTOTAL PLANILHA</t>
  </si>
  <si>
    <t>TOTAL LE_207_JANTAR</t>
  </si>
  <si>
    <t>Marg. Lucro</t>
  </si>
  <si>
    <t>Lucro</t>
  </si>
  <si>
    <t>MEETING POINT OASIS</t>
  </si>
  <si>
    <t>22 OU 23 DE NOVEMBRO</t>
  </si>
  <si>
    <t>LE_207_MEETING POINT OASIS</t>
  </si>
  <si>
    <t>CAMAROTE</t>
  </si>
  <si>
    <t>Camarote Galera SP</t>
  </si>
  <si>
    <t>22 Convidados. Camarote na Arena MorumBis-Open bar e open food, serviço de recepção, Área climatizada com vista privilegiada, Banheiros exclusivos.</t>
  </si>
  <si>
    <t>Traslado</t>
  </si>
  <si>
    <t>Van ponto de encontro/estádio e estadio/ponto de encontro. Van com 20 lugares</t>
  </si>
  <si>
    <t>Produtor operacional</t>
  </si>
  <si>
    <t>Distribuição de brindes, apoio e direcionamento de convidados.</t>
  </si>
  <si>
    <t>Estacionamento convidados</t>
  </si>
  <si>
    <t>Estacionamento carros dos convidados. Periodo de 12h no hotel.</t>
  </si>
  <si>
    <t xml:space="preserve">Custos gerais de telefonia móvel, internet móvel, telefonia fixa, internet, custos por demandas não provisionadas. </t>
  </si>
  <si>
    <t>Estacionamento Van</t>
  </si>
  <si>
    <t>Estacionamento em frente ao Estadio.</t>
  </si>
  <si>
    <t>2.1.2</t>
  </si>
  <si>
    <t>2.1.3</t>
  </si>
  <si>
    <t>2.1.4</t>
  </si>
  <si>
    <t>2.1.5</t>
  </si>
  <si>
    <t>2.1.6</t>
  </si>
  <si>
    <t>TOTAL LE_207_MEETING POINT OASIS</t>
  </si>
  <si>
    <t>DEVOLUÇÃO DE 552,00</t>
  </si>
  <si>
    <t>NATALIA</t>
  </si>
  <si>
    <t xml:space="preserve">Planejamento operacional </t>
  </si>
  <si>
    <t>Peças:tag e carta. Faca de cada peça .</t>
  </si>
  <si>
    <t xml:space="preserve">Carta teclado impressão no couche brilho </t>
  </si>
  <si>
    <t>Embalagem brinde</t>
  </si>
  <si>
    <t>Sacola de Offset preta. 80 unidades</t>
  </si>
  <si>
    <t>Bordado Mochilas</t>
  </si>
  <si>
    <t>Bordado com 2 logos em 2 cores.Tamnho 2x8cm. 78 unidades</t>
  </si>
  <si>
    <t>Logistica</t>
  </si>
  <si>
    <t>Logistica de entrega no Jantar e Show.Retirada de maquinas e devolução na Lenovo.</t>
  </si>
  <si>
    <t>Manuseio de brindes</t>
  </si>
  <si>
    <t>Manuseio de kits.</t>
  </si>
  <si>
    <t>Produtor de compras e apoio logistico</t>
  </si>
  <si>
    <t>Retirada na Oggi , no fornecedor de bordados e entrega de brindes no evento.</t>
  </si>
  <si>
    <t>Kit Lenovo</t>
  </si>
  <si>
    <t>Mochila ThinkPad 16” Essential Backpack (Eco)</t>
  </si>
  <si>
    <t>Fone(Lenovo Wireless Stereo Headset )</t>
  </si>
  <si>
    <t>Mouse(Lenovo Wireless Multi-Mode Pro Mouse 6000)</t>
  </si>
  <si>
    <t>2.1.7</t>
  </si>
  <si>
    <t>2.1.8</t>
  </si>
  <si>
    <t>2.1.9</t>
  </si>
  <si>
    <t>2.1.10</t>
  </si>
  <si>
    <t>EM ABERTO</t>
  </si>
  <si>
    <t>DANIEL METEORO</t>
  </si>
  <si>
    <t>ANA E AYANNA</t>
  </si>
  <si>
    <t>FERNANDO</t>
  </si>
  <si>
    <t>NOTAS EMITIDAS E ND EMITIDAS</t>
  </si>
  <si>
    <t>LUCRO</t>
  </si>
  <si>
    <t xml:space="preserve">CUSTO </t>
  </si>
  <si>
    <t>VENDA</t>
  </si>
  <si>
    <t>STUDIO ROCA</t>
  </si>
  <si>
    <t>VÍDEO</t>
  </si>
  <si>
    <t>OASIS</t>
  </si>
  <si>
    <t>DIRECT MAIL</t>
  </si>
  <si>
    <t>CUSTO TOTAL</t>
  </si>
  <si>
    <t>NINE O'CLOCK</t>
  </si>
  <si>
    <t>NATÁLIA NOBESCHI</t>
  </si>
  <si>
    <t>NATALIA NOBESCHI</t>
  </si>
  <si>
    <t>SILVIA BRITO</t>
  </si>
  <si>
    <t>MW LED</t>
  </si>
  <si>
    <t>SK COPIADORA</t>
  </si>
  <si>
    <t>CUCINA 19</t>
  </si>
  <si>
    <t>PATRICK B-FERNANDA PINHEIRO- SILVIA BRITO</t>
  </si>
  <si>
    <t>STM PRIME</t>
  </si>
  <si>
    <t>FERNANDO GODOY</t>
  </si>
  <si>
    <t>JAQUELINE BRUN</t>
  </si>
  <si>
    <t>MR DA COSTA</t>
  </si>
  <si>
    <t>OPM</t>
  </si>
  <si>
    <t>NEXT</t>
  </si>
  <si>
    <t>MOLINA</t>
  </si>
  <si>
    <t>JRV LOCAÇÕES</t>
  </si>
  <si>
    <t xml:space="preserve"> DANIEL FERRAZ</t>
  </si>
  <si>
    <t>ANDRE DE SENA- DANIEL FERRAZ</t>
  </si>
  <si>
    <t>AYANNA-ANA PAULA</t>
  </si>
  <si>
    <t>NOTA DE DÉBITO 235</t>
  </si>
  <si>
    <t>NOTA DE DÉBITO 236</t>
  </si>
  <si>
    <t>NOTA DE DÉBITO 237</t>
  </si>
  <si>
    <t>NOTA DE DÉBITO 239</t>
  </si>
  <si>
    <t>NOTA DE DÉBITO 240</t>
  </si>
  <si>
    <t>NOTA FISCAL 2713</t>
  </si>
  <si>
    <t>NOTA FISCAL 2714</t>
  </si>
  <si>
    <t>NOTA FISCAL 2709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</si>
</sst>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20"/>
      <color theme="1"/>
      <name val="Calibri"/>
      <family val="2"/>
      <scheme val="minor"/>
    </font>
    <font>
      <b/>
      <sz val="22"/>
      <color indexed="63"/>
      <name val="Trebuchet MS"/>
      <family val="2"/>
    </font>
    <font>
      <b/>
      <sz val="22"/>
      <color rgb="FFFF0000"/>
      <name val="Trebuchet MS"/>
      <family val="2"/>
    </font>
    <font>
      <b/>
      <sz val="22"/>
      <color rgb="FF00B050"/>
      <name val="Trebuchet MS"/>
      <family val="2"/>
    </font>
    <font>
      <b/>
      <sz val="22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0"/>
      <color theme="0"/>
      <name val="Trebuchet MS"/>
      <family val="2"/>
    </font>
    <font>
      <b/>
      <sz val="10"/>
      <color theme="1"/>
      <name val="Trebuchet MS"/>
      <family val="2"/>
    </font>
    <font>
      <b/>
      <sz val="10"/>
      <name val="Trebuchet MS"/>
      <family val="2"/>
    </font>
    <font>
      <b/>
      <sz val="12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theme="0"/>
      <name val="Trebuchet MS"/>
      <family val="2"/>
    </font>
    <font>
      <b/>
      <sz val="22"/>
      <color rgb="FF00B05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color rgb="FF00B0F0"/>
      <name val="Calibri"/>
      <family val="2"/>
      <scheme val="minor"/>
    </font>
    <font>
      <b/>
      <sz val="24"/>
      <color indexed="63"/>
      <name val="Trebuchet MS"/>
      <family val="2"/>
    </font>
    <font>
      <b/>
      <sz val="24"/>
      <color theme="1"/>
      <name val="Calibri"/>
      <family val="2"/>
      <scheme val="minor"/>
    </font>
    <font>
      <b/>
      <sz val="24"/>
      <color rgb="FFFF0000"/>
      <name val="Trebuchet MS"/>
      <family val="2"/>
    </font>
    <font>
      <b/>
      <sz val="24"/>
      <color rgb="FF00B050"/>
      <name val="Trebuchet MS"/>
      <family val="2"/>
    </font>
    <font>
      <b/>
      <sz val="24"/>
      <color rgb="FF00B05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10"/>
      <color theme="0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7" fillId="4" borderId="35" xfId="0" applyFont="1" applyFill="1" applyBorder="1"/>
    <xf numFmtId="0" fontId="7" fillId="4" borderId="36" xfId="0" applyFont="1" applyFill="1" applyBorder="1"/>
    <xf numFmtId="0" fontId="10" fillId="8" borderId="41" xfId="0" applyFont="1" applyFill="1" applyBorder="1" applyAlignment="1">
      <alignment vertical="center"/>
    </xf>
    <xf numFmtId="0" fontId="12" fillId="8" borderId="41" xfId="0" applyFont="1" applyFill="1" applyBorder="1" applyAlignment="1">
      <alignment horizontal="center" vertical="center"/>
    </xf>
    <xf numFmtId="22" fontId="10" fillId="8" borderId="41" xfId="0" applyNumberFormat="1" applyFont="1" applyFill="1" applyBorder="1" applyAlignment="1">
      <alignment horizontal="center" vertical="center"/>
    </xf>
    <xf numFmtId="0" fontId="14" fillId="8" borderId="42" xfId="0" applyFont="1" applyFill="1" applyBorder="1" applyAlignment="1">
      <alignment horizontal="center" vertical="center" wrapText="1"/>
    </xf>
    <xf numFmtId="0" fontId="14" fillId="8" borderId="43" xfId="0" applyFont="1" applyFill="1" applyBorder="1" applyAlignment="1">
      <alignment horizontal="center" vertical="center" wrapText="1"/>
    </xf>
    <xf numFmtId="166" fontId="18" fillId="12" borderId="57" xfId="4" applyNumberFormat="1" applyFont="1" applyFill="1" applyBorder="1" applyAlignment="1">
      <alignment horizontal="center" vertical="center" wrapText="1"/>
    </xf>
    <xf numFmtId="166" fontId="19" fillId="12" borderId="57" xfId="4" applyNumberFormat="1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9" fontId="23" fillId="0" borderId="57" xfId="1" applyFont="1" applyBorder="1" applyAlignment="1">
      <alignment horizontal="center"/>
    </xf>
    <xf numFmtId="0" fontId="23" fillId="12" borderId="57" xfId="0" applyFont="1" applyFill="1" applyBorder="1" applyAlignment="1">
      <alignment horizontal="left"/>
    </xf>
    <xf numFmtId="44" fontId="24" fillId="12" borderId="57" xfId="0" applyNumberFormat="1" applyFont="1" applyFill="1" applyBorder="1" applyAlignment="1">
      <alignment horizontal="center"/>
    </xf>
    <xf numFmtId="164" fontId="25" fillId="0" borderId="39" xfId="2" applyNumberFormat="1" applyFont="1" applyBorder="1" applyAlignment="1" applyProtection="1">
      <alignment horizontal="left" vertical="center"/>
      <protection locked="0"/>
    </xf>
    <xf numFmtId="164" fontId="25" fillId="0" borderId="31" xfId="2" applyNumberFormat="1" applyFont="1" applyBorder="1" applyAlignment="1" applyProtection="1">
      <alignment horizontal="left" vertical="center"/>
      <protection locked="0"/>
    </xf>
    <xf numFmtId="164" fontId="25" fillId="0" borderId="20" xfId="2" applyNumberFormat="1" applyFont="1" applyBorder="1" applyAlignment="1" applyProtection="1">
      <alignment horizontal="left" vertical="center"/>
      <protection locked="0"/>
    </xf>
    <xf numFmtId="0" fontId="22" fillId="19" borderId="14" xfId="0" applyFont="1" applyFill="1" applyBorder="1"/>
    <xf numFmtId="0" fontId="21" fillId="20" borderId="17" xfId="0" applyFont="1" applyFill="1" applyBorder="1" applyAlignment="1">
      <alignment horizontal="right"/>
    </xf>
    <xf numFmtId="16" fontId="21" fillId="21" borderId="14" xfId="0" applyNumberFormat="1" applyFont="1" applyFill="1" applyBorder="1"/>
    <xf numFmtId="16" fontId="21" fillId="22" borderId="11" xfId="0" applyNumberFormat="1" applyFont="1" applyFill="1" applyBorder="1"/>
    <xf numFmtId="164" fontId="25" fillId="0" borderId="19" xfId="2" applyNumberFormat="1" applyFont="1" applyBorder="1" applyAlignment="1" applyProtection="1">
      <alignment horizontal="left" vertical="center"/>
      <protection locked="0"/>
    </xf>
    <xf numFmtId="164" fontId="25" fillId="0" borderId="30" xfId="2" applyNumberFormat="1" applyFont="1" applyBorder="1" applyAlignment="1" applyProtection="1">
      <alignment horizontal="left" vertical="center"/>
      <protection locked="0"/>
    </xf>
    <xf numFmtId="0" fontId="25" fillId="0" borderId="23" xfId="2" applyFont="1" applyBorder="1" applyAlignment="1" applyProtection="1">
      <alignment horizontal="left" vertical="center"/>
      <protection locked="0"/>
    </xf>
    <xf numFmtId="14" fontId="25" fillId="0" borderId="30" xfId="2" applyNumberFormat="1" applyFont="1" applyBorder="1" applyAlignment="1" applyProtection="1">
      <alignment horizontal="left" vertical="center"/>
      <protection locked="0"/>
    </xf>
    <xf numFmtId="0" fontId="25" fillId="0" borderId="26" xfId="2" applyFont="1" applyBorder="1" applyAlignment="1" applyProtection="1">
      <alignment horizontal="left" vertical="center"/>
      <protection locked="0"/>
    </xf>
    <xf numFmtId="0" fontId="26" fillId="0" borderId="0" xfId="0" applyFont="1"/>
    <xf numFmtId="49" fontId="27" fillId="0" borderId="0" xfId="2" applyNumberFormat="1" applyFont="1" applyAlignment="1">
      <alignment horizontal="center" vertical="center" wrapText="1"/>
    </xf>
    <xf numFmtId="0" fontId="27" fillId="0" borderId="0" xfId="2" applyFont="1" applyAlignment="1">
      <alignment horizontal="left" vertical="center" wrapText="1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164" fontId="27" fillId="0" borderId="0" xfId="2" applyNumberFormat="1" applyFont="1" applyAlignment="1">
      <alignment horizontal="left" vertical="center"/>
    </xf>
    <xf numFmtId="164" fontId="27" fillId="0" borderId="20" xfId="2" applyNumberFormat="1" applyFont="1" applyBorder="1" applyAlignment="1" applyProtection="1">
      <alignment horizontal="left" vertical="center"/>
      <protection locked="0"/>
    </xf>
    <xf numFmtId="164" fontId="27" fillId="0" borderId="19" xfId="2" applyNumberFormat="1" applyFont="1" applyBorder="1" applyAlignment="1" applyProtection="1">
      <alignment horizontal="left" vertical="center"/>
      <protection locked="0"/>
    </xf>
    <xf numFmtId="164" fontId="27" fillId="0" borderId="31" xfId="2" applyNumberFormat="1" applyFont="1" applyBorder="1" applyAlignment="1" applyProtection="1">
      <alignment horizontal="left" vertical="center"/>
      <protection locked="0"/>
    </xf>
    <xf numFmtId="164" fontId="27" fillId="0" borderId="30" xfId="2" applyNumberFormat="1" applyFont="1" applyBorder="1" applyAlignment="1" applyProtection="1">
      <alignment horizontal="left" vertical="center"/>
      <protection locked="0"/>
    </xf>
    <xf numFmtId="0" fontId="27" fillId="0" borderId="23" xfId="2" applyFont="1" applyBorder="1" applyAlignment="1" applyProtection="1">
      <alignment horizontal="left" vertical="center"/>
      <protection locked="0"/>
    </xf>
    <xf numFmtId="14" fontId="27" fillId="0" borderId="30" xfId="2" applyNumberFormat="1" applyFont="1" applyBorder="1" applyAlignment="1" applyProtection="1">
      <alignment horizontal="left" vertical="center"/>
      <protection locked="0"/>
    </xf>
    <xf numFmtId="164" fontId="27" fillId="0" borderId="39" xfId="2" applyNumberFormat="1" applyFont="1" applyBorder="1" applyAlignment="1" applyProtection="1">
      <alignment horizontal="left" vertical="center"/>
      <protection locked="0"/>
    </xf>
    <xf numFmtId="0" fontId="27" fillId="0" borderId="26" xfId="2" applyFont="1" applyBorder="1" applyAlignment="1" applyProtection="1">
      <alignment horizontal="left" vertical="center"/>
      <protection locked="0"/>
    </xf>
    <xf numFmtId="49" fontId="28" fillId="0" borderId="0" xfId="0" applyNumberFormat="1" applyFont="1" applyAlignment="1">
      <alignment horizontal="center"/>
    </xf>
    <xf numFmtId="0" fontId="26" fillId="0" borderId="0" xfId="1" applyNumberFormat="1" applyFont="1"/>
    <xf numFmtId="165" fontId="30" fillId="6" borderId="38" xfId="4" applyFont="1" applyFill="1" applyBorder="1" applyAlignment="1">
      <alignment horizontal="center" vertical="center" wrapText="1"/>
    </xf>
    <xf numFmtId="168" fontId="28" fillId="0" borderId="5" xfId="1" applyNumberFormat="1" applyFont="1" applyBorder="1"/>
    <xf numFmtId="166" fontId="30" fillId="0" borderId="40" xfId="4" applyNumberFormat="1" applyFont="1" applyBorder="1" applyAlignment="1">
      <alignment horizontal="center" vertical="center" wrapText="1"/>
    </xf>
    <xf numFmtId="0" fontId="31" fillId="5" borderId="0" xfId="0" applyFont="1" applyFill="1"/>
    <xf numFmtId="49" fontId="31" fillId="5" borderId="0" xfId="0" applyNumberFormat="1" applyFont="1" applyFill="1" applyAlignment="1">
      <alignment horizontal="center"/>
    </xf>
    <xf numFmtId="0" fontId="32" fillId="0" borderId="0" xfId="0" applyFont="1"/>
    <xf numFmtId="0" fontId="33" fillId="0" borderId="44" xfId="0" applyFont="1" applyBorder="1" applyAlignment="1">
      <alignment horizontal="left" vertical="center"/>
    </xf>
    <xf numFmtId="49" fontId="31" fillId="0" borderId="45" xfId="0" applyNumberFormat="1" applyFont="1" applyBorder="1" applyAlignment="1">
      <alignment horizontal="center" vertical="center"/>
    </xf>
    <xf numFmtId="0" fontId="33" fillId="0" borderId="46" xfId="0" applyFont="1" applyBorder="1" applyAlignment="1">
      <alignment horizontal="left" vertical="center"/>
    </xf>
    <xf numFmtId="0" fontId="33" fillId="0" borderId="44" xfId="0" applyFont="1" applyBorder="1" applyAlignment="1">
      <alignment horizontal="left" vertical="center" wrapText="1"/>
    </xf>
    <xf numFmtId="0" fontId="27" fillId="6" borderId="60" xfId="3" applyFont="1" applyFill="1" applyBorder="1" applyAlignment="1">
      <alignment horizontal="left" vertical="center"/>
    </xf>
    <xf numFmtId="0" fontId="27" fillId="6" borderId="56" xfId="3" applyFont="1" applyFill="1" applyBorder="1" applyAlignment="1">
      <alignment horizontal="center" vertical="center"/>
    </xf>
    <xf numFmtId="0" fontId="31" fillId="6" borderId="53" xfId="3" applyFont="1" applyFill="1" applyBorder="1" applyAlignment="1">
      <alignment horizontal="center" vertical="center"/>
    </xf>
    <xf numFmtId="169" fontId="31" fillId="6" borderId="53" xfId="3" applyNumberFormat="1" applyFont="1" applyFill="1" applyBorder="1" applyAlignment="1">
      <alignment horizontal="center" vertical="center" wrapText="1"/>
    </xf>
    <xf numFmtId="0" fontId="31" fillId="6" borderId="54" xfId="3" applyFont="1" applyFill="1" applyBorder="1" applyAlignment="1">
      <alignment horizontal="center" vertical="center" wrapText="1"/>
    </xf>
    <xf numFmtId="9" fontId="31" fillId="6" borderId="52" xfId="1" applyFont="1" applyFill="1" applyBorder="1" applyAlignment="1">
      <alignment horizontal="center" vertical="center" wrapText="1"/>
    </xf>
    <xf numFmtId="10" fontId="31" fillId="6" borderId="53" xfId="1" applyNumberFormat="1" applyFont="1" applyFill="1" applyBorder="1" applyAlignment="1">
      <alignment horizontal="center" vertical="center" wrapText="1"/>
    </xf>
    <xf numFmtId="0" fontId="31" fillId="6" borderId="55" xfId="3" applyFont="1" applyFill="1" applyBorder="1" applyAlignment="1">
      <alignment horizontal="center" vertical="center" wrapText="1"/>
    </xf>
    <xf numFmtId="37" fontId="30" fillId="6" borderId="52" xfId="3" applyNumberFormat="1" applyFont="1" applyFill="1" applyBorder="1" applyAlignment="1">
      <alignment horizontal="center" vertical="center"/>
    </xf>
    <xf numFmtId="37" fontId="30" fillId="6" borderId="53" xfId="3" applyNumberFormat="1" applyFont="1" applyFill="1" applyBorder="1" applyAlignment="1">
      <alignment horizontal="center" vertical="center"/>
    </xf>
    <xf numFmtId="40" fontId="30" fillId="6" borderId="53" xfId="4" applyNumberFormat="1" applyFont="1" applyFill="1" applyBorder="1" applyAlignment="1">
      <alignment horizontal="center" vertical="center"/>
    </xf>
    <xf numFmtId="165" fontId="30" fillId="6" borderId="53" xfId="4" applyFont="1" applyFill="1" applyBorder="1" applyAlignment="1">
      <alignment horizontal="right" vertical="center"/>
    </xf>
    <xf numFmtId="40" fontId="30" fillId="6" borderId="53" xfId="4" applyNumberFormat="1" applyFont="1" applyFill="1" applyBorder="1" applyAlignment="1">
      <alignment horizontal="center" vertical="center" wrapText="1"/>
    </xf>
    <xf numFmtId="10" fontId="30" fillId="6" borderId="53" xfId="5" applyNumberFormat="1" applyFont="1" applyFill="1" applyBorder="1" applyAlignment="1">
      <alignment horizontal="center" vertical="center" wrapText="1"/>
    </xf>
    <xf numFmtId="165" fontId="30" fillId="6" borderId="53" xfId="4" applyFont="1" applyFill="1" applyBorder="1" applyAlignment="1">
      <alignment horizontal="center" vertical="center" wrapText="1"/>
    </xf>
    <xf numFmtId="165" fontId="30" fillId="6" borderId="55" xfId="4" applyFont="1" applyFill="1" applyBorder="1" applyAlignment="1">
      <alignment horizontal="center" vertical="center" wrapText="1"/>
    </xf>
    <xf numFmtId="10" fontId="30" fillId="6" borderId="47" xfId="5" applyNumberFormat="1" applyFont="1" applyFill="1" applyBorder="1" applyAlignment="1">
      <alignment horizontal="center" vertical="center" wrapText="1"/>
    </xf>
    <xf numFmtId="10" fontId="30" fillId="6" borderId="81" xfId="5" applyNumberFormat="1" applyFont="1" applyFill="1" applyBorder="1" applyAlignment="1">
      <alignment horizontal="center" vertical="center" wrapText="1"/>
    </xf>
    <xf numFmtId="165" fontId="30" fillId="6" borderId="47" xfId="4" applyFont="1" applyFill="1" applyBorder="1" applyAlignment="1">
      <alignment horizontal="center" vertical="center" wrapText="1"/>
    </xf>
    <xf numFmtId="165" fontId="30" fillId="6" borderId="48" xfId="4" applyFont="1" applyFill="1" applyBorder="1" applyAlignment="1">
      <alignment horizontal="center" vertical="center" wrapText="1"/>
    </xf>
    <xf numFmtId="37" fontId="30" fillId="6" borderId="3" xfId="3" applyNumberFormat="1" applyFont="1" applyFill="1" applyBorder="1" applyAlignment="1">
      <alignment horizontal="center" vertical="center"/>
    </xf>
    <xf numFmtId="40" fontId="30" fillId="6" borderId="49" xfId="4" applyNumberFormat="1" applyFont="1" applyFill="1" applyBorder="1" applyAlignment="1">
      <alignment horizontal="center" vertical="center"/>
    </xf>
    <xf numFmtId="49" fontId="31" fillId="0" borderId="45" xfId="0" applyNumberFormat="1" applyFont="1" applyBorder="1" applyAlignment="1">
      <alignment horizontal="center" vertical="center" wrapText="1"/>
    </xf>
    <xf numFmtId="0" fontId="33" fillId="0" borderId="46" xfId="0" applyFont="1" applyBorder="1" applyAlignment="1">
      <alignment horizontal="left" vertical="center" wrapText="1"/>
    </xf>
    <xf numFmtId="0" fontId="31" fillId="11" borderId="54" xfId="0" applyFont="1" applyFill="1" applyBorder="1" applyAlignment="1">
      <alignment horizontal="center" vertical="center"/>
    </xf>
    <xf numFmtId="0" fontId="31" fillId="11" borderId="53" xfId="0" applyFont="1" applyFill="1" applyBorder="1" applyAlignment="1">
      <alignment horizontal="center" vertical="center"/>
    </xf>
    <xf numFmtId="0" fontId="31" fillId="11" borderId="64" xfId="0" applyFont="1" applyFill="1" applyBorder="1" applyAlignment="1">
      <alignment horizontal="center" vertical="center"/>
    </xf>
    <xf numFmtId="0" fontId="28" fillId="11" borderId="10" xfId="0" applyFont="1" applyFill="1" applyBorder="1" applyAlignment="1">
      <alignment horizontal="center" vertical="center"/>
    </xf>
    <xf numFmtId="0" fontId="28" fillId="11" borderId="7" xfId="0" applyFont="1" applyFill="1" applyBorder="1" applyAlignment="1">
      <alignment horizontal="center" vertical="center"/>
    </xf>
    <xf numFmtId="0" fontId="33" fillId="17" borderId="50" xfId="0" applyFont="1" applyFill="1" applyBorder="1" applyAlignment="1">
      <alignment horizontal="left" vertical="center" wrapText="1"/>
    </xf>
    <xf numFmtId="0" fontId="33" fillId="0" borderId="65" xfId="0" applyFont="1" applyBorder="1" applyAlignment="1">
      <alignment horizontal="left" vertical="center" wrapText="1"/>
    </xf>
    <xf numFmtId="0" fontId="33" fillId="0" borderId="65" xfId="0" applyFont="1" applyBorder="1" applyAlignment="1">
      <alignment vertical="center"/>
    </xf>
    <xf numFmtId="44" fontId="33" fillId="0" borderId="65" xfId="8" applyFont="1" applyBorder="1" applyAlignment="1">
      <alignment vertical="center"/>
    </xf>
    <xf numFmtId="44" fontId="33" fillId="0" borderId="51" xfId="8" applyFont="1" applyBorder="1" applyAlignment="1">
      <alignment vertical="center"/>
    </xf>
    <xf numFmtId="1" fontId="33" fillId="14" borderId="66" xfId="0" applyNumberFormat="1" applyFont="1" applyFill="1" applyBorder="1" applyAlignment="1">
      <alignment vertical="center"/>
    </xf>
    <xf numFmtId="1" fontId="33" fillId="14" borderId="71" xfId="0" applyNumberFormat="1" applyFont="1" applyFill="1" applyBorder="1" applyAlignment="1">
      <alignment vertical="center"/>
    </xf>
    <xf numFmtId="44" fontId="33" fillId="14" borderId="71" xfId="8" applyFont="1" applyFill="1" applyBorder="1" applyAlignment="1">
      <alignment vertical="center"/>
    </xf>
    <xf numFmtId="44" fontId="33" fillId="16" borderId="71" xfId="8" applyFont="1" applyFill="1" applyBorder="1" applyAlignment="1">
      <alignment vertical="center"/>
    </xf>
    <xf numFmtId="9" fontId="33" fillId="15" borderId="71" xfId="1" applyFont="1" applyFill="1" applyBorder="1" applyAlignment="1">
      <alignment vertical="center"/>
    </xf>
    <xf numFmtId="44" fontId="33" fillId="15" borderId="71" xfId="8" applyFont="1" applyFill="1" applyBorder="1" applyAlignment="1">
      <alignment vertical="center"/>
    </xf>
    <xf numFmtId="44" fontId="33" fillId="15" borderId="51" xfId="8" applyFont="1" applyFill="1" applyBorder="1" applyAlignment="1">
      <alignment vertical="center"/>
    </xf>
    <xf numFmtId="10" fontId="33" fillId="16" borderId="10" xfId="0" applyNumberFormat="1" applyFont="1" applyFill="1" applyBorder="1" applyAlignment="1">
      <alignment horizontal="center" vertical="center"/>
    </xf>
    <xf numFmtId="10" fontId="33" fillId="16" borderId="7" xfId="0" applyNumberFormat="1" applyFont="1" applyFill="1" applyBorder="1" applyAlignment="1">
      <alignment horizontal="center" vertical="center"/>
    </xf>
    <xf numFmtId="0" fontId="33" fillId="17" borderId="58" xfId="0" applyFont="1" applyFill="1" applyBorder="1" applyAlignment="1">
      <alignment horizontal="left" vertical="center" wrapText="1"/>
    </xf>
    <xf numFmtId="0" fontId="33" fillId="0" borderId="57" xfId="0" applyFont="1" applyBorder="1" applyAlignment="1">
      <alignment horizontal="left" vertical="center" wrapText="1"/>
    </xf>
    <xf numFmtId="0" fontId="33" fillId="0" borderId="57" xfId="0" applyFont="1" applyBorder="1" applyAlignment="1">
      <alignment vertical="center"/>
    </xf>
    <xf numFmtId="44" fontId="33" fillId="0" borderId="57" xfId="8" applyFont="1" applyBorder="1" applyAlignment="1">
      <alignment vertical="center"/>
    </xf>
    <xf numFmtId="44" fontId="33" fillId="0" borderId="59" xfId="8" applyFont="1" applyBorder="1" applyAlignment="1">
      <alignment vertical="center"/>
    </xf>
    <xf numFmtId="1" fontId="33" fillId="14" borderId="73" xfId="0" applyNumberFormat="1" applyFont="1" applyFill="1" applyBorder="1" applyAlignment="1">
      <alignment vertical="center"/>
    </xf>
    <xf numFmtId="1" fontId="33" fillId="14" borderId="7" xfId="0" applyNumberFormat="1" applyFont="1" applyFill="1" applyBorder="1" applyAlignment="1">
      <alignment vertical="center"/>
    </xf>
    <xf numFmtId="44" fontId="33" fillId="14" borderId="7" xfId="8" applyFont="1" applyFill="1" applyBorder="1" applyAlignment="1">
      <alignment vertical="center"/>
    </xf>
    <xf numFmtId="44" fontId="33" fillId="16" borderId="7" xfId="8" applyFont="1" applyFill="1" applyBorder="1" applyAlignment="1">
      <alignment vertical="center"/>
    </xf>
    <xf numFmtId="9" fontId="33" fillId="15" borderId="7" xfId="1" applyFont="1" applyFill="1" applyBorder="1" applyAlignment="1">
      <alignment vertical="center"/>
    </xf>
    <xf numFmtId="44" fontId="33" fillId="15" borderId="7" xfId="8" applyFont="1" applyFill="1" applyBorder="1" applyAlignment="1">
      <alignment vertical="center"/>
    </xf>
    <xf numFmtId="44" fontId="33" fillId="15" borderId="59" xfId="8" applyFont="1" applyFill="1" applyBorder="1" applyAlignment="1">
      <alignment vertical="center"/>
    </xf>
    <xf numFmtId="170" fontId="34" fillId="10" borderId="0" xfId="0" applyNumberFormat="1" applyFont="1" applyFill="1" applyAlignment="1">
      <alignment horizontal="right"/>
    </xf>
    <xf numFmtId="170" fontId="34" fillId="10" borderId="18" xfId="0" applyNumberFormat="1" applyFont="1" applyFill="1" applyBorder="1" applyAlignment="1">
      <alignment horizontal="right"/>
    </xf>
    <xf numFmtId="44" fontId="34" fillId="10" borderId="0" xfId="0" applyNumberFormat="1" applyFont="1" applyFill="1" applyAlignment="1">
      <alignment horizontal="right"/>
    </xf>
    <xf numFmtId="44" fontId="31" fillId="16" borderId="0" xfId="0" applyNumberFormat="1" applyFont="1" applyFill="1"/>
    <xf numFmtId="0" fontId="26" fillId="15" borderId="0" xfId="0" applyFont="1" applyFill="1"/>
    <xf numFmtId="44" fontId="31" fillId="15" borderId="0" xfId="0" applyNumberFormat="1" applyFont="1" applyFill="1"/>
    <xf numFmtId="44" fontId="31" fillId="15" borderId="18" xfId="8" applyFont="1" applyFill="1" applyBorder="1"/>
    <xf numFmtId="0" fontId="31" fillId="11" borderId="77" xfId="0" applyFont="1" applyFill="1" applyBorder="1" applyAlignment="1">
      <alignment horizontal="center" vertical="center"/>
    </xf>
    <xf numFmtId="0" fontId="33" fillId="17" borderId="50" xfId="2" applyFont="1" applyFill="1" applyBorder="1" applyAlignment="1">
      <alignment horizontal="left" vertical="center" wrapText="1"/>
    </xf>
    <xf numFmtId="0" fontId="33" fillId="0" borderId="65" xfId="2" applyFont="1" applyBorder="1" applyAlignment="1">
      <alignment horizontal="left" vertical="center" wrapText="1"/>
    </xf>
    <xf numFmtId="0" fontId="33" fillId="0" borderId="57" xfId="0" applyFont="1" applyBorder="1" applyAlignment="1">
      <alignment horizontal="center" vertical="center"/>
    </xf>
    <xf numFmtId="1" fontId="33" fillId="14" borderId="58" xfId="0" applyNumberFormat="1" applyFont="1" applyFill="1" applyBorder="1" applyAlignment="1">
      <alignment vertical="center"/>
    </xf>
    <xf numFmtId="1" fontId="33" fillId="14" borderId="57" xfId="0" applyNumberFormat="1" applyFont="1" applyFill="1" applyBorder="1" applyAlignment="1">
      <alignment vertical="center"/>
    </xf>
    <xf numFmtId="44" fontId="33" fillId="14" borderId="57" xfId="8" applyFont="1" applyFill="1" applyBorder="1" applyAlignment="1">
      <alignment vertical="center"/>
    </xf>
    <xf numFmtId="44" fontId="33" fillId="16" borderId="57" xfId="8" applyFont="1" applyFill="1" applyBorder="1" applyAlignment="1">
      <alignment vertical="center"/>
    </xf>
    <xf numFmtId="9" fontId="33" fillId="15" borderId="57" xfId="1" applyFont="1" applyFill="1" applyBorder="1" applyAlignment="1">
      <alignment vertical="center"/>
    </xf>
    <xf numFmtId="44" fontId="33" fillId="15" borderId="57" xfId="8" applyFont="1" applyFill="1" applyBorder="1" applyAlignment="1">
      <alignment vertical="center"/>
    </xf>
    <xf numFmtId="0" fontId="33" fillId="0" borderId="79" xfId="0" applyFont="1" applyBorder="1" applyAlignment="1">
      <alignment horizontal="center" vertical="center"/>
    </xf>
    <xf numFmtId="44" fontId="33" fillId="0" borderId="79" xfId="8" applyFont="1" applyBorder="1" applyAlignment="1">
      <alignment vertical="center"/>
    </xf>
    <xf numFmtId="44" fontId="33" fillId="0" borderId="57" xfId="8" applyFont="1" applyFill="1" applyBorder="1" applyAlignment="1">
      <alignment vertical="center"/>
    </xf>
    <xf numFmtId="10" fontId="33" fillId="16" borderId="33" xfId="0" applyNumberFormat="1" applyFont="1" applyFill="1" applyBorder="1" applyAlignment="1">
      <alignment horizontal="center" vertical="center"/>
    </xf>
    <xf numFmtId="10" fontId="33" fillId="16" borderId="71" xfId="0" applyNumberFormat="1" applyFont="1" applyFill="1" applyBorder="1" applyAlignment="1">
      <alignment horizontal="center" vertical="center"/>
    </xf>
    <xf numFmtId="0" fontId="33" fillId="0" borderId="45" xfId="0" applyFont="1" applyBorder="1" applyAlignment="1">
      <alignment horizontal="left" vertical="center" wrapText="1"/>
    </xf>
    <xf numFmtId="44" fontId="34" fillId="9" borderId="0" xfId="0" applyNumberFormat="1" applyFont="1" applyFill="1" applyAlignment="1">
      <alignment horizontal="right"/>
    </xf>
    <xf numFmtId="44" fontId="34" fillId="9" borderId="18" xfId="0" applyNumberFormat="1" applyFont="1" applyFill="1" applyBorder="1" applyAlignment="1">
      <alignment horizontal="right"/>
    </xf>
    <xf numFmtId="44" fontId="34" fillId="9" borderId="65" xfId="0" applyNumberFormat="1" applyFont="1" applyFill="1" applyBorder="1" applyAlignment="1">
      <alignment horizontal="right"/>
    </xf>
    <xf numFmtId="44" fontId="31" fillId="16" borderId="65" xfId="0" applyNumberFormat="1" applyFont="1" applyFill="1" applyBorder="1"/>
    <xf numFmtId="0" fontId="26" fillId="15" borderId="65" xfId="0" applyFont="1" applyFill="1" applyBorder="1"/>
    <xf numFmtId="44" fontId="31" fillId="15" borderId="65" xfId="0" applyNumberFormat="1" applyFont="1" applyFill="1" applyBorder="1"/>
    <xf numFmtId="44" fontId="31" fillId="15" borderId="71" xfId="8" applyFont="1" applyFill="1" applyBorder="1"/>
    <xf numFmtId="44" fontId="34" fillId="13" borderId="11" xfId="8" applyFont="1" applyFill="1" applyBorder="1" applyAlignment="1">
      <alignment horizontal="center"/>
    </xf>
    <xf numFmtId="44" fontId="34" fillId="13" borderId="82" xfId="8" applyFont="1" applyFill="1" applyBorder="1" applyAlignment="1">
      <alignment horizontal="center"/>
    </xf>
    <xf numFmtId="0" fontId="33" fillId="0" borderId="70" xfId="0" applyFont="1" applyBorder="1" applyAlignment="1">
      <alignment horizontal="left" vertical="center" wrapText="1"/>
    </xf>
    <xf numFmtId="0" fontId="33" fillId="0" borderId="69" xfId="0" applyFont="1" applyBorder="1" applyAlignment="1">
      <alignment horizontal="left" vertical="center" wrapText="1"/>
    </xf>
    <xf numFmtId="0" fontId="34" fillId="13" borderId="6" xfId="0" applyFont="1" applyFill="1" applyBorder="1"/>
    <xf numFmtId="0" fontId="34" fillId="13" borderId="37" xfId="0" applyFont="1" applyFill="1" applyBorder="1"/>
    <xf numFmtId="44" fontId="34" fillId="13" borderId="37" xfId="0" applyNumberFormat="1" applyFont="1" applyFill="1" applyBorder="1"/>
    <xf numFmtId="44" fontId="34" fillId="13" borderId="80" xfId="0" applyNumberFormat="1" applyFont="1" applyFill="1" applyBorder="1"/>
    <xf numFmtId="9" fontId="34" fillId="13" borderId="14" xfId="1" applyFont="1" applyFill="1" applyBorder="1"/>
    <xf numFmtId="44" fontId="34" fillId="13" borderId="15" xfId="8" applyFont="1" applyFill="1" applyBorder="1"/>
    <xf numFmtId="49" fontId="27" fillId="0" borderId="0" xfId="2" applyNumberFormat="1" applyFont="1" applyAlignment="1">
      <alignment horizontal="left" vertical="center" wrapText="1"/>
    </xf>
    <xf numFmtId="0" fontId="28" fillId="0" borderId="0" xfId="0" applyFont="1"/>
    <xf numFmtId="49" fontId="28" fillId="0" borderId="0" xfId="0" applyNumberFormat="1" applyFont="1"/>
    <xf numFmtId="49" fontId="31" fillId="5" borderId="0" xfId="0" applyNumberFormat="1" applyFont="1" applyFill="1"/>
    <xf numFmtId="49" fontId="31" fillId="0" borderId="45" xfId="0" applyNumberFormat="1" applyFont="1" applyBorder="1" applyAlignment="1">
      <alignment horizontal="left" vertical="center"/>
    </xf>
    <xf numFmtId="49" fontId="31" fillId="0" borderId="45" xfId="0" applyNumberFormat="1" applyFont="1" applyBorder="1" applyAlignment="1">
      <alignment horizontal="left" vertical="center" wrapText="1"/>
    </xf>
    <xf numFmtId="44" fontId="34" fillId="10" borderId="65" xfId="0" applyNumberFormat="1" applyFont="1" applyFill="1" applyBorder="1" applyAlignment="1">
      <alignment horizontal="right"/>
    </xf>
    <xf numFmtId="44" fontId="31" fillId="15" borderId="51" xfId="8" applyFont="1" applyFill="1" applyBorder="1"/>
    <xf numFmtId="0" fontId="33" fillId="12" borderId="65" xfId="2" applyFont="1" applyFill="1" applyBorder="1" applyAlignment="1">
      <alignment horizontal="left" vertical="center" wrapText="1"/>
    </xf>
    <xf numFmtId="49" fontId="31" fillId="0" borderId="70" xfId="0" applyNumberFormat="1" applyFont="1" applyBorder="1" applyAlignment="1">
      <alignment horizontal="left" vertical="center" wrapText="1"/>
    </xf>
    <xf numFmtId="0" fontId="33" fillId="17" borderId="58" xfId="2" applyFont="1" applyFill="1" applyBorder="1" applyAlignment="1">
      <alignment horizontal="left" vertical="center" wrapText="1"/>
    </xf>
    <xf numFmtId="0" fontId="33" fillId="12" borderId="57" xfId="2" applyFont="1" applyFill="1" applyBorder="1" applyAlignment="1">
      <alignment horizontal="left" vertical="center" wrapText="1"/>
    </xf>
    <xf numFmtId="44" fontId="34" fillId="9" borderId="15" xfId="0" applyNumberFormat="1" applyFont="1" applyFill="1" applyBorder="1" applyAlignment="1">
      <alignment horizontal="right"/>
    </xf>
    <xf numFmtId="44" fontId="34" fillId="9" borderId="16" xfId="0" applyNumberFormat="1" applyFont="1" applyFill="1" applyBorder="1" applyAlignment="1">
      <alignment horizontal="right"/>
    </xf>
    <xf numFmtId="44" fontId="34" fillId="9" borderId="72" xfId="0" applyNumberFormat="1" applyFont="1" applyFill="1" applyBorder="1" applyAlignment="1">
      <alignment horizontal="right"/>
    </xf>
    <xf numFmtId="44" fontId="31" fillId="16" borderId="72" xfId="0" applyNumberFormat="1" applyFont="1" applyFill="1" applyBorder="1"/>
    <xf numFmtId="0" fontId="26" fillId="15" borderId="72" xfId="0" applyFont="1" applyFill="1" applyBorder="1"/>
    <xf numFmtId="44" fontId="31" fillId="15" borderId="72" xfId="0" applyNumberFormat="1" applyFont="1" applyFill="1" applyBorder="1"/>
    <xf numFmtId="44" fontId="31" fillId="15" borderId="75" xfId="8" applyFont="1" applyFill="1" applyBorder="1"/>
    <xf numFmtId="0" fontId="31" fillId="0" borderId="69" xfId="0" applyFont="1" applyBorder="1" applyAlignment="1">
      <alignment horizontal="left" vertical="center" wrapText="1"/>
    </xf>
    <xf numFmtId="44" fontId="31" fillId="15" borderId="0" xfId="8" applyFont="1" applyFill="1" applyBorder="1"/>
    <xf numFmtId="44" fontId="34" fillId="13" borderId="12" xfId="8" applyFont="1" applyFill="1" applyBorder="1" applyAlignment="1">
      <alignment horizontal="center"/>
    </xf>
    <xf numFmtId="44" fontId="34" fillId="13" borderId="76" xfId="8" applyFont="1" applyFill="1" applyBorder="1"/>
    <xf numFmtId="44" fontId="34" fillId="13" borderId="76" xfId="0" applyNumberFormat="1" applyFont="1" applyFill="1" applyBorder="1"/>
    <xf numFmtId="0" fontId="33" fillId="0" borderId="50" xfId="0" applyFont="1" applyBorder="1" applyAlignment="1">
      <alignment horizontal="left" vertical="center" wrapText="1"/>
    </xf>
    <xf numFmtId="0" fontId="33" fillId="0" borderId="65" xfId="0" applyFont="1" applyBorder="1" applyAlignment="1">
      <alignment horizontal="center" vertical="center"/>
    </xf>
    <xf numFmtId="10" fontId="33" fillId="16" borderId="57" xfId="0" applyNumberFormat="1" applyFont="1" applyFill="1" applyBorder="1" applyAlignment="1">
      <alignment horizontal="center" vertical="center"/>
    </xf>
    <xf numFmtId="0" fontId="33" fillId="0" borderId="58" xfId="0" applyFont="1" applyBorder="1" applyAlignment="1">
      <alignment horizontal="left" vertical="center" wrapText="1"/>
    </xf>
    <xf numFmtId="170" fontId="34" fillId="10" borderId="15" xfId="0" applyNumberFormat="1" applyFont="1" applyFill="1" applyBorder="1" applyAlignment="1">
      <alignment horizontal="right"/>
    </xf>
    <xf numFmtId="170" fontId="34" fillId="10" borderId="78" xfId="0" applyNumberFormat="1" applyFont="1" applyFill="1" applyBorder="1" applyAlignment="1">
      <alignment horizontal="right"/>
    </xf>
    <xf numFmtId="44" fontId="34" fillId="10" borderId="15" xfId="0" applyNumberFormat="1" applyFont="1" applyFill="1" applyBorder="1" applyAlignment="1">
      <alignment horizontal="right"/>
    </xf>
    <xf numFmtId="44" fontId="31" fillId="16" borderId="15" xfId="0" applyNumberFormat="1" applyFont="1" applyFill="1" applyBorder="1"/>
    <xf numFmtId="0" fontId="26" fillId="15" borderId="15" xfId="0" applyFont="1" applyFill="1" applyBorder="1"/>
    <xf numFmtId="44" fontId="31" fillId="15" borderId="15" xfId="0" applyNumberFormat="1" applyFont="1" applyFill="1" applyBorder="1"/>
    <xf numFmtId="44" fontId="31" fillId="15" borderId="78" xfId="8" applyFont="1" applyFill="1" applyBorder="1"/>
    <xf numFmtId="0" fontId="33" fillId="18" borderId="50" xfId="0" applyFont="1" applyFill="1" applyBorder="1" applyAlignment="1">
      <alignment horizontal="left" vertical="center" wrapText="1"/>
    </xf>
    <xf numFmtId="0" fontId="33" fillId="12" borderId="65" xfId="0" applyFont="1" applyFill="1" applyBorder="1" applyAlignment="1">
      <alignment vertical="center"/>
    </xf>
    <xf numFmtId="0" fontId="33" fillId="18" borderId="58" xfId="0" applyFont="1" applyFill="1" applyBorder="1" applyAlignment="1">
      <alignment horizontal="left" vertical="center" wrapText="1"/>
    </xf>
    <xf numFmtId="0" fontId="16" fillId="12" borderId="0" xfId="0" applyFont="1" applyFill="1"/>
    <xf numFmtId="0" fontId="20" fillId="0" borderId="0" xfId="0" applyFont="1"/>
    <xf numFmtId="0" fontId="20" fillId="0" borderId="57" xfId="0" applyFont="1" applyBorder="1"/>
    <xf numFmtId="166" fontId="18" fillId="6" borderId="57" xfId="4" applyNumberFormat="1" applyFont="1" applyFill="1" applyBorder="1" applyAlignment="1">
      <alignment horizontal="center" vertical="center" wrapText="1"/>
    </xf>
    <xf numFmtId="166" fontId="19" fillId="6" borderId="57" xfId="4" applyNumberFormat="1" applyFont="1" applyFill="1" applyBorder="1" applyAlignment="1">
      <alignment horizontal="center" vertical="center" wrapText="1"/>
    </xf>
    <xf numFmtId="44" fontId="18" fillId="12" borderId="57" xfId="0" applyNumberFormat="1" applyFont="1" applyFill="1" applyBorder="1" applyAlignment="1">
      <alignment horizontal="center" vertical="center"/>
    </xf>
    <xf numFmtId="44" fontId="35" fillId="12" borderId="57" xfId="8" applyFont="1" applyFill="1" applyBorder="1"/>
    <xf numFmtId="0" fontId="36" fillId="0" borderId="57" xfId="0" applyFont="1" applyBorder="1" applyAlignment="1">
      <alignment horizontal="center"/>
    </xf>
    <xf numFmtId="0" fontId="37" fillId="0" borderId="57" xfId="0" applyFont="1" applyBorder="1" applyAlignment="1">
      <alignment horizontal="center"/>
    </xf>
    <xf numFmtId="0" fontId="20" fillId="12" borderId="0" xfId="0" applyFont="1" applyFill="1"/>
    <xf numFmtId="0" fontId="20" fillId="12" borderId="57" xfId="0" applyFont="1" applyFill="1" applyBorder="1"/>
    <xf numFmtId="44" fontId="18" fillId="12" borderId="57" xfId="8" applyFont="1" applyFill="1" applyBorder="1" applyAlignment="1">
      <alignment horizontal="center" vertical="center"/>
    </xf>
    <xf numFmtId="44" fontId="20" fillId="12" borderId="0" xfId="0" applyNumberFormat="1" applyFont="1" applyFill="1"/>
    <xf numFmtId="0" fontId="39" fillId="12" borderId="57" xfId="0" applyFont="1" applyFill="1" applyBorder="1"/>
    <xf numFmtId="166" fontId="40" fillId="12" borderId="57" xfId="4" applyNumberFormat="1" applyFont="1" applyFill="1" applyBorder="1" applyAlignment="1">
      <alignment horizontal="center" vertical="center" wrapText="1"/>
    </xf>
    <xf numFmtId="166" fontId="41" fillId="12" borderId="57" xfId="4" applyNumberFormat="1" applyFont="1" applyFill="1" applyBorder="1" applyAlignment="1">
      <alignment horizontal="center" vertical="center" wrapText="1"/>
    </xf>
    <xf numFmtId="44" fontId="40" fillId="12" borderId="57" xfId="0" applyNumberFormat="1" applyFont="1" applyFill="1" applyBorder="1" applyAlignment="1">
      <alignment horizontal="center" vertical="center"/>
    </xf>
    <xf numFmtId="44" fontId="42" fillId="12" borderId="57" xfId="8" applyFont="1" applyFill="1" applyBorder="1"/>
    <xf numFmtId="0" fontId="39" fillId="12" borderId="0" xfId="0" applyFont="1" applyFill="1"/>
    <xf numFmtId="44" fontId="43" fillId="0" borderId="57" xfId="8" applyFont="1" applyBorder="1"/>
    <xf numFmtId="0" fontId="43" fillId="0" borderId="57" xfId="0" applyFont="1" applyBorder="1" applyAlignment="1">
      <alignment horizontal="center"/>
    </xf>
    <xf numFmtId="44" fontId="44" fillId="0" borderId="57" xfId="8" applyFont="1" applyBorder="1"/>
    <xf numFmtId="0" fontId="44" fillId="0" borderId="57" xfId="0" applyFont="1" applyBorder="1" applyAlignment="1">
      <alignment horizontal="center"/>
    </xf>
    <xf numFmtId="9" fontId="44" fillId="0" borderId="57" xfId="1" applyFont="1" applyBorder="1" applyAlignment="1">
      <alignment horizontal="center"/>
    </xf>
    <xf numFmtId="0" fontId="26" fillId="0" borderId="0" xfId="0" applyFont="1" applyAlignment="1">
      <alignment horizontal="center" wrapText="1"/>
    </xf>
    <xf numFmtId="44" fontId="37" fillId="0" borderId="57" xfId="8" applyFont="1" applyBorder="1"/>
    <xf numFmtId="9" fontId="37" fillId="0" borderId="57" xfId="1" applyFont="1" applyBorder="1" applyAlignment="1">
      <alignment horizontal="center"/>
    </xf>
    <xf numFmtId="44" fontId="36" fillId="0" borderId="57" xfId="8" applyFont="1" applyBorder="1"/>
    <xf numFmtId="0" fontId="26" fillId="23" borderId="57" xfId="0" applyFont="1" applyFill="1" applyBorder="1" applyAlignment="1">
      <alignment horizontal="center" wrapText="1"/>
    </xf>
    <xf numFmtId="44" fontId="21" fillId="0" borderId="77" xfId="0" applyNumberFormat="1" applyFont="1" applyBorder="1" applyAlignment="1">
      <alignment horizontal="center" vertical="center"/>
    </xf>
    <xf numFmtId="0" fontId="21" fillId="0" borderId="78" xfId="0" applyFont="1" applyBorder="1" applyAlignment="1">
      <alignment horizontal="center" vertical="center"/>
    </xf>
    <xf numFmtId="0" fontId="34" fillId="9" borderId="66" xfId="0" applyFont="1" applyFill="1" applyBorder="1" applyAlignment="1">
      <alignment horizontal="left"/>
    </xf>
    <xf numFmtId="0" fontId="34" fillId="9" borderId="8" xfId="0" applyFont="1" applyFill="1" applyBorder="1" applyAlignment="1">
      <alignment horizontal="left"/>
    </xf>
    <xf numFmtId="0" fontId="34" fillId="9" borderId="50" xfId="0" applyFont="1" applyFill="1" applyBorder="1" applyAlignment="1">
      <alignment horizontal="left"/>
    </xf>
    <xf numFmtId="0" fontId="34" fillId="9" borderId="65" xfId="0" applyFont="1" applyFill="1" applyBorder="1" applyAlignment="1">
      <alignment horizontal="left"/>
    </xf>
    <xf numFmtId="0" fontId="34" fillId="9" borderId="11" xfId="0" applyFont="1" applyFill="1" applyBorder="1" applyAlignment="1">
      <alignment horizontal="center"/>
    </xf>
    <xf numFmtId="0" fontId="34" fillId="9" borderId="12" xfId="0" applyFont="1" applyFill="1" applyBorder="1" applyAlignment="1">
      <alignment horizontal="center"/>
    </xf>
    <xf numFmtId="0" fontId="34" fillId="9" borderId="77" xfId="0" applyFont="1" applyFill="1" applyBorder="1" applyAlignment="1">
      <alignment horizontal="center"/>
    </xf>
    <xf numFmtId="0" fontId="34" fillId="9" borderId="52" xfId="0" applyFont="1" applyFill="1" applyBorder="1" applyAlignment="1">
      <alignment horizontal="center"/>
    </xf>
    <xf numFmtId="0" fontId="34" fillId="9" borderId="53" xfId="0" applyFont="1" applyFill="1" applyBorder="1" applyAlignment="1">
      <alignment horizontal="center"/>
    </xf>
    <xf numFmtId="0" fontId="34" fillId="9" borderId="55" xfId="0" applyFont="1" applyFill="1" applyBorder="1" applyAlignment="1">
      <alignment horizontal="center"/>
    </xf>
    <xf numFmtId="0" fontId="34" fillId="10" borderId="11" xfId="0" applyFont="1" applyFill="1" applyBorder="1" applyAlignment="1">
      <alignment horizontal="left"/>
    </xf>
    <xf numFmtId="0" fontId="34" fillId="10" borderId="12" xfId="0" applyFont="1" applyFill="1" applyBorder="1" applyAlignment="1">
      <alignment horizontal="left"/>
    </xf>
    <xf numFmtId="0" fontId="34" fillId="10" borderId="56" xfId="0" applyFont="1" applyFill="1" applyBorder="1" applyAlignment="1">
      <alignment horizontal="left"/>
    </xf>
    <xf numFmtId="0" fontId="34" fillId="10" borderId="62" xfId="0" applyFont="1" applyFill="1" applyBorder="1" applyAlignment="1">
      <alignment horizontal="left"/>
    </xf>
    <xf numFmtId="0" fontId="34" fillId="10" borderId="61" xfId="0" applyFont="1" applyFill="1" applyBorder="1" applyAlignment="1">
      <alignment horizontal="left"/>
    </xf>
    <xf numFmtId="0" fontId="34" fillId="10" borderId="63" xfId="0" applyFont="1" applyFill="1" applyBorder="1" applyAlignment="1">
      <alignment horizontal="left"/>
    </xf>
    <xf numFmtId="166" fontId="30" fillId="4" borderId="17" xfId="4" applyNumberFormat="1" applyFont="1" applyFill="1" applyBorder="1" applyAlignment="1">
      <alignment horizontal="center" vertical="center" wrapText="1"/>
    </xf>
    <xf numFmtId="166" fontId="30" fillId="4" borderId="0" xfId="4" applyNumberFormat="1" applyFont="1" applyFill="1" applyBorder="1" applyAlignment="1">
      <alignment horizontal="center" vertical="center" wrapText="1"/>
    </xf>
    <xf numFmtId="0" fontId="34" fillId="10" borderId="66" xfId="0" applyFont="1" applyFill="1" applyBorder="1" applyAlignment="1">
      <alignment horizontal="left"/>
    </xf>
    <xf numFmtId="0" fontId="34" fillId="10" borderId="8" xfId="0" applyFont="1" applyFill="1" applyBorder="1" applyAlignment="1">
      <alignment horizontal="left"/>
    </xf>
    <xf numFmtId="166" fontId="17" fillId="0" borderId="57" xfId="4" applyNumberFormat="1" applyFont="1" applyBorder="1" applyAlignment="1">
      <alignment horizontal="center" vertical="center" wrapText="1"/>
    </xf>
    <xf numFmtId="0" fontId="34" fillId="9" borderId="64" xfId="0" applyFont="1" applyFill="1" applyBorder="1" applyAlignment="1">
      <alignment horizontal="center"/>
    </xf>
    <xf numFmtId="0" fontId="34" fillId="10" borderId="52" xfId="0" applyFont="1" applyFill="1" applyBorder="1" applyAlignment="1">
      <alignment horizontal="left"/>
    </xf>
    <xf numFmtId="0" fontId="34" fillId="10" borderId="53" xfId="0" applyFont="1" applyFill="1" applyBorder="1" applyAlignment="1">
      <alignment horizontal="left"/>
    </xf>
    <xf numFmtId="0" fontId="34" fillId="10" borderId="55" xfId="0" applyFont="1" applyFill="1" applyBorder="1" applyAlignment="1">
      <alignment horizontal="left"/>
    </xf>
    <xf numFmtId="0" fontId="27" fillId="0" borderId="0" xfId="2" applyFont="1" applyAlignment="1">
      <alignment horizontal="left" vertical="center" wrapText="1"/>
    </xf>
    <xf numFmtId="0" fontId="27" fillId="0" borderId="0" xfId="2" applyFont="1" applyAlignment="1">
      <alignment horizontal="left" vertical="top"/>
    </xf>
    <xf numFmtId="0" fontId="30" fillId="2" borderId="3" xfId="3" applyFont="1" applyFill="1" applyBorder="1" applyAlignment="1">
      <alignment horizontal="center" vertical="center"/>
    </xf>
    <xf numFmtId="0" fontId="30" fillId="2" borderId="4" xfId="3" applyFont="1" applyFill="1" applyBorder="1" applyAlignment="1">
      <alignment horizontal="center" vertical="center"/>
    </xf>
    <xf numFmtId="0" fontId="30" fillId="2" borderId="5" xfId="3" applyFont="1" applyFill="1" applyBorder="1" applyAlignment="1">
      <alignment horizontal="center" vertical="center"/>
    </xf>
    <xf numFmtId="0" fontId="30" fillId="3" borderId="6" xfId="0" applyFont="1" applyFill="1" applyBorder="1" applyAlignment="1">
      <alignment horizontal="center" vertical="center" wrapText="1"/>
    </xf>
    <xf numFmtId="0" fontId="30" fillId="3" borderId="37" xfId="0" applyFont="1" applyFill="1" applyBorder="1" applyAlignment="1">
      <alignment horizontal="center" vertical="center" wrapText="1"/>
    </xf>
    <xf numFmtId="0" fontId="30" fillId="3" borderId="5" xfId="0" applyFont="1" applyFill="1" applyBorder="1" applyAlignment="1">
      <alignment horizontal="center" vertical="center" wrapText="1"/>
    </xf>
    <xf numFmtId="166" fontId="30" fillId="4" borderId="6" xfId="4" applyNumberFormat="1" applyFont="1" applyFill="1" applyBorder="1" applyAlignment="1">
      <alignment horizontal="center" vertical="center" wrapText="1"/>
    </xf>
    <xf numFmtId="166" fontId="30" fillId="4" borderId="37" xfId="4" applyNumberFormat="1" applyFont="1" applyFill="1" applyBorder="1" applyAlignment="1">
      <alignment horizontal="center" vertical="center" wrapText="1"/>
    </xf>
    <xf numFmtId="166" fontId="30" fillId="4" borderId="5" xfId="4" applyNumberFormat="1" applyFont="1" applyFill="1" applyBorder="1" applyAlignment="1">
      <alignment horizontal="center" vertical="center" wrapText="1"/>
    </xf>
    <xf numFmtId="166" fontId="38" fillId="12" borderId="57" xfId="4" applyNumberFormat="1" applyFont="1" applyFill="1" applyBorder="1" applyAlignment="1">
      <alignment horizontal="center" vertical="center" wrapText="1"/>
    </xf>
    <xf numFmtId="0" fontId="34" fillId="9" borderId="62" xfId="0" applyFont="1" applyFill="1" applyBorder="1" applyAlignment="1">
      <alignment horizontal="center"/>
    </xf>
    <xf numFmtId="0" fontId="34" fillId="9" borderId="61" xfId="0" applyFont="1" applyFill="1" applyBorder="1" applyAlignment="1">
      <alignment horizontal="center"/>
    </xf>
    <xf numFmtId="0" fontId="34" fillId="9" borderId="63" xfId="0" applyFont="1" applyFill="1" applyBorder="1" applyAlignment="1">
      <alignment horizontal="center"/>
    </xf>
    <xf numFmtId="0" fontId="34" fillId="10" borderId="58" xfId="0" applyFont="1" applyFill="1" applyBorder="1" applyAlignment="1">
      <alignment horizontal="left"/>
    </xf>
    <xf numFmtId="0" fontId="34" fillId="10" borderId="57" xfId="0" applyFont="1" applyFill="1" applyBorder="1" applyAlignment="1">
      <alignment horizontal="left"/>
    </xf>
    <xf numFmtId="0" fontId="34" fillId="10" borderId="59" xfId="0" applyFont="1" applyFill="1" applyBorder="1" applyAlignment="1">
      <alignment horizontal="left"/>
    </xf>
    <xf numFmtId="0" fontId="34" fillId="10" borderId="17" xfId="0" applyFont="1" applyFill="1" applyBorder="1" applyAlignment="1">
      <alignment horizontal="left"/>
    </xf>
    <xf numFmtId="0" fontId="34" fillId="10" borderId="0" xfId="0" applyFont="1" applyFill="1" applyAlignment="1">
      <alignment horizontal="left"/>
    </xf>
    <xf numFmtId="0" fontId="34" fillId="10" borderId="50" xfId="0" applyFont="1" applyFill="1" applyBorder="1" applyAlignment="1">
      <alignment horizontal="left"/>
    </xf>
    <xf numFmtId="0" fontId="34" fillId="10" borderId="65" xfId="0" applyFont="1" applyFill="1" applyBorder="1" applyAlignment="1">
      <alignment horizontal="left"/>
    </xf>
    <xf numFmtId="0" fontId="34" fillId="9" borderId="67" xfId="0" applyFont="1" applyFill="1" applyBorder="1" applyAlignment="1">
      <alignment horizontal="left"/>
    </xf>
    <xf numFmtId="0" fontId="34" fillId="9" borderId="68" xfId="0" applyFont="1" applyFill="1" applyBorder="1" applyAlignment="1">
      <alignment horizontal="left"/>
    </xf>
    <xf numFmtId="0" fontId="34" fillId="9" borderId="74" xfId="0" applyFont="1" applyFill="1" applyBorder="1" applyAlignment="1">
      <alignment horizontal="left"/>
    </xf>
    <xf numFmtId="0" fontId="34" fillId="9" borderId="72" xfId="0" applyFont="1" applyFill="1" applyBorder="1" applyAlignment="1">
      <alignment horizontal="left"/>
    </xf>
    <xf numFmtId="0" fontId="34" fillId="10" borderId="77" xfId="0" applyFont="1" applyFill="1" applyBorder="1" applyAlignment="1">
      <alignment horizontal="left"/>
    </xf>
    <xf numFmtId="0" fontId="34" fillId="10" borderId="67" xfId="0" applyFont="1" applyFill="1" applyBorder="1" applyAlignment="1">
      <alignment horizontal="left"/>
    </xf>
    <xf numFmtId="0" fontId="34" fillId="10" borderId="68" xfId="0" applyFont="1" applyFill="1" applyBorder="1" applyAlignment="1">
      <alignment horizontal="left"/>
    </xf>
    <xf numFmtId="166" fontId="17" fillId="12" borderId="57" xfId="4" applyNumberFormat="1" applyFont="1" applyFill="1" applyBorder="1" applyAlignment="1">
      <alignment horizontal="center" vertical="center" wrapText="1"/>
    </xf>
    <xf numFmtId="0" fontId="10" fillId="8" borderId="41" xfId="0" applyFont="1" applyFill="1" applyBorder="1" applyAlignment="1">
      <alignment horizontal="left" vertical="center"/>
    </xf>
    <xf numFmtId="0" fontId="10" fillId="8" borderId="41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41" xfId="0" applyFont="1" applyFill="1" applyBorder="1" applyAlignment="1">
      <alignment horizontal="left" vertical="top"/>
    </xf>
    <xf numFmtId="0" fontId="13" fillId="8" borderId="41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2" fillId="24" borderId="57" xfId="0" applyFont="1" applyFill="1" applyBorder="1" applyAlignment="1">
      <alignment horizontal="center"/>
    </xf>
    <xf numFmtId="44" fontId="22" fillId="24" borderId="57" xfId="0" applyNumberFormat="1" applyFont="1" applyFill="1" applyBorder="1" applyAlignment="1">
      <alignment horizontal="center"/>
    </xf>
    <xf numFmtId="170" fontId="22" fillId="24" borderId="83" xfId="0" applyNumberFormat="1" applyFont="1" applyFill="1" applyBorder="1" applyAlignment="1">
      <alignment horizontal="center"/>
    </xf>
    <xf numFmtId="0" fontId="22" fillId="24" borderId="11" xfId="0" applyFont="1" applyFill="1" applyBorder="1" applyAlignment="1">
      <alignment horizontal="center"/>
    </xf>
    <xf numFmtId="0" fontId="22" fillId="24" borderId="12" xfId="0" applyFont="1" applyFill="1" applyBorder="1" applyAlignment="1">
      <alignment horizontal="center"/>
    </xf>
    <xf numFmtId="0" fontId="22" fillId="24" borderId="77" xfId="0" applyFont="1" applyFill="1" applyBorder="1" applyAlignment="1">
      <alignment horizontal="center"/>
    </xf>
    <xf numFmtId="0" fontId="23" fillId="24" borderId="83" xfId="0" applyFont="1" applyFill="1" applyBorder="1"/>
    <xf numFmtId="9" fontId="22" fillId="24" borderId="83" xfId="1" applyFont="1" applyFill="1" applyBorder="1" applyAlignment="1">
      <alignment horizontal="center"/>
    </xf>
    <xf numFmtId="170" fontId="23" fillId="0" borderId="57" xfId="0" applyNumberFormat="1" applyFont="1" applyBorder="1" applyAlignment="1">
      <alignment horizontal="center"/>
    </xf>
    <xf numFmtId="16" fontId="21" fillId="22" borderId="12" xfId="0" applyNumberFormat="1" applyFont="1" applyFill="1" applyBorder="1" applyAlignment="1">
      <alignment horizontal="center"/>
    </xf>
    <xf numFmtId="16" fontId="21" fillId="21" borderId="15" xfId="0" applyNumberFormat="1" applyFont="1" applyFill="1" applyBorder="1" applyAlignment="1">
      <alignment horizontal="center"/>
    </xf>
    <xf numFmtId="0" fontId="21" fillId="20" borderId="0" xfId="0" applyFont="1" applyFill="1" applyAlignment="1">
      <alignment horizontal="center"/>
    </xf>
    <xf numFmtId="0" fontId="22" fillId="19" borderId="15" xfId="0" applyFont="1" applyFill="1" applyBorder="1" applyAlignment="1">
      <alignment horizontal="center"/>
    </xf>
    <xf numFmtId="164" fontId="24" fillId="0" borderId="0" xfId="2" applyNumberFormat="1" applyFont="1" applyAlignment="1" applyProtection="1">
      <alignment horizontal="center" vertical="center"/>
      <protection locked="0"/>
    </xf>
    <xf numFmtId="0" fontId="24" fillId="0" borderId="0" xfId="2" applyFont="1" applyAlignment="1" applyProtection="1">
      <alignment horizontal="center" vertical="center"/>
      <protection locked="0"/>
    </xf>
    <xf numFmtId="14" fontId="24" fillId="0" borderId="0" xfId="2" applyNumberFormat="1" applyFont="1" applyAlignment="1" applyProtection="1">
      <alignment horizontal="center" vertical="center"/>
      <protection locked="0"/>
    </xf>
    <xf numFmtId="44" fontId="21" fillId="0" borderId="0" xfId="0" applyNumberFormat="1" applyFont="1" applyAlignment="1">
      <alignment horizontal="center"/>
    </xf>
    <xf numFmtId="44" fontId="22" fillId="24" borderId="83" xfId="0" applyNumberFormat="1" applyFont="1" applyFill="1" applyBorder="1" applyAlignment="1">
      <alignment horizontal="center"/>
    </xf>
    <xf numFmtId="0" fontId="23" fillId="12" borderId="57" xfId="0" applyFont="1" applyFill="1" applyBorder="1" applyAlignment="1">
      <alignment horizontal="center"/>
    </xf>
    <xf numFmtId="170" fontId="21" fillId="0" borderId="0" xfId="0" applyNumberFormat="1" applyFont="1"/>
    <xf numFmtId="44" fontId="23" fillId="0" borderId="65" xfId="0" applyNumberFormat="1" applyFont="1" applyBorder="1" applyAlignment="1">
      <alignment horizontal="center" vertical="center"/>
    </xf>
    <xf numFmtId="170" fontId="23" fillId="0" borderId="65" xfId="0" applyNumberFormat="1" applyFont="1" applyBorder="1" applyAlignment="1">
      <alignment horizontal="center" vertical="center"/>
    </xf>
    <xf numFmtId="44" fontId="23" fillId="0" borderId="79" xfId="0" applyNumberFormat="1" applyFont="1" applyBorder="1" applyAlignment="1">
      <alignment horizontal="center" vertical="center"/>
    </xf>
    <xf numFmtId="170" fontId="23" fillId="0" borderId="79" xfId="0" applyNumberFormat="1" applyFont="1" applyBorder="1" applyAlignment="1">
      <alignment horizontal="center" vertical="center"/>
    </xf>
    <xf numFmtId="44" fontId="23" fillId="0" borderId="83" xfId="0" applyNumberFormat="1" applyFont="1" applyBorder="1" applyAlignment="1">
      <alignment horizontal="center" vertical="center"/>
    </xf>
    <xf numFmtId="170" fontId="23" fillId="0" borderId="83" xfId="0" applyNumberFormat="1" applyFont="1" applyBorder="1" applyAlignment="1">
      <alignment horizontal="center" vertical="center"/>
    </xf>
    <xf numFmtId="44" fontId="23" fillId="0" borderId="57" xfId="0" applyNumberFormat="1" applyFont="1" applyBorder="1" applyAlignment="1">
      <alignment horizontal="center" vertical="center"/>
    </xf>
    <xf numFmtId="170" fontId="23" fillId="0" borderId="57" xfId="0" applyNumberFormat="1" applyFont="1" applyBorder="1" applyAlignment="1">
      <alignment horizontal="center" vertical="center"/>
    </xf>
    <xf numFmtId="9" fontId="23" fillId="0" borderId="65" xfId="1" applyFont="1" applyBorder="1" applyAlignment="1">
      <alignment horizontal="center" vertical="center"/>
    </xf>
    <xf numFmtId="9" fontId="23" fillId="0" borderId="79" xfId="1" applyFont="1" applyBorder="1" applyAlignment="1">
      <alignment horizontal="center" vertical="center"/>
    </xf>
    <xf numFmtId="9" fontId="23" fillId="0" borderId="83" xfId="1" applyFont="1" applyBorder="1" applyAlignment="1">
      <alignment horizontal="center" vertical="center"/>
    </xf>
    <xf numFmtId="170" fontId="45" fillId="0" borderId="0" xfId="0" applyNumberFormat="1" applyFont="1"/>
  </cellXfs>
  <cellStyles count="20">
    <cellStyle name="Moeda" xfId="8" builtinId="4"/>
    <cellStyle name="Moeda 2" xfId="4" xr:uid="{00000000-0005-0000-0000-000001000000}"/>
    <cellStyle name="Moeda 3" xfId="9" xr:uid="{00000000-0005-0000-0000-000002000000}"/>
    <cellStyle name="Moeda 3 2" xfId="15" xr:uid="{00000000-0005-0000-0000-000003000000}"/>
    <cellStyle name="Moeda 4" xfId="6" xr:uid="{00000000-0005-0000-0000-000004000000}"/>
    <cellStyle name="Moeda 4 2" xfId="10" xr:uid="{00000000-0005-0000-0000-000005000000}"/>
    <cellStyle name="Moeda 4 2 2" xfId="16" xr:uid="{00000000-0005-0000-0000-000006000000}"/>
    <cellStyle name="Moeda 5" xfId="11" xr:uid="{00000000-0005-0000-0000-000007000000}"/>
    <cellStyle name="Moeda 5 2" xfId="17" xr:uid="{00000000-0005-0000-0000-000008000000}"/>
    <cellStyle name="Moeda 6" xfId="14" xr:uid="{00000000-0005-0000-0000-000009000000}"/>
    <cellStyle name="Moeda 7" xfId="18" xr:uid="{00000000-0005-0000-0000-00000A000000}"/>
    <cellStyle name="Moeda 8" xfId="19" xr:uid="{00000000-0005-0000-0000-00000B000000}"/>
    <cellStyle name="Normal" xfId="0" builtinId="0"/>
    <cellStyle name="Normal 2" xfId="2" xr:uid="{00000000-0005-0000-0000-00000D000000}"/>
    <cellStyle name="Normal 3" xfId="7" xr:uid="{00000000-0005-0000-0000-00000E000000}"/>
    <cellStyle name="Normal 3 2" xfId="13" xr:uid="{00000000-0005-0000-0000-00000F000000}"/>
    <cellStyle name="Normal 6" xfId="12" xr:uid="{00000000-0005-0000-0000-000010000000}"/>
    <cellStyle name="Normal_Plan1" xfId="3" xr:uid="{00000000-0005-0000-0000-000011000000}"/>
    <cellStyle name="Porcentagem" xfId="1" builtinId="5"/>
    <cellStyle name="Porcentagem 2" xfId="5" xr:uid="{00000000-0005-0000-0000-000013000000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57392</xdr:colOff>
      <xdr:row>0</xdr:row>
      <xdr:rowOff>152400</xdr:rowOff>
    </xdr:from>
    <xdr:to>
      <xdr:col>5</xdr:col>
      <xdr:colOff>888216</xdr:colOff>
      <xdr:row>1</xdr:row>
      <xdr:rowOff>69608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8F22E2E7-56B1-4283-BAD6-8A9E89074F12}"/>
            </a:ext>
          </a:extLst>
        </xdr:cNvPr>
        <xdr:cNvSpPr/>
      </xdr:nvSpPr>
      <xdr:spPr bwMode="auto">
        <a:xfrm>
          <a:off x="696928" y="152400"/>
          <a:ext cx="889335" cy="54040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610005</xdr:colOff>
      <xdr:row>0</xdr:row>
      <xdr:rowOff>502573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4236A1D8-B264-438A-B894-7104EC726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310" y="133692"/>
          <a:ext cx="382662" cy="371612"/>
        </a:xfrm>
        <a:prstGeom prst="rect">
          <a:avLst/>
        </a:prstGeom>
      </xdr:spPr>
    </xdr:pic>
    <xdr:clientData/>
  </xdr:twoCellAnchor>
  <xdr:twoCellAnchor editAs="absolute">
    <xdr:from>
      <xdr:col>41</xdr:col>
      <xdr:colOff>178740</xdr:colOff>
      <xdr:row>0</xdr:row>
      <xdr:rowOff>190500</xdr:rowOff>
    </xdr:from>
    <xdr:to>
      <xdr:col>43</xdr:col>
      <xdr:colOff>36577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B7B84332-D8E1-4B0B-B5F0-81C9D0170974}"/>
            </a:ext>
          </a:extLst>
        </xdr:cNvPr>
        <xdr:cNvSpPr/>
      </xdr:nvSpPr>
      <xdr:spPr bwMode="auto">
        <a:xfrm>
          <a:off x="30012108" y="190500"/>
          <a:ext cx="1029413" cy="54972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40</xdr:col>
      <xdr:colOff>1141315</xdr:colOff>
      <xdr:row>0</xdr:row>
      <xdr:rowOff>179149</xdr:rowOff>
    </xdr:from>
    <xdr:to>
      <xdr:col>41</xdr:col>
      <xdr:colOff>102537</xdr:colOff>
      <xdr:row>0</xdr:row>
      <xdr:rowOff>541468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15AFEE26-1E25-4678-A196-6F9C297E9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08277" y="182768"/>
          <a:ext cx="427628" cy="361431"/>
        </a:xfrm>
        <a:prstGeom prst="rect">
          <a:avLst/>
        </a:prstGeom>
      </xdr:spPr>
    </xdr:pic>
    <xdr:clientData/>
  </xdr:twoCellAnchor>
  <xdr:twoCellAnchor editAs="absolute">
    <xdr:from>
      <xdr:col>5</xdr:col>
      <xdr:colOff>57392</xdr:colOff>
      <xdr:row>0</xdr:row>
      <xdr:rowOff>152400</xdr:rowOff>
    </xdr:from>
    <xdr:to>
      <xdr:col>5</xdr:col>
      <xdr:colOff>888216</xdr:colOff>
      <xdr:row>1</xdr:row>
      <xdr:rowOff>69608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F307ACEF-5A90-40CB-99A1-F8383BBB485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28" y="152400"/>
          <a:ext cx="889335" cy="54040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41</xdr:col>
      <xdr:colOff>178740</xdr:colOff>
      <xdr:row>0</xdr:row>
      <xdr:rowOff>190500</xdr:rowOff>
    </xdr:from>
    <xdr:to>
      <xdr:col>43</xdr:col>
      <xdr:colOff>36577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B5685E4D-7650-41D9-8B35-7A9EE463CF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12108" y="190500"/>
          <a:ext cx="1029413" cy="54972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47625</xdr:colOff>
      <xdr:row>4</xdr:row>
      <xdr:rowOff>206375</xdr:rowOff>
    </xdr:from>
    <xdr:ext cx="2362201" cy="1696420"/>
    <xdr:pic>
      <xdr:nvPicPr>
        <xdr:cNvPr id="8" name="Imagem 7">
          <a:extLst>
            <a:ext uri="{FF2B5EF4-FFF2-40B4-BE49-F238E27FC236}">
              <a16:creationId xmlns:a16="http://schemas.microsoft.com/office/drawing/2014/main" id="{CAE92BCF-6EB8-4406-B940-F488452C1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80250" y="1762125"/>
          <a:ext cx="2362201" cy="169642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139942</xdr:colOff>
      <xdr:row>0</xdr:row>
      <xdr:rowOff>152400</xdr:rowOff>
    </xdr:from>
    <xdr:to>
      <xdr:col>5</xdr:col>
      <xdr:colOff>983920</xdr:colOff>
      <xdr:row>1</xdr:row>
      <xdr:rowOff>63704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247310</xdr:colOff>
      <xdr:row>0</xdr:row>
      <xdr:rowOff>133692</xdr:rowOff>
    </xdr:from>
    <xdr:to>
      <xdr:col>5</xdr:col>
      <xdr:colOff>88859</xdr:colOff>
      <xdr:row>0</xdr:row>
      <xdr:rowOff>502127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41</xdr:col>
      <xdr:colOff>340218</xdr:colOff>
      <xdr:row>0</xdr:row>
      <xdr:rowOff>190500</xdr:rowOff>
    </xdr:from>
    <xdr:to>
      <xdr:col>43</xdr:col>
      <xdr:colOff>198057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40</xdr:col>
      <xdr:colOff>1321231</xdr:colOff>
      <xdr:row>0</xdr:row>
      <xdr:rowOff>179595</xdr:rowOff>
    </xdr:from>
    <xdr:to>
      <xdr:col>41</xdr:col>
      <xdr:colOff>264015</xdr:colOff>
      <xdr:row>0</xdr:row>
      <xdr:rowOff>541022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139942</xdr:colOff>
      <xdr:row>0</xdr:row>
      <xdr:rowOff>152400</xdr:rowOff>
    </xdr:from>
    <xdr:to>
      <xdr:col>5</xdr:col>
      <xdr:colOff>983920</xdr:colOff>
      <xdr:row>1</xdr:row>
      <xdr:rowOff>63704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41</xdr:col>
      <xdr:colOff>340218</xdr:colOff>
      <xdr:row>0</xdr:row>
      <xdr:rowOff>190500</xdr:rowOff>
    </xdr:from>
    <xdr:to>
      <xdr:col>43</xdr:col>
      <xdr:colOff>198057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8</xdr:col>
      <xdr:colOff>301625</xdr:colOff>
      <xdr:row>4</xdr:row>
      <xdr:rowOff>254000</xdr:rowOff>
    </xdr:from>
    <xdr:ext cx="2362201" cy="1696420"/>
    <xdr:pic>
      <xdr:nvPicPr>
        <xdr:cNvPr id="8" name="Imagem 7">
          <a:extLst>
            <a:ext uri="{FF2B5EF4-FFF2-40B4-BE49-F238E27FC236}">
              <a16:creationId xmlns:a16="http://schemas.microsoft.com/office/drawing/2014/main" id="{6A275C62-D171-4C7B-B0D1-72763EABB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45375" y="1809750"/>
          <a:ext cx="2362201" cy="169642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676517</xdr:colOff>
      <xdr:row>0</xdr:row>
      <xdr:rowOff>152400</xdr:rowOff>
    </xdr:from>
    <xdr:to>
      <xdr:col>5</xdr:col>
      <xdr:colOff>859641</xdr:colOff>
      <xdr:row>1</xdr:row>
      <xdr:rowOff>64942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939B0282-3A84-46C5-9CBB-92720D972723}"/>
            </a:ext>
          </a:extLst>
        </xdr:cNvPr>
        <xdr:cNvSpPr/>
      </xdr:nvSpPr>
      <xdr:spPr bwMode="auto">
        <a:xfrm>
          <a:off x="695567" y="152400"/>
          <a:ext cx="885253" cy="5440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621021</xdr:colOff>
      <xdr:row>0</xdr:row>
      <xdr:rowOff>507239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0E764EA-FB11-462F-A0BA-443E2FB2A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310" y="133692"/>
          <a:ext cx="380384" cy="370695"/>
        </a:xfrm>
        <a:prstGeom prst="rect">
          <a:avLst/>
        </a:prstGeom>
      </xdr:spPr>
    </xdr:pic>
    <xdr:clientData/>
  </xdr:twoCellAnchor>
  <xdr:twoCellAnchor editAs="absolute">
    <xdr:from>
      <xdr:col>28</xdr:col>
      <xdr:colOff>1683064</xdr:colOff>
      <xdr:row>0</xdr:row>
      <xdr:rowOff>190500</xdr:rowOff>
    </xdr:from>
    <xdr:to>
      <xdr:col>37</xdr:col>
      <xdr:colOff>83577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ED0B123C-9325-4834-B934-07B8F4E440ED}"/>
            </a:ext>
          </a:extLst>
        </xdr:cNvPr>
        <xdr:cNvSpPr/>
      </xdr:nvSpPr>
      <xdr:spPr bwMode="auto">
        <a:xfrm>
          <a:off x="30004387" y="190500"/>
          <a:ext cx="102941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28</xdr:col>
      <xdr:colOff>1189998</xdr:colOff>
      <xdr:row>0</xdr:row>
      <xdr:rowOff>181740</xdr:rowOff>
    </xdr:from>
    <xdr:to>
      <xdr:col>28</xdr:col>
      <xdr:colOff>1606861</xdr:colOff>
      <xdr:row>0</xdr:row>
      <xdr:rowOff>539784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3C3163-A305-4ABC-B8FC-A3B353EE0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01473" y="183685"/>
          <a:ext cx="426711" cy="359597"/>
        </a:xfrm>
        <a:prstGeom prst="rect">
          <a:avLst/>
        </a:prstGeom>
      </xdr:spPr>
    </xdr:pic>
    <xdr:clientData/>
  </xdr:twoCellAnchor>
  <xdr:twoCellAnchor editAs="absolute">
    <xdr:from>
      <xdr:col>1</xdr:col>
      <xdr:colOff>676517</xdr:colOff>
      <xdr:row>0</xdr:row>
      <xdr:rowOff>152400</xdr:rowOff>
    </xdr:from>
    <xdr:to>
      <xdr:col>5</xdr:col>
      <xdr:colOff>859641</xdr:colOff>
      <xdr:row>1</xdr:row>
      <xdr:rowOff>64942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415CF272-79E8-4EEB-A201-53F1FFC8424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567" y="152400"/>
          <a:ext cx="885253" cy="5440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1683064</xdr:colOff>
      <xdr:row>0</xdr:row>
      <xdr:rowOff>190500</xdr:rowOff>
    </xdr:from>
    <xdr:to>
      <xdr:col>37</xdr:col>
      <xdr:colOff>83577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573E2CD9-EFC1-41E8-9FCE-B343C2ED8A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4387" y="190500"/>
          <a:ext cx="102941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843417</xdr:colOff>
      <xdr:row>4</xdr:row>
      <xdr:rowOff>95250</xdr:rowOff>
    </xdr:from>
    <xdr:ext cx="1566409" cy="1124920"/>
    <xdr:pic>
      <xdr:nvPicPr>
        <xdr:cNvPr id="8" name="Imagem 7">
          <a:extLst>
            <a:ext uri="{FF2B5EF4-FFF2-40B4-BE49-F238E27FC236}">
              <a16:creationId xmlns:a16="http://schemas.microsoft.com/office/drawing/2014/main" id="{F091BC72-3216-4988-ABE6-2CE51047B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37917" y="3746500"/>
          <a:ext cx="1566409" cy="112492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BEC86-3B97-477C-B1F0-E69A0BC37455}">
  <dimension ref="A1:H43"/>
  <sheetViews>
    <sheetView showGridLines="0" tabSelected="1" topLeftCell="A11" zoomScaleNormal="100" workbookViewId="0">
      <selection activeCell="P31" sqref="P31"/>
    </sheetView>
  </sheetViews>
  <sheetFormatPr defaultColWidth="8.77734375" defaultRowHeight="14.4" x14ac:dyDescent="0.35"/>
  <cols>
    <col min="1" max="1" width="13.109375" style="33" bestFit="1" customWidth="1"/>
    <col min="2" max="2" width="24.5546875" style="33" customWidth="1"/>
    <col min="3" max="3" width="33.88671875" style="33" customWidth="1"/>
    <col min="4" max="4" width="20.44140625" style="34" customWidth="1"/>
    <col min="5" max="5" width="18.33203125" style="34" customWidth="1"/>
    <col min="6" max="6" width="7.6640625" style="34" customWidth="1"/>
    <col min="7" max="7" width="12.77734375" style="33" bestFit="1" customWidth="1"/>
    <col min="8" max="8" width="12.6640625" style="33" bestFit="1" customWidth="1"/>
    <col min="9" max="16384" width="8.77734375" style="33"/>
  </cols>
  <sheetData>
    <row r="1" spans="1:5" hidden="1" x14ac:dyDescent="0.35"/>
    <row r="2" spans="1:5" hidden="1" x14ac:dyDescent="0.35"/>
    <row r="3" spans="1:5" hidden="1" x14ac:dyDescent="0.35">
      <c r="C3" s="44">
        <v>45866</v>
      </c>
      <c r="D3" s="352"/>
      <c r="E3" s="238" t="e">
        <f>SUM(#REF!)</f>
        <v>#REF!</v>
      </c>
    </row>
    <row r="4" spans="1:5" ht="15.45" hidden="1" customHeight="1" thickBot="1" x14ac:dyDescent="0.4">
      <c r="C4" s="43">
        <v>45867</v>
      </c>
      <c r="D4" s="353"/>
      <c r="E4" s="239"/>
    </row>
    <row r="5" spans="1:5" hidden="1" x14ac:dyDescent="0.35">
      <c r="C5" s="42" t="s">
        <v>246</v>
      </c>
      <c r="D5" s="354"/>
    </row>
    <row r="6" spans="1:5" hidden="1" x14ac:dyDescent="0.35">
      <c r="C6" s="42" t="s">
        <v>245</v>
      </c>
      <c r="D6" s="354"/>
    </row>
    <row r="7" spans="1:5" ht="15" hidden="1" thickBot="1" x14ac:dyDescent="0.4">
      <c r="C7" s="41" t="s">
        <v>43</v>
      </c>
      <c r="D7" s="355"/>
    </row>
    <row r="9" spans="1:5" s="34" customFormat="1" ht="24" customHeight="1" x14ac:dyDescent="0.35">
      <c r="A9" s="33"/>
      <c r="B9" s="33"/>
      <c r="C9" s="33"/>
    </row>
    <row r="11" spans="1:5" s="34" customFormat="1" ht="15" customHeight="1" x14ac:dyDescent="0.35">
      <c r="A11" s="33"/>
      <c r="B11" s="40" t="s">
        <v>128</v>
      </c>
      <c r="C11" s="45" t="s">
        <v>129</v>
      </c>
      <c r="D11" s="356"/>
    </row>
    <row r="12" spans="1:5" s="34" customFormat="1" ht="15" customHeight="1" x14ac:dyDescent="0.35">
      <c r="A12" s="33"/>
      <c r="B12" s="39" t="s">
        <v>130</v>
      </c>
      <c r="C12" s="46" t="s">
        <v>131</v>
      </c>
      <c r="D12" s="356"/>
    </row>
    <row r="13" spans="1:5" s="34" customFormat="1" ht="15" customHeight="1" x14ac:dyDescent="0.35">
      <c r="A13" s="33"/>
      <c r="B13" s="39" t="s">
        <v>132</v>
      </c>
      <c r="C13" s="47" t="s">
        <v>193</v>
      </c>
      <c r="D13" s="357"/>
    </row>
    <row r="14" spans="1:5" s="34" customFormat="1" ht="15" customHeight="1" x14ac:dyDescent="0.35">
      <c r="A14" s="33"/>
      <c r="B14" s="39" t="s">
        <v>134</v>
      </c>
      <c r="C14" s="47" t="s">
        <v>135</v>
      </c>
      <c r="D14" s="357"/>
    </row>
    <row r="15" spans="1:5" s="34" customFormat="1" ht="15" customHeight="1" x14ac:dyDescent="0.35">
      <c r="A15" s="33"/>
      <c r="B15" s="39" t="s">
        <v>136</v>
      </c>
      <c r="C15" s="48" t="s">
        <v>194</v>
      </c>
      <c r="D15" s="358"/>
    </row>
    <row r="16" spans="1:5" ht="15" customHeight="1" x14ac:dyDescent="0.35">
      <c r="B16" s="39" t="s">
        <v>137</v>
      </c>
      <c r="C16" s="47" t="s">
        <v>138</v>
      </c>
      <c r="D16" s="357"/>
    </row>
    <row r="17" spans="1:8" ht="15" customHeight="1" x14ac:dyDescent="0.35">
      <c r="B17" s="39" t="s">
        <v>139</v>
      </c>
      <c r="C17" s="47" t="s">
        <v>140</v>
      </c>
      <c r="D17" s="357"/>
    </row>
    <row r="18" spans="1:8" ht="15" customHeight="1" x14ac:dyDescent="0.35">
      <c r="B18" s="38" t="s">
        <v>141</v>
      </c>
      <c r="C18" s="49" t="s">
        <v>195</v>
      </c>
      <c r="D18" s="357"/>
    </row>
    <row r="20" spans="1:8" ht="15.45" customHeight="1" x14ac:dyDescent="0.35">
      <c r="B20" s="343"/>
      <c r="C20" s="343" t="s">
        <v>244</v>
      </c>
      <c r="D20" s="343" t="s">
        <v>243</v>
      </c>
      <c r="E20" s="343" t="s">
        <v>242</v>
      </c>
    </row>
    <row r="21" spans="1:8" ht="22.5" customHeight="1" x14ac:dyDescent="0.35">
      <c r="B21" s="361" t="s">
        <v>247</v>
      </c>
      <c r="C21" s="37">
        <f>OASIS!N29</f>
        <v>98428.451596868399</v>
      </c>
      <c r="D21" s="37">
        <f>OASIS!X29</f>
        <v>83770</v>
      </c>
      <c r="E21" s="37">
        <f>C21-D21</f>
        <v>14658.451596868399</v>
      </c>
      <c r="F21" s="35">
        <f>E21*100%/C21</f>
        <v>0.14892494354076349</v>
      </c>
    </row>
    <row r="22" spans="1:8" ht="22.5" customHeight="1" x14ac:dyDescent="0.35">
      <c r="B22" s="361" t="s">
        <v>133</v>
      </c>
      <c r="C22" s="37">
        <f>JANTAR!N35</f>
        <v>115594.98591189264</v>
      </c>
      <c r="D22" s="37">
        <f>JANTAR!X35</f>
        <v>105389.75999999999</v>
      </c>
      <c r="E22" s="37">
        <f t="shared" ref="E22:E23" si="0">C22-D22</f>
        <v>10205.225911892645</v>
      </c>
      <c r="F22" s="35">
        <f>E22*100%/C22</f>
        <v>8.8284330253486462E-2</v>
      </c>
    </row>
    <row r="23" spans="1:8" ht="22.5" customHeight="1" x14ac:dyDescent="0.35">
      <c r="B23" s="361" t="s">
        <v>248</v>
      </c>
      <c r="C23" s="37">
        <f>'DIRECT MAIL'!N34</f>
        <v>48982.473497390325</v>
      </c>
      <c r="D23" s="37">
        <f>'DIRECT MAIL'!X34</f>
        <v>27433.29</v>
      </c>
      <c r="E23" s="37">
        <f t="shared" si="0"/>
        <v>21549.183497390324</v>
      </c>
      <c r="F23" s="35">
        <f>E23*100%/C23</f>
        <v>0.43993661321612137</v>
      </c>
    </row>
    <row r="24" spans="1:8" x14ac:dyDescent="0.35">
      <c r="B24" s="343"/>
      <c r="C24" s="344">
        <f>SUM(C21:C23)</f>
        <v>263005.91100615135</v>
      </c>
      <c r="D24" s="344">
        <f>SUM(D21:D23)</f>
        <v>216593.05000000002</v>
      </c>
      <c r="E24" s="344">
        <f>SUM(E21:E23)</f>
        <v>46412.861006151368</v>
      </c>
      <c r="F24" s="35">
        <f t="shared" ref="F24" si="1">E24*100%/C24</f>
        <v>0.17647079044191458</v>
      </c>
    </row>
    <row r="26" spans="1:8" ht="199.95" hidden="1" customHeight="1" x14ac:dyDescent="0.35"/>
    <row r="27" spans="1:8" ht="16.5" customHeight="1" x14ac:dyDescent="0.35">
      <c r="D27" s="359"/>
    </row>
    <row r="28" spans="1:8" ht="8.5500000000000007" customHeight="1" thickBot="1" x14ac:dyDescent="0.4"/>
    <row r="29" spans="1:8" ht="22.05" customHeight="1" x14ac:dyDescent="0.35">
      <c r="B29" s="346" t="s">
        <v>241</v>
      </c>
      <c r="C29" s="347"/>
      <c r="D29" s="347"/>
      <c r="E29" s="347"/>
      <c r="F29" s="348"/>
    </row>
    <row r="30" spans="1:8" ht="22.05" customHeight="1" x14ac:dyDescent="0.35">
      <c r="A30" s="374">
        <f>SUM(C30:C34)</f>
        <v>226621.71000000002</v>
      </c>
      <c r="B30" s="36" t="s">
        <v>269</v>
      </c>
      <c r="C30" s="351">
        <v>81739.19</v>
      </c>
      <c r="D30" s="363">
        <f>D24</f>
        <v>216593.05000000002</v>
      </c>
      <c r="E30" s="364">
        <f>A30-D30</f>
        <v>10028.660000000003</v>
      </c>
      <c r="F30" s="371">
        <f>E30*100%/C30</f>
        <v>0.12269096378371259</v>
      </c>
    </row>
    <row r="31" spans="1:8" ht="22.05" customHeight="1" x14ac:dyDescent="0.35">
      <c r="B31" s="36" t="s">
        <v>270</v>
      </c>
      <c r="C31" s="351">
        <v>4510.82</v>
      </c>
      <c r="D31" s="365"/>
      <c r="E31" s="366"/>
      <c r="F31" s="372"/>
    </row>
    <row r="32" spans="1:8" ht="22.05" customHeight="1" x14ac:dyDescent="0.35">
      <c r="B32" s="36" t="s">
        <v>271</v>
      </c>
      <c r="C32" s="351">
        <v>94044.1</v>
      </c>
      <c r="D32" s="365"/>
      <c r="E32" s="366"/>
      <c r="F32" s="372"/>
      <c r="H32" s="362"/>
    </row>
    <row r="33" spans="2:8" ht="22.05" customHeight="1" x14ac:dyDescent="0.35">
      <c r="B33" s="36" t="s">
        <v>272</v>
      </c>
      <c r="C33" s="351">
        <v>39863.86</v>
      </c>
      <c r="D33" s="365"/>
      <c r="E33" s="366"/>
      <c r="F33" s="372"/>
    </row>
    <row r="34" spans="2:8" ht="22.05" customHeight="1" x14ac:dyDescent="0.35">
      <c r="B34" s="36" t="s">
        <v>273</v>
      </c>
      <c r="C34" s="351">
        <v>6463.74</v>
      </c>
      <c r="D34" s="367"/>
      <c r="E34" s="368"/>
      <c r="F34" s="373"/>
    </row>
    <row r="35" spans="2:8" ht="22.05" customHeight="1" x14ac:dyDescent="0.35">
      <c r="B35" s="36" t="s">
        <v>276</v>
      </c>
      <c r="C35" s="351">
        <v>10361.6</v>
      </c>
      <c r="D35" s="369">
        <f>C35*0.15</f>
        <v>1554.24</v>
      </c>
      <c r="E35" s="370">
        <f>C35-D35</f>
        <v>8807.36</v>
      </c>
      <c r="F35" s="35">
        <f t="shared" ref="F32:F37" si="2">E35*100%/C35</f>
        <v>0.85</v>
      </c>
    </row>
    <row r="36" spans="2:8" ht="22.05" customHeight="1" x14ac:dyDescent="0.35">
      <c r="B36" s="36" t="s">
        <v>274</v>
      </c>
      <c r="C36" s="351">
        <v>12178.45</v>
      </c>
      <c r="D36" s="369">
        <f>C36*0.15</f>
        <v>1826.7675000000002</v>
      </c>
      <c r="E36" s="370">
        <f>C36-D36</f>
        <v>10351.682500000001</v>
      </c>
      <c r="F36" s="35">
        <f t="shared" si="2"/>
        <v>0.85</v>
      </c>
    </row>
    <row r="37" spans="2:8" ht="22.05" customHeight="1" x14ac:dyDescent="0.35">
      <c r="B37" s="36" t="s">
        <v>275</v>
      </c>
      <c r="C37" s="351">
        <v>15087.15</v>
      </c>
      <c r="D37" s="369">
        <f>C37*0.15</f>
        <v>2263.0724999999998</v>
      </c>
      <c r="E37" s="370">
        <f>C37-D37</f>
        <v>12824.077499999999</v>
      </c>
      <c r="F37" s="35">
        <f t="shared" si="2"/>
        <v>0.85</v>
      </c>
    </row>
    <row r="38" spans="2:8" ht="24.45" customHeight="1" x14ac:dyDescent="0.35">
      <c r="B38" s="349"/>
      <c r="C38" s="345">
        <f>SUM(C30:C37)</f>
        <v>264248.91000000003</v>
      </c>
      <c r="D38" s="360">
        <f>SUM(D30:D37)</f>
        <v>222237.13</v>
      </c>
      <c r="E38" s="345">
        <f>SUM(E30:E37)</f>
        <v>42011.780000000006</v>
      </c>
      <c r="F38" s="350">
        <f>E38*100%/C38</f>
        <v>0.15898563214508624</v>
      </c>
      <c r="H38" s="362"/>
    </row>
    <row r="43" spans="2:8" x14ac:dyDescent="0.35">
      <c r="D43" s="359"/>
    </row>
  </sheetData>
  <mergeCells count="5">
    <mergeCell ref="E3:E4"/>
    <mergeCell ref="B29:F29"/>
    <mergeCell ref="D30:D34"/>
    <mergeCell ref="E30:E34"/>
    <mergeCell ref="F30:F34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2">
    <pageSetUpPr autoPageBreaks="0"/>
  </sheetPr>
  <dimension ref="A1:AL35"/>
  <sheetViews>
    <sheetView showGridLines="0" topLeftCell="G1" zoomScale="60" zoomScaleNormal="60" workbookViewId="0">
      <pane ySplit="1" topLeftCell="A26" activePane="bottomLeft" state="frozen"/>
      <selection pane="bottomLeft" activeCell="L42" sqref="L42"/>
    </sheetView>
  </sheetViews>
  <sheetFormatPr defaultColWidth="8.77734375" defaultRowHeight="28.8" x14ac:dyDescent="0.55000000000000004"/>
  <cols>
    <col min="1" max="1" width="5" style="50" hidden="1" customWidth="1"/>
    <col min="2" max="2" width="9.21875" style="53" customWidth="1"/>
    <col min="3" max="5" width="5" style="50" hidden="1" customWidth="1"/>
    <col min="6" max="6" width="34.21875" style="50" customWidth="1"/>
    <col min="7" max="7" width="51.5546875" style="50" customWidth="1"/>
    <col min="8" max="8" width="5.21875" style="50" bestFit="1" customWidth="1"/>
    <col min="9" max="9" width="5.21875" style="50" customWidth="1"/>
    <col min="10" max="10" width="25" style="50" bestFit="1" customWidth="1"/>
    <col min="11" max="11" width="27.21875" style="50" bestFit="1" customWidth="1"/>
    <col min="12" max="13" width="24.21875" style="50" bestFit="1" customWidth="1"/>
    <col min="14" max="14" width="27.21875" style="50" bestFit="1" customWidth="1"/>
    <col min="15" max="15" width="12.77734375" style="50" hidden="1" customWidth="1"/>
    <col min="16" max="16" width="1.77734375" style="50" hidden="1" customWidth="1"/>
    <col min="17" max="17" width="7.21875" style="50" bestFit="1" customWidth="1"/>
    <col min="18" max="18" width="8.44140625" style="50" hidden="1" customWidth="1"/>
    <col min="19" max="19" width="25" style="50" hidden="1" customWidth="1"/>
    <col min="20" max="20" width="26.44140625" style="50" bestFit="1" customWidth="1"/>
    <col min="21" max="21" width="25.21875" style="50" hidden="1" customWidth="1"/>
    <col min="22" max="22" width="10" style="50" hidden="1" customWidth="1"/>
    <col min="23" max="23" width="16.44140625" style="50" hidden="1" customWidth="1"/>
    <col min="24" max="24" width="27.77734375" style="50" bestFit="1" customWidth="1"/>
    <col min="25" max="25" width="27.21875" style="50" hidden="1" customWidth="1"/>
    <col min="26" max="26" width="24" style="50" hidden="1" customWidth="1"/>
    <col min="27" max="27" width="26.44140625" style="50" hidden="1" customWidth="1"/>
    <col min="28" max="28" width="30.77734375" style="210" customWidth="1"/>
    <col min="29" max="29" width="38.21875" style="210" customWidth="1"/>
    <col min="30" max="30" width="14.21875" style="50" hidden="1" customWidth="1"/>
    <col min="31" max="31" width="7.77734375" style="50" hidden="1" customWidth="1"/>
    <col min="32" max="32" width="6.77734375" style="50" hidden="1" customWidth="1"/>
    <col min="33" max="33" width="1.21875" style="50" hidden="1" customWidth="1"/>
    <col min="34" max="34" width="14" style="50" hidden="1" customWidth="1"/>
    <col min="35" max="35" width="11.77734375" style="50" hidden="1" customWidth="1"/>
    <col min="36" max="36" width="6.21875" style="50" hidden="1" customWidth="1"/>
    <col min="37" max="37" width="12.77734375" style="50" hidden="1" customWidth="1"/>
    <col min="38" max="38" width="15.21875" style="233" customWidth="1"/>
    <col min="39" max="39" width="13.5546875" style="50" bestFit="1" customWidth="1"/>
    <col min="40" max="40" width="8.77734375" style="50"/>
    <col min="41" max="41" width="21.21875" style="50" customWidth="1"/>
    <col min="42" max="16384" width="8.77734375" style="50"/>
  </cols>
  <sheetData>
    <row r="1" spans="1:37" ht="49.5" customHeight="1" x14ac:dyDescent="0.55000000000000004">
      <c r="B1" s="51"/>
      <c r="C1" s="52"/>
      <c r="D1" s="52"/>
      <c r="F1" s="265" t="s">
        <v>120</v>
      </c>
      <c r="G1" s="265"/>
    </row>
    <row r="2" spans="1:37" ht="24.75" customHeight="1" x14ac:dyDescent="0.55000000000000004">
      <c r="D2" s="52"/>
      <c r="F2" s="266" t="s">
        <v>0</v>
      </c>
      <c r="G2" s="266"/>
    </row>
    <row r="3" spans="1:37" x14ac:dyDescent="0.55000000000000004">
      <c r="B3" s="54"/>
      <c r="F3" s="55"/>
      <c r="G3" s="55"/>
    </row>
    <row r="4" spans="1:37" x14ac:dyDescent="0.55000000000000004">
      <c r="F4" s="56" t="s">
        <v>128</v>
      </c>
      <c r="G4" s="57" t="s">
        <v>129</v>
      </c>
    </row>
    <row r="5" spans="1:37" x14ac:dyDescent="0.55000000000000004">
      <c r="F5" s="58" t="s">
        <v>130</v>
      </c>
      <c r="G5" s="59" t="s">
        <v>131</v>
      </c>
    </row>
    <row r="6" spans="1:37" x14ac:dyDescent="0.55000000000000004">
      <c r="D6" s="50" t="s">
        <v>107</v>
      </c>
      <c r="F6" s="58" t="s">
        <v>132</v>
      </c>
      <c r="G6" s="60" t="s">
        <v>193</v>
      </c>
    </row>
    <row r="7" spans="1:37" ht="21.75" customHeight="1" x14ac:dyDescent="0.55000000000000004">
      <c r="F7" s="58" t="s">
        <v>134</v>
      </c>
      <c r="G7" s="60" t="s">
        <v>135</v>
      </c>
      <c r="J7" s="50" t="s">
        <v>119</v>
      </c>
    </row>
    <row r="8" spans="1:37" x14ac:dyDescent="0.55000000000000004">
      <c r="F8" s="58" t="s">
        <v>136</v>
      </c>
      <c r="G8" s="61" t="s">
        <v>194</v>
      </c>
    </row>
    <row r="9" spans="1:37" x14ac:dyDescent="0.55000000000000004">
      <c r="F9" s="58" t="s">
        <v>137</v>
      </c>
      <c r="G9" s="60" t="s">
        <v>138</v>
      </c>
      <c r="J9" s="50" t="s">
        <v>107</v>
      </c>
    </row>
    <row r="10" spans="1:37" ht="27" customHeight="1" x14ac:dyDescent="0.55000000000000004">
      <c r="F10" s="58" t="s">
        <v>139</v>
      </c>
      <c r="G10" s="60" t="s">
        <v>140</v>
      </c>
    </row>
    <row r="11" spans="1:37" ht="29.4" thickBot="1" x14ac:dyDescent="0.6">
      <c r="F11" s="62" t="s">
        <v>141</v>
      </c>
      <c r="G11" s="63" t="s">
        <v>195</v>
      </c>
    </row>
    <row r="12" spans="1:37" ht="67.2" thickBot="1" x14ac:dyDescent="0.6">
      <c r="B12" s="64"/>
      <c r="M12" s="65"/>
      <c r="Q12" s="267" t="s">
        <v>1</v>
      </c>
      <c r="R12" s="268"/>
      <c r="S12" s="268"/>
      <c r="T12" s="269"/>
      <c r="U12" s="270" t="s">
        <v>2</v>
      </c>
      <c r="V12" s="271"/>
      <c r="W12" s="271"/>
      <c r="X12" s="272"/>
      <c r="Y12" s="66" t="s">
        <v>56</v>
      </c>
      <c r="Z12" s="67">
        <f>(1/(1-M14))-1</f>
        <v>0.24269914253759173</v>
      </c>
      <c r="AD12" s="273" t="s">
        <v>3</v>
      </c>
      <c r="AE12" s="274"/>
      <c r="AF12" s="275"/>
      <c r="AH12" s="256" t="s">
        <v>58</v>
      </c>
      <c r="AI12" s="257"/>
      <c r="AK12" s="68" t="s">
        <v>60</v>
      </c>
    </row>
    <row r="13" spans="1:37" ht="29.4" thickBot="1" x14ac:dyDescent="0.6">
      <c r="A13" s="69" t="s">
        <v>4</v>
      </c>
      <c r="B13" s="70" t="s">
        <v>5</v>
      </c>
      <c r="C13" s="69" t="s">
        <v>6</v>
      </c>
      <c r="D13" s="69" t="s">
        <v>7</v>
      </c>
      <c r="E13" s="69" t="s">
        <v>8</v>
      </c>
      <c r="M13" s="71">
        <v>0.80469999999999997</v>
      </c>
    </row>
    <row r="14" spans="1:37" ht="48.75" customHeight="1" thickBot="1" x14ac:dyDescent="0.45">
      <c r="A14" s="72">
        <v>0</v>
      </c>
      <c r="B14" s="73"/>
      <c r="C14" s="74"/>
      <c r="D14" s="75"/>
      <c r="E14" s="75"/>
      <c r="F14" s="76" t="s">
        <v>84</v>
      </c>
      <c r="G14" s="77" t="s">
        <v>85</v>
      </c>
      <c r="H14" s="78" t="s">
        <v>86</v>
      </c>
      <c r="I14" s="78" t="s">
        <v>87</v>
      </c>
      <c r="J14" s="79" t="s">
        <v>88</v>
      </c>
      <c r="K14" s="80" t="s">
        <v>9</v>
      </c>
      <c r="L14" s="81">
        <v>0.08</v>
      </c>
      <c r="M14" s="82">
        <f>1-M13</f>
        <v>0.19530000000000003</v>
      </c>
      <c r="N14" s="83" t="s">
        <v>82</v>
      </c>
      <c r="Q14" s="84" t="s">
        <v>89</v>
      </c>
      <c r="R14" s="85" t="s">
        <v>90</v>
      </c>
      <c r="S14" s="86" t="s">
        <v>91</v>
      </c>
      <c r="T14" s="87" t="s">
        <v>92</v>
      </c>
      <c r="U14" s="88" t="s">
        <v>93</v>
      </c>
      <c r="V14" s="89" t="s">
        <v>94</v>
      </c>
      <c r="W14" s="90" t="s">
        <v>95</v>
      </c>
      <c r="X14" s="90" t="s">
        <v>96</v>
      </c>
      <c r="Y14" s="91" t="s">
        <v>97</v>
      </c>
      <c r="Z14" s="92" t="s">
        <v>98</v>
      </c>
      <c r="AA14" s="93" t="s">
        <v>83</v>
      </c>
      <c r="AB14" s="260" t="s">
        <v>59</v>
      </c>
      <c r="AC14" s="260"/>
      <c r="AD14" s="94" t="s">
        <v>99</v>
      </c>
      <c r="AE14" s="95" t="s">
        <v>100</v>
      </c>
      <c r="AF14" s="95" t="s">
        <v>33</v>
      </c>
      <c r="AH14" s="96" t="s">
        <v>101</v>
      </c>
      <c r="AI14" s="97" t="s">
        <v>102</v>
      </c>
    </row>
    <row r="15" spans="1:37" ht="30" customHeight="1" thickBot="1" x14ac:dyDescent="0.6">
      <c r="A15" s="75">
        <v>1</v>
      </c>
      <c r="B15" s="98">
        <v>1</v>
      </c>
      <c r="C15" s="99" t="s">
        <v>121</v>
      </c>
      <c r="D15" s="75"/>
      <c r="E15" s="75"/>
      <c r="F15" s="244" t="s">
        <v>127</v>
      </c>
      <c r="G15" s="245"/>
      <c r="H15" s="245"/>
      <c r="I15" s="245"/>
      <c r="J15" s="245"/>
      <c r="K15" s="245"/>
      <c r="L15" s="245"/>
      <c r="M15" s="245"/>
      <c r="N15" s="261"/>
      <c r="Q15" s="247" t="str">
        <f>IF(F15&lt;&gt;"",F15,"")</f>
        <v>INTERNOS OGGI</v>
      </c>
      <c r="R15" s="248"/>
      <c r="S15" s="248"/>
      <c r="T15" s="248"/>
      <c r="U15" s="248"/>
      <c r="V15" s="248"/>
      <c r="W15" s="248"/>
      <c r="X15" s="248"/>
      <c r="Y15" s="249"/>
      <c r="AB15" s="211"/>
      <c r="AC15" s="211"/>
    </row>
    <row r="16" spans="1:37" ht="30" customHeight="1" x14ac:dyDescent="0.45">
      <c r="A16" s="75">
        <v>2</v>
      </c>
      <c r="B16" s="98" t="s">
        <v>123</v>
      </c>
      <c r="C16" s="99" t="s">
        <v>122</v>
      </c>
      <c r="D16" s="75"/>
      <c r="E16" s="75"/>
      <c r="F16" s="250" t="s">
        <v>127</v>
      </c>
      <c r="G16" s="251"/>
      <c r="H16" s="251"/>
      <c r="I16" s="251"/>
      <c r="J16" s="251"/>
      <c r="K16" s="252"/>
      <c r="L16" s="100" t="s">
        <v>124</v>
      </c>
      <c r="M16" s="101" t="s">
        <v>125</v>
      </c>
      <c r="N16" s="102" t="s">
        <v>82</v>
      </c>
      <c r="Q16" s="262" t="str">
        <f>IF(F16&lt;&gt;"",F16,"")</f>
        <v>INTERNOS OGGI</v>
      </c>
      <c r="R16" s="263"/>
      <c r="S16" s="263"/>
      <c r="T16" s="263"/>
      <c r="U16" s="263"/>
      <c r="V16" s="263"/>
      <c r="W16" s="263"/>
      <c r="X16" s="263"/>
      <c r="Y16" s="264"/>
      <c r="Z16" s="103" t="s">
        <v>126</v>
      </c>
      <c r="AA16" s="104" t="s">
        <v>83</v>
      </c>
      <c r="AB16" s="212" t="s">
        <v>103</v>
      </c>
      <c r="AC16" s="213" t="s">
        <v>104</v>
      </c>
    </row>
    <row r="17" spans="1:38" ht="121.95" customHeight="1" x14ac:dyDescent="0.55000000000000004">
      <c r="A17" s="75">
        <v>3</v>
      </c>
      <c r="B17" s="98" t="s">
        <v>150</v>
      </c>
      <c r="C17" s="99" t="s">
        <v>149</v>
      </c>
      <c r="D17" s="75" t="s">
        <v>156</v>
      </c>
      <c r="E17" s="75" t="s">
        <v>157</v>
      </c>
      <c r="F17" s="105" t="s">
        <v>143</v>
      </c>
      <c r="G17" s="106" t="s">
        <v>144</v>
      </c>
      <c r="H17" s="107">
        <v>1</v>
      </c>
      <c r="I17" s="107">
        <v>1</v>
      </c>
      <c r="J17" s="108">
        <v>2000</v>
      </c>
      <c r="K17" s="108">
        <f>IF(F17&lt;&gt;"",H17*I17*J17,"")</f>
        <v>2000</v>
      </c>
      <c r="L17" s="108">
        <f>IF(K17&lt;&gt;"",IF(D17="INTERNO",0,K17*$L$14),"")</f>
        <v>0</v>
      </c>
      <c r="M17" s="108">
        <f>IF(K17&lt;&gt;"",IF(E17="FAT.OGGI",SUM(K17:L17)*(1/(1-$M$14)-1),L17*(1/(1-$M$14)-1)),0)</f>
        <v>485.39828507518348</v>
      </c>
      <c r="N17" s="109">
        <f>SUM(K17:M17)</f>
        <v>2485.3982850751836</v>
      </c>
      <c r="Q17" s="110">
        <f t="shared" ref="Q17:R18" si="0">IF(H17&lt;&gt;"",H17,"")</f>
        <v>1</v>
      </c>
      <c r="R17" s="111">
        <f t="shared" si="0"/>
        <v>1</v>
      </c>
      <c r="S17" s="112">
        <v>300</v>
      </c>
      <c r="T17" s="112">
        <v>670</v>
      </c>
      <c r="U17" s="113">
        <f>IF(Q17&lt;&gt;"",K17-T17,"")</f>
        <v>1330</v>
      </c>
      <c r="V17" s="114">
        <f>IF(Q17&lt;&gt;"",0%,"")</f>
        <v>0</v>
      </c>
      <c r="W17" s="115">
        <f>IF(Q17&lt;&gt;"",V17*U17,"")</f>
        <v>0</v>
      </c>
      <c r="X17" s="115">
        <f>IF(Q17&lt;&gt;"",W17+T17,"")</f>
        <v>670</v>
      </c>
      <c r="Y17" s="116">
        <f>IF(Q17&lt;&gt;"",X17+M17,"")</f>
        <v>1155.3982850751836</v>
      </c>
      <c r="Z17" s="117">
        <f>IF(Q17&lt;&gt;"", IFERROR(U17/K17, 0), 0)</f>
        <v>0.66500000000000004</v>
      </c>
      <c r="AA17" s="118">
        <f>IFERROR(T17/$T$19, "")</f>
        <v>1</v>
      </c>
      <c r="AB17" s="214">
        <f>X17-AC17</f>
        <v>0</v>
      </c>
      <c r="AC17" s="215">
        <v>670</v>
      </c>
      <c r="AL17" s="237" t="s">
        <v>251</v>
      </c>
    </row>
    <row r="18" spans="1:38" ht="68.55" customHeight="1" x14ac:dyDescent="0.55000000000000004">
      <c r="A18" s="75">
        <v>4</v>
      </c>
      <c r="B18" s="98" t="s">
        <v>105</v>
      </c>
      <c r="C18" s="99" t="s">
        <v>149</v>
      </c>
      <c r="D18" s="75" t="s">
        <v>156</v>
      </c>
      <c r="E18" s="75" t="s">
        <v>157</v>
      </c>
      <c r="F18" s="119" t="s">
        <v>147</v>
      </c>
      <c r="G18" s="120" t="s">
        <v>148</v>
      </c>
      <c r="H18" s="121">
        <v>1</v>
      </c>
      <c r="I18" s="121">
        <v>1</v>
      </c>
      <c r="J18" s="122">
        <v>900</v>
      </c>
      <c r="K18" s="122">
        <f>IF(F18&lt;&gt;"",H18*I18*J18,"")</f>
        <v>900</v>
      </c>
      <c r="L18" s="122">
        <f>IF(K18&lt;&gt;"",IF(D18="INTERNO",0,K18*$L$14),"")</f>
        <v>0</v>
      </c>
      <c r="M18" s="122">
        <f>IF(K18&lt;&gt;"",IF(E18="FAT.OGGI",SUM(K18:L18)*(1/(1-$M$14)-1),L18*(1/(1-$M$14)-1)),0)</f>
        <v>218.42922828383254</v>
      </c>
      <c r="N18" s="123">
        <f>SUM(K18:M18)</f>
        <v>1118.4292282838326</v>
      </c>
      <c r="Q18" s="124">
        <f t="shared" si="0"/>
        <v>1</v>
      </c>
      <c r="R18" s="125">
        <f t="shared" si="0"/>
        <v>1</v>
      </c>
      <c r="S18" s="126">
        <v>0</v>
      </c>
      <c r="T18" s="126">
        <f>IF(Q18&lt;&gt;"",Q18*R18*S18,"")</f>
        <v>0</v>
      </c>
      <c r="U18" s="127">
        <f>IF(Q18&lt;&gt;"",K18-T18,"")</f>
        <v>900</v>
      </c>
      <c r="V18" s="128">
        <f>IF(Q18&lt;&gt;"",0%,"")</f>
        <v>0</v>
      </c>
      <c r="W18" s="129">
        <f>IF(Q18&lt;&gt;"",V18*U18,"")</f>
        <v>0</v>
      </c>
      <c r="X18" s="129">
        <f>IF(Q18&lt;&gt;"",W18+T18,"")</f>
        <v>0</v>
      </c>
      <c r="Y18" s="130">
        <f>IF(Q18&lt;&gt;"",X18+M18,"")</f>
        <v>218.42922828383254</v>
      </c>
      <c r="Z18" s="117">
        <f>IF(Q18&lt;&gt;"", IFERROR(U18/K18, 0), 0)</f>
        <v>1</v>
      </c>
      <c r="AA18" s="118">
        <f>IFERROR(T18/$T$19, "")</f>
        <v>0</v>
      </c>
      <c r="AB18" s="214">
        <f t="shared" ref="AB18:AB27" si="1">X18-AC18</f>
        <v>0</v>
      </c>
      <c r="AC18" s="215"/>
    </row>
    <row r="19" spans="1:38" ht="31.05" customHeight="1" thickBot="1" x14ac:dyDescent="0.6">
      <c r="A19" s="75">
        <v>5</v>
      </c>
      <c r="B19" s="98"/>
      <c r="C19" s="99" t="s">
        <v>152</v>
      </c>
      <c r="D19" s="75"/>
      <c r="E19" s="75"/>
      <c r="F19" s="258" t="s">
        <v>153</v>
      </c>
      <c r="G19" s="259"/>
      <c r="H19" s="259"/>
      <c r="I19" s="259"/>
      <c r="J19" s="259"/>
      <c r="K19" s="131">
        <f>SUM(K17:K18)</f>
        <v>2900</v>
      </c>
      <c r="L19" s="131">
        <f>SUM(L17:L18)</f>
        <v>0</v>
      </c>
      <c r="M19" s="131">
        <f>SUM(M17:M18)</f>
        <v>703.82751335901605</v>
      </c>
      <c r="N19" s="132">
        <f>SUM(N17:N18)</f>
        <v>3603.8275133590159</v>
      </c>
      <c r="Q19" s="258" t="s">
        <v>153</v>
      </c>
      <c r="R19" s="259"/>
      <c r="S19" s="259"/>
      <c r="T19" s="133">
        <f>SUM(T17:T18)</f>
        <v>670</v>
      </c>
      <c r="U19" s="134">
        <f>SUM(U17:U18)</f>
        <v>2230</v>
      </c>
      <c r="V19" s="135"/>
      <c r="W19" s="135"/>
      <c r="X19" s="136">
        <f>SUM(X17:X18)</f>
        <v>670</v>
      </c>
      <c r="Y19" s="137">
        <f>IF(Q19&lt;&gt;"",X19+M19,"")</f>
        <v>1373.8275133590159</v>
      </c>
      <c r="AB19" s="214"/>
      <c r="AC19" s="215"/>
    </row>
    <row r="20" spans="1:38" ht="31.05" customHeight="1" thickBot="1" x14ac:dyDescent="0.6">
      <c r="A20" s="75">
        <v>6</v>
      </c>
      <c r="B20" s="98">
        <v>2</v>
      </c>
      <c r="C20" s="99" t="s">
        <v>121</v>
      </c>
      <c r="D20" s="75"/>
      <c r="E20" s="75"/>
      <c r="F20" s="244" t="s">
        <v>155</v>
      </c>
      <c r="G20" s="245"/>
      <c r="H20" s="245"/>
      <c r="I20" s="245"/>
      <c r="J20" s="245"/>
      <c r="K20" s="245"/>
      <c r="L20" s="245"/>
      <c r="M20" s="245"/>
      <c r="N20" s="246"/>
      <c r="Q20" s="247" t="str">
        <f>IF(F20&lt;&gt;"",F20,"")</f>
        <v>OPERACIONAL</v>
      </c>
      <c r="R20" s="248"/>
      <c r="S20" s="248"/>
      <c r="T20" s="248"/>
      <c r="U20" s="248"/>
      <c r="V20" s="248"/>
      <c r="W20" s="248"/>
      <c r="X20" s="248"/>
      <c r="Y20" s="249"/>
      <c r="AB20" s="214">
        <f t="shared" si="1"/>
        <v>0</v>
      </c>
      <c r="AC20" s="215"/>
    </row>
    <row r="21" spans="1:38" ht="31.05" customHeight="1" x14ac:dyDescent="0.55000000000000004">
      <c r="A21" s="75">
        <v>7</v>
      </c>
      <c r="B21" s="98" t="s">
        <v>154</v>
      </c>
      <c r="C21" s="99" t="s">
        <v>122</v>
      </c>
      <c r="D21" s="75"/>
      <c r="E21" s="75"/>
      <c r="F21" s="250" t="s">
        <v>196</v>
      </c>
      <c r="G21" s="251"/>
      <c r="H21" s="251"/>
      <c r="I21" s="251"/>
      <c r="J21" s="251"/>
      <c r="K21" s="252"/>
      <c r="L21" s="100" t="s">
        <v>124</v>
      </c>
      <c r="M21" s="101" t="s">
        <v>125</v>
      </c>
      <c r="N21" s="138" t="s">
        <v>82</v>
      </c>
      <c r="Q21" s="253" t="str">
        <f>IF(F21&lt;&gt;"",F21,"")</f>
        <v>CAMAROTE</v>
      </c>
      <c r="R21" s="254"/>
      <c r="S21" s="254"/>
      <c r="T21" s="254"/>
      <c r="U21" s="254"/>
      <c r="V21" s="254"/>
      <c r="W21" s="254"/>
      <c r="X21" s="254"/>
      <c r="Y21" s="255"/>
      <c r="Z21" s="103" t="s">
        <v>126</v>
      </c>
      <c r="AA21" s="104" t="s">
        <v>83</v>
      </c>
      <c r="AB21" s="214">
        <f t="shared" si="1"/>
        <v>0</v>
      </c>
      <c r="AC21" s="215"/>
    </row>
    <row r="22" spans="1:38" ht="94.5" customHeight="1" x14ac:dyDescent="0.55000000000000004">
      <c r="A22" s="75">
        <v>8</v>
      </c>
      <c r="B22" s="98" t="s">
        <v>158</v>
      </c>
      <c r="C22" s="99" t="s">
        <v>149</v>
      </c>
      <c r="D22" s="75" t="s">
        <v>155</v>
      </c>
      <c r="E22" s="75" t="s">
        <v>178</v>
      </c>
      <c r="F22" s="139" t="s">
        <v>197</v>
      </c>
      <c r="G22" s="140" t="s">
        <v>198</v>
      </c>
      <c r="H22" s="141">
        <v>1</v>
      </c>
      <c r="I22" s="141">
        <v>1</v>
      </c>
      <c r="J22" s="122">
        <v>78400</v>
      </c>
      <c r="K22" s="108">
        <f t="shared" ref="K22:K27" si="2">IF(F22&lt;&gt;"",H22*I22*J22,"")</f>
        <v>78400</v>
      </c>
      <c r="L22" s="108">
        <f t="shared" ref="L22:L27" si="3">IF(K22&lt;&gt;"",IF(D22="INTERNO",0,K22*$L$14),"")</f>
        <v>6272</v>
      </c>
      <c r="M22" s="108">
        <f t="shared" ref="M22:M27" si="4">IF(K22&lt;&gt;"",IF(E22="FAT.OGGI",SUM(K22:L22)*(1/(1-$M$14)-1),L22*(1/(1-$M$14)-1)),0)</f>
        <v>1522.2090219957754</v>
      </c>
      <c r="N22" s="109">
        <f t="shared" ref="N22:N27" si="5">SUM(K22:M22)</f>
        <v>86194.209021995775</v>
      </c>
      <c r="Q22" s="142">
        <f t="shared" ref="Q22:R24" si="6">IF(H22&lt;&gt;"",H22,"")</f>
        <v>1</v>
      </c>
      <c r="R22" s="143">
        <f t="shared" si="6"/>
        <v>1</v>
      </c>
      <c r="S22" s="144">
        <v>75700</v>
      </c>
      <c r="T22" s="144">
        <v>78400</v>
      </c>
      <c r="U22" s="145">
        <f t="shared" ref="U22:U27" si="7">IF(Q22&lt;&gt;"",K22-T22,"")</f>
        <v>0</v>
      </c>
      <c r="V22" s="146">
        <f t="shared" ref="V22:V27" si="8">IF(Q22&lt;&gt;"",0%,"")</f>
        <v>0</v>
      </c>
      <c r="W22" s="147">
        <f t="shared" ref="W22:W27" si="9">IF(Q22&lt;&gt;"",V22*U22,"")</f>
        <v>0</v>
      </c>
      <c r="X22" s="147">
        <f t="shared" ref="X22:X27" si="10">IF(Q22&lt;&gt;"",W22+T22,"")</f>
        <v>78400</v>
      </c>
      <c r="Y22" s="130">
        <f t="shared" ref="Y22:Y28" si="11">IF(Q22&lt;&gt;"",X22+M22,"")</f>
        <v>79922.209021995775</v>
      </c>
      <c r="Z22" s="117">
        <f t="shared" ref="Z22:Z27" si="12">IF(Q22&lt;&gt;"", IFERROR(U22/K22, 0), 0)</f>
        <v>0</v>
      </c>
      <c r="AA22" s="118" t="str">
        <f>IFERROR(T22/#REF!, "")</f>
        <v/>
      </c>
      <c r="AB22" s="214">
        <f t="shared" si="1"/>
        <v>0</v>
      </c>
      <c r="AC22" s="215">
        <f>23520+54880</f>
        <v>78400</v>
      </c>
      <c r="AL22" s="237" t="s">
        <v>258</v>
      </c>
    </row>
    <row r="23" spans="1:38" ht="55.05" customHeight="1" x14ac:dyDescent="0.55000000000000004">
      <c r="A23" s="75">
        <v>9</v>
      </c>
      <c r="B23" s="98" t="s">
        <v>208</v>
      </c>
      <c r="C23" s="99" t="s">
        <v>149</v>
      </c>
      <c r="D23" s="75" t="s">
        <v>155</v>
      </c>
      <c r="E23" s="75" t="s">
        <v>178</v>
      </c>
      <c r="F23" s="139" t="s">
        <v>199</v>
      </c>
      <c r="G23" s="140" t="s">
        <v>200</v>
      </c>
      <c r="H23" s="141">
        <v>2</v>
      </c>
      <c r="I23" s="141">
        <v>1</v>
      </c>
      <c r="J23" s="122">
        <v>1600</v>
      </c>
      <c r="K23" s="108">
        <f t="shared" si="2"/>
        <v>3200</v>
      </c>
      <c r="L23" s="108">
        <f t="shared" si="3"/>
        <v>256</v>
      </c>
      <c r="M23" s="108">
        <f t="shared" si="4"/>
        <v>62.130980489623482</v>
      </c>
      <c r="N23" s="109">
        <f t="shared" si="5"/>
        <v>3518.1309804896237</v>
      </c>
      <c r="Q23" s="142">
        <f t="shared" si="6"/>
        <v>2</v>
      </c>
      <c r="R23" s="143">
        <f t="shared" si="6"/>
        <v>1</v>
      </c>
      <c r="S23" s="144">
        <v>1000</v>
      </c>
      <c r="T23" s="144">
        <f t="shared" ref="T23:T27" si="13">IF(Q23&lt;&gt;"",Q23*R23*S23,"")</f>
        <v>2000</v>
      </c>
      <c r="U23" s="145">
        <f t="shared" si="7"/>
        <v>1200</v>
      </c>
      <c r="V23" s="146">
        <f t="shared" si="8"/>
        <v>0</v>
      </c>
      <c r="W23" s="147">
        <f t="shared" si="9"/>
        <v>0</v>
      </c>
      <c r="X23" s="147">
        <f t="shared" si="10"/>
        <v>2000</v>
      </c>
      <c r="Y23" s="130">
        <f t="shared" si="11"/>
        <v>2062.1309804896237</v>
      </c>
      <c r="Z23" s="117">
        <f t="shared" si="12"/>
        <v>0.375</v>
      </c>
      <c r="AA23" s="118" t="str">
        <f>IFERROR(T23/#REF!, "")</f>
        <v/>
      </c>
      <c r="AB23" s="214">
        <f t="shared" si="1"/>
        <v>0</v>
      </c>
      <c r="AC23" s="215">
        <v>2000</v>
      </c>
      <c r="AL23" s="237" t="s">
        <v>264</v>
      </c>
    </row>
    <row r="24" spans="1:38" ht="133.19999999999999" x14ac:dyDescent="0.55000000000000004">
      <c r="A24" s="75">
        <v>10</v>
      </c>
      <c r="B24" s="98" t="s">
        <v>209</v>
      </c>
      <c r="C24" s="99" t="s">
        <v>149</v>
      </c>
      <c r="D24" s="75" t="s">
        <v>155</v>
      </c>
      <c r="E24" s="75" t="s">
        <v>178</v>
      </c>
      <c r="F24" s="139" t="s">
        <v>201</v>
      </c>
      <c r="G24" s="140" t="s">
        <v>202</v>
      </c>
      <c r="H24" s="148">
        <v>1</v>
      </c>
      <c r="I24" s="148">
        <v>1</v>
      </c>
      <c r="J24" s="149">
        <v>850</v>
      </c>
      <c r="K24" s="108">
        <f t="shared" si="2"/>
        <v>850</v>
      </c>
      <c r="L24" s="108">
        <f t="shared" si="3"/>
        <v>68</v>
      </c>
      <c r="M24" s="108">
        <f t="shared" si="4"/>
        <v>16.503541692556237</v>
      </c>
      <c r="N24" s="109">
        <f t="shared" si="5"/>
        <v>934.50354169255627</v>
      </c>
      <c r="Q24" s="142">
        <f t="shared" si="6"/>
        <v>1</v>
      </c>
      <c r="R24" s="143">
        <f t="shared" si="6"/>
        <v>1</v>
      </c>
      <c r="S24" s="144">
        <v>670</v>
      </c>
      <c r="T24" s="144"/>
      <c r="U24" s="145">
        <f t="shared" si="7"/>
        <v>850</v>
      </c>
      <c r="V24" s="146">
        <f t="shared" si="8"/>
        <v>0</v>
      </c>
      <c r="W24" s="147">
        <f t="shared" si="9"/>
        <v>0</v>
      </c>
      <c r="X24" s="147">
        <f t="shared" si="10"/>
        <v>0</v>
      </c>
      <c r="Y24" s="130">
        <f t="shared" si="11"/>
        <v>16.503541692556237</v>
      </c>
      <c r="Z24" s="117">
        <f t="shared" si="12"/>
        <v>1</v>
      </c>
      <c r="AA24" s="118" t="str">
        <f>IFERROR(T24/#REF!, "")</f>
        <v/>
      </c>
      <c r="AB24" s="214">
        <f t="shared" si="1"/>
        <v>0</v>
      </c>
      <c r="AC24" s="215"/>
    </row>
    <row r="25" spans="1:38" ht="133.19999999999999" x14ac:dyDescent="0.55000000000000004">
      <c r="A25" s="75">
        <v>11</v>
      </c>
      <c r="B25" s="98" t="s">
        <v>210</v>
      </c>
      <c r="C25" s="99" t="s">
        <v>149</v>
      </c>
      <c r="D25" s="75" t="s">
        <v>155</v>
      </c>
      <c r="E25" s="75" t="s">
        <v>178</v>
      </c>
      <c r="F25" s="139" t="s">
        <v>203</v>
      </c>
      <c r="G25" s="140" t="s">
        <v>204</v>
      </c>
      <c r="H25" s="141">
        <v>20</v>
      </c>
      <c r="I25" s="141">
        <v>1</v>
      </c>
      <c r="J25" s="150">
        <v>60</v>
      </c>
      <c r="K25" s="108">
        <f t="shared" si="2"/>
        <v>1200</v>
      </c>
      <c r="L25" s="108">
        <f t="shared" si="3"/>
        <v>96</v>
      </c>
      <c r="M25" s="108">
        <f t="shared" si="4"/>
        <v>23.299117683608806</v>
      </c>
      <c r="N25" s="109">
        <f t="shared" si="5"/>
        <v>1319.2991176836088</v>
      </c>
      <c r="O25" s="50" t="s">
        <v>214</v>
      </c>
      <c r="Q25" s="142">
        <v>1</v>
      </c>
      <c r="R25" s="143">
        <f>IF(I25&lt;&gt;"",I25,"")</f>
        <v>1</v>
      </c>
      <c r="S25" s="144">
        <v>448</v>
      </c>
      <c r="T25" s="144">
        <v>1000</v>
      </c>
      <c r="U25" s="145">
        <f t="shared" si="7"/>
        <v>200</v>
      </c>
      <c r="V25" s="146">
        <f t="shared" si="8"/>
        <v>0</v>
      </c>
      <c r="W25" s="147">
        <f t="shared" si="9"/>
        <v>0</v>
      </c>
      <c r="X25" s="147">
        <f t="shared" si="10"/>
        <v>1000</v>
      </c>
      <c r="Y25" s="130">
        <f t="shared" si="11"/>
        <v>1023.2991176836088</v>
      </c>
      <c r="Z25" s="117">
        <f t="shared" si="12"/>
        <v>0.16666666666666666</v>
      </c>
      <c r="AA25" s="118" t="str">
        <f>IFERROR(T25/#REF!, "")</f>
        <v/>
      </c>
      <c r="AB25" s="214">
        <f t="shared" si="1"/>
        <v>0</v>
      </c>
      <c r="AC25" s="215">
        <v>1000</v>
      </c>
      <c r="AL25" s="237" t="s">
        <v>252</v>
      </c>
    </row>
    <row r="26" spans="1:38" ht="76.5" customHeight="1" x14ac:dyDescent="0.55000000000000004">
      <c r="A26" s="75">
        <v>12</v>
      </c>
      <c r="B26" s="98" t="s">
        <v>211</v>
      </c>
      <c r="C26" s="99" t="s">
        <v>149</v>
      </c>
      <c r="D26" s="75" t="s">
        <v>155</v>
      </c>
      <c r="E26" s="75" t="s">
        <v>178</v>
      </c>
      <c r="F26" s="139" t="s">
        <v>176</v>
      </c>
      <c r="G26" s="140" t="s">
        <v>205</v>
      </c>
      <c r="H26" s="141">
        <v>1</v>
      </c>
      <c r="I26" s="141">
        <v>1</v>
      </c>
      <c r="J26" s="150">
        <v>1400</v>
      </c>
      <c r="K26" s="108">
        <f t="shared" si="2"/>
        <v>1400</v>
      </c>
      <c r="L26" s="108">
        <f t="shared" si="3"/>
        <v>112</v>
      </c>
      <c r="M26" s="108">
        <f t="shared" si="4"/>
        <v>27.182303964210274</v>
      </c>
      <c r="N26" s="109">
        <f t="shared" si="5"/>
        <v>1539.1823039642102</v>
      </c>
      <c r="O26" s="50" t="s">
        <v>215</v>
      </c>
      <c r="Q26" s="142">
        <f>IF(H26&lt;&gt;"",H26,"")</f>
        <v>1</v>
      </c>
      <c r="R26" s="143">
        <f>IF(I26&lt;&gt;"",I26,"")</f>
        <v>1</v>
      </c>
      <c r="S26" s="144">
        <f>500+736.59</f>
        <v>1236.5900000000001</v>
      </c>
      <c r="T26" s="144">
        <v>500</v>
      </c>
      <c r="U26" s="145">
        <f t="shared" si="7"/>
        <v>900</v>
      </c>
      <c r="V26" s="146">
        <f t="shared" si="8"/>
        <v>0</v>
      </c>
      <c r="W26" s="147">
        <f t="shared" si="9"/>
        <v>0</v>
      </c>
      <c r="X26" s="147">
        <f t="shared" si="10"/>
        <v>500</v>
      </c>
      <c r="Y26" s="130">
        <f t="shared" si="11"/>
        <v>527.18230396421029</v>
      </c>
      <c r="Z26" s="117">
        <f t="shared" si="12"/>
        <v>0.6428571428571429</v>
      </c>
      <c r="AA26" s="118" t="str">
        <f>IFERROR(T26/#REF!, "")</f>
        <v/>
      </c>
      <c r="AB26" s="214">
        <f t="shared" si="1"/>
        <v>0</v>
      </c>
      <c r="AC26" s="215">
        <v>500</v>
      </c>
      <c r="AL26" s="237" t="s">
        <v>266</v>
      </c>
    </row>
    <row r="27" spans="1:38" ht="52.05" customHeight="1" thickBot="1" x14ac:dyDescent="0.6">
      <c r="A27" s="75">
        <v>13</v>
      </c>
      <c r="B27" s="98" t="s">
        <v>212</v>
      </c>
      <c r="C27" s="99" t="s">
        <v>149</v>
      </c>
      <c r="D27" s="75" t="s">
        <v>155</v>
      </c>
      <c r="E27" s="75" t="s">
        <v>178</v>
      </c>
      <c r="F27" s="119" t="s">
        <v>206</v>
      </c>
      <c r="G27" s="120" t="s">
        <v>207</v>
      </c>
      <c r="H27" s="141">
        <v>2</v>
      </c>
      <c r="I27" s="141">
        <v>1</v>
      </c>
      <c r="J27" s="122">
        <v>600</v>
      </c>
      <c r="K27" s="122">
        <f t="shared" si="2"/>
        <v>1200</v>
      </c>
      <c r="L27" s="122">
        <f t="shared" si="3"/>
        <v>96</v>
      </c>
      <c r="M27" s="122">
        <f t="shared" si="4"/>
        <v>23.299117683608806</v>
      </c>
      <c r="N27" s="123">
        <f t="shared" si="5"/>
        <v>1319.2991176836088</v>
      </c>
      <c r="Q27" s="142">
        <v>1</v>
      </c>
      <c r="R27" s="143">
        <f>IF(I27&lt;&gt;"",I27,"")</f>
        <v>1</v>
      </c>
      <c r="S27" s="144">
        <v>1200</v>
      </c>
      <c r="T27" s="144">
        <f t="shared" si="13"/>
        <v>1200</v>
      </c>
      <c r="U27" s="145">
        <f t="shared" si="7"/>
        <v>0</v>
      </c>
      <c r="V27" s="146">
        <f t="shared" si="8"/>
        <v>0</v>
      </c>
      <c r="W27" s="147">
        <f t="shared" si="9"/>
        <v>0</v>
      </c>
      <c r="X27" s="147">
        <f t="shared" si="10"/>
        <v>1200</v>
      </c>
      <c r="Y27" s="130">
        <f t="shared" si="11"/>
        <v>1223.2991176836088</v>
      </c>
      <c r="Z27" s="151">
        <f t="shared" si="12"/>
        <v>0</v>
      </c>
      <c r="AA27" s="152" t="str">
        <f>IFERROR(T27/#REF!, "")</f>
        <v/>
      </c>
      <c r="AB27" s="214">
        <f t="shared" si="1"/>
        <v>0</v>
      </c>
      <c r="AC27" s="215">
        <v>1200</v>
      </c>
      <c r="AL27" s="237" t="s">
        <v>253</v>
      </c>
    </row>
    <row r="28" spans="1:38" ht="52.5" customHeight="1" thickBot="1" x14ac:dyDescent="0.6">
      <c r="A28" s="153">
        <v>14</v>
      </c>
      <c r="C28" s="75" t="s">
        <v>186</v>
      </c>
      <c r="D28" s="75"/>
      <c r="E28" s="75"/>
      <c r="F28" s="240" t="s">
        <v>187</v>
      </c>
      <c r="G28" s="241"/>
      <c r="H28" s="241"/>
      <c r="I28" s="241"/>
      <c r="J28" s="241"/>
      <c r="K28" s="154">
        <f>SUM(K22:K27)</f>
        <v>86250</v>
      </c>
      <c r="L28" s="154">
        <f>SUM(L22:L27)</f>
        <v>6900</v>
      </c>
      <c r="M28" s="154">
        <f>SUM(M22:M27)</f>
        <v>1674.6240835093827</v>
      </c>
      <c r="N28" s="155">
        <f>SUM(N22:N27)</f>
        <v>94824.624083509378</v>
      </c>
      <c r="Q28" s="242" t="s">
        <v>187</v>
      </c>
      <c r="R28" s="243"/>
      <c r="S28" s="243"/>
      <c r="T28" s="156"/>
      <c r="U28" s="157">
        <f>SUM(U22:U27)</f>
        <v>3150</v>
      </c>
      <c r="V28" s="158"/>
      <c r="W28" s="158"/>
      <c r="X28" s="159">
        <f>SUM(X22:X27)</f>
        <v>83100</v>
      </c>
      <c r="Y28" s="160">
        <f t="shared" si="11"/>
        <v>84774.624083509378</v>
      </c>
      <c r="Z28" s="161" t="s">
        <v>191</v>
      </c>
      <c r="AA28" s="162" t="s">
        <v>192</v>
      </c>
      <c r="AB28" s="214"/>
      <c r="AC28" s="215"/>
    </row>
    <row r="29" spans="1:38" ht="37.049999999999997" customHeight="1" thickBot="1" x14ac:dyDescent="0.6">
      <c r="A29" s="163">
        <v>15</v>
      </c>
      <c r="C29" s="164" t="s">
        <v>189</v>
      </c>
      <c r="D29" s="164"/>
      <c r="E29" s="164"/>
      <c r="F29" s="165" t="s">
        <v>213</v>
      </c>
      <c r="G29" s="166"/>
      <c r="H29" s="166"/>
      <c r="I29" s="166"/>
      <c r="J29" s="166"/>
      <c r="K29" s="167">
        <f>SUM(K17:K18)+SUM(K22:K27)</f>
        <v>89150</v>
      </c>
      <c r="L29" s="167">
        <f>SUM(L17:L18)+SUM(L22:L27)</f>
        <v>6900</v>
      </c>
      <c r="M29" s="167">
        <f>SUM(M17:M18)+SUM(M22:M27)</f>
        <v>2378.4515968683986</v>
      </c>
      <c r="N29" s="168">
        <f>SUM(N17:N18)+SUM(N22:N27)</f>
        <v>98428.451596868399</v>
      </c>
      <c r="Q29" s="165" t="s">
        <v>43</v>
      </c>
      <c r="R29" s="166"/>
      <c r="S29" s="166"/>
      <c r="T29" s="167">
        <f>SUM(T17:T18)+SUM(T22:T27)</f>
        <v>83770</v>
      </c>
      <c r="U29" s="167">
        <f>SUM(U17:U18)+SUM(U22:U27)</f>
        <v>5380</v>
      </c>
      <c r="V29" s="166"/>
      <c r="W29" s="166"/>
      <c r="X29" s="167">
        <f>SUM(X17:X18)+SUM(X22:X27)</f>
        <v>83770</v>
      </c>
      <c r="Y29" s="168">
        <f>SUM(Y17:Y18)+SUM(Y22:Y27)</f>
        <v>86148.451596868399</v>
      </c>
      <c r="Z29" s="169">
        <f>IF(Q29&lt;&gt;"",(N29-Y29)/N29,"")</f>
        <v>0.12476067438605019</v>
      </c>
      <c r="AA29" s="170">
        <f>IF(Z29&lt;&gt;"",(N29-Y29),"")</f>
        <v>12280</v>
      </c>
      <c r="AB29" s="214">
        <f>SUM(AB17:AB28)</f>
        <v>0</v>
      </c>
      <c r="AC29" s="215">
        <f>SUM(AC17:AC28)</f>
        <v>83770</v>
      </c>
    </row>
    <row r="30" spans="1:38" ht="42.6" customHeight="1" x14ac:dyDescent="0.55000000000000004"/>
    <row r="31" spans="1:38" ht="34.049999999999997" customHeight="1" x14ac:dyDescent="0.55000000000000004">
      <c r="AB31" s="236">
        <v>0</v>
      </c>
      <c r="AC31" s="216" t="s">
        <v>124</v>
      </c>
    </row>
    <row r="32" spans="1:38" ht="38.1" customHeight="1" x14ac:dyDescent="0.55000000000000004">
      <c r="AB32" s="236">
        <v>0</v>
      </c>
      <c r="AC32" s="216" t="s">
        <v>125</v>
      </c>
    </row>
    <row r="33" spans="28:29" x14ac:dyDescent="0.55000000000000004">
      <c r="AB33" s="236">
        <f>X29</f>
        <v>83770</v>
      </c>
      <c r="AC33" s="216" t="s">
        <v>249</v>
      </c>
    </row>
    <row r="34" spans="28:29" x14ac:dyDescent="0.55000000000000004">
      <c r="AB34" s="234">
        <f>N29-AB33</f>
        <v>14658.451596868399</v>
      </c>
      <c r="AC34" s="217" t="s">
        <v>242</v>
      </c>
    </row>
    <row r="35" spans="28:29" x14ac:dyDescent="0.55000000000000004">
      <c r="AB35" s="235">
        <f>AB34*100%/N29</f>
        <v>0.14892494354076349</v>
      </c>
      <c r="AC35" s="217"/>
    </row>
  </sheetData>
  <autoFilter ref="A1:AM14" xr:uid="{00000000-0009-0000-0000-000000000000}">
    <filterColumn colId="5" showButton="0"/>
  </autoFilter>
  <mergeCells count="19">
    <mergeCell ref="F1:G1"/>
    <mergeCell ref="F2:G2"/>
    <mergeCell ref="Q12:T12"/>
    <mergeCell ref="U12:X12"/>
    <mergeCell ref="AD12:AF12"/>
    <mergeCell ref="AH12:AI12"/>
    <mergeCell ref="F19:J19"/>
    <mergeCell ref="Q19:S19"/>
    <mergeCell ref="AB14:AC14"/>
    <mergeCell ref="F15:N15"/>
    <mergeCell ref="Q15:Y15"/>
    <mergeCell ref="F16:K16"/>
    <mergeCell ref="Q16:Y16"/>
    <mergeCell ref="F28:J28"/>
    <mergeCell ref="Q28:S28"/>
    <mergeCell ref="F20:N20"/>
    <mergeCell ref="Q20:Y20"/>
    <mergeCell ref="F21:K21"/>
    <mergeCell ref="Q21:Y21"/>
  </mergeCells>
  <dataValidations count="3">
    <dataValidation type="list" allowBlank="1" showInputMessage="1" showErrorMessage="1" sqref="E17:E18 E22:E27" xr:uid="{00000000-0002-0000-0000-000000000000}">
      <formula1>"FAT.OGGI,FAT.CLIENTE"</formula1>
    </dataValidation>
    <dataValidation type="list" allowBlank="1" showInputMessage="1" showErrorMessage="1" sqref="D17:D18 D22:D27 D29" xr:uid="{00000000-0002-0000-0000-000001000000}">
      <formula1>"INTERNO,OPERACIONAL"</formula1>
    </dataValidation>
    <dataValidation type="list" allowBlank="1" showInputMessage="1" showErrorMessage="1" sqref="E29" xr:uid="{00000000-0002-0000-0000-000002000000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1">
    <pageSetUpPr autoPageBreaks="0"/>
  </sheetPr>
  <dimension ref="A1:AL42"/>
  <sheetViews>
    <sheetView showGridLines="0" topLeftCell="K1" zoomScale="60" zoomScaleNormal="60" workbookViewId="0">
      <pane ySplit="1" topLeftCell="A30" activePane="bottomLeft" state="frozen"/>
      <selection pane="bottomLeft" activeCell="AO31" sqref="AO31"/>
    </sheetView>
  </sheetViews>
  <sheetFormatPr defaultColWidth="8.77734375" defaultRowHeight="25.8" x14ac:dyDescent="0.5"/>
  <cols>
    <col min="1" max="1" width="5" style="50" hidden="1" customWidth="1"/>
    <col min="2" max="2" width="7.77734375" style="172" customWidth="1"/>
    <col min="3" max="5" width="5" style="50" hidden="1" customWidth="1"/>
    <col min="6" max="6" width="34.21875" style="50" customWidth="1"/>
    <col min="7" max="7" width="42.77734375" style="50" bestFit="1" customWidth="1"/>
    <col min="8" max="8" width="5.21875" style="50" bestFit="1" customWidth="1"/>
    <col min="9" max="9" width="5.21875" style="50" customWidth="1"/>
    <col min="10" max="10" width="25" style="50" bestFit="1" customWidth="1"/>
    <col min="11" max="11" width="28.44140625" style="50" bestFit="1" customWidth="1"/>
    <col min="12" max="13" width="24.21875" style="50" bestFit="1" customWidth="1"/>
    <col min="14" max="14" width="28.44140625" style="50" bestFit="1" customWidth="1"/>
    <col min="15" max="15" width="12.77734375" style="50" hidden="1" customWidth="1"/>
    <col min="16" max="16" width="1.77734375" style="50" hidden="1" customWidth="1"/>
    <col min="17" max="17" width="10.21875" style="50" customWidth="1"/>
    <col min="18" max="18" width="8.21875" style="50" hidden="1" customWidth="1"/>
    <col min="19" max="19" width="25" style="50" hidden="1" customWidth="1"/>
    <col min="20" max="20" width="26.44140625" style="50" bestFit="1" customWidth="1"/>
    <col min="21" max="21" width="25" style="50" hidden="1" customWidth="1"/>
    <col min="22" max="22" width="9.77734375" style="50" hidden="1" customWidth="1"/>
    <col min="23" max="23" width="16.21875" style="50" hidden="1" customWidth="1"/>
    <col min="24" max="24" width="28.44140625" style="50" bestFit="1" customWidth="1"/>
    <col min="25" max="25" width="28.44140625" style="50" hidden="1" customWidth="1"/>
    <col min="26" max="26" width="24" style="50" hidden="1" customWidth="1"/>
    <col min="27" max="27" width="26.44140625" style="50" hidden="1" customWidth="1"/>
    <col min="28" max="28" width="31.44140625" style="209" customWidth="1"/>
    <col min="29" max="29" width="38.21875" style="209" customWidth="1"/>
    <col min="30" max="30" width="14.21875" style="50" hidden="1" customWidth="1"/>
    <col min="31" max="31" width="7.77734375" style="50" hidden="1" customWidth="1"/>
    <col min="32" max="32" width="6.77734375" style="50" hidden="1" customWidth="1"/>
    <col min="33" max="33" width="1.21875" style="50" hidden="1" customWidth="1"/>
    <col min="34" max="34" width="14" style="50" hidden="1" customWidth="1"/>
    <col min="35" max="35" width="11.77734375" style="50" hidden="1" customWidth="1"/>
    <col min="36" max="36" width="6.21875" style="50" hidden="1" customWidth="1"/>
    <col min="37" max="37" width="12.77734375" style="50" hidden="1" customWidth="1"/>
    <col min="38" max="38" width="16.109375" style="233" customWidth="1"/>
    <col min="39" max="39" width="13.5546875" style="50" bestFit="1" customWidth="1"/>
    <col min="40" max="40" width="8.77734375" style="50"/>
    <col min="41" max="41" width="21.21875" style="50" customWidth="1"/>
    <col min="42" max="16384" width="8.77734375" style="50"/>
  </cols>
  <sheetData>
    <row r="1" spans="1:37" ht="49.5" customHeight="1" x14ac:dyDescent="0.5">
      <c r="B1" s="171"/>
      <c r="C1" s="52"/>
      <c r="D1" s="52"/>
      <c r="F1" s="265" t="s">
        <v>120</v>
      </c>
      <c r="G1" s="265"/>
    </row>
    <row r="2" spans="1:37" ht="24.75" customHeight="1" x14ac:dyDescent="0.5">
      <c r="B2" s="53"/>
      <c r="D2" s="52"/>
      <c r="F2" s="266" t="s">
        <v>0</v>
      </c>
      <c r="G2" s="266"/>
    </row>
    <row r="3" spans="1:37" x14ac:dyDescent="0.5">
      <c r="B3" s="54"/>
      <c r="F3" s="55"/>
      <c r="G3" s="55"/>
    </row>
    <row r="4" spans="1:37" x14ac:dyDescent="0.5">
      <c r="F4" s="56" t="s">
        <v>128</v>
      </c>
      <c r="G4" s="57" t="s">
        <v>129</v>
      </c>
    </row>
    <row r="5" spans="1:37" x14ac:dyDescent="0.5">
      <c r="F5" s="58" t="s">
        <v>130</v>
      </c>
      <c r="G5" s="59" t="s">
        <v>131</v>
      </c>
    </row>
    <row r="6" spans="1:37" x14ac:dyDescent="0.5">
      <c r="D6" s="50" t="s">
        <v>107</v>
      </c>
      <c r="F6" s="58" t="s">
        <v>132</v>
      </c>
      <c r="G6" s="60" t="s">
        <v>133</v>
      </c>
    </row>
    <row r="7" spans="1:37" ht="21.75" customHeight="1" x14ac:dyDescent="0.5">
      <c r="F7" s="58" t="s">
        <v>134</v>
      </c>
      <c r="G7" s="60" t="s">
        <v>135</v>
      </c>
      <c r="J7" s="50" t="s">
        <v>119</v>
      </c>
    </row>
    <row r="8" spans="1:37" x14ac:dyDescent="0.5">
      <c r="F8" s="58" t="s">
        <v>136</v>
      </c>
      <c r="G8" s="61">
        <v>46002</v>
      </c>
    </row>
    <row r="9" spans="1:37" x14ac:dyDescent="0.5">
      <c r="F9" s="58" t="s">
        <v>137</v>
      </c>
      <c r="G9" s="60" t="s">
        <v>138</v>
      </c>
      <c r="J9" s="50" t="s">
        <v>107</v>
      </c>
    </row>
    <row r="10" spans="1:37" ht="27" customHeight="1" x14ac:dyDescent="0.5">
      <c r="F10" s="58" t="s">
        <v>139</v>
      </c>
      <c r="G10" s="60" t="s">
        <v>140</v>
      </c>
    </row>
    <row r="11" spans="1:37" ht="26.4" thickBot="1" x14ac:dyDescent="0.55000000000000004">
      <c r="F11" s="62" t="s">
        <v>141</v>
      </c>
      <c r="G11" s="63" t="s">
        <v>142</v>
      </c>
    </row>
    <row r="12" spans="1:37" ht="67.2" thickBot="1" x14ac:dyDescent="0.55000000000000004">
      <c r="B12" s="173"/>
      <c r="M12" s="65"/>
      <c r="Q12" s="267" t="s">
        <v>1</v>
      </c>
      <c r="R12" s="268"/>
      <c r="S12" s="268"/>
      <c r="T12" s="269"/>
      <c r="U12" s="270" t="s">
        <v>2</v>
      </c>
      <c r="V12" s="271"/>
      <c r="W12" s="271"/>
      <c r="X12" s="272"/>
      <c r="Y12" s="66" t="s">
        <v>56</v>
      </c>
      <c r="Z12" s="67">
        <f>(1/(1-M14))-1</f>
        <v>0.24269914253759173</v>
      </c>
      <c r="AD12" s="273" t="s">
        <v>3</v>
      </c>
      <c r="AE12" s="274"/>
      <c r="AF12" s="275"/>
      <c r="AH12" s="256" t="s">
        <v>58</v>
      </c>
      <c r="AI12" s="257"/>
      <c r="AK12" s="68" t="s">
        <v>60</v>
      </c>
    </row>
    <row r="13" spans="1:37" ht="26.4" thickBot="1" x14ac:dyDescent="0.55000000000000004">
      <c r="A13" s="69" t="s">
        <v>4</v>
      </c>
      <c r="B13" s="174" t="s">
        <v>5</v>
      </c>
      <c r="C13" s="69" t="s">
        <v>6</v>
      </c>
      <c r="D13" s="69" t="s">
        <v>7</v>
      </c>
      <c r="E13" s="69" t="s">
        <v>8</v>
      </c>
      <c r="M13" s="71">
        <v>0.80469999999999997</v>
      </c>
    </row>
    <row r="14" spans="1:37" ht="63.75" customHeight="1" thickBot="1" x14ac:dyDescent="0.45">
      <c r="A14" s="72">
        <v>0</v>
      </c>
      <c r="B14" s="175"/>
      <c r="C14" s="74"/>
      <c r="D14" s="75"/>
      <c r="E14" s="75"/>
      <c r="F14" s="76" t="s">
        <v>84</v>
      </c>
      <c r="G14" s="77" t="s">
        <v>85</v>
      </c>
      <c r="H14" s="78" t="s">
        <v>86</v>
      </c>
      <c r="I14" s="78" t="s">
        <v>87</v>
      </c>
      <c r="J14" s="79" t="s">
        <v>88</v>
      </c>
      <c r="K14" s="80" t="s">
        <v>9</v>
      </c>
      <c r="L14" s="81">
        <v>0.08</v>
      </c>
      <c r="M14" s="82">
        <f>1-M13</f>
        <v>0.19530000000000003</v>
      </c>
      <c r="N14" s="83" t="s">
        <v>82</v>
      </c>
      <c r="Q14" s="84" t="s">
        <v>89</v>
      </c>
      <c r="R14" s="85" t="s">
        <v>90</v>
      </c>
      <c r="S14" s="86" t="s">
        <v>91</v>
      </c>
      <c r="T14" s="87" t="s">
        <v>92</v>
      </c>
      <c r="U14" s="88" t="s">
        <v>93</v>
      </c>
      <c r="V14" s="89" t="s">
        <v>94</v>
      </c>
      <c r="W14" s="90" t="s">
        <v>95</v>
      </c>
      <c r="X14" s="90" t="s">
        <v>96</v>
      </c>
      <c r="Y14" s="91" t="s">
        <v>97</v>
      </c>
      <c r="Z14" s="92" t="s">
        <v>98</v>
      </c>
      <c r="AA14" s="93" t="s">
        <v>83</v>
      </c>
      <c r="AB14" s="276" t="s">
        <v>59</v>
      </c>
      <c r="AC14" s="276"/>
      <c r="AD14" s="94" t="s">
        <v>99</v>
      </c>
      <c r="AE14" s="95" t="s">
        <v>100</v>
      </c>
      <c r="AF14" s="95" t="s">
        <v>33</v>
      </c>
      <c r="AH14" s="96" t="s">
        <v>101</v>
      </c>
      <c r="AI14" s="97" t="s">
        <v>102</v>
      </c>
    </row>
    <row r="15" spans="1:37" ht="30" customHeight="1" thickBot="1" x14ac:dyDescent="0.65">
      <c r="A15" s="75">
        <v>1</v>
      </c>
      <c r="B15" s="176">
        <v>1</v>
      </c>
      <c r="C15" s="99" t="s">
        <v>121</v>
      </c>
      <c r="D15" s="75"/>
      <c r="E15" s="75"/>
      <c r="F15" s="244" t="s">
        <v>127</v>
      </c>
      <c r="G15" s="245"/>
      <c r="H15" s="245"/>
      <c r="I15" s="245"/>
      <c r="J15" s="245"/>
      <c r="K15" s="245"/>
      <c r="L15" s="245"/>
      <c r="M15" s="245"/>
      <c r="N15" s="261"/>
      <c r="Q15" s="247" t="str">
        <f>IF(F15&lt;&gt;"",F15,"")</f>
        <v>INTERNOS OGGI</v>
      </c>
      <c r="R15" s="248"/>
      <c r="S15" s="248"/>
      <c r="T15" s="248"/>
      <c r="U15" s="248"/>
      <c r="V15" s="248"/>
      <c r="W15" s="248"/>
      <c r="X15" s="248"/>
      <c r="Y15" s="249"/>
      <c r="AB15" s="222"/>
      <c r="AC15" s="222"/>
    </row>
    <row r="16" spans="1:37" ht="30" customHeight="1" x14ac:dyDescent="0.45">
      <c r="A16" s="75">
        <v>2</v>
      </c>
      <c r="B16" s="176" t="s">
        <v>123</v>
      </c>
      <c r="C16" s="99" t="s">
        <v>122</v>
      </c>
      <c r="D16" s="75"/>
      <c r="E16" s="75"/>
      <c r="F16" s="250" t="s">
        <v>127</v>
      </c>
      <c r="G16" s="251"/>
      <c r="H16" s="251"/>
      <c r="I16" s="251"/>
      <c r="J16" s="251"/>
      <c r="K16" s="252"/>
      <c r="L16" s="100" t="s">
        <v>124</v>
      </c>
      <c r="M16" s="101" t="s">
        <v>125</v>
      </c>
      <c r="N16" s="102" t="s">
        <v>82</v>
      </c>
      <c r="Q16" s="262" t="str">
        <f>IF(F16&lt;&gt;"",F16,"")</f>
        <v>INTERNOS OGGI</v>
      </c>
      <c r="R16" s="263"/>
      <c r="S16" s="263"/>
      <c r="T16" s="263"/>
      <c r="U16" s="263"/>
      <c r="V16" s="263"/>
      <c r="W16" s="263"/>
      <c r="X16" s="263"/>
      <c r="Y16" s="264"/>
      <c r="Z16" s="103" t="s">
        <v>126</v>
      </c>
      <c r="AA16" s="104" t="s">
        <v>83</v>
      </c>
      <c r="AB16" s="223" t="s">
        <v>103</v>
      </c>
      <c r="AC16" s="224" t="s">
        <v>104</v>
      </c>
    </row>
    <row r="17" spans="1:38" ht="262.5" customHeight="1" x14ac:dyDescent="0.6">
      <c r="A17" s="75">
        <v>3</v>
      </c>
      <c r="B17" s="176" t="s">
        <v>150</v>
      </c>
      <c r="C17" s="99" t="s">
        <v>149</v>
      </c>
      <c r="D17" s="75" t="s">
        <v>156</v>
      </c>
      <c r="E17" s="75" t="s">
        <v>157</v>
      </c>
      <c r="F17" s="105" t="s">
        <v>143</v>
      </c>
      <c r="G17" s="106" t="s">
        <v>144</v>
      </c>
      <c r="H17" s="107">
        <v>1</v>
      </c>
      <c r="I17" s="107">
        <v>1</v>
      </c>
      <c r="J17" s="108">
        <v>2000</v>
      </c>
      <c r="K17" s="108">
        <f>IF(F17&lt;&gt;"",H17*I17*J17,"")</f>
        <v>2000</v>
      </c>
      <c r="L17" s="108">
        <f>IF(K17&lt;&gt;"",IF(D17="INTERNO",0,K17*$L$14),"")</f>
        <v>0</v>
      </c>
      <c r="M17" s="108">
        <f>IF(K17&lt;&gt;"",IF(E17="FAT.OGGI",SUM(K17:L17)*(1/(1-$M$14)-1),L17*(1/(1-$M$14)-1)),0)</f>
        <v>485.39828507518348</v>
      </c>
      <c r="N17" s="109">
        <f>SUM(K17:M17)</f>
        <v>2485.3982850751836</v>
      </c>
      <c r="Q17" s="110">
        <f t="shared" ref="Q17:R19" si="0">IF(H17&lt;&gt;"",H17,"")</f>
        <v>1</v>
      </c>
      <c r="R17" s="111">
        <f t="shared" si="0"/>
        <v>1</v>
      </c>
      <c r="S17" s="112">
        <v>300</v>
      </c>
      <c r="T17" s="112"/>
      <c r="U17" s="113">
        <f>IF(Q17&lt;&gt;"",K17-T17,"")</f>
        <v>2000</v>
      </c>
      <c r="V17" s="114">
        <f>IF(Q17&lt;&gt;"",0%,"")</f>
        <v>0</v>
      </c>
      <c r="W17" s="115">
        <f>IF(Q17&lt;&gt;"",V17*U17,"")</f>
        <v>0</v>
      </c>
      <c r="X17" s="115">
        <f>IF(Q17&lt;&gt;"",W17+T17,"")</f>
        <v>0</v>
      </c>
      <c r="Y17" s="116">
        <f>IF(Q17&lt;&gt;"",X17+M17,"")</f>
        <v>485.39828507518348</v>
      </c>
      <c r="Z17" s="117">
        <f>IF(Q17&lt;&gt;"", IFERROR(U17/K17, 0), 0)</f>
        <v>1</v>
      </c>
      <c r="AA17" s="118">
        <f>IFERROR(T17/$T$20, "")</f>
        <v>0</v>
      </c>
      <c r="AB17" s="225">
        <f>X17-AC17</f>
        <v>0</v>
      </c>
      <c r="AC17" s="226"/>
    </row>
    <row r="18" spans="1:38" ht="67.95" customHeight="1" x14ac:dyDescent="0.6">
      <c r="A18" s="75">
        <v>4</v>
      </c>
      <c r="B18" s="176" t="s">
        <v>105</v>
      </c>
      <c r="C18" s="99" t="s">
        <v>149</v>
      </c>
      <c r="D18" s="75" t="s">
        <v>156</v>
      </c>
      <c r="E18" s="75" t="s">
        <v>157</v>
      </c>
      <c r="F18" s="105" t="s">
        <v>145</v>
      </c>
      <c r="G18" s="106" t="s">
        <v>146</v>
      </c>
      <c r="H18" s="107">
        <v>1</v>
      </c>
      <c r="I18" s="107">
        <v>1</v>
      </c>
      <c r="J18" s="108">
        <v>1200</v>
      </c>
      <c r="K18" s="108">
        <f>IF(F18&lt;&gt;"",H18*I18*J18,"")</f>
        <v>1200</v>
      </c>
      <c r="L18" s="108">
        <f>IF(K18&lt;&gt;"",IF(D18="INTERNO",0,K18*$L$14),"")</f>
        <v>0</v>
      </c>
      <c r="M18" s="108">
        <f>IF(K18&lt;&gt;"",IF(E18="FAT.OGGI",SUM(K18:L18)*(1/(1-$M$14)-1),L18*(1/(1-$M$14)-1)),0)</f>
        <v>291.23897104511008</v>
      </c>
      <c r="N18" s="109">
        <f>SUM(K18:M18)</f>
        <v>1491.23897104511</v>
      </c>
      <c r="Q18" s="110">
        <f t="shared" si="0"/>
        <v>1</v>
      </c>
      <c r="R18" s="111">
        <f t="shared" si="0"/>
        <v>1</v>
      </c>
      <c r="S18" s="112">
        <v>300</v>
      </c>
      <c r="T18" s="112">
        <v>780</v>
      </c>
      <c r="U18" s="113">
        <f>IF(Q18&lt;&gt;"",K18-T18,"")</f>
        <v>420</v>
      </c>
      <c r="V18" s="114">
        <f>IF(Q18&lt;&gt;"",0%,"")</f>
        <v>0</v>
      </c>
      <c r="W18" s="115">
        <f>IF(Q18&lt;&gt;"",V18*U18,"")</f>
        <v>0</v>
      </c>
      <c r="X18" s="115">
        <f>IF(Q18&lt;&gt;"",W18+T18,"")</f>
        <v>780</v>
      </c>
      <c r="Y18" s="116">
        <f>IF(Q18&lt;&gt;"",X18+M18,"")</f>
        <v>1071.23897104511</v>
      </c>
      <c r="Z18" s="117">
        <f>IF(Q18&lt;&gt;"", IFERROR(U18/K18, 0), 0)</f>
        <v>0.35</v>
      </c>
      <c r="AA18" s="118">
        <f>IFERROR(T18/$T$20, "")</f>
        <v>0.39393939393939392</v>
      </c>
      <c r="AB18" s="225">
        <f t="shared" ref="AB18:AB32" si="1">X18-AC18</f>
        <v>0</v>
      </c>
      <c r="AC18" s="226">
        <v>780</v>
      </c>
      <c r="AL18" s="237" t="s">
        <v>255</v>
      </c>
    </row>
    <row r="19" spans="1:38" ht="111" x14ac:dyDescent="0.6">
      <c r="A19" s="75">
        <v>5</v>
      </c>
      <c r="B19" s="176" t="s">
        <v>151</v>
      </c>
      <c r="C19" s="99" t="s">
        <v>149</v>
      </c>
      <c r="D19" s="75" t="s">
        <v>156</v>
      </c>
      <c r="E19" s="75" t="s">
        <v>157</v>
      </c>
      <c r="F19" s="119" t="s">
        <v>147</v>
      </c>
      <c r="G19" s="120" t="s">
        <v>148</v>
      </c>
      <c r="H19" s="121">
        <v>1</v>
      </c>
      <c r="I19" s="121">
        <v>1</v>
      </c>
      <c r="J19" s="122">
        <v>900</v>
      </c>
      <c r="K19" s="122">
        <f>IF(F19&lt;&gt;"",H19*I19*J19,"")</f>
        <v>900</v>
      </c>
      <c r="L19" s="122">
        <f>IF(K19&lt;&gt;"",IF(D19="INTERNO",0,K19*$L$14),"")</f>
        <v>0</v>
      </c>
      <c r="M19" s="122">
        <f>IF(K19&lt;&gt;"",IF(E19="FAT.OGGI",SUM(K19:L19)*(1/(1-$M$14)-1),L19*(1/(1-$M$14)-1)),0)</f>
        <v>218.42922828383254</v>
      </c>
      <c r="N19" s="123">
        <f>SUM(K19:M19)</f>
        <v>1118.4292282838326</v>
      </c>
      <c r="Q19" s="124">
        <f t="shared" si="0"/>
        <v>1</v>
      </c>
      <c r="R19" s="125">
        <f t="shared" si="0"/>
        <v>1</v>
      </c>
      <c r="S19" s="126">
        <v>600</v>
      </c>
      <c r="T19" s="126">
        <v>1200</v>
      </c>
      <c r="U19" s="127">
        <f>IF(Q19&lt;&gt;"",K19-T19,"")</f>
        <v>-300</v>
      </c>
      <c r="V19" s="128">
        <f>IF(Q19&lt;&gt;"",0%,"")</f>
        <v>0</v>
      </c>
      <c r="W19" s="129">
        <f>IF(Q19&lt;&gt;"",V19*U19,"")</f>
        <v>0</v>
      </c>
      <c r="X19" s="129">
        <f>IF(Q19&lt;&gt;"",W19+T19,"")</f>
        <v>1200</v>
      </c>
      <c r="Y19" s="130">
        <f>IF(Q19&lt;&gt;"",X19+M19,"")</f>
        <v>1418.4292282838326</v>
      </c>
      <c r="Z19" s="117">
        <f>IF(Q19&lt;&gt;"", IFERROR(U19/K19, 0), 0)</f>
        <v>-0.33333333333333331</v>
      </c>
      <c r="AA19" s="118">
        <f>IFERROR(T19/$T$20, "")</f>
        <v>0.60606060606060608</v>
      </c>
      <c r="AB19" s="225">
        <f t="shared" si="1"/>
        <v>0</v>
      </c>
      <c r="AC19" s="226">
        <v>1200</v>
      </c>
      <c r="AL19" s="237" t="s">
        <v>260</v>
      </c>
    </row>
    <row r="20" spans="1:38" ht="31.05" customHeight="1" thickBot="1" x14ac:dyDescent="0.65">
      <c r="A20" s="75">
        <v>6</v>
      </c>
      <c r="B20" s="176"/>
      <c r="C20" s="99" t="s">
        <v>152</v>
      </c>
      <c r="D20" s="75"/>
      <c r="E20" s="75"/>
      <c r="F20" s="258" t="s">
        <v>153</v>
      </c>
      <c r="G20" s="259"/>
      <c r="H20" s="259"/>
      <c r="I20" s="259"/>
      <c r="J20" s="259"/>
      <c r="K20" s="131">
        <f>SUM(K17:K19)</f>
        <v>4100</v>
      </c>
      <c r="L20" s="131">
        <f>SUM(L17:L19)</f>
        <v>0</v>
      </c>
      <c r="M20" s="131">
        <f>SUM(M17:M19)</f>
        <v>995.06648440412619</v>
      </c>
      <c r="N20" s="132">
        <f>SUM(N17:N19)</f>
        <v>5095.0664844041257</v>
      </c>
      <c r="Q20" s="258" t="s">
        <v>153</v>
      </c>
      <c r="R20" s="259"/>
      <c r="S20" s="259"/>
      <c r="T20" s="133">
        <f>SUM(T17:T19)</f>
        <v>1980</v>
      </c>
      <c r="U20" s="134">
        <f>SUM(U17:U19)</f>
        <v>2120</v>
      </c>
      <c r="V20" s="135"/>
      <c r="W20" s="135"/>
      <c r="X20" s="136">
        <f>SUM(X17:X19)</f>
        <v>1980</v>
      </c>
      <c r="Y20" s="137">
        <f>IF(Q20&lt;&gt;"",X20+M20,"")</f>
        <v>2975.0664844041262</v>
      </c>
      <c r="AB20" s="225"/>
      <c r="AC20" s="226"/>
    </row>
    <row r="21" spans="1:38" ht="31.05" customHeight="1" thickBot="1" x14ac:dyDescent="0.65">
      <c r="A21" s="75">
        <v>7</v>
      </c>
      <c r="B21" s="176">
        <v>2</v>
      </c>
      <c r="C21" s="99" t="s">
        <v>121</v>
      </c>
      <c r="D21" s="75"/>
      <c r="E21" s="75"/>
      <c r="F21" s="244" t="s">
        <v>155</v>
      </c>
      <c r="G21" s="245"/>
      <c r="H21" s="245"/>
      <c r="I21" s="245"/>
      <c r="J21" s="245"/>
      <c r="K21" s="245"/>
      <c r="L21" s="245"/>
      <c r="M21" s="245"/>
      <c r="N21" s="261"/>
      <c r="Q21" s="277" t="str">
        <f>IF(F21&lt;&gt;"",F21,"")</f>
        <v>OPERACIONAL</v>
      </c>
      <c r="R21" s="278"/>
      <c r="S21" s="278"/>
      <c r="T21" s="278"/>
      <c r="U21" s="278"/>
      <c r="V21" s="278"/>
      <c r="W21" s="278"/>
      <c r="X21" s="278"/>
      <c r="Y21" s="279"/>
      <c r="AB21" s="225">
        <f t="shared" si="1"/>
        <v>0</v>
      </c>
      <c r="AC21" s="226"/>
    </row>
    <row r="22" spans="1:38" ht="31.05" customHeight="1" x14ac:dyDescent="0.6">
      <c r="A22" s="75">
        <v>8</v>
      </c>
      <c r="B22" s="176" t="s">
        <v>154</v>
      </c>
      <c r="C22" s="99" t="s">
        <v>122</v>
      </c>
      <c r="D22" s="75"/>
      <c r="E22" s="75"/>
      <c r="F22" s="250" t="s">
        <v>133</v>
      </c>
      <c r="G22" s="251"/>
      <c r="H22" s="251"/>
      <c r="I22" s="251"/>
      <c r="J22" s="251"/>
      <c r="K22" s="252"/>
      <c r="L22" s="100" t="s">
        <v>124</v>
      </c>
      <c r="M22" s="101" t="s">
        <v>125</v>
      </c>
      <c r="N22" s="102" t="s">
        <v>82</v>
      </c>
      <c r="Q22" s="280" t="str">
        <f>IF(F22&lt;&gt;"",F22,"")</f>
        <v>JANTAR</v>
      </c>
      <c r="R22" s="281"/>
      <c r="S22" s="281"/>
      <c r="T22" s="281"/>
      <c r="U22" s="281"/>
      <c r="V22" s="281"/>
      <c r="W22" s="281"/>
      <c r="X22" s="281"/>
      <c r="Y22" s="282"/>
      <c r="Z22" s="103" t="s">
        <v>126</v>
      </c>
      <c r="AA22" s="104" t="s">
        <v>83</v>
      </c>
      <c r="AB22" s="225">
        <f t="shared" si="1"/>
        <v>0</v>
      </c>
      <c r="AC22" s="226"/>
    </row>
    <row r="23" spans="1:38" ht="249.45" customHeight="1" x14ac:dyDescent="0.6">
      <c r="A23" s="75">
        <v>9</v>
      </c>
      <c r="B23" s="176" t="s">
        <v>158</v>
      </c>
      <c r="C23" s="99" t="s">
        <v>149</v>
      </c>
      <c r="D23" s="75" t="s">
        <v>155</v>
      </c>
      <c r="E23" s="75" t="s">
        <v>178</v>
      </c>
      <c r="F23" s="119" t="s">
        <v>161</v>
      </c>
      <c r="G23" s="120" t="s">
        <v>162</v>
      </c>
      <c r="H23" s="141">
        <v>1</v>
      </c>
      <c r="I23" s="141">
        <v>1</v>
      </c>
      <c r="J23" s="122">
        <v>90000</v>
      </c>
      <c r="K23" s="108">
        <f>IF(F23&lt;&gt;"",H23*I23*J23,"")</f>
        <v>90000</v>
      </c>
      <c r="L23" s="108">
        <f>IF(K23&lt;&gt;"",IF(D23="INTERNO",0,K23*$L$14),"")</f>
        <v>7200</v>
      </c>
      <c r="M23" s="108">
        <f>IF(K23&lt;&gt;"",IF(E23="FAT.OGGI",SUM(K23:L23)*(1/(1-$M$14)-1),L23*(1/(1-$M$14)-1)),0)</f>
        <v>1747.4338262706603</v>
      </c>
      <c r="N23" s="109">
        <f>SUM(K23:M23)</f>
        <v>98947.433826270659</v>
      </c>
      <c r="Q23" s="142">
        <f>IF(H23&lt;&gt;"",H23,"")</f>
        <v>1</v>
      </c>
      <c r="R23" s="143">
        <f>IF(I23&lt;&gt;"",I23,"")</f>
        <v>1</v>
      </c>
      <c r="S23" s="144">
        <v>90000</v>
      </c>
      <c r="T23" s="144">
        <f>IF(Q23&lt;&gt;"",Q23*R23*S23,"")</f>
        <v>90000</v>
      </c>
      <c r="U23" s="145">
        <f>IF(Q23&lt;&gt;"",K23-T23,"")</f>
        <v>0</v>
      </c>
      <c r="V23" s="146">
        <f>IF(Q23&lt;&gt;"",0%,"")</f>
        <v>0</v>
      </c>
      <c r="W23" s="147">
        <f>IF(Q23&lt;&gt;"",V23*U23,"")</f>
        <v>0</v>
      </c>
      <c r="X23" s="147">
        <f>IF(Q23&lt;&gt;"",W23+T23,"")</f>
        <v>90000</v>
      </c>
      <c r="Y23" s="130">
        <f>IF(Q23&lt;&gt;"",X23+M23,"")</f>
        <v>91747.433826270659</v>
      </c>
      <c r="Z23" s="117">
        <f>IF(Q23&lt;&gt;"", IFERROR(U23/K23, 0), 0)</f>
        <v>0</v>
      </c>
      <c r="AA23" s="118">
        <f>IFERROR(T23/$T$24, "")</f>
        <v>1</v>
      </c>
      <c r="AB23" s="225">
        <f t="shared" si="1"/>
        <v>0</v>
      </c>
      <c r="AC23" s="226">
        <f>45000+45000</f>
        <v>90000</v>
      </c>
      <c r="AL23" s="237" t="s">
        <v>256</v>
      </c>
    </row>
    <row r="24" spans="1:38" ht="34.049999999999997" customHeight="1" thickBot="1" x14ac:dyDescent="0.65">
      <c r="A24" s="75">
        <v>10</v>
      </c>
      <c r="B24" s="176"/>
      <c r="C24" s="99" t="s">
        <v>152</v>
      </c>
      <c r="D24" s="75"/>
      <c r="E24" s="75"/>
      <c r="F24" s="283" t="s">
        <v>159</v>
      </c>
      <c r="G24" s="284"/>
      <c r="H24" s="284"/>
      <c r="I24" s="284"/>
      <c r="J24" s="284"/>
      <c r="K24" s="131">
        <f>SUM(K23:K23)</f>
        <v>90000</v>
      </c>
      <c r="L24" s="131">
        <f>SUM(L23:L23)</f>
        <v>7200</v>
      </c>
      <c r="M24" s="131">
        <f>SUM(M23:M23)</f>
        <v>1747.4338262706603</v>
      </c>
      <c r="N24" s="132">
        <f>SUM(N23:N23)</f>
        <v>98947.433826270659</v>
      </c>
      <c r="Q24" s="285" t="s">
        <v>159</v>
      </c>
      <c r="R24" s="286"/>
      <c r="S24" s="286"/>
      <c r="T24" s="177">
        <f>SUM(T23:T23)</f>
        <v>90000</v>
      </c>
      <c r="U24" s="157">
        <f>SUM(U23:U23)</f>
        <v>0</v>
      </c>
      <c r="V24" s="158"/>
      <c r="W24" s="158"/>
      <c r="X24" s="159">
        <f>SUM(X23:X23)</f>
        <v>90000</v>
      </c>
      <c r="Y24" s="178">
        <f>IF(Q24&lt;&gt;"",X24+M24,"")</f>
        <v>91747.433826270659</v>
      </c>
      <c r="AB24" s="225"/>
      <c r="AC24" s="226"/>
    </row>
    <row r="25" spans="1:38" ht="52.5" customHeight="1" x14ac:dyDescent="0.6">
      <c r="A25" s="75">
        <v>11</v>
      </c>
      <c r="B25" s="176" t="s">
        <v>160</v>
      </c>
      <c r="C25" s="99" t="s">
        <v>122</v>
      </c>
      <c r="D25" s="75"/>
      <c r="E25" s="75"/>
      <c r="F25" s="250" t="s">
        <v>163</v>
      </c>
      <c r="G25" s="251"/>
      <c r="H25" s="251"/>
      <c r="I25" s="251"/>
      <c r="J25" s="251"/>
      <c r="K25" s="252"/>
      <c r="L25" s="100" t="s">
        <v>124</v>
      </c>
      <c r="M25" s="101" t="s">
        <v>125</v>
      </c>
      <c r="N25" s="102" t="s">
        <v>82</v>
      </c>
      <c r="Q25" s="253" t="str">
        <f>IF(F25&lt;&gt;"",F25,"")</f>
        <v>OPERACIONAL EVENTO</v>
      </c>
      <c r="R25" s="254"/>
      <c r="S25" s="254"/>
      <c r="T25" s="254"/>
      <c r="U25" s="254"/>
      <c r="V25" s="254"/>
      <c r="W25" s="254"/>
      <c r="X25" s="254"/>
      <c r="Y25" s="255"/>
      <c r="Z25" s="103" t="s">
        <v>126</v>
      </c>
      <c r="AA25" s="104" t="s">
        <v>83</v>
      </c>
      <c r="AB25" s="225">
        <f t="shared" si="1"/>
        <v>0</v>
      </c>
      <c r="AC25" s="226"/>
    </row>
    <row r="26" spans="1:38" ht="64.05" customHeight="1" x14ac:dyDescent="0.6">
      <c r="A26" s="75">
        <v>12</v>
      </c>
      <c r="B26" s="176" t="s">
        <v>179</v>
      </c>
      <c r="C26" s="99" t="s">
        <v>149</v>
      </c>
      <c r="D26" s="75" t="s">
        <v>155</v>
      </c>
      <c r="E26" s="75" t="s">
        <v>178</v>
      </c>
      <c r="F26" s="105" t="s">
        <v>164</v>
      </c>
      <c r="G26" s="106" t="s">
        <v>165</v>
      </c>
      <c r="H26" s="107">
        <v>1</v>
      </c>
      <c r="I26" s="107">
        <v>1</v>
      </c>
      <c r="J26" s="108">
        <v>1729</v>
      </c>
      <c r="K26" s="108">
        <f t="shared" ref="K26:K32" si="2">IF(F26&lt;&gt;"",H26*I26*J26,"")</f>
        <v>1729</v>
      </c>
      <c r="L26" s="108">
        <f t="shared" ref="L26:L32" si="3">IF(K26&lt;&gt;"",IF(D26="INTERNO",0,K26*$L$14),"")</f>
        <v>138.32</v>
      </c>
      <c r="M26" s="108">
        <f t="shared" ref="M26:M32" si="4">IF(K26&lt;&gt;"",IF(E26="FAT.OGGI",SUM(K26:L26)*(1/(1-$M$14)-1),L26*(1/(1-$M$14)-1)),0)</f>
        <v>33.570145395799685</v>
      </c>
      <c r="N26" s="109">
        <f t="shared" ref="N26:N32" si="5">SUM(K26:M26)</f>
        <v>1900.8901453957997</v>
      </c>
      <c r="Q26" s="142">
        <f t="shared" ref="Q26:R32" si="6">IF(H26&lt;&gt;"",H26,"")</f>
        <v>1</v>
      </c>
      <c r="R26" s="143">
        <f t="shared" si="6"/>
        <v>1</v>
      </c>
      <c r="S26" s="144">
        <v>1729</v>
      </c>
      <c r="T26" s="144">
        <v>3297.8</v>
      </c>
      <c r="U26" s="145">
        <f t="shared" ref="U26:U32" si="7">IF(Q26&lt;&gt;"",K26-T26,"")</f>
        <v>-1568.8000000000002</v>
      </c>
      <c r="V26" s="146">
        <f t="shared" ref="V26:V32" si="8">IF(Q26&lt;&gt;"",0%,"")</f>
        <v>0</v>
      </c>
      <c r="W26" s="147">
        <f t="shared" ref="W26:W32" si="9">IF(Q26&lt;&gt;"",V26*U26,"")</f>
        <v>0</v>
      </c>
      <c r="X26" s="147">
        <f t="shared" ref="X26:X32" si="10">IF(Q26&lt;&gt;"",W26+T26,"")</f>
        <v>3297.8</v>
      </c>
      <c r="Y26" s="130">
        <f t="shared" ref="Y26:Y34" si="11">IF(Q26&lt;&gt;"",X26+M26,"")</f>
        <v>3331.3701453957997</v>
      </c>
      <c r="Z26" s="117">
        <f t="shared" ref="Z26:Z32" si="12">IF(Q26&lt;&gt;"", IFERROR(U26/K26, 0), 0)</f>
        <v>-0.90734528629265487</v>
      </c>
      <c r="AA26" s="118">
        <f t="shared" ref="AA26:AA33" si="13">IFERROR(T26/$T$34, "")</f>
        <v>0.24592535586020933</v>
      </c>
      <c r="AB26" s="225">
        <f t="shared" si="1"/>
        <v>0</v>
      </c>
      <c r="AC26" s="226">
        <f>1729+1568.8</f>
        <v>3297.8</v>
      </c>
      <c r="AL26" s="237" t="s">
        <v>250</v>
      </c>
    </row>
    <row r="27" spans="1:38" ht="61.05" customHeight="1" x14ac:dyDescent="0.6">
      <c r="A27" s="75">
        <v>13</v>
      </c>
      <c r="B27" s="176" t="s">
        <v>180</v>
      </c>
      <c r="C27" s="99" t="s">
        <v>149</v>
      </c>
      <c r="D27" s="75" t="s">
        <v>155</v>
      </c>
      <c r="E27" s="75" t="s">
        <v>178</v>
      </c>
      <c r="F27" s="139" t="s">
        <v>166</v>
      </c>
      <c r="G27" s="179" t="s">
        <v>167</v>
      </c>
      <c r="H27" s="107">
        <v>1</v>
      </c>
      <c r="I27" s="107">
        <v>1</v>
      </c>
      <c r="J27" s="108">
        <v>2100</v>
      </c>
      <c r="K27" s="108">
        <f t="shared" si="2"/>
        <v>2100</v>
      </c>
      <c r="L27" s="108">
        <f t="shared" si="3"/>
        <v>168</v>
      </c>
      <c r="M27" s="108">
        <f t="shared" si="4"/>
        <v>40.773455946315408</v>
      </c>
      <c r="N27" s="109">
        <f t="shared" si="5"/>
        <v>2308.7734559463156</v>
      </c>
      <c r="Q27" s="142">
        <f t="shared" si="6"/>
        <v>1</v>
      </c>
      <c r="R27" s="143">
        <f t="shared" si="6"/>
        <v>1</v>
      </c>
      <c r="S27" s="144">
        <v>1608</v>
      </c>
      <c r="T27" s="144">
        <v>2100</v>
      </c>
      <c r="U27" s="145">
        <f t="shared" si="7"/>
        <v>0</v>
      </c>
      <c r="V27" s="146">
        <f t="shared" si="8"/>
        <v>0</v>
      </c>
      <c r="W27" s="147">
        <f t="shared" si="9"/>
        <v>0</v>
      </c>
      <c r="X27" s="147">
        <f t="shared" si="10"/>
        <v>2100</v>
      </c>
      <c r="Y27" s="130">
        <f t="shared" si="11"/>
        <v>2140.7734559463156</v>
      </c>
      <c r="Z27" s="117">
        <f t="shared" si="12"/>
        <v>0</v>
      </c>
      <c r="AA27" s="118">
        <f t="shared" si="13"/>
        <v>0.15660235529942373</v>
      </c>
      <c r="AB27" s="225">
        <f t="shared" si="1"/>
        <v>0</v>
      </c>
      <c r="AC27" s="226">
        <f>2100</f>
        <v>2100</v>
      </c>
      <c r="AL27" s="237" t="s">
        <v>254</v>
      </c>
    </row>
    <row r="28" spans="1:38" ht="48" customHeight="1" x14ac:dyDescent="0.6">
      <c r="A28" s="75">
        <v>14</v>
      </c>
      <c r="B28" s="176" t="s">
        <v>181</v>
      </c>
      <c r="C28" s="99" t="s">
        <v>149</v>
      </c>
      <c r="D28" s="75" t="s">
        <v>155</v>
      </c>
      <c r="E28" s="75" t="s">
        <v>178</v>
      </c>
      <c r="F28" s="139" t="s">
        <v>168</v>
      </c>
      <c r="G28" s="179" t="s">
        <v>169</v>
      </c>
      <c r="H28" s="107">
        <v>1</v>
      </c>
      <c r="I28" s="107">
        <v>1</v>
      </c>
      <c r="J28" s="108">
        <v>1800</v>
      </c>
      <c r="K28" s="108">
        <f t="shared" si="2"/>
        <v>1800</v>
      </c>
      <c r="L28" s="108">
        <f t="shared" si="3"/>
        <v>144</v>
      </c>
      <c r="M28" s="108">
        <f t="shared" si="4"/>
        <v>34.948676525413205</v>
      </c>
      <c r="N28" s="109">
        <f t="shared" si="5"/>
        <v>1978.9486765254132</v>
      </c>
      <c r="Q28" s="142">
        <f t="shared" si="6"/>
        <v>1</v>
      </c>
      <c r="R28" s="143">
        <f t="shared" si="6"/>
        <v>1</v>
      </c>
      <c r="S28" s="144">
        <v>1000</v>
      </c>
      <c r="T28" s="144">
        <v>2000</v>
      </c>
      <c r="U28" s="145">
        <f t="shared" si="7"/>
        <v>-200</v>
      </c>
      <c r="V28" s="146">
        <f t="shared" si="8"/>
        <v>0</v>
      </c>
      <c r="W28" s="147">
        <f t="shared" si="9"/>
        <v>0</v>
      </c>
      <c r="X28" s="147">
        <f t="shared" si="10"/>
        <v>2000</v>
      </c>
      <c r="Y28" s="130">
        <f t="shared" si="11"/>
        <v>2034.9486765254132</v>
      </c>
      <c r="Z28" s="117">
        <f t="shared" si="12"/>
        <v>-0.1111111111111111</v>
      </c>
      <c r="AA28" s="118">
        <f t="shared" si="13"/>
        <v>0.14914510028516545</v>
      </c>
      <c r="AB28" s="225">
        <f t="shared" si="1"/>
        <v>0</v>
      </c>
      <c r="AC28" s="226">
        <f>1000+1000</f>
        <v>2000</v>
      </c>
      <c r="AL28" s="237" t="s">
        <v>267</v>
      </c>
    </row>
    <row r="29" spans="1:38" ht="82.05" customHeight="1" x14ac:dyDescent="0.6">
      <c r="A29" s="75">
        <v>15</v>
      </c>
      <c r="B29" s="176" t="s">
        <v>182</v>
      </c>
      <c r="C29" s="99" t="s">
        <v>149</v>
      </c>
      <c r="D29" s="75" t="s">
        <v>155</v>
      </c>
      <c r="E29" s="75" t="s">
        <v>178</v>
      </c>
      <c r="F29" s="139" t="s">
        <v>170</v>
      </c>
      <c r="G29" s="179" t="s">
        <v>171</v>
      </c>
      <c r="H29" s="107">
        <v>1</v>
      </c>
      <c r="I29" s="107">
        <v>1</v>
      </c>
      <c r="J29" s="108">
        <v>216</v>
      </c>
      <c r="K29" s="108">
        <f t="shared" si="2"/>
        <v>216</v>
      </c>
      <c r="L29" s="108">
        <f t="shared" si="3"/>
        <v>17.28</v>
      </c>
      <c r="M29" s="108">
        <f t="shared" si="4"/>
        <v>4.1938411830495852</v>
      </c>
      <c r="N29" s="109">
        <f t="shared" si="5"/>
        <v>237.47384118304959</v>
      </c>
      <c r="Q29" s="142">
        <f t="shared" si="6"/>
        <v>1</v>
      </c>
      <c r="R29" s="143">
        <f t="shared" si="6"/>
        <v>1</v>
      </c>
      <c r="S29" s="144">
        <v>216</v>
      </c>
      <c r="T29" s="144">
        <f t="shared" ref="T29:T30" si="14">IF(Q29&lt;&gt;"",Q29*R29*S29,"")</f>
        <v>216</v>
      </c>
      <c r="U29" s="145">
        <f t="shared" si="7"/>
        <v>0</v>
      </c>
      <c r="V29" s="146">
        <f t="shared" si="8"/>
        <v>0</v>
      </c>
      <c r="W29" s="147">
        <f t="shared" si="9"/>
        <v>0</v>
      </c>
      <c r="X29" s="147">
        <f t="shared" si="10"/>
        <v>216</v>
      </c>
      <c r="Y29" s="130">
        <f t="shared" si="11"/>
        <v>220.19384118304959</v>
      </c>
      <c r="Z29" s="117">
        <f t="shared" si="12"/>
        <v>0</v>
      </c>
      <c r="AA29" s="118">
        <f t="shared" si="13"/>
        <v>1.6107670830797869E-2</v>
      </c>
      <c r="AB29" s="225">
        <f t="shared" si="1"/>
        <v>0</v>
      </c>
      <c r="AC29" s="226">
        <v>216</v>
      </c>
      <c r="AL29" s="237" t="s">
        <v>263</v>
      </c>
    </row>
    <row r="30" spans="1:38" ht="64.95" customHeight="1" x14ac:dyDescent="0.6">
      <c r="A30" s="75">
        <v>16</v>
      </c>
      <c r="B30" s="176" t="s">
        <v>183</v>
      </c>
      <c r="C30" s="99" t="s">
        <v>149</v>
      </c>
      <c r="D30" s="75" t="s">
        <v>155</v>
      </c>
      <c r="E30" s="75" t="s">
        <v>178</v>
      </c>
      <c r="F30" s="105" t="s">
        <v>172</v>
      </c>
      <c r="G30" s="106" t="s">
        <v>173</v>
      </c>
      <c r="H30" s="107">
        <v>1</v>
      </c>
      <c r="I30" s="107">
        <v>1</v>
      </c>
      <c r="J30" s="108">
        <v>396</v>
      </c>
      <c r="K30" s="108">
        <f t="shared" si="2"/>
        <v>396</v>
      </c>
      <c r="L30" s="108">
        <f t="shared" si="3"/>
        <v>31.68</v>
      </c>
      <c r="M30" s="108">
        <f t="shared" si="4"/>
        <v>7.6887088355909059</v>
      </c>
      <c r="N30" s="109">
        <f t="shared" si="5"/>
        <v>435.36870883559089</v>
      </c>
      <c r="Q30" s="142">
        <f t="shared" si="6"/>
        <v>1</v>
      </c>
      <c r="R30" s="143">
        <f t="shared" si="6"/>
        <v>1</v>
      </c>
      <c r="S30" s="144">
        <v>396</v>
      </c>
      <c r="T30" s="144">
        <f t="shared" si="14"/>
        <v>396</v>
      </c>
      <c r="U30" s="145">
        <f t="shared" si="7"/>
        <v>0</v>
      </c>
      <c r="V30" s="146">
        <f t="shared" si="8"/>
        <v>0</v>
      </c>
      <c r="W30" s="147">
        <f t="shared" si="9"/>
        <v>0</v>
      </c>
      <c r="X30" s="147">
        <f t="shared" si="10"/>
        <v>396</v>
      </c>
      <c r="Y30" s="130">
        <f t="shared" si="11"/>
        <v>403.68870883559089</v>
      </c>
      <c r="Z30" s="117">
        <f t="shared" si="12"/>
        <v>0</v>
      </c>
      <c r="AA30" s="118">
        <f t="shared" si="13"/>
        <v>2.953072985646276E-2</v>
      </c>
      <c r="AB30" s="225">
        <f t="shared" si="1"/>
        <v>0</v>
      </c>
      <c r="AC30" s="226">
        <v>396</v>
      </c>
      <c r="AL30" s="237" t="s">
        <v>263</v>
      </c>
    </row>
    <row r="31" spans="1:38" ht="64.95" customHeight="1" x14ac:dyDescent="0.6">
      <c r="A31" s="75">
        <v>17</v>
      </c>
      <c r="B31" s="176" t="s">
        <v>184</v>
      </c>
      <c r="C31" s="99" t="s">
        <v>149</v>
      </c>
      <c r="D31" s="75" t="s">
        <v>155</v>
      </c>
      <c r="E31" s="75" t="s">
        <v>178</v>
      </c>
      <c r="F31" s="105" t="s">
        <v>174</v>
      </c>
      <c r="G31" s="106" t="s">
        <v>175</v>
      </c>
      <c r="H31" s="107">
        <v>1</v>
      </c>
      <c r="I31" s="107">
        <v>1</v>
      </c>
      <c r="J31" s="108">
        <v>3200</v>
      </c>
      <c r="K31" s="108">
        <f t="shared" si="2"/>
        <v>3200</v>
      </c>
      <c r="L31" s="108">
        <f t="shared" si="3"/>
        <v>256</v>
      </c>
      <c r="M31" s="108">
        <f t="shared" si="4"/>
        <v>62.130980489623482</v>
      </c>
      <c r="N31" s="109">
        <f t="shared" si="5"/>
        <v>3518.1309804896237</v>
      </c>
      <c r="Q31" s="142">
        <f t="shared" si="6"/>
        <v>1</v>
      </c>
      <c r="R31" s="143">
        <f t="shared" si="6"/>
        <v>1</v>
      </c>
      <c r="S31" s="144">
        <v>2000</v>
      </c>
      <c r="T31" s="144">
        <v>2000</v>
      </c>
      <c r="U31" s="145">
        <f t="shared" si="7"/>
        <v>1200</v>
      </c>
      <c r="V31" s="146">
        <f t="shared" si="8"/>
        <v>0</v>
      </c>
      <c r="W31" s="147">
        <f t="shared" si="9"/>
        <v>0</v>
      </c>
      <c r="X31" s="147">
        <f t="shared" si="10"/>
        <v>2000</v>
      </c>
      <c r="Y31" s="130">
        <f t="shared" si="11"/>
        <v>2062.1309804896237</v>
      </c>
      <c r="Z31" s="117">
        <f t="shared" si="12"/>
        <v>0.375</v>
      </c>
      <c r="AA31" s="118">
        <f t="shared" si="13"/>
        <v>0.14914510028516545</v>
      </c>
      <c r="AB31" s="225">
        <f t="shared" si="1"/>
        <v>0</v>
      </c>
      <c r="AC31" s="226">
        <v>2000</v>
      </c>
      <c r="AL31" s="237" t="s">
        <v>265</v>
      </c>
    </row>
    <row r="32" spans="1:38" ht="46.05" customHeight="1" x14ac:dyDescent="0.6">
      <c r="A32" s="75">
        <v>18</v>
      </c>
      <c r="B32" s="180" t="s">
        <v>185</v>
      </c>
      <c r="C32" s="99" t="s">
        <v>149</v>
      </c>
      <c r="D32" s="75" t="s">
        <v>155</v>
      </c>
      <c r="E32" s="75" t="s">
        <v>178</v>
      </c>
      <c r="F32" s="181" t="s">
        <v>176</v>
      </c>
      <c r="G32" s="182" t="s">
        <v>177</v>
      </c>
      <c r="H32" s="121">
        <v>1</v>
      </c>
      <c r="I32" s="121">
        <v>1</v>
      </c>
      <c r="J32" s="122">
        <v>1066.8389999999999</v>
      </c>
      <c r="K32" s="122">
        <f t="shared" si="2"/>
        <v>1066.8389999999999</v>
      </c>
      <c r="L32" s="122">
        <f t="shared" si="3"/>
        <v>85.347120000000004</v>
      </c>
      <c r="M32" s="122">
        <f t="shared" si="4"/>
        <v>20.713672842052947</v>
      </c>
      <c r="N32" s="123">
        <f t="shared" si="5"/>
        <v>1172.8997928420529</v>
      </c>
      <c r="Q32" s="142">
        <f t="shared" si="6"/>
        <v>1</v>
      </c>
      <c r="R32" s="143">
        <f t="shared" si="6"/>
        <v>1</v>
      </c>
      <c r="S32" s="144">
        <f>230.06+150+161.91+74.97</f>
        <v>616.94000000000005</v>
      </c>
      <c r="T32" s="144">
        <v>3399.96</v>
      </c>
      <c r="U32" s="145">
        <f t="shared" si="7"/>
        <v>-2333.1210000000001</v>
      </c>
      <c r="V32" s="146">
        <f t="shared" si="8"/>
        <v>0</v>
      </c>
      <c r="W32" s="147">
        <f t="shared" si="9"/>
        <v>0</v>
      </c>
      <c r="X32" s="147">
        <f t="shared" si="10"/>
        <v>3399.96</v>
      </c>
      <c r="Y32" s="130">
        <f t="shared" si="11"/>
        <v>3420.6736728420528</v>
      </c>
      <c r="Z32" s="117">
        <f t="shared" si="12"/>
        <v>-2.1869476087769573</v>
      </c>
      <c r="AA32" s="118">
        <f t="shared" si="13"/>
        <v>0.25354368758277557</v>
      </c>
      <c r="AB32" s="225">
        <f t="shared" si="1"/>
        <v>0</v>
      </c>
      <c r="AC32" s="226">
        <f>230.06+736.59+161.91+74.97+670.99+845.44+680</f>
        <v>3399.96</v>
      </c>
      <c r="AL32" s="237" t="s">
        <v>257</v>
      </c>
    </row>
    <row r="33" spans="1:29" ht="42.6" customHeight="1" thickBot="1" x14ac:dyDescent="0.65">
      <c r="A33" s="153">
        <v>19</v>
      </c>
      <c r="C33" s="75" t="s">
        <v>186</v>
      </c>
      <c r="D33" s="75"/>
      <c r="E33" s="75"/>
      <c r="F33" s="287" t="s">
        <v>187</v>
      </c>
      <c r="G33" s="288"/>
      <c r="H33" s="288"/>
      <c r="I33" s="288"/>
      <c r="J33" s="288"/>
      <c r="K33" s="183">
        <f>SUM(K23:K23)+SUM(K26:K32)</f>
        <v>100507.83900000001</v>
      </c>
      <c r="L33" s="183">
        <f>SUM(L23:L23)+SUM(L26:L32)</f>
        <v>8040.6271200000001</v>
      </c>
      <c r="M33" s="183">
        <f>SUM(M23:M23)+SUM(M26:M32)</f>
        <v>1951.4533074885055</v>
      </c>
      <c r="N33" s="184">
        <f>SUM(N23:N23)+SUM(N26:N32)</f>
        <v>110499.91942748851</v>
      </c>
      <c r="Q33" s="289" t="s">
        <v>187</v>
      </c>
      <c r="R33" s="290"/>
      <c r="S33" s="290"/>
      <c r="T33" s="185"/>
      <c r="U33" s="186">
        <f>SUM(U23:U23)+SUM(U26:U32)</f>
        <v>-2901.9210000000003</v>
      </c>
      <c r="V33" s="187"/>
      <c r="W33" s="187"/>
      <c r="X33" s="188">
        <f>SUM(X23:X23)+SUM(X26:X32)</f>
        <v>103409.76</v>
      </c>
      <c r="Y33" s="189">
        <f t="shared" si="11"/>
        <v>105361.21330748851</v>
      </c>
      <c r="AA33" s="152">
        <f t="shared" si="13"/>
        <v>0</v>
      </c>
      <c r="AB33" s="225"/>
      <c r="AC33" s="226"/>
    </row>
    <row r="34" spans="1:29" ht="34.049999999999997" customHeight="1" thickBot="1" x14ac:dyDescent="0.65">
      <c r="A34" s="75">
        <v>20</v>
      </c>
      <c r="B34" s="190"/>
      <c r="C34" s="75" t="s">
        <v>152</v>
      </c>
      <c r="D34" s="75"/>
      <c r="E34" s="75"/>
      <c r="F34" s="250" t="s">
        <v>188</v>
      </c>
      <c r="G34" s="251"/>
      <c r="H34" s="251"/>
      <c r="I34" s="251"/>
      <c r="J34" s="251"/>
      <c r="K34" s="131">
        <f>SUM(K26:K33)</f>
        <v>111015.67800000001</v>
      </c>
      <c r="L34" s="131">
        <f>SUM(L26:L33)</f>
        <v>8881.2542400000002</v>
      </c>
      <c r="M34" s="131">
        <f>SUM(M26:M33)</f>
        <v>2155.4727887063509</v>
      </c>
      <c r="N34" s="132">
        <f>SUM(N26:N33)</f>
        <v>122052.40502870636</v>
      </c>
      <c r="Q34" s="250" t="s">
        <v>188</v>
      </c>
      <c r="R34" s="251"/>
      <c r="S34" s="251"/>
      <c r="T34" s="133">
        <f>SUM(T26:T33)</f>
        <v>13409.759999999998</v>
      </c>
      <c r="U34" s="134">
        <f>SUM(U26:U33)</f>
        <v>-5803.8420000000006</v>
      </c>
      <c r="V34" s="135"/>
      <c r="W34" s="135"/>
      <c r="X34" s="136">
        <f>SUM(X26:X33)</f>
        <v>116819.51999999999</v>
      </c>
      <c r="Y34" s="191">
        <f t="shared" si="11"/>
        <v>118974.99278870634</v>
      </c>
      <c r="Z34" s="161" t="s">
        <v>191</v>
      </c>
      <c r="AA34" s="192" t="s">
        <v>192</v>
      </c>
      <c r="AB34" s="225"/>
      <c r="AC34" s="226"/>
    </row>
    <row r="35" spans="1:29" ht="38.1" customHeight="1" thickBot="1" x14ac:dyDescent="0.65">
      <c r="A35" s="163">
        <v>21</v>
      </c>
      <c r="C35" s="164" t="s">
        <v>189</v>
      </c>
      <c r="D35" s="164"/>
      <c r="E35" s="164"/>
      <c r="F35" s="165" t="s">
        <v>190</v>
      </c>
      <c r="G35" s="166"/>
      <c r="H35" s="166"/>
      <c r="I35" s="166"/>
      <c r="J35" s="166"/>
      <c r="K35" s="167">
        <f>SUM(K17:K19)+SUM(K23:K23)+SUM(K26:K32)</f>
        <v>104607.83900000001</v>
      </c>
      <c r="L35" s="167">
        <f>SUM(L17:L19)+SUM(L23:L23)+SUM(L26:L32)</f>
        <v>8040.6271200000001</v>
      </c>
      <c r="M35" s="167">
        <f>SUM(M17:M19)+SUM(M23:M23)+SUM(M26:M32)</f>
        <v>2946.5197918926315</v>
      </c>
      <c r="N35" s="193">
        <f>SUM(N17:N19)+SUM(N23:N23)+SUM(N26:N32)</f>
        <v>115594.98591189264</v>
      </c>
      <c r="Q35" s="165" t="s">
        <v>43</v>
      </c>
      <c r="R35" s="166"/>
      <c r="S35" s="166"/>
      <c r="T35" s="167">
        <f>SUM(T17:T19)+SUM(T23:T23)+SUM(T26:T32)</f>
        <v>105389.75999999999</v>
      </c>
      <c r="U35" s="167">
        <f>SUM(U17:U19)+SUM(U23:U23)+SUM(U26:U32)</f>
        <v>-781.92100000000028</v>
      </c>
      <c r="V35" s="166"/>
      <c r="W35" s="166"/>
      <c r="X35" s="167">
        <f>SUM(X17:X19)+SUM(X23:X23)+SUM(X26:X32)</f>
        <v>105389.75999999999</v>
      </c>
      <c r="Y35" s="194">
        <f>SUM(Y17:Y19)+SUM(Y23:Y23)+SUM(Y26:Y32)</f>
        <v>108336.27979189264</v>
      </c>
      <c r="Z35" s="169">
        <f>IF(Q35&lt;&gt;"",(N35-Y35)/N35,"")</f>
        <v>6.2794299101629217E-2</v>
      </c>
      <c r="AA35" s="170">
        <f>IF(Z35&lt;&gt;"",(N35-Y35),"")</f>
        <v>7258.7061200000026</v>
      </c>
      <c r="AB35" s="225">
        <f>SUM(AB17:AB34)</f>
        <v>0</v>
      </c>
      <c r="AC35" s="226">
        <f>SUM(AC17:AC34)</f>
        <v>105389.76000000001</v>
      </c>
    </row>
    <row r="36" spans="1:29" ht="31.2" x14ac:dyDescent="0.6">
      <c r="AB36" s="227"/>
      <c r="AC36" s="227"/>
    </row>
    <row r="37" spans="1:29" ht="31.2" x14ac:dyDescent="0.6">
      <c r="AB37" s="227"/>
      <c r="AC37" s="227"/>
    </row>
    <row r="38" spans="1:29" ht="31.2" x14ac:dyDescent="0.6">
      <c r="AB38" s="228">
        <v>0</v>
      </c>
      <c r="AC38" s="229" t="s">
        <v>124</v>
      </c>
    </row>
    <row r="39" spans="1:29" ht="31.2" x14ac:dyDescent="0.6">
      <c r="AB39" s="228">
        <v>0</v>
      </c>
      <c r="AC39" s="229" t="s">
        <v>125</v>
      </c>
    </row>
    <row r="40" spans="1:29" ht="31.2" x14ac:dyDescent="0.6">
      <c r="AB40" s="228">
        <f>X35</f>
        <v>105389.75999999999</v>
      </c>
      <c r="AC40" s="229" t="s">
        <v>249</v>
      </c>
    </row>
    <row r="41" spans="1:29" ht="31.2" x14ac:dyDescent="0.6">
      <c r="AB41" s="230">
        <f>N35-AB40</f>
        <v>10205.225911892645</v>
      </c>
      <c r="AC41" s="231" t="s">
        <v>242</v>
      </c>
    </row>
    <row r="42" spans="1:29" ht="31.2" x14ac:dyDescent="0.6">
      <c r="AB42" s="232">
        <f>AB41*100%/N35</f>
        <v>8.8284330253486462E-2</v>
      </c>
      <c r="AC42" s="231"/>
    </row>
  </sheetData>
  <autoFilter ref="A1:AM14" xr:uid="{00000000-0009-0000-0000-000001000000}">
    <filterColumn colId="5" showButton="0"/>
  </autoFilter>
  <mergeCells count="25">
    <mergeCell ref="F34:J34"/>
    <mergeCell ref="Q34:S34"/>
    <mergeCell ref="F24:J24"/>
    <mergeCell ref="Q24:S24"/>
    <mergeCell ref="F25:K25"/>
    <mergeCell ref="Q25:Y25"/>
    <mergeCell ref="F33:J33"/>
    <mergeCell ref="Q33:S33"/>
    <mergeCell ref="F20:J20"/>
    <mergeCell ref="Q20:S20"/>
    <mergeCell ref="F21:N21"/>
    <mergeCell ref="Q21:Y21"/>
    <mergeCell ref="F22:K22"/>
    <mergeCell ref="Q22:Y22"/>
    <mergeCell ref="AB14:AC14"/>
    <mergeCell ref="AH12:AI12"/>
    <mergeCell ref="F15:N15"/>
    <mergeCell ref="Q15:Y15"/>
    <mergeCell ref="F16:K16"/>
    <mergeCell ref="Q16:Y16"/>
    <mergeCell ref="F1:G1"/>
    <mergeCell ref="F2:G2"/>
    <mergeCell ref="Q12:T12"/>
    <mergeCell ref="U12:X12"/>
    <mergeCell ref="AD12:AF12"/>
  </mergeCells>
  <dataValidations count="3">
    <dataValidation type="list" allowBlank="1" showInputMessage="1" showErrorMessage="1" sqref="D17:D19 D23 D35 D26:D32" xr:uid="{00000000-0002-0000-0100-000000000000}">
      <formula1>"INTERNO,OPERACIONAL"</formula1>
    </dataValidation>
    <dataValidation type="list" allowBlank="1" showInputMessage="1" showErrorMessage="1" sqref="E17:E19 E23 E26:E32" xr:uid="{00000000-0002-0000-0100-000001000000}">
      <formula1>"FAT.OGGI,FAT.CLIENTE"</formula1>
    </dataValidation>
    <dataValidation type="list" allowBlank="1" showInputMessage="1" showErrorMessage="1" sqref="E35" xr:uid="{00000000-0002-0000-0100-000002000000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3">
    <pageSetUpPr autoPageBreaks="0"/>
  </sheetPr>
  <dimension ref="A1:AL46"/>
  <sheetViews>
    <sheetView showGridLines="0" topLeftCell="J1" zoomScale="60" zoomScaleNormal="60" workbookViewId="0">
      <pane ySplit="1" topLeftCell="A30" activePane="bottomLeft" state="frozen"/>
      <selection pane="bottomLeft" activeCell="AC18" sqref="AC18"/>
    </sheetView>
  </sheetViews>
  <sheetFormatPr defaultColWidth="8.77734375" defaultRowHeight="28.8" x14ac:dyDescent="0.55000000000000004"/>
  <cols>
    <col min="1" max="1" width="5" style="50" hidden="1" customWidth="1"/>
    <col min="2" max="2" width="10.21875" style="172" customWidth="1"/>
    <col min="3" max="5" width="5" style="50" hidden="1" customWidth="1"/>
    <col min="6" max="6" width="34.21875" style="50" customWidth="1"/>
    <col min="7" max="7" width="58.21875" style="50" customWidth="1"/>
    <col min="8" max="8" width="6.77734375" style="50" bestFit="1" customWidth="1"/>
    <col min="9" max="9" width="5.21875" style="50" customWidth="1"/>
    <col min="10" max="10" width="30.5546875" style="50" bestFit="1" customWidth="1"/>
    <col min="11" max="11" width="35.5546875" style="50" bestFit="1" customWidth="1"/>
    <col min="12" max="13" width="32.77734375" style="50" bestFit="1" customWidth="1"/>
    <col min="14" max="14" width="35.5546875" style="50" bestFit="1" customWidth="1"/>
    <col min="15" max="15" width="12.77734375" style="50" hidden="1" customWidth="1"/>
    <col min="16" max="16" width="1.77734375" style="50" hidden="1" customWidth="1"/>
    <col min="17" max="17" width="12.21875" style="50" customWidth="1"/>
    <col min="18" max="18" width="8.21875" style="50" hidden="1" customWidth="1"/>
    <col min="19" max="19" width="30.5546875" style="50" hidden="1" customWidth="1"/>
    <col min="20" max="20" width="35.5546875" style="50" bestFit="1" customWidth="1"/>
    <col min="21" max="21" width="35.5546875" style="50" hidden="1" customWidth="1"/>
    <col min="22" max="22" width="9.77734375" style="50" hidden="1" customWidth="1"/>
    <col min="23" max="23" width="18.77734375" style="50" hidden="1" customWidth="1"/>
    <col min="24" max="24" width="35.5546875" style="50" bestFit="1" customWidth="1"/>
    <col min="25" max="25" width="35.5546875" style="50" hidden="1" customWidth="1"/>
    <col min="26" max="26" width="33.77734375" style="50" hidden="1" customWidth="1"/>
    <col min="27" max="27" width="35.5546875" style="50" hidden="1" customWidth="1"/>
    <col min="28" max="28" width="35.5546875" style="218" customWidth="1"/>
    <col min="29" max="29" width="38.21875" style="218" customWidth="1"/>
    <col min="30" max="30" width="14.21875" style="50" hidden="1" customWidth="1"/>
    <col min="31" max="31" width="7.77734375" style="50" hidden="1" customWidth="1"/>
    <col min="32" max="32" width="6.77734375" style="50" hidden="1" customWidth="1"/>
    <col min="33" max="33" width="1.21875" style="50" hidden="1" customWidth="1"/>
    <col min="34" max="34" width="14" style="50" hidden="1" customWidth="1"/>
    <col min="35" max="35" width="11.77734375" style="50" hidden="1" customWidth="1"/>
    <col min="36" max="36" width="6.21875" style="50" hidden="1" customWidth="1"/>
    <col min="37" max="37" width="12.77734375" style="50" hidden="1" customWidth="1"/>
    <col min="38" max="38" width="13.21875" style="233" bestFit="1" customWidth="1"/>
    <col min="39" max="39" width="13.5546875" style="50" bestFit="1" customWidth="1"/>
    <col min="40" max="40" width="8.77734375" style="50"/>
    <col min="41" max="41" width="21.21875" style="50" customWidth="1"/>
    <col min="42" max="16384" width="8.77734375" style="50"/>
  </cols>
  <sheetData>
    <row r="1" spans="1:37" ht="49.5" customHeight="1" x14ac:dyDescent="0.55000000000000004">
      <c r="B1" s="171"/>
      <c r="C1" s="52"/>
      <c r="D1" s="52"/>
      <c r="F1" s="265" t="s">
        <v>120</v>
      </c>
      <c r="G1" s="265"/>
    </row>
    <row r="2" spans="1:37" ht="200.1" customHeight="1" x14ac:dyDescent="0.55000000000000004">
      <c r="B2" s="53"/>
      <c r="D2" s="52"/>
      <c r="F2" s="266" t="s">
        <v>0</v>
      </c>
      <c r="G2" s="266"/>
    </row>
    <row r="3" spans="1:37" x14ac:dyDescent="0.55000000000000004">
      <c r="B3" s="54"/>
      <c r="F3" s="55"/>
      <c r="G3" s="55"/>
    </row>
    <row r="4" spans="1:37" x14ac:dyDescent="0.55000000000000004">
      <c r="F4" s="56" t="s">
        <v>128</v>
      </c>
      <c r="G4" s="57" t="s">
        <v>129</v>
      </c>
    </row>
    <row r="5" spans="1:37" x14ac:dyDescent="0.55000000000000004">
      <c r="F5" s="58" t="s">
        <v>130</v>
      </c>
      <c r="G5" s="59" t="s">
        <v>131</v>
      </c>
    </row>
    <row r="6" spans="1:37" x14ac:dyDescent="0.55000000000000004">
      <c r="D6" s="50" t="s">
        <v>107</v>
      </c>
      <c r="F6" s="58" t="s">
        <v>132</v>
      </c>
      <c r="G6" s="60" t="s">
        <v>193</v>
      </c>
    </row>
    <row r="7" spans="1:37" ht="21.75" customHeight="1" x14ac:dyDescent="0.55000000000000004">
      <c r="F7" s="58" t="s">
        <v>134</v>
      </c>
      <c r="G7" s="60" t="s">
        <v>135</v>
      </c>
      <c r="J7" s="50" t="s">
        <v>119</v>
      </c>
    </row>
    <row r="8" spans="1:37" x14ac:dyDescent="0.55000000000000004">
      <c r="F8" s="58" t="s">
        <v>136</v>
      </c>
      <c r="G8" s="61" t="s">
        <v>194</v>
      </c>
    </row>
    <row r="9" spans="1:37" x14ac:dyDescent="0.55000000000000004">
      <c r="F9" s="58" t="s">
        <v>137</v>
      </c>
      <c r="G9" s="60" t="s">
        <v>138</v>
      </c>
      <c r="J9" s="50" t="s">
        <v>107</v>
      </c>
    </row>
    <row r="10" spans="1:37" ht="27" customHeight="1" x14ac:dyDescent="0.55000000000000004">
      <c r="F10" s="58" t="s">
        <v>139</v>
      </c>
      <c r="G10" s="60" t="s">
        <v>140</v>
      </c>
    </row>
    <row r="11" spans="1:37" ht="29.4" thickBot="1" x14ac:dyDescent="0.6">
      <c r="F11" s="62" t="s">
        <v>141</v>
      </c>
      <c r="G11" s="63" t="s">
        <v>195</v>
      </c>
    </row>
    <row r="12" spans="1:37" ht="67.2" thickBot="1" x14ac:dyDescent="0.6">
      <c r="B12" s="173"/>
      <c r="M12" s="65"/>
      <c r="Q12" s="267" t="s">
        <v>1</v>
      </c>
      <c r="R12" s="268"/>
      <c r="S12" s="268"/>
      <c r="T12" s="269"/>
      <c r="U12" s="270" t="s">
        <v>2</v>
      </c>
      <c r="V12" s="271"/>
      <c r="W12" s="271"/>
      <c r="X12" s="272"/>
      <c r="Y12" s="66" t="s">
        <v>56</v>
      </c>
      <c r="Z12" s="67">
        <f>(1/(1-M14))-1</f>
        <v>0.24269914253759173</v>
      </c>
      <c r="AD12" s="273" t="s">
        <v>3</v>
      </c>
      <c r="AE12" s="274"/>
      <c r="AF12" s="275"/>
      <c r="AH12" s="256" t="s">
        <v>58</v>
      </c>
      <c r="AI12" s="257"/>
      <c r="AK12" s="68" t="s">
        <v>60</v>
      </c>
    </row>
    <row r="13" spans="1:37" ht="29.4" thickBot="1" x14ac:dyDescent="0.6">
      <c r="A13" s="69" t="s">
        <v>4</v>
      </c>
      <c r="B13" s="174" t="s">
        <v>5</v>
      </c>
      <c r="C13" s="69" t="s">
        <v>6</v>
      </c>
      <c r="D13" s="69" t="s">
        <v>7</v>
      </c>
      <c r="E13" s="69" t="s">
        <v>8</v>
      </c>
      <c r="M13" s="71">
        <v>0.80469999999999997</v>
      </c>
    </row>
    <row r="14" spans="1:37" ht="52.5" customHeight="1" thickBot="1" x14ac:dyDescent="0.45">
      <c r="A14" s="72">
        <v>0</v>
      </c>
      <c r="B14" s="175"/>
      <c r="C14" s="74"/>
      <c r="D14" s="75"/>
      <c r="E14" s="75"/>
      <c r="F14" s="76" t="s">
        <v>84</v>
      </c>
      <c r="G14" s="77" t="s">
        <v>85</v>
      </c>
      <c r="H14" s="78" t="s">
        <v>86</v>
      </c>
      <c r="I14" s="78" t="s">
        <v>87</v>
      </c>
      <c r="J14" s="79" t="s">
        <v>88</v>
      </c>
      <c r="K14" s="80" t="s">
        <v>9</v>
      </c>
      <c r="L14" s="81">
        <v>0.08</v>
      </c>
      <c r="M14" s="82">
        <f>1-M13</f>
        <v>0.19530000000000003</v>
      </c>
      <c r="N14" s="83" t="s">
        <v>82</v>
      </c>
      <c r="Q14" s="84" t="s">
        <v>89</v>
      </c>
      <c r="R14" s="85" t="s">
        <v>90</v>
      </c>
      <c r="S14" s="86" t="s">
        <v>91</v>
      </c>
      <c r="T14" s="87" t="s">
        <v>92</v>
      </c>
      <c r="U14" s="88" t="s">
        <v>93</v>
      </c>
      <c r="V14" s="89" t="s">
        <v>94</v>
      </c>
      <c r="W14" s="90" t="s">
        <v>95</v>
      </c>
      <c r="X14" s="90" t="s">
        <v>96</v>
      </c>
      <c r="Y14" s="91" t="s">
        <v>97</v>
      </c>
      <c r="Z14" s="92" t="s">
        <v>98</v>
      </c>
      <c r="AA14" s="93" t="s">
        <v>83</v>
      </c>
      <c r="AB14" s="294" t="s">
        <v>59</v>
      </c>
      <c r="AC14" s="294"/>
      <c r="AD14" s="94" t="s">
        <v>99</v>
      </c>
      <c r="AE14" s="95" t="s">
        <v>100</v>
      </c>
      <c r="AF14" s="95" t="s">
        <v>33</v>
      </c>
      <c r="AH14" s="96" t="s">
        <v>101</v>
      </c>
      <c r="AI14" s="97" t="s">
        <v>102</v>
      </c>
    </row>
    <row r="15" spans="1:37" ht="30" customHeight="1" thickBot="1" x14ac:dyDescent="0.6">
      <c r="A15" s="75">
        <v>1</v>
      </c>
      <c r="B15" s="176">
        <v>1</v>
      </c>
      <c r="C15" s="99" t="s">
        <v>121</v>
      </c>
      <c r="D15" s="75"/>
      <c r="E15" s="75"/>
      <c r="F15" s="244" t="s">
        <v>127</v>
      </c>
      <c r="G15" s="245"/>
      <c r="H15" s="245"/>
      <c r="I15" s="245"/>
      <c r="J15" s="245"/>
      <c r="K15" s="245"/>
      <c r="L15" s="245"/>
      <c r="M15" s="245"/>
      <c r="N15" s="261"/>
      <c r="Q15" s="247" t="str">
        <f>IF(F15&lt;&gt;"",F15,"")</f>
        <v>INTERNOS OGGI</v>
      </c>
      <c r="R15" s="248"/>
      <c r="S15" s="248"/>
      <c r="T15" s="248"/>
      <c r="U15" s="248"/>
      <c r="V15" s="248"/>
      <c r="W15" s="248"/>
      <c r="X15" s="248"/>
      <c r="Y15" s="249"/>
      <c r="AB15" s="219"/>
      <c r="AC15" s="219"/>
    </row>
    <row r="16" spans="1:37" ht="30" customHeight="1" x14ac:dyDescent="0.45">
      <c r="A16" s="75">
        <v>2</v>
      </c>
      <c r="B16" s="176" t="s">
        <v>123</v>
      </c>
      <c r="C16" s="99" t="s">
        <v>122</v>
      </c>
      <c r="D16" s="75"/>
      <c r="E16" s="75"/>
      <c r="F16" s="250" t="s">
        <v>127</v>
      </c>
      <c r="G16" s="251"/>
      <c r="H16" s="251"/>
      <c r="I16" s="251"/>
      <c r="J16" s="251"/>
      <c r="K16" s="252"/>
      <c r="L16" s="100" t="s">
        <v>124</v>
      </c>
      <c r="M16" s="101" t="s">
        <v>125</v>
      </c>
      <c r="N16" s="138" t="s">
        <v>82</v>
      </c>
      <c r="Q16" s="262" t="str">
        <f>IF(F16&lt;&gt;"",F16,"")</f>
        <v>INTERNOS OGGI</v>
      </c>
      <c r="R16" s="263"/>
      <c r="S16" s="263"/>
      <c r="T16" s="263"/>
      <c r="U16" s="263"/>
      <c r="V16" s="263"/>
      <c r="W16" s="263"/>
      <c r="X16" s="263"/>
      <c r="Y16" s="264"/>
      <c r="Z16" s="103" t="s">
        <v>126</v>
      </c>
      <c r="AA16" s="104" t="s">
        <v>83</v>
      </c>
      <c r="AB16" s="31" t="s">
        <v>103</v>
      </c>
      <c r="AC16" s="32" t="s">
        <v>104</v>
      </c>
    </row>
    <row r="17" spans="1:38" ht="222" x14ac:dyDescent="0.55000000000000004">
      <c r="A17" s="75">
        <v>3</v>
      </c>
      <c r="B17" s="176" t="s">
        <v>150</v>
      </c>
      <c r="C17" s="99" t="s">
        <v>149</v>
      </c>
      <c r="D17" s="75" t="s">
        <v>156</v>
      </c>
      <c r="E17" s="75" t="s">
        <v>157</v>
      </c>
      <c r="F17" s="195" t="s">
        <v>216</v>
      </c>
      <c r="G17" s="106" t="s">
        <v>144</v>
      </c>
      <c r="H17" s="196">
        <v>1</v>
      </c>
      <c r="I17" s="196">
        <v>1</v>
      </c>
      <c r="J17" s="108">
        <v>2000</v>
      </c>
      <c r="K17" s="108">
        <f>IF(F17&lt;&gt;"",H17*I17*J17,"")</f>
        <v>2000</v>
      </c>
      <c r="L17" s="108">
        <f>IF(K17&lt;&gt;"",IF(D17="INTERNO",0,K17*$L$14),"")</f>
        <v>0</v>
      </c>
      <c r="M17" s="108">
        <f>IF(K17&lt;&gt;"",IF(E17="FAT.OGGI",SUM(K17:L17)*(1/(1-$M$14)-1),L17*(1/(1-$M$14)-1)),0)</f>
        <v>485.39828507518348</v>
      </c>
      <c r="N17" s="109">
        <f>SUM(K17:M17)</f>
        <v>2485.3982850751836</v>
      </c>
      <c r="Q17" s="110">
        <f t="shared" ref="Q17:R18" si="0">IF(H17&lt;&gt;"",H17,"")</f>
        <v>1</v>
      </c>
      <c r="R17" s="111">
        <f t="shared" si="0"/>
        <v>1</v>
      </c>
      <c r="S17" s="112">
        <v>300</v>
      </c>
      <c r="T17" s="112"/>
      <c r="U17" s="113">
        <f>IF(Q17&lt;&gt;"",K17-T17,"")</f>
        <v>2000</v>
      </c>
      <c r="V17" s="114">
        <f>IF(Q17&lt;&gt;"",0%,"")</f>
        <v>0</v>
      </c>
      <c r="W17" s="115">
        <f>IF(Q17&lt;&gt;"",V17*U17,"")</f>
        <v>0</v>
      </c>
      <c r="X17" s="115">
        <f>IF(Q17&lt;&gt;"",W17+T17,"")</f>
        <v>0</v>
      </c>
      <c r="Y17" s="116">
        <f>IF(Q17&lt;&gt;"",X17+M17,"")</f>
        <v>485.39828507518348</v>
      </c>
      <c r="Z17" s="117">
        <f>IF(Q17&lt;&gt;"", IFERROR(U17/K17, 0), 0)</f>
        <v>1</v>
      </c>
      <c r="AA17" s="118">
        <f>IFERROR(T17/$T$20, "")</f>
        <v>0</v>
      </c>
      <c r="AB17" s="220">
        <f>X17-AC17</f>
        <v>0</v>
      </c>
      <c r="AC17" s="215"/>
    </row>
    <row r="18" spans="1:38" ht="111" x14ac:dyDescent="0.55000000000000004">
      <c r="A18" s="75">
        <v>4</v>
      </c>
      <c r="B18" s="176" t="s">
        <v>105</v>
      </c>
      <c r="C18" s="99" t="s">
        <v>149</v>
      </c>
      <c r="D18" s="75" t="s">
        <v>156</v>
      </c>
      <c r="E18" s="75" t="s">
        <v>157</v>
      </c>
      <c r="F18" s="105" t="s">
        <v>147</v>
      </c>
      <c r="G18" s="106" t="s">
        <v>148</v>
      </c>
      <c r="H18" s="196">
        <v>1</v>
      </c>
      <c r="I18" s="196">
        <v>1</v>
      </c>
      <c r="J18" s="108">
        <v>900</v>
      </c>
      <c r="K18" s="108">
        <f>IF(F18&lt;&gt;"",H18*I18*J18,"")</f>
        <v>900</v>
      </c>
      <c r="L18" s="108">
        <f>IF(K18&lt;&gt;"",IF(D18="INTERNO",0,K18*$L$14),"")</f>
        <v>0</v>
      </c>
      <c r="M18" s="108">
        <f>IF(K18&lt;&gt;"",IF(E18="FAT.OGGI",SUM(K18:L18)*(1/(1-$M$14)-1),L18*(1/(1-$M$14)-1)),0)</f>
        <v>218.42922828383254</v>
      </c>
      <c r="N18" s="109">
        <f>SUM(K18:M18)</f>
        <v>1118.4292282838326</v>
      </c>
      <c r="Q18" s="110">
        <f t="shared" si="0"/>
        <v>1</v>
      </c>
      <c r="R18" s="111">
        <f t="shared" si="0"/>
        <v>1</v>
      </c>
      <c r="S18" s="112">
        <v>600</v>
      </c>
      <c r="T18" s="112"/>
      <c r="U18" s="113">
        <f>IF(Q18&lt;&gt;"",K18-T18,"")</f>
        <v>900</v>
      </c>
      <c r="V18" s="114">
        <f>IF(Q18&lt;&gt;"",0%,"")</f>
        <v>0</v>
      </c>
      <c r="W18" s="115">
        <f>IF(Q18&lt;&gt;"",V18*U18,"")</f>
        <v>0</v>
      </c>
      <c r="X18" s="115">
        <f>IF(Q18&lt;&gt;"",W18+T18,"")</f>
        <v>0</v>
      </c>
      <c r="Y18" s="116">
        <f>IF(Q18&lt;&gt;"",X18+M18,"")</f>
        <v>218.42922828383254</v>
      </c>
      <c r="Z18" s="117">
        <f>IF(Q18&lt;&gt;"", IFERROR(U18/K18, 0), 0)</f>
        <v>1</v>
      </c>
      <c r="AA18" s="197">
        <f>IFERROR(T18/$T$20, "")</f>
        <v>0</v>
      </c>
      <c r="AB18" s="220">
        <f t="shared" ref="AB18:AB32" si="1">X18-AC18</f>
        <v>0</v>
      </c>
      <c r="AC18" s="215"/>
    </row>
    <row r="19" spans="1:38" ht="31.05" customHeight="1" x14ac:dyDescent="0.55000000000000004">
      <c r="A19" s="75">
        <v>5</v>
      </c>
      <c r="B19" s="176" t="s">
        <v>151</v>
      </c>
      <c r="C19" s="99" t="s">
        <v>149</v>
      </c>
      <c r="D19" s="75"/>
      <c r="E19" s="75"/>
      <c r="F19" s="198" t="s">
        <v>145</v>
      </c>
      <c r="G19" s="120" t="s">
        <v>217</v>
      </c>
      <c r="H19" s="121">
        <v>1</v>
      </c>
      <c r="I19" s="121">
        <v>1</v>
      </c>
      <c r="J19" s="122">
        <v>1500</v>
      </c>
      <c r="K19" s="122">
        <f>IF(F19&lt;&gt;"",H19*I19*J19,"")</f>
        <v>1500</v>
      </c>
      <c r="L19" s="122">
        <f>IF(K19&lt;&gt;"",IF(D19="INTERNO",0,K19*$L$14),"")</f>
        <v>120</v>
      </c>
      <c r="M19" s="122">
        <f>IF(K19&lt;&gt;"",IF(E19="FAT.OGGI",SUM(K19:L19)*(1/(1-$M$14)-1),L19*(1/(1-$M$14)-1)),0)</f>
        <v>29.123897104511009</v>
      </c>
      <c r="N19" s="123">
        <f>SUM(K19:M19)</f>
        <v>1649.1238971045111</v>
      </c>
      <c r="Q19" s="124">
        <f>IF(H19&lt;&gt;"",H19,"")</f>
        <v>1</v>
      </c>
      <c r="R19" s="125">
        <f>IF(I19&lt;&gt;"",I19,"")</f>
        <v>1</v>
      </c>
      <c r="S19" s="126">
        <v>300</v>
      </c>
      <c r="T19" s="126">
        <f>IF(Q19&lt;&gt;"",Q19*R19*S19,"")</f>
        <v>300</v>
      </c>
      <c r="U19" s="127">
        <f>IF(Q19&lt;&gt;"",K19-T19,"")</f>
        <v>1200</v>
      </c>
      <c r="V19" s="128">
        <f>IF(Q19&lt;&gt;"",0%,"")</f>
        <v>0</v>
      </c>
      <c r="W19" s="129">
        <f>IF(Q19&lt;&gt;"",V19*U19,"")</f>
        <v>0</v>
      </c>
      <c r="X19" s="129"/>
      <c r="Y19" s="130">
        <f>IF(Q19&lt;&gt;"",X19+M19,"")</f>
        <v>29.123897104511009</v>
      </c>
      <c r="Z19" s="117">
        <f>IF(Q19&lt;&gt;"", IFERROR(U19/K19, 0), 0)</f>
        <v>0.8</v>
      </c>
      <c r="AA19" s="118">
        <f>IFERROR(T19/$T$20, "")</f>
        <v>1</v>
      </c>
      <c r="AB19" s="220"/>
      <c r="AC19" s="215"/>
    </row>
    <row r="20" spans="1:38" ht="31.05" customHeight="1" thickBot="1" x14ac:dyDescent="0.6">
      <c r="A20" s="75">
        <v>6</v>
      </c>
      <c r="B20" s="176"/>
      <c r="C20" s="99" t="s">
        <v>152</v>
      </c>
      <c r="D20" s="75"/>
      <c r="E20" s="75"/>
      <c r="F20" s="292" t="s">
        <v>153</v>
      </c>
      <c r="G20" s="293"/>
      <c r="H20" s="293"/>
      <c r="I20" s="293"/>
      <c r="J20" s="293"/>
      <c r="K20" s="199">
        <f>SUM(K17:K19)</f>
        <v>4400</v>
      </c>
      <c r="L20" s="131">
        <f>SUM(L17:L19)</f>
        <v>120</v>
      </c>
      <c r="M20" s="131">
        <f>SUM(M17:M19)</f>
        <v>732.95141046352705</v>
      </c>
      <c r="N20" s="200">
        <f>SUM(N17:N19)</f>
        <v>5252.9514104635273</v>
      </c>
      <c r="Q20" s="292" t="s">
        <v>153</v>
      </c>
      <c r="R20" s="293"/>
      <c r="S20" s="293"/>
      <c r="T20" s="201">
        <f>SUM(T17:T19)</f>
        <v>300</v>
      </c>
      <c r="U20" s="202">
        <f>SUM(U17:U19)</f>
        <v>4100</v>
      </c>
      <c r="V20" s="203"/>
      <c r="W20" s="203"/>
      <c r="X20" s="204">
        <f>SUM(X17:X19)</f>
        <v>0</v>
      </c>
      <c r="Y20" s="205">
        <f>IF(Q20&lt;&gt;"",X20+M20,"")</f>
        <v>732.95141046352705</v>
      </c>
      <c r="AB20" s="220"/>
      <c r="AC20" s="215"/>
    </row>
    <row r="21" spans="1:38" ht="31.05" customHeight="1" thickBot="1" x14ac:dyDescent="0.6">
      <c r="A21" s="75">
        <v>7</v>
      </c>
      <c r="B21" s="176">
        <v>2</v>
      </c>
      <c r="C21" s="99" t="s">
        <v>121</v>
      </c>
      <c r="D21" s="75"/>
      <c r="E21" s="153"/>
      <c r="F21" s="244" t="s">
        <v>155</v>
      </c>
      <c r="G21" s="245"/>
      <c r="H21" s="245"/>
      <c r="I21" s="245"/>
      <c r="J21" s="245"/>
      <c r="K21" s="245"/>
      <c r="L21" s="245"/>
      <c r="M21" s="245"/>
      <c r="N21" s="246"/>
      <c r="Q21" s="245" t="str">
        <f>IF(F21&lt;&gt;"",F21,"")</f>
        <v>OPERACIONAL</v>
      </c>
      <c r="R21" s="245"/>
      <c r="S21" s="245"/>
      <c r="T21" s="245"/>
      <c r="U21" s="245"/>
      <c r="V21" s="245"/>
      <c r="W21" s="245"/>
      <c r="X21" s="245"/>
      <c r="Y21" s="245"/>
      <c r="AB21" s="220">
        <f t="shared" si="1"/>
        <v>0</v>
      </c>
      <c r="AC21" s="215"/>
    </row>
    <row r="22" spans="1:38" ht="62.25" customHeight="1" x14ac:dyDescent="0.55000000000000004">
      <c r="A22" s="75">
        <v>8</v>
      </c>
      <c r="B22" s="176" t="s">
        <v>154</v>
      </c>
      <c r="C22" s="99" t="s">
        <v>122</v>
      </c>
      <c r="D22" s="75"/>
      <c r="E22" s="75"/>
      <c r="F22" s="250" t="s">
        <v>155</v>
      </c>
      <c r="G22" s="251"/>
      <c r="H22" s="251"/>
      <c r="I22" s="251"/>
      <c r="J22" s="251"/>
      <c r="K22" s="252"/>
      <c r="L22" s="100" t="s">
        <v>124</v>
      </c>
      <c r="M22" s="101" t="s">
        <v>125</v>
      </c>
      <c r="N22" s="138" t="s">
        <v>82</v>
      </c>
      <c r="Q22" s="250" t="str">
        <f>IF(F22&lt;&gt;"",F22,"")</f>
        <v>OPERACIONAL</v>
      </c>
      <c r="R22" s="251"/>
      <c r="S22" s="251"/>
      <c r="T22" s="251"/>
      <c r="U22" s="251"/>
      <c r="V22" s="251"/>
      <c r="W22" s="251"/>
      <c r="X22" s="251"/>
      <c r="Y22" s="291"/>
      <c r="Z22" s="103" t="s">
        <v>126</v>
      </c>
      <c r="AA22" s="104" t="s">
        <v>83</v>
      </c>
      <c r="AB22" s="220">
        <f t="shared" si="1"/>
        <v>0</v>
      </c>
      <c r="AC22" s="215"/>
    </row>
    <row r="23" spans="1:38" ht="55.05" customHeight="1" x14ac:dyDescent="0.55000000000000004">
      <c r="A23" s="75">
        <v>9</v>
      </c>
      <c r="B23" s="176" t="s">
        <v>158</v>
      </c>
      <c r="C23" s="99" t="s">
        <v>149</v>
      </c>
      <c r="D23" s="75" t="s">
        <v>155</v>
      </c>
      <c r="E23" s="75" t="s">
        <v>178</v>
      </c>
      <c r="F23" s="206" t="s">
        <v>172</v>
      </c>
      <c r="G23" s="106" t="s">
        <v>218</v>
      </c>
      <c r="H23" s="107">
        <v>80</v>
      </c>
      <c r="I23" s="107">
        <v>1</v>
      </c>
      <c r="J23" s="108">
        <v>15</v>
      </c>
      <c r="K23" s="108">
        <f t="shared" ref="K23:K32" si="2">IF(F23&lt;&gt;"",H23*I23*J23,"")</f>
        <v>1200</v>
      </c>
      <c r="L23" s="108">
        <f t="shared" ref="L23:L32" si="3">IF(K23&lt;&gt;"",IF(D23="INTERNO",0,K23*$L$14),"")</f>
        <v>96</v>
      </c>
      <c r="M23" s="108">
        <f t="shared" ref="M23:M32" si="4">IF(K23&lt;&gt;"",IF(E23="FAT.OGGI",SUM(K23:L23)*(1/(1-$M$14)-1),L23*(1/(1-$M$14)-1)),0)</f>
        <v>23.299117683608806</v>
      </c>
      <c r="N23" s="109">
        <f t="shared" ref="N23:N32" si="5">SUM(K23:M23)</f>
        <v>1319.2991176836088</v>
      </c>
      <c r="O23" s="50" t="s">
        <v>237</v>
      </c>
      <c r="Q23" s="110">
        <f t="shared" ref="Q23:Q32" si="6">IF(H23&lt;&gt;"",H23,"")</f>
        <v>80</v>
      </c>
      <c r="R23" s="111">
        <v>0</v>
      </c>
      <c r="S23" s="112">
        <v>10</v>
      </c>
      <c r="T23" s="112">
        <f t="shared" ref="T23:T28" si="7">IF(Q23&lt;&gt;"",Q23*R23*S23,"")</f>
        <v>0</v>
      </c>
      <c r="U23" s="113">
        <f t="shared" ref="U23:U32" si="8">IF(Q23&lt;&gt;"",K23-T23,"")</f>
        <v>1200</v>
      </c>
      <c r="V23" s="114">
        <f t="shared" ref="V23:V32" si="9">IF(Q23&lt;&gt;"",0%,"")</f>
        <v>0</v>
      </c>
      <c r="W23" s="115">
        <f t="shared" ref="W23:W32" si="10">IF(Q23&lt;&gt;"",V23*U23,"")</f>
        <v>0</v>
      </c>
      <c r="X23" s="115">
        <f t="shared" ref="X23:X32" si="11">IF(Q23&lt;&gt;"",W23+T23,"")</f>
        <v>0</v>
      </c>
      <c r="Y23" s="116">
        <f t="shared" ref="Y23:Y33" si="12">IF(Q23&lt;&gt;"",X23+M23,"")</f>
        <v>23.299117683608806</v>
      </c>
      <c r="Z23" s="117">
        <f t="shared" ref="Z23:Z32" si="13">IF(Q23&lt;&gt;"", IFERROR(U23/K23, 0), 0)</f>
        <v>1</v>
      </c>
      <c r="AA23" s="118">
        <f t="shared" ref="AA23:AA32" si="14">IFERROR(T23/$T$33, "")</f>
        <v>0</v>
      </c>
      <c r="AB23" s="220">
        <f t="shared" si="1"/>
        <v>0</v>
      </c>
      <c r="AC23" s="215"/>
    </row>
    <row r="24" spans="1:38" ht="133.19999999999999" x14ac:dyDescent="0.55000000000000004">
      <c r="A24" s="75">
        <v>10</v>
      </c>
      <c r="B24" s="176" t="s">
        <v>208</v>
      </c>
      <c r="C24" s="99" t="s">
        <v>149</v>
      </c>
      <c r="D24" s="75" t="s">
        <v>155</v>
      </c>
      <c r="E24" s="75" t="s">
        <v>178</v>
      </c>
      <c r="F24" s="105" t="s">
        <v>219</v>
      </c>
      <c r="G24" s="106" t="s">
        <v>220</v>
      </c>
      <c r="H24" s="107">
        <v>1</v>
      </c>
      <c r="I24" s="107">
        <v>1</v>
      </c>
      <c r="J24" s="108">
        <v>2070</v>
      </c>
      <c r="K24" s="108">
        <f t="shared" si="2"/>
        <v>2070</v>
      </c>
      <c r="L24" s="108">
        <f t="shared" si="3"/>
        <v>165.6</v>
      </c>
      <c r="M24" s="108">
        <f t="shared" si="4"/>
        <v>40.190978004225187</v>
      </c>
      <c r="N24" s="109">
        <f t="shared" si="5"/>
        <v>2275.7909780042251</v>
      </c>
      <c r="Q24" s="110">
        <f t="shared" si="6"/>
        <v>1</v>
      </c>
      <c r="R24" s="111">
        <f>IF(I24&lt;&gt;"",I24,"")</f>
        <v>1</v>
      </c>
      <c r="S24" s="112">
        <f>759.5</f>
        <v>759.5</v>
      </c>
      <c r="T24" s="112">
        <f t="shared" si="7"/>
        <v>759.5</v>
      </c>
      <c r="U24" s="113">
        <f t="shared" si="8"/>
        <v>1310.5</v>
      </c>
      <c r="V24" s="114">
        <f t="shared" si="9"/>
        <v>0</v>
      </c>
      <c r="W24" s="115">
        <f t="shared" si="10"/>
        <v>0</v>
      </c>
      <c r="X24" s="115">
        <f t="shared" si="11"/>
        <v>759.5</v>
      </c>
      <c r="Y24" s="116">
        <f t="shared" si="12"/>
        <v>799.69097800422514</v>
      </c>
      <c r="Z24" s="117">
        <f t="shared" si="13"/>
        <v>0.63309178743961347</v>
      </c>
      <c r="AA24" s="118">
        <f t="shared" si="14"/>
        <v>2.7685341422775029E-2</v>
      </c>
      <c r="AB24" s="220">
        <f t="shared" si="1"/>
        <v>0</v>
      </c>
      <c r="AC24" s="215">
        <v>759.5</v>
      </c>
      <c r="AL24" s="237" t="s">
        <v>262</v>
      </c>
    </row>
    <row r="25" spans="1:38" ht="133.19999999999999" x14ac:dyDescent="0.55000000000000004">
      <c r="A25" s="75">
        <v>11</v>
      </c>
      <c r="B25" s="176" t="s">
        <v>209</v>
      </c>
      <c r="C25" s="99" t="s">
        <v>149</v>
      </c>
      <c r="D25" s="75" t="s">
        <v>155</v>
      </c>
      <c r="E25" s="75" t="s">
        <v>178</v>
      </c>
      <c r="F25" s="105" t="s">
        <v>221</v>
      </c>
      <c r="G25" s="106" t="s">
        <v>222</v>
      </c>
      <c r="H25" s="107">
        <v>1</v>
      </c>
      <c r="I25" s="107">
        <v>1</v>
      </c>
      <c r="J25" s="108">
        <f>1580+525</f>
        <v>2105</v>
      </c>
      <c r="K25" s="108">
        <f t="shared" si="2"/>
        <v>2105</v>
      </c>
      <c r="L25" s="108">
        <f t="shared" si="3"/>
        <v>168.4</v>
      </c>
      <c r="M25" s="108">
        <f t="shared" si="4"/>
        <v>40.870535603330445</v>
      </c>
      <c r="N25" s="109">
        <f t="shared" si="5"/>
        <v>2314.2705356033307</v>
      </c>
      <c r="Q25" s="110">
        <f t="shared" si="6"/>
        <v>1</v>
      </c>
      <c r="R25" s="111">
        <f>IF(I25&lt;&gt;"",I25,"")</f>
        <v>1</v>
      </c>
      <c r="S25" s="112">
        <v>1425</v>
      </c>
      <c r="T25" s="112">
        <f t="shared" si="7"/>
        <v>1425</v>
      </c>
      <c r="U25" s="113">
        <f t="shared" si="8"/>
        <v>680</v>
      </c>
      <c r="V25" s="114">
        <f t="shared" si="9"/>
        <v>0</v>
      </c>
      <c r="W25" s="115">
        <f t="shared" si="10"/>
        <v>0</v>
      </c>
      <c r="X25" s="115">
        <f t="shared" si="11"/>
        <v>1425</v>
      </c>
      <c r="Y25" s="116">
        <f t="shared" si="12"/>
        <v>1465.8705356033304</v>
      </c>
      <c r="Z25" s="117">
        <f t="shared" si="13"/>
        <v>0.32304038004750596</v>
      </c>
      <c r="AA25" s="197">
        <f t="shared" si="14"/>
        <v>5.1944188976240181E-2</v>
      </c>
      <c r="AB25" s="220">
        <f t="shared" si="1"/>
        <v>0</v>
      </c>
      <c r="AC25" s="215">
        <v>1425</v>
      </c>
      <c r="AL25" s="237" t="s">
        <v>261</v>
      </c>
    </row>
    <row r="26" spans="1:38" ht="133.19999999999999" x14ac:dyDescent="0.55000000000000004">
      <c r="A26" s="75">
        <v>12</v>
      </c>
      <c r="B26" s="176" t="s">
        <v>210</v>
      </c>
      <c r="C26" s="99" t="s">
        <v>149</v>
      </c>
      <c r="D26" s="75" t="s">
        <v>155</v>
      </c>
      <c r="E26" s="75" t="s">
        <v>178</v>
      </c>
      <c r="F26" s="206" t="s">
        <v>223</v>
      </c>
      <c r="G26" s="106" t="s">
        <v>224</v>
      </c>
      <c r="H26" s="107">
        <v>1</v>
      </c>
      <c r="I26" s="107">
        <v>1</v>
      </c>
      <c r="J26" s="108">
        <v>5070</v>
      </c>
      <c r="K26" s="108">
        <f t="shared" si="2"/>
        <v>5070</v>
      </c>
      <c r="L26" s="108">
        <f t="shared" si="3"/>
        <v>405.6</v>
      </c>
      <c r="M26" s="108">
        <f t="shared" si="4"/>
        <v>98.438772213247205</v>
      </c>
      <c r="N26" s="109">
        <f t="shared" si="5"/>
        <v>5574.0387722132473</v>
      </c>
      <c r="O26" s="50" t="s">
        <v>238</v>
      </c>
      <c r="Q26" s="110">
        <f t="shared" si="6"/>
        <v>1</v>
      </c>
      <c r="R26" s="111">
        <f>IF(I26&lt;&gt;"",I26,"")</f>
        <v>1</v>
      </c>
      <c r="S26" s="112">
        <v>2000</v>
      </c>
      <c r="T26" s="112"/>
      <c r="U26" s="113">
        <f t="shared" si="8"/>
        <v>5070</v>
      </c>
      <c r="V26" s="114">
        <f t="shared" si="9"/>
        <v>0</v>
      </c>
      <c r="W26" s="115">
        <f t="shared" si="10"/>
        <v>0</v>
      </c>
      <c r="X26" s="115">
        <f t="shared" si="11"/>
        <v>0</v>
      </c>
      <c r="Y26" s="116">
        <f t="shared" si="12"/>
        <v>98.438772213247205</v>
      </c>
      <c r="Z26" s="117">
        <f t="shared" si="13"/>
        <v>1</v>
      </c>
      <c r="AA26" s="197">
        <f t="shared" si="14"/>
        <v>0</v>
      </c>
      <c r="AB26" s="220">
        <f t="shared" si="1"/>
        <v>0</v>
      </c>
      <c r="AC26" s="215"/>
    </row>
    <row r="27" spans="1:38" ht="133.19999999999999" x14ac:dyDescent="0.55000000000000004">
      <c r="A27" s="75">
        <v>13</v>
      </c>
      <c r="B27" s="176" t="s">
        <v>211</v>
      </c>
      <c r="C27" s="99" t="s">
        <v>149</v>
      </c>
      <c r="D27" s="75" t="s">
        <v>155</v>
      </c>
      <c r="E27" s="75" t="s">
        <v>178</v>
      </c>
      <c r="F27" s="105" t="s">
        <v>225</v>
      </c>
      <c r="G27" s="106" t="s">
        <v>226</v>
      </c>
      <c r="H27" s="107">
        <v>1</v>
      </c>
      <c r="I27" s="107">
        <v>7</v>
      </c>
      <c r="J27" s="108">
        <v>550</v>
      </c>
      <c r="K27" s="108">
        <f t="shared" si="2"/>
        <v>3850</v>
      </c>
      <c r="L27" s="108">
        <f t="shared" si="3"/>
        <v>308</v>
      </c>
      <c r="M27" s="108">
        <f t="shared" si="4"/>
        <v>74.751335901578258</v>
      </c>
      <c r="N27" s="109">
        <f t="shared" si="5"/>
        <v>4232.7513359015784</v>
      </c>
      <c r="O27" s="50" t="s">
        <v>239</v>
      </c>
      <c r="Q27" s="110">
        <f t="shared" si="6"/>
        <v>1</v>
      </c>
      <c r="R27" s="111">
        <v>1</v>
      </c>
      <c r="S27" s="112">
        <v>1200</v>
      </c>
      <c r="T27" s="112">
        <v>1200</v>
      </c>
      <c r="U27" s="113">
        <f t="shared" si="8"/>
        <v>2650</v>
      </c>
      <c r="V27" s="114">
        <f t="shared" si="9"/>
        <v>0</v>
      </c>
      <c r="W27" s="115">
        <f t="shared" si="10"/>
        <v>0</v>
      </c>
      <c r="X27" s="115">
        <f t="shared" si="11"/>
        <v>1200</v>
      </c>
      <c r="Y27" s="116">
        <f t="shared" si="12"/>
        <v>1274.7513359015782</v>
      </c>
      <c r="Z27" s="117">
        <f t="shared" si="13"/>
        <v>0.68831168831168832</v>
      </c>
      <c r="AA27" s="197">
        <f t="shared" si="14"/>
        <v>4.374247492736015E-2</v>
      </c>
      <c r="AB27" s="220">
        <f t="shared" si="1"/>
        <v>0</v>
      </c>
      <c r="AC27" s="215">
        <f>600+600</f>
        <v>1200</v>
      </c>
      <c r="AL27" s="237" t="s">
        <v>268</v>
      </c>
    </row>
    <row r="28" spans="1:38" ht="133.19999999999999" x14ac:dyDescent="0.55000000000000004">
      <c r="A28" s="75">
        <v>14</v>
      </c>
      <c r="B28" s="176" t="s">
        <v>212</v>
      </c>
      <c r="C28" s="99" t="s">
        <v>149</v>
      </c>
      <c r="D28" s="75" t="s">
        <v>155</v>
      </c>
      <c r="E28" s="75" t="s">
        <v>178</v>
      </c>
      <c r="F28" s="139" t="s">
        <v>227</v>
      </c>
      <c r="G28" s="179" t="s">
        <v>228</v>
      </c>
      <c r="H28" s="107">
        <v>1</v>
      </c>
      <c r="I28" s="107">
        <v>1</v>
      </c>
      <c r="J28" s="108">
        <v>1050</v>
      </c>
      <c r="K28" s="108">
        <f t="shared" si="2"/>
        <v>1050</v>
      </c>
      <c r="L28" s="108">
        <f t="shared" si="3"/>
        <v>84</v>
      </c>
      <c r="M28" s="108">
        <f t="shared" si="4"/>
        <v>20.386727973157704</v>
      </c>
      <c r="N28" s="109">
        <f t="shared" si="5"/>
        <v>1154.3867279731578</v>
      </c>
      <c r="O28" s="50" t="s">
        <v>240</v>
      </c>
      <c r="Q28" s="110">
        <f t="shared" si="6"/>
        <v>1</v>
      </c>
      <c r="R28" s="111">
        <f>IF(I28&lt;&gt;"",I28,"")</f>
        <v>1</v>
      </c>
      <c r="S28" s="112">
        <v>900</v>
      </c>
      <c r="T28" s="112">
        <f t="shared" si="7"/>
        <v>900</v>
      </c>
      <c r="U28" s="113">
        <f t="shared" si="8"/>
        <v>150</v>
      </c>
      <c r="V28" s="114">
        <f t="shared" si="9"/>
        <v>0</v>
      </c>
      <c r="W28" s="115">
        <f t="shared" si="10"/>
        <v>0</v>
      </c>
      <c r="X28" s="115">
        <f t="shared" si="11"/>
        <v>900</v>
      </c>
      <c r="Y28" s="116">
        <f t="shared" si="12"/>
        <v>920.38672797315769</v>
      </c>
      <c r="Z28" s="117">
        <f t="shared" si="13"/>
        <v>0.14285714285714285</v>
      </c>
      <c r="AA28" s="118">
        <f t="shared" si="14"/>
        <v>3.2806856195520116E-2</v>
      </c>
      <c r="AB28" s="220">
        <f t="shared" si="1"/>
        <v>0</v>
      </c>
      <c r="AC28" s="215">
        <v>900</v>
      </c>
      <c r="AL28" s="237" t="s">
        <v>259</v>
      </c>
    </row>
    <row r="29" spans="1:38" ht="46.05" customHeight="1" x14ac:dyDescent="0.55000000000000004">
      <c r="A29" s="75">
        <v>15</v>
      </c>
      <c r="B29" s="176" t="s">
        <v>233</v>
      </c>
      <c r="C29" s="99" t="s">
        <v>149</v>
      </c>
      <c r="D29" s="75" t="s">
        <v>155</v>
      </c>
      <c r="E29" s="75" t="s">
        <v>178</v>
      </c>
      <c r="F29" s="105" t="s">
        <v>229</v>
      </c>
      <c r="G29" s="106" t="s">
        <v>230</v>
      </c>
      <c r="H29" s="207">
        <v>41</v>
      </c>
      <c r="I29" s="107">
        <v>1</v>
      </c>
      <c r="J29" s="108">
        <v>149.54</v>
      </c>
      <c r="K29" s="108">
        <f t="shared" si="2"/>
        <v>6131.1399999999994</v>
      </c>
      <c r="L29" s="108">
        <f t="shared" si="3"/>
        <v>490.49119999999994</v>
      </c>
      <c r="M29" s="108">
        <f t="shared" si="4"/>
        <v>119.0417936622344</v>
      </c>
      <c r="N29" s="109">
        <f t="shared" si="5"/>
        <v>6740.6729936622341</v>
      </c>
      <c r="Q29" s="110">
        <f t="shared" si="6"/>
        <v>41</v>
      </c>
      <c r="R29" s="111">
        <f>IF(I29&lt;&gt;"",I29,"")</f>
        <v>1</v>
      </c>
      <c r="S29" s="112">
        <v>149.54</v>
      </c>
      <c r="T29" s="112"/>
      <c r="U29" s="113"/>
      <c r="V29" s="114"/>
      <c r="W29" s="115"/>
      <c r="X29" s="115"/>
      <c r="Y29" s="116">
        <f t="shared" si="12"/>
        <v>119.0417936622344</v>
      </c>
      <c r="Z29" s="117">
        <f t="shared" si="13"/>
        <v>0</v>
      </c>
      <c r="AA29" s="118">
        <f t="shared" si="14"/>
        <v>0</v>
      </c>
      <c r="AB29" s="220">
        <f t="shared" si="1"/>
        <v>0</v>
      </c>
      <c r="AC29" s="215"/>
    </row>
    <row r="30" spans="1:38" ht="42.6" customHeight="1" x14ac:dyDescent="0.55000000000000004">
      <c r="A30" s="75">
        <v>16</v>
      </c>
      <c r="B30" s="176" t="s">
        <v>234</v>
      </c>
      <c r="C30" s="99" t="s">
        <v>149</v>
      </c>
      <c r="D30" s="75" t="s">
        <v>155</v>
      </c>
      <c r="E30" s="75" t="s">
        <v>178</v>
      </c>
      <c r="F30" s="105" t="s">
        <v>229</v>
      </c>
      <c r="G30" s="106" t="s">
        <v>231</v>
      </c>
      <c r="H30" s="207">
        <v>40</v>
      </c>
      <c r="I30" s="107">
        <v>1</v>
      </c>
      <c r="J30" s="108">
        <v>324.02</v>
      </c>
      <c r="K30" s="108">
        <f t="shared" si="2"/>
        <v>12960.8</v>
      </c>
      <c r="L30" s="108">
        <f t="shared" si="3"/>
        <v>1036.864</v>
      </c>
      <c r="M30" s="108">
        <f t="shared" si="4"/>
        <v>251.64600372809753</v>
      </c>
      <c r="N30" s="109">
        <f t="shared" si="5"/>
        <v>14249.310003728096</v>
      </c>
      <c r="Q30" s="110">
        <f t="shared" si="6"/>
        <v>40</v>
      </c>
      <c r="R30" s="111">
        <f>IF(I30&lt;&gt;"",I30,"")</f>
        <v>1</v>
      </c>
      <c r="S30" s="112">
        <v>324.02</v>
      </c>
      <c r="T30" s="112"/>
      <c r="U30" s="113"/>
      <c r="V30" s="114"/>
      <c r="W30" s="115"/>
      <c r="X30" s="115"/>
      <c r="Y30" s="116">
        <f t="shared" si="12"/>
        <v>251.64600372809753</v>
      </c>
      <c r="Z30" s="117">
        <f t="shared" si="13"/>
        <v>0</v>
      </c>
      <c r="AA30" s="118">
        <f t="shared" si="14"/>
        <v>0</v>
      </c>
      <c r="AB30" s="220">
        <f t="shared" si="1"/>
        <v>0</v>
      </c>
      <c r="AC30" s="215"/>
    </row>
    <row r="31" spans="1:38" ht="34.049999999999997" customHeight="1" x14ac:dyDescent="0.55000000000000004">
      <c r="A31" s="75">
        <v>17</v>
      </c>
      <c r="B31" s="176" t="s">
        <v>235</v>
      </c>
      <c r="C31" s="99" t="s">
        <v>149</v>
      </c>
      <c r="D31" s="75" t="s">
        <v>155</v>
      </c>
      <c r="E31" s="75" t="s">
        <v>178</v>
      </c>
      <c r="F31" s="105" t="s">
        <v>229</v>
      </c>
      <c r="G31" s="106" t="s">
        <v>232</v>
      </c>
      <c r="H31" s="207">
        <v>41</v>
      </c>
      <c r="I31" s="107">
        <v>1</v>
      </c>
      <c r="J31" s="108">
        <v>100.28</v>
      </c>
      <c r="K31" s="108">
        <f t="shared" si="2"/>
        <v>4111.4800000000005</v>
      </c>
      <c r="L31" s="108">
        <f t="shared" si="3"/>
        <v>328.91840000000002</v>
      </c>
      <c r="M31" s="108">
        <f t="shared" si="4"/>
        <v>79.828213644836609</v>
      </c>
      <c r="N31" s="109">
        <f t="shared" si="5"/>
        <v>4520.226613644837</v>
      </c>
      <c r="Q31" s="110">
        <f t="shared" si="6"/>
        <v>41</v>
      </c>
      <c r="R31" s="111">
        <f>IF(I31&lt;&gt;"",I31,"")</f>
        <v>1</v>
      </c>
      <c r="S31" s="112">
        <v>100.28</v>
      </c>
      <c r="T31" s="112">
        <v>22998.79</v>
      </c>
      <c r="U31" s="113">
        <f t="shared" si="8"/>
        <v>-18887.310000000001</v>
      </c>
      <c r="V31" s="114">
        <f t="shared" si="9"/>
        <v>0</v>
      </c>
      <c r="W31" s="115">
        <f t="shared" si="10"/>
        <v>0</v>
      </c>
      <c r="X31" s="115">
        <f t="shared" si="11"/>
        <v>22998.79</v>
      </c>
      <c r="Y31" s="116">
        <f t="shared" si="12"/>
        <v>23078.618213644837</v>
      </c>
      <c r="Z31" s="117">
        <f t="shared" si="13"/>
        <v>-4.5937983402570364</v>
      </c>
      <c r="AA31" s="118">
        <f t="shared" si="14"/>
        <v>0.83835332911218452</v>
      </c>
      <c r="AB31" s="220">
        <f t="shared" si="1"/>
        <v>0</v>
      </c>
      <c r="AC31" s="215">
        <v>22998.79</v>
      </c>
      <c r="AL31" s="237" t="s">
        <v>131</v>
      </c>
    </row>
    <row r="32" spans="1:38" ht="72.75" customHeight="1" thickBot="1" x14ac:dyDescent="0.6">
      <c r="A32" s="75">
        <v>18</v>
      </c>
      <c r="B32" s="176" t="s">
        <v>236</v>
      </c>
      <c r="C32" s="99" t="s">
        <v>149</v>
      </c>
      <c r="D32" s="75" t="s">
        <v>155</v>
      </c>
      <c r="E32" s="75" t="s">
        <v>178</v>
      </c>
      <c r="F32" s="208" t="s">
        <v>176</v>
      </c>
      <c r="G32" s="120" t="s">
        <v>177</v>
      </c>
      <c r="H32" s="121">
        <v>1</v>
      </c>
      <c r="I32" s="121">
        <v>1</v>
      </c>
      <c r="J32" s="122">
        <v>1226.8105</v>
      </c>
      <c r="K32" s="122">
        <f t="shared" si="2"/>
        <v>1226.8105</v>
      </c>
      <c r="L32" s="122">
        <f t="shared" si="3"/>
        <v>98.144840000000002</v>
      </c>
      <c r="M32" s="122">
        <f t="shared" si="4"/>
        <v>23.819668512489134</v>
      </c>
      <c r="N32" s="123">
        <f t="shared" si="5"/>
        <v>1348.7750085124892</v>
      </c>
      <c r="Q32" s="124">
        <f t="shared" si="6"/>
        <v>1</v>
      </c>
      <c r="R32" s="125">
        <f>IF(I32&lt;&gt;"",I32,"")</f>
        <v>1</v>
      </c>
      <c r="S32" s="126">
        <v>1000</v>
      </c>
      <c r="T32" s="126">
        <v>150</v>
      </c>
      <c r="U32" s="127">
        <f t="shared" si="8"/>
        <v>1076.8105</v>
      </c>
      <c r="V32" s="128">
        <f t="shared" si="9"/>
        <v>0</v>
      </c>
      <c r="W32" s="129">
        <f t="shared" si="10"/>
        <v>0</v>
      </c>
      <c r="X32" s="129">
        <f t="shared" si="11"/>
        <v>150</v>
      </c>
      <c r="Y32" s="130">
        <f t="shared" si="12"/>
        <v>173.81966851248913</v>
      </c>
      <c r="Z32" s="151">
        <f t="shared" si="13"/>
        <v>0.8777317279237502</v>
      </c>
      <c r="AA32" s="152">
        <f t="shared" si="14"/>
        <v>5.4678093659200188E-3</v>
      </c>
      <c r="AB32" s="220">
        <f t="shared" si="1"/>
        <v>0</v>
      </c>
      <c r="AC32" s="215">
        <f>150</f>
        <v>150</v>
      </c>
      <c r="AL32" s="237" t="s">
        <v>253</v>
      </c>
    </row>
    <row r="33" spans="1:29" ht="42" customHeight="1" thickBot="1" x14ac:dyDescent="0.6">
      <c r="A33" s="75">
        <v>19</v>
      </c>
      <c r="B33" s="190"/>
      <c r="C33" s="75" t="s">
        <v>152</v>
      </c>
      <c r="D33" s="75"/>
      <c r="E33" s="75"/>
      <c r="F33" s="258" t="s">
        <v>187</v>
      </c>
      <c r="G33" s="259"/>
      <c r="H33" s="259"/>
      <c r="I33" s="259"/>
      <c r="J33" s="259"/>
      <c r="K33" s="131">
        <f>SUM(K23:K32)</f>
        <v>39775.230500000005</v>
      </c>
      <c r="L33" s="131">
        <f>SUM(L23:L32)</f>
        <v>3182.0184399999998</v>
      </c>
      <c r="M33" s="131">
        <f>SUM(M23:M32)</f>
        <v>772.27314692680534</v>
      </c>
      <c r="N33" s="132">
        <f>SUM(N23:N32)</f>
        <v>43729.522086926801</v>
      </c>
      <c r="Q33" s="258" t="s">
        <v>187</v>
      </c>
      <c r="R33" s="259"/>
      <c r="S33" s="259"/>
      <c r="T33" s="133">
        <f>SUM(T23:T32)</f>
        <v>27433.29</v>
      </c>
      <c r="U33" s="134">
        <f>SUM(U23:U32)</f>
        <v>-6749.9995000000017</v>
      </c>
      <c r="V33" s="135"/>
      <c r="W33" s="135"/>
      <c r="X33" s="136">
        <f>SUM(X23:X32)</f>
        <v>27433.29</v>
      </c>
      <c r="Y33" s="191">
        <f t="shared" si="12"/>
        <v>28205.563146926805</v>
      </c>
      <c r="Z33" s="161" t="s">
        <v>191</v>
      </c>
      <c r="AA33" s="192" t="s">
        <v>192</v>
      </c>
      <c r="AB33" s="220"/>
      <c r="AC33" s="215"/>
    </row>
    <row r="34" spans="1:29" ht="64.5" customHeight="1" thickBot="1" x14ac:dyDescent="0.6">
      <c r="A34" s="163">
        <v>20</v>
      </c>
      <c r="C34" s="164" t="s">
        <v>189</v>
      </c>
      <c r="D34" s="164"/>
      <c r="E34" s="164"/>
      <c r="F34" s="165" t="s">
        <v>213</v>
      </c>
      <c r="G34" s="166"/>
      <c r="H34" s="166"/>
      <c r="I34" s="166"/>
      <c r="J34" s="166"/>
      <c r="K34" s="167">
        <f>SUM(K17:K19)+SUM(K23:K32)</f>
        <v>44175.230500000005</v>
      </c>
      <c r="L34" s="167">
        <f>SUM(L17:L19)+SUM(L23:L32)</f>
        <v>3302.0184399999998</v>
      </c>
      <c r="M34" s="167">
        <f>SUM(M17:M19)+SUM(M23:M32)</f>
        <v>1505.2245573903324</v>
      </c>
      <c r="N34" s="168">
        <f>SUM(N17:N19)+SUM(N23:N32)</f>
        <v>48982.473497390325</v>
      </c>
      <c r="Q34" s="165" t="s">
        <v>43</v>
      </c>
      <c r="R34" s="166"/>
      <c r="S34" s="166"/>
      <c r="T34" s="167">
        <f>SUM(T17:T19)+SUM(T23:T32)</f>
        <v>27733.29</v>
      </c>
      <c r="U34" s="167">
        <f>SUM(U17:U19)+SUM(U23:U32)</f>
        <v>-2649.9995000000017</v>
      </c>
      <c r="V34" s="166"/>
      <c r="W34" s="166"/>
      <c r="X34" s="167">
        <f>SUM(X17:X19)+SUM(X23:X32)</f>
        <v>27433.29</v>
      </c>
      <c r="Y34" s="168">
        <f>SUM(Y17:Y19)+SUM(Y23:Y32)</f>
        <v>28938.514557390332</v>
      </c>
      <c r="Z34" s="169">
        <f>IF(Q34&lt;&gt;"",(N34-Y34)/N34,"")</f>
        <v>0.40920675312707289</v>
      </c>
      <c r="AA34" s="170">
        <f>IF(Z34&lt;&gt;"",(N34-Y34),"")</f>
        <v>20043.958939999993</v>
      </c>
      <c r="AB34" s="220">
        <f>SUM(AB17:AB33)</f>
        <v>0</v>
      </c>
      <c r="AC34" s="215">
        <f>SUM(AC17:AC33)</f>
        <v>27433.29</v>
      </c>
    </row>
    <row r="37" spans="1:29" x14ac:dyDescent="0.55000000000000004">
      <c r="AB37" s="236">
        <v>0</v>
      </c>
      <c r="AC37" s="216" t="s">
        <v>124</v>
      </c>
    </row>
    <row r="38" spans="1:29" x14ac:dyDescent="0.55000000000000004">
      <c r="AB38" s="236">
        <v>0</v>
      </c>
      <c r="AC38" s="216" t="s">
        <v>125</v>
      </c>
    </row>
    <row r="39" spans="1:29" x14ac:dyDescent="0.55000000000000004">
      <c r="T39" s="50" t="s">
        <v>107</v>
      </c>
      <c r="AB39" s="236">
        <f>X34</f>
        <v>27433.29</v>
      </c>
      <c r="AC39" s="216" t="s">
        <v>249</v>
      </c>
    </row>
    <row r="40" spans="1:29" x14ac:dyDescent="0.55000000000000004">
      <c r="AB40" s="234">
        <f>N34-AB39</f>
        <v>21549.183497390324</v>
      </c>
      <c r="AC40" s="217" t="s">
        <v>242</v>
      </c>
    </row>
    <row r="41" spans="1:29" x14ac:dyDescent="0.55000000000000004">
      <c r="AB41" s="235">
        <f>AB40*100%/N34</f>
        <v>0.43993661321612137</v>
      </c>
      <c r="AC41" s="217"/>
    </row>
    <row r="46" spans="1:29" x14ac:dyDescent="0.55000000000000004">
      <c r="AB46" s="221"/>
    </row>
  </sheetData>
  <autoFilter ref="A1:AM14" xr:uid="{00000000-0009-0000-0000-000002000000}">
    <filterColumn colId="5" showButton="0"/>
  </autoFilter>
  <mergeCells count="19">
    <mergeCell ref="AH12:AI12"/>
    <mergeCell ref="F1:G1"/>
    <mergeCell ref="F2:G2"/>
    <mergeCell ref="Q12:T12"/>
    <mergeCell ref="U12:X12"/>
    <mergeCell ref="AD12:AF12"/>
    <mergeCell ref="AB14:AC14"/>
    <mergeCell ref="F15:N15"/>
    <mergeCell ref="Q15:Y15"/>
    <mergeCell ref="F16:K16"/>
    <mergeCell ref="Q16:Y16"/>
    <mergeCell ref="Q22:Y22"/>
    <mergeCell ref="F33:J33"/>
    <mergeCell ref="Q33:S33"/>
    <mergeCell ref="Q21:Y21"/>
    <mergeCell ref="F20:J20"/>
    <mergeCell ref="Q20:S20"/>
    <mergeCell ref="F21:N21"/>
    <mergeCell ref="F22:K22"/>
  </mergeCells>
  <dataValidations count="3">
    <dataValidation type="list" allowBlank="1" showInputMessage="1" showErrorMessage="1" sqref="E34" xr:uid="{00000000-0002-0000-0200-000000000000}">
      <formula1>"FAT.OGGI,FAT.CLIENTE "</formula1>
    </dataValidation>
    <dataValidation type="list" allowBlank="1" showInputMessage="1" showErrorMessage="1" sqref="D17:D19 D23:D32 D34" xr:uid="{00000000-0002-0000-0200-000001000000}">
      <formula1>"INTERNO,OPERACIONAL"</formula1>
    </dataValidation>
    <dataValidation type="list" allowBlank="1" showInputMessage="1" showErrorMessage="1" sqref="E17:E19 E23:E32" xr:uid="{00000000-0002-0000-0200-000002000000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8:L8"/>
  <sheetViews>
    <sheetView zoomScale="70" zoomScaleNormal="70" workbookViewId="0">
      <selection activeCell="H17" sqref="H17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A1:O9"/>
  <sheetViews>
    <sheetView zoomScaleNormal="100" workbookViewId="0">
      <selection activeCell="A10" sqref="A10:XFD28"/>
    </sheetView>
  </sheetViews>
  <sheetFormatPr defaultColWidth="8.77734375"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296" t="s">
        <v>11</v>
      </c>
      <c r="B1" s="296"/>
      <c r="C1" s="296"/>
      <c r="D1" s="298" t="s">
        <v>61</v>
      </c>
      <c r="E1" s="298"/>
      <c r="F1" s="298"/>
      <c r="G1" s="298"/>
      <c r="H1" s="298"/>
      <c r="I1" s="298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97"/>
      <c r="B2" s="297"/>
      <c r="C2" s="297"/>
      <c r="D2" s="296" t="s">
        <v>62</v>
      </c>
      <c r="E2" s="296"/>
      <c r="F2" s="296"/>
      <c r="G2" s="296"/>
      <c r="H2" s="296"/>
      <c r="I2" s="296"/>
      <c r="J2" s="26"/>
      <c r="K2" s="26"/>
      <c r="L2" s="26"/>
      <c r="M2" s="26"/>
      <c r="N2" s="26"/>
      <c r="O2" s="299" t="s">
        <v>63</v>
      </c>
    </row>
    <row r="3" spans="1:15" x14ac:dyDescent="0.3">
      <c r="A3" s="297"/>
      <c r="B3" s="297"/>
      <c r="C3" s="297"/>
      <c r="D3" s="296" t="s">
        <v>64</v>
      </c>
      <c r="E3" s="296"/>
      <c r="F3" s="296"/>
      <c r="G3" s="296"/>
      <c r="H3" s="296"/>
      <c r="I3" s="296"/>
      <c r="J3" s="26"/>
      <c r="K3" s="26"/>
      <c r="L3" s="26"/>
      <c r="M3" s="26"/>
      <c r="N3" s="26"/>
      <c r="O3" s="300"/>
    </row>
    <row r="4" spans="1:15" x14ac:dyDescent="0.3">
      <c r="A4" s="297"/>
      <c r="B4" s="297"/>
      <c r="C4" s="297"/>
      <c r="D4" s="296" t="s">
        <v>65</v>
      </c>
      <c r="E4" s="296"/>
      <c r="F4" s="296"/>
      <c r="G4" s="296"/>
      <c r="H4" s="296"/>
      <c r="I4" s="296"/>
      <c r="J4" s="26"/>
      <c r="K4" s="26"/>
      <c r="L4" s="26"/>
      <c r="M4" s="26"/>
      <c r="N4" s="26"/>
      <c r="O4" s="300"/>
    </row>
    <row r="5" spans="1:15" x14ac:dyDescent="0.3">
      <c r="A5" s="297"/>
      <c r="B5" s="297"/>
      <c r="C5" s="297"/>
      <c r="D5" s="296" t="s">
        <v>66</v>
      </c>
      <c r="E5" s="296"/>
      <c r="F5" s="296"/>
      <c r="G5" s="296"/>
      <c r="H5" s="296"/>
      <c r="I5" s="296"/>
      <c r="J5" s="26"/>
      <c r="K5" s="26"/>
      <c r="L5" s="26"/>
      <c r="M5" s="26"/>
      <c r="N5" s="26"/>
      <c r="O5" s="300"/>
    </row>
    <row r="6" spans="1:15" x14ac:dyDescent="0.3">
      <c r="A6" s="297"/>
      <c r="B6" s="297"/>
      <c r="C6" s="297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300"/>
    </row>
    <row r="7" spans="1:15" x14ac:dyDescent="0.3">
      <c r="A7" s="297"/>
      <c r="B7" s="297"/>
      <c r="C7" s="297"/>
      <c r="D7" s="296" t="s">
        <v>67</v>
      </c>
      <c r="E7" s="296"/>
      <c r="F7" s="296"/>
      <c r="G7" s="296"/>
      <c r="H7" s="296"/>
      <c r="I7" s="296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95" t="s">
        <v>68</v>
      </c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B1:L52"/>
  <sheetViews>
    <sheetView showGridLines="0" workbookViewId="0">
      <selection activeCell="C39" sqref="C39:K45"/>
    </sheetView>
  </sheetViews>
  <sheetFormatPr defaultColWidth="8.77734375"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4414062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304" t="s">
        <v>3</v>
      </c>
      <c r="C2" s="305"/>
      <c r="D2" s="305"/>
      <c r="E2" s="305"/>
      <c r="F2" s="305"/>
      <c r="G2" s="305"/>
      <c r="H2" s="305"/>
      <c r="I2" s="305"/>
      <c r="J2" s="305"/>
      <c r="K2" s="305"/>
      <c r="L2" s="306"/>
    </row>
    <row r="3" spans="2:12" ht="47.55" customHeight="1" thickBot="1" x14ac:dyDescent="0.35">
      <c r="B3" s="307" t="s">
        <v>12</v>
      </c>
      <c r="C3" s="308"/>
      <c r="D3" s="308"/>
      <c r="E3" s="308"/>
      <c r="F3" s="308"/>
      <c r="G3" s="308"/>
      <c r="H3" s="308"/>
      <c r="I3" s="308"/>
      <c r="J3" s="308"/>
      <c r="K3" s="308"/>
      <c r="L3" s="309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10" t="s">
        <v>13</v>
      </c>
      <c r="D6" s="310"/>
      <c r="E6" s="310"/>
      <c r="F6" s="310"/>
      <c r="G6" s="310"/>
      <c r="H6" s="310"/>
      <c r="I6" s="310"/>
      <c r="J6" s="310"/>
      <c r="K6" s="310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11" t="s">
        <v>106</v>
      </c>
      <c r="E8" s="312"/>
      <c r="F8" s="312"/>
      <c r="G8" s="312"/>
      <c r="H8" s="312"/>
      <c r="I8" s="312"/>
      <c r="J8" s="312"/>
      <c r="K8" s="313"/>
      <c r="L8" s="5"/>
    </row>
    <row r="9" spans="2:12" x14ac:dyDescent="0.3">
      <c r="B9" s="4"/>
      <c r="C9" s="7" t="s">
        <v>15</v>
      </c>
      <c r="D9" s="301" t="s">
        <v>16</v>
      </c>
      <c r="E9" s="302"/>
      <c r="F9" s="302"/>
      <c r="G9" s="302"/>
      <c r="H9" s="302"/>
      <c r="I9" s="302"/>
      <c r="J9" s="302"/>
      <c r="K9" s="303"/>
      <c r="L9" s="5"/>
    </row>
    <row r="10" spans="2:12" x14ac:dyDescent="0.3">
      <c r="B10" s="4"/>
      <c r="C10" s="7" t="s">
        <v>17</v>
      </c>
      <c r="D10" s="301" t="s">
        <v>11</v>
      </c>
      <c r="E10" s="302"/>
      <c r="F10" s="302"/>
      <c r="G10" s="302"/>
      <c r="H10" s="302"/>
      <c r="I10" s="302"/>
      <c r="J10" s="302"/>
      <c r="K10" s="303"/>
      <c r="L10" s="5"/>
    </row>
    <row r="11" spans="2:12" x14ac:dyDescent="0.3">
      <c r="B11" s="4"/>
      <c r="C11" s="7" t="s">
        <v>18</v>
      </c>
      <c r="D11" s="301" t="s">
        <v>107</v>
      </c>
      <c r="E11" s="302"/>
      <c r="F11" s="302"/>
      <c r="G11" s="302"/>
      <c r="H11" s="302"/>
      <c r="I11" s="302"/>
      <c r="J11" s="302"/>
      <c r="K11" s="303"/>
      <c r="L11" s="5"/>
    </row>
    <row r="12" spans="2:12" x14ac:dyDescent="0.3">
      <c r="B12" s="4"/>
      <c r="C12" s="10" t="s">
        <v>19</v>
      </c>
      <c r="D12" s="314" t="s">
        <v>108</v>
      </c>
      <c r="E12" s="315"/>
      <c r="F12" s="315"/>
      <c r="G12" s="315"/>
      <c r="H12" s="316"/>
      <c r="I12" s="11" t="s">
        <v>20</v>
      </c>
      <c r="J12" s="314" t="s">
        <v>105</v>
      </c>
      <c r="K12" s="316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10" t="s">
        <v>21</v>
      </c>
      <c r="D16" s="310"/>
      <c r="E16" s="310"/>
      <c r="F16" s="310"/>
      <c r="G16" s="310"/>
      <c r="H16" s="310"/>
      <c r="I16" s="310"/>
      <c r="J16" s="310"/>
      <c r="K16" s="310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17" t="s">
        <v>81</v>
      </c>
      <c r="E18" s="317"/>
      <c r="F18" s="317"/>
      <c r="G18" s="318"/>
      <c r="H18" s="317" t="s">
        <v>22</v>
      </c>
      <c r="I18" s="317"/>
      <c r="J18" s="317"/>
      <c r="K18" s="318"/>
      <c r="L18" s="5"/>
    </row>
    <row r="19" spans="2:12" x14ac:dyDescent="0.3">
      <c r="B19" s="4"/>
      <c r="C19" s="15" t="s">
        <v>23</v>
      </c>
      <c r="D19" s="319" t="s">
        <v>110</v>
      </c>
      <c r="E19" s="320"/>
      <c r="F19" s="320"/>
      <c r="G19" s="320"/>
      <c r="H19" s="320"/>
      <c r="I19" s="320"/>
      <c r="J19" s="320"/>
      <c r="K19" s="321"/>
      <c r="L19" s="5"/>
    </row>
    <row r="20" spans="2:12" x14ac:dyDescent="0.3">
      <c r="B20" s="4"/>
      <c r="C20" s="7" t="s">
        <v>24</v>
      </c>
      <c r="D20" s="301"/>
      <c r="E20" s="302"/>
      <c r="F20" s="302"/>
      <c r="G20" s="302"/>
      <c r="H20" s="302"/>
      <c r="I20" s="302"/>
      <c r="J20" s="302"/>
      <c r="K20" s="303"/>
      <c r="L20" s="5"/>
    </row>
    <row r="21" spans="2:12" x14ac:dyDescent="0.3">
      <c r="B21" s="4"/>
      <c r="C21" s="7" t="s">
        <v>25</v>
      </c>
      <c r="D21" s="301" t="s">
        <v>114</v>
      </c>
      <c r="E21" s="303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01" t="s">
        <v>109</v>
      </c>
      <c r="E22" s="302"/>
      <c r="F22" s="302"/>
      <c r="G22" s="303"/>
      <c r="H22" s="7" t="s">
        <v>29</v>
      </c>
      <c r="I22" s="301"/>
      <c r="J22" s="302"/>
      <c r="K22" s="303"/>
      <c r="L22" s="5"/>
    </row>
    <row r="23" spans="2:12" x14ac:dyDescent="0.3">
      <c r="B23" s="4"/>
      <c r="C23" s="10" t="s">
        <v>30</v>
      </c>
      <c r="D23" s="314" t="s">
        <v>111</v>
      </c>
      <c r="E23" s="315"/>
      <c r="F23" s="315"/>
      <c r="G23" s="316"/>
      <c r="H23" s="10" t="s">
        <v>31</v>
      </c>
      <c r="I23" s="314" t="s">
        <v>11</v>
      </c>
      <c r="J23" s="315"/>
      <c r="K23" s="316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10" t="s">
        <v>21</v>
      </c>
      <c r="D27" s="310"/>
      <c r="E27" s="310"/>
      <c r="F27" s="310"/>
      <c r="G27" s="310"/>
      <c r="H27" s="310"/>
      <c r="I27" s="310"/>
      <c r="J27" s="310"/>
      <c r="K27" s="310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22" t="s">
        <v>33</v>
      </c>
      <c r="E29" s="318"/>
      <c r="F29" s="322" t="s">
        <v>34</v>
      </c>
      <c r="G29" s="318"/>
      <c r="H29" s="323" t="s">
        <v>35</v>
      </c>
      <c r="I29" s="323"/>
      <c r="J29" s="323"/>
      <c r="K29" s="324"/>
      <c r="L29" s="5"/>
    </row>
    <row r="30" spans="2:12" x14ac:dyDescent="0.3">
      <c r="B30" s="4"/>
      <c r="C30" s="17" t="s">
        <v>36</v>
      </c>
      <c r="D30" s="325" t="s">
        <v>112</v>
      </c>
      <c r="E30" s="326"/>
      <c r="F30" s="327" t="s">
        <v>117</v>
      </c>
      <c r="G30" s="328"/>
      <c r="H30" s="18" t="s">
        <v>113</v>
      </c>
      <c r="I30" s="322" t="s">
        <v>40</v>
      </c>
      <c r="J30" s="318"/>
      <c r="K30" s="6" t="s">
        <v>38</v>
      </c>
      <c r="L30" s="5"/>
    </row>
    <row r="31" spans="2:12" x14ac:dyDescent="0.3">
      <c r="B31" s="4"/>
      <c r="C31" s="17" t="s">
        <v>39</v>
      </c>
      <c r="D31" s="325" t="s">
        <v>11</v>
      </c>
      <c r="E31" s="326"/>
      <c r="F31" s="327" t="s">
        <v>11</v>
      </c>
      <c r="G31" s="328"/>
      <c r="H31" s="17" t="s">
        <v>37</v>
      </c>
      <c r="I31" s="331" t="s">
        <v>40</v>
      </c>
      <c r="J31" s="332"/>
      <c r="K31" s="7" t="s">
        <v>38</v>
      </c>
      <c r="L31" s="5"/>
    </row>
    <row r="32" spans="2:12" x14ac:dyDescent="0.3">
      <c r="B32" s="4"/>
      <c r="C32" s="17" t="s">
        <v>41</v>
      </c>
      <c r="D32" s="325" t="s">
        <v>11</v>
      </c>
      <c r="E32" s="326"/>
      <c r="F32" s="327" t="s">
        <v>11</v>
      </c>
      <c r="G32" s="328"/>
      <c r="H32" s="17" t="s">
        <v>37</v>
      </c>
      <c r="I32" s="331" t="s">
        <v>40</v>
      </c>
      <c r="J32" s="332"/>
      <c r="K32" s="7" t="s">
        <v>38</v>
      </c>
      <c r="L32" s="5"/>
    </row>
    <row r="33" spans="2:12" x14ac:dyDescent="0.3">
      <c r="B33" s="4"/>
      <c r="C33" s="19" t="s">
        <v>42</v>
      </c>
      <c r="D33" s="325" t="s">
        <v>11</v>
      </c>
      <c r="E33" s="326"/>
      <c r="F33" s="329" t="s">
        <v>11</v>
      </c>
      <c r="G33" s="330"/>
      <c r="H33" s="17" t="s">
        <v>37</v>
      </c>
      <c r="I33" s="331" t="s">
        <v>40</v>
      </c>
      <c r="J33" s="332"/>
      <c r="K33" s="7" t="s">
        <v>38</v>
      </c>
      <c r="L33" s="5"/>
    </row>
    <row r="34" spans="2:12" x14ac:dyDescent="0.3">
      <c r="B34" s="4"/>
      <c r="C34" s="333" t="s">
        <v>43</v>
      </c>
      <c r="D34" s="334"/>
      <c r="E34" s="335"/>
      <c r="F34" s="336" t="s">
        <v>117</v>
      </c>
      <c r="G34" s="337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10" t="s">
        <v>44</v>
      </c>
      <c r="D38" s="310"/>
      <c r="E38" s="310"/>
      <c r="F38" s="310"/>
      <c r="G38" s="310"/>
      <c r="H38" s="310"/>
      <c r="I38" s="310"/>
      <c r="J38" s="310"/>
      <c r="K38" s="310"/>
      <c r="L38" s="5"/>
    </row>
    <row r="39" spans="2:12" x14ac:dyDescent="0.3">
      <c r="B39" s="4"/>
      <c r="C39" s="341" t="s">
        <v>118</v>
      </c>
      <c r="D39" s="341"/>
      <c r="E39" s="341"/>
      <c r="F39" s="341"/>
      <c r="G39" s="341"/>
      <c r="H39" s="341"/>
      <c r="I39" s="341"/>
      <c r="J39" s="341"/>
      <c r="K39" s="341"/>
      <c r="L39" s="5"/>
    </row>
    <row r="40" spans="2:12" x14ac:dyDescent="0.3">
      <c r="B40" s="4"/>
      <c r="C40" s="341"/>
      <c r="D40" s="341"/>
      <c r="E40" s="341"/>
      <c r="F40" s="341"/>
      <c r="G40" s="341"/>
      <c r="H40" s="341"/>
      <c r="I40" s="341"/>
      <c r="J40" s="341"/>
      <c r="K40" s="341"/>
      <c r="L40" s="5"/>
    </row>
    <row r="41" spans="2:12" x14ac:dyDescent="0.3">
      <c r="B41" s="4"/>
      <c r="C41" s="341"/>
      <c r="D41" s="341"/>
      <c r="E41" s="341"/>
      <c r="F41" s="341"/>
      <c r="G41" s="341"/>
      <c r="H41" s="341"/>
      <c r="I41" s="341"/>
      <c r="J41" s="341"/>
      <c r="K41" s="341"/>
      <c r="L41" s="5"/>
    </row>
    <row r="42" spans="2:12" x14ac:dyDescent="0.3">
      <c r="B42" s="4"/>
      <c r="C42" s="341"/>
      <c r="D42" s="341"/>
      <c r="E42" s="341"/>
      <c r="F42" s="341"/>
      <c r="G42" s="341"/>
      <c r="H42" s="341"/>
      <c r="I42" s="341"/>
      <c r="J42" s="341"/>
      <c r="K42" s="341"/>
      <c r="L42" s="5"/>
    </row>
    <row r="43" spans="2:12" x14ac:dyDescent="0.3">
      <c r="B43" s="4"/>
      <c r="C43" s="341"/>
      <c r="D43" s="341"/>
      <c r="E43" s="341"/>
      <c r="F43" s="341"/>
      <c r="G43" s="341"/>
      <c r="H43" s="341"/>
      <c r="I43" s="341"/>
      <c r="J43" s="341"/>
      <c r="K43" s="341"/>
      <c r="L43" s="5"/>
    </row>
    <row r="44" spans="2:12" x14ac:dyDescent="0.3">
      <c r="B44" s="4"/>
      <c r="C44" s="341"/>
      <c r="D44" s="341"/>
      <c r="E44" s="341"/>
      <c r="F44" s="341"/>
      <c r="G44" s="341"/>
      <c r="H44" s="341"/>
      <c r="I44" s="341"/>
      <c r="J44" s="341"/>
      <c r="K44" s="341"/>
      <c r="L44" s="5"/>
    </row>
    <row r="45" spans="2:12" x14ac:dyDescent="0.3">
      <c r="B45" s="4"/>
      <c r="C45" s="342"/>
      <c r="D45" s="342"/>
      <c r="E45" s="342"/>
      <c r="F45" s="342"/>
      <c r="G45" s="342"/>
      <c r="H45" s="342"/>
      <c r="I45" s="342"/>
      <c r="J45" s="342"/>
      <c r="K45" s="342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38" t="s">
        <v>45</v>
      </c>
      <c r="C48" s="339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40" t="s">
        <v>46</v>
      </c>
      <c r="D51" s="340"/>
      <c r="E51" s="340"/>
      <c r="F51" s="340"/>
      <c r="H51" s="340" t="s">
        <v>47</v>
      </c>
      <c r="I51" s="340"/>
      <c r="J51" s="340"/>
      <c r="K51" s="340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A121AEB-C281-4690-B6FB-F55A4967D2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15</vt:i4>
      </vt:variant>
    </vt:vector>
  </HeadingPairs>
  <TitlesOfParts>
    <vt:vector size="22" baseType="lpstr">
      <vt:lpstr>RESUMO</vt:lpstr>
      <vt:lpstr>OASIS</vt:lpstr>
      <vt:lpstr>JANTAR</vt:lpstr>
      <vt:lpstr>DIRECT MAIL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2026-01-26T21:05:09Z</cp:lastPrinted>
  <dcterms:created xsi:type="dcterms:W3CDTF">2023-09-21T21:02:20Z</dcterms:created>
  <dcterms:modified xsi:type="dcterms:W3CDTF">2026-02-23T23:33:24Z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</Properties>
</file>