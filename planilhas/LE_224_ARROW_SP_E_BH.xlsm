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3 março\"/>
    </mc:Choice>
  </mc:AlternateContent>
  <xr:revisionPtr revIDLastSave="0" documentId="13_ncr:1_{C59346B9-DD4B-463A-BF3A-D55840511B1B}" xr6:coauthVersionLast="47" xr6:coauthVersionMax="47" xr10:uidLastSave="{00000000-0000-0000-0000-000000000000}"/>
  <bookViews>
    <workbookView xWindow="-108" yWindow="-108" windowWidth="23256" windowHeight="12456" tabRatio="822" firstSheet="1" activeTab="1" xr2:uid="{83D4A4F0-59AC-45D6-BDA2-9A1B100CD857}"/>
  </bookViews>
  <sheets>
    <sheet name="EMISSÃO" sheetId="96" state="hidden" r:id="rId1"/>
    <sheet name="RESUMO" sheetId="97" r:id="rId2"/>
    <sheet name="SP- BH FINAL " sheetId="95" r:id="rId3"/>
    <sheet name="SP- BH  (2)" sheetId="93" state="hidden" r:id="rId4"/>
    <sheet name="SP- BH " sheetId="92" state="hidden" r:id="rId5"/>
    <sheet name="Solicitações de Pagamento" sheetId="4" r:id="rId6"/>
    <sheet name="ItensOrc" sheetId="76" state="hidden" r:id="rId7"/>
    <sheet name="Template SP" sheetId="3" state="hidden" r:id="rId8"/>
  </sheets>
  <definedNames>
    <definedName name="_xlnm._FilterDatabase" localSheetId="0" hidden="1">EMISSÃO!$A$1:$AL$14</definedName>
    <definedName name="_xlnm._FilterDatabase" localSheetId="4" hidden="1">'SP- BH '!$A$1:$AL$14</definedName>
    <definedName name="_xlnm._FilterDatabase" localSheetId="3" hidden="1">'SP- BH  (2)'!$A$1:$AL$14</definedName>
    <definedName name="_xlnm._FilterDatabase" localSheetId="2" hidden="1">'SP- BH FINAL '!$A$1:$AN$14</definedName>
    <definedName name="_xleta.N" hidden="1" xlm="1">#NAME?</definedName>
    <definedName name="_xleta.SUM" hidden="1" xlm="1">#NAME?</definedName>
    <definedName name="itensorc_desconto" localSheetId="6">ItensOrc!$M:$M</definedName>
    <definedName name="itensorc_desconto">#REF!</definedName>
    <definedName name="itensorc_descricao" localSheetId="6">ItensOrc!$D:$D</definedName>
    <definedName name="itensorc_descricao">#REF!</definedName>
    <definedName name="itensorc_encargos" localSheetId="6">ItensOrc!$N:$N</definedName>
    <definedName name="itensorc_encargos">#REF!</definedName>
    <definedName name="itensorc_especifica" localSheetId="6">ItensOrc!$O:$O</definedName>
    <definedName name="itensorc_especifica">#REF!</definedName>
    <definedName name="itensorc_item" localSheetId="6">ItensOrc!$C:$C</definedName>
    <definedName name="itensorc_item">#REF!</definedName>
    <definedName name="itensorc_lancamento" localSheetId="6">ItensOrc!$B:$B</definedName>
    <definedName name="itensorc_lancamento">#REF!</definedName>
    <definedName name="itensorc_percentualhonorarios" localSheetId="6">ItensOrc!$L:$L</definedName>
    <definedName name="itensorc_percentualhonorarios">#REF!</definedName>
    <definedName name="itensorc_quantidade" localSheetId="6">ItensOrc!$E:$E</definedName>
    <definedName name="itensorc_quantidade">#REF!</definedName>
    <definedName name="itensorc_situacao" localSheetId="6">ItensOrc!$H:$H</definedName>
    <definedName name="itensorc_situacao">#REF!</definedName>
    <definedName name="itensorc_subtipo" localSheetId="6">ItensOrc!$K:$K</definedName>
    <definedName name="itensorc_subtipo">#REF!</definedName>
    <definedName name="itensorc_tiporeceita" localSheetId="6">ItensOrc!$A:$A</definedName>
    <definedName name="itensorc_tiporeceita">#REF!</definedName>
    <definedName name="itensorc_valor" localSheetId="6">ItensOrc!$G:$G</definedName>
    <definedName name="itensorc_valor">#REF!</definedName>
    <definedName name="itensorc_valorfornecedor" localSheetId="6">ItensOrc!$I:$I</definedName>
    <definedName name="itensorc_valorfornecedor">#REF!</definedName>
    <definedName name="itensorc_valorfornecedorunitario" localSheetId="6">ItensOrc!$J:$J</definedName>
    <definedName name="itensorc_valorfornecedorunitario">#REF!</definedName>
    <definedName name="itensorc_valorunitario" localSheetId="6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97" l="1"/>
  <c r="E30" i="97"/>
  <c r="D30" i="97"/>
  <c r="C31" i="97"/>
  <c r="D29" i="97"/>
  <c r="E22" i="97"/>
  <c r="D22" i="97"/>
  <c r="C22" i="97"/>
  <c r="AC58" i="95"/>
  <c r="AB99" i="95"/>
  <c r="AC88" i="95"/>
  <c r="AC69" i="95"/>
  <c r="AC65" i="95"/>
  <c r="AC59" i="95"/>
  <c r="AC51" i="95"/>
  <c r="AC32" i="95"/>
  <c r="AB32" i="95" s="1"/>
  <c r="AC25" i="95"/>
  <c r="AC101" i="95"/>
  <c r="AB18" i="95"/>
  <c r="AB19" i="95"/>
  <c r="AB20" i="95"/>
  <c r="AB21" i="95"/>
  <c r="AB25" i="95"/>
  <c r="AB26" i="95"/>
  <c r="AB27" i="95"/>
  <c r="AB33" i="95"/>
  <c r="AB34" i="95"/>
  <c r="AB39" i="95"/>
  <c r="AB40" i="95"/>
  <c r="AB52" i="95"/>
  <c r="AB63" i="95"/>
  <c r="AB64" i="95"/>
  <c r="AB69" i="95"/>
  <c r="AB70" i="95"/>
  <c r="AB82" i="95"/>
  <c r="AB83" i="95"/>
  <c r="AB17" i="95"/>
  <c r="E3" i="97"/>
  <c r="F30" i="97"/>
  <c r="N97" i="96"/>
  <c r="M97" i="96"/>
  <c r="L97" i="96"/>
  <c r="K97" i="96"/>
  <c r="X96" i="96"/>
  <c r="U96" i="96"/>
  <c r="T96" i="96"/>
  <c r="N96" i="96"/>
  <c r="M96" i="96"/>
  <c r="L96" i="96"/>
  <c r="K96" i="96"/>
  <c r="X91" i="96"/>
  <c r="U91" i="96"/>
  <c r="T91" i="96"/>
  <c r="N91" i="96"/>
  <c r="M91" i="96"/>
  <c r="L91" i="96"/>
  <c r="K91" i="96"/>
  <c r="X87" i="96"/>
  <c r="U87" i="96"/>
  <c r="T87" i="96"/>
  <c r="N87" i="96"/>
  <c r="M87" i="96"/>
  <c r="L87" i="96"/>
  <c r="K87" i="96"/>
  <c r="X79" i="96"/>
  <c r="U79" i="96"/>
  <c r="T79" i="96"/>
  <c r="N79" i="96"/>
  <c r="M79" i="96"/>
  <c r="L79" i="96"/>
  <c r="K79" i="96"/>
  <c r="X73" i="96"/>
  <c r="U73" i="96"/>
  <c r="T73" i="96"/>
  <c r="N73" i="96"/>
  <c r="M73" i="96"/>
  <c r="L73" i="96"/>
  <c r="K73" i="96"/>
  <c r="X66" i="96"/>
  <c r="U66" i="96"/>
  <c r="T66" i="96"/>
  <c r="N66" i="96"/>
  <c r="M66" i="96"/>
  <c r="L66" i="96"/>
  <c r="K66" i="96"/>
  <c r="X61" i="96"/>
  <c r="U61" i="96"/>
  <c r="T61" i="96"/>
  <c r="N61" i="96"/>
  <c r="M61" i="96"/>
  <c r="L61" i="96"/>
  <c r="K61" i="96"/>
  <c r="N56" i="96"/>
  <c r="M56" i="96"/>
  <c r="L56" i="96"/>
  <c r="K56" i="96"/>
  <c r="X51" i="96"/>
  <c r="U51" i="96"/>
  <c r="T51" i="96"/>
  <c r="N51" i="96"/>
  <c r="M51" i="96"/>
  <c r="L51" i="96"/>
  <c r="K51" i="96"/>
  <c r="X45" i="96"/>
  <c r="U45" i="96"/>
  <c r="T45" i="96"/>
  <c r="N45" i="96"/>
  <c r="M45" i="96"/>
  <c r="L45" i="96"/>
  <c r="K45" i="96"/>
  <c r="X39" i="96"/>
  <c r="U39" i="96"/>
  <c r="T39" i="96"/>
  <c r="N39" i="96"/>
  <c r="M39" i="96"/>
  <c r="L39" i="96"/>
  <c r="K39" i="96"/>
  <c r="X33" i="96"/>
  <c r="U33" i="96"/>
  <c r="T33" i="96"/>
  <c r="N33" i="96"/>
  <c r="M33" i="96"/>
  <c r="L33" i="96"/>
  <c r="K33" i="96"/>
  <c r="X27" i="96"/>
  <c r="U27" i="96"/>
  <c r="T27" i="96"/>
  <c r="N27" i="96"/>
  <c r="M27" i="96"/>
  <c r="L27" i="96"/>
  <c r="K27" i="96"/>
  <c r="X22" i="96"/>
  <c r="U22" i="96"/>
  <c r="T22" i="96"/>
  <c r="N22" i="96"/>
  <c r="M22" i="96"/>
  <c r="L22" i="96"/>
  <c r="K22" i="96"/>
  <c r="K72" i="96"/>
  <c r="R95" i="96"/>
  <c r="Q95" i="96"/>
  <c r="V95" i="96"/>
  <c r="T95" i="96"/>
  <c r="K95" i="96"/>
  <c r="R94" i="96"/>
  <c r="Q94" i="96"/>
  <c r="K94" i="96"/>
  <c r="Q93" i="96"/>
  <c r="Q92" i="96"/>
  <c r="R90" i="96"/>
  <c r="Q90" i="96"/>
  <c r="K90" i="96"/>
  <c r="Q89" i="96"/>
  <c r="Q88" i="96"/>
  <c r="R86" i="96"/>
  <c r="Q86" i="96"/>
  <c r="K86" i="96"/>
  <c r="R85" i="96"/>
  <c r="Q85" i="96"/>
  <c r="K85" i="96"/>
  <c r="R84" i="96"/>
  <c r="Q84" i="96"/>
  <c r="K84" i="96"/>
  <c r="V83" i="96"/>
  <c r="T83" i="96"/>
  <c r="K83" i="96"/>
  <c r="R82" i="96"/>
  <c r="Q82" i="96"/>
  <c r="K82" i="96"/>
  <c r="Q81" i="96"/>
  <c r="Q80" i="96"/>
  <c r="R78" i="96"/>
  <c r="Q78" i="96"/>
  <c r="K78" i="96"/>
  <c r="V77" i="96"/>
  <c r="T77" i="96"/>
  <c r="K77" i="96"/>
  <c r="Q76" i="96"/>
  <c r="K76" i="96"/>
  <c r="R75" i="96"/>
  <c r="Q75" i="96"/>
  <c r="K75" i="96"/>
  <c r="Q74" i="96"/>
  <c r="R72" i="96"/>
  <c r="Q72" i="96"/>
  <c r="R71" i="96"/>
  <c r="Q71" i="96"/>
  <c r="K71" i="96"/>
  <c r="R70" i="96"/>
  <c r="Q70" i="96"/>
  <c r="K70" i="96"/>
  <c r="R69" i="96"/>
  <c r="Q69" i="96"/>
  <c r="K69" i="96"/>
  <c r="Q68" i="96"/>
  <c r="Q67" i="96"/>
  <c r="R65" i="96"/>
  <c r="Q65" i="96"/>
  <c r="K65" i="96"/>
  <c r="R64" i="96"/>
  <c r="Q64" i="96"/>
  <c r="K64" i="96"/>
  <c r="Q63" i="96"/>
  <c r="Q62" i="96"/>
  <c r="K60" i="96"/>
  <c r="R59" i="96"/>
  <c r="Q59" i="96"/>
  <c r="K59" i="96"/>
  <c r="Q58" i="96"/>
  <c r="Q57" i="96"/>
  <c r="R55" i="96"/>
  <c r="Q55" i="96"/>
  <c r="K55" i="96"/>
  <c r="R54" i="96"/>
  <c r="Q54" i="96"/>
  <c r="K54" i="96"/>
  <c r="Q53" i="96"/>
  <c r="Q52" i="96"/>
  <c r="R50" i="96"/>
  <c r="Q50" i="96"/>
  <c r="K50" i="96"/>
  <c r="R49" i="96"/>
  <c r="Q49" i="96"/>
  <c r="K49" i="96"/>
  <c r="R48" i="96"/>
  <c r="Q48" i="96"/>
  <c r="K48" i="96"/>
  <c r="Q47" i="96"/>
  <c r="Q46" i="96"/>
  <c r="R44" i="96"/>
  <c r="Q44" i="96"/>
  <c r="K44" i="96"/>
  <c r="R43" i="96"/>
  <c r="Q43" i="96"/>
  <c r="K43" i="96"/>
  <c r="R42" i="96"/>
  <c r="Q42" i="96"/>
  <c r="K42" i="96"/>
  <c r="Q41" i="96"/>
  <c r="Q40" i="96"/>
  <c r="V38" i="96"/>
  <c r="R38" i="96"/>
  <c r="T38" i="96" s="1"/>
  <c r="K38" i="96"/>
  <c r="V37" i="96"/>
  <c r="T37" i="96"/>
  <c r="K37" i="96"/>
  <c r="Q36" i="96"/>
  <c r="K36" i="96"/>
  <c r="Q35" i="96"/>
  <c r="Q34" i="96"/>
  <c r="R32" i="96"/>
  <c r="Q32" i="96"/>
  <c r="K32" i="96"/>
  <c r="R31" i="96"/>
  <c r="Q31" i="96"/>
  <c r="K31" i="96"/>
  <c r="R30" i="96"/>
  <c r="Q30" i="96"/>
  <c r="K30" i="96"/>
  <c r="Q29" i="96"/>
  <c r="Q28" i="96"/>
  <c r="R26" i="96"/>
  <c r="Q26" i="96"/>
  <c r="K26" i="96"/>
  <c r="V25" i="96"/>
  <c r="T25" i="96"/>
  <c r="K25" i="96"/>
  <c r="Q24" i="96"/>
  <c r="Q23" i="96"/>
  <c r="R21" i="96"/>
  <c r="Q21" i="96"/>
  <c r="K21" i="96"/>
  <c r="R20" i="96"/>
  <c r="Q20" i="96"/>
  <c r="K20" i="96"/>
  <c r="R19" i="96"/>
  <c r="Q19" i="96"/>
  <c r="K19" i="96"/>
  <c r="R18" i="96"/>
  <c r="Q18" i="96"/>
  <c r="K18" i="96"/>
  <c r="R17" i="96"/>
  <c r="Q17" i="96"/>
  <c r="K17" i="96"/>
  <c r="Q16" i="96"/>
  <c r="Q15" i="96"/>
  <c r="Z12" i="96"/>
  <c r="Q98" i="95"/>
  <c r="R99" i="95"/>
  <c r="Q99" i="95"/>
  <c r="K99" i="95"/>
  <c r="K100" i="95" s="1"/>
  <c r="Q97" i="95"/>
  <c r="R95" i="95"/>
  <c r="Q95" i="95"/>
  <c r="V95" i="95" s="1"/>
  <c r="K95" i="95"/>
  <c r="K96" i="95" s="1"/>
  <c r="Q94" i="95"/>
  <c r="Q93" i="95"/>
  <c r="R65" i="95"/>
  <c r="Q65" i="95"/>
  <c r="V65" i="95" s="1"/>
  <c r="AF65" i="95"/>
  <c r="K65" i="95"/>
  <c r="R28" i="95"/>
  <c r="Q28" i="95"/>
  <c r="K28" i="95"/>
  <c r="R77" i="95"/>
  <c r="Q77" i="95"/>
  <c r="R91" i="95"/>
  <c r="Q91" i="95"/>
  <c r="K91" i="95"/>
  <c r="R90" i="95"/>
  <c r="Q90" i="95"/>
  <c r="K90" i="95"/>
  <c r="R89" i="95"/>
  <c r="Q89" i="95"/>
  <c r="K89" i="95"/>
  <c r="V88" i="95"/>
  <c r="R88" i="95"/>
  <c r="AF88" i="95" s="1"/>
  <c r="K88" i="95"/>
  <c r="R87" i="95"/>
  <c r="Q87" i="95"/>
  <c r="K87" i="95"/>
  <c r="Q86" i="95"/>
  <c r="Q85" i="95"/>
  <c r="R83" i="95"/>
  <c r="Q83" i="95"/>
  <c r="K83" i="95"/>
  <c r="K82" i="95"/>
  <c r="Q81" i="95"/>
  <c r="K81" i="95"/>
  <c r="R80" i="95"/>
  <c r="Q80" i="95"/>
  <c r="K80" i="95"/>
  <c r="K84" i="95" s="1"/>
  <c r="Q79" i="95"/>
  <c r="R76" i="95"/>
  <c r="Q76" i="95"/>
  <c r="K76" i="95"/>
  <c r="R75" i="95"/>
  <c r="Q75" i="95"/>
  <c r="K75" i="95"/>
  <c r="R74" i="95"/>
  <c r="Q74" i="95"/>
  <c r="K74" i="95"/>
  <c r="K78" i="95" s="1"/>
  <c r="Q73" i="95"/>
  <c r="Q72" i="95"/>
  <c r="R70" i="95"/>
  <c r="Q70" i="95"/>
  <c r="K70" i="95"/>
  <c r="R69" i="95"/>
  <c r="Q69" i="95"/>
  <c r="K69" i="95"/>
  <c r="K71" i="95" s="1"/>
  <c r="Q68" i="95"/>
  <c r="Q67" i="95"/>
  <c r="R64" i="95"/>
  <c r="K64" i="95"/>
  <c r="R63" i="95"/>
  <c r="Q63" i="95"/>
  <c r="K63" i="95"/>
  <c r="Q62" i="95"/>
  <c r="Q61" i="95"/>
  <c r="R59" i="95"/>
  <c r="Q59" i="95"/>
  <c r="K59" i="95"/>
  <c r="R58" i="95"/>
  <c r="Q58" i="95"/>
  <c r="K58" i="95"/>
  <c r="K60" i="95" s="1"/>
  <c r="Q57" i="95"/>
  <c r="Q56" i="95"/>
  <c r="R54" i="95"/>
  <c r="Q54" i="95"/>
  <c r="K54" i="95"/>
  <c r="R53" i="95"/>
  <c r="Q53" i="95"/>
  <c r="K53" i="95"/>
  <c r="R52" i="95"/>
  <c r="Q52" i="95"/>
  <c r="K52" i="95"/>
  <c r="R51" i="95"/>
  <c r="Q51" i="95"/>
  <c r="K51" i="95"/>
  <c r="Q50" i="95"/>
  <c r="Q49" i="95"/>
  <c r="R47" i="95"/>
  <c r="Q47" i="95"/>
  <c r="K47" i="95"/>
  <c r="R46" i="95"/>
  <c r="Q46" i="95"/>
  <c r="K46" i="95"/>
  <c r="R45" i="95"/>
  <c r="Q45" i="95"/>
  <c r="K45" i="95"/>
  <c r="R44" i="95"/>
  <c r="Q44" i="95"/>
  <c r="K44" i="95"/>
  <c r="K48" i="95" s="1"/>
  <c r="Q43" i="95"/>
  <c r="Q42" i="95"/>
  <c r="R40" i="95"/>
  <c r="K40" i="95"/>
  <c r="K39" i="95"/>
  <c r="Q38" i="95"/>
  <c r="K38" i="95"/>
  <c r="Q37" i="95"/>
  <c r="Q36" i="95"/>
  <c r="R34" i="95"/>
  <c r="Q34" i="95"/>
  <c r="K34" i="95"/>
  <c r="R33" i="95"/>
  <c r="Q33" i="95"/>
  <c r="K33" i="95"/>
  <c r="R32" i="95"/>
  <c r="Q32" i="95"/>
  <c r="K32" i="95"/>
  <c r="K35" i="95" s="1"/>
  <c r="Q31" i="95"/>
  <c r="Q30" i="95"/>
  <c r="R27" i="95"/>
  <c r="Q27" i="95"/>
  <c r="K27" i="95"/>
  <c r="R26" i="95"/>
  <c r="Q26" i="95"/>
  <c r="K26" i="95"/>
  <c r="V25" i="95"/>
  <c r="T25" i="95"/>
  <c r="K25" i="95"/>
  <c r="K29" i="95" s="1"/>
  <c r="Q24" i="95"/>
  <c r="Q23" i="95"/>
  <c r="R21" i="95"/>
  <c r="Q21" i="95"/>
  <c r="V21" i="95" s="1"/>
  <c r="K21" i="95"/>
  <c r="R20" i="95"/>
  <c r="Q20" i="95"/>
  <c r="K20" i="95"/>
  <c r="R19" i="95"/>
  <c r="Q19" i="95"/>
  <c r="K19" i="95"/>
  <c r="R18" i="95"/>
  <c r="Q18" i="95"/>
  <c r="K18" i="95"/>
  <c r="R17" i="95"/>
  <c r="Q17" i="95"/>
  <c r="K17" i="95"/>
  <c r="K22" i="95" s="1"/>
  <c r="Q16" i="95"/>
  <c r="Q15" i="95"/>
  <c r="Z12" i="95"/>
  <c r="Y117" i="93"/>
  <c r="X117" i="93"/>
  <c r="U117" i="93"/>
  <c r="T117" i="93"/>
  <c r="N117" i="93"/>
  <c r="M117" i="93"/>
  <c r="L117" i="93"/>
  <c r="K117" i="93"/>
  <c r="X116" i="93"/>
  <c r="U116" i="93"/>
  <c r="T116" i="93"/>
  <c r="N116" i="93"/>
  <c r="M116" i="93"/>
  <c r="L116" i="93"/>
  <c r="K116" i="93"/>
  <c r="X107" i="93"/>
  <c r="U107" i="93"/>
  <c r="T107" i="93"/>
  <c r="N107" i="93"/>
  <c r="M107" i="93"/>
  <c r="L107" i="93"/>
  <c r="K107" i="93"/>
  <c r="X99" i="93"/>
  <c r="U99" i="93"/>
  <c r="T99" i="93"/>
  <c r="N99" i="93"/>
  <c r="M99" i="93"/>
  <c r="L99" i="93"/>
  <c r="K99" i="93"/>
  <c r="X92" i="93"/>
  <c r="U92" i="93"/>
  <c r="T92" i="93"/>
  <c r="N92" i="93"/>
  <c r="M92" i="93"/>
  <c r="L92" i="93"/>
  <c r="K92" i="93"/>
  <c r="X86" i="93"/>
  <c r="U86" i="93"/>
  <c r="T86" i="93"/>
  <c r="N86" i="93"/>
  <c r="M86" i="93"/>
  <c r="L86" i="93"/>
  <c r="K86" i="93"/>
  <c r="X78" i="93"/>
  <c r="U78" i="93"/>
  <c r="T78" i="93"/>
  <c r="N78" i="93"/>
  <c r="M78" i="93"/>
  <c r="L78" i="93"/>
  <c r="K78" i="93"/>
  <c r="X73" i="93"/>
  <c r="U73" i="93"/>
  <c r="T73" i="93"/>
  <c r="N73" i="93"/>
  <c r="M73" i="93"/>
  <c r="L73" i="93"/>
  <c r="K73" i="93"/>
  <c r="X68" i="93"/>
  <c r="U68" i="93"/>
  <c r="T68" i="93"/>
  <c r="N68" i="93"/>
  <c r="M68" i="93"/>
  <c r="L68" i="93"/>
  <c r="K68" i="93"/>
  <c r="X60" i="93"/>
  <c r="U60" i="93"/>
  <c r="T60" i="93"/>
  <c r="N60" i="93"/>
  <c r="M60" i="93"/>
  <c r="L60" i="93"/>
  <c r="K60" i="93"/>
  <c r="X52" i="93"/>
  <c r="U52" i="93"/>
  <c r="T52" i="93"/>
  <c r="N52" i="93"/>
  <c r="M52" i="93"/>
  <c r="L52" i="93"/>
  <c r="K52" i="93"/>
  <c r="X46" i="93"/>
  <c r="U46" i="93"/>
  <c r="T46" i="93"/>
  <c r="N46" i="93"/>
  <c r="M46" i="93"/>
  <c r="L46" i="93"/>
  <c r="K46" i="93"/>
  <c r="X40" i="93"/>
  <c r="U40" i="93"/>
  <c r="T40" i="93"/>
  <c r="N40" i="93"/>
  <c r="M40" i="93"/>
  <c r="L40" i="93"/>
  <c r="K40" i="93"/>
  <c r="X22" i="93"/>
  <c r="U22" i="93"/>
  <c r="T22" i="93"/>
  <c r="N22" i="93"/>
  <c r="M22" i="93"/>
  <c r="L22" i="93"/>
  <c r="K22" i="93"/>
  <c r="R30" i="93"/>
  <c r="T30" i="93" s="1"/>
  <c r="Q30" i="93"/>
  <c r="V30" i="93"/>
  <c r="K30" i="93"/>
  <c r="R29" i="93"/>
  <c r="Q29" i="93"/>
  <c r="K29" i="93"/>
  <c r="R28" i="93"/>
  <c r="K28" i="93"/>
  <c r="R115" i="93"/>
  <c r="Q115" i="93"/>
  <c r="K115" i="93"/>
  <c r="R114" i="93"/>
  <c r="Q114" i="93"/>
  <c r="K114" i="93"/>
  <c r="R113" i="93"/>
  <c r="Q113" i="93"/>
  <c r="K113" i="93"/>
  <c r="R112" i="93"/>
  <c r="Q112" i="93"/>
  <c r="K112" i="93"/>
  <c r="R111" i="93"/>
  <c r="Q111" i="93"/>
  <c r="K111" i="93"/>
  <c r="R110" i="93"/>
  <c r="Q110" i="93"/>
  <c r="K110" i="93"/>
  <c r="Q109" i="93"/>
  <c r="Q108" i="93"/>
  <c r="R106" i="93"/>
  <c r="Q106" i="93"/>
  <c r="K106" i="93"/>
  <c r="R105" i="93"/>
  <c r="Q105" i="93"/>
  <c r="K105" i="93"/>
  <c r="R104" i="93"/>
  <c r="Q104" i="93"/>
  <c r="K104" i="93"/>
  <c r="V103" i="93"/>
  <c r="R103" i="93"/>
  <c r="T103" i="93" s="1"/>
  <c r="K103" i="93"/>
  <c r="R102" i="93"/>
  <c r="Q102" i="93"/>
  <c r="K102" i="93"/>
  <c r="Q101" i="93"/>
  <c r="Q100" i="93"/>
  <c r="R98" i="93"/>
  <c r="Q98" i="93"/>
  <c r="K98" i="93"/>
  <c r="R97" i="93"/>
  <c r="Q97" i="93"/>
  <c r="K97" i="93"/>
  <c r="R96" i="93"/>
  <c r="Q96" i="93"/>
  <c r="K96" i="93"/>
  <c r="R95" i="93"/>
  <c r="Q95" i="93"/>
  <c r="K95" i="93"/>
  <c r="R94" i="93"/>
  <c r="Q94" i="93"/>
  <c r="K94" i="93"/>
  <c r="Q93" i="93"/>
  <c r="R91" i="93"/>
  <c r="Q91" i="93"/>
  <c r="K91" i="93"/>
  <c r="R90" i="93"/>
  <c r="Q90" i="93"/>
  <c r="K90" i="93"/>
  <c r="R89" i="93"/>
  <c r="Q89" i="93"/>
  <c r="K89" i="93"/>
  <c r="Q88" i="93"/>
  <c r="Q87" i="93"/>
  <c r="R85" i="93"/>
  <c r="Q85" i="93"/>
  <c r="K85" i="93"/>
  <c r="R84" i="93"/>
  <c r="Q84" i="93"/>
  <c r="K84" i="93"/>
  <c r="R83" i="93"/>
  <c r="Q83" i="93"/>
  <c r="K83" i="93"/>
  <c r="R82" i="93"/>
  <c r="Q82" i="93"/>
  <c r="K82" i="93"/>
  <c r="R81" i="93"/>
  <c r="Q81" i="93"/>
  <c r="K81" i="93"/>
  <c r="Q80" i="93"/>
  <c r="Q79" i="93"/>
  <c r="R77" i="93"/>
  <c r="Q77" i="93"/>
  <c r="K77" i="93"/>
  <c r="R76" i="93"/>
  <c r="Q76" i="93"/>
  <c r="K76" i="93"/>
  <c r="Q75" i="93"/>
  <c r="Q74" i="93"/>
  <c r="R72" i="93"/>
  <c r="Q72" i="93"/>
  <c r="K72" i="93"/>
  <c r="R71" i="93"/>
  <c r="Q71" i="93"/>
  <c r="K71" i="93"/>
  <c r="Q70" i="93"/>
  <c r="Q69" i="93"/>
  <c r="R67" i="93"/>
  <c r="Q67" i="93"/>
  <c r="K67" i="93"/>
  <c r="R66" i="93"/>
  <c r="Q66" i="93"/>
  <c r="K66" i="93"/>
  <c r="R65" i="93"/>
  <c r="Q65" i="93"/>
  <c r="K65" i="93"/>
  <c r="R64" i="93"/>
  <c r="Q64" i="93"/>
  <c r="K64" i="93"/>
  <c r="R63" i="93"/>
  <c r="Q63" i="93"/>
  <c r="K63" i="93"/>
  <c r="Q62" i="93"/>
  <c r="Q61" i="93"/>
  <c r="R59" i="93"/>
  <c r="Q59" i="93"/>
  <c r="K59" i="93"/>
  <c r="R58" i="93"/>
  <c r="Q58" i="93"/>
  <c r="K58" i="93"/>
  <c r="R57" i="93"/>
  <c r="Q57" i="93"/>
  <c r="K57" i="93"/>
  <c r="R56" i="93"/>
  <c r="Q56" i="93"/>
  <c r="K56" i="93"/>
  <c r="R55" i="93"/>
  <c r="Q55" i="93"/>
  <c r="K55" i="93"/>
  <c r="Q54" i="93"/>
  <c r="Q53" i="93"/>
  <c r="R51" i="93"/>
  <c r="Q51" i="93"/>
  <c r="K51" i="93"/>
  <c r="R50" i="93"/>
  <c r="Q50" i="93"/>
  <c r="K50" i="93"/>
  <c r="R49" i="93"/>
  <c r="Q49" i="93"/>
  <c r="K49" i="93"/>
  <c r="Q48" i="93"/>
  <c r="Q47" i="93"/>
  <c r="R45" i="93"/>
  <c r="Q45" i="93"/>
  <c r="K45" i="93"/>
  <c r="R44" i="93"/>
  <c r="Q44" i="93"/>
  <c r="K44" i="93"/>
  <c r="R43" i="93"/>
  <c r="Q43" i="93"/>
  <c r="K43" i="93"/>
  <c r="Q42" i="93"/>
  <c r="Q41" i="93"/>
  <c r="R37" i="93"/>
  <c r="Q37" i="93"/>
  <c r="K37" i="93"/>
  <c r="R36" i="93"/>
  <c r="Q36" i="93"/>
  <c r="K36" i="93"/>
  <c r="R35" i="93"/>
  <c r="Q35" i="93"/>
  <c r="K35" i="93"/>
  <c r="R34" i="93"/>
  <c r="Q34" i="93"/>
  <c r="K34" i="93"/>
  <c r="R27" i="93"/>
  <c r="Q27" i="93"/>
  <c r="K27" i="93"/>
  <c r="R26" i="93"/>
  <c r="Q26" i="93"/>
  <c r="K26" i="93"/>
  <c r="R25" i="93"/>
  <c r="Q25" i="93"/>
  <c r="K25" i="93"/>
  <c r="R33" i="93"/>
  <c r="Q33" i="93"/>
  <c r="K33" i="93"/>
  <c r="R32" i="93"/>
  <c r="Q32" i="93"/>
  <c r="K32" i="93"/>
  <c r="R31" i="93"/>
  <c r="Q31" i="93"/>
  <c r="K31" i="93"/>
  <c r="R39" i="93"/>
  <c r="Q39" i="93"/>
  <c r="K39" i="93"/>
  <c r="V38" i="93"/>
  <c r="R38" i="93"/>
  <c r="T38" i="93" s="1"/>
  <c r="K38" i="93"/>
  <c r="Q24" i="93"/>
  <c r="Q23" i="93"/>
  <c r="R21" i="93"/>
  <c r="Q21" i="93"/>
  <c r="K21" i="93"/>
  <c r="R20" i="93"/>
  <c r="Q20" i="93"/>
  <c r="K20" i="93"/>
  <c r="R19" i="93"/>
  <c r="Q19" i="93"/>
  <c r="K19" i="93"/>
  <c r="R18" i="93"/>
  <c r="Q18" i="93"/>
  <c r="K18" i="93"/>
  <c r="R17" i="93"/>
  <c r="Q17" i="93"/>
  <c r="K17" i="93"/>
  <c r="Q16" i="93"/>
  <c r="Q15" i="93"/>
  <c r="Z12" i="93"/>
  <c r="K29" i="92"/>
  <c r="X120" i="92"/>
  <c r="U120" i="92"/>
  <c r="T120" i="92"/>
  <c r="N120" i="92"/>
  <c r="M120" i="92"/>
  <c r="L120" i="92"/>
  <c r="K120" i="92"/>
  <c r="X111" i="92"/>
  <c r="U111" i="92"/>
  <c r="T111" i="92"/>
  <c r="N111" i="92"/>
  <c r="M111" i="92"/>
  <c r="L111" i="92"/>
  <c r="K111" i="92"/>
  <c r="X103" i="92"/>
  <c r="U103" i="92"/>
  <c r="T103" i="92"/>
  <c r="N103" i="92"/>
  <c r="M103" i="92"/>
  <c r="L103" i="92"/>
  <c r="K103" i="92"/>
  <c r="X96" i="92"/>
  <c r="U96" i="92"/>
  <c r="T96" i="92"/>
  <c r="N96" i="92"/>
  <c r="M96" i="92"/>
  <c r="L96" i="92"/>
  <c r="K96" i="92"/>
  <c r="X73" i="92"/>
  <c r="U73" i="92"/>
  <c r="T73" i="92"/>
  <c r="N73" i="92"/>
  <c r="M73" i="92"/>
  <c r="L73" i="92"/>
  <c r="K73" i="92"/>
  <c r="X68" i="92"/>
  <c r="U68" i="92"/>
  <c r="T68" i="92"/>
  <c r="N68" i="92"/>
  <c r="M68" i="92"/>
  <c r="L68" i="92"/>
  <c r="K68" i="92"/>
  <c r="X60" i="92"/>
  <c r="U60" i="92"/>
  <c r="T60" i="92"/>
  <c r="N60" i="92"/>
  <c r="M60" i="92"/>
  <c r="L60" i="92"/>
  <c r="K60" i="92"/>
  <c r="X52" i="92"/>
  <c r="U52" i="92"/>
  <c r="T52" i="92"/>
  <c r="N52" i="92"/>
  <c r="M52" i="92"/>
  <c r="L52" i="92"/>
  <c r="K52" i="92"/>
  <c r="X22" i="92"/>
  <c r="U22" i="92"/>
  <c r="T22" i="92"/>
  <c r="N22" i="92"/>
  <c r="M22" i="92"/>
  <c r="L22" i="92"/>
  <c r="K22" i="92"/>
  <c r="R38" i="92"/>
  <c r="Q38" i="92"/>
  <c r="K38" i="92"/>
  <c r="R37" i="92"/>
  <c r="Q37" i="92"/>
  <c r="K37" i="92"/>
  <c r="R36" i="92"/>
  <c r="Q36" i="92"/>
  <c r="K36" i="92"/>
  <c r="R35" i="92"/>
  <c r="Q35" i="92"/>
  <c r="K35" i="92"/>
  <c r="R34" i="92"/>
  <c r="Q34" i="92"/>
  <c r="K34" i="92"/>
  <c r="R33" i="92"/>
  <c r="Q33" i="92"/>
  <c r="K33" i="92"/>
  <c r="R32" i="92"/>
  <c r="Q32" i="92"/>
  <c r="K32" i="92"/>
  <c r="K66" i="95" l="1"/>
  <c r="K92" i="95"/>
  <c r="K41" i="95"/>
  <c r="T99" i="95"/>
  <c r="T100" i="95" s="1"/>
  <c r="V99" i="95"/>
  <c r="V28" i="95"/>
  <c r="AF28" i="95"/>
  <c r="AF25" i="95"/>
  <c r="L59" i="96"/>
  <c r="U95" i="96"/>
  <c r="L72" i="96"/>
  <c r="M72" i="96" s="1"/>
  <c r="L95" i="96"/>
  <c r="T94" i="96"/>
  <c r="V94" i="96"/>
  <c r="U94" i="96"/>
  <c r="L94" i="96"/>
  <c r="M94" i="96" s="1"/>
  <c r="T90" i="96"/>
  <c r="V90" i="96"/>
  <c r="L90" i="96"/>
  <c r="T86" i="96"/>
  <c r="U86" i="96" s="1"/>
  <c r="Z86" i="96" s="1"/>
  <c r="V86" i="96"/>
  <c r="L86" i="96"/>
  <c r="M86" i="96" s="1"/>
  <c r="N86" i="96" s="1"/>
  <c r="V85" i="96"/>
  <c r="T85" i="96"/>
  <c r="U85" i="96" s="1"/>
  <c r="L85" i="96"/>
  <c r="M85" i="96" s="1"/>
  <c r="N85" i="96" s="1"/>
  <c r="V84" i="96"/>
  <c r="T84" i="96"/>
  <c r="U84" i="96" s="1"/>
  <c r="L84" i="96"/>
  <c r="M84" i="96" s="1"/>
  <c r="U83" i="96"/>
  <c r="AD83" i="96"/>
  <c r="L83" i="96"/>
  <c r="V82" i="96"/>
  <c r="T82" i="96"/>
  <c r="L82" i="96"/>
  <c r="V78" i="96"/>
  <c r="T78" i="96"/>
  <c r="U78" i="96" s="1"/>
  <c r="L78" i="96"/>
  <c r="M78" i="96" s="1"/>
  <c r="N78" i="96" s="1"/>
  <c r="AD77" i="96"/>
  <c r="L77" i="96"/>
  <c r="M77" i="96" s="1"/>
  <c r="U77" i="96"/>
  <c r="T76" i="96"/>
  <c r="U76" i="96" s="1"/>
  <c r="V76" i="96"/>
  <c r="L76" i="96"/>
  <c r="M76" i="96" s="1"/>
  <c r="N76" i="96" s="1"/>
  <c r="T75" i="96"/>
  <c r="V75" i="96"/>
  <c r="L75" i="96"/>
  <c r="T72" i="96"/>
  <c r="V72" i="96"/>
  <c r="T71" i="96"/>
  <c r="U71" i="96" s="1"/>
  <c r="Z71" i="96" s="1"/>
  <c r="V71" i="96"/>
  <c r="L71" i="96"/>
  <c r="V70" i="96"/>
  <c r="T70" i="96"/>
  <c r="U70" i="96" s="1"/>
  <c r="Z70" i="96" s="1"/>
  <c r="L70" i="96"/>
  <c r="V69" i="96"/>
  <c r="T69" i="96"/>
  <c r="L69" i="96"/>
  <c r="T65" i="96"/>
  <c r="U65" i="96" s="1"/>
  <c r="V65" i="96"/>
  <c r="L65" i="96"/>
  <c r="M65" i="96"/>
  <c r="V64" i="96"/>
  <c r="T64" i="96"/>
  <c r="L64" i="96"/>
  <c r="V60" i="96"/>
  <c r="T60" i="96"/>
  <c r="L60" i="96"/>
  <c r="T59" i="96"/>
  <c r="V59" i="96"/>
  <c r="M59" i="96"/>
  <c r="T55" i="96"/>
  <c r="V55" i="96"/>
  <c r="L55" i="96"/>
  <c r="M55" i="96" s="1"/>
  <c r="V54" i="96"/>
  <c r="T54" i="96"/>
  <c r="L54" i="96"/>
  <c r="V50" i="96"/>
  <c r="T50" i="96"/>
  <c r="U50" i="96" s="1"/>
  <c r="L50" i="96"/>
  <c r="V49" i="96"/>
  <c r="T49" i="96"/>
  <c r="L49" i="96"/>
  <c r="T48" i="96"/>
  <c r="V48" i="96"/>
  <c r="L48" i="96"/>
  <c r="T44" i="96"/>
  <c r="V44" i="96"/>
  <c r="L44" i="96"/>
  <c r="M44" i="96" s="1"/>
  <c r="N44" i="96" s="1"/>
  <c r="T43" i="96"/>
  <c r="U43" i="96"/>
  <c r="Z43" i="96" s="1"/>
  <c r="V43" i="96"/>
  <c r="L43" i="96"/>
  <c r="T42" i="96"/>
  <c r="V42" i="96"/>
  <c r="L42" i="96"/>
  <c r="AD38" i="96"/>
  <c r="L38" i="96"/>
  <c r="U38" i="96"/>
  <c r="AD37" i="96"/>
  <c r="U37" i="96"/>
  <c r="L37" i="96"/>
  <c r="M37" i="96" s="1"/>
  <c r="T36" i="96"/>
  <c r="V36" i="96"/>
  <c r="L36" i="96"/>
  <c r="V32" i="96"/>
  <c r="T32" i="96"/>
  <c r="L32" i="96"/>
  <c r="M32" i="96" s="1"/>
  <c r="N32" i="96" s="1"/>
  <c r="V31" i="96"/>
  <c r="T31" i="96"/>
  <c r="U31" i="96" s="1"/>
  <c r="L31" i="96"/>
  <c r="V30" i="96"/>
  <c r="T30" i="96"/>
  <c r="L30" i="96"/>
  <c r="V26" i="96"/>
  <c r="T26" i="96"/>
  <c r="L26" i="96"/>
  <c r="AD25" i="96"/>
  <c r="U25" i="96"/>
  <c r="L25" i="96"/>
  <c r="V21" i="96"/>
  <c r="T21" i="96"/>
  <c r="U21" i="96" s="1"/>
  <c r="L21" i="96"/>
  <c r="M21" i="96" s="1"/>
  <c r="N21" i="96" s="1"/>
  <c r="T20" i="96"/>
  <c r="U20" i="96" s="1"/>
  <c r="Z20" i="96" s="1"/>
  <c r="V20" i="96"/>
  <c r="L20" i="96"/>
  <c r="M20" i="96" s="1"/>
  <c r="V19" i="96"/>
  <c r="T19" i="96"/>
  <c r="U19" i="96" s="1"/>
  <c r="L19" i="96"/>
  <c r="V18" i="96"/>
  <c r="T18" i="96"/>
  <c r="U18" i="96" s="1"/>
  <c r="Z18" i="96" s="1"/>
  <c r="L18" i="96"/>
  <c r="V17" i="96"/>
  <c r="T17" i="96"/>
  <c r="L17" i="96"/>
  <c r="K101" i="95"/>
  <c r="K55" i="95"/>
  <c r="U99" i="95"/>
  <c r="W99" i="95"/>
  <c r="X99" i="95" s="1"/>
  <c r="X100" i="95" s="1"/>
  <c r="L99" i="95"/>
  <c r="L95" i="95"/>
  <c r="L96" i="95" s="1"/>
  <c r="U65" i="95"/>
  <c r="L65" i="95"/>
  <c r="M65" i="95" s="1"/>
  <c r="N65" i="95" s="1"/>
  <c r="U28" i="95"/>
  <c r="L28" i="95"/>
  <c r="M28" i="95" s="1"/>
  <c r="N28" i="95" s="1"/>
  <c r="L77" i="95"/>
  <c r="V77" i="95"/>
  <c r="AF81" i="95"/>
  <c r="V45" i="95"/>
  <c r="U45" i="95"/>
  <c r="V91" i="95"/>
  <c r="L91" i="95"/>
  <c r="V90" i="95"/>
  <c r="AF90" i="95"/>
  <c r="L90" i="95"/>
  <c r="U89" i="95"/>
  <c r="Z89" i="95" s="1"/>
  <c r="V89" i="95"/>
  <c r="L89" i="95"/>
  <c r="L88" i="95"/>
  <c r="M88" i="95" s="1"/>
  <c r="N88" i="95" s="1"/>
  <c r="U88" i="95"/>
  <c r="V87" i="95"/>
  <c r="AF87" i="95"/>
  <c r="L87" i="95"/>
  <c r="T83" i="95"/>
  <c r="V83" i="95"/>
  <c r="L83" i="95"/>
  <c r="M83" i="95"/>
  <c r="T82" i="95"/>
  <c r="AF82" i="95" s="1"/>
  <c r="V82" i="95"/>
  <c r="L82" i="95"/>
  <c r="M82" i="95" s="1"/>
  <c r="V81" i="95"/>
  <c r="L81" i="95"/>
  <c r="AF80" i="95"/>
  <c r="V80" i="95"/>
  <c r="U80" i="95"/>
  <c r="L80" i="95"/>
  <c r="V76" i="95"/>
  <c r="L76" i="95"/>
  <c r="V75" i="95"/>
  <c r="L75" i="95"/>
  <c r="V74" i="95"/>
  <c r="L74" i="95"/>
  <c r="T70" i="95"/>
  <c r="U70" i="95" s="1"/>
  <c r="Z70" i="95" s="1"/>
  <c r="V70" i="95"/>
  <c r="L70" i="95"/>
  <c r="T69" i="95"/>
  <c r="T71" i="95" s="1"/>
  <c r="V69" i="95"/>
  <c r="L69" i="95"/>
  <c r="L71" i="95" s="1"/>
  <c r="V64" i="95"/>
  <c r="T64" i="95"/>
  <c r="L64" i="95"/>
  <c r="M64" i="95"/>
  <c r="T63" i="95"/>
  <c r="T66" i="95" s="1"/>
  <c r="V63" i="95"/>
  <c r="L63" i="95"/>
  <c r="L66" i="95" s="1"/>
  <c r="V59" i="95"/>
  <c r="L59" i="95"/>
  <c r="M59" i="95" s="1"/>
  <c r="AF58" i="95"/>
  <c r="V58" i="95"/>
  <c r="L58" i="95"/>
  <c r="L60" i="95" s="1"/>
  <c r="AF54" i="95"/>
  <c r="V54" i="95"/>
  <c r="L54" i="95"/>
  <c r="M54" i="95" s="1"/>
  <c r="N54" i="95" s="1"/>
  <c r="V53" i="95"/>
  <c r="L53" i="95"/>
  <c r="T52" i="95"/>
  <c r="U52" i="95" s="1"/>
  <c r="V52" i="95"/>
  <c r="L52" i="95"/>
  <c r="V51" i="95"/>
  <c r="L51" i="95"/>
  <c r="V47" i="95"/>
  <c r="L47" i="95"/>
  <c r="M47" i="95" s="1"/>
  <c r="V46" i="95"/>
  <c r="AF46" i="95"/>
  <c r="L46" i="95"/>
  <c r="L45" i="95"/>
  <c r="M45" i="95"/>
  <c r="N45" i="95" s="1"/>
  <c r="T48" i="95"/>
  <c r="V44" i="95"/>
  <c r="L44" i="95"/>
  <c r="L48" i="95" s="1"/>
  <c r="V40" i="95"/>
  <c r="T40" i="95"/>
  <c r="L40" i="95"/>
  <c r="M40" i="95" s="1"/>
  <c r="N40" i="95" s="1"/>
  <c r="V39" i="95"/>
  <c r="T39" i="95"/>
  <c r="L39" i="95"/>
  <c r="M39" i="95" s="1"/>
  <c r="N39" i="95" s="1"/>
  <c r="V38" i="95"/>
  <c r="L38" i="95"/>
  <c r="L41" i="95" s="1"/>
  <c r="T34" i="95"/>
  <c r="AF34" i="95" s="1"/>
  <c r="V34" i="95"/>
  <c r="L34" i="95"/>
  <c r="T33" i="95"/>
  <c r="U33" i="95" s="1"/>
  <c r="Z33" i="95" s="1"/>
  <c r="V33" i="95"/>
  <c r="L33" i="95"/>
  <c r="M33" i="95" s="1"/>
  <c r="N33" i="95" s="1"/>
  <c r="V32" i="95"/>
  <c r="T32" i="95"/>
  <c r="L32" i="95"/>
  <c r="L35" i="95" s="1"/>
  <c r="T27" i="95"/>
  <c r="U27" i="95" s="1"/>
  <c r="V27" i="95"/>
  <c r="L27" i="95"/>
  <c r="T26" i="95"/>
  <c r="T29" i="95" s="1"/>
  <c r="V26" i="95"/>
  <c r="L26" i="95"/>
  <c r="M26" i="95" s="1"/>
  <c r="N26" i="95" s="1"/>
  <c r="L25" i="95"/>
  <c r="L29" i="95" s="1"/>
  <c r="U25" i="95"/>
  <c r="T21" i="95"/>
  <c r="U21" i="95" s="1"/>
  <c r="L21" i="95"/>
  <c r="T20" i="95"/>
  <c r="U20" i="95" s="1"/>
  <c r="V20" i="95"/>
  <c r="L20" i="95"/>
  <c r="V19" i="95"/>
  <c r="T19" i="95"/>
  <c r="U19" i="95" s="1"/>
  <c r="Z19" i="95" s="1"/>
  <c r="L19" i="95"/>
  <c r="M19" i="95" s="1"/>
  <c r="N19" i="95" s="1"/>
  <c r="T18" i="95"/>
  <c r="V18" i="95"/>
  <c r="L18" i="95"/>
  <c r="M18" i="95" s="1"/>
  <c r="N18" i="95" s="1"/>
  <c r="T17" i="95"/>
  <c r="AF17" i="95" s="1"/>
  <c r="V17" i="95"/>
  <c r="L17" i="95"/>
  <c r="L22" i="95" s="1"/>
  <c r="U30" i="93"/>
  <c r="V29" i="93"/>
  <c r="T29" i="93"/>
  <c r="U29" i="93" s="1"/>
  <c r="Z29" i="93" s="1"/>
  <c r="L30" i="93"/>
  <c r="M30" i="93" s="1"/>
  <c r="N30" i="93" s="1"/>
  <c r="L29" i="93"/>
  <c r="M29" i="93" s="1"/>
  <c r="N29" i="93" s="1"/>
  <c r="T28" i="93"/>
  <c r="U28" i="93" s="1"/>
  <c r="Z28" i="93" s="1"/>
  <c r="V28" i="93"/>
  <c r="L28" i="93"/>
  <c r="M28" i="93" s="1"/>
  <c r="V115" i="93"/>
  <c r="T115" i="93"/>
  <c r="U115" i="93" s="1"/>
  <c r="L115" i="93"/>
  <c r="V114" i="93"/>
  <c r="T114" i="93"/>
  <c r="U114" i="93" s="1"/>
  <c r="Z114" i="93" s="1"/>
  <c r="L114" i="93"/>
  <c r="M114" i="93"/>
  <c r="N114" i="93" s="1"/>
  <c r="T113" i="93"/>
  <c r="U113" i="93" s="1"/>
  <c r="Z113" i="93" s="1"/>
  <c r="V113" i="93"/>
  <c r="W113" i="93" s="1"/>
  <c r="X113" i="93" s="1"/>
  <c r="L113" i="93"/>
  <c r="V112" i="93"/>
  <c r="T112" i="93"/>
  <c r="U112" i="93" s="1"/>
  <c r="Z112" i="93" s="1"/>
  <c r="L112" i="93"/>
  <c r="V111" i="93"/>
  <c r="T111" i="93"/>
  <c r="U111" i="93" s="1"/>
  <c r="Z111" i="93" s="1"/>
  <c r="L111" i="93"/>
  <c r="M111" i="93" s="1"/>
  <c r="N111" i="93" s="1"/>
  <c r="T110" i="93"/>
  <c r="V110" i="93"/>
  <c r="L110" i="93"/>
  <c r="T106" i="93"/>
  <c r="U106" i="93" s="1"/>
  <c r="Z106" i="93" s="1"/>
  <c r="V106" i="93"/>
  <c r="L106" i="93"/>
  <c r="T105" i="93"/>
  <c r="U105" i="93" s="1"/>
  <c r="Z105" i="93" s="1"/>
  <c r="V105" i="93"/>
  <c r="L105" i="93"/>
  <c r="V104" i="93"/>
  <c r="T104" i="93"/>
  <c r="U104" i="93" s="1"/>
  <c r="Z104" i="93" s="1"/>
  <c r="L104" i="93"/>
  <c r="M104" i="93"/>
  <c r="N104" i="93" s="1"/>
  <c r="U103" i="93"/>
  <c r="L103" i="93"/>
  <c r="M103" i="93" s="1"/>
  <c r="T102" i="93"/>
  <c r="V102" i="93"/>
  <c r="L102" i="93"/>
  <c r="T98" i="93"/>
  <c r="U98" i="93" s="1"/>
  <c r="V98" i="93"/>
  <c r="L98" i="93"/>
  <c r="M98" i="93" s="1"/>
  <c r="V97" i="93"/>
  <c r="T97" i="93"/>
  <c r="U97" i="93" s="1"/>
  <c r="Z97" i="93" s="1"/>
  <c r="L97" i="93"/>
  <c r="M97" i="93"/>
  <c r="T96" i="93"/>
  <c r="U96" i="93" s="1"/>
  <c r="V96" i="93"/>
  <c r="L96" i="93"/>
  <c r="V95" i="93"/>
  <c r="T95" i="93"/>
  <c r="U95" i="93" s="1"/>
  <c r="Z95" i="93" s="1"/>
  <c r="L95" i="93"/>
  <c r="T94" i="93"/>
  <c r="V94" i="93"/>
  <c r="L94" i="93"/>
  <c r="V91" i="93"/>
  <c r="T91" i="93"/>
  <c r="U91" i="93" s="1"/>
  <c r="Z91" i="93" s="1"/>
  <c r="L91" i="93"/>
  <c r="M91" i="93" s="1"/>
  <c r="N91" i="93" s="1"/>
  <c r="T90" i="93"/>
  <c r="V90" i="93"/>
  <c r="U90" i="93"/>
  <c r="Z90" i="93" s="1"/>
  <c r="L90" i="93"/>
  <c r="M90" i="93" s="1"/>
  <c r="N90" i="93" s="1"/>
  <c r="T89" i="93"/>
  <c r="V89" i="93"/>
  <c r="L89" i="93"/>
  <c r="M89" i="93"/>
  <c r="V85" i="93"/>
  <c r="T85" i="93"/>
  <c r="U85" i="93" s="1"/>
  <c r="L85" i="93"/>
  <c r="M85" i="93"/>
  <c r="N85" i="93" s="1"/>
  <c r="T84" i="93"/>
  <c r="V84" i="93"/>
  <c r="U84" i="93"/>
  <c r="Z84" i="93" s="1"/>
  <c r="L84" i="93"/>
  <c r="M84" i="93"/>
  <c r="N84" i="93" s="1"/>
  <c r="V83" i="93"/>
  <c r="T83" i="93"/>
  <c r="U83" i="93" s="1"/>
  <c r="L83" i="93"/>
  <c r="V82" i="93"/>
  <c r="T82" i="93"/>
  <c r="U82" i="93" s="1"/>
  <c r="L82" i="93"/>
  <c r="V81" i="93"/>
  <c r="T81" i="93"/>
  <c r="L81" i="93"/>
  <c r="T77" i="93"/>
  <c r="U77" i="93" s="1"/>
  <c r="V77" i="93"/>
  <c r="L77" i="93"/>
  <c r="V76" i="93"/>
  <c r="T76" i="93"/>
  <c r="L76" i="93"/>
  <c r="T72" i="93"/>
  <c r="U72" i="93" s="1"/>
  <c r="Z72" i="93" s="1"/>
  <c r="V72" i="93"/>
  <c r="L72" i="93"/>
  <c r="M72" i="93" s="1"/>
  <c r="T71" i="93"/>
  <c r="V71" i="93"/>
  <c r="L71" i="93"/>
  <c r="T67" i="93"/>
  <c r="U67" i="93" s="1"/>
  <c r="V67" i="93"/>
  <c r="L67" i="93"/>
  <c r="V66" i="93"/>
  <c r="T66" i="93"/>
  <c r="U66" i="93" s="1"/>
  <c r="L66" i="93"/>
  <c r="V65" i="93"/>
  <c r="T65" i="93"/>
  <c r="U65" i="93" s="1"/>
  <c r="L65" i="93"/>
  <c r="T64" i="93"/>
  <c r="U64" i="93" s="1"/>
  <c r="V64" i="93"/>
  <c r="L64" i="93"/>
  <c r="T63" i="93"/>
  <c r="V63" i="93"/>
  <c r="L63" i="93"/>
  <c r="M63" i="93"/>
  <c r="V59" i="93"/>
  <c r="T59" i="93"/>
  <c r="U59" i="93" s="1"/>
  <c r="Z59" i="93" s="1"/>
  <c r="L59" i="93"/>
  <c r="V58" i="93"/>
  <c r="T58" i="93"/>
  <c r="U58" i="93" s="1"/>
  <c r="Z58" i="93" s="1"/>
  <c r="L58" i="93"/>
  <c r="M58" i="93"/>
  <c r="N58" i="93" s="1"/>
  <c r="V57" i="93"/>
  <c r="T57" i="93"/>
  <c r="U57" i="93" s="1"/>
  <c r="L57" i="93"/>
  <c r="M57" i="93" s="1"/>
  <c r="N57" i="93" s="1"/>
  <c r="T56" i="93"/>
  <c r="U56" i="93" s="1"/>
  <c r="Z56" i="93" s="1"/>
  <c r="V56" i="93"/>
  <c r="L56" i="93"/>
  <c r="M56" i="93" s="1"/>
  <c r="T55" i="93"/>
  <c r="V55" i="93"/>
  <c r="L55" i="93"/>
  <c r="M55" i="93"/>
  <c r="V51" i="93"/>
  <c r="T51" i="93"/>
  <c r="U51" i="93" s="1"/>
  <c r="Z51" i="93" s="1"/>
  <c r="L51" i="93"/>
  <c r="M51" i="93"/>
  <c r="N51" i="93" s="1"/>
  <c r="V50" i="93"/>
  <c r="T50" i="93"/>
  <c r="U50" i="93" s="1"/>
  <c r="L50" i="93"/>
  <c r="V49" i="93"/>
  <c r="T49" i="93"/>
  <c r="L49" i="93"/>
  <c r="V45" i="93"/>
  <c r="T45" i="93"/>
  <c r="U45" i="93" s="1"/>
  <c r="L45" i="93"/>
  <c r="M45" i="93" s="1"/>
  <c r="N45" i="93" s="1"/>
  <c r="V44" i="93"/>
  <c r="T44" i="93"/>
  <c r="U44" i="93" s="1"/>
  <c r="L44" i="93"/>
  <c r="T43" i="93"/>
  <c r="V43" i="93"/>
  <c r="L43" i="93"/>
  <c r="V37" i="93"/>
  <c r="T37" i="93"/>
  <c r="U37" i="93" s="1"/>
  <c r="Z37" i="93" s="1"/>
  <c r="L37" i="93"/>
  <c r="T36" i="93"/>
  <c r="U36" i="93" s="1"/>
  <c r="Z36" i="93" s="1"/>
  <c r="V36" i="93"/>
  <c r="L36" i="93"/>
  <c r="M36" i="93" s="1"/>
  <c r="N36" i="93" s="1"/>
  <c r="V35" i="93"/>
  <c r="T35" i="93"/>
  <c r="U35" i="93" s="1"/>
  <c r="L35" i="93"/>
  <c r="T34" i="93"/>
  <c r="U34" i="93" s="1"/>
  <c r="V34" i="93"/>
  <c r="L34" i="93"/>
  <c r="M34" i="93" s="1"/>
  <c r="N34" i="93" s="1"/>
  <c r="V27" i="93"/>
  <c r="T27" i="93"/>
  <c r="U27" i="93" s="1"/>
  <c r="L27" i="93"/>
  <c r="M27" i="93" s="1"/>
  <c r="V26" i="93"/>
  <c r="T26" i="93"/>
  <c r="U26" i="93" s="1"/>
  <c r="Z26" i="93" s="1"/>
  <c r="L26" i="93"/>
  <c r="M26" i="93" s="1"/>
  <c r="N26" i="93" s="1"/>
  <c r="T25" i="93"/>
  <c r="V25" i="93"/>
  <c r="L25" i="93"/>
  <c r="V33" i="93"/>
  <c r="T33" i="93"/>
  <c r="U33" i="93" s="1"/>
  <c r="L33" i="93"/>
  <c r="M33" i="93" s="1"/>
  <c r="T32" i="93"/>
  <c r="U32" i="93" s="1"/>
  <c r="Z32" i="93" s="1"/>
  <c r="V32" i="93"/>
  <c r="L32" i="93"/>
  <c r="T31" i="93"/>
  <c r="U31" i="93" s="1"/>
  <c r="Z31" i="93" s="1"/>
  <c r="V31" i="93"/>
  <c r="L31" i="93"/>
  <c r="V39" i="93"/>
  <c r="T39" i="93"/>
  <c r="U39" i="93" s="1"/>
  <c r="L39" i="93"/>
  <c r="M39" i="93" s="1"/>
  <c r="U38" i="93"/>
  <c r="L38" i="93"/>
  <c r="V21" i="93"/>
  <c r="T21" i="93"/>
  <c r="U21" i="93" s="1"/>
  <c r="L21" i="93"/>
  <c r="T20" i="93"/>
  <c r="U20" i="93" s="1"/>
  <c r="Z20" i="93" s="1"/>
  <c r="V20" i="93"/>
  <c r="L20" i="93"/>
  <c r="M20" i="93" s="1"/>
  <c r="N20" i="93" s="1"/>
  <c r="V19" i="93"/>
  <c r="T19" i="93"/>
  <c r="U19" i="93" s="1"/>
  <c r="L19" i="93"/>
  <c r="V18" i="93"/>
  <c r="T18" i="93"/>
  <c r="U18" i="93" s="1"/>
  <c r="L18" i="93"/>
  <c r="M18" i="93" s="1"/>
  <c r="N18" i="93" s="1"/>
  <c r="T17" i="93"/>
  <c r="V17" i="93"/>
  <c r="L17" i="93"/>
  <c r="M17" i="93"/>
  <c r="T36" i="92"/>
  <c r="U36" i="92" s="1"/>
  <c r="Z36" i="92" s="1"/>
  <c r="L38" i="92"/>
  <c r="M38" i="92" s="1"/>
  <c r="N38" i="92" s="1"/>
  <c r="V38" i="92"/>
  <c r="T38" i="92"/>
  <c r="U38" i="92" s="1"/>
  <c r="Z38" i="92" s="1"/>
  <c r="T37" i="92"/>
  <c r="U37" i="92" s="1"/>
  <c r="Z37" i="92" s="1"/>
  <c r="V37" i="92"/>
  <c r="L37" i="92"/>
  <c r="M37" i="92" s="1"/>
  <c r="N37" i="92" s="1"/>
  <c r="L36" i="92"/>
  <c r="M36" i="92" s="1"/>
  <c r="L35" i="92"/>
  <c r="M35" i="92" s="1"/>
  <c r="V36" i="92"/>
  <c r="L34" i="92"/>
  <c r="V35" i="92"/>
  <c r="T35" i="92"/>
  <c r="U35" i="92" s="1"/>
  <c r="Z35" i="92" s="1"/>
  <c r="V34" i="92"/>
  <c r="T34" i="92"/>
  <c r="U34" i="92" s="1"/>
  <c r="V32" i="92"/>
  <c r="V33" i="92"/>
  <c r="T33" i="92"/>
  <c r="U33" i="92" s="1"/>
  <c r="Z33" i="92" s="1"/>
  <c r="L33" i="92"/>
  <c r="M33" i="92" s="1"/>
  <c r="N33" i="92" s="1"/>
  <c r="T32" i="92"/>
  <c r="U32" i="92" s="1"/>
  <c r="Z32" i="92" s="1"/>
  <c r="L32" i="92"/>
  <c r="M32" i="92" s="1"/>
  <c r="R31" i="92"/>
  <c r="Q31" i="92"/>
  <c r="V31" i="92" s="1"/>
  <c r="K31" i="92"/>
  <c r="L84" i="95" l="1"/>
  <c r="T78" i="95"/>
  <c r="L78" i="95"/>
  <c r="T22" i="95"/>
  <c r="M99" i="95"/>
  <c r="L100" i="95"/>
  <c r="U95" i="95"/>
  <c r="T96" i="95"/>
  <c r="AA95" i="95" s="1"/>
  <c r="U91" i="95"/>
  <c r="AF91" i="95"/>
  <c r="U53" i="95"/>
  <c r="AF53" i="95"/>
  <c r="AF51" i="95"/>
  <c r="T55" i="95"/>
  <c r="AF38" i="95"/>
  <c r="T41" i="95"/>
  <c r="AF32" i="95"/>
  <c r="T35" i="95"/>
  <c r="T56" i="96"/>
  <c r="T97" i="96"/>
  <c r="U55" i="96"/>
  <c r="U72" i="96"/>
  <c r="U49" i="96"/>
  <c r="W71" i="96"/>
  <c r="X71" i="96" s="1"/>
  <c r="U90" i="96"/>
  <c r="U82" i="96"/>
  <c r="M82" i="96"/>
  <c r="U75" i="96"/>
  <c r="M75" i="96"/>
  <c r="U69" i="96"/>
  <c r="AA73" i="96"/>
  <c r="U64" i="96"/>
  <c r="U59" i="96"/>
  <c r="W59" i="96" s="1"/>
  <c r="X59" i="96" s="1"/>
  <c r="N59" i="96"/>
  <c r="U54" i="96"/>
  <c r="M54" i="96"/>
  <c r="U48" i="96"/>
  <c r="U42" i="96"/>
  <c r="AA43" i="96"/>
  <c r="U36" i="96"/>
  <c r="AA36" i="96"/>
  <c r="U30" i="96"/>
  <c r="AA30" i="96"/>
  <c r="M25" i="96"/>
  <c r="U17" i="96"/>
  <c r="W17" i="96" s="1"/>
  <c r="X17" i="96" s="1"/>
  <c r="AA17" i="96"/>
  <c r="Z95" i="96"/>
  <c r="W95" i="96"/>
  <c r="X95" i="96" s="1"/>
  <c r="N72" i="96"/>
  <c r="Z72" i="96"/>
  <c r="M95" i="96"/>
  <c r="M36" i="96"/>
  <c r="W48" i="96"/>
  <c r="X48" i="96" s="1"/>
  <c r="W72" i="96"/>
  <c r="X72" i="96" s="1"/>
  <c r="W90" i="96"/>
  <c r="X90" i="96" s="1"/>
  <c r="N37" i="96"/>
  <c r="W55" i="96"/>
  <c r="X55" i="96" s="1"/>
  <c r="Z55" i="96"/>
  <c r="N25" i="96"/>
  <c r="M42" i="96"/>
  <c r="W36" i="96"/>
  <c r="X36" i="96" s="1"/>
  <c r="N20" i="96"/>
  <c r="W30" i="96"/>
  <c r="X30" i="96" s="1"/>
  <c r="W94" i="96"/>
  <c r="X94" i="96" s="1"/>
  <c r="Y94" i="96" s="1"/>
  <c r="W86" i="96"/>
  <c r="X86" i="96" s="1"/>
  <c r="Y86" i="96" s="1"/>
  <c r="N84" i="96"/>
  <c r="N65" i="96"/>
  <c r="W43" i="96"/>
  <c r="X43" i="96" s="1"/>
  <c r="N77" i="96"/>
  <c r="W20" i="96"/>
  <c r="X20" i="96" s="1"/>
  <c r="Y20" i="96" s="1"/>
  <c r="Z65" i="96"/>
  <c r="W65" i="96"/>
  <c r="X65" i="96" s="1"/>
  <c r="Y65" i="96" s="1"/>
  <c r="AD60" i="96"/>
  <c r="U60" i="96"/>
  <c r="N55" i="96"/>
  <c r="Y55" i="96"/>
  <c r="Y97" i="96" s="1"/>
  <c r="AD90" i="96"/>
  <c r="AA90" i="96"/>
  <c r="AD86" i="96"/>
  <c r="W83" i="96"/>
  <c r="X83" i="96" s="1"/>
  <c r="Z83" i="96"/>
  <c r="AD82" i="96"/>
  <c r="AD78" i="96"/>
  <c r="W77" i="96"/>
  <c r="X77" i="96" s="1"/>
  <c r="Y77" i="96" s="1"/>
  <c r="Z77" i="96"/>
  <c r="AD76" i="96"/>
  <c r="AD75" i="96"/>
  <c r="AD71" i="96"/>
  <c r="AD64" i="96"/>
  <c r="AD55" i="96"/>
  <c r="AD50" i="96"/>
  <c r="AD49" i="96"/>
  <c r="AD48" i="96"/>
  <c r="AD43" i="96"/>
  <c r="AD42" i="96"/>
  <c r="W38" i="96"/>
  <c r="X38" i="96" s="1"/>
  <c r="Z38" i="96"/>
  <c r="W37" i="96"/>
  <c r="X37" i="96" s="1"/>
  <c r="Z37" i="96"/>
  <c r="AD36" i="96"/>
  <c r="AD30" i="96"/>
  <c r="W25" i="96"/>
  <c r="X25" i="96" s="1"/>
  <c r="Z25" i="96"/>
  <c r="AD17" i="96"/>
  <c r="Z94" i="96"/>
  <c r="N94" i="96"/>
  <c r="Z90" i="96"/>
  <c r="M90" i="96"/>
  <c r="W85" i="96"/>
  <c r="X85" i="96" s="1"/>
  <c r="Y85" i="96" s="1"/>
  <c r="Z85" i="96"/>
  <c r="W84" i="96"/>
  <c r="X84" i="96" s="1"/>
  <c r="Y84" i="96" s="1"/>
  <c r="Z84" i="96"/>
  <c r="M83" i="96"/>
  <c r="Z82" i="96"/>
  <c r="Z78" i="96"/>
  <c r="W78" i="96"/>
  <c r="X78" i="96" s="1"/>
  <c r="Y78" i="96" s="1"/>
  <c r="Z76" i="96"/>
  <c r="W76" i="96"/>
  <c r="X76" i="96" s="1"/>
  <c r="N75" i="96"/>
  <c r="M71" i="96"/>
  <c r="M70" i="96"/>
  <c r="N70" i="96" s="1"/>
  <c r="Z69" i="96"/>
  <c r="W69" i="96"/>
  <c r="X69" i="96" s="1"/>
  <c r="M69" i="96"/>
  <c r="Z64" i="96"/>
  <c r="W64" i="96"/>
  <c r="X64" i="96" s="1"/>
  <c r="M64" i="96"/>
  <c r="M60" i="96"/>
  <c r="W50" i="96"/>
  <c r="X50" i="96" s="1"/>
  <c r="Z50" i="96"/>
  <c r="M50" i="96"/>
  <c r="N50" i="96" s="1"/>
  <c r="M49" i="96"/>
  <c r="N49" i="96" s="1"/>
  <c r="Z48" i="96"/>
  <c r="M48" i="96"/>
  <c r="AD44" i="96"/>
  <c r="U44" i="96"/>
  <c r="M43" i="96"/>
  <c r="N43" i="96" s="1"/>
  <c r="W42" i="96"/>
  <c r="X42" i="96" s="1"/>
  <c r="Z42" i="96"/>
  <c r="M38" i="96"/>
  <c r="Z36" i="96"/>
  <c r="AD32" i="96"/>
  <c r="U32" i="96"/>
  <c r="W31" i="96"/>
  <c r="X31" i="96" s="1"/>
  <c r="Z31" i="96"/>
  <c r="M31" i="96"/>
  <c r="N31" i="96" s="1"/>
  <c r="M30" i="96"/>
  <c r="AD26" i="96"/>
  <c r="U26" i="96"/>
  <c r="M26" i="96"/>
  <c r="W21" i="96"/>
  <c r="X21" i="96" s="1"/>
  <c r="Y21" i="96" s="1"/>
  <c r="Z21" i="96"/>
  <c r="W19" i="96"/>
  <c r="X19" i="96" s="1"/>
  <c r="Z19" i="96"/>
  <c r="M19" i="96"/>
  <c r="N19" i="96" s="1"/>
  <c r="M18" i="96"/>
  <c r="N18" i="96" s="1"/>
  <c r="M17" i="96"/>
  <c r="W70" i="96"/>
  <c r="X70" i="96" s="1"/>
  <c r="Y70" i="96" s="1"/>
  <c r="W54" i="96"/>
  <c r="X54" i="96" s="1"/>
  <c r="W49" i="96"/>
  <c r="X49" i="96" s="1"/>
  <c r="W18" i="96"/>
  <c r="X18" i="96" s="1"/>
  <c r="Y18" i="96" s="1"/>
  <c r="W82" i="96"/>
  <c r="X82" i="96" s="1"/>
  <c r="U90" i="95"/>
  <c r="Z90" i="95" s="1"/>
  <c r="T92" i="95"/>
  <c r="AA87" i="95" s="1"/>
  <c r="U58" i="95"/>
  <c r="T60" i="95"/>
  <c r="Z99" i="95"/>
  <c r="U100" i="95"/>
  <c r="M53" i="95"/>
  <c r="L55" i="95"/>
  <c r="U81" i="95"/>
  <c r="T101" i="95"/>
  <c r="T84" i="95"/>
  <c r="Z91" i="95"/>
  <c r="L101" i="95"/>
  <c r="L92" i="95"/>
  <c r="M77" i="95"/>
  <c r="Y99" i="95"/>
  <c r="U83" i="95"/>
  <c r="AF83" i="95"/>
  <c r="U76" i="95"/>
  <c r="AF76" i="95"/>
  <c r="U64" i="95"/>
  <c r="AF64" i="95"/>
  <c r="U47" i="95"/>
  <c r="AF47" i="95"/>
  <c r="U44" i="95"/>
  <c r="AF44" i="95"/>
  <c r="M44" i="95"/>
  <c r="U40" i="95"/>
  <c r="Z40" i="95" s="1"/>
  <c r="AF40" i="95"/>
  <c r="U39" i="95"/>
  <c r="AF39" i="95"/>
  <c r="AF95" i="95"/>
  <c r="W81" i="95"/>
  <c r="X81" i="95" s="1"/>
  <c r="AB81" i="95" s="1"/>
  <c r="Z81" i="95"/>
  <c r="M87" i="95"/>
  <c r="U59" i="95"/>
  <c r="AF59" i="95"/>
  <c r="N44" i="95"/>
  <c r="AA38" i="95"/>
  <c r="U18" i="95"/>
  <c r="AA17" i="95"/>
  <c r="Z45" i="95"/>
  <c r="W45" i="95"/>
  <c r="X45" i="95" s="1"/>
  <c r="W83" i="95"/>
  <c r="X83" i="95" s="1"/>
  <c r="Y83" i="95" s="1"/>
  <c r="Z83" i="95"/>
  <c r="U46" i="95"/>
  <c r="W46" i="95" s="1"/>
  <c r="X46" i="95" s="1"/>
  <c r="AB46" i="95" s="1"/>
  <c r="W70" i="95"/>
  <c r="X70" i="95" s="1"/>
  <c r="AF69" i="95"/>
  <c r="U82" i="95"/>
  <c r="W82" i="95" s="1"/>
  <c r="X82" i="95" s="1"/>
  <c r="U54" i="95"/>
  <c r="U77" i="95"/>
  <c r="U34" i="95"/>
  <c r="AA32" i="95"/>
  <c r="M95" i="95"/>
  <c r="M96" i="95" s="1"/>
  <c r="Z28" i="95"/>
  <c r="W28" i="95"/>
  <c r="X28" i="95" s="1"/>
  <c r="AB28" i="95" s="1"/>
  <c r="U87" i="95"/>
  <c r="U92" i="95" s="1"/>
  <c r="N87" i="95"/>
  <c r="U74" i="95"/>
  <c r="U69" i="95"/>
  <c r="U71" i="95" s="1"/>
  <c r="U63" i="95"/>
  <c r="U66" i="95" s="1"/>
  <c r="Z58" i="95"/>
  <c r="U51" i="95"/>
  <c r="M51" i="95"/>
  <c r="Z46" i="95"/>
  <c r="U38" i="95"/>
  <c r="U41" i="95" s="1"/>
  <c r="U32" i="95"/>
  <c r="U26" i="95"/>
  <c r="U29" i="95" s="1"/>
  <c r="M25" i="95"/>
  <c r="Z65" i="95"/>
  <c r="W65" i="95"/>
  <c r="X65" i="95" s="1"/>
  <c r="W44" i="95"/>
  <c r="X44" i="95" s="1"/>
  <c r="AB44" i="95" s="1"/>
  <c r="U17" i="95"/>
  <c r="M17" i="95"/>
  <c r="Y28" i="95"/>
  <c r="Z52" i="95"/>
  <c r="W52" i="95"/>
  <c r="X52" i="95" s="1"/>
  <c r="M46" i="95"/>
  <c r="W58" i="95"/>
  <c r="X58" i="95" s="1"/>
  <c r="AB58" i="95" s="1"/>
  <c r="N64" i="95"/>
  <c r="N59" i="95"/>
  <c r="W33" i="95"/>
  <c r="X33" i="95" s="1"/>
  <c r="Y33" i="95" s="1"/>
  <c r="W40" i="95"/>
  <c r="X40" i="95" s="1"/>
  <c r="Y40" i="95" s="1"/>
  <c r="W89" i="95"/>
  <c r="X89" i="95" s="1"/>
  <c r="AB89" i="95" s="1"/>
  <c r="N82" i="95"/>
  <c r="N83" i="95"/>
  <c r="W54" i="95"/>
  <c r="X54" i="95" s="1"/>
  <c r="AB54" i="95" s="1"/>
  <c r="Z80" i="95"/>
  <c r="W80" i="95"/>
  <c r="X80" i="95" s="1"/>
  <c r="AB80" i="95" s="1"/>
  <c r="Z17" i="95"/>
  <c r="W88" i="95"/>
  <c r="X88" i="95" s="1"/>
  <c r="Z88" i="95"/>
  <c r="U75" i="95"/>
  <c r="AA51" i="95"/>
  <c r="W25" i="95"/>
  <c r="X25" i="95" s="1"/>
  <c r="Z25" i="95"/>
  <c r="W21" i="95"/>
  <c r="X21" i="95" s="1"/>
  <c r="Z21" i="95"/>
  <c r="M91" i="95"/>
  <c r="M90" i="95"/>
  <c r="N90" i="95" s="1"/>
  <c r="M89" i="95"/>
  <c r="M81" i="95"/>
  <c r="M80" i="95"/>
  <c r="M84" i="95" s="1"/>
  <c r="M76" i="95"/>
  <c r="M75" i="95"/>
  <c r="N75" i="95" s="1"/>
  <c r="M74" i="95"/>
  <c r="M78" i="95" s="1"/>
  <c r="M70" i="95"/>
  <c r="N70" i="95" s="1"/>
  <c r="M69" i="95"/>
  <c r="M71" i="95" s="1"/>
  <c r="W64" i="95"/>
  <c r="X64" i="95" s="1"/>
  <c r="Z64" i="95"/>
  <c r="M63" i="95"/>
  <c r="M66" i="95" s="1"/>
  <c r="Z59" i="95"/>
  <c r="W59" i="95"/>
  <c r="X59" i="95" s="1"/>
  <c r="AB59" i="95" s="1"/>
  <c r="M58" i="95"/>
  <c r="M60" i="95" s="1"/>
  <c r="Z53" i="95"/>
  <c r="W53" i="95"/>
  <c r="X53" i="95" s="1"/>
  <c r="AB53" i="95" s="1"/>
  <c r="M52" i="95"/>
  <c r="Z51" i="95"/>
  <c r="W51" i="95"/>
  <c r="X51" i="95" s="1"/>
  <c r="AB51" i="95" s="1"/>
  <c r="N51" i="95"/>
  <c r="N47" i="95"/>
  <c r="Z39" i="95"/>
  <c r="W39" i="95"/>
  <c r="X39" i="95" s="1"/>
  <c r="M38" i="95"/>
  <c r="M41" i="95" s="1"/>
  <c r="M34" i="95"/>
  <c r="N34" i="95" s="1"/>
  <c r="W32" i="95"/>
  <c r="X32" i="95" s="1"/>
  <c r="M32" i="95"/>
  <c r="M35" i="95" s="1"/>
  <c r="Z27" i="95"/>
  <c r="W27" i="95"/>
  <c r="X27" i="95" s="1"/>
  <c r="M27" i="95"/>
  <c r="N27" i="95" s="1"/>
  <c r="M21" i="95"/>
  <c r="N21" i="95" s="1"/>
  <c r="W20" i="95"/>
  <c r="X20" i="95" s="1"/>
  <c r="Z20" i="95"/>
  <c r="M20" i="95"/>
  <c r="W91" i="95"/>
  <c r="X91" i="95" s="1"/>
  <c r="AB91" i="95" s="1"/>
  <c r="W90" i="95"/>
  <c r="X90" i="95" s="1"/>
  <c r="AB90" i="95" s="1"/>
  <c r="W19" i="95"/>
  <c r="X19" i="95" s="1"/>
  <c r="W30" i="93"/>
  <c r="X30" i="93" s="1"/>
  <c r="Z30" i="93"/>
  <c r="W28" i="93"/>
  <c r="X28" i="93" s="1"/>
  <c r="Y28" i="93" s="1"/>
  <c r="Y30" i="93"/>
  <c r="W29" i="93"/>
  <c r="X29" i="93" s="1"/>
  <c r="Y29" i="93" s="1"/>
  <c r="N28" i="93"/>
  <c r="W105" i="93"/>
  <c r="X105" i="93" s="1"/>
  <c r="U110" i="93"/>
  <c r="U102" i="93"/>
  <c r="U94" i="93"/>
  <c r="M94" i="93"/>
  <c r="U89" i="93"/>
  <c r="N89" i="93"/>
  <c r="U81" i="93"/>
  <c r="U76" i="93"/>
  <c r="U71" i="93"/>
  <c r="M71" i="93"/>
  <c r="U63" i="93"/>
  <c r="AA63" i="93"/>
  <c r="U55" i="93"/>
  <c r="U49" i="93"/>
  <c r="U43" i="93"/>
  <c r="AA43" i="93"/>
  <c r="U25" i="93"/>
  <c r="M25" i="93"/>
  <c r="U17" i="93"/>
  <c r="N17" i="93"/>
  <c r="W31" i="93"/>
  <c r="X31" i="93" s="1"/>
  <c r="W77" i="93"/>
  <c r="X77" i="93" s="1"/>
  <c r="Z77" i="93"/>
  <c r="W19" i="93"/>
  <c r="X19" i="93" s="1"/>
  <c r="Z19" i="93"/>
  <c r="W32" i="93"/>
  <c r="X32" i="93" s="1"/>
  <c r="W83" i="93"/>
  <c r="X83" i="93" s="1"/>
  <c r="Z83" i="93"/>
  <c r="W36" i="93"/>
  <c r="X36" i="93" s="1"/>
  <c r="Y36" i="93" s="1"/>
  <c r="W98" i="93"/>
  <c r="X98" i="93" s="1"/>
  <c r="Y98" i="93" s="1"/>
  <c r="Z98" i="93"/>
  <c r="W20" i="93"/>
  <c r="X20" i="93" s="1"/>
  <c r="Y20" i="93" s="1"/>
  <c r="W17" i="93"/>
  <c r="X17" i="93" s="1"/>
  <c r="W56" i="93"/>
  <c r="X56" i="93" s="1"/>
  <c r="Y56" i="93" s="1"/>
  <c r="W55" i="93"/>
  <c r="X55" i="93" s="1"/>
  <c r="Z67" i="93"/>
  <c r="W67" i="93"/>
  <c r="X67" i="93" s="1"/>
  <c r="W44" i="93"/>
  <c r="X44" i="93" s="1"/>
  <c r="Z44" i="93"/>
  <c r="W72" i="93"/>
  <c r="X72" i="93" s="1"/>
  <c r="N27" i="93"/>
  <c r="W43" i="93"/>
  <c r="X43" i="93" s="1"/>
  <c r="W85" i="93"/>
  <c r="X85" i="93" s="1"/>
  <c r="Y85" i="93" s="1"/>
  <c r="Z85" i="93"/>
  <c r="M49" i="93"/>
  <c r="W110" i="93"/>
  <c r="X110" i="93" s="1"/>
  <c r="W90" i="93"/>
  <c r="X90" i="93" s="1"/>
  <c r="Y90" i="93" s="1"/>
  <c r="N72" i="93"/>
  <c r="W106" i="93"/>
  <c r="X106" i="93" s="1"/>
  <c r="N103" i="93"/>
  <c r="N98" i="93"/>
  <c r="N97" i="93"/>
  <c r="W71" i="93"/>
  <c r="X71" i="93" s="1"/>
  <c r="W63" i="93"/>
  <c r="X63" i="93" s="1"/>
  <c r="W89" i="93"/>
  <c r="X89" i="93" s="1"/>
  <c r="W84" i="93"/>
  <c r="X84" i="93" s="1"/>
  <c r="Y84" i="93" s="1"/>
  <c r="N33" i="93"/>
  <c r="N39" i="93"/>
  <c r="Z34" i="93"/>
  <c r="W34" i="93"/>
  <c r="X34" i="93" s="1"/>
  <c r="Y34" i="93" s="1"/>
  <c r="W18" i="93"/>
  <c r="X18" i="93" s="1"/>
  <c r="Y18" i="93" s="1"/>
  <c r="Z18" i="93"/>
  <c r="AA110" i="93"/>
  <c r="W103" i="93"/>
  <c r="X103" i="93" s="1"/>
  <c r="Y103" i="93" s="1"/>
  <c r="Z103" i="93"/>
  <c r="AA102" i="93"/>
  <c r="AA92" i="93"/>
  <c r="AA49" i="93"/>
  <c r="W38" i="93"/>
  <c r="X38" i="93" s="1"/>
  <c r="Z38" i="93"/>
  <c r="AA17" i="93"/>
  <c r="W115" i="93"/>
  <c r="X115" i="93" s="1"/>
  <c r="Z115" i="93"/>
  <c r="M115" i="93"/>
  <c r="N115" i="93" s="1"/>
  <c r="M113" i="93"/>
  <c r="M112" i="93"/>
  <c r="N112" i="93" s="1"/>
  <c r="M110" i="93"/>
  <c r="M106" i="93"/>
  <c r="M105" i="93"/>
  <c r="Z102" i="93"/>
  <c r="M102" i="93"/>
  <c r="W96" i="93"/>
  <c r="X96" i="93" s="1"/>
  <c r="Z96" i="93"/>
  <c r="M96" i="93"/>
  <c r="N96" i="93" s="1"/>
  <c r="M95" i="93"/>
  <c r="Z94" i="93"/>
  <c r="Z89" i="93"/>
  <c r="M83" i="93"/>
  <c r="W82" i="93"/>
  <c r="X82" i="93" s="1"/>
  <c r="Z82" i="93"/>
  <c r="M82" i="93"/>
  <c r="N82" i="93" s="1"/>
  <c r="W81" i="93"/>
  <c r="X81" i="93" s="1"/>
  <c r="Z81" i="93"/>
  <c r="M81" i="93"/>
  <c r="M77" i="93"/>
  <c r="Z76" i="93"/>
  <c r="M76" i="93"/>
  <c r="M67" i="93"/>
  <c r="Z66" i="93"/>
  <c r="W66" i="93"/>
  <c r="X66" i="93" s="1"/>
  <c r="M66" i="93"/>
  <c r="N66" i="93" s="1"/>
  <c r="Z65" i="93"/>
  <c r="W65" i="93"/>
  <c r="X65" i="93" s="1"/>
  <c r="M65" i="93"/>
  <c r="N65" i="93" s="1"/>
  <c r="W64" i="93"/>
  <c r="X64" i="93" s="1"/>
  <c r="Z64" i="93"/>
  <c r="M64" i="93"/>
  <c r="N63" i="93"/>
  <c r="M59" i="93"/>
  <c r="Z57" i="93"/>
  <c r="W57" i="93"/>
  <c r="X57" i="93" s="1"/>
  <c r="Y57" i="93" s="1"/>
  <c r="N56" i="93"/>
  <c r="Z55" i="93"/>
  <c r="N55" i="93"/>
  <c r="Z50" i="93"/>
  <c r="W50" i="93"/>
  <c r="X50" i="93" s="1"/>
  <c r="M50" i="93"/>
  <c r="Z45" i="93"/>
  <c r="W45" i="93"/>
  <c r="X45" i="93" s="1"/>
  <c r="M44" i="93"/>
  <c r="M43" i="93"/>
  <c r="M37" i="93"/>
  <c r="N37" i="93" s="1"/>
  <c r="W35" i="93"/>
  <c r="X35" i="93" s="1"/>
  <c r="Z35" i="93"/>
  <c r="M35" i="93"/>
  <c r="Z27" i="93"/>
  <c r="W27" i="93"/>
  <c r="X27" i="93" s="1"/>
  <c r="Y27" i="93" s="1"/>
  <c r="Z33" i="93"/>
  <c r="W33" i="93"/>
  <c r="X33" i="93" s="1"/>
  <c r="Y33" i="93" s="1"/>
  <c r="M32" i="93"/>
  <c r="M31" i="93"/>
  <c r="Z39" i="93"/>
  <c r="W39" i="93"/>
  <c r="X39" i="93" s="1"/>
  <c r="Y39" i="93" s="1"/>
  <c r="M38" i="93"/>
  <c r="N38" i="93" s="1"/>
  <c r="W21" i="93"/>
  <c r="X21" i="93" s="1"/>
  <c r="Z21" i="93"/>
  <c r="M21" i="93"/>
  <c r="N21" i="93" s="1"/>
  <c r="M19" i="93"/>
  <c r="W114" i="93"/>
  <c r="X114" i="93" s="1"/>
  <c r="Y114" i="93" s="1"/>
  <c r="W112" i="93"/>
  <c r="X112" i="93" s="1"/>
  <c r="W111" i="93"/>
  <c r="X111" i="93" s="1"/>
  <c r="W104" i="93"/>
  <c r="X104" i="93" s="1"/>
  <c r="W97" i="93"/>
  <c r="X97" i="93" s="1"/>
  <c r="Y97" i="93" s="1"/>
  <c r="W95" i="93"/>
  <c r="X95" i="93" s="1"/>
  <c r="W91" i="93"/>
  <c r="X91" i="93" s="1"/>
  <c r="W59" i="93"/>
  <c r="X59" i="93" s="1"/>
  <c r="W58" i="93"/>
  <c r="X58" i="93" s="1"/>
  <c r="W51" i="93"/>
  <c r="X51" i="93" s="1"/>
  <c r="Y51" i="93" s="1"/>
  <c r="W37" i="93"/>
  <c r="X37" i="93" s="1"/>
  <c r="W26" i="93"/>
  <c r="X26" i="93" s="1"/>
  <c r="Y26" i="93" s="1"/>
  <c r="L31" i="92"/>
  <c r="W38" i="92"/>
  <c r="X38" i="92" s="1"/>
  <c r="Y38" i="92" s="1"/>
  <c r="W37" i="92"/>
  <c r="X37" i="92" s="1"/>
  <c r="Y37" i="92" s="1"/>
  <c r="W36" i="92"/>
  <c r="X36" i="92" s="1"/>
  <c r="Y36" i="92" s="1"/>
  <c r="N36" i="92"/>
  <c r="W35" i="92"/>
  <c r="X35" i="92" s="1"/>
  <c r="Y35" i="92" s="1"/>
  <c r="Z34" i="92"/>
  <c r="W34" i="92"/>
  <c r="X34" i="92" s="1"/>
  <c r="M34" i="92"/>
  <c r="N34" i="92" s="1"/>
  <c r="W33" i="92"/>
  <c r="X33" i="92" s="1"/>
  <c r="Y33" i="92" s="1"/>
  <c r="W32" i="92"/>
  <c r="X32" i="92" s="1"/>
  <c r="Y32" i="92" s="1"/>
  <c r="N35" i="92"/>
  <c r="T31" i="92"/>
  <c r="U31" i="92" s="1"/>
  <c r="N32" i="92"/>
  <c r="M31" i="92"/>
  <c r="R88" i="92"/>
  <c r="Q88" i="92"/>
  <c r="K88" i="92"/>
  <c r="Y88" i="95" l="1"/>
  <c r="AB88" i="95"/>
  <c r="Z76" i="95"/>
  <c r="W76" i="95"/>
  <c r="X76" i="95" s="1"/>
  <c r="Y65" i="95"/>
  <c r="AB65" i="95"/>
  <c r="U55" i="95"/>
  <c r="W47" i="95"/>
  <c r="X47" i="95" s="1"/>
  <c r="AB47" i="95" s="1"/>
  <c r="Z47" i="95"/>
  <c r="Y45" i="95"/>
  <c r="AB45" i="95"/>
  <c r="M48" i="95"/>
  <c r="M22" i="95"/>
  <c r="U96" i="95"/>
  <c r="W95" i="95"/>
  <c r="X95" i="95" s="1"/>
  <c r="Z95" i="95"/>
  <c r="M100" i="95"/>
  <c r="Y100" i="95" s="1"/>
  <c r="N99" i="95"/>
  <c r="N100" i="95" s="1"/>
  <c r="U60" i="95"/>
  <c r="U84" i="95"/>
  <c r="X84" i="95"/>
  <c r="X60" i="95"/>
  <c r="Z44" i="95"/>
  <c r="U48" i="95"/>
  <c r="W74" i="95"/>
  <c r="X74" i="95" s="1"/>
  <c r="U78" i="95"/>
  <c r="Z32" i="95"/>
  <c r="U35" i="95"/>
  <c r="N25" i="95"/>
  <c r="N29" i="95" s="1"/>
  <c r="M29" i="95"/>
  <c r="Y44" i="95"/>
  <c r="X48" i="95"/>
  <c r="Y48" i="95" s="1"/>
  <c r="U56" i="96"/>
  <c r="U97" i="96"/>
  <c r="X56" i="96"/>
  <c r="Y56" i="96" s="1"/>
  <c r="X97" i="96"/>
  <c r="W60" i="96"/>
  <c r="X60" i="96" s="1"/>
  <c r="Z60" i="96"/>
  <c r="Z49" i="96"/>
  <c r="Z75" i="96"/>
  <c r="W75" i="96"/>
  <c r="X75" i="96" s="1"/>
  <c r="Z59" i="96"/>
  <c r="Z54" i="96"/>
  <c r="N54" i="96"/>
  <c r="N82" i="96"/>
  <c r="Z30" i="96"/>
  <c r="Z17" i="96"/>
  <c r="N36" i="96"/>
  <c r="N42" i="96"/>
  <c r="Y36" i="96"/>
  <c r="Y59" i="96"/>
  <c r="N60" i="96"/>
  <c r="N30" i="96"/>
  <c r="N17" i="96"/>
  <c r="Y95" i="96"/>
  <c r="Y72" i="96"/>
  <c r="N95" i="96"/>
  <c r="Y71" i="96"/>
  <c r="N71" i="96"/>
  <c r="N69" i="96"/>
  <c r="N64" i="96"/>
  <c r="Y38" i="96"/>
  <c r="N48" i="96"/>
  <c r="Y48" i="96"/>
  <c r="N26" i="96"/>
  <c r="AA83" i="96"/>
  <c r="AA85" i="96"/>
  <c r="AA84" i="96"/>
  <c r="AA70" i="96"/>
  <c r="AA77" i="96"/>
  <c r="AA74" i="96"/>
  <c r="AA38" i="96"/>
  <c r="AA37" i="96"/>
  <c r="Y25" i="96"/>
  <c r="AA18" i="96"/>
  <c r="AA19" i="96"/>
  <c r="AA20" i="96"/>
  <c r="AA21" i="96"/>
  <c r="Y69" i="96"/>
  <c r="Y64" i="96"/>
  <c r="Y66" i="96"/>
  <c r="W44" i="96"/>
  <c r="X44" i="96" s="1"/>
  <c r="Z44" i="96"/>
  <c r="Y43" i="96"/>
  <c r="Y42" i="96"/>
  <c r="W32" i="96"/>
  <c r="X32" i="96" s="1"/>
  <c r="Z32" i="96"/>
  <c r="W26" i="96"/>
  <c r="X26" i="96" s="1"/>
  <c r="Z26" i="96"/>
  <c r="Y54" i="96"/>
  <c r="Y82" i="96"/>
  <c r="Y17" i="96"/>
  <c r="Y50" i="96"/>
  <c r="Y31" i="96"/>
  <c r="Y19" i="96"/>
  <c r="Y83" i="96"/>
  <c r="AA86" i="96"/>
  <c r="AA82" i="96"/>
  <c r="AA78" i="96"/>
  <c r="AA69" i="96"/>
  <c r="AA71" i="96"/>
  <c r="AA75" i="96"/>
  <c r="AA76" i="96"/>
  <c r="AA59" i="96"/>
  <c r="AA55" i="96"/>
  <c r="AA54" i="96"/>
  <c r="AA48" i="96"/>
  <c r="AA49" i="96"/>
  <c r="AA50" i="96"/>
  <c r="Y37" i="96"/>
  <c r="Y91" i="96"/>
  <c r="Y90" i="96"/>
  <c r="N90" i="96"/>
  <c r="N83" i="96"/>
  <c r="Y76" i="96"/>
  <c r="N38" i="96"/>
  <c r="Y30" i="96"/>
  <c r="Y49" i="96"/>
  <c r="U101" i="95"/>
  <c r="U22" i="95"/>
  <c r="M55" i="95"/>
  <c r="N53" i="95"/>
  <c r="Y53" i="95"/>
  <c r="X55" i="95"/>
  <c r="Y55" i="95" s="1"/>
  <c r="N91" i="95"/>
  <c r="M92" i="95"/>
  <c r="M101" i="95"/>
  <c r="W87" i="95"/>
  <c r="X87" i="95" s="1"/>
  <c r="AB87" i="95" s="1"/>
  <c r="Z87" i="95"/>
  <c r="N77" i="95"/>
  <c r="W17" i="95"/>
  <c r="X17" i="95" s="1"/>
  <c r="Y95" i="95"/>
  <c r="Z34" i="95"/>
  <c r="W34" i="95"/>
  <c r="X34" i="95" s="1"/>
  <c r="W18" i="95"/>
  <c r="X18" i="95" s="1"/>
  <c r="Z18" i="95"/>
  <c r="W77" i="95"/>
  <c r="X77" i="95" s="1"/>
  <c r="AB77" i="95" s="1"/>
  <c r="Z77" i="95"/>
  <c r="W63" i="95"/>
  <c r="X63" i="95" s="1"/>
  <c r="X66" i="95" s="1"/>
  <c r="Z63" i="95"/>
  <c r="W26" i="95"/>
  <c r="X26" i="95" s="1"/>
  <c r="X29" i="95" s="1"/>
  <c r="Z26" i="95"/>
  <c r="Y18" i="95"/>
  <c r="Y46" i="95"/>
  <c r="W69" i="95"/>
  <c r="X69" i="95" s="1"/>
  <c r="W38" i="95"/>
  <c r="X38" i="95" s="1"/>
  <c r="Z38" i="95"/>
  <c r="Z82" i="95"/>
  <c r="Y82" i="95"/>
  <c r="Z54" i="95"/>
  <c r="Y54" i="95"/>
  <c r="Y96" i="95"/>
  <c r="N95" i="95"/>
  <c r="N96" i="95" s="1"/>
  <c r="Z74" i="95"/>
  <c r="Z69" i="95"/>
  <c r="N17" i="95"/>
  <c r="N46" i="95"/>
  <c r="N48" i="95" s="1"/>
  <c r="Y25" i="95"/>
  <c r="N69" i="95"/>
  <c r="N71" i="95" s="1"/>
  <c r="N38" i="95"/>
  <c r="N41" i="95" s="1"/>
  <c r="Y47" i="95"/>
  <c r="Y21" i="95"/>
  <c r="Y39" i="95"/>
  <c r="N32" i="95"/>
  <c r="N35" i="95" s="1"/>
  <c r="N20" i="95"/>
  <c r="AA78" i="95"/>
  <c r="AA80" i="95"/>
  <c r="AA75" i="95"/>
  <c r="AA74" i="95"/>
  <c r="AA89" i="95"/>
  <c r="AA90" i="95"/>
  <c r="AA91" i="95"/>
  <c r="AA88" i="95"/>
  <c r="AA83" i="95"/>
  <c r="AA76" i="95"/>
  <c r="AA82" i="95"/>
  <c r="AA81" i="95"/>
  <c r="AA79" i="95"/>
  <c r="W75" i="95"/>
  <c r="X75" i="95" s="1"/>
  <c r="AB75" i="95" s="1"/>
  <c r="Z75" i="95"/>
  <c r="AA53" i="95"/>
  <c r="AA54" i="95"/>
  <c r="AA39" i="95"/>
  <c r="AA40" i="95"/>
  <c r="AA20" i="95"/>
  <c r="AA19" i="95"/>
  <c r="AA18" i="95"/>
  <c r="AA21" i="95"/>
  <c r="Y70" i="95"/>
  <c r="Y51" i="95"/>
  <c r="Y32" i="95"/>
  <c r="Y27" i="95"/>
  <c r="Y20" i="95"/>
  <c r="Y91" i="95"/>
  <c r="Y90" i="95"/>
  <c r="AA64" i="95"/>
  <c r="AA63" i="95"/>
  <c r="AA59" i="95"/>
  <c r="AA58" i="95"/>
  <c r="AA46" i="95"/>
  <c r="Y89" i="95"/>
  <c r="N89" i="95"/>
  <c r="Y81" i="95"/>
  <c r="N81" i="95"/>
  <c r="Y80" i="95"/>
  <c r="N80" i="95"/>
  <c r="N84" i="95" s="1"/>
  <c r="N76" i="95"/>
  <c r="N74" i="95"/>
  <c r="Y64" i="95"/>
  <c r="N63" i="95"/>
  <c r="N66" i="95" s="1"/>
  <c r="Y59" i="95"/>
  <c r="N58" i="95"/>
  <c r="N60" i="95" s="1"/>
  <c r="Y58" i="95"/>
  <c r="Y52" i="95"/>
  <c r="N52" i="95"/>
  <c r="Y19" i="95"/>
  <c r="Z71" i="93"/>
  <c r="N71" i="93"/>
  <c r="W94" i="93"/>
  <c r="X94" i="93" s="1"/>
  <c r="W76" i="93"/>
  <c r="X76" i="93" s="1"/>
  <c r="W49" i="93"/>
  <c r="X49" i="93" s="1"/>
  <c r="Z49" i="93"/>
  <c r="Z43" i="93"/>
  <c r="W25" i="93"/>
  <c r="X25" i="93" s="1"/>
  <c r="Z25" i="93"/>
  <c r="Z110" i="93"/>
  <c r="W102" i="93"/>
  <c r="X102" i="93" s="1"/>
  <c r="N94" i="93"/>
  <c r="Z63" i="93"/>
  <c r="N25" i="93"/>
  <c r="Z17" i="93"/>
  <c r="Y94" i="93"/>
  <c r="Y17" i="93"/>
  <c r="Y22" i="93"/>
  <c r="Y55" i="93"/>
  <c r="Y60" i="93"/>
  <c r="N49" i="93"/>
  <c r="Y71" i="93"/>
  <c r="Y73" i="93"/>
  <c r="Y63" i="93"/>
  <c r="Y89" i="93"/>
  <c r="Y92" i="93"/>
  <c r="N110" i="93"/>
  <c r="N64" i="93"/>
  <c r="N43" i="93"/>
  <c r="N35" i="93"/>
  <c r="AA94" i="93"/>
  <c r="AA89" i="93"/>
  <c r="AA77" i="93"/>
  <c r="AA76" i="93"/>
  <c r="Y72" i="93"/>
  <c r="AA58" i="93"/>
  <c r="AA55" i="93"/>
  <c r="Y45" i="93"/>
  <c r="Y111" i="93"/>
  <c r="Y104" i="93"/>
  <c r="Y91" i="93"/>
  <c r="Y50" i="93"/>
  <c r="Y37" i="93"/>
  <c r="AA83" i="93"/>
  <c r="AA81" i="93"/>
  <c r="N81" i="93"/>
  <c r="Y32" i="93"/>
  <c r="N32" i="93"/>
  <c r="Y31" i="93"/>
  <c r="N31" i="93"/>
  <c r="Y58" i="93"/>
  <c r="AA111" i="93"/>
  <c r="AA113" i="93"/>
  <c r="AA114" i="93"/>
  <c r="AA115" i="93"/>
  <c r="AA104" i="93"/>
  <c r="AA105" i="93"/>
  <c r="AA106" i="93"/>
  <c r="AA103" i="93"/>
  <c r="AA90" i="93"/>
  <c r="AA91" i="93"/>
  <c r="AA98" i="93"/>
  <c r="AA95" i="93"/>
  <c r="AA96" i="93"/>
  <c r="AA97" i="93"/>
  <c r="AA93" i="93"/>
  <c r="AA65" i="93"/>
  <c r="AA66" i="93"/>
  <c r="AA67" i="93"/>
  <c r="AA51" i="93"/>
  <c r="AA50" i="93"/>
  <c r="AA18" i="93"/>
  <c r="AA19" i="93"/>
  <c r="AA20" i="93"/>
  <c r="AA21" i="93"/>
  <c r="N102" i="93"/>
  <c r="Y81" i="93"/>
  <c r="Y38" i="93"/>
  <c r="Y115" i="93"/>
  <c r="Y35" i="93"/>
  <c r="Y64" i="93"/>
  <c r="Y21" i="93"/>
  <c r="Y112" i="93"/>
  <c r="Y95" i="93"/>
  <c r="Y59" i="93"/>
  <c r="Y96" i="93"/>
  <c r="Y82" i="93"/>
  <c r="Y66" i="93"/>
  <c r="Y65" i="93"/>
  <c r="AA72" i="93"/>
  <c r="AA71" i="93"/>
  <c r="Y113" i="93"/>
  <c r="N113" i="93"/>
  <c r="Y110" i="93"/>
  <c r="Y106" i="93"/>
  <c r="N106" i="93"/>
  <c r="Y105" i="93"/>
  <c r="N105" i="93"/>
  <c r="N95" i="93"/>
  <c r="Y83" i="93"/>
  <c r="N83" i="93"/>
  <c r="Y77" i="93"/>
  <c r="N77" i="93"/>
  <c r="N76" i="93"/>
  <c r="Y67" i="93"/>
  <c r="N67" i="93"/>
  <c r="N59" i="93"/>
  <c r="N50" i="93"/>
  <c r="Y44" i="93"/>
  <c r="N44" i="93"/>
  <c r="Y43" i="93"/>
  <c r="Y19" i="93"/>
  <c r="N19" i="93"/>
  <c r="L88" i="92"/>
  <c r="Y34" i="92"/>
  <c r="N31" i="92"/>
  <c r="W31" i="92"/>
  <c r="X31" i="92" s="1"/>
  <c r="Y31" i="92" s="1"/>
  <c r="Z31" i="92"/>
  <c r="M88" i="92"/>
  <c r="T88" i="92"/>
  <c r="V88" i="92"/>
  <c r="Y74" i="95" l="1"/>
  <c r="AB74" i="95"/>
  <c r="X96" i="95"/>
  <c r="AB95" i="95"/>
  <c r="AB76" i="95"/>
  <c r="Y76" i="95"/>
  <c r="X41" i="95"/>
  <c r="AB38" i="95"/>
  <c r="AB101" i="95" s="1"/>
  <c r="N55" i="95"/>
  <c r="N22" i="95"/>
  <c r="N78" i="95"/>
  <c r="X78" i="95"/>
  <c r="Y78" i="95" s="1"/>
  <c r="Y87" i="95"/>
  <c r="X92" i="95"/>
  <c r="Y34" i="95"/>
  <c r="X35" i="95"/>
  <c r="Y35" i="95" s="1"/>
  <c r="Y69" i="95"/>
  <c r="X71" i="95"/>
  <c r="Y71" i="95" s="1"/>
  <c r="Y60" i="96"/>
  <c r="Y61" i="96"/>
  <c r="Y75" i="96"/>
  <c r="Y79" i="96"/>
  <c r="N100" i="96"/>
  <c r="Y96" i="96"/>
  <c r="Y44" i="96"/>
  <c r="Y45" i="96"/>
  <c r="Y73" i="96"/>
  <c r="Y22" i="96"/>
  <c r="Y87" i="96"/>
  <c r="Y39" i="96"/>
  <c r="Y33" i="96"/>
  <c r="Y32" i="96"/>
  <c r="Y51" i="96"/>
  <c r="Y26" i="96"/>
  <c r="Y27" i="96"/>
  <c r="X101" i="95"/>
  <c r="Y17" i="95"/>
  <c r="X22" i="95"/>
  <c r="Y22" i="95" s="1"/>
  <c r="N92" i="95"/>
  <c r="N101" i="95"/>
  <c r="Y77" i="95"/>
  <c r="Y29" i="95"/>
  <c r="Y26" i="95"/>
  <c r="Y63" i="95"/>
  <c r="Y41" i="95"/>
  <c r="Y38" i="95"/>
  <c r="Y84" i="95"/>
  <c r="Y92" i="95"/>
  <c r="Y66" i="95"/>
  <c r="Y60" i="95"/>
  <c r="Y75" i="95"/>
  <c r="Y78" i="93"/>
  <c r="Y76" i="93"/>
  <c r="Y52" i="93"/>
  <c r="Y49" i="93"/>
  <c r="Y25" i="93"/>
  <c r="Y40" i="93"/>
  <c r="Y102" i="93"/>
  <c r="Y107" i="93"/>
  <c r="Y99" i="93"/>
  <c r="Y86" i="93"/>
  <c r="Y68" i="93"/>
  <c r="Y116" i="93"/>
  <c r="Y46" i="93"/>
  <c r="N88" i="92"/>
  <c r="U88" i="92"/>
  <c r="D23" i="97"/>
  <c r="C23" i="97" l="1"/>
  <c r="D31" i="97"/>
  <c r="E29" i="97"/>
  <c r="Y101" i="95"/>
  <c r="Z101" i="95" s="1"/>
  <c r="AA101" i="95" s="1"/>
  <c r="Z97" i="96"/>
  <c r="AA97" i="96" s="1"/>
  <c r="Z117" i="93"/>
  <c r="AA117" i="93" s="1"/>
  <c r="Z88" i="92"/>
  <c r="W88" i="92"/>
  <c r="X88" i="92" s="1"/>
  <c r="Y88" i="92"/>
  <c r="R30" i="92"/>
  <c r="Q30" i="92"/>
  <c r="V30" i="92" s="1"/>
  <c r="K30" i="92"/>
  <c r="R29" i="92"/>
  <c r="Q29" i="92"/>
  <c r="L29" i="92"/>
  <c r="F22" i="97" l="1"/>
  <c r="F23" i="97"/>
  <c r="E31" i="97"/>
  <c r="F31" i="97" s="1"/>
  <c r="F29" i="97"/>
  <c r="T30" i="92"/>
  <c r="U30" i="92" s="1"/>
  <c r="L30" i="92"/>
  <c r="T29" i="92"/>
  <c r="V29" i="92"/>
  <c r="M29" i="92"/>
  <c r="M30" i="92" l="1"/>
  <c r="U29" i="92"/>
  <c r="N29" i="92"/>
  <c r="N30" i="92"/>
  <c r="W30" i="92"/>
  <c r="X30" i="92" s="1"/>
  <c r="Y30" i="92" s="1"/>
  <c r="Z30" i="92"/>
  <c r="R79" i="92"/>
  <c r="Q79" i="92"/>
  <c r="K79" i="92"/>
  <c r="R78" i="92"/>
  <c r="Q78" i="92"/>
  <c r="V78" i="92" s="1"/>
  <c r="K78" i="92"/>
  <c r="Z29" i="92" l="1"/>
  <c r="W29" i="92"/>
  <c r="X29" i="92" s="1"/>
  <c r="Y29" i="92"/>
  <c r="T78" i="92"/>
  <c r="U78" i="92" s="1"/>
  <c r="W78" i="92" s="1"/>
  <c r="X78" i="92" s="1"/>
  <c r="L79" i="92"/>
  <c r="M79" i="92" s="1"/>
  <c r="N79" i="92" s="1"/>
  <c r="L78" i="92"/>
  <c r="M78" i="92" s="1"/>
  <c r="N78" i="92" s="1"/>
  <c r="T79" i="92"/>
  <c r="U79" i="92" s="1"/>
  <c r="Z79" i="92" s="1"/>
  <c r="V79" i="92"/>
  <c r="R59" i="92"/>
  <c r="Q59" i="92"/>
  <c r="K59" i="92"/>
  <c r="R116" i="92"/>
  <c r="Q116" i="92"/>
  <c r="V116" i="92" s="1"/>
  <c r="K116" i="92"/>
  <c r="L116" i="92" s="1"/>
  <c r="R64" i="92"/>
  <c r="Q64" i="92"/>
  <c r="V64" i="92" s="1"/>
  <c r="K64" i="92"/>
  <c r="R89" i="92"/>
  <c r="Q89" i="92"/>
  <c r="V89" i="92" s="1"/>
  <c r="K89" i="92"/>
  <c r="R45" i="92"/>
  <c r="Q45" i="92"/>
  <c r="K45" i="92"/>
  <c r="Q50" i="92"/>
  <c r="T89" i="92" l="1"/>
  <c r="U89" i="92" s="1"/>
  <c r="Z89" i="92" s="1"/>
  <c r="Z78" i="92"/>
  <c r="W79" i="92"/>
  <c r="X79" i="92" s="1"/>
  <c r="Y79" i="92" s="1"/>
  <c r="Y78" i="92"/>
  <c r="T116" i="92"/>
  <c r="U116" i="92" s="1"/>
  <c r="Z116" i="92" s="1"/>
  <c r="L59" i="92"/>
  <c r="T59" i="92"/>
  <c r="V59" i="92"/>
  <c r="M116" i="92"/>
  <c r="N116" i="92" s="1"/>
  <c r="T64" i="92"/>
  <c r="L64" i="92"/>
  <c r="L89" i="92"/>
  <c r="M89" i="92" s="1"/>
  <c r="N89" i="92" s="1"/>
  <c r="T45" i="92"/>
  <c r="V45" i="92"/>
  <c r="L45" i="92"/>
  <c r="M45" i="92" l="1"/>
  <c r="U45" i="92"/>
  <c r="Z45" i="92" s="1"/>
  <c r="U64" i="92"/>
  <c r="M64" i="92"/>
  <c r="U59" i="92"/>
  <c r="M59" i="92"/>
  <c r="W116" i="92"/>
  <c r="X116" i="92" s="1"/>
  <c r="Y116" i="92" s="1"/>
  <c r="W89" i="92"/>
  <c r="X89" i="92" s="1"/>
  <c r="Y89" i="92" s="1"/>
  <c r="Z64" i="92" l="1"/>
  <c r="W64" i="92"/>
  <c r="X64" i="92" s="1"/>
  <c r="Y64" i="92" s="1"/>
  <c r="W59" i="92"/>
  <c r="X59" i="92" s="1"/>
  <c r="Y59" i="92" s="1"/>
  <c r="Z59" i="92"/>
  <c r="W45" i="92"/>
  <c r="X45" i="92" s="1"/>
  <c r="Y45" i="92" s="1"/>
  <c r="N45" i="92"/>
  <c r="N64" i="92"/>
  <c r="N59" i="92"/>
  <c r="R86" i="92" l="1"/>
  <c r="Q86" i="92"/>
  <c r="V86" i="92" s="1"/>
  <c r="K86" i="92"/>
  <c r="T86" i="92" l="1"/>
  <c r="L86" i="92"/>
  <c r="M86" i="92" s="1"/>
  <c r="N86" i="92" s="1"/>
  <c r="R87" i="92"/>
  <c r="Q87" i="92"/>
  <c r="K87" i="92"/>
  <c r="R85" i="92"/>
  <c r="Q85" i="92"/>
  <c r="K85" i="92"/>
  <c r="K90" i="92" s="1"/>
  <c r="Q84" i="92"/>
  <c r="Q83" i="92"/>
  <c r="U86" i="92" l="1"/>
  <c r="T90" i="92"/>
  <c r="Y86" i="92"/>
  <c r="L85" i="92"/>
  <c r="L90" i="92" s="1"/>
  <c r="T87" i="92"/>
  <c r="V85" i="92"/>
  <c r="L87" i="92"/>
  <c r="T85" i="92"/>
  <c r="V87" i="92"/>
  <c r="R81" i="92"/>
  <c r="Q81" i="92"/>
  <c r="V81" i="92" s="1"/>
  <c r="K81" i="92"/>
  <c r="R80" i="92"/>
  <c r="Q80" i="92"/>
  <c r="K80" i="92"/>
  <c r="W86" i="92" l="1"/>
  <c r="X86" i="92" s="1"/>
  <c r="Z86" i="92"/>
  <c r="AA85" i="92"/>
  <c r="L80" i="92"/>
  <c r="M80" i="92" s="1"/>
  <c r="U87" i="92"/>
  <c r="W87" i="92" s="1"/>
  <c r="X87" i="92" s="1"/>
  <c r="M85" i="92"/>
  <c r="M90" i="92" s="1"/>
  <c r="U85" i="92"/>
  <c r="U90" i="92" s="1"/>
  <c r="M87" i="92"/>
  <c r="T81" i="92"/>
  <c r="V80" i="92"/>
  <c r="T80" i="92"/>
  <c r="L81" i="92"/>
  <c r="R119" i="92"/>
  <c r="Q119" i="92"/>
  <c r="K119" i="92"/>
  <c r="R118" i="92"/>
  <c r="Q118" i="92"/>
  <c r="V118" i="92" s="1"/>
  <c r="K118" i="92"/>
  <c r="L118" i="92" s="1"/>
  <c r="R117" i="92"/>
  <c r="Q117" i="92"/>
  <c r="K117" i="92"/>
  <c r="R115" i="92"/>
  <c r="Q115" i="92"/>
  <c r="V115" i="92" s="1"/>
  <c r="K115" i="92"/>
  <c r="R114" i="92"/>
  <c r="Q114" i="92"/>
  <c r="K114" i="92"/>
  <c r="Q113" i="92"/>
  <c r="Q112" i="92"/>
  <c r="R110" i="92"/>
  <c r="Q110" i="92"/>
  <c r="V110" i="92" s="1"/>
  <c r="K110" i="92"/>
  <c r="R109" i="92"/>
  <c r="Q109" i="92"/>
  <c r="K109" i="92"/>
  <c r="R108" i="92"/>
  <c r="Q108" i="92"/>
  <c r="K108" i="92"/>
  <c r="R107" i="92"/>
  <c r="K107" i="92"/>
  <c r="L107" i="92" s="1"/>
  <c r="R106" i="92"/>
  <c r="Q106" i="92"/>
  <c r="V106" i="92" s="1"/>
  <c r="K106" i="92"/>
  <c r="Q105" i="92"/>
  <c r="Q104" i="92"/>
  <c r="R102" i="92"/>
  <c r="Q102" i="92"/>
  <c r="V102" i="92" s="1"/>
  <c r="K102" i="92"/>
  <c r="R101" i="92"/>
  <c r="Q101" i="92"/>
  <c r="K101" i="92"/>
  <c r="R100" i="92"/>
  <c r="Q100" i="92"/>
  <c r="K100" i="92"/>
  <c r="L100" i="92" s="1"/>
  <c r="M100" i="92" s="1"/>
  <c r="N100" i="92" s="1"/>
  <c r="R99" i="92"/>
  <c r="Q99" i="92"/>
  <c r="K99" i="92"/>
  <c r="R98" i="92"/>
  <c r="Q98" i="92"/>
  <c r="V98" i="92" s="1"/>
  <c r="K98" i="92"/>
  <c r="Q97" i="92"/>
  <c r="R95" i="92"/>
  <c r="Q95" i="92"/>
  <c r="V95" i="92" s="1"/>
  <c r="K95" i="92"/>
  <c r="R94" i="92"/>
  <c r="Q94" i="92"/>
  <c r="K94" i="92"/>
  <c r="R93" i="92"/>
  <c r="Q93" i="92"/>
  <c r="K93" i="92"/>
  <c r="Q92" i="92"/>
  <c r="Q91" i="92"/>
  <c r="R77" i="92"/>
  <c r="Q77" i="92"/>
  <c r="K77" i="92"/>
  <c r="L77" i="92" s="1"/>
  <c r="R76" i="92"/>
  <c r="Q76" i="92"/>
  <c r="V76" i="92" s="1"/>
  <c r="K76" i="92"/>
  <c r="R57" i="92"/>
  <c r="Q57" i="92"/>
  <c r="V57" i="92" s="1"/>
  <c r="K57" i="92"/>
  <c r="R56" i="92"/>
  <c r="Q56" i="92"/>
  <c r="K56" i="92"/>
  <c r="Q40" i="92"/>
  <c r="K82" i="92" l="1"/>
  <c r="U81" i="92"/>
  <c r="U80" i="92"/>
  <c r="Z80" i="92" s="1"/>
  <c r="N80" i="92"/>
  <c r="L102" i="92"/>
  <c r="L114" i="92"/>
  <c r="N85" i="92"/>
  <c r="N90" i="92" s="1"/>
  <c r="L115" i="92"/>
  <c r="L108" i="92"/>
  <c r="M108" i="92" s="1"/>
  <c r="N87" i="92"/>
  <c r="Z87" i="92"/>
  <c r="L57" i="92"/>
  <c r="M57" i="92" s="1"/>
  <c r="L117" i="92"/>
  <c r="L110" i="92"/>
  <c r="W85" i="92"/>
  <c r="X85" i="92" s="1"/>
  <c r="X90" i="92" s="1"/>
  <c r="L76" i="92"/>
  <c r="L106" i="92"/>
  <c r="L95" i="92"/>
  <c r="M95" i="92" s="1"/>
  <c r="N95" i="92" s="1"/>
  <c r="L93" i="92"/>
  <c r="AA87" i="92"/>
  <c r="Z81" i="92"/>
  <c r="Z85" i="92"/>
  <c r="Y87" i="92"/>
  <c r="M81" i="92"/>
  <c r="T115" i="92"/>
  <c r="T76" i="92"/>
  <c r="T114" i="92"/>
  <c r="T118" i="92"/>
  <c r="U118" i="92" s="1"/>
  <c r="W118" i="92" s="1"/>
  <c r="X118" i="92" s="1"/>
  <c r="V114" i="92"/>
  <c r="V117" i="92"/>
  <c r="T117" i="92"/>
  <c r="U117" i="92" s="1"/>
  <c r="T119" i="92"/>
  <c r="U119" i="92" s="1"/>
  <c r="Z119" i="92" s="1"/>
  <c r="V119" i="92"/>
  <c r="L119" i="92"/>
  <c r="M118" i="92"/>
  <c r="N118" i="92" s="1"/>
  <c r="T95" i="92"/>
  <c r="U95" i="92" s="1"/>
  <c r="T102" i="92"/>
  <c r="T110" i="92"/>
  <c r="U110" i="92" s="1"/>
  <c r="L109" i="92"/>
  <c r="M109" i="92" s="1"/>
  <c r="N109" i="92" s="1"/>
  <c r="T109" i="92"/>
  <c r="V109" i="92"/>
  <c r="V108" i="92"/>
  <c r="T108" i="92"/>
  <c r="V107" i="92"/>
  <c r="T107" i="92"/>
  <c r="T106" i="92"/>
  <c r="M107" i="92"/>
  <c r="N107" i="92" s="1"/>
  <c r="V101" i="92"/>
  <c r="T101" i="92"/>
  <c r="V100" i="92"/>
  <c r="T100" i="92"/>
  <c r="U100" i="92" s="1"/>
  <c r="T99" i="92"/>
  <c r="U99" i="92" s="1"/>
  <c r="Z99" i="92" s="1"/>
  <c r="V99" i="92"/>
  <c r="T98" i="92"/>
  <c r="L101" i="92"/>
  <c r="M101" i="92" s="1"/>
  <c r="N101" i="92" s="1"/>
  <c r="L99" i="92"/>
  <c r="M99" i="92" s="1"/>
  <c r="N99" i="92" s="1"/>
  <c r="L98" i="92"/>
  <c r="T93" i="92"/>
  <c r="V93" i="92"/>
  <c r="L94" i="92"/>
  <c r="M94" i="92" s="1"/>
  <c r="N94" i="92" s="1"/>
  <c r="V94" i="92"/>
  <c r="T94" i="92"/>
  <c r="U94" i="92" s="1"/>
  <c r="V77" i="92"/>
  <c r="T77" i="92"/>
  <c r="M77" i="92"/>
  <c r="T57" i="92"/>
  <c r="U57" i="92" s="1"/>
  <c r="W57" i="92" s="1"/>
  <c r="X57" i="92" s="1"/>
  <c r="T56" i="92"/>
  <c r="V56" i="92"/>
  <c r="L56" i="92"/>
  <c r="Q75" i="92"/>
  <c r="Q74" i="92"/>
  <c r="R72" i="92"/>
  <c r="Q72" i="92"/>
  <c r="V72" i="92" s="1"/>
  <c r="K72" i="92"/>
  <c r="R71" i="92"/>
  <c r="Q71" i="92"/>
  <c r="V71" i="92" s="1"/>
  <c r="K71" i="92"/>
  <c r="Q70" i="92"/>
  <c r="Q69" i="92"/>
  <c r="R67" i="92"/>
  <c r="Q67" i="92"/>
  <c r="V67" i="92" s="1"/>
  <c r="K67" i="92"/>
  <c r="R66" i="92"/>
  <c r="Q66" i="92"/>
  <c r="K66" i="92"/>
  <c r="R65" i="92"/>
  <c r="Q65" i="92"/>
  <c r="K65" i="92"/>
  <c r="R63" i="92"/>
  <c r="Q63" i="92"/>
  <c r="K63" i="92"/>
  <c r="Q62" i="92"/>
  <c r="Q61" i="92"/>
  <c r="R58" i="92"/>
  <c r="Q58" i="92"/>
  <c r="K58" i="92"/>
  <c r="R55" i="92"/>
  <c r="Q55" i="92"/>
  <c r="V55" i="92" s="1"/>
  <c r="K55" i="92"/>
  <c r="Q54" i="92"/>
  <c r="Q53" i="92"/>
  <c r="R51" i="92"/>
  <c r="Q51" i="92"/>
  <c r="V51" i="92" s="1"/>
  <c r="K51" i="92"/>
  <c r="R50" i="92"/>
  <c r="K50" i="92"/>
  <c r="R49" i="92"/>
  <c r="Q49" i="92"/>
  <c r="K49" i="92"/>
  <c r="Q48" i="92"/>
  <c r="Q47" i="92"/>
  <c r="R44" i="92"/>
  <c r="Q44" i="92"/>
  <c r="V44" i="92" s="1"/>
  <c r="K44" i="92"/>
  <c r="K46" i="92" s="1"/>
  <c r="V43" i="92"/>
  <c r="R43" i="92"/>
  <c r="T43" i="92" s="1"/>
  <c r="K43" i="92"/>
  <c r="R42" i="92"/>
  <c r="Q42" i="92"/>
  <c r="K42" i="92"/>
  <c r="Q41" i="92"/>
  <c r="R28" i="92"/>
  <c r="Q28" i="92"/>
  <c r="K28" i="92"/>
  <c r="V27" i="92"/>
  <c r="R27" i="92"/>
  <c r="T27" i="92" s="1"/>
  <c r="K27" i="92"/>
  <c r="V26" i="92"/>
  <c r="R26" i="92"/>
  <c r="T26" i="92" s="1"/>
  <c r="K26" i="92"/>
  <c r="K121" i="92" s="1"/>
  <c r="R25" i="92"/>
  <c r="Q25" i="92"/>
  <c r="K25" i="92"/>
  <c r="Q24" i="92"/>
  <c r="Q23" i="92"/>
  <c r="R21" i="92"/>
  <c r="Q21" i="92"/>
  <c r="K21" i="92"/>
  <c r="L21" i="92" s="1"/>
  <c r="R20" i="92"/>
  <c r="Q20" i="92"/>
  <c r="K20" i="92"/>
  <c r="R19" i="92"/>
  <c r="Q19" i="92"/>
  <c r="V19" i="92" s="1"/>
  <c r="K19" i="92"/>
  <c r="R18" i="92"/>
  <c r="Q18" i="92"/>
  <c r="K18" i="92"/>
  <c r="L18" i="92" s="1"/>
  <c r="R17" i="92"/>
  <c r="Q17" i="92"/>
  <c r="K17" i="92"/>
  <c r="Q16" i="92"/>
  <c r="Q15" i="92"/>
  <c r="Z12" i="92"/>
  <c r="K39" i="92" l="1"/>
  <c r="L82" i="92"/>
  <c r="T82" i="92"/>
  <c r="AA76" i="92" s="1"/>
  <c r="T121" i="92"/>
  <c r="W80" i="92"/>
  <c r="X80" i="92" s="1"/>
  <c r="Y80" i="92" s="1"/>
  <c r="W81" i="92"/>
  <c r="X81" i="92" s="1"/>
  <c r="U102" i="92"/>
  <c r="Z102" i="92" s="1"/>
  <c r="M102" i="92"/>
  <c r="M115" i="92"/>
  <c r="M114" i="92"/>
  <c r="U114" i="92"/>
  <c r="M106" i="92"/>
  <c r="U115" i="92"/>
  <c r="N108" i="92"/>
  <c r="Y85" i="92"/>
  <c r="N57" i="92"/>
  <c r="U56" i="92"/>
  <c r="Z56" i="92" s="1"/>
  <c r="M117" i="92"/>
  <c r="M110" i="92"/>
  <c r="N110" i="92" s="1"/>
  <c r="W110" i="92"/>
  <c r="X110" i="92" s="1"/>
  <c r="AA108" i="92"/>
  <c r="U76" i="92"/>
  <c r="M76" i="92"/>
  <c r="L66" i="92"/>
  <c r="M66" i="92" s="1"/>
  <c r="N66" i="92" s="1"/>
  <c r="U101" i="92"/>
  <c r="W101" i="92" s="1"/>
  <c r="X101" i="92" s="1"/>
  <c r="W95" i="92"/>
  <c r="X95" i="92" s="1"/>
  <c r="Y95" i="92" s="1"/>
  <c r="M93" i="92"/>
  <c r="Y90" i="92"/>
  <c r="N81" i="92"/>
  <c r="M98" i="92"/>
  <c r="M56" i="92"/>
  <c r="U108" i="92"/>
  <c r="U109" i="92"/>
  <c r="Z109" i="92" s="1"/>
  <c r="U107" i="92"/>
  <c r="W107" i="92" s="1"/>
  <c r="X107" i="92" s="1"/>
  <c r="Y107" i="92" s="1"/>
  <c r="U106" i="92"/>
  <c r="Z117" i="92"/>
  <c r="W117" i="92"/>
  <c r="X117" i="92" s="1"/>
  <c r="Y118" i="92"/>
  <c r="Z118" i="92"/>
  <c r="W119" i="92"/>
  <c r="X119" i="92" s="1"/>
  <c r="M119" i="92"/>
  <c r="N119" i="92" s="1"/>
  <c r="U93" i="92"/>
  <c r="N77" i="92"/>
  <c r="U77" i="92"/>
  <c r="Z77" i="92" s="1"/>
  <c r="Z110" i="92"/>
  <c r="U98" i="92"/>
  <c r="W100" i="92"/>
  <c r="X100" i="92" s="1"/>
  <c r="Y100" i="92" s="1"/>
  <c r="Z100" i="92"/>
  <c r="W99" i="92"/>
  <c r="X99" i="92" s="1"/>
  <c r="Y99" i="92" s="1"/>
  <c r="Z95" i="92"/>
  <c r="Z94" i="92"/>
  <c r="W94" i="92"/>
  <c r="X94" i="92" s="1"/>
  <c r="Y94" i="92" s="1"/>
  <c r="Z57" i="92"/>
  <c r="L26" i="92"/>
  <c r="Y57" i="92"/>
  <c r="T20" i="92"/>
  <c r="U20" i="92" s="1"/>
  <c r="L25" i="92"/>
  <c r="L42" i="92"/>
  <c r="U43" i="92"/>
  <c r="T67" i="92"/>
  <c r="U67" i="92" s="1"/>
  <c r="T66" i="92"/>
  <c r="T28" i="92"/>
  <c r="T39" i="92" s="1"/>
  <c r="T65" i="92"/>
  <c r="U65" i="92" s="1"/>
  <c r="Z65" i="92" s="1"/>
  <c r="T72" i="92"/>
  <c r="U72" i="92" s="1"/>
  <c r="Z72" i="92" s="1"/>
  <c r="L50" i="92"/>
  <c r="V66" i="92"/>
  <c r="L65" i="92"/>
  <c r="M65" i="92" s="1"/>
  <c r="L72" i="92"/>
  <c r="T19" i="92"/>
  <c r="U19" i="92" s="1"/>
  <c r="T50" i="92"/>
  <c r="T42" i="92"/>
  <c r="L28" i="92"/>
  <c r="U27" i="92"/>
  <c r="Z27" i="92" s="1"/>
  <c r="L27" i="92"/>
  <c r="U26" i="92"/>
  <c r="M18" i="92"/>
  <c r="N18" i="92" s="1"/>
  <c r="L17" i="92"/>
  <c r="V21" i="92"/>
  <c r="V18" i="92"/>
  <c r="M21" i="92"/>
  <c r="N21" i="92" s="1"/>
  <c r="L49" i="92"/>
  <c r="L58" i="92"/>
  <c r="M58" i="92" s="1"/>
  <c r="L63" i="92"/>
  <c r="T55" i="92"/>
  <c r="T71" i="92"/>
  <c r="V20" i="92"/>
  <c r="T21" i="92"/>
  <c r="T25" i="92"/>
  <c r="L43" i="92"/>
  <c r="L44" i="92"/>
  <c r="L46" i="92" s="1"/>
  <c r="L51" i="92"/>
  <c r="M51" i="92" s="1"/>
  <c r="T49" i="92"/>
  <c r="T58" i="92"/>
  <c r="T63" i="92"/>
  <c r="V49" i="92"/>
  <c r="V58" i="92"/>
  <c r="V63" i="92"/>
  <c r="V25" i="92"/>
  <c r="L19" i="92"/>
  <c r="V28" i="92"/>
  <c r="L55" i="92"/>
  <c r="L67" i="92"/>
  <c r="L71" i="92"/>
  <c r="L20" i="92"/>
  <c r="V42" i="92"/>
  <c r="T44" i="92"/>
  <c r="T46" i="92" s="1"/>
  <c r="V50" i="92"/>
  <c r="T51" i="92"/>
  <c r="U51" i="92" s="1"/>
  <c r="Z51" i="92" s="1"/>
  <c r="V65" i="92"/>
  <c r="V17" i="92"/>
  <c r="T18" i="92"/>
  <c r="T17" i="92"/>
  <c r="L121" i="92" l="1"/>
  <c r="L39" i="92"/>
  <c r="U82" i="92"/>
  <c r="M82" i="92"/>
  <c r="AA42" i="92"/>
  <c r="AA25" i="92"/>
  <c r="AA21" i="92"/>
  <c r="AA51" i="92"/>
  <c r="AA63" i="92"/>
  <c r="N115" i="92"/>
  <c r="Y81" i="92"/>
  <c r="U44" i="92"/>
  <c r="M44" i="92"/>
  <c r="M19" i="92"/>
  <c r="N19" i="92" s="1"/>
  <c r="M20" i="92"/>
  <c r="N20" i="92" s="1"/>
  <c r="Z20" i="92"/>
  <c r="N102" i="92"/>
  <c r="W102" i="92"/>
  <c r="X102" i="92" s="1"/>
  <c r="W115" i="92"/>
  <c r="X115" i="92" s="1"/>
  <c r="N114" i="92"/>
  <c r="N106" i="92"/>
  <c r="W114" i="92"/>
  <c r="X114" i="92" s="1"/>
  <c r="Y114" i="92" s="1"/>
  <c r="Z114" i="92"/>
  <c r="W56" i="92"/>
  <c r="X56" i="92" s="1"/>
  <c r="Y56" i="92" s="1"/>
  <c r="Y110" i="92"/>
  <c r="Z115" i="92"/>
  <c r="W108" i="92"/>
  <c r="X108" i="92" s="1"/>
  <c r="Z76" i="92"/>
  <c r="Y117" i="92"/>
  <c r="N117" i="92"/>
  <c r="W76" i="92"/>
  <c r="X76" i="92" s="1"/>
  <c r="N76" i="92"/>
  <c r="Z108" i="92"/>
  <c r="U66" i="92"/>
  <c r="W66" i="92" s="1"/>
  <c r="X66" i="92" s="1"/>
  <c r="Y101" i="92"/>
  <c r="Z101" i="92"/>
  <c r="N93" i="92"/>
  <c r="W93" i="92"/>
  <c r="X93" i="92" s="1"/>
  <c r="Z93" i="92"/>
  <c r="W106" i="92"/>
  <c r="X106" i="92" s="1"/>
  <c r="N98" i="92"/>
  <c r="M25" i="92"/>
  <c r="W109" i="92"/>
  <c r="X109" i="92" s="1"/>
  <c r="Y109" i="92" s="1"/>
  <c r="AA119" i="92"/>
  <c r="AA118" i="92"/>
  <c r="AA117" i="92"/>
  <c r="AA115" i="92"/>
  <c r="AA114" i="92"/>
  <c r="N56" i="92"/>
  <c r="U50" i="92"/>
  <c r="W50" i="92" s="1"/>
  <c r="X50" i="92" s="1"/>
  <c r="Z107" i="92"/>
  <c r="AA110" i="92"/>
  <c r="AA107" i="92"/>
  <c r="AA77" i="92"/>
  <c r="AA106" i="92"/>
  <c r="Z106" i="92"/>
  <c r="AA109" i="92"/>
  <c r="Y119" i="92"/>
  <c r="W98" i="92"/>
  <c r="X98" i="92" s="1"/>
  <c r="Z98" i="92"/>
  <c r="W77" i="92"/>
  <c r="X77" i="92" s="1"/>
  <c r="Y77" i="92" s="1"/>
  <c r="AA102" i="92"/>
  <c r="AA101" i="92"/>
  <c r="AA100" i="92"/>
  <c r="AA97" i="92"/>
  <c r="AA95" i="92"/>
  <c r="AA93" i="92"/>
  <c r="AA99" i="92"/>
  <c r="AA96" i="92"/>
  <c r="AA94" i="92"/>
  <c r="AA98" i="92"/>
  <c r="M26" i="92"/>
  <c r="N26" i="92" s="1"/>
  <c r="M43" i="92"/>
  <c r="W43" i="92"/>
  <c r="X43" i="92" s="1"/>
  <c r="Z26" i="92"/>
  <c r="U21" i="92"/>
  <c r="W21" i="92" s="1"/>
  <c r="X21" i="92" s="1"/>
  <c r="U28" i="92"/>
  <c r="U39" i="92" s="1"/>
  <c r="U42" i="92"/>
  <c r="U49" i="92"/>
  <c r="M17" i="92"/>
  <c r="M42" i="92"/>
  <c r="M71" i="92"/>
  <c r="U17" i="92"/>
  <c r="U25" i="92"/>
  <c r="M63" i="92"/>
  <c r="M49" i="92"/>
  <c r="W20" i="92"/>
  <c r="X20" i="92" s="1"/>
  <c r="Z67" i="92"/>
  <c r="W67" i="92"/>
  <c r="X67" i="92" s="1"/>
  <c r="Z43" i="92"/>
  <c r="W72" i="92"/>
  <c r="X72" i="92" s="1"/>
  <c r="M28" i="92"/>
  <c r="M27" i="92"/>
  <c r="N27" i="92" s="1"/>
  <c r="N51" i="92"/>
  <c r="W65" i="92"/>
  <c r="X65" i="92" s="1"/>
  <c r="Y65" i="92" s="1"/>
  <c r="N65" i="92"/>
  <c r="M55" i="92"/>
  <c r="M50" i="92"/>
  <c r="M72" i="92"/>
  <c r="N72" i="92" s="1"/>
  <c r="W27" i="92"/>
  <c r="X27" i="92" s="1"/>
  <c r="W26" i="92"/>
  <c r="X26" i="92" s="1"/>
  <c r="U55" i="92"/>
  <c r="W19" i="92"/>
  <c r="X19" i="92" s="1"/>
  <c r="Z19" i="92"/>
  <c r="N58" i="92"/>
  <c r="U71" i="92"/>
  <c r="W51" i="92"/>
  <c r="X51" i="92" s="1"/>
  <c r="Y51" i="92" s="1"/>
  <c r="M67" i="92"/>
  <c r="U63" i="92"/>
  <c r="U58" i="92"/>
  <c r="U18" i="92"/>
  <c r="Z18" i="92" s="1"/>
  <c r="W44" i="92" l="1"/>
  <c r="X44" i="92" s="1"/>
  <c r="X46" i="92" s="1"/>
  <c r="U121" i="92"/>
  <c r="U46" i="92"/>
  <c r="M121" i="92"/>
  <c r="M46" i="92"/>
  <c r="M39" i="92"/>
  <c r="X82" i="92"/>
  <c r="Y82" i="92" s="1"/>
  <c r="N82" i="92"/>
  <c r="Y115" i="92"/>
  <c r="Z44" i="92"/>
  <c r="Y111" i="92"/>
  <c r="Y120" i="92"/>
  <c r="Y103" i="92"/>
  <c r="Z28" i="92"/>
  <c r="Y44" i="92"/>
  <c r="N44" i="92"/>
  <c r="Y19" i="92"/>
  <c r="Y20" i="92"/>
  <c r="Y102" i="92"/>
  <c r="Y108" i="92"/>
  <c r="Y76" i="92"/>
  <c r="Y96" i="92"/>
  <c r="Y93" i="92"/>
  <c r="Y66" i="92"/>
  <c r="Z66" i="92"/>
  <c r="Y106" i="92"/>
  <c r="Z58" i="92"/>
  <c r="N25" i="92"/>
  <c r="Y98" i="92"/>
  <c r="Z50" i="92"/>
  <c r="N50" i="92"/>
  <c r="N43" i="92"/>
  <c r="Y43" i="92"/>
  <c r="Y26" i="92"/>
  <c r="Y21" i="92"/>
  <c r="Z21" i="92"/>
  <c r="W28" i="92"/>
  <c r="X28" i="92" s="1"/>
  <c r="N63" i="92"/>
  <c r="W17" i="92"/>
  <c r="X17" i="92" s="1"/>
  <c r="N49" i="92"/>
  <c r="N17" i="92"/>
  <c r="N28" i="92"/>
  <c r="N39" i="92" s="1"/>
  <c r="Z42" i="92"/>
  <c r="W49" i="92"/>
  <c r="X49" i="92" s="1"/>
  <c r="W42" i="92"/>
  <c r="X42" i="92" s="1"/>
  <c r="Z49" i="92"/>
  <c r="N42" i="92"/>
  <c r="W63" i="92"/>
  <c r="X63" i="92" s="1"/>
  <c r="Z25" i="92"/>
  <c r="Z17" i="92"/>
  <c r="W25" i="92"/>
  <c r="X25" i="92" s="1"/>
  <c r="Y67" i="92"/>
  <c r="N71" i="92"/>
  <c r="AA17" i="92"/>
  <c r="Y27" i="92"/>
  <c r="AA49" i="92"/>
  <c r="Y72" i="92"/>
  <c r="W18" i="92"/>
  <c r="X18" i="92" s="1"/>
  <c r="Y50" i="92"/>
  <c r="N55" i="92"/>
  <c r="N67" i="92"/>
  <c r="AA19" i="92"/>
  <c r="AA20" i="92"/>
  <c r="Z55" i="92"/>
  <c r="W55" i="92"/>
  <c r="X55" i="92" s="1"/>
  <c r="AA55" i="92"/>
  <c r="Z63" i="92"/>
  <c r="AA18" i="92"/>
  <c r="W58" i="92"/>
  <c r="X58" i="92" s="1"/>
  <c r="AA72" i="92"/>
  <c r="W71" i="92"/>
  <c r="X71" i="92" s="1"/>
  <c r="Z71" i="92"/>
  <c r="AA58" i="92"/>
  <c r="AA65" i="92"/>
  <c r="AA67" i="92"/>
  <c r="AA66" i="92"/>
  <c r="AA71" i="92"/>
  <c r="AA50" i="92"/>
  <c r="N121" i="92" l="1"/>
  <c r="N46" i="92"/>
  <c r="X121" i="92"/>
  <c r="X39" i="92"/>
  <c r="Y39" i="92" s="1"/>
  <c r="Y22" i="92"/>
  <c r="Y60" i="92"/>
  <c r="Y68" i="92"/>
  <c r="Y63" i="92"/>
  <c r="Y18" i="92"/>
  <c r="Y28" i="92"/>
  <c r="Y121" i="92" s="1"/>
  <c r="Y58" i="92"/>
  <c r="Y49" i="92"/>
  <c r="Y46" i="92"/>
  <c r="Y17" i="92"/>
  <c r="Y42" i="92"/>
  <c r="Y25" i="92"/>
  <c r="Y71" i="92"/>
  <c r="Y73" i="92"/>
  <c r="Y52" i="92"/>
  <c r="Y55" i="92"/>
  <c r="Z121" i="92" l="1"/>
  <c r="AA121" i="92" s="1"/>
</calcChain>
</file>

<file path=xl/sharedStrings.xml><?xml version="1.0" encoding="utf-8"?>
<sst xmlns="http://schemas.openxmlformats.org/spreadsheetml/2006/main" count="2911" uniqueCount="608">
  <si>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</si>
  <si>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</si>
  <si>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</si>
  <si>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</si>
  <si>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</si>
  <si>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</si>
  <si>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</si>
  <si>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</si>
  <si>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</si>
  <si>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</si>
  <si>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</si>
  <si>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</si>
  <si>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</si>
  <si>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</si>
  <si>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</si>
  <si>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</si>
  <si>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</si>
  <si>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</si>
  <si>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</si>
  <si>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</si>
  <si>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</si>
  <si>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</si>
  <si>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</si>
  <si>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</si>
  <si>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</si>
  <si>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</si>
  <si>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</si>
  <si>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</si>
  <si>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</si>
  <si>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</si>
  <si>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</si>
  <si>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</si>
  <si>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</si>
  <si>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</si>
  <si>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</si>
  <si>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</si>
  <si>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</si>
  <si>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</si>
  <si>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</si>
  <si>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</si>
  <si>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</si>
  <si>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</si>
  <si>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</si>
  <si>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</si>
  <si>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</si>
  <si>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</si>
  <si>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</si>
  <si>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</si>
  <si>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</si>
  <si>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</si>
  <si>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</si>
  <si>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</si>
  <si>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</si>
  <si>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</si>
  <si>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</si>
  <si>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</si>
  <si>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</si>
  <si>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</si>
  <si>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</si>
  <si>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</si>
  <si>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</si>
  <si>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</si>
  <si>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</si>
  <si>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</si>
  <si>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</si>
  <si>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</si>
  <si>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</si>
  <si>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</si>
  <si>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</si>
  <si>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</si>
  <si>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</si>
  <si>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</si>
  <si>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</si>
  <si>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</si>
  <si>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</si>
  <si>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</si>
  <si>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</si>
  <si>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</si>
  <si>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</si>
  <si>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</si>
  <si>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</si>
  <si>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</si>
  <si>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</si>
  <si>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</si>
  <si>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</si>
  <si>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</si>
  <si>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</si>
  <si>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</si>
  <si>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</si>
  <si>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</si>
  <si>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</si>
  <si>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</si>
  <si>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</si>
  <si>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</si>
  <si>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</si>
  <si>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</si>
  <si>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</si>
  <si>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</si>
  <si>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</si>
  <si>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</si>
  <si>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</si>
  <si>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</si>
  <si>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</si>
  <si>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</si>
  <si>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</si>
  <si>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</si>
  <si>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</si>
  <si>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</si>
  <si>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</si>
  <si>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</si>
  <si>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</si>
  <si>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</si>
  <si>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</si>
  <si>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</si>
  <si>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</si>
  <si>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</si>
  <si>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1.1.3</t>
  </si>
  <si>
    <t>1.1.4</t>
  </si>
  <si>
    <t>FERNANDA PINHEIRO</t>
  </si>
  <si>
    <t>Criação</t>
  </si>
  <si>
    <t>INTERNO</t>
  </si>
  <si>
    <t>FAT.OGGI</t>
  </si>
  <si>
    <t>SUBTOTAL SUBGRUPO</t>
  </si>
  <si>
    <t xml:space="preserve">Subtotal </t>
  </si>
  <si>
    <t>2.1</t>
  </si>
  <si>
    <t>INTERNOS</t>
  </si>
  <si>
    <t>Recepcionista</t>
  </si>
  <si>
    <t>2.1.1</t>
  </si>
  <si>
    <t>2.1.2</t>
  </si>
  <si>
    <t>OPERACIONAL</t>
  </si>
  <si>
    <t>FAT.CLIENTE</t>
  </si>
  <si>
    <t>Subtotal TERCEIROS</t>
  </si>
  <si>
    <t>3.1</t>
  </si>
  <si>
    <t>3.1.1</t>
  </si>
  <si>
    <t>3.1.2</t>
  </si>
  <si>
    <t>4.1</t>
  </si>
  <si>
    <t>4.1.1</t>
  </si>
  <si>
    <t>5.1</t>
  </si>
  <si>
    <t>Custos operacionais</t>
  </si>
  <si>
    <t>SUBTOTAL PLANILHA</t>
  </si>
  <si>
    <t>Marg. Lucro</t>
  </si>
  <si>
    <t>Lucro</t>
  </si>
  <si>
    <t>5.1.1</t>
  </si>
  <si>
    <t>5.1.2</t>
  </si>
  <si>
    <t>5.1.3</t>
  </si>
  <si>
    <t>1.1.5</t>
  </si>
  <si>
    <t>Planejamento operacional e logistico.</t>
  </si>
  <si>
    <t>Resp. pela gestão executiva operacional da ação. Pré Produção, implementação do projeto e pós produção.</t>
  </si>
  <si>
    <t>Atendimento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</si>
  <si>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</si>
  <si>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Produtor financeiro</t>
  </si>
  <si>
    <t xml:space="preserve">Produtor responsável por fechamento de contratos, pagamentos, emissão de notas e recibos </t>
  </si>
  <si>
    <t>Gestão de projetos</t>
  </si>
  <si>
    <t>2.1.3</t>
  </si>
  <si>
    <t>2.1.4</t>
  </si>
  <si>
    <t>LOCAÇÃO DE ESPAÇO E A&amp;B</t>
  </si>
  <si>
    <t>SÃO PAULO</t>
  </si>
  <si>
    <t>4.1.2</t>
  </si>
  <si>
    <t>4.1.3</t>
  </si>
  <si>
    <t>3.1.3</t>
  </si>
  <si>
    <t>CREDENCIAMENTO</t>
  </si>
  <si>
    <t xml:space="preserve">RSVP Ativo </t>
  </si>
  <si>
    <t xml:space="preserve">RSVP via WhatsApp e Telefone </t>
  </si>
  <si>
    <t xml:space="preserve">Credenciais </t>
  </si>
  <si>
    <t xml:space="preserve">Cordões </t>
  </si>
  <si>
    <t>3.1.4</t>
  </si>
  <si>
    <t>CENOGRAFIA</t>
  </si>
  <si>
    <t xml:space="preserve">Banner roll up </t>
  </si>
  <si>
    <t xml:space="preserve">Sonorização e iluminação </t>
  </si>
  <si>
    <t>STAFF</t>
  </si>
  <si>
    <t xml:space="preserve">Produtor local para visita técnica, montagem e desmontagem </t>
  </si>
  <si>
    <t xml:space="preserve">Produtor de produtos </t>
  </si>
  <si>
    <t>Fotográfo</t>
  </si>
  <si>
    <t xml:space="preserve">Fotográfo profissional para cobertura do evento </t>
  </si>
  <si>
    <t>LOGISTICA</t>
  </si>
  <si>
    <t>Aereos (Belo Horizonte)</t>
  </si>
  <si>
    <t xml:space="preserve">Hospedagem BH </t>
  </si>
  <si>
    <t xml:space="preserve">Seguro viagem </t>
  </si>
  <si>
    <t xml:space="preserve">Seguro viagem nacional  (SP - BH) </t>
  </si>
  <si>
    <t>Logística SP</t>
  </si>
  <si>
    <t>Logística de brindes, mesas e equipamentos</t>
  </si>
  <si>
    <t>Logística terrestre</t>
  </si>
  <si>
    <t xml:space="preserve">Logística terrestre para envio de brindes e equipamentos </t>
  </si>
  <si>
    <t xml:space="preserve">Alimentação e deslocamento equipe </t>
  </si>
  <si>
    <t xml:space="preserve">Alimentação equipe e deslocamento </t>
  </si>
  <si>
    <t>5.1.4</t>
  </si>
  <si>
    <t>5.1.5</t>
  </si>
  <si>
    <t>6.1</t>
  </si>
  <si>
    <t>6.1.1</t>
  </si>
  <si>
    <t>6.1.2</t>
  </si>
  <si>
    <t>6.1.3</t>
  </si>
  <si>
    <t>6.1.4</t>
  </si>
  <si>
    <t>BRINDES</t>
  </si>
  <si>
    <t>Embalagem brindes</t>
  </si>
  <si>
    <t xml:space="preserve">Sacola Kraft preta </t>
  </si>
  <si>
    <t>TAG</t>
  </si>
  <si>
    <t>TAG plastificada 5x5cm</t>
  </si>
  <si>
    <t xml:space="preserve">Manuseio </t>
  </si>
  <si>
    <t xml:space="preserve">Manuseio de brindes </t>
  </si>
  <si>
    <t>Subtotal BRINDES</t>
  </si>
  <si>
    <t>Subtotal INTERNOS</t>
  </si>
  <si>
    <t>Subtotal CENOGRAFIA</t>
  </si>
  <si>
    <t>Subtotal CREDENCIAMENTO</t>
  </si>
  <si>
    <t>Subtotal STAFF</t>
  </si>
  <si>
    <t>Subtotal LOGISTICA</t>
  </si>
  <si>
    <t>7.1</t>
  </si>
  <si>
    <t>7.1.1</t>
  </si>
  <si>
    <t>7.1.2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</si>
  <si>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</si>
  <si>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</si>
  <si>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</si>
  <si>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</si>
  <si>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</si>
  <si>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</si>
  <si>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</si>
  <si>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</si>
  <si>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</si>
  <si>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>Custos referente a amostras, telefonia, motoboy</t>
  </si>
  <si>
    <t xml:space="preserve">Bar Bubu - Estádio Pacaembu </t>
  </si>
  <si>
    <t xml:space="preserve">Locação espaço Bar Bubu - Estádio Pacaembu </t>
  </si>
  <si>
    <t xml:space="preserve">Happy Hour </t>
  </si>
  <si>
    <t xml:space="preserve">finguer foods + bebidas alcoolicas e não alcoolicas </t>
  </si>
  <si>
    <t xml:space="preserve">Sky Hall </t>
  </si>
  <si>
    <t xml:space="preserve">Locação Skay Hall </t>
  </si>
  <si>
    <t xml:space="preserve">Produtor </t>
  </si>
  <si>
    <t>8.1</t>
  </si>
  <si>
    <t>8.1.1</t>
  </si>
  <si>
    <t>8.1.2</t>
  </si>
  <si>
    <t>ATRAÇÕES</t>
  </si>
  <si>
    <t xml:space="preserve">Resenha </t>
  </si>
  <si>
    <t xml:space="preserve">Tour Museu do Futebol </t>
  </si>
  <si>
    <t xml:space="preserve">DJ </t>
  </si>
  <si>
    <t xml:space="preserve">Tour exclusivo para os convidados após o horário de funcionamento do museu </t>
  </si>
  <si>
    <t xml:space="preserve">Mini bola Copa </t>
  </si>
  <si>
    <t xml:space="preserve">Camisa Brasil </t>
  </si>
  <si>
    <t xml:space="preserve">Backdrop </t>
  </si>
  <si>
    <t xml:space="preserve">Palco </t>
  </si>
  <si>
    <t xml:space="preserve">Back drop para resenha </t>
  </si>
  <si>
    <t xml:space="preserve">Palco para resenha </t>
  </si>
  <si>
    <t xml:space="preserve">Camise seleção Brasileira Nike </t>
  </si>
  <si>
    <t xml:space="preserve">Mini bola Copa do Mundo FIFA 26 </t>
  </si>
  <si>
    <t>Produtor responsável por toda condução dos job</t>
  </si>
  <si>
    <t xml:space="preserve">Subtotal São Paulo </t>
  </si>
  <si>
    <t>Produtor executivo SP</t>
  </si>
  <si>
    <t xml:space="preserve">Produtor local BH </t>
  </si>
  <si>
    <t>Terraço Niê</t>
  </si>
  <si>
    <t>Banner roll up 2x0,80m.</t>
  </si>
  <si>
    <t xml:space="preserve">BELO HORIZONTE </t>
  </si>
  <si>
    <t>Locação de espaço Niê</t>
  </si>
  <si>
    <t>Subtotal LOCAÇÃO DE ESPAÇO E A&amp;B</t>
  </si>
  <si>
    <t>9.1</t>
  </si>
  <si>
    <t>9.1.1</t>
  </si>
  <si>
    <t>9.1.2</t>
  </si>
  <si>
    <t xml:space="preserve">STAFF BELO HORIZONTE </t>
  </si>
  <si>
    <t xml:space="preserve">LOGÍSTICA BELO HORIZONTE </t>
  </si>
  <si>
    <t>Áereos SP- BH 
(Estimado de acordo com a data da proposta - poderá ter aumento na hora da emissão)</t>
  </si>
  <si>
    <t>Hospedagem produtores BH 
(Estimado de acordo com a data da proposta)</t>
  </si>
  <si>
    <t xml:space="preserve">Subtotal LOGÍSTICA BELO HORIZONTE </t>
  </si>
  <si>
    <t xml:space="preserve">STAFF SÃO PAULO </t>
  </si>
  <si>
    <t>12.1</t>
  </si>
  <si>
    <t>BRNDES</t>
  </si>
  <si>
    <t>12.1.1</t>
  </si>
  <si>
    <t>12.1.2</t>
  </si>
  <si>
    <t>12.1.3</t>
  </si>
  <si>
    <t>12.1.4</t>
  </si>
  <si>
    <t>12.1.5</t>
  </si>
  <si>
    <t>8.1.3</t>
  </si>
  <si>
    <t>8.1.4</t>
  </si>
  <si>
    <t xml:space="preserve">Altissimo </t>
  </si>
  <si>
    <t xml:space="preserve">Locação do espaço Altissimo </t>
  </si>
  <si>
    <t>Totem LED</t>
  </si>
  <si>
    <t xml:space="preserve">Totem LED </t>
  </si>
  <si>
    <t>10.1</t>
  </si>
  <si>
    <t>10.1.1</t>
  </si>
  <si>
    <t>10.1.2</t>
  </si>
  <si>
    <t>10.1.3</t>
  </si>
  <si>
    <t>11.0.1</t>
  </si>
  <si>
    <t>11.0.2</t>
  </si>
  <si>
    <t>11.0.3</t>
  </si>
  <si>
    <t>11.0.4</t>
  </si>
  <si>
    <t>11.0.5</t>
  </si>
  <si>
    <t>13.1</t>
  </si>
  <si>
    <t>13.1.1</t>
  </si>
  <si>
    <t>13.1.2</t>
  </si>
  <si>
    <t>13.1.3</t>
  </si>
  <si>
    <t>13.1.4</t>
  </si>
  <si>
    <t>13.1.5</t>
  </si>
  <si>
    <t>13.1.6</t>
  </si>
  <si>
    <t xml:space="preserve">ATRAÇÃO </t>
  </si>
  <si>
    <t xml:space="preserve">Subtotal ATRAÇÃO </t>
  </si>
  <si>
    <t xml:space="preserve">SÃO PAULO e BELO HORIZONTE </t>
  </si>
  <si>
    <t xml:space="preserve">CENOGRAFIA BELO HORIZONTE </t>
  </si>
  <si>
    <t>ATRAÇÃO BELO HORIZONTE</t>
  </si>
  <si>
    <t xml:space="preserve">PATRICK / GIOVANNI </t>
  </si>
  <si>
    <t xml:space="preserve">Finguer foods + bebidas alcoolicas e não alcoolicas </t>
  </si>
  <si>
    <t>Sonorização básica + iluminação cenica básica</t>
  </si>
  <si>
    <r>
      <t>Produtor de produtos responsável pela montagem e desmontagem de equipamentos (2 diárias) d</t>
    </r>
    <r>
      <rPr>
        <sz val="12"/>
        <color rgb="FFC00000"/>
        <rFont val="Trebuchet MS"/>
        <family val="2"/>
      </rPr>
      <t xml:space="preserve">e acordo com a complexidade dos equipamentos </t>
    </r>
  </si>
  <si>
    <r>
      <t>Produtor de produtos responsável pela montagem e desmontagem de equipamentos d</t>
    </r>
    <r>
      <rPr>
        <sz val="12"/>
        <color rgb="FFC00000"/>
        <rFont val="Trebuchet MS"/>
        <family val="2"/>
      </rPr>
      <t xml:space="preserve">e acordo com a complexidade dos equipamentos </t>
    </r>
  </si>
  <si>
    <t>9.1.3</t>
  </si>
  <si>
    <t xml:space="preserve">Pebolim </t>
  </si>
  <si>
    <t>9.1.4</t>
  </si>
  <si>
    <t xml:space="preserve">Locação pebolim </t>
  </si>
  <si>
    <t>6.1.5</t>
  </si>
  <si>
    <t xml:space="preserve">Uiforme recepcionista </t>
  </si>
  <si>
    <t>Personalização Camisa</t>
  </si>
  <si>
    <t xml:space="preserve">Personalização nome Camisa </t>
  </si>
  <si>
    <t xml:space="preserve">Material para Happy Hour </t>
  </si>
  <si>
    <t xml:space="preserve">LE_224_Arrow SP E BH </t>
  </si>
  <si>
    <t xml:space="preserve">Arrow SP E BH </t>
  </si>
  <si>
    <t xml:space="preserve">A DEFINIR </t>
  </si>
  <si>
    <t>LE_224_Arrow SP E BH</t>
  </si>
  <si>
    <t>8.1.5</t>
  </si>
  <si>
    <t>8.1.6</t>
  </si>
  <si>
    <t xml:space="preserve">Mineirão BH </t>
  </si>
  <si>
    <t xml:space="preserve">finguer foods + bebidas não alcoolicas + cerveja </t>
  </si>
  <si>
    <t xml:space="preserve">TOTAL LE_224_Arrow SP E BH </t>
  </si>
  <si>
    <t>2.1.5</t>
  </si>
  <si>
    <t>2.1.6</t>
  </si>
  <si>
    <t>Camarote A4 Allianz</t>
  </si>
  <si>
    <t>Planejamento</t>
  </si>
  <si>
    <t>Desdobramento do KV anterior (Privet go) Desconto concedido</t>
  </si>
  <si>
    <t>Crachás impressos (Opcional)</t>
  </si>
  <si>
    <t>Cordões para crachás  (Opcional)</t>
  </si>
  <si>
    <t xml:space="preserve">Mexedor de drinks, bolachas e bandeiras </t>
  </si>
  <si>
    <t>Profissional contratada por 6 horas para recepção dos covidados</t>
  </si>
  <si>
    <t>Uniforme recepcionista (responsabilidade cliente)</t>
  </si>
  <si>
    <t>Profissional contratada por 6 horas para recepção dos convidados</t>
  </si>
  <si>
    <t>Locação Camarote A4 Allianz  (data disponível: 19/03)</t>
  </si>
  <si>
    <t>Locação de espaço - Camarote 201 (datas disponíveis 17 e 18 de março)</t>
  </si>
  <si>
    <t>Dj (Opcional)</t>
  </si>
  <si>
    <t xml:space="preserve">Vinhos </t>
  </si>
  <si>
    <t>Pacote de vinhos (Opcional)</t>
  </si>
  <si>
    <t>Resenha com ex jogadores: Vampeta, Amaral, Sérgio e o locutor Mauro Betting (de acordo com disponibilidade)</t>
  </si>
  <si>
    <t>Ricardinho (ex Cruzeiro)</t>
  </si>
  <si>
    <t>Patrick (ex atlético MG)</t>
  </si>
  <si>
    <t>Maicon (ex Cruzeiro)</t>
  </si>
  <si>
    <t>9.1.5</t>
  </si>
  <si>
    <t>Somália (ex alético MG)</t>
  </si>
  <si>
    <t>2.1.7</t>
  </si>
  <si>
    <t>locação de mesa de pebolim (opcional)</t>
  </si>
  <si>
    <t>2.1.8</t>
  </si>
  <si>
    <t>2.1.9</t>
  </si>
  <si>
    <t>2.1.10</t>
  </si>
  <si>
    <t>2.1.11</t>
  </si>
  <si>
    <t>2.1.12</t>
  </si>
  <si>
    <t>2.1.13</t>
  </si>
  <si>
    <t>2.1.14</t>
  </si>
  <si>
    <t xml:space="preserve">Urus </t>
  </si>
  <si>
    <t xml:space="preserve">Locação espaço Urus </t>
  </si>
  <si>
    <t xml:space="preserve">Menu alimentos </t>
  </si>
  <si>
    <t xml:space="preserve">Menu bebidas cerveja e vinhos </t>
  </si>
  <si>
    <t>Raça</t>
  </si>
  <si>
    <t xml:space="preserve">Locação do espaço varand Raça Morumbi </t>
  </si>
  <si>
    <t xml:space="preserve">Menu alimentos e bebidas alccolicas e não alcoolicas </t>
  </si>
  <si>
    <t xml:space="preserve">Miró </t>
  </si>
  <si>
    <t xml:space="preserve">Locação espaço Miró </t>
  </si>
  <si>
    <t>Mexedor de drinks e bolachas</t>
  </si>
  <si>
    <t xml:space="preserve">Brazza </t>
  </si>
  <si>
    <t>Locação espaço Brazza</t>
  </si>
  <si>
    <t>2.1.15</t>
  </si>
  <si>
    <t xml:space="preserve">Bebidas alcoolicas </t>
  </si>
  <si>
    <t xml:space="preserve">Drinks autorias + cervejas </t>
  </si>
  <si>
    <t xml:space="preserve">Menu na apresentação </t>
  </si>
  <si>
    <t>10.1.4</t>
  </si>
  <si>
    <t>locação de mesa de pebolim</t>
  </si>
  <si>
    <t xml:space="preserve">Vallet </t>
  </si>
  <si>
    <t>TOTAL LE_224_Arrow SP E BH</t>
  </si>
  <si>
    <t xml:space="preserve">Atração BH </t>
  </si>
  <si>
    <t>Backdrop  BH</t>
  </si>
  <si>
    <t>Totem LED BH</t>
  </si>
  <si>
    <t>Sonorização e iluminação BH</t>
  </si>
  <si>
    <t>Recepcionista  BH</t>
  </si>
  <si>
    <t>Fotográfo  BH</t>
  </si>
  <si>
    <t>Pebolim BH</t>
  </si>
  <si>
    <t>Vallet BH</t>
  </si>
  <si>
    <t xml:space="preserve">Estacionamento BH  </t>
  </si>
  <si>
    <t xml:space="preserve">TOTEM LED </t>
  </si>
  <si>
    <t xml:space="preserve">Compra totem LED </t>
  </si>
  <si>
    <t xml:space="preserve">Subtotal TOTEM LED </t>
  </si>
  <si>
    <t>05/03/2026</t>
  </si>
  <si>
    <t xml:space="preserve">LE_224_Arrow SP E BH  Arrow SP E BH </t>
  </si>
  <si>
    <t>LE_224_ARROW_ SP E BH.xlsm</t>
  </si>
  <si>
    <t xml:space="preserve">CENTAURO </t>
  </si>
  <si>
    <t>R$ 199,99</t>
  </si>
  <si>
    <t xml:space="preserve">_x000D_
CENTAURO </t>
  </si>
  <si>
    <t xml:space="preserve">_x000D_
</t>
  </si>
  <si>
    <t>PETERSON</t>
  </si>
  <si>
    <t>09/03/2026</t>
  </si>
  <si>
    <t>51.239.329/0001-40</t>
  </si>
  <si>
    <t>MECA EVENTOS LTDA</t>
  </si>
  <si>
    <t>(11) 3141-1918</t>
  </si>
  <si>
    <t>R$ 17.850,00</t>
  </si>
  <si>
    <t>_x000D_
MECA EVENTOS LTDA</t>
  </si>
  <si>
    <t>_x000D_
51.239.329/0001-40</t>
  </si>
  <si>
    <t>R$ 39.600,00</t>
  </si>
  <si>
    <t>PATRICK</t>
  </si>
  <si>
    <t xml:space="preserve">Dj </t>
  </si>
  <si>
    <t>19/03/2026</t>
  </si>
  <si>
    <t>31.158.166/0001-64</t>
  </si>
  <si>
    <t>MWLED PRODUCOES, LOCACOES, COMERCIO, IMPORTACAO E EXPORTACAO DE EQUIPAMENTOS AUDIOVISUAIS LTDA</t>
  </si>
  <si>
    <t>(11) 3851-4431</t>
  </si>
  <si>
    <t>R$ 24.500,00</t>
  </si>
  <si>
    <t>_x000D_
MWLED PRODUCOES, LOCACOES, COMERCIO, IMPORTACAO E EXPORTACAO DE EQUIPAMENTOS AUDIOVISUAIS LTDA</t>
  </si>
  <si>
    <t>_x000D_
31.158.166/0001-64</t>
  </si>
  <si>
    <t xml:space="preserve">PETERSON </t>
  </si>
  <si>
    <t>20/03/2026</t>
  </si>
  <si>
    <t>62.868.420/0001-41</t>
  </si>
  <si>
    <t>B. S. TOZZINI CENOGRAFIA E LOCACAO</t>
  </si>
  <si>
    <t>(11) 2028-2966</t>
  </si>
  <si>
    <t>R$ 7.000,00</t>
  </si>
  <si>
    <t>_x000D_
B. S. TOZZINI CENOGRAFIA E LOCACAO</t>
  </si>
  <si>
    <t>_x000D_
62.868.420/0001-41</t>
  </si>
  <si>
    <t>47.941.465/0001-00</t>
  </si>
  <si>
    <t>BADGESET COMERCIO E IMPORTACAO DE ARTIGOS PARA IDENTIFICACAO LTDA</t>
  </si>
  <si>
    <t>(11) 2914-1406</t>
  </si>
  <si>
    <t>R$ 524,30</t>
  </si>
  <si>
    <t>_x000D_
BADGESET COMERCIO E IMPORTACAO DE ARTIGOS PARA IDENTIFICACAO LTDA</t>
  </si>
  <si>
    <t>_x000D_
47.941.465/0001-00</t>
  </si>
  <si>
    <t xml:space="preserve">peterson </t>
  </si>
  <si>
    <t>08.750.285/0001-90</t>
  </si>
  <si>
    <t>SK COPIADORA E IMPRESSAO DIGITAL LTDA</t>
  </si>
  <si>
    <t>(11) 2905-7107 / (11) 3255-5572</t>
  </si>
  <si>
    <t>R$ 385,00</t>
  </si>
  <si>
    <t>25/03/2026</t>
  </si>
  <si>
    <t xml:space="preserve">AVANCE BRINDES COORPORATIVOS </t>
  </si>
  <si>
    <t>R$ 2.169,00</t>
  </si>
  <si>
    <t xml:space="preserve">_x000D_
AVANCE BRINDES COORPORATIVOS </t>
  </si>
  <si>
    <t>_x000D_
SK COPIADORA E IMPRESSAO DIGITAL LTDA_x000D_
SK COPIADORA E IMPRESSAO DIGITAL LTDA</t>
  </si>
  <si>
    <t>_x000D_
08.750.285/0001-90_x000D_
08.750.285/0001-90</t>
  </si>
  <si>
    <t>14.956.683/0001-60</t>
  </si>
  <si>
    <t>M.C. GAMES DIVERSOES LTDA</t>
  </si>
  <si>
    <t>(11) 3904-8900</t>
  </si>
  <si>
    <t>R$ 500,00</t>
  </si>
  <si>
    <t>_x000D_
M.C. GAMES DIVERSOES LTDA</t>
  </si>
  <si>
    <t>_x000D_
14.956.683/0001-60</t>
  </si>
  <si>
    <t xml:space="preserve">PETEROSN </t>
  </si>
  <si>
    <t>42.623.731/0001-33</t>
  </si>
  <si>
    <t>GSH OPERACOES DE RESTAURANTES LTDA</t>
  </si>
  <si>
    <t>(11) 9300-9912</t>
  </si>
  <si>
    <t>R$ 24.634,00</t>
  </si>
  <si>
    <t>_x000D_
GSH OPERACOES DE RESTAURANTES LTDA</t>
  </si>
  <si>
    <t>_x000D_
42.623.731/0001-33</t>
  </si>
  <si>
    <t>27/03/2026</t>
  </si>
  <si>
    <t>39.738.016/0001-31</t>
  </si>
  <si>
    <t>VICTOR PALANCA DOS SANTOS</t>
  </si>
  <si>
    <t>(11) 7034-8903</t>
  </si>
  <si>
    <t>R$ 4.500,00</t>
  </si>
  <si>
    <t>_x000D_
VICTOR PALANCA DOS SANTOS</t>
  </si>
  <si>
    <t>_x000D_
39.738.016/0001-31</t>
  </si>
  <si>
    <t>53.546.889/0001-73</t>
  </si>
  <si>
    <t>TERRACO NIE LTDA</t>
  </si>
  <si>
    <t>(31) 9755-1100</t>
  </si>
  <si>
    <t>R$ 19.769,12</t>
  </si>
  <si>
    <t>_x000D_
TERRACO NIE LTDA</t>
  </si>
  <si>
    <t>_x000D_
53.546.889/0001-73</t>
  </si>
  <si>
    <t>57.831.748/0001-53</t>
  </si>
  <si>
    <t>MATEUS COSTA DE ALMEIDA</t>
  </si>
  <si>
    <t>(31) 9737-0439</t>
  </si>
  <si>
    <t>R$ 750,00</t>
  </si>
  <si>
    <t>_x000D_
MATEUS COSTA DE ALMEIDA</t>
  </si>
  <si>
    <t>_x000D_
57.831.748/0001-53</t>
  </si>
  <si>
    <t xml:space="preserve">sakura - passagem aera </t>
  </si>
  <si>
    <t>R$ 7,89</t>
  </si>
  <si>
    <t xml:space="preserve">_x000D_
sakura - passagem aera </t>
  </si>
  <si>
    <t>01/04/2026</t>
  </si>
  <si>
    <t>52.204.582/0001-21</t>
  </si>
  <si>
    <t>RAPHAEL ANDRADE FIGUEIREDO</t>
  </si>
  <si>
    <t>(31) 8523-7618</t>
  </si>
  <si>
    <t>R$ 7.100,00</t>
  </si>
  <si>
    <t>( X ) Depósito</t>
  </si>
  <si>
    <t>_x000D_
RAPHAEL ANDRADE FIGUEIREDO</t>
  </si>
  <si>
    <t>_x000D_
52.204.582/0001-21</t>
  </si>
  <si>
    <t>362.257.668-55</t>
  </si>
  <si>
    <t xml:space="preserve">GIOVANNI FERREIRA </t>
  </si>
  <si>
    <t>R$ 1.000,00</t>
  </si>
  <si>
    <t>14.1</t>
  </si>
  <si>
    <t>14.1.1</t>
  </si>
  <si>
    <t>Camise seleção penta CBF</t>
  </si>
  <si>
    <t>SUBTOTAL GRUPO</t>
  </si>
  <si>
    <t>301.222.808-06</t>
  </si>
  <si>
    <t>MARCELO BAYEUX DA SILVA</t>
  </si>
  <si>
    <t>R$ 315,00</t>
  </si>
  <si>
    <t>_x000D_
GIOVANNI FERREIRA _x000D_
MARCELO BAYEUX DA SILVA</t>
  </si>
  <si>
    <t>_x000D_
362.257.668-55_x000D_
301.222.808-06</t>
  </si>
  <si>
    <t>R$ 453,60</t>
  </si>
  <si>
    <t>_x000D_
MARCELO BAYEUX DA SILVA</t>
  </si>
  <si>
    <t>_x000D_
301.222.808-06</t>
  </si>
  <si>
    <t xml:space="preserve">MARCELO BAYEUX DA SILVA </t>
  </si>
  <si>
    <t>R$ 475,79</t>
  </si>
  <si>
    <t xml:space="preserve">_x000D_
MARCELO BAYEUX DA SILVA </t>
  </si>
  <si>
    <t>18.928.940/0001-00</t>
  </si>
  <si>
    <t>HELBERT DINIZ CURVELANO</t>
  </si>
  <si>
    <t>(31) 3428-5100</t>
  </si>
  <si>
    <t>R$ 1.500,00</t>
  </si>
  <si>
    <t>_x000D_
HELBERT DINIZ CURVELANO</t>
  </si>
  <si>
    <t>_x000D_
18.928.940/0001-00</t>
  </si>
  <si>
    <t xml:space="preserve">Produtor responsável por toda condução dos job </t>
  </si>
  <si>
    <t>06/04/2026</t>
  </si>
  <si>
    <t>334.928.938-05</t>
  </si>
  <si>
    <t xml:space="preserve">RENATA BUZZONI </t>
  </si>
  <si>
    <t>R$ 450,00</t>
  </si>
  <si>
    <t xml:space="preserve">_x000D_
RENATA BUZZONI </t>
  </si>
  <si>
    <t>_x000D_
334.928.938-05</t>
  </si>
  <si>
    <t xml:space="preserve">PATRICK </t>
  </si>
  <si>
    <t>48.492.064/0001-83</t>
  </si>
  <si>
    <t>KAMYLLE SANTOS CALDEIRA 13409993665</t>
  </si>
  <si>
    <t>(38) 9200-4933</t>
  </si>
  <si>
    <t>46.718.218/0001-87</t>
  </si>
  <si>
    <t>LIVIA MARIA OLIVEIRA DOMINGUES</t>
  </si>
  <si>
    <t>(11) 4730-8917</t>
  </si>
  <si>
    <t>_x000D_
KAMYLLE SANTOS CALDEIRA 13409993665_x000D_
LIVIA MARIA OLIVEIRA DOMINGUES</t>
  </si>
  <si>
    <t>_x000D_
48.492.064/0001-83_x000D_
46.718.218/0001-87</t>
  </si>
  <si>
    <t>288.380.708-65</t>
  </si>
  <si>
    <t xml:space="preserve">JAQUELINE BRUN </t>
  </si>
  <si>
    <t>R$ 600,00</t>
  </si>
  <si>
    <t xml:space="preserve">_x000D_
JAQUELINE BRUN </t>
  </si>
  <si>
    <t>_x000D_
288.380.708-65</t>
  </si>
  <si>
    <t>R$ 1.800,00</t>
  </si>
  <si>
    <t>07/04/2026</t>
  </si>
  <si>
    <t>146.787.408-64</t>
  </si>
  <si>
    <t>gilson Pereira dos Santos</t>
  </si>
  <si>
    <t>R$ 800,00</t>
  </si>
  <si>
    <t>_x000D_
gilson Pereira dos Santos</t>
  </si>
  <si>
    <t>_x000D_
146.787.408-64</t>
  </si>
  <si>
    <t>( X ) Pessoa Jurídica</t>
  </si>
  <si>
    <t>63.241.907/0001-62</t>
  </si>
  <si>
    <t>ANDRE DE SENA ARAUJO CAMILO LTDA</t>
  </si>
  <si>
    <t>(41) 9788-0145</t>
  </si>
  <si>
    <t>_x000D_
ANDRE DE SENA ARAUJO CAMILO LTDA</t>
  </si>
  <si>
    <t>_x000D_
63.241.907/0001-62</t>
  </si>
  <si>
    <t>OGGI</t>
  </si>
  <si>
    <t>OK</t>
  </si>
  <si>
    <t>OLE</t>
  </si>
  <si>
    <t>16/04/2026</t>
  </si>
  <si>
    <t>60.537.263/0866-13</t>
  </si>
  <si>
    <t>ALLPARK EMPREENDIMENTOS, PARTICIPACOES E SERVICOS S.A.</t>
  </si>
  <si>
    <t>(11) 2161-8000</t>
  </si>
  <si>
    <t>R$ 1.710,00</t>
  </si>
  <si>
    <t>_x000D_
ALLPARK EMPREENDIMENTOS, PARTICIPACOES E SERVICOS S.A.</t>
  </si>
  <si>
    <t>_x000D_
60.537.263/0866-13</t>
  </si>
  <si>
    <t>09.637.022/0001-31</t>
  </si>
  <si>
    <t>NINE O CLOCK LTDA</t>
  </si>
  <si>
    <t>(11) 7641-7931</t>
  </si>
  <si>
    <t>R$ 4.000,00</t>
  </si>
  <si>
    <t>_x000D_
NINE O CLOCK LTDA</t>
  </si>
  <si>
    <t>_x000D_
09.637.022/0001-31</t>
  </si>
  <si>
    <t xml:space="preserve">Locação espaço Brazza, Alimentação e bebidas </t>
  </si>
  <si>
    <t>Locação de espaço Niê, alimentos e bebidas</t>
  </si>
  <si>
    <t xml:space="preserve">Cenografia do espaço </t>
  </si>
  <si>
    <t xml:space="preserve">Cenografia </t>
  </si>
  <si>
    <t>14.1.2</t>
  </si>
  <si>
    <t>Embalagem Brinde</t>
  </si>
  <si>
    <t>Embalagem para brinde</t>
  </si>
  <si>
    <t>29.833.284/0001-89</t>
  </si>
  <si>
    <t>DA ORIKASSA TRANSPORTES E LOGISTICA</t>
  </si>
  <si>
    <t>9262</t>
  </si>
  <si>
    <t>99764-7</t>
  </si>
  <si>
    <t>(11) 2154-6898</t>
  </si>
  <si>
    <t>22/04/26</t>
  </si>
  <si>
    <t>R$ 1.464,50</t>
  </si>
  <si>
    <t>_x000D_
DA ORIKASSA TRANSPORTES E LOGISTICA</t>
  </si>
  <si>
    <t>_x000D_
29.833.284/0001-89</t>
  </si>
  <si>
    <t xml:space="preserve">GIOVANNI </t>
  </si>
  <si>
    <t>07.559.587/0001-12</t>
  </si>
  <si>
    <t>OGGI COMUNICACAO, EVENTOS E PROMOCOES SOCIEDADE UNIPESSOAL LTDA</t>
  </si>
  <si>
    <t>ITAU</t>
  </si>
  <si>
    <t>(11) 2605-6345</t>
  </si>
  <si>
    <t xml:space="preserve">VALOR REFERENTE A LOGISTICA SP </t>
  </si>
  <si>
    <t>_x000D_
OGGI COMUNICACAO, EVENTOS E PROMOCOES SOCIEDADE UNIPESSOAL LTDA</t>
  </si>
  <si>
    <t>_x000D_
07.559.587/0001-12</t>
  </si>
  <si>
    <t>BRAZZA</t>
  </si>
  <si>
    <t xml:space="preserve">TAXA GILSON </t>
  </si>
  <si>
    <t>NOTA FISCAL - 2848</t>
  </si>
  <si>
    <t>NOTA DE DÉBITO - 251</t>
  </si>
  <si>
    <t>NOTAS EMITIDAS</t>
  </si>
  <si>
    <t>SP - BH</t>
  </si>
  <si>
    <t>LUCRO</t>
  </si>
  <si>
    <t xml:space="preserve">CUSTO </t>
  </si>
  <si>
    <t>VENDA</t>
  </si>
  <si>
    <t>STUDIO ROCA</t>
  </si>
  <si>
    <t>VÍDEO</t>
  </si>
  <si>
    <t>GILSON PEREIRA</t>
  </si>
  <si>
    <t>GSH OPERAÇÕES</t>
  </si>
  <si>
    <t>ALLPARKK</t>
  </si>
  <si>
    <t>MECA EVENTOS</t>
  </si>
  <si>
    <t>MC GAMES</t>
  </si>
  <si>
    <t>NINE O CLOCK</t>
  </si>
  <si>
    <t>SK COPIADORA</t>
  </si>
  <si>
    <t>BADGESET</t>
  </si>
  <si>
    <t>TOZZINI</t>
  </si>
  <si>
    <t>VICTOR PALANCA</t>
  </si>
  <si>
    <t>AVANCE BRINDES</t>
  </si>
  <si>
    <t>KAMILLE SANTOS - LIVIA MARIA</t>
  </si>
  <si>
    <t>JAQUELINE BRUN</t>
  </si>
  <si>
    <t>ANDRE DE SENA</t>
  </si>
  <si>
    <t xml:space="preserve">CENTAURO - GIOVANNI - MARCELO - FERNANDA - PATRICK </t>
  </si>
  <si>
    <t>TERRAÇO NINE</t>
  </si>
  <si>
    <t>GIOVANNI - MARCELO</t>
  </si>
  <si>
    <t>RAPHAEL ANDRADE</t>
  </si>
  <si>
    <t>RENATA BUZZONI</t>
  </si>
  <si>
    <t>MARCELO BAYEUX</t>
  </si>
  <si>
    <t>HELBERT DINIZ</t>
  </si>
  <si>
    <t>MATHEUS COSTA</t>
  </si>
  <si>
    <t>SAKURA</t>
  </si>
  <si>
    <t>MARCELO</t>
  </si>
  <si>
    <t>DA ORIKASSA</t>
  </si>
  <si>
    <t>MW LED</t>
  </si>
  <si>
    <t>sbf comercio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</si>
</sst>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rgb="FFFF0000"/>
      <name val="Trebuchet MS"/>
      <family val="2"/>
    </font>
    <font>
      <b/>
      <sz val="12"/>
      <color rgb="FF00B050"/>
      <name val="Trebuchet MS"/>
      <family val="2"/>
    </font>
    <font>
      <b/>
      <sz val="14"/>
      <color theme="0"/>
      <name val="Trebuchet MS"/>
      <family val="2"/>
    </font>
    <font>
      <b/>
      <sz val="12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sz val="12"/>
      <color rgb="FFC00000"/>
      <name val="Trebuchet MS"/>
      <family val="2"/>
    </font>
    <font>
      <sz val="12"/>
      <name val="Trebuchet MS"/>
      <family val="2"/>
    </font>
    <font>
      <b/>
      <sz val="16"/>
      <color rgb="FFFF0000"/>
      <name val="Arial"/>
      <family val="2"/>
    </font>
    <font>
      <b/>
      <sz val="16"/>
      <color rgb="FF00B050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b/>
      <sz val="16"/>
      <name val="Arial"/>
      <family val="2"/>
    </font>
    <font>
      <b/>
      <sz val="16"/>
      <color indexed="63"/>
      <name val="Arial"/>
      <family val="2"/>
    </font>
    <font>
      <sz val="16"/>
      <color theme="0"/>
      <name val="Arial"/>
      <family val="2"/>
    </font>
    <font>
      <sz val="16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10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7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2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18">
    <xf numFmtId="0" fontId="0" fillId="0" borderId="0" xfId="0"/>
    <xf numFmtId="49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1" fillId="4" borderId="35" xfId="0" applyFont="1" applyFill="1" applyBorder="1"/>
    <xf numFmtId="0" fontId="11" fillId="4" borderId="36" xfId="0" applyFont="1" applyFill="1" applyBorder="1"/>
    <xf numFmtId="0" fontId="0" fillId="0" borderId="0" xfId="1" applyNumberFormat="1" applyFont="1"/>
    <xf numFmtId="0" fontId="14" fillId="0" borderId="0" xfId="0" applyFont="1"/>
    <xf numFmtId="165" fontId="8" fillId="6" borderId="38" xfId="4" applyFont="1" applyFill="1" applyBorder="1" applyAlignment="1">
      <alignment horizontal="center" vertical="center" wrapText="1"/>
    </xf>
    <xf numFmtId="168" fontId="2" fillId="0" borderId="5" xfId="1" applyNumberFormat="1" applyFont="1" applyBorder="1"/>
    <xf numFmtId="0" fontId="15" fillId="5" borderId="0" xfId="0" applyFont="1" applyFill="1"/>
    <xf numFmtId="49" fontId="15" fillId="5" borderId="0" xfId="0" applyNumberFormat="1" applyFont="1" applyFill="1"/>
    <xf numFmtId="164" fontId="6" fillId="0" borderId="0" xfId="2" applyNumberFormat="1" applyFont="1" applyAlignment="1">
      <alignment horizontal="left" vertical="center"/>
    </xf>
    <xf numFmtId="166" fontId="8" fillId="0" borderId="39" xfId="4" applyNumberFormat="1" applyFont="1" applyBorder="1" applyAlignment="1">
      <alignment horizontal="center" vertical="center" wrapText="1"/>
    </xf>
    <xf numFmtId="0" fontId="16" fillId="8" borderId="41" xfId="0" applyFont="1" applyFill="1" applyBorder="1" applyAlignment="1">
      <alignment vertical="center"/>
    </xf>
    <xf numFmtId="0" fontId="18" fillId="8" borderId="41" xfId="0" applyFont="1" applyFill="1" applyBorder="1" applyAlignment="1">
      <alignment horizontal="center" vertical="center"/>
    </xf>
    <xf numFmtId="22" fontId="16" fillId="8" borderId="41" xfId="0" applyNumberFormat="1" applyFont="1" applyFill="1" applyBorder="1" applyAlignment="1">
      <alignment horizontal="center" vertical="center"/>
    </xf>
    <xf numFmtId="0" fontId="20" fillId="8" borderId="42" xfId="0" applyFont="1" applyFill="1" applyBorder="1" applyAlignment="1">
      <alignment horizontal="center" vertical="center" wrapText="1"/>
    </xf>
    <xf numFmtId="0" fontId="20" fillId="8" borderId="4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21" fillId="0" borderId="0" xfId="0" applyFont="1" applyAlignment="1">
      <alignment horizontal="center"/>
    </xf>
    <xf numFmtId="0" fontId="23" fillId="0" borderId="44" xfId="0" applyFont="1" applyBorder="1" applyAlignment="1">
      <alignment horizontal="left" vertical="center" wrapText="1"/>
    </xf>
    <xf numFmtId="0" fontId="23" fillId="0" borderId="44" xfId="0" applyFont="1" applyBorder="1" applyAlignment="1">
      <alignment horizontal="left" vertical="center"/>
    </xf>
    <xf numFmtId="49" fontId="23" fillId="0" borderId="45" xfId="0" applyNumberFormat="1" applyFont="1" applyBorder="1" applyAlignment="1">
      <alignment horizontal="left" vertical="center"/>
    </xf>
    <xf numFmtId="0" fontId="23" fillId="0" borderId="46" xfId="0" applyFont="1" applyBorder="1" applyAlignment="1">
      <alignment horizontal="left" vertical="center"/>
    </xf>
    <xf numFmtId="10" fontId="8" fillId="6" borderId="47" xfId="5" applyNumberFormat="1" applyFont="1" applyFill="1" applyBorder="1" applyAlignment="1">
      <alignment horizontal="center" vertical="center" wrapText="1"/>
    </xf>
    <xf numFmtId="10" fontId="8" fillId="6" borderId="48" xfId="5" applyNumberFormat="1" applyFont="1" applyFill="1" applyBorder="1" applyAlignment="1">
      <alignment horizontal="center" vertical="center" wrapText="1"/>
    </xf>
    <xf numFmtId="165" fontId="8" fillId="6" borderId="49" xfId="4" applyFont="1" applyFill="1" applyBorder="1" applyAlignment="1">
      <alignment horizontal="center" vertical="center" wrapText="1"/>
    </xf>
    <xf numFmtId="165" fontId="8" fillId="6" borderId="48" xfId="4" applyFont="1" applyFill="1" applyBorder="1" applyAlignment="1">
      <alignment horizontal="center" vertical="center" wrapText="1"/>
    </xf>
    <xf numFmtId="37" fontId="8" fillId="6" borderId="3" xfId="3" applyNumberFormat="1" applyFont="1" applyFill="1" applyBorder="1" applyAlignment="1">
      <alignment horizontal="center" vertical="center"/>
    </xf>
    <xf numFmtId="40" fontId="8" fillId="6" borderId="50" xfId="4" applyNumberFormat="1" applyFont="1" applyFill="1" applyBorder="1" applyAlignment="1">
      <alignment horizontal="center" vertical="center"/>
    </xf>
    <xf numFmtId="166" fontId="25" fillId="6" borderId="51" xfId="4" applyNumberFormat="1" applyFont="1" applyFill="1" applyBorder="1" applyAlignment="1">
      <alignment horizontal="center" vertical="center" wrapText="1"/>
    </xf>
    <xf numFmtId="166" fontId="26" fillId="6" borderId="52" xfId="4" applyNumberFormat="1" applyFont="1" applyFill="1" applyBorder="1" applyAlignment="1">
      <alignment horizontal="center" vertical="center" wrapText="1"/>
    </xf>
    <xf numFmtId="10" fontId="24" fillId="6" borderId="54" xfId="1" applyNumberFormat="1" applyFont="1" applyFill="1" applyBorder="1" applyAlignment="1">
      <alignment horizontal="center" vertical="center" wrapText="1"/>
    </xf>
    <xf numFmtId="0" fontId="24" fillId="6" borderId="54" xfId="3" applyFont="1" applyFill="1" applyBorder="1" applyAlignment="1">
      <alignment horizontal="center" vertical="center"/>
    </xf>
    <xf numFmtId="169" fontId="24" fillId="6" borderId="54" xfId="3" applyNumberFormat="1" applyFont="1" applyFill="1" applyBorder="1" applyAlignment="1">
      <alignment horizontal="center" vertical="center" wrapText="1"/>
    </xf>
    <xf numFmtId="0" fontId="24" fillId="6" borderId="55" xfId="3" applyFont="1" applyFill="1" applyBorder="1" applyAlignment="1">
      <alignment horizontal="center" vertical="center" wrapText="1"/>
    </xf>
    <xf numFmtId="37" fontId="8" fillId="6" borderId="53" xfId="3" applyNumberFormat="1" applyFont="1" applyFill="1" applyBorder="1" applyAlignment="1">
      <alignment horizontal="center" vertical="center"/>
    </xf>
    <xf numFmtId="37" fontId="8" fillId="6" borderId="54" xfId="3" applyNumberFormat="1" applyFont="1" applyFill="1" applyBorder="1" applyAlignment="1">
      <alignment horizontal="center" vertical="center"/>
    </xf>
    <xf numFmtId="40" fontId="8" fillId="6" borderId="54" xfId="4" applyNumberFormat="1" applyFont="1" applyFill="1" applyBorder="1" applyAlignment="1">
      <alignment horizontal="center" vertical="center"/>
    </xf>
    <xf numFmtId="165" fontId="8" fillId="6" borderId="54" xfId="4" applyFont="1" applyFill="1" applyBorder="1" applyAlignment="1">
      <alignment horizontal="right" vertical="center"/>
    </xf>
    <xf numFmtId="40" fontId="8" fillId="6" borderId="54" xfId="4" applyNumberFormat="1" applyFont="1" applyFill="1" applyBorder="1" applyAlignment="1">
      <alignment horizontal="center" vertical="center" wrapText="1"/>
    </xf>
    <xf numFmtId="10" fontId="8" fillId="6" borderId="54" xfId="5" applyNumberFormat="1" applyFont="1" applyFill="1" applyBorder="1" applyAlignment="1">
      <alignment horizontal="center" vertical="center" wrapText="1"/>
    </xf>
    <xf numFmtId="165" fontId="8" fillId="6" borderId="54" xfId="4" applyFont="1" applyFill="1" applyBorder="1" applyAlignment="1">
      <alignment horizontal="center" vertical="center" wrapText="1"/>
    </xf>
    <xf numFmtId="165" fontId="8" fillId="6" borderId="55" xfId="4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3" fillId="0" borderId="56" xfId="0" applyFont="1" applyBorder="1" applyAlignment="1">
      <alignment horizontal="left" vertical="center" wrapText="1"/>
    </xf>
    <xf numFmtId="0" fontId="23" fillId="0" borderId="57" xfId="0" applyFont="1" applyBorder="1" applyAlignment="1">
      <alignment horizontal="left" vertical="center" wrapText="1"/>
    </xf>
    <xf numFmtId="49" fontId="23" fillId="0" borderId="58" xfId="0" applyNumberFormat="1" applyFont="1" applyBorder="1" applyAlignment="1">
      <alignment horizontal="left" vertical="center" wrapText="1"/>
    </xf>
    <xf numFmtId="0" fontId="23" fillId="0" borderId="59" xfId="0" applyFont="1" applyBorder="1" applyAlignment="1">
      <alignment horizontal="left" vertical="center" wrapText="1"/>
    </xf>
    <xf numFmtId="0" fontId="23" fillId="0" borderId="46" xfId="0" applyFont="1" applyBorder="1" applyAlignment="1">
      <alignment horizontal="left" vertical="center" wrapText="1"/>
    </xf>
    <xf numFmtId="49" fontId="23" fillId="0" borderId="45" xfId="0" applyNumberFormat="1" applyFont="1" applyBorder="1" applyAlignment="1">
      <alignment horizontal="left" vertical="center" wrapText="1"/>
    </xf>
    <xf numFmtId="0" fontId="2" fillId="11" borderId="60" xfId="0" applyFont="1" applyFill="1" applyBorder="1" applyAlignment="1">
      <alignment horizontal="center" vertical="center"/>
    </xf>
    <xf numFmtId="44" fontId="23" fillId="0" borderId="60" xfId="8" applyFont="1" applyBorder="1" applyAlignment="1">
      <alignment vertical="center"/>
    </xf>
    <xf numFmtId="0" fontId="23" fillId="0" borderId="60" xfId="0" applyFont="1" applyBorder="1" applyAlignment="1">
      <alignment horizontal="left" vertical="center" wrapText="1"/>
    </xf>
    <xf numFmtId="44" fontId="23" fillId="12" borderId="7" xfId="8" applyFont="1" applyFill="1" applyBorder="1" applyAlignment="1">
      <alignment vertical="center"/>
    </xf>
    <xf numFmtId="9" fontId="23" fillId="13" borderId="7" xfId="1" applyFont="1" applyFill="1" applyBorder="1" applyAlignment="1">
      <alignment vertical="center"/>
    </xf>
    <xf numFmtId="44" fontId="23" fillId="13" borderId="7" xfId="8" applyFont="1" applyFill="1" applyBorder="1" applyAlignment="1">
      <alignment vertical="center"/>
    </xf>
    <xf numFmtId="44" fontId="23" fillId="14" borderId="7" xfId="8" applyFont="1" applyFill="1" applyBorder="1" applyAlignment="1">
      <alignment vertical="center"/>
    </xf>
    <xf numFmtId="10" fontId="23" fillId="14" borderId="60" xfId="0" applyNumberFormat="1" applyFont="1" applyFill="1" applyBorder="1" applyAlignment="1">
      <alignment horizontal="center" vertical="center"/>
    </xf>
    <xf numFmtId="0" fontId="23" fillId="0" borderId="61" xfId="0" applyFont="1" applyBorder="1" applyAlignment="1">
      <alignment horizontal="left" vertical="center" wrapText="1"/>
    </xf>
    <xf numFmtId="44" fontId="23" fillId="0" borderId="61" xfId="8" applyFont="1" applyBorder="1" applyAlignment="1">
      <alignment vertical="center"/>
    </xf>
    <xf numFmtId="0" fontId="23" fillId="0" borderId="61" xfId="0" applyFont="1" applyBorder="1" applyAlignment="1">
      <alignment horizontal="center" vertical="center"/>
    </xf>
    <xf numFmtId="0" fontId="23" fillId="0" borderId="51" xfId="0" applyFont="1" applyBorder="1" applyAlignment="1">
      <alignment horizontal="left" vertical="center" wrapText="1"/>
    </xf>
    <xf numFmtId="44" fontId="23" fillId="0" borderId="52" xfId="8" applyFont="1" applyBorder="1" applyAlignment="1">
      <alignment vertical="center"/>
    </xf>
    <xf numFmtId="0" fontId="2" fillId="11" borderId="10" xfId="0" applyFont="1" applyFill="1" applyBorder="1" applyAlignment="1">
      <alignment horizontal="center" vertical="center"/>
    </xf>
    <xf numFmtId="10" fontId="23" fillId="14" borderId="10" xfId="0" applyNumberFormat="1" applyFont="1" applyFill="1" applyBorder="1" applyAlignment="1">
      <alignment horizontal="center" vertical="center"/>
    </xf>
    <xf numFmtId="44" fontId="23" fillId="13" borderId="52" xfId="8" applyFont="1" applyFill="1" applyBorder="1" applyAlignment="1">
      <alignment vertical="center"/>
    </xf>
    <xf numFmtId="44" fontId="23" fillId="0" borderId="66" xfId="8" applyFont="1" applyBorder="1" applyAlignment="1">
      <alignment vertical="center"/>
    </xf>
    <xf numFmtId="44" fontId="23" fillId="13" borderId="66" xfId="8" applyFont="1" applyFill="1" applyBorder="1" applyAlignment="1">
      <alignment vertical="center"/>
    </xf>
    <xf numFmtId="0" fontId="23" fillId="0" borderId="6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65" xfId="0" applyFont="1" applyBorder="1" applyAlignment="1">
      <alignment horizontal="left" vertical="center" wrapText="1"/>
    </xf>
    <xf numFmtId="10" fontId="24" fillId="11" borderId="10" xfId="0" applyNumberFormat="1" applyFont="1" applyFill="1" applyBorder="1" applyAlignment="1">
      <alignment horizontal="center" vertical="center"/>
    </xf>
    <xf numFmtId="1" fontId="23" fillId="12" borderId="7" xfId="0" applyNumberFormat="1" applyFont="1" applyFill="1" applyBorder="1" applyAlignment="1">
      <alignment horizontal="center" vertical="center"/>
    </xf>
    <xf numFmtId="10" fontId="23" fillId="14" borderId="64" xfId="0" applyNumberFormat="1" applyFont="1" applyFill="1" applyBorder="1" applyAlignment="1">
      <alignment horizontal="center" vertical="center"/>
    </xf>
    <xf numFmtId="44" fontId="23" fillId="13" borderId="69" xfId="8" applyFont="1" applyFill="1" applyBorder="1" applyAlignment="1">
      <alignment vertical="center"/>
    </xf>
    <xf numFmtId="10" fontId="23" fillId="14" borderId="0" xfId="0" applyNumberFormat="1" applyFont="1" applyFill="1" applyAlignment="1">
      <alignment horizontal="center" vertical="center"/>
    </xf>
    <xf numFmtId="44" fontId="23" fillId="13" borderId="60" xfId="8" applyFont="1" applyFill="1" applyBorder="1" applyAlignment="1">
      <alignment vertical="center"/>
    </xf>
    <xf numFmtId="1" fontId="23" fillId="12" borderId="60" xfId="0" applyNumberFormat="1" applyFont="1" applyFill="1" applyBorder="1" applyAlignment="1">
      <alignment horizontal="center" vertical="center"/>
    </xf>
    <xf numFmtId="44" fontId="23" fillId="12" borderId="60" xfId="8" applyFont="1" applyFill="1" applyBorder="1" applyAlignment="1">
      <alignment vertical="center"/>
    </xf>
    <xf numFmtId="44" fontId="23" fillId="14" borderId="60" xfId="8" applyFont="1" applyFill="1" applyBorder="1" applyAlignment="1">
      <alignment vertical="center"/>
    </xf>
    <xf numFmtId="9" fontId="23" fillId="13" borderId="60" xfId="1" applyFont="1" applyFill="1" applyBorder="1" applyAlignment="1">
      <alignment vertical="center"/>
    </xf>
    <xf numFmtId="1" fontId="23" fillId="12" borderId="65" xfId="0" applyNumberFormat="1" applyFont="1" applyFill="1" applyBorder="1" applyAlignment="1">
      <alignment horizontal="center" vertical="center"/>
    </xf>
    <xf numFmtId="1" fontId="23" fillId="12" borderId="51" xfId="0" applyNumberFormat="1" applyFont="1" applyFill="1" applyBorder="1" applyAlignment="1">
      <alignment horizontal="center" vertical="center"/>
    </xf>
    <xf numFmtId="1" fontId="23" fillId="12" borderId="61" xfId="0" applyNumberFormat="1" applyFont="1" applyFill="1" applyBorder="1" applyAlignment="1">
      <alignment horizontal="center" vertical="center"/>
    </xf>
    <xf numFmtId="44" fontId="23" fillId="12" borderId="61" xfId="8" applyFont="1" applyFill="1" applyBorder="1" applyAlignment="1">
      <alignment vertical="center"/>
    </xf>
    <xf numFmtId="10" fontId="23" fillId="14" borderId="33" xfId="0" applyNumberFormat="1" applyFont="1" applyFill="1" applyBorder="1" applyAlignment="1">
      <alignment horizontal="center" vertical="center"/>
    </xf>
    <xf numFmtId="10" fontId="23" fillId="14" borderId="61" xfId="0" applyNumberFormat="1" applyFont="1" applyFill="1" applyBorder="1" applyAlignment="1">
      <alignment horizontal="center" vertical="center"/>
    </xf>
    <xf numFmtId="44" fontId="15" fillId="13" borderId="67" xfId="8" applyFont="1" applyFill="1" applyBorder="1" applyAlignment="1">
      <alignment vertical="center"/>
    </xf>
    <xf numFmtId="164" fontId="6" fillId="0" borderId="73" xfId="2" applyNumberFormat="1" applyFont="1" applyBorder="1" applyAlignment="1" applyProtection="1">
      <alignment horizontal="left" vertical="center"/>
      <protection locked="0"/>
    </xf>
    <xf numFmtId="164" fontId="6" fillId="0" borderId="74" xfId="2" applyNumberFormat="1" applyFont="1" applyBorder="1" applyAlignment="1" applyProtection="1">
      <alignment horizontal="left" vertical="center"/>
      <protection locked="0"/>
    </xf>
    <xf numFmtId="164" fontId="6" fillId="0" borderId="75" xfId="2" applyNumberFormat="1" applyFont="1" applyBorder="1" applyAlignment="1" applyProtection="1">
      <alignment horizontal="left" vertical="center"/>
      <protection locked="0"/>
    </xf>
    <xf numFmtId="164" fontId="6" fillId="0" borderId="76" xfId="2" applyNumberFormat="1" applyFont="1" applyBorder="1" applyAlignment="1" applyProtection="1">
      <alignment horizontal="left" vertical="center"/>
      <protection locked="0"/>
    </xf>
    <xf numFmtId="164" fontId="6" fillId="0" borderId="14" xfId="2" applyNumberFormat="1" applyFont="1" applyBorder="1" applyAlignment="1" applyProtection="1">
      <alignment horizontal="left" vertical="center"/>
      <protection locked="0"/>
    </xf>
    <xf numFmtId="164" fontId="6" fillId="0" borderId="72" xfId="2" applyNumberFormat="1" applyFont="1" applyBorder="1" applyAlignment="1" applyProtection="1">
      <alignment horizontal="left" vertical="center"/>
      <protection locked="0"/>
    </xf>
    <xf numFmtId="170" fontId="27" fillId="10" borderId="62" xfId="8" applyNumberFormat="1" applyFont="1" applyFill="1" applyBorder="1" applyAlignment="1">
      <alignment horizontal="right"/>
    </xf>
    <xf numFmtId="170" fontId="27" fillId="10" borderId="67" xfId="8" applyNumberFormat="1" applyFont="1" applyFill="1" applyBorder="1" applyAlignment="1">
      <alignment horizontal="right"/>
    </xf>
    <xf numFmtId="44" fontId="23" fillId="0" borderId="63" xfId="8" applyFont="1" applyBorder="1" applyAlignment="1">
      <alignment vertical="center"/>
    </xf>
    <xf numFmtId="44" fontId="23" fillId="0" borderId="69" xfId="8" applyFont="1" applyBorder="1" applyAlignment="1">
      <alignment vertical="center"/>
    </xf>
    <xf numFmtId="1" fontId="23" fillId="12" borderId="79" xfId="0" applyNumberFormat="1" applyFont="1" applyFill="1" applyBorder="1" applyAlignment="1">
      <alignment horizontal="center" vertical="center"/>
    </xf>
    <xf numFmtId="1" fontId="23" fillId="12" borderId="63" xfId="0" applyNumberFormat="1" applyFont="1" applyFill="1" applyBorder="1" applyAlignment="1">
      <alignment horizontal="center" vertical="center"/>
    </xf>
    <xf numFmtId="44" fontId="23" fillId="12" borderId="63" xfId="8" applyFont="1" applyFill="1" applyBorder="1" applyAlignment="1">
      <alignment vertical="center"/>
    </xf>
    <xf numFmtId="10" fontId="23" fillId="14" borderId="63" xfId="0" applyNumberFormat="1" applyFont="1" applyFill="1" applyBorder="1" applyAlignment="1">
      <alignment horizontal="center" vertical="center"/>
    </xf>
    <xf numFmtId="0" fontId="23" fillId="0" borderId="79" xfId="0" applyFont="1" applyBorder="1" applyAlignment="1">
      <alignment horizontal="left" vertical="center" wrapText="1"/>
    </xf>
    <xf numFmtId="0" fontId="23" fillId="0" borderId="63" xfId="0" applyFont="1" applyBorder="1" applyAlignment="1">
      <alignment horizontal="left" vertical="center" wrapText="1"/>
    </xf>
    <xf numFmtId="0" fontId="23" fillId="0" borderId="63" xfId="0" applyFont="1" applyBorder="1" applyAlignment="1">
      <alignment horizontal="center" vertical="center"/>
    </xf>
    <xf numFmtId="44" fontId="23" fillId="13" borderId="61" xfId="8" applyFont="1" applyFill="1" applyBorder="1" applyAlignment="1">
      <alignment vertical="center"/>
    </xf>
    <xf numFmtId="0" fontId="23" fillId="16" borderId="65" xfId="0" applyFont="1" applyFill="1" applyBorder="1" applyAlignment="1">
      <alignment horizontal="left" vertical="center" wrapText="1"/>
    </xf>
    <xf numFmtId="0" fontId="23" fillId="16" borderId="60" xfId="0" applyFont="1" applyFill="1" applyBorder="1" applyAlignment="1">
      <alignment horizontal="left" vertical="center" wrapText="1"/>
    </xf>
    <xf numFmtId="44" fontId="30" fillId="15" borderId="80" xfId="8" applyFont="1" applyFill="1" applyBorder="1" applyAlignment="1">
      <alignment horizontal="center"/>
    </xf>
    <xf numFmtId="44" fontId="23" fillId="16" borderId="60" xfId="8" applyFont="1" applyFill="1" applyBorder="1" applyAlignment="1">
      <alignment vertical="center"/>
    </xf>
    <xf numFmtId="44" fontId="23" fillId="16" borderId="66" xfId="8" applyFont="1" applyFill="1" applyBorder="1" applyAlignment="1">
      <alignment vertical="center"/>
    </xf>
    <xf numFmtId="9" fontId="29" fillId="15" borderId="17" xfId="1" applyFont="1" applyFill="1" applyBorder="1"/>
    <xf numFmtId="44" fontId="29" fillId="15" borderId="18" xfId="8" applyFont="1" applyFill="1" applyBorder="1"/>
    <xf numFmtId="10" fontId="24" fillId="14" borderId="0" xfId="0" applyNumberFormat="1" applyFont="1" applyFill="1" applyAlignment="1">
      <alignment horizontal="center" vertical="center"/>
    </xf>
    <xf numFmtId="10" fontId="24" fillId="14" borderId="60" xfId="0" applyNumberFormat="1" applyFont="1" applyFill="1" applyBorder="1" applyAlignment="1">
      <alignment horizontal="center" vertical="center"/>
    </xf>
    <xf numFmtId="10" fontId="24" fillId="14" borderId="10" xfId="0" applyNumberFormat="1" applyFont="1" applyFill="1" applyBorder="1" applyAlignment="1">
      <alignment horizontal="center" vertical="center"/>
    </xf>
    <xf numFmtId="44" fontId="24" fillId="13" borderId="66" xfId="8" applyFont="1" applyFill="1" applyBorder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3" fillId="16" borderId="44" xfId="0" applyFont="1" applyFill="1" applyBorder="1" applyAlignment="1">
      <alignment horizontal="left" vertical="center" wrapText="1"/>
    </xf>
    <xf numFmtId="0" fontId="23" fillId="16" borderId="56" xfId="0" applyFont="1" applyFill="1" applyBorder="1" applyAlignment="1">
      <alignment horizontal="left" vertical="center" wrapText="1"/>
    </xf>
    <xf numFmtId="44" fontId="24" fillId="13" borderId="60" xfId="8" applyFont="1" applyFill="1" applyBorder="1" applyAlignment="1">
      <alignment vertical="center"/>
    </xf>
    <xf numFmtId="44" fontId="24" fillId="12" borderId="60" xfId="8" applyFont="1" applyFill="1" applyBorder="1" applyAlignment="1">
      <alignment vertical="center"/>
    </xf>
    <xf numFmtId="44" fontId="24" fillId="14" borderId="60" xfId="8" applyFont="1" applyFill="1" applyBorder="1" applyAlignment="1">
      <alignment vertical="center"/>
    </xf>
    <xf numFmtId="9" fontId="24" fillId="13" borderId="60" xfId="1" applyFont="1" applyFill="1" applyBorder="1" applyAlignment="1">
      <alignment vertical="center"/>
    </xf>
    <xf numFmtId="0" fontId="23" fillId="16" borderId="60" xfId="0" applyFont="1" applyFill="1" applyBorder="1" applyAlignment="1">
      <alignment horizontal="center" vertical="center"/>
    </xf>
    <xf numFmtId="0" fontId="23" fillId="0" borderId="81" xfId="0" applyFont="1" applyBorder="1" applyAlignment="1">
      <alignment horizontal="left" vertical="center" wrapText="1"/>
    </xf>
    <xf numFmtId="0" fontId="23" fillId="0" borderId="82" xfId="0" applyFont="1" applyBorder="1" applyAlignment="1">
      <alignment horizontal="left" vertical="center" wrapText="1"/>
    </xf>
    <xf numFmtId="0" fontId="23" fillId="16" borderId="81" xfId="0" applyFont="1" applyFill="1" applyBorder="1" applyAlignment="1">
      <alignment horizontal="left" vertical="center" wrapText="1"/>
    </xf>
    <xf numFmtId="0" fontId="29" fillId="15" borderId="0" xfId="0" applyFont="1" applyFill="1"/>
    <xf numFmtId="0" fontId="29" fillId="15" borderId="0" xfId="0" applyFont="1" applyFill="1" applyAlignment="1">
      <alignment horizontal="center" vertical="center"/>
    </xf>
    <xf numFmtId="44" fontId="29" fillId="15" borderId="0" xfId="0" applyNumberFormat="1" applyFont="1" applyFill="1"/>
    <xf numFmtId="44" fontId="29" fillId="15" borderId="18" xfId="0" applyNumberFormat="1" applyFont="1" applyFill="1" applyBorder="1"/>
    <xf numFmtId="170" fontId="27" fillId="10" borderId="71" xfId="0" applyNumberFormat="1" applyFont="1" applyFill="1" applyBorder="1" applyAlignment="1">
      <alignment horizontal="right"/>
    </xf>
    <xf numFmtId="170" fontId="27" fillId="10" borderId="72" xfId="0" applyNumberFormat="1" applyFont="1" applyFill="1" applyBorder="1" applyAlignment="1">
      <alignment horizontal="right"/>
    </xf>
    <xf numFmtId="0" fontId="29" fillId="15" borderId="77" xfId="0" applyFont="1" applyFill="1" applyBorder="1"/>
    <xf numFmtId="0" fontId="29" fillId="15" borderId="37" xfId="0" applyFont="1" applyFill="1" applyBorder="1"/>
    <xf numFmtId="0" fontId="29" fillId="15" borderId="37" xfId="0" applyFont="1" applyFill="1" applyBorder="1" applyAlignment="1">
      <alignment horizontal="center" vertical="center"/>
    </xf>
    <xf numFmtId="44" fontId="29" fillId="15" borderId="37" xfId="0" applyNumberFormat="1" applyFont="1" applyFill="1" applyBorder="1"/>
    <xf numFmtId="44" fontId="29" fillId="15" borderId="5" xfId="0" applyNumberFormat="1" applyFont="1" applyFill="1" applyBorder="1"/>
    <xf numFmtId="170" fontId="27" fillId="10" borderId="61" xfId="0" applyNumberFormat="1" applyFont="1" applyFill="1" applyBorder="1" applyAlignment="1">
      <alignment horizontal="right"/>
    </xf>
    <xf numFmtId="170" fontId="27" fillId="10" borderId="52" xfId="0" applyNumberFormat="1" applyFont="1" applyFill="1" applyBorder="1" applyAlignment="1">
      <alignment horizontal="right"/>
    </xf>
    <xf numFmtId="0" fontId="24" fillId="11" borderId="63" xfId="0" applyFont="1" applyFill="1" applyBorder="1" applyAlignment="1">
      <alignment horizontal="center" vertical="center"/>
    </xf>
    <xf numFmtId="0" fontId="24" fillId="11" borderId="69" xfId="0" applyFont="1" applyFill="1" applyBorder="1" applyAlignment="1">
      <alignment horizontal="center" vertical="center"/>
    </xf>
    <xf numFmtId="170" fontId="27" fillId="10" borderId="61" xfId="8" applyNumberFormat="1" applyFont="1" applyFill="1" applyBorder="1" applyAlignment="1">
      <alignment horizontal="right"/>
    </xf>
    <xf numFmtId="170" fontId="27" fillId="10" borderId="52" xfId="8" applyNumberFormat="1" applyFont="1" applyFill="1" applyBorder="1" applyAlignment="1">
      <alignment horizontal="right"/>
    </xf>
    <xf numFmtId="170" fontId="24" fillId="11" borderId="63" xfId="8" applyNumberFormat="1" applyFont="1" applyFill="1" applyBorder="1" applyAlignment="1">
      <alignment horizontal="center" vertical="center"/>
    </xf>
    <xf numFmtId="170" fontId="28" fillId="11" borderId="69" xfId="8" applyNumberFormat="1" applyFont="1" applyFill="1" applyBorder="1" applyAlignment="1">
      <alignment horizontal="center" vertical="center"/>
    </xf>
    <xf numFmtId="0" fontId="4" fillId="6" borderId="53" xfId="3" applyFont="1" applyFill="1" applyBorder="1" applyAlignment="1">
      <alignment horizontal="left" vertical="center"/>
    </xf>
    <xf numFmtId="0" fontId="4" fillId="6" borderId="54" xfId="3" applyFont="1" applyFill="1" applyBorder="1" applyAlignment="1">
      <alignment horizontal="center" vertical="center"/>
    </xf>
    <xf numFmtId="0" fontId="24" fillId="6" borderId="54" xfId="3" applyFont="1" applyFill="1" applyBorder="1" applyAlignment="1">
      <alignment horizontal="center" vertical="center" wrapText="1"/>
    </xf>
    <xf numFmtId="9" fontId="24" fillId="6" borderId="54" xfId="1" applyFont="1" applyFill="1" applyBorder="1" applyAlignment="1">
      <alignment horizontal="center" vertical="center" wrapText="1"/>
    </xf>
    <xf numFmtId="44" fontId="30" fillId="15" borderId="12" xfId="8" applyFont="1" applyFill="1" applyBorder="1" applyAlignment="1">
      <alignment horizontal="center"/>
    </xf>
    <xf numFmtId="0" fontId="29" fillId="15" borderId="17" xfId="0" applyFont="1" applyFill="1" applyBorder="1" applyAlignment="1">
      <alignment horizontal="center" vertical="center"/>
    </xf>
    <xf numFmtId="44" fontId="27" fillId="10" borderId="60" xfId="8" applyFont="1" applyFill="1" applyBorder="1" applyAlignment="1">
      <alignment horizontal="right"/>
    </xf>
    <xf numFmtId="44" fontId="15" fillId="14" borderId="60" xfId="8" applyFont="1" applyFill="1" applyBorder="1" applyAlignment="1">
      <alignment vertical="center"/>
    </xf>
    <xf numFmtId="44" fontId="15" fillId="13" borderId="60" xfId="8" applyFont="1" applyFill="1" applyBorder="1" applyAlignment="1">
      <alignment vertical="center"/>
    </xf>
    <xf numFmtId="44" fontId="15" fillId="13" borderId="66" xfId="8" applyFont="1" applyFill="1" applyBorder="1" applyAlignment="1">
      <alignment vertical="center"/>
    </xf>
    <xf numFmtId="44" fontId="27" fillId="10" borderId="71" xfId="0" applyNumberFormat="1" applyFont="1" applyFill="1" applyBorder="1" applyAlignment="1">
      <alignment horizontal="right"/>
    </xf>
    <xf numFmtId="44" fontId="15" fillId="14" borderId="71" xfId="0" applyNumberFormat="1" applyFont="1" applyFill="1" applyBorder="1"/>
    <xf numFmtId="0" fontId="0" fillId="13" borderId="71" xfId="0" applyFill="1" applyBorder="1"/>
    <xf numFmtId="44" fontId="15" fillId="13" borderId="71" xfId="0" applyNumberFormat="1" applyFont="1" applyFill="1" applyBorder="1"/>
    <xf numFmtId="44" fontId="15" fillId="13" borderId="72" xfId="8" applyFont="1" applyFill="1" applyBorder="1"/>
    <xf numFmtId="44" fontId="27" fillId="10" borderId="61" xfId="0" applyNumberFormat="1" applyFont="1" applyFill="1" applyBorder="1" applyAlignment="1">
      <alignment horizontal="right"/>
    </xf>
    <xf numFmtId="44" fontId="15" fillId="14" borderId="61" xfId="0" applyNumberFormat="1" applyFont="1" applyFill="1" applyBorder="1"/>
    <xf numFmtId="0" fontId="0" fillId="13" borderId="61" xfId="0" applyFill="1" applyBorder="1"/>
    <xf numFmtId="44" fontId="15" fillId="13" borderId="61" xfId="0" applyNumberFormat="1" applyFont="1" applyFill="1" applyBorder="1"/>
    <xf numFmtId="44" fontId="15" fillId="13" borderId="52" xfId="8" applyFont="1" applyFill="1" applyBorder="1"/>
    <xf numFmtId="44" fontId="23" fillId="14" borderId="63" xfId="8" applyFont="1" applyFill="1" applyBorder="1" applyAlignment="1">
      <alignment vertical="center"/>
    </xf>
    <xf numFmtId="9" fontId="23" fillId="13" borderId="63" xfId="1" applyFont="1" applyFill="1" applyBorder="1" applyAlignment="1">
      <alignment vertical="center"/>
    </xf>
    <xf numFmtId="44" fontId="23" fillId="13" borderId="63" xfId="8" applyFont="1" applyFill="1" applyBorder="1" applyAlignment="1">
      <alignment vertical="center"/>
    </xf>
    <xf numFmtId="44" fontId="27" fillId="10" borderId="61" xfId="8" applyFont="1" applyFill="1" applyBorder="1" applyAlignment="1">
      <alignment horizontal="right"/>
    </xf>
    <xf numFmtId="44" fontId="15" fillId="14" borderId="61" xfId="8" applyFont="1" applyFill="1" applyBorder="1" applyAlignment="1">
      <alignment vertical="center"/>
    </xf>
    <xf numFmtId="9" fontId="24" fillId="13" borderId="61" xfId="1" applyFont="1" applyFill="1" applyBorder="1" applyAlignment="1">
      <alignment vertical="center"/>
    </xf>
    <xf numFmtId="44" fontId="24" fillId="13" borderId="61" xfId="8" applyFont="1" applyFill="1" applyBorder="1" applyAlignment="1">
      <alignment vertical="center"/>
    </xf>
    <xf numFmtId="44" fontId="15" fillId="13" borderId="61" xfId="8" applyFont="1" applyFill="1" applyBorder="1" applyAlignment="1">
      <alignment vertical="center"/>
    </xf>
    <xf numFmtId="44" fontId="15" fillId="13" borderId="52" xfId="8" applyFont="1" applyFill="1" applyBorder="1" applyAlignment="1">
      <alignment vertical="center"/>
    </xf>
    <xf numFmtId="9" fontId="23" fillId="13" borderId="61" xfId="1" applyFont="1" applyFill="1" applyBorder="1" applyAlignment="1">
      <alignment vertical="center"/>
    </xf>
    <xf numFmtId="1" fontId="24" fillId="12" borderId="65" xfId="0" applyNumberFormat="1" applyFont="1" applyFill="1" applyBorder="1" applyAlignment="1">
      <alignment horizontal="center" vertical="center"/>
    </xf>
    <xf numFmtId="1" fontId="24" fillId="12" borderId="60" xfId="0" applyNumberFormat="1" applyFont="1" applyFill="1" applyBorder="1" applyAlignment="1">
      <alignment horizontal="center" vertical="center"/>
    </xf>
    <xf numFmtId="44" fontId="23" fillId="14" borderId="61" xfId="8" applyFont="1" applyFill="1" applyBorder="1" applyAlignment="1">
      <alignment vertical="center"/>
    </xf>
    <xf numFmtId="44" fontId="27" fillId="10" borderId="62" xfId="8" applyFont="1" applyFill="1" applyBorder="1" applyAlignment="1">
      <alignment horizontal="right"/>
    </xf>
    <xf numFmtId="44" fontId="15" fillId="14" borderId="62" xfId="8" applyFont="1" applyFill="1" applyBorder="1" applyAlignment="1">
      <alignment vertical="center"/>
    </xf>
    <xf numFmtId="9" fontId="23" fillId="13" borderId="62" xfId="1" applyFont="1" applyFill="1" applyBorder="1" applyAlignment="1">
      <alignment vertical="center"/>
    </xf>
    <xf numFmtId="44" fontId="23" fillId="13" borderId="62" xfId="8" applyFont="1" applyFill="1" applyBorder="1" applyAlignment="1">
      <alignment vertical="center"/>
    </xf>
    <xf numFmtId="44" fontId="15" fillId="13" borderId="62" xfId="8" applyFont="1" applyFill="1" applyBorder="1" applyAlignment="1">
      <alignment vertical="center"/>
    </xf>
    <xf numFmtId="44" fontId="23" fillId="12" borderId="83" xfId="8" applyFont="1" applyFill="1" applyBorder="1" applyAlignment="1">
      <alignment vertical="center"/>
    </xf>
    <xf numFmtId="44" fontId="23" fillId="14" borderId="83" xfId="8" applyFont="1" applyFill="1" applyBorder="1" applyAlignment="1">
      <alignment vertical="center"/>
    </xf>
    <xf numFmtId="9" fontId="23" fillId="13" borderId="83" xfId="1" applyFont="1" applyFill="1" applyBorder="1" applyAlignment="1">
      <alignment vertical="center"/>
    </xf>
    <xf numFmtId="44" fontId="23" fillId="13" borderId="83" xfId="8" applyFont="1" applyFill="1" applyBorder="1" applyAlignment="1">
      <alignment vertical="center"/>
    </xf>
    <xf numFmtId="1" fontId="23" fillId="12" borderId="83" xfId="0" applyNumberFormat="1" applyFont="1" applyFill="1" applyBorder="1" applyAlignment="1">
      <alignment horizontal="center" vertical="center"/>
    </xf>
    <xf numFmtId="44" fontId="23" fillId="12" borderId="83" xfId="8" applyFont="1" applyFill="1" applyBorder="1" applyAlignment="1">
      <alignment horizontal="center" vertical="center"/>
    </xf>
    <xf numFmtId="44" fontId="23" fillId="12" borderId="7" xfId="8" applyFont="1" applyFill="1" applyBorder="1" applyAlignment="1">
      <alignment horizontal="center" vertical="center"/>
    </xf>
    <xf numFmtId="0" fontId="32" fillId="16" borderId="65" xfId="0" applyFont="1" applyFill="1" applyBorder="1" applyAlignment="1">
      <alignment horizontal="left" vertical="center" wrapText="1"/>
    </xf>
    <xf numFmtId="0" fontId="32" fillId="16" borderId="60" xfId="0" applyFont="1" applyFill="1" applyBorder="1" applyAlignment="1">
      <alignment horizontal="left" vertical="center" wrapText="1"/>
    </xf>
    <xf numFmtId="0" fontId="23" fillId="16" borderId="51" xfId="0" applyFont="1" applyFill="1" applyBorder="1" applyAlignment="1">
      <alignment horizontal="left" vertical="center" wrapText="1"/>
    </xf>
    <xf numFmtId="0" fontId="23" fillId="16" borderId="79" xfId="0" applyFont="1" applyFill="1" applyBorder="1" applyAlignment="1">
      <alignment horizontal="left" vertical="center" wrapText="1"/>
    </xf>
    <xf numFmtId="0" fontId="23" fillId="16" borderId="61" xfId="0" applyFont="1" applyFill="1" applyBorder="1" applyAlignment="1">
      <alignment horizontal="left" vertical="center" wrapText="1"/>
    </xf>
    <xf numFmtId="0" fontId="23" fillId="16" borderId="63" xfId="0" applyFont="1" applyFill="1" applyBorder="1" applyAlignment="1">
      <alignment horizontal="left" vertical="center" wrapText="1"/>
    </xf>
    <xf numFmtId="0" fontId="23" fillId="16" borderId="61" xfId="0" applyFont="1" applyFill="1" applyBorder="1" applyAlignment="1">
      <alignment horizontal="center" vertical="center"/>
    </xf>
    <xf numFmtId="0" fontId="23" fillId="16" borderId="63" xfId="0" applyFont="1" applyFill="1" applyBorder="1" applyAlignment="1">
      <alignment horizontal="center" vertical="center"/>
    </xf>
    <xf numFmtId="44" fontId="23" fillId="16" borderId="61" xfId="8" applyFont="1" applyFill="1" applyBorder="1" applyAlignment="1">
      <alignment vertical="center"/>
    </xf>
    <xf numFmtId="44" fontId="23" fillId="16" borderId="63" xfId="8" applyFont="1" applyFill="1" applyBorder="1" applyAlignment="1">
      <alignment vertical="center"/>
    </xf>
    <xf numFmtId="44" fontId="23" fillId="16" borderId="52" xfId="8" applyFont="1" applyFill="1" applyBorder="1" applyAlignment="1">
      <alignment vertical="center"/>
    </xf>
    <xf numFmtId="44" fontId="23" fillId="16" borderId="69" xfId="8" applyFont="1" applyFill="1" applyBorder="1" applyAlignment="1">
      <alignment vertical="center"/>
    </xf>
    <xf numFmtId="1" fontId="24" fillId="12" borderId="51" xfId="0" applyNumberFormat="1" applyFont="1" applyFill="1" applyBorder="1" applyAlignment="1">
      <alignment horizontal="center" vertical="center"/>
    </xf>
    <xf numFmtId="1" fontId="24" fillId="12" borderId="61" xfId="0" applyNumberFormat="1" applyFont="1" applyFill="1" applyBorder="1" applyAlignment="1">
      <alignment horizontal="center" vertical="center"/>
    </xf>
    <xf numFmtId="44" fontId="24" fillId="12" borderId="61" xfId="8" applyFont="1" applyFill="1" applyBorder="1" applyAlignment="1">
      <alignment vertical="center"/>
    </xf>
    <xf numFmtId="44" fontId="24" fillId="14" borderId="61" xfId="8" applyFont="1" applyFill="1" applyBorder="1" applyAlignment="1">
      <alignment vertical="center"/>
    </xf>
    <xf numFmtId="44" fontId="24" fillId="13" borderId="52" xfId="8" applyFont="1" applyFill="1" applyBorder="1" applyAlignment="1">
      <alignment vertical="center"/>
    </xf>
    <xf numFmtId="1" fontId="24" fillId="12" borderId="79" xfId="0" applyNumberFormat="1" applyFont="1" applyFill="1" applyBorder="1" applyAlignment="1">
      <alignment horizontal="center" vertical="center"/>
    </xf>
    <xf numFmtId="1" fontId="24" fillId="12" borderId="63" xfId="0" applyNumberFormat="1" applyFont="1" applyFill="1" applyBorder="1" applyAlignment="1">
      <alignment horizontal="center" vertical="center"/>
    </xf>
    <xf numFmtId="44" fontId="24" fillId="12" borderId="63" xfId="8" applyFont="1" applyFill="1" applyBorder="1" applyAlignment="1">
      <alignment vertical="center"/>
    </xf>
    <xf numFmtId="44" fontId="24" fillId="14" borderId="63" xfId="8" applyFont="1" applyFill="1" applyBorder="1" applyAlignment="1">
      <alignment vertical="center"/>
    </xf>
    <xf numFmtId="9" fontId="24" fillId="13" borderId="63" xfId="1" applyFont="1" applyFill="1" applyBorder="1" applyAlignment="1">
      <alignment vertical="center"/>
    </xf>
    <xf numFmtId="44" fontId="24" fillId="13" borderId="63" xfId="8" applyFont="1" applyFill="1" applyBorder="1" applyAlignment="1">
      <alignment vertical="center"/>
    </xf>
    <xf numFmtId="44" fontId="24" fillId="13" borderId="69" xfId="8" applyFont="1" applyFill="1" applyBorder="1" applyAlignment="1">
      <alignment vertical="center"/>
    </xf>
    <xf numFmtId="44" fontId="24" fillId="12" borderId="7" xfId="8" applyFont="1" applyFill="1" applyBorder="1" applyAlignment="1">
      <alignment vertical="center"/>
    </xf>
    <xf numFmtId="44" fontId="24" fillId="14" borderId="7" xfId="8" applyFont="1" applyFill="1" applyBorder="1" applyAlignment="1">
      <alignment vertical="center"/>
    </xf>
    <xf numFmtId="44" fontId="24" fillId="13" borderId="7" xfId="8" applyFont="1" applyFill="1" applyBorder="1" applyAlignment="1">
      <alignment vertical="center"/>
    </xf>
    <xf numFmtId="9" fontId="24" fillId="13" borderId="7" xfId="1" applyFont="1" applyFill="1" applyBorder="1" applyAlignment="1">
      <alignment vertical="center"/>
    </xf>
    <xf numFmtId="1" fontId="24" fillId="12" borderId="7" xfId="0" applyNumberFormat="1" applyFont="1" applyFill="1" applyBorder="1" applyAlignment="1">
      <alignment horizontal="center" vertical="center"/>
    </xf>
    <xf numFmtId="44" fontId="23" fillId="0" borderId="62" xfId="8" applyFont="1" applyBorder="1" applyAlignment="1">
      <alignment vertical="center"/>
    </xf>
    <xf numFmtId="44" fontId="24" fillId="11" borderId="62" xfId="8" applyFont="1" applyFill="1" applyBorder="1" applyAlignment="1">
      <alignment horizontal="center" vertical="center"/>
    </xf>
    <xf numFmtId="44" fontId="24" fillId="11" borderId="67" xfId="8" applyFont="1" applyFill="1" applyBorder="1" applyAlignment="1">
      <alignment horizontal="center" vertical="center"/>
    </xf>
    <xf numFmtId="0" fontId="24" fillId="0" borderId="79" xfId="0" applyFont="1" applyBorder="1" applyAlignment="1">
      <alignment horizontal="left" vertical="center" wrapText="1"/>
    </xf>
    <xf numFmtId="0" fontId="24" fillId="0" borderId="84" xfId="0" applyFont="1" applyBorder="1" applyAlignment="1">
      <alignment horizontal="left" vertical="center" wrapText="1"/>
    </xf>
    <xf numFmtId="0" fontId="23" fillId="0" borderId="85" xfId="0" applyFont="1" applyBorder="1" applyAlignment="1">
      <alignment horizontal="left" vertical="center" wrapText="1"/>
    </xf>
    <xf numFmtId="0" fontId="23" fillId="0" borderId="85" xfId="0" applyFont="1" applyBorder="1" applyAlignment="1">
      <alignment horizontal="center" vertical="center"/>
    </xf>
    <xf numFmtId="44" fontId="23" fillId="0" borderId="85" xfId="8" applyFont="1" applyBorder="1" applyAlignment="1">
      <alignment vertical="center"/>
    </xf>
    <xf numFmtId="44" fontId="23" fillId="0" borderId="86" xfId="8" applyFont="1" applyBorder="1" applyAlignment="1">
      <alignment vertical="center"/>
    </xf>
    <xf numFmtId="0" fontId="23" fillId="0" borderId="70" xfId="0" applyFont="1" applyBorder="1" applyAlignment="1">
      <alignment horizontal="left" vertical="center" wrapText="1"/>
    </xf>
    <xf numFmtId="0" fontId="23" fillId="0" borderId="71" xfId="0" applyFont="1" applyBorder="1" applyAlignment="1">
      <alignment horizontal="left" vertical="center" wrapText="1"/>
    </xf>
    <xf numFmtId="0" fontId="23" fillId="0" borderId="71" xfId="0" applyFont="1" applyBorder="1" applyAlignment="1">
      <alignment horizontal="center" vertical="center"/>
    </xf>
    <xf numFmtId="44" fontId="23" fillId="0" borderId="71" xfId="8" applyFont="1" applyBorder="1" applyAlignment="1">
      <alignment vertical="center"/>
    </xf>
    <xf numFmtId="44" fontId="23" fillId="0" borderId="72" xfId="8" applyFont="1" applyBorder="1" applyAlignment="1">
      <alignment vertical="center"/>
    </xf>
    <xf numFmtId="0" fontId="24" fillId="0" borderId="53" xfId="0" applyFont="1" applyBorder="1" applyAlignment="1">
      <alignment horizontal="left" vertical="center" wrapText="1"/>
    </xf>
    <xf numFmtId="0" fontId="23" fillId="0" borderId="54" xfId="0" applyFont="1" applyBorder="1" applyAlignment="1">
      <alignment horizontal="left" vertical="center" wrapText="1"/>
    </xf>
    <xf numFmtId="0" fontId="23" fillId="0" borderId="54" xfId="0" applyFont="1" applyBorder="1" applyAlignment="1">
      <alignment horizontal="center" vertical="center"/>
    </xf>
    <xf numFmtId="44" fontId="23" fillId="0" borderId="54" xfId="8" applyFont="1" applyBorder="1" applyAlignment="1">
      <alignment vertical="center"/>
    </xf>
    <xf numFmtId="44" fontId="23" fillId="0" borderId="55" xfId="8" applyFont="1" applyBorder="1" applyAlignment="1">
      <alignment vertical="center"/>
    </xf>
    <xf numFmtId="170" fontId="24" fillId="11" borderId="85" xfId="8" applyNumberFormat="1" applyFont="1" applyFill="1" applyBorder="1" applyAlignment="1">
      <alignment horizontal="center" vertical="center"/>
    </xf>
    <xf numFmtId="170" fontId="28" fillId="11" borderId="86" xfId="8" applyNumberFormat="1" applyFont="1" applyFill="1" applyBorder="1" applyAlignment="1">
      <alignment horizontal="center" vertical="center"/>
    </xf>
    <xf numFmtId="0" fontId="24" fillId="11" borderId="85" xfId="0" applyFont="1" applyFill="1" applyBorder="1" applyAlignment="1">
      <alignment horizontal="center" vertical="center"/>
    </xf>
    <xf numFmtId="0" fontId="28" fillId="11" borderId="86" xfId="0" applyFont="1" applyFill="1" applyBorder="1" applyAlignment="1">
      <alignment horizontal="center" vertical="center"/>
    </xf>
    <xf numFmtId="170" fontId="27" fillId="10" borderId="71" xfId="8" applyNumberFormat="1" applyFont="1" applyFill="1" applyBorder="1" applyAlignment="1">
      <alignment horizontal="right"/>
    </xf>
    <xf numFmtId="170" fontId="27" fillId="10" borderId="72" xfId="8" applyNumberFormat="1" applyFont="1" applyFill="1" applyBorder="1" applyAlignment="1">
      <alignment horizontal="right"/>
    </xf>
    <xf numFmtId="0" fontId="23" fillId="0" borderId="62" xfId="0" applyFont="1" applyBorder="1" applyAlignment="1">
      <alignment horizontal="left" vertical="center" wrapText="1"/>
    </xf>
    <xf numFmtId="1" fontId="23" fillId="12" borderId="87" xfId="0" applyNumberFormat="1" applyFont="1" applyFill="1" applyBorder="1" applyAlignment="1">
      <alignment horizontal="center" vertical="center"/>
    </xf>
    <xf numFmtId="44" fontId="23" fillId="12" borderId="87" xfId="8" applyFont="1" applyFill="1" applyBorder="1" applyAlignment="1">
      <alignment vertical="center"/>
    </xf>
    <xf numFmtId="44" fontId="23" fillId="14" borderId="87" xfId="8" applyFont="1" applyFill="1" applyBorder="1" applyAlignment="1">
      <alignment vertical="center"/>
    </xf>
    <xf numFmtId="9" fontId="23" fillId="13" borderId="87" xfId="1" applyFont="1" applyFill="1" applyBorder="1" applyAlignment="1">
      <alignment vertical="center"/>
    </xf>
    <xf numFmtId="44" fontId="23" fillId="13" borderId="87" xfId="8" applyFont="1" applyFill="1" applyBorder="1" applyAlignment="1">
      <alignment vertical="center"/>
    </xf>
    <xf numFmtId="1" fontId="23" fillId="12" borderId="7" xfId="0" applyNumberFormat="1" applyFont="1" applyFill="1" applyBorder="1" applyAlignment="1">
      <alignment vertical="center"/>
    </xf>
    <xf numFmtId="1" fontId="23" fillId="12" borderId="83" xfId="0" applyNumberFormat="1" applyFont="1" applyFill="1" applyBorder="1" applyAlignment="1">
      <alignment vertical="center"/>
    </xf>
    <xf numFmtId="170" fontId="27" fillId="10" borderId="62" xfId="0" applyNumberFormat="1" applyFont="1" applyFill="1" applyBorder="1" applyAlignment="1">
      <alignment horizontal="right"/>
    </xf>
    <xf numFmtId="170" fontId="27" fillId="10" borderId="67" xfId="0" applyNumberFormat="1" applyFont="1" applyFill="1" applyBorder="1" applyAlignment="1">
      <alignment horizontal="right"/>
    </xf>
    <xf numFmtId="44" fontId="27" fillId="10" borderId="62" xfId="0" applyNumberFormat="1" applyFont="1" applyFill="1" applyBorder="1" applyAlignment="1">
      <alignment horizontal="right"/>
    </xf>
    <xf numFmtId="44" fontId="15" fillId="14" borderId="62" xfId="0" applyNumberFormat="1" applyFont="1" applyFill="1" applyBorder="1"/>
    <xf numFmtId="0" fontId="0" fillId="13" borderId="62" xfId="0" applyFill="1" applyBorder="1"/>
    <xf numFmtId="44" fontId="15" fillId="13" borderId="62" xfId="0" applyNumberFormat="1" applyFont="1" applyFill="1" applyBorder="1"/>
    <xf numFmtId="44" fontId="15" fillId="13" borderId="67" xfId="8" applyFont="1" applyFill="1" applyBorder="1"/>
    <xf numFmtId="44" fontId="15" fillId="13" borderId="83" xfId="8" applyFont="1" applyFill="1" applyBorder="1"/>
    <xf numFmtId="0" fontId="29" fillId="15" borderId="77" xfId="0" applyFont="1" applyFill="1" applyBorder="1" applyAlignment="1">
      <alignment horizontal="center" vertical="center"/>
    </xf>
    <xf numFmtId="44" fontId="30" fillId="15" borderId="11" xfId="8" applyFont="1" applyFill="1" applyBorder="1" applyAlignment="1">
      <alignment horizontal="center"/>
    </xf>
    <xf numFmtId="44" fontId="30" fillId="15" borderId="88" xfId="8" applyFont="1" applyFill="1" applyBorder="1" applyAlignment="1">
      <alignment horizontal="center"/>
    </xf>
    <xf numFmtId="9" fontId="29" fillId="15" borderId="14" xfId="1" applyFont="1" applyFill="1" applyBorder="1"/>
    <xf numFmtId="170" fontId="27" fillId="10" borderId="90" xfId="0" applyNumberFormat="1" applyFont="1" applyFill="1" applyBorder="1" applyAlignment="1">
      <alignment horizontal="right"/>
    </xf>
    <xf numFmtId="170" fontId="27" fillId="10" borderId="91" xfId="0" applyNumberFormat="1" applyFont="1" applyFill="1" applyBorder="1" applyAlignment="1">
      <alignment horizontal="right"/>
    </xf>
    <xf numFmtId="0" fontId="23" fillId="0" borderId="45" xfId="0" applyFont="1" applyBorder="1" applyAlignment="1">
      <alignment horizontal="left" vertical="center" wrapText="1"/>
    </xf>
    <xf numFmtId="0" fontId="23" fillId="0" borderId="60" xfId="0" applyFont="1" applyBorder="1" applyAlignment="1">
      <alignment vertical="center"/>
    </xf>
    <xf numFmtId="0" fontId="24" fillId="11" borderId="94" xfId="0" applyFont="1" applyFill="1" applyBorder="1" applyAlignment="1">
      <alignment horizontal="center" vertical="center"/>
    </xf>
    <xf numFmtId="0" fontId="24" fillId="11" borderId="54" xfId="0" applyFont="1" applyFill="1" applyBorder="1" applyAlignment="1">
      <alignment horizontal="center" vertical="center"/>
    </xf>
    <xf numFmtId="0" fontId="24" fillId="11" borderId="88" xfId="0" applyFont="1" applyFill="1" applyBorder="1" applyAlignment="1">
      <alignment horizontal="center" vertical="center"/>
    </xf>
    <xf numFmtId="44" fontId="27" fillId="10" borderId="0" xfId="0" applyNumberFormat="1" applyFont="1" applyFill="1" applyAlignment="1">
      <alignment horizontal="right"/>
    </xf>
    <xf numFmtId="44" fontId="15" fillId="14" borderId="0" xfId="0" applyNumberFormat="1" applyFont="1" applyFill="1"/>
    <xf numFmtId="0" fontId="0" fillId="13" borderId="0" xfId="0" applyFill="1"/>
    <xf numFmtId="44" fontId="15" fillId="13" borderId="0" xfId="0" applyNumberFormat="1" applyFont="1" applyFill="1"/>
    <xf numFmtId="44" fontId="15" fillId="13" borderId="0" xfId="8" applyFont="1" applyFill="1" applyBorder="1"/>
    <xf numFmtId="1" fontId="23" fillId="12" borderId="95" xfId="0" applyNumberFormat="1" applyFont="1" applyFill="1" applyBorder="1" applyAlignment="1">
      <alignment vertical="center"/>
    </xf>
    <xf numFmtId="170" fontId="27" fillId="10" borderId="0" xfId="0" applyNumberFormat="1" applyFont="1" applyFill="1" applyAlignment="1">
      <alignment horizontal="right"/>
    </xf>
    <xf numFmtId="170" fontId="27" fillId="10" borderId="18" xfId="0" applyNumberFormat="1" applyFont="1" applyFill="1" applyBorder="1" applyAlignment="1">
      <alignment horizontal="right"/>
    </xf>
    <xf numFmtId="44" fontId="30" fillId="15" borderId="96" xfId="8" applyFont="1" applyFill="1" applyBorder="1" applyAlignment="1">
      <alignment horizontal="center"/>
    </xf>
    <xf numFmtId="8" fontId="23" fillId="12" borderId="7" xfId="0" applyNumberFormat="1" applyFont="1" applyFill="1" applyBorder="1"/>
    <xf numFmtId="44" fontId="23" fillId="12" borderId="9" xfId="0" applyNumberFormat="1" applyFont="1" applyFill="1" applyBorder="1"/>
    <xf numFmtId="14" fontId="23" fillId="12" borderId="10" xfId="0" applyNumberFormat="1" applyFont="1" applyFill="1" applyBorder="1"/>
    <xf numFmtId="0" fontId="23" fillId="12" borderId="7" xfId="0" applyFont="1" applyFill="1" applyBorder="1" applyAlignment="1">
      <alignment wrapText="1"/>
    </xf>
    <xf numFmtId="0" fontId="23" fillId="12" borderId="10" xfId="0" applyFont="1" applyFill="1" applyBorder="1" applyAlignment="1">
      <alignment wrapText="1"/>
    </xf>
    <xf numFmtId="0" fontId="0" fillId="0" borderId="0" xfId="0" applyAlignment="1">
      <alignment wrapText="1"/>
    </xf>
    <xf numFmtId="0" fontId="24" fillId="11" borderId="83" xfId="0" applyFont="1" applyFill="1" applyBorder="1" applyAlignment="1">
      <alignment horizontal="center" vertical="center"/>
    </xf>
    <xf numFmtId="0" fontId="24" fillId="11" borderId="61" xfId="0" applyFont="1" applyFill="1" applyBorder="1" applyAlignment="1">
      <alignment horizontal="center" vertical="center"/>
    </xf>
    <xf numFmtId="44" fontId="27" fillId="9" borderId="0" xfId="0" applyNumberFormat="1" applyFont="1" applyFill="1" applyAlignment="1">
      <alignment horizontal="right"/>
    </xf>
    <xf numFmtId="0" fontId="24" fillId="11" borderId="18" xfId="0" applyFont="1" applyFill="1" applyBorder="1" applyAlignment="1">
      <alignment horizontal="center" vertical="center"/>
    </xf>
    <xf numFmtId="44" fontId="27" fillId="9" borderId="18" xfId="0" applyNumberFormat="1" applyFont="1" applyFill="1" applyBorder="1" applyAlignment="1">
      <alignment horizontal="right"/>
    </xf>
    <xf numFmtId="44" fontId="29" fillId="15" borderId="98" xfId="0" applyNumberFormat="1" applyFont="1" applyFill="1" applyBorder="1"/>
    <xf numFmtId="44" fontId="30" fillId="15" borderId="99" xfId="8" applyFont="1" applyFill="1" applyBorder="1" applyAlignment="1">
      <alignment horizontal="center"/>
    </xf>
    <xf numFmtId="44" fontId="29" fillId="15" borderId="100" xfId="8" applyFont="1" applyFill="1" applyBorder="1"/>
    <xf numFmtId="4" fontId="0" fillId="0" borderId="0" xfId="0" applyNumberFormat="1" applyAlignment="1">
      <alignment horizontal="left"/>
    </xf>
    <xf numFmtId="3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3" fillId="20" borderId="65" xfId="0" applyFont="1" applyFill="1" applyBorder="1" applyAlignment="1">
      <alignment horizontal="left" vertical="center" wrapText="1"/>
    </xf>
    <xf numFmtId="0" fontId="23" fillId="20" borderId="60" xfId="0" applyFont="1" applyFill="1" applyBorder="1" applyAlignment="1">
      <alignment horizontal="left" vertical="center" wrapText="1"/>
    </xf>
    <xf numFmtId="0" fontId="23" fillId="20" borderId="51" xfId="0" applyFont="1" applyFill="1" applyBorder="1" applyAlignment="1">
      <alignment horizontal="left" vertical="center" wrapText="1"/>
    </xf>
    <xf numFmtId="0" fontId="23" fillId="20" borderId="61" xfId="0" applyFont="1" applyFill="1" applyBorder="1" applyAlignment="1">
      <alignment horizontal="left" vertical="center" wrapText="1"/>
    </xf>
    <xf numFmtId="0" fontId="23" fillId="20" borderId="79" xfId="0" applyFont="1" applyFill="1" applyBorder="1" applyAlignment="1">
      <alignment horizontal="left" vertical="center" wrapText="1"/>
    </xf>
    <xf numFmtId="0" fontId="23" fillId="20" borderId="63" xfId="0" applyFont="1" applyFill="1" applyBorder="1" applyAlignment="1">
      <alignment horizontal="left" vertical="center" wrapText="1"/>
    </xf>
    <xf numFmtId="0" fontId="32" fillId="20" borderId="65" xfId="0" applyFont="1" applyFill="1" applyBorder="1" applyAlignment="1">
      <alignment horizontal="left" vertical="center" wrapText="1"/>
    </xf>
    <xf numFmtId="0" fontId="32" fillId="20" borderId="60" xfId="0" applyFont="1" applyFill="1" applyBorder="1" applyAlignment="1">
      <alignment horizontal="left" vertical="center" wrapText="1"/>
    </xf>
    <xf numFmtId="0" fontId="23" fillId="16" borderId="54" xfId="0" applyFont="1" applyFill="1" applyBorder="1" applyAlignment="1">
      <alignment horizontal="center" vertical="center"/>
    </xf>
    <xf numFmtId="44" fontId="23" fillId="16" borderId="54" xfId="8" applyFont="1" applyFill="1" applyBorder="1" applyAlignment="1">
      <alignment vertical="center"/>
    </xf>
    <xf numFmtId="170" fontId="0" fillId="0" borderId="0" xfId="0" applyNumberFormat="1"/>
    <xf numFmtId="44" fontId="0" fillId="0" borderId="0" xfId="0" applyNumberFormat="1"/>
    <xf numFmtId="1" fontId="23" fillId="12" borderId="51" xfId="0" applyNumberFormat="1" applyFont="1" applyFill="1" applyBorder="1" applyAlignment="1">
      <alignment vertical="center"/>
    </xf>
    <xf numFmtId="1" fontId="23" fillId="12" borderId="61" xfId="0" applyNumberFormat="1" applyFont="1" applyFill="1" applyBorder="1" applyAlignment="1">
      <alignment vertical="center"/>
    </xf>
    <xf numFmtId="44" fontId="27" fillId="9" borderId="62" xfId="0" applyNumberFormat="1" applyFont="1" applyFill="1" applyBorder="1" applyAlignment="1">
      <alignment horizontal="right"/>
    </xf>
    <xf numFmtId="44" fontId="15" fillId="13" borderId="87" xfId="8" applyFont="1" applyFill="1" applyBorder="1"/>
    <xf numFmtId="44" fontId="30" fillId="15" borderId="17" xfId="8" applyFont="1" applyFill="1" applyBorder="1" applyAlignment="1">
      <alignment horizontal="center"/>
    </xf>
    <xf numFmtId="0" fontId="23" fillId="20" borderId="62" xfId="0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horizontal="center"/>
    </xf>
    <xf numFmtId="9" fontId="24" fillId="0" borderId="91" xfId="1" applyFont="1" applyBorder="1" applyAlignment="1">
      <alignment horizontal="center"/>
    </xf>
    <xf numFmtId="170" fontId="24" fillId="21" borderId="60" xfId="0" applyNumberFormat="1" applyFont="1" applyFill="1" applyBorder="1"/>
    <xf numFmtId="44" fontId="24" fillId="21" borderId="60" xfId="0" applyNumberFormat="1" applyFont="1" applyFill="1" applyBorder="1"/>
    <xf numFmtId="170" fontId="24" fillId="21" borderId="63" xfId="0" applyNumberFormat="1" applyFont="1" applyFill="1" applyBorder="1" applyAlignment="1">
      <alignment horizontal="center"/>
    </xf>
    <xf numFmtId="0" fontId="24" fillId="0" borderId="0" xfId="0" applyFont="1"/>
    <xf numFmtId="170" fontId="24" fillId="0" borderId="62" xfId="0" applyNumberFormat="1" applyFont="1" applyBorder="1"/>
    <xf numFmtId="170" fontId="24" fillId="0" borderId="90" xfId="0" applyNumberFormat="1" applyFont="1" applyBorder="1" applyAlignment="1">
      <alignment horizontal="center"/>
    </xf>
    <xf numFmtId="0" fontId="24" fillId="0" borderId="89" xfId="0" applyFont="1" applyBorder="1"/>
    <xf numFmtId="9" fontId="24" fillId="0" borderId="48" xfId="1" applyFont="1" applyBorder="1" applyAlignment="1">
      <alignment horizontal="center"/>
    </xf>
    <xf numFmtId="170" fontId="24" fillId="0" borderId="68" xfId="0" applyNumberFormat="1" applyFont="1" applyBorder="1"/>
    <xf numFmtId="44" fontId="24" fillId="0" borderId="68" xfId="0" applyNumberFormat="1" applyFont="1" applyBorder="1"/>
    <xf numFmtId="170" fontId="24" fillId="0" borderId="68" xfId="0" applyNumberFormat="1" applyFont="1" applyBorder="1" applyAlignment="1">
      <alignment horizontal="center"/>
    </xf>
    <xf numFmtId="0" fontId="24" fillId="0" borderId="49" xfId="0" applyFont="1" applyBorder="1"/>
    <xf numFmtId="9" fontId="24" fillId="0" borderId="60" xfId="1" applyFont="1" applyBorder="1" applyAlignment="1">
      <alignment horizontal="center"/>
    </xf>
    <xf numFmtId="44" fontId="24" fillId="21" borderId="60" xfId="0" applyNumberFormat="1" applyFont="1" applyFill="1" applyBorder="1" applyAlignment="1">
      <alignment horizontal="center"/>
    </xf>
    <xf numFmtId="0" fontId="24" fillId="21" borderId="60" xfId="0" applyFont="1" applyFill="1" applyBorder="1" applyAlignment="1">
      <alignment horizontal="center"/>
    </xf>
    <xf numFmtId="44" fontId="24" fillId="0" borderId="60" xfId="0" applyNumberFormat="1" applyFont="1" applyBorder="1"/>
    <xf numFmtId="164" fontId="4" fillId="0" borderId="60" xfId="2" applyNumberFormat="1" applyFont="1" applyBorder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164" fontId="4" fillId="0" borderId="0" xfId="2" applyNumberFormat="1" applyFont="1" applyAlignment="1" applyProtection="1">
      <alignment horizontal="left" vertical="center"/>
      <protection locked="0"/>
    </xf>
    <xf numFmtId="0" fontId="28" fillId="22" borderId="15" xfId="0" applyFont="1" applyFill="1" applyBorder="1"/>
    <xf numFmtId="0" fontId="28" fillId="22" borderId="14" xfId="0" applyFont="1" applyFill="1" applyBorder="1"/>
    <xf numFmtId="0" fontId="23" fillId="23" borderId="0" xfId="0" applyFont="1" applyFill="1" applyAlignment="1">
      <alignment horizontal="right"/>
    </xf>
    <xf numFmtId="0" fontId="23" fillId="23" borderId="17" xfId="0" applyFont="1" applyFill="1" applyBorder="1" applyAlignment="1">
      <alignment horizontal="right"/>
    </xf>
    <xf numFmtId="16" fontId="23" fillId="24" borderId="15" xfId="0" applyNumberFormat="1" applyFont="1" applyFill="1" applyBorder="1"/>
    <xf numFmtId="16" fontId="23" fillId="24" borderId="14" xfId="0" applyNumberFormat="1" applyFont="1" applyFill="1" applyBorder="1"/>
    <xf numFmtId="16" fontId="23" fillId="25" borderId="12" xfId="0" applyNumberFormat="1" applyFont="1" applyFill="1" applyBorder="1"/>
    <xf numFmtId="16" fontId="23" fillId="25" borderId="11" xfId="0" applyNumberFormat="1" applyFont="1" applyFill="1" applyBorder="1"/>
    <xf numFmtId="166" fontId="33" fillId="6" borderId="51" xfId="4" applyNumberFormat="1" applyFont="1" applyFill="1" applyBorder="1" applyAlignment="1">
      <alignment horizontal="center" vertical="center" wrapText="1"/>
    </xf>
    <xf numFmtId="166" fontId="34" fillId="6" borderId="52" xfId="4" applyNumberFormat="1" applyFont="1" applyFill="1" applyBorder="1" applyAlignment="1">
      <alignment horizontal="center" vertical="center" wrapText="1"/>
    </xf>
    <xf numFmtId="0" fontId="35" fillId="0" borderId="0" xfId="0" applyFont="1"/>
    <xf numFmtId="44" fontId="33" fillId="0" borderId="60" xfId="0" applyNumberFormat="1" applyFont="1" applyBorder="1"/>
    <xf numFmtId="44" fontId="34" fillId="0" borderId="60" xfId="8" applyFont="1" applyBorder="1"/>
    <xf numFmtId="0" fontId="37" fillId="0" borderId="0" xfId="0" applyFont="1"/>
    <xf numFmtId="49" fontId="38" fillId="0" borderId="0" xfId="2" applyNumberFormat="1" applyFont="1" applyAlignment="1">
      <alignment horizontal="left" vertical="center" wrapText="1"/>
    </xf>
    <xf numFmtId="0" fontId="38" fillId="0" borderId="0" xfId="2" applyFont="1" applyAlignment="1">
      <alignment horizontal="left" vertical="center" wrapText="1"/>
    </xf>
    <xf numFmtId="0" fontId="37" fillId="0" borderId="0" xfId="0" applyFont="1" applyAlignment="1">
      <alignment horizontal="center" vertical="center"/>
    </xf>
    <xf numFmtId="0" fontId="37" fillId="26" borderId="0" xfId="0" applyFont="1" applyFill="1"/>
    <xf numFmtId="0" fontId="37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164" fontId="38" fillId="0" borderId="0" xfId="2" applyNumberFormat="1" applyFont="1" applyAlignment="1">
      <alignment horizontal="left" vertical="center"/>
    </xf>
    <xf numFmtId="164" fontId="38" fillId="0" borderId="73" xfId="2" applyNumberFormat="1" applyFont="1" applyBorder="1" applyAlignment="1" applyProtection="1">
      <alignment horizontal="left" vertical="center"/>
      <protection locked="0"/>
    </xf>
    <xf numFmtId="164" fontId="38" fillId="0" borderId="74" xfId="2" applyNumberFormat="1" applyFont="1" applyBorder="1" applyAlignment="1" applyProtection="1">
      <alignment horizontal="left" vertical="center"/>
      <protection locked="0"/>
    </xf>
    <xf numFmtId="164" fontId="38" fillId="0" borderId="75" xfId="2" applyNumberFormat="1" applyFont="1" applyBorder="1" applyAlignment="1" applyProtection="1">
      <alignment horizontal="left" vertical="center"/>
      <protection locked="0"/>
    </xf>
    <xf numFmtId="164" fontId="38" fillId="0" borderId="76" xfId="2" applyNumberFormat="1" applyFont="1" applyBorder="1" applyAlignment="1" applyProtection="1">
      <alignment horizontal="left" vertical="center"/>
      <protection locked="0"/>
    </xf>
    <xf numFmtId="164" fontId="38" fillId="0" borderId="14" xfId="2" applyNumberFormat="1" applyFont="1" applyBorder="1" applyAlignment="1" applyProtection="1">
      <alignment horizontal="left" vertical="center"/>
      <protection locked="0"/>
    </xf>
    <xf numFmtId="164" fontId="38" fillId="0" borderId="72" xfId="2" applyNumberFormat="1" applyFont="1" applyBorder="1" applyAlignment="1" applyProtection="1">
      <alignment horizontal="left" vertical="center"/>
      <protection locked="0"/>
    </xf>
    <xf numFmtId="49" fontId="37" fillId="0" borderId="0" xfId="0" applyNumberFormat="1" applyFont="1"/>
    <xf numFmtId="0" fontId="37" fillId="0" borderId="0" xfId="1" applyNumberFormat="1" applyFont="1"/>
    <xf numFmtId="165" fontId="39" fillId="6" borderId="38" xfId="4" applyFont="1" applyFill="1" applyBorder="1" applyAlignment="1">
      <alignment horizontal="center" vertical="center" wrapText="1"/>
    </xf>
    <xf numFmtId="168" fontId="35" fillId="0" borderId="5" xfId="1" applyNumberFormat="1" applyFont="1" applyBorder="1"/>
    <xf numFmtId="166" fontId="39" fillId="0" borderId="39" xfId="4" applyNumberFormat="1" applyFont="1" applyBorder="1" applyAlignment="1">
      <alignment horizontal="center" vertical="center" wrapText="1"/>
    </xf>
    <xf numFmtId="0" fontId="35" fillId="5" borderId="0" xfId="0" applyFont="1" applyFill="1"/>
    <xf numFmtId="49" fontId="35" fillId="5" borderId="0" xfId="0" applyNumberFormat="1" applyFont="1" applyFill="1"/>
    <xf numFmtId="0" fontId="40" fillId="0" borderId="0" xfId="0" applyFont="1"/>
    <xf numFmtId="0" fontId="37" fillId="0" borderId="44" xfId="0" applyFont="1" applyBorder="1" applyAlignment="1">
      <alignment horizontal="left" vertical="center"/>
    </xf>
    <xf numFmtId="49" fontId="37" fillId="0" borderId="45" xfId="0" applyNumberFormat="1" applyFont="1" applyBorder="1" applyAlignment="1">
      <alignment horizontal="left" vertical="center"/>
    </xf>
    <xf numFmtId="0" fontId="37" fillId="0" borderId="46" xfId="0" applyFont="1" applyBorder="1" applyAlignment="1">
      <alignment horizontal="left" vertical="center"/>
    </xf>
    <xf numFmtId="0" fontId="37" fillId="0" borderId="44" xfId="0" applyFont="1" applyBorder="1" applyAlignment="1">
      <alignment horizontal="left" vertical="center" wrapText="1"/>
    </xf>
    <xf numFmtId="0" fontId="38" fillId="6" borderId="53" xfId="3" applyFont="1" applyFill="1" applyBorder="1" applyAlignment="1">
      <alignment horizontal="left" vertical="center"/>
    </xf>
    <xf numFmtId="0" fontId="38" fillId="6" borderId="54" xfId="3" applyFont="1" applyFill="1" applyBorder="1" applyAlignment="1">
      <alignment horizontal="center" vertical="center"/>
    </xf>
    <xf numFmtId="0" fontId="35" fillId="6" borderId="54" xfId="3" applyFont="1" applyFill="1" applyBorder="1" applyAlignment="1">
      <alignment horizontal="center" vertical="center"/>
    </xf>
    <xf numFmtId="169" fontId="35" fillId="6" borderId="54" xfId="3" applyNumberFormat="1" applyFont="1" applyFill="1" applyBorder="1" applyAlignment="1">
      <alignment horizontal="center" vertical="center" wrapText="1"/>
    </xf>
    <xf numFmtId="0" fontId="35" fillId="6" borderId="54" xfId="3" applyFont="1" applyFill="1" applyBorder="1" applyAlignment="1">
      <alignment horizontal="center" vertical="center" wrapText="1"/>
    </xf>
    <xf numFmtId="9" fontId="35" fillId="6" borderId="54" xfId="1" applyFont="1" applyFill="1" applyBorder="1" applyAlignment="1">
      <alignment horizontal="center" vertical="center" wrapText="1"/>
    </xf>
    <xf numFmtId="10" fontId="35" fillId="6" borderId="54" xfId="1" applyNumberFormat="1" applyFont="1" applyFill="1" applyBorder="1" applyAlignment="1">
      <alignment horizontal="center" vertical="center" wrapText="1"/>
    </xf>
    <xf numFmtId="0" fontId="35" fillId="6" borderId="55" xfId="3" applyFont="1" applyFill="1" applyBorder="1" applyAlignment="1">
      <alignment horizontal="center" vertical="center" wrapText="1"/>
    </xf>
    <xf numFmtId="37" fontId="39" fillId="6" borderId="53" xfId="3" applyNumberFormat="1" applyFont="1" applyFill="1" applyBorder="1" applyAlignment="1">
      <alignment horizontal="center" vertical="center"/>
    </xf>
    <xf numFmtId="37" fontId="39" fillId="6" borderId="54" xfId="3" applyNumberFormat="1" applyFont="1" applyFill="1" applyBorder="1" applyAlignment="1">
      <alignment horizontal="center" vertical="center"/>
    </xf>
    <xf numFmtId="40" fontId="39" fillId="6" borderId="54" xfId="4" applyNumberFormat="1" applyFont="1" applyFill="1" applyBorder="1" applyAlignment="1">
      <alignment horizontal="center" vertical="center"/>
    </xf>
    <xf numFmtId="165" fontId="39" fillId="6" borderId="54" xfId="4" applyFont="1" applyFill="1" applyBorder="1" applyAlignment="1">
      <alignment horizontal="right" vertical="center"/>
    </xf>
    <xf numFmtId="40" fontId="39" fillId="6" borderId="54" xfId="4" applyNumberFormat="1" applyFont="1" applyFill="1" applyBorder="1" applyAlignment="1">
      <alignment horizontal="center" vertical="center" wrapText="1"/>
    </xf>
    <xf numFmtId="10" fontId="39" fillId="6" borderId="54" xfId="5" applyNumberFormat="1" applyFont="1" applyFill="1" applyBorder="1" applyAlignment="1">
      <alignment horizontal="center" vertical="center" wrapText="1"/>
    </xf>
    <xf numFmtId="165" fontId="39" fillId="6" borderId="54" xfId="4" applyFont="1" applyFill="1" applyBorder="1" applyAlignment="1">
      <alignment horizontal="center" vertical="center" wrapText="1"/>
    </xf>
    <xf numFmtId="165" fontId="39" fillId="6" borderId="55" xfId="4" applyFont="1" applyFill="1" applyBorder="1" applyAlignment="1">
      <alignment horizontal="center" vertical="center" wrapText="1"/>
    </xf>
    <xf numFmtId="10" fontId="39" fillId="6" borderId="47" xfId="5" applyNumberFormat="1" applyFont="1" applyFill="1" applyBorder="1" applyAlignment="1">
      <alignment horizontal="center" vertical="center" wrapText="1"/>
    </xf>
    <xf numFmtId="10" fontId="39" fillId="6" borderId="48" xfId="5" applyNumberFormat="1" applyFont="1" applyFill="1" applyBorder="1" applyAlignment="1">
      <alignment horizontal="center" vertical="center" wrapText="1"/>
    </xf>
    <xf numFmtId="165" fontId="39" fillId="6" borderId="49" xfId="4" applyFont="1" applyFill="1" applyBorder="1" applyAlignment="1">
      <alignment horizontal="center" vertical="center" wrapText="1"/>
    </xf>
    <xf numFmtId="165" fontId="39" fillId="6" borderId="48" xfId="4" applyFont="1" applyFill="1" applyBorder="1" applyAlignment="1">
      <alignment horizontal="center" vertical="center" wrapText="1"/>
    </xf>
    <xf numFmtId="37" fontId="39" fillId="6" borderId="3" xfId="3" applyNumberFormat="1" applyFont="1" applyFill="1" applyBorder="1" applyAlignment="1">
      <alignment horizontal="center" vertical="center"/>
    </xf>
    <xf numFmtId="40" fontId="39" fillId="6" borderId="50" xfId="4" applyNumberFormat="1" applyFont="1" applyFill="1" applyBorder="1" applyAlignment="1">
      <alignment horizontal="center" vertical="center"/>
    </xf>
    <xf numFmtId="49" fontId="37" fillId="0" borderId="45" xfId="0" applyNumberFormat="1" applyFont="1" applyBorder="1" applyAlignment="1">
      <alignment horizontal="left" vertical="center" wrapText="1"/>
    </xf>
    <xf numFmtId="0" fontId="37" fillId="0" borderId="46" xfId="0" applyFont="1" applyBorder="1" applyAlignment="1">
      <alignment horizontal="left" vertical="center" wrapText="1"/>
    </xf>
    <xf numFmtId="10" fontId="37" fillId="14" borderId="10" xfId="0" applyNumberFormat="1" applyFont="1" applyFill="1" applyBorder="1" applyAlignment="1">
      <alignment horizontal="center" vertical="center"/>
    </xf>
    <xf numFmtId="0" fontId="35" fillId="11" borderId="63" xfId="0" applyFont="1" applyFill="1" applyBorder="1" applyAlignment="1">
      <alignment horizontal="center" vertical="center"/>
    </xf>
    <xf numFmtId="0" fontId="35" fillId="11" borderId="69" xfId="0" applyFont="1" applyFill="1" applyBorder="1" applyAlignment="1">
      <alignment horizontal="center" vertical="center"/>
    </xf>
    <xf numFmtId="0" fontId="35" fillId="11" borderId="10" xfId="0" applyFont="1" applyFill="1" applyBorder="1" applyAlignment="1">
      <alignment horizontal="center" vertical="center"/>
    </xf>
    <xf numFmtId="0" fontId="35" fillId="11" borderId="60" xfId="0" applyFont="1" applyFill="1" applyBorder="1" applyAlignment="1">
      <alignment horizontal="center" vertical="center"/>
    </xf>
    <xf numFmtId="0" fontId="37" fillId="19" borderId="65" xfId="0" applyFont="1" applyFill="1" applyBorder="1" applyAlignment="1">
      <alignment horizontal="left" vertical="center" wrapText="1"/>
    </xf>
    <xf numFmtId="0" fontId="37" fillId="19" borderId="60" xfId="0" applyFont="1" applyFill="1" applyBorder="1" applyAlignment="1">
      <alignment horizontal="left" vertical="center" wrapText="1"/>
    </xf>
    <xf numFmtId="0" fontId="37" fillId="0" borderId="60" xfId="0" applyFont="1" applyBorder="1" applyAlignment="1">
      <alignment horizontal="center" vertical="center"/>
    </xf>
    <xf numFmtId="44" fontId="37" fillId="0" borderId="60" xfId="8" applyFont="1" applyBorder="1" applyAlignment="1">
      <alignment vertical="center"/>
    </xf>
    <xf numFmtId="44" fontId="37" fillId="0" borderId="66" xfId="8" applyFont="1" applyBorder="1" applyAlignment="1">
      <alignment vertical="center"/>
    </xf>
    <xf numFmtId="1" fontId="37" fillId="12" borderId="65" xfId="0" applyNumberFormat="1" applyFont="1" applyFill="1" applyBorder="1" applyAlignment="1">
      <alignment horizontal="center" vertical="center"/>
    </xf>
    <xf numFmtId="1" fontId="37" fillId="12" borderId="60" xfId="0" applyNumberFormat="1" applyFont="1" applyFill="1" applyBorder="1" applyAlignment="1">
      <alignment horizontal="center" vertical="center"/>
    </xf>
    <xf numFmtId="44" fontId="37" fillId="12" borderId="60" xfId="8" applyFont="1" applyFill="1" applyBorder="1" applyAlignment="1">
      <alignment vertical="center"/>
    </xf>
    <xf numFmtId="44" fontId="37" fillId="14" borderId="60" xfId="8" applyFont="1" applyFill="1" applyBorder="1" applyAlignment="1">
      <alignment vertical="center"/>
    </xf>
    <xf numFmtId="9" fontId="37" fillId="13" borderId="60" xfId="1" applyFont="1" applyFill="1" applyBorder="1" applyAlignment="1">
      <alignment vertical="center"/>
    </xf>
    <xf numFmtId="44" fontId="37" fillId="13" borderId="60" xfId="8" applyFont="1" applyFill="1" applyBorder="1" applyAlignment="1">
      <alignment vertical="center"/>
    </xf>
    <xf numFmtId="44" fontId="37" fillId="13" borderId="66" xfId="8" applyFont="1" applyFill="1" applyBorder="1" applyAlignment="1">
      <alignment vertical="center"/>
    </xf>
    <xf numFmtId="10" fontId="37" fillId="14" borderId="60" xfId="0" applyNumberFormat="1" applyFont="1" applyFill="1" applyBorder="1" applyAlignment="1">
      <alignment horizontal="center" vertical="center"/>
    </xf>
    <xf numFmtId="8" fontId="37" fillId="12" borderId="7" xfId="0" applyNumberFormat="1" applyFont="1" applyFill="1" applyBorder="1"/>
    <xf numFmtId="44" fontId="37" fillId="12" borderId="9" xfId="0" applyNumberFormat="1" applyFont="1" applyFill="1" applyBorder="1"/>
    <xf numFmtId="14" fontId="37" fillId="12" borderId="10" xfId="0" applyNumberFormat="1" applyFont="1" applyFill="1" applyBorder="1"/>
    <xf numFmtId="0" fontId="37" fillId="12" borderId="7" xfId="0" applyFont="1" applyFill="1" applyBorder="1" applyAlignment="1">
      <alignment wrapText="1"/>
    </xf>
    <xf numFmtId="0" fontId="37" fillId="12" borderId="10" xfId="0" applyFont="1" applyFill="1" applyBorder="1" applyAlignment="1">
      <alignment wrapText="1"/>
    </xf>
    <xf numFmtId="0" fontId="37" fillId="0" borderId="57" xfId="0" applyFont="1" applyBorder="1" applyAlignment="1">
      <alignment horizontal="left" vertical="center" wrapText="1"/>
    </xf>
    <xf numFmtId="0" fontId="37" fillId="0" borderId="59" xfId="0" applyFont="1" applyBorder="1" applyAlignment="1">
      <alignment horizontal="left" vertical="center" wrapText="1"/>
    </xf>
    <xf numFmtId="170" fontId="36" fillId="10" borderId="61" xfId="8" applyNumberFormat="1" applyFont="1" applyFill="1" applyBorder="1" applyAlignment="1">
      <alignment horizontal="right"/>
    </xf>
    <xf numFmtId="170" fontId="36" fillId="10" borderId="52" xfId="8" applyNumberFormat="1" applyFont="1" applyFill="1" applyBorder="1" applyAlignment="1">
      <alignment horizontal="right"/>
    </xf>
    <xf numFmtId="44" fontId="36" fillId="10" borderId="61" xfId="8" applyFont="1" applyFill="1" applyBorder="1" applyAlignment="1">
      <alignment horizontal="right"/>
    </xf>
    <xf numFmtId="44" fontId="35" fillId="14" borderId="61" xfId="8" applyFont="1" applyFill="1" applyBorder="1" applyAlignment="1">
      <alignment vertical="center"/>
    </xf>
    <xf numFmtId="9" fontId="37" fillId="13" borderId="61" xfId="1" applyFont="1" applyFill="1" applyBorder="1" applyAlignment="1">
      <alignment vertical="center"/>
    </xf>
    <xf numFmtId="44" fontId="37" fillId="13" borderId="61" xfId="8" applyFont="1" applyFill="1" applyBorder="1" applyAlignment="1">
      <alignment vertical="center"/>
    </xf>
    <xf numFmtId="44" fontId="35" fillId="13" borderId="61" xfId="8" applyFont="1" applyFill="1" applyBorder="1" applyAlignment="1">
      <alignment vertical="center"/>
    </xf>
    <xf numFmtId="44" fontId="35" fillId="13" borderId="52" xfId="8" applyFont="1" applyFill="1" applyBorder="1" applyAlignment="1">
      <alignment vertical="center"/>
    </xf>
    <xf numFmtId="10" fontId="37" fillId="14" borderId="0" xfId="0" applyNumberFormat="1" applyFont="1" applyFill="1" applyAlignment="1">
      <alignment horizontal="center" vertical="center"/>
    </xf>
    <xf numFmtId="44" fontId="35" fillId="11" borderId="62" xfId="8" applyFont="1" applyFill="1" applyBorder="1" applyAlignment="1">
      <alignment horizontal="center" vertical="center"/>
    </xf>
    <xf numFmtId="44" fontId="35" fillId="11" borderId="67" xfId="8" applyFont="1" applyFill="1" applyBorder="1" applyAlignment="1">
      <alignment horizontal="center" vertical="center"/>
    </xf>
    <xf numFmtId="10" fontId="35" fillId="11" borderId="10" xfId="0" applyNumberFormat="1" applyFont="1" applyFill="1" applyBorder="1" applyAlignment="1">
      <alignment horizontal="center" vertical="center"/>
    </xf>
    <xf numFmtId="0" fontId="37" fillId="18" borderId="62" xfId="0" applyFont="1" applyFill="1" applyBorder="1" applyAlignment="1">
      <alignment horizontal="left" vertical="center" wrapText="1"/>
    </xf>
    <xf numFmtId="0" fontId="37" fillId="18" borderId="54" xfId="0" applyFont="1" applyFill="1" applyBorder="1" applyAlignment="1">
      <alignment horizontal="center" vertical="center"/>
    </xf>
    <xf numFmtId="44" fontId="37" fillId="18" borderId="54" xfId="8" applyFont="1" applyFill="1" applyBorder="1" applyAlignment="1">
      <alignment vertical="center"/>
    </xf>
    <xf numFmtId="4" fontId="37" fillId="0" borderId="0" xfId="0" applyNumberFormat="1" applyFont="1" applyAlignment="1">
      <alignment horizontal="left"/>
    </xf>
    <xf numFmtId="1" fontId="37" fillId="12" borderId="83" xfId="0" applyNumberFormat="1" applyFont="1" applyFill="1" applyBorder="1" applyAlignment="1">
      <alignment vertical="center"/>
    </xf>
    <xf numFmtId="44" fontId="37" fillId="12" borderId="83" xfId="8" applyFont="1" applyFill="1" applyBorder="1" applyAlignment="1">
      <alignment vertical="center"/>
    </xf>
    <xf numFmtId="44" fontId="37" fillId="14" borderId="83" xfId="8" applyFont="1" applyFill="1" applyBorder="1" applyAlignment="1">
      <alignment vertical="center"/>
    </xf>
    <xf numFmtId="9" fontId="37" fillId="13" borderId="83" xfId="1" applyFont="1" applyFill="1" applyBorder="1" applyAlignment="1">
      <alignment vertical="center"/>
    </xf>
    <xf numFmtId="44" fontId="37" fillId="13" borderId="83" xfId="8" applyFont="1" applyFill="1" applyBorder="1" applyAlignment="1">
      <alignment vertical="center"/>
    </xf>
    <xf numFmtId="0" fontId="37" fillId="18" borderId="61" xfId="0" applyFont="1" applyFill="1" applyBorder="1" applyAlignment="1">
      <alignment horizontal="left" vertical="center" wrapText="1"/>
    </xf>
    <xf numFmtId="0" fontId="37" fillId="18" borderId="61" xfId="0" applyFont="1" applyFill="1" applyBorder="1" applyAlignment="1">
      <alignment horizontal="center" vertical="center"/>
    </xf>
    <xf numFmtId="44" fontId="37" fillId="18" borderId="61" xfId="8" applyFont="1" applyFill="1" applyBorder="1" applyAlignment="1">
      <alignment vertical="center"/>
    </xf>
    <xf numFmtId="0" fontId="37" fillId="16" borderId="60" xfId="0" applyFont="1" applyFill="1" applyBorder="1" applyAlignment="1">
      <alignment horizontal="left" vertical="center" wrapText="1"/>
    </xf>
    <xf numFmtId="3" fontId="37" fillId="0" borderId="0" xfId="0" applyNumberFormat="1" applyFont="1" applyAlignment="1">
      <alignment horizontal="left"/>
    </xf>
    <xf numFmtId="1" fontId="37" fillId="12" borderId="7" xfId="0" applyNumberFormat="1" applyFont="1" applyFill="1" applyBorder="1" applyAlignment="1">
      <alignment vertical="center"/>
    </xf>
    <xf numFmtId="44" fontId="37" fillId="12" borderId="7" xfId="8" applyFont="1" applyFill="1" applyBorder="1" applyAlignment="1">
      <alignment vertical="center"/>
    </xf>
    <xf numFmtId="44" fontId="37" fillId="14" borderId="7" xfId="8" applyFont="1" applyFill="1" applyBorder="1" applyAlignment="1">
      <alignment vertical="center"/>
    </xf>
    <xf numFmtId="9" fontId="37" fillId="13" borderId="7" xfId="1" applyFont="1" applyFill="1" applyBorder="1" applyAlignment="1">
      <alignment vertical="center"/>
    </xf>
    <xf numFmtId="44" fontId="37" fillId="13" borderId="7" xfId="8" applyFont="1" applyFill="1" applyBorder="1" applyAlignment="1">
      <alignment vertical="center"/>
    </xf>
    <xf numFmtId="0" fontId="37" fillId="0" borderId="56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170" fontId="36" fillId="10" borderId="62" xfId="8" applyNumberFormat="1" applyFont="1" applyFill="1" applyBorder="1" applyAlignment="1">
      <alignment horizontal="right"/>
    </xf>
    <xf numFmtId="170" fontId="36" fillId="10" borderId="67" xfId="8" applyNumberFormat="1" applyFont="1" applyFill="1" applyBorder="1" applyAlignment="1">
      <alignment horizontal="right"/>
    </xf>
    <xf numFmtId="44" fontId="36" fillId="10" borderId="62" xfId="8" applyFont="1" applyFill="1" applyBorder="1" applyAlignment="1">
      <alignment horizontal="right"/>
    </xf>
    <xf numFmtId="44" fontId="35" fillId="14" borderId="62" xfId="8" applyFont="1" applyFill="1" applyBorder="1" applyAlignment="1">
      <alignment vertical="center"/>
    </xf>
    <xf numFmtId="9" fontId="37" fillId="13" borderId="62" xfId="1" applyFont="1" applyFill="1" applyBorder="1" applyAlignment="1">
      <alignment vertical="center"/>
    </xf>
    <xf numFmtId="44" fontId="37" fillId="13" borderId="62" xfId="8" applyFont="1" applyFill="1" applyBorder="1" applyAlignment="1">
      <alignment vertical="center"/>
    </xf>
    <xf numFmtId="44" fontId="35" fillId="13" borderId="62" xfId="8" applyFont="1" applyFill="1" applyBorder="1" applyAlignment="1">
      <alignment vertical="center"/>
    </xf>
    <xf numFmtId="44" fontId="35" fillId="13" borderId="67" xfId="8" applyFont="1" applyFill="1" applyBorder="1" applyAlignment="1">
      <alignment vertical="center"/>
    </xf>
    <xf numFmtId="170" fontId="35" fillId="11" borderId="63" xfId="8" applyNumberFormat="1" applyFont="1" applyFill="1" applyBorder="1" applyAlignment="1">
      <alignment horizontal="center" vertical="center"/>
    </xf>
    <xf numFmtId="170" fontId="36" fillId="11" borderId="69" xfId="8" applyNumberFormat="1" applyFont="1" applyFill="1" applyBorder="1" applyAlignment="1">
      <alignment horizontal="center" vertical="center"/>
    </xf>
    <xf numFmtId="0" fontId="37" fillId="20" borderId="65" xfId="0" applyFont="1" applyFill="1" applyBorder="1" applyAlignment="1">
      <alignment horizontal="left" vertical="center" wrapText="1"/>
    </xf>
    <xf numFmtId="0" fontId="37" fillId="20" borderId="60" xfId="0" applyFont="1" applyFill="1" applyBorder="1" applyAlignment="1">
      <alignment horizontal="left" vertical="center" wrapText="1"/>
    </xf>
    <xf numFmtId="0" fontId="37" fillId="20" borderId="60" xfId="0" applyFont="1" applyFill="1" applyBorder="1" applyAlignment="1">
      <alignment horizontal="center" vertical="center"/>
    </xf>
    <xf numFmtId="44" fontId="37" fillId="20" borderId="60" xfId="8" applyFont="1" applyFill="1" applyBorder="1" applyAlignment="1">
      <alignment vertical="center"/>
    </xf>
    <xf numFmtId="0" fontId="37" fillId="16" borderId="65" xfId="0" applyFont="1" applyFill="1" applyBorder="1" applyAlignment="1">
      <alignment horizontal="left" vertical="center" wrapText="1"/>
    </xf>
    <xf numFmtId="0" fontId="37" fillId="0" borderId="0" xfId="0" applyFont="1" applyAlignment="1">
      <alignment horizontal="left"/>
    </xf>
    <xf numFmtId="44" fontId="37" fillId="16" borderId="60" xfId="8" applyFont="1" applyFill="1" applyBorder="1" applyAlignment="1">
      <alignment vertical="center"/>
    </xf>
    <xf numFmtId="44" fontId="37" fillId="16" borderId="66" xfId="8" applyFont="1" applyFill="1" applyBorder="1" applyAlignment="1">
      <alignment vertical="center"/>
    </xf>
    <xf numFmtId="10" fontId="37" fillId="14" borderId="64" xfId="0" applyNumberFormat="1" applyFont="1" applyFill="1" applyBorder="1" applyAlignment="1">
      <alignment horizontal="center" vertical="center"/>
    </xf>
    <xf numFmtId="0" fontId="37" fillId="20" borderId="51" xfId="0" applyFont="1" applyFill="1" applyBorder="1" applyAlignment="1">
      <alignment horizontal="left" vertical="center" wrapText="1"/>
    </xf>
    <xf numFmtId="0" fontId="37" fillId="20" borderId="61" xfId="0" applyFont="1" applyFill="1" applyBorder="1" applyAlignment="1">
      <alignment horizontal="left" vertical="center" wrapText="1"/>
    </xf>
    <xf numFmtId="0" fontId="37" fillId="20" borderId="61" xfId="0" applyFont="1" applyFill="1" applyBorder="1" applyAlignment="1">
      <alignment horizontal="center" vertical="center"/>
    </xf>
    <xf numFmtId="44" fontId="37" fillId="20" borderId="61" xfId="8" applyFont="1" applyFill="1" applyBorder="1" applyAlignment="1">
      <alignment vertical="center"/>
    </xf>
    <xf numFmtId="44" fontId="37" fillId="0" borderId="61" xfId="8" applyFont="1" applyBorder="1" applyAlignment="1">
      <alignment vertical="center"/>
    </xf>
    <xf numFmtId="44" fontId="37" fillId="0" borderId="52" xfId="8" applyFont="1" applyBorder="1" applyAlignment="1">
      <alignment vertical="center"/>
    </xf>
    <xf numFmtId="1" fontId="37" fillId="12" borderId="51" xfId="0" applyNumberFormat="1" applyFont="1" applyFill="1" applyBorder="1" applyAlignment="1">
      <alignment horizontal="center" vertical="center"/>
    </xf>
    <xf numFmtId="1" fontId="37" fillId="12" borderId="61" xfId="0" applyNumberFormat="1" applyFont="1" applyFill="1" applyBorder="1" applyAlignment="1">
      <alignment horizontal="center" vertical="center"/>
    </xf>
    <xf numFmtId="44" fontId="37" fillId="12" borderId="61" xfId="8" applyFont="1" applyFill="1" applyBorder="1" applyAlignment="1">
      <alignment vertical="center"/>
    </xf>
    <xf numFmtId="44" fontId="37" fillId="14" borderId="61" xfId="8" applyFont="1" applyFill="1" applyBorder="1" applyAlignment="1">
      <alignment vertical="center"/>
    </xf>
    <xf numFmtId="44" fontId="37" fillId="13" borderId="52" xfId="8" applyFont="1" applyFill="1" applyBorder="1" applyAlignment="1">
      <alignment vertical="center"/>
    </xf>
    <xf numFmtId="1" fontId="37" fillId="12" borderId="83" xfId="0" applyNumberFormat="1" applyFont="1" applyFill="1" applyBorder="1" applyAlignment="1">
      <alignment horizontal="center" vertical="center"/>
    </xf>
    <xf numFmtId="0" fontId="37" fillId="0" borderId="81" xfId="0" applyFont="1" applyBorder="1" applyAlignment="1">
      <alignment horizontal="left" vertical="center" wrapText="1"/>
    </xf>
    <xf numFmtId="0" fontId="37" fillId="0" borderId="82" xfId="0" applyFont="1" applyBorder="1" applyAlignment="1">
      <alignment horizontal="left" vertical="center" wrapText="1"/>
    </xf>
    <xf numFmtId="10" fontId="37" fillId="14" borderId="63" xfId="0" applyNumberFormat="1" applyFont="1" applyFill="1" applyBorder="1" applyAlignment="1">
      <alignment horizontal="center" vertical="center"/>
    </xf>
    <xf numFmtId="44" fontId="36" fillId="10" borderId="60" xfId="8" applyFont="1" applyFill="1" applyBorder="1" applyAlignment="1">
      <alignment horizontal="right"/>
    </xf>
    <xf numFmtId="44" fontId="35" fillId="14" borderId="60" xfId="8" applyFont="1" applyFill="1" applyBorder="1" applyAlignment="1">
      <alignment vertical="center"/>
    </xf>
    <xf numFmtId="44" fontId="35" fillId="13" borderId="60" xfId="8" applyFont="1" applyFill="1" applyBorder="1" applyAlignment="1">
      <alignment vertical="center"/>
    </xf>
    <xf numFmtId="44" fontId="35" fillId="13" borderId="66" xfId="8" applyFont="1" applyFill="1" applyBorder="1" applyAlignment="1">
      <alignment vertical="center"/>
    </xf>
    <xf numFmtId="170" fontId="35" fillId="11" borderId="85" xfId="8" applyNumberFormat="1" applyFont="1" applyFill="1" applyBorder="1" applyAlignment="1">
      <alignment horizontal="center" vertical="center"/>
    </xf>
    <xf numFmtId="170" fontId="36" fillId="11" borderId="86" xfId="8" applyNumberFormat="1" applyFont="1" applyFill="1" applyBorder="1" applyAlignment="1">
      <alignment horizontal="center" vertical="center"/>
    </xf>
    <xf numFmtId="0" fontId="37" fillId="17" borderId="65" xfId="0" applyFont="1" applyFill="1" applyBorder="1" applyAlignment="1">
      <alignment horizontal="left" vertical="center" wrapText="1"/>
    </xf>
    <xf numFmtId="0" fontId="37" fillId="17" borderId="60" xfId="0" applyFont="1" applyFill="1" applyBorder="1" applyAlignment="1">
      <alignment horizontal="left" vertical="center" wrapText="1"/>
    </xf>
    <xf numFmtId="0" fontId="37" fillId="16" borderId="51" xfId="0" applyFont="1" applyFill="1" applyBorder="1" applyAlignment="1">
      <alignment horizontal="left" vertical="center" wrapText="1"/>
    </xf>
    <xf numFmtId="0" fontId="37" fillId="16" borderId="61" xfId="0" applyFont="1" applyFill="1" applyBorder="1" applyAlignment="1">
      <alignment horizontal="left" vertical="center" wrapText="1"/>
    </xf>
    <xf numFmtId="0" fontId="37" fillId="0" borderId="61" xfId="0" applyFont="1" applyBorder="1" applyAlignment="1">
      <alignment horizontal="center" vertical="center"/>
    </xf>
    <xf numFmtId="1" fontId="37" fillId="12" borderId="7" xfId="0" applyNumberFormat="1" applyFont="1" applyFill="1" applyBorder="1" applyAlignment="1">
      <alignment horizontal="center" vertical="center"/>
    </xf>
    <xf numFmtId="170" fontId="36" fillId="10" borderId="90" xfId="0" applyNumberFormat="1" applyFont="1" applyFill="1" applyBorder="1" applyAlignment="1">
      <alignment horizontal="right"/>
    </xf>
    <xf numFmtId="170" fontId="36" fillId="10" borderId="91" xfId="0" applyNumberFormat="1" applyFont="1" applyFill="1" applyBorder="1" applyAlignment="1">
      <alignment horizontal="right"/>
    </xf>
    <xf numFmtId="44" fontId="36" fillId="10" borderId="62" xfId="0" applyNumberFormat="1" applyFont="1" applyFill="1" applyBorder="1" applyAlignment="1">
      <alignment horizontal="right"/>
    </xf>
    <xf numFmtId="44" fontId="35" fillId="14" borderId="62" xfId="0" applyNumberFormat="1" applyFont="1" applyFill="1" applyBorder="1"/>
    <xf numFmtId="0" fontId="37" fillId="13" borderId="62" xfId="0" applyFont="1" applyFill="1" applyBorder="1"/>
    <xf numFmtId="44" fontId="35" fillId="13" borderId="62" xfId="0" applyNumberFormat="1" applyFont="1" applyFill="1" applyBorder="1"/>
    <xf numFmtId="44" fontId="35" fillId="13" borderId="67" xfId="8" applyFont="1" applyFill="1" applyBorder="1"/>
    <xf numFmtId="0" fontId="35" fillId="11" borderId="85" xfId="0" applyFont="1" applyFill="1" applyBorder="1" applyAlignment="1">
      <alignment horizontal="center" vertical="center"/>
    </xf>
    <xf numFmtId="0" fontId="36" fillId="11" borderId="86" xfId="0" applyFont="1" applyFill="1" applyBorder="1" applyAlignment="1">
      <alignment horizontal="center" vertical="center"/>
    </xf>
    <xf numFmtId="0" fontId="37" fillId="16" borderId="44" xfId="0" applyFont="1" applyFill="1" applyBorder="1" applyAlignment="1">
      <alignment horizontal="left" vertical="center" wrapText="1"/>
    </xf>
    <xf numFmtId="1" fontId="35" fillId="12" borderId="65" xfId="0" applyNumberFormat="1" applyFont="1" applyFill="1" applyBorder="1" applyAlignment="1">
      <alignment horizontal="center" vertical="center"/>
    </xf>
    <xf numFmtId="1" fontId="35" fillId="12" borderId="60" xfId="0" applyNumberFormat="1" applyFont="1" applyFill="1" applyBorder="1" applyAlignment="1">
      <alignment horizontal="center" vertical="center"/>
    </xf>
    <xf numFmtId="44" fontId="35" fillId="12" borderId="60" xfId="8" applyFont="1" applyFill="1" applyBorder="1" applyAlignment="1">
      <alignment vertical="center"/>
    </xf>
    <xf numFmtId="9" fontId="35" fillId="13" borderId="60" xfId="1" applyFont="1" applyFill="1" applyBorder="1" applyAlignment="1">
      <alignment vertical="center"/>
    </xf>
    <xf numFmtId="10" fontId="35" fillId="14" borderId="10" xfId="0" applyNumberFormat="1" applyFont="1" applyFill="1" applyBorder="1" applyAlignment="1">
      <alignment horizontal="center" vertical="center"/>
    </xf>
    <xf numFmtId="10" fontId="35" fillId="14" borderId="60" xfId="0" applyNumberFormat="1" applyFont="1" applyFill="1" applyBorder="1" applyAlignment="1">
      <alignment horizontal="center" vertical="center"/>
    </xf>
    <xf numFmtId="0" fontId="37" fillId="16" borderId="56" xfId="0" applyFont="1" applyFill="1" applyBorder="1" applyAlignment="1">
      <alignment horizontal="left" vertical="center" wrapText="1"/>
    </xf>
    <xf numFmtId="1" fontId="35" fillId="12" borderId="7" xfId="0" applyNumberFormat="1" applyFont="1" applyFill="1" applyBorder="1" applyAlignment="1">
      <alignment horizontal="center" vertical="center"/>
    </xf>
    <xf numFmtId="44" fontId="35" fillId="12" borderId="7" xfId="8" applyFont="1" applyFill="1" applyBorder="1" applyAlignment="1">
      <alignment vertical="center"/>
    </xf>
    <xf numFmtId="44" fontId="35" fillId="14" borderId="7" xfId="8" applyFont="1" applyFill="1" applyBorder="1" applyAlignment="1">
      <alignment vertical="center"/>
    </xf>
    <xf numFmtId="9" fontId="35" fillId="13" borderId="7" xfId="1" applyFont="1" applyFill="1" applyBorder="1" applyAlignment="1">
      <alignment vertical="center"/>
    </xf>
    <xf numFmtId="44" fontId="35" fillId="13" borderId="7" xfId="8" applyFont="1" applyFill="1" applyBorder="1" applyAlignment="1">
      <alignment vertical="center"/>
    </xf>
    <xf numFmtId="10" fontId="35" fillId="14" borderId="0" xfId="0" applyNumberFormat="1" applyFont="1" applyFill="1" applyAlignment="1">
      <alignment horizontal="center" vertical="center"/>
    </xf>
    <xf numFmtId="0" fontId="37" fillId="16" borderId="81" xfId="0" applyFont="1" applyFill="1" applyBorder="1" applyAlignment="1">
      <alignment horizontal="left" vertical="center" wrapText="1"/>
    </xf>
    <xf numFmtId="170" fontId="36" fillId="10" borderId="71" xfId="8" applyNumberFormat="1" applyFont="1" applyFill="1" applyBorder="1" applyAlignment="1">
      <alignment horizontal="right"/>
    </xf>
    <xf numFmtId="170" fontId="36" fillId="10" borderId="72" xfId="8" applyNumberFormat="1" applyFont="1" applyFill="1" applyBorder="1" applyAlignment="1">
      <alignment horizontal="right"/>
    </xf>
    <xf numFmtId="9" fontId="35" fillId="13" borderId="61" xfId="1" applyFont="1" applyFill="1" applyBorder="1" applyAlignment="1">
      <alignment vertical="center"/>
    </xf>
    <xf numFmtId="0" fontId="35" fillId="11" borderId="0" xfId="0" applyFont="1" applyFill="1" applyAlignment="1">
      <alignment horizontal="center" vertical="center"/>
    </xf>
    <xf numFmtId="170" fontId="36" fillId="10" borderId="62" xfId="0" applyNumberFormat="1" applyFont="1" applyFill="1" applyBorder="1" applyAlignment="1">
      <alignment horizontal="right"/>
    </xf>
    <xf numFmtId="170" fontId="36" fillId="10" borderId="67" xfId="0" applyNumberFormat="1" applyFont="1" applyFill="1" applyBorder="1" applyAlignment="1">
      <alignment horizontal="right"/>
    </xf>
    <xf numFmtId="0" fontId="37" fillId="20" borderId="79" xfId="0" applyFont="1" applyFill="1" applyBorder="1" applyAlignment="1">
      <alignment horizontal="left" vertical="center" wrapText="1"/>
    </xf>
    <xf numFmtId="0" fontId="37" fillId="20" borderId="63" xfId="0" applyFont="1" applyFill="1" applyBorder="1" applyAlignment="1">
      <alignment horizontal="left" vertical="center" wrapText="1"/>
    </xf>
    <xf numFmtId="0" fontId="37" fillId="0" borderId="63" xfId="0" applyFont="1" applyBorder="1" applyAlignment="1">
      <alignment horizontal="center" vertical="center"/>
    </xf>
    <xf numFmtId="44" fontId="37" fillId="0" borderId="63" xfId="8" applyFont="1" applyBorder="1" applyAlignment="1">
      <alignment vertical="center"/>
    </xf>
    <xf numFmtId="44" fontId="37" fillId="0" borderId="69" xfId="8" applyFont="1" applyBorder="1" applyAlignment="1">
      <alignment vertical="center"/>
    </xf>
    <xf numFmtId="1" fontId="37" fillId="12" borderId="79" xfId="0" applyNumberFormat="1" applyFont="1" applyFill="1" applyBorder="1" applyAlignment="1">
      <alignment horizontal="center" vertical="center"/>
    </xf>
    <xf numFmtId="1" fontId="37" fillId="12" borderId="63" xfId="0" applyNumberFormat="1" applyFont="1" applyFill="1" applyBorder="1" applyAlignment="1">
      <alignment horizontal="center" vertical="center"/>
    </xf>
    <xf numFmtId="44" fontId="37" fillId="12" borderId="63" xfId="8" applyFont="1" applyFill="1" applyBorder="1" applyAlignment="1">
      <alignment vertical="center"/>
    </xf>
    <xf numFmtId="44" fontId="37" fillId="14" borderId="63" xfId="8" applyFont="1" applyFill="1" applyBorder="1" applyAlignment="1">
      <alignment vertical="center"/>
    </xf>
    <xf numFmtId="9" fontId="37" fillId="13" borderId="63" xfId="1" applyFont="1" applyFill="1" applyBorder="1" applyAlignment="1">
      <alignment vertical="center"/>
    </xf>
    <xf numFmtId="44" fontId="37" fillId="13" borderId="63" xfId="8" applyFont="1" applyFill="1" applyBorder="1" applyAlignment="1">
      <alignment vertical="center"/>
    </xf>
    <xf numFmtId="44" fontId="37" fillId="13" borderId="69" xfId="8" applyFont="1" applyFill="1" applyBorder="1" applyAlignment="1">
      <alignment vertical="center"/>
    </xf>
    <xf numFmtId="0" fontId="41" fillId="20" borderId="65" xfId="0" applyFont="1" applyFill="1" applyBorder="1" applyAlignment="1">
      <alignment horizontal="left" vertical="center" wrapText="1"/>
    </xf>
    <xf numFmtId="0" fontId="41" fillId="20" borderId="60" xfId="0" applyFont="1" applyFill="1" applyBorder="1" applyAlignment="1">
      <alignment horizontal="left" vertical="center" wrapText="1"/>
    </xf>
    <xf numFmtId="170" fontId="36" fillId="10" borderId="61" xfId="0" applyNumberFormat="1" applyFont="1" applyFill="1" applyBorder="1" applyAlignment="1">
      <alignment horizontal="right"/>
    </xf>
    <xf numFmtId="170" fontId="36" fillId="10" borderId="52" xfId="0" applyNumberFormat="1" applyFont="1" applyFill="1" applyBorder="1" applyAlignment="1">
      <alignment horizontal="right"/>
    </xf>
    <xf numFmtId="44" fontId="36" fillId="10" borderId="61" xfId="0" applyNumberFormat="1" applyFont="1" applyFill="1" applyBorder="1" applyAlignment="1">
      <alignment horizontal="right"/>
    </xf>
    <xf numFmtId="44" fontId="35" fillId="14" borderId="61" xfId="0" applyNumberFormat="1" applyFont="1" applyFill="1" applyBorder="1"/>
    <xf numFmtId="0" fontId="37" fillId="13" borderId="61" xfId="0" applyFont="1" applyFill="1" applyBorder="1"/>
    <xf numFmtId="44" fontId="35" fillId="13" borderId="61" xfId="0" applyNumberFormat="1" applyFont="1" applyFill="1" applyBorder="1"/>
    <xf numFmtId="44" fontId="35" fillId="13" borderId="52" xfId="8" applyFont="1" applyFill="1" applyBorder="1"/>
    <xf numFmtId="10" fontId="37" fillId="14" borderId="33" xfId="0" applyNumberFormat="1" applyFont="1" applyFill="1" applyBorder="1" applyAlignment="1">
      <alignment horizontal="center" vertical="center"/>
    </xf>
    <xf numFmtId="10" fontId="37" fillId="14" borderId="61" xfId="0" applyNumberFormat="1" applyFont="1" applyFill="1" applyBorder="1" applyAlignment="1">
      <alignment horizontal="center" vertical="center"/>
    </xf>
    <xf numFmtId="44" fontId="35" fillId="13" borderId="83" xfId="8" applyFont="1" applyFill="1" applyBorder="1"/>
    <xf numFmtId="44" fontId="36" fillId="15" borderId="11" xfId="8" applyFont="1" applyFill="1" applyBorder="1" applyAlignment="1">
      <alignment horizontal="center"/>
    </xf>
    <xf numFmtId="44" fontId="36" fillId="15" borderId="88" xfId="8" applyFont="1" applyFill="1" applyBorder="1" applyAlignment="1">
      <alignment horizontal="center"/>
    </xf>
    <xf numFmtId="0" fontId="37" fillId="0" borderId="45" xfId="0" applyFont="1" applyBorder="1" applyAlignment="1">
      <alignment horizontal="left" vertical="center" wrapText="1"/>
    </xf>
    <xf numFmtId="0" fontId="35" fillId="11" borderId="94" xfId="0" applyFont="1" applyFill="1" applyBorder="1" applyAlignment="1">
      <alignment horizontal="center" vertical="center"/>
    </xf>
    <xf numFmtId="0" fontId="35" fillId="11" borderId="54" xfId="0" applyFont="1" applyFill="1" applyBorder="1" applyAlignment="1">
      <alignment horizontal="center" vertical="center"/>
    </xf>
    <xf numFmtId="0" fontId="35" fillId="11" borderId="88" xfId="0" applyFont="1" applyFill="1" applyBorder="1" applyAlignment="1">
      <alignment horizontal="center" vertical="center"/>
    </xf>
    <xf numFmtId="0" fontId="37" fillId="0" borderId="60" xfId="0" applyFont="1" applyBorder="1" applyAlignment="1">
      <alignment vertical="center"/>
    </xf>
    <xf numFmtId="1" fontId="37" fillId="12" borderId="95" xfId="0" applyNumberFormat="1" applyFont="1" applyFill="1" applyBorder="1" applyAlignment="1">
      <alignment vertical="center"/>
    </xf>
    <xf numFmtId="170" fontId="36" fillId="10" borderId="0" xfId="0" applyNumberFormat="1" applyFont="1" applyFill="1" applyAlignment="1">
      <alignment horizontal="right"/>
    </xf>
    <xf numFmtId="170" fontId="36" fillId="10" borderId="18" xfId="0" applyNumberFormat="1" applyFont="1" applyFill="1" applyBorder="1" applyAlignment="1">
      <alignment horizontal="right"/>
    </xf>
    <xf numFmtId="44" fontId="36" fillId="10" borderId="0" xfId="0" applyNumberFormat="1" applyFont="1" applyFill="1" applyAlignment="1">
      <alignment horizontal="right"/>
    </xf>
    <xf numFmtId="44" fontId="35" fillId="14" borderId="0" xfId="0" applyNumberFormat="1" applyFont="1" applyFill="1"/>
    <xf numFmtId="0" fontId="37" fillId="13" borderId="0" xfId="0" applyFont="1" applyFill="1"/>
    <xf numFmtId="44" fontId="35" fillId="13" borderId="0" xfId="0" applyNumberFormat="1" applyFont="1" applyFill="1"/>
    <xf numFmtId="44" fontId="35" fillId="13" borderId="0" xfId="8" applyFont="1" applyFill="1" applyBorder="1"/>
    <xf numFmtId="44" fontId="36" fillId="15" borderId="96" xfId="8" applyFont="1" applyFill="1" applyBorder="1" applyAlignment="1">
      <alignment horizontal="center"/>
    </xf>
    <xf numFmtId="0" fontId="35" fillId="11" borderId="83" xfId="0" applyFont="1" applyFill="1" applyBorder="1" applyAlignment="1">
      <alignment horizontal="center" vertical="center"/>
    </xf>
    <xf numFmtId="0" fontId="35" fillId="11" borderId="61" xfId="0" applyFont="1" applyFill="1" applyBorder="1" applyAlignment="1">
      <alignment horizontal="center" vertical="center"/>
    </xf>
    <xf numFmtId="0" fontId="35" fillId="11" borderId="18" xfId="0" applyFont="1" applyFill="1" applyBorder="1" applyAlignment="1">
      <alignment horizontal="center" vertical="center"/>
    </xf>
    <xf numFmtId="49" fontId="37" fillId="0" borderId="58" xfId="0" applyNumberFormat="1" applyFont="1" applyBorder="1" applyAlignment="1">
      <alignment horizontal="left" vertical="center" wrapText="1"/>
    </xf>
    <xf numFmtId="1" fontId="37" fillId="12" borderId="65" xfId="0" applyNumberFormat="1" applyFont="1" applyFill="1" applyBorder="1" applyAlignment="1">
      <alignment vertical="center"/>
    </xf>
    <xf numFmtId="1" fontId="37" fillId="12" borderId="60" xfId="0" applyNumberFormat="1" applyFont="1" applyFill="1" applyBorder="1" applyAlignment="1">
      <alignment vertical="center"/>
    </xf>
    <xf numFmtId="44" fontId="36" fillId="9" borderId="0" xfId="0" applyNumberFormat="1" applyFont="1" applyFill="1" applyAlignment="1">
      <alignment horizontal="right"/>
    </xf>
    <xf numFmtId="44" fontId="36" fillId="9" borderId="18" xfId="0" applyNumberFormat="1" applyFont="1" applyFill="1" applyBorder="1" applyAlignment="1">
      <alignment horizontal="right"/>
    </xf>
    <xf numFmtId="44" fontId="36" fillId="9" borderId="61" xfId="0" applyNumberFormat="1" applyFont="1" applyFill="1" applyBorder="1" applyAlignment="1">
      <alignment horizontal="right"/>
    </xf>
    <xf numFmtId="44" fontId="36" fillId="15" borderId="99" xfId="8" applyFont="1" applyFill="1" applyBorder="1" applyAlignment="1">
      <alignment horizontal="center"/>
    </xf>
    <xf numFmtId="0" fontId="37" fillId="0" borderId="58" xfId="0" applyFont="1" applyBorder="1" applyAlignment="1">
      <alignment horizontal="left" vertical="center" wrapText="1"/>
    </xf>
    <xf numFmtId="0" fontId="36" fillId="15" borderId="77" xfId="0" applyFont="1" applyFill="1" applyBorder="1"/>
    <xf numFmtId="0" fontId="36" fillId="15" borderId="37" xfId="0" applyFont="1" applyFill="1" applyBorder="1"/>
    <xf numFmtId="0" fontId="36" fillId="15" borderId="37" xfId="0" applyFont="1" applyFill="1" applyBorder="1" applyAlignment="1">
      <alignment horizontal="center" vertical="center"/>
    </xf>
    <xf numFmtId="44" fontId="36" fillId="15" borderId="37" xfId="0" applyNumberFormat="1" applyFont="1" applyFill="1" applyBorder="1"/>
    <xf numFmtId="44" fontId="36" fillId="15" borderId="98" xfId="0" applyNumberFormat="1" applyFont="1" applyFill="1" applyBorder="1"/>
    <xf numFmtId="0" fontId="36" fillId="15" borderId="77" xfId="0" applyFont="1" applyFill="1" applyBorder="1" applyAlignment="1">
      <alignment horizontal="center" vertical="center"/>
    </xf>
    <xf numFmtId="9" fontId="36" fillId="15" borderId="14" xfId="1" applyFont="1" applyFill="1" applyBorder="1"/>
    <xf numFmtId="44" fontId="36" fillId="15" borderId="100" xfId="8" applyFont="1" applyFill="1" applyBorder="1"/>
    <xf numFmtId="44" fontId="23" fillId="0" borderId="99" xfId="0" applyNumberFormat="1" applyFont="1" applyBorder="1" applyAlignment="1">
      <alignment horizontal="center" vertical="center"/>
    </xf>
    <xf numFmtId="0" fontId="23" fillId="0" borderId="100" xfId="0" applyFont="1" applyBorder="1" applyAlignment="1">
      <alignment horizontal="center" vertical="center"/>
    </xf>
    <xf numFmtId="0" fontId="24" fillId="21" borderId="77" xfId="0" applyFont="1" applyFill="1" applyBorder="1" applyAlignment="1">
      <alignment horizontal="center"/>
    </xf>
    <xf numFmtId="0" fontId="24" fillId="21" borderId="37" xfId="0" applyFont="1" applyFill="1" applyBorder="1" applyAlignment="1">
      <alignment horizontal="center"/>
    </xf>
    <xf numFmtId="0" fontId="24" fillId="21" borderId="98" xfId="0" applyFont="1" applyFill="1" applyBorder="1" applyAlignment="1">
      <alignment horizontal="center"/>
    </xf>
    <xf numFmtId="0" fontId="27" fillId="10" borderId="51" xfId="0" applyFont="1" applyFill="1" applyBorder="1" applyAlignment="1">
      <alignment horizontal="left"/>
    </xf>
    <xf numFmtId="0" fontId="27" fillId="10" borderId="61" xfId="0" applyFont="1" applyFill="1" applyBorder="1" applyAlignment="1">
      <alignment horizontal="left"/>
    </xf>
    <xf numFmtId="1" fontId="27" fillId="10" borderId="51" xfId="0" applyNumberFormat="1" applyFont="1" applyFill="1" applyBorder="1" applyAlignment="1">
      <alignment horizontal="left"/>
    </xf>
    <xf numFmtId="1" fontId="27" fillId="10" borderId="61" xfId="0" applyNumberFormat="1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8" fillId="2" borderId="3" xfId="3" applyFont="1" applyFill="1" applyBorder="1" applyAlignment="1">
      <alignment horizontal="center" vertical="center"/>
    </xf>
    <xf numFmtId="0" fontId="8" fillId="2" borderId="4" xfId="3" applyFont="1" applyFill="1" applyBorder="1" applyAlignment="1">
      <alignment horizontal="center" vertical="center"/>
    </xf>
    <xf numFmtId="0" fontId="8" fillId="2" borderId="5" xfId="3" applyFont="1" applyFill="1" applyBorder="1" applyAlignment="1">
      <alignment horizontal="center" vertical="center"/>
    </xf>
    <xf numFmtId="166" fontId="8" fillId="0" borderId="39" xfId="4" applyNumberFormat="1" applyFont="1" applyBorder="1" applyAlignment="1">
      <alignment horizontal="center" vertical="center" wrapText="1"/>
    </xf>
    <xf numFmtId="166" fontId="8" fillId="0" borderId="40" xfId="4" applyNumberFormat="1" applyFont="1" applyBorder="1" applyAlignment="1">
      <alignment horizontal="center" vertical="center" wrapText="1"/>
    </xf>
    <xf numFmtId="0" fontId="27" fillId="9" borderId="49" xfId="0" applyFont="1" applyFill="1" applyBorder="1" applyAlignment="1">
      <alignment horizontal="center"/>
    </xf>
    <xf numFmtId="0" fontId="27" fillId="9" borderId="68" xfId="0" applyFont="1" applyFill="1" applyBorder="1" applyAlignment="1">
      <alignment horizontal="center"/>
    </xf>
    <xf numFmtId="0" fontId="27" fillId="9" borderId="48" xfId="0" applyFont="1" applyFill="1" applyBorder="1" applyAlignment="1">
      <alignment horizontal="center"/>
    </xf>
    <xf numFmtId="1" fontId="27" fillId="9" borderId="49" xfId="0" applyNumberFormat="1" applyFont="1" applyFill="1" applyBorder="1" applyAlignment="1">
      <alignment horizontal="center"/>
    </xf>
    <xf numFmtId="1" fontId="27" fillId="9" borderId="68" xfId="0" applyNumberFormat="1" applyFont="1" applyFill="1" applyBorder="1" applyAlignment="1">
      <alignment horizontal="center"/>
    </xf>
    <xf numFmtId="1" fontId="27" fillId="9" borderId="48" xfId="0" applyNumberFormat="1" applyFont="1" applyFill="1" applyBorder="1" applyAlignment="1">
      <alignment horizontal="center"/>
    </xf>
    <xf numFmtId="0" fontId="27" fillId="10" borderId="79" xfId="0" applyFont="1" applyFill="1" applyBorder="1" applyAlignment="1">
      <alignment horizontal="left"/>
    </xf>
    <xf numFmtId="0" fontId="27" fillId="10" borderId="63" xfId="0" applyFont="1" applyFill="1" applyBorder="1" applyAlignment="1">
      <alignment horizontal="left"/>
    </xf>
    <xf numFmtId="0" fontId="27" fillId="10" borderId="69" xfId="0" applyFont="1" applyFill="1" applyBorder="1" applyAlignment="1">
      <alignment horizontal="left"/>
    </xf>
    <xf numFmtId="0" fontId="8" fillId="3" borderId="6" xfId="0" applyFont="1" applyFill="1" applyBorder="1" applyAlignment="1">
      <alignment horizontal="center" vertical="center" wrapText="1"/>
    </xf>
    <xf numFmtId="0" fontId="8" fillId="3" borderId="37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166" fontId="8" fillId="4" borderId="6" xfId="4" applyNumberFormat="1" applyFont="1" applyFill="1" applyBorder="1" applyAlignment="1">
      <alignment horizontal="center" vertical="center" wrapText="1"/>
    </xf>
    <xf numFmtId="166" fontId="8" fillId="4" borderId="37" xfId="4" applyNumberFormat="1" applyFont="1" applyFill="1" applyBorder="1" applyAlignment="1">
      <alignment horizontal="center" vertical="center" wrapText="1"/>
    </xf>
    <xf numFmtId="166" fontId="8" fillId="4" borderId="5" xfId="4" applyNumberFormat="1" applyFont="1" applyFill="1" applyBorder="1" applyAlignment="1">
      <alignment horizontal="center" vertical="center" wrapText="1"/>
    </xf>
    <xf numFmtId="166" fontId="8" fillId="4" borderId="17" xfId="4" applyNumberFormat="1" applyFont="1" applyFill="1" applyBorder="1" applyAlignment="1">
      <alignment horizontal="center" vertical="center" wrapText="1"/>
    </xf>
    <xf numFmtId="166" fontId="8" fillId="4" borderId="0" xfId="4" applyNumberFormat="1" applyFont="1" applyFill="1" applyBorder="1" applyAlignment="1">
      <alignment horizontal="center" vertical="center" wrapText="1"/>
    </xf>
    <xf numFmtId="0" fontId="27" fillId="10" borderId="78" xfId="0" applyFont="1" applyFill="1" applyBorder="1" applyAlignment="1">
      <alignment horizontal="left"/>
    </xf>
    <xf numFmtId="0" fontId="27" fillId="10" borderId="62" xfId="0" applyFont="1" applyFill="1" applyBorder="1" applyAlignment="1">
      <alignment horizontal="left"/>
    </xf>
    <xf numFmtId="1" fontId="27" fillId="10" borderId="79" xfId="0" applyNumberFormat="1" applyFont="1" applyFill="1" applyBorder="1" applyAlignment="1">
      <alignment horizontal="left"/>
    </xf>
    <xf numFmtId="1" fontId="27" fillId="10" borderId="63" xfId="0" applyNumberFormat="1" applyFont="1" applyFill="1" applyBorder="1" applyAlignment="1">
      <alignment horizontal="left"/>
    </xf>
    <xf numFmtId="1" fontId="27" fillId="10" borderId="69" xfId="0" applyNumberFormat="1" applyFont="1" applyFill="1" applyBorder="1" applyAlignment="1">
      <alignment horizontal="left"/>
    </xf>
    <xf numFmtId="1" fontId="27" fillId="10" borderId="78" xfId="0" applyNumberFormat="1" applyFont="1" applyFill="1" applyBorder="1" applyAlignment="1">
      <alignment horizontal="left"/>
    </xf>
    <xf numFmtId="1" fontId="27" fillId="10" borderId="62" xfId="0" applyNumberFormat="1" applyFont="1" applyFill="1" applyBorder="1" applyAlignment="1">
      <alignment horizontal="left"/>
    </xf>
    <xf numFmtId="1" fontId="27" fillId="10" borderId="65" xfId="0" applyNumberFormat="1" applyFont="1" applyFill="1" applyBorder="1" applyAlignment="1">
      <alignment horizontal="left"/>
    </xf>
    <xf numFmtId="1" fontId="27" fillId="10" borderId="60" xfId="0" applyNumberFormat="1" applyFont="1" applyFill="1" applyBorder="1" applyAlignment="1">
      <alignment horizontal="left"/>
    </xf>
    <xf numFmtId="1" fontId="27" fillId="9" borderId="65" xfId="0" applyNumberFormat="1" applyFont="1" applyFill="1" applyBorder="1" applyAlignment="1">
      <alignment horizontal="center"/>
    </xf>
    <xf numFmtId="1" fontId="27" fillId="9" borderId="60" xfId="0" applyNumberFormat="1" applyFont="1" applyFill="1" applyBorder="1" applyAlignment="1">
      <alignment horizontal="center"/>
    </xf>
    <xf numFmtId="1" fontId="27" fillId="9" borderId="66" xfId="0" applyNumberFormat="1" applyFont="1" applyFill="1" applyBorder="1" applyAlignment="1">
      <alignment horizontal="center"/>
    </xf>
    <xf numFmtId="1" fontId="27" fillId="10" borderId="66" xfId="0" applyNumberFormat="1" applyFont="1" applyFill="1" applyBorder="1" applyAlignment="1">
      <alignment horizontal="left"/>
    </xf>
    <xf numFmtId="0" fontId="27" fillId="10" borderId="84" xfId="0" applyFont="1" applyFill="1" applyBorder="1" applyAlignment="1">
      <alignment horizontal="left"/>
    </xf>
    <xf numFmtId="0" fontId="27" fillId="10" borderId="85" xfId="0" applyFont="1" applyFill="1" applyBorder="1" applyAlignment="1">
      <alignment horizontal="left"/>
    </xf>
    <xf numFmtId="0" fontId="27" fillId="10" borderId="89" xfId="0" applyFont="1" applyFill="1" applyBorder="1" applyAlignment="1">
      <alignment horizontal="left"/>
    </xf>
    <xf numFmtId="0" fontId="27" fillId="10" borderId="90" xfId="0" applyFont="1" applyFill="1" applyBorder="1" applyAlignment="1">
      <alignment horizontal="left"/>
    </xf>
    <xf numFmtId="0" fontId="27" fillId="10" borderId="70" xfId="0" applyFont="1" applyFill="1" applyBorder="1" applyAlignment="1">
      <alignment horizontal="left"/>
    </xf>
    <xf numFmtId="0" fontId="27" fillId="10" borderId="71" xfId="0" applyFont="1" applyFill="1" applyBorder="1" applyAlignment="1">
      <alignment horizontal="left"/>
    </xf>
    <xf numFmtId="0" fontId="27" fillId="9" borderId="56" xfId="0" applyFont="1" applyFill="1" applyBorder="1" applyAlignment="1">
      <alignment horizontal="center"/>
    </xf>
    <xf numFmtId="0" fontId="27" fillId="9" borderId="0" xfId="0" applyFont="1" applyFill="1" applyAlignment="1">
      <alignment horizontal="center"/>
    </xf>
    <xf numFmtId="0" fontId="27" fillId="10" borderId="17" xfId="0" applyFont="1" applyFill="1" applyBorder="1" applyAlignment="1">
      <alignment horizontal="left"/>
    </xf>
    <xf numFmtId="0" fontId="27" fillId="10" borderId="0" xfId="0" applyFont="1" applyFill="1" applyAlignment="1">
      <alignment horizontal="left"/>
    </xf>
    <xf numFmtId="0" fontId="27" fillId="10" borderId="97" xfId="0" applyFont="1" applyFill="1" applyBorder="1" applyAlignment="1">
      <alignment horizontal="left"/>
    </xf>
    <xf numFmtId="0" fontId="27" fillId="10" borderId="65" xfId="0" applyFont="1" applyFill="1" applyBorder="1" applyAlignment="1">
      <alignment horizontal="left"/>
    </xf>
    <xf numFmtId="0" fontId="27" fillId="10" borderId="60" xfId="0" applyFont="1" applyFill="1" applyBorder="1" applyAlignment="1">
      <alignment horizontal="left"/>
    </xf>
    <xf numFmtId="0" fontId="27" fillId="10" borderId="66" xfId="0" applyFont="1" applyFill="1" applyBorder="1" applyAlignment="1">
      <alignment horizontal="left"/>
    </xf>
    <xf numFmtId="0" fontId="27" fillId="9" borderId="17" xfId="0" applyFont="1" applyFill="1" applyBorder="1" applyAlignment="1">
      <alignment horizontal="left"/>
    </xf>
    <xf numFmtId="0" fontId="27" fillId="9" borderId="0" xfId="0" applyFont="1" applyFill="1" applyAlignment="1">
      <alignment horizontal="left"/>
    </xf>
    <xf numFmtId="0" fontId="27" fillId="9" borderId="78" xfId="0" applyFont="1" applyFill="1" applyBorder="1" applyAlignment="1">
      <alignment horizontal="left"/>
    </xf>
    <xf numFmtId="0" fontId="27" fillId="9" borderId="62" xfId="0" applyFont="1" applyFill="1" applyBorder="1" applyAlignment="1">
      <alignment horizontal="left"/>
    </xf>
    <xf numFmtId="0" fontId="27" fillId="10" borderId="11" xfId="0" applyFont="1" applyFill="1" applyBorder="1" applyAlignment="1">
      <alignment horizontal="left"/>
    </xf>
    <xf numFmtId="0" fontId="27" fillId="10" borderId="12" xfId="0" applyFont="1" applyFill="1" applyBorder="1" applyAlignment="1">
      <alignment horizontal="left"/>
    </xf>
    <xf numFmtId="0" fontId="27" fillId="10" borderId="93" xfId="0" applyFont="1" applyFill="1" applyBorder="1" applyAlignment="1">
      <alignment horizontal="left"/>
    </xf>
    <xf numFmtId="0" fontId="27" fillId="10" borderId="88" xfId="0" applyFont="1" applyFill="1" applyBorder="1" applyAlignment="1">
      <alignment horizontal="left"/>
    </xf>
    <xf numFmtId="0" fontId="27" fillId="10" borderId="92" xfId="0" applyFont="1" applyFill="1" applyBorder="1" applyAlignment="1">
      <alignment horizontal="left"/>
    </xf>
    <xf numFmtId="0" fontId="27" fillId="10" borderId="8" xfId="0" applyFont="1" applyFill="1" applyBorder="1" applyAlignment="1">
      <alignment horizontal="left"/>
    </xf>
    <xf numFmtId="0" fontId="27" fillId="9" borderId="11" xfId="0" applyFont="1" applyFill="1" applyBorder="1" applyAlignment="1">
      <alignment horizontal="center"/>
    </xf>
    <xf numFmtId="0" fontId="27" fillId="9" borderId="12" xfId="0" applyFont="1" applyFill="1" applyBorder="1" applyAlignment="1">
      <alignment horizontal="center"/>
    </xf>
    <xf numFmtId="0" fontId="27" fillId="9" borderId="96" xfId="0" applyFont="1" applyFill="1" applyBorder="1" applyAlignment="1">
      <alignment horizontal="center"/>
    </xf>
    <xf numFmtId="0" fontId="27" fillId="9" borderId="84" xfId="0" applyFont="1" applyFill="1" applyBorder="1" applyAlignment="1">
      <alignment horizontal="center"/>
    </xf>
    <xf numFmtId="0" fontId="27" fillId="9" borderId="85" xfId="0" applyFont="1" applyFill="1" applyBorder="1" applyAlignment="1">
      <alignment horizontal="center"/>
    </xf>
    <xf numFmtId="0" fontId="27" fillId="9" borderId="86" xfId="0" applyFont="1" applyFill="1" applyBorder="1" applyAlignment="1">
      <alignment horizontal="center"/>
    </xf>
    <xf numFmtId="0" fontId="36" fillId="9" borderId="56" xfId="0" applyFont="1" applyFill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36" fillId="10" borderId="11" xfId="0" applyFont="1" applyFill="1" applyBorder="1" applyAlignment="1">
      <alignment horizontal="left"/>
    </xf>
    <xf numFmtId="0" fontId="36" fillId="10" borderId="12" xfId="0" applyFont="1" applyFill="1" applyBorder="1" applyAlignment="1">
      <alignment horizontal="left"/>
    </xf>
    <xf numFmtId="0" fontId="36" fillId="10" borderId="93" xfId="0" applyFont="1" applyFill="1" applyBorder="1" applyAlignment="1">
      <alignment horizontal="left"/>
    </xf>
    <xf numFmtId="0" fontId="36" fillId="10" borderId="88" xfId="0" applyFont="1" applyFill="1" applyBorder="1" applyAlignment="1">
      <alignment horizontal="left"/>
    </xf>
    <xf numFmtId="0" fontId="36" fillId="10" borderId="92" xfId="0" applyFont="1" applyFill="1" applyBorder="1" applyAlignment="1">
      <alignment horizontal="left"/>
    </xf>
    <xf numFmtId="0" fontId="36" fillId="10" borderId="8" xfId="0" applyFont="1" applyFill="1" applyBorder="1" applyAlignment="1">
      <alignment horizontal="left"/>
    </xf>
    <xf numFmtId="0" fontId="36" fillId="10" borderId="51" xfId="0" applyFont="1" applyFill="1" applyBorder="1" applyAlignment="1">
      <alignment horizontal="left"/>
    </xf>
    <xf numFmtId="0" fontId="36" fillId="10" borderId="61" xfId="0" applyFont="1" applyFill="1" applyBorder="1" applyAlignment="1">
      <alignment horizontal="left"/>
    </xf>
    <xf numFmtId="1" fontId="36" fillId="10" borderId="51" xfId="0" applyNumberFormat="1" applyFont="1" applyFill="1" applyBorder="1" applyAlignment="1">
      <alignment horizontal="left"/>
    </xf>
    <xf numFmtId="1" fontId="36" fillId="10" borderId="61" xfId="0" applyNumberFormat="1" applyFont="1" applyFill="1" applyBorder="1" applyAlignment="1">
      <alignment horizontal="left"/>
    </xf>
    <xf numFmtId="0" fontId="38" fillId="0" borderId="0" xfId="2" applyFont="1" applyAlignment="1">
      <alignment horizontal="left" vertical="center" wrapText="1"/>
    </xf>
    <xf numFmtId="0" fontId="38" fillId="0" borderId="0" xfId="2" applyFont="1" applyAlignment="1">
      <alignment horizontal="left" vertical="top"/>
    </xf>
    <xf numFmtId="0" fontId="39" fillId="2" borderId="3" xfId="3" applyFont="1" applyFill="1" applyBorder="1" applyAlignment="1">
      <alignment horizontal="center" vertical="center"/>
    </xf>
    <xf numFmtId="0" fontId="39" fillId="2" borderId="4" xfId="3" applyFont="1" applyFill="1" applyBorder="1" applyAlignment="1">
      <alignment horizontal="center" vertical="center"/>
    </xf>
    <xf numFmtId="0" fontId="39" fillId="2" borderId="5" xfId="3" applyFont="1" applyFill="1" applyBorder="1" applyAlignment="1">
      <alignment horizontal="center" vertical="center"/>
    </xf>
    <xf numFmtId="166" fontId="39" fillId="0" borderId="39" xfId="4" applyNumberFormat="1" applyFont="1" applyBorder="1" applyAlignment="1">
      <alignment horizontal="center" vertical="center" wrapText="1"/>
    </xf>
    <xf numFmtId="166" fontId="39" fillId="0" borderId="40" xfId="4" applyNumberFormat="1" applyFont="1" applyBorder="1" applyAlignment="1">
      <alignment horizontal="center" vertical="center" wrapText="1"/>
    </xf>
    <xf numFmtId="0" fontId="36" fillId="9" borderId="49" xfId="0" applyFont="1" applyFill="1" applyBorder="1" applyAlignment="1">
      <alignment horizontal="center"/>
    </xf>
    <xf numFmtId="0" fontId="36" fillId="9" borderId="68" xfId="0" applyFont="1" applyFill="1" applyBorder="1" applyAlignment="1">
      <alignment horizontal="center"/>
    </xf>
    <xf numFmtId="0" fontId="36" fillId="9" borderId="48" xfId="0" applyFont="1" applyFill="1" applyBorder="1" applyAlignment="1">
      <alignment horizontal="center"/>
    </xf>
    <xf numFmtId="1" fontId="36" fillId="9" borderId="49" xfId="0" applyNumberFormat="1" applyFont="1" applyFill="1" applyBorder="1" applyAlignment="1">
      <alignment horizontal="center"/>
    </xf>
    <xf numFmtId="1" fontId="36" fillId="9" borderId="68" xfId="0" applyNumberFormat="1" applyFont="1" applyFill="1" applyBorder="1" applyAlignment="1">
      <alignment horizontal="center"/>
    </xf>
    <xf numFmtId="1" fontId="36" fillId="9" borderId="48" xfId="0" applyNumberFormat="1" applyFont="1" applyFill="1" applyBorder="1" applyAlignment="1">
      <alignment horizontal="center"/>
    </xf>
    <xf numFmtId="0" fontId="36" fillId="10" borderId="79" xfId="0" applyFont="1" applyFill="1" applyBorder="1" applyAlignment="1">
      <alignment horizontal="left"/>
    </xf>
    <xf numFmtId="0" fontId="36" fillId="10" borderId="63" xfId="0" applyFont="1" applyFill="1" applyBorder="1" applyAlignment="1">
      <alignment horizontal="left"/>
    </xf>
    <xf numFmtId="0" fontId="36" fillId="10" borderId="69" xfId="0" applyFont="1" applyFill="1" applyBorder="1" applyAlignment="1">
      <alignment horizontal="left"/>
    </xf>
    <xf numFmtId="0" fontId="39" fillId="3" borderId="6" xfId="0" applyFont="1" applyFill="1" applyBorder="1" applyAlignment="1">
      <alignment horizontal="center" vertical="center" wrapText="1"/>
    </xf>
    <xf numFmtId="0" fontId="39" fillId="3" borderId="37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center" vertical="center" wrapText="1"/>
    </xf>
    <xf numFmtId="166" fontId="39" fillId="4" borderId="6" xfId="4" applyNumberFormat="1" applyFont="1" applyFill="1" applyBorder="1" applyAlignment="1">
      <alignment horizontal="center" vertical="center" wrapText="1"/>
    </xf>
    <xf numFmtId="166" fontId="39" fillId="4" borderId="37" xfId="4" applyNumberFormat="1" applyFont="1" applyFill="1" applyBorder="1" applyAlignment="1">
      <alignment horizontal="center" vertical="center" wrapText="1"/>
    </xf>
    <xf numFmtId="166" fontId="39" fillId="4" borderId="5" xfId="4" applyNumberFormat="1" applyFont="1" applyFill="1" applyBorder="1" applyAlignment="1">
      <alignment horizontal="center" vertical="center" wrapText="1"/>
    </xf>
    <xf numFmtId="166" fontId="39" fillId="4" borderId="17" xfId="4" applyNumberFormat="1" applyFont="1" applyFill="1" applyBorder="1" applyAlignment="1">
      <alignment horizontal="center" vertical="center" wrapText="1"/>
    </xf>
    <xf numFmtId="166" fontId="39" fillId="4" borderId="0" xfId="4" applyNumberFormat="1" applyFont="1" applyFill="1" applyBorder="1" applyAlignment="1">
      <alignment horizontal="center" vertical="center" wrapText="1"/>
    </xf>
    <xf numFmtId="0" fontId="36" fillId="9" borderId="53" xfId="0" applyFont="1" applyFill="1" applyBorder="1" applyAlignment="1">
      <alignment horizontal="center"/>
    </xf>
    <xf numFmtId="0" fontId="36" fillId="9" borderId="54" xfId="0" applyFont="1" applyFill="1" applyBorder="1" applyAlignment="1">
      <alignment horizontal="center"/>
    </xf>
    <xf numFmtId="0" fontId="36" fillId="10" borderId="84" xfId="0" applyFont="1" applyFill="1" applyBorder="1" applyAlignment="1">
      <alignment horizontal="left"/>
    </xf>
    <xf numFmtId="0" fontId="36" fillId="10" borderId="85" xfId="0" applyFont="1" applyFill="1" applyBorder="1" applyAlignment="1">
      <alignment horizontal="left"/>
    </xf>
    <xf numFmtId="0" fontId="36" fillId="10" borderId="78" xfId="0" applyFont="1" applyFill="1" applyBorder="1" applyAlignment="1">
      <alignment horizontal="left"/>
    </xf>
    <xf numFmtId="0" fontId="36" fillId="10" borderId="62" xfId="0" applyFont="1" applyFill="1" applyBorder="1" applyAlignment="1">
      <alignment horizontal="left"/>
    </xf>
    <xf numFmtId="1" fontId="36" fillId="10" borderId="79" xfId="0" applyNumberFormat="1" applyFont="1" applyFill="1" applyBorder="1" applyAlignment="1">
      <alignment horizontal="left"/>
    </xf>
    <xf numFmtId="1" fontId="36" fillId="10" borderId="63" xfId="0" applyNumberFormat="1" applyFont="1" applyFill="1" applyBorder="1" applyAlignment="1">
      <alignment horizontal="left"/>
    </xf>
    <xf numFmtId="1" fontId="36" fillId="10" borderId="69" xfId="0" applyNumberFormat="1" applyFont="1" applyFill="1" applyBorder="1" applyAlignment="1">
      <alignment horizontal="left"/>
    </xf>
    <xf numFmtId="1" fontId="36" fillId="10" borderId="78" xfId="0" applyNumberFormat="1" applyFont="1" applyFill="1" applyBorder="1" applyAlignment="1">
      <alignment horizontal="left"/>
    </xf>
    <xf numFmtId="1" fontId="36" fillId="10" borderId="62" xfId="0" applyNumberFormat="1" applyFont="1" applyFill="1" applyBorder="1" applyAlignment="1">
      <alignment horizontal="left"/>
    </xf>
    <xf numFmtId="1" fontId="36" fillId="10" borderId="65" xfId="0" applyNumberFormat="1" applyFont="1" applyFill="1" applyBorder="1" applyAlignment="1">
      <alignment horizontal="left"/>
    </xf>
    <xf numFmtId="1" fontId="36" fillId="10" borderId="60" xfId="0" applyNumberFormat="1" applyFont="1" applyFill="1" applyBorder="1" applyAlignment="1">
      <alignment horizontal="left"/>
    </xf>
    <xf numFmtId="1" fontId="36" fillId="9" borderId="65" xfId="0" applyNumberFormat="1" applyFont="1" applyFill="1" applyBorder="1" applyAlignment="1">
      <alignment horizontal="center"/>
    </xf>
    <xf numFmtId="1" fontId="36" fillId="9" borderId="60" xfId="0" applyNumberFormat="1" applyFont="1" applyFill="1" applyBorder="1" applyAlignment="1">
      <alignment horizontal="center"/>
    </xf>
    <xf numFmtId="1" fontId="36" fillId="9" borderId="66" xfId="0" applyNumberFormat="1" applyFont="1" applyFill="1" applyBorder="1" applyAlignment="1">
      <alignment horizontal="center"/>
    </xf>
    <xf numFmtId="1" fontId="36" fillId="10" borderId="66" xfId="0" applyNumberFormat="1" applyFont="1" applyFill="1" applyBorder="1" applyAlignment="1">
      <alignment horizontal="left"/>
    </xf>
    <xf numFmtId="0" fontId="36" fillId="10" borderId="89" xfId="0" applyFont="1" applyFill="1" applyBorder="1" applyAlignment="1">
      <alignment horizontal="left"/>
    </xf>
    <xf numFmtId="0" fontId="36" fillId="10" borderId="90" xfId="0" applyFont="1" applyFill="1" applyBorder="1" applyAlignment="1">
      <alignment horizontal="left"/>
    </xf>
    <xf numFmtId="0" fontId="36" fillId="10" borderId="70" xfId="0" applyFont="1" applyFill="1" applyBorder="1" applyAlignment="1">
      <alignment horizontal="left"/>
    </xf>
    <xf numFmtId="0" fontId="36" fillId="10" borderId="71" xfId="0" applyFont="1" applyFill="1" applyBorder="1" applyAlignment="1">
      <alignment horizontal="left"/>
    </xf>
    <xf numFmtId="0" fontId="36" fillId="9" borderId="11" xfId="0" applyFont="1" applyFill="1" applyBorder="1" applyAlignment="1">
      <alignment horizontal="center"/>
    </xf>
    <xf numFmtId="0" fontId="36" fillId="9" borderId="12" xfId="0" applyFont="1" applyFill="1" applyBorder="1" applyAlignment="1">
      <alignment horizontal="center"/>
    </xf>
    <xf numFmtId="0" fontId="36" fillId="9" borderId="96" xfId="0" applyFont="1" applyFill="1" applyBorder="1" applyAlignment="1">
      <alignment horizontal="center"/>
    </xf>
    <xf numFmtId="0" fontId="36" fillId="9" borderId="84" xfId="0" applyFont="1" applyFill="1" applyBorder="1" applyAlignment="1">
      <alignment horizontal="center"/>
    </xf>
    <xf numFmtId="0" fontId="36" fillId="9" borderId="85" xfId="0" applyFont="1" applyFill="1" applyBorder="1" applyAlignment="1">
      <alignment horizontal="center"/>
    </xf>
    <xf numFmtId="0" fontId="36" fillId="9" borderId="86" xfId="0" applyFont="1" applyFill="1" applyBorder="1" applyAlignment="1">
      <alignment horizontal="center"/>
    </xf>
    <xf numFmtId="0" fontId="36" fillId="10" borderId="17" xfId="0" applyFont="1" applyFill="1" applyBorder="1" applyAlignment="1">
      <alignment horizontal="left"/>
    </xf>
    <xf numFmtId="0" fontId="36" fillId="10" borderId="0" xfId="0" applyFont="1" applyFill="1" applyAlignment="1">
      <alignment horizontal="left"/>
    </xf>
    <xf numFmtId="0" fontId="36" fillId="10" borderId="97" xfId="0" applyFont="1" applyFill="1" applyBorder="1" applyAlignment="1">
      <alignment horizontal="left"/>
    </xf>
    <xf numFmtId="0" fontId="36" fillId="10" borderId="65" xfId="0" applyFont="1" applyFill="1" applyBorder="1" applyAlignment="1">
      <alignment horizontal="left"/>
    </xf>
    <xf numFmtId="0" fontId="36" fillId="10" borderId="60" xfId="0" applyFont="1" applyFill="1" applyBorder="1" applyAlignment="1">
      <alignment horizontal="left"/>
    </xf>
    <xf numFmtId="0" fontId="36" fillId="10" borderId="66" xfId="0" applyFont="1" applyFill="1" applyBorder="1" applyAlignment="1">
      <alignment horizontal="left"/>
    </xf>
    <xf numFmtId="0" fontId="36" fillId="9" borderId="92" xfId="0" applyFont="1" applyFill="1" applyBorder="1" applyAlignment="1">
      <alignment horizontal="left"/>
    </xf>
    <xf numFmtId="0" fontId="36" fillId="9" borderId="8" xfId="0" applyFont="1" applyFill="1" applyBorder="1" applyAlignment="1">
      <alignment horizontal="left"/>
    </xf>
    <xf numFmtId="0" fontId="36" fillId="9" borderId="51" xfId="0" applyFont="1" applyFill="1" applyBorder="1" applyAlignment="1">
      <alignment horizontal="left"/>
    </xf>
    <xf numFmtId="0" fontId="36" fillId="9" borderId="61" xfId="0" applyFont="1" applyFill="1" applyBorder="1" applyAlignment="1">
      <alignment horizontal="left"/>
    </xf>
    <xf numFmtId="0" fontId="16" fillId="8" borderId="41" xfId="0" applyFont="1" applyFill="1" applyBorder="1" applyAlignment="1">
      <alignment horizontal="left" vertical="center"/>
    </xf>
    <xf numFmtId="0" fontId="16" fillId="8" borderId="41" xfId="0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7" fillId="8" borderId="41" xfId="0" applyFont="1" applyFill="1" applyBorder="1" applyAlignment="1">
      <alignment horizontal="left" vertical="top"/>
    </xf>
    <xf numFmtId="0" fontId="19" fillId="8" borderId="41" xfId="0" applyFont="1" applyFill="1" applyBorder="1" applyAlignment="1">
      <alignment horizontal="center" vertical="center" wrapText="1"/>
    </xf>
    <xf numFmtId="0" fontId="19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296638</xdr:colOff>
      <xdr:row>0</xdr:row>
      <xdr:rowOff>152400</xdr:rowOff>
    </xdr:from>
    <xdr:to>
      <xdr:col>2</xdr:col>
      <xdr:colOff>484432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1C870C00-64AD-4739-8E1E-38A1342A78DB}"/>
            </a:ext>
          </a:extLst>
        </xdr:cNvPr>
        <xdr:cNvSpPr/>
      </xdr:nvSpPr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207445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5ECDC469-D5D6-410E-BF32-E26AF4479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5442"/>
        </a:xfrm>
        <a:prstGeom prst="rect">
          <a:avLst/>
        </a:prstGeom>
      </xdr:spPr>
    </xdr:pic>
    <xdr:clientData/>
  </xdr:twoCellAnchor>
  <xdr:twoCellAnchor editAs="absolute">
    <xdr:from>
      <xdr:col>23</xdr:col>
      <xdr:colOff>1252423</xdr:colOff>
      <xdr:row>0</xdr:row>
      <xdr:rowOff>190500</xdr:rowOff>
    </xdr:from>
    <xdr:to>
      <xdr:col>24</xdr:col>
      <xdr:colOff>370625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71AF4B8B-D3A8-46B9-8097-EEC943EBD728}"/>
            </a:ext>
          </a:extLst>
        </xdr:cNvPr>
        <xdr:cNvSpPr/>
      </xdr:nvSpPr>
      <xdr:spPr bwMode="auto">
        <a:xfrm>
          <a:off x="29649623" y="190500"/>
          <a:ext cx="101413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23</xdr:col>
      <xdr:colOff>746332</xdr:colOff>
      <xdr:row>0</xdr:row>
      <xdr:rowOff>182566</xdr:rowOff>
    </xdr:from>
    <xdr:to>
      <xdr:col>23</xdr:col>
      <xdr:colOff>1176220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E6C50FEB-DB8F-4445-BCCC-5C56FDA9B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811" y="182566"/>
          <a:ext cx="429888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296638</xdr:colOff>
      <xdr:row>0</xdr:row>
      <xdr:rowOff>152400</xdr:rowOff>
    </xdr:from>
    <xdr:to>
      <xdr:col>2</xdr:col>
      <xdr:colOff>484432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2B30BFE8-F7B4-4F74-9A22-67EF1BA0353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23</xdr:col>
      <xdr:colOff>1252423</xdr:colOff>
      <xdr:row>0</xdr:row>
      <xdr:rowOff>190500</xdr:rowOff>
    </xdr:from>
    <xdr:to>
      <xdr:col>24</xdr:col>
      <xdr:colOff>370625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B1FB2E72-F4A0-49F8-B4E2-A4F408BB71B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49623" y="190500"/>
          <a:ext cx="101413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38102</xdr:colOff>
      <xdr:row>0</xdr:row>
      <xdr:rowOff>152400</xdr:rowOff>
    </xdr:from>
    <xdr:to>
      <xdr:col>5</xdr:col>
      <xdr:colOff>879039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80A2523A-C636-47C7-A774-9D210C89EBE9}"/>
            </a:ext>
          </a:extLst>
        </xdr:cNvPr>
        <xdr:cNvSpPr/>
      </xdr:nvSpPr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602052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ABAD36B1-F0AD-4DB4-914B-9FF2ADC1B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5442"/>
        </a:xfrm>
        <a:prstGeom prst="rect">
          <a:avLst/>
        </a:prstGeom>
      </xdr:spPr>
    </xdr:pic>
    <xdr:clientData/>
  </xdr:twoCellAnchor>
  <xdr:twoCellAnchor editAs="absolute">
    <xdr:from>
      <xdr:col>34</xdr:col>
      <xdr:colOff>35944</xdr:colOff>
      <xdr:row>0</xdr:row>
      <xdr:rowOff>190500</xdr:rowOff>
    </xdr:from>
    <xdr:to>
      <xdr:col>35</xdr:col>
      <xdr:colOff>111182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819499AD-4660-490F-815A-1361069D025C}"/>
            </a:ext>
          </a:extLst>
        </xdr:cNvPr>
        <xdr:cNvSpPr/>
      </xdr:nvSpPr>
      <xdr:spPr bwMode="auto">
        <a:xfrm>
          <a:off x="29649623" y="190500"/>
          <a:ext cx="101231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32</xdr:col>
      <xdr:colOff>911432</xdr:colOff>
      <xdr:row>0</xdr:row>
      <xdr:rowOff>182566</xdr:rowOff>
    </xdr:from>
    <xdr:to>
      <xdr:col>34</xdr:col>
      <xdr:colOff>17345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3A32148E-0816-4FD5-8051-8706742B1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3532" y="182566"/>
          <a:ext cx="429888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38102</xdr:colOff>
      <xdr:row>0</xdr:row>
      <xdr:rowOff>152400</xdr:rowOff>
    </xdr:from>
    <xdr:to>
      <xdr:col>5</xdr:col>
      <xdr:colOff>879039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C31C5AC2-1A62-4566-AF11-FD2FFF64F82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34</xdr:col>
      <xdr:colOff>35944</xdr:colOff>
      <xdr:row>0</xdr:row>
      <xdr:rowOff>190500</xdr:rowOff>
    </xdr:from>
    <xdr:to>
      <xdr:col>35</xdr:col>
      <xdr:colOff>111182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15CF5827-6A62-428A-8B0C-354AD7E564E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49623" y="190500"/>
          <a:ext cx="101231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296638</xdr:colOff>
      <xdr:row>0</xdr:row>
      <xdr:rowOff>152400</xdr:rowOff>
    </xdr:from>
    <xdr:to>
      <xdr:col>2</xdr:col>
      <xdr:colOff>484432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2F3DAE9-CD9C-4E9B-9CC7-A7CEBB00EA9C}"/>
            </a:ext>
          </a:extLst>
        </xdr:cNvPr>
        <xdr:cNvSpPr/>
      </xdr:nvSpPr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207445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BB250091-64D4-4357-8692-3AADFDE52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5442"/>
        </a:xfrm>
        <a:prstGeom prst="rect">
          <a:avLst/>
        </a:prstGeom>
      </xdr:spPr>
    </xdr:pic>
    <xdr:clientData/>
  </xdr:twoCellAnchor>
  <xdr:twoCellAnchor editAs="absolute">
    <xdr:from>
      <xdr:col>24</xdr:col>
      <xdr:colOff>1714612</xdr:colOff>
      <xdr:row>0</xdr:row>
      <xdr:rowOff>190500</xdr:rowOff>
    </xdr:from>
    <xdr:to>
      <xdr:col>25</xdr:col>
      <xdr:colOff>869553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C00820C4-866D-4621-8B44-7026B310E4AE}"/>
            </a:ext>
          </a:extLst>
        </xdr:cNvPr>
        <xdr:cNvSpPr/>
      </xdr:nvSpPr>
      <xdr:spPr bwMode="auto">
        <a:xfrm>
          <a:off x="29649623" y="190500"/>
          <a:ext cx="101231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24</xdr:col>
      <xdr:colOff>1218046</xdr:colOff>
      <xdr:row>0</xdr:row>
      <xdr:rowOff>182566</xdr:rowOff>
    </xdr:from>
    <xdr:to>
      <xdr:col>24</xdr:col>
      <xdr:colOff>1647934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2B513F40-1A27-41E0-ABCC-868D90F98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3532" y="182566"/>
          <a:ext cx="429888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296638</xdr:colOff>
      <xdr:row>0</xdr:row>
      <xdr:rowOff>152400</xdr:rowOff>
    </xdr:from>
    <xdr:to>
      <xdr:col>2</xdr:col>
      <xdr:colOff>484432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89226620-0290-40B9-AC88-9A4D7F54D5C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24</xdr:col>
      <xdr:colOff>1714612</xdr:colOff>
      <xdr:row>0</xdr:row>
      <xdr:rowOff>190500</xdr:rowOff>
    </xdr:from>
    <xdr:to>
      <xdr:col>25</xdr:col>
      <xdr:colOff>869553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2E878070-8BEA-4A37-807E-420FC79EAA6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49623" y="190500"/>
          <a:ext cx="101231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296638</xdr:colOff>
      <xdr:row>0</xdr:row>
      <xdr:rowOff>152400</xdr:rowOff>
    </xdr:from>
    <xdr:to>
      <xdr:col>2</xdr:col>
      <xdr:colOff>484432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FD62E3D7-9114-4864-B8FC-D56342D69DF1}"/>
            </a:ext>
          </a:extLst>
        </xdr:cNvPr>
        <xdr:cNvSpPr/>
      </xdr:nvSpPr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207445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A2C77F62-C6D5-460E-9B64-DD16CB7CE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5442"/>
        </a:xfrm>
        <a:prstGeom prst="rect">
          <a:avLst/>
        </a:prstGeom>
      </xdr:spPr>
    </xdr:pic>
    <xdr:clientData/>
  </xdr:twoCellAnchor>
  <xdr:twoCellAnchor editAs="absolute">
    <xdr:from>
      <xdr:col>24</xdr:col>
      <xdr:colOff>1714612</xdr:colOff>
      <xdr:row>0</xdr:row>
      <xdr:rowOff>190500</xdr:rowOff>
    </xdr:from>
    <xdr:to>
      <xdr:col>25</xdr:col>
      <xdr:colOff>869553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4DB33B8B-AE5A-4FB6-B1C9-805BDFED71F7}"/>
            </a:ext>
          </a:extLst>
        </xdr:cNvPr>
        <xdr:cNvSpPr/>
      </xdr:nvSpPr>
      <xdr:spPr bwMode="auto">
        <a:xfrm>
          <a:off x="29659527" y="190500"/>
          <a:ext cx="101690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24</xdr:col>
      <xdr:colOff>1218046</xdr:colOff>
      <xdr:row>0</xdr:row>
      <xdr:rowOff>182566</xdr:rowOff>
    </xdr:from>
    <xdr:to>
      <xdr:col>24</xdr:col>
      <xdr:colOff>1647934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DD8AC42F-E538-4A77-AF03-AB26C1F0E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51849" y="182566"/>
          <a:ext cx="431475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296638</xdr:colOff>
      <xdr:row>0</xdr:row>
      <xdr:rowOff>152400</xdr:rowOff>
    </xdr:from>
    <xdr:to>
      <xdr:col>2</xdr:col>
      <xdr:colOff>484432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7CA192CC-059F-4BA6-A9BC-FDEB965B02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24</xdr:col>
      <xdr:colOff>1714612</xdr:colOff>
      <xdr:row>0</xdr:row>
      <xdr:rowOff>190500</xdr:rowOff>
    </xdr:from>
    <xdr:to>
      <xdr:col>25</xdr:col>
      <xdr:colOff>869553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2C13A824-E6ED-4CC3-BC08-A0427810D17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59527" y="190500"/>
          <a:ext cx="101690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EFDEF-C1A5-4814-9823-840D938E6398}">
  <sheetPr codeName="Planilha15">
    <pageSetUpPr autoPageBreaks="0"/>
  </sheetPr>
  <dimension ref="A1:AL100"/>
  <sheetViews>
    <sheetView showGridLines="0" topLeftCell="V1" zoomScale="70" zoomScaleNormal="70" workbookViewId="0">
      <pane ySplit="1" topLeftCell="A90" activePane="bottomLeft" state="frozen"/>
      <selection pane="bottomLeft" activeCell="Q56" sqref="Q56:S56"/>
    </sheetView>
  </sheetViews>
  <sheetFormatPr defaultColWidth="8.88671875" defaultRowHeight="14.4" x14ac:dyDescent="0.3"/>
  <cols>
    <col min="1" max="1" width="5.88671875" customWidth="1"/>
    <col min="2" max="2" width="9.88671875" customWidth="1"/>
    <col min="3" max="3" width="11" customWidth="1"/>
    <col min="4" max="5" width="8.44140625" customWidth="1"/>
    <col min="6" max="6" width="25.109375" customWidth="1"/>
    <col min="7" max="7" width="56.88671875" customWidth="1"/>
    <col min="8" max="8" width="5.88671875" style="94" customWidth="1"/>
    <col min="9" max="9" width="7.88671875" style="94" customWidth="1"/>
    <col min="10" max="10" width="16.44140625" bestFit="1" customWidth="1"/>
    <col min="11" max="11" width="24" customWidth="1"/>
    <col min="12" max="13" width="23.109375" customWidth="1"/>
    <col min="14" max="14" width="26.44140625" bestFit="1" customWidth="1"/>
    <col min="15" max="15" width="37.109375" customWidth="1"/>
    <col min="16" max="16" width="1.88671875" customWidth="1"/>
    <col min="17" max="17" width="11.109375" style="94" bestFit="1" customWidth="1"/>
    <col min="18" max="18" width="8.44140625" style="94" bestFit="1" customWidth="1"/>
    <col min="19" max="19" width="17.88671875" bestFit="1" customWidth="1"/>
    <col min="20" max="20" width="26.6640625" bestFit="1" customWidth="1"/>
    <col min="21" max="21" width="24.6640625" bestFit="1" customWidth="1"/>
    <col min="22" max="22" width="9.6640625" bestFit="1" customWidth="1"/>
    <col min="23" max="23" width="16.109375" bestFit="1" customWidth="1"/>
    <col min="24" max="24" width="27.109375" bestFit="1" customWidth="1"/>
    <col min="25" max="25" width="26.6640625" bestFit="1" customWidth="1"/>
    <col min="26" max="26" width="14.6640625" bestFit="1" customWidth="1"/>
    <col min="27" max="27" width="24.6640625" bestFit="1" customWidth="1"/>
    <col min="28" max="28" width="38.109375" customWidth="1"/>
    <col min="29" max="29" width="14.33203125" bestFit="1" customWidth="1"/>
    <col min="30" max="30" width="12.5546875" bestFit="1" customWidth="1"/>
    <col min="31" max="31" width="12.88671875" bestFit="1" customWidth="1"/>
    <col min="32" max="32" width="1.33203125" customWidth="1"/>
    <col min="33" max="33" width="14" bestFit="1" customWidth="1"/>
    <col min="34" max="34" width="11.6640625" bestFit="1" customWidth="1"/>
    <col min="35" max="35" width="6.33203125" bestFit="1" customWidth="1"/>
    <col min="36" max="36" width="12.6640625" bestFit="1" customWidth="1"/>
    <col min="37" max="37" width="13.109375" bestFit="1" customWidth="1"/>
    <col min="38" max="38" width="13.5546875" bestFit="1" customWidth="1"/>
    <col min="40" max="40" width="21.33203125" customWidth="1"/>
  </cols>
  <sheetData>
    <row r="1" spans="1:38" ht="49.5" customHeight="1" x14ac:dyDescent="0.3">
      <c r="B1" s="41"/>
      <c r="C1" s="42"/>
      <c r="D1" s="42"/>
      <c r="F1" s="630" t="s">
        <v>107</v>
      </c>
      <c r="G1" s="630"/>
    </row>
    <row r="2" spans="1:38" ht="24.75" customHeight="1" x14ac:dyDescent="0.3">
      <c r="B2" s="40"/>
      <c r="D2" s="42"/>
      <c r="F2" s="631" t="s">
        <v>0</v>
      </c>
      <c r="G2" s="631"/>
    </row>
    <row r="3" spans="1:38" ht="18.600000000000001" thickBot="1" x14ac:dyDescent="0.4">
      <c r="B3" s="43"/>
      <c r="F3" s="33"/>
      <c r="G3" s="33"/>
    </row>
    <row r="4" spans="1:38" ht="29.1" customHeight="1" x14ac:dyDescent="0.3">
      <c r="F4" s="113" t="s">
        <v>209</v>
      </c>
      <c r="G4" s="114" t="s">
        <v>307</v>
      </c>
    </row>
    <row r="5" spans="1:38" ht="27.6" customHeight="1" x14ac:dyDescent="0.3">
      <c r="F5" s="115" t="s">
        <v>210</v>
      </c>
      <c r="G5" s="116" t="s">
        <v>208</v>
      </c>
    </row>
    <row r="6" spans="1:38" ht="24.9" customHeight="1" x14ac:dyDescent="0.3">
      <c r="D6" t="s">
        <v>105</v>
      </c>
      <c r="F6" s="115" t="s">
        <v>211</v>
      </c>
      <c r="G6" s="116" t="s">
        <v>308</v>
      </c>
    </row>
    <row r="7" spans="1:38" ht="25.5" customHeight="1" x14ac:dyDescent="0.3">
      <c r="F7" s="115" t="s">
        <v>212</v>
      </c>
      <c r="G7" s="116" t="s">
        <v>290</v>
      </c>
      <c r="J7" t="s">
        <v>106</v>
      </c>
    </row>
    <row r="8" spans="1:38" ht="26.1" customHeight="1" x14ac:dyDescent="0.3">
      <c r="F8" s="115" t="s">
        <v>213</v>
      </c>
      <c r="G8" s="116" t="s">
        <v>309</v>
      </c>
    </row>
    <row r="9" spans="1:38" ht="27.6" customHeight="1" x14ac:dyDescent="0.3">
      <c r="F9" s="115" t="s">
        <v>214</v>
      </c>
      <c r="G9" s="116" t="s">
        <v>118</v>
      </c>
      <c r="J9" t="s">
        <v>105</v>
      </c>
    </row>
    <row r="10" spans="1:38" ht="27" customHeight="1" x14ac:dyDescent="0.3">
      <c r="F10" s="115" t="s">
        <v>215</v>
      </c>
      <c r="G10" s="116" t="s">
        <v>293</v>
      </c>
    </row>
    <row r="11" spans="1:38" ht="18.600000000000001" thickBot="1" x14ac:dyDescent="0.35">
      <c r="F11" s="117" t="s">
        <v>216</v>
      </c>
      <c r="G11" s="118" t="s">
        <v>310</v>
      </c>
    </row>
    <row r="12" spans="1:38" ht="16.8" thickBot="1" x14ac:dyDescent="0.35">
      <c r="B12" s="1"/>
      <c r="M12" s="27"/>
      <c r="Q12" s="632" t="s">
        <v>1</v>
      </c>
      <c r="R12" s="633"/>
      <c r="S12" s="633"/>
      <c r="T12" s="634"/>
      <c r="U12" s="646" t="s">
        <v>2</v>
      </c>
      <c r="V12" s="647"/>
      <c r="W12" s="647"/>
      <c r="X12" s="648"/>
      <c r="Y12" s="29" t="s">
        <v>56</v>
      </c>
      <c r="Z12" s="30">
        <f>(1/(1-M14))-1</f>
        <v>0.24269914253759173</v>
      </c>
      <c r="AC12" s="649" t="s">
        <v>3</v>
      </c>
      <c r="AD12" s="650"/>
      <c r="AE12" s="651"/>
      <c r="AG12" s="652" t="s">
        <v>58</v>
      </c>
      <c r="AH12" s="653"/>
      <c r="AJ12" s="34" t="s">
        <v>60</v>
      </c>
      <c r="AK12" s="635" t="s">
        <v>59</v>
      </c>
      <c r="AL12" s="636"/>
    </row>
    <row r="13" spans="1:38" ht="18.600000000000001" thickBot="1" x14ac:dyDescent="0.4">
      <c r="A13" s="31" t="s">
        <v>4</v>
      </c>
      <c r="B13" s="32" t="s">
        <v>5</v>
      </c>
      <c r="C13" s="31" t="s">
        <v>6</v>
      </c>
      <c r="D13" s="31" t="s">
        <v>7</v>
      </c>
      <c r="E13" s="31" t="s">
        <v>8</v>
      </c>
      <c r="M13" s="28">
        <v>0.81</v>
      </c>
    </row>
    <row r="14" spans="1:38" ht="33" thickBot="1" x14ac:dyDescent="0.35">
      <c r="A14" s="45">
        <v>0</v>
      </c>
      <c r="B14" s="46"/>
      <c r="C14" s="47"/>
      <c r="D14" s="44"/>
      <c r="E14" s="44"/>
      <c r="F14" s="172" t="s">
        <v>83</v>
      </c>
      <c r="G14" s="173" t="s">
        <v>84</v>
      </c>
      <c r="H14" s="57" t="s">
        <v>85</v>
      </c>
      <c r="I14" s="57" t="s">
        <v>86</v>
      </c>
      <c r="J14" s="58" t="s">
        <v>87</v>
      </c>
      <c r="K14" s="174" t="s">
        <v>9</v>
      </c>
      <c r="L14" s="175">
        <v>0.09</v>
      </c>
      <c r="M14" s="56">
        <v>0.1953</v>
      </c>
      <c r="N14" s="59" t="s">
        <v>81</v>
      </c>
      <c r="Q14" s="60" t="s">
        <v>88</v>
      </c>
      <c r="R14" s="61" t="s">
        <v>89</v>
      </c>
      <c r="S14" s="62" t="s">
        <v>90</v>
      </c>
      <c r="T14" s="63" t="s">
        <v>91</v>
      </c>
      <c r="U14" s="64" t="s">
        <v>92</v>
      </c>
      <c r="V14" s="65" t="s">
        <v>93</v>
      </c>
      <c r="W14" s="66" t="s">
        <v>94</v>
      </c>
      <c r="X14" s="66" t="s">
        <v>95</v>
      </c>
      <c r="Y14" s="67" t="s">
        <v>96</v>
      </c>
      <c r="Z14" s="48" t="s">
        <v>97</v>
      </c>
      <c r="AA14" s="49" t="s">
        <v>82</v>
      </c>
      <c r="AC14" s="50" t="s">
        <v>98</v>
      </c>
      <c r="AD14" s="51" t="s">
        <v>99</v>
      </c>
      <c r="AE14" s="51" t="s">
        <v>33</v>
      </c>
      <c r="AG14" s="52" t="s">
        <v>100</v>
      </c>
      <c r="AH14" s="53" t="s">
        <v>101</v>
      </c>
      <c r="AK14" s="54" t="s">
        <v>102</v>
      </c>
      <c r="AL14" s="55" t="s">
        <v>103</v>
      </c>
    </row>
    <row r="15" spans="1:38" ht="20.399999999999999" customHeight="1" thickBot="1" x14ac:dyDescent="0.4">
      <c r="A15" s="44">
        <v>1</v>
      </c>
      <c r="B15" s="74">
        <v>1</v>
      </c>
      <c r="C15" s="73" t="s">
        <v>108</v>
      </c>
      <c r="D15" s="44"/>
      <c r="E15" s="44"/>
      <c r="F15" s="637" t="s">
        <v>125</v>
      </c>
      <c r="G15" s="638"/>
      <c r="H15" s="638"/>
      <c r="I15" s="638"/>
      <c r="J15" s="638"/>
      <c r="K15" s="638"/>
      <c r="L15" s="638"/>
      <c r="M15" s="638"/>
      <c r="N15" s="639"/>
      <c r="Q15" s="640" t="str">
        <f>IF(F15&lt;&gt;"",F15,"")</f>
        <v>INTERNOS</v>
      </c>
      <c r="R15" s="641"/>
      <c r="S15" s="641"/>
      <c r="T15" s="641"/>
      <c r="U15" s="641"/>
      <c r="V15" s="641"/>
      <c r="W15" s="641"/>
      <c r="X15" s="641"/>
      <c r="Y15" s="642"/>
      <c r="Z15" s="89"/>
    </row>
    <row r="16" spans="1:38" ht="23.1" customHeight="1" x14ac:dyDescent="0.35">
      <c r="A16" s="44">
        <v>2</v>
      </c>
      <c r="B16" s="74" t="s">
        <v>110</v>
      </c>
      <c r="C16" s="73" t="s">
        <v>109</v>
      </c>
      <c r="D16" s="44"/>
      <c r="E16" s="44"/>
      <c r="F16" s="643" t="s">
        <v>125</v>
      </c>
      <c r="G16" s="644"/>
      <c r="H16" s="644"/>
      <c r="I16" s="644"/>
      <c r="J16" s="644"/>
      <c r="K16" s="644"/>
      <c r="L16" s="166" t="s">
        <v>111</v>
      </c>
      <c r="M16" s="166" t="s">
        <v>112</v>
      </c>
      <c r="N16" s="167" t="s">
        <v>81</v>
      </c>
      <c r="Q16" s="643" t="str">
        <f>IF(F16&lt;&gt;"",F16,"")</f>
        <v>INTERNOS</v>
      </c>
      <c r="R16" s="644"/>
      <c r="S16" s="644"/>
      <c r="T16" s="644"/>
      <c r="U16" s="644"/>
      <c r="V16" s="644"/>
      <c r="W16" s="644"/>
      <c r="X16" s="644"/>
      <c r="Y16" s="645"/>
      <c r="Z16" s="88" t="s">
        <v>113</v>
      </c>
      <c r="AA16" s="75" t="s">
        <v>82</v>
      </c>
    </row>
    <row r="17" spans="1:34" ht="38.1" customHeight="1" x14ac:dyDescent="0.35">
      <c r="A17" s="44">
        <v>3</v>
      </c>
      <c r="B17" s="74" t="s">
        <v>115</v>
      </c>
      <c r="C17" s="73" t="s">
        <v>114</v>
      </c>
      <c r="D17" s="44" t="s">
        <v>120</v>
      </c>
      <c r="E17" s="44" t="s">
        <v>121</v>
      </c>
      <c r="F17" s="324" t="s">
        <v>319</v>
      </c>
      <c r="G17" s="325" t="s">
        <v>146</v>
      </c>
      <c r="H17" s="149">
        <v>1</v>
      </c>
      <c r="I17" s="149">
        <v>1</v>
      </c>
      <c r="J17" s="134">
        <v>5000</v>
      </c>
      <c r="K17" s="76">
        <f>IF(F17&lt;&gt;"",H17*I17*J17,"")</f>
        <v>5000</v>
      </c>
      <c r="L17" s="76">
        <f>IF(K17&lt;&gt;"",IF(D17="INTERNO",0,K17*$L$14),"")</f>
        <v>0</v>
      </c>
      <c r="M17" s="76">
        <f>IF(K17&lt;&gt;"",IF(E17="FAT.OGGI",SUM(K17:L17)*(1/(1-$M$14)-1),L17*(1/(1-$M$14)-1)),0)</f>
        <v>1213.4957126879585</v>
      </c>
      <c r="N17" s="91">
        <f>SUM(K17:M17)</f>
        <v>6213.4957126879581</v>
      </c>
      <c r="O17" t="s">
        <v>571</v>
      </c>
      <c r="Q17" s="106">
        <f t="shared" ref="Q17:R20" si="0">IF(H17&lt;&gt;"",H17,"")</f>
        <v>1</v>
      </c>
      <c r="R17" s="102">
        <f t="shared" si="0"/>
        <v>1</v>
      </c>
      <c r="S17" s="103">
        <v>800</v>
      </c>
      <c r="T17" s="103">
        <f>IF(Q17&lt;&gt;"",Q17*R17*S17,"")</f>
        <v>800</v>
      </c>
      <c r="U17" s="104">
        <f>IF(Q17&lt;&gt;"",K17-T17,"")</f>
        <v>4200</v>
      </c>
      <c r="V17" s="105">
        <f>IF(Q17&lt;&gt;"",0%,"")</f>
        <v>0</v>
      </c>
      <c r="W17" s="101">
        <f>IF(Q17&lt;&gt;"",V17*U17,"")</f>
        <v>0</v>
      </c>
      <c r="X17" s="101">
        <f>IF(Q17&lt;&gt;"",W17+T17,"")</f>
        <v>800</v>
      </c>
      <c r="Y17" s="92">
        <f t="shared" ref="Y17:Y22" si="1">IF(Q17&lt;&gt;"",X17+M17,"")</f>
        <v>2013.4957126879585</v>
      </c>
      <c r="Z17" s="89">
        <f>IF(Q17&lt;&gt;"", IFERROR(U17/K17, 0), 0)</f>
        <v>0.84</v>
      </c>
      <c r="AA17" s="82">
        <f>IFERROR(T17/$T$22, "")</f>
        <v>1</v>
      </c>
      <c r="AC17" s="307">
        <v>800</v>
      </c>
      <c r="AD17" s="308">
        <f>T17-AC17</f>
        <v>0</v>
      </c>
      <c r="AE17" s="309">
        <v>46119</v>
      </c>
      <c r="AG17" s="310" t="s">
        <v>522</v>
      </c>
      <c r="AH17" s="311" t="s">
        <v>523</v>
      </c>
    </row>
    <row r="18" spans="1:34" ht="49.5" customHeight="1" x14ac:dyDescent="0.3">
      <c r="A18" s="44">
        <v>4</v>
      </c>
      <c r="B18" s="74" t="s">
        <v>104</v>
      </c>
      <c r="C18" s="73" t="s">
        <v>114</v>
      </c>
      <c r="D18" s="44" t="s">
        <v>120</v>
      </c>
      <c r="E18" s="44" t="s">
        <v>121</v>
      </c>
      <c r="F18" s="324" t="s">
        <v>152</v>
      </c>
      <c r="G18" s="325" t="s">
        <v>147</v>
      </c>
      <c r="H18" s="149">
        <v>1</v>
      </c>
      <c r="I18" s="149">
        <v>1</v>
      </c>
      <c r="J18" s="134">
        <v>6500</v>
      </c>
      <c r="K18" s="76">
        <f>IF(F18&lt;&gt;"",H18*I18*J18,"")</f>
        <v>6500</v>
      </c>
      <c r="L18" s="76">
        <f>IF(K18&lt;&gt;"",IF(D18="INTERNO",0,K18*$L$14),"")</f>
        <v>0</v>
      </c>
      <c r="M18" s="76">
        <f>IF(K18&lt;&gt;"",IF(E18="FAT.OGGI",SUM(K18:L18)*(1/(1-$M$14)-1),L18*(1/(1-$M$14)-1)),0)</f>
        <v>1577.5444264943462</v>
      </c>
      <c r="N18" s="91">
        <f>SUM(K18:M18)</f>
        <v>8077.5444264943462</v>
      </c>
      <c r="Q18" s="106">
        <f t="shared" si="0"/>
        <v>1</v>
      </c>
      <c r="R18" s="102">
        <f t="shared" si="0"/>
        <v>1</v>
      </c>
      <c r="S18" s="103"/>
      <c r="T18" s="103">
        <f>IF(Q18&lt;&gt;"",Q18*R18*S18,"")</f>
        <v>0</v>
      </c>
      <c r="U18" s="104">
        <f>IF(Q18&lt;&gt;"",K18-T18,"")</f>
        <v>6500</v>
      </c>
      <c r="V18" s="105">
        <f>IF(Q18&lt;&gt;"",0%,"")</f>
        <v>0</v>
      </c>
      <c r="W18" s="101">
        <f>IF(Q18&lt;&gt;"",V18*U18,"")</f>
        <v>0</v>
      </c>
      <c r="X18" s="101">
        <f>IF(Q18&lt;&gt;"",W18+T18,"")</f>
        <v>0</v>
      </c>
      <c r="Y18" s="92">
        <f t="shared" si="1"/>
        <v>1577.5444264943462</v>
      </c>
      <c r="Z18" s="89">
        <f>IF(Q18&lt;&gt;"", IFERROR(U18/K18, 0), 0)</f>
        <v>1</v>
      </c>
      <c r="AA18" s="82">
        <f>IFERROR(T18/$T$22, "")</f>
        <v>0</v>
      </c>
    </row>
    <row r="19" spans="1:34" ht="87.6" customHeight="1" x14ac:dyDescent="0.3">
      <c r="A19" s="44">
        <v>5</v>
      </c>
      <c r="B19" s="74" t="s">
        <v>116</v>
      </c>
      <c r="C19" s="73" t="s">
        <v>114</v>
      </c>
      <c r="D19" s="44" t="s">
        <v>120</v>
      </c>
      <c r="E19" s="44" t="s">
        <v>121</v>
      </c>
      <c r="F19" s="324" t="s">
        <v>148</v>
      </c>
      <c r="G19" s="325" t="s">
        <v>149</v>
      </c>
      <c r="H19" s="149">
        <v>1</v>
      </c>
      <c r="I19" s="149">
        <v>1</v>
      </c>
      <c r="J19" s="134">
        <v>7500</v>
      </c>
      <c r="K19" s="76">
        <f>IF(F19&lt;&gt;"",H19*I19*J19,"")</f>
        <v>7500</v>
      </c>
      <c r="L19" s="76">
        <f>IF(K19&lt;&gt;"",IF(D19="INTERNO",0,K19*$L$14),"")</f>
        <v>0</v>
      </c>
      <c r="M19" s="76">
        <f>IF(K19&lt;&gt;"",IF(E19="FAT.OGGI",SUM(K19:L19)*(1/(1-$M$14)-1),L19*(1/(1-$M$14)-1)),0)</f>
        <v>1820.243569031938</v>
      </c>
      <c r="N19" s="91">
        <f>SUM(K19:M19)</f>
        <v>9320.243569031938</v>
      </c>
      <c r="Q19" s="106">
        <f t="shared" si="0"/>
        <v>1</v>
      </c>
      <c r="R19" s="102">
        <f t="shared" si="0"/>
        <v>1</v>
      </c>
      <c r="S19" s="103"/>
      <c r="T19" s="103">
        <f>IF(Q19&lt;&gt;"",Q19*R19*S19,"")</f>
        <v>0</v>
      </c>
      <c r="U19" s="104">
        <f>IF(Q19&lt;&gt;"",K19-T19,"")</f>
        <v>7500</v>
      </c>
      <c r="V19" s="105">
        <f>IF(Q19&lt;&gt;"",0%,"")</f>
        <v>0</v>
      </c>
      <c r="W19" s="101">
        <f>IF(Q19&lt;&gt;"",V19*U19,"")</f>
        <v>0</v>
      </c>
      <c r="X19" s="101">
        <f>IF(Q19&lt;&gt;"",W19+T19,"")</f>
        <v>0</v>
      </c>
      <c r="Y19" s="92">
        <f t="shared" si="1"/>
        <v>1820.243569031938</v>
      </c>
      <c r="Z19" s="89">
        <f>IF(Q19&lt;&gt;"", IFERROR(U19/K19, 0), 0)</f>
        <v>1</v>
      </c>
      <c r="AA19" s="82">
        <f>IFERROR(T19/$T$22, "")</f>
        <v>0</v>
      </c>
    </row>
    <row r="20" spans="1:34" ht="35.1" customHeight="1" x14ac:dyDescent="0.3">
      <c r="A20" s="44">
        <v>6</v>
      </c>
      <c r="B20" s="74" t="s">
        <v>117</v>
      </c>
      <c r="C20" s="73" t="s">
        <v>114</v>
      </c>
      <c r="D20" s="44" t="s">
        <v>120</v>
      </c>
      <c r="E20" s="44" t="s">
        <v>121</v>
      </c>
      <c r="F20" s="324" t="s">
        <v>119</v>
      </c>
      <c r="G20" s="325" t="s">
        <v>320</v>
      </c>
      <c r="H20" s="149">
        <v>1</v>
      </c>
      <c r="I20" s="149">
        <v>1</v>
      </c>
      <c r="J20" s="134">
        <v>4000</v>
      </c>
      <c r="K20" s="76">
        <f>IF(F20&lt;&gt;"",H20*I20*J20,"")</f>
        <v>4000</v>
      </c>
      <c r="L20" s="76">
        <f>IF(K20&lt;&gt;"",IF(D20="INTERNO",0,K20*$L$14),"")</f>
        <v>0</v>
      </c>
      <c r="M20" s="76">
        <f>IF(K20&lt;&gt;"",IF(E20="FAT.OGGI",SUM(K20:L20)*(1/(1-$M$14)-1),L20*(1/(1-$M$14)-1)),0)</f>
        <v>970.79657015036696</v>
      </c>
      <c r="N20" s="91">
        <f>SUM(K20:M20)</f>
        <v>4970.7965701503672</v>
      </c>
      <c r="Q20" s="106">
        <f t="shared" si="0"/>
        <v>1</v>
      </c>
      <c r="R20" s="102">
        <f t="shared" si="0"/>
        <v>1</v>
      </c>
      <c r="S20" s="103">
        <v>0</v>
      </c>
      <c r="T20" s="103">
        <f>IF(Q20&lt;&gt;"",Q20*R20*S20,"")</f>
        <v>0</v>
      </c>
      <c r="U20" s="104">
        <f>IF(Q20&lt;&gt;"",K20-T20,"")</f>
        <v>4000</v>
      </c>
      <c r="V20" s="105">
        <f>IF(Q20&lt;&gt;"",0%,"")</f>
        <v>0</v>
      </c>
      <c r="W20" s="101">
        <f>IF(Q20&lt;&gt;"",V20*U20,"")</f>
        <v>0</v>
      </c>
      <c r="X20" s="101">
        <f>IF(Q20&lt;&gt;"",W20+T20,"")</f>
        <v>0</v>
      </c>
      <c r="Y20" s="92">
        <f t="shared" si="1"/>
        <v>970.79657015036696</v>
      </c>
      <c r="Z20" s="89">
        <f>IF(Q20&lt;&gt;"", IFERROR(U20/K20, 0), 0)</f>
        <v>1</v>
      </c>
      <c r="AA20" s="82">
        <f>IFERROR(T20/$T$22, "")</f>
        <v>0</v>
      </c>
    </row>
    <row r="21" spans="1:34" ht="49.5" customHeight="1" x14ac:dyDescent="0.3">
      <c r="A21" s="44">
        <v>7</v>
      </c>
      <c r="B21" s="74" t="s">
        <v>145</v>
      </c>
      <c r="C21" s="73" t="s">
        <v>114</v>
      </c>
      <c r="D21" s="44" t="s">
        <v>120</v>
      </c>
      <c r="E21" s="44" t="s">
        <v>121</v>
      </c>
      <c r="F21" s="324" t="s">
        <v>150</v>
      </c>
      <c r="G21" s="325" t="s">
        <v>151</v>
      </c>
      <c r="H21" s="149">
        <v>1</v>
      </c>
      <c r="I21" s="149">
        <v>1</v>
      </c>
      <c r="J21" s="134">
        <v>2500</v>
      </c>
      <c r="K21" s="76">
        <f>IF(F21&lt;&gt;"",H21*I21*J21,"")</f>
        <v>2500</v>
      </c>
      <c r="L21" s="76">
        <f>IF(K21&lt;&gt;"",IF(D21="INTERNO",0,K21*$L$14),"")</f>
        <v>0</v>
      </c>
      <c r="M21" s="76">
        <f>IF(K21&lt;&gt;"",IF(E21="FAT.OGGI",SUM(K21:L21)*(1/(1-$M$14)-1),L21*(1/(1-$M$14)-1)),0)</f>
        <v>606.74785634397927</v>
      </c>
      <c r="N21" s="91">
        <f>SUM(K21:M21)</f>
        <v>3106.747856343979</v>
      </c>
      <c r="Q21" s="106">
        <f>IF(H21&lt;&gt;"",H21,"")</f>
        <v>1</v>
      </c>
      <c r="R21" s="102">
        <f>IF(I21&lt;&gt;"",I21,"")</f>
        <v>1</v>
      </c>
      <c r="S21" s="103"/>
      <c r="T21" s="103">
        <f>IF(Q21&lt;&gt;"",Q21*R21*S21,"")</f>
        <v>0</v>
      </c>
      <c r="U21" s="104">
        <f>IF(Q21&lt;&gt;"",K21-T21,"")</f>
        <v>2500</v>
      </c>
      <c r="V21" s="105">
        <f>IF(Q21&lt;&gt;"",0%,"")</f>
        <v>0</v>
      </c>
      <c r="W21" s="101">
        <f>IF(Q21&lt;&gt;"",V21*U21,"")</f>
        <v>0</v>
      </c>
      <c r="X21" s="101">
        <f>IF(Q21&lt;&gt;"",W21+T21,"")</f>
        <v>0</v>
      </c>
      <c r="Y21" s="92">
        <f t="shared" si="1"/>
        <v>606.74785634397927</v>
      </c>
      <c r="Z21" s="89">
        <f>IF(Q21&lt;&gt;"", IFERROR(U21/K21, 0), 0)</f>
        <v>1</v>
      </c>
      <c r="AA21" s="82">
        <f>IFERROR(T21/$T$22, "")</f>
        <v>0</v>
      </c>
    </row>
    <row r="22" spans="1:34" ht="21.9" customHeight="1" thickBot="1" x14ac:dyDescent="0.4">
      <c r="A22" s="70">
        <v>8</v>
      </c>
      <c r="B22" s="74"/>
      <c r="C22" s="72" t="s">
        <v>122</v>
      </c>
      <c r="D22" s="70"/>
      <c r="E22" s="70"/>
      <c r="F22" s="626" t="s">
        <v>200</v>
      </c>
      <c r="G22" s="627"/>
      <c r="H22" s="627"/>
      <c r="I22" s="627"/>
      <c r="J22" s="627"/>
      <c r="K22" s="168">
        <f>SUM(K17:K21)</f>
        <v>25500</v>
      </c>
      <c r="L22" s="168">
        <f>SUM(L17:L21)</f>
        <v>0</v>
      </c>
      <c r="M22" s="168">
        <f>SUM(M17:M21)</f>
        <v>6188.8281347085895</v>
      </c>
      <c r="N22" s="169">
        <f>SUM(N17:N21)</f>
        <v>31688.82813470859</v>
      </c>
      <c r="Q22" s="628" t="s">
        <v>200</v>
      </c>
      <c r="R22" s="629"/>
      <c r="S22" s="629"/>
      <c r="T22" s="195">
        <f>SUM(T17:T21)</f>
        <v>800</v>
      </c>
      <c r="U22" s="196">
        <f>SUM(U17:U21)</f>
        <v>24700</v>
      </c>
      <c r="V22" s="201"/>
      <c r="W22" s="130"/>
      <c r="X22" s="199">
        <f>SUM(X17:X21)</f>
        <v>800</v>
      </c>
      <c r="Y22" s="200">
        <f t="shared" si="1"/>
        <v>6988.8281347085895</v>
      </c>
      <c r="Z22" s="89"/>
      <c r="AA22" s="100"/>
    </row>
    <row r="23" spans="1:34" ht="23.4" customHeight="1" thickBot="1" x14ac:dyDescent="0.4">
      <c r="A23" s="44">
        <v>9</v>
      </c>
      <c r="B23" s="74">
        <v>2</v>
      </c>
      <c r="C23" s="73" t="s">
        <v>108</v>
      </c>
      <c r="D23" s="44"/>
      <c r="E23" s="44"/>
      <c r="F23" s="637" t="s">
        <v>155</v>
      </c>
      <c r="G23" s="638"/>
      <c r="H23" s="638"/>
      <c r="I23" s="638"/>
      <c r="J23" s="638"/>
      <c r="K23" s="638"/>
      <c r="L23" s="638"/>
      <c r="M23" s="638"/>
      <c r="N23" s="639"/>
      <c r="Q23" s="640" t="str">
        <f>IF(F23&lt;&gt;"",F23,"")</f>
        <v>LOCAÇÃO DE ESPAÇO E A&amp;B</v>
      </c>
      <c r="R23" s="641"/>
      <c r="S23" s="641"/>
      <c r="T23" s="641"/>
      <c r="U23" s="641"/>
      <c r="V23" s="641"/>
      <c r="W23" s="641"/>
      <c r="X23" s="641"/>
      <c r="Y23" s="642"/>
      <c r="Z23" s="89"/>
    </row>
    <row r="24" spans="1:34" ht="24.6" customHeight="1" thickBot="1" x14ac:dyDescent="0.4">
      <c r="A24" s="44">
        <v>10</v>
      </c>
      <c r="B24" s="74" t="s">
        <v>124</v>
      </c>
      <c r="C24" s="73" t="s">
        <v>109</v>
      </c>
      <c r="D24" s="44"/>
      <c r="E24" s="44"/>
      <c r="F24" s="654" t="s">
        <v>156</v>
      </c>
      <c r="G24" s="655"/>
      <c r="H24" s="655"/>
      <c r="I24" s="655"/>
      <c r="J24" s="655"/>
      <c r="K24" s="655"/>
      <c r="L24" s="247" t="s">
        <v>111</v>
      </c>
      <c r="M24" s="247" t="s">
        <v>112</v>
      </c>
      <c r="N24" s="248" t="s">
        <v>81</v>
      </c>
      <c r="Q24" s="656" t="str">
        <f>IF(F24&lt;&gt;"",F24,"")</f>
        <v>SÃO PAULO</v>
      </c>
      <c r="R24" s="657"/>
      <c r="S24" s="657"/>
      <c r="T24" s="657"/>
      <c r="U24" s="657"/>
      <c r="V24" s="657"/>
      <c r="W24" s="657"/>
      <c r="X24" s="657"/>
      <c r="Y24" s="658"/>
      <c r="Z24" s="96" t="s">
        <v>113</v>
      </c>
      <c r="AA24" s="75" t="s">
        <v>82</v>
      </c>
    </row>
    <row r="25" spans="1:34" ht="36" customHeight="1" x14ac:dyDescent="0.35">
      <c r="A25" s="44">
        <v>11</v>
      </c>
      <c r="B25" s="74" t="s">
        <v>127</v>
      </c>
      <c r="C25" s="73" t="s">
        <v>114</v>
      </c>
      <c r="D25" s="44" t="s">
        <v>129</v>
      </c>
      <c r="E25" s="44" t="s">
        <v>130</v>
      </c>
      <c r="F25" s="341" t="s">
        <v>357</v>
      </c>
      <c r="G25" s="341" t="s">
        <v>546</v>
      </c>
      <c r="H25" s="332">
        <v>1</v>
      </c>
      <c r="I25" s="332">
        <v>1</v>
      </c>
      <c r="J25" s="333">
        <v>24634</v>
      </c>
      <c r="K25" s="333">
        <f>IF(F25&lt;&gt;"",H25*I25*J25,"")</f>
        <v>24634</v>
      </c>
      <c r="L25" s="333">
        <f>IF(K25&lt;&gt;"",IF(D25="INTERNO",0,K25*$L$14),"")</f>
        <v>2217.06</v>
      </c>
      <c r="M25" s="333">
        <f>IF(K25&lt;&gt;"",IF(E25="FAT.OGGI",SUM(K25:L25)*(1/(1-$M$14)-1),L25*(1/(1-$M$14)-1)),"")</f>
        <v>538.07856095439308</v>
      </c>
      <c r="N25" s="333">
        <f>SUM(K25:M25)</f>
        <v>27389.138560954394</v>
      </c>
      <c r="O25" s="321" t="s">
        <v>570</v>
      </c>
      <c r="Q25" s="278">
        <v>1</v>
      </c>
      <c r="R25" s="278">
        <v>1</v>
      </c>
      <c r="S25" s="210">
        <v>24634</v>
      </c>
      <c r="T25" s="210">
        <f>IF(Q25&lt;&gt;"",Q25*R25*S25,"")</f>
        <v>24634</v>
      </c>
      <c r="U25" s="211">
        <f>IF(Q25&lt;&gt;"",K25-T25,"")</f>
        <v>0</v>
      </c>
      <c r="V25" s="212">
        <f>IF(Q25&lt;&gt;"",0%,"")</f>
        <v>0</v>
      </c>
      <c r="W25" s="213">
        <f>IF(Q25&lt;&gt;"",V25*U25,"")</f>
        <v>0</v>
      </c>
      <c r="X25" s="213">
        <f>IF(Q25&lt;&gt;"",W25+T25,"")</f>
        <v>24634</v>
      </c>
      <c r="Y25" s="130">
        <f>IF(Q25&lt;&gt;"",X25+M25,"")</f>
        <v>25172.078560954393</v>
      </c>
      <c r="Z25" s="82">
        <f>IF(Q25&lt;&gt;"",U25/K25,"")</f>
        <v>0</v>
      </c>
      <c r="AA25" s="100"/>
      <c r="AC25" s="307">
        <v>24634</v>
      </c>
      <c r="AD25" s="308">
        <f>T25-AC25</f>
        <v>0</v>
      </c>
      <c r="AE25" s="309">
        <v>46106</v>
      </c>
      <c r="AG25" s="310" t="s">
        <v>440</v>
      </c>
      <c r="AH25" s="311" t="s">
        <v>441</v>
      </c>
    </row>
    <row r="26" spans="1:34" ht="36" customHeight="1" x14ac:dyDescent="0.35">
      <c r="A26" s="70">
        <v>14</v>
      </c>
      <c r="B26" s="74" t="s">
        <v>128</v>
      </c>
      <c r="C26" s="72" t="s">
        <v>114</v>
      </c>
      <c r="D26" s="44" t="s">
        <v>129</v>
      </c>
      <c r="E26" s="44" t="s">
        <v>130</v>
      </c>
      <c r="F26" s="325" t="s">
        <v>365</v>
      </c>
      <c r="G26" s="325" t="s">
        <v>365</v>
      </c>
      <c r="H26" s="149">
        <v>1</v>
      </c>
      <c r="I26" s="149">
        <v>1</v>
      </c>
      <c r="J26" s="134">
        <v>1710</v>
      </c>
      <c r="K26" s="134">
        <f>IF(F26&lt;&gt;"",H26*I26*J26,"")</f>
        <v>1710</v>
      </c>
      <c r="L26" s="134">
        <f>IF(K26&lt;&gt;"",IF(D26="INTERNO",0,K26*$L$14),"")</f>
        <v>153.9</v>
      </c>
      <c r="M26" s="134">
        <f>IF(K26&lt;&gt;"",IF(E26="FAT.OGGI",SUM(K26:L26)*(1/(1-$M$14)-1),L26*(1/(1-$M$14)-1)),"")</f>
        <v>37.351398036535372</v>
      </c>
      <c r="N26" s="134">
        <f>SUM(K26:M26)</f>
        <v>1901.2513980365354</v>
      </c>
      <c r="O26" s="322"/>
      <c r="Q26" s="277">
        <f t="shared" ref="Q26:R26" si="2">IF(H26&lt;&gt;"",H26,"")</f>
        <v>1</v>
      </c>
      <c r="R26" s="277">
        <f t="shared" si="2"/>
        <v>1</v>
      </c>
      <c r="S26" s="78">
        <v>1710</v>
      </c>
      <c r="T26" s="78">
        <f>IF(Q26&lt;&gt;"",Q26*R26*S26,"")</f>
        <v>1710</v>
      </c>
      <c r="U26" s="81">
        <f>IF(Q26&lt;&gt;"",K26-T26,"")</f>
        <v>0</v>
      </c>
      <c r="V26" s="79">
        <f>IF(Q26&lt;&gt;"",0%,"")</f>
        <v>0</v>
      </c>
      <c r="W26" s="80">
        <f>IF(Q26&lt;&gt;"",V26*U26,"")</f>
        <v>0</v>
      </c>
      <c r="X26" s="80">
        <f>IF(Q26&lt;&gt;"",W26+T26,"")</f>
        <v>1710</v>
      </c>
      <c r="Y26" s="101">
        <f>IF(Q26&lt;&gt;"",X26+M26,"")</f>
        <v>1747.3513980365353</v>
      </c>
      <c r="Z26" s="82">
        <f>IF(Q26&lt;&gt;"",U26/K26,"")</f>
        <v>0</v>
      </c>
      <c r="AA26" s="100"/>
      <c r="AC26" s="307">
        <v>1710</v>
      </c>
      <c r="AD26" s="308">
        <f>T26-AC26</f>
        <v>0</v>
      </c>
      <c r="AE26" s="309">
        <v>46128</v>
      </c>
      <c r="AG26" s="310" t="s">
        <v>538</v>
      </c>
      <c r="AH26" s="311" t="s">
        <v>539</v>
      </c>
    </row>
    <row r="27" spans="1:34" ht="20.399999999999999" customHeight="1" thickBot="1" x14ac:dyDescent="0.4">
      <c r="A27" s="69">
        <v>15</v>
      </c>
      <c r="B27" s="74"/>
      <c r="C27" s="68" t="s">
        <v>122</v>
      </c>
      <c r="D27" s="69"/>
      <c r="E27" s="69"/>
      <c r="F27" s="654" t="s">
        <v>242</v>
      </c>
      <c r="G27" s="655"/>
      <c r="H27" s="655"/>
      <c r="I27" s="655"/>
      <c r="J27" s="655"/>
      <c r="K27" s="119">
        <f>SUM(K25:K26)</f>
        <v>26344</v>
      </c>
      <c r="L27" s="119">
        <f>SUM(L25:L26)</f>
        <v>2370.96</v>
      </c>
      <c r="M27" s="119">
        <f>SUM(M25:M26)</f>
        <v>575.42995899092841</v>
      </c>
      <c r="N27" s="120">
        <f>SUM(N25:N26)</f>
        <v>29290.389958990931</v>
      </c>
      <c r="Q27" s="659" t="s">
        <v>131</v>
      </c>
      <c r="R27" s="660"/>
      <c r="S27" s="660"/>
      <c r="T27" s="205">
        <f>SUM(T25:T26)</f>
        <v>26344</v>
      </c>
      <c r="U27" s="206">
        <f>SUM(U25:U26)</f>
        <v>0</v>
      </c>
      <c r="V27" s="207"/>
      <c r="W27" s="208"/>
      <c r="X27" s="209">
        <f>SUM(X25:X26)</f>
        <v>26344</v>
      </c>
      <c r="Y27" s="112">
        <f t="shared" ref="Y27" si="3">IF(Q27&lt;&gt;"",X27+M27,"")</f>
        <v>26919.429958990928</v>
      </c>
      <c r="Z27" s="89"/>
    </row>
    <row r="28" spans="1:34" ht="26.1" customHeight="1" thickBot="1" x14ac:dyDescent="0.4">
      <c r="A28" s="70">
        <v>16</v>
      </c>
      <c r="B28" s="74">
        <v>3</v>
      </c>
      <c r="C28" s="72" t="s">
        <v>108</v>
      </c>
      <c r="D28" s="70"/>
      <c r="E28" s="70"/>
      <c r="F28" s="637" t="s">
        <v>228</v>
      </c>
      <c r="G28" s="638"/>
      <c r="H28" s="638"/>
      <c r="I28" s="638"/>
      <c r="J28" s="638"/>
      <c r="K28" s="638"/>
      <c r="L28" s="638"/>
      <c r="M28" s="638"/>
      <c r="N28" s="639"/>
      <c r="Q28" s="640" t="str">
        <f>IF(F28&lt;&gt;"",F28,"")</f>
        <v>ATRAÇÕES</v>
      </c>
      <c r="R28" s="641"/>
      <c r="S28" s="641"/>
      <c r="T28" s="641"/>
      <c r="U28" s="641"/>
      <c r="V28" s="641"/>
      <c r="W28" s="641"/>
      <c r="X28" s="641"/>
      <c r="Y28" s="642"/>
      <c r="Z28" s="89"/>
    </row>
    <row r="29" spans="1:34" ht="21" customHeight="1" x14ac:dyDescent="0.35">
      <c r="A29" s="69">
        <v>17</v>
      </c>
      <c r="B29" s="74" t="s">
        <v>132</v>
      </c>
      <c r="C29" s="68" t="s">
        <v>109</v>
      </c>
      <c r="D29" s="69"/>
      <c r="E29" s="69"/>
      <c r="F29" s="643" t="s">
        <v>228</v>
      </c>
      <c r="G29" s="644"/>
      <c r="H29" s="644"/>
      <c r="I29" s="644"/>
      <c r="J29" s="644"/>
      <c r="K29" s="644"/>
      <c r="L29" s="170" t="s">
        <v>111</v>
      </c>
      <c r="M29" s="170" t="s">
        <v>112</v>
      </c>
      <c r="N29" s="171" t="s">
        <v>81</v>
      </c>
      <c r="Q29" s="656" t="str">
        <f>IF(F29&lt;&gt;"",F29,"")</f>
        <v>ATRAÇÕES</v>
      </c>
      <c r="R29" s="657"/>
      <c r="S29" s="657"/>
      <c r="T29" s="657"/>
      <c r="U29" s="657"/>
      <c r="V29" s="657"/>
      <c r="W29" s="657"/>
      <c r="X29" s="657"/>
      <c r="Y29" s="658"/>
      <c r="Z29" s="96" t="s">
        <v>113</v>
      </c>
      <c r="AA29" s="75" t="s">
        <v>82</v>
      </c>
    </row>
    <row r="30" spans="1:34" ht="45" customHeight="1" x14ac:dyDescent="0.35">
      <c r="A30" s="44">
        <v>18</v>
      </c>
      <c r="B30" s="74" t="s">
        <v>133</v>
      </c>
      <c r="C30" s="73" t="s">
        <v>114</v>
      </c>
      <c r="D30" s="44" t="s">
        <v>129</v>
      </c>
      <c r="E30" s="44" t="s">
        <v>130</v>
      </c>
      <c r="F30" s="324" t="s">
        <v>229</v>
      </c>
      <c r="G30" s="325" t="s">
        <v>332</v>
      </c>
      <c r="H30" s="149">
        <v>1</v>
      </c>
      <c r="I30" s="149">
        <v>1</v>
      </c>
      <c r="J30" s="134">
        <v>45000</v>
      </c>
      <c r="K30" s="134">
        <f>IF(F30&lt;&gt;"",H30*I30*J30,"")</f>
        <v>45000</v>
      </c>
      <c r="L30" s="134">
        <f>IF(K30&lt;&gt;"",IF(D30="INTERNO",0,K30*$L$14),"")</f>
        <v>4050</v>
      </c>
      <c r="M30" s="134">
        <f>IF(K30&lt;&gt;"",IF(E30="FAT.OGGI",SUM(K30:L30)*(1/(1-$M$14)-1),L30*(1/(1-$M$14)-1)),0)</f>
        <v>982.93152727724646</v>
      </c>
      <c r="N30" s="135">
        <f>SUM(K30:M30)</f>
        <v>50032.931527277244</v>
      </c>
      <c r="O30" s="322"/>
      <c r="Q30" s="106">
        <f t="shared" ref="Q30:R32" si="4">IF(H30&lt;&gt;"",H30,"")</f>
        <v>1</v>
      </c>
      <c r="R30" s="102">
        <f t="shared" si="4"/>
        <v>1</v>
      </c>
      <c r="S30" s="103">
        <v>40410</v>
      </c>
      <c r="T30" s="103">
        <f>IF(Q30&lt;&gt;"",Q30*R30*S30,"")</f>
        <v>40410</v>
      </c>
      <c r="U30" s="104">
        <f>IF(Q30&lt;&gt;"",K30-T30,"")</f>
        <v>4590</v>
      </c>
      <c r="V30" s="105">
        <f>IF(Q30&lt;&gt;"",0%,"")</f>
        <v>0</v>
      </c>
      <c r="W30" s="101">
        <f>IF(Q30&lt;&gt;"",V30*U30,"")</f>
        <v>0</v>
      </c>
      <c r="X30" s="101">
        <f>IF(Q30&lt;&gt;"",W30+T30,"")</f>
        <v>40410</v>
      </c>
      <c r="Y30" s="92">
        <f t="shared" ref="Y30:Y33" si="5">IF(Q30&lt;&gt;"",X30+M30,"")</f>
        <v>41392.931527277244</v>
      </c>
      <c r="Z30" s="89">
        <f>IF(Q30&lt;&gt;"", IFERROR(U30/K30, 0), 0)</f>
        <v>0.10199999999999999</v>
      </c>
      <c r="AA30" s="82">
        <f>IFERROR(T30/$T$33, "")</f>
        <v>0.98777804937668057</v>
      </c>
      <c r="AC30" s="307">
        <v>39600</v>
      </c>
      <c r="AD30" s="308">
        <f>T30-AC30</f>
        <v>810</v>
      </c>
      <c r="AE30" s="309">
        <v>46090</v>
      </c>
      <c r="AG30" s="310" t="s">
        <v>392</v>
      </c>
      <c r="AH30" s="311" t="s">
        <v>393</v>
      </c>
    </row>
    <row r="31" spans="1:34" ht="45" customHeight="1" x14ac:dyDescent="0.3">
      <c r="A31" s="44">
        <v>19</v>
      </c>
      <c r="B31" s="74" t="s">
        <v>134</v>
      </c>
      <c r="C31" s="73" t="s">
        <v>114</v>
      </c>
      <c r="D31" s="44" t="s">
        <v>129</v>
      </c>
      <c r="E31" s="44" t="s">
        <v>130</v>
      </c>
      <c r="F31" s="324" t="s">
        <v>231</v>
      </c>
      <c r="G31" s="325" t="s">
        <v>396</v>
      </c>
      <c r="H31" s="149">
        <v>1</v>
      </c>
      <c r="I31" s="149">
        <v>1</v>
      </c>
      <c r="J31" s="134">
        <v>2000</v>
      </c>
      <c r="K31" s="134">
        <f>IF(F31&lt;&gt;"",H31*I31*J31,"")</f>
        <v>2000</v>
      </c>
      <c r="L31" s="134">
        <f>IF(K31&lt;&gt;"",IF(D31="INTERNO",0,K31*$L$14),"")</f>
        <v>180</v>
      </c>
      <c r="M31" s="134">
        <f>IF(K31&lt;&gt;"",IF(E31="FAT.OGGI",SUM(K31:L31)*(1/(1-$M$14)-1),L31*(1/(1-$M$14)-1)),0)</f>
        <v>43.68584565676651</v>
      </c>
      <c r="N31" s="135">
        <f>SUM(K31:M31)</f>
        <v>2223.6858456567666</v>
      </c>
      <c r="Q31" s="106">
        <f t="shared" si="4"/>
        <v>1</v>
      </c>
      <c r="R31" s="102">
        <f t="shared" si="4"/>
        <v>1</v>
      </c>
      <c r="S31" s="103">
        <v>0</v>
      </c>
      <c r="T31" s="103">
        <f>IF(Q31&lt;&gt;"",Q31*R31*S31,"")</f>
        <v>0</v>
      </c>
      <c r="U31" s="104">
        <f>IF(Q31&lt;&gt;"",K31-T31,"")</f>
        <v>2000</v>
      </c>
      <c r="V31" s="105">
        <f>IF(Q31&lt;&gt;"",0%,"")</f>
        <v>0</v>
      </c>
      <c r="W31" s="101">
        <f>IF(Q31&lt;&gt;"",V31*U31,"")</f>
        <v>0</v>
      </c>
      <c r="X31" s="101">
        <f>IF(Q31&lt;&gt;"",W31+T31,"")</f>
        <v>0</v>
      </c>
      <c r="Y31" s="92">
        <f t="shared" si="5"/>
        <v>43.68584565676651</v>
      </c>
      <c r="Z31" s="89">
        <f>IF(Q31&lt;&gt;"", IFERROR(U31/K31, 0), 0)</f>
        <v>1</v>
      </c>
      <c r="AA31" s="100"/>
    </row>
    <row r="32" spans="1:34" ht="45" customHeight="1" x14ac:dyDescent="0.35">
      <c r="A32" s="44">
        <v>20</v>
      </c>
      <c r="B32" s="74" t="s">
        <v>159</v>
      </c>
      <c r="C32" s="73" t="s">
        <v>114</v>
      </c>
      <c r="D32" s="44" t="s">
        <v>129</v>
      </c>
      <c r="E32" s="44" t="s">
        <v>130</v>
      </c>
      <c r="F32" s="324" t="s">
        <v>299</v>
      </c>
      <c r="G32" s="325" t="s">
        <v>364</v>
      </c>
      <c r="H32" s="149">
        <v>1</v>
      </c>
      <c r="I32" s="149">
        <v>1</v>
      </c>
      <c r="J32" s="134">
        <v>1300</v>
      </c>
      <c r="K32" s="134">
        <f>IF(F32&lt;&gt;"",H32*I32*J32,"")</f>
        <v>1300</v>
      </c>
      <c r="L32" s="134">
        <f>IF(K32&lt;&gt;"",IF(D32="INTERNO",0,K32*$L$14),"")</f>
        <v>117</v>
      </c>
      <c r="M32" s="134">
        <f>IF(K32&lt;&gt;"",IF(E32="FAT.OGGI",SUM(K32:L32)*(1/(1-$M$14)-1),L32*(1/(1-$M$14)-1)),"")</f>
        <v>28.395799676898232</v>
      </c>
      <c r="N32" s="135">
        <f>SUM(K32:M32)</f>
        <v>1445.3957996768982</v>
      </c>
      <c r="O32" s="323"/>
      <c r="Q32" s="106">
        <f t="shared" si="4"/>
        <v>1</v>
      </c>
      <c r="R32" s="102">
        <f t="shared" si="4"/>
        <v>1</v>
      </c>
      <c r="S32" s="103">
        <v>500</v>
      </c>
      <c r="T32" s="103">
        <f>IF(Q32&lt;&gt;"",Q32*R32*S32,"")</f>
        <v>500</v>
      </c>
      <c r="U32" s="104">
        <f>IF(Q32&lt;&gt;"",K32-T32,"")</f>
        <v>800</v>
      </c>
      <c r="V32" s="105">
        <f>IF(Q32&lt;&gt;"",0%,"")</f>
        <v>0</v>
      </c>
      <c r="W32" s="101">
        <f>IF(Q32&lt;&gt;"",V32*U32,"")</f>
        <v>0</v>
      </c>
      <c r="X32" s="101">
        <f>IF(Q32&lt;&gt;"",W32+T32,"")</f>
        <v>500</v>
      </c>
      <c r="Y32" s="92">
        <f t="shared" si="5"/>
        <v>528.39579967689826</v>
      </c>
      <c r="Z32" s="89">
        <f>IF(Q32&lt;&gt;"",U32/K32,"")</f>
        <v>0.61538461538461542</v>
      </c>
      <c r="AA32" s="100"/>
      <c r="AC32" s="307">
        <v>500</v>
      </c>
      <c r="AD32" s="308">
        <f>T32-AC32</f>
        <v>0</v>
      </c>
      <c r="AE32" s="309">
        <v>46106</v>
      </c>
      <c r="AG32" s="310" t="s">
        <v>433</v>
      </c>
      <c r="AH32" s="311" t="s">
        <v>434</v>
      </c>
    </row>
    <row r="33" spans="1:34" ht="21" customHeight="1" thickBot="1" x14ac:dyDescent="0.4">
      <c r="A33" s="69">
        <v>21</v>
      </c>
      <c r="B33" s="74"/>
      <c r="C33" s="68" t="s">
        <v>122</v>
      </c>
      <c r="D33" s="69"/>
      <c r="E33" s="69"/>
      <c r="F33" s="626" t="s">
        <v>123</v>
      </c>
      <c r="G33" s="627"/>
      <c r="H33" s="627"/>
      <c r="I33" s="627"/>
      <c r="J33" s="627"/>
      <c r="K33" s="168">
        <f>SUM(K30:K32)</f>
        <v>48300</v>
      </c>
      <c r="L33" s="168">
        <f>SUM(L30:L32)</f>
        <v>4347</v>
      </c>
      <c r="M33" s="168">
        <f>SUM(M30:M32)</f>
        <v>1055.0131726109112</v>
      </c>
      <c r="N33" s="169">
        <f>SUM(N30:N32)</f>
        <v>53702.013172610903</v>
      </c>
      <c r="Q33" s="628" t="s">
        <v>123</v>
      </c>
      <c r="R33" s="629"/>
      <c r="S33" s="629"/>
      <c r="T33" s="195">
        <f>SUM(T30:T32)</f>
        <v>40910</v>
      </c>
      <c r="U33" s="196">
        <f>SUM(U30:U32)</f>
        <v>7390</v>
      </c>
      <c r="V33" s="201"/>
      <c r="W33" s="130"/>
      <c r="X33" s="199">
        <f>SUM(X30:X32)</f>
        <v>40910</v>
      </c>
      <c r="Y33" s="200">
        <f t="shared" si="5"/>
        <v>41965.01317261091</v>
      </c>
      <c r="Z33" s="89"/>
    </row>
    <row r="34" spans="1:34" ht="20.399999999999999" customHeight="1" thickBot="1" x14ac:dyDescent="0.4">
      <c r="A34" s="44">
        <v>22</v>
      </c>
      <c r="B34" s="74">
        <v>4</v>
      </c>
      <c r="C34" s="73" t="s">
        <v>108</v>
      </c>
      <c r="D34" s="44"/>
      <c r="E34" s="44"/>
      <c r="F34" s="637" t="s">
        <v>160</v>
      </c>
      <c r="G34" s="638"/>
      <c r="H34" s="638"/>
      <c r="I34" s="638"/>
      <c r="J34" s="638"/>
      <c r="K34" s="638"/>
      <c r="L34" s="638"/>
      <c r="M34" s="638"/>
      <c r="N34" s="639"/>
      <c r="Q34" s="640" t="str">
        <f>IF(F34&lt;&gt;"",F34,"")</f>
        <v>CREDENCIAMENTO</v>
      </c>
      <c r="R34" s="641"/>
      <c r="S34" s="641"/>
      <c r="T34" s="641"/>
      <c r="U34" s="641"/>
      <c r="V34" s="641"/>
      <c r="W34" s="641"/>
      <c r="X34" s="641"/>
      <c r="Y34" s="642"/>
      <c r="Z34" s="89"/>
    </row>
    <row r="35" spans="1:34" ht="21" customHeight="1" x14ac:dyDescent="0.35">
      <c r="A35" s="69">
        <v>23</v>
      </c>
      <c r="B35" s="74" t="s">
        <v>135</v>
      </c>
      <c r="C35" s="68" t="s">
        <v>109</v>
      </c>
      <c r="D35" s="69"/>
      <c r="E35" s="69"/>
      <c r="F35" s="643" t="s">
        <v>160</v>
      </c>
      <c r="G35" s="644"/>
      <c r="H35" s="644"/>
      <c r="I35" s="644"/>
      <c r="J35" s="644"/>
      <c r="K35" s="644"/>
      <c r="L35" s="170" t="s">
        <v>111</v>
      </c>
      <c r="M35" s="170" t="s">
        <v>112</v>
      </c>
      <c r="N35" s="171" t="s">
        <v>81</v>
      </c>
      <c r="Q35" s="656" t="str">
        <f>IF(F35&lt;&gt;"",F35,"")</f>
        <v>CREDENCIAMENTO</v>
      </c>
      <c r="R35" s="657"/>
      <c r="S35" s="657"/>
      <c r="T35" s="657"/>
      <c r="U35" s="657"/>
      <c r="V35" s="657"/>
      <c r="W35" s="657"/>
      <c r="X35" s="657"/>
      <c r="Y35" s="658"/>
      <c r="Z35" s="96" t="s">
        <v>113</v>
      </c>
      <c r="AA35" s="75" t="s">
        <v>82</v>
      </c>
    </row>
    <row r="36" spans="1:34" ht="45" customHeight="1" x14ac:dyDescent="0.35">
      <c r="A36" s="44">
        <v>24</v>
      </c>
      <c r="B36" s="74" t="s">
        <v>136</v>
      </c>
      <c r="C36" s="73" t="s">
        <v>114</v>
      </c>
      <c r="D36" s="44" t="s">
        <v>129</v>
      </c>
      <c r="E36" s="44" t="s">
        <v>130</v>
      </c>
      <c r="F36" s="324" t="s">
        <v>161</v>
      </c>
      <c r="G36" s="325" t="s">
        <v>162</v>
      </c>
      <c r="H36" s="149">
        <v>1</v>
      </c>
      <c r="I36" s="149">
        <v>2</v>
      </c>
      <c r="J36" s="134">
        <v>2000</v>
      </c>
      <c r="K36" s="134">
        <f>IF(F36&lt;&gt;"",H36*I36*J36,"")</f>
        <v>4000</v>
      </c>
      <c r="L36" s="134">
        <f>IF(K36&lt;&gt;"",IF(D36="INTERNO",0,K36*$L$14),"")</f>
        <v>360</v>
      </c>
      <c r="M36" s="134">
        <f>IF(K36&lt;&gt;"",IF(E36="FAT.OGGI",SUM(K36:L36)*(1/(1-$M$14)-1),L36*(1/(1-$M$14)-1)),0)</f>
        <v>87.37169131353302</v>
      </c>
      <c r="N36" s="135">
        <f>SUM(K36:M36)</f>
        <v>4447.3716913135331</v>
      </c>
      <c r="Q36" s="106">
        <f t="shared" ref="Q36:R38" si="6">IF(H36&lt;&gt;"",H36,"")</f>
        <v>1</v>
      </c>
      <c r="R36" s="102">
        <v>1</v>
      </c>
      <c r="S36" s="103">
        <v>4000</v>
      </c>
      <c r="T36" s="103">
        <f>IF(Q36&lt;&gt;"",Q36*R36*S36,"")</f>
        <v>4000</v>
      </c>
      <c r="U36" s="104">
        <f>IF(Q36&lt;&gt;"",K36-T36,"")</f>
        <v>0</v>
      </c>
      <c r="V36" s="105">
        <f>IF(Q36&lt;&gt;"",0%,"")</f>
        <v>0</v>
      </c>
      <c r="W36" s="101">
        <f>IF(Q36&lt;&gt;"",V36*U36,"")</f>
        <v>0</v>
      </c>
      <c r="X36" s="101">
        <f>IF(Q36&lt;&gt;"",W36+T36,"")</f>
        <v>4000</v>
      </c>
      <c r="Y36" s="92">
        <f>IF(Q36&lt;&gt;"",X36+M36,"")</f>
        <v>4087.3716913135331</v>
      </c>
      <c r="Z36" s="89">
        <f>IF(Q36&lt;&gt;"", IFERROR(U36/K36, 0), 0)</f>
        <v>0</v>
      </c>
      <c r="AA36" s="82">
        <f>IFERROR(T36/$T$39, "")</f>
        <v>0.81478011121748517</v>
      </c>
      <c r="AC36" s="307">
        <v>4000</v>
      </c>
      <c r="AD36" s="308">
        <f>T36-AC36</f>
        <v>0</v>
      </c>
      <c r="AE36" s="309">
        <v>46128</v>
      </c>
      <c r="AG36" s="310" t="s">
        <v>544</v>
      </c>
      <c r="AH36" s="311" t="s">
        <v>545</v>
      </c>
    </row>
    <row r="37" spans="1:34" ht="45" customHeight="1" x14ac:dyDescent="0.35">
      <c r="A37" s="44">
        <v>25</v>
      </c>
      <c r="B37" s="74" t="s">
        <v>157</v>
      </c>
      <c r="C37" s="73" t="s">
        <v>114</v>
      </c>
      <c r="D37" s="44" t="s">
        <v>129</v>
      </c>
      <c r="E37" s="44" t="s">
        <v>130</v>
      </c>
      <c r="F37" s="324" t="s">
        <v>163</v>
      </c>
      <c r="G37" s="325" t="s">
        <v>321</v>
      </c>
      <c r="H37" s="149">
        <v>70</v>
      </c>
      <c r="I37" s="149">
        <v>1</v>
      </c>
      <c r="J37" s="134">
        <v>3.81</v>
      </c>
      <c r="K37" s="134">
        <f>IF(F37&lt;&gt;"",H37*I37*J37,"")</f>
        <v>266.7</v>
      </c>
      <c r="L37" s="134">
        <f>IF(K37&lt;&gt;"",IF(D37="INTERNO",0,K37*$L$14),"")</f>
        <v>24.002999999999997</v>
      </c>
      <c r="M37" s="134">
        <f>IF(K37&lt;&gt;"",IF(E37="FAT.OGGI",SUM(K37:L37)*(1/(1-$M$14)-1),L37*(1/(1-$M$14)-1)),0)</f>
        <v>5.8255075183298137</v>
      </c>
      <c r="N37" s="135">
        <f>SUM(K37:M37)</f>
        <v>296.52850751832977</v>
      </c>
      <c r="Q37" s="106">
        <v>1</v>
      </c>
      <c r="R37" s="102">
        <v>1</v>
      </c>
      <c r="S37" s="103">
        <v>385</v>
      </c>
      <c r="T37" s="103">
        <f>IF(Q37&lt;&gt;"",Q37*R37*S37,"")</f>
        <v>385</v>
      </c>
      <c r="U37" s="104">
        <f>IF(Q37&lt;&gt;"",K37-T37,"")</f>
        <v>-118.30000000000001</v>
      </c>
      <c r="V37" s="105">
        <f>IF(Q37&lt;&gt;"",0%,"")</f>
        <v>0</v>
      </c>
      <c r="W37" s="101">
        <f>IF(Q37&lt;&gt;"",V37*U37,"")</f>
        <v>0</v>
      </c>
      <c r="X37" s="101">
        <f>IF(Q37&lt;&gt;"",W37+T37,"")</f>
        <v>385</v>
      </c>
      <c r="Y37" s="92">
        <f>IF(Q37&lt;&gt;"",X37+M37,"")</f>
        <v>390.8255075183298</v>
      </c>
      <c r="Z37" s="89">
        <f>IF(Q37&lt;&gt;"", IFERROR(U37/K37, 0), 0)</f>
        <v>-0.44356955380577434</v>
      </c>
      <c r="AA37" s="82">
        <f>IFERROR(T37/$T$39, "")</f>
        <v>7.842258570468294E-2</v>
      </c>
      <c r="AC37" s="307">
        <v>770</v>
      </c>
      <c r="AD37" s="308">
        <f>T37-AC37</f>
        <v>-385</v>
      </c>
      <c r="AE37" s="309">
        <v>46106</v>
      </c>
      <c r="AG37" s="310" t="s">
        <v>427</v>
      </c>
      <c r="AH37" s="311" t="s">
        <v>428</v>
      </c>
    </row>
    <row r="38" spans="1:34" ht="45" customHeight="1" x14ac:dyDescent="0.35">
      <c r="A38" s="69">
        <v>26</v>
      </c>
      <c r="B38" s="74" t="s">
        <v>158</v>
      </c>
      <c r="C38" s="68" t="s">
        <v>114</v>
      </c>
      <c r="D38" s="69" t="s">
        <v>129</v>
      </c>
      <c r="E38" s="69" t="s">
        <v>130</v>
      </c>
      <c r="F38" s="324" t="s">
        <v>164</v>
      </c>
      <c r="G38" s="325" t="s">
        <v>322</v>
      </c>
      <c r="H38" s="149">
        <v>70</v>
      </c>
      <c r="I38" s="149">
        <v>1</v>
      </c>
      <c r="J38" s="134">
        <v>7.49</v>
      </c>
      <c r="K38" s="134">
        <f>IF(F38&lt;&gt;"",H38*I38*J38,"")</f>
        <v>524.30000000000007</v>
      </c>
      <c r="L38" s="134">
        <f>IF(K38&lt;&gt;"",IF(D38="INTERNO",0,K38*$L$14),"")</f>
        <v>47.187000000000005</v>
      </c>
      <c r="M38" s="134">
        <f>IF(K38&lt;&gt;"",IF(E38="FAT.OGGI",SUM(K38:L38)*(1/(1-$M$14)-1),L38*(1/(1-$M$14)-1)),0)</f>
        <v>11.452244438921342</v>
      </c>
      <c r="N38" s="135">
        <f>SUM(K38:M38)</f>
        <v>582.93924443892138</v>
      </c>
      <c r="Q38" s="106">
        <v>1</v>
      </c>
      <c r="R38" s="102">
        <f t="shared" si="6"/>
        <v>1</v>
      </c>
      <c r="S38" s="103">
        <v>524.29999999999995</v>
      </c>
      <c r="T38" s="103">
        <f>IF(Q38&lt;&gt;"",Q38*R38*S38,"")</f>
        <v>524.29999999999995</v>
      </c>
      <c r="U38" s="104">
        <f>IF(Q38&lt;&gt;"",K38-T38,"")</f>
        <v>1.1368683772161603E-13</v>
      </c>
      <c r="V38" s="105">
        <f>IF(Q38&lt;&gt;"",0%,"")</f>
        <v>0</v>
      </c>
      <c r="W38" s="101">
        <f>IF(Q38&lt;&gt;"",V38*U38,"")</f>
        <v>0</v>
      </c>
      <c r="X38" s="101">
        <f>IF(Q38&lt;&gt;"",W38+T38,"")</f>
        <v>524.29999999999995</v>
      </c>
      <c r="Y38" s="92">
        <f>IF(Q38&lt;&gt;"",X38+M38,"")</f>
        <v>535.75224443892125</v>
      </c>
      <c r="Z38" s="98">
        <f>IF(Q38&lt;&gt;"", IFERROR(U38/K38, 0), 0)</f>
        <v>2.168354715270189E-16</v>
      </c>
      <c r="AA38" s="82">
        <f>IFERROR(T38/$T$39, "")</f>
        <v>0.10679730307783186</v>
      </c>
      <c r="AC38" s="307">
        <v>524.29999999999995</v>
      </c>
      <c r="AD38" s="308">
        <f>T38-AC38</f>
        <v>0</v>
      </c>
      <c r="AE38" s="309">
        <v>46101</v>
      </c>
      <c r="AG38" s="310" t="s">
        <v>416</v>
      </c>
      <c r="AH38" s="311" t="s">
        <v>417</v>
      </c>
    </row>
    <row r="39" spans="1:34" ht="24" customHeight="1" thickBot="1" x14ac:dyDescent="0.4">
      <c r="A39" s="70">
        <v>27</v>
      </c>
      <c r="B39" s="74"/>
      <c r="C39" s="72" t="s">
        <v>122</v>
      </c>
      <c r="D39" s="70"/>
      <c r="E39" s="70"/>
      <c r="F39" s="626" t="s">
        <v>202</v>
      </c>
      <c r="G39" s="627"/>
      <c r="H39" s="627"/>
      <c r="I39" s="627"/>
      <c r="J39" s="627"/>
      <c r="K39" s="168">
        <f>SUM(K36:K38)</f>
        <v>4791</v>
      </c>
      <c r="L39" s="168">
        <f>SUM(L36:L38)</f>
        <v>431.19</v>
      </c>
      <c r="M39" s="168">
        <f>SUM(M36:M38)</f>
        <v>104.64944327078418</v>
      </c>
      <c r="N39" s="169">
        <f>SUM(N36:N38)</f>
        <v>5326.8394432707846</v>
      </c>
      <c r="Q39" s="628" t="s">
        <v>202</v>
      </c>
      <c r="R39" s="629"/>
      <c r="S39" s="629"/>
      <c r="T39" s="195">
        <f>SUM(T36:T38)</f>
        <v>4909.3</v>
      </c>
      <c r="U39" s="196">
        <f>SUM(U36:U38)</f>
        <v>-118.2999999999999</v>
      </c>
      <c r="V39" s="201"/>
      <c r="W39" s="130"/>
      <c r="X39" s="199">
        <f>SUM(X36:X38)</f>
        <v>4909.3</v>
      </c>
      <c r="Y39" s="200">
        <f>IF(Q39&lt;&gt;"",X39+M39,"")</f>
        <v>5013.9494432707843</v>
      </c>
      <c r="Z39" s="98"/>
      <c r="AA39" s="100"/>
    </row>
    <row r="40" spans="1:34" ht="22.5" customHeight="1" thickBot="1" x14ac:dyDescent="0.4">
      <c r="A40" s="69">
        <v>28</v>
      </c>
      <c r="B40" s="74">
        <v>5</v>
      </c>
      <c r="C40" s="68" t="s">
        <v>108</v>
      </c>
      <c r="D40" s="69"/>
      <c r="E40" s="69"/>
      <c r="F40" s="637" t="s">
        <v>166</v>
      </c>
      <c r="G40" s="638"/>
      <c r="H40" s="638"/>
      <c r="I40" s="638"/>
      <c r="J40" s="638"/>
      <c r="K40" s="638"/>
      <c r="L40" s="638"/>
      <c r="M40" s="638"/>
      <c r="N40" s="639"/>
      <c r="Q40" s="640" t="str">
        <f>IF(F40&lt;&gt;"",F40,"")</f>
        <v>CENOGRAFIA</v>
      </c>
      <c r="R40" s="641"/>
      <c r="S40" s="641"/>
      <c r="T40" s="641"/>
      <c r="U40" s="641"/>
      <c r="V40" s="641"/>
      <c r="W40" s="641"/>
      <c r="X40" s="641"/>
      <c r="Y40" s="642"/>
      <c r="Z40" s="89"/>
    </row>
    <row r="41" spans="1:34" ht="24" customHeight="1" x14ac:dyDescent="0.35">
      <c r="A41" s="69">
        <v>29</v>
      </c>
      <c r="B41" s="74" t="s">
        <v>137</v>
      </c>
      <c r="C41" s="68" t="s">
        <v>109</v>
      </c>
      <c r="D41" s="69"/>
      <c r="E41" s="69"/>
      <c r="F41" s="643" t="s">
        <v>166</v>
      </c>
      <c r="G41" s="644"/>
      <c r="H41" s="644"/>
      <c r="I41" s="644"/>
      <c r="J41" s="644"/>
      <c r="K41" s="644"/>
      <c r="L41" s="170" t="s">
        <v>111</v>
      </c>
      <c r="M41" s="170" t="s">
        <v>112</v>
      </c>
      <c r="N41" s="171" t="s">
        <v>81</v>
      </c>
      <c r="Q41" s="656" t="str">
        <f>IF(F41&lt;&gt;"",F41,"")</f>
        <v>CENOGRAFIA</v>
      </c>
      <c r="R41" s="657"/>
      <c r="S41" s="657"/>
      <c r="T41" s="657"/>
      <c r="U41" s="657"/>
      <c r="V41" s="657"/>
      <c r="W41" s="657"/>
      <c r="X41" s="657"/>
      <c r="Y41" s="658"/>
      <c r="Z41" s="96" t="s">
        <v>113</v>
      </c>
      <c r="AA41" s="75" t="s">
        <v>82</v>
      </c>
    </row>
    <row r="42" spans="1:34" ht="45" customHeight="1" x14ac:dyDescent="0.35">
      <c r="A42" s="44">
        <v>31</v>
      </c>
      <c r="B42" s="74" t="s">
        <v>142</v>
      </c>
      <c r="C42" s="73" t="s">
        <v>114</v>
      </c>
      <c r="D42" s="44" t="s">
        <v>129</v>
      </c>
      <c r="E42" s="44" t="s">
        <v>130</v>
      </c>
      <c r="F42" s="324" t="s">
        <v>549</v>
      </c>
      <c r="G42" s="325" t="s">
        <v>548</v>
      </c>
      <c r="H42" s="149">
        <v>1</v>
      </c>
      <c r="I42" s="149">
        <v>1</v>
      </c>
      <c r="J42" s="134">
        <v>8500</v>
      </c>
      <c r="K42" s="134">
        <f t="shared" ref="K42:K44" si="7">IF(F42&lt;&gt;"",H42*I42*J42,"")</f>
        <v>8500</v>
      </c>
      <c r="L42" s="76">
        <f t="shared" ref="L42:L44" si="8">IF(K42&lt;&gt;"",IF(D42="INTERNO",0,K42*$L$14),"")</f>
        <v>765</v>
      </c>
      <c r="M42" s="76">
        <f>IF(K42&lt;&gt;"",IF(E42="FAT.OGGI",SUM(K42:L42)*(1/(1-$M$14)-1),L42*(1/(1-$M$14)-1)),"")</f>
        <v>185.66484404125768</v>
      </c>
      <c r="N42" s="91">
        <f t="shared" ref="N42:N44" si="9">SUM(K42:M42)</f>
        <v>9450.6648440412573</v>
      </c>
      <c r="Q42" s="106">
        <f t="shared" ref="Q42:R43" si="10">IF(H42&lt;&gt;"",H42,"")</f>
        <v>1</v>
      </c>
      <c r="R42" s="102">
        <f t="shared" si="10"/>
        <v>1</v>
      </c>
      <c r="S42" s="103">
        <v>7000</v>
      </c>
      <c r="T42" s="103">
        <f t="shared" ref="T42:T44" si="11">IF(Q42&lt;&gt;"",Q42*R42*S42,"")</f>
        <v>7000</v>
      </c>
      <c r="U42" s="104">
        <f t="shared" ref="U42:U44" si="12">IF(Q42&lt;&gt;"",K42-T42,"")</f>
        <v>1500</v>
      </c>
      <c r="V42" s="105">
        <f t="shared" ref="V42:V44" si="13">IF(Q42&lt;&gt;"",0%,"")</f>
        <v>0</v>
      </c>
      <c r="W42" s="101">
        <f t="shared" ref="W42:W44" si="14">IF(Q42&lt;&gt;"",V42*U42,"")</f>
        <v>0</v>
      </c>
      <c r="X42" s="101">
        <f t="shared" ref="X42:X44" si="15">IF(Q42&lt;&gt;"",W42+T42,"")</f>
        <v>7000</v>
      </c>
      <c r="Y42" s="92">
        <f t="shared" ref="Y42:Y45" si="16">IF(Q42&lt;&gt;"",X42+M42,"")</f>
        <v>7185.6648440412573</v>
      </c>
      <c r="Z42" s="89">
        <f>IF(Q42&lt;&gt;"",U42/K42,"")</f>
        <v>0.17647058823529413</v>
      </c>
      <c r="AA42" s="82"/>
      <c r="AC42" s="307">
        <v>7000</v>
      </c>
      <c r="AD42" s="308">
        <f>T42-AC42</f>
        <v>0</v>
      </c>
      <c r="AE42" s="309">
        <v>46101</v>
      </c>
      <c r="AG42" s="310" t="s">
        <v>410</v>
      </c>
      <c r="AH42" s="311" t="s">
        <v>411</v>
      </c>
    </row>
    <row r="43" spans="1:34" ht="45" customHeight="1" x14ac:dyDescent="0.35">
      <c r="A43" s="69">
        <v>33</v>
      </c>
      <c r="B43" s="74" t="s">
        <v>143</v>
      </c>
      <c r="C43" s="68" t="s">
        <v>114</v>
      </c>
      <c r="D43" s="69" t="s">
        <v>129</v>
      </c>
      <c r="E43" s="69" t="s">
        <v>130</v>
      </c>
      <c r="F43" s="326" t="s">
        <v>168</v>
      </c>
      <c r="G43" s="327" t="s">
        <v>295</v>
      </c>
      <c r="H43" s="223">
        <v>1</v>
      </c>
      <c r="I43" s="223">
        <v>1</v>
      </c>
      <c r="J43" s="225">
        <v>8000</v>
      </c>
      <c r="K43" s="225">
        <f t="shared" si="7"/>
        <v>8000</v>
      </c>
      <c r="L43" s="84">
        <f t="shared" si="8"/>
        <v>720</v>
      </c>
      <c r="M43" s="84">
        <f>IF(K43&lt;&gt;"",IF(E43="FAT.OGGI",SUM(K43:L43)*(1/(1-$M$14)-1),L43*(1/(1-$M$14)-1)),0)</f>
        <v>174.74338262706604</v>
      </c>
      <c r="N43" s="87">
        <f t="shared" si="9"/>
        <v>8894.7433826270662</v>
      </c>
      <c r="Q43" s="107">
        <f t="shared" si="10"/>
        <v>1</v>
      </c>
      <c r="R43" s="108">
        <f t="shared" si="10"/>
        <v>1</v>
      </c>
      <c r="S43" s="109">
        <v>4500</v>
      </c>
      <c r="T43" s="109">
        <f t="shared" si="11"/>
        <v>4500</v>
      </c>
      <c r="U43" s="204">
        <f t="shared" si="12"/>
        <v>3500</v>
      </c>
      <c r="V43" s="201">
        <f t="shared" si="13"/>
        <v>0</v>
      </c>
      <c r="W43" s="130">
        <f t="shared" si="14"/>
        <v>0</v>
      </c>
      <c r="X43" s="130">
        <f t="shared" si="15"/>
        <v>4500</v>
      </c>
      <c r="Y43" s="90">
        <f t="shared" si="16"/>
        <v>4674.7433826270662</v>
      </c>
      <c r="Z43" s="89">
        <f>IF(Q43&lt;&gt;"", IFERROR(U43/K43, 0), 0)</f>
        <v>0.4375</v>
      </c>
      <c r="AA43" s="82">
        <f>IFERROR(T43/$T$45, "")</f>
        <v>0.32921208574145877</v>
      </c>
      <c r="AC43" s="307">
        <v>4500</v>
      </c>
      <c r="AD43" s="308">
        <f>T43-AC43</f>
        <v>0</v>
      </c>
      <c r="AE43" s="309">
        <v>46108</v>
      </c>
      <c r="AG43" s="310" t="s">
        <v>447</v>
      </c>
      <c r="AH43" s="311" t="s">
        <v>448</v>
      </c>
    </row>
    <row r="44" spans="1:34" ht="45" customHeight="1" x14ac:dyDescent="0.35">
      <c r="A44" s="44">
        <v>34</v>
      </c>
      <c r="B44" s="74" t="s">
        <v>144</v>
      </c>
      <c r="C44" s="73" t="s">
        <v>114</v>
      </c>
      <c r="D44" s="69" t="s">
        <v>129</v>
      </c>
      <c r="E44" s="69" t="s">
        <v>130</v>
      </c>
      <c r="F44" s="327" t="s">
        <v>306</v>
      </c>
      <c r="G44" s="327" t="s">
        <v>356</v>
      </c>
      <c r="H44" s="223">
        <v>1</v>
      </c>
      <c r="I44" s="223">
        <v>1</v>
      </c>
      <c r="J44" s="225">
        <v>2100</v>
      </c>
      <c r="K44" s="225">
        <f t="shared" si="7"/>
        <v>2100</v>
      </c>
      <c r="L44" s="84">
        <f t="shared" si="8"/>
        <v>189</v>
      </c>
      <c r="M44" s="84">
        <f>IF(K44&lt;&gt;"",IF(E44="FAT.OGGI",SUM(K44:L44)*(1/(1-$M$14)-1),L44*(1/(1-$M$14)-1)),"")</f>
        <v>45.870137939604838</v>
      </c>
      <c r="N44" s="84">
        <f t="shared" si="9"/>
        <v>2334.8701379396048</v>
      </c>
      <c r="Q44" s="214">
        <f>IF(H44&lt;&gt;"",H44,"")</f>
        <v>1</v>
      </c>
      <c r="R44" s="214">
        <f>IF(I44&lt;&gt;"",I44,"")</f>
        <v>1</v>
      </c>
      <c r="S44" s="210">
        <v>2169</v>
      </c>
      <c r="T44" s="210">
        <f t="shared" si="11"/>
        <v>2169</v>
      </c>
      <c r="U44" s="211">
        <f t="shared" si="12"/>
        <v>-69</v>
      </c>
      <c r="V44" s="212">
        <f t="shared" si="13"/>
        <v>0</v>
      </c>
      <c r="W44" s="213">
        <f t="shared" si="14"/>
        <v>0</v>
      </c>
      <c r="X44" s="213">
        <f t="shared" si="15"/>
        <v>2169</v>
      </c>
      <c r="Y44" s="130">
        <f>IF(Q44&lt;&gt;"",X44+M44,"")</f>
        <v>2214.8701379396048</v>
      </c>
      <c r="Z44" s="82">
        <f>IF(Q44&lt;&gt;"",U44/K44,"")</f>
        <v>-3.2857142857142856E-2</v>
      </c>
      <c r="AA44" s="100"/>
      <c r="AC44" s="307">
        <v>2169</v>
      </c>
      <c r="AD44" s="308">
        <f>T44-AC44</f>
        <v>0</v>
      </c>
      <c r="AE44" s="309">
        <v>46106</v>
      </c>
      <c r="AG44" s="310" t="s">
        <v>426</v>
      </c>
      <c r="AH44" s="311" t="s">
        <v>385</v>
      </c>
    </row>
    <row r="45" spans="1:34" ht="24.6" customHeight="1" thickBot="1" x14ac:dyDescent="0.4">
      <c r="A45" s="150">
        <v>35</v>
      </c>
      <c r="B45" s="74"/>
      <c r="C45" s="151" t="s">
        <v>122</v>
      </c>
      <c r="D45" s="150"/>
      <c r="E45" s="150"/>
      <c r="F45" s="654" t="s">
        <v>201</v>
      </c>
      <c r="G45" s="655"/>
      <c r="H45" s="655"/>
      <c r="I45" s="655"/>
      <c r="J45" s="655"/>
      <c r="K45" s="119">
        <f>SUM(K42:K44)</f>
        <v>18600</v>
      </c>
      <c r="L45" s="119">
        <f>SUM(L42:L44)</f>
        <v>1674</v>
      </c>
      <c r="M45" s="119">
        <f>SUM(M42:M44)</f>
        <v>406.27836460792855</v>
      </c>
      <c r="N45" s="120">
        <f>SUM(N42:N44)</f>
        <v>20680.27836460793</v>
      </c>
      <c r="Q45" s="659" t="s">
        <v>201</v>
      </c>
      <c r="R45" s="660"/>
      <c r="S45" s="660"/>
      <c r="T45" s="205">
        <f>SUM(T42:T44)</f>
        <v>13669</v>
      </c>
      <c r="U45" s="206">
        <f>SUM(U42:U44)</f>
        <v>4931</v>
      </c>
      <c r="V45" s="207"/>
      <c r="W45" s="208"/>
      <c r="X45" s="209">
        <f>SUM(X42:X44)</f>
        <v>13669</v>
      </c>
      <c r="Y45" s="112">
        <f t="shared" si="16"/>
        <v>14075.278364607928</v>
      </c>
      <c r="Z45" s="98"/>
      <c r="AA45" s="100"/>
    </row>
    <row r="46" spans="1:34" ht="20.399999999999999" customHeight="1" thickBot="1" x14ac:dyDescent="0.4">
      <c r="A46" s="69">
        <v>36</v>
      </c>
      <c r="B46" s="74">
        <v>6</v>
      </c>
      <c r="C46" s="68" t="s">
        <v>108</v>
      </c>
      <c r="D46" s="69"/>
      <c r="E46" s="69"/>
      <c r="F46" s="637" t="s">
        <v>258</v>
      </c>
      <c r="G46" s="638"/>
      <c r="H46" s="638"/>
      <c r="I46" s="638"/>
      <c r="J46" s="638"/>
      <c r="K46" s="638"/>
      <c r="L46" s="638"/>
      <c r="M46" s="638"/>
      <c r="N46" s="639"/>
      <c r="Q46" s="640" t="str">
        <f>IF(F46&lt;&gt;"",F46,"")</f>
        <v xml:space="preserve">STAFF SÃO PAULO </v>
      </c>
      <c r="R46" s="641"/>
      <c r="S46" s="641"/>
      <c r="T46" s="641"/>
      <c r="U46" s="641"/>
      <c r="V46" s="641"/>
      <c r="W46" s="641"/>
      <c r="X46" s="641"/>
      <c r="Y46" s="642"/>
      <c r="Z46" s="89"/>
    </row>
    <row r="47" spans="1:34" ht="21.6" customHeight="1" x14ac:dyDescent="0.35">
      <c r="A47" s="69">
        <v>37</v>
      </c>
      <c r="B47" s="74" t="s">
        <v>187</v>
      </c>
      <c r="C47" s="68" t="s">
        <v>109</v>
      </c>
      <c r="D47" s="69"/>
      <c r="E47" s="69"/>
      <c r="F47" s="643" t="s">
        <v>169</v>
      </c>
      <c r="G47" s="644"/>
      <c r="H47" s="644"/>
      <c r="I47" s="644"/>
      <c r="J47" s="644"/>
      <c r="K47" s="644"/>
      <c r="L47" s="170" t="s">
        <v>111</v>
      </c>
      <c r="M47" s="170" t="s">
        <v>112</v>
      </c>
      <c r="N47" s="171" t="s">
        <v>81</v>
      </c>
      <c r="Q47" s="656" t="str">
        <f>IF(F47&lt;&gt;"",F47,"")</f>
        <v>STAFF</v>
      </c>
      <c r="R47" s="657"/>
      <c r="S47" s="657"/>
      <c r="T47" s="657"/>
      <c r="U47" s="657"/>
      <c r="V47" s="657"/>
      <c r="W47" s="657"/>
      <c r="X47" s="657"/>
      <c r="Y47" s="658"/>
      <c r="Z47" s="96" t="s">
        <v>113</v>
      </c>
      <c r="AA47" s="75" t="s">
        <v>82</v>
      </c>
    </row>
    <row r="48" spans="1:34" ht="45" customHeight="1" x14ac:dyDescent="0.35">
      <c r="A48" s="69">
        <v>38</v>
      </c>
      <c r="B48" s="74" t="s">
        <v>188</v>
      </c>
      <c r="C48" s="68" t="s">
        <v>114</v>
      </c>
      <c r="D48" s="69" t="s">
        <v>129</v>
      </c>
      <c r="E48" s="69" t="s">
        <v>130</v>
      </c>
      <c r="F48" s="324" t="s">
        <v>126</v>
      </c>
      <c r="G48" s="325" t="s">
        <v>324</v>
      </c>
      <c r="H48" s="149">
        <v>1</v>
      </c>
      <c r="I48" s="149">
        <v>2</v>
      </c>
      <c r="J48" s="134">
        <v>800</v>
      </c>
      <c r="K48" s="76">
        <f t="shared" ref="K48:K50" si="17">IF(F48&lt;&gt;"",H48*I48*J48,"")</f>
        <v>1600</v>
      </c>
      <c r="L48" s="76">
        <f t="shared" ref="L48:L50" si="18">IF(K48&lt;&gt;"",IF(D48="INTERNO",0,K48*$L$14),"")</f>
        <v>144</v>
      </c>
      <c r="M48" s="76">
        <f t="shared" ref="M48:M50" si="19">IF(K48&lt;&gt;"",IF(E48="FAT.OGGI",SUM(K48:L48)*(1/(1-$M$14)-1),L48*(1/(1-$M$14)-1)),0)</f>
        <v>34.948676525413205</v>
      </c>
      <c r="N48" s="91">
        <f t="shared" ref="N48:N50" si="20">SUM(K48:M48)</f>
        <v>1778.9486765254132</v>
      </c>
      <c r="Q48" s="106">
        <f t="shared" ref="Q48:R50" si="21">IF(H48&lt;&gt;"",H48,"")</f>
        <v>1</v>
      </c>
      <c r="R48" s="102">
        <f t="shared" si="21"/>
        <v>2</v>
      </c>
      <c r="S48" s="103">
        <v>450</v>
      </c>
      <c r="T48" s="103">
        <f t="shared" ref="T48:T50" si="22">IF(Q48&lt;&gt;"",Q48*R48*S48,"")</f>
        <v>900</v>
      </c>
      <c r="U48" s="104">
        <f t="shared" ref="U48:U50" si="23">IF(Q48&lt;&gt;"",K48-T48,"")</f>
        <v>700</v>
      </c>
      <c r="V48" s="105">
        <f t="shared" ref="V48:V50" si="24">IF(Q48&lt;&gt;"",0%,"")</f>
        <v>0</v>
      </c>
      <c r="W48" s="101">
        <f t="shared" ref="W48:W50" si="25">IF(Q48&lt;&gt;"",V48*U48,"")</f>
        <v>0</v>
      </c>
      <c r="X48" s="101">
        <f t="shared" ref="X48:X50" si="26">IF(Q48&lt;&gt;"",W48+T48,"")</f>
        <v>900</v>
      </c>
      <c r="Y48" s="92">
        <f t="shared" ref="Y48:Y51" si="27">IF(Q48&lt;&gt;"",X48+M48,"")</f>
        <v>934.94867652541325</v>
      </c>
      <c r="Z48" s="98">
        <f t="shared" ref="Z48:Z50" si="28">IF(Q48&lt;&gt;"", IFERROR(U48/K48, 0), 0)</f>
        <v>0.4375</v>
      </c>
      <c r="AA48" s="126">
        <f>IFERROR(T48/$T$51, "")</f>
        <v>0.34615384615384615</v>
      </c>
      <c r="AC48" s="307">
        <v>900</v>
      </c>
      <c r="AD48" s="308">
        <f>T48-AC48</f>
        <v>0</v>
      </c>
      <c r="AE48" s="309">
        <v>46118</v>
      </c>
      <c r="AG48" s="310" t="s">
        <v>510</v>
      </c>
      <c r="AH48" s="311" t="s">
        <v>511</v>
      </c>
    </row>
    <row r="49" spans="1:34" ht="45" customHeight="1" x14ac:dyDescent="0.35">
      <c r="A49" s="69">
        <v>40</v>
      </c>
      <c r="B49" s="74" t="s">
        <v>189</v>
      </c>
      <c r="C49" s="68" t="s">
        <v>114</v>
      </c>
      <c r="D49" s="69" t="s">
        <v>129</v>
      </c>
      <c r="E49" s="69" t="s">
        <v>130</v>
      </c>
      <c r="F49" s="324" t="s">
        <v>224</v>
      </c>
      <c r="G49" s="325" t="s">
        <v>241</v>
      </c>
      <c r="H49" s="149">
        <v>1</v>
      </c>
      <c r="I49" s="149">
        <v>1</v>
      </c>
      <c r="J49" s="134">
        <v>900</v>
      </c>
      <c r="K49" s="76">
        <f t="shared" si="17"/>
        <v>900</v>
      </c>
      <c r="L49" s="76">
        <f t="shared" si="18"/>
        <v>81</v>
      </c>
      <c r="M49" s="76">
        <f t="shared" si="19"/>
        <v>19.658630545544931</v>
      </c>
      <c r="N49" s="91">
        <f t="shared" si="20"/>
        <v>1000.658630545545</v>
      </c>
      <c r="Q49" s="106">
        <f t="shared" si="21"/>
        <v>1</v>
      </c>
      <c r="R49" s="102">
        <f t="shared" si="21"/>
        <v>1</v>
      </c>
      <c r="S49" s="103">
        <v>600</v>
      </c>
      <c r="T49" s="103">
        <f t="shared" si="22"/>
        <v>600</v>
      </c>
      <c r="U49" s="104">
        <f t="shared" si="23"/>
        <v>300</v>
      </c>
      <c r="V49" s="105">
        <f t="shared" si="24"/>
        <v>0</v>
      </c>
      <c r="W49" s="101">
        <f t="shared" si="25"/>
        <v>0</v>
      </c>
      <c r="X49" s="101">
        <f t="shared" si="26"/>
        <v>600</v>
      </c>
      <c r="Y49" s="92">
        <f t="shared" si="27"/>
        <v>619.65863054554495</v>
      </c>
      <c r="Z49" s="98">
        <f t="shared" si="28"/>
        <v>0.33333333333333331</v>
      </c>
      <c r="AA49" s="126">
        <f>IFERROR(T49/$T$51, "")</f>
        <v>0.23076923076923078</v>
      </c>
      <c r="AC49" s="307">
        <v>600</v>
      </c>
      <c r="AD49" s="308">
        <f>T49-AC49</f>
        <v>0</v>
      </c>
      <c r="AE49" s="309">
        <v>46118</v>
      </c>
      <c r="AG49" s="310" t="s">
        <v>515</v>
      </c>
      <c r="AH49" s="311" t="s">
        <v>516</v>
      </c>
    </row>
    <row r="50" spans="1:34" ht="45" customHeight="1" x14ac:dyDescent="0.35">
      <c r="A50" s="44">
        <v>41</v>
      </c>
      <c r="B50" s="74" t="s">
        <v>190</v>
      </c>
      <c r="C50" s="73" t="s">
        <v>114</v>
      </c>
      <c r="D50" s="69" t="s">
        <v>129</v>
      </c>
      <c r="E50" s="69" t="s">
        <v>130</v>
      </c>
      <c r="F50" s="324" t="s">
        <v>172</v>
      </c>
      <c r="G50" s="325" t="s">
        <v>173</v>
      </c>
      <c r="H50" s="149">
        <v>1</v>
      </c>
      <c r="I50" s="149">
        <v>1</v>
      </c>
      <c r="J50" s="134">
        <v>1500</v>
      </c>
      <c r="K50" s="76">
        <f t="shared" si="17"/>
        <v>1500</v>
      </c>
      <c r="L50" s="76">
        <f t="shared" si="18"/>
        <v>135</v>
      </c>
      <c r="M50" s="76">
        <f t="shared" si="19"/>
        <v>32.764384242574884</v>
      </c>
      <c r="N50" s="91">
        <f t="shared" si="20"/>
        <v>1667.7643842425748</v>
      </c>
      <c r="Q50" s="106">
        <f t="shared" si="21"/>
        <v>1</v>
      </c>
      <c r="R50" s="102">
        <f t="shared" si="21"/>
        <v>1</v>
      </c>
      <c r="S50" s="103">
        <v>1100</v>
      </c>
      <c r="T50" s="103">
        <f t="shared" si="22"/>
        <v>1100</v>
      </c>
      <c r="U50" s="104">
        <f t="shared" si="23"/>
        <v>400</v>
      </c>
      <c r="V50" s="105">
        <f t="shared" si="24"/>
        <v>0</v>
      </c>
      <c r="W50" s="101">
        <f t="shared" si="25"/>
        <v>0</v>
      </c>
      <c r="X50" s="101">
        <f t="shared" si="26"/>
        <v>1100</v>
      </c>
      <c r="Y50" s="92">
        <f t="shared" si="27"/>
        <v>1132.7643842425748</v>
      </c>
      <c r="Z50" s="89">
        <f t="shared" si="28"/>
        <v>0.26666666666666666</v>
      </c>
      <c r="AA50" s="82">
        <f>IFERROR(T50/$T$51, "")</f>
        <v>0.42307692307692307</v>
      </c>
      <c r="AC50" s="307">
        <v>1500</v>
      </c>
      <c r="AD50" s="308">
        <f>T50-AC50</f>
        <v>-400</v>
      </c>
      <c r="AE50" s="309">
        <v>46119</v>
      </c>
      <c r="AG50" s="310" t="s">
        <v>528</v>
      </c>
      <c r="AH50" s="311" t="s">
        <v>529</v>
      </c>
    </row>
    <row r="51" spans="1:34" ht="32.4" customHeight="1" thickBot="1" x14ac:dyDescent="0.4">
      <c r="A51" s="70">
        <v>42</v>
      </c>
      <c r="B51" s="74"/>
      <c r="C51" s="72" t="s">
        <v>122</v>
      </c>
      <c r="D51" s="70"/>
      <c r="E51" s="70"/>
      <c r="F51" s="626" t="s">
        <v>203</v>
      </c>
      <c r="G51" s="627"/>
      <c r="H51" s="627"/>
      <c r="I51" s="627"/>
      <c r="J51" s="627"/>
      <c r="K51" s="168">
        <f>SUM(K48:K50)</f>
        <v>4000</v>
      </c>
      <c r="L51" s="168">
        <f>SUM(L48:L50)</f>
        <v>360</v>
      </c>
      <c r="M51" s="168">
        <f>SUM(M48:M50)</f>
        <v>87.37169131353302</v>
      </c>
      <c r="N51" s="169">
        <f>SUM(N48:N50)</f>
        <v>4447.3716913135331</v>
      </c>
      <c r="Q51" s="661" t="s">
        <v>203</v>
      </c>
      <c r="R51" s="662"/>
      <c r="S51" s="662"/>
      <c r="T51" s="178">
        <f>SUM(T48:T50)</f>
        <v>2600</v>
      </c>
      <c r="U51" s="179">
        <f>SUM(U48:U50)</f>
        <v>1400</v>
      </c>
      <c r="V51" s="105"/>
      <c r="W51" s="101"/>
      <c r="X51" s="180">
        <f>SUM(X48:X50)</f>
        <v>2600</v>
      </c>
      <c r="Y51" s="181">
        <f t="shared" si="27"/>
        <v>2687.3716913135331</v>
      </c>
      <c r="Z51" s="98"/>
      <c r="AA51" s="100"/>
    </row>
    <row r="52" spans="1:34" ht="23.1" customHeight="1" thickBot="1" x14ac:dyDescent="0.4">
      <c r="A52" s="69">
        <v>43</v>
      </c>
      <c r="B52" s="74">
        <v>7</v>
      </c>
      <c r="C52" s="68" t="s">
        <v>108</v>
      </c>
      <c r="D52" s="69"/>
      <c r="E52" s="69"/>
      <c r="F52" s="637" t="s">
        <v>174</v>
      </c>
      <c r="G52" s="638"/>
      <c r="H52" s="638"/>
      <c r="I52" s="638"/>
      <c r="J52" s="638"/>
      <c r="K52" s="638"/>
      <c r="L52" s="638"/>
      <c r="M52" s="638"/>
      <c r="N52" s="639"/>
      <c r="Q52" s="663" t="str">
        <f>IF(F52&lt;&gt;"",F52,"")</f>
        <v>LOGISTICA</v>
      </c>
      <c r="R52" s="664"/>
      <c r="S52" s="664"/>
      <c r="T52" s="664"/>
      <c r="U52" s="664"/>
      <c r="V52" s="664"/>
      <c r="W52" s="664"/>
      <c r="X52" s="664"/>
      <c r="Y52" s="665"/>
      <c r="Z52" s="89"/>
    </row>
    <row r="53" spans="1:34" ht="27.6" customHeight="1" x14ac:dyDescent="0.35">
      <c r="A53" s="69">
        <v>44</v>
      </c>
      <c r="B53" s="74" t="s">
        <v>205</v>
      </c>
      <c r="C53" s="68" t="s">
        <v>109</v>
      </c>
      <c r="D53" s="69"/>
      <c r="E53" s="69"/>
      <c r="F53" s="643" t="s">
        <v>174</v>
      </c>
      <c r="G53" s="644"/>
      <c r="H53" s="644"/>
      <c r="I53" s="644"/>
      <c r="J53" s="644"/>
      <c r="K53" s="644"/>
      <c r="L53" s="170" t="s">
        <v>111</v>
      </c>
      <c r="M53" s="170" t="s">
        <v>112</v>
      </c>
      <c r="N53" s="171" t="s">
        <v>81</v>
      </c>
      <c r="Q53" s="661" t="str">
        <f>IF(F53&lt;&gt;"",F53,"")</f>
        <v>LOGISTICA</v>
      </c>
      <c r="R53" s="662"/>
      <c r="S53" s="662"/>
      <c r="T53" s="662"/>
      <c r="U53" s="662"/>
      <c r="V53" s="662"/>
      <c r="W53" s="662"/>
      <c r="X53" s="662"/>
      <c r="Y53" s="666"/>
      <c r="Z53" s="96" t="s">
        <v>113</v>
      </c>
      <c r="AA53" s="75" t="s">
        <v>82</v>
      </c>
    </row>
    <row r="54" spans="1:34" ht="37.5" customHeight="1" x14ac:dyDescent="0.3">
      <c r="A54" s="69">
        <v>45</v>
      </c>
      <c r="B54" s="74" t="s">
        <v>206</v>
      </c>
      <c r="C54" s="68" t="s">
        <v>114</v>
      </c>
      <c r="D54" s="69" t="s">
        <v>129</v>
      </c>
      <c r="E54" s="69" t="s">
        <v>130</v>
      </c>
      <c r="F54" s="324" t="s">
        <v>179</v>
      </c>
      <c r="G54" s="325" t="s">
        <v>180</v>
      </c>
      <c r="H54" s="149">
        <v>1</v>
      </c>
      <c r="I54" s="149">
        <v>1</v>
      </c>
      <c r="J54" s="134">
        <v>2300</v>
      </c>
      <c r="K54" s="76">
        <f t="shared" ref="K54" si="29">IF(F54&lt;&gt;"",H54*I54*J54,"")</f>
        <v>2300</v>
      </c>
      <c r="L54" s="76">
        <f t="shared" ref="L54:L55" si="30">IF(K54&lt;&gt;"",IF(D54="INTERNO",0,K54*$L$14),"")</f>
        <v>207</v>
      </c>
      <c r="M54" s="76">
        <f t="shared" ref="M54:M55" si="31">IF(K54&lt;&gt;"",IF(E54="FAT.OGGI",SUM(K54:L54)*(1/(1-$M$14)-1),L54*(1/(1-$M$14)-1)),0)</f>
        <v>50.238722505281487</v>
      </c>
      <c r="N54" s="91">
        <f t="shared" ref="N54:N55" si="32">SUM(K54:M54)</f>
        <v>2557.2387225052817</v>
      </c>
      <c r="Q54" s="106">
        <f>IF(H54&lt;&gt;"",H54,"")</f>
        <v>1</v>
      </c>
      <c r="R54" s="102">
        <f t="shared" ref="R54:R55" si="33">IF(I54&lt;&gt;"",I54,"")</f>
        <v>1</v>
      </c>
      <c r="S54" s="103">
        <v>1500</v>
      </c>
      <c r="T54" s="103">
        <f t="shared" ref="T54:T55" si="34">IF(Q54&lt;&gt;"",Q54*R54*S54,"")</f>
        <v>1500</v>
      </c>
      <c r="U54" s="104">
        <f t="shared" ref="U54:U55" si="35">IF(Q54&lt;&gt;"",K54-T54,"")</f>
        <v>800</v>
      </c>
      <c r="V54" s="105">
        <f t="shared" ref="V54:V55" si="36">IF(Q54&lt;&gt;"",0%,"")</f>
        <v>0</v>
      </c>
      <c r="W54" s="101">
        <f t="shared" ref="W54:W55" si="37">IF(Q54&lt;&gt;"",V54*U54,"")</f>
        <v>0</v>
      </c>
      <c r="X54" s="101">
        <f t="shared" ref="X54:X55" si="38">IF(Q54&lt;&gt;"",W54+T54,"")</f>
        <v>1500</v>
      </c>
      <c r="Y54" s="92">
        <f t="shared" ref="Y54:Y56" si="39">IF(Q54&lt;&gt;"",X54+M54,"")</f>
        <v>1550.2387225052814</v>
      </c>
      <c r="Z54" s="98">
        <f t="shared" ref="Z54:Z55" si="40">IF(Q54&lt;&gt;"", IFERROR(U54/K54, 0), 0)</f>
        <v>0.34782608695652173</v>
      </c>
      <c r="AA54" s="82">
        <f>IFERROR(T54/$T$56, "")</f>
        <v>0.54672294268156674</v>
      </c>
    </row>
    <row r="55" spans="1:34" ht="45" customHeight="1" x14ac:dyDescent="0.35">
      <c r="A55" s="44">
        <v>46</v>
      </c>
      <c r="B55" s="74" t="s">
        <v>207</v>
      </c>
      <c r="C55" s="73" t="s">
        <v>114</v>
      </c>
      <c r="D55" s="69" t="s">
        <v>129</v>
      </c>
      <c r="E55" s="69" t="s">
        <v>130</v>
      </c>
      <c r="F55" s="324" t="s">
        <v>138</v>
      </c>
      <c r="G55" s="325" t="s">
        <v>217</v>
      </c>
      <c r="H55" s="149">
        <v>1</v>
      </c>
      <c r="I55" s="149">
        <v>1</v>
      </c>
      <c r="J55" s="134">
        <v>3000</v>
      </c>
      <c r="K55" s="76">
        <f>IF(F55&lt;&gt;"",H55*I55*J55,"")</f>
        <v>3000</v>
      </c>
      <c r="L55" s="76">
        <f t="shared" si="30"/>
        <v>270</v>
      </c>
      <c r="M55" s="76">
        <f t="shared" si="31"/>
        <v>65.528768485149769</v>
      </c>
      <c r="N55" s="91">
        <f t="shared" si="32"/>
        <v>3335.5287684851496</v>
      </c>
      <c r="Q55" s="106">
        <f>IF(H55&lt;&gt;"",H55,"")</f>
        <v>1</v>
      </c>
      <c r="R55" s="102">
        <f t="shared" si="33"/>
        <v>1</v>
      </c>
      <c r="S55" s="103">
        <v>1243.6199999999999</v>
      </c>
      <c r="T55" s="103">
        <f t="shared" si="34"/>
        <v>1243.6199999999999</v>
      </c>
      <c r="U55" s="104">
        <f t="shared" si="35"/>
        <v>1756.38</v>
      </c>
      <c r="V55" s="105">
        <f t="shared" si="36"/>
        <v>0</v>
      </c>
      <c r="W55" s="101">
        <f t="shared" si="37"/>
        <v>0</v>
      </c>
      <c r="X55" s="101">
        <f t="shared" si="38"/>
        <v>1243.6199999999999</v>
      </c>
      <c r="Y55" s="92">
        <f t="shared" si="39"/>
        <v>1309.1487684851497</v>
      </c>
      <c r="Z55" s="89">
        <f t="shared" si="40"/>
        <v>0.58546000000000009</v>
      </c>
      <c r="AA55" s="82">
        <f>IFERROR(T55/$T$56, "")</f>
        <v>0.45327705731843326</v>
      </c>
      <c r="AC55" s="307">
        <v>199.99</v>
      </c>
      <c r="AD55" s="308">
        <f>T55-AC55</f>
        <v>1043.6299999999999</v>
      </c>
      <c r="AE55" s="309">
        <v>46086</v>
      </c>
      <c r="AG55" s="310" t="s">
        <v>384</v>
      </c>
      <c r="AH55" s="311" t="s">
        <v>385</v>
      </c>
    </row>
    <row r="56" spans="1:34" ht="32.1" customHeight="1" thickBot="1" x14ac:dyDescent="0.4">
      <c r="A56" s="70">
        <v>47</v>
      </c>
      <c r="B56" s="74"/>
      <c r="C56" s="72" t="s">
        <v>122</v>
      </c>
      <c r="D56" s="70"/>
      <c r="E56" s="70"/>
      <c r="F56" s="626" t="s">
        <v>204</v>
      </c>
      <c r="G56" s="627"/>
      <c r="H56" s="627"/>
      <c r="I56" s="627"/>
      <c r="J56" s="627"/>
      <c r="K56" s="168">
        <f>SUM(K54:K55)</f>
        <v>5300</v>
      </c>
      <c r="L56" s="168">
        <f>SUM(L54:L55)</f>
        <v>477</v>
      </c>
      <c r="M56" s="168">
        <f>SUM(M54:M55)</f>
        <v>115.76749099043126</v>
      </c>
      <c r="N56" s="169">
        <f>SUM(N54:N55)</f>
        <v>5892.7674909904308</v>
      </c>
      <c r="Q56" s="628" t="s">
        <v>204</v>
      </c>
      <c r="R56" s="629"/>
      <c r="S56" s="629"/>
      <c r="T56" s="195">
        <f>SUM(T54:T55)</f>
        <v>2743.62</v>
      </c>
      <c r="U56" s="196">
        <f>SUM(U54:U55)</f>
        <v>2556.38</v>
      </c>
      <c r="V56" s="201"/>
      <c r="W56" s="130"/>
      <c r="X56" s="199">
        <f>SUM(X54:X55)</f>
        <v>2743.62</v>
      </c>
      <c r="Y56" s="200">
        <f t="shared" si="39"/>
        <v>2859.3874909904312</v>
      </c>
      <c r="Z56" s="98"/>
      <c r="AA56" s="100"/>
    </row>
    <row r="57" spans="1:34" ht="23.4" customHeight="1" thickBot="1" x14ac:dyDescent="0.4">
      <c r="A57" s="69">
        <v>48</v>
      </c>
      <c r="B57" s="74">
        <v>8</v>
      </c>
      <c r="C57" s="68" t="s">
        <v>108</v>
      </c>
      <c r="D57" s="69"/>
      <c r="E57" s="69"/>
      <c r="F57" s="637" t="s">
        <v>247</v>
      </c>
      <c r="G57" s="638"/>
      <c r="H57" s="638"/>
      <c r="I57" s="638"/>
      <c r="J57" s="638"/>
      <c r="K57" s="638"/>
      <c r="L57" s="638"/>
      <c r="M57" s="638"/>
      <c r="N57" s="639"/>
      <c r="Q57" s="640" t="str">
        <f>IF(F57&lt;&gt;"",F57,"")</f>
        <v xml:space="preserve">BELO HORIZONTE </v>
      </c>
      <c r="R57" s="641"/>
      <c r="S57" s="641"/>
      <c r="T57" s="641"/>
      <c r="U57" s="641"/>
      <c r="V57" s="641"/>
      <c r="W57" s="641"/>
      <c r="X57" s="641"/>
      <c r="Y57" s="642"/>
      <c r="Z57" s="89"/>
    </row>
    <row r="58" spans="1:34" ht="27.6" customHeight="1" x14ac:dyDescent="0.35">
      <c r="A58" s="69">
        <v>49</v>
      </c>
      <c r="B58" s="74" t="s">
        <v>225</v>
      </c>
      <c r="C58" s="68" t="s">
        <v>109</v>
      </c>
      <c r="D58" s="69"/>
      <c r="E58" s="69"/>
      <c r="F58" s="667" t="s">
        <v>155</v>
      </c>
      <c r="G58" s="668"/>
      <c r="H58" s="668"/>
      <c r="I58" s="668"/>
      <c r="J58" s="668"/>
      <c r="K58" s="668"/>
      <c r="L58" s="265" t="s">
        <v>111</v>
      </c>
      <c r="M58" s="265" t="s">
        <v>112</v>
      </c>
      <c r="N58" s="266" t="s">
        <v>81</v>
      </c>
      <c r="Q58" s="656" t="str">
        <f>IF(F58&lt;&gt;"",F58,"")</f>
        <v>LOCAÇÃO DE ESPAÇO E A&amp;B</v>
      </c>
      <c r="R58" s="657"/>
      <c r="S58" s="657"/>
      <c r="T58" s="657"/>
      <c r="U58" s="657"/>
      <c r="V58" s="657"/>
      <c r="W58" s="657"/>
      <c r="X58" s="657"/>
      <c r="Y58" s="658"/>
      <c r="Z58" s="96" t="s">
        <v>113</v>
      </c>
      <c r="AA58" s="75" t="s">
        <v>82</v>
      </c>
    </row>
    <row r="59" spans="1:34" ht="32.4" x14ac:dyDescent="0.3">
      <c r="A59" s="44">
        <v>50</v>
      </c>
      <c r="B59" s="74" t="s">
        <v>226</v>
      </c>
      <c r="C59" s="73" t="s">
        <v>114</v>
      </c>
      <c r="D59" s="44" t="s">
        <v>129</v>
      </c>
      <c r="E59" s="44" t="s">
        <v>130</v>
      </c>
      <c r="F59" s="324" t="s">
        <v>245</v>
      </c>
      <c r="G59" s="325" t="s">
        <v>547</v>
      </c>
      <c r="H59" s="93">
        <v>1</v>
      </c>
      <c r="I59" s="93">
        <v>1</v>
      </c>
      <c r="J59" s="76">
        <v>19769.12</v>
      </c>
      <c r="K59" s="76">
        <f t="shared" ref="K59" si="41">IF(F59&lt;&gt;"",H59*I59*J59,"")</f>
        <v>19769.12</v>
      </c>
      <c r="L59" s="76">
        <f t="shared" ref="L59" si="42">IF(K59&lt;&gt;"",IF(D59="INTERNO",0,K59*$L$14),"")</f>
        <v>1779.2207999999998</v>
      </c>
      <c r="M59" s="76">
        <f t="shared" ref="M59" si="43">IF(K59&lt;&gt;"",IF(E59="FAT.OGGI",SUM(K59:L59)*(1/(1-$M$14)-1),L59*(1/(1-$M$14)-1)),"")</f>
        <v>431.81536254504795</v>
      </c>
      <c r="N59" s="91">
        <f t="shared" ref="N59" si="44">SUM(K59:M59)</f>
        <v>21980.156162545045</v>
      </c>
      <c r="O59" s="321"/>
      <c r="Q59" s="106">
        <f t="shared" ref="Q59:R59" si="45">IF(H59&lt;&gt;"",H59,"")</f>
        <v>1</v>
      </c>
      <c r="R59" s="102">
        <f t="shared" si="45"/>
        <v>1</v>
      </c>
      <c r="S59" s="103">
        <v>22250</v>
      </c>
      <c r="T59" s="103">
        <f t="shared" ref="T59" si="46">IF(Q59&lt;&gt;"",Q59*R59*S59,"")</f>
        <v>22250</v>
      </c>
      <c r="U59" s="104">
        <f t="shared" ref="U59" si="47">IF(Q59&lt;&gt;"",K59-T59,"")</f>
        <v>-2480.880000000001</v>
      </c>
      <c r="V59" s="105">
        <f t="shared" ref="V59" si="48">IF(Q59&lt;&gt;"",0%,"")</f>
        <v>0</v>
      </c>
      <c r="W59" s="101">
        <f t="shared" ref="W59" si="49">IF(Q59&lt;&gt;"",V59*U59,"")</f>
        <v>0</v>
      </c>
      <c r="X59" s="101">
        <f t="shared" ref="X59" si="50">IF(Q59&lt;&gt;"",W59+T59,"")</f>
        <v>22250</v>
      </c>
      <c r="Y59" s="92">
        <f t="shared" ref="Y59:Y61" si="51">IF(Q59&lt;&gt;"",X59+M59,"")</f>
        <v>22681.815362545047</v>
      </c>
      <c r="Z59" s="89">
        <f t="shared" ref="Z59" si="52">IF(Q59&lt;&gt;"",U59/K59,"")</f>
        <v>-0.12549268758548693</v>
      </c>
      <c r="AA59" s="82">
        <f>T59/$T$61</f>
        <v>0.92457926449200079</v>
      </c>
    </row>
    <row r="60" spans="1:34" ht="97.2" x14ac:dyDescent="0.35">
      <c r="A60" s="70">
        <v>52</v>
      </c>
      <c r="B60" s="74" t="s">
        <v>227</v>
      </c>
      <c r="C60" s="72" t="s">
        <v>114</v>
      </c>
      <c r="D60" s="44" t="s">
        <v>129</v>
      </c>
      <c r="E60" s="44" t="s">
        <v>130</v>
      </c>
      <c r="F60" s="325" t="s">
        <v>374</v>
      </c>
      <c r="G60" s="325" t="s">
        <v>375</v>
      </c>
      <c r="H60" s="93">
        <v>25</v>
      </c>
      <c r="I60" s="93">
        <v>1</v>
      </c>
      <c r="J60" s="76">
        <v>45</v>
      </c>
      <c r="K60" s="76">
        <f>IF(F60&lt;&gt;"",H60*I60*J60,"")</f>
        <v>1125</v>
      </c>
      <c r="L60" s="76">
        <f>IF(K60&lt;&gt;"",IF(D60="INTERNO",0,K60*$L$14),"")</f>
        <v>101.25</v>
      </c>
      <c r="M60" s="76">
        <f>IF(K60&lt;&gt;"",IF(E60="FAT.OGGI",SUM(K60:L60)*(1/(1-$M$14)-1),L60*(1/(1-$M$14)-1)),"")</f>
        <v>24.573288181931161</v>
      </c>
      <c r="N60" s="76">
        <f>SUM(K60:M60)</f>
        <v>1250.8232881819313</v>
      </c>
      <c r="O60" s="322"/>
      <c r="Q60" s="97">
        <v>1</v>
      </c>
      <c r="R60" s="97">
        <v>1</v>
      </c>
      <c r="S60" s="78">
        <v>1815</v>
      </c>
      <c r="T60" s="78">
        <f>IF(Q60&lt;&gt;"",Q60*R60*S60,"")</f>
        <v>1815</v>
      </c>
      <c r="U60" s="81">
        <f>IF(Q60&lt;&gt;"",K60-T60,"")</f>
        <v>-690</v>
      </c>
      <c r="V60" s="79">
        <f>IF(Q60&lt;&gt;"",0%,"")</f>
        <v>0</v>
      </c>
      <c r="W60" s="80">
        <f>IF(Q60&lt;&gt;"",V60*U60,"")</f>
        <v>0</v>
      </c>
      <c r="X60" s="80">
        <f>IF(Q60&lt;&gt;"",W60+T60,"")</f>
        <v>1815</v>
      </c>
      <c r="Y60" s="101">
        <f>IF(Q60&lt;&gt;"",X60+M60,"")</f>
        <v>1839.5732881819313</v>
      </c>
      <c r="Z60" s="82">
        <f>IF(Q60&lt;&gt;"",U60/K60,"")</f>
        <v>-0.61333333333333329</v>
      </c>
      <c r="AA60" s="100"/>
      <c r="AC60" s="307">
        <v>1315</v>
      </c>
      <c r="AD60" s="308">
        <f>T60-AC60</f>
        <v>500</v>
      </c>
      <c r="AE60" s="309">
        <v>46113</v>
      </c>
      <c r="AG60" s="310" t="s">
        <v>482</v>
      </c>
      <c r="AH60" s="311" t="s">
        <v>483</v>
      </c>
    </row>
    <row r="61" spans="1:34" ht="32.4" customHeight="1" thickBot="1" x14ac:dyDescent="0.4">
      <c r="A61" s="69">
        <v>53</v>
      </c>
      <c r="B61" s="74"/>
      <c r="C61" s="68" t="s">
        <v>122</v>
      </c>
      <c r="D61" s="69"/>
      <c r="E61" s="69"/>
      <c r="F61" s="669" t="s">
        <v>249</v>
      </c>
      <c r="G61" s="670"/>
      <c r="H61" s="670"/>
      <c r="I61" s="670"/>
      <c r="J61" s="670"/>
      <c r="K61" s="291">
        <f>SUM(K59:K60)</f>
        <v>20894.12</v>
      </c>
      <c r="L61" s="291">
        <f>SUM(L59:L60)</f>
        <v>1880.4707999999998</v>
      </c>
      <c r="M61" s="291">
        <f>SUM(M59:M60)</f>
        <v>456.38865072697911</v>
      </c>
      <c r="N61" s="292">
        <f>SUM(N59:N60)</f>
        <v>23230.979450726976</v>
      </c>
      <c r="Q61" s="654" t="s">
        <v>249</v>
      </c>
      <c r="R61" s="655"/>
      <c r="S61" s="655"/>
      <c r="T61" s="281">
        <f>SUM(T59:T60)</f>
        <v>24065</v>
      </c>
      <c r="U61" s="282">
        <f>SUM(U59:U60)</f>
        <v>-3170.880000000001</v>
      </c>
      <c r="V61" s="283"/>
      <c r="W61" s="283"/>
      <c r="X61" s="284">
        <f>SUM(X59:X60)</f>
        <v>24065</v>
      </c>
      <c r="Y61" s="285">
        <f t="shared" si="51"/>
        <v>24521.388650726978</v>
      </c>
    </row>
    <row r="62" spans="1:34" ht="27.6" customHeight="1" thickBot="1" x14ac:dyDescent="0.4">
      <c r="A62" s="44">
        <v>54</v>
      </c>
      <c r="B62" s="74">
        <v>9</v>
      </c>
      <c r="C62" s="73" t="s">
        <v>108</v>
      </c>
      <c r="D62" s="44"/>
      <c r="E62" s="44"/>
      <c r="F62" s="637" t="s">
        <v>292</v>
      </c>
      <c r="G62" s="638"/>
      <c r="H62" s="638"/>
      <c r="I62" s="638"/>
      <c r="J62" s="638"/>
      <c r="K62" s="638"/>
      <c r="L62" s="638"/>
      <c r="M62" s="638"/>
      <c r="N62" s="639"/>
      <c r="Q62" s="637" t="str">
        <f>IF(F62&lt;&gt;"",F62,"")</f>
        <v>ATRAÇÃO BELO HORIZONTE</v>
      </c>
      <c r="R62" s="638"/>
      <c r="S62" s="638"/>
      <c r="T62" s="638"/>
      <c r="U62" s="638"/>
      <c r="V62" s="638"/>
      <c r="W62" s="638"/>
      <c r="X62" s="638"/>
      <c r="Y62" s="639"/>
    </row>
    <row r="63" spans="1:34" ht="24" customHeight="1" x14ac:dyDescent="0.35">
      <c r="A63" s="44">
        <v>55</v>
      </c>
      <c r="B63" s="74" t="s">
        <v>250</v>
      </c>
      <c r="C63" s="73" t="s">
        <v>109</v>
      </c>
      <c r="D63" s="44"/>
      <c r="E63" s="44"/>
      <c r="F63" s="667" t="s">
        <v>288</v>
      </c>
      <c r="G63" s="668"/>
      <c r="H63" s="668"/>
      <c r="I63" s="668"/>
      <c r="J63" s="668"/>
      <c r="K63" s="668"/>
      <c r="L63" s="267" t="s">
        <v>111</v>
      </c>
      <c r="M63" s="267" t="s">
        <v>112</v>
      </c>
      <c r="N63" s="268" t="s">
        <v>81</v>
      </c>
      <c r="Q63" s="643" t="str">
        <f>IF(F63&lt;&gt;"",F63,"")</f>
        <v xml:space="preserve">ATRAÇÃO </v>
      </c>
      <c r="R63" s="644"/>
      <c r="S63" s="644"/>
      <c r="T63" s="644"/>
      <c r="U63" s="644"/>
      <c r="V63" s="644"/>
      <c r="W63" s="644"/>
      <c r="X63" s="644"/>
      <c r="Y63" s="645"/>
      <c r="Z63" s="88" t="s">
        <v>113</v>
      </c>
      <c r="AA63" s="75" t="s">
        <v>82</v>
      </c>
    </row>
    <row r="64" spans="1:34" ht="32.4" customHeight="1" x14ac:dyDescent="0.35">
      <c r="A64" s="70">
        <v>56</v>
      </c>
      <c r="B64" s="74" t="s">
        <v>251</v>
      </c>
      <c r="C64" s="72" t="s">
        <v>114</v>
      </c>
      <c r="D64" s="44" t="s">
        <v>129</v>
      </c>
      <c r="E64" s="143" t="s">
        <v>130</v>
      </c>
      <c r="F64" s="324" t="s">
        <v>367</v>
      </c>
      <c r="G64" s="325" t="s">
        <v>334</v>
      </c>
      <c r="H64" s="149">
        <v>1</v>
      </c>
      <c r="I64" s="149">
        <v>1</v>
      </c>
      <c r="J64" s="134">
        <v>11500</v>
      </c>
      <c r="K64" s="134">
        <f>IF(F64&lt;&gt;"",H64*I64*J64,"")</f>
        <v>11500</v>
      </c>
      <c r="L64" s="134">
        <f>IF(K64&lt;&gt;"",IF(D64="INTERNO",0,K64*$L$14),"")</f>
        <v>1035</v>
      </c>
      <c r="M64" s="134">
        <f>IF(K64&lt;&gt;"",IF(E64="FAT.OGGI",SUM(K64:L64)*(1/(1-$M$14)-1),L64*(1/(1-$M$14)-1)),"")</f>
        <v>251.19361252640743</v>
      </c>
      <c r="N64" s="135">
        <f>SUM(K64:M64)</f>
        <v>12786.193612526407</v>
      </c>
      <c r="Q64" s="202">
        <f t="shared" ref="Q64:R64" si="53">IF(H64&lt;&gt;"",H64,"")</f>
        <v>1</v>
      </c>
      <c r="R64" s="203">
        <f t="shared" si="53"/>
        <v>1</v>
      </c>
      <c r="S64" s="146">
        <v>18172.5</v>
      </c>
      <c r="T64" s="146">
        <f>IF(Q64&lt;&gt;"",Q64*R64*S64,"")</f>
        <v>18172.5</v>
      </c>
      <c r="U64" s="147">
        <f>IF(Q64&lt;&gt;"",K64-T64,"")</f>
        <v>-6672.5</v>
      </c>
      <c r="V64" s="148">
        <f>IF(Q64&lt;&gt;"",0%,"")</f>
        <v>0</v>
      </c>
      <c r="W64" s="145">
        <f>IF(Q64&lt;&gt;"",V64*U64,"")</f>
        <v>0</v>
      </c>
      <c r="X64" s="145">
        <f>IF(Q64&lt;&gt;"",W64+T64,"")</f>
        <v>18172.5</v>
      </c>
      <c r="Y64" s="141">
        <f t="shared" ref="Y64:Y66" si="54">IF(Q64&lt;&gt;"",X64+M64,"")</f>
        <v>18423.693612526407</v>
      </c>
      <c r="Z64" s="140">
        <f>IF(Q64&lt;&gt;"",U64/K64,"")</f>
        <v>-0.5802173913043478</v>
      </c>
      <c r="AA64" s="139"/>
      <c r="AC64" s="307">
        <v>17850</v>
      </c>
      <c r="AD64" s="308">
        <f>T64-AC64</f>
        <v>322.5</v>
      </c>
      <c r="AE64" s="309">
        <v>46090</v>
      </c>
      <c r="AG64" s="310" t="s">
        <v>392</v>
      </c>
      <c r="AH64" s="311" t="s">
        <v>393</v>
      </c>
    </row>
    <row r="65" spans="1:34" ht="32.4" customHeight="1" x14ac:dyDescent="0.3">
      <c r="A65" s="70">
        <v>57</v>
      </c>
      <c r="B65" s="74" t="s">
        <v>252</v>
      </c>
      <c r="C65" s="72" t="s">
        <v>114</v>
      </c>
      <c r="D65" s="69" t="s">
        <v>129</v>
      </c>
      <c r="E65" s="144" t="s">
        <v>130</v>
      </c>
      <c r="F65" s="324" t="s">
        <v>367</v>
      </c>
      <c r="G65" s="325" t="s">
        <v>337</v>
      </c>
      <c r="H65" s="149">
        <v>1</v>
      </c>
      <c r="I65" s="149">
        <v>1</v>
      </c>
      <c r="J65" s="134">
        <v>8500</v>
      </c>
      <c r="K65" s="134">
        <f>IF(F65&lt;&gt;"",H65*I65*J65,"")</f>
        <v>8500</v>
      </c>
      <c r="L65" s="134">
        <f>IF(K65&lt;&gt;"",IF(D65="INTERNO",0,K65*$L$14),"")</f>
        <v>765</v>
      </c>
      <c r="M65" s="134">
        <f>IF(K65&lt;&gt;"",IF(E65="FAT.OGGI",SUM(K65:L65)*(1/(1-$M$14)-1),L65*(1/(1-$M$14)-1)),"")</f>
        <v>185.66484404125768</v>
      </c>
      <c r="N65" s="135">
        <f>SUM(K65:M65)</f>
        <v>9450.6648440412573</v>
      </c>
      <c r="Q65" s="245">
        <f>IF(H65&lt;&gt;"",H65,"")</f>
        <v>1</v>
      </c>
      <c r="R65" s="245">
        <f>IF(I65&lt;&gt;"",I65,"")</f>
        <v>1</v>
      </c>
      <c r="S65" s="241">
        <v>0</v>
      </c>
      <c r="T65" s="241">
        <f>IF(Q65&lt;&gt;"",Q65*R65*S65,"")</f>
        <v>0</v>
      </c>
      <c r="U65" s="242">
        <f>IF(Q65&lt;&gt;"",K65-T65,"")</f>
        <v>8500</v>
      </c>
      <c r="V65" s="244">
        <f>IF(Q65&lt;&gt;"",0%,"")</f>
        <v>0</v>
      </c>
      <c r="W65" s="243">
        <f>IF(Q65&lt;&gt;"",V65*U65,"")</f>
        <v>0</v>
      </c>
      <c r="X65" s="243">
        <f>IF(Q65&lt;&gt;"",W65+T65,"")</f>
        <v>0</v>
      </c>
      <c r="Y65" s="145">
        <f t="shared" si="54"/>
        <v>185.66484404125768</v>
      </c>
      <c r="Z65" s="139">
        <f>IF(Q65&lt;&gt;"",U65/K65,"")</f>
        <v>1</v>
      </c>
      <c r="AA65" s="138"/>
    </row>
    <row r="66" spans="1:34" ht="27.6" customHeight="1" thickBot="1" x14ac:dyDescent="0.4">
      <c r="A66" s="150">
        <v>58</v>
      </c>
      <c r="B66" s="74"/>
      <c r="C66" s="151" t="s">
        <v>122</v>
      </c>
      <c r="D66" s="150"/>
      <c r="E66" s="152"/>
      <c r="F66" s="671" t="s">
        <v>289</v>
      </c>
      <c r="G66" s="672"/>
      <c r="H66" s="672"/>
      <c r="I66" s="672"/>
      <c r="J66" s="672"/>
      <c r="K66" s="269">
        <f>SUM(K64:K65)</f>
        <v>20000</v>
      </c>
      <c r="L66" s="269">
        <f>SUM(L64:L65)</f>
        <v>1800</v>
      </c>
      <c r="M66" s="269">
        <f>SUM(M64:M65)</f>
        <v>436.85845656766514</v>
      </c>
      <c r="N66" s="270">
        <f>SUM(N64:N65)</f>
        <v>22236.858456567665</v>
      </c>
      <c r="Q66" s="628" t="s">
        <v>289</v>
      </c>
      <c r="R66" s="629"/>
      <c r="S66" s="629"/>
      <c r="T66" s="195">
        <f>SUM(T64:T65)</f>
        <v>18172.5</v>
      </c>
      <c r="U66" s="196">
        <f>SUM(U64:U65)</f>
        <v>1827.5</v>
      </c>
      <c r="V66" s="197"/>
      <c r="W66" s="198"/>
      <c r="X66" s="199">
        <f>SUM(X64:X65)</f>
        <v>18172.5</v>
      </c>
      <c r="Y66" s="200">
        <f t="shared" si="54"/>
        <v>18609.358456567665</v>
      </c>
      <c r="Z66" s="138"/>
      <c r="AA66" s="142"/>
    </row>
    <row r="67" spans="1:34" ht="18.600000000000001" thickBot="1" x14ac:dyDescent="0.4">
      <c r="A67" s="69">
        <v>59</v>
      </c>
      <c r="B67" s="74">
        <v>10</v>
      </c>
      <c r="C67" s="68" t="s">
        <v>108</v>
      </c>
      <c r="D67" s="69"/>
      <c r="E67" s="69"/>
      <c r="F67" s="637" t="s">
        <v>291</v>
      </c>
      <c r="G67" s="638"/>
      <c r="H67" s="638"/>
      <c r="I67" s="638"/>
      <c r="J67" s="638"/>
      <c r="K67" s="638"/>
      <c r="L67" s="638"/>
      <c r="M67" s="638"/>
      <c r="N67" s="639"/>
      <c r="Q67" s="637" t="str">
        <f>IF(F67&lt;&gt;"",F67,"")</f>
        <v xml:space="preserve">CENOGRAFIA BELO HORIZONTE </v>
      </c>
      <c r="R67" s="638"/>
      <c r="S67" s="638"/>
      <c r="T67" s="638"/>
      <c r="U67" s="638"/>
      <c r="V67" s="638"/>
      <c r="W67" s="638"/>
      <c r="X67" s="638"/>
      <c r="Y67" s="639"/>
    </row>
    <row r="68" spans="1:34" ht="24" customHeight="1" x14ac:dyDescent="0.35">
      <c r="A68" s="44">
        <v>60</v>
      </c>
      <c r="B68" s="74" t="s">
        <v>272</v>
      </c>
      <c r="C68" s="73" t="s">
        <v>109</v>
      </c>
      <c r="D68" s="44"/>
      <c r="E68" s="44"/>
      <c r="F68" s="643" t="s">
        <v>166</v>
      </c>
      <c r="G68" s="644"/>
      <c r="H68" s="644"/>
      <c r="I68" s="644"/>
      <c r="J68" s="644"/>
      <c r="K68" s="644"/>
      <c r="L68" s="166" t="s">
        <v>111</v>
      </c>
      <c r="M68" s="166" t="s">
        <v>112</v>
      </c>
      <c r="N68" s="167" t="s">
        <v>81</v>
      </c>
      <c r="Q68" s="643" t="str">
        <f>IF(F68&lt;&gt;"",F68,"")</f>
        <v>CENOGRAFIA</v>
      </c>
      <c r="R68" s="644"/>
      <c r="S68" s="644"/>
      <c r="T68" s="644"/>
      <c r="U68" s="644"/>
      <c r="V68" s="644"/>
      <c r="W68" s="644"/>
      <c r="X68" s="644"/>
      <c r="Y68" s="645"/>
      <c r="Z68" s="88" t="s">
        <v>113</v>
      </c>
      <c r="AA68" s="75" t="s">
        <v>82</v>
      </c>
    </row>
    <row r="69" spans="1:34" ht="26.1" customHeight="1" x14ac:dyDescent="0.3">
      <c r="A69" s="44">
        <v>61</v>
      </c>
      <c r="B69" s="74" t="s">
        <v>273</v>
      </c>
      <c r="C69" s="73" t="s">
        <v>114</v>
      </c>
      <c r="D69" s="44" t="s">
        <v>129</v>
      </c>
      <c r="E69" s="44" t="s">
        <v>130</v>
      </c>
      <c r="F69" s="324" t="s">
        <v>368</v>
      </c>
      <c r="G69" s="325" t="s">
        <v>235</v>
      </c>
      <c r="H69" s="93">
        <v>1</v>
      </c>
      <c r="I69" s="93">
        <v>1</v>
      </c>
      <c r="J69" s="76">
        <v>4000</v>
      </c>
      <c r="K69" s="76">
        <f>IF(F69&lt;&gt;"",H69*I69*J69,"")</f>
        <v>4000</v>
      </c>
      <c r="L69" s="76">
        <f>IF(K69&lt;&gt;"",IF(D69="INTERNO",0,K69*$L$14),"")</f>
        <v>360</v>
      </c>
      <c r="M69" s="76">
        <f>IF(K69&lt;&gt;"",IF(E69="FAT.OGGI",SUM(K69:L69)*(1/(1-$M$14)-1),L69*(1/(1-$M$14)-1)),"")</f>
        <v>87.37169131353302</v>
      </c>
      <c r="N69" s="91">
        <f>SUM(K69:M69)</f>
        <v>4447.3716913135331</v>
      </c>
      <c r="Q69" s="106">
        <f t="shared" ref="Q69:R71" si="55">IF(H69&lt;&gt;"",H69,"")</f>
        <v>1</v>
      </c>
      <c r="R69" s="102">
        <f t="shared" si="55"/>
        <v>1</v>
      </c>
      <c r="S69" s="103">
        <v>3000</v>
      </c>
      <c r="T69" s="103">
        <f>IF(Q69&lt;&gt;"",Q69*R69*S69,"")</f>
        <v>3000</v>
      </c>
      <c r="U69" s="104">
        <f>IF(Q69&lt;&gt;"",K69-T69,"")</f>
        <v>1000</v>
      </c>
      <c r="V69" s="105">
        <f>IF(Q69&lt;&gt;"",0%,"")</f>
        <v>0</v>
      </c>
      <c r="W69" s="101">
        <f>IF(Q69&lt;&gt;"",V69*U69,"")</f>
        <v>0</v>
      </c>
      <c r="X69" s="101">
        <f>IF(Q69&lt;&gt;"",W69+T69,"")</f>
        <v>3000</v>
      </c>
      <c r="Y69" s="92">
        <f>IF(Q69&lt;&gt;"",X69+M69,"")</f>
        <v>3087.3716913135331</v>
      </c>
      <c r="Z69" s="89">
        <f>IF(Q69&lt;&gt;"",U69/K69,"")</f>
        <v>0.25</v>
      </c>
      <c r="AA69" s="82">
        <f>T69/$T$79</f>
        <v>0.66666666666666663</v>
      </c>
    </row>
    <row r="70" spans="1:34" ht="27.6" customHeight="1" x14ac:dyDescent="0.3">
      <c r="A70" s="44">
        <v>62</v>
      </c>
      <c r="B70" s="74" t="s">
        <v>274</v>
      </c>
      <c r="C70" s="73" t="s">
        <v>114</v>
      </c>
      <c r="D70" s="44" t="s">
        <v>129</v>
      </c>
      <c r="E70" s="44" t="s">
        <v>130</v>
      </c>
      <c r="F70" s="324" t="s">
        <v>369</v>
      </c>
      <c r="G70" s="325" t="s">
        <v>270</v>
      </c>
      <c r="H70" s="93">
        <v>1</v>
      </c>
      <c r="I70" s="93">
        <v>1</v>
      </c>
      <c r="J70" s="76">
        <v>2000</v>
      </c>
      <c r="K70" s="76">
        <f>IF(F70&lt;&gt;"",H70*I70*J70,"")</f>
        <v>2000</v>
      </c>
      <c r="L70" s="76">
        <f>IF(K70&lt;&gt;"",IF(D70="INTERNO",0,K70*$L$14),"")</f>
        <v>180</v>
      </c>
      <c r="M70" s="76">
        <f>IF(K70&lt;&gt;"",IF(E70="FAT.OGGI",SUM(K70:L70)*(1/(1-$M$14)-1),L70*(1/(1-$M$14)-1)),"")</f>
        <v>43.68584565676651</v>
      </c>
      <c r="N70" s="91">
        <f>SUM(K70:M70)</f>
        <v>2223.6858456567666</v>
      </c>
      <c r="Q70" s="106">
        <f t="shared" si="55"/>
        <v>1</v>
      </c>
      <c r="R70" s="102">
        <f t="shared" si="55"/>
        <v>1</v>
      </c>
      <c r="S70" s="103">
        <v>1200</v>
      </c>
      <c r="T70" s="103">
        <f>IF(Q70&lt;&gt;"",Q70*R70*S70,"")</f>
        <v>1200</v>
      </c>
      <c r="U70" s="104">
        <f>IF(Q70&lt;&gt;"",K70-T70,"")</f>
        <v>800</v>
      </c>
      <c r="V70" s="105">
        <f>IF(Q70&lt;&gt;"",0%,"")</f>
        <v>0</v>
      </c>
      <c r="W70" s="101">
        <f>IF(Q70&lt;&gt;"",V70*U70,"")</f>
        <v>0</v>
      </c>
      <c r="X70" s="101">
        <f>IF(Q70&lt;&gt;"",W70+T70,"")</f>
        <v>1200</v>
      </c>
      <c r="Y70" s="92">
        <f>IF(Q70&lt;&gt;"",X70+M70,"")</f>
        <v>1243.6858456567666</v>
      </c>
      <c r="Z70" s="89">
        <f>IF(Q70&lt;&gt;"",U70/K70,"")</f>
        <v>0.4</v>
      </c>
      <c r="AA70" s="82">
        <f>T70/$T$79</f>
        <v>0.26666666666666666</v>
      </c>
    </row>
    <row r="71" spans="1:34" ht="36" customHeight="1" x14ac:dyDescent="0.35">
      <c r="A71" s="44">
        <v>63</v>
      </c>
      <c r="B71" s="74" t="s">
        <v>275</v>
      </c>
      <c r="C71" s="73" t="s">
        <v>114</v>
      </c>
      <c r="D71" s="44" t="s">
        <v>129</v>
      </c>
      <c r="E71" s="44" t="s">
        <v>130</v>
      </c>
      <c r="F71" s="326" t="s">
        <v>370</v>
      </c>
      <c r="G71" s="327" t="s">
        <v>295</v>
      </c>
      <c r="H71" s="85">
        <v>1</v>
      </c>
      <c r="I71" s="85">
        <v>1</v>
      </c>
      <c r="J71" s="84">
        <v>4000</v>
      </c>
      <c r="K71" s="84">
        <f>IF(F71&lt;&gt;"",H71*I71*J71,"")</f>
        <v>4000</v>
      </c>
      <c r="L71" s="84">
        <f>IF(K71&lt;&gt;"",IF(D71="INTERNO",0,K71*$L$14),"")</f>
        <v>360</v>
      </c>
      <c r="M71" s="84">
        <f>IF(K71&lt;&gt;"",IF(E71="FAT.OGGI",SUM(K71:L71)*(1/(1-$M$14)-1),L71*(1/(1-$M$14)-1)),"")</f>
        <v>87.37169131353302</v>
      </c>
      <c r="N71" s="87">
        <f>SUM(K71:M71)</f>
        <v>4447.3716913135331</v>
      </c>
      <c r="Q71" s="107">
        <f t="shared" si="55"/>
        <v>1</v>
      </c>
      <c r="R71" s="108">
        <f t="shared" si="55"/>
        <v>1</v>
      </c>
      <c r="S71" s="109">
        <v>2900</v>
      </c>
      <c r="T71" s="109">
        <f>IF(Q71&lt;&gt;"",Q71*R71*S71,"")</f>
        <v>2900</v>
      </c>
      <c r="U71" s="204">
        <f>IF(Q71&lt;&gt;"",K71-T71,"")</f>
        <v>1100</v>
      </c>
      <c r="V71" s="201">
        <f>IF(Q71&lt;&gt;"",0%,"")</f>
        <v>0</v>
      </c>
      <c r="W71" s="130">
        <f>IF(Q71&lt;&gt;"",V71*U71,"")</f>
        <v>0</v>
      </c>
      <c r="X71" s="130">
        <f>IF(Q71&lt;&gt;"",W71+T71,"")</f>
        <v>2900</v>
      </c>
      <c r="Y71" s="90">
        <f>IF(Q71&lt;&gt;"",X71+M71,"")</f>
        <v>2987.3716913135331</v>
      </c>
      <c r="Z71" s="89">
        <f>IF(Q71&lt;&gt;"",U71/K71,"")</f>
        <v>0.27500000000000002</v>
      </c>
      <c r="AA71" s="82">
        <f>T71/$T$79</f>
        <v>0.64444444444444449</v>
      </c>
      <c r="AC71" s="307">
        <v>7100</v>
      </c>
      <c r="AD71" s="308">
        <f>T71-AC71</f>
        <v>-4200</v>
      </c>
      <c r="AE71" s="309">
        <v>46113</v>
      </c>
      <c r="AG71" s="310" t="s">
        <v>470</v>
      </c>
      <c r="AH71" s="311" t="s">
        <v>471</v>
      </c>
    </row>
    <row r="72" spans="1:34" ht="36" customHeight="1" x14ac:dyDescent="0.3">
      <c r="A72" s="70">
        <v>64</v>
      </c>
      <c r="B72" s="74" t="s">
        <v>363</v>
      </c>
      <c r="C72" s="72" t="s">
        <v>114</v>
      </c>
      <c r="D72" s="44" t="s">
        <v>129</v>
      </c>
      <c r="E72" s="44" t="s">
        <v>130</v>
      </c>
      <c r="F72" s="325" t="s">
        <v>373</v>
      </c>
      <c r="G72" s="325" t="s">
        <v>364</v>
      </c>
      <c r="H72" s="93">
        <v>1</v>
      </c>
      <c r="I72" s="93">
        <v>1</v>
      </c>
      <c r="J72" s="84">
        <v>1000</v>
      </c>
      <c r="K72" s="84">
        <f>IF(F72&lt;&gt;"",H72*I72*J72,"")</f>
        <v>1000</v>
      </c>
      <c r="L72" s="76">
        <f>IF(K72&lt;&gt;"",IF(D72="INTERNO",0,K72*$L$14),"")</f>
        <v>90</v>
      </c>
      <c r="M72" s="76">
        <f>IF(K72&lt;&gt;"",IF(E72="FAT.OGGI",SUM(K72:L72)*(1/(1-$M$14)-1),L72*(1/(1-$M$14)-1)),"")</f>
        <v>21.842922828383255</v>
      </c>
      <c r="N72" s="76">
        <f>SUM(K72:M72)</f>
        <v>1111.8429228283833</v>
      </c>
      <c r="Q72" s="97">
        <f>IF(H72&lt;&gt;"",H72,"")</f>
        <v>1</v>
      </c>
      <c r="R72" s="97">
        <f>IF(I72&lt;&gt;"",I72,"")</f>
        <v>1</v>
      </c>
      <c r="S72" s="78">
        <v>0</v>
      </c>
      <c r="T72" s="78">
        <f>IF(Q72&lt;&gt;"",Q72*R72*S72,"")</f>
        <v>0</v>
      </c>
      <c r="U72" s="81">
        <f>IF(Q72&lt;&gt;"",K72-T72,"")</f>
        <v>1000</v>
      </c>
      <c r="V72" s="79">
        <f>IF(Q72&lt;&gt;"",0%,"")</f>
        <v>0</v>
      </c>
      <c r="W72" s="80">
        <f>IF(Q72&lt;&gt;"",V72*U72,"")</f>
        <v>0</v>
      </c>
      <c r="X72" s="80">
        <f>IF(Q72&lt;&gt;"",W72+T72,"")</f>
        <v>0</v>
      </c>
      <c r="Y72" s="101">
        <f>IF(Q72&lt;&gt;"",X72+M72,"")</f>
        <v>21.842922828383255</v>
      </c>
      <c r="Z72" s="82">
        <f>IF(Q72&lt;&gt;"",U72/K72,"")</f>
        <v>1</v>
      </c>
      <c r="AA72" s="82"/>
    </row>
    <row r="73" spans="1:34" ht="25.5" customHeight="1" thickBot="1" x14ac:dyDescent="0.4">
      <c r="A73" s="69">
        <v>65</v>
      </c>
      <c r="B73" s="74"/>
      <c r="C73" s="68" t="s">
        <v>122</v>
      </c>
      <c r="D73" s="69"/>
      <c r="E73" s="69"/>
      <c r="F73" s="654" t="s">
        <v>201</v>
      </c>
      <c r="G73" s="655"/>
      <c r="H73" s="655"/>
      <c r="I73" s="655"/>
      <c r="J73" s="655"/>
      <c r="K73" s="279">
        <f>SUM(K69:K72)</f>
        <v>11000</v>
      </c>
      <c r="L73" s="279">
        <f>SUM(L69:L72)</f>
        <v>990</v>
      </c>
      <c r="M73" s="279">
        <f>SUM(M69:M72)</f>
        <v>240.27215111221582</v>
      </c>
      <c r="N73" s="280">
        <f>SUM(N69:N72)</f>
        <v>12230.272151112216</v>
      </c>
      <c r="Q73" s="654" t="s">
        <v>201</v>
      </c>
      <c r="R73" s="655"/>
      <c r="S73" s="655"/>
      <c r="T73" s="281">
        <f>SUM(T69:T72)</f>
        <v>7100</v>
      </c>
      <c r="U73" s="282">
        <f>SUM(U69:U72)</f>
        <v>3900</v>
      </c>
      <c r="V73" s="283"/>
      <c r="W73" s="283"/>
      <c r="X73" s="284">
        <f>SUM(X69:X72)</f>
        <v>7100</v>
      </c>
      <c r="Y73" s="285">
        <f>IF(Q73&lt;&gt;"",X73+M73,"")</f>
        <v>7340.2721511122154</v>
      </c>
      <c r="AA73" s="82">
        <f t="shared" ref="AA73:AA78" si="56">T73/$T$79</f>
        <v>1.5777777777777777</v>
      </c>
    </row>
    <row r="74" spans="1:34" ht="18.600000000000001" thickBot="1" x14ac:dyDescent="0.4">
      <c r="A74" s="44">
        <v>66</v>
      </c>
      <c r="B74" s="74">
        <v>11</v>
      </c>
      <c r="C74" s="73" t="s">
        <v>108</v>
      </c>
      <c r="D74" s="44"/>
      <c r="E74" s="44"/>
      <c r="F74" s="637" t="s">
        <v>253</v>
      </c>
      <c r="G74" s="638"/>
      <c r="H74" s="638"/>
      <c r="I74" s="638"/>
      <c r="J74" s="638"/>
      <c r="K74" s="638"/>
      <c r="L74" s="638"/>
      <c r="M74" s="638"/>
      <c r="N74" s="639"/>
      <c r="Q74" s="637" t="str">
        <f>IF(F74&lt;&gt;"",F74,"")</f>
        <v xml:space="preserve">STAFF BELO HORIZONTE </v>
      </c>
      <c r="R74" s="638"/>
      <c r="S74" s="638"/>
      <c r="T74" s="638"/>
      <c r="U74" s="638"/>
      <c r="V74" s="638"/>
      <c r="W74" s="638"/>
      <c r="X74" s="638"/>
      <c r="Y74" s="639"/>
      <c r="AA74" s="82">
        <f t="shared" si="56"/>
        <v>0</v>
      </c>
    </row>
    <row r="75" spans="1:34" ht="33.9" customHeight="1" x14ac:dyDescent="0.35">
      <c r="A75" s="44">
        <v>67</v>
      </c>
      <c r="B75" s="74" t="s">
        <v>276</v>
      </c>
      <c r="C75" s="73" t="s">
        <v>114</v>
      </c>
      <c r="D75" s="44" t="s">
        <v>129</v>
      </c>
      <c r="E75" s="44" t="s">
        <v>130</v>
      </c>
      <c r="F75" s="328" t="s">
        <v>371</v>
      </c>
      <c r="G75" s="329" t="s">
        <v>326</v>
      </c>
      <c r="H75" s="129">
        <v>1</v>
      </c>
      <c r="I75" s="129">
        <v>1</v>
      </c>
      <c r="J75" s="121">
        <v>800</v>
      </c>
      <c r="K75" s="121">
        <f>IF(F75&lt;&gt;"",H75*I75*J75,"")</f>
        <v>800</v>
      </c>
      <c r="L75" s="121">
        <f>IF(K75&lt;&gt;"",IF(D75="INTERNO",0,K75*$L$14),"")</f>
        <v>72</v>
      </c>
      <c r="M75" s="121">
        <f>IF(K75&lt;&gt;"",IF(E75="FAT.OGGI",SUM(K75:L75)*(1/(1-$M$14)-1),L75*(1/(1-$M$14)-1)),"")</f>
        <v>17.474338262706603</v>
      </c>
      <c r="N75" s="122">
        <f>SUM(K75:M75)</f>
        <v>889.47433826270662</v>
      </c>
      <c r="Q75" s="123">
        <f t="shared" ref="Q75:R78" si="57">IF(H75&lt;&gt;"",H75,"")</f>
        <v>1</v>
      </c>
      <c r="R75" s="124">
        <f t="shared" si="57"/>
        <v>1</v>
      </c>
      <c r="S75" s="125">
        <v>450</v>
      </c>
      <c r="T75" s="125">
        <f>IF(Q75&lt;&gt;"",Q75*R75*S75,"")</f>
        <v>450</v>
      </c>
      <c r="U75" s="192">
        <f>IF(Q75&lt;&gt;"",K75-T75,"")</f>
        <v>350</v>
      </c>
      <c r="V75" s="193">
        <f>IF(Q75&lt;&gt;"",0%,"")</f>
        <v>0</v>
      </c>
      <c r="W75" s="194">
        <f>IF(Q75&lt;&gt;"",V75*U75,"")</f>
        <v>0</v>
      </c>
      <c r="X75" s="194">
        <f>IF(Q75&lt;&gt;"",W75+T75,"")</f>
        <v>450</v>
      </c>
      <c r="Y75" s="99">
        <f t="shared" ref="Y75:Y79" si="58">IF(Q75&lt;&gt;"",X75+M75,"")</f>
        <v>467.47433826270662</v>
      </c>
      <c r="Z75" s="89">
        <f>IF(Q75&lt;&gt;"",U75/K75,"")</f>
        <v>0.4375</v>
      </c>
      <c r="AA75" s="82">
        <f t="shared" si="56"/>
        <v>0.1</v>
      </c>
      <c r="AC75" s="307">
        <v>450</v>
      </c>
      <c r="AD75" s="308">
        <f>T75-AC75</f>
        <v>0</v>
      </c>
      <c r="AE75" s="309">
        <v>46118</v>
      </c>
      <c r="AG75" s="310" t="s">
        <v>501</v>
      </c>
      <c r="AH75" s="311" t="s">
        <v>502</v>
      </c>
    </row>
    <row r="76" spans="1:34" ht="27" customHeight="1" x14ac:dyDescent="0.35">
      <c r="A76" s="44">
        <v>68</v>
      </c>
      <c r="B76" s="74" t="s">
        <v>277</v>
      </c>
      <c r="C76" s="73" t="s">
        <v>114</v>
      </c>
      <c r="D76" s="44" t="s">
        <v>129</v>
      </c>
      <c r="E76" s="44" t="s">
        <v>130</v>
      </c>
      <c r="F76" s="324" t="s">
        <v>243</v>
      </c>
      <c r="G76" s="325" t="s">
        <v>496</v>
      </c>
      <c r="H76" s="93">
        <v>1</v>
      </c>
      <c r="I76" s="93">
        <v>2</v>
      </c>
      <c r="J76" s="76">
        <v>900</v>
      </c>
      <c r="K76" s="76">
        <f>IF(F76&lt;&gt;"",H76*I76*J76,"")</f>
        <v>1800</v>
      </c>
      <c r="L76" s="76">
        <f>IF(K76&lt;&gt;"",IF(D76="INTERNO",0,K76*$L$14),"")</f>
        <v>162</v>
      </c>
      <c r="M76" s="76">
        <f>IF(K76&lt;&gt;"",IF(E76="FAT.OGGI",SUM(K76:L76)*(1/(1-$M$14)-1),L76*(1/(1-$M$14)-1)),"")</f>
        <v>39.317261091089861</v>
      </c>
      <c r="N76" s="91">
        <f>SUM(K76:M76)</f>
        <v>2001.3172610910899</v>
      </c>
      <c r="Q76" s="106">
        <f t="shared" si="57"/>
        <v>1</v>
      </c>
      <c r="R76" s="102">
        <v>1</v>
      </c>
      <c r="S76" s="103">
        <v>1800</v>
      </c>
      <c r="T76" s="103">
        <f>IF(Q76&lt;&gt;"",Q76*R76*S76,"")</f>
        <v>1800</v>
      </c>
      <c r="U76" s="104">
        <f>IF(Q76&lt;&gt;"",K76-T76,"")</f>
        <v>0</v>
      </c>
      <c r="V76" s="105">
        <f>IF(Q76&lt;&gt;"",0%,"")</f>
        <v>0</v>
      </c>
      <c r="W76" s="101">
        <f>IF(Q76&lt;&gt;"",V76*U76,"")</f>
        <v>0</v>
      </c>
      <c r="X76" s="101">
        <f>IF(Q76&lt;&gt;"",W76+T76,"")</f>
        <v>1800</v>
      </c>
      <c r="Y76" s="92">
        <f t="shared" si="58"/>
        <v>1839.3172610910899</v>
      </c>
      <c r="Z76" s="89">
        <f>IF(Q76&lt;&gt;"",U76/K76,"")</f>
        <v>0</v>
      </c>
      <c r="AA76" s="82">
        <f t="shared" si="56"/>
        <v>0.4</v>
      </c>
      <c r="AC76" s="307">
        <v>1800</v>
      </c>
      <c r="AD76" s="308">
        <f>T76-AC76</f>
        <v>0</v>
      </c>
      <c r="AE76" s="309">
        <v>46118</v>
      </c>
      <c r="AG76" s="310" t="s">
        <v>489</v>
      </c>
      <c r="AH76" s="311" t="s">
        <v>486</v>
      </c>
    </row>
    <row r="77" spans="1:34" ht="33.9" customHeight="1" x14ac:dyDescent="0.35">
      <c r="A77" s="44">
        <v>69</v>
      </c>
      <c r="B77" s="74" t="s">
        <v>278</v>
      </c>
      <c r="C77" s="73" t="s">
        <v>114</v>
      </c>
      <c r="D77" s="44" t="s">
        <v>129</v>
      </c>
      <c r="E77" s="44" t="s">
        <v>130</v>
      </c>
      <c r="F77" s="324" t="s">
        <v>244</v>
      </c>
      <c r="G77" s="325" t="s">
        <v>170</v>
      </c>
      <c r="H77" s="93">
        <v>1</v>
      </c>
      <c r="I77" s="93">
        <v>2</v>
      </c>
      <c r="J77" s="76">
        <v>900</v>
      </c>
      <c r="K77" s="76">
        <f>IF(F77&lt;&gt;"",H77*I77*J77,"")</f>
        <v>1800</v>
      </c>
      <c r="L77" s="76">
        <f>IF(K77&lt;&gt;"",IF(D77="INTERNO",0,K77*$L$14),"")</f>
        <v>162</v>
      </c>
      <c r="M77" s="76">
        <f>IF(K77&lt;&gt;"",IF(E77="FAT.OGGI",SUM(K77:L77)*(1/(1-$M$14)-1),L77*(1/(1-$M$14)-1)),"")</f>
        <v>39.317261091089861</v>
      </c>
      <c r="N77" s="91">
        <f>SUM(K77:M77)</f>
        <v>2001.3172610910899</v>
      </c>
      <c r="Q77" s="106">
        <v>1</v>
      </c>
      <c r="R77" s="102">
        <v>1</v>
      </c>
      <c r="S77" s="103">
        <v>1500</v>
      </c>
      <c r="T77" s="103">
        <f>IF(Q77&lt;&gt;"",Q77*R77*S77,"")</f>
        <v>1500</v>
      </c>
      <c r="U77" s="104">
        <f>IF(Q77&lt;&gt;"",K77-T77,"")</f>
        <v>300</v>
      </c>
      <c r="V77" s="105">
        <f>IF(Q77&lt;&gt;"",0%,"")</f>
        <v>0</v>
      </c>
      <c r="W77" s="101">
        <f>IF(Q77&lt;&gt;"",V77*U77,"")</f>
        <v>0</v>
      </c>
      <c r="X77" s="101">
        <f>IF(Q77&lt;&gt;"",W77+T77,"")</f>
        <v>1500</v>
      </c>
      <c r="Y77" s="92">
        <f t="shared" si="58"/>
        <v>1539.3172610910899</v>
      </c>
      <c r="Z77" s="89">
        <f>IF(Q77&lt;&gt;"",U77/K77,"")</f>
        <v>0.16666666666666666</v>
      </c>
      <c r="AA77" s="82">
        <f t="shared" si="56"/>
        <v>0.33333333333333331</v>
      </c>
      <c r="AC77" s="307">
        <v>1500</v>
      </c>
      <c r="AD77" s="308">
        <f>T77-AC77</f>
        <v>0</v>
      </c>
      <c r="AE77" s="309">
        <v>46113</v>
      </c>
      <c r="AG77" s="310" t="s">
        <v>494</v>
      </c>
      <c r="AH77" s="311" t="s">
        <v>495</v>
      </c>
    </row>
    <row r="78" spans="1:34" ht="21.9" customHeight="1" x14ac:dyDescent="0.35">
      <c r="A78" s="44">
        <v>70</v>
      </c>
      <c r="B78" s="74" t="s">
        <v>279</v>
      </c>
      <c r="C78" s="73" t="s">
        <v>114</v>
      </c>
      <c r="D78" s="44" t="s">
        <v>129</v>
      </c>
      <c r="E78" s="44" t="s">
        <v>130</v>
      </c>
      <c r="F78" s="330" t="s">
        <v>372</v>
      </c>
      <c r="G78" s="331" t="s">
        <v>173</v>
      </c>
      <c r="H78" s="93">
        <v>1</v>
      </c>
      <c r="I78" s="93">
        <v>1</v>
      </c>
      <c r="J78" s="76">
        <v>1500</v>
      </c>
      <c r="K78" s="76">
        <f>IF(F78&lt;&gt;"",H78*I78*J78,"")</f>
        <v>1500</v>
      </c>
      <c r="L78" s="76">
        <f>IF(K78&lt;&gt;"",IF(D78="INTERNO",0,K78*$L$14),"")</f>
        <v>135</v>
      </c>
      <c r="M78" s="76">
        <f>IF(K78&lt;&gt;"",IF(E78="FAT.OGGI",SUM(K78:L78)*(1/(1-$M$14)-1),L78*(1/(1-$M$14)-1)),"")</f>
        <v>32.764384242574884</v>
      </c>
      <c r="N78" s="91">
        <f>SUM(K78:M78)</f>
        <v>1667.7643842425748</v>
      </c>
      <c r="Q78" s="106">
        <f t="shared" si="57"/>
        <v>1</v>
      </c>
      <c r="R78" s="102">
        <f t="shared" si="57"/>
        <v>1</v>
      </c>
      <c r="S78" s="103">
        <v>750</v>
      </c>
      <c r="T78" s="103">
        <f>IF(Q78&lt;&gt;"",Q78*R78*S78,"")</f>
        <v>750</v>
      </c>
      <c r="U78" s="104">
        <f>IF(Q78&lt;&gt;"",K78-T78,"")</f>
        <v>750</v>
      </c>
      <c r="V78" s="105">
        <f>IF(Q78&lt;&gt;"",0%,"")</f>
        <v>0</v>
      </c>
      <c r="W78" s="101">
        <f>IF(Q78&lt;&gt;"",V78*U78,"")</f>
        <v>0</v>
      </c>
      <c r="X78" s="101">
        <f>IF(Q78&lt;&gt;"",W78+T78,"")</f>
        <v>750</v>
      </c>
      <c r="Y78" s="92">
        <f t="shared" si="58"/>
        <v>782.76438424257492</v>
      </c>
      <c r="Z78" s="89">
        <f>IF(Q78&lt;&gt;"",U78/K78,"")</f>
        <v>0.5</v>
      </c>
      <c r="AA78" s="82">
        <f t="shared" si="56"/>
        <v>0.16666666666666666</v>
      </c>
      <c r="AC78" s="307">
        <v>750</v>
      </c>
      <c r="AD78" s="308">
        <f>T78-AC78</f>
        <v>0</v>
      </c>
      <c r="AE78" s="309">
        <v>46108</v>
      </c>
      <c r="AG78" s="310" t="s">
        <v>459</v>
      </c>
      <c r="AH78" s="311" t="s">
        <v>460</v>
      </c>
    </row>
    <row r="79" spans="1:34" ht="26.1" customHeight="1" thickBot="1" x14ac:dyDescent="0.4">
      <c r="A79" s="44">
        <v>71</v>
      </c>
      <c r="B79" s="74"/>
      <c r="C79" s="73" t="s">
        <v>122</v>
      </c>
      <c r="D79" s="44"/>
      <c r="E79" s="44"/>
      <c r="F79" s="626" t="s">
        <v>201</v>
      </c>
      <c r="G79" s="627"/>
      <c r="H79" s="627"/>
      <c r="I79" s="627"/>
      <c r="J79" s="627"/>
      <c r="K79" s="164">
        <f>SUM(K75:K78)</f>
        <v>5900</v>
      </c>
      <c r="L79" s="164">
        <f>SUM(L75:L78)</f>
        <v>531</v>
      </c>
      <c r="M79" s="164">
        <f>SUM(M75:M78)</f>
        <v>128.87324468746121</v>
      </c>
      <c r="N79" s="165">
        <f>SUM(N75:N78)</f>
        <v>6559.873244687461</v>
      </c>
      <c r="Q79" s="626" t="s">
        <v>201</v>
      </c>
      <c r="R79" s="627"/>
      <c r="S79" s="627"/>
      <c r="T79" s="187">
        <f>SUM(T75:T78)</f>
        <v>4500</v>
      </c>
      <c r="U79" s="188">
        <f>SUM(U75:U78)</f>
        <v>1400</v>
      </c>
      <c r="V79" s="189"/>
      <c r="W79" s="189"/>
      <c r="X79" s="190">
        <f>SUM(X75:X78)</f>
        <v>4500</v>
      </c>
      <c r="Y79" s="191">
        <f t="shared" si="58"/>
        <v>4628.873244687461</v>
      </c>
    </row>
    <row r="80" spans="1:34" ht="18.600000000000001" thickBot="1" x14ac:dyDescent="0.4">
      <c r="A80" s="44">
        <v>72</v>
      </c>
      <c r="B80" s="74">
        <v>12</v>
      </c>
      <c r="C80" s="73" t="s">
        <v>108</v>
      </c>
      <c r="D80" s="44"/>
      <c r="E80" s="44"/>
      <c r="F80" s="637" t="s">
        <v>254</v>
      </c>
      <c r="G80" s="638"/>
      <c r="H80" s="638"/>
      <c r="I80" s="638"/>
      <c r="J80" s="638"/>
      <c r="K80" s="638"/>
      <c r="L80" s="638"/>
      <c r="M80" s="638"/>
      <c r="N80" s="639"/>
      <c r="Q80" s="637" t="str">
        <f>IF(F80&lt;&gt;"",F80,"")</f>
        <v xml:space="preserve">LOGÍSTICA BELO HORIZONTE </v>
      </c>
      <c r="R80" s="638"/>
      <c r="S80" s="638"/>
      <c r="T80" s="638"/>
      <c r="U80" s="638"/>
      <c r="V80" s="638"/>
      <c r="W80" s="638"/>
      <c r="X80" s="638"/>
      <c r="Y80" s="639"/>
    </row>
    <row r="81" spans="1:34" ht="26.1" customHeight="1" x14ac:dyDescent="0.35">
      <c r="A81" s="44">
        <v>73</v>
      </c>
      <c r="B81" s="74" t="s">
        <v>259</v>
      </c>
      <c r="C81" s="73" t="s">
        <v>109</v>
      </c>
      <c r="D81" s="44"/>
      <c r="E81" s="44"/>
      <c r="F81" s="643" t="s">
        <v>254</v>
      </c>
      <c r="G81" s="644"/>
      <c r="H81" s="644"/>
      <c r="I81" s="644"/>
      <c r="J81" s="644"/>
      <c r="K81" s="644"/>
      <c r="L81" s="166" t="s">
        <v>111</v>
      </c>
      <c r="M81" s="166" t="s">
        <v>112</v>
      </c>
      <c r="N81" s="167" t="s">
        <v>81</v>
      </c>
      <c r="Q81" s="643" t="str">
        <f>IF(F81&lt;&gt;"",F81,"")</f>
        <v xml:space="preserve">LOGÍSTICA BELO HORIZONTE </v>
      </c>
      <c r="R81" s="644"/>
      <c r="S81" s="644"/>
      <c r="T81" s="644"/>
      <c r="U81" s="644"/>
      <c r="V81" s="644"/>
      <c r="W81" s="644"/>
      <c r="X81" s="644"/>
      <c r="Y81" s="645"/>
      <c r="Z81" s="88" t="s">
        <v>113</v>
      </c>
      <c r="AA81" s="75" t="s">
        <v>82</v>
      </c>
    </row>
    <row r="82" spans="1:34" ht="55.5" customHeight="1" x14ac:dyDescent="0.35">
      <c r="A82" s="44">
        <v>74</v>
      </c>
      <c r="B82" s="74" t="s">
        <v>261</v>
      </c>
      <c r="C82" s="73" t="s">
        <v>114</v>
      </c>
      <c r="D82" s="44" t="s">
        <v>129</v>
      </c>
      <c r="E82" s="44" t="s">
        <v>130</v>
      </c>
      <c r="F82" s="324" t="s">
        <v>175</v>
      </c>
      <c r="G82" s="325" t="s">
        <v>255</v>
      </c>
      <c r="H82" s="149">
        <v>1</v>
      </c>
      <c r="I82" s="149">
        <v>1</v>
      </c>
      <c r="J82" s="76">
        <v>4000</v>
      </c>
      <c r="K82" s="76">
        <f>IF(F82&lt;&gt;"",H82*I82*J82,"")</f>
        <v>4000</v>
      </c>
      <c r="L82" s="76">
        <f>IF(K82&lt;&gt;"",IF(D82="INTERNO",0,K82*$L$14),"")</f>
        <v>360</v>
      </c>
      <c r="M82" s="76">
        <f>IF(K82&lt;&gt;"",IF(E82="FAT.OGGI",SUM(K82:L82)*(1/(1-$M$14)-1),L82*(1/(1-$M$14)-1)),"")</f>
        <v>87.37169131353302</v>
      </c>
      <c r="N82" s="91">
        <f>SUM(K82:M82)</f>
        <v>4447.3716913135331</v>
      </c>
      <c r="Q82" s="106">
        <f>IF(H82&lt;&gt;"",H82,"")</f>
        <v>1</v>
      </c>
      <c r="R82" s="102">
        <f>IF(I82&lt;&gt;"",I82,"")</f>
        <v>1</v>
      </c>
      <c r="S82" s="103">
        <v>3807.89</v>
      </c>
      <c r="T82" s="103">
        <f>IF(Q82&lt;&gt;"",Q82*R82*S82,"")</f>
        <v>3807.89</v>
      </c>
      <c r="U82" s="104">
        <f>IF(Q82&lt;&gt;"",K82-T82,"")</f>
        <v>192.11000000000013</v>
      </c>
      <c r="V82" s="105">
        <f>IF(Q82&lt;&gt;"",0%,"")</f>
        <v>0</v>
      </c>
      <c r="W82" s="101">
        <f>IF(Q82&lt;&gt;"",V82*U82,"")</f>
        <v>0</v>
      </c>
      <c r="X82" s="101">
        <f>IF(Q82&lt;&gt;"",W82+T82,"")</f>
        <v>3807.89</v>
      </c>
      <c r="Y82" s="92">
        <f t="shared" ref="Y82:Y87" si="59">IF(Q82&lt;&gt;"",X82+M82,"")</f>
        <v>3895.261691313533</v>
      </c>
      <c r="Z82" s="89">
        <f>IF(Q82&lt;&gt;"",U82/K82,"")</f>
        <v>4.8027500000000029E-2</v>
      </c>
      <c r="AA82" s="82">
        <f>T82/$T$87</f>
        <v>0.6650186256001146</v>
      </c>
      <c r="AC82" s="307">
        <v>7.89</v>
      </c>
      <c r="AD82" s="308">
        <f>T82-AC82</f>
        <v>3800</v>
      </c>
      <c r="AE82" s="309">
        <v>46108</v>
      </c>
      <c r="AG82" s="310" t="s">
        <v>463</v>
      </c>
      <c r="AH82" s="311" t="s">
        <v>385</v>
      </c>
    </row>
    <row r="83" spans="1:34" ht="42.9" customHeight="1" x14ac:dyDescent="0.35">
      <c r="A83" s="44">
        <v>75</v>
      </c>
      <c r="B83" s="74" t="s">
        <v>262</v>
      </c>
      <c r="C83" s="73" t="s">
        <v>114</v>
      </c>
      <c r="D83" s="44" t="s">
        <v>129</v>
      </c>
      <c r="E83" s="44" t="s">
        <v>130</v>
      </c>
      <c r="F83" s="324" t="s">
        <v>176</v>
      </c>
      <c r="G83" s="325" t="s">
        <v>256</v>
      </c>
      <c r="H83" s="149">
        <v>1</v>
      </c>
      <c r="I83" s="149">
        <v>3</v>
      </c>
      <c r="J83" s="76">
        <v>800</v>
      </c>
      <c r="K83" s="76">
        <f>IF(F83&lt;&gt;"",H83*I83*J83,"")</f>
        <v>2400</v>
      </c>
      <c r="L83" s="76">
        <f>IF(K83&lt;&gt;"",IF(D83="INTERNO",0,K83*$L$14),"")</f>
        <v>216</v>
      </c>
      <c r="M83" s="76">
        <f>IF(K83&lt;&gt;"",IF(E83="FAT.OGGI",SUM(K83:L83)*(1/(1-$M$14)-1),L83*(1/(1-$M$14)-1)),"")</f>
        <v>52.423014788119815</v>
      </c>
      <c r="N83" s="91">
        <f>SUM(K83:M83)</f>
        <v>2668.4230147881199</v>
      </c>
      <c r="Q83" s="106">
        <v>1</v>
      </c>
      <c r="R83" s="102">
        <v>1</v>
      </c>
      <c r="S83" s="103">
        <v>453.6</v>
      </c>
      <c r="T83" s="103">
        <f>IF(Q83&lt;&gt;"",Q83*R83*S83,"")</f>
        <v>453.6</v>
      </c>
      <c r="U83" s="104">
        <f>IF(Q83&lt;&gt;"",K83-T83,"")</f>
        <v>1946.4</v>
      </c>
      <c r="V83" s="105">
        <f>IF(Q83&lt;&gt;"",0%,"")</f>
        <v>0</v>
      </c>
      <c r="W83" s="101">
        <f>IF(Q83&lt;&gt;"",V83*U83,"")</f>
        <v>0</v>
      </c>
      <c r="X83" s="101">
        <f>IF(Q83&lt;&gt;"",W83+T83,"")</f>
        <v>453.6</v>
      </c>
      <c r="Y83" s="92">
        <f t="shared" si="59"/>
        <v>506.02301478811984</v>
      </c>
      <c r="Z83" s="89">
        <f>IF(Q83&lt;&gt;"",U83/K83,"")</f>
        <v>0.81100000000000005</v>
      </c>
      <c r="AA83" s="82">
        <f>T83/$T$87</f>
        <v>7.9217742259417162E-2</v>
      </c>
      <c r="AC83" s="307">
        <v>453.6</v>
      </c>
      <c r="AD83" s="308">
        <f>T83-AC83</f>
        <v>0</v>
      </c>
      <c r="AE83" s="309">
        <v>46113</v>
      </c>
      <c r="AG83" s="310" t="s">
        <v>485</v>
      </c>
      <c r="AH83" s="311" t="s">
        <v>486</v>
      </c>
    </row>
    <row r="84" spans="1:34" ht="28.5" customHeight="1" x14ac:dyDescent="0.3">
      <c r="A84" s="44">
        <v>76</v>
      </c>
      <c r="B84" s="74" t="s">
        <v>263</v>
      </c>
      <c r="C84" s="73" t="s">
        <v>114</v>
      </c>
      <c r="D84" s="44" t="s">
        <v>129</v>
      </c>
      <c r="E84" s="44" t="s">
        <v>130</v>
      </c>
      <c r="F84" s="324" t="s">
        <v>177</v>
      </c>
      <c r="G84" s="325" t="s">
        <v>178</v>
      </c>
      <c r="H84" s="149">
        <v>1</v>
      </c>
      <c r="I84" s="149">
        <v>1</v>
      </c>
      <c r="J84" s="76">
        <v>500</v>
      </c>
      <c r="K84" s="76">
        <f>IF(F84&lt;&gt;"",H84*I84*J84,"")</f>
        <v>500</v>
      </c>
      <c r="L84" s="76">
        <f>IF(K84&lt;&gt;"",IF(D84="INTERNO",0,K84*$L$14),"")</f>
        <v>45</v>
      </c>
      <c r="M84" s="76">
        <f>IF(K84&lt;&gt;"",IF(E84="FAT.OGGI",SUM(K84:L84)*(1/(1-$M$14)-1),L84*(1/(1-$M$14)-1)),"")</f>
        <v>10.921461414191628</v>
      </c>
      <c r="N84" s="91">
        <f>SUM(K84:M84)</f>
        <v>555.92146141419164</v>
      </c>
      <c r="Q84" s="106">
        <f t="shared" ref="Q84:R86" si="60">IF(H84&lt;&gt;"",H84,"")</f>
        <v>1</v>
      </c>
      <c r="R84" s="102">
        <f t="shared" si="60"/>
        <v>1</v>
      </c>
      <c r="S84" s="103">
        <v>0</v>
      </c>
      <c r="T84" s="103">
        <f>IF(Q84&lt;&gt;"",Q84*R84*S84,"")</f>
        <v>0</v>
      </c>
      <c r="U84" s="104">
        <f>IF(Q84&lt;&gt;"",K84-T84,"")</f>
        <v>500</v>
      </c>
      <c r="V84" s="105">
        <f>IF(Q84&lt;&gt;"",0%,"")</f>
        <v>0</v>
      </c>
      <c r="W84" s="101">
        <f>IF(Q84&lt;&gt;"",V84*U84,"")</f>
        <v>0</v>
      </c>
      <c r="X84" s="101">
        <f>IF(Q84&lt;&gt;"",W84+T84,"")</f>
        <v>0</v>
      </c>
      <c r="Y84" s="92">
        <f t="shared" si="59"/>
        <v>10.921461414191628</v>
      </c>
      <c r="Z84" s="89">
        <f>IF(Q84&lt;&gt;"",U84/K84,"")</f>
        <v>1</v>
      </c>
      <c r="AA84" s="82">
        <f>T84/$T$87</f>
        <v>0</v>
      </c>
    </row>
    <row r="85" spans="1:34" ht="37.5" customHeight="1" x14ac:dyDescent="0.3">
      <c r="A85" s="44">
        <v>77</v>
      </c>
      <c r="B85" s="74" t="s">
        <v>264</v>
      </c>
      <c r="C85" s="73" t="s">
        <v>114</v>
      </c>
      <c r="D85" s="44" t="s">
        <v>129</v>
      </c>
      <c r="E85" s="44" t="s">
        <v>130</v>
      </c>
      <c r="F85" s="324" t="s">
        <v>181</v>
      </c>
      <c r="G85" s="325" t="s">
        <v>182</v>
      </c>
      <c r="H85" s="149">
        <v>1</v>
      </c>
      <c r="I85" s="149">
        <v>1</v>
      </c>
      <c r="J85" s="76">
        <v>5000</v>
      </c>
      <c r="K85" s="76">
        <f>IF(F85&lt;&gt;"",H85*I85*J85,"")</f>
        <v>5000</v>
      </c>
      <c r="L85" s="76">
        <f>IF(K85&lt;&gt;"",IF(D85="INTERNO",0,K85*$L$14),"")</f>
        <v>450</v>
      </c>
      <c r="M85" s="76">
        <f>IF(K85&lt;&gt;"",IF(E85="FAT.OGGI",SUM(K85:L85)*(1/(1-$M$14)-1),L85*(1/(1-$M$14)-1)),"")</f>
        <v>109.21461414191627</v>
      </c>
      <c r="N85" s="91">
        <f>SUM(K85:M85)</f>
        <v>5559.2146141419162</v>
      </c>
      <c r="Q85" s="106">
        <f t="shared" si="60"/>
        <v>1</v>
      </c>
      <c r="R85" s="102">
        <f t="shared" si="60"/>
        <v>1</v>
      </c>
      <c r="S85" s="103">
        <v>1464.5</v>
      </c>
      <c r="T85" s="103">
        <f>IF(Q85&lt;&gt;"",Q85*R85*S85,"")</f>
        <v>1464.5</v>
      </c>
      <c r="U85" s="104">
        <f>IF(Q85&lt;&gt;"",K85-T85,"")</f>
        <v>3535.5</v>
      </c>
      <c r="V85" s="105">
        <f>IF(Q85&lt;&gt;"",0%,"")</f>
        <v>0</v>
      </c>
      <c r="W85" s="101">
        <f>IF(Q85&lt;&gt;"",V85*U85,"")</f>
        <v>0</v>
      </c>
      <c r="X85" s="101">
        <f>IF(Q85&lt;&gt;"",W85+T85,"")</f>
        <v>1464.5</v>
      </c>
      <c r="Y85" s="92">
        <f t="shared" si="59"/>
        <v>1573.7146141419162</v>
      </c>
      <c r="Z85" s="89">
        <f>IF(Q85&lt;&gt;"",U85/K85,"")</f>
        <v>0.70709999999999995</v>
      </c>
      <c r="AA85" s="82">
        <f>T85/$T$87</f>
        <v>0.25576363214046832</v>
      </c>
    </row>
    <row r="86" spans="1:34" ht="37.5" customHeight="1" thickBot="1" x14ac:dyDescent="0.4">
      <c r="A86" s="44">
        <v>78</v>
      </c>
      <c r="B86" s="74" t="s">
        <v>265</v>
      </c>
      <c r="C86" s="73" t="s">
        <v>114</v>
      </c>
      <c r="D86" s="44" t="s">
        <v>129</v>
      </c>
      <c r="E86" s="44" t="s">
        <v>130</v>
      </c>
      <c r="F86" s="131" t="s">
        <v>183</v>
      </c>
      <c r="G86" s="132" t="s">
        <v>184</v>
      </c>
      <c r="H86" s="149">
        <v>1</v>
      </c>
      <c r="I86" s="149">
        <v>1</v>
      </c>
      <c r="J86" s="76">
        <v>2500</v>
      </c>
      <c r="K86" s="76">
        <f>IF(F86&lt;&gt;"",H86*I86*J86,"")</f>
        <v>2500</v>
      </c>
      <c r="L86" s="76">
        <f>IF(K86&lt;&gt;"",IF(D86="INTERNO",0,K86*$L$14),"")</f>
        <v>225</v>
      </c>
      <c r="M86" s="76">
        <f>IF(K86&lt;&gt;"",IF(E86="FAT.OGGI",SUM(K86:L86)*(1/(1-$M$14)-1),L86*(1/(1-$M$14)-1)),"")</f>
        <v>54.607307070958136</v>
      </c>
      <c r="N86" s="91">
        <f>SUM(K86:M86)</f>
        <v>2779.6073070709581</v>
      </c>
      <c r="Q86" s="106">
        <f t="shared" si="60"/>
        <v>1</v>
      </c>
      <c r="R86" s="102">
        <f t="shared" si="60"/>
        <v>1</v>
      </c>
      <c r="S86" s="103">
        <v>0</v>
      </c>
      <c r="T86" s="103">
        <f>IF(Q86&lt;&gt;"",Q86*R86*S86,"")</f>
        <v>0</v>
      </c>
      <c r="U86" s="104">
        <f>IF(Q86&lt;&gt;"",K86-T86,"")</f>
        <v>2500</v>
      </c>
      <c r="V86" s="105">
        <f>IF(Q86&lt;&gt;"",0%,"")</f>
        <v>0</v>
      </c>
      <c r="W86" s="101">
        <f>IF(Q86&lt;&gt;"",V86*U86,"")</f>
        <v>0</v>
      </c>
      <c r="X86" s="101">
        <f>IF(Q86&lt;&gt;"",W86+T86,"")</f>
        <v>0</v>
      </c>
      <c r="Y86" s="92">
        <f t="shared" si="59"/>
        <v>54.607307070958136</v>
      </c>
      <c r="Z86" s="110">
        <f>IF(Q86&lt;&gt;"",U86/K86,"")</f>
        <v>1</v>
      </c>
      <c r="AA86" s="111">
        <f>T86/$T$87</f>
        <v>0</v>
      </c>
      <c r="AC86" s="307">
        <v>475.79</v>
      </c>
      <c r="AD86" s="308">
        <f>T86-AC86</f>
        <v>-475.79</v>
      </c>
      <c r="AE86" s="309">
        <v>46113</v>
      </c>
      <c r="AG86" s="310" t="s">
        <v>489</v>
      </c>
      <c r="AH86" s="311" t="s">
        <v>486</v>
      </c>
    </row>
    <row r="87" spans="1:34" ht="24" customHeight="1" x14ac:dyDescent="0.35">
      <c r="A87" s="44">
        <v>79</v>
      </c>
      <c r="B87" s="74"/>
      <c r="C87" s="73" t="s">
        <v>122</v>
      </c>
      <c r="D87" s="44"/>
      <c r="E87" s="44"/>
      <c r="F87" s="626" t="s">
        <v>257</v>
      </c>
      <c r="G87" s="627"/>
      <c r="H87" s="627"/>
      <c r="I87" s="627"/>
      <c r="J87" s="627"/>
      <c r="K87" s="164">
        <f>SUM(K82:K86)</f>
        <v>14400</v>
      </c>
      <c r="L87" s="164">
        <f>SUM(L82:L86)</f>
        <v>1296</v>
      </c>
      <c r="M87" s="164">
        <f>SUM(M82:M86)</f>
        <v>314.53808872871889</v>
      </c>
      <c r="N87" s="165">
        <f>SUM(N82:N86)</f>
        <v>16010.538088728717</v>
      </c>
      <c r="Q87" s="626" t="s">
        <v>257</v>
      </c>
      <c r="R87" s="627"/>
      <c r="S87" s="627"/>
      <c r="T87" s="187">
        <f>SUM(T82:T86)</f>
        <v>5725.99</v>
      </c>
      <c r="U87" s="188">
        <f>SUM(U82:U86)</f>
        <v>8674.01</v>
      </c>
      <c r="V87" s="189"/>
      <c r="W87" s="189"/>
      <c r="X87" s="190">
        <f>SUM(X82:X86)</f>
        <v>5725.99</v>
      </c>
      <c r="Y87" s="286">
        <f t="shared" si="59"/>
        <v>6040.528088728719</v>
      </c>
      <c r="Z87" s="288" t="s">
        <v>140</v>
      </c>
      <c r="AA87" s="289" t="s">
        <v>141</v>
      </c>
    </row>
    <row r="88" spans="1:34" ht="18.600000000000001" thickBot="1" x14ac:dyDescent="0.4">
      <c r="A88" s="44">
        <v>80</v>
      </c>
      <c r="B88" s="74">
        <v>13</v>
      </c>
      <c r="C88" s="73" t="s">
        <v>108</v>
      </c>
      <c r="D88" s="44"/>
      <c r="E88" s="293"/>
      <c r="F88" s="673" t="s">
        <v>376</v>
      </c>
      <c r="G88" s="674"/>
      <c r="H88" s="674"/>
      <c r="I88" s="674"/>
      <c r="J88" s="674"/>
      <c r="K88" s="674"/>
      <c r="L88" s="674"/>
      <c r="M88" s="674"/>
      <c r="N88" s="674"/>
      <c r="Q88" s="674" t="str">
        <f>IF(F88&lt;&gt;"",F88,"")</f>
        <v xml:space="preserve">TOTEM LED </v>
      </c>
      <c r="R88" s="674"/>
      <c r="S88" s="674"/>
      <c r="T88" s="674"/>
      <c r="U88" s="674"/>
      <c r="V88" s="674"/>
      <c r="W88" s="674"/>
      <c r="X88" s="674"/>
      <c r="Y88" s="674"/>
    </row>
    <row r="89" spans="1:34" ht="32.4" x14ac:dyDescent="0.35">
      <c r="A89" s="44">
        <v>81</v>
      </c>
      <c r="B89" s="74" t="s">
        <v>281</v>
      </c>
      <c r="C89" s="73" t="s">
        <v>109</v>
      </c>
      <c r="D89" s="44"/>
      <c r="E89" s="44"/>
      <c r="F89" s="685" t="s">
        <v>376</v>
      </c>
      <c r="G89" s="686"/>
      <c r="H89" s="686"/>
      <c r="I89" s="686"/>
      <c r="J89" s="686"/>
      <c r="K89" s="687"/>
      <c r="L89" s="295" t="s">
        <v>111</v>
      </c>
      <c r="M89" s="296" t="s">
        <v>112</v>
      </c>
      <c r="N89" s="297" t="s">
        <v>81</v>
      </c>
      <c r="Q89" s="685" t="str">
        <f>IF(F89&lt;&gt;"",F89,"")</f>
        <v xml:space="preserve">TOTEM LED </v>
      </c>
      <c r="R89" s="686"/>
      <c r="S89" s="686"/>
      <c r="T89" s="686"/>
      <c r="U89" s="686"/>
      <c r="V89" s="686"/>
      <c r="W89" s="686"/>
      <c r="X89" s="686"/>
      <c r="Y89" s="688"/>
      <c r="Z89" s="88" t="s">
        <v>113</v>
      </c>
      <c r="AA89" s="75" t="s">
        <v>82</v>
      </c>
    </row>
    <row r="90" spans="1:34" ht="66" customHeight="1" thickBot="1" x14ac:dyDescent="0.4">
      <c r="A90" s="44">
        <v>82</v>
      </c>
      <c r="B90" s="74" t="s">
        <v>282</v>
      </c>
      <c r="C90" s="73" t="s">
        <v>114</v>
      </c>
      <c r="D90" s="44" t="s">
        <v>129</v>
      </c>
      <c r="E90" s="44" t="s">
        <v>130</v>
      </c>
      <c r="F90" s="324" t="s">
        <v>271</v>
      </c>
      <c r="G90" s="325" t="s">
        <v>377</v>
      </c>
      <c r="H90" s="294">
        <v>1</v>
      </c>
      <c r="I90" s="294">
        <v>1</v>
      </c>
      <c r="J90" s="76">
        <v>24500</v>
      </c>
      <c r="K90" s="76">
        <f>IF(F90&lt;&gt;"",H90*I90*J90,"")</f>
        <v>24500</v>
      </c>
      <c r="L90" s="76">
        <f>IF(K90&lt;&gt;"",IF(D90="INTERNO",0,K90*$L$14),"")</f>
        <v>2205</v>
      </c>
      <c r="M90" s="76">
        <f>IF(K90&lt;&gt;"",IF(E90="FAT.OGGI",SUM(K90:L90)*(1/(1-$M$14)-1),L90*(1/(1-$M$14)-1)),"")</f>
        <v>535.15160929538979</v>
      </c>
      <c r="N90" s="91">
        <f>SUM(K90:M90)</f>
        <v>27240.15160929539</v>
      </c>
      <c r="Q90" s="303">
        <f>IF(H90&lt;&gt;"",H90,"")</f>
        <v>1</v>
      </c>
      <c r="R90" s="277">
        <f>IF(I90&lt;&gt;"",I90,"")</f>
        <v>1</v>
      </c>
      <c r="S90" s="78">
        <v>19500</v>
      </c>
      <c r="T90" s="78">
        <f>IF(Q90&lt;&gt;"",Q90*R90*S90,"")</f>
        <v>19500</v>
      </c>
      <c r="U90" s="81">
        <f>IF(Q90&lt;&gt;"",K90-T90,"")</f>
        <v>5000</v>
      </c>
      <c r="V90" s="79">
        <f>IF(Q90&lt;&gt;"",0%,"")</f>
        <v>0</v>
      </c>
      <c r="W90" s="80">
        <f>IF(Q90&lt;&gt;"",V90*U90,"")</f>
        <v>0</v>
      </c>
      <c r="X90" s="80">
        <f>IF(Q90&lt;&gt;"",W90+T90,"")</f>
        <v>19500</v>
      </c>
      <c r="Y90" s="92">
        <f>IF(Q90&lt;&gt;"",X90+M90,"")</f>
        <v>20035.15160929539</v>
      </c>
      <c r="Z90" s="110">
        <f>IF(Q90&lt;&gt;"",U90/K90,"")</f>
        <v>0.20408163265306123</v>
      </c>
      <c r="AA90" s="111">
        <f>T90/$T$91</f>
        <v>1</v>
      </c>
      <c r="AC90" s="307">
        <v>24500</v>
      </c>
      <c r="AD90" s="308">
        <f>T90-AC90</f>
        <v>-5000</v>
      </c>
      <c r="AE90" s="309">
        <v>46100</v>
      </c>
      <c r="AG90" s="310" t="s">
        <v>402</v>
      </c>
      <c r="AH90" s="311" t="s">
        <v>403</v>
      </c>
    </row>
    <row r="91" spans="1:34" ht="27.6" customHeight="1" thickBot="1" x14ac:dyDescent="0.4">
      <c r="A91" s="44">
        <v>83</v>
      </c>
      <c r="B91" s="74"/>
      <c r="C91" s="73" t="s">
        <v>122</v>
      </c>
      <c r="D91" s="44"/>
      <c r="E91" s="44"/>
      <c r="F91" s="689" t="s">
        <v>378</v>
      </c>
      <c r="G91" s="690"/>
      <c r="H91" s="690"/>
      <c r="I91" s="690"/>
      <c r="J91" s="690"/>
      <c r="K91" s="304">
        <f>SUM(K90:K90)</f>
        <v>24500</v>
      </c>
      <c r="L91" s="304">
        <f>SUM(L90:L90)</f>
        <v>2205</v>
      </c>
      <c r="M91" s="304">
        <f>SUM(M90:M90)</f>
        <v>535.15160929538979</v>
      </c>
      <c r="N91" s="305">
        <f>SUM(N90:N90)</f>
        <v>27240.15160929539</v>
      </c>
      <c r="Q91" s="689" t="s">
        <v>378</v>
      </c>
      <c r="R91" s="690"/>
      <c r="S91" s="690"/>
      <c r="T91" s="298">
        <f>SUM(T90:T90)</f>
        <v>19500</v>
      </c>
      <c r="U91" s="299">
        <f>SUM(U90:U90)</f>
        <v>5000</v>
      </c>
      <c r="V91" s="300"/>
      <c r="W91" s="300"/>
      <c r="X91" s="301">
        <f>SUM(X90:X90)</f>
        <v>19500</v>
      </c>
      <c r="Y91" s="302">
        <f>IF(Q91&lt;&gt;"",X91+M91,"")</f>
        <v>20035.15160929539</v>
      </c>
      <c r="Z91" s="288" t="s">
        <v>140</v>
      </c>
      <c r="AA91" s="306" t="s">
        <v>141</v>
      </c>
    </row>
    <row r="92" spans="1:34" ht="18" x14ac:dyDescent="0.35">
      <c r="A92" s="44">
        <v>84</v>
      </c>
      <c r="B92" s="74">
        <v>14</v>
      </c>
      <c r="C92" s="73" t="s">
        <v>108</v>
      </c>
      <c r="D92" s="44"/>
      <c r="E92" s="44"/>
      <c r="F92" s="691" t="s">
        <v>192</v>
      </c>
      <c r="G92" s="692"/>
      <c r="H92" s="692"/>
      <c r="I92" s="692"/>
      <c r="J92" s="692"/>
      <c r="K92" s="692"/>
      <c r="L92" s="692"/>
      <c r="M92" s="692"/>
      <c r="N92" s="693"/>
      <c r="Q92" s="694" t="str">
        <f>IF(F92&lt;&gt;"",F92,"")</f>
        <v>BRINDES</v>
      </c>
      <c r="R92" s="695"/>
      <c r="S92" s="695"/>
      <c r="T92" s="695"/>
      <c r="U92" s="695"/>
      <c r="V92" s="695"/>
      <c r="W92" s="695"/>
      <c r="X92" s="695"/>
      <c r="Y92" s="696"/>
    </row>
    <row r="93" spans="1:34" ht="32.4" x14ac:dyDescent="0.35">
      <c r="A93" s="44">
        <v>85</v>
      </c>
      <c r="B93" s="74" t="s">
        <v>475</v>
      </c>
      <c r="C93" s="73" t="s">
        <v>109</v>
      </c>
      <c r="D93" s="44"/>
      <c r="E93" s="44"/>
      <c r="F93" s="675" t="s">
        <v>192</v>
      </c>
      <c r="G93" s="676"/>
      <c r="H93" s="676"/>
      <c r="I93" s="676"/>
      <c r="J93" s="676"/>
      <c r="K93" s="677"/>
      <c r="L93" s="313" t="s">
        <v>111</v>
      </c>
      <c r="M93" s="314" t="s">
        <v>112</v>
      </c>
      <c r="N93" s="316" t="s">
        <v>81</v>
      </c>
      <c r="Q93" s="678" t="str">
        <f>IF(F93&lt;&gt;"",F93,"")</f>
        <v>BRINDES</v>
      </c>
      <c r="R93" s="679"/>
      <c r="S93" s="679"/>
      <c r="T93" s="679"/>
      <c r="U93" s="679"/>
      <c r="V93" s="679"/>
      <c r="W93" s="679"/>
      <c r="X93" s="679"/>
      <c r="Y93" s="680"/>
      <c r="Z93" s="88" t="s">
        <v>113</v>
      </c>
      <c r="AA93" s="75" t="s">
        <v>82</v>
      </c>
    </row>
    <row r="94" spans="1:34" ht="32.4" x14ac:dyDescent="0.3">
      <c r="A94" s="44">
        <v>86</v>
      </c>
      <c r="B94" s="74" t="s">
        <v>476</v>
      </c>
      <c r="C94" s="73" t="s">
        <v>114</v>
      </c>
      <c r="D94" s="44" t="s">
        <v>129</v>
      </c>
      <c r="E94" s="44" t="s">
        <v>130</v>
      </c>
      <c r="F94" s="326" t="s">
        <v>234</v>
      </c>
      <c r="G94" s="327" t="s">
        <v>477</v>
      </c>
      <c r="H94" s="85">
        <v>75</v>
      </c>
      <c r="I94" s="85">
        <v>1</v>
      </c>
      <c r="J94" s="84">
        <v>199.99</v>
      </c>
      <c r="K94" s="84">
        <f>IF(F94&lt;&gt;"",H94*I94*J94,"")</f>
        <v>14999.25</v>
      </c>
      <c r="L94" s="84">
        <f>IF(K94&lt;&gt;"",IF(D94="INTERNO",0,K94*$L$14),"")</f>
        <v>1349.9324999999999</v>
      </c>
      <c r="M94" s="84">
        <f>IF(K94&lt;&gt;"",IF(E94="FAT.OGGI",SUM(K94:L94)*(1/(1-$M$14)-1),L94*(1/(1-$M$14)-1)),"")</f>
        <v>327.62746023362752</v>
      </c>
      <c r="N94" s="87">
        <f>SUM(K94:M94)</f>
        <v>16676.809960233626</v>
      </c>
      <c r="Q94" s="336">
        <f>IF(H94&lt;&gt;"",H94,"")</f>
        <v>75</v>
      </c>
      <c r="R94" s="337">
        <f>IF(I94&lt;&gt;"",I94,"")</f>
        <v>1</v>
      </c>
      <c r="S94" s="109">
        <v>199.99</v>
      </c>
      <c r="T94" s="109">
        <f>IF(Q94&lt;&gt;"",Q94*R94*S94,"")</f>
        <v>14999.25</v>
      </c>
      <c r="U94" s="204">
        <f>IF(Q94&lt;&gt;"",K94-T94,"")</f>
        <v>0</v>
      </c>
      <c r="V94" s="201">
        <f>IF(Q94&lt;&gt;"",0%,"")</f>
        <v>0</v>
      </c>
      <c r="W94" s="130">
        <f>IF(Q94&lt;&gt;"",V94*U94,"")</f>
        <v>0</v>
      </c>
      <c r="X94" s="130">
        <f>IF(Q94&lt;&gt;"",W94+T94,"")</f>
        <v>14999.25</v>
      </c>
      <c r="Y94" s="90">
        <f>IF(Q94&lt;&gt;"",X94+M94,"")</f>
        <v>15326.877460233627</v>
      </c>
      <c r="Z94" s="110">
        <f>IF(Q94&lt;&gt;"",U94/K94,"")</f>
        <v>0</v>
      </c>
    </row>
    <row r="95" spans="1:34" ht="33" thickBot="1" x14ac:dyDescent="0.35">
      <c r="A95" s="70">
        <v>87</v>
      </c>
      <c r="B95" s="74" t="s">
        <v>550</v>
      </c>
      <c r="C95" s="72" t="s">
        <v>114</v>
      </c>
      <c r="D95" s="70" t="s">
        <v>129</v>
      </c>
      <c r="E95" s="70" t="s">
        <v>130</v>
      </c>
      <c r="F95" s="325" t="s">
        <v>551</v>
      </c>
      <c r="G95" s="325" t="s">
        <v>552</v>
      </c>
      <c r="H95" s="93">
        <v>1</v>
      </c>
      <c r="I95" s="93">
        <v>1</v>
      </c>
      <c r="J95" s="76">
        <v>461.88</v>
      </c>
      <c r="K95" s="76">
        <f>IF(F95&lt;&gt;"",H95*I95*J95,"")</f>
        <v>461.88</v>
      </c>
      <c r="L95" s="76">
        <f>IF(K95&lt;&gt;"",IF(D95="INTERNO",0,K95*$L$14),"")</f>
        <v>41.569199999999995</v>
      </c>
      <c r="M95" s="76">
        <f>IF(K95&lt;&gt;"",IF(E95="FAT.OGGI",SUM(K95:L95)*(1/(1-$M$14)-1),L95*(1/(1-$M$14)-1)),"")</f>
        <v>10.088809195973656</v>
      </c>
      <c r="N95" s="76">
        <f>SUM(K95:M95)</f>
        <v>513.5380091959737</v>
      </c>
      <c r="Q95" s="277">
        <f>IF(H95&lt;&gt;"",H95,"")</f>
        <v>1</v>
      </c>
      <c r="R95" s="277">
        <f>IF(I95&lt;&gt;"",I95,"")</f>
        <v>1</v>
      </c>
      <c r="S95" s="78"/>
      <c r="T95" s="78">
        <f>IF(Q95&lt;&gt;"",Q95*R95*S95,"")</f>
        <v>0</v>
      </c>
      <c r="U95" s="81">
        <f>IF(Q95&lt;&gt;"",K95-T95,"")</f>
        <v>461.88</v>
      </c>
      <c r="V95" s="79">
        <f>IF(Q95&lt;&gt;"",0%,"")</f>
        <v>0</v>
      </c>
      <c r="W95" s="80">
        <f>IF(Q95&lt;&gt;"",V95*U95,"")</f>
        <v>0</v>
      </c>
      <c r="X95" s="80">
        <f>IF(Q95&lt;&gt;"",W95+T95,"")</f>
        <v>0</v>
      </c>
      <c r="Y95" s="101">
        <f>IF(Q95&lt;&gt;"",X95+M95,"")</f>
        <v>10.088809195973656</v>
      </c>
      <c r="Z95" s="82">
        <f>IF(Q95&lt;&gt;"",U95/K95,"")</f>
        <v>1</v>
      </c>
    </row>
    <row r="96" spans="1:34" ht="33" thickBot="1" x14ac:dyDescent="0.4">
      <c r="A96" s="69">
        <v>87</v>
      </c>
      <c r="B96" s="74"/>
      <c r="C96" s="68" t="s">
        <v>478</v>
      </c>
      <c r="D96" s="69"/>
      <c r="E96" s="69"/>
      <c r="F96" s="681" t="s">
        <v>199</v>
      </c>
      <c r="G96" s="682"/>
      <c r="H96" s="682"/>
      <c r="I96" s="682"/>
      <c r="J96" s="682"/>
      <c r="K96" s="315">
        <f>SUM(K94:K95)</f>
        <v>15461.13</v>
      </c>
      <c r="L96" s="315">
        <f>SUM(L94:L95)</f>
        <v>1391.5016999999998</v>
      </c>
      <c r="M96" s="315">
        <f>SUM(M94:M95)</f>
        <v>337.7162694296012</v>
      </c>
      <c r="N96" s="317">
        <f>SUM(N94:N95)</f>
        <v>17190.3479694296</v>
      </c>
      <c r="Q96" s="683" t="s">
        <v>199</v>
      </c>
      <c r="R96" s="684"/>
      <c r="S96" s="684"/>
      <c r="T96" s="338">
        <f>SUM(T94:T95)</f>
        <v>14999.25</v>
      </c>
      <c r="U96" s="282">
        <f>SUM(U94:U95)</f>
        <v>461.88</v>
      </c>
      <c r="V96" s="283"/>
      <c r="W96" s="283"/>
      <c r="X96" s="284">
        <f>SUM(X94:X95)</f>
        <v>14999.25</v>
      </c>
      <c r="Y96" s="339">
        <f>IF(Q96&lt;&gt;"",X96+M96,"")</f>
        <v>15336.966269429602</v>
      </c>
      <c r="Z96" s="340" t="s">
        <v>140</v>
      </c>
      <c r="AA96" s="319" t="s">
        <v>141</v>
      </c>
    </row>
    <row r="97" spans="1:27" ht="49.2" thickBot="1" x14ac:dyDescent="0.5">
      <c r="A97" s="70">
        <v>88</v>
      </c>
      <c r="B97" s="71"/>
      <c r="C97" s="72" t="s">
        <v>139</v>
      </c>
      <c r="D97" s="70"/>
      <c r="E97" s="70"/>
      <c r="F97" s="159" t="s">
        <v>366</v>
      </c>
      <c r="G97" s="160"/>
      <c r="H97" s="161"/>
      <c r="I97" s="161"/>
      <c r="J97" s="160"/>
      <c r="K97" s="162">
        <f>SUM(K17:K21)+SUM(K25:K26)+SUM(K30:K32)+SUM(K36:K38)+SUM(K42:K44)+SUM(K48:K50)+SUM(K54:K55)+SUM(K59:K60)+SUM(K64:K65)+SUM(K69:K72)+SUM(K75:K78)+SUM(K82:K86)+SUM(K90:K90)+SUM(K94:K95)</f>
        <v>244990.25</v>
      </c>
      <c r="L97" s="162">
        <f>SUM(L17:L21)+SUM(L25:L26)+SUM(L30:L32)+SUM(L36:L38)+SUM(L42:L44)+SUM(L48:L50)+SUM(L54:L55)+SUM(L59:L60)+SUM(L64:L65)+SUM(L69:L72)+SUM(L75:L78)+SUM(L82:L86)+SUM(L90:L90)+SUM(L94:L95)</f>
        <v>19754.122499999998</v>
      </c>
      <c r="M97" s="162">
        <f>SUM(M17:M21)+SUM(M25:M26)+SUM(M30:M32)+SUM(M36:M38)+SUM(M42:M44)+SUM(M48:M50)+SUM(M54:M55)+SUM(M59:M60)+SUM(M64:M65)+SUM(M69:M72)+SUM(M75:M78)+SUM(M82:M86)+SUM(M90:M90)+SUM(M94:M95)</f>
        <v>10983.136727041139</v>
      </c>
      <c r="N97" s="318">
        <f>SUM(N17:N21)+SUM(N25:N26)+SUM(N30:N32)+SUM(N36:N38)+SUM(N42:N44)+SUM(N48:N50)+SUM(N54:N55)+SUM(N59:N60)+SUM(N64:N65)+SUM(N69:N72)+SUM(N75:N78)+SUM(N82:N86)+SUM(N90:N90)+SUM(N94:N95)</f>
        <v>275727.50922704116</v>
      </c>
      <c r="Q97" s="287" t="s">
        <v>43</v>
      </c>
      <c r="R97" s="161"/>
      <c r="S97" s="160"/>
      <c r="T97" s="162">
        <f>SUM(T17:T21)+SUM(T25:T26)+SUM(T30:T32)+SUM(T36:T38)+SUM(T42:T44)+SUM(T48:T50)+SUM(T54:T55)+SUM(T59:T60)+SUM(T64:T65)+SUM(T69:T72)+SUM(T75:T78)+SUM(T82:T86)+SUM(T90:T90)+SUM(T94:T95)</f>
        <v>186038.65999999997</v>
      </c>
      <c r="U97" s="162">
        <f>SUM(U17:U21)+SUM(U25:U26)+SUM(U30:U32)+SUM(U36:U38)+SUM(U42:U44)+SUM(U48:U50)+SUM(U54:U55)+SUM(U59:U60)+SUM(U64:U65)+SUM(U69:U72)+SUM(U75:U78)+SUM(U82:U86)+SUM(U90:U90)+SUM(U94:U95)</f>
        <v>58951.59</v>
      </c>
      <c r="V97" s="160"/>
      <c r="W97" s="160"/>
      <c r="X97" s="162">
        <f>SUM(X17:X21)+SUM(X25:X26)+SUM(X30:X32)+SUM(X36:X38)+SUM(X42:X44)+SUM(X48:X50)+SUM(X54:X55)+SUM(X59:X60)+SUM(X64:X65)+SUM(X69:X72)+SUM(X75:X78)+SUM(X82:X86)+SUM(X90:X90)+SUM(X94:X95)</f>
        <v>186038.65999999997</v>
      </c>
      <c r="Y97" s="318">
        <f>SUM(Y17:Y21)+SUM(Y25:Y26)+SUM(Y30:Y32)+SUM(Y36:Y38)+SUM(Y42:Y44)+SUM(Y48:Y50)+SUM(Y54:Y55)+SUM(Y59:Y60)+SUM(Y64:Y65)+SUM(Y69:Y72)+SUM(Y75:Y78)+SUM(Y82:Y86)+SUM(Y90:Y90)+SUM(Y94:Y95)</f>
        <v>197021.7967270411</v>
      </c>
      <c r="Z97" s="290">
        <f>IF(Q97&lt;&gt;"",(N97-Y97)/N97,"")</f>
        <v>0.28544744309568232</v>
      </c>
      <c r="AA97" s="320">
        <f>IF(Z97&lt;&gt;"",(N97-Y97),"")</f>
        <v>78705.712500000052</v>
      </c>
    </row>
    <row r="99" spans="1:27" x14ac:dyDescent="0.3">
      <c r="N99" s="334">
        <v>275727.5092270411</v>
      </c>
    </row>
    <row r="100" spans="1:27" x14ac:dyDescent="0.3">
      <c r="N100" s="335">
        <f>N97-N99</f>
        <v>0</v>
      </c>
    </row>
  </sheetData>
  <autoFilter ref="A1:AL14" xr:uid="{107B9E09-8154-459A-AE62-6A4242823A27}">
    <filterColumn colId="5" showButton="0"/>
  </autoFilter>
  <mergeCells count="89">
    <mergeCell ref="F93:K93"/>
    <mergeCell ref="Q93:Y93"/>
    <mergeCell ref="F96:J96"/>
    <mergeCell ref="Q96:S96"/>
    <mergeCell ref="F89:K89"/>
    <mergeCell ref="Q89:Y89"/>
    <mergeCell ref="F91:J91"/>
    <mergeCell ref="Q91:S91"/>
    <mergeCell ref="F92:N92"/>
    <mergeCell ref="Q92:Y92"/>
    <mergeCell ref="F81:K81"/>
    <mergeCell ref="Q81:Y81"/>
    <mergeCell ref="F87:J87"/>
    <mergeCell ref="Q87:S87"/>
    <mergeCell ref="F88:N88"/>
    <mergeCell ref="Q88:Y88"/>
    <mergeCell ref="F74:N74"/>
    <mergeCell ref="Q74:Y74"/>
    <mergeCell ref="F79:J79"/>
    <mergeCell ref="Q79:S79"/>
    <mergeCell ref="F80:N80"/>
    <mergeCell ref="Q80:Y80"/>
    <mergeCell ref="F67:N67"/>
    <mergeCell ref="Q67:Y67"/>
    <mergeCell ref="F68:K68"/>
    <mergeCell ref="Q68:Y68"/>
    <mergeCell ref="F73:J73"/>
    <mergeCell ref="Q73:S73"/>
    <mergeCell ref="F62:N62"/>
    <mergeCell ref="Q62:Y62"/>
    <mergeCell ref="F63:K63"/>
    <mergeCell ref="Q63:Y63"/>
    <mergeCell ref="F66:J66"/>
    <mergeCell ref="Q66:S66"/>
    <mergeCell ref="F57:N57"/>
    <mergeCell ref="Q57:Y57"/>
    <mergeCell ref="F58:K58"/>
    <mergeCell ref="Q58:Y58"/>
    <mergeCell ref="F61:J61"/>
    <mergeCell ref="Q61:S61"/>
    <mergeCell ref="F52:N52"/>
    <mergeCell ref="Q52:Y52"/>
    <mergeCell ref="F53:K53"/>
    <mergeCell ref="Q53:Y53"/>
    <mergeCell ref="F56:J56"/>
    <mergeCell ref="Q56:S56"/>
    <mergeCell ref="F46:N46"/>
    <mergeCell ref="Q46:Y46"/>
    <mergeCell ref="F47:K47"/>
    <mergeCell ref="Q47:Y47"/>
    <mergeCell ref="F51:J51"/>
    <mergeCell ref="Q51:S51"/>
    <mergeCell ref="F40:N40"/>
    <mergeCell ref="Q40:Y40"/>
    <mergeCell ref="F41:K41"/>
    <mergeCell ref="Q41:Y41"/>
    <mergeCell ref="F45:J45"/>
    <mergeCell ref="Q45:S45"/>
    <mergeCell ref="F34:N34"/>
    <mergeCell ref="Q34:Y34"/>
    <mergeCell ref="F35:K35"/>
    <mergeCell ref="Q35:Y35"/>
    <mergeCell ref="F39:J39"/>
    <mergeCell ref="Q39:S39"/>
    <mergeCell ref="F28:N28"/>
    <mergeCell ref="Q28:Y28"/>
    <mergeCell ref="F29:K29"/>
    <mergeCell ref="Q29:Y29"/>
    <mergeCell ref="F33:J33"/>
    <mergeCell ref="Q33:S33"/>
    <mergeCell ref="F23:N23"/>
    <mergeCell ref="Q23:Y23"/>
    <mergeCell ref="F24:K24"/>
    <mergeCell ref="Q24:Y24"/>
    <mergeCell ref="F27:J27"/>
    <mergeCell ref="Q27:S27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2:J22"/>
    <mergeCell ref="Q22:S22"/>
    <mergeCell ref="F1:G1"/>
    <mergeCell ref="F2:G2"/>
    <mergeCell ref="Q12:T12"/>
  </mergeCells>
  <dataValidations count="3">
    <dataValidation type="list" allowBlank="1" showInputMessage="1" showErrorMessage="1" sqref="E97" xr:uid="{BCDFA229-65CD-4619-846D-33855B1039EC}">
      <formula1>"FAT.OGGI,FAT.CLIENTE "</formula1>
    </dataValidation>
    <dataValidation type="list" allowBlank="1" showInputMessage="1" showErrorMessage="1" sqref="D82:D86 D69:D72 D64:D66 D75:D78 D90 D97 D94:D95 D17:D60" xr:uid="{CDC634A4-4069-4A49-8AE2-1CD2BCF6D2EE}">
      <formula1>"INTERNO,OPERACIONAL"</formula1>
    </dataValidation>
    <dataValidation type="list" allowBlank="1" showInputMessage="1" showErrorMessage="1" sqref="E82:E86 E69:E72 E64:E66 E75:E78 E90 E94:E95 E17:E60" xr:uid="{01EBBB58-03BE-4DA3-8974-4F612E85F4B6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1C54A-8046-411D-B8AC-E3416046BD88}">
  <dimension ref="A1:F31"/>
  <sheetViews>
    <sheetView showGridLines="0" tabSelected="1" topLeftCell="A10" zoomScaleNormal="100" workbookViewId="0">
      <selection activeCell="C31" sqref="C31:D31"/>
    </sheetView>
  </sheetViews>
  <sheetFormatPr defaultColWidth="8.6640625" defaultRowHeight="16.2" x14ac:dyDescent="0.35"/>
  <cols>
    <col min="1" max="1" width="8.6640625" style="342"/>
    <col min="2" max="2" width="28" style="342" customWidth="1"/>
    <col min="3" max="3" width="43.109375" style="342" bestFit="1" customWidth="1"/>
    <col min="4" max="4" width="20.44140625" style="342" customWidth="1"/>
    <col min="5" max="5" width="18.44140625" style="342" customWidth="1"/>
    <col min="6" max="6" width="11.88671875" style="343" bestFit="1" customWidth="1"/>
    <col min="7" max="7" width="12.88671875" style="342" bestFit="1" customWidth="1"/>
    <col min="8" max="8" width="12.5546875" style="342" bestFit="1" customWidth="1"/>
    <col min="9" max="16384" width="8.6640625" style="342"/>
  </cols>
  <sheetData>
    <row r="1" spans="1:5" s="343" customFormat="1" hidden="1" x14ac:dyDescent="0.35">
      <c r="A1" s="342"/>
      <c r="B1" s="342"/>
      <c r="C1" s="342"/>
      <c r="D1" s="342"/>
      <c r="E1" s="342"/>
    </row>
    <row r="2" spans="1:5" s="343" customFormat="1" hidden="1" x14ac:dyDescent="0.35">
      <c r="A2" s="342"/>
      <c r="B2" s="342"/>
      <c r="C2" s="342"/>
      <c r="D2" s="342"/>
      <c r="E2" s="342"/>
    </row>
    <row r="3" spans="1:5" s="343" customFormat="1" hidden="1" x14ac:dyDescent="0.35">
      <c r="A3" s="342"/>
      <c r="B3" s="342"/>
      <c r="C3" s="372">
        <v>45866</v>
      </c>
      <c r="D3" s="371"/>
      <c r="E3" s="621" t="e">
        <f>SUM(#REF!)</f>
        <v>#REF!</v>
      </c>
    </row>
    <row r="4" spans="1:5" s="343" customFormat="1" ht="15.6" hidden="1" customHeight="1" thickBot="1" x14ac:dyDescent="0.4">
      <c r="A4" s="342"/>
      <c r="B4" s="342"/>
      <c r="C4" s="370">
        <v>45867</v>
      </c>
      <c r="D4" s="369"/>
      <c r="E4" s="622"/>
    </row>
    <row r="5" spans="1:5" s="343" customFormat="1" hidden="1" x14ac:dyDescent="0.35">
      <c r="A5" s="342"/>
      <c r="B5" s="342"/>
      <c r="C5" s="368" t="s">
        <v>580</v>
      </c>
      <c r="D5" s="367"/>
      <c r="E5" s="342"/>
    </row>
    <row r="6" spans="1:5" s="343" customFormat="1" hidden="1" x14ac:dyDescent="0.35">
      <c r="A6" s="342"/>
      <c r="B6" s="342"/>
      <c r="C6" s="368" t="s">
        <v>579</v>
      </c>
      <c r="D6" s="367"/>
      <c r="E6" s="342"/>
    </row>
    <row r="7" spans="1:5" s="343" customFormat="1" ht="16.8" hidden="1" thickBot="1" x14ac:dyDescent="0.4">
      <c r="A7" s="342"/>
      <c r="B7" s="342"/>
      <c r="C7" s="366" t="s">
        <v>43</v>
      </c>
      <c r="D7" s="365"/>
      <c r="E7" s="342"/>
    </row>
    <row r="9" spans="1:5" s="343" customFormat="1" x14ac:dyDescent="0.35">
      <c r="A9" s="342" t="s">
        <v>105</v>
      </c>
      <c r="B9" s="342"/>
      <c r="C9" s="342"/>
      <c r="D9" s="342"/>
      <c r="E9" s="342"/>
    </row>
    <row r="10" spans="1:5" s="343" customFormat="1" ht="24" customHeight="1" x14ac:dyDescent="0.35">
      <c r="A10" s="342"/>
      <c r="B10" s="342"/>
      <c r="C10" s="342"/>
      <c r="D10" s="342"/>
      <c r="E10" s="342"/>
    </row>
    <row r="11" spans="1:5" ht="16.8" thickBot="1" x14ac:dyDescent="0.4"/>
    <row r="12" spans="1:5" s="343" customFormat="1" ht="15" customHeight="1" x14ac:dyDescent="0.35">
      <c r="A12" s="342"/>
      <c r="B12" s="113" t="s">
        <v>209</v>
      </c>
      <c r="C12" s="114" t="s">
        <v>307</v>
      </c>
      <c r="D12" s="364"/>
      <c r="E12" s="342"/>
    </row>
    <row r="13" spans="1:5" s="343" customFormat="1" ht="15" customHeight="1" x14ac:dyDescent="0.35">
      <c r="A13" s="342"/>
      <c r="B13" s="115" t="s">
        <v>210</v>
      </c>
      <c r="C13" s="116" t="s">
        <v>208</v>
      </c>
      <c r="D13" s="364"/>
      <c r="E13" s="342"/>
    </row>
    <row r="14" spans="1:5" s="343" customFormat="1" ht="15" customHeight="1" x14ac:dyDescent="0.35">
      <c r="A14" s="342"/>
      <c r="B14" s="115" t="s">
        <v>211</v>
      </c>
      <c r="C14" s="116" t="s">
        <v>308</v>
      </c>
      <c r="D14" s="362"/>
      <c r="E14" s="342"/>
    </row>
    <row r="15" spans="1:5" s="343" customFormat="1" ht="15" customHeight="1" x14ac:dyDescent="0.35">
      <c r="A15" s="342"/>
      <c r="B15" s="115" t="s">
        <v>212</v>
      </c>
      <c r="C15" s="116" t="s">
        <v>290</v>
      </c>
      <c r="D15" s="362"/>
      <c r="E15" s="342"/>
    </row>
    <row r="16" spans="1:5" s="343" customFormat="1" ht="15" customHeight="1" x14ac:dyDescent="0.35">
      <c r="A16" s="342"/>
      <c r="B16" s="115" t="s">
        <v>213</v>
      </c>
      <c r="C16" s="116" t="s">
        <v>309</v>
      </c>
      <c r="D16" s="363"/>
      <c r="E16" s="342"/>
    </row>
    <row r="17" spans="2:6" ht="15" customHeight="1" x14ac:dyDescent="0.35">
      <c r="B17" s="115" t="s">
        <v>214</v>
      </c>
      <c r="C17" s="116" t="s">
        <v>118</v>
      </c>
      <c r="D17" s="362"/>
    </row>
    <row r="18" spans="2:6" ht="15" customHeight="1" x14ac:dyDescent="0.35">
      <c r="B18" s="115" t="s">
        <v>215</v>
      </c>
      <c r="C18" s="116" t="s">
        <v>293</v>
      </c>
      <c r="D18" s="362"/>
    </row>
    <row r="19" spans="2:6" ht="15" customHeight="1" thickBot="1" x14ac:dyDescent="0.4">
      <c r="B19" s="117" t="s">
        <v>216</v>
      </c>
      <c r="C19" s="118" t="s">
        <v>310</v>
      </c>
      <c r="D19" s="362"/>
    </row>
    <row r="21" spans="2:6" ht="15.6" customHeight="1" x14ac:dyDescent="0.35">
      <c r="B21" s="359"/>
      <c r="C21" s="359" t="s">
        <v>578</v>
      </c>
      <c r="D21" s="359" t="s">
        <v>577</v>
      </c>
      <c r="E21" s="359" t="s">
        <v>576</v>
      </c>
    </row>
    <row r="22" spans="2:6" x14ac:dyDescent="0.35">
      <c r="B22" s="361" t="s">
        <v>575</v>
      </c>
      <c r="C22" s="360">
        <f>'SP- BH FINAL '!N101</f>
        <v>275727.5092270411</v>
      </c>
      <c r="D22" s="360">
        <f>'SP- BH FINAL '!X101</f>
        <v>188957.77999999997</v>
      </c>
      <c r="E22" s="360">
        <f>C22-D22</f>
        <v>86769.729227041127</v>
      </c>
      <c r="F22" s="357">
        <f>E22*100%/C22</f>
        <v>0.31469376947656214</v>
      </c>
    </row>
    <row r="23" spans="2:6" x14ac:dyDescent="0.35">
      <c r="B23" s="359" t="s">
        <v>43</v>
      </c>
      <c r="C23" s="358">
        <f>SUM(C22:C22)</f>
        <v>275727.5092270411</v>
      </c>
      <c r="D23" s="358">
        <f>SUM(D22:D22)</f>
        <v>188957.77999999997</v>
      </c>
      <c r="E23" s="358">
        <f>C23-D23</f>
        <v>86769.729227041127</v>
      </c>
      <c r="F23" s="357">
        <f>E23*100%/C23</f>
        <v>0.31469376947656214</v>
      </c>
    </row>
    <row r="25" spans="2:6" ht="200.1" hidden="1" customHeight="1" x14ac:dyDescent="0.35"/>
    <row r="27" spans="2:6" ht="16.8" thickBot="1" x14ac:dyDescent="0.4"/>
    <row r="28" spans="2:6" ht="21.9" customHeight="1" thickBot="1" x14ac:dyDescent="0.4">
      <c r="B28" s="623" t="s">
        <v>574</v>
      </c>
      <c r="C28" s="624"/>
      <c r="D28" s="624"/>
      <c r="E28" s="624"/>
      <c r="F28" s="625"/>
    </row>
    <row r="29" spans="2:6" ht="24.9" customHeight="1" thickBot="1" x14ac:dyDescent="0.4">
      <c r="B29" s="356" t="s">
        <v>573</v>
      </c>
      <c r="C29" s="355">
        <v>219490.25</v>
      </c>
      <c r="D29" s="354">
        <f>D23</f>
        <v>188957.77999999997</v>
      </c>
      <c r="E29" s="353">
        <f>C29-D29</f>
        <v>30532.47000000003</v>
      </c>
      <c r="F29" s="352">
        <f>E29*100%/C29</f>
        <v>0.13910627009628004</v>
      </c>
    </row>
    <row r="30" spans="2:6" ht="29.4" customHeight="1" thickBot="1" x14ac:dyDescent="0.4">
      <c r="B30" s="351" t="s">
        <v>572</v>
      </c>
      <c r="C30" s="350">
        <v>56237.26</v>
      </c>
      <c r="D30" s="349">
        <f>C30*0.15</f>
        <v>8435.5889999999999</v>
      </c>
      <c r="E30" s="349">
        <f>C30-D30</f>
        <v>47801.671000000002</v>
      </c>
      <c r="F30" s="344">
        <f>E30*100%/C30</f>
        <v>0.85</v>
      </c>
    </row>
    <row r="31" spans="2:6" ht="20.25" customHeight="1" thickBot="1" x14ac:dyDescent="0.4">
      <c r="B31" s="348"/>
      <c r="C31" s="347">
        <f>SUM(C29:C30)</f>
        <v>275727.51</v>
      </c>
      <c r="D31" s="346">
        <f>SUM(D29:D30)</f>
        <v>197393.36899999998</v>
      </c>
      <c r="E31" s="345">
        <f>SUM(E29:E30)</f>
        <v>78334.141000000032</v>
      </c>
      <c r="F31" s="344">
        <f>E31*100%/C31</f>
        <v>0.2840998382787413</v>
      </c>
    </row>
  </sheetData>
  <mergeCells count="2">
    <mergeCell ref="E3:E4"/>
    <mergeCell ref="B28:F28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2FC9-728B-4065-A74D-D185860C267B}">
  <sheetPr codeName="Planilha14">
    <pageSetUpPr autoPageBreaks="0"/>
  </sheetPr>
  <dimension ref="A1:AN101"/>
  <sheetViews>
    <sheetView showGridLines="0" topLeftCell="B1" zoomScale="50" zoomScaleNormal="50" workbookViewId="0">
      <pane ySplit="1" topLeftCell="A91" activePane="bottomLeft" state="frozen"/>
      <selection pane="bottomLeft" activeCell="F106" sqref="F106"/>
    </sheetView>
  </sheetViews>
  <sheetFormatPr defaultColWidth="8.88671875" defaultRowHeight="20.399999999999999" x14ac:dyDescent="0.35"/>
  <cols>
    <col min="1" max="1" width="5.88671875" style="378" hidden="1" customWidth="1"/>
    <col min="2" max="2" width="9.88671875" style="378" customWidth="1"/>
    <col min="3" max="3" width="11" style="378" hidden="1" customWidth="1"/>
    <col min="4" max="5" width="8.44140625" style="378" hidden="1" customWidth="1"/>
    <col min="6" max="6" width="25.109375" style="378" customWidth="1"/>
    <col min="7" max="7" width="56.88671875" style="378" customWidth="1"/>
    <col min="8" max="8" width="5.88671875" style="381" hidden="1" customWidth="1"/>
    <col min="9" max="9" width="7.88671875" style="381" hidden="1" customWidth="1"/>
    <col min="10" max="10" width="16.44140625" style="378" hidden="1" customWidth="1"/>
    <col min="11" max="11" width="26.88671875" style="378" bestFit="1" customWidth="1"/>
    <col min="12" max="13" width="25" style="378" bestFit="1" customWidth="1"/>
    <col min="14" max="14" width="26.88671875" style="378" bestFit="1" customWidth="1"/>
    <col min="15" max="15" width="28.6640625" style="378" hidden="1" customWidth="1"/>
    <col min="16" max="16" width="1.88671875" style="378" hidden="1" customWidth="1"/>
    <col min="17" max="17" width="11.5546875" style="381" bestFit="1" customWidth="1"/>
    <col min="18" max="18" width="8.44140625" style="381" hidden="1" customWidth="1"/>
    <col min="19" max="19" width="17.88671875" style="378" hidden="1" customWidth="1"/>
    <col min="20" max="20" width="27.109375" style="378" bestFit="1" customWidth="1"/>
    <col min="21" max="21" width="24.6640625" style="378" hidden="1" customWidth="1"/>
    <col min="22" max="22" width="9.6640625" style="378" hidden="1" customWidth="1"/>
    <col min="23" max="23" width="16.109375" style="378" hidden="1" customWidth="1"/>
    <col min="24" max="24" width="27.5546875" style="378" bestFit="1" customWidth="1"/>
    <col min="25" max="25" width="26.6640625" style="378" hidden="1" customWidth="1"/>
    <col min="26" max="26" width="14.6640625" style="378" hidden="1" customWidth="1"/>
    <col min="27" max="27" width="24.6640625" style="378" hidden="1" customWidth="1"/>
    <col min="28" max="28" width="24.6640625" style="382" customWidth="1"/>
    <col min="29" max="29" width="35.88671875" style="382" bestFit="1" customWidth="1"/>
    <col min="30" max="30" width="38.109375" style="378" customWidth="1"/>
    <col min="31" max="31" width="20.6640625" style="378" bestFit="1" customWidth="1"/>
    <col min="32" max="32" width="23" style="378" bestFit="1" customWidth="1"/>
    <col min="33" max="33" width="18" style="378" bestFit="1" customWidth="1"/>
    <col min="34" max="34" width="1.33203125" style="378" customWidth="1"/>
    <col min="35" max="35" width="14" style="378" bestFit="1" customWidth="1"/>
    <col min="36" max="36" width="11.6640625" style="378" bestFit="1" customWidth="1"/>
    <col min="37" max="37" width="6.33203125" style="378" bestFit="1" customWidth="1"/>
    <col min="38" max="38" width="12.6640625" style="378" bestFit="1" customWidth="1"/>
    <col min="39" max="39" width="13.109375" style="378" bestFit="1" customWidth="1"/>
    <col min="40" max="40" width="13.5546875" style="378" bestFit="1" customWidth="1"/>
    <col min="41" max="41" width="8.88671875" style="378"/>
    <col min="42" max="42" width="21.33203125" style="378" customWidth="1"/>
    <col min="43" max="16384" width="8.88671875" style="378"/>
  </cols>
  <sheetData>
    <row r="1" spans="1:40" ht="49.5" customHeight="1" x14ac:dyDescent="0.35">
      <c r="B1" s="379"/>
      <c r="C1" s="380"/>
      <c r="D1" s="380"/>
      <c r="F1" s="709" t="s">
        <v>107</v>
      </c>
      <c r="G1" s="709"/>
    </row>
    <row r="2" spans="1:40" ht="24.75" customHeight="1" x14ac:dyDescent="0.35">
      <c r="B2" s="383"/>
      <c r="D2" s="380"/>
      <c r="F2" s="710" t="s">
        <v>0</v>
      </c>
      <c r="G2" s="710"/>
    </row>
    <row r="3" spans="1:40" ht="21.6" thickBot="1" x14ac:dyDescent="0.45">
      <c r="B3" s="384"/>
      <c r="F3" s="385"/>
      <c r="G3" s="385"/>
    </row>
    <row r="4" spans="1:40" ht="29.1" customHeight="1" x14ac:dyDescent="0.35">
      <c r="F4" s="386" t="s">
        <v>209</v>
      </c>
      <c r="G4" s="387" t="s">
        <v>307</v>
      </c>
    </row>
    <row r="5" spans="1:40" ht="27.6" customHeight="1" x14ac:dyDescent="0.35">
      <c r="F5" s="388" t="s">
        <v>210</v>
      </c>
      <c r="G5" s="389" t="s">
        <v>208</v>
      </c>
    </row>
    <row r="6" spans="1:40" ht="24.9" customHeight="1" x14ac:dyDescent="0.35">
      <c r="D6" s="378" t="s">
        <v>105</v>
      </c>
      <c r="F6" s="388" t="s">
        <v>211</v>
      </c>
      <c r="G6" s="389" t="s">
        <v>308</v>
      </c>
    </row>
    <row r="7" spans="1:40" ht="25.5" customHeight="1" x14ac:dyDescent="0.35">
      <c r="F7" s="388" t="s">
        <v>212</v>
      </c>
      <c r="G7" s="389" t="s">
        <v>290</v>
      </c>
      <c r="J7" s="378" t="s">
        <v>106</v>
      </c>
    </row>
    <row r="8" spans="1:40" ht="26.1" customHeight="1" x14ac:dyDescent="0.35">
      <c r="F8" s="388" t="s">
        <v>213</v>
      </c>
      <c r="G8" s="389" t="s">
        <v>309</v>
      </c>
    </row>
    <row r="9" spans="1:40" ht="27.6" customHeight="1" x14ac:dyDescent="0.35">
      <c r="F9" s="388" t="s">
        <v>214</v>
      </c>
      <c r="G9" s="389" t="s">
        <v>118</v>
      </c>
      <c r="J9" s="378" t="s">
        <v>105</v>
      </c>
    </row>
    <row r="10" spans="1:40" ht="27" customHeight="1" x14ac:dyDescent="0.35">
      <c r="F10" s="388" t="s">
        <v>215</v>
      </c>
      <c r="G10" s="389" t="s">
        <v>293</v>
      </c>
    </row>
    <row r="11" spans="1:40" ht="21.6" thickBot="1" x14ac:dyDescent="0.4">
      <c r="F11" s="390" t="s">
        <v>216</v>
      </c>
      <c r="G11" s="391" t="s">
        <v>310</v>
      </c>
    </row>
    <row r="12" spans="1:40" ht="63.6" hidden="1" thickBot="1" x14ac:dyDescent="0.45">
      <c r="B12" s="392"/>
      <c r="M12" s="393"/>
      <c r="Q12" s="711" t="s">
        <v>1</v>
      </c>
      <c r="R12" s="712"/>
      <c r="S12" s="712"/>
      <c r="T12" s="713"/>
      <c r="U12" s="725" t="s">
        <v>2</v>
      </c>
      <c r="V12" s="726"/>
      <c r="W12" s="726"/>
      <c r="X12" s="727"/>
      <c r="Y12" s="394" t="s">
        <v>56</v>
      </c>
      <c r="Z12" s="395">
        <f>(1/(1-M14))-1</f>
        <v>0.24269914253759173</v>
      </c>
      <c r="AE12" s="728" t="s">
        <v>3</v>
      </c>
      <c r="AF12" s="729"/>
      <c r="AG12" s="730"/>
      <c r="AI12" s="731" t="s">
        <v>58</v>
      </c>
      <c r="AJ12" s="732"/>
      <c r="AL12" s="396" t="s">
        <v>60</v>
      </c>
      <c r="AM12" s="714" t="s">
        <v>59</v>
      </c>
      <c r="AN12" s="715"/>
    </row>
    <row r="13" spans="1:40" ht="21.6" thickBot="1" x14ac:dyDescent="0.45">
      <c r="A13" s="397" t="s">
        <v>4</v>
      </c>
      <c r="B13" s="398" t="s">
        <v>5</v>
      </c>
      <c r="C13" s="397" t="s">
        <v>6</v>
      </c>
      <c r="D13" s="397" t="s">
        <v>7</v>
      </c>
      <c r="E13" s="397" t="s">
        <v>8</v>
      </c>
      <c r="M13" s="399">
        <v>0.81</v>
      </c>
    </row>
    <row r="14" spans="1:40" ht="30" customHeight="1" thickBot="1" x14ac:dyDescent="0.45">
      <c r="A14" s="400">
        <v>0</v>
      </c>
      <c r="B14" s="401"/>
      <c r="C14" s="402"/>
      <c r="D14" s="403"/>
      <c r="E14" s="403"/>
      <c r="F14" s="404" t="s">
        <v>83</v>
      </c>
      <c r="G14" s="405" t="s">
        <v>84</v>
      </c>
      <c r="H14" s="406" t="s">
        <v>85</v>
      </c>
      <c r="I14" s="406" t="s">
        <v>86</v>
      </c>
      <c r="J14" s="407" t="s">
        <v>87</v>
      </c>
      <c r="K14" s="408" t="s">
        <v>9</v>
      </c>
      <c r="L14" s="409">
        <v>0.09</v>
      </c>
      <c r="M14" s="410">
        <v>0.1953</v>
      </c>
      <c r="N14" s="411" t="s">
        <v>81</v>
      </c>
      <c r="Q14" s="412" t="s">
        <v>88</v>
      </c>
      <c r="R14" s="413" t="s">
        <v>89</v>
      </c>
      <c r="S14" s="414" t="s">
        <v>90</v>
      </c>
      <c r="T14" s="415" t="s">
        <v>91</v>
      </c>
      <c r="U14" s="416" t="s">
        <v>92</v>
      </c>
      <c r="V14" s="417" t="s">
        <v>93</v>
      </c>
      <c r="W14" s="418" t="s">
        <v>94</v>
      </c>
      <c r="X14" s="418" t="s">
        <v>95</v>
      </c>
      <c r="Y14" s="419" t="s">
        <v>96</v>
      </c>
      <c r="Z14" s="420" t="s">
        <v>97</v>
      </c>
      <c r="AA14" s="421" t="s">
        <v>82</v>
      </c>
      <c r="AB14" s="373" t="s">
        <v>102</v>
      </c>
      <c r="AC14" s="374" t="s">
        <v>103</v>
      </c>
      <c r="AD14" s="375"/>
      <c r="AE14" s="422" t="s">
        <v>98</v>
      </c>
      <c r="AF14" s="423" t="s">
        <v>99</v>
      </c>
      <c r="AG14" s="423" t="s">
        <v>33</v>
      </c>
      <c r="AI14" s="424" t="s">
        <v>100</v>
      </c>
      <c r="AJ14" s="425" t="s">
        <v>101</v>
      </c>
      <c r="AM14" s="373" t="s">
        <v>102</v>
      </c>
      <c r="AN14" s="374" t="s">
        <v>103</v>
      </c>
    </row>
    <row r="15" spans="1:40" ht="30" customHeight="1" thickBot="1" x14ac:dyDescent="0.45">
      <c r="A15" s="403">
        <v>1</v>
      </c>
      <c r="B15" s="426">
        <v>1</v>
      </c>
      <c r="C15" s="427" t="s">
        <v>108</v>
      </c>
      <c r="D15" s="403"/>
      <c r="E15" s="403"/>
      <c r="F15" s="716" t="s">
        <v>125</v>
      </c>
      <c r="G15" s="717"/>
      <c r="H15" s="717"/>
      <c r="I15" s="717"/>
      <c r="J15" s="717"/>
      <c r="K15" s="717"/>
      <c r="L15" s="717"/>
      <c r="M15" s="717"/>
      <c r="N15" s="718"/>
      <c r="Q15" s="719" t="str">
        <f>IF(F15&lt;&gt;"",F15,"")</f>
        <v>INTERNOS</v>
      </c>
      <c r="R15" s="720"/>
      <c r="S15" s="720"/>
      <c r="T15" s="720"/>
      <c r="U15" s="720"/>
      <c r="V15" s="720"/>
      <c r="W15" s="720"/>
      <c r="X15" s="720"/>
      <c r="Y15" s="721"/>
      <c r="Z15" s="428"/>
      <c r="AB15" s="733"/>
      <c r="AC15" s="734"/>
      <c r="AD15" s="375"/>
    </row>
    <row r="16" spans="1:40" ht="30" customHeight="1" x14ac:dyDescent="0.4">
      <c r="A16" s="403">
        <v>2</v>
      </c>
      <c r="B16" s="426" t="s">
        <v>110</v>
      </c>
      <c r="C16" s="427" t="s">
        <v>109</v>
      </c>
      <c r="D16" s="403"/>
      <c r="E16" s="403"/>
      <c r="F16" s="722" t="s">
        <v>125</v>
      </c>
      <c r="G16" s="723"/>
      <c r="H16" s="723"/>
      <c r="I16" s="723"/>
      <c r="J16" s="723"/>
      <c r="K16" s="723"/>
      <c r="L16" s="429" t="s">
        <v>111</v>
      </c>
      <c r="M16" s="429" t="s">
        <v>112</v>
      </c>
      <c r="N16" s="430" t="s">
        <v>81</v>
      </c>
      <c r="Q16" s="722" t="str">
        <f>IF(F16&lt;&gt;"",F16,"")</f>
        <v>INTERNOS</v>
      </c>
      <c r="R16" s="723"/>
      <c r="S16" s="723"/>
      <c r="T16" s="723"/>
      <c r="U16" s="723"/>
      <c r="V16" s="723"/>
      <c r="W16" s="723"/>
      <c r="X16" s="723"/>
      <c r="Y16" s="724"/>
      <c r="Z16" s="431" t="s">
        <v>113</v>
      </c>
      <c r="AA16" s="432" t="s">
        <v>82</v>
      </c>
      <c r="AB16" s="735"/>
      <c r="AC16" s="736"/>
      <c r="AD16" s="375"/>
    </row>
    <row r="17" spans="1:36" ht="80.099999999999994" customHeight="1" x14ac:dyDescent="0.4">
      <c r="A17" s="403">
        <v>3</v>
      </c>
      <c r="B17" s="426" t="s">
        <v>115</v>
      </c>
      <c r="C17" s="427" t="s">
        <v>114</v>
      </c>
      <c r="D17" s="403" t="s">
        <v>120</v>
      </c>
      <c r="E17" s="403" t="s">
        <v>121</v>
      </c>
      <c r="F17" s="433" t="s">
        <v>319</v>
      </c>
      <c r="G17" s="434" t="s">
        <v>146</v>
      </c>
      <c r="H17" s="435">
        <v>1</v>
      </c>
      <c r="I17" s="435">
        <v>1</v>
      </c>
      <c r="J17" s="436">
        <v>5000</v>
      </c>
      <c r="K17" s="436">
        <f>IF(F17&lt;&gt;"",H17*I17*J17,"")</f>
        <v>5000</v>
      </c>
      <c r="L17" s="436">
        <f>IF(K17&lt;&gt;"",IF(D17="INTERNO",0,K17*$L$14),"")</f>
        <v>0</v>
      </c>
      <c r="M17" s="436">
        <f>IF(K17&lt;&gt;"",IF(E17="FAT.OGGI",SUM(K17:L17)*(1/(1-$M$14)-1),L17*(1/(1-$M$14)-1)),0)</f>
        <v>1213.4957126879585</v>
      </c>
      <c r="N17" s="437">
        <f>SUM(K17:M17)</f>
        <v>6213.4957126879581</v>
      </c>
      <c r="O17" s="378" t="s">
        <v>530</v>
      </c>
      <c r="Q17" s="438">
        <f t="shared" ref="Q17:R20" si="0">IF(H17&lt;&gt;"",H17,"")</f>
        <v>1</v>
      </c>
      <c r="R17" s="439">
        <f t="shared" si="0"/>
        <v>1</v>
      </c>
      <c r="S17" s="440">
        <v>800</v>
      </c>
      <c r="T17" s="440">
        <f>IF(Q17&lt;&gt;"",Q17*R17*S17,"")</f>
        <v>800</v>
      </c>
      <c r="U17" s="441">
        <f>IF(Q17&lt;&gt;"",K17-T17,"")</f>
        <v>4200</v>
      </c>
      <c r="V17" s="442">
        <f>IF(Q17&lt;&gt;"",0%,"")</f>
        <v>0</v>
      </c>
      <c r="W17" s="443">
        <f>IF(Q17&lt;&gt;"",V17*U17,"")</f>
        <v>0</v>
      </c>
      <c r="X17" s="443">
        <f>IF(Q17&lt;&gt;"",W17+T17,"")</f>
        <v>800</v>
      </c>
      <c r="Y17" s="444">
        <f t="shared" ref="Y17:Y22" si="1">IF(Q17&lt;&gt;"",X17+M17,"")</f>
        <v>2013.4957126879585</v>
      </c>
      <c r="Z17" s="428">
        <f>IF(Q17&lt;&gt;"", IFERROR(U17/K17, 0), 0)</f>
        <v>0.84</v>
      </c>
      <c r="AA17" s="445">
        <f>IFERROR(T17/$T$22, "")</f>
        <v>1</v>
      </c>
      <c r="AB17" s="376">
        <f>X17-AC17</f>
        <v>0</v>
      </c>
      <c r="AC17" s="377">
        <v>800</v>
      </c>
      <c r="AD17" s="375" t="s">
        <v>581</v>
      </c>
      <c r="AE17" s="446">
        <v>800</v>
      </c>
      <c r="AF17" s="447">
        <f>T17-AE17</f>
        <v>0</v>
      </c>
      <c r="AG17" s="448">
        <v>46119</v>
      </c>
      <c r="AI17" s="449" t="s">
        <v>522</v>
      </c>
      <c r="AJ17" s="450" t="s">
        <v>523</v>
      </c>
    </row>
    <row r="18" spans="1:36" ht="80.099999999999994" customHeight="1" x14ac:dyDescent="0.4">
      <c r="A18" s="403">
        <v>4</v>
      </c>
      <c r="B18" s="426" t="s">
        <v>104</v>
      </c>
      <c r="C18" s="427" t="s">
        <v>114</v>
      </c>
      <c r="D18" s="403" t="s">
        <v>120</v>
      </c>
      <c r="E18" s="403" t="s">
        <v>121</v>
      </c>
      <c r="F18" s="433" t="s">
        <v>152</v>
      </c>
      <c r="G18" s="434" t="s">
        <v>147</v>
      </c>
      <c r="H18" s="435">
        <v>1</v>
      </c>
      <c r="I18" s="435">
        <v>1</v>
      </c>
      <c r="J18" s="436">
        <v>6500</v>
      </c>
      <c r="K18" s="436">
        <f>IF(F18&lt;&gt;"",H18*I18*J18,"")</f>
        <v>6500</v>
      </c>
      <c r="L18" s="436">
        <f>IF(K18&lt;&gt;"",IF(D18="INTERNO",0,K18*$L$14),"")</f>
        <v>0</v>
      </c>
      <c r="M18" s="436">
        <f>IF(K18&lt;&gt;"",IF(E18="FAT.OGGI",SUM(K18:L18)*(1/(1-$M$14)-1),L18*(1/(1-$M$14)-1)),0)</f>
        <v>1577.5444264943462</v>
      </c>
      <c r="N18" s="437">
        <f>SUM(K18:M18)</f>
        <v>8077.5444264943462</v>
      </c>
      <c r="O18" s="378" t="s">
        <v>530</v>
      </c>
      <c r="Q18" s="438">
        <f t="shared" si="0"/>
        <v>1</v>
      </c>
      <c r="R18" s="439">
        <f t="shared" si="0"/>
        <v>1</v>
      </c>
      <c r="S18" s="440"/>
      <c r="T18" s="440">
        <f>IF(Q18&lt;&gt;"",Q18*R18*S18,"")</f>
        <v>0</v>
      </c>
      <c r="U18" s="441">
        <f>IF(Q18&lt;&gt;"",K18-T18,"")</f>
        <v>6500</v>
      </c>
      <c r="V18" s="442">
        <f>IF(Q18&lt;&gt;"",0%,"")</f>
        <v>0</v>
      </c>
      <c r="W18" s="443">
        <f>IF(Q18&lt;&gt;"",V18*U18,"")</f>
        <v>0</v>
      </c>
      <c r="X18" s="443">
        <f>IF(Q18&lt;&gt;"",W18+T18,"")</f>
        <v>0</v>
      </c>
      <c r="Y18" s="444">
        <f t="shared" si="1"/>
        <v>1577.5444264943462</v>
      </c>
      <c r="Z18" s="428">
        <f>IF(Q18&lt;&gt;"", IFERROR(U18/K18, 0), 0)</f>
        <v>1</v>
      </c>
      <c r="AA18" s="445">
        <f>IFERROR(T18/$T$22, "")</f>
        <v>0</v>
      </c>
      <c r="AB18" s="376">
        <f t="shared" ref="AB18:AB81" si="2">X18-AC18</f>
        <v>0</v>
      </c>
      <c r="AC18" s="377">
        <v>0</v>
      </c>
      <c r="AD18" s="375"/>
    </row>
    <row r="19" spans="1:36" ht="80.099999999999994" customHeight="1" x14ac:dyDescent="0.4">
      <c r="A19" s="403">
        <v>5</v>
      </c>
      <c r="B19" s="426" t="s">
        <v>116</v>
      </c>
      <c r="C19" s="427" t="s">
        <v>114</v>
      </c>
      <c r="D19" s="403" t="s">
        <v>120</v>
      </c>
      <c r="E19" s="403" t="s">
        <v>121</v>
      </c>
      <c r="F19" s="433" t="s">
        <v>148</v>
      </c>
      <c r="G19" s="434" t="s">
        <v>149</v>
      </c>
      <c r="H19" s="435">
        <v>1</v>
      </c>
      <c r="I19" s="435">
        <v>1</v>
      </c>
      <c r="J19" s="436">
        <v>7500</v>
      </c>
      <c r="K19" s="436">
        <f>IF(F19&lt;&gt;"",H19*I19*J19,"")</f>
        <v>7500</v>
      </c>
      <c r="L19" s="436">
        <f>IF(K19&lt;&gt;"",IF(D19="INTERNO",0,K19*$L$14),"")</f>
        <v>0</v>
      </c>
      <c r="M19" s="436">
        <f>IF(K19&lt;&gt;"",IF(E19="FAT.OGGI",SUM(K19:L19)*(1/(1-$M$14)-1),L19*(1/(1-$M$14)-1)),0)</f>
        <v>1820.243569031938</v>
      </c>
      <c r="N19" s="437">
        <f>SUM(K19:M19)</f>
        <v>9320.243569031938</v>
      </c>
      <c r="O19" s="378" t="s">
        <v>530</v>
      </c>
      <c r="Q19" s="438">
        <f t="shared" si="0"/>
        <v>1</v>
      </c>
      <c r="R19" s="439">
        <f t="shared" si="0"/>
        <v>1</v>
      </c>
      <c r="S19" s="440"/>
      <c r="T19" s="440">
        <f>IF(Q19&lt;&gt;"",Q19*R19*S19,"")</f>
        <v>0</v>
      </c>
      <c r="U19" s="441">
        <f>IF(Q19&lt;&gt;"",K19-T19,"")</f>
        <v>7500</v>
      </c>
      <c r="V19" s="442">
        <f>IF(Q19&lt;&gt;"",0%,"")</f>
        <v>0</v>
      </c>
      <c r="W19" s="443">
        <f>IF(Q19&lt;&gt;"",V19*U19,"")</f>
        <v>0</v>
      </c>
      <c r="X19" s="443">
        <f>IF(Q19&lt;&gt;"",W19+T19,"")</f>
        <v>0</v>
      </c>
      <c r="Y19" s="444">
        <f t="shared" si="1"/>
        <v>1820.243569031938</v>
      </c>
      <c r="Z19" s="428">
        <f>IF(Q19&lt;&gt;"", IFERROR(U19/K19, 0), 0)</f>
        <v>1</v>
      </c>
      <c r="AA19" s="445">
        <f>IFERROR(T19/$T$22, "")</f>
        <v>0</v>
      </c>
      <c r="AB19" s="376">
        <f t="shared" si="2"/>
        <v>0</v>
      </c>
      <c r="AC19" s="377">
        <v>0</v>
      </c>
    </row>
    <row r="20" spans="1:36" ht="80.099999999999994" customHeight="1" x14ac:dyDescent="0.4">
      <c r="A20" s="403">
        <v>6</v>
      </c>
      <c r="B20" s="426" t="s">
        <v>117</v>
      </c>
      <c r="C20" s="427" t="s">
        <v>114</v>
      </c>
      <c r="D20" s="403" t="s">
        <v>120</v>
      </c>
      <c r="E20" s="403" t="s">
        <v>121</v>
      </c>
      <c r="F20" s="433" t="s">
        <v>119</v>
      </c>
      <c r="G20" s="434" t="s">
        <v>320</v>
      </c>
      <c r="H20" s="435">
        <v>1</v>
      </c>
      <c r="I20" s="435">
        <v>1</v>
      </c>
      <c r="J20" s="436">
        <v>4000</v>
      </c>
      <c r="K20" s="436">
        <f>IF(F20&lt;&gt;"",H20*I20*J20,"")</f>
        <v>4000</v>
      </c>
      <c r="L20" s="436">
        <f>IF(K20&lt;&gt;"",IF(D20="INTERNO",0,K20*$L$14),"")</f>
        <v>0</v>
      </c>
      <c r="M20" s="436">
        <f>IF(K20&lt;&gt;"",IF(E20="FAT.OGGI",SUM(K20:L20)*(1/(1-$M$14)-1),L20*(1/(1-$M$14)-1)),0)</f>
        <v>970.79657015036696</v>
      </c>
      <c r="N20" s="437">
        <f>SUM(K20:M20)</f>
        <v>4970.7965701503672</v>
      </c>
      <c r="O20" s="378" t="s">
        <v>530</v>
      </c>
      <c r="Q20" s="438">
        <f t="shared" si="0"/>
        <v>1</v>
      </c>
      <c r="R20" s="439">
        <f t="shared" si="0"/>
        <v>1</v>
      </c>
      <c r="S20" s="440">
        <v>0</v>
      </c>
      <c r="T20" s="440">
        <f>IF(Q20&lt;&gt;"",Q20*R20*S20,"")</f>
        <v>0</v>
      </c>
      <c r="U20" s="441">
        <f>IF(Q20&lt;&gt;"",K20-T20,"")</f>
        <v>4000</v>
      </c>
      <c r="V20" s="442">
        <f>IF(Q20&lt;&gt;"",0%,"")</f>
        <v>0</v>
      </c>
      <c r="W20" s="443">
        <f>IF(Q20&lt;&gt;"",V20*U20,"")</f>
        <v>0</v>
      </c>
      <c r="X20" s="443">
        <f>IF(Q20&lt;&gt;"",W20+T20,"")</f>
        <v>0</v>
      </c>
      <c r="Y20" s="444">
        <f t="shared" si="1"/>
        <v>970.79657015036696</v>
      </c>
      <c r="Z20" s="428">
        <f>IF(Q20&lt;&gt;"", IFERROR(U20/K20, 0), 0)</f>
        <v>1</v>
      </c>
      <c r="AA20" s="445">
        <f>IFERROR(T20/$T$22, "")</f>
        <v>0</v>
      </c>
      <c r="AB20" s="376">
        <f t="shared" si="2"/>
        <v>0</v>
      </c>
      <c r="AC20" s="377">
        <v>0</v>
      </c>
    </row>
    <row r="21" spans="1:36" ht="80.099999999999994" customHeight="1" x14ac:dyDescent="0.4">
      <c r="A21" s="403">
        <v>7</v>
      </c>
      <c r="B21" s="426" t="s">
        <v>145</v>
      </c>
      <c r="C21" s="427" t="s">
        <v>114</v>
      </c>
      <c r="D21" s="403" t="s">
        <v>120</v>
      </c>
      <c r="E21" s="403" t="s">
        <v>121</v>
      </c>
      <c r="F21" s="433" t="s">
        <v>150</v>
      </c>
      <c r="G21" s="434" t="s">
        <v>151</v>
      </c>
      <c r="H21" s="435">
        <v>1</v>
      </c>
      <c r="I21" s="435">
        <v>1</v>
      </c>
      <c r="J21" s="436">
        <v>2500</v>
      </c>
      <c r="K21" s="436">
        <f>IF(F21&lt;&gt;"",H21*I21*J21,"")</f>
        <v>2500</v>
      </c>
      <c r="L21" s="436">
        <f>IF(K21&lt;&gt;"",IF(D21="INTERNO",0,K21*$L$14),"")</f>
        <v>0</v>
      </c>
      <c r="M21" s="436">
        <f>IF(K21&lt;&gt;"",IF(E21="FAT.OGGI",SUM(K21:L21)*(1/(1-$M$14)-1),L21*(1/(1-$M$14)-1)),0)</f>
        <v>606.74785634397927</v>
      </c>
      <c r="N21" s="437">
        <f>SUM(K21:M21)</f>
        <v>3106.747856343979</v>
      </c>
      <c r="O21" s="378" t="s">
        <v>530</v>
      </c>
      <c r="Q21" s="438">
        <f>IF(H21&lt;&gt;"",H21,"")</f>
        <v>1</v>
      </c>
      <c r="R21" s="439">
        <f>IF(I21&lt;&gt;"",I21,"")</f>
        <v>1</v>
      </c>
      <c r="S21" s="440"/>
      <c r="T21" s="440">
        <f>IF(Q21&lt;&gt;"",Q21*R21*S21,"")</f>
        <v>0</v>
      </c>
      <c r="U21" s="441">
        <f>IF(Q21&lt;&gt;"",K21-T21,"")</f>
        <v>2500</v>
      </c>
      <c r="V21" s="442">
        <f>IF(Q21&lt;&gt;"",0%,"")</f>
        <v>0</v>
      </c>
      <c r="W21" s="443">
        <f>IF(Q21&lt;&gt;"",V21*U21,"")</f>
        <v>0</v>
      </c>
      <c r="X21" s="443">
        <f>IF(Q21&lt;&gt;"",W21+T21,"")</f>
        <v>0</v>
      </c>
      <c r="Y21" s="444">
        <f t="shared" si="1"/>
        <v>606.74785634397927</v>
      </c>
      <c r="Z21" s="428">
        <f>IF(Q21&lt;&gt;"", IFERROR(U21/K21, 0), 0)</f>
        <v>1</v>
      </c>
      <c r="AA21" s="445">
        <f>IFERROR(T21/$T$22, "")</f>
        <v>0</v>
      </c>
      <c r="AB21" s="376">
        <f t="shared" si="2"/>
        <v>0</v>
      </c>
      <c r="AC21" s="377">
        <v>0</v>
      </c>
    </row>
    <row r="22" spans="1:36" ht="30" customHeight="1" thickBot="1" x14ac:dyDescent="0.45">
      <c r="A22" s="451">
        <v>8</v>
      </c>
      <c r="B22" s="426"/>
      <c r="C22" s="452" t="s">
        <v>122</v>
      </c>
      <c r="D22" s="451"/>
      <c r="E22" s="451"/>
      <c r="F22" s="705" t="s">
        <v>200</v>
      </c>
      <c r="G22" s="706"/>
      <c r="H22" s="706"/>
      <c r="I22" s="706"/>
      <c r="J22" s="706"/>
      <c r="K22" s="453">
        <f>SUM(K17:K21)</f>
        <v>25500</v>
      </c>
      <c r="L22" s="453">
        <f>SUM(L17:L21)</f>
        <v>0</v>
      </c>
      <c r="M22" s="453">
        <f>SUM(M17:M21)</f>
        <v>6188.8281347085895</v>
      </c>
      <c r="N22" s="454">
        <f>SUM(N17:N21)</f>
        <v>31688.82813470859</v>
      </c>
      <c r="Q22" s="707" t="s">
        <v>200</v>
      </c>
      <c r="R22" s="708"/>
      <c r="S22" s="708"/>
      <c r="T22" s="455">
        <f>SUM(T17:T21)</f>
        <v>800</v>
      </c>
      <c r="U22" s="456">
        <f>SUM(U17:U21)</f>
        <v>24700</v>
      </c>
      <c r="V22" s="457"/>
      <c r="W22" s="458"/>
      <c r="X22" s="459">
        <f>SUM(X17:X21)</f>
        <v>800</v>
      </c>
      <c r="Y22" s="460">
        <f t="shared" si="1"/>
        <v>6988.8281347085895</v>
      </c>
      <c r="Z22" s="428"/>
      <c r="AA22" s="461"/>
      <c r="AB22" s="376"/>
      <c r="AC22" s="377"/>
    </row>
    <row r="23" spans="1:36" ht="30" customHeight="1" thickBot="1" x14ac:dyDescent="0.45">
      <c r="A23" s="403">
        <v>9</v>
      </c>
      <c r="B23" s="426">
        <v>2</v>
      </c>
      <c r="C23" s="427" t="s">
        <v>108</v>
      </c>
      <c r="D23" s="403"/>
      <c r="E23" s="403"/>
      <c r="F23" s="716" t="s">
        <v>155</v>
      </c>
      <c r="G23" s="717"/>
      <c r="H23" s="717"/>
      <c r="I23" s="717"/>
      <c r="J23" s="717"/>
      <c r="K23" s="717"/>
      <c r="L23" s="717"/>
      <c r="M23" s="717"/>
      <c r="N23" s="718"/>
      <c r="Q23" s="719" t="str">
        <f>IF(F23&lt;&gt;"",F23,"")</f>
        <v>LOCAÇÃO DE ESPAÇO E A&amp;B</v>
      </c>
      <c r="R23" s="720"/>
      <c r="S23" s="720"/>
      <c r="T23" s="720"/>
      <c r="U23" s="720"/>
      <c r="V23" s="720"/>
      <c r="W23" s="720"/>
      <c r="X23" s="720"/>
      <c r="Y23" s="721"/>
      <c r="Z23" s="428"/>
      <c r="AB23" s="376"/>
      <c r="AC23" s="377"/>
    </row>
    <row r="24" spans="1:36" ht="30" customHeight="1" thickBot="1" x14ac:dyDescent="0.45">
      <c r="A24" s="403">
        <v>10</v>
      </c>
      <c r="B24" s="426" t="s">
        <v>124</v>
      </c>
      <c r="C24" s="427" t="s">
        <v>109</v>
      </c>
      <c r="D24" s="403"/>
      <c r="E24" s="403"/>
      <c r="F24" s="737" t="s">
        <v>156</v>
      </c>
      <c r="G24" s="738"/>
      <c r="H24" s="738"/>
      <c r="I24" s="738"/>
      <c r="J24" s="738"/>
      <c r="K24" s="738"/>
      <c r="L24" s="462" t="s">
        <v>111</v>
      </c>
      <c r="M24" s="462" t="s">
        <v>112</v>
      </c>
      <c r="N24" s="463" t="s">
        <v>81</v>
      </c>
      <c r="Q24" s="739" t="str">
        <f>IF(F24&lt;&gt;"",F24,"")</f>
        <v>SÃO PAULO</v>
      </c>
      <c r="R24" s="740"/>
      <c r="S24" s="740"/>
      <c r="T24" s="740"/>
      <c r="U24" s="740"/>
      <c r="V24" s="740"/>
      <c r="W24" s="740"/>
      <c r="X24" s="740"/>
      <c r="Y24" s="741"/>
      <c r="Z24" s="464" t="s">
        <v>113</v>
      </c>
      <c r="AA24" s="432" t="s">
        <v>82</v>
      </c>
      <c r="AB24" s="376"/>
      <c r="AC24" s="377"/>
    </row>
    <row r="25" spans="1:36" ht="80.099999999999994" customHeight="1" x14ac:dyDescent="0.4">
      <c r="A25" s="403">
        <v>11</v>
      </c>
      <c r="B25" s="426" t="s">
        <v>127</v>
      </c>
      <c r="C25" s="427" t="s">
        <v>114</v>
      </c>
      <c r="D25" s="403" t="s">
        <v>129</v>
      </c>
      <c r="E25" s="403" t="s">
        <v>130</v>
      </c>
      <c r="F25" s="465" t="s">
        <v>357</v>
      </c>
      <c r="G25" s="465" t="s">
        <v>358</v>
      </c>
      <c r="H25" s="466">
        <v>1</v>
      </c>
      <c r="I25" s="466">
        <v>1</v>
      </c>
      <c r="J25" s="467">
        <v>8000</v>
      </c>
      <c r="K25" s="467">
        <f>IF(F25&lt;&gt;"",H25*I25*J25,"")</f>
        <v>8000</v>
      </c>
      <c r="L25" s="467">
        <f>IF(K25&lt;&gt;"",IF(D25="INTERNO",0,K25*$L$14),"")</f>
        <v>720</v>
      </c>
      <c r="M25" s="467">
        <f>IF(K25&lt;&gt;"",IF(E25="FAT.OGGI",SUM(K25:L25)*(1/(1-$M$14)-1),L25*(1/(1-$M$14)-1)),"")</f>
        <v>174.74338262706604</v>
      </c>
      <c r="N25" s="467">
        <f>SUM(K25:M25)</f>
        <v>8894.7433826270662</v>
      </c>
      <c r="O25" s="468">
        <v>24634</v>
      </c>
      <c r="Q25" s="469">
        <v>1</v>
      </c>
      <c r="R25" s="469">
        <v>1</v>
      </c>
      <c r="S25" s="470">
        <v>24634</v>
      </c>
      <c r="T25" s="470">
        <f>IF(Q25&lt;&gt;"",Q25*R25*S25,"")</f>
        <v>24634</v>
      </c>
      <c r="U25" s="471">
        <f>IF(Q25&lt;&gt;"",K25-T25,"")</f>
        <v>-16634</v>
      </c>
      <c r="V25" s="472">
        <f>IF(Q25&lt;&gt;"",0%,"")</f>
        <v>0</v>
      </c>
      <c r="W25" s="473">
        <f>IF(Q25&lt;&gt;"",V25*U25,"")</f>
        <v>0</v>
      </c>
      <c r="X25" s="473">
        <f>IF(Q25&lt;&gt;"",W25+T25,"")</f>
        <v>24634</v>
      </c>
      <c r="Y25" s="458">
        <f>IF(Q25&lt;&gt;"",X25+M25,"")</f>
        <v>24808.743382627064</v>
      </c>
      <c r="Z25" s="445">
        <f>IF(Q25&lt;&gt;"",U25/K25,"")</f>
        <v>-2.07925</v>
      </c>
      <c r="AA25" s="461"/>
      <c r="AB25" s="376">
        <f t="shared" si="2"/>
        <v>0</v>
      </c>
      <c r="AC25" s="377">
        <f>24634</f>
        <v>24634</v>
      </c>
      <c r="AD25" s="375" t="s">
        <v>582</v>
      </c>
      <c r="AE25" s="446">
        <v>24634</v>
      </c>
      <c r="AF25" s="447">
        <f>T25-AE25</f>
        <v>0</v>
      </c>
      <c r="AG25" s="448">
        <v>46106</v>
      </c>
      <c r="AI25" s="449" t="s">
        <v>440</v>
      </c>
      <c r="AJ25" s="450" t="s">
        <v>441</v>
      </c>
    </row>
    <row r="26" spans="1:36" ht="80.099999999999994" customHeight="1" x14ac:dyDescent="0.4">
      <c r="A26" s="403">
        <v>12</v>
      </c>
      <c r="B26" s="426" t="s">
        <v>128</v>
      </c>
      <c r="C26" s="427" t="s">
        <v>114</v>
      </c>
      <c r="D26" s="403" t="s">
        <v>129</v>
      </c>
      <c r="E26" s="403" t="s">
        <v>130</v>
      </c>
      <c r="F26" s="474" t="s">
        <v>220</v>
      </c>
      <c r="G26" s="474" t="s">
        <v>362</v>
      </c>
      <c r="H26" s="475">
        <v>45</v>
      </c>
      <c r="I26" s="475">
        <v>1</v>
      </c>
      <c r="J26" s="476">
        <v>330</v>
      </c>
      <c r="K26" s="476">
        <f>IF(F26&lt;&gt;"",H26*I26*J26,"")</f>
        <v>14850</v>
      </c>
      <c r="L26" s="476">
        <f>IF(K26&lt;&gt;"",IF(D26="INTERNO",0,K26*$L$14),"")</f>
        <v>1336.5</v>
      </c>
      <c r="M26" s="476">
        <f>IF(K26&lt;&gt;"",IF(E26="FAT.OGGI",SUM(K26:L26)*(1/(1-$M$14)-1),L26*(1/(1-$M$14)-1)),"")</f>
        <v>324.36740400149137</v>
      </c>
      <c r="N26" s="476">
        <f>SUM(K26:M26)</f>
        <v>16510.867404001492</v>
      </c>
      <c r="O26" s="468">
        <v>24634</v>
      </c>
      <c r="Q26" s="469">
        <f t="shared" ref="Q26:R28" si="3">IF(H26&lt;&gt;"",H26,"")</f>
        <v>45</v>
      </c>
      <c r="R26" s="469">
        <f t="shared" si="3"/>
        <v>1</v>
      </c>
      <c r="S26" s="470">
        <v>0</v>
      </c>
      <c r="T26" s="470">
        <f>IF(Q26&lt;&gt;"",Q26*R26*S26,"")</f>
        <v>0</v>
      </c>
      <c r="U26" s="471">
        <f>IF(Q26&lt;&gt;"",K26-T26,"")</f>
        <v>14850</v>
      </c>
      <c r="V26" s="472">
        <f>IF(Q26&lt;&gt;"",0%,"")</f>
        <v>0</v>
      </c>
      <c r="W26" s="473">
        <f>IF(Q26&lt;&gt;"",V26*U26,"")</f>
        <v>0</v>
      </c>
      <c r="X26" s="473">
        <f>IF(Q26&lt;&gt;"",W26+T26,"")</f>
        <v>0</v>
      </c>
      <c r="Y26" s="458">
        <f>IF(Q26&lt;&gt;"",X26+M26,"")</f>
        <v>324.36740400149137</v>
      </c>
      <c r="Z26" s="445">
        <f>IF(Q26&lt;&gt;"",U26/K26,"")</f>
        <v>1</v>
      </c>
      <c r="AA26" s="461"/>
      <c r="AB26" s="376">
        <f t="shared" si="2"/>
        <v>0</v>
      </c>
      <c r="AC26" s="377">
        <v>0</v>
      </c>
    </row>
    <row r="27" spans="1:36" ht="80.099999999999994" customHeight="1" x14ac:dyDescent="0.4">
      <c r="A27" s="403">
        <v>13</v>
      </c>
      <c r="B27" s="426" t="s">
        <v>153</v>
      </c>
      <c r="C27" s="427" t="s">
        <v>114</v>
      </c>
      <c r="D27" s="403" t="s">
        <v>129</v>
      </c>
      <c r="E27" s="403" t="s">
        <v>130</v>
      </c>
      <c r="F27" s="474" t="s">
        <v>360</v>
      </c>
      <c r="G27" s="474" t="s">
        <v>361</v>
      </c>
      <c r="H27" s="475">
        <v>45</v>
      </c>
      <c r="I27" s="475">
        <v>1</v>
      </c>
      <c r="J27" s="476">
        <v>115</v>
      </c>
      <c r="K27" s="476">
        <f>IF(F27&lt;&gt;"",H27*I27*J27,"")</f>
        <v>5175</v>
      </c>
      <c r="L27" s="476">
        <f>IF(K27&lt;&gt;"",IF(D27="INTERNO",0,K27*$L$14),"")</f>
        <v>465.75</v>
      </c>
      <c r="M27" s="476">
        <f>IF(K27&lt;&gt;"",IF(E27="FAT.OGGI",SUM(K27:L27)*(1/(1-$M$14)-1),L27*(1/(1-$M$14)-1)),"")</f>
        <v>113.03712563688335</v>
      </c>
      <c r="N27" s="476">
        <f>SUM(K27:M27)</f>
        <v>5753.7871256368835</v>
      </c>
      <c r="O27" s="468">
        <v>24634</v>
      </c>
      <c r="Q27" s="469">
        <f t="shared" si="3"/>
        <v>45</v>
      </c>
      <c r="R27" s="469">
        <f t="shared" si="3"/>
        <v>1</v>
      </c>
      <c r="S27" s="470">
        <v>0</v>
      </c>
      <c r="T27" s="470">
        <f>IF(Q27&lt;&gt;"",Q27*R27*S27,"")</f>
        <v>0</v>
      </c>
      <c r="U27" s="471">
        <f>IF(Q27&lt;&gt;"",K27-T27,"")</f>
        <v>5175</v>
      </c>
      <c r="V27" s="472">
        <f>IF(Q27&lt;&gt;"",0%,"")</f>
        <v>0</v>
      </c>
      <c r="W27" s="473">
        <f>IF(Q27&lt;&gt;"",V27*U27,"")</f>
        <v>0</v>
      </c>
      <c r="X27" s="473">
        <f>IF(Q27&lt;&gt;"",W27+T27,"")</f>
        <v>0</v>
      </c>
      <c r="Y27" s="458">
        <f>IF(Q27&lt;&gt;"",X27+M27,"")</f>
        <v>113.03712563688335</v>
      </c>
      <c r="Z27" s="445">
        <f>IF(Q27&lt;&gt;"",U27/K27,"")</f>
        <v>1</v>
      </c>
      <c r="AA27" s="461"/>
      <c r="AB27" s="376">
        <f t="shared" si="2"/>
        <v>0</v>
      </c>
      <c r="AC27" s="377">
        <v>0</v>
      </c>
    </row>
    <row r="28" spans="1:36" ht="80.099999999999994" customHeight="1" x14ac:dyDescent="0.4">
      <c r="A28" s="451">
        <v>14</v>
      </c>
      <c r="B28" s="426" t="s">
        <v>154</v>
      </c>
      <c r="C28" s="452" t="s">
        <v>114</v>
      </c>
      <c r="D28" s="403" t="s">
        <v>129</v>
      </c>
      <c r="E28" s="403" t="s">
        <v>130</v>
      </c>
      <c r="F28" s="477" t="s">
        <v>365</v>
      </c>
      <c r="G28" s="477" t="s">
        <v>365</v>
      </c>
      <c r="H28" s="435">
        <v>45</v>
      </c>
      <c r="I28" s="435">
        <v>1</v>
      </c>
      <c r="J28" s="436">
        <v>90</v>
      </c>
      <c r="K28" s="436">
        <f>IF(F28&lt;&gt;"",H28*I28*J28,"")</f>
        <v>4050</v>
      </c>
      <c r="L28" s="436">
        <f>IF(K28&lt;&gt;"",IF(D28="INTERNO",0,K28*$L$14),"")</f>
        <v>364.5</v>
      </c>
      <c r="M28" s="436">
        <f>IF(K28&lt;&gt;"",IF(E28="FAT.OGGI",SUM(K28:L28)*(1/(1-$M$14)-1),L28*(1/(1-$M$14)-1)),"")</f>
        <v>88.463837454952184</v>
      </c>
      <c r="N28" s="436">
        <f>SUM(K28:M28)</f>
        <v>4502.9638374549522</v>
      </c>
      <c r="O28" s="478">
        <v>1710</v>
      </c>
      <c r="Q28" s="479">
        <f t="shared" si="3"/>
        <v>45</v>
      </c>
      <c r="R28" s="479">
        <f t="shared" si="3"/>
        <v>1</v>
      </c>
      <c r="S28" s="480">
        <v>70</v>
      </c>
      <c r="T28" s="480">
        <v>1710</v>
      </c>
      <c r="U28" s="481">
        <f>IF(Q28&lt;&gt;"",K28-T28,"")</f>
        <v>2340</v>
      </c>
      <c r="V28" s="482">
        <f>IF(Q28&lt;&gt;"",0%,"")</f>
        <v>0</v>
      </c>
      <c r="W28" s="483">
        <f>IF(Q28&lt;&gt;"",V28*U28,"")</f>
        <v>0</v>
      </c>
      <c r="X28" s="483">
        <f>IF(Q28&lt;&gt;"",W28+T28,"")</f>
        <v>1710</v>
      </c>
      <c r="Y28" s="443">
        <f>IF(Q28&lt;&gt;"",X28+M28,"")</f>
        <v>1798.4638374549522</v>
      </c>
      <c r="Z28" s="445">
        <f>IF(Q28&lt;&gt;"",U28/K28,"")</f>
        <v>0.57777777777777772</v>
      </c>
      <c r="AA28" s="461"/>
      <c r="AB28" s="376">
        <f t="shared" si="2"/>
        <v>0</v>
      </c>
      <c r="AC28" s="377">
        <v>1710</v>
      </c>
      <c r="AD28" s="375" t="s">
        <v>583</v>
      </c>
      <c r="AE28" s="446">
        <v>1710</v>
      </c>
      <c r="AF28" s="447">
        <f>T28-AE28</f>
        <v>0</v>
      </c>
      <c r="AG28" s="448">
        <v>46128</v>
      </c>
      <c r="AI28" s="449" t="s">
        <v>538</v>
      </c>
      <c r="AJ28" s="450" t="s">
        <v>539</v>
      </c>
    </row>
    <row r="29" spans="1:36" ht="30" customHeight="1" thickBot="1" x14ac:dyDescent="0.45">
      <c r="A29" s="484">
        <v>15</v>
      </c>
      <c r="B29" s="426"/>
      <c r="C29" s="485" t="s">
        <v>122</v>
      </c>
      <c r="D29" s="484"/>
      <c r="E29" s="484"/>
      <c r="F29" s="737" t="s">
        <v>242</v>
      </c>
      <c r="G29" s="738"/>
      <c r="H29" s="738"/>
      <c r="I29" s="738"/>
      <c r="J29" s="738"/>
      <c r="K29" s="486">
        <f>SUM(K25:K28)</f>
        <v>32075</v>
      </c>
      <c r="L29" s="486">
        <f>SUM(L25:L28)</f>
        <v>2886.75</v>
      </c>
      <c r="M29" s="486">
        <f>SUM(M25:M28)</f>
        <v>700.61174972039305</v>
      </c>
      <c r="N29" s="487">
        <f>SUM(N25:N28)</f>
        <v>35662.361749720396</v>
      </c>
      <c r="Q29" s="742" t="s">
        <v>131</v>
      </c>
      <c r="R29" s="743"/>
      <c r="S29" s="743"/>
      <c r="T29" s="488">
        <f>SUM(T25:T28)</f>
        <v>26344</v>
      </c>
      <c r="U29" s="489">
        <f>SUM(U25:U28)</f>
        <v>5731</v>
      </c>
      <c r="V29" s="490"/>
      <c r="W29" s="491"/>
      <c r="X29" s="492">
        <f>SUM(X25:X28)</f>
        <v>26344</v>
      </c>
      <c r="Y29" s="493">
        <f t="shared" ref="Y29" si="4">IF(Q29&lt;&gt;"",X29+M29,"")</f>
        <v>27044.611749720392</v>
      </c>
      <c r="Z29" s="428"/>
      <c r="AB29" s="376"/>
      <c r="AC29" s="377"/>
    </row>
    <row r="30" spans="1:36" ht="30" customHeight="1" thickBot="1" x14ac:dyDescent="0.45">
      <c r="A30" s="451">
        <v>16</v>
      </c>
      <c r="B30" s="426">
        <v>3</v>
      </c>
      <c r="C30" s="452" t="s">
        <v>108</v>
      </c>
      <c r="D30" s="451"/>
      <c r="E30" s="451"/>
      <c r="F30" s="716" t="s">
        <v>228</v>
      </c>
      <c r="G30" s="717"/>
      <c r="H30" s="717"/>
      <c r="I30" s="717"/>
      <c r="J30" s="717"/>
      <c r="K30" s="717"/>
      <c r="L30" s="717"/>
      <c r="M30" s="717"/>
      <c r="N30" s="718"/>
      <c r="Q30" s="719" t="str">
        <f>IF(F30&lt;&gt;"",F30,"")</f>
        <v>ATRAÇÕES</v>
      </c>
      <c r="R30" s="720"/>
      <c r="S30" s="720"/>
      <c r="T30" s="720"/>
      <c r="U30" s="720"/>
      <c r="V30" s="720"/>
      <c r="W30" s="720"/>
      <c r="X30" s="720"/>
      <c r="Y30" s="721"/>
      <c r="Z30" s="428"/>
      <c r="AB30" s="376"/>
      <c r="AC30" s="377"/>
    </row>
    <row r="31" spans="1:36" ht="30" customHeight="1" x14ac:dyDescent="0.4">
      <c r="A31" s="484">
        <v>17</v>
      </c>
      <c r="B31" s="426" t="s">
        <v>132</v>
      </c>
      <c r="C31" s="485" t="s">
        <v>109</v>
      </c>
      <c r="D31" s="484"/>
      <c r="E31" s="484"/>
      <c r="F31" s="722" t="s">
        <v>228</v>
      </c>
      <c r="G31" s="723"/>
      <c r="H31" s="723"/>
      <c r="I31" s="723"/>
      <c r="J31" s="723"/>
      <c r="K31" s="723"/>
      <c r="L31" s="494" t="s">
        <v>111</v>
      </c>
      <c r="M31" s="494" t="s">
        <v>112</v>
      </c>
      <c r="N31" s="495" t="s">
        <v>81</v>
      </c>
      <c r="Q31" s="739" t="str">
        <f>IF(F31&lt;&gt;"",F31,"")</f>
        <v>ATRAÇÕES</v>
      </c>
      <c r="R31" s="740"/>
      <c r="S31" s="740"/>
      <c r="T31" s="740"/>
      <c r="U31" s="740"/>
      <c r="V31" s="740"/>
      <c r="W31" s="740"/>
      <c r="X31" s="740"/>
      <c r="Y31" s="741"/>
      <c r="Z31" s="464" t="s">
        <v>113</v>
      </c>
      <c r="AA31" s="432" t="s">
        <v>82</v>
      </c>
      <c r="AB31" s="376"/>
      <c r="AC31" s="377"/>
    </row>
    <row r="32" spans="1:36" ht="80.099999999999994" customHeight="1" x14ac:dyDescent="0.4">
      <c r="A32" s="403">
        <v>18</v>
      </c>
      <c r="B32" s="426" t="s">
        <v>133</v>
      </c>
      <c r="C32" s="427" t="s">
        <v>114</v>
      </c>
      <c r="D32" s="403" t="s">
        <v>129</v>
      </c>
      <c r="E32" s="403" t="s">
        <v>130</v>
      </c>
      <c r="F32" s="496" t="s">
        <v>229</v>
      </c>
      <c r="G32" s="497" t="s">
        <v>332</v>
      </c>
      <c r="H32" s="498">
        <v>1</v>
      </c>
      <c r="I32" s="498">
        <v>1</v>
      </c>
      <c r="J32" s="499">
        <v>45000</v>
      </c>
      <c r="K32" s="499">
        <f>IF(F32&lt;&gt;"",H32*I32*J32,"")</f>
        <v>45000</v>
      </c>
      <c r="L32" s="499">
        <f>IF(K32&lt;&gt;"",IF(D32="INTERNO",0,K32*$L$14),"")</f>
        <v>4050</v>
      </c>
      <c r="M32" s="499">
        <f>IF(K32&lt;&gt;"",IF(E32="FAT.OGGI",SUM(K32:L32)*(1/(1-$M$14)-1),L32*(1/(1-$M$14)-1)),0)</f>
        <v>982.93152727724646</v>
      </c>
      <c r="N32" s="437">
        <f>SUM(K32:M32)</f>
        <v>50032.931527277244</v>
      </c>
      <c r="O32" s="478" t="s">
        <v>531</v>
      </c>
      <c r="Q32" s="438">
        <f t="shared" ref="Q32:R34" si="5">IF(H32&lt;&gt;"",H32,"")</f>
        <v>1</v>
      </c>
      <c r="R32" s="439">
        <f t="shared" si="5"/>
        <v>1</v>
      </c>
      <c r="S32" s="440">
        <v>40410</v>
      </c>
      <c r="T32" s="440">
        <f>IF(Q32&lt;&gt;"",Q32*R32*S32,"")</f>
        <v>40410</v>
      </c>
      <c r="U32" s="441">
        <f>IF(Q32&lt;&gt;"",K32-T32,"")</f>
        <v>4590</v>
      </c>
      <c r="V32" s="442">
        <f>IF(Q32&lt;&gt;"",0%,"")</f>
        <v>0</v>
      </c>
      <c r="W32" s="443">
        <f>IF(Q32&lt;&gt;"",V32*U32,"")</f>
        <v>0</v>
      </c>
      <c r="X32" s="443">
        <f>IF(Q32&lt;&gt;"",W32+T32,"")</f>
        <v>40410</v>
      </c>
      <c r="Y32" s="444">
        <f t="shared" ref="Y32:Y35" si="6">IF(Q32&lt;&gt;"",X32+M32,"")</f>
        <v>41392.931527277244</v>
      </c>
      <c r="Z32" s="428">
        <f>IF(Q32&lt;&gt;"", IFERROR(U32/K32, 0), 0)</f>
        <v>0.10199999999999999</v>
      </c>
      <c r="AA32" s="445">
        <f>IFERROR(T32/$T$35, "")</f>
        <v>0.98777804937668057</v>
      </c>
      <c r="AB32" s="376">
        <f t="shared" si="2"/>
        <v>0</v>
      </c>
      <c r="AC32" s="377">
        <f>810+19800+19800</f>
        <v>40410</v>
      </c>
      <c r="AD32" s="375" t="s">
        <v>584</v>
      </c>
      <c r="AE32" s="446">
        <v>39600</v>
      </c>
      <c r="AF32" s="447">
        <f>T32-AE32</f>
        <v>810</v>
      </c>
      <c r="AG32" s="448">
        <v>46090</v>
      </c>
      <c r="AI32" s="449" t="s">
        <v>392</v>
      </c>
      <c r="AJ32" s="450" t="s">
        <v>393</v>
      </c>
    </row>
    <row r="33" spans="1:36" ht="80.099999999999994" customHeight="1" x14ac:dyDescent="0.4">
      <c r="A33" s="403">
        <v>19</v>
      </c>
      <c r="B33" s="426" t="s">
        <v>134</v>
      </c>
      <c r="C33" s="427" t="s">
        <v>114</v>
      </c>
      <c r="D33" s="403" t="s">
        <v>129</v>
      </c>
      <c r="E33" s="403" t="s">
        <v>130</v>
      </c>
      <c r="F33" s="496" t="s">
        <v>231</v>
      </c>
      <c r="G33" s="497" t="s">
        <v>396</v>
      </c>
      <c r="H33" s="498">
        <v>1</v>
      </c>
      <c r="I33" s="498">
        <v>1</v>
      </c>
      <c r="J33" s="499">
        <v>2000</v>
      </c>
      <c r="K33" s="499">
        <f>IF(F33&lt;&gt;"",H33*I33*J33,"")</f>
        <v>2000</v>
      </c>
      <c r="L33" s="499">
        <f>IF(K33&lt;&gt;"",IF(D33="INTERNO",0,K33*$L$14),"")</f>
        <v>180</v>
      </c>
      <c r="M33" s="499">
        <f>IF(K33&lt;&gt;"",IF(E33="FAT.OGGI",SUM(K33:L33)*(1/(1-$M$14)-1),L33*(1/(1-$M$14)-1)),0)</f>
        <v>43.68584565676651</v>
      </c>
      <c r="N33" s="437">
        <f>SUM(K33:M33)</f>
        <v>2223.6858456567666</v>
      </c>
      <c r="O33" s="378" t="s">
        <v>531</v>
      </c>
      <c r="Q33" s="438">
        <f t="shared" si="5"/>
        <v>1</v>
      </c>
      <c r="R33" s="439">
        <f t="shared" si="5"/>
        <v>1</v>
      </c>
      <c r="S33" s="440">
        <v>0</v>
      </c>
      <c r="T33" s="440">
        <f>IF(Q33&lt;&gt;"",Q33*R33*S33,"")</f>
        <v>0</v>
      </c>
      <c r="U33" s="441">
        <f>IF(Q33&lt;&gt;"",K33-T33,"")</f>
        <v>2000</v>
      </c>
      <c r="V33" s="442">
        <f>IF(Q33&lt;&gt;"",0%,"")</f>
        <v>0</v>
      </c>
      <c r="W33" s="443">
        <f>IF(Q33&lt;&gt;"",V33*U33,"")</f>
        <v>0</v>
      </c>
      <c r="X33" s="443">
        <f>IF(Q33&lt;&gt;"",W33+T33,"")</f>
        <v>0</v>
      </c>
      <c r="Y33" s="444">
        <f t="shared" si="6"/>
        <v>43.68584565676651</v>
      </c>
      <c r="Z33" s="428">
        <f>IF(Q33&lt;&gt;"", IFERROR(U33/K33, 0), 0)</f>
        <v>1</v>
      </c>
      <c r="AA33" s="461"/>
      <c r="AB33" s="376">
        <f t="shared" si="2"/>
        <v>0</v>
      </c>
      <c r="AC33" s="377">
        <v>0</v>
      </c>
    </row>
    <row r="34" spans="1:36" ht="80.099999999999994" customHeight="1" x14ac:dyDescent="0.4">
      <c r="A34" s="403">
        <v>20</v>
      </c>
      <c r="B34" s="426" t="s">
        <v>159</v>
      </c>
      <c r="C34" s="427" t="s">
        <v>114</v>
      </c>
      <c r="D34" s="403" t="s">
        <v>129</v>
      </c>
      <c r="E34" s="403" t="s">
        <v>130</v>
      </c>
      <c r="F34" s="500" t="s">
        <v>299</v>
      </c>
      <c r="G34" s="477" t="s">
        <v>364</v>
      </c>
      <c r="H34" s="435">
        <v>1</v>
      </c>
      <c r="I34" s="435">
        <v>1</v>
      </c>
      <c r="J34" s="436">
        <v>1300</v>
      </c>
      <c r="K34" s="436">
        <f>IF(F34&lt;&gt;"",H34*I34*J34,"")</f>
        <v>1300</v>
      </c>
      <c r="L34" s="436">
        <f>IF(K34&lt;&gt;"",IF(D34="INTERNO",0,K34*$L$14),"")</f>
        <v>117</v>
      </c>
      <c r="M34" s="436">
        <f>IF(K34&lt;&gt;"",IF(E34="FAT.OGGI",SUM(K34:L34)*(1/(1-$M$14)-1),L34*(1/(1-$M$14)-1)),"")</f>
        <v>28.395799676898232</v>
      </c>
      <c r="N34" s="437">
        <f>SUM(K34:M34)</f>
        <v>1445.3957996768982</v>
      </c>
      <c r="O34" s="501" t="s">
        <v>531</v>
      </c>
      <c r="Q34" s="438">
        <f t="shared" si="5"/>
        <v>1</v>
      </c>
      <c r="R34" s="439">
        <f t="shared" si="5"/>
        <v>1</v>
      </c>
      <c r="S34" s="440">
        <v>500</v>
      </c>
      <c r="T34" s="440">
        <f>IF(Q34&lt;&gt;"",Q34*R34*S34,"")</f>
        <v>500</v>
      </c>
      <c r="U34" s="441">
        <f>IF(Q34&lt;&gt;"",K34-T34,"")</f>
        <v>800</v>
      </c>
      <c r="V34" s="442">
        <f>IF(Q34&lt;&gt;"",0%,"")</f>
        <v>0</v>
      </c>
      <c r="W34" s="443">
        <f>IF(Q34&lt;&gt;"",V34*U34,"")</f>
        <v>0</v>
      </c>
      <c r="X34" s="443">
        <f>IF(Q34&lt;&gt;"",W34+T34,"")</f>
        <v>500</v>
      </c>
      <c r="Y34" s="444">
        <f t="shared" si="6"/>
        <v>528.39579967689826</v>
      </c>
      <c r="Z34" s="428">
        <f>IF(Q34&lt;&gt;"",U34/K34,"")</f>
        <v>0.61538461538461542</v>
      </c>
      <c r="AA34" s="461"/>
      <c r="AB34" s="376">
        <f t="shared" si="2"/>
        <v>0</v>
      </c>
      <c r="AC34" s="377">
        <v>500</v>
      </c>
      <c r="AD34" s="375" t="s">
        <v>585</v>
      </c>
      <c r="AE34" s="446">
        <v>500</v>
      </c>
      <c r="AF34" s="447">
        <f>T34-AE34</f>
        <v>0</v>
      </c>
      <c r="AG34" s="448">
        <v>46106</v>
      </c>
      <c r="AI34" s="449" t="s">
        <v>433</v>
      </c>
      <c r="AJ34" s="450" t="s">
        <v>434</v>
      </c>
    </row>
    <row r="35" spans="1:36" ht="30" customHeight="1" thickBot="1" x14ac:dyDescent="0.45">
      <c r="A35" s="484">
        <v>21</v>
      </c>
      <c r="B35" s="426"/>
      <c r="C35" s="485" t="s">
        <v>122</v>
      </c>
      <c r="D35" s="484"/>
      <c r="E35" s="484"/>
      <c r="F35" s="705" t="s">
        <v>123</v>
      </c>
      <c r="G35" s="706"/>
      <c r="H35" s="706"/>
      <c r="I35" s="706"/>
      <c r="J35" s="706"/>
      <c r="K35" s="453">
        <f>SUM(K32:K34)</f>
        <v>48300</v>
      </c>
      <c r="L35" s="453">
        <f>SUM(L32:L34)</f>
        <v>4347</v>
      </c>
      <c r="M35" s="453">
        <f>SUM(M32:M34)</f>
        <v>1055.0131726109112</v>
      </c>
      <c r="N35" s="454">
        <f>SUM(N32:N34)</f>
        <v>53702.013172610903</v>
      </c>
      <c r="Q35" s="707" t="s">
        <v>123</v>
      </c>
      <c r="R35" s="708"/>
      <c r="S35" s="708"/>
      <c r="T35" s="455">
        <f>SUM(T32:T34)</f>
        <v>40910</v>
      </c>
      <c r="U35" s="456">
        <f>SUM(U32:U34)</f>
        <v>7390</v>
      </c>
      <c r="V35" s="457"/>
      <c r="W35" s="458"/>
      <c r="X35" s="459">
        <f>SUM(X32:X34)</f>
        <v>40910</v>
      </c>
      <c r="Y35" s="460">
        <f t="shared" si="6"/>
        <v>41965.01317261091</v>
      </c>
      <c r="Z35" s="428"/>
      <c r="AB35" s="376"/>
      <c r="AC35" s="377"/>
    </row>
    <row r="36" spans="1:36" ht="30" customHeight="1" thickBot="1" x14ac:dyDescent="0.45">
      <c r="A36" s="403">
        <v>22</v>
      </c>
      <c r="B36" s="426">
        <v>4</v>
      </c>
      <c r="C36" s="427" t="s">
        <v>108</v>
      </c>
      <c r="D36" s="403"/>
      <c r="E36" s="403"/>
      <c r="F36" s="716" t="s">
        <v>160</v>
      </c>
      <c r="G36" s="717"/>
      <c r="H36" s="717"/>
      <c r="I36" s="717"/>
      <c r="J36" s="717"/>
      <c r="K36" s="717"/>
      <c r="L36" s="717"/>
      <c r="M36" s="717"/>
      <c r="N36" s="718"/>
      <c r="Q36" s="719" t="str">
        <f>IF(F36&lt;&gt;"",F36,"")</f>
        <v>CREDENCIAMENTO</v>
      </c>
      <c r="R36" s="720"/>
      <c r="S36" s="720"/>
      <c r="T36" s="720"/>
      <c r="U36" s="720"/>
      <c r="V36" s="720"/>
      <c r="W36" s="720"/>
      <c r="X36" s="720"/>
      <c r="Y36" s="721"/>
      <c r="Z36" s="428"/>
      <c r="AB36" s="376"/>
      <c r="AC36" s="377"/>
    </row>
    <row r="37" spans="1:36" ht="30" customHeight="1" x14ac:dyDescent="0.4">
      <c r="A37" s="484">
        <v>23</v>
      </c>
      <c r="B37" s="426" t="s">
        <v>135</v>
      </c>
      <c r="C37" s="485" t="s">
        <v>109</v>
      </c>
      <c r="D37" s="484"/>
      <c r="E37" s="484"/>
      <c r="F37" s="722" t="s">
        <v>160</v>
      </c>
      <c r="G37" s="723"/>
      <c r="H37" s="723"/>
      <c r="I37" s="723"/>
      <c r="J37" s="723"/>
      <c r="K37" s="723"/>
      <c r="L37" s="494" t="s">
        <v>111</v>
      </c>
      <c r="M37" s="494" t="s">
        <v>112</v>
      </c>
      <c r="N37" s="495" t="s">
        <v>81</v>
      </c>
      <c r="Q37" s="739" t="str">
        <f>IF(F37&lt;&gt;"",F37,"")</f>
        <v>CREDENCIAMENTO</v>
      </c>
      <c r="R37" s="740"/>
      <c r="S37" s="740"/>
      <c r="T37" s="740"/>
      <c r="U37" s="740"/>
      <c r="V37" s="740"/>
      <c r="W37" s="740"/>
      <c r="X37" s="740"/>
      <c r="Y37" s="741"/>
      <c r="Z37" s="464" t="s">
        <v>113</v>
      </c>
      <c r="AA37" s="432" t="s">
        <v>82</v>
      </c>
      <c r="AB37" s="376"/>
      <c r="AC37" s="377"/>
    </row>
    <row r="38" spans="1:36" ht="80.099999999999994" customHeight="1" x14ac:dyDescent="0.4">
      <c r="A38" s="403">
        <v>24</v>
      </c>
      <c r="B38" s="426" t="s">
        <v>136</v>
      </c>
      <c r="C38" s="427" t="s">
        <v>114</v>
      </c>
      <c r="D38" s="403" t="s">
        <v>129</v>
      </c>
      <c r="E38" s="403" t="s">
        <v>130</v>
      </c>
      <c r="F38" s="496" t="s">
        <v>161</v>
      </c>
      <c r="G38" s="497" t="s">
        <v>162</v>
      </c>
      <c r="H38" s="498">
        <v>1</v>
      </c>
      <c r="I38" s="498">
        <v>2</v>
      </c>
      <c r="J38" s="499">
        <v>2000</v>
      </c>
      <c r="K38" s="499">
        <f>IF(F38&lt;&gt;"",H38*I38*J38,"")</f>
        <v>4000</v>
      </c>
      <c r="L38" s="502">
        <f>IF(K38&lt;&gt;"",IF(D38="INTERNO",0,K38*$L$14),"")</f>
        <v>360</v>
      </c>
      <c r="M38" s="502">
        <f>IF(K38&lt;&gt;"",IF(E38="FAT.OGGI",SUM(K38:L38)*(1/(1-$M$14)-1),L38*(1/(1-$M$14)-1)),0)</f>
        <v>87.37169131353302</v>
      </c>
      <c r="N38" s="503">
        <f>SUM(K38:M38)</f>
        <v>4447.3716913135331</v>
      </c>
      <c r="O38" s="378" t="s">
        <v>531</v>
      </c>
      <c r="Q38" s="438">
        <f t="shared" ref="Q38:R40" si="7">IF(H38&lt;&gt;"",H38,"")</f>
        <v>1</v>
      </c>
      <c r="R38" s="439">
        <v>1</v>
      </c>
      <c r="S38" s="440">
        <v>4300</v>
      </c>
      <c r="T38" s="440">
        <v>4000</v>
      </c>
      <c r="U38" s="441">
        <f>IF(Q38&lt;&gt;"",K38-T38,"")</f>
        <v>0</v>
      </c>
      <c r="V38" s="442">
        <f>IF(Q38&lt;&gt;"",0%,"")</f>
        <v>0</v>
      </c>
      <c r="W38" s="443">
        <f>IF(Q38&lt;&gt;"",V38*U38,"")</f>
        <v>0</v>
      </c>
      <c r="X38" s="443">
        <f>IF(Q38&lt;&gt;"",W38+T38,"")</f>
        <v>4000</v>
      </c>
      <c r="Y38" s="444">
        <f>IF(Q38&lt;&gt;"",X38+M38,"")</f>
        <v>4087.3716913135331</v>
      </c>
      <c r="Z38" s="428">
        <f>IF(Q38&lt;&gt;"", IFERROR(U38/K38, 0), 0)</f>
        <v>0</v>
      </c>
      <c r="AA38" s="445">
        <f>IFERROR(T38/$T$41, "")</f>
        <v>0.81478011121748517</v>
      </c>
      <c r="AB38" s="376">
        <f t="shared" si="2"/>
        <v>0</v>
      </c>
      <c r="AC38" s="377">
        <v>4000</v>
      </c>
      <c r="AD38" s="375" t="s">
        <v>586</v>
      </c>
      <c r="AE38" s="446">
        <v>4000</v>
      </c>
      <c r="AF38" s="447">
        <f>T38-AE38</f>
        <v>0</v>
      </c>
      <c r="AG38" s="448">
        <v>46128</v>
      </c>
      <c r="AI38" s="449" t="s">
        <v>544</v>
      </c>
      <c r="AJ38" s="450" t="s">
        <v>545</v>
      </c>
    </row>
    <row r="39" spans="1:36" ht="80.099999999999994" customHeight="1" x14ac:dyDescent="0.4">
      <c r="A39" s="403">
        <v>25</v>
      </c>
      <c r="B39" s="426" t="s">
        <v>157</v>
      </c>
      <c r="C39" s="427" t="s">
        <v>114</v>
      </c>
      <c r="D39" s="403" t="s">
        <v>129</v>
      </c>
      <c r="E39" s="403" t="s">
        <v>130</v>
      </c>
      <c r="F39" s="496" t="s">
        <v>163</v>
      </c>
      <c r="G39" s="497" t="s">
        <v>321</v>
      </c>
      <c r="H39" s="498">
        <v>70</v>
      </c>
      <c r="I39" s="498">
        <v>1</v>
      </c>
      <c r="J39" s="499">
        <v>3.81</v>
      </c>
      <c r="K39" s="499">
        <f>IF(F39&lt;&gt;"",H39*I39*J39,"")</f>
        <v>266.7</v>
      </c>
      <c r="L39" s="502">
        <f>IF(K39&lt;&gt;"",IF(D39="INTERNO",0,K39*$L$14),"")</f>
        <v>24.002999999999997</v>
      </c>
      <c r="M39" s="502">
        <f>IF(K39&lt;&gt;"",IF(E39="FAT.OGGI",SUM(K39:L39)*(1/(1-$M$14)-1),L39*(1/(1-$M$14)-1)),0)</f>
        <v>5.8255075183298137</v>
      </c>
      <c r="N39" s="503">
        <f>SUM(K39:M39)</f>
        <v>296.52850751832977</v>
      </c>
      <c r="O39" s="378" t="s">
        <v>531</v>
      </c>
      <c r="Q39" s="438">
        <v>1</v>
      </c>
      <c r="R39" s="439">
        <v>1</v>
      </c>
      <c r="S39" s="440">
        <v>385</v>
      </c>
      <c r="T39" s="440">
        <f>IF(Q39&lt;&gt;"",Q39*R39*S39,"")</f>
        <v>385</v>
      </c>
      <c r="U39" s="441">
        <f>IF(Q39&lt;&gt;"",K39-T39,"")</f>
        <v>-118.30000000000001</v>
      </c>
      <c r="V39" s="442">
        <f>IF(Q39&lt;&gt;"",0%,"")</f>
        <v>0</v>
      </c>
      <c r="W39" s="443">
        <f>IF(Q39&lt;&gt;"",V39*U39,"")</f>
        <v>0</v>
      </c>
      <c r="X39" s="443">
        <f>IF(Q39&lt;&gt;"",W39+T39,"")</f>
        <v>385</v>
      </c>
      <c r="Y39" s="444">
        <f>IF(Q39&lt;&gt;"",X39+M39,"")</f>
        <v>390.8255075183298</v>
      </c>
      <c r="Z39" s="428">
        <f>IF(Q39&lt;&gt;"", IFERROR(U39/K39, 0), 0)</f>
        <v>-0.44356955380577434</v>
      </c>
      <c r="AA39" s="445">
        <f>IFERROR(T39/$T$41, "")</f>
        <v>7.842258570468294E-2</v>
      </c>
      <c r="AB39" s="376">
        <f t="shared" si="2"/>
        <v>0</v>
      </c>
      <c r="AC39" s="377">
        <v>385</v>
      </c>
      <c r="AD39" s="375" t="s">
        <v>587</v>
      </c>
      <c r="AE39" s="446">
        <v>770</v>
      </c>
      <c r="AF39" s="447">
        <f>T39-AE39</f>
        <v>-385</v>
      </c>
      <c r="AG39" s="448">
        <v>46106</v>
      </c>
      <c r="AI39" s="449" t="s">
        <v>427</v>
      </c>
      <c r="AJ39" s="450" t="s">
        <v>428</v>
      </c>
    </row>
    <row r="40" spans="1:36" ht="80.099999999999994" customHeight="1" x14ac:dyDescent="0.4">
      <c r="A40" s="484">
        <v>26</v>
      </c>
      <c r="B40" s="426" t="s">
        <v>158</v>
      </c>
      <c r="C40" s="485" t="s">
        <v>114</v>
      </c>
      <c r="D40" s="484" t="s">
        <v>129</v>
      </c>
      <c r="E40" s="484" t="s">
        <v>130</v>
      </c>
      <c r="F40" s="496" t="s">
        <v>164</v>
      </c>
      <c r="G40" s="497" t="s">
        <v>322</v>
      </c>
      <c r="H40" s="498">
        <v>70</v>
      </c>
      <c r="I40" s="498">
        <v>1</v>
      </c>
      <c r="J40" s="499">
        <v>7.49</v>
      </c>
      <c r="K40" s="499">
        <f>IF(F40&lt;&gt;"",H40*I40*J40,"")</f>
        <v>524.30000000000007</v>
      </c>
      <c r="L40" s="502">
        <f>IF(K40&lt;&gt;"",IF(D40="INTERNO",0,K40*$L$14),"")</f>
        <v>47.187000000000005</v>
      </c>
      <c r="M40" s="502">
        <f>IF(K40&lt;&gt;"",IF(E40="FAT.OGGI",SUM(K40:L40)*(1/(1-$M$14)-1),L40*(1/(1-$M$14)-1)),0)</f>
        <v>11.452244438921342</v>
      </c>
      <c r="N40" s="503">
        <f>SUM(K40:M40)</f>
        <v>582.93924443892138</v>
      </c>
      <c r="O40" s="378" t="s">
        <v>531</v>
      </c>
      <c r="Q40" s="438">
        <v>1</v>
      </c>
      <c r="R40" s="439">
        <f t="shared" si="7"/>
        <v>1</v>
      </c>
      <c r="S40" s="440">
        <v>524.29999999999995</v>
      </c>
      <c r="T40" s="440">
        <f>IF(Q40&lt;&gt;"",Q40*R40*S40,"")</f>
        <v>524.29999999999995</v>
      </c>
      <c r="U40" s="441">
        <f>IF(Q40&lt;&gt;"",K40-T40,"")</f>
        <v>1.1368683772161603E-13</v>
      </c>
      <c r="V40" s="442">
        <f>IF(Q40&lt;&gt;"",0%,"")</f>
        <v>0</v>
      </c>
      <c r="W40" s="443">
        <f>IF(Q40&lt;&gt;"",V40*U40,"")</f>
        <v>0</v>
      </c>
      <c r="X40" s="443">
        <f>IF(Q40&lt;&gt;"",W40+T40,"")</f>
        <v>524.29999999999995</v>
      </c>
      <c r="Y40" s="444">
        <f>IF(Q40&lt;&gt;"",X40+M40,"")</f>
        <v>535.75224443892125</v>
      </c>
      <c r="Z40" s="504">
        <f>IF(Q40&lt;&gt;"", IFERROR(U40/K40, 0), 0)</f>
        <v>2.168354715270189E-16</v>
      </c>
      <c r="AA40" s="445">
        <f>IFERROR(T40/$T$41, "")</f>
        <v>0.10679730307783186</v>
      </c>
      <c r="AB40" s="376">
        <f t="shared" si="2"/>
        <v>0</v>
      </c>
      <c r="AC40" s="377">
        <v>524.29999999999995</v>
      </c>
      <c r="AD40" s="375" t="s">
        <v>588</v>
      </c>
      <c r="AE40" s="446">
        <v>524.29999999999995</v>
      </c>
      <c r="AF40" s="447">
        <f>T40-AE40</f>
        <v>0</v>
      </c>
      <c r="AG40" s="448">
        <v>46101</v>
      </c>
      <c r="AI40" s="449" t="s">
        <v>416</v>
      </c>
      <c r="AJ40" s="450" t="s">
        <v>417</v>
      </c>
    </row>
    <row r="41" spans="1:36" ht="30" customHeight="1" thickBot="1" x14ac:dyDescent="0.45">
      <c r="A41" s="451">
        <v>27</v>
      </c>
      <c r="B41" s="426"/>
      <c r="C41" s="452" t="s">
        <v>122</v>
      </c>
      <c r="D41" s="451"/>
      <c r="E41" s="451"/>
      <c r="F41" s="705" t="s">
        <v>202</v>
      </c>
      <c r="G41" s="706"/>
      <c r="H41" s="706"/>
      <c r="I41" s="706"/>
      <c r="J41" s="706"/>
      <c r="K41" s="453">
        <f>SUM(K38:K40)</f>
        <v>4791</v>
      </c>
      <c r="L41" s="453">
        <f>SUM(L38:L40)</f>
        <v>431.19</v>
      </c>
      <c r="M41" s="453">
        <f>SUM(M38:M40)</f>
        <v>104.64944327078418</v>
      </c>
      <c r="N41" s="454">
        <f>SUM(N38:N40)</f>
        <v>5326.8394432707846</v>
      </c>
      <c r="Q41" s="707" t="s">
        <v>202</v>
      </c>
      <c r="R41" s="708"/>
      <c r="S41" s="708"/>
      <c r="T41" s="455">
        <f>SUM(T38:T40)</f>
        <v>4909.3</v>
      </c>
      <c r="U41" s="456">
        <f>SUM(U38:U40)</f>
        <v>-118.2999999999999</v>
      </c>
      <c r="V41" s="457"/>
      <c r="W41" s="458"/>
      <c r="X41" s="459">
        <f>SUM(X38:X40)</f>
        <v>4909.3</v>
      </c>
      <c r="Y41" s="460">
        <f>IF(Q41&lt;&gt;"",X41+M41,"")</f>
        <v>5013.9494432707843</v>
      </c>
      <c r="Z41" s="504"/>
      <c r="AA41" s="461"/>
      <c r="AB41" s="376"/>
      <c r="AC41" s="377"/>
    </row>
    <row r="42" spans="1:36" ht="30" customHeight="1" thickBot="1" x14ac:dyDescent="0.45">
      <c r="A42" s="484">
        <v>28</v>
      </c>
      <c r="B42" s="426">
        <v>5</v>
      </c>
      <c r="C42" s="485" t="s">
        <v>108</v>
      </c>
      <c r="D42" s="484"/>
      <c r="E42" s="484"/>
      <c r="F42" s="716" t="s">
        <v>166</v>
      </c>
      <c r="G42" s="717"/>
      <c r="H42" s="717"/>
      <c r="I42" s="717"/>
      <c r="J42" s="717"/>
      <c r="K42" s="717"/>
      <c r="L42" s="717"/>
      <c r="M42" s="717"/>
      <c r="N42" s="718"/>
      <c r="Q42" s="719" t="str">
        <f>IF(F42&lt;&gt;"",F42,"")</f>
        <v>CENOGRAFIA</v>
      </c>
      <c r="R42" s="720"/>
      <c r="S42" s="720"/>
      <c r="T42" s="720"/>
      <c r="U42" s="720"/>
      <c r="V42" s="720"/>
      <c r="W42" s="720"/>
      <c r="X42" s="720"/>
      <c r="Y42" s="721"/>
      <c r="Z42" s="428"/>
      <c r="AB42" s="376"/>
      <c r="AC42" s="377"/>
    </row>
    <row r="43" spans="1:36" ht="30" customHeight="1" x14ac:dyDescent="0.4">
      <c r="A43" s="484">
        <v>29</v>
      </c>
      <c r="B43" s="426" t="s">
        <v>137</v>
      </c>
      <c r="C43" s="485" t="s">
        <v>109</v>
      </c>
      <c r="D43" s="484"/>
      <c r="E43" s="484"/>
      <c r="F43" s="722" t="s">
        <v>166</v>
      </c>
      <c r="G43" s="723"/>
      <c r="H43" s="723"/>
      <c r="I43" s="723"/>
      <c r="J43" s="723"/>
      <c r="K43" s="723"/>
      <c r="L43" s="494" t="s">
        <v>111</v>
      </c>
      <c r="M43" s="494" t="s">
        <v>112</v>
      </c>
      <c r="N43" s="495" t="s">
        <v>81</v>
      </c>
      <c r="Q43" s="739" t="str">
        <f>IF(F43&lt;&gt;"",F43,"")</f>
        <v>CENOGRAFIA</v>
      </c>
      <c r="R43" s="740"/>
      <c r="S43" s="740"/>
      <c r="T43" s="740"/>
      <c r="U43" s="740"/>
      <c r="V43" s="740"/>
      <c r="W43" s="740"/>
      <c r="X43" s="740"/>
      <c r="Y43" s="741"/>
      <c r="Z43" s="464" t="s">
        <v>113</v>
      </c>
      <c r="AA43" s="432" t="s">
        <v>82</v>
      </c>
      <c r="AB43" s="376"/>
      <c r="AC43" s="377"/>
    </row>
    <row r="44" spans="1:36" ht="80.099999999999994" customHeight="1" x14ac:dyDescent="0.4">
      <c r="A44" s="403">
        <v>31</v>
      </c>
      <c r="B44" s="426" t="s">
        <v>142</v>
      </c>
      <c r="C44" s="427" t="s">
        <v>114</v>
      </c>
      <c r="D44" s="403" t="s">
        <v>129</v>
      </c>
      <c r="E44" s="403" t="s">
        <v>130</v>
      </c>
      <c r="F44" s="496" t="s">
        <v>235</v>
      </c>
      <c r="G44" s="497" t="s">
        <v>237</v>
      </c>
      <c r="H44" s="498">
        <v>1</v>
      </c>
      <c r="I44" s="498">
        <v>1</v>
      </c>
      <c r="J44" s="499">
        <v>5000</v>
      </c>
      <c r="K44" s="499">
        <f t="shared" ref="K44:K47" si="8">IF(F44&lt;&gt;"",H44*I44*J44,"")</f>
        <v>5000</v>
      </c>
      <c r="L44" s="436">
        <f t="shared" ref="L44:L47" si="9">IF(K44&lt;&gt;"",IF(D44="INTERNO",0,K44*$L$14),"")</f>
        <v>450</v>
      </c>
      <c r="M44" s="436">
        <f>IF(K44&lt;&gt;"",IF(E44="FAT.OGGI",SUM(K44:L44)*(1/(1-$M$14)-1),L44*(1/(1-$M$14)-1)),"")</f>
        <v>109.21461414191627</v>
      </c>
      <c r="N44" s="437">
        <f t="shared" ref="N44:N47" si="10">SUM(K44:M44)</f>
        <v>5559.2146141419162</v>
      </c>
      <c r="O44" s="378" t="s">
        <v>531</v>
      </c>
      <c r="Q44" s="438">
        <f t="shared" ref="Q44:R46" si="11">IF(H44&lt;&gt;"",H44,"")</f>
        <v>1</v>
      </c>
      <c r="R44" s="439">
        <f t="shared" si="11"/>
        <v>1</v>
      </c>
      <c r="S44" s="440">
        <v>5000</v>
      </c>
      <c r="T44" s="440">
        <v>7000</v>
      </c>
      <c r="U44" s="441">
        <f t="shared" ref="U44:U47" si="12">IF(Q44&lt;&gt;"",K44-T44,"")</f>
        <v>-2000</v>
      </c>
      <c r="V44" s="442">
        <f t="shared" ref="V44:V47" si="13">IF(Q44&lt;&gt;"",0%,"")</f>
        <v>0</v>
      </c>
      <c r="W44" s="443">
        <f t="shared" ref="W44:W47" si="14">IF(Q44&lt;&gt;"",V44*U44,"")</f>
        <v>0</v>
      </c>
      <c r="X44" s="443">
        <f t="shared" ref="X44:X47" si="15">IF(Q44&lt;&gt;"",W44+T44,"")</f>
        <v>7000</v>
      </c>
      <c r="Y44" s="444">
        <f t="shared" ref="Y44:Y48" si="16">IF(Q44&lt;&gt;"",X44+M44,"")</f>
        <v>7109.2146141419162</v>
      </c>
      <c r="Z44" s="428">
        <f>IF(Q44&lt;&gt;"",U44/K44,"")</f>
        <v>-0.4</v>
      </c>
      <c r="AA44" s="445"/>
      <c r="AB44" s="376">
        <f t="shared" si="2"/>
        <v>0</v>
      </c>
      <c r="AC44" s="377">
        <v>7000</v>
      </c>
      <c r="AD44" s="375" t="s">
        <v>589</v>
      </c>
      <c r="AE44" s="446">
        <v>7000</v>
      </c>
      <c r="AF44" s="447">
        <f>T44-AE44</f>
        <v>0</v>
      </c>
      <c r="AG44" s="448">
        <v>46101</v>
      </c>
      <c r="AI44" s="449" t="s">
        <v>410</v>
      </c>
      <c r="AJ44" s="450" t="s">
        <v>411</v>
      </c>
    </row>
    <row r="45" spans="1:36" ht="80.099999999999994" customHeight="1" x14ac:dyDescent="0.4">
      <c r="A45" s="403">
        <v>32</v>
      </c>
      <c r="B45" s="426" t="s">
        <v>143</v>
      </c>
      <c r="C45" s="427" t="s">
        <v>114</v>
      </c>
      <c r="D45" s="403" t="s">
        <v>129</v>
      </c>
      <c r="E45" s="403" t="s">
        <v>130</v>
      </c>
      <c r="F45" s="496" t="s">
        <v>236</v>
      </c>
      <c r="G45" s="497" t="s">
        <v>238</v>
      </c>
      <c r="H45" s="498">
        <v>1</v>
      </c>
      <c r="I45" s="498">
        <v>1</v>
      </c>
      <c r="J45" s="499">
        <v>2000</v>
      </c>
      <c r="K45" s="499">
        <f t="shared" si="8"/>
        <v>2000</v>
      </c>
      <c r="L45" s="436">
        <f t="shared" si="9"/>
        <v>180</v>
      </c>
      <c r="M45" s="436">
        <f>IF(K45&lt;&gt;"",IF(E45="FAT.OGGI",SUM(K45:L45)*(1/(1-$M$14)-1),L45*(1/(1-$M$14)-1)),"")</f>
        <v>43.68584565676651</v>
      </c>
      <c r="N45" s="437">
        <f t="shared" si="10"/>
        <v>2223.6858456567666</v>
      </c>
      <c r="O45" s="378" t="s">
        <v>531</v>
      </c>
      <c r="Q45" s="438">
        <f t="shared" si="11"/>
        <v>1</v>
      </c>
      <c r="R45" s="439">
        <f t="shared" si="11"/>
        <v>1</v>
      </c>
      <c r="S45" s="440">
        <v>2000</v>
      </c>
      <c r="T45" s="440">
        <v>0</v>
      </c>
      <c r="U45" s="441">
        <f t="shared" si="12"/>
        <v>2000</v>
      </c>
      <c r="V45" s="442">
        <f t="shared" si="13"/>
        <v>0</v>
      </c>
      <c r="W45" s="443">
        <f t="shared" si="14"/>
        <v>0</v>
      </c>
      <c r="X45" s="443">
        <f t="shared" si="15"/>
        <v>0</v>
      </c>
      <c r="Y45" s="444">
        <f t="shared" si="16"/>
        <v>43.68584565676651</v>
      </c>
      <c r="Z45" s="428">
        <f>IF(Q45&lt;&gt;"",U45/K45,"")</f>
        <v>1</v>
      </c>
      <c r="AA45" s="445"/>
      <c r="AB45" s="376">
        <f t="shared" si="2"/>
        <v>0</v>
      </c>
      <c r="AC45" s="377">
        <v>0</v>
      </c>
      <c r="AD45" s="375"/>
    </row>
    <row r="46" spans="1:36" ht="80.099999999999994" customHeight="1" x14ac:dyDescent="0.4">
      <c r="A46" s="484">
        <v>33</v>
      </c>
      <c r="B46" s="426" t="s">
        <v>144</v>
      </c>
      <c r="C46" s="485" t="s">
        <v>114</v>
      </c>
      <c r="D46" s="484" t="s">
        <v>129</v>
      </c>
      <c r="E46" s="484" t="s">
        <v>130</v>
      </c>
      <c r="F46" s="505" t="s">
        <v>168</v>
      </c>
      <c r="G46" s="506" t="s">
        <v>295</v>
      </c>
      <c r="H46" s="507">
        <v>1</v>
      </c>
      <c r="I46" s="507">
        <v>1</v>
      </c>
      <c r="J46" s="508">
        <v>8000</v>
      </c>
      <c r="K46" s="508">
        <f t="shared" si="8"/>
        <v>8000</v>
      </c>
      <c r="L46" s="509">
        <f t="shared" si="9"/>
        <v>720</v>
      </c>
      <c r="M46" s="509">
        <f>IF(K46&lt;&gt;"",IF(E46="FAT.OGGI",SUM(K46:L46)*(1/(1-$M$14)-1),L46*(1/(1-$M$14)-1)),0)</f>
        <v>174.74338262706604</v>
      </c>
      <c r="N46" s="510">
        <f t="shared" si="10"/>
        <v>8894.7433826270662</v>
      </c>
      <c r="O46" s="378" t="s">
        <v>531</v>
      </c>
      <c r="Q46" s="511">
        <f t="shared" si="11"/>
        <v>1</v>
      </c>
      <c r="R46" s="512">
        <f t="shared" si="11"/>
        <v>1</v>
      </c>
      <c r="S46" s="513">
        <v>4500</v>
      </c>
      <c r="T46" s="513">
        <v>4500</v>
      </c>
      <c r="U46" s="514">
        <f t="shared" si="12"/>
        <v>3500</v>
      </c>
      <c r="V46" s="457">
        <f t="shared" si="13"/>
        <v>0</v>
      </c>
      <c r="W46" s="458">
        <f t="shared" si="14"/>
        <v>0</v>
      </c>
      <c r="X46" s="458">
        <f t="shared" si="15"/>
        <v>4500</v>
      </c>
      <c r="Y46" s="515">
        <f t="shared" si="16"/>
        <v>4674.7433826270662</v>
      </c>
      <c r="Z46" s="428">
        <f>IF(Q46&lt;&gt;"", IFERROR(U46/K46, 0), 0)</f>
        <v>0.4375</v>
      </c>
      <c r="AA46" s="445">
        <f>IFERROR(T46/$T$48, "")</f>
        <v>0.32921208574145877</v>
      </c>
      <c r="AB46" s="376">
        <f t="shared" si="2"/>
        <v>0</v>
      </c>
      <c r="AC46" s="377">
        <v>4500</v>
      </c>
      <c r="AD46" s="375" t="s">
        <v>590</v>
      </c>
      <c r="AE46" s="446">
        <v>4500</v>
      </c>
      <c r="AF46" s="447">
        <f>T46-AE46</f>
        <v>0</v>
      </c>
      <c r="AG46" s="448">
        <v>46108</v>
      </c>
      <c r="AI46" s="449" t="s">
        <v>447</v>
      </c>
      <c r="AJ46" s="450" t="s">
        <v>448</v>
      </c>
    </row>
    <row r="47" spans="1:36" ht="80.099999999999994" customHeight="1" x14ac:dyDescent="0.4">
      <c r="A47" s="403">
        <v>34</v>
      </c>
      <c r="B47" s="426" t="s">
        <v>185</v>
      </c>
      <c r="C47" s="427" t="s">
        <v>114</v>
      </c>
      <c r="D47" s="484" t="s">
        <v>129</v>
      </c>
      <c r="E47" s="484" t="s">
        <v>130</v>
      </c>
      <c r="F47" s="506" t="s">
        <v>306</v>
      </c>
      <c r="G47" s="506" t="s">
        <v>356</v>
      </c>
      <c r="H47" s="507">
        <v>1</v>
      </c>
      <c r="I47" s="507">
        <v>1</v>
      </c>
      <c r="J47" s="508">
        <v>2100</v>
      </c>
      <c r="K47" s="508">
        <f t="shared" si="8"/>
        <v>2100</v>
      </c>
      <c r="L47" s="509">
        <f t="shared" si="9"/>
        <v>189</v>
      </c>
      <c r="M47" s="509">
        <f>IF(K47&lt;&gt;"",IF(E47="FAT.OGGI",SUM(K47:L47)*(1/(1-$M$14)-1),L47*(1/(1-$M$14)-1)),"")</f>
        <v>45.870137939604838</v>
      </c>
      <c r="N47" s="509">
        <f t="shared" si="10"/>
        <v>2334.8701379396048</v>
      </c>
      <c r="O47" s="378" t="s">
        <v>531</v>
      </c>
      <c r="Q47" s="516">
        <f>IF(H47&lt;&gt;"",H47,"")</f>
        <v>1</v>
      </c>
      <c r="R47" s="516">
        <f>IF(I47&lt;&gt;"",I47,"")</f>
        <v>1</v>
      </c>
      <c r="S47" s="470">
        <v>2169</v>
      </c>
      <c r="T47" s="470">
        <v>2169</v>
      </c>
      <c r="U47" s="471">
        <f t="shared" si="12"/>
        <v>-69</v>
      </c>
      <c r="V47" s="472">
        <f t="shared" si="13"/>
        <v>0</v>
      </c>
      <c r="W47" s="473">
        <f t="shared" si="14"/>
        <v>0</v>
      </c>
      <c r="X47" s="473">
        <f t="shared" si="15"/>
        <v>2169</v>
      </c>
      <c r="Y47" s="458">
        <f>IF(Q47&lt;&gt;"",X47+M47,"")</f>
        <v>2214.8701379396048</v>
      </c>
      <c r="Z47" s="445">
        <f>IF(Q47&lt;&gt;"",U47/K47,"")</f>
        <v>-3.2857142857142856E-2</v>
      </c>
      <c r="AA47" s="461"/>
      <c r="AB47" s="376">
        <f t="shared" si="2"/>
        <v>0</v>
      </c>
      <c r="AC47" s="377">
        <v>2169</v>
      </c>
      <c r="AD47" s="375" t="s">
        <v>591</v>
      </c>
      <c r="AE47" s="446">
        <v>2169</v>
      </c>
      <c r="AF47" s="447">
        <f>T47-AE47</f>
        <v>0</v>
      </c>
      <c r="AG47" s="448">
        <v>46106</v>
      </c>
      <c r="AI47" s="449" t="s">
        <v>426</v>
      </c>
      <c r="AJ47" s="450" t="s">
        <v>385</v>
      </c>
    </row>
    <row r="48" spans="1:36" ht="30" customHeight="1" thickBot="1" x14ac:dyDescent="0.45">
      <c r="A48" s="517">
        <v>35</v>
      </c>
      <c r="B48" s="426"/>
      <c r="C48" s="518" t="s">
        <v>122</v>
      </c>
      <c r="D48" s="517"/>
      <c r="E48" s="517"/>
      <c r="F48" s="737" t="s">
        <v>201</v>
      </c>
      <c r="G48" s="738"/>
      <c r="H48" s="738"/>
      <c r="I48" s="738"/>
      <c r="J48" s="738"/>
      <c r="K48" s="486">
        <f>SUM(K44:K47)</f>
        <v>17100</v>
      </c>
      <c r="L48" s="486">
        <f>SUM(L44:L47)</f>
        <v>1539</v>
      </c>
      <c r="M48" s="486">
        <f>SUM(M44:M47)</f>
        <v>373.51398036535369</v>
      </c>
      <c r="N48" s="487">
        <f>SUM(N44:N47)</f>
        <v>19012.513980365355</v>
      </c>
      <c r="Q48" s="742" t="s">
        <v>201</v>
      </c>
      <c r="R48" s="743"/>
      <c r="S48" s="743"/>
      <c r="T48" s="488">
        <f>SUM(T44:T47)</f>
        <v>13669</v>
      </c>
      <c r="U48" s="489">
        <f>SUM(U44:U47)</f>
        <v>3431</v>
      </c>
      <c r="V48" s="490"/>
      <c r="W48" s="491"/>
      <c r="X48" s="492">
        <f>SUM(X44:X47)</f>
        <v>13669</v>
      </c>
      <c r="Y48" s="493">
        <f t="shared" si="16"/>
        <v>14042.513980365353</v>
      </c>
      <c r="Z48" s="504"/>
      <c r="AA48" s="461"/>
      <c r="AB48" s="376"/>
      <c r="AC48" s="377"/>
    </row>
    <row r="49" spans="1:36" ht="30" customHeight="1" thickBot="1" x14ac:dyDescent="0.45">
      <c r="A49" s="484">
        <v>36</v>
      </c>
      <c r="B49" s="426">
        <v>6</v>
      </c>
      <c r="C49" s="485" t="s">
        <v>108</v>
      </c>
      <c r="D49" s="484"/>
      <c r="E49" s="484"/>
      <c r="F49" s="716" t="s">
        <v>258</v>
      </c>
      <c r="G49" s="717"/>
      <c r="H49" s="717"/>
      <c r="I49" s="717"/>
      <c r="J49" s="717"/>
      <c r="K49" s="717"/>
      <c r="L49" s="717"/>
      <c r="M49" s="717"/>
      <c r="N49" s="718"/>
      <c r="Q49" s="719" t="str">
        <f>IF(F49&lt;&gt;"",F49,"")</f>
        <v xml:space="preserve">STAFF SÃO PAULO </v>
      </c>
      <c r="R49" s="720"/>
      <c r="S49" s="720"/>
      <c r="T49" s="720"/>
      <c r="U49" s="720"/>
      <c r="V49" s="720"/>
      <c r="W49" s="720"/>
      <c r="X49" s="720"/>
      <c r="Y49" s="721"/>
      <c r="Z49" s="428"/>
      <c r="AB49" s="376"/>
      <c r="AC49" s="377"/>
    </row>
    <row r="50" spans="1:36" ht="30" customHeight="1" x14ac:dyDescent="0.4">
      <c r="A50" s="484">
        <v>37</v>
      </c>
      <c r="B50" s="426" t="s">
        <v>187</v>
      </c>
      <c r="C50" s="485" t="s">
        <v>109</v>
      </c>
      <c r="D50" s="484"/>
      <c r="E50" s="484"/>
      <c r="F50" s="722" t="s">
        <v>169</v>
      </c>
      <c r="G50" s="723"/>
      <c r="H50" s="723"/>
      <c r="I50" s="723"/>
      <c r="J50" s="723"/>
      <c r="K50" s="723"/>
      <c r="L50" s="494" t="s">
        <v>111</v>
      </c>
      <c r="M50" s="494" t="s">
        <v>112</v>
      </c>
      <c r="N50" s="495" t="s">
        <v>81</v>
      </c>
      <c r="Q50" s="739" t="str">
        <f>IF(F50&lt;&gt;"",F50,"")</f>
        <v>STAFF</v>
      </c>
      <c r="R50" s="740"/>
      <c r="S50" s="740"/>
      <c r="T50" s="740"/>
      <c r="U50" s="740"/>
      <c r="V50" s="740"/>
      <c r="W50" s="740"/>
      <c r="X50" s="740"/>
      <c r="Y50" s="741"/>
      <c r="Z50" s="464" t="s">
        <v>113</v>
      </c>
      <c r="AA50" s="432" t="s">
        <v>82</v>
      </c>
      <c r="AB50" s="376"/>
      <c r="AC50" s="377"/>
    </row>
    <row r="51" spans="1:36" ht="80.099999999999994" customHeight="1" x14ac:dyDescent="0.4">
      <c r="A51" s="484">
        <v>38</v>
      </c>
      <c r="B51" s="426" t="s">
        <v>188</v>
      </c>
      <c r="C51" s="485" t="s">
        <v>114</v>
      </c>
      <c r="D51" s="484" t="s">
        <v>129</v>
      </c>
      <c r="E51" s="484" t="s">
        <v>130</v>
      </c>
      <c r="F51" s="496" t="s">
        <v>126</v>
      </c>
      <c r="G51" s="497" t="s">
        <v>324</v>
      </c>
      <c r="H51" s="498">
        <v>1</v>
      </c>
      <c r="I51" s="498">
        <v>1</v>
      </c>
      <c r="J51" s="499">
        <v>800</v>
      </c>
      <c r="K51" s="436">
        <f t="shared" ref="K51:K54" si="17">IF(F51&lt;&gt;"",H51*I51*J51,"")</f>
        <v>800</v>
      </c>
      <c r="L51" s="436">
        <f t="shared" ref="L51:L54" si="18">IF(K51&lt;&gt;"",IF(D51="INTERNO",0,K51*$L$14),"")</f>
        <v>72</v>
      </c>
      <c r="M51" s="436">
        <f t="shared" ref="M51:M54" si="19">IF(K51&lt;&gt;"",IF(E51="FAT.OGGI",SUM(K51:L51)*(1/(1-$M$14)-1),L51*(1/(1-$M$14)-1)),0)</f>
        <v>17.474338262706603</v>
      </c>
      <c r="N51" s="437">
        <f t="shared" ref="N51:N54" si="20">SUM(K51:M51)</f>
        <v>889.47433826270662</v>
      </c>
      <c r="O51" s="378" t="s">
        <v>531</v>
      </c>
      <c r="Q51" s="438">
        <f t="shared" ref="Q51:R54" si="21">IF(H51&lt;&gt;"",H51,"")</f>
        <v>1</v>
      </c>
      <c r="R51" s="439">
        <f t="shared" si="21"/>
        <v>1</v>
      </c>
      <c r="S51" s="440">
        <v>450</v>
      </c>
      <c r="T51" s="440">
        <v>900</v>
      </c>
      <c r="U51" s="441">
        <f t="shared" ref="U51:U54" si="22">IF(Q51&lt;&gt;"",K51-T51,"")</f>
        <v>-100</v>
      </c>
      <c r="V51" s="442">
        <f t="shared" ref="V51:V54" si="23">IF(Q51&lt;&gt;"",0%,"")</f>
        <v>0</v>
      </c>
      <c r="W51" s="443">
        <f t="shared" ref="W51:W54" si="24">IF(Q51&lt;&gt;"",V51*U51,"")</f>
        <v>0</v>
      </c>
      <c r="X51" s="443">
        <f t="shared" ref="X51:X54" si="25">IF(Q51&lt;&gt;"",W51+T51,"")</f>
        <v>900</v>
      </c>
      <c r="Y51" s="444">
        <f t="shared" ref="Y51:Y55" si="26">IF(Q51&lt;&gt;"",X51+M51,"")</f>
        <v>917.47433826270662</v>
      </c>
      <c r="Z51" s="504">
        <f t="shared" ref="Z51:Z54" si="27">IF(Q51&lt;&gt;"", IFERROR(U51/K51, 0), 0)</f>
        <v>-0.125</v>
      </c>
      <c r="AA51" s="519">
        <f>IFERROR(T51/$T$55, "")</f>
        <v>0.3</v>
      </c>
      <c r="AB51" s="376">
        <f t="shared" si="2"/>
        <v>0</v>
      </c>
      <c r="AC51" s="377">
        <f>450+450</f>
        <v>900</v>
      </c>
      <c r="AD51" s="375" t="s">
        <v>592</v>
      </c>
      <c r="AE51" s="446">
        <v>900</v>
      </c>
      <c r="AF51" s="447">
        <f>T51-AE51</f>
        <v>0</v>
      </c>
      <c r="AG51" s="448">
        <v>46118</v>
      </c>
      <c r="AI51" s="449" t="s">
        <v>510</v>
      </c>
      <c r="AJ51" s="450" t="s">
        <v>511</v>
      </c>
    </row>
    <row r="52" spans="1:36" ht="80.099999999999994" customHeight="1" x14ac:dyDescent="0.4">
      <c r="A52" s="451">
        <v>39</v>
      </c>
      <c r="B52" s="426" t="s">
        <v>189</v>
      </c>
      <c r="C52" s="452" t="s">
        <v>114</v>
      </c>
      <c r="D52" s="484" t="s">
        <v>129</v>
      </c>
      <c r="E52" s="484" t="s">
        <v>130</v>
      </c>
      <c r="F52" s="496" t="s">
        <v>303</v>
      </c>
      <c r="G52" s="497" t="s">
        <v>325</v>
      </c>
      <c r="H52" s="498">
        <v>1</v>
      </c>
      <c r="I52" s="498">
        <v>0</v>
      </c>
      <c r="J52" s="499">
        <v>600</v>
      </c>
      <c r="K52" s="436">
        <f>IF(F52&lt;&gt;"",H52*I52*J52,"")</f>
        <v>0</v>
      </c>
      <c r="L52" s="436">
        <f>IF(K52&lt;&gt;"",IF(D52="INTERNO",0,K52*$L$14),"")</f>
        <v>0</v>
      </c>
      <c r="M52" s="436">
        <f>IF(K52&lt;&gt;"",IF(E52="FAT.OGGI",SUM(K52:L52)*(1/(1-$M$14)-1),L52*(1/(1-$M$14)-1)),"")</f>
        <v>0</v>
      </c>
      <c r="N52" s="437">
        <f>SUM(K52:M52)</f>
        <v>0</v>
      </c>
      <c r="Q52" s="438">
        <f>IF(H52&lt;&gt;"",H52,"")</f>
        <v>1</v>
      </c>
      <c r="R52" s="439">
        <f>IF(I52&lt;&gt;"",I52,"")</f>
        <v>0</v>
      </c>
      <c r="S52" s="440">
        <v>400</v>
      </c>
      <c r="T52" s="440">
        <f>IF(Q52&lt;&gt;"",Q52*R52*S52,"")</f>
        <v>0</v>
      </c>
      <c r="U52" s="441">
        <f>IF(Q52&lt;&gt;"",K52-T52,"")</f>
        <v>0</v>
      </c>
      <c r="V52" s="442">
        <f>IF(Q52&lt;&gt;"",0%,"")</f>
        <v>0</v>
      </c>
      <c r="W52" s="443">
        <f>IF(Q52&lt;&gt;"",V52*U52,"")</f>
        <v>0</v>
      </c>
      <c r="X52" s="443">
        <f>IF(Q52&lt;&gt;"",W52+T52,"")</f>
        <v>0</v>
      </c>
      <c r="Y52" s="444">
        <f>IF(Q52&lt;&gt;"",X52+M52,"")</f>
        <v>0</v>
      </c>
      <c r="Z52" s="428" t="e">
        <f>IF(Q52&lt;&gt;"",U52/K52,"")</f>
        <v>#DIV/0!</v>
      </c>
      <c r="AA52" s="519"/>
      <c r="AB52" s="376">
        <f t="shared" si="2"/>
        <v>0</v>
      </c>
      <c r="AC52" s="377">
        <v>0</v>
      </c>
      <c r="AD52" s="375"/>
    </row>
    <row r="53" spans="1:36" ht="80.099999999999994" customHeight="1" x14ac:dyDescent="0.4">
      <c r="A53" s="484">
        <v>40</v>
      </c>
      <c r="B53" s="426" t="s">
        <v>190</v>
      </c>
      <c r="C53" s="485" t="s">
        <v>114</v>
      </c>
      <c r="D53" s="484" t="s">
        <v>129</v>
      </c>
      <c r="E53" s="484" t="s">
        <v>130</v>
      </c>
      <c r="F53" s="496" t="s">
        <v>224</v>
      </c>
      <c r="G53" s="497" t="s">
        <v>241</v>
      </c>
      <c r="H53" s="498">
        <v>1</v>
      </c>
      <c r="I53" s="498">
        <v>1</v>
      </c>
      <c r="J53" s="499">
        <v>900</v>
      </c>
      <c r="K53" s="436">
        <f t="shared" si="17"/>
        <v>900</v>
      </c>
      <c r="L53" s="436">
        <f t="shared" si="18"/>
        <v>81</v>
      </c>
      <c r="M53" s="436">
        <f t="shared" si="19"/>
        <v>19.658630545544931</v>
      </c>
      <c r="N53" s="437">
        <f t="shared" si="20"/>
        <v>1000.658630545545</v>
      </c>
      <c r="O53" s="378" t="s">
        <v>531</v>
      </c>
      <c r="Q53" s="438">
        <f t="shared" si="21"/>
        <v>1</v>
      </c>
      <c r="R53" s="439">
        <f t="shared" si="21"/>
        <v>1</v>
      </c>
      <c r="S53" s="440">
        <v>650</v>
      </c>
      <c r="T53" s="440">
        <v>600</v>
      </c>
      <c r="U53" s="441">
        <f t="shared" si="22"/>
        <v>300</v>
      </c>
      <c r="V53" s="442">
        <f t="shared" si="23"/>
        <v>0</v>
      </c>
      <c r="W53" s="443">
        <f t="shared" si="24"/>
        <v>0</v>
      </c>
      <c r="X53" s="443">
        <f t="shared" si="25"/>
        <v>600</v>
      </c>
      <c r="Y53" s="444">
        <f t="shared" si="26"/>
        <v>619.65863054554495</v>
      </c>
      <c r="Z53" s="504">
        <f t="shared" si="27"/>
        <v>0.33333333333333331</v>
      </c>
      <c r="AA53" s="519">
        <f>IFERROR(T53/$T$55, "")</f>
        <v>0.2</v>
      </c>
      <c r="AB53" s="376">
        <f t="shared" si="2"/>
        <v>0</v>
      </c>
      <c r="AC53" s="377">
        <v>600</v>
      </c>
      <c r="AD53" s="375" t="s">
        <v>593</v>
      </c>
      <c r="AE53" s="446">
        <v>600</v>
      </c>
      <c r="AF53" s="447">
        <f>T53-AE53</f>
        <v>0</v>
      </c>
      <c r="AG53" s="448">
        <v>46118</v>
      </c>
      <c r="AI53" s="449" t="s">
        <v>515</v>
      </c>
      <c r="AJ53" s="450" t="s">
        <v>516</v>
      </c>
    </row>
    <row r="54" spans="1:36" ht="80.099999999999994" customHeight="1" x14ac:dyDescent="0.4">
      <c r="A54" s="403">
        <v>41</v>
      </c>
      <c r="B54" s="426" t="s">
        <v>191</v>
      </c>
      <c r="C54" s="427" t="s">
        <v>114</v>
      </c>
      <c r="D54" s="484" t="s">
        <v>129</v>
      </c>
      <c r="E54" s="484" t="s">
        <v>130</v>
      </c>
      <c r="F54" s="496" t="s">
        <v>172</v>
      </c>
      <c r="G54" s="497" t="s">
        <v>173</v>
      </c>
      <c r="H54" s="498">
        <v>1</v>
      </c>
      <c r="I54" s="498">
        <v>1</v>
      </c>
      <c r="J54" s="499">
        <v>1500</v>
      </c>
      <c r="K54" s="436">
        <f t="shared" si="17"/>
        <v>1500</v>
      </c>
      <c r="L54" s="436">
        <f t="shared" si="18"/>
        <v>135</v>
      </c>
      <c r="M54" s="436">
        <f t="shared" si="19"/>
        <v>32.764384242574884</v>
      </c>
      <c r="N54" s="437">
        <f t="shared" si="20"/>
        <v>1667.7643842425748</v>
      </c>
      <c r="O54" s="378" t="s">
        <v>531</v>
      </c>
      <c r="Q54" s="438">
        <f t="shared" si="21"/>
        <v>1</v>
      </c>
      <c r="R54" s="439">
        <f t="shared" si="21"/>
        <v>1</v>
      </c>
      <c r="S54" s="440">
        <v>1100</v>
      </c>
      <c r="T54" s="440">
        <v>1500</v>
      </c>
      <c r="U54" s="441">
        <f t="shared" si="22"/>
        <v>0</v>
      </c>
      <c r="V54" s="442">
        <f t="shared" si="23"/>
        <v>0</v>
      </c>
      <c r="W54" s="443">
        <f t="shared" si="24"/>
        <v>0</v>
      </c>
      <c r="X54" s="443">
        <f t="shared" si="25"/>
        <v>1500</v>
      </c>
      <c r="Y54" s="444">
        <f t="shared" si="26"/>
        <v>1532.7643842425748</v>
      </c>
      <c r="Z54" s="428">
        <f t="shared" si="27"/>
        <v>0</v>
      </c>
      <c r="AA54" s="445">
        <f>IFERROR(T54/$T$55, "")</f>
        <v>0.5</v>
      </c>
      <c r="AB54" s="376">
        <f t="shared" si="2"/>
        <v>0</v>
      </c>
      <c r="AC54" s="377">
        <v>1500</v>
      </c>
      <c r="AD54" s="375" t="s">
        <v>594</v>
      </c>
      <c r="AE54" s="446">
        <v>1500</v>
      </c>
      <c r="AF54" s="447">
        <f>T54-AE54</f>
        <v>0</v>
      </c>
      <c r="AG54" s="448">
        <v>46119</v>
      </c>
      <c r="AI54" s="449" t="s">
        <v>528</v>
      </c>
      <c r="AJ54" s="450" t="s">
        <v>529</v>
      </c>
    </row>
    <row r="55" spans="1:36" ht="30" customHeight="1" thickBot="1" x14ac:dyDescent="0.45">
      <c r="A55" s="451">
        <v>42</v>
      </c>
      <c r="B55" s="426"/>
      <c r="C55" s="452" t="s">
        <v>122</v>
      </c>
      <c r="D55" s="451"/>
      <c r="E55" s="451"/>
      <c r="F55" s="705" t="s">
        <v>203</v>
      </c>
      <c r="G55" s="706"/>
      <c r="H55" s="706"/>
      <c r="I55" s="706"/>
      <c r="J55" s="706"/>
      <c r="K55" s="453">
        <f>SUM(K51:K54)</f>
        <v>3200</v>
      </c>
      <c r="L55" s="453">
        <f>SUM(L51:L54)</f>
        <v>288</v>
      </c>
      <c r="M55" s="453">
        <f>SUM(M51:M54)</f>
        <v>69.89735305082641</v>
      </c>
      <c r="N55" s="454">
        <f>SUM(N51:N54)</f>
        <v>3557.8973530508265</v>
      </c>
      <c r="Q55" s="744" t="s">
        <v>203</v>
      </c>
      <c r="R55" s="745"/>
      <c r="S55" s="745"/>
      <c r="T55" s="520">
        <f>SUM(T51:T54)</f>
        <v>3000</v>
      </c>
      <c r="U55" s="521">
        <f>SUM(U51:U54)</f>
        <v>200</v>
      </c>
      <c r="V55" s="442"/>
      <c r="W55" s="443"/>
      <c r="X55" s="522">
        <f>SUM(X51:X54)</f>
        <v>3000</v>
      </c>
      <c r="Y55" s="523">
        <f t="shared" si="26"/>
        <v>3069.8973530508265</v>
      </c>
      <c r="Z55" s="504"/>
      <c r="AA55" s="461"/>
      <c r="AB55" s="376"/>
      <c r="AC55" s="377"/>
    </row>
    <row r="56" spans="1:36" ht="30" customHeight="1" thickBot="1" x14ac:dyDescent="0.45">
      <c r="A56" s="484">
        <v>43</v>
      </c>
      <c r="B56" s="426">
        <v>7</v>
      </c>
      <c r="C56" s="485" t="s">
        <v>108</v>
      </c>
      <c r="D56" s="484"/>
      <c r="E56" s="484"/>
      <c r="F56" s="716" t="s">
        <v>174</v>
      </c>
      <c r="G56" s="717"/>
      <c r="H56" s="717"/>
      <c r="I56" s="717"/>
      <c r="J56" s="717"/>
      <c r="K56" s="717"/>
      <c r="L56" s="717"/>
      <c r="M56" s="717"/>
      <c r="N56" s="718"/>
      <c r="Q56" s="746" t="str">
        <f>IF(F56&lt;&gt;"",F56,"")</f>
        <v>LOGISTICA</v>
      </c>
      <c r="R56" s="747"/>
      <c r="S56" s="747"/>
      <c r="T56" s="747"/>
      <c r="U56" s="747"/>
      <c r="V56" s="747"/>
      <c r="W56" s="747"/>
      <c r="X56" s="747"/>
      <c r="Y56" s="748"/>
      <c r="Z56" s="428"/>
      <c r="AB56" s="376"/>
      <c r="AC56" s="377"/>
    </row>
    <row r="57" spans="1:36" ht="30" customHeight="1" x14ac:dyDescent="0.4">
      <c r="A57" s="484">
        <v>44</v>
      </c>
      <c r="B57" s="426" t="s">
        <v>205</v>
      </c>
      <c r="C57" s="485" t="s">
        <v>109</v>
      </c>
      <c r="D57" s="484"/>
      <c r="E57" s="484"/>
      <c r="F57" s="722" t="s">
        <v>174</v>
      </c>
      <c r="G57" s="723"/>
      <c r="H57" s="723"/>
      <c r="I57" s="723"/>
      <c r="J57" s="723"/>
      <c r="K57" s="723"/>
      <c r="L57" s="494" t="s">
        <v>111</v>
      </c>
      <c r="M57" s="494" t="s">
        <v>112</v>
      </c>
      <c r="N57" s="495" t="s">
        <v>81</v>
      </c>
      <c r="Q57" s="744" t="str">
        <f>IF(F57&lt;&gt;"",F57,"")</f>
        <v>LOGISTICA</v>
      </c>
      <c r="R57" s="745"/>
      <c r="S57" s="745"/>
      <c r="T57" s="745"/>
      <c r="U57" s="745"/>
      <c r="V57" s="745"/>
      <c r="W57" s="745"/>
      <c r="X57" s="745"/>
      <c r="Y57" s="749"/>
      <c r="Z57" s="464" t="s">
        <v>113</v>
      </c>
      <c r="AA57" s="432" t="s">
        <v>82</v>
      </c>
      <c r="AB57" s="376"/>
      <c r="AC57" s="377"/>
    </row>
    <row r="58" spans="1:36" ht="80.099999999999994" customHeight="1" x14ac:dyDescent="0.4">
      <c r="A58" s="484">
        <v>45</v>
      </c>
      <c r="B58" s="426" t="s">
        <v>206</v>
      </c>
      <c r="C58" s="485" t="s">
        <v>114</v>
      </c>
      <c r="D58" s="484" t="s">
        <v>129</v>
      </c>
      <c r="E58" s="484" t="s">
        <v>130</v>
      </c>
      <c r="F58" s="496" t="s">
        <v>179</v>
      </c>
      <c r="G58" s="497" t="s">
        <v>180</v>
      </c>
      <c r="H58" s="498">
        <v>1</v>
      </c>
      <c r="I58" s="498">
        <v>1</v>
      </c>
      <c r="J58" s="499">
        <v>1500</v>
      </c>
      <c r="K58" s="436">
        <f t="shared" ref="K58" si="28">IF(F58&lt;&gt;"",H58*I58*J58,"")</f>
        <v>1500</v>
      </c>
      <c r="L58" s="436">
        <f t="shared" ref="L58:L59" si="29">IF(K58&lt;&gt;"",IF(D58="INTERNO",0,K58*$L$14),"")</f>
        <v>135</v>
      </c>
      <c r="M58" s="436">
        <f t="shared" ref="M58:M59" si="30">IF(K58&lt;&gt;"",IF(E58="FAT.OGGI",SUM(K58:L58)*(1/(1-$M$14)-1),L58*(1/(1-$M$14)-1)),0)</f>
        <v>32.764384242574884</v>
      </c>
      <c r="N58" s="437">
        <f t="shared" ref="N58:N59" si="31">SUM(K58:M58)</f>
        <v>1667.7643842425748</v>
      </c>
      <c r="O58" s="378" t="s">
        <v>531</v>
      </c>
      <c r="Q58" s="438">
        <f>IF(H58&lt;&gt;"",H58,"")</f>
        <v>1</v>
      </c>
      <c r="R58" s="439">
        <f t="shared" ref="R58:R59" si="32">IF(I58&lt;&gt;"",I58,"")</f>
        <v>1</v>
      </c>
      <c r="S58" s="440">
        <v>1500</v>
      </c>
      <c r="T58" s="440">
        <v>1500</v>
      </c>
      <c r="U58" s="441">
        <f t="shared" ref="U58:U59" si="33">IF(Q58&lt;&gt;"",K58-T58,"")</f>
        <v>0</v>
      </c>
      <c r="V58" s="442">
        <f t="shared" ref="V58:V59" si="34">IF(Q58&lt;&gt;"",0%,"")</f>
        <v>0</v>
      </c>
      <c r="W58" s="443">
        <f t="shared" ref="W58:W59" si="35">IF(Q58&lt;&gt;"",V58*U58,"")</f>
        <v>0</v>
      </c>
      <c r="X58" s="443">
        <f t="shared" ref="X58:X59" si="36">IF(Q58&lt;&gt;"",W58+T58,"")</f>
        <v>1500</v>
      </c>
      <c r="Y58" s="444">
        <f t="shared" ref="Y58:Y60" si="37">IF(Q58&lt;&gt;"",X58+M58,"")</f>
        <v>1532.7643842425748</v>
      </c>
      <c r="Z58" s="504">
        <f t="shared" ref="Z58:Z59" si="38">IF(Q58&lt;&gt;"", IFERROR(U58/K58, 0), 0)</f>
        <v>0</v>
      </c>
      <c r="AA58" s="445">
        <f>IFERROR(T58/$T$60, "")</f>
        <v>0.54672294268156674</v>
      </c>
      <c r="AB58" s="376">
        <f t="shared" si="2"/>
        <v>0</v>
      </c>
      <c r="AC58" s="377">
        <f>1500</f>
        <v>1500</v>
      </c>
      <c r="AD58" s="375" t="s">
        <v>605</v>
      </c>
      <c r="AE58" s="446">
        <v>1500</v>
      </c>
      <c r="AF58" s="447">
        <f>T58-AE58</f>
        <v>0</v>
      </c>
      <c r="AG58" s="448">
        <v>46128</v>
      </c>
      <c r="AI58" s="449" t="s">
        <v>568</v>
      </c>
      <c r="AJ58" s="450" t="s">
        <v>569</v>
      </c>
    </row>
    <row r="59" spans="1:36" ht="80.099999999999994" customHeight="1" x14ac:dyDescent="0.4">
      <c r="A59" s="403">
        <v>46</v>
      </c>
      <c r="B59" s="426" t="s">
        <v>207</v>
      </c>
      <c r="C59" s="427" t="s">
        <v>114</v>
      </c>
      <c r="D59" s="484" t="s">
        <v>129</v>
      </c>
      <c r="E59" s="484" t="s">
        <v>130</v>
      </c>
      <c r="F59" s="496" t="s">
        <v>138</v>
      </c>
      <c r="G59" s="497" t="s">
        <v>217</v>
      </c>
      <c r="H59" s="498">
        <v>1</v>
      </c>
      <c r="I59" s="498">
        <v>1</v>
      </c>
      <c r="J59" s="499">
        <v>1800</v>
      </c>
      <c r="K59" s="436">
        <f>IF(F59&lt;&gt;"",H59*I59*J59,"")</f>
        <v>1800</v>
      </c>
      <c r="L59" s="436">
        <f t="shared" si="29"/>
        <v>162</v>
      </c>
      <c r="M59" s="436">
        <f t="shared" si="30"/>
        <v>39.317261091089861</v>
      </c>
      <c r="N59" s="437">
        <f t="shared" si="31"/>
        <v>2001.3172610910899</v>
      </c>
      <c r="O59" s="378" t="s">
        <v>531</v>
      </c>
      <c r="Q59" s="438">
        <f>IF(H59&lt;&gt;"",H59,"")</f>
        <v>1</v>
      </c>
      <c r="R59" s="439">
        <f t="shared" si="32"/>
        <v>1</v>
      </c>
      <c r="S59" s="440">
        <v>600.83000000000004</v>
      </c>
      <c r="T59" s="440">
        <v>1243.6199999999999</v>
      </c>
      <c r="U59" s="441">
        <f t="shared" si="33"/>
        <v>556.38000000000011</v>
      </c>
      <c r="V59" s="442">
        <f t="shared" si="34"/>
        <v>0</v>
      </c>
      <c r="W59" s="443">
        <f t="shared" si="35"/>
        <v>0</v>
      </c>
      <c r="X59" s="443">
        <f t="shared" si="36"/>
        <v>1243.6199999999999</v>
      </c>
      <c r="Y59" s="444">
        <f t="shared" si="37"/>
        <v>1282.9372610910898</v>
      </c>
      <c r="Z59" s="428">
        <f t="shared" si="38"/>
        <v>0.30910000000000004</v>
      </c>
      <c r="AA59" s="445">
        <f>IFERROR(T59/$T$60, "")</f>
        <v>0.45327705731843326</v>
      </c>
      <c r="AB59" s="376">
        <f t="shared" si="2"/>
        <v>0</v>
      </c>
      <c r="AC59" s="377">
        <f>199.99+401.84+475.79+45.12+120.88</f>
        <v>1243.6199999999999</v>
      </c>
      <c r="AD59" s="375" t="s">
        <v>595</v>
      </c>
      <c r="AE59" s="446">
        <v>199.99</v>
      </c>
      <c r="AF59" s="447">
        <f>T59-AE59</f>
        <v>1043.6299999999999</v>
      </c>
      <c r="AG59" s="448">
        <v>46086</v>
      </c>
      <c r="AI59" s="449" t="s">
        <v>384</v>
      </c>
      <c r="AJ59" s="450" t="s">
        <v>385</v>
      </c>
    </row>
    <row r="60" spans="1:36" ht="30" customHeight="1" thickBot="1" x14ac:dyDescent="0.45">
      <c r="A60" s="451">
        <v>47</v>
      </c>
      <c r="B60" s="426"/>
      <c r="C60" s="452" t="s">
        <v>122</v>
      </c>
      <c r="D60" s="451"/>
      <c r="E60" s="451"/>
      <c r="F60" s="705" t="s">
        <v>204</v>
      </c>
      <c r="G60" s="706"/>
      <c r="H60" s="706"/>
      <c r="I60" s="706"/>
      <c r="J60" s="706"/>
      <c r="K60" s="453">
        <f>SUM(K58:K59)</f>
        <v>3300</v>
      </c>
      <c r="L60" s="453">
        <f>SUM(L58:L59)</f>
        <v>297</v>
      </c>
      <c r="M60" s="453">
        <f>SUM(M58:M59)</f>
        <v>72.081645333664738</v>
      </c>
      <c r="N60" s="454">
        <f>SUM(N58:N59)</f>
        <v>3669.0816453336647</v>
      </c>
      <c r="Q60" s="707" t="s">
        <v>204</v>
      </c>
      <c r="R60" s="708"/>
      <c r="S60" s="708"/>
      <c r="T60" s="455">
        <f>SUM(T58:T59)</f>
        <v>2743.62</v>
      </c>
      <c r="U60" s="456">
        <f>SUM(U58:U59)</f>
        <v>556.38000000000011</v>
      </c>
      <c r="V60" s="457"/>
      <c r="W60" s="458"/>
      <c r="X60" s="459">
        <f>SUM(X58:X59)</f>
        <v>2743.62</v>
      </c>
      <c r="Y60" s="460">
        <f t="shared" si="37"/>
        <v>2815.7016453336646</v>
      </c>
      <c r="Z60" s="504"/>
      <c r="AA60" s="461"/>
      <c r="AB60" s="376"/>
      <c r="AC60" s="377"/>
    </row>
    <row r="61" spans="1:36" ht="30" customHeight="1" thickBot="1" x14ac:dyDescent="0.45">
      <c r="A61" s="484">
        <v>48</v>
      </c>
      <c r="B61" s="426">
        <v>8</v>
      </c>
      <c r="C61" s="485" t="s">
        <v>108</v>
      </c>
      <c r="D61" s="484"/>
      <c r="E61" s="484"/>
      <c r="F61" s="716" t="s">
        <v>247</v>
      </c>
      <c r="G61" s="717"/>
      <c r="H61" s="717"/>
      <c r="I61" s="717"/>
      <c r="J61" s="717"/>
      <c r="K61" s="717"/>
      <c r="L61" s="717"/>
      <c r="M61" s="717"/>
      <c r="N61" s="718"/>
      <c r="Q61" s="719" t="str">
        <f>IF(F61&lt;&gt;"",F61,"")</f>
        <v xml:space="preserve">BELO HORIZONTE </v>
      </c>
      <c r="R61" s="720"/>
      <c r="S61" s="720"/>
      <c r="T61" s="720"/>
      <c r="U61" s="720"/>
      <c r="V61" s="720"/>
      <c r="W61" s="720"/>
      <c r="X61" s="720"/>
      <c r="Y61" s="721"/>
      <c r="Z61" s="428"/>
      <c r="AB61" s="376"/>
      <c r="AC61" s="377"/>
    </row>
    <row r="62" spans="1:36" ht="30" customHeight="1" x14ac:dyDescent="0.4">
      <c r="A62" s="484">
        <v>49</v>
      </c>
      <c r="B62" s="426" t="s">
        <v>225</v>
      </c>
      <c r="C62" s="485" t="s">
        <v>109</v>
      </c>
      <c r="D62" s="484"/>
      <c r="E62" s="484"/>
      <c r="F62" s="735" t="s">
        <v>155</v>
      </c>
      <c r="G62" s="736"/>
      <c r="H62" s="736"/>
      <c r="I62" s="736"/>
      <c r="J62" s="736"/>
      <c r="K62" s="736"/>
      <c r="L62" s="524" t="s">
        <v>111</v>
      </c>
      <c r="M62" s="524" t="s">
        <v>112</v>
      </c>
      <c r="N62" s="525" t="s">
        <v>81</v>
      </c>
      <c r="Q62" s="739" t="str">
        <f>IF(F62&lt;&gt;"",F62,"")</f>
        <v>LOCAÇÃO DE ESPAÇO E A&amp;B</v>
      </c>
      <c r="R62" s="740"/>
      <c r="S62" s="740"/>
      <c r="T62" s="740"/>
      <c r="U62" s="740"/>
      <c r="V62" s="740"/>
      <c r="W62" s="740"/>
      <c r="X62" s="740"/>
      <c r="Y62" s="741"/>
      <c r="Z62" s="464" t="s">
        <v>113</v>
      </c>
      <c r="AA62" s="432" t="s">
        <v>82</v>
      </c>
      <c r="AB62" s="376"/>
      <c r="AC62" s="377"/>
    </row>
    <row r="63" spans="1:36" ht="80.099999999999994" customHeight="1" x14ac:dyDescent="0.4">
      <c r="A63" s="403">
        <v>50</v>
      </c>
      <c r="B63" s="426" t="s">
        <v>226</v>
      </c>
      <c r="C63" s="427" t="s">
        <v>114</v>
      </c>
      <c r="D63" s="403" t="s">
        <v>129</v>
      </c>
      <c r="E63" s="403" t="s">
        <v>130</v>
      </c>
      <c r="F63" s="526" t="s">
        <v>245</v>
      </c>
      <c r="G63" s="527" t="s">
        <v>248</v>
      </c>
      <c r="H63" s="435">
        <v>1</v>
      </c>
      <c r="I63" s="435">
        <v>1</v>
      </c>
      <c r="J63" s="436">
        <v>8500</v>
      </c>
      <c r="K63" s="436">
        <f t="shared" ref="K63:K64" si="39">IF(F63&lt;&gt;"",H63*I63*J63,"")</f>
        <v>8500</v>
      </c>
      <c r="L63" s="436">
        <f t="shared" ref="L63:L64" si="40">IF(K63&lt;&gt;"",IF(D63="INTERNO",0,K63*$L$14),"")</f>
        <v>765</v>
      </c>
      <c r="M63" s="436">
        <f t="shared" ref="M63:M64" si="41">IF(K63&lt;&gt;"",IF(E63="FAT.OGGI",SUM(K63:L63)*(1/(1-$M$14)-1),L63*(1/(1-$M$14)-1)),"")</f>
        <v>185.66484404125768</v>
      </c>
      <c r="N63" s="437">
        <f t="shared" ref="N63:N64" si="42">SUM(K63:M63)</f>
        <v>9450.6648440412573</v>
      </c>
      <c r="O63" s="468">
        <v>19769.12</v>
      </c>
      <c r="Q63" s="438">
        <f t="shared" ref="Q63:R64" si="43">IF(H63&lt;&gt;"",H63,"")</f>
        <v>1</v>
      </c>
      <c r="R63" s="439">
        <f t="shared" si="43"/>
        <v>1</v>
      </c>
      <c r="S63" s="440">
        <v>0</v>
      </c>
      <c r="T63" s="440">
        <f t="shared" ref="T63:T64" si="44">IF(Q63&lt;&gt;"",Q63*R63*S63,"")</f>
        <v>0</v>
      </c>
      <c r="U63" s="441">
        <f t="shared" ref="U63:U64" si="45">IF(Q63&lt;&gt;"",K63-T63,"")</f>
        <v>8500</v>
      </c>
      <c r="V63" s="442">
        <f t="shared" ref="V63:V64" si="46">IF(Q63&lt;&gt;"",0%,"")</f>
        <v>0</v>
      </c>
      <c r="W63" s="443">
        <f t="shared" ref="W63:W64" si="47">IF(Q63&lt;&gt;"",V63*U63,"")</f>
        <v>0</v>
      </c>
      <c r="X63" s="443">
        <f t="shared" ref="X63:X64" si="48">IF(Q63&lt;&gt;"",W63+T63,"")</f>
        <v>0</v>
      </c>
      <c r="Y63" s="444">
        <f t="shared" ref="Y63:Y66" si="49">IF(Q63&lt;&gt;"",X63+M63,"")</f>
        <v>185.66484404125768</v>
      </c>
      <c r="Z63" s="428">
        <f t="shared" ref="Z63:Z64" si="50">IF(Q63&lt;&gt;"",U63/K63,"")</f>
        <v>1</v>
      </c>
      <c r="AA63" s="445">
        <f>T63/$T$66</f>
        <v>0</v>
      </c>
      <c r="AB63" s="376">
        <f t="shared" si="2"/>
        <v>0</v>
      </c>
      <c r="AC63" s="377">
        <v>0</v>
      </c>
    </row>
    <row r="64" spans="1:36" ht="80.099999999999994" customHeight="1" x14ac:dyDescent="0.4">
      <c r="A64" s="403">
        <v>51</v>
      </c>
      <c r="B64" s="426" t="s">
        <v>227</v>
      </c>
      <c r="C64" s="427" t="s">
        <v>114</v>
      </c>
      <c r="D64" s="403" t="s">
        <v>129</v>
      </c>
      <c r="E64" s="403" t="s">
        <v>130</v>
      </c>
      <c r="F64" s="528" t="s">
        <v>220</v>
      </c>
      <c r="G64" s="529" t="s">
        <v>221</v>
      </c>
      <c r="H64" s="530">
        <v>25</v>
      </c>
      <c r="I64" s="530">
        <v>1</v>
      </c>
      <c r="J64" s="509">
        <v>550</v>
      </c>
      <c r="K64" s="509">
        <f t="shared" si="39"/>
        <v>13750</v>
      </c>
      <c r="L64" s="509">
        <f t="shared" si="40"/>
        <v>1237.5</v>
      </c>
      <c r="M64" s="509">
        <f t="shared" si="41"/>
        <v>300.34018889026976</v>
      </c>
      <c r="N64" s="510">
        <f t="shared" si="42"/>
        <v>15287.84018889027</v>
      </c>
      <c r="O64" s="468">
        <v>19769.12</v>
      </c>
      <c r="Q64" s="511">
        <v>1</v>
      </c>
      <c r="R64" s="512">
        <f t="shared" si="43"/>
        <v>1</v>
      </c>
      <c r="S64" s="513">
        <v>19769.12</v>
      </c>
      <c r="T64" s="513">
        <f t="shared" si="44"/>
        <v>19769.12</v>
      </c>
      <c r="U64" s="514">
        <f t="shared" si="45"/>
        <v>-6019.119999999999</v>
      </c>
      <c r="V64" s="457">
        <f t="shared" si="46"/>
        <v>0</v>
      </c>
      <c r="W64" s="458">
        <f t="shared" si="47"/>
        <v>0</v>
      </c>
      <c r="X64" s="458">
        <f t="shared" si="48"/>
        <v>19769.12</v>
      </c>
      <c r="Y64" s="515">
        <f t="shared" si="49"/>
        <v>20069.460188890269</v>
      </c>
      <c r="Z64" s="428">
        <f t="shared" si="50"/>
        <v>-0.43775418181818176</v>
      </c>
      <c r="AA64" s="445">
        <f>T64/$T$66</f>
        <v>0.91591040079465824</v>
      </c>
      <c r="AB64" s="376">
        <f t="shared" si="2"/>
        <v>0</v>
      </c>
      <c r="AC64" s="377">
        <v>19769.12</v>
      </c>
      <c r="AD64" s="375" t="s">
        <v>596</v>
      </c>
      <c r="AE64" s="446">
        <v>19769.12</v>
      </c>
      <c r="AF64" s="447">
        <f>T64-AE64</f>
        <v>0</v>
      </c>
      <c r="AG64" s="448">
        <v>46108</v>
      </c>
      <c r="AI64" s="449" t="s">
        <v>453</v>
      </c>
      <c r="AJ64" s="450" t="s">
        <v>454</v>
      </c>
    </row>
    <row r="65" spans="1:36" ht="80.099999999999994" customHeight="1" x14ac:dyDescent="0.4">
      <c r="A65" s="451">
        <v>52</v>
      </c>
      <c r="B65" s="426" t="s">
        <v>266</v>
      </c>
      <c r="C65" s="452" t="s">
        <v>114</v>
      </c>
      <c r="D65" s="403" t="s">
        <v>129</v>
      </c>
      <c r="E65" s="403" t="s">
        <v>130</v>
      </c>
      <c r="F65" s="477" t="s">
        <v>374</v>
      </c>
      <c r="G65" s="477" t="s">
        <v>375</v>
      </c>
      <c r="H65" s="435">
        <v>25</v>
      </c>
      <c r="I65" s="435">
        <v>1</v>
      </c>
      <c r="J65" s="436">
        <v>45</v>
      </c>
      <c r="K65" s="436">
        <f>IF(F65&lt;&gt;"",H65*I65*J65,"")</f>
        <v>1125</v>
      </c>
      <c r="L65" s="436">
        <f>IF(K65&lt;&gt;"",IF(D65="INTERNO",0,K65*$L$14),"")</f>
        <v>101.25</v>
      </c>
      <c r="M65" s="436">
        <f>IF(K65&lt;&gt;"",IF(E65="FAT.OGGI",SUM(K65:L65)*(1/(1-$M$14)-1),L65*(1/(1-$M$14)-1)),"")</f>
        <v>24.573288181931161</v>
      </c>
      <c r="N65" s="436">
        <f>SUM(K65:M65)</f>
        <v>1250.8232881819313</v>
      </c>
      <c r="O65" s="478">
        <v>1815</v>
      </c>
      <c r="Q65" s="531">
        <f>IF(H65&lt;&gt;"",H65,"")</f>
        <v>25</v>
      </c>
      <c r="R65" s="531">
        <f>IF(I65&lt;&gt;"",I65,"")</f>
        <v>1</v>
      </c>
      <c r="S65" s="480">
        <v>35</v>
      </c>
      <c r="T65" s="480">
        <v>1815</v>
      </c>
      <c r="U65" s="481">
        <f>IF(Q65&lt;&gt;"",K65-T65,"")</f>
        <v>-690</v>
      </c>
      <c r="V65" s="482">
        <f>IF(Q65&lt;&gt;"",0%,"")</f>
        <v>0</v>
      </c>
      <c r="W65" s="483">
        <f>IF(Q65&lt;&gt;"",V65*U65,"")</f>
        <v>0</v>
      </c>
      <c r="X65" s="483">
        <f>IF(Q65&lt;&gt;"",W65+T65,"")</f>
        <v>1815</v>
      </c>
      <c r="Y65" s="443">
        <f>IF(Q65&lt;&gt;"",X65+M65,"")</f>
        <v>1839.5732881819313</v>
      </c>
      <c r="Z65" s="445">
        <f>IF(Q65&lt;&gt;"",U65/K65,"")</f>
        <v>-0.61333333333333329</v>
      </c>
      <c r="AA65" s="461"/>
      <c r="AB65" s="376">
        <f t="shared" si="2"/>
        <v>0</v>
      </c>
      <c r="AC65" s="377">
        <f>1500+315</f>
        <v>1815</v>
      </c>
      <c r="AD65" s="375" t="s">
        <v>597</v>
      </c>
      <c r="AE65" s="446">
        <v>1315</v>
      </c>
      <c r="AF65" s="447">
        <f>T65-AE65</f>
        <v>500</v>
      </c>
      <c r="AG65" s="448">
        <v>46113</v>
      </c>
      <c r="AI65" s="449" t="s">
        <v>482</v>
      </c>
      <c r="AJ65" s="450" t="s">
        <v>483</v>
      </c>
    </row>
    <row r="66" spans="1:36" ht="30" customHeight="1" thickBot="1" x14ac:dyDescent="0.45">
      <c r="A66" s="484">
        <v>53</v>
      </c>
      <c r="B66" s="426"/>
      <c r="C66" s="485" t="s">
        <v>122</v>
      </c>
      <c r="D66" s="484"/>
      <c r="E66" s="484"/>
      <c r="F66" s="750" t="s">
        <v>249</v>
      </c>
      <c r="G66" s="751"/>
      <c r="H66" s="751"/>
      <c r="I66" s="751"/>
      <c r="J66" s="751"/>
      <c r="K66" s="532">
        <f>SUM(K63:K65)</f>
        <v>23375</v>
      </c>
      <c r="L66" s="532">
        <f>SUM(L63:L65)</f>
        <v>2103.75</v>
      </c>
      <c r="M66" s="532">
        <f>SUM(M63:M65)</f>
        <v>510.57832111345863</v>
      </c>
      <c r="N66" s="533">
        <f>SUM(N63:N65)</f>
        <v>25989.328321113459</v>
      </c>
      <c r="Q66" s="737" t="s">
        <v>249</v>
      </c>
      <c r="R66" s="738"/>
      <c r="S66" s="738"/>
      <c r="T66" s="534">
        <f>SUM(T63:T65)</f>
        <v>21584.12</v>
      </c>
      <c r="U66" s="535">
        <f>SUM(U63:U65)</f>
        <v>1790.880000000001</v>
      </c>
      <c r="V66" s="536"/>
      <c r="W66" s="536"/>
      <c r="X66" s="537">
        <f>SUM(X63:X65)</f>
        <v>21584.12</v>
      </c>
      <c r="Y66" s="538">
        <f t="shared" si="49"/>
        <v>22094.698321113457</v>
      </c>
      <c r="AB66" s="376"/>
      <c r="AC66" s="377"/>
    </row>
    <row r="67" spans="1:36" ht="30" customHeight="1" thickBot="1" x14ac:dyDescent="0.45">
      <c r="A67" s="403">
        <v>54</v>
      </c>
      <c r="B67" s="426">
        <v>9</v>
      </c>
      <c r="C67" s="427" t="s">
        <v>108</v>
      </c>
      <c r="D67" s="403"/>
      <c r="E67" s="403"/>
      <c r="F67" s="716" t="s">
        <v>292</v>
      </c>
      <c r="G67" s="717"/>
      <c r="H67" s="717"/>
      <c r="I67" s="717"/>
      <c r="J67" s="717"/>
      <c r="K67" s="717"/>
      <c r="L67" s="717"/>
      <c r="M67" s="717"/>
      <c r="N67" s="718"/>
      <c r="Q67" s="716" t="str">
        <f>IF(F67&lt;&gt;"",F67,"")</f>
        <v>ATRAÇÃO BELO HORIZONTE</v>
      </c>
      <c r="R67" s="717"/>
      <c r="S67" s="717"/>
      <c r="T67" s="717"/>
      <c r="U67" s="717"/>
      <c r="V67" s="717"/>
      <c r="W67" s="717"/>
      <c r="X67" s="717"/>
      <c r="Y67" s="718"/>
      <c r="AB67" s="376"/>
      <c r="AC67" s="377"/>
    </row>
    <row r="68" spans="1:36" ht="30" customHeight="1" x14ac:dyDescent="0.4">
      <c r="A68" s="403">
        <v>55</v>
      </c>
      <c r="B68" s="426" t="s">
        <v>250</v>
      </c>
      <c r="C68" s="427" t="s">
        <v>109</v>
      </c>
      <c r="D68" s="403"/>
      <c r="E68" s="403"/>
      <c r="F68" s="735" t="s">
        <v>288</v>
      </c>
      <c r="G68" s="736"/>
      <c r="H68" s="736"/>
      <c r="I68" s="736"/>
      <c r="J68" s="736"/>
      <c r="K68" s="736"/>
      <c r="L68" s="539" t="s">
        <v>111</v>
      </c>
      <c r="M68" s="539" t="s">
        <v>112</v>
      </c>
      <c r="N68" s="540" t="s">
        <v>81</v>
      </c>
      <c r="Q68" s="722" t="str">
        <f>IF(F68&lt;&gt;"",F68,"")</f>
        <v xml:space="preserve">ATRAÇÃO </v>
      </c>
      <c r="R68" s="723"/>
      <c r="S68" s="723"/>
      <c r="T68" s="723"/>
      <c r="U68" s="723"/>
      <c r="V68" s="723"/>
      <c r="W68" s="723"/>
      <c r="X68" s="723"/>
      <c r="Y68" s="724"/>
      <c r="Z68" s="431" t="s">
        <v>113</v>
      </c>
      <c r="AA68" s="432" t="s">
        <v>82</v>
      </c>
      <c r="AB68" s="376"/>
      <c r="AC68" s="377"/>
    </row>
    <row r="69" spans="1:36" ht="80.099999999999994" customHeight="1" x14ac:dyDescent="0.4">
      <c r="A69" s="451">
        <v>56</v>
      </c>
      <c r="B69" s="426" t="s">
        <v>251</v>
      </c>
      <c r="C69" s="452" t="s">
        <v>114</v>
      </c>
      <c r="D69" s="403" t="s">
        <v>129</v>
      </c>
      <c r="E69" s="541" t="s">
        <v>130</v>
      </c>
      <c r="F69" s="496" t="s">
        <v>367</v>
      </c>
      <c r="G69" s="497" t="s">
        <v>334</v>
      </c>
      <c r="H69" s="498">
        <v>1</v>
      </c>
      <c r="I69" s="498">
        <v>1</v>
      </c>
      <c r="J69" s="499">
        <v>11500</v>
      </c>
      <c r="K69" s="502">
        <f>IF(F69&lt;&gt;"",H69*I69*J69,"")</f>
        <v>11500</v>
      </c>
      <c r="L69" s="502">
        <f>IF(K69&lt;&gt;"",IF(D69="INTERNO",0,K69*$L$14),"")</f>
        <v>1035</v>
      </c>
      <c r="M69" s="502">
        <f>IF(K69&lt;&gt;"",IF(E69="FAT.OGGI",SUM(K69:L69)*(1/(1-$M$14)-1),L69*(1/(1-$M$14)-1)),"")</f>
        <v>251.19361252640743</v>
      </c>
      <c r="N69" s="503">
        <f>SUM(K69:M69)</f>
        <v>12786.193612526407</v>
      </c>
      <c r="O69" s="378" t="s">
        <v>531</v>
      </c>
      <c r="Q69" s="542">
        <f t="shared" ref="Q69:R69" si="51">IF(H69&lt;&gt;"",H69,"")</f>
        <v>1</v>
      </c>
      <c r="R69" s="543">
        <f t="shared" si="51"/>
        <v>1</v>
      </c>
      <c r="S69" s="544">
        <v>18172.5</v>
      </c>
      <c r="T69" s="544">
        <f>IF(Q69&lt;&gt;"",Q69*R69*S69,"")</f>
        <v>18172.5</v>
      </c>
      <c r="U69" s="521">
        <f>IF(Q69&lt;&gt;"",K69-T69,"")</f>
        <v>-6672.5</v>
      </c>
      <c r="V69" s="545">
        <f>IF(Q69&lt;&gt;"",0%,"")</f>
        <v>0</v>
      </c>
      <c r="W69" s="522">
        <f>IF(Q69&lt;&gt;"",V69*U69,"")</f>
        <v>0</v>
      </c>
      <c r="X69" s="522">
        <f>IF(Q69&lt;&gt;"",W69+T69,"")</f>
        <v>18172.5</v>
      </c>
      <c r="Y69" s="523">
        <f t="shared" ref="Y69:Y71" si="52">IF(Q69&lt;&gt;"",X69+M69,"")</f>
        <v>18423.693612526407</v>
      </c>
      <c r="Z69" s="546">
        <f>IF(Q69&lt;&gt;"",U69/K69,"")</f>
        <v>-0.5802173913043478</v>
      </c>
      <c r="AA69" s="547"/>
      <c r="AB69" s="376">
        <f t="shared" si="2"/>
        <v>0</v>
      </c>
      <c r="AC69" s="377">
        <f>8925+8925+322.5</f>
        <v>18172.5</v>
      </c>
      <c r="AD69" s="375" t="s">
        <v>584</v>
      </c>
      <c r="AE69" s="446">
        <v>17850</v>
      </c>
      <c r="AF69" s="447">
        <f>T69-AE69</f>
        <v>322.5</v>
      </c>
      <c r="AG69" s="448">
        <v>46090</v>
      </c>
      <c r="AI69" s="449" t="s">
        <v>392</v>
      </c>
      <c r="AJ69" s="450" t="s">
        <v>393</v>
      </c>
    </row>
    <row r="70" spans="1:36" ht="80.099999999999994" customHeight="1" x14ac:dyDescent="0.4">
      <c r="A70" s="451">
        <v>57</v>
      </c>
      <c r="B70" s="426" t="s">
        <v>252</v>
      </c>
      <c r="C70" s="452" t="s">
        <v>114</v>
      </c>
      <c r="D70" s="484" t="s">
        <v>129</v>
      </c>
      <c r="E70" s="548" t="s">
        <v>130</v>
      </c>
      <c r="F70" s="496" t="s">
        <v>367</v>
      </c>
      <c r="G70" s="497" t="s">
        <v>337</v>
      </c>
      <c r="H70" s="498">
        <v>1</v>
      </c>
      <c r="I70" s="498">
        <v>1</v>
      </c>
      <c r="J70" s="499">
        <v>8500</v>
      </c>
      <c r="K70" s="502">
        <f>IF(F70&lt;&gt;"",H70*I70*J70,"")</f>
        <v>8500</v>
      </c>
      <c r="L70" s="502">
        <f>IF(K70&lt;&gt;"",IF(D70="INTERNO",0,K70*$L$14),"")</f>
        <v>765</v>
      </c>
      <c r="M70" s="502">
        <f>IF(K70&lt;&gt;"",IF(E70="FAT.OGGI",SUM(K70:L70)*(1/(1-$M$14)-1),L70*(1/(1-$M$14)-1)),"")</f>
        <v>185.66484404125768</v>
      </c>
      <c r="N70" s="503">
        <f>SUM(K70:M70)</f>
        <v>9450.6648440412573</v>
      </c>
      <c r="O70" s="378" t="s">
        <v>531</v>
      </c>
      <c r="Q70" s="549">
        <f>IF(H70&lt;&gt;"",H70,"")</f>
        <v>1</v>
      </c>
      <c r="R70" s="549">
        <f>IF(I70&lt;&gt;"",I70,"")</f>
        <v>1</v>
      </c>
      <c r="S70" s="550">
        <v>0</v>
      </c>
      <c r="T70" s="550">
        <f>IF(Q70&lt;&gt;"",Q70*R70*S70,"")</f>
        <v>0</v>
      </c>
      <c r="U70" s="551">
        <f>IF(Q70&lt;&gt;"",K70-T70,"")</f>
        <v>8500</v>
      </c>
      <c r="V70" s="552">
        <f>IF(Q70&lt;&gt;"",0%,"")</f>
        <v>0</v>
      </c>
      <c r="W70" s="553">
        <f>IF(Q70&lt;&gt;"",V70*U70,"")</f>
        <v>0</v>
      </c>
      <c r="X70" s="553">
        <f>IF(Q70&lt;&gt;"",W70+T70,"")</f>
        <v>0</v>
      </c>
      <c r="Y70" s="522">
        <f t="shared" si="52"/>
        <v>185.66484404125768</v>
      </c>
      <c r="Z70" s="547">
        <f>IF(Q70&lt;&gt;"",U70/K70,"")</f>
        <v>1</v>
      </c>
      <c r="AA70" s="554"/>
      <c r="AB70" s="376">
        <f t="shared" si="2"/>
        <v>0</v>
      </c>
      <c r="AC70" s="377">
        <v>0</v>
      </c>
    </row>
    <row r="71" spans="1:36" ht="30" customHeight="1" thickBot="1" x14ac:dyDescent="0.45">
      <c r="A71" s="517">
        <v>58</v>
      </c>
      <c r="B71" s="426"/>
      <c r="C71" s="518" t="s">
        <v>122</v>
      </c>
      <c r="D71" s="517"/>
      <c r="E71" s="555"/>
      <c r="F71" s="752" t="s">
        <v>289</v>
      </c>
      <c r="G71" s="753"/>
      <c r="H71" s="753"/>
      <c r="I71" s="753"/>
      <c r="J71" s="753"/>
      <c r="K71" s="556">
        <f>SUM(K69:K70)</f>
        <v>20000</v>
      </c>
      <c r="L71" s="556">
        <f>SUM(L69:L70)</f>
        <v>1800</v>
      </c>
      <c r="M71" s="556">
        <f>SUM(M69:M70)</f>
        <v>436.85845656766514</v>
      </c>
      <c r="N71" s="557">
        <f>SUM(N69:N70)</f>
        <v>22236.858456567665</v>
      </c>
      <c r="Q71" s="707" t="s">
        <v>289</v>
      </c>
      <c r="R71" s="708"/>
      <c r="S71" s="708"/>
      <c r="T71" s="455">
        <f>SUM(T69:T70)</f>
        <v>18172.5</v>
      </c>
      <c r="U71" s="456">
        <f>SUM(U69:U70)</f>
        <v>1827.5</v>
      </c>
      <c r="V71" s="558"/>
      <c r="W71" s="459"/>
      <c r="X71" s="459">
        <f>SUM(X69:X70)</f>
        <v>18172.5</v>
      </c>
      <c r="Y71" s="460">
        <f t="shared" si="52"/>
        <v>18609.358456567665</v>
      </c>
      <c r="Z71" s="554"/>
      <c r="AA71" s="559"/>
      <c r="AB71" s="376"/>
      <c r="AC71" s="377"/>
    </row>
    <row r="72" spans="1:36" ht="30" customHeight="1" thickBot="1" x14ac:dyDescent="0.45">
      <c r="A72" s="484">
        <v>59</v>
      </c>
      <c r="B72" s="426">
        <v>10</v>
      </c>
      <c r="C72" s="485" t="s">
        <v>108</v>
      </c>
      <c r="D72" s="484"/>
      <c r="E72" s="484"/>
      <c r="F72" s="716" t="s">
        <v>291</v>
      </c>
      <c r="G72" s="717"/>
      <c r="H72" s="717"/>
      <c r="I72" s="717"/>
      <c r="J72" s="717"/>
      <c r="K72" s="717"/>
      <c r="L72" s="717"/>
      <c r="M72" s="717"/>
      <c r="N72" s="718"/>
      <c r="Q72" s="716" t="str">
        <f>IF(F72&lt;&gt;"",F72,"")</f>
        <v xml:space="preserve">CENOGRAFIA BELO HORIZONTE </v>
      </c>
      <c r="R72" s="717"/>
      <c r="S72" s="717"/>
      <c r="T72" s="717"/>
      <c r="U72" s="717"/>
      <c r="V72" s="717"/>
      <c r="W72" s="717"/>
      <c r="X72" s="717"/>
      <c r="Y72" s="718"/>
      <c r="AB72" s="376"/>
      <c r="AC72" s="377"/>
    </row>
    <row r="73" spans="1:36" ht="30" customHeight="1" x14ac:dyDescent="0.4">
      <c r="A73" s="403">
        <v>60</v>
      </c>
      <c r="B73" s="426" t="s">
        <v>272</v>
      </c>
      <c r="C73" s="427" t="s">
        <v>109</v>
      </c>
      <c r="D73" s="403"/>
      <c r="E73" s="403"/>
      <c r="F73" s="722" t="s">
        <v>166</v>
      </c>
      <c r="G73" s="723"/>
      <c r="H73" s="723"/>
      <c r="I73" s="723"/>
      <c r="J73" s="723"/>
      <c r="K73" s="723"/>
      <c r="L73" s="429" t="s">
        <v>111</v>
      </c>
      <c r="M73" s="429" t="s">
        <v>112</v>
      </c>
      <c r="N73" s="430" t="s">
        <v>81</v>
      </c>
      <c r="Q73" s="722" t="str">
        <f>IF(F73&lt;&gt;"",F73,"")</f>
        <v>CENOGRAFIA</v>
      </c>
      <c r="R73" s="723"/>
      <c r="S73" s="723"/>
      <c r="T73" s="723"/>
      <c r="U73" s="723"/>
      <c r="V73" s="723"/>
      <c r="W73" s="723"/>
      <c r="X73" s="723"/>
      <c r="Y73" s="724"/>
      <c r="Z73" s="431" t="s">
        <v>113</v>
      </c>
      <c r="AA73" s="432" t="s">
        <v>82</v>
      </c>
      <c r="AB73" s="376"/>
      <c r="AC73" s="377"/>
    </row>
    <row r="74" spans="1:36" ht="80.099999999999994" customHeight="1" x14ac:dyDescent="0.4">
      <c r="A74" s="403">
        <v>61</v>
      </c>
      <c r="B74" s="426" t="s">
        <v>273</v>
      </c>
      <c r="C74" s="427" t="s">
        <v>114</v>
      </c>
      <c r="D74" s="403" t="s">
        <v>129</v>
      </c>
      <c r="E74" s="403" t="s">
        <v>130</v>
      </c>
      <c r="F74" s="496" t="s">
        <v>368</v>
      </c>
      <c r="G74" s="497" t="s">
        <v>235</v>
      </c>
      <c r="H74" s="435">
        <v>1</v>
      </c>
      <c r="I74" s="435">
        <v>1</v>
      </c>
      <c r="J74" s="436">
        <v>4000</v>
      </c>
      <c r="K74" s="436">
        <f>IF(F74&lt;&gt;"",H74*I74*J74,"")</f>
        <v>4000</v>
      </c>
      <c r="L74" s="436">
        <f>IF(K74&lt;&gt;"",IF(D74="INTERNO",0,K74*$L$14),"")</f>
        <v>360</v>
      </c>
      <c r="M74" s="436">
        <f>IF(K74&lt;&gt;"",IF(E74="FAT.OGGI",SUM(K74:L74)*(1/(1-$M$14)-1),L74*(1/(1-$M$14)-1)),"")</f>
        <v>87.37169131353302</v>
      </c>
      <c r="N74" s="437">
        <f>SUM(K74:M74)</f>
        <v>4447.3716913135331</v>
      </c>
      <c r="O74" s="378" t="s">
        <v>531</v>
      </c>
      <c r="Q74" s="438">
        <f t="shared" ref="Q74:R76" si="53">IF(H74&lt;&gt;"",H74,"")</f>
        <v>1</v>
      </c>
      <c r="R74" s="439">
        <f t="shared" si="53"/>
        <v>1</v>
      </c>
      <c r="S74" s="440">
        <v>3000</v>
      </c>
      <c r="T74" s="440">
        <v>0</v>
      </c>
      <c r="U74" s="441">
        <f>IF(Q74&lt;&gt;"",K74-T74,"")</f>
        <v>4000</v>
      </c>
      <c r="V74" s="442">
        <f>IF(Q74&lt;&gt;"",0%,"")</f>
        <v>0</v>
      </c>
      <c r="W74" s="443">
        <f>IF(Q74&lt;&gt;"",V74*U74,"")</f>
        <v>0</v>
      </c>
      <c r="X74" s="443">
        <f>IF(Q74&lt;&gt;"",W74+T74,"")</f>
        <v>0</v>
      </c>
      <c r="Y74" s="444">
        <f>IF(Q74&lt;&gt;"",X74+M74,"")</f>
        <v>87.37169131353302</v>
      </c>
      <c r="Z74" s="428">
        <f>IF(Q74&lt;&gt;"",U74/K74,"")</f>
        <v>1</v>
      </c>
      <c r="AA74" s="445">
        <f>T74/$T$84</f>
        <v>0</v>
      </c>
      <c r="AB74" s="376">
        <f t="shared" si="2"/>
        <v>0</v>
      </c>
      <c r="AC74" s="377">
        <v>0</v>
      </c>
    </row>
    <row r="75" spans="1:36" ht="80.099999999999994" customHeight="1" x14ac:dyDescent="0.4">
      <c r="A75" s="403">
        <v>62</v>
      </c>
      <c r="B75" s="426" t="s">
        <v>274</v>
      </c>
      <c r="C75" s="427" t="s">
        <v>114</v>
      </c>
      <c r="D75" s="403" t="s">
        <v>129</v>
      </c>
      <c r="E75" s="403" t="s">
        <v>130</v>
      </c>
      <c r="F75" s="496" t="s">
        <v>369</v>
      </c>
      <c r="G75" s="497" t="s">
        <v>270</v>
      </c>
      <c r="H75" s="435">
        <v>1</v>
      </c>
      <c r="I75" s="435">
        <v>1</v>
      </c>
      <c r="J75" s="436">
        <v>2000</v>
      </c>
      <c r="K75" s="436">
        <f>IF(F75&lt;&gt;"",H75*I75*J75,"")</f>
        <v>2000</v>
      </c>
      <c r="L75" s="436">
        <f>IF(K75&lt;&gt;"",IF(D75="INTERNO",0,K75*$L$14),"")</f>
        <v>180</v>
      </c>
      <c r="M75" s="436">
        <f>IF(K75&lt;&gt;"",IF(E75="FAT.OGGI",SUM(K75:L75)*(1/(1-$M$14)-1),L75*(1/(1-$M$14)-1)),"")</f>
        <v>43.68584565676651</v>
      </c>
      <c r="N75" s="437">
        <f>SUM(K75:M75)</f>
        <v>2223.6858456567666</v>
      </c>
      <c r="O75" s="378" t="s">
        <v>531</v>
      </c>
      <c r="Q75" s="438">
        <f t="shared" si="53"/>
        <v>1</v>
      </c>
      <c r="R75" s="439">
        <f t="shared" si="53"/>
        <v>1</v>
      </c>
      <c r="S75" s="440">
        <v>1200</v>
      </c>
      <c r="T75" s="440">
        <v>0</v>
      </c>
      <c r="U75" s="441">
        <f>IF(Q75&lt;&gt;"",K75-T75,"")</f>
        <v>2000</v>
      </c>
      <c r="V75" s="442">
        <f>IF(Q75&lt;&gt;"",0%,"")</f>
        <v>0</v>
      </c>
      <c r="W75" s="443">
        <f>IF(Q75&lt;&gt;"",V75*U75,"")</f>
        <v>0</v>
      </c>
      <c r="X75" s="443">
        <f>IF(Q75&lt;&gt;"",W75+T75,"")</f>
        <v>0</v>
      </c>
      <c r="Y75" s="444">
        <f>IF(Q75&lt;&gt;"",X75+M75,"")</f>
        <v>43.68584565676651</v>
      </c>
      <c r="Z75" s="428">
        <f>IF(Q75&lt;&gt;"",U75/K75,"")</f>
        <v>1</v>
      </c>
      <c r="AA75" s="445">
        <f>T75/$T$84</f>
        <v>0</v>
      </c>
      <c r="AB75" s="376">
        <f t="shared" si="2"/>
        <v>0</v>
      </c>
      <c r="AC75" s="377">
        <v>0</v>
      </c>
    </row>
    <row r="76" spans="1:36" ht="80.099999999999994" customHeight="1" x14ac:dyDescent="0.4">
      <c r="A76" s="403">
        <v>63</v>
      </c>
      <c r="B76" s="426" t="s">
        <v>275</v>
      </c>
      <c r="C76" s="427" t="s">
        <v>114</v>
      </c>
      <c r="D76" s="403" t="s">
        <v>129</v>
      </c>
      <c r="E76" s="403" t="s">
        <v>130</v>
      </c>
      <c r="F76" s="505" t="s">
        <v>370</v>
      </c>
      <c r="G76" s="506" t="s">
        <v>295</v>
      </c>
      <c r="H76" s="530">
        <v>1</v>
      </c>
      <c r="I76" s="530">
        <v>1</v>
      </c>
      <c r="J76" s="509">
        <v>4000</v>
      </c>
      <c r="K76" s="509">
        <f>IF(F76&lt;&gt;"",H76*I76*J76,"")</f>
        <v>4000</v>
      </c>
      <c r="L76" s="509">
        <f>IF(K76&lt;&gt;"",IF(D76="INTERNO",0,K76*$L$14),"")</f>
        <v>360</v>
      </c>
      <c r="M76" s="509">
        <f>IF(K76&lt;&gt;"",IF(E76="FAT.OGGI",SUM(K76:L76)*(1/(1-$M$14)-1),L76*(1/(1-$M$14)-1)),"")</f>
        <v>87.37169131353302</v>
      </c>
      <c r="N76" s="510">
        <f>SUM(K76:M76)</f>
        <v>4447.3716913135331</v>
      </c>
      <c r="O76" s="378" t="s">
        <v>531</v>
      </c>
      <c r="Q76" s="511">
        <f t="shared" si="53"/>
        <v>1</v>
      </c>
      <c r="R76" s="512">
        <f t="shared" si="53"/>
        <v>1</v>
      </c>
      <c r="S76" s="513">
        <v>2900</v>
      </c>
      <c r="T76" s="513">
        <v>7100</v>
      </c>
      <c r="U76" s="514">
        <f>IF(Q76&lt;&gt;"",K76-T76,"")</f>
        <v>-3100</v>
      </c>
      <c r="V76" s="457">
        <f>IF(Q76&lt;&gt;"",0%,"")</f>
        <v>0</v>
      </c>
      <c r="W76" s="458">
        <f>IF(Q76&lt;&gt;"",V76*U76,"")</f>
        <v>0</v>
      </c>
      <c r="X76" s="458">
        <f>IF(Q76&lt;&gt;"",W76+T76,"")</f>
        <v>7100</v>
      </c>
      <c r="Y76" s="515">
        <f>IF(Q76&lt;&gt;"",X76+M76,"")</f>
        <v>7187.3716913135331</v>
      </c>
      <c r="Z76" s="428">
        <f>IF(Q76&lt;&gt;"",U76/K76,"")</f>
        <v>-0.77500000000000002</v>
      </c>
      <c r="AA76" s="445">
        <f>T76/$T$84</f>
        <v>1.5777777777777777</v>
      </c>
      <c r="AB76" s="376">
        <f t="shared" si="2"/>
        <v>0</v>
      </c>
      <c r="AC76" s="377">
        <v>7100</v>
      </c>
      <c r="AD76" s="375" t="s">
        <v>598</v>
      </c>
      <c r="AE76" s="446">
        <v>7100</v>
      </c>
      <c r="AF76" s="447">
        <f>T76-AE76</f>
        <v>0</v>
      </c>
      <c r="AG76" s="448">
        <v>46113</v>
      </c>
      <c r="AI76" s="449" t="s">
        <v>470</v>
      </c>
      <c r="AJ76" s="450" t="s">
        <v>471</v>
      </c>
    </row>
    <row r="77" spans="1:36" ht="80.099999999999994" customHeight="1" x14ac:dyDescent="0.4">
      <c r="A77" s="451">
        <v>64</v>
      </c>
      <c r="B77" s="426" t="s">
        <v>363</v>
      </c>
      <c r="C77" s="452" t="s">
        <v>114</v>
      </c>
      <c r="D77" s="403" t="s">
        <v>129</v>
      </c>
      <c r="E77" s="403" t="s">
        <v>130</v>
      </c>
      <c r="F77" s="477" t="s">
        <v>373</v>
      </c>
      <c r="G77" s="477" t="s">
        <v>339</v>
      </c>
      <c r="H77" s="435">
        <v>1</v>
      </c>
      <c r="I77" s="435">
        <v>1</v>
      </c>
      <c r="J77" s="436">
        <v>1300</v>
      </c>
      <c r="K77" s="436">
        <v>1300</v>
      </c>
      <c r="L77" s="436">
        <f>IF(K77&lt;&gt;"",IF(D77="INTERNO",0,K77*$L$14),"")</f>
        <v>117</v>
      </c>
      <c r="M77" s="436">
        <f>IF(K77&lt;&gt;"",IF(E77="FAT.OGGI",SUM(K77:L77)*(1/(1-$M$14)-1),L77*(1/(1-$M$14)-1)),"")</f>
        <v>28.395799676898232</v>
      </c>
      <c r="N77" s="436">
        <f>SUM(K77:M77)</f>
        <v>1445.3957996768982</v>
      </c>
      <c r="Q77" s="531">
        <f>IF(H77&lt;&gt;"",H77,"")</f>
        <v>1</v>
      </c>
      <c r="R77" s="531">
        <f>IF(I77&lt;&gt;"",I77,"")</f>
        <v>1</v>
      </c>
      <c r="S77" s="480">
        <v>200</v>
      </c>
      <c r="T77" s="480">
        <v>0</v>
      </c>
      <c r="U77" s="481">
        <f>IF(Q77&lt;&gt;"",K77-T77,"")</f>
        <v>1300</v>
      </c>
      <c r="V77" s="482">
        <f>IF(Q77&lt;&gt;"",0%,"")</f>
        <v>0</v>
      </c>
      <c r="W77" s="483">
        <f>IF(Q77&lt;&gt;"",V77*U77,"")</f>
        <v>0</v>
      </c>
      <c r="X77" s="483">
        <f>IF(Q77&lt;&gt;"",W77+T77,"")</f>
        <v>0</v>
      </c>
      <c r="Y77" s="443">
        <f>IF(Q77&lt;&gt;"",X77+M77,"")</f>
        <v>28.395799676898232</v>
      </c>
      <c r="Z77" s="445">
        <f>IF(Q77&lt;&gt;"",U77/K77,"")</f>
        <v>1</v>
      </c>
      <c r="AA77" s="445"/>
      <c r="AB77" s="376">
        <f t="shared" si="2"/>
        <v>0</v>
      </c>
      <c r="AC77" s="377">
        <v>0</v>
      </c>
    </row>
    <row r="78" spans="1:36" ht="30" customHeight="1" thickBot="1" x14ac:dyDescent="0.45">
      <c r="A78" s="484">
        <v>65</v>
      </c>
      <c r="B78" s="426"/>
      <c r="C78" s="485" t="s">
        <v>122</v>
      </c>
      <c r="D78" s="484"/>
      <c r="E78" s="484"/>
      <c r="F78" s="737" t="s">
        <v>201</v>
      </c>
      <c r="G78" s="738"/>
      <c r="H78" s="738"/>
      <c r="I78" s="738"/>
      <c r="J78" s="738"/>
      <c r="K78" s="560">
        <f>SUM(K74:K77)</f>
        <v>11300</v>
      </c>
      <c r="L78" s="560">
        <f>SUM(L74:L77)</f>
        <v>1017</v>
      </c>
      <c r="M78" s="560">
        <f>SUM(M74:M77)</f>
        <v>246.82502796073081</v>
      </c>
      <c r="N78" s="561">
        <f>SUM(N74:N77)</f>
        <v>12563.825027960731</v>
      </c>
      <c r="Q78" s="737" t="s">
        <v>201</v>
      </c>
      <c r="R78" s="738"/>
      <c r="S78" s="738"/>
      <c r="T78" s="534">
        <f>SUM(T74:T77)</f>
        <v>7100</v>
      </c>
      <c r="U78" s="535">
        <f>SUM(U74:U77)</f>
        <v>4200</v>
      </c>
      <c r="V78" s="536"/>
      <c r="W78" s="536"/>
      <c r="X78" s="537">
        <f>SUM(X74:X77)</f>
        <v>7100</v>
      </c>
      <c r="Y78" s="538">
        <f>IF(Q78&lt;&gt;"",X78+M78,"")</f>
        <v>7346.8250279607309</v>
      </c>
      <c r="AA78" s="445">
        <f t="shared" ref="AA78:AA83" si="54">T78/$T$84</f>
        <v>1.5777777777777777</v>
      </c>
      <c r="AB78" s="376"/>
      <c r="AC78" s="377"/>
    </row>
    <row r="79" spans="1:36" ht="30" customHeight="1" thickBot="1" x14ac:dyDescent="0.45">
      <c r="A79" s="403">
        <v>66</v>
      </c>
      <c r="B79" s="426">
        <v>11</v>
      </c>
      <c r="C79" s="427" t="s">
        <v>108</v>
      </c>
      <c r="D79" s="403"/>
      <c r="E79" s="403"/>
      <c r="F79" s="716" t="s">
        <v>253</v>
      </c>
      <c r="G79" s="717"/>
      <c r="H79" s="717"/>
      <c r="I79" s="717"/>
      <c r="J79" s="717"/>
      <c r="K79" s="717"/>
      <c r="L79" s="717"/>
      <c r="M79" s="717"/>
      <c r="N79" s="718"/>
      <c r="Q79" s="716" t="str">
        <f>IF(F79&lt;&gt;"",F79,"")</f>
        <v xml:space="preserve">STAFF BELO HORIZONTE </v>
      </c>
      <c r="R79" s="717"/>
      <c r="S79" s="717"/>
      <c r="T79" s="717"/>
      <c r="U79" s="717"/>
      <c r="V79" s="717"/>
      <c r="W79" s="717"/>
      <c r="X79" s="717"/>
      <c r="Y79" s="718"/>
      <c r="AA79" s="445">
        <f t="shared" si="54"/>
        <v>0</v>
      </c>
      <c r="AB79" s="376"/>
      <c r="AC79" s="377"/>
    </row>
    <row r="80" spans="1:36" ht="80.099999999999994" customHeight="1" x14ac:dyDescent="0.4">
      <c r="A80" s="403">
        <v>67</v>
      </c>
      <c r="B80" s="426" t="s">
        <v>276</v>
      </c>
      <c r="C80" s="427" t="s">
        <v>114</v>
      </c>
      <c r="D80" s="403" t="s">
        <v>129</v>
      </c>
      <c r="E80" s="403" t="s">
        <v>130</v>
      </c>
      <c r="F80" s="562" t="s">
        <v>371</v>
      </c>
      <c r="G80" s="563" t="s">
        <v>326</v>
      </c>
      <c r="H80" s="564">
        <v>1</v>
      </c>
      <c r="I80" s="564">
        <v>1</v>
      </c>
      <c r="J80" s="565">
        <v>800</v>
      </c>
      <c r="K80" s="565">
        <f>IF(F80&lt;&gt;"",H80*I80*J80,"")</f>
        <v>800</v>
      </c>
      <c r="L80" s="565">
        <f>IF(K80&lt;&gt;"",IF(D80="INTERNO",0,K80*$L$14),"")</f>
        <v>72</v>
      </c>
      <c r="M80" s="565">
        <f>IF(K80&lt;&gt;"",IF(E80="FAT.OGGI",SUM(K80:L80)*(1/(1-$M$14)-1),L80*(1/(1-$M$14)-1)),"")</f>
        <v>17.474338262706603</v>
      </c>
      <c r="N80" s="566">
        <f>SUM(K80:M80)</f>
        <v>889.47433826270662</v>
      </c>
      <c r="O80" s="378" t="s">
        <v>531</v>
      </c>
      <c r="Q80" s="567">
        <f t="shared" ref="Q80:R83" si="55">IF(H80&lt;&gt;"",H80,"")</f>
        <v>1</v>
      </c>
      <c r="R80" s="568">
        <f t="shared" si="55"/>
        <v>1</v>
      </c>
      <c r="S80" s="569">
        <v>400</v>
      </c>
      <c r="T80" s="569">
        <v>450</v>
      </c>
      <c r="U80" s="570">
        <f>IF(Q80&lt;&gt;"",K80-T80,"")</f>
        <v>350</v>
      </c>
      <c r="V80" s="571">
        <f>IF(Q80&lt;&gt;"",0%,"")</f>
        <v>0</v>
      </c>
      <c r="W80" s="572">
        <f>IF(Q80&lt;&gt;"",V80*U80,"")</f>
        <v>0</v>
      </c>
      <c r="X80" s="572">
        <f>IF(Q80&lt;&gt;"",W80+T80,"")</f>
        <v>450</v>
      </c>
      <c r="Y80" s="573">
        <f t="shared" ref="Y80:Y84" si="56">IF(Q80&lt;&gt;"",X80+M80,"")</f>
        <v>467.47433826270662</v>
      </c>
      <c r="Z80" s="428">
        <f>IF(Q80&lt;&gt;"",U80/K80,"")</f>
        <v>0.4375</v>
      </c>
      <c r="AA80" s="445">
        <f t="shared" si="54"/>
        <v>0.1</v>
      </c>
      <c r="AB80" s="376">
        <f t="shared" si="2"/>
        <v>0</v>
      </c>
      <c r="AC80" s="377">
        <v>450</v>
      </c>
      <c r="AD80" s="375" t="s">
        <v>599</v>
      </c>
      <c r="AE80" s="446">
        <v>450</v>
      </c>
      <c r="AF80" s="447">
        <f>T80-AE80</f>
        <v>0</v>
      </c>
      <c r="AG80" s="448">
        <v>46118</v>
      </c>
      <c r="AI80" s="449" t="s">
        <v>501</v>
      </c>
      <c r="AJ80" s="450" t="s">
        <v>502</v>
      </c>
    </row>
    <row r="81" spans="1:36" ht="80.099999999999994" customHeight="1" x14ac:dyDescent="0.4">
      <c r="A81" s="403">
        <v>68</v>
      </c>
      <c r="B81" s="426" t="s">
        <v>277</v>
      </c>
      <c r="C81" s="427" t="s">
        <v>114</v>
      </c>
      <c r="D81" s="403" t="s">
        <v>129</v>
      </c>
      <c r="E81" s="403" t="s">
        <v>130</v>
      </c>
      <c r="F81" s="496" t="s">
        <v>243</v>
      </c>
      <c r="G81" s="497" t="s">
        <v>496</v>
      </c>
      <c r="H81" s="435">
        <v>1</v>
      </c>
      <c r="I81" s="435">
        <v>2</v>
      </c>
      <c r="J81" s="436">
        <v>900</v>
      </c>
      <c r="K81" s="436">
        <f>IF(F81&lt;&gt;"",H81*I81*J81,"")</f>
        <v>1800</v>
      </c>
      <c r="L81" s="436">
        <f>IF(K81&lt;&gt;"",IF(D81="INTERNO",0,K81*$L$14),"")</f>
        <v>162</v>
      </c>
      <c r="M81" s="436">
        <f>IF(K81&lt;&gt;"",IF(E81="FAT.OGGI",SUM(K81:L81)*(1/(1-$M$14)-1),L81*(1/(1-$M$14)-1)),"")</f>
        <v>39.317261091089861</v>
      </c>
      <c r="N81" s="437">
        <f>SUM(K81:M81)</f>
        <v>2001.3172610910899</v>
      </c>
      <c r="O81" s="378" t="s">
        <v>531</v>
      </c>
      <c r="Q81" s="438">
        <f t="shared" si="55"/>
        <v>1</v>
      </c>
      <c r="R81" s="439">
        <v>1</v>
      </c>
      <c r="S81" s="440">
        <v>1800</v>
      </c>
      <c r="T81" s="440">
        <v>1800</v>
      </c>
      <c r="U81" s="441">
        <f>IF(Q81&lt;&gt;"",K81-T81,"")</f>
        <v>0</v>
      </c>
      <c r="V81" s="442">
        <f>IF(Q81&lt;&gt;"",0%,"")</f>
        <v>0</v>
      </c>
      <c r="W81" s="443">
        <f>IF(Q81&lt;&gt;"",V81*U81,"")</f>
        <v>0</v>
      </c>
      <c r="X81" s="443">
        <f>IF(Q81&lt;&gt;"",W81+T81,"")</f>
        <v>1800</v>
      </c>
      <c r="Y81" s="444">
        <f t="shared" si="56"/>
        <v>1839.3172610910899</v>
      </c>
      <c r="Z81" s="428">
        <f>IF(Q81&lt;&gt;"",U81/K81,"")</f>
        <v>0</v>
      </c>
      <c r="AA81" s="445">
        <f t="shared" si="54"/>
        <v>0.4</v>
      </c>
      <c r="AB81" s="376">
        <f t="shared" si="2"/>
        <v>0</v>
      </c>
      <c r="AC81" s="377">
        <v>1800</v>
      </c>
      <c r="AD81" s="375" t="s">
        <v>600</v>
      </c>
      <c r="AE81" s="446">
        <v>1800</v>
      </c>
      <c r="AF81" s="447">
        <f>T81-AE81</f>
        <v>0</v>
      </c>
      <c r="AG81" s="448">
        <v>46118</v>
      </c>
      <c r="AI81" s="449" t="s">
        <v>489</v>
      </c>
      <c r="AJ81" s="450" t="s">
        <v>486</v>
      </c>
    </row>
    <row r="82" spans="1:36" ht="80.099999999999994" customHeight="1" x14ac:dyDescent="0.4">
      <c r="A82" s="403">
        <v>69</v>
      </c>
      <c r="B82" s="426" t="s">
        <v>278</v>
      </c>
      <c r="C82" s="427" t="s">
        <v>114</v>
      </c>
      <c r="D82" s="403" t="s">
        <v>129</v>
      </c>
      <c r="E82" s="403" t="s">
        <v>130</v>
      </c>
      <c r="F82" s="496" t="s">
        <v>244</v>
      </c>
      <c r="G82" s="497" t="s">
        <v>170</v>
      </c>
      <c r="H82" s="435">
        <v>1</v>
      </c>
      <c r="I82" s="435">
        <v>2</v>
      </c>
      <c r="J82" s="436">
        <v>900</v>
      </c>
      <c r="K82" s="436">
        <f>IF(F82&lt;&gt;"",H82*I82*J82,"")</f>
        <v>1800</v>
      </c>
      <c r="L82" s="436">
        <f>IF(K82&lt;&gt;"",IF(D82="INTERNO",0,K82*$L$14),"")</f>
        <v>162</v>
      </c>
      <c r="M82" s="436">
        <f>IF(K82&lt;&gt;"",IF(E82="FAT.OGGI",SUM(K82:L82)*(1/(1-$M$14)-1),L82*(1/(1-$M$14)-1)),"")</f>
        <v>39.317261091089861</v>
      </c>
      <c r="N82" s="437">
        <f>SUM(K82:M82)</f>
        <v>2001.3172610910899</v>
      </c>
      <c r="O82" s="378" t="s">
        <v>531</v>
      </c>
      <c r="Q82" s="438">
        <v>1</v>
      </c>
      <c r="R82" s="439">
        <v>1</v>
      </c>
      <c r="S82" s="440">
        <v>1500</v>
      </c>
      <c r="T82" s="440">
        <f>IF(Q82&lt;&gt;"",Q82*R82*S82,"")</f>
        <v>1500</v>
      </c>
      <c r="U82" s="441">
        <f>IF(Q82&lt;&gt;"",K82-T82,"")</f>
        <v>300</v>
      </c>
      <c r="V82" s="442">
        <f>IF(Q82&lt;&gt;"",0%,"")</f>
        <v>0</v>
      </c>
      <c r="W82" s="443">
        <f>IF(Q82&lt;&gt;"",V82*U82,"")</f>
        <v>0</v>
      </c>
      <c r="X82" s="443">
        <f>IF(Q82&lt;&gt;"",W82+T82,"")</f>
        <v>1500</v>
      </c>
      <c r="Y82" s="444">
        <f t="shared" si="56"/>
        <v>1539.3172610910899</v>
      </c>
      <c r="Z82" s="428">
        <f>IF(Q82&lt;&gt;"",U82/K82,"")</f>
        <v>0.16666666666666666</v>
      </c>
      <c r="AA82" s="445">
        <f t="shared" si="54"/>
        <v>0.33333333333333331</v>
      </c>
      <c r="AB82" s="376">
        <f t="shared" ref="AB82:AB99" si="57">X82-AC82</f>
        <v>0</v>
      </c>
      <c r="AC82" s="377">
        <v>1500</v>
      </c>
      <c r="AD82" s="375" t="s">
        <v>601</v>
      </c>
      <c r="AE82" s="446">
        <v>1500</v>
      </c>
      <c r="AF82" s="447">
        <f>T82-AE82</f>
        <v>0</v>
      </c>
      <c r="AG82" s="448">
        <v>46113</v>
      </c>
      <c r="AI82" s="449" t="s">
        <v>494</v>
      </c>
      <c r="AJ82" s="450" t="s">
        <v>495</v>
      </c>
    </row>
    <row r="83" spans="1:36" ht="80.099999999999994" customHeight="1" x14ac:dyDescent="0.4">
      <c r="A83" s="403">
        <v>70</v>
      </c>
      <c r="B83" s="426" t="s">
        <v>279</v>
      </c>
      <c r="C83" s="427" t="s">
        <v>114</v>
      </c>
      <c r="D83" s="403" t="s">
        <v>129</v>
      </c>
      <c r="E83" s="403" t="s">
        <v>130</v>
      </c>
      <c r="F83" s="574" t="s">
        <v>372</v>
      </c>
      <c r="G83" s="575" t="s">
        <v>173</v>
      </c>
      <c r="H83" s="435">
        <v>1</v>
      </c>
      <c r="I83" s="435">
        <v>1</v>
      </c>
      <c r="J83" s="436">
        <v>1500</v>
      </c>
      <c r="K83" s="436">
        <f>IF(F83&lt;&gt;"",H83*I83*J83,"")</f>
        <v>1500</v>
      </c>
      <c r="L83" s="436">
        <f>IF(K83&lt;&gt;"",IF(D83="INTERNO",0,K83*$L$14),"")</f>
        <v>135</v>
      </c>
      <c r="M83" s="436">
        <f>IF(K83&lt;&gt;"",IF(E83="FAT.OGGI",SUM(K83:L83)*(1/(1-$M$14)-1),L83*(1/(1-$M$14)-1)),"")</f>
        <v>32.764384242574884</v>
      </c>
      <c r="N83" s="437">
        <f>SUM(K83:M83)</f>
        <v>1667.7643842425748</v>
      </c>
      <c r="O83" s="378" t="s">
        <v>531</v>
      </c>
      <c r="Q83" s="438">
        <f t="shared" si="55"/>
        <v>1</v>
      </c>
      <c r="R83" s="439">
        <f t="shared" si="55"/>
        <v>1</v>
      </c>
      <c r="S83" s="440">
        <v>750</v>
      </c>
      <c r="T83" s="440">
        <f>IF(Q83&lt;&gt;"",Q83*R83*S83,"")</f>
        <v>750</v>
      </c>
      <c r="U83" s="441">
        <f>IF(Q83&lt;&gt;"",K83-T83,"")</f>
        <v>750</v>
      </c>
      <c r="V83" s="442">
        <f>IF(Q83&lt;&gt;"",0%,"")</f>
        <v>0</v>
      </c>
      <c r="W83" s="443">
        <f>IF(Q83&lt;&gt;"",V83*U83,"")</f>
        <v>0</v>
      </c>
      <c r="X83" s="443">
        <f>IF(Q83&lt;&gt;"",W83+T83,"")</f>
        <v>750</v>
      </c>
      <c r="Y83" s="444">
        <f t="shared" si="56"/>
        <v>782.76438424257492</v>
      </c>
      <c r="Z83" s="428">
        <f>IF(Q83&lt;&gt;"",U83/K83,"")</f>
        <v>0.5</v>
      </c>
      <c r="AA83" s="445">
        <f t="shared" si="54"/>
        <v>0.16666666666666666</v>
      </c>
      <c r="AB83" s="376">
        <f t="shared" si="57"/>
        <v>0</v>
      </c>
      <c r="AC83" s="377">
        <v>750</v>
      </c>
      <c r="AD83" s="375" t="s">
        <v>602</v>
      </c>
      <c r="AE83" s="446">
        <v>750</v>
      </c>
      <c r="AF83" s="447">
        <f>T83-AE83</f>
        <v>0</v>
      </c>
      <c r="AG83" s="448">
        <v>46108</v>
      </c>
      <c r="AI83" s="449" t="s">
        <v>459</v>
      </c>
      <c r="AJ83" s="450" t="s">
        <v>460</v>
      </c>
    </row>
    <row r="84" spans="1:36" ht="30" customHeight="1" thickBot="1" x14ac:dyDescent="0.45">
      <c r="A84" s="403">
        <v>71</v>
      </c>
      <c r="B84" s="426"/>
      <c r="C84" s="427" t="s">
        <v>122</v>
      </c>
      <c r="D84" s="403"/>
      <c r="E84" s="403"/>
      <c r="F84" s="705" t="s">
        <v>201</v>
      </c>
      <c r="G84" s="706"/>
      <c r="H84" s="706"/>
      <c r="I84" s="706"/>
      <c r="J84" s="706"/>
      <c r="K84" s="576">
        <f>SUM(K80:K83)</f>
        <v>5900</v>
      </c>
      <c r="L84" s="576">
        <f>SUM(L80:L83)</f>
        <v>531</v>
      </c>
      <c r="M84" s="576">
        <f>SUM(M80:M83)</f>
        <v>128.87324468746121</v>
      </c>
      <c r="N84" s="577">
        <f>SUM(N80:N83)</f>
        <v>6559.873244687461</v>
      </c>
      <c r="Q84" s="705" t="s">
        <v>201</v>
      </c>
      <c r="R84" s="706"/>
      <c r="S84" s="706"/>
      <c r="T84" s="578">
        <f>SUM(T80:T83)</f>
        <v>4500</v>
      </c>
      <c r="U84" s="579">
        <f>SUM(U80:U83)</f>
        <v>1400</v>
      </c>
      <c r="V84" s="580"/>
      <c r="W84" s="580"/>
      <c r="X84" s="581">
        <f>SUM(X80:X83)</f>
        <v>4500</v>
      </c>
      <c r="Y84" s="582">
        <f t="shared" si="56"/>
        <v>4628.873244687461</v>
      </c>
      <c r="AB84" s="376"/>
      <c r="AC84" s="377"/>
    </row>
    <row r="85" spans="1:36" ht="30" customHeight="1" thickBot="1" x14ac:dyDescent="0.45">
      <c r="A85" s="403">
        <v>72</v>
      </c>
      <c r="B85" s="426">
        <v>12</v>
      </c>
      <c r="C85" s="427" t="s">
        <v>108</v>
      </c>
      <c r="D85" s="403"/>
      <c r="E85" s="403"/>
      <c r="F85" s="716" t="s">
        <v>254</v>
      </c>
      <c r="G85" s="717"/>
      <c r="H85" s="717"/>
      <c r="I85" s="717"/>
      <c r="J85" s="717"/>
      <c r="K85" s="717"/>
      <c r="L85" s="717"/>
      <c r="M85" s="717"/>
      <c r="N85" s="718"/>
      <c r="Q85" s="716" t="str">
        <f>IF(F85&lt;&gt;"",F85,"")</f>
        <v xml:space="preserve">LOGÍSTICA BELO HORIZONTE </v>
      </c>
      <c r="R85" s="717"/>
      <c r="S85" s="717"/>
      <c r="T85" s="717"/>
      <c r="U85" s="717"/>
      <c r="V85" s="717"/>
      <c r="W85" s="717"/>
      <c r="X85" s="717"/>
      <c r="Y85" s="718"/>
      <c r="AB85" s="376"/>
      <c r="AC85" s="377"/>
    </row>
    <row r="86" spans="1:36" ht="30" customHeight="1" x14ac:dyDescent="0.4">
      <c r="A86" s="403">
        <v>73</v>
      </c>
      <c r="B86" s="426" t="s">
        <v>259</v>
      </c>
      <c r="C86" s="427" t="s">
        <v>109</v>
      </c>
      <c r="D86" s="403"/>
      <c r="E86" s="403"/>
      <c r="F86" s="722" t="s">
        <v>254</v>
      </c>
      <c r="G86" s="723"/>
      <c r="H86" s="723"/>
      <c r="I86" s="723"/>
      <c r="J86" s="723"/>
      <c r="K86" s="723"/>
      <c r="L86" s="429" t="s">
        <v>111</v>
      </c>
      <c r="M86" s="429" t="s">
        <v>112</v>
      </c>
      <c r="N86" s="430" t="s">
        <v>81</v>
      </c>
      <c r="Q86" s="722" t="str">
        <f>IF(F86&lt;&gt;"",F86,"")</f>
        <v xml:space="preserve">LOGÍSTICA BELO HORIZONTE </v>
      </c>
      <c r="R86" s="723"/>
      <c r="S86" s="723"/>
      <c r="T86" s="723"/>
      <c r="U86" s="723"/>
      <c r="V86" s="723"/>
      <c r="W86" s="723"/>
      <c r="X86" s="723"/>
      <c r="Y86" s="724"/>
      <c r="Z86" s="431" t="s">
        <v>113</v>
      </c>
      <c r="AA86" s="432" t="s">
        <v>82</v>
      </c>
      <c r="AB86" s="376"/>
      <c r="AC86" s="377"/>
    </row>
    <row r="87" spans="1:36" ht="80.099999999999994" customHeight="1" x14ac:dyDescent="0.4">
      <c r="A87" s="403">
        <v>74</v>
      </c>
      <c r="B87" s="426" t="s">
        <v>261</v>
      </c>
      <c r="C87" s="427" t="s">
        <v>114</v>
      </c>
      <c r="D87" s="403" t="s">
        <v>129</v>
      </c>
      <c r="E87" s="403" t="s">
        <v>130</v>
      </c>
      <c r="F87" s="526" t="s">
        <v>175</v>
      </c>
      <c r="G87" s="527" t="s">
        <v>255</v>
      </c>
      <c r="H87" s="435">
        <v>1</v>
      </c>
      <c r="I87" s="435">
        <v>1</v>
      </c>
      <c r="J87" s="436">
        <v>1700</v>
      </c>
      <c r="K87" s="436">
        <f>IF(F87&lt;&gt;"",H87*I87*J87,"")</f>
        <v>1700</v>
      </c>
      <c r="L87" s="436">
        <f>IF(K87&lt;&gt;"",IF(D87="INTERNO",0,K87*$L$14),"")</f>
        <v>153</v>
      </c>
      <c r="M87" s="436">
        <f>IF(K87&lt;&gt;"",IF(E87="FAT.OGGI",SUM(K87:L87)*(1/(1-$M$14)-1),L87*(1/(1-$M$14)-1)),"")</f>
        <v>37.132968808251533</v>
      </c>
      <c r="N87" s="437">
        <f>SUM(K87:M87)</f>
        <v>1890.1329688082515</v>
      </c>
      <c r="O87" s="378" t="s">
        <v>532</v>
      </c>
      <c r="Q87" s="438">
        <f>IF(H87&lt;&gt;"",H87,"")</f>
        <v>1</v>
      </c>
      <c r="R87" s="439">
        <f>IF(I87&lt;&gt;"",I87,"")</f>
        <v>1</v>
      </c>
      <c r="S87" s="440">
        <v>950</v>
      </c>
      <c r="T87" s="440">
        <v>3807.89</v>
      </c>
      <c r="U87" s="441">
        <f>IF(Q87&lt;&gt;"",K87-T87,"")</f>
        <v>-2107.89</v>
      </c>
      <c r="V87" s="442">
        <f>IF(Q87&lt;&gt;"",0%,"")</f>
        <v>0</v>
      </c>
      <c r="W87" s="443">
        <f>IF(Q87&lt;&gt;"",V87*U87,"")</f>
        <v>0</v>
      </c>
      <c r="X87" s="443">
        <f>IF(Q87&lt;&gt;"",W87+T87,"")</f>
        <v>3807.89</v>
      </c>
      <c r="Y87" s="444">
        <f t="shared" ref="Y87:Y92" si="58">IF(Q87&lt;&gt;"",X87+M87,"")</f>
        <v>3845.0229688082513</v>
      </c>
      <c r="Z87" s="428">
        <f>IF(Q87&lt;&gt;"",U87/K87,"")</f>
        <v>-1.2399352941176469</v>
      </c>
      <c r="AA87" s="445">
        <f>T87/$T$92</f>
        <v>0.6650186256001146</v>
      </c>
      <c r="AB87" s="376">
        <f t="shared" si="57"/>
        <v>0</v>
      </c>
      <c r="AC87" s="377">
        <v>3807.89</v>
      </c>
      <c r="AD87" s="375" t="s">
        <v>603</v>
      </c>
      <c r="AE87" s="446">
        <v>7.89</v>
      </c>
      <c r="AF87" s="447">
        <f>T87-AE87</f>
        <v>3800</v>
      </c>
      <c r="AG87" s="448">
        <v>46108</v>
      </c>
      <c r="AI87" s="449" t="s">
        <v>463</v>
      </c>
      <c r="AJ87" s="450" t="s">
        <v>385</v>
      </c>
    </row>
    <row r="88" spans="1:36" ht="80.099999999999994" customHeight="1" x14ac:dyDescent="0.4">
      <c r="A88" s="403">
        <v>75</v>
      </c>
      <c r="B88" s="426" t="s">
        <v>262</v>
      </c>
      <c r="C88" s="427" t="s">
        <v>114</v>
      </c>
      <c r="D88" s="403" t="s">
        <v>129</v>
      </c>
      <c r="E88" s="403" t="s">
        <v>130</v>
      </c>
      <c r="F88" s="526" t="s">
        <v>176</v>
      </c>
      <c r="G88" s="527" t="s">
        <v>256</v>
      </c>
      <c r="H88" s="435">
        <v>1</v>
      </c>
      <c r="I88" s="435">
        <v>2</v>
      </c>
      <c r="J88" s="436">
        <v>800</v>
      </c>
      <c r="K88" s="436">
        <f>IF(F88&lt;&gt;"",H88*I88*J88,"")</f>
        <v>1600</v>
      </c>
      <c r="L88" s="436">
        <f>IF(K88&lt;&gt;"",IF(D88="INTERNO",0,K88*$L$14),"")</f>
        <v>144</v>
      </c>
      <c r="M88" s="436">
        <f>IF(K88&lt;&gt;"",IF(E88="FAT.OGGI",SUM(K88:L88)*(1/(1-$M$14)-1),L88*(1/(1-$M$14)-1)),"")</f>
        <v>34.948676525413205</v>
      </c>
      <c r="N88" s="437">
        <f>SUM(K88:M88)</f>
        <v>1778.9486765254132</v>
      </c>
      <c r="O88" s="378" t="s">
        <v>532</v>
      </c>
      <c r="Q88" s="438">
        <v>1</v>
      </c>
      <c r="R88" s="439">
        <f>IF(I88&lt;&gt;"",I88,"")</f>
        <v>2</v>
      </c>
      <c r="S88" s="440">
        <v>400</v>
      </c>
      <c r="T88" s="440">
        <v>453.6</v>
      </c>
      <c r="U88" s="441">
        <f>IF(Q88&lt;&gt;"",K88-T88,"")</f>
        <v>1146.4000000000001</v>
      </c>
      <c r="V88" s="442">
        <f>IF(Q88&lt;&gt;"",0%,"")</f>
        <v>0</v>
      </c>
      <c r="W88" s="443">
        <f>IF(Q88&lt;&gt;"",V88*U88,"")</f>
        <v>0</v>
      </c>
      <c r="X88" s="443">
        <f>IF(Q88&lt;&gt;"",W88+T88,"")</f>
        <v>453.6</v>
      </c>
      <c r="Y88" s="444">
        <f t="shared" si="58"/>
        <v>488.54867652541321</v>
      </c>
      <c r="Z88" s="428">
        <f>IF(Q88&lt;&gt;"",U88/K88,"")</f>
        <v>0.71650000000000003</v>
      </c>
      <c r="AA88" s="445">
        <f>T88/$T$92</f>
        <v>7.9217742259417162E-2</v>
      </c>
      <c r="AB88" s="376">
        <f t="shared" si="57"/>
        <v>0</v>
      </c>
      <c r="AC88" s="377">
        <f>453.6</f>
        <v>453.6</v>
      </c>
      <c r="AD88" s="375" t="s">
        <v>604</v>
      </c>
      <c r="AE88" s="446">
        <v>453.6</v>
      </c>
      <c r="AF88" s="447">
        <f>T88-AE88</f>
        <v>0</v>
      </c>
      <c r="AG88" s="448">
        <v>46113</v>
      </c>
      <c r="AI88" s="449" t="s">
        <v>485</v>
      </c>
      <c r="AJ88" s="450" t="s">
        <v>486</v>
      </c>
    </row>
    <row r="89" spans="1:36" ht="80.099999999999994" customHeight="1" x14ac:dyDescent="0.4">
      <c r="A89" s="403">
        <v>76</v>
      </c>
      <c r="B89" s="426" t="s">
        <v>263</v>
      </c>
      <c r="C89" s="427" t="s">
        <v>114</v>
      </c>
      <c r="D89" s="403" t="s">
        <v>129</v>
      </c>
      <c r="E89" s="403" t="s">
        <v>130</v>
      </c>
      <c r="F89" s="526" t="s">
        <v>177</v>
      </c>
      <c r="G89" s="527" t="s">
        <v>178</v>
      </c>
      <c r="H89" s="435">
        <v>1</v>
      </c>
      <c r="I89" s="435">
        <v>1</v>
      </c>
      <c r="J89" s="436">
        <v>350</v>
      </c>
      <c r="K89" s="436">
        <f>IF(F89&lt;&gt;"",H89*I89*J89,"")</f>
        <v>350</v>
      </c>
      <c r="L89" s="436">
        <f>IF(K89&lt;&gt;"",IF(D89="INTERNO",0,K89*$L$14),"")</f>
        <v>31.5</v>
      </c>
      <c r="M89" s="436">
        <f>IF(K89&lt;&gt;"",IF(E89="FAT.OGGI",SUM(K89:L89)*(1/(1-$M$14)-1),L89*(1/(1-$M$14)-1)),"")</f>
        <v>7.6450229899341391</v>
      </c>
      <c r="N89" s="437">
        <f>SUM(K89:M89)</f>
        <v>389.14502298993415</v>
      </c>
      <c r="O89" s="378" t="s">
        <v>532</v>
      </c>
      <c r="Q89" s="438">
        <f>IF(H89&lt;&gt;"",H89,"")</f>
        <v>1</v>
      </c>
      <c r="R89" s="439">
        <f>IF(I89&lt;&gt;"",I89,"")</f>
        <v>1</v>
      </c>
      <c r="S89" s="440">
        <v>150</v>
      </c>
      <c r="T89" s="440">
        <v>0</v>
      </c>
      <c r="U89" s="441">
        <f>IF(Q89&lt;&gt;"",K89-T89,"")</f>
        <v>350</v>
      </c>
      <c r="V89" s="442">
        <f>IF(Q89&lt;&gt;"",0%,"")</f>
        <v>0</v>
      </c>
      <c r="W89" s="443">
        <f>IF(Q89&lt;&gt;"",V89*U89,"")</f>
        <v>0</v>
      </c>
      <c r="X89" s="443">
        <f>IF(Q89&lt;&gt;"",W89+T89,"")</f>
        <v>0</v>
      </c>
      <c r="Y89" s="444">
        <f t="shared" si="58"/>
        <v>7.6450229899341391</v>
      </c>
      <c r="Z89" s="428">
        <f>IF(Q89&lt;&gt;"",U89/K89,"")</f>
        <v>1</v>
      </c>
      <c r="AA89" s="445">
        <f>T89/$T$92</f>
        <v>0</v>
      </c>
      <c r="AB89" s="376">
        <f t="shared" si="57"/>
        <v>0</v>
      </c>
      <c r="AC89" s="377">
        <v>0</v>
      </c>
      <c r="AD89" s="375"/>
    </row>
    <row r="90" spans="1:36" ht="80.099999999999994" customHeight="1" x14ac:dyDescent="0.4">
      <c r="A90" s="403">
        <v>77</v>
      </c>
      <c r="B90" s="426" t="s">
        <v>264</v>
      </c>
      <c r="C90" s="427" t="s">
        <v>114</v>
      </c>
      <c r="D90" s="403" t="s">
        <v>129</v>
      </c>
      <c r="E90" s="403" t="s">
        <v>130</v>
      </c>
      <c r="F90" s="526" t="s">
        <v>181</v>
      </c>
      <c r="G90" s="527" t="s">
        <v>182</v>
      </c>
      <c r="H90" s="435">
        <v>1</v>
      </c>
      <c r="I90" s="435">
        <v>1</v>
      </c>
      <c r="J90" s="436">
        <v>4500</v>
      </c>
      <c r="K90" s="436">
        <f>IF(F90&lt;&gt;"",H90*I90*J90,"")</f>
        <v>4500</v>
      </c>
      <c r="L90" s="436">
        <f>IF(K90&lt;&gt;"",IF(D90="INTERNO",0,K90*$L$14),"")</f>
        <v>405</v>
      </c>
      <c r="M90" s="436">
        <f>IF(K90&lt;&gt;"",IF(E90="FAT.OGGI",SUM(K90:L90)*(1/(1-$M$14)-1),L90*(1/(1-$M$14)-1)),"")</f>
        <v>98.293152727724646</v>
      </c>
      <c r="N90" s="437">
        <f>SUM(K90:M90)</f>
        <v>5003.2931527277251</v>
      </c>
      <c r="O90" s="378" t="s">
        <v>531</v>
      </c>
      <c r="Q90" s="438">
        <f>IF(H90&lt;&gt;"",H90,"")</f>
        <v>1</v>
      </c>
      <c r="R90" s="439">
        <f>IF(I90&lt;&gt;"",I90,"")</f>
        <v>1</v>
      </c>
      <c r="S90" s="440">
        <v>1464.5</v>
      </c>
      <c r="T90" s="440">
        <v>1464.5</v>
      </c>
      <c r="U90" s="441">
        <f>IF(Q90&lt;&gt;"",K90-T90,"")</f>
        <v>3035.5</v>
      </c>
      <c r="V90" s="442">
        <f>IF(Q90&lt;&gt;"",0%,"")</f>
        <v>0</v>
      </c>
      <c r="W90" s="443">
        <f>IF(Q90&lt;&gt;"",V90*U90,"")</f>
        <v>0</v>
      </c>
      <c r="X90" s="443">
        <f>IF(Q90&lt;&gt;"",W90+T90,"")</f>
        <v>1464.5</v>
      </c>
      <c r="Y90" s="444">
        <f t="shared" si="58"/>
        <v>1562.7931527277246</v>
      </c>
      <c r="Z90" s="428">
        <f>IF(Q90&lt;&gt;"",U90/K90,"")</f>
        <v>0.67455555555555557</v>
      </c>
      <c r="AA90" s="445">
        <f>T90/$T$92</f>
        <v>0.25576363214046832</v>
      </c>
      <c r="AB90" s="376">
        <f t="shared" si="57"/>
        <v>0</v>
      </c>
      <c r="AC90" s="377">
        <v>1464.5</v>
      </c>
      <c r="AD90" s="375" t="s">
        <v>605</v>
      </c>
      <c r="AE90" s="446">
        <v>1464.5</v>
      </c>
      <c r="AF90" s="447">
        <f>T90-AE90</f>
        <v>0</v>
      </c>
      <c r="AG90" s="448">
        <v>46128</v>
      </c>
      <c r="AI90" s="449" t="s">
        <v>560</v>
      </c>
      <c r="AJ90" s="450" t="s">
        <v>561</v>
      </c>
    </row>
    <row r="91" spans="1:36" ht="80.099999999999994" customHeight="1" thickBot="1" x14ac:dyDescent="0.45">
      <c r="A91" s="403">
        <v>78</v>
      </c>
      <c r="B91" s="426" t="s">
        <v>265</v>
      </c>
      <c r="C91" s="427" t="s">
        <v>114</v>
      </c>
      <c r="D91" s="403" t="s">
        <v>129</v>
      </c>
      <c r="E91" s="403" t="s">
        <v>130</v>
      </c>
      <c r="F91" s="526" t="s">
        <v>183</v>
      </c>
      <c r="G91" s="527" t="s">
        <v>184</v>
      </c>
      <c r="H91" s="435">
        <v>1</v>
      </c>
      <c r="I91" s="435">
        <v>1</v>
      </c>
      <c r="J91" s="436">
        <v>2500</v>
      </c>
      <c r="K91" s="436">
        <f>IF(F91&lt;&gt;"",H91*I91*J91,"")</f>
        <v>2500</v>
      </c>
      <c r="L91" s="436">
        <f>IF(K91&lt;&gt;"",IF(D91="INTERNO",0,K91*$L$14),"")</f>
        <v>225</v>
      </c>
      <c r="M91" s="436">
        <f>IF(K91&lt;&gt;"",IF(E91="FAT.OGGI",SUM(K91:L91)*(1/(1-$M$14)-1),L91*(1/(1-$M$14)-1)),"")</f>
        <v>54.607307070958136</v>
      </c>
      <c r="N91" s="437">
        <f>SUM(K91:M91)</f>
        <v>2779.6073070709581</v>
      </c>
      <c r="O91" s="378" t="s">
        <v>532</v>
      </c>
      <c r="Q91" s="438">
        <f>IF(H91&lt;&gt;"",H91,"")</f>
        <v>1</v>
      </c>
      <c r="R91" s="439">
        <f>IF(I91&lt;&gt;"",I91,"")</f>
        <v>1</v>
      </c>
      <c r="S91" s="440">
        <v>800</v>
      </c>
      <c r="T91" s="440">
        <v>0</v>
      </c>
      <c r="U91" s="441">
        <f>IF(Q91&lt;&gt;"",K91-T91,"")</f>
        <v>2500</v>
      </c>
      <c r="V91" s="442">
        <f>IF(Q91&lt;&gt;"",0%,"")</f>
        <v>0</v>
      </c>
      <c r="W91" s="443">
        <f>IF(Q91&lt;&gt;"",V91*U91,"")</f>
        <v>0</v>
      </c>
      <c r="X91" s="443">
        <f>IF(Q91&lt;&gt;"",W91+T91,"")</f>
        <v>0</v>
      </c>
      <c r="Y91" s="444">
        <f t="shared" si="58"/>
        <v>54.607307070958136</v>
      </c>
      <c r="Z91" s="583">
        <f>IF(Q91&lt;&gt;"",U91/K91,"")</f>
        <v>1</v>
      </c>
      <c r="AA91" s="584">
        <f>T91/$T$92</f>
        <v>0</v>
      </c>
      <c r="AB91" s="376">
        <f t="shared" si="57"/>
        <v>0</v>
      </c>
      <c r="AC91" s="377">
        <v>0</v>
      </c>
      <c r="AD91" s="375"/>
      <c r="AE91" s="446">
        <v>475.79</v>
      </c>
      <c r="AF91" s="447">
        <f>T91-AE91</f>
        <v>-475.79</v>
      </c>
      <c r="AG91" s="448">
        <v>46113</v>
      </c>
      <c r="AI91" s="449" t="s">
        <v>489</v>
      </c>
      <c r="AJ91" s="450" t="s">
        <v>486</v>
      </c>
    </row>
    <row r="92" spans="1:36" ht="30" customHeight="1" x14ac:dyDescent="0.4">
      <c r="A92" s="403">
        <v>79</v>
      </c>
      <c r="B92" s="426"/>
      <c r="C92" s="427" t="s">
        <v>122</v>
      </c>
      <c r="D92" s="403"/>
      <c r="E92" s="403"/>
      <c r="F92" s="705" t="s">
        <v>257</v>
      </c>
      <c r="G92" s="706"/>
      <c r="H92" s="706"/>
      <c r="I92" s="706"/>
      <c r="J92" s="706"/>
      <c r="K92" s="576">
        <f>SUM(K87:K91)</f>
        <v>10650</v>
      </c>
      <c r="L92" s="576">
        <f>SUM(L87:L91)</f>
        <v>958.5</v>
      </c>
      <c r="M92" s="576">
        <f>SUM(M87:M91)</f>
        <v>232.62712812228165</v>
      </c>
      <c r="N92" s="577">
        <f>SUM(N87:N91)</f>
        <v>11841.127128122283</v>
      </c>
      <c r="Q92" s="705" t="s">
        <v>257</v>
      </c>
      <c r="R92" s="706"/>
      <c r="S92" s="706"/>
      <c r="T92" s="578">
        <f>SUM(T87:T91)</f>
        <v>5725.99</v>
      </c>
      <c r="U92" s="579">
        <f>SUM(U87:U91)</f>
        <v>4924.01</v>
      </c>
      <c r="V92" s="580"/>
      <c r="W92" s="580"/>
      <c r="X92" s="581">
        <f>SUM(X87:X91)</f>
        <v>5725.99</v>
      </c>
      <c r="Y92" s="585">
        <f t="shared" si="58"/>
        <v>5958.6171281222814</v>
      </c>
      <c r="Z92" s="586" t="s">
        <v>140</v>
      </c>
      <c r="AA92" s="587" t="s">
        <v>141</v>
      </c>
      <c r="AB92" s="376"/>
      <c r="AC92" s="377"/>
    </row>
    <row r="93" spans="1:36" ht="30" customHeight="1" thickBot="1" x14ac:dyDescent="0.45">
      <c r="A93" s="403">
        <v>80</v>
      </c>
      <c r="B93" s="426">
        <v>13</v>
      </c>
      <c r="C93" s="427" t="s">
        <v>108</v>
      </c>
      <c r="D93" s="403"/>
      <c r="E93" s="588"/>
      <c r="F93" s="697" t="s">
        <v>376</v>
      </c>
      <c r="G93" s="698"/>
      <c r="H93" s="698"/>
      <c r="I93" s="698"/>
      <c r="J93" s="698"/>
      <c r="K93" s="698"/>
      <c r="L93" s="698"/>
      <c r="M93" s="698"/>
      <c r="N93" s="698"/>
      <c r="Q93" s="698" t="str">
        <f>IF(F93&lt;&gt;"",F93,"")</f>
        <v xml:space="preserve">TOTEM LED </v>
      </c>
      <c r="R93" s="698"/>
      <c r="S93" s="698"/>
      <c r="T93" s="698"/>
      <c r="U93" s="698"/>
      <c r="V93" s="698"/>
      <c r="W93" s="698"/>
      <c r="X93" s="698"/>
      <c r="Y93" s="698"/>
      <c r="AB93" s="376"/>
      <c r="AC93" s="377"/>
    </row>
    <row r="94" spans="1:36" ht="30" customHeight="1" x14ac:dyDescent="0.4">
      <c r="A94" s="403">
        <v>81</v>
      </c>
      <c r="B94" s="426" t="s">
        <v>281</v>
      </c>
      <c r="C94" s="427" t="s">
        <v>109</v>
      </c>
      <c r="D94" s="403"/>
      <c r="E94" s="403"/>
      <c r="F94" s="699" t="s">
        <v>376</v>
      </c>
      <c r="G94" s="700"/>
      <c r="H94" s="700"/>
      <c r="I94" s="700"/>
      <c r="J94" s="700"/>
      <c r="K94" s="701"/>
      <c r="L94" s="589" t="s">
        <v>111</v>
      </c>
      <c r="M94" s="590" t="s">
        <v>112</v>
      </c>
      <c r="N94" s="591" t="s">
        <v>81</v>
      </c>
      <c r="Q94" s="699" t="str">
        <f>IF(F94&lt;&gt;"",F94,"")</f>
        <v xml:space="preserve">TOTEM LED </v>
      </c>
      <c r="R94" s="700"/>
      <c r="S94" s="700"/>
      <c r="T94" s="700"/>
      <c r="U94" s="700"/>
      <c r="V94" s="700"/>
      <c r="W94" s="700"/>
      <c r="X94" s="700"/>
      <c r="Y94" s="702"/>
      <c r="Z94" s="431" t="s">
        <v>113</v>
      </c>
      <c r="AA94" s="432" t="s">
        <v>82</v>
      </c>
      <c r="AB94" s="376"/>
      <c r="AC94" s="377"/>
    </row>
    <row r="95" spans="1:36" ht="80.099999999999994" customHeight="1" thickBot="1" x14ac:dyDescent="0.45">
      <c r="A95" s="403">
        <v>82</v>
      </c>
      <c r="B95" s="426" t="s">
        <v>282</v>
      </c>
      <c r="C95" s="427" t="s">
        <v>114</v>
      </c>
      <c r="D95" s="403" t="s">
        <v>129</v>
      </c>
      <c r="E95" s="403" t="s">
        <v>130</v>
      </c>
      <c r="F95" s="496" t="s">
        <v>271</v>
      </c>
      <c r="G95" s="497" t="s">
        <v>377</v>
      </c>
      <c r="H95" s="592">
        <v>1</v>
      </c>
      <c r="I95" s="592">
        <v>1</v>
      </c>
      <c r="J95" s="436">
        <v>24500</v>
      </c>
      <c r="K95" s="436">
        <f>IF(F95&lt;&gt;"",H95*I95*J95,"")</f>
        <v>24500</v>
      </c>
      <c r="L95" s="436">
        <f>IF(K95&lt;&gt;"",IF(D95="INTERNO",0,K95*$L$14),"")</f>
        <v>2205</v>
      </c>
      <c r="M95" s="436">
        <f>IF(K95&lt;&gt;"",IF(E95="FAT.OGGI",SUM(K95:L95)*(1/(1-$M$14)-1),L95*(1/(1-$M$14)-1)),"")</f>
        <v>535.15160929538979</v>
      </c>
      <c r="N95" s="437">
        <f>SUM(K95:M95)</f>
        <v>27240.15160929539</v>
      </c>
      <c r="O95" s="378" t="s">
        <v>531</v>
      </c>
      <c r="Q95" s="593">
        <f>IF(H95&lt;&gt;"",H95,"")</f>
        <v>1</v>
      </c>
      <c r="R95" s="479">
        <f>IF(I95&lt;&gt;"",I95,"")</f>
        <v>1</v>
      </c>
      <c r="S95" s="480">
        <v>19500</v>
      </c>
      <c r="T95" s="480">
        <v>24500</v>
      </c>
      <c r="U95" s="481">
        <f>IF(Q95&lt;&gt;"",K95-T95,"")</f>
        <v>0</v>
      </c>
      <c r="V95" s="482">
        <f>IF(Q95&lt;&gt;"",0%,"")</f>
        <v>0</v>
      </c>
      <c r="W95" s="483">
        <f>IF(Q95&lt;&gt;"",V95*U95,"")</f>
        <v>0</v>
      </c>
      <c r="X95" s="483">
        <f>IF(Q95&lt;&gt;"",W95+T95,"")</f>
        <v>24500</v>
      </c>
      <c r="Y95" s="444">
        <f>IF(Q95&lt;&gt;"",X95+M95,"")</f>
        <v>25035.15160929539</v>
      </c>
      <c r="Z95" s="583">
        <f>IF(Q95&lt;&gt;"",U95/K95,"")</f>
        <v>0</v>
      </c>
      <c r="AA95" s="584">
        <f>T95/$T$96</f>
        <v>1</v>
      </c>
      <c r="AB95" s="376">
        <f t="shared" si="57"/>
        <v>0</v>
      </c>
      <c r="AC95" s="377">
        <v>24500</v>
      </c>
      <c r="AD95" s="375" t="s">
        <v>606</v>
      </c>
      <c r="AE95" s="446">
        <v>24500</v>
      </c>
      <c r="AF95" s="447">
        <f>T95-AE95</f>
        <v>0</v>
      </c>
      <c r="AG95" s="448">
        <v>46100</v>
      </c>
      <c r="AI95" s="449" t="s">
        <v>402</v>
      </c>
      <c r="AJ95" s="450" t="s">
        <v>403</v>
      </c>
    </row>
    <row r="96" spans="1:36" ht="30" customHeight="1" thickBot="1" x14ac:dyDescent="0.45">
      <c r="A96" s="403">
        <v>83</v>
      </c>
      <c r="B96" s="426"/>
      <c r="C96" s="427" t="s">
        <v>122</v>
      </c>
      <c r="D96" s="403"/>
      <c r="E96" s="403"/>
      <c r="F96" s="703" t="s">
        <v>378</v>
      </c>
      <c r="G96" s="704"/>
      <c r="H96" s="704"/>
      <c r="I96" s="704"/>
      <c r="J96" s="704"/>
      <c r="K96" s="594">
        <f>SUM(K95:K95)</f>
        <v>24500</v>
      </c>
      <c r="L96" s="594">
        <f>SUM(L95:L95)</f>
        <v>2205</v>
      </c>
      <c r="M96" s="594">
        <f>SUM(M95:M95)</f>
        <v>535.15160929538979</v>
      </c>
      <c r="N96" s="595">
        <f>SUM(N95:N95)</f>
        <v>27240.15160929539</v>
      </c>
      <c r="Q96" s="703" t="s">
        <v>378</v>
      </c>
      <c r="R96" s="704"/>
      <c r="S96" s="704"/>
      <c r="T96" s="596">
        <f>SUM(T95:T95)</f>
        <v>24500</v>
      </c>
      <c r="U96" s="597">
        <f>SUM(U95:U95)</f>
        <v>0</v>
      </c>
      <c r="V96" s="598"/>
      <c r="W96" s="598"/>
      <c r="X96" s="599">
        <f>SUM(X95:X95)</f>
        <v>24500</v>
      </c>
      <c r="Y96" s="600">
        <f>IF(Q96&lt;&gt;"",X96+M96,"")</f>
        <v>25035.15160929539</v>
      </c>
      <c r="Z96" s="586" t="s">
        <v>140</v>
      </c>
      <c r="AA96" s="601" t="s">
        <v>141</v>
      </c>
      <c r="AB96" s="376"/>
      <c r="AC96" s="377"/>
    </row>
    <row r="97" spans="1:30" ht="30" customHeight="1" x14ac:dyDescent="0.4">
      <c r="A97" s="403">
        <v>84</v>
      </c>
      <c r="B97" s="426">
        <v>14</v>
      </c>
      <c r="C97" s="427" t="s">
        <v>108</v>
      </c>
      <c r="D97" s="403"/>
      <c r="E97" s="403"/>
      <c r="F97" s="754" t="s">
        <v>192</v>
      </c>
      <c r="G97" s="755"/>
      <c r="H97" s="755"/>
      <c r="I97" s="755"/>
      <c r="J97" s="755"/>
      <c r="K97" s="755"/>
      <c r="L97" s="755"/>
      <c r="M97" s="755"/>
      <c r="N97" s="756"/>
      <c r="Q97" s="757" t="str">
        <f>IF(F97&lt;&gt;"",F97,"")</f>
        <v>BRINDES</v>
      </c>
      <c r="R97" s="758"/>
      <c r="S97" s="758"/>
      <c r="T97" s="758"/>
      <c r="U97" s="758"/>
      <c r="V97" s="758"/>
      <c r="W97" s="758"/>
      <c r="X97" s="758"/>
      <c r="Y97" s="759"/>
      <c r="AB97" s="376"/>
      <c r="AC97" s="377"/>
    </row>
    <row r="98" spans="1:30" ht="30" customHeight="1" x14ac:dyDescent="0.4">
      <c r="A98" s="403">
        <v>85</v>
      </c>
      <c r="B98" s="426" t="s">
        <v>475</v>
      </c>
      <c r="C98" s="427" t="s">
        <v>109</v>
      </c>
      <c r="D98" s="403"/>
      <c r="E98" s="403"/>
      <c r="F98" s="760" t="s">
        <v>192</v>
      </c>
      <c r="G98" s="761"/>
      <c r="H98" s="761"/>
      <c r="I98" s="761"/>
      <c r="J98" s="761"/>
      <c r="K98" s="762"/>
      <c r="L98" s="602" t="s">
        <v>111</v>
      </c>
      <c r="M98" s="603" t="s">
        <v>112</v>
      </c>
      <c r="N98" s="604" t="s">
        <v>81</v>
      </c>
      <c r="Q98" s="763" t="str">
        <f>IF(F98&lt;&gt;"",F98,"")</f>
        <v>BRINDES</v>
      </c>
      <c r="R98" s="764"/>
      <c r="S98" s="764"/>
      <c r="T98" s="764"/>
      <c r="U98" s="764"/>
      <c r="V98" s="764"/>
      <c r="W98" s="764"/>
      <c r="X98" s="764"/>
      <c r="Y98" s="765"/>
      <c r="Z98" s="431" t="s">
        <v>113</v>
      </c>
      <c r="AA98" s="432" t="s">
        <v>82</v>
      </c>
      <c r="AB98" s="376"/>
      <c r="AC98" s="377"/>
    </row>
    <row r="99" spans="1:30" ht="80.099999999999994" customHeight="1" thickBot="1" x14ac:dyDescent="0.45">
      <c r="A99" s="403">
        <v>86</v>
      </c>
      <c r="B99" s="605" t="s">
        <v>476</v>
      </c>
      <c r="C99" s="427" t="s">
        <v>114</v>
      </c>
      <c r="D99" s="403" t="s">
        <v>129</v>
      </c>
      <c r="E99" s="403" t="s">
        <v>130</v>
      </c>
      <c r="F99" s="496" t="s">
        <v>234</v>
      </c>
      <c r="G99" s="497" t="s">
        <v>477</v>
      </c>
      <c r="H99" s="435">
        <v>75</v>
      </c>
      <c r="I99" s="435">
        <v>1</v>
      </c>
      <c r="J99" s="436">
        <v>199.99</v>
      </c>
      <c r="K99" s="436">
        <f>IF(F99&lt;&gt;"",H99*I99*J99,"")</f>
        <v>14999.25</v>
      </c>
      <c r="L99" s="436">
        <f>IF(K99&lt;&gt;"",IF(D99="INTERNO",0,K99*$L$14),"")</f>
        <v>1349.9324999999999</v>
      </c>
      <c r="M99" s="436">
        <f>IF(K99&lt;&gt;"",IF(E99="FAT.OGGI",SUM(K99:L99)*(1/(1-$M$14)-1),L99*(1/(1-$M$14)-1)),"")</f>
        <v>327.62746023362752</v>
      </c>
      <c r="N99" s="437">
        <f>SUM(K99:M99)</f>
        <v>16676.809960233626</v>
      </c>
      <c r="O99" s="378" t="s">
        <v>531</v>
      </c>
      <c r="Q99" s="606">
        <f>IF(H99&lt;&gt;"",H99,"")</f>
        <v>75</v>
      </c>
      <c r="R99" s="607">
        <f>IF(I99&lt;&gt;"",I99,"")</f>
        <v>1</v>
      </c>
      <c r="S99" s="440">
        <v>199.99</v>
      </c>
      <c r="T99" s="440">
        <f>IF(Q99&lt;&gt;"",Q99*R99*S99,"")</f>
        <v>14999.25</v>
      </c>
      <c r="U99" s="441">
        <f>IF(Q99&lt;&gt;"",K99-T99,"")</f>
        <v>0</v>
      </c>
      <c r="V99" s="442">
        <f>IF(Q99&lt;&gt;"",0%,"")</f>
        <v>0</v>
      </c>
      <c r="W99" s="443">
        <f>IF(Q99&lt;&gt;"",V99*U99,"")</f>
        <v>0</v>
      </c>
      <c r="X99" s="443">
        <f>IF(Q99&lt;&gt;"",W99+T99,"")</f>
        <v>14999.25</v>
      </c>
      <c r="Y99" s="444">
        <f>IF(Q99&lt;&gt;"",X99+M99,"")</f>
        <v>15326.877460233627</v>
      </c>
      <c r="Z99" s="583">
        <f>IF(Q99&lt;&gt;"",U99/K99,"")</f>
        <v>0</v>
      </c>
      <c r="AB99" s="376">
        <f t="shared" si="57"/>
        <v>0</v>
      </c>
      <c r="AC99" s="377">
        <v>14999.25</v>
      </c>
      <c r="AD99" s="375" t="s">
        <v>607</v>
      </c>
    </row>
    <row r="100" spans="1:30" ht="30" customHeight="1" thickBot="1" x14ac:dyDescent="0.45">
      <c r="A100" s="588">
        <v>87</v>
      </c>
      <c r="C100" s="403" t="s">
        <v>478</v>
      </c>
      <c r="D100" s="403"/>
      <c r="E100" s="403"/>
      <c r="F100" s="766" t="s">
        <v>199</v>
      </c>
      <c r="G100" s="767"/>
      <c r="H100" s="767"/>
      <c r="I100" s="767"/>
      <c r="J100" s="767"/>
      <c r="K100" s="608">
        <f>SUM(K99:K99)</f>
        <v>14999.25</v>
      </c>
      <c r="L100" s="608">
        <f>SUM(L99:L99)</f>
        <v>1349.9324999999999</v>
      </c>
      <c r="M100" s="608">
        <f>SUM(M99:M99)</f>
        <v>327.62746023362752</v>
      </c>
      <c r="N100" s="609">
        <f>SUM(N99:N99)</f>
        <v>16676.809960233626</v>
      </c>
      <c r="Q100" s="768" t="s">
        <v>199</v>
      </c>
      <c r="R100" s="769"/>
      <c r="S100" s="769"/>
      <c r="T100" s="610">
        <f>SUM(T99:T99)</f>
        <v>14999.25</v>
      </c>
      <c r="U100" s="579">
        <f>SUM(U99:U99)</f>
        <v>0</v>
      </c>
      <c r="V100" s="580"/>
      <c r="W100" s="580"/>
      <c r="X100" s="581">
        <f>SUM(X99:X99)</f>
        <v>14999.25</v>
      </c>
      <c r="Y100" s="585">
        <f>IF(Q100&lt;&gt;"",X100+M100,"")</f>
        <v>15326.877460233627</v>
      </c>
      <c r="Z100" s="586" t="s">
        <v>140</v>
      </c>
      <c r="AA100" s="611" t="s">
        <v>141</v>
      </c>
      <c r="AB100" s="376"/>
      <c r="AC100" s="377">
        <v>0</v>
      </c>
    </row>
    <row r="101" spans="1:30" ht="30" customHeight="1" thickBot="1" x14ac:dyDescent="0.45">
      <c r="A101" s="612">
        <v>88</v>
      </c>
      <c r="C101" s="451" t="s">
        <v>139</v>
      </c>
      <c r="D101" s="451"/>
      <c r="E101" s="451"/>
      <c r="F101" s="613" t="s">
        <v>366</v>
      </c>
      <c r="G101" s="614"/>
      <c r="H101" s="615"/>
      <c r="I101" s="615"/>
      <c r="J101" s="614"/>
      <c r="K101" s="616">
        <f>SUM(K17:K21)+SUM(K25:K28)+SUM(K32:K34)+SUM(K38:K40)+SUM(K44:K47)+SUM(K51:K54)+SUM(K58:K59)+SUM(K63:K65)+SUM(K69:K70)+SUM(K74:K77)+SUM(K80:K83)+SUM(K87:K91)+SUM(K95:K95)+SUM(K99:K99)</f>
        <v>244990.25</v>
      </c>
      <c r="L101" s="616">
        <f>SUM(L17:L21)+SUM(L25:L28)+SUM(L32:L34)+SUM(L38:L40)+SUM(L44:L47)+SUM(L51:L54)+SUM(L58:L59)+SUM(L63:L65)+SUM(L69:L70)+SUM(L74:L77)+SUM(L80:L83)+SUM(L87:L91)+SUM(L95:L95)+SUM(L99:L99)</f>
        <v>19754.122499999998</v>
      </c>
      <c r="M101" s="616">
        <f>SUM(M17:M21)+SUM(M25:M28)+SUM(M32:M34)+SUM(M38:M40)+SUM(M44:M47)+SUM(M51:M54)+SUM(M58:M59)+SUM(M63:M65)+SUM(M69:M70)+SUM(M74:M77)+SUM(M80:M83)+SUM(M87:M91)+SUM(M95:M95)+SUM(M99:M99)</f>
        <v>10983.136727041137</v>
      </c>
      <c r="N101" s="617">
        <f>SUM(N17:N21)+SUM(N25:N28)+SUM(N32:N34)+SUM(N38:N40)+SUM(N44:N47)+SUM(N51:N54)+SUM(N58:N59)+SUM(N63:N65)+SUM(N69:N70)+SUM(N74:N77)+SUM(N80:N83)+SUM(N87:N91)+SUM(N95:N95)+SUM(N99:N99)</f>
        <v>275727.5092270411</v>
      </c>
      <c r="Q101" s="618" t="s">
        <v>43</v>
      </c>
      <c r="R101" s="615"/>
      <c r="S101" s="614"/>
      <c r="T101" s="616">
        <f>SUM(T17:T21)+SUM(T25:T28)+SUM(T32:T34)+SUM(T38:T40)+SUM(T44:T47)+SUM(T51:T54)+SUM(T58:T59)+SUM(T63:T65)+SUM(T69:T70)+SUM(T74:T77)+SUM(T80:T83)+SUM(T87:T91)+SUM(T95:T95)+SUM(T99:T99)</f>
        <v>188957.77999999997</v>
      </c>
      <c r="U101" s="616">
        <f>SUM(U17:U21)+SUM(U25:U28)+SUM(U32:U34)+SUM(U38:U40)+SUM(U44:U47)+SUM(U51:U54)+SUM(U58:U59)+SUM(U63:U65)+SUM(U69:U70)+SUM(U74:U77)+SUM(U80:U83)+SUM(U87:U91)+SUM(U95:U95)+SUM(U99:U99)</f>
        <v>56032.469999999994</v>
      </c>
      <c r="V101" s="614"/>
      <c r="W101" s="614"/>
      <c r="X101" s="616">
        <f>SUM(X17:X21)+SUM(X25:X28)+SUM(X32:X34)+SUM(X38:X40)+SUM(X44:X47)+SUM(X51:X54)+SUM(X58:X59)+SUM(X63:X65)+SUM(X69:X70)+SUM(X74:X77)+SUM(X80:X83)+SUM(X87:X91)+SUM(X95:X95)+SUM(X99:X99)</f>
        <v>188957.77999999997</v>
      </c>
      <c r="Y101" s="617">
        <f>SUM(Y17:Y21)+SUM(Y25:Y28)+SUM(Y32:Y34)+SUM(Y38:Y40)+SUM(Y44:Y47)+SUM(Y51:Y54)+SUM(Y58:Y59)+SUM(Y63:Y65)+SUM(Y69:Y70)+SUM(Y74:Y77)+SUM(Y80:Y83)+SUM(Y87:Y91)+SUM(Y95:Y95)+SUM(Y99:Y99)</f>
        <v>199940.91672704113</v>
      </c>
      <c r="Z101" s="619">
        <f>IF(Q101&lt;&gt;"",(N101-Y101)/N101,"")</f>
        <v>0.27486046899149025</v>
      </c>
      <c r="AA101" s="620">
        <f>IF(Z101&lt;&gt;"",(N101-Y101),"")</f>
        <v>75786.59249999997</v>
      </c>
      <c r="AB101" s="376">
        <f>SUM(AB17:AB100)</f>
        <v>0</v>
      </c>
      <c r="AC101" s="377">
        <f>SUM(AC17:AC100)</f>
        <v>188957.78</v>
      </c>
    </row>
  </sheetData>
  <autoFilter ref="A1:AN14" xr:uid="{107B9E09-8154-459A-AE62-6A4242823A27}">
    <filterColumn colId="5" showButton="0"/>
  </autoFilter>
  <mergeCells count="91">
    <mergeCell ref="F97:N97"/>
    <mergeCell ref="Q97:Y97"/>
    <mergeCell ref="F98:K98"/>
    <mergeCell ref="Q98:Y98"/>
    <mergeCell ref="F100:J100"/>
    <mergeCell ref="Q100:S100"/>
    <mergeCell ref="F86:K86"/>
    <mergeCell ref="Q86:Y86"/>
    <mergeCell ref="F92:J92"/>
    <mergeCell ref="Q92:S92"/>
    <mergeCell ref="F79:N79"/>
    <mergeCell ref="Q79:Y79"/>
    <mergeCell ref="F84:J84"/>
    <mergeCell ref="Q84:S84"/>
    <mergeCell ref="F85:N85"/>
    <mergeCell ref="Q85:Y85"/>
    <mergeCell ref="F72:N72"/>
    <mergeCell ref="Q72:Y72"/>
    <mergeCell ref="F73:K73"/>
    <mergeCell ref="Q73:Y73"/>
    <mergeCell ref="F78:J78"/>
    <mergeCell ref="Q78:S78"/>
    <mergeCell ref="F67:N67"/>
    <mergeCell ref="Q67:Y67"/>
    <mergeCell ref="F68:K68"/>
    <mergeCell ref="Q68:Y68"/>
    <mergeCell ref="F71:J71"/>
    <mergeCell ref="Q71:S71"/>
    <mergeCell ref="F61:N61"/>
    <mergeCell ref="Q61:Y61"/>
    <mergeCell ref="F62:K62"/>
    <mergeCell ref="Q62:Y62"/>
    <mergeCell ref="F66:J66"/>
    <mergeCell ref="Q66:S66"/>
    <mergeCell ref="F56:N56"/>
    <mergeCell ref="Q56:Y56"/>
    <mergeCell ref="F57:K57"/>
    <mergeCell ref="Q57:Y57"/>
    <mergeCell ref="F60:J60"/>
    <mergeCell ref="Q60:S60"/>
    <mergeCell ref="F49:N49"/>
    <mergeCell ref="Q49:Y49"/>
    <mergeCell ref="F50:K50"/>
    <mergeCell ref="Q50:Y50"/>
    <mergeCell ref="F55:J55"/>
    <mergeCell ref="Q55:S55"/>
    <mergeCell ref="F42:N42"/>
    <mergeCell ref="Q42:Y42"/>
    <mergeCell ref="F43:K43"/>
    <mergeCell ref="Q43:Y43"/>
    <mergeCell ref="F48:J48"/>
    <mergeCell ref="Q48:S48"/>
    <mergeCell ref="F36:N36"/>
    <mergeCell ref="Q36:Y36"/>
    <mergeCell ref="F37:K37"/>
    <mergeCell ref="Q37:Y37"/>
    <mergeCell ref="F41:J41"/>
    <mergeCell ref="Q41:S41"/>
    <mergeCell ref="F30:N30"/>
    <mergeCell ref="Q30:Y30"/>
    <mergeCell ref="F31:K31"/>
    <mergeCell ref="Q31:Y31"/>
    <mergeCell ref="F35:J35"/>
    <mergeCell ref="Q35:S35"/>
    <mergeCell ref="F23:N23"/>
    <mergeCell ref="Q23:Y23"/>
    <mergeCell ref="F24:K24"/>
    <mergeCell ref="Q24:Y24"/>
    <mergeCell ref="F29:J29"/>
    <mergeCell ref="Q29:S29"/>
    <mergeCell ref="AM12:AN12"/>
    <mergeCell ref="F15:N15"/>
    <mergeCell ref="Q15:Y15"/>
    <mergeCell ref="F16:K16"/>
    <mergeCell ref="Q16:Y16"/>
    <mergeCell ref="U12:X12"/>
    <mergeCell ref="AE12:AG12"/>
    <mergeCell ref="AI12:AJ12"/>
    <mergeCell ref="AB15:AC15"/>
    <mergeCell ref="AB16:AC16"/>
    <mergeCell ref="F22:J22"/>
    <mergeCell ref="Q22:S22"/>
    <mergeCell ref="F1:G1"/>
    <mergeCell ref="F2:G2"/>
    <mergeCell ref="Q12:T12"/>
    <mergeCell ref="F93:N93"/>
    <mergeCell ref="Q93:Y93"/>
    <mergeCell ref="F94:K94"/>
    <mergeCell ref="Q94:Y94"/>
    <mergeCell ref="F96:J96"/>
    <mergeCell ref="Q96:S96"/>
  </mergeCells>
  <dataValidations disablePrompts="1" count="3">
    <dataValidation type="list" allowBlank="1" showInputMessage="1" showErrorMessage="1" sqref="E87:E91 E74:E77 E69:E71 E80:E83 E95 E17:E65 E99" xr:uid="{F55014C1-949C-48AD-BD6A-6BA2C88F72C2}">
      <formula1>"FAT.OGGI,FAT.CLIENTE"</formula1>
    </dataValidation>
    <dataValidation type="list" allowBlank="1" showInputMessage="1" showErrorMessage="1" sqref="D87:D91 D74:D77 D69:D71 D80:D83 D95 D17:D65 D99 D101" xr:uid="{F0DCA3AF-B3B3-4187-A078-5A93D66C26BD}">
      <formula1>"INTERNO,OPERACIONAL"</formula1>
    </dataValidation>
    <dataValidation type="list" allowBlank="1" showInputMessage="1" showErrorMessage="1" sqref="E101" xr:uid="{8F3ADF38-CE74-42A5-8062-A6AE974DB64E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2CDDC-D9B9-422E-B042-D05CB385FE49}">
  <sheetPr codeName="Planilha13">
    <pageSetUpPr autoPageBreaks="0"/>
  </sheetPr>
  <dimension ref="A1:AL117"/>
  <sheetViews>
    <sheetView showGridLines="0" topLeftCell="F1" zoomScale="70" zoomScaleNormal="70" workbookViewId="0">
      <pane ySplit="1" topLeftCell="A104" activePane="bottomLeft" state="frozen"/>
      <selection pane="bottomLeft" activeCell="J9" sqref="J9"/>
    </sheetView>
  </sheetViews>
  <sheetFormatPr defaultColWidth="8.88671875" defaultRowHeight="14.4" x14ac:dyDescent="0.3"/>
  <cols>
    <col min="1" max="1" width="5.88671875" customWidth="1"/>
    <col min="2" max="2" width="9.88671875" customWidth="1"/>
    <col min="3" max="3" width="11" customWidth="1"/>
    <col min="4" max="5" width="8.44140625" customWidth="1"/>
    <col min="6" max="6" width="25.109375" customWidth="1"/>
    <col min="7" max="7" width="56.88671875" customWidth="1"/>
    <col min="8" max="8" width="5.88671875" style="94" customWidth="1"/>
    <col min="9" max="9" width="7.88671875" style="94" customWidth="1"/>
    <col min="10" max="10" width="16.44140625" bestFit="1" customWidth="1"/>
    <col min="11" max="11" width="24" customWidth="1"/>
    <col min="12" max="13" width="23.109375" customWidth="1"/>
    <col min="14" max="14" width="26.44140625" bestFit="1" customWidth="1"/>
    <col min="15" max="15" width="3.33203125" customWidth="1"/>
    <col min="16" max="16" width="1.88671875" customWidth="1"/>
    <col min="17" max="17" width="11.109375" style="94" bestFit="1" customWidth="1"/>
    <col min="18" max="18" width="8.44140625" style="94" bestFit="1" customWidth="1"/>
    <col min="19" max="19" width="17.88671875" bestFit="1" customWidth="1"/>
    <col min="20" max="20" width="26.6640625" bestFit="1" customWidth="1"/>
    <col min="21" max="21" width="24.6640625" bestFit="1" customWidth="1"/>
    <col min="22" max="22" width="9.6640625" bestFit="1" customWidth="1"/>
    <col min="23" max="23" width="16.109375" bestFit="1" customWidth="1"/>
    <col min="24" max="24" width="27.109375" bestFit="1" customWidth="1"/>
    <col min="25" max="25" width="26.6640625" bestFit="1" customWidth="1"/>
    <col min="26" max="26" width="14.6640625" bestFit="1" customWidth="1"/>
    <col min="27" max="27" width="24.6640625" bestFit="1" customWidth="1"/>
    <col min="28" max="28" width="38.109375" customWidth="1"/>
    <col min="29" max="29" width="14.109375" bestFit="1" customWidth="1"/>
    <col min="30" max="30" width="7.6640625" bestFit="1" customWidth="1"/>
    <col min="31" max="31" width="6.88671875" bestFit="1" customWidth="1"/>
    <col min="32" max="32" width="1.33203125" customWidth="1"/>
    <col min="33" max="33" width="14" bestFit="1" customWidth="1"/>
    <col min="34" max="34" width="11.6640625" bestFit="1" customWidth="1"/>
    <col min="35" max="35" width="6.33203125" bestFit="1" customWidth="1"/>
    <col min="36" max="36" width="12.6640625" bestFit="1" customWidth="1"/>
    <col min="37" max="37" width="13.109375" bestFit="1" customWidth="1"/>
    <col min="38" max="38" width="13.5546875" bestFit="1" customWidth="1"/>
    <col min="40" max="40" width="21.33203125" customWidth="1"/>
  </cols>
  <sheetData>
    <row r="1" spans="1:38" ht="49.5" customHeight="1" x14ac:dyDescent="0.3">
      <c r="B1" s="41"/>
      <c r="C1" s="42"/>
      <c r="D1" s="42"/>
      <c r="F1" s="630" t="s">
        <v>107</v>
      </c>
      <c r="G1" s="630"/>
    </row>
    <row r="2" spans="1:38" ht="24.75" customHeight="1" x14ac:dyDescent="0.3">
      <c r="B2" s="40"/>
      <c r="D2" s="42"/>
      <c r="F2" s="631" t="s">
        <v>0</v>
      </c>
      <c r="G2" s="631"/>
    </row>
    <row r="3" spans="1:38" ht="18.600000000000001" thickBot="1" x14ac:dyDescent="0.4">
      <c r="B3" s="43"/>
      <c r="F3" s="33"/>
      <c r="G3" s="33"/>
    </row>
    <row r="4" spans="1:38" ht="29.1" customHeight="1" x14ac:dyDescent="0.3">
      <c r="F4" s="113" t="s">
        <v>209</v>
      </c>
      <c r="G4" s="114" t="s">
        <v>307</v>
      </c>
    </row>
    <row r="5" spans="1:38" ht="27.6" customHeight="1" x14ac:dyDescent="0.3">
      <c r="F5" s="115" t="s">
        <v>210</v>
      </c>
      <c r="G5" s="116" t="s">
        <v>208</v>
      </c>
    </row>
    <row r="6" spans="1:38" ht="24.9" customHeight="1" x14ac:dyDescent="0.3">
      <c r="D6" t="s">
        <v>105</v>
      </c>
      <c r="F6" s="115" t="s">
        <v>211</v>
      </c>
      <c r="G6" s="116" t="s">
        <v>308</v>
      </c>
    </row>
    <row r="7" spans="1:38" ht="25.5" customHeight="1" x14ac:dyDescent="0.3">
      <c r="F7" s="115" t="s">
        <v>212</v>
      </c>
      <c r="G7" s="116" t="s">
        <v>290</v>
      </c>
      <c r="J7" t="s">
        <v>106</v>
      </c>
    </row>
    <row r="8" spans="1:38" ht="26.1" customHeight="1" x14ac:dyDescent="0.3">
      <c r="F8" s="115" t="s">
        <v>213</v>
      </c>
      <c r="G8" s="116" t="s">
        <v>309</v>
      </c>
    </row>
    <row r="9" spans="1:38" ht="27.6" customHeight="1" x14ac:dyDescent="0.3">
      <c r="F9" s="115" t="s">
        <v>214</v>
      </c>
      <c r="G9" s="116" t="s">
        <v>118</v>
      </c>
      <c r="J9" t="s">
        <v>105</v>
      </c>
    </row>
    <row r="10" spans="1:38" ht="27" customHeight="1" x14ac:dyDescent="0.3">
      <c r="F10" s="115" t="s">
        <v>215</v>
      </c>
      <c r="G10" s="116" t="s">
        <v>293</v>
      </c>
    </row>
    <row r="11" spans="1:38" ht="18.600000000000001" thickBot="1" x14ac:dyDescent="0.35">
      <c r="F11" s="117" t="s">
        <v>216</v>
      </c>
      <c r="G11" s="118" t="s">
        <v>310</v>
      </c>
    </row>
    <row r="12" spans="1:38" ht="16.8" thickBot="1" x14ac:dyDescent="0.35">
      <c r="B12" s="1"/>
      <c r="M12" s="27"/>
      <c r="Q12" s="632" t="s">
        <v>1</v>
      </c>
      <c r="R12" s="633"/>
      <c r="S12" s="633"/>
      <c r="T12" s="634"/>
      <c r="U12" s="646" t="s">
        <v>2</v>
      </c>
      <c r="V12" s="647"/>
      <c r="W12" s="647"/>
      <c r="X12" s="648"/>
      <c r="Y12" s="29" t="s">
        <v>56</v>
      </c>
      <c r="Z12" s="30">
        <f>(1/(1-M14))-1</f>
        <v>0.24269914253759173</v>
      </c>
      <c r="AC12" s="649" t="s">
        <v>3</v>
      </c>
      <c r="AD12" s="650"/>
      <c r="AE12" s="651"/>
      <c r="AG12" s="652" t="s">
        <v>58</v>
      </c>
      <c r="AH12" s="653"/>
      <c r="AJ12" s="34" t="s">
        <v>60</v>
      </c>
      <c r="AK12" s="635" t="s">
        <v>59</v>
      </c>
      <c r="AL12" s="636"/>
    </row>
    <row r="13" spans="1:38" ht="18.600000000000001" thickBot="1" x14ac:dyDescent="0.4">
      <c r="A13" s="31" t="s">
        <v>4</v>
      </c>
      <c r="B13" s="32" t="s">
        <v>5</v>
      </c>
      <c r="C13" s="31" t="s">
        <v>6</v>
      </c>
      <c r="D13" s="31" t="s">
        <v>7</v>
      </c>
      <c r="E13" s="31" t="s">
        <v>8</v>
      </c>
      <c r="M13" s="28">
        <v>0.81</v>
      </c>
    </row>
    <row r="14" spans="1:38" ht="33" thickBot="1" x14ac:dyDescent="0.35">
      <c r="A14" s="45">
        <v>0</v>
      </c>
      <c r="B14" s="46"/>
      <c r="C14" s="47"/>
      <c r="D14" s="44"/>
      <c r="E14" s="44"/>
      <c r="F14" s="172" t="s">
        <v>83</v>
      </c>
      <c r="G14" s="173" t="s">
        <v>84</v>
      </c>
      <c r="H14" s="57" t="s">
        <v>85</v>
      </c>
      <c r="I14" s="57" t="s">
        <v>86</v>
      </c>
      <c r="J14" s="58" t="s">
        <v>87</v>
      </c>
      <c r="K14" s="174" t="s">
        <v>9</v>
      </c>
      <c r="L14" s="175">
        <v>0.09</v>
      </c>
      <c r="M14" s="56">
        <v>0.1953</v>
      </c>
      <c r="N14" s="59" t="s">
        <v>81</v>
      </c>
      <c r="Q14" s="60" t="s">
        <v>88</v>
      </c>
      <c r="R14" s="61" t="s">
        <v>89</v>
      </c>
      <c r="S14" s="62" t="s">
        <v>90</v>
      </c>
      <c r="T14" s="63" t="s">
        <v>91</v>
      </c>
      <c r="U14" s="64" t="s">
        <v>92</v>
      </c>
      <c r="V14" s="65" t="s">
        <v>93</v>
      </c>
      <c r="W14" s="66" t="s">
        <v>94</v>
      </c>
      <c r="X14" s="66" t="s">
        <v>95</v>
      </c>
      <c r="Y14" s="67" t="s">
        <v>96</v>
      </c>
      <c r="Z14" s="48" t="s">
        <v>97</v>
      </c>
      <c r="AA14" s="49" t="s">
        <v>82</v>
      </c>
      <c r="AC14" s="50" t="s">
        <v>98</v>
      </c>
      <c r="AD14" s="51" t="s">
        <v>99</v>
      </c>
      <c r="AE14" s="51" t="s">
        <v>33</v>
      </c>
      <c r="AG14" s="52" t="s">
        <v>100</v>
      </c>
      <c r="AH14" s="53" t="s">
        <v>101</v>
      </c>
      <c r="AK14" s="54" t="s">
        <v>102</v>
      </c>
      <c r="AL14" s="55" t="s">
        <v>103</v>
      </c>
    </row>
    <row r="15" spans="1:38" ht="20.399999999999999" customHeight="1" thickBot="1" x14ac:dyDescent="0.4">
      <c r="A15" s="44">
        <v>1</v>
      </c>
      <c r="B15" s="74">
        <v>1</v>
      </c>
      <c r="C15" s="73" t="s">
        <v>108</v>
      </c>
      <c r="D15" s="44"/>
      <c r="E15" s="44"/>
      <c r="F15" s="637" t="s">
        <v>125</v>
      </c>
      <c r="G15" s="638"/>
      <c r="H15" s="638"/>
      <c r="I15" s="638"/>
      <c r="J15" s="638"/>
      <c r="K15" s="638"/>
      <c r="L15" s="638"/>
      <c r="M15" s="638"/>
      <c r="N15" s="639"/>
      <c r="Q15" s="640" t="str">
        <f>IF(F15&lt;&gt;"",F15,"")</f>
        <v>INTERNOS</v>
      </c>
      <c r="R15" s="641"/>
      <c r="S15" s="641"/>
      <c r="T15" s="641"/>
      <c r="U15" s="641"/>
      <c r="V15" s="641"/>
      <c r="W15" s="641"/>
      <c r="X15" s="641"/>
      <c r="Y15" s="642"/>
      <c r="Z15" s="89"/>
    </row>
    <row r="16" spans="1:38" ht="23.1" customHeight="1" x14ac:dyDescent="0.35">
      <c r="A16" s="44">
        <v>2</v>
      </c>
      <c r="B16" s="74" t="s">
        <v>110</v>
      </c>
      <c r="C16" s="73" t="s">
        <v>109</v>
      </c>
      <c r="D16" s="44"/>
      <c r="E16" s="44"/>
      <c r="F16" s="643" t="s">
        <v>125</v>
      </c>
      <c r="G16" s="644"/>
      <c r="H16" s="644"/>
      <c r="I16" s="644"/>
      <c r="J16" s="644"/>
      <c r="K16" s="644"/>
      <c r="L16" s="166" t="s">
        <v>111</v>
      </c>
      <c r="M16" s="166" t="s">
        <v>112</v>
      </c>
      <c r="N16" s="167" t="s">
        <v>81</v>
      </c>
      <c r="Q16" s="643" t="str">
        <f>IF(F16&lt;&gt;"",F16,"")</f>
        <v>INTERNOS</v>
      </c>
      <c r="R16" s="644"/>
      <c r="S16" s="644"/>
      <c r="T16" s="644"/>
      <c r="U16" s="644"/>
      <c r="V16" s="644"/>
      <c r="W16" s="644"/>
      <c r="X16" s="644"/>
      <c r="Y16" s="645"/>
      <c r="Z16" s="88" t="s">
        <v>113</v>
      </c>
      <c r="AA16" s="75" t="s">
        <v>82</v>
      </c>
    </row>
    <row r="17" spans="1:27" ht="38.1" customHeight="1" x14ac:dyDescent="0.3">
      <c r="A17" s="44">
        <v>3</v>
      </c>
      <c r="B17" s="74" t="s">
        <v>115</v>
      </c>
      <c r="C17" s="73" t="s">
        <v>114</v>
      </c>
      <c r="D17" s="44" t="s">
        <v>120</v>
      </c>
      <c r="E17" s="44" t="s">
        <v>121</v>
      </c>
      <c r="F17" s="95" t="s">
        <v>319</v>
      </c>
      <c r="G17" s="77" t="s">
        <v>146</v>
      </c>
      <c r="H17" s="93">
        <v>1</v>
      </c>
      <c r="I17" s="93">
        <v>1</v>
      </c>
      <c r="J17" s="76">
        <v>4000</v>
      </c>
      <c r="K17" s="76">
        <f>IF(F17&lt;&gt;"",H17*I17*J17,"")</f>
        <v>4000</v>
      </c>
      <c r="L17" s="76">
        <f>IF(K17&lt;&gt;"",IF(D17="INTERNO",0,K17*$L$14),"")</f>
        <v>0</v>
      </c>
      <c r="M17" s="76">
        <f>IF(K17&lt;&gt;"",IF(E17="FAT.OGGI",SUM(K17:L17)*(1/(1-$M$14)-1),L17*(1/(1-$M$14)-1)),0)</f>
        <v>970.79657015036696</v>
      </c>
      <c r="N17" s="91">
        <f>SUM(K17:M17)</f>
        <v>4970.7965701503672</v>
      </c>
      <c r="Q17" s="106">
        <f t="shared" ref="Q17:R20" si="0">IF(H17&lt;&gt;"",H17,"")</f>
        <v>1</v>
      </c>
      <c r="R17" s="102">
        <f t="shared" si="0"/>
        <v>1</v>
      </c>
      <c r="S17" s="103">
        <v>0</v>
      </c>
      <c r="T17" s="103">
        <f>IF(Q17&lt;&gt;"",Q17*R17*S17,"")</f>
        <v>0</v>
      </c>
      <c r="U17" s="104">
        <f>IF(Q17&lt;&gt;"",K17-T17,"")</f>
        <v>4000</v>
      </c>
      <c r="V17" s="105">
        <f>IF(Q17&lt;&gt;"",0%,"")</f>
        <v>0</v>
      </c>
      <c r="W17" s="101">
        <f>IF(Q17&lt;&gt;"",V17*U17,"")</f>
        <v>0</v>
      </c>
      <c r="X17" s="101">
        <f>IF(Q17&lt;&gt;"",W17+T17,"")</f>
        <v>0</v>
      </c>
      <c r="Y17" s="92">
        <f t="shared" ref="Y17:Y22" si="1">IF(Q17&lt;&gt;"",X17+M17,"")</f>
        <v>970.79657015036696</v>
      </c>
      <c r="Z17" s="89">
        <f>IF(Q17&lt;&gt;"", IFERROR(U17/K17, 0), 0)</f>
        <v>1</v>
      </c>
      <c r="AA17" s="82">
        <f>IFERROR(T17/$T$22, "")</f>
        <v>0</v>
      </c>
    </row>
    <row r="18" spans="1:27" ht="49.5" customHeight="1" x14ac:dyDescent="0.3">
      <c r="A18" s="44">
        <v>4</v>
      </c>
      <c r="B18" s="74" t="s">
        <v>104</v>
      </c>
      <c r="C18" s="73" t="s">
        <v>114</v>
      </c>
      <c r="D18" s="44" t="s">
        <v>120</v>
      </c>
      <c r="E18" s="44" t="s">
        <v>121</v>
      </c>
      <c r="F18" s="95" t="s">
        <v>152</v>
      </c>
      <c r="G18" s="77" t="s">
        <v>147</v>
      </c>
      <c r="H18" s="93">
        <v>1</v>
      </c>
      <c r="I18" s="93">
        <v>1</v>
      </c>
      <c r="J18" s="76">
        <v>6000</v>
      </c>
      <c r="K18" s="76">
        <f>IF(F18&lt;&gt;"",H18*I18*J18,"")</f>
        <v>6000</v>
      </c>
      <c r="L18" s="76">
        <f>IF(K18&lt;&gt;"",IF(D18="INTERNO",0,K18*$L$14),"")</f>
        <v>0</v>
      </c>
      <c r="M18" s="76">
        <f>IF(K18&lt;&gt;"",IF(E18="FAT.OGGI",SUM(K18:L18)*(1/(1-$M$14)-1),L18*(1/(1-$M$14)-1)),0)</f>
        <v>1456.1948552255503</v>
      </c>
      <c r="N18" s="91">
        <f>SUM(K18:M18)</f>
        <v>7456.1948552255508</v>
      </c>
      <c r="Q18" s="106">
        <f t="shared" si="0"/>
        <v>1</v>
      </c>
      <c r="R18" s="102">
        <f t="shared" si="0"/>
        <v>1</v>
      </c>
      <c r="S18" s="103">
        <v>4000</v>
      </c>
      <c r="T18" s="103">
        <f>IF(Q18&lt;&gt;"",Q18*R18*S18,"")</f>
        <v>4000</v>
      </c>
      <c r="U18" s="104">
        <f>IF(Q18&lt;&gt;"",K18-T18,"")</f>
        <v>2000</v>
      </c>
      <c r="V18" s="105">
        <f>IF(Q18&lt;&gt;"",0%,"")</f>
        <v>0</v>
      </c>
      <c r="W18" s="101">
        <f>IF(Q18&lt;&gt;"",V18*U18,"")</f>
        <v>0</v>
      </c>
      <c r="X18" s="101">
        <f>IF(Q18&lt;&gt;"",W18+T18,"")</f>
        <v>4000</v>
      </c>
      <c r="Y18" s="92">
        <f t="shared" si="1"/>
        <v>5456.1948552255508</v>
      </c>
      <c r="Z18" s="89">
        <f>IF(Q18&lt;&gt;"", IFERROR(U18/K18, 0), 0)</f>
        <v>0.33333333333333331</v>
      </c>
      <c r="AA18" s="82">
        <f>IFERROR(T18/$T$22, "")</f>
        <v>0.5</v>
      </c>
    </row>
    <row r="19" spans="1:27" ht="87.6" customHeight="1" x14ac:dyDescent="0.3">
      <c r="A19" s="44">
        <v>5</v>
      </c>
      <c r="B19" s="74" t="s">
        <v>116</v>
      </c>
      <c r="C19" s="73" t="s">
        <v>114</v>
      </c>
      <c r="D19" s="44" t="s">
        <v>120</v>
      </c>
      <c r="E19" s="44" t="s">
        <v>121</v>
      </c>
      <c r="F19" s="95" t="s">
        <v>148</v>
      </c>
      <c r="G19" s="77" t="s">
        <v>149</v>
      </c>
      <c r="H19" s="93">
        <v>1</v>
      </c>
      <c r="I19" s="93">
        <v>1</v>
      </c>
      <c r="J19" s="76">
        <v>7000</v>
      </c>
      <c r="K19" s="76">
        <f>IF(F19&lt;&gt;"",H19*I19*J19,"")</f>
        <v>7000</v>
      </c>
      <c r="L19" s="76">
        <f>IF(K19&lt;&gt;"",IF(D19="INTERNO",0,K19*$L$14),"")</f>
        <v>0</v>
      </c>
      <c r="M19" s="76">
        <f>IF(K19&lt;&gt;"",IF(E19="FAT.OGGI",SUM(K19:L19)*(1/(1-$M$14)-1),L19*(1/(1-$M$14)-1)),0)</f>
        <v>1698.8939977631421</v>
      </c>
      <c r="N19" s="91">
        <f>SUM(K19:M19)</f>
        <v>8698.8939977631417</v>
      </c>
      <c r="Q19" s="106">
        <f t="shared" si="0"/>
        <v>1</v>
      </c>
      <c r="R19" s="102">
        <f t="shared" si="0"/>
        <v>1</v>
      </c>
      <c r="S19" s="103">
        <v>3000</v>
      </c>
      <c r="T19" s="103">
        <f>IF(Q19&lt;&gt;"",Q19*R19*S19,"")</f>
        <v>3000</v>
      </c>
      <c r="U19" s="104">
        <f>IF(Q19&lt;&gt;"",K19-T19,"")</f>
        <v>4000</v>
      </c>
      <c r="V19" s="105">
        <f>IF(Q19&lt;&gt;"",0%,"")</f>
        <v>0</v>
      </c>
      <c r="W19" s="101">
        <f>IF(Q19&lt;&gt;"",V19*U19,"")</f>
        <v>0</v>
      </c>
      <c r="X19" s="101">
        <f>IF(Q19&lt;&gt;"",W19+T19,"")</f>
        <v>3000</v>
      </c>
      <c r="Y19" s="92">
        <f t="shared" si="1"/>
        <v>4698.8939977631417</v>
      </c>
      <c r="Z19" s="89">
        <f>IF(Q19&lt;&gt;"", IFERROR(U19/K19, 0), 0)</f>
        <v>0.5714285714285714</v>
      </c>
      <c r="AA19" s="82">
        <f>IFERROR(T19/$T$22, "")</f>
        <v>0.375</v>
      </c>
    </row>
    <row r="20" spans="1:27" ht="35.1" customHeight="1" x14ac:dyDescent="0.3">
      <c r="A20" s="44">
        <v>6</v>
      </c>
      <c r="B20" s="74" t="s">
        <v>117</v>
      </c>
      <c r="C20" s="73" t="s">
        <v>114</v>
      </c>
      <c r="D20" s="44" t="s">
        <v>120</v>
      </c>
      <c r="E20" s="44" t="s">
        <v>121</v>
      </c>
      <c r="F20" s="131" t="s">
        <v>119</v>
      </c>
      <c r="G20" s="132" t="s">
        <v>320</v>
      </c>
      <c r="H20" s="93">
        <v>1</v>
      </c>
      <c r="I20" s="93">
        <v>1</v>
      </c>
      <c r="J20" s="76">
        <v>2000</v>
      </c>
      <c r="K20" s="76">
        <f>IF(F20&lt;&gt;"",H20*I20*J20,"")</f>
        <v>2000</v>
      </c>
      <c r="L20" s="76">
        <f>IF(K20&lt;&gt;"",IF(D20="INTERNO",0,K20*$L$14),"")</f>
        <v>0</v>
      </c>
      <c r="M20" s="76">
        <f>IF(K20&lt;&gt;"",IF(E20="FAT.OGGI",SUM(K20:L20)*(1/(1-$M$14)-1),L20*(1/(1-$M$14)-1)),0)</f>
        <v>485.39828507518348</v>
      </c>
      <c r="N20" s="91">
        <f>SUM(K20:M20)</f>
        <v>2485.3982850751836</v>
      </c>
      <c r="Q20" s="106">
        <f t="shared" si="0"/>
        <v>1</v>
      </c>
      <c r="R20" s="102">
        <f t="shared" si="0"/>
        <v>1</v>
      </c>
      <c r="S20" s="103">
        <v>0</v>
      </c>
      <c r="T20" s="103">
        <f>IF(Q20&lt;&gt;"",Q20*R20*S20,"")</f>
        <v>0</v>
      </c>
      <c r="U20" s="104">
        <f>IF(Q20&lt;&gt;"",K20-T20,"")</f>
        <v>2000</v>
      </c>
      <c r="V20" s="105">
        <f>IF(Q20&lt;&gt;"",0%,"")</f>
        <v>0</v>
      </c>
      <c r="W20" s="101">
        <f>IF(Q20&lt;&gt;"",V20*U20,"")</f>
        <v>0</v>
      </c>
      <c r="X20" s="101">
        <f>IF(Q20&lt;&gt;"",W20+T20,"")</f>
        <v>0</v>
      </c>
      <c r="Y20" s="92">
        <f t="shared" si="1"/>
        <v>485.39828507518348</v>
      </c>
      <c r="Z20" s="89">
        <f>IF(Q20&lt;&gt;"", IFERROR(U20/K20, 0), 0)</f>
        <v>1</v>
      </c>
      <c r="AA20" s="82">
        <f>IFERROR(T20/$T$22, "")</f>
        <v>0</v>
      </c>
    </row>
    <row r="21" spans="1:27" ht="49.5" customHeight="1" x14ac:dyDescent="0.3">
      <c r="A21" s="44">
        <v>7</v>
      </c>
      <c r="B21" s="74" t="s">
        <v>145</v>
      </c>
      <c r="C21" s="73" t="s">
        <v>114</v>
      </c>
      <c r="D21" s="44" t="s">
        <v>120</v>
      </c>
      <c r="E21" s="44" t="s">
        <v>121</v>
      </c>
      <c r="F21" s="95" t="s">
        <v>150</v>
      </c>
      <c r="G21" s="77" t="s">
        <v>151</v>
      </c>
      <c r="H21" s="93">
        <v>1</v>
      </c>
      <c r="I21" s="93">
        <v>1</v>
      </c>
      <c r="J21" s="76">
        <v>2500</v>
      </c>
      <c r="K21" s="76">
        <f>IF(F21&lt;&gt;"",H21*I21*J21,"")</f>
        <v>2500</v>
      </c>
      <c r="L21" s="76">
        <f>IF(K21&lt;&gt;"",IF(D21="INTERNO",0,K21*$L$14),"")</f>
        <v>0</v>
      </c>
      <c r="M21" s="76">
        <f>IF(K21&lt;&gt;"",IF(E21="FAT.OGGI",SUM(K21:L21)*(1/(1-$M$14)-1),L21*(1/(1-$M$14)-1)),0)</f>
        <v>606.74785634397927</v>
      </c>
      <c r="N21" s="91">
        <f>SUM(K21:M21)</f>
        <v>3106.747856343979</v>
      </c>
      <c r="Q21" s="106">
        <f>IF(H21&lt;&gt;"",H21,"")</f>
        <v>1</v>
      </c>
      <c r="R21" s="102">
        <f>IF(I21&lt;&gt;"",I21,"")</f>
        <v>1</v>
      </c>
      <c r="S21" s="103">
        <v>1000</v>
      </c>
      <c r="T21" s="103">
        <f>IF(Q21&lt;&gt;"",Q21*R21*S21,"")</f>
        <v>1000</v>
      </c>
      <c r="U21" s="104">
        <f>IF(Q21&lt;&gt;"",K21-T21,"")</f>
        <v>1500</v>
      </c>
      <c r="V21" s="105">
        <f>IF(Q21&lt;&gt;"",0%,"")</f>
        <v>0</v>
      </c>
      <c r="W21" s="101">
        <f>IF(Q21&lt;&gt;"",V21*U21,"")</f>
        <v>0</v>
      </c>
      <c r="X21" s="101">
        <f>IF(Q21&lt;&gt;"",W21+T21,"")</f>
        <v>1000</v>
      </c>
      <c r="Y21" s="92">
        <f t="shared" si="1"/>
        <v>1606.7478563439793</v>
      </c>
      <c r="Z21" s="89">
        <f>IF(Q21&lt;&gt;"", IFERROR(U21/K21, 0), 0)</f>
        <v>0.6</v>
      </c>
      <c r="AA21" s="82">
        <f>IFERROR(T21/$T$22, "")</f>
        <v>0.125</v>
      </c>
    </row>
    <row r="22" spans="1:27" ht="21.9" customHeight="1" thickBot="1" x14ac:dyDescent="0.4">
      <c r="A22" s="70">
        <v>8</v>
      </c>
      <c r="B22" s="74"/>
      <c r="C22" s="72" t="s">
        <v>122</v>
      </c>
      <c r="D22" s="70"/>
      <c r="E22" s="70"/>
      <c r="F22" s="626" t="s">
        <v>200</v>
      </c>
      <c r="G22" s="627"/>
      <c r="H22" s="627"/>
      <c r="I22" s="627"/>
      <c r="J22" s="627"/>
      <c r="K22" s="168">
        <f>SUM(K17:K21)</f>
        <v>21500</v>
      </c>
      <c r="L22" s="168">
        <f>SUM(L17:L21)</f>
        <v>0</v>
      </c>
      <c r="M22" s="168">
        <f>SUM(M17:M21)</f>
        <v>5218.0315645582223</v>
      </c>
      <c r="N22" s="169">
        <f>SUM(N17:N21)</f>
        <v>26718.031564558223</v>
      </c>
      <c r="Q22" s="628" t="s">
        <v>200</v>
      </c>
      <c r="R22" s="629"/>
      <c r="S22" s="629"/>
      <c r="T22" s="195">
        <f>SUM(T17:T21)</f>
        <v>8000</v>
      </c>
      <c r="U22" s="196">
        <f>SUM(U17:U21)</f>
        <v>13500</v>
      </c>
      <c r="V22" s="201"/>
      <c r="W22" s="130"/>
      <c r="X22" s="199">
        <f>SUM(X17:X21)</f>
        <v>8000</v>
      </c>
      <c r="Y22" s="200">
        <f t="shared" si="1"/>
        <v>13218.031564558223</v>
      </c>
      <c r="Z22" s="89"/>
      <c r="AA22" s="100"/>
    </row>
    <row r="23" spans="1:27" ht="23.4" customHeight="1" thickBot="1" x14ac:dyDescent="0.4">
      <c r="A23" s="44">
        <v>9</v>
      </c>
      <c r="B23" s="74">
        <v>2</v>
      </c>
      <c r="C23" s="73" t="s">
        <v>108</v>
      </c>
      <c r="D23" s="44"/>
      <c r="E23" s="44"/>
      <c r="F23" s="637" t="s">
        <v>155</v>
      </c>
      <c r="G23" s="638"/>
      <c r="H23" s="638"/>
      <c r="I23" s="638"/>
      <c r="J23" s="638"/>
      <c r="K23" s="638"/>
      <c r="L23" s="638"/>
      <c r="M23" s="638"/>
      <c r="N23" s="639"/>
      <c r="Q23" s="640" t="str">
        <f>IF(F23&lt;&gt;"",F23,"")</f>
        <v>LOCAÇÃO DE ESPAÇO E A&amp;B</v>
      </c>
      <c r="R23" s="641"/>
      <c r="S23" s="641"/>
      <c r="T23" s="641"/>
      <c r="U23" s="641"/>
      <c r="V23" s="641"/>
      <c r="W23" s="641"/>
      <c r="X23" s="641"/>
      <c r="Y23" s="642"/>
      <c r="Z23" s="89"/>
    </row>
    <row r="24" spans="1:27" ht="24.6" customHeight="1" thickBot="1" x14ac:dyDescent="0.4">
      <c r="A24" s="44">
        <v>10</v>
      </c>
      <c r="B24" s="74" t="s">
        <v>124</v>
      </c>
      <c r="C24" s="73" t="s">
        <v>109</v>
      </c>
      <c r="D24" s="44"/>
      <c r="E24" s="44"/>
      <c r="F24" s="654" t="s">
        <v>156</v>
      </c>
      <c r="G24" s="655"/>
      <c r="H24" s="655"/>
      <c r="I24" s="655"/>
      <c r="J24" s="655"/>
      <c r="K24" s="655"/>
      <c r="L24" s="247" t="s">
        <v>111</v>
      </c>
      <c r="M24" s="247" t="s">
        <v>112</v>
      </c>
      <c r="N24" s="248" t="s">
        <v>81</v>
      </c>
      <c r="Q24" s="656" t="str">
        <f>IF(F24&lt;&gt;"",F24,"")</f>
        <v>SÃO PAULO</v>
      </c>
      <c r="R24" s="657"/>
      <c r="S24" s="657"/>
      <c r="T24" s="657"/>
      <c r="U24" s="657"/>
      <c r="V24" s="657"/>
      <c r="W24" s="657"/>
      <c r="X24" s="657"/>
      <c r="Y24" s="658"/>
      <c r="Z24" s="96" t="s">
        <v>113</v>
      </c>
      <c r="AA24" s="75" t="s">
        <v>82</v>
      </c>
    </row>
    <row r="25" spans="1:27" ht="36" customHeight="1" x14ac:dyDescent="0.3">
      <c r="A25" s="44">
        <v>18</v>
      </c>
      <c r="B25" s="74" t="s">
        <v>127</v>
      </c>
      <c r="C25" s="73" t="s">
        <v>114</v>
      </c>
      <c r="D25" s="44" t="s">
        <v>129</v>
      </c>
      <c r="E25" s="44" t="s">
        <v>130</v>
      </c>
      <c r="F25" s="260" t="s">
        <v>347</v>
      </c>
      <c r="G25" s="261" t="s">
        <v>348</v>
      </c>
      <c r="H25" s="262">
        <v>1</v>
      </c>
      <c r="I25" s="262">
        <v>0</v>
      </c>
      <c r="J25" s="263">
        <v>4900</v>
      </c>
      <c r="K25" s="263">
        <f t="shared" ref="K25:K35" si="2">IF(F25&lt;&gt;"",H25*I25*J25,"")</f>
        <v>0</v>
      </c>
      <c r="L25" s="263">
        <f t="shared" ref="L25:L35" si="3">IF(K25&lt;&gt;"",IF(D25="INTERNO",0,K25*$L$14),"")</f>
        <v>0</v>
      </c>
      <c r="M25" s="263">
        <f t="shared" ref="M25:M35" si="4">IF(K25&lt;&gt;"",IF(E25="FAT.OGGI",SUM(K25:L25)*(1/(1-$M$14)-1),L25*(1/(1-$M$14)-1)),"")</f>
        <v>0</v>
      </c>
      <c r="N25" s="264">
        <f t="shared" ref="N25:N35" si="5">SUM(K25:M25)</f>
        <v>0</v>
      </c>
      <c r="Q25" s="214">
        <f t="shared" ref="Q25:R35" si="6">IF(H25&lt;&gt;"",H25,"")</f>
        <v>1</v>
      </c>
      <c r="R25" s="214">
        <f t="shared" si="6"/>
        <v>0</v>
      </c>
      <c r="S25" s="210">
        <v>3800</v>
      </c>
      <c r="T25" s="210">
        <f t="shared" ref="T25:T35" si="7">IF(Q25&lt;&gt;"",Q25*R25*S25,"")</f>
        <v>0</v>
      </c>
      <c r="U25" s="211">
        <f t="shared" ref="U25:U35" si="8">IF(Q25&lt;&gt;"",K25-T25,"")</f>
        <v>0</v>
      </c>
      <c r="V25" s="212">
        <f t="shared" ref="V25:V35" si="9">IF(Q25&lt;&gt;"",0%,"")</f>
        <v>0</v>
      </c>
      <c r="W25" s="213">
        <f t="shared" ref="W25:W35" si="10">IF(Q25&lt;&gt;"",V25*U25,"")</f>
        <v>0</v>
      </c>
      <c r="X25" s="213">
        <f t="shared" ref="X25:X35" si="11">IF(Q25&lt;&gt;"",W25+T25,"")</f>
        <v>0</v>
      </c>
      <c r="Y25" s="130">
        <f t="shared" ref="Y25:Y39" si="12">IF(Q25&lt;&gt;"",X25+M25,"")</f>
        <v>0</v>
      </c>
      <c r="Z25" s="82" t="e">
        <f t="shared" ref="Z25:Z35" si="13">IF(Q25&lt;&gt;"",U25/K25,"")</f>
        <v>#DIV/0!</v>
      </c>
      <c r="AA25" s="100"/>
    </row>
    <row r="26" spans="1:27" ht="36" customHeight="1" x14ac:dyDescent="0.3">
      <c r="A26" s="44">
        <v>19</v>
      </c>
      <c r="B26" s="74" t="s">
        <v>128</v>
      </c>
      <c r="C26" s="73" t="s">
        <v>114</v>
      </c>
      <c r="D26" s="44" t="s">
        <v>129</v>
      </c>
      <c r="E26" s="44" t="s">
        <v>130</v>
      </c>
      <c r="F26" s="86" t="s">
        <v>220</v>
      </c>
      <c r="G26" s="83" t="s">
        <v>349</v>
      </c>
      <c r="H26" s="85">
        <v>45</v>
      </c>
      <c r="I26" s="85">
        <v>0</v>
      </c>
      <c r="J26" s="84">
        <v>290</v>
      </c>
      <c r="K26" s="84">
        <f t="shared" si="2"/>
        <v>0</v>
      </c>
      <c r="L26" s="84">
        <f t="shared" si="3"/>
        <v>0</v>
      </c>
      <c r="M26" s="84">
        <f t="shared" si="4"/>
        <v>0</v>
      </c>
      <c r="N26" s="87">
        <f t="shared" si="5"/>
        <v>0</v>
      </c>
      <c r="Q26" s="214">
        <f t="shared" si="6"/>
        <v>45</v>
      </c>
      <c r="R26" s="214">
        <f t="shared" si="6"/>
        <v>0</v>
      </c>
      <c r="S26" s="210">
        <v>255</v>
      </c>
      <c r="T26" s="210">
        <f t="shared" si="7"/>
        <v>0</v>
      </c>
      <c r="U26" s="211">
        <f t="shared" si="8"/>
        <v>0</v>
      </c>
      <c r="V26" s="212">
        <f t="shared" si="9"/>
        <v>0</v>
      </c>
      <c r="W26" s="213">
        <f t="shared" si="10"/>
        <v>0</v>
      </c>
      <c r="X26" s="213">
        <f t="shared" si="11"/>
        <v>0</v>
      </c>
      <c r="Y26" s="130">
        <f t="shared" si="12"/>
        <v>0</v>
      </c>
      <c r="Z26" s="82" t="e">
        <f t="shared" si="13"/>
        <v>#DIV/0!</v>
      </c>
      <c r="AA26" s="100"/>
    </row>
    <row r="27" spans="1:27" ht="36" customHeight="1" thickBot="1" x14ac:dyDescent="0.35">
      <c r="A27" s="44">
        <v>20</v>
      </c>
      <c r="B27" s="74" t="s">
        <v>153</v>
      </c>
      <c r="C27" s="73" t="s">
        <v>114</v>
      </c>
      <c r="D27" s="44" t="s">
        <v>129</v>
      </c>
      <c r="E27" s="44" t="s">
        <v>130</v>
      </c>
      <c r="F27" s="255" t="s">
        <v>220</v>
      </c>
      <c r="G27" s="256" t="s">
        <v>350</v>
      </c>
      <c r="H27" s="257">
        <v>45</v>
      </c>
      <c r="I27" s="257">
        <v>0</v>
      </c>
      <c r="J27" s="258">
        <v>155</v>
      </c>
      <c r="K27" s="258">
        <f t="shared" si="2"/>
        <v>0</v>
      </c>
      <c r="L27" s="258">
        <f t="shared" si="3"/>
        <v>0</v>
      </c>
      <c r="M27" s="258">
        <f t="shared" si="4"/>
        <v>0</v>
      </c>
      <c r="N27" s="259">
        <f t="shared" si="5"/>
        <v>0</v>
      </c>
      <c r="Q27" s="214">
        <f t="shared" si="6"/>
        <v>45</v>
      </c>
      <c r="R27" s="214">
        <f t="shared" si="6"/>
        <v>0</v>
      </c>
      <c r="S27" s="210">
        <v>142</v>
      </c>
      <c r="T27" s="210">
        <f t="shared" si="7"/>
        <v>0</v>
      </c>
      <c r="U27" s="211">
        <f t="shared" si="8"/>
        <v>0</v>
      </c>
      <c r="V27" s="212">
        <f t="shared" si="9"/>
        <v>0</v>
      </c>
      <c r="W27" s="213">
        <f t="shared" si="10"/>
        <v>0</v>
      </c>
      <c r="X27" s="213">
        <f t="shared" si="11"/>
        <v>0</v>
      </c>
      <c r="Y27" s="130">
        <f t="shared" si="12"/>
        <v>0</v>
      </c>
      <c r="Z27" s="82" t="e">
        <f t="shared" si="13"/>
        <v>#DIV/0!</v>
      </c>
      <c r="AA27" s="100"/>
    </row>
    <row r="28" spans="1:27" ht="36" customHeight="1" x14ac:dyDescent="0.3">
      <c r="A28" s="44">
        <v>21</v>
      </c>
      <c r="B28" s="74" t="s">
        <v>154</v>
      </c>
      <c r="C28" s="73" t="s">
        <v>114</v>
      </c>
      <c r="D28" s="44" t="s">
        <v>129</v>
      </c>
      <c r="E28" s="44" t="s">
        <v>130</v>
      </c>
      <c r="F28" s="271" t="s">
        <v>357</v>
      </c>
      <c r="G28" s="271" t="s">
        <v>358</v>
      </c>
      <c r="H28" s="262">
        <v>1</v>
      </c>
      <c r="I28" s="262">
        <v>1</v>
      </c>
      <c r="J28" s="263">
        <v>8000</v>
      </c>
      <c r="K28" s="263">
        <f>IF(F28&lt;&gt;"",H28*I28*J28,"")</f>
        <v>8000</v>
      </c>
      <c r="L28" s="263">
        <f>IF(K28&lt;&gt;"",IF(D28="INTERNO",0,K28*$L$14),"")</f>
        <v>720</v>
      </c>
      <c r="M28" s="263">
        <f>IF(K28&lt;&gt;"",IF(E28="FAT.OGGI",SUM(K28:L28)*(1/(1-$M$14)-1),L28*(1/(1-$M$14)-1)),"")</f>
        <v>174.74338262706604</v>
      </c>
      <c r="N28" s="263">
        <f>SUM(K28:M28)</f>
        <v>8894.7433826270662</v>
      </c>
      <c r="Q28" s="278">
        <v>1</v>
      </c>
      <c r="R28" s="278">
        <f>IF(I28&lt;&gt;"",I28,"")</f>
        <v>1</v>
      </c>
      <c r="S28" s="210">
        <v>6750</v>
      </c>
      <c r="T28" s="210">
        <f>IF(Q28&lt;&gt;"",Q28*R28*S28,"")</f>
        <v>6750</v>
      </c>
      <c r="U28" s="211">
        <f>IF(Q28&lt;&gt;"",K28-T28,"")</f>
        <v>1250</v>
      </c>
      <c r="V28" s="212">
        <f>IF(Q28&lt;&gt;"",0%,"")</f>
        <v>0</v>
      </c>
      <c r="W28" s="213">
        <f>IF(Q28&lt;&gt;"",V28*U28,"")</f>
        <v>0</v>
      </c>
      <c r="X28" s="213">
        <f>IF(Q28&lt;&gt;"",W28+T28,"")</f>
        <v>6750</v>
      </c>
      <c r="Y28" s="130">
        <f>IF(Q28&lt;&gt;"",X28+M28,"")</f>
        <v>6924.7433826270662</v>
      </c>
      <c r="Z28" s="82">
        <f>IF(Q28&lt;&gt;"",U28/K28,"")</f>
        <v>0.15625</v>
      </c>
      <c r="AA28" s="100"/>
    </row>
    <row r="29" spans="1:27" ht="36" customHeight="1" x14ac:dyDescent="0.3">
      <c r="A29" s="44">
        <v>22</v>
      </c>
      <c r="B29" s="74" t="s">
        <v>316</v>
      </c>
      <c r="C29" s="73" t="s">
        <v>114</v>
      </c>
      <c r="D29" s="44" t="s">
        <v>129</v>
      </c>
      <c r="E29" s="44" t="s">
        <v>130</v>
      </c>
      <c r="F29" s="83" t="s">
        <v>220</v>
      </c>
      <c r="G29" s="83" t="s">
        <v>362</v>
      </c>
      <c r="H29" s="85">
        <v>45</v>
      </c>
      <c r="I29" s="85">
        <v>1</v>
      </c>
      <c r="J29" s="84">
        <v>330</v>
      </c>
      <c r="K29" s="84">
        <f>IF(F29&lt;&gt;"",H29*I29*J29,"")</f>
        <v>14850</v>
      </c>
      <c r="L29" s="84">
        <f>IF(K29&lt;&gt;"",IF(D29="INTERNO",0,K29*$L$14),"")</f>
        <v>1336.5</v>
      </c>
      <c r="M29" s="84">
        <f>IF(K29&lt;&gt;"",IF(E29="FAT.OGGI",SUM(K29:L29)*(1/(1-$M$14)-1),L29*(1/(1-$M$14)-1)),"")</f>
        <v>324.36740400149137</v>
      </c>
      <c r="N29" s="84">
        <f>SUM(K29:M29)</f>
        <v>16510.867404001492</v>
      </c>
      <c r="Q29" s="278">
        <f>IF(H29&lt;&gt;"",H29,"")</f>
        <v>45</v>
      </c>
      <c r="R29" s="278">
        <f>IF(I29&lt;&gt;"",I29,"")</f>
        <v>1</v>
      </c>
      <c r="S29" s="210">
        <v>316.39999999999998</v>
      </c>
      <c r="T29" s="210">
        <f>IF(Q29&lt;&gt;"",Q29*R29*S29,"")</f>
        <v>14237.999999999998</v>
      </c>
      <c r="U29" s="211">
        <f>IF(Q29&lt;&gt;"",K29-T29,"")</f>
        <v>612.00000000000182</v>
      </c>
      <c r="V29" s="212">
        <f>IF(Q29&lt;&gt;"",0%,"")</f>
        <v>0</v>
      </c>
      <c r="W29" s="213">
        <f>IF(Q29&lt;&gt;"",V29*U29,"")</f>
        <v>0</v>
      </c>
      <c r="X29" s="213">
        <f>IF(Q29&lt;&gt;"",W29+T29,"")</f>
        <v>14237.999999999998</v>
      </c>
      <c r="Y29" s="130">
        <f>IF(Q29&lt;&gt;"",X29+M29,"")</f>
        <v>14562.36740400149</v>
      </c>
      <c r="Z29" s="82">
        <f>IF(Q29&lt;&gt;"",U29/K29,"")</f>
        <v>4.1212121212121332E-2</v>
      </c>
      <c r="AA29" s="100"/>
    </row>
    <row r="30" spans="1:27" ht="36" customHeight="1" thickBot="1" x14ac:dyDescent="0.35">
      <c r="A30" s="70">
        <v>23</v>
      </c>
      <c r="B30" s="74" t="s">
        <v>317</v>
      </c>
      <c r="C30" s="72" t="s">
        <v>114</v>
      </c>
      <c r="D30" s="44" t="s">
        <v>129</v>
      </c>
      <c r="E30" s="44" t="s">
        <v>130</v>
      </c>
      <c r="F30" s="256" t="s">
        <v>360</v>
      </c>
      <c r="G30" s="256" t="s">
        <v>361</v>
      </c>
      <c r="H30" s="257">
        <v>45</v>
      </c>
      <c r="I30" s="257">
        <v>1</v>
      </c>
      <c r="J30" s="258">
        <v>115</v>
      </c>
      <c r="K30" s="258">
        <f>IF(F30&lt;&gt;"",H30*I30*J30,"")</f>
        <v>5175</v>
      </c>
      <c r="L30" s="258">
        <f>IF(K30&lt;&gt;"",IF(D30="INTERNO",0,K30*$L$14),"")</f>
        <v>465.75</v>
      </c>
      <c r="M30" s="258">
        <f>IF(K30&lt;&gt;"",IF(E30="FAT.OGGI",SUM(K30:L30)*(1/(1-$M$14)-1),L30*(1/(1-$M$14)-1)),"")</f>
        <v>113.03712563688335</v>
      </c>
      <c r="N30" s="258">
        <f>SUM(K30:M30)</f>
        <v>5753.7871256368835</v>
      </c>
      <c r="Q30" s="277">
        <f>IF(H30&lt;&gt;"",H30,"")</f>
        <v>45</v>
      </c>
      <c r="R30" s="277">
        <f>IF(I30&lt;&gt;"",I30,"")</f>
        <v>1</v>
      </c>
      <c r="S30" s="78">
        <v>90</v>
      </c>
      <c r="T30" s="78">
        <f>IF(Q30&lt;&gt;"",Q30*R30*S30,"")</f>
        <v>4050</v>
      </c>
      <c r="U30" s="81">
        <f>IF(Q30&lt;&gt;"",K30-T30,"")</f>
        <v>1125</v>
      </c>
      <c r="V30" s="79">
        <f>IF(Q30&lt;&gt;"",0%,"")</f>
        <v>0</v>
      </c>
      <c r="W30" s="80">
        <f>IF(Q30&lt;&gt;"",V30*U30,"")</f>
        <v>0</v>
      </c>
      <c r="X30" s="80">
        <f>IF(Q30&lt;&gt;"",W30+T30,"")</f>
        <v>4050</v>
      </c>
      <c r="Y30" s="101">
        <f>IF(Q30&lt;&gt;"",X30+M30,"")</f>
        <v>4163.0371256368835</v>
      </c>
      <c r="Z30" s="82">
        <f>IF(Q30&lt;&gt;"",U30/K30,"")</f>
        <v>0.21739130434782608</v>
      </c>
      <c r="AA30" s="100"/>
    </row>
    <row r="31" spans="1:27" ht="36" customHeight="1" x14ac:dyDescent="0.3">
      <c r="A31" s="69">
        <v>15</v>
      </c>
      <c r="B31" s="74" t="s">
        <v>338</v>
      </c>
      <c r="C31" s="68" t="s">
        <v>114</v>
      </c>
      <c r="D31" s="69" t="s">
        <v>129</v>
      </c>
      <c r="E31" s="69" t="s">
        <v>130</v>
      </c>
      <c r="F31" s="249" t="s">
        <v>318</v>
      </c>
      <c r="G31" s="128" t="s">
        <v>327</v>
      </c>
      <c r="H31" s="129">
        <v>1</v>
      </c>
      <c r="I31" s="129">
        <v>0</v>
      </c>
      <c r="J31" s="121">
        <v>56000</v>
      </c>
      <c r="K31" s="246">
        <f t="shared" si="2"/>
        <v>0</v>
      </c>
      <c r="L31" s="121">
        <f t="shared" si="3"/>
        <v>0</v>
      </c>
      <c r="M31" s="121">
        <f t="shared" si="4"/>
        <v>0</v>
      </c>
      <c r="N31" s="122">
        <f t="shared" si="5"/>
        <v>0</v>
      </c>
      <c r="Q31" s="272">
        <f t="shared" si="6"/>
        <v>1</v>
      </c>
      <c r="R31" s="272">
        <f t="shared" si="6"/>
        <v>0</v>
      </c>
      <c r="S31" s="273">
        <v>54160</v>
      </c>
      <c r="T31" s="273">
        <f t="shared" si="7"/>
        <v>0</v>
      </c>
      <c r="U31" s="274">
        <f t="shared" si="8"/>
        <v>0</v>
      </c>
      <c r="V31" s="275">
        <f t="shared" si="9"/>
        <v>0</v>
      </c>
      <c r="W31" s="276">
        <f t="shared" si="10"/>
        <v>0</v>
      </c>
      <c r="X31" s="276">
        <f t="shared" si="11"/>
        <v>0</v>
      </c>
      <c r="Y31" s="208">
        <f t="shared" si="12"/>
        <v>0</v>
      </c>
      <c r="Z31" s="82" t="e">
        <f t="shared" si="13"/>
        <v>#DIV/0!</v>
      </c>
      <c r="AA31" s="100"/>
    </row>
    <row r="32" spans="1:27" ht="36" customHeight="1" x14ac:dyDescent="0.3">
      <c r="A32" s="44">
        <v>16</v>
      </c>
      <c r="B32" s="74" t="s">
        <v>340</v>
      </c>
      <c r="C32" s="73" t="s">
        <v>114</v>
      </c>
      <c r="D32" s="44" t="s">
        <v>129</v>
      </c>
      <c r="E32" s="44" t="s">
        <v>130</v>
      </c>
      <c r="F32" s="95" t="s">
        <v>220</v>
      </c>
      <c r="G32" s="77" t="s">
        <v>314</v>
      </c>
      <c r="H32" s="93">
        <v>45</v>
      </c>
      <c r="I32" s="93">
        <v>0</v>
      </c>
      <c r="J32" s="76">
        <v>250</v>
      </c>
      <c r="K32" s="76">
        <f t="shared" si="2"/>
        <v>0</v>
      </c>
      <c r="L32" s="76">
        <f t="shared" si="3"/>
        <v>0</v>
      </c>
      <c r="M32" s="76">
        <f t="shared" si="4"/>
        <v>0</v>
      </c>
      <c r="N32" s="91">
        <f t="shared" si="5"/>
        <v>0</v>
      </c>
      <c r="Q32" s="214">
        <f t="shared" si="6"/>
        <v>45</v>
      </c>
      <c r="R32" s="214">
        <f t="shared" si="6"/>
        <v>0</v>
      </c>
      <c r="S32" s="210">
        <v>225</v>
      </c>
      <c r="T32" s="210">
        <f t="shared" si="7"/>
        <v>0</v>
      </c>
      <c r="U32" s="211">
        <f t="shared" si="8"/>
        <v>0</v>
      </c>
      <c r="V32" s="212">
        <f t="shared" si="9"/>
        <v>0</v>
      </c>
      <c r="W32" s="213">
        <f t="shared" si="10"/>
        <v>0</v>
      </c>
      <c r="X32" s="213">
        <f t="shared" si="11"/>
        <v>0</v>
      </c>
      <c r="Y32" s="130">
        <f t="shared" si="12"/>
        <v>0</v>
      </c>
      <c r="Z32" s="82" t="e">
        <f t="shared" si="13"/>
        <v>#DIV/0!</v>
      </c>
      <c r="AA32" s="100"/>
    </row>
    <row r="33" spans="1:27" ht="36" customHeight="1" thickBot="1" x14ac:dyDescent="0.35">
      <c r="A33" s="44">
        <v>17</v>
      </c>
      <c r="B33" s="74" t="s">
        <v>341</v>
      </c>
      <c r="C33" s="73" t="s">
        <v>114</v>
      </c>
      <c r="D33" s="44" t="s">
        <v>129</v>
      </c>
      <c r="E33" s="44" t="s">
        <v>130</v>
      </c>
      <c r="F33" s="255" t="s">
        <v>330</v>
      </c>
      <c r="G33" s="256" t="s">
        <v>331</v>
      </c>
      <c r="H33" s="257">
        <v>45</v>
      </c>
      <c r="I33" s="257">
        <v>0</v>
      </c>
      <c r="J33" s="258">
        <v>90</v>
      </c>
      <c r="K33" s="258">
        <f t="shared" si="2"/>
        <v>0</v>
      </c>
      <c r="L33" s="258">
        <f t="shared" si="3"/>
        <v>0</v>
      </c>
      <c r="M33" s="258">
        <f t="shared" si="4"/>
        <v>0</v>
      </c>
      <c r="N33" s="259">
        <f t="shared" si="5"/>
        <v>0</v>
      </c>
      <c r="Q33" s="214">
        <f t="shared" si="6"/>
        <v>45</v>
      </c>
      <c r="R33" s="214">
        <f t="shared" si="6"/>
        <v>0</v>
      </c>
      <c r="S33" s="210">
        <v>70</v>
      </c>
      <c r="T33" s="210">
        <f t="shared" si="7"/>
        <v>0</v>
      </c>
      <c r="U33" s="211">
        <f t="shared" si="8"/>
        <v>0</v>
      </c>
      <c r="V33" s="212">
        <f t="shared" si="9"/>
        <v>0</v>
      </c>
      <c r="W33" s="213">
        <f t="shared" si="10"/>
        <v>0</v>
      </c>
      <c r="X33" s="213">
        <f t="shared" si="11"/>
        <v>0</v>
      </c>
      <c r="Y33" s="130">
        <f t="shared" si="12"/>
        <v>0</v>
      </c>
      <c r="Z33" s="82" t="e">
        <f t="shared" si="13"/>
        <v>#DIV/0!</v>
      </c>
      <c r="AA33" s="100"/>
    </row>
    <row r="34" spans="1:27" ht="36" customHeight="1" x14ac:dyDescent="0.3">
      <c r="A34" s="44">
        <v>21</v>
      </c>
      <c r="B34" s="74" t="s">
        <v>342</v>
      </c>
      <c r="C34" s="73" t="s">
        <v>114</v>
      </c>
      <c r="D34" s="44" t="s">
        <v>129</v>
      </c>
      <c r="E34" s="44" t="s">
        <v>130</v>
      </c>
      <c r="F34" s="260" t="s">
        <v>351</v>
      </c>
      <c r="G34" s="261" t="s">
        <v>352</v>
      </c>
      <c r="H34" s="262">
        <v>1</v>
      </c>
      <c r="I34" s="262">
        <v>0</v>
      </c>
      <c r="J34" s="263">
        <v>2000</v>
      </c>
      <c r="K34" s="263">
        <f t="shared" si="2"/>
        <v>0</v>
      </c>
      <c r="L34" s="263">
        <f t="shared" si="3"/>
        <v>0</v>
      </c>
      <c r="M34" s="263">
        <f t="shared" si="4"/>
        <v>0</v>
      </c>
      <c r="N34" s="264">
        <f t="shared" si="5"/>
        <v>0</v>
      </c>
      <c r="Q34" s="214">
        <f t="shared" si="6"/>
        <v>1</v>
      </c>
      <c r="R34" s="214">
        <f t="shared" si="6"/>
        <v>0</v>
      </c>
      <c r="S34" s="210">
        <v>0</v>
      </c>
      <c r="T34" s="210">
        <f t="shared" si="7"/>
        <v>0</v>
      </c>
      <c r="U34" s="211">
        <f t="shared" si="8"/>
        <v>0</v>
      </c>
      <c r="V34" s="212">
        <f t="shared" si="9"/>
        <v>0</v>
      </c>
      <c r="W34" s="213">
        <f t="shared" si="10"/>
        <v>0</v>
      </c>
      <c r="X34" s="213">
        <f t="shared" si="11"/>
        <v>0</v>
      </c>
      <c r="Y34" s="130">
        <f t="shared" si="12"/>
        <v>0</v>
      </c>
      <c r="Z34" s="82" t="e">
        <f t="shared" si="13"/>
        <v>#DIV/0!</v>
      </c>
      <c r="AA34" s="100"/>
    </row>
    <row r="35" spans="1:27" ht="36" customHeight="1" thickBot="1" x14ac:dyDescent="0.35">
      <c r="A35" s="44">
        <v>22</v>
      </c>
      <c r="B35" s="74" t="s">
        <v>343</v>
      </c>
      <c r="C35" s="73" t="s">
        <v>114</v>
      </c>
      <c r="D35" s="44" t="s">
        <v>129</v>
      </c>
      <c r="E35" s="44" t="s">
        <v>130</v>
      </c>
      <c r="F35" s="255" t="s">
        <v>220</v>
      </c>
      <c r="G35" s="256" t="s">
        <v>353</v>
      </c>
      <c r="H35" s="257">
        <v>45</v>
      </c>
      <c r="I35" s="257">
        <v>0</v>
      </c>
      <c r="J35" s="258">
        <v>390</v>
      </c>
      <c r="K35" s="258">
        <f t="shared" si="2"/>
        <v>0</v>
      </c>
      <c r="L35" s="258">
        <f t="shared" si="3"/>
        <v>0</v>
      </c>
      <c r="M35" s="258">
        <f t="shared" si="4"/>
        <v>0</v>
      </c>
      <c r="N35" s="259">
        <f t="shared" si="5"/>
        <v>0</v>
      </c>
      <c r="Q35" s="214">
        <f t="shared" si="6"/>
        <v>45</v>
      </c>
      <c r="R35" s="214">
        <f t="shared" si="6"/>
        <v>0</v>
      </c>
      <c r="S35" s="210">
        <v>340</v>
      </c>
      <c r="T35" s="210">
        <f t="shared" si="7"/>
        <v>0</v>
      </c>
      <c r="U35" s="211">
        <f t="shared" si="8"/>
        <v>0</v>
      </c>
      <c r="V35" s="212">
        <f t="shared" si="9"/>
        <v>0</v>
      </c>
      <c r="W35" s="213">
        <f t="shared" si="10"/>
        <v>0</v>
      </c>
      <c r="X35" s="213">
        <f t="shared" si="11"/>
        <v>0</v>
      </c>
      <c r="Y35" s="130">
        <f t="shared" si="12"/>
        <v>0</v>
      </c>
      <c r="Z35" s="82" t="e">
        <f t="shared" si="13"/>
        <v>#DIV/0!</v>
      </c>
      <c r="AA35" s="100"/>
    </row>
    <row r="36" spans="1:27" ht="36" customHeight="1" x14ac:dyDescent="0.3">
      <c r="A36" s="44">
        <v>23</v>
      </c>
      <c r="B36" s="74" t="s">
        <v>344</v>
      </c>
      <c r="C36" s="73" t="s">
        <v>114</v>
      </c>
      <c r="D36" s="44" t="s">
        <v>129</v>
      </c>
      <c r="E36" s="44" t="s">
        <v>130</v>
      </c>
      <c r="F36" s="260" t="s">
        <v>354</v>
      </c>
      <c r="G36" s="261" t="s">
        <v>355</v>
      </c>
      <c r="H36" s="262">
        <v>1</v>
      </c>
      <c r="I36" s="262">
        <v>0</v>
      </c>
      <c r="J36" s="263">
        <v>8900</v>
      </c>
      <c r="K36" s="263">
        <f t="shared" ref="K36:K37" si="14">IF(F36&lt;&gt;"",H36*I36*J36,"")</f>
        <v>0</v>
      </c>
      <c r="L36" s="263">
        <f t="shared" ref="L36:L37" si="15">IF(K36&lt;&gt;"",IF(D36="INTERNO",0,K36*$L$14),"")</f>
        <v>0</v>
      </c>
      <c r="M36" s="263">
        <f t="shared" ref="M36:M37" si="16">IF(K36&lt;&gt;"",IF(E36="FAT.OGGI",SUM(K36:L36)*(1/(1-$M$14)-1),L36*(1/(1-$M$14)-1)),"")</f>
        <v>0</v>
      </c>
      <c r="N36" s="264">
        <f t="shared" ref="N36:N37" si="17">SUM(K36:M36)</f>
        <v>0</v>
      </c>
      <c r="Q36" s="214">
        <f t="shared" ref="Q36:R37" si="18">IF(H36&lt;&gt;"",H36,"")</f>
        <v>1</v>
      </c>
      <c r="R36" s="214">
        <f t="shared" si="18"/>
        <v>0</v>
      </c>
      <c r="S36" s="210">
        <v>8000</v>
      </c>
      <c r="T36" s="210">
        <f t="shared" ref="T36:T37" si="19">IF(Q36&lt;&gt;"",Q36*R36*S36,"")</f>
        <v>0</v>
      </c>
      <c r="U36" s="211">
        <f t="shared" ref="U36:U37" si="20">IF(Q36&lt;&gt;"",K36-T36,"")</f>
        <v>0</v>
      </c>
      <c r="V36" s="212">
        <f t="shared" ref="V36:V37" si="21">IF(Q36&lt;&gt;"",0%,"")</f>
        <v>0</v>
      </c>
      <c r="W36" s="213">
        <f t="shared" ref="W36:W37" si="22">IF(Q36&lt;&gt;"",V36*U36,"")</f>
        <v>0</v>
      </c>
      <c r="X36" s="213">
        <f t="shared" ref="X36:X37" si="23">IF(Q36&lt;&gt;"",W36+T36,"")</f>
        <v>0</v>
      </c>
      <c r="Y36" s="130">
        <f t="shared" si="12"/>
        <v>0</v>
      </c>
      <c r="Z36" s="82" t="e">
        <f t="shared" ref="Z36:Z37" si="24">IF(Q36&lt;&gt;"",U36/K36,"")</f>
        <v>#DIV/0!</v>
      </c>
      <c r="AA36" s="100"/>
    </row>
    <row r="37" spans="1:27" ht="36" customHeight="1" thickBot="1" x14ac:dyDescent="0.35">
      <c r="A37" s="44">
        <v>24</v>
      </c>
      <c r="B37" s="74" t="s">
        <v>345</v>
      </c>
      <c r="C37" s="73" t="s">
        <v>114</v>
      </c>
      <c r="D37" s="44" t="s">
        <v>129</v>
      </c>
      <c r="E37" s="44" t="s">
        <v>130</v>
      </c>
      <c r="F37" s="255" t="s">
        <v>220</v>
      </c>
      <c r="G37" s="256" t="s">
        <v>353</v>
      </c>
      <c r="H37" s="257">
        <v>45</v>
      </c>
      <c r="I37" s="257">
        <v>0</v>
      </c>
      <c r="J37" s="258">
        <v>485</v>
      </c>
      <c r="K37" s="258">
        <f t="shared" si="14"/>
        <v>0</v>
      </c>
      <c r="L37" s="258">
        <f t="shared" si="15"/>
        <v>0</v>
      </c>
      <c r="M37" s="258">
        <f t="shared" si="16"/>
        <v>0</v>
      </c>
      <c r="N37" s="259">
        <f t="shared" si="17"/>
        <v>0</v>
      </c>
      <c r="Q37" s="214">
        <f t="shared" si="18"/>
        <v>45</v>
      </c>
      <c r="R37" s="214">
        <f t="shared" si="18"/>
        <v>0</v>
      </c>
      <c r="S37" s="210">
        <v>450</v>
      </c>
      <c r="T37" s="210">
        <f t="shared" si="19"/>
        <v>0</v>
      </c>
      <c r="U37" s="211">
        <f t="shared" si="20"/>
        <v>0</v>
      </c>
      <c r="V37" s="212">
        <f t="shared" si="21"/>
        <v>0</v>
      </c>
      <c r="W37" s="213">
        <f t="shared" si="22"/>
        <v>0</v>
      </c>
      <c r="X37" s="213">
        <f t="shared" si="23"/>
        <v>0</v>
      </c>
      <c r="Y37" s="130">
        <f t="shared" si="12"/>
        <v>0</v>
      </c>
      <c r="Z37" s="82" t="e">
        <f t="shared" si="24"/>
        <v>#DIV/0!</v>
      </c>
      <c r="AA37" s="100"/>
    </row>
    <row r="38" spans="1:27" ht="36" customHeight="1" x14ac:dyDescent="0.3">
      <c r="A38" s="44">
        <v>13</v>
      </c>
      <c r="B38" s="74" t="s">
        <v>346</v>
      </c>
      <c r="C38" s="73" t="s">
        <v>114</v>
      </c>
      <c r="D38" s="44" t="s">
        <v>129</v>
      </c>
      <c r="E38" s="44" t="s">
        <v>130</v>
      </c>
      <c r="F38" s="250" t="s">
        <v>222</v>
      </c>
      <c r="G38" s="251" t="s">
        <v>223</v>
      </c>
      <c r="H38" s="252">
        <v>1</v>
      </c>
      <c r="I38" s="252">
        <v>0</v>
      </c>
      <c r="J38" s="253">
        <v>8700</v>
      </c>
      <c r="K38" s="253">
        <f>IF(F38&lt;&gt;"",H38*I38*J38,"")</f>
        <v>0</v>
      </c>
      <c r="L38" s="253">
        <f>IF(K38&lt;&gt;"",IF(D38="INTERNO",0,K38*$L$14),"")</f>
        <v>0</v>
      </c>
      <c r="M38" s="253">
        <f t="shared" ref="M38:M39" si="25">IF(K38&lt;&gt;"",IF(E38="FAT.OGGI",SUM(K38:L38)*(1/(1-$M$14)-1),L38*(1/(1-$M$14)-1)),0)</f>
        <v>0</v>
      </c>
      <c r="N38" s="254">
        <f>SUM(K38:M38)</f>
        <v>0</v>
      </c>
      <c r="Q38" s="106">
        <v>30</v>
      </c>
      <c r="R38" s="102">
        <f>IF(I38&lt;&gt;"",I38,"")</f>
        <v>0</v>
      </c>
      <c r="S38" s="103">
        <v>8000</v>
      </c>
      <c r="T38" s="103">
        <f>IF(Q38&lt;&gt;"",Q38*R38*S38,"")</f>
        <v>0</v>
      </c>
      <c r="U38" s="104">
        <f>IF(Q38&lt;&gt;"",K38-T38,"")</f>
        <v>0</v>
      </c>
      <c r="V38" s="105">
        <f>IF(Q38&lt;&gt;"",0%,"")</f>
        <v>0</v>
      </c>
      <c r="W38" s="101">
        <f>IF(Q38&lt;&gt;"",V38*U38,"")</f>
        <v>0</v>
      </c>
      <c r="X38" s="101">
        <f>IF(Q38&lt;&gt;"",W38+T38,"")</f>
        <v>0</v>
      </c>
      <c r="Y38" s="92">
        <f t="shared" si="12"/>
        <v>0</v>
      </c>
      <c r="Z38" s="89">
        <f t="shared" ref="Z38:Z39" si="26">IF(Q38&lt;&gt;"", IFERROR(U38/K38, 0), 0)</f>
        <v>0</v>
      </c>
      <c r="AA38" s="82"/>
    </row>
    <row r="39" spans="1:27" ht="36" customHeight="1" thickBot="1" x14ac:dyDescent="0.35">
      <c r="A39" s="44">
        <v>14</v>
      </c>
      <c r="B39" s="74" t="s">
        <v>359</v>
      </c>
      <c r="C39" s="73" t="s">
        <v>114</v>
      </c>
      <c r="D39" s="44" t="s">
        <v>129</v>
      </c>
      <c r="E39" s="44" t="s">
        <v>130</v>
      </c>
      <c r="F39" s="255" t="s">
        <v>220</v>
      </c>
      <c r="G39" s="256" t="s">
        <v>221</v>
      </c>
      <c r="H39" s="257">
        <v>45</v>
      </c>
      <c r="I39" s="257">
        <v>0</v>
      </c>
      <c r="J39" s="258">
        <v>360</v>
      </c>
      <c r="K39" s="258">
        <f>IF(F39&lt;&gt;"",H39*I39*J39,"")</f>
        <v>0</v>
      </c>
      <c r="L39" s="258">
        <f>IF(K39&lt;&gt;"",IF(D39="INTERNO",0,K39*$L$14),"")</f>
        <v>0</v>
      </c>
      <c r="M39" s="258">
        <f t="shared" si="25"/>
        <v>0</v>
      </c>
      <c r="N39" s="259">
        <f>SUM(K39:M39)</f>
        <v>0</v>
      </c>
      <c r="Q39" s="107">
        <f>IF(H39&lt;&gt;"",H39,"")</f>
        <v>45</v>
      </c>
      <c r="R39" s="108">
        <f>IF(I39&lt;&gt;"",I39,"")</f>
        <v>0</v>
      </c>
      <c r="S39" s="109">
        <v>320</v>
      </c>
      <c r="T39" s="109">
        <f>IF(Q39&lt;&gt;"",Q39*R39*S39,"")</f>
        <v>0</v>
      </c>
      <c r="U39" s="204">
        <f>IF(Q39&lt;&gt;"",K39-T39,"")</f>
        <v>0</v>
      </c>
      <c r="V39" s="201">
        <f>IF(Q39&lt;&gt;"",0%,"")</f>
        <v>0</v>
      </c>
      <c r="W39" s="130">
        <f>IF(Q39&lt;&gt;"",V39*U39,"")</f>
        <v>0</v>
      </c>
      <c r="X39" s="130">
        <f>IF(Q39&lt;&gt;"",W39+T39,"")</f>
        <v>0</v>
      </c>
      <c r="Y39" s="90">
        <f t="shared" si="12"/>
        <v>0</v>
      </c>
      <c r="Z39" s="89">
        <f t="shared" si="26"/>
        <v>0</v>
      </c>
      <c r="AA39" s="82"/>
    </row>
    <row r="40" spans="1:27" ht="20.399999999999999" customHeight="1" thickBot="1" x14ac:dyDescent="0.4">
      <c r="A40" s="69">
        <v>20</v>
      </c>
      <c r="B40" s="74"/>
      <c r="C40" s="68" t="s">
        <v>122</v>
      </c>
      <c r="D40" s="69"/>
      <c r="E40" s="69"/>
      <c r="F40" s="654" t="s">
        <v>242</v>
      </c>
      <c r="G40" s="655"/>
      <c r="H40" s="655"/>
      <c r="I40" s="655"/>
      <c r="J40" s="655"/>
      <c r="K40" s="119">
        <f>SUM(K25:K39)</f>
        <v>28025</v>
      </c>
      <c r="L40" s="119">
        <f>SUM(L25:L39)</f>
        <v>2522.25</v>
      </c>
      <c r="M40" s="119">
        <f>SUM(M25:M39)</f>
        <v>612.14791226544082</v>
      </c>
      <c r="N40" s="120">
        <f>SUM(N25:N39)</f>
        <v>31159.397912265442</v>
      </c>
      <c r="Q40" s="659" t="s">
        <v>131</v>
      </c>
      <c r="R40" s="660"/>
      <c r="S40" s="660"/>
      <c r="T40" s="205">
        <f>SUM(T25:T39)</f>
        <v>25038</v>
      </c>
      <c r="U40" s="206">
        <f>SUM(U25:U39)</f>
        <v>2987.0000000000018</v>
      </c>
      <c r="V40" s="207"/>
      <c r="W40" s="208"/>
      <c r="X40" s="209">
        <f>SUM(X25:X39)</f>
        <v>25038</v>
      </c>
      <c r="Y40" s="112">
        <f t="shared" ref="Y40" si="27">IF(Q40&lt;&gt;"",X40+M40,"")</f>
        <v>25650.147912265442</v>
      </c>
      <c r="Z40" s="89"/>
    </row>
    <row r="41" spans="1:27" ht="26.1" customHeight="1" thickBot="1" x14ac:dyDescent="0.4">
      <c r="A41" s="70">
        <v>21</v>
      </c>
      <c r="B41" s="74">
        <v>3</v>
      </c>
      <c r="C41" s="72" t="s">
        <v>108</v>
      </c>
      <c r="D41" s="70"/>
      <c r="E41" s="70"/>
      <c r="F41" s="637" t="s">
        <v>228</v>
      </c>
      <c r="G41" s="638"/>
      <c r="H41" s="638"/>
      <c r="I41" s="638"/>
      <c r="J41" s="638"/>
      <c r="K41" s="638"/>
      <c r="L41" s="638"/>
      <c r="M41" s="638"/>
      <c r="N41" s="639"/>
      <c r="Q41" s="640" t="str">
        <f>IF(F41&lt;&gt;"",F41,"")</f>
        <v>ATRAÇÕES</v>
      </c>
      <c r="R41" s="641"/>
      <c r="S41" s="641"/>
      <c r="T41" s="641"/>
      <c r="U41" s="641"/>
      <c r="V41" s="641"/>
      <c r="W41" s="641"/>
      <c r="X41" s="641"/>
      <c r="Y41" s="642"/>
      <c r="Z41" s="89"/>
    </row>
    <row r="42" spans="1:27" ht="21" customHeight="1" x14ac:dyDescent="0.35">
      <c r="A42" s="69">
        <v>21</v>
      </c>
      <c r="B42" s="74" t="s">
        <v>132</v>
      </c>
      <c r="C42" s="68" t="s">
        <v>109</v>
      </c>
      <c r="D42" s="69"/>
      <c r="E42" s="69"/>
      <c r="F42" s="643" t="s">
        <v>228</v>
      </c>
      <c r="G42" s="644"/>
      <c r="H42" s="644"/>
      <c r="I42" s="644"/>
      <c r="J42" s="644"/>
      <c r="K42" s="644"/>
      <c r="L42" s="170" t="s">
        <v>111</v>
      </c>
      <c r="M42" s="170" t="s">
        <v>112</v>
      </c>
      <c r="N42" s="171" t="s">
        <v>81</v>
      </c>
      <c r="Q42" s="656" t="str">
        <f>IF(F42&lt;&gt;"",F42,"")</f>
        <v>ATRAÇÕES</v>
      </c>
      <c r="R42" s="657"/>
      <c r="S42" s="657"/>
      <c r="T42" s="657"/>
      <c r="U42" s="657"/>
      <c r="V42" s="657"/>
      <c r="W42" s="657"/>
      <c r="X42" s="657"/>
      <c r="Y42" s="658"/>
      <c r="Z42" s="96" t="s">
        <v>113</v>
      </c>
      <c r="AA42" s="75" t="s">
        <v>82</v>
      </c>
    </row>
    <row r="43" spans="1:27" ht="45" customHeight="1" x14ac:dyDescent="0.3">
      <c r="A43" s="44">
        <v>22</v>
      </c>
      <c r="B43" s="74" t="s">
        <v>133</v>
      </c>
      <c r="C43" s="73" t="s">
        <v>114</v>
      </c>
      <c r="D43" s="44" t="s">
        <v>129</v>
      </c>
      <c r="E43" s="44" t="s">
        <v>130</v>
      </c>
      <c r="F43" s="95" t="s">
        <v>229</v>
      </c>
      <c r="G43" s="77" t="s">
        <v>332</v>
      </c>
      <c r="H43" s="93">
        <v>1</v>
      </c>
      <c r="I43" s="93">
        <v>1</v>
      </c>
      <c r="J43" s="76">
        <v>45000</v>
      </c>
      <c r="K43" s="76">
        <f>IF(F43&lt;&gt;"",H43*I43*J43,"")</f>
        <v>45000</v>
      </c>
      <c r="L43" s="76">
        <f>IF(K43&lt;&gt;"",IF(D43="INTERNO",0,K43*$L$14),"")</f>
        <v>4050</v>
      </c>
      <c r="M43" s="76">
        <f>IF(K43&lt;&gt;"",IF(E43="FAT.OGGI",SUM(K43:L43)*(1/(1-$M$14)-1),L43*(1/(1-$M$14)-1)),0)</f>
        <v>982.93152727724646</v>
      </c>
      <c r="N43" s="91">
        <f>SUM(K43:M43)</f>
        <v>50032.931527277244</v>
      </c>
      <c r="Q43" s="106">
        <f t="shared" ref="Q43:R45" si="28">IF(H43&lt;&gt;"",H43,"")</f>
        <v>1</v>
      </c>
      <c r="R43" s="102">
        <f t="shared" si="28"/>
        <v>1</v>
      </c>
      <c r="S43" s="103">
        <v>39600</v>
      </c>
      <c r="T43" s="103">
        <f>IF(Q43&lt;&gt;"",Q43*R43*S43,"")</f>
        <v>39600</v>
      </c>
      <c r="U43" s="104">
        <f>IF(Q43&lt;&gt;"",K43-T43,"")</f>
        <v>5400</v>
      </c>
      <c r="V43" s="105">
        <f>IF(Q43&lt;&gt;"",0%,"")</f>
        <v>0</v>
      </c>
      <c r="W43" s="101">
        <f>IF(Q43&lt;&gt;"",V43*U43,"")</f>
        <v>0</v>
      </c>
      <c r="X43" s="101">
        <f>IF(Q43&lt;&gt;"",W43+T43,"")</f>
        <v>39600</v>
      </c>
      <c r="Y43" s="92">
        <f t="shared" ref="Y43:Y46" si="29">IF(Q43&lt;&gt;"",X43+M43,"")</f>
        <v>40582.931527277244</v>
      </c>
      <c r="Z43" s="89">
        <f>IF(Q43&lt;&gt;"", IFERROR(U43/K43, 0), 0)</f>
        <v>0.12</v>
      </c>
      <c r="AA43" s="82">
        <f>IFERROR(T43/$T$46, "")</f>
        <v>1</v>
      </c>
    </row>
    <row r="44" spans="1:27" ht="45" customHeight="1" x14ac:dyDescent="0.3">
      <c r="A44" s="44">
        <v>24</v>
      </c>
      <c r="B44" s="74" t="s">
        <v>134</v>
      </c>
      <c r="C44" s="73" t="s">
        <v>114</v>
      </c>
      <c r="D44" s="44" t="s">
        <v>129</v>
      </c>
      <c r="E44" s="44" t="s">
        <v>130</v>
      </c>
      <c r="F44" s="131" t="s">
        <v>231</v>
      </c>
      <c r="G44" s="77" t="s">
        <v>329</v>
      </c>
      <c r="H44" s="93">
        <v>1</v>
      </c>
      <c r="I44" s="93">
        <v>0</v>
      </c>
      <c r="J44" s="76">
        <v>2000</v>
      </c>
      <c r="K44" s="76">
        <f>IF(F44&lt;&gt;"",H44*I44*J44,"")</f>
        <v>0</v>
      </c>
      <c r="L44" s="76">
        <f>IF(K44&lt;&gt;"",IF(D44="INTERNO",0,K44*$L$14),"")</f>
        <v>0</v>
      </c>
      <c r="M44" s="76">
        <f>IF(K44&lt;&gt;"",IF(E44="FAT.OGGI",SUM(K44:L44)*(1/(1-$M$14)-1),L44*(1/(1-$M$14)-1)),0)</f>
        <v>0</v>
      </c>
      <c r="N44" s="91">
        <f>SUM(K44:M44)</f>
        <v>0</v>
      </c>
      <c r="Q44" s="106">
        <f t="shared" si="28"/>
        <v>1</v>
      </c>
      <c r="R44" s="102">
        <f t="shared" si="28"/>
        <v>0</v>
      </c>
      <c r="S44" s="103">
        <v>1200</v>
      </c>
      <c r="T44" s="103">
        <f>IF(Q44&lt;&gt;"",Q44*R44*S44,"")</f>
        <v>0</v>
      </c>
      <c r="U44" s="104">
        <f>IF(Q44&lt;&gt;"",K44-T44,"")</f>
        <v>0</v>
      </c>
      <c r="V44" s="105">
        <f>IF(Q44&lt;&gt;"",0%,"")</f>
        <v>0</v>
      </c>
      <c r="W44" s="101">
        <f>IF(Q44&lt;&gt;"",V44*U44,"")</f>
        <v>0</v>
      </c>
      <c r="X44" s="101">
        <f>IF(Q44&lt;&gt;"",W44+T44,"")</f>
        <v>0</v>
      </c>
      <c r="Y44" s="92">
        <f t="shared" si="29"/>
        <v>0</v>
      </c>
      <c r="Z44" s="89">
        <f>IF(Q44&lt;&gt;"", IFERROR(U44/K44, 0), 0)</f>
        <v>0</v>
      </c>
      <c r="AA44" s="100"/>
    </row>
    <row r="45" spans="1:27" ht="45" customHeight="1" x14ac:dyDescent="0.3">
      <c r="A45" s="44">
        <v>25</v>
      </c>
      <c r="B45" s="74" t="s">
        <v>159</v>
      </c>
      <c r="C45" s="73" t="s">
        <v>114</v>
      </c>
      <c r="D45" s="44" t="s">
        <v>129</v>
      </c>
      <c r="E45" s="44" t="s">
        <v>130</v>
      </c>
      <c r="F45" s="131" t="s">
        <v>299</v>
      </c>
      <c r="G45" s="77" t="s">
        <v>339</v>
      </c>
      <c r="H45" s="93">
        <v>2</v>
      </c>
      <c r="I45" s="93">
        <v>1</v>
      </c>
      <c r="J45" s="76">
        <v>1300</v>
      </c>
      <c r="K45" s="76">
        <f>IF(F45&lt;&gt;"",H45*I45*J45,"")</f>
        <v>2600</v>
      </c>
      <c r="L45" s="76">
        <f>IF(K45&lt;&gt;"",IF(D45="INTERNO",0,K45*$L$14),"")</f>
        <v>234</v>
      </c>
      <c r="M45" s="76">
        <f>IF(K45&lt;&gt;"",IF(E45="FAT.OGGI",SUM(K45:L45)*(1/(1-$M$14)-1),L45*(1/(1-$M$14)-1)),"")</f>
        <v>56.791599353796464</v>
      </c>
      <c r="N45" s="91">
        <f>SUM(K45:M45)</f>
        <v>2890.7915993537963</v>
      </c>
      <c r="Q45" s="106">
        <f t="shared" si="28"/>
        <v>2</v>
      </c>
      <c r="R45" s="102">
        <f t="shared" si="28"/>
        <v>1</v>
      </c>
      <c r="S45" s="103">
        <v>0</v>
      </c>
      <c r="T45" s="103">
        <f>IF(Q45&lt;&gt;"",Q45*R45*S45,"")</f>
        <v>0</v>
      </c>
      <c r="U45" s="104">
        <f>IF(Q45&lt;&gt;"",K45-T45,"")</f>
        <v>2600</v>
      </c>
      <c r="V45" s="105">
        <f>IF(Q45&lt;&gt;"",0%,"")</f>
        <v>0</v>
      </c>
      <c r="W45" s="101">
        <f>IF(Q45&lt;&gt;"",V45*U45,"")</f>
        <v>0</v>
      </c>
      <c r="X45" s="101">
        <f>IF(Q45&lt;&gt;"",W45+T45,"")</f>
        <v>0</v>
      </c>
      <c r="Y45" s="92">
        <f t="shared" si="29"/>
        <v>56.791599353796464</v>
      </c>
      <c r="Z45" s="89">
        <f>IF(Q45&lt;&gt;"",U45/K45,"")</f>
        <v>1</v>
      </c>
      <c r="AA45" s="100"/>
    </row>
    <row r="46" spans="1:27" ht="21" customHeight="1" thickBot="1" x14ac:dyDescent="0.4">
      <c r="A46" s="69">
        <v>26</v>
      </c>
      <c r="B46" s="74"/>
      <c r="C46" s="68" t="s">
        <v>122</v>
      </c>
      <c r="D46" s="69"/>
      <c r="E46" s="69"/>
      <c r="F46" s="626" t="s">
        <v>123</v>
      </c>
      <c r="G46" s="627"/>
      <c r="H46" s="627"/>
      <c r="I46" s="627"/>
      <c r="J46" s="627"/>
      <c r="K46" s="168">
        <f>SUM(K43:K45)</f>
        <v>47600</v>
      </c>
      <c r="L46" s="168">
        <f>SUM(L43:L45)</f>
        <v>4284</v>
      </c>
      <c r="M46" s="168">
        <f>SUM(M43:M45)</f>
        <v>1039.723126631043</v>
      </c>
      <c r="N46" s="169">
        <f>SUM(N43:N45)</f>
        <v>52923.723126631041</v>
      </c>
      <c r="Q46" s="628" t="s">
        <v>123</v>
      </c>
      <c r="R46" s="629"/>
      <c r="S46" s="629"/>
      <c r="T46" s="195">
        <f>SUM(T43:T45)</f>
        <v>39600</v>
      </c>
      <c r="U46" s="196">
        <f>SUM(U43:U45)</f>
        <v>8000</v>
      </c>
      <c r="V46" s="201"/>
      <c r="W46" s="130"/>
      <c r="X46" s="199">
        <f>SUM(X43:X45)</f>
        <v>39600</v>
      </c>
      <c r="Y46" s="200">
        <f t="shared" si="29"/>
        <v>40639.723126631041</v>
      </c>
      <c r="Z46" s="89"/>
    </row>
    <row r="47" spans="1:27" ht="20.399999999999999" customHeight="1" thickBot="1" x14ac:dyDescent="0.4">
      <c r="A47" s="44">
        <v>35</v>
      </c>
      <c r="B47" s="74">
        <v>4</v>
      </c>
      <c r="C47" s="73" t="s">
        <v>108</v>
      </c>
      <c r="D47" s="44"/>
      <c r="E47" s="44"/>
      <c r="F47" s="637" t="s">
        <v>160</v>
      </c>
      <c r="G47" s="638"/>
      <c r="H47" s="638"/>
      <c r="I47" s="638"/>
      <c r="J47" s="638"/>
      <c r="K47" s="638"/>
      <c r="L47" s="638"/>
      <c r="M47" s="638"/>
      <c r="N47" s="639"/>
      <c r="Q47" s="640" t="str">
        <f>IF(F47&lt;&gt;"",F47,"")</f>
        <v>CREDENCIAMENTO</v>
      </c>
      <c r="R47" s="641"/>
      <c r="S47" s="641"/>
      <c r="T47" s="641"/>
      <c r="U47" s="641"/>
      <c r="V47" s="641"/>
      <c r="W47" s="641"/>
      <c r="X47" s="641"/>
      <c r="Y47" s="642"/>
      <c r="Z47" s="89"/>
    </row>
    <row r="48" spans="1:27" ht="21" customHeight="1" x14ac:dyDescent="0.35">
      <c r="A48" s="69">
        <v>36</v>
      </c>
      <c r="B48" s="74" t="s">
        <v>135</v>
      </c>
      <c r="C48" s="68" t="s">
        <v>109</v>
      </c>
      <c r="D48" s="69"/>
      <c r="E48" s="69"/>
      <c r="F48" s="643" t="s">
        <v>160</v>
      </c>
      <c r="G48" s="644"/>
      <c r="H48" s="644"/>
      <c r="I48" s="644"/>
      <c r="J48" s="644"/>
      <c r="K48" s="644"/>
      <c r="L48" s="170" t="s">
        <v>111</v>
      </c>
      <c r="M48" s="170" t="s">
        <v>112</v>
      </c>
      <c r="N48" s="171" t="s">
        <v>81</v>
      </c>
      <c r="Q48" s="656" t="str">
        <f>IF(F48&lt;&gt;"",F48,"")</f>
        <v>CREDENCIAMENTO</v>
      </c>
      <c r="R48" s="657"/>
      <c r="S48" s="657"/>
      <c r="T48" s="657"/>
      <c r="U48" s="657"/>
      <c r="V48" s="657"/>
      <c r="W48" s="657"/>
      <c r="X48" s="657"/>
      <c r="Y48" s="658"/>
      <c r="Z48" s="96" t="s">
        <v>113</v>
      </c>
      <c r="AA48" s="75" t="s">
        <v>82</v>
      </c>
    </row>
    <row r="49" spans="1:27" ht="45" customHeight="1" x14ac:dyDescent="0.3">
      <c r="A49" s="44">
        <v>37</v>
      </c>
      <c r="B49" s="74" t="s">
        <v>136</v>
      </c>
      <c r="C49" s="73" t="s">
        <v>114</v>
      </c>
      <c r="D49" s="44" t="s">
        <v>129</v>
      </c>
      <c r="E49" s="44" t="s">
        <v>130</v>
      </c>
      <c r="F49" s="131" t="s">
        <v>161</v>
      </c>
      <c r="G49" s="132" t="s">
        <v>162</v>
      </c>
      <c r="H49" s="149">
        <v>1</v>
      </c>
      <c r="I49" s="149">
        <v>2</v>
      </c>
      <c r="J49" s="134">
        <v>2000</v>
      </c>
      <c r="K49" s="134">
        <f>IF(F49&lt;&gt;"",H49*I49*J49,"")</f>
        <v>4000</v>
      </c>
      <c r="L49" s="134">
        <f>IF(K49&lt;&gt;"",IF(D49="INTERNO",0,K49*$L$14),"")</f>
        <v>360</v>
      </c>
      <c r="M49" s="134">
        <f>IF(K49&lt;&gt;"",IF(E49="FAT.OGGI",SUM(K49:L49)*(1/(1-$M$14)-1),L49*(1/(1-$M$14)-1)),0)</f>
        <v>87.37169131353302</v>
      </c>
      <c r="N49" s="135">
        <f>SUM(K49:M49)</f>
        <v>4447.3716913135331</v>
      </c>
      <c r="Q49" s="106">
        <f t="shared" ref="Q49:R51" si="30">IF(H49&lt;&gt;"",H49,"")</f>
        <v>1</v>
      </c>
      <c r="R49" s="102">
        <f t="shared" si="30"/>
        <v>2</v>
      </c>
      <c r="S49" s="103">
        <v>900</v>
      </c>
      <c r="T49" s="103">
        <f>IF(Q49&lt;&gt;"",Q49*R49*S49,"")</f>
        <v>1800</v>
      </c>
      <c r="U49" s="104">
        <f>IF(Q49&lt;&gt;"",K49-T49,"")</f>
        <v>2200</v>
      </c>
      <c r="V49" s="105">
        <f>IF(Q49&lt;&gt;"",0%,"")</f>
        <v>0</v>
      </c>
      <c r="W49" s="101">
        <f>IF(Q49&lt;&gt;"",V49*U49,"")</f>
        <v>0</v>
      </c>
      <c r="X49" s="101">
        <f>IF(Q49&lt;&gt;"",W49+T49,"")</f>
        <v>1800</v>
      </c>
      <c r="Y49" s="92">
        <f>IF(Q49&lt;&gt;"",X49+M49,"")</f>
        <v>1887.3716913135331</v>
      </c>
      <c r="Z49" s="89">
        <f>IF(Q49&lt;&gt;"", IFERROR(U49/K49, 0), 0)</f>
        <v>0.55000000000000004</v>
      </c>
      <c r="AA49" s="82">
        <f>IFERROR(T49/$T$52, "")</f>
        <v>1</v>
      </c>
    </row>
    <row r="50" spans="1:27" ht="45" customHeight="1" x14ac:dyDescent="0.3">
      <c r="A50" s="44">
        <v>38</v>
      </c>
      <c r="B50" s="74" t="s">
        <v>157</v>
      </c>
      <c r="C50" s="73" t="s">
        <v>114</v>
      </c>
      <c r="D50" s="44" t="s">
        <v>129</v>
      </c>
      <c r="E50" s="44" t="s">
        <v>130</v>
      </c>
      <c r="F50" s="131" t="s">
        <v>163</v>
      </c>
      <c r="G50" s="132" t="s">
        <v>321</v>
      </c>
      <c r="H50" s="149">
        <v>70</v>
      </c>
      <c r="I50" s="149">
        <v>0</v>
      </c>
      <c r="J50" s="134">
        <v>6.4</v>
      </c>
      <c r="K50" s="134">
        <f>IF(F50&lt;&gt;"",H50*I50*J50,"")</f>
        <v>0</v>
      </c>
      <c r="L50" s="134">
        <f>IF(K50&lt;&gt;"",IF(D50="INTERNO",0,K50*$L$14),"")</f>
        <v>0</v>
      </c>
      <c r="M50" s="134">
        <f>IF(K50&lt;&gt;"",IF(E50="FAT.OGGI",SUM(K50:L50)*(1/(1-$M$14)-1),L50*(1/(1-$M$14)-1)),0)</f>
        <v>0</v>
      </c>
      <c r="N50" s="135">
        <f>SUM(K50:M50)</f>
        <v>0</v>
      </c>
      <c r="Q50" s="106">
        <f t="shared" si="30"/>
        <v>70</v>
      </c>
      <c r="R50" s="102">
        <f t="shared" si="30"/>
        <v>0</v>
      </c>
      <c r="S50" s="103">
        <v>3.3</v>
      </c>
      <c r="T50" s="103">
        <f>IF(Q50&lt;&gt;"",Q50*R50*S50,"")</f>
        <v>0</v>
      </c>
      <c r="U50" s="104">
        <f>IF(Q50&lt;&gt;"",K50-T50,"")</f>
        <v>0</v>
      </c>
      <c r="V50" s="105">
        <f>IF(Q50&lt;&gt;"",0%,"")</f>
        <v>0</v>
      </c>
      <c r="W50" s="101">
        <f>IF(Q50&lt;&gt;"",V50*U50,"")</f>
        <v>0</v>
      </c>
      <c r="X50" s="101">
        <f>IF(Q50&lt;&gt;"",W50+T50,"")</f>
        <v>0</v>
      </c>
      <c r="Y50" s="92">
        <f>IF(Q50&lt;&gt;"",X50+M50,"")</f>
        <v>0</v>
      </c>
      <c r="Z50" s="89">
        <f>IF(Q50&lt;&gt;"", IFERROR(U50/K50, 0), 0)</f>
        <v>0</v>
      </c>
      <c r="AA50" s="82">
        <f>IFERROR(T50/$T$52, "")</f>
        <v>0</v>
      </c>
    </row>
    <row r="51" spans="1:27" ht="45" customHeight="1" x14ac:dyDescent="0.3">
      <c r="A51" s="69">
        <v>39</v>
      </c>
      <c r="B51" s="74" t="s">
        <v>158</v>
      </c>
      <c r="C51" s="68" t="s">
        <v>114</v>
      </c>
      <c r="D51" s="69" t="s">
        <v>129</v>
      </c>
      <c r="E51" s="69" t="s">
        <v>130</v>
      </c>
      <c r="F51" s="131" t="s">
        <v>164</v>
      </c>
      <c r="G51" s="132" t="s">
        <v>322</v>
      </c>
      <c r="H51" s="149">
        <v>70</v>
      </c>
      <c r="I51" s="149">
        <v>0</v>
      </c>
      <c r="J51" s="134">
        <v>4.9000000000000004</v>
      </c>
      <c r="K51" s="134">
        <f>IF(F51&lt;&gt;"",H51*I51*J51,"")</f>
        <v>0</v>
      </c>
      <c r="L51" s="134">
        <f>IF(K51&lt;&gt;"",IF(D51="INTERNO",0,K51*$L$14),"")</f>
        <v>0</v>
      </c>
      <c r="M51" s="134">
        <f>IF(K51&lt;&gt;"",IF(E51="FAT.OGGI",SUM(K51:L51)*(1/(1-$M$14)-1),L51*(1/(1-$M$14)-1)),0)</f>
        <v>0</v>
      </c>
      <c r="N51" s="135">
        <f>SUM(K51:M51)</f>
        <v>0</v>
      </c>
      <c r="Q51" s="106">
        <f t="shared" si="30"/>
        <v>70</v>
      </c>
      <c r="R51" s="102">
        <f t="shared" si="30"/>
        <v>0</v>
      </c>
      <c r="S51" s="103">
        <v>2.9</v>
      </c>
      <c r="T51" s="103">
        <f>IF(Q51&lt;&gt;"",Q51*R51*S51,"")</f>
        <v>0</v>
      </c>
      <c r="U51" s="104">
        <f>IF(Q51&lt;&gt;"",K51-T51,"")</f>
        <v>0</v>
      </c>
      <c r="V51" s="105">
        <f>IF(Q51&lt;&gt;"",0%,"")</f>
        <v>0</v>
      </c>
      <c r="W51" s="101">
        <f>IF(Q51&lt;&gt;"",V51*U51,"")</f>
        <v>0</v>
      </c>
      <c r="X51" s="101">
        <f>IF(Q51&lt;&gt;"",W51+T51,"")</f>
        <v>0</v>
      </c>
      <c r="Y51" s="92">
        <f>IF(Q51&lt;&gt;"",X51+M51,"")</f>
        <v>0</v>
      </c>
      <c r="Z51" s="98">
        <f>IF(Q51&lt;&gt;"", IFERROR(U51/K51, 0), 0)</f>
        <v>0</v>
      </c>
      <c r="AA51" s="82">
        <f>IFERROR(T51/$T$52, "")</f>
        <v>0</v>
      </c>
    </row>
    <row r="52" spans="1:27" ht="24" customHeight="1" thickBot="1" x14ac:dyDescent="0.4">
      <c r="A52" s="70">
        <v>41</v>
      </c>
      <c r="B52" s="74"/>
      <c r="C52" s="72" t="s">
        <v>122</v>
      </c>
      <c r="D52" s="70"/>
      <c r="E52" s="70"/>
      <c r="F52" s="626" t="s">
        <v>202</v>
      </c>
      <c r="G52" s="627"/>
      <c r="H52" s="627"/>
      <c r="I52" s="627"/>
      <c r="J52" s="627"/>
      <c r="K52" s="168">
        <f>SUM(K49:K51)</f>
        <v>4000</v>
      </c>
      <c r="L52" s="168">
        <f>SUM(L49:L51)</f>
        <v>360</v>
      </c>
      <c r="M52" s="168">
        <f>SUM(M49:M51)</f>
        <v>87.37169131353302</v>
      </c>
      <c r="N52" s="169">
        <f>SUM(N49:N51)</f>
        <v>4447.3716913135331</v>
      </c>
      <c r="Q52" s="628" t="s">
        <v>202</v>
      </c>
      <c r="R52" s="629"/>
      <c r="S52" s="629"/>
      <c r="T52" s="195">
        <f>SUM(T49:T51)</f>
        <v>1800</v>
      </c>
      <c r="U52" s="196">
        <f>SUM(U49:U51)</f>
        <v>2200</v>
      </c>
      <c r="V52" s="201"/>
      <c r="W52" s="130"/>
      <c r="X52" s="199">
        <f>SUM(X49:X51)</f>
        <v>1800</v>
      </c>
      <c r="Y52" s="200">
        <f>IF(Q52&lt;&gt;"",X52+M52,"")</f>
        <v>1887.3716913135331</v>
      </c>
      <c r="Z52" s="98"/>
      <c r="AA52" s="100"/>
    </row>
    <row r="53" spans="1:27" ht="22.5" customHeight="1" thickBot="1" x14ac:dyDescent="0.4">
      <c r="A53" s="69">
        <v>42</v>
      </c>
      <c r="B53" s="74">
        <v>5</v>
      </c>
      <c r="C53" s="68" t="s">
        <v>108</v>
      </c>
      <c r="D53" s="69"/>
      <c r="E53" s="69"/>
      <c r="F53" s="637" t="s">
        <v>166</v>
      </c>
      <c r="G53" s="638"/>
      <c r="H53" s="638"/>
      <c r="I53" s="638"/>
      <c r="J53" s="638"/>
      <c r="K53" s="638"/>
      <c r="L53" s="638"/>
      <c r="M53" s="638"/>
      <c r="N53" s="639"/>
      <c r="Q53" s="640" t="str">
        <f>IF(F53&lt;&gt;"",F53,"")</f>
        <v>CENOGRAFIA</v>
      </c>
      <c r="R53" s="641"/>
      <c r="S53" s="641"/>
      <c r="T53" s="641"/>
      <c r="U53" s="641"/>
      <c r="V53" s="641"/>
      <c r="W53" s="641"/>
      <c r="X53" s="641"/>
      <c r="Y53" s="642"/>
      <c r="Z53" s="89"/>
    </row>
    <row r="54" spans="1:27" ht="24" customHeight="1" x14ac:dyDescent="0.35">
      <c r="A54" s="69">
        <v>43</v>
      </c>
      <c r="B54" s="74" t="s">
        <v>137</v>
      </c>
      <c r="C54" s="68" t="s">
        <v>109</v>
      </c>
      <c r="D54" s="69"/>
      <c r="E54" s="69"/>
      <c r="F54" s="643" t="s">
        <v>166</v>
      </c>
      <c r="G54" s="644"/>
      <c r="H54" s="644"/>
      <c r="I54" s="644"/>
      <c r="J54" s="644"/>
      <c r="K54" s="644"/>
      <c r="L54" s="170" t="s">
        <v>111</v>
      </c>
      <c r="M54" s="170" t="s">
        <v>112</v>
      </c>
      <c r="N54" s="171" t="s">
        <v>81</v>
      </c>
      <c r="Q54" s="656" t="str">
        <f>IF(F54&lt;&gt;"",F54,"")</f>
        <v>CENOGRAFIA</v>
      </c>
      <c r="R54" s="657"/>
      <c r="S54" s="657"/>
      <c r="T54" s="657"/>
      <c r="U54" s="657"/>
      <c r="V54" s="657"/>
      <c r="W54" s="657"/>
      <c r="X54" s="657"/>
      <c r="Y54" s="658"/>
      <c r="Z54" s="96" t="s">
        <v>113</v>
      </c>
      <c r="AA54" s="75" t="s">
        <v>82</v>
      </c>
    </row>
    <row r="55" spans="1:27" ht="45" customHeight="1" x14ac:dyDescent="0.3">
      <c r="A55" s="44">
        <v>45</v>
      </c>
      <c r="B55" s="74" t="s">
        <v>142</v>
      </c>
      <c r="C55" s="73" t="s">
        <v>114</v>
      </c>
      <c r="D55" s="44" t="s">
        <v>129</v>
      </c>
      <c r="E55" s="44" t="s">
        <v>130</v>
      </c>
      <c r="F55" s="95" t="s">
        <v>271</v>
      </c>
      <c r="G55" s="77" t="s">
        <v>270</v>
      </c>
      <c r="H55" s="93">
        <v>1</v>
      </c>
      <c r="I55" s="93">
        <v>1</v>
      </c>
      <c r="J55" s="76">
        <v>2000</v>
      </c>
      <c r="K55" s="76">
        <f t="shared" ref="K55:K59" si="31">IF(F55&lt;&gt;"",H55*I55*J55,"")</f>
        <v>2000</v>
      </c>
      <c r="L55" s="76">
        <f t="shared" ref="L55:L59" si="32">IF(K55&lt;&gt;"",IF(D55="INTERNO",0,K55*$L$14),"")</f>
        <v>180</v>
      </c>
      <c r="M55" s="76">
        <f>IF(K55&lt;&gt;"",IF(E55="FAT.OGGI",SUM(K55:L55)*(1/(1-$M$14)-1),L55*(1/(1-$M$14)-1)),0)</f>
        <v>43.68584565676651</v>
      </c>
      <c r="N55" s="91">
        <f t="shared" ref="N55:N59" si="33">SUM(K55:M55)</f>
        <v>2223.6858456567666</v>
      </c>
      <c r="Q55" s="106">
        <f t="shared" ref="Q55:R58" si="34">IF(H55&lt;&gt;"",H55,"")</f>
        <v>1</v>
      </c>
      <c r="R55" s="102">
        <f t="shared" si="34"/>
        <v>1</v>
      </c>
      <c r="S55" s="103">
        <v>1300</v>
      </c>
      <c r="T55" s="103">
        <f t="shared" ref="T55:T59" si="35">IF(Q55&lt;&gt;"",Q55*R55*S55,"")</f>
        <v>1300</v>
      </c>
      <c r="U55" s="104">
        <f t="shared" ref="U55:U59" si="36">IF(Q55&lt;&gt;"",K55-T55,"")</f>
        <v>700</v>
      </c>
      <c r="V55" s="105">
        <f t="shared" ref="V55:V59" si="37">IF(Q55&lt;&gt;"",0%,"")</f>
        <v>0</v>
      </c>
      <c r="W55" s="101">
        <f t="shared" ref="W55:W59" si="38">IF(Q55&lt;&gt;"",V55*U55,"")</f>
        <v>0</v>
      </c>
      <c r="X55" s="101">
        <f t="shared" ref="X55:X59" si="39">IF(Q55&lt;&gt;"",W55+T55,"")</f>
        <v>1300</v>
      </c>
      <c r="Y55" s="92">
        <f t="shared" ref="Y55:Y60" si="40">IF(Q55&lt;&gt;"",X55+M55,"")</f>
        <v>1343.6858456567666</v>
      </c>
      <c r="Z55" s="89">
        <f>IF(Q55&lt;&gt;"", IFERROR(U55/K55, 0), 0)</f>
        <v>0.35</v>
      </c>
      <c r="AA55" s="82">
        <f>IFERROR(T55/$T$60, "")</f>
        <v>0.1368421052631579</v>
      </c>
    </row>
    <row r="56" spans="1:27" ht="45" customHeight="1" x14ac:dyDescent="0.3">
      <c r="A56" s="44">
        <v>46</v>
      </c>
      <c r="B56" s="74" t="s">
        <v>143</v>
      </c>
      <c r="C56" s="73" t="s">
        <v>114</v>
      </c>
      <c r="D56" s="44" t="s">
        <v>129</v>
      </c>
      <c r="E56" s="44" t="s">
        <v>130</v>
      </c>
      <c r="F56" s="95" t="s">
        <v>235</v>
      </c>
      <c r="G56" s="77" t="s">
        <v>237</v>
      </c>
      <c r="H56" s="93">
        <v>1</v>
      </c>
      <c r="I56" s="93">
        <v>1</v>
      </c>
      <c r="J56" s="76">
        <v>5000</v>
      </c>
      <c r="K56" s="76">
        <f t="shared" si="31"/>
        <v>5000</v>
      </c>
      <c r="L56" s="76">
        <f t="shared" si="32"/>
        <v>450</v>
      </c>
      <c r="M56" s="76">
        <f>IF(K56&lt;&gt;"",IF(E56="FAT.OGGI",SUM(K56:L56)*(1/(1-$M$14)-1),L56*(1/(1-$M$14)-1)),"")</f>
        <v>109.21461414191627</v>
      </c>
      <c r="N56" s="91">
        <f t="shared" si="33"/>
        <v>5559.2146141419162</v>
      </c>
      <c r="Q56" s="106">
        <f t="shared" si="34"/>
        <v>1</v>
      </c>
      <c r="R56" s="102">
        <f t="shared" si="34"/>
        <v>1</v>
      </c>
      <c r="S56" s="103">
        <v>3000</v>
      </c>
      <c r="T56" s="103">
        <f t="shared" si="35"/>
        <v>3000</v>
      </c>
      <c r="U56" s="104">
        <f t="shared" si="36"/>
        <v>2000</v>
      </c>
      <c r="V56" s="105">
        <f t="shared" si="37"/>
        <v>0</v>
      </c>
      <c r="W56" s="101">
        <f t="shared" si="38"/>
        <v>0</v>
      </c>
      <c r="X56" s="101">
        <f t="shared" si="39"/>
        <v>3000</v>
      </c>
      <c r="Y56" s="92">
        <f t="shared" si="40"/>
        <v>3109.2146141419162</v>
      </c>
      <c r="Z56" s="89">
        <f>IF(Q56&lt;&gt;"",U56/K56,"")</f>
        <v>0.4</v>
      </c>
      <c r="AA56" s="82"/>
    </row>
    <row r="57" spans="1:27" ht="45" customHeight="1" x14ac:dyDescent="0.3">
      <c r="A57" s="44">
        <v>47</v>
      </c>
      <c r="B57" s="74" t="s">
        <v>144</v>
      </c>
      <c r="C57" s="73" t="s">
        <v>114</v>
      </c>
      <c r="D57" s="44" t="s">
        <v>129</v>
      </c>
      <c r="E57" s="44" t="s">
        <v>130</v>
      </c>
      <c r="F57" s="95" t="s">
        <v>236</v>
      </c>
      <c r="G57" s="77" t="s">
        <v>238</v>
      </c>
      <c r="H57" s="93">
        <v>1</v>
      </c>
      <c r="I57" s="93">
        <v>1</v>
      </c>
      <c r="J57" s="76">
        <v>2000</v>
      </c>
      <c r="K57" s="76">
        <f t="shared" si="31"/>
        <v>2000</v>
      </c>
      <c r="L57" s="76">
        <f t="shared" si="32"/>
        <v>180</v>
      </c>
      <c r="M57" s="76">
        <f>IF(K57&lt;&gt;"",IF(E57="FAT.OGGI",SUM(K57:L57)*(1/(1-$M$14)-1),L57*(1/(1-$M$14)-1)),"")</f>
        <v>43.68584565676651</v>
      </c>
      <c r="N57" s="91">
        <f t="shared" si="33"/>
        <v>2223.6858456567666</v>
      </c>
      <c r="Q57" s="106">
        <f t="shared" si="34"/>
        <v>1</v>
      </c>
      <c r="R57" s="102">
        <f t="shared" si="34"/>
        <v>1</v>
      </c>
      <c r="S57" s="103">
        <v>1500</v>
      </c>
      <c r="T57" s="103">
        <f t="shared" si="35"/>
        <v>1500</v>
      </c>
      <c r="U57" s="104">
        <f t="shared" si="36"/>
        <v>500</v>
      </c>
      <c r="V57" s="105">
        <f t="shared" si="37"/>
        <v>0</v>
      </c>
      <c r="W57" s="101">
        <f t="shared" si="38"/>
        <v>0</v>
      </c>
      <c r="X57" s="101">
        <f t="shared" si="39"/>
        <v>1500</v>
      </c>
      <c r="Y57" s="92">
        <f t="shared" si="40"/>
        <v>1543.6858456567666</v>
      </c>
      <c r="Z57" s="89">
        <f>IF(Q57&lt;&gt;"",U57/K57,"")</f>
        <v>0.25</v>
      </c>
      <c r="AA57" s="82"/>
    </row>
    <row r="58" spans="1:27" ht="45" customHeight="1" x14ac:dyDescent="0.3">
      <c r="A58" s="69">
        <v>47</v>
      </c>
      <c r="B58" s="74" t="s">
        <v>185</v>
      </c>
      <c r="C58" s="68" t="s">
        <v>114</v>
      </c>
      <c r="D58" s="69" t="s">
        <v>129</v>
      </c>
      <c r="E58" s="69" t="s">
        <v>130</v>
      </c>
      <c r="F58" s="86" t="s">
        <v>168</v>
      </c>
      <c r="G58" s="83" t="s">
        <v>295</v>
      </c>
      <c r="H58" s="85">
        <v>1</v>
      </c>
      <c r="I58" s="85">
        <v>1</v>
      </c>
      <c r="J58" s="84">
        <v>8000</v>
      </c>
      <c r="K58" s="84">
        <f t="shared" si="31"/>
        <v>8000</v>
      </c>
      <c r="L58" s="84">
        <f t="shared" si="32"/>
        <v>720</v>
      </c>
      <c r="M58" s="84">
        <f>IF(K58&lt;&gt;"",IF(E58="FAT.OGGI",SUM(K58:L58)*(1/(1-$M$14)-1),L58*(1/(1-$M$14)-1)),0)</f>
        <v>174.74338262706604</v>
      </c>
      <c r="N58" s="87">
        <f t="shared" si="33"/>
        <v>8894.7433826270662</v>
      </c>
      <c r="Q58" s="107">
        <f t="shared" si="34"/>
        <v>1</v>
      </c>
      <c r="R58" s="108">
        <f t="shared" si="34"/>
        <v>1</v>
      </c>
      <c r="S58" s="109">
        <v>2500</v>
      </c>
      <c r="T58" s="109">
        <f t="shared" si="35"/>
        <v>2500</v>
      </c>
      <c r="U58" s="204">
        <f t="shared" si="36"/>
        <v>5500</v>
      </c>
      <c r="V58" s="201">
        <f t="shared" si="37"/>
        <v>0</v>
      </c>
      <c r="W58" s="130">
        <f t="shared" si="38"/>
        <v>0</v>
      </c>
      <c r="X58" s="130">
        <f t="shared" si="39"/>
        <v>2500</v>
      </c>
      <c r="Y58" s="90">
        <f t="shared" si="40"/>
        <v>2674.7433826270662</v>
      </c>
      <c r="Z58" s="89">
        <f>IF(Q58&lt;&gt;"", IFERROR(U58/K58, 0), 0)</f>
        <v>0.6875</v>
      </c>
      <c r="AA58" s="82">
        <f>IFERROR(T58/$T$60, "")</f>
        <v>0.26315789473684209</v>
      </c>
    </row>
    <row r="59" spans="1:27" ht="45" customHeight="1" x14ac:dyDescent="0.3">
      <c r="A59" s="44">
        <v>48</v>
      </c>
      <c r="B59" s="74" t="s">
        <v>186</v>
      </c>
      <c r="C59" s="73" t="s">
        <v>114</v>
      </c>
      <c r="D59" s="69" t="s">
        <v>129</v>
      </c>
      <c r="E59" s="69" t="s">
        <v>130</v>
      </c>
      <c r="F59" s="83" t="s">
        <v>306</v>
      </c>
      <c r="G59" s="83" t="s">
        <v>356</v>
      </c>
      <c r="H59" s="85">
        <v>1</v>
      </c>
      <c r="I59" s="85">
        <v>1</v>
      </c>
      <c r="J59" s="84">
        <v>2100</v>
      </c>
      <c r="K59" s="84">
        <f t="shared" si="31"/>
        <v>2100</v>
      </c>
      <c r="L59" s="84">
        <f t="shared" si="32"/>
        <v>189</v>
      </c>
      <c r="M59" s="84">
        <f>IF(K59&lt;&gt;"",IF(E59="FAT.OGGI",SUM(K59:L59)*(1/(1-$M$14)-1),L59*(1/(1-$M$14)-1)),"")</f>
        <v>45.870137939604838</v>
      </c>
      <c r="N59" s="84">
        <f t="shared" si="33"/>
        <v>2334.8701379396048</v>
      </c>
      <c r="Q59" s="214">
        <f>IF(H59&lt;&gt;"",H59,"")</f>
        <v>1</v>
      </c>
      <c r="R59" s="214">
        <f>IF(I59&lt;&gt;"",I59,"")</f>
        <v>1</v>
      </c>
      <c r="S59" s="210">
        <v>1200</v>
      </c>
      <c r="T59" s="210">
        <f t="shared" si="35"/>
        <v>1200</v>
      </c>
      <c r="U59" s="211">
        <f t="shared" si="36"/>
        <v>900</v>
      </c>
      <c r="V59" s="212">
        <f t="shared" si="37"/>
        <v>0</v>
      </c>
      <c r="W59" s="213">
        <f t="shared" si="38"/>
        <v>0</v>
      </c>
      <c r="X59" s="213">
        <f t="shared" si="39"/>
        <v>1200</v>
      </c>
      <c r="Y59" s="130">
        <f>IF(Q59&lt;&gt;"",X59+M59,"")</f>
        <v>1245.8701379396048</v>
      </c>
      <c r="Z59" s="82">
        <f>IF(Q59&lt;&gt;"",U59/K59,"")</f>
        <v>0.42857142857142855</v>
      </c>
      <c r="AA59" s="100"/>
    </row>
    <row r="60" spans="1:27" ht="24.6" customHeight="1" thickBot="1" x14ac:dyDescent="0.4">
      <c r="A60" s="150">
        <v>48</v>
      </c>
      <c r="B60" s="74"/>
      <c r="C60" s="151" t="s">
        <v>122</v>
      </c>
      <c r="D60" s="150"/>
      <c r="E60" s="150"/>
      <c r="F60" s="654" t="s">
        <v>201</v>
      </c>
      <c r="G60" s="655"/>
      <c r="H60" s="655"/>
      <c r="I60" s="655"/>
      <c r="J60" s="655"/>
      <c r="K60" s="119">
        <f>SUM(K55:K59)</f>
        <v>19100</v>
      </c>
      <c r="L60" s="119">
        <f>SUM(L55:L59)</f>
        <v>1719</v>
      </c>
      <c r="M60" s="119">
        <f>SUM(M55:M59)</f>
        <v>417.19982602212013</v>
      </c>
      <c r="N60" s="120">
        <f>SUM(N55:N59)</f>
        <v>21236.199826022119</v>
      </c>
      <c r="Q60" s="659" t="s">
        <v>201</v>
      </c>
      <c r="R60" s="660"/>
      <c r="S60" s="660"/>
      <c r="T60" s="205">
        <f>SUM(T55:T59)</f>
        <v>9500</v>
      </c>
      <c r="U60" s="206">
        <f>SUM(U55:U59)</f>
        <v>9600</v>
      </c>
      <c r="V60" s="207"/>
      <c r="W60" s="208"/>
      <c r="X60" s="209">
        <f>SUM(X55:X59)</f>
        <v>9500</v>
      </c>
      <c r="Y60" s="112">
        <f t="shared" si="40"/>
        <v>9917.1998260221208</v>
      </c>
      <c r="Z60" s="98"/>
      <c r="AA60" s="100"/>
    </row>
    <row r="61" spans="1:27" ht="20.399999999999999" customHeight="1" thickBot="1" x14ac:dyDescent="0.4">
      <c r="A61" s="69">
        <v>49</v>
      </c>
      <c r="B61" s="74">
        <v>6</v>
      </c>
      <c r="C61" s="68" t="s">
        <v>108</v>
      </c>
      <c r="D61" s="69"/>
      <c r="E61" s="69"/>
      <c r="F61" s="637" t="s">
        <v>258</v>
      </c>
      <c r="G61" s="638"/>
      <c r="H61" s="638"/>
      <c r="I61" s="638"/>
      <c r="J61" s="638"/>
      <c r="K61" s="638"/>
      <c r="L61" s="638"/>
      <c r="M61" s="638"/>
      <c r="N61" s="639"/>
      <c r="Q61" s="640" t="str">
        <f>IF(F61&lt;&gt;"",F61,"")</f>
        <v xml:space="preserve">STAFF SÃO PAULO </v>
      </c>
      <c r="R61" s="641"/>
      <c r="S61" s="641"/>
      <c r="T61" s="641"/>
      <c r="U61" s="641"/>
      <c r="V61" s="641"/>
      <c r="W61" s="641"/>
      <c r="X61" s="641"/>
      <c r="Y61" s="642"/>
      <c r="Z61" s="89"/>
    </row>
    <row r="62" spans="1:27" ht="21.6" customHeight="1" x14ac:dyDescent="0.35">
      <c r="A62" s="69">
        <v>50</v>
      </c>
      <c r="B62" s="74" t="s">
        <v>187</v>
      </c>
      <c r="C62" s="68" t="s">
        <v>109</v>
      </c>
      <c r="D62" s="69"/>
      <c r="E62" s="69"/>
      <c r="F62" s="643" t="s">
        <v>169</v>
      </c>
      <c r="G62" s="644"/>
      <c r="H62" s="644"/>
      <c r="I62" s="644"/>
      <c r="J62" s="644"/>
      <c r="K62" s="644"/>
      <c r="L62" s="170" t="s">
        <v>111</v>
      </c>
      <c r="M62" s="170" t="s">
        <v>112</v>
      </c>
      <c r="N62" s="171" t="s">
        <v>81</v>
      </c>
      <c r="Q62" s="656" t="str">
        <f>IF(F62&lt;&gt;"",F62,"")</f>
        <v>STAFF</v>
      </c>
      <c r="R62" s="657"/>
      <c r="S62" s="657"/>
      <c r="T62" s="657"/>
      <c r="U62" s="657"/>
      <c r="V62" s="657"/>
      <c r="W62" s="657"/>
      <c r="X62" s="657"/>
      <c r="Y62" s="658"/>
      <c r="Z62" s="96" t="s">
        <v>113</v>
      </c>
      <c r="AA62" s="75" t="s">
        <v>82</v>
      </c>
    </row>
    <row r="63" spans="1:27" ht="45" customHeight="1" x14ac:dyDescent="0.3">
      <c r="A63" s="69">
        <v>51</v>
      </c>
      <c r="B63" s="74" t="s">
        <v>188</v>
      </c>
      <c r="C63" s="68" t="s">
        <v>114</v>
      </c>
      <c r="D63" s="69" t="s">
        <v>129</v>
      </c>
      <c r="E63" s="69" t="s">
        <v>130</v>
      </c>
      <c r="F63" s="95" t="s">
        <v>126</v>
      </c>
      <c r="G63" s="77" t="s">
        <v>324</v>
      </c>
      <c r="H63" s="93">
        <v>1</v>
      </c>
      <c r="I63" s="93">
        <v>1</v>
      </c>
      <c r="J63" s="76">
        <v>800</v>
      </c>
      <c r="K63" s="76">
        <f t="shared" ref="K63:K67" si="41">IF(F63&lt;&gt;"",H63*I63*J63,"")</f>
        <v>800</v>
      </c>
      <c r="L63" s="76">
        <f t="shared" ref="L63:L67" si="42">IF(K63&lt;&gt;"",IF(D63="INTERNO",0,K63*$L$14),"")</f>
        <v>72</v>
      </c>
      <c r="M63" s="76">
        <f t="shared" ref="M63:M67" si="43">IF(K63&lt;&gt;"",IF(E63="FAT.OGGI",SUM(K63:L63)*(1/(1-$M$14)-1),L63*(1/(1-$M$14)-1)),0)</f>
        <v>17.474338262706603</v>
      </c>
      <c r="N63" s="91">
        <f t="shared" ref="N63:N67" si="44">SUM(K63:M63)</f>
        <v>889.47433826270662</v>
      </c>
      <c r="Q63" s="106">
        <f t="shared" ref="Q63:R67" si="45">IF(H63&lt;&gt;"",H63,"")</f>
        <v>1</v>
      </c>
      <c r="R63" s="102">
        <f t="shared" si="45"/>
        <v>1</v>
      </c>
      <c r="S63" s="103">
        <v>450</v>
      </c>
      <c r="T63" s="103">
        <f t="shared" ref="T63:T67" si="46">IF(Q63&lt;&gt;"",Q63*R63*S63,"")</f>
        <v>450</v>
      </c>
      <c r="U63" s="104">
        <f t="shared" ref="U63:U67" si="47">IF(Q63&lt;&gt;"",K63-T63,"")</f>
        <v>350</v>
      </c>
      <c r="V63" s="105">
        <f t="shared" ref="V63:V67" si="48">IF(Q63&lt;&gt;"",0%,"")</f>
        <v>0</v>
      </c>
      <c r="W63" s="101">
        <f t="shared" ref="W63:W67" si="49">IF(Q63&lt;&gt;"",V63*U63,"")</f>
        <v>0</v>
      </c>
      <c r="X63" s="101">
        <f t="shared" ref="X63:X67" si="50">IF(Q63&lt;&gt;"",W63+T63,"")</f>
        <v>450</v>
      </c>
      <c r="Y63" s="92">
        <f t="shared" ref="Y63:Y68" si="51">IF(Q63&lt;&gt;"",X63+M63,"")</f>
        <v>467.47433826270662</v>
      </c>
      <c r="Z63" s="98">
        <f t="shared" ref="Z63:Z67" si="52">IF(Q63&lt;&gt;"", IFERROR(U63/K63, 0), 0)</f>
        <v>0.4375</v>
      </c>
      <c r="AA63" s="126">
        <f>IFERROR(T63/$T$68, "")</f>
        <v>0.21428571428571427</v>
      </c>
    </row>
    <row r="64" spans="1:27" ht="45" customHeight="1" x14ac:dyDescent="0.3">
      <c r="A64" s="70">
        <v>52</v>
      </c>
      <c r="B64" s="74" t="s">
        <v>189</v>
      </c>
      <c r="C64" s="72" t="s">
        <v>114</v>
      </c>
      <c r="D64" s="69" t="s">
        <v>129</v>
      </c>
      <c r="E64" s="69" t="s">
        <v>130</v>
      </c>
      <c r="F64" s="95" t="s">
        <v>303</v>
      </c>
      <c r="G64" s="77" t="s">
        <v>325</v>
      </c>
      <c r="H64" s="93">
        <v>1</v>
      </c>
      <c r="I64" s="93">
        <v>0</v>
      </c>
      <c r="J64" s="76">
        <v>600</v>
      </c>
      <c r="K64" s="76">
        <f>IF(F64&lt;&gt;"",H64*I64*J64,"")</f>
        <v>0</v>
      </c>
      <c r="L64" s="76">
        <f>IF(K64&lt;&gt;"",IF(D64="INTERNO",0,K64*$L$14),"")</f>
        <v>0</v>
      </c>
      <c r="M64" s="76">
        <f>IF(K64&lt;&gt;"",IF(E64="FAT.OGGI",SUM(K64:L64)*(1/(1-$M$14)-1),L64*(1/(1-$M$14)-1)),"")</f>
        <v>0</v>
      </c>
      <c r="N64" s="91">
        <f>SUM(K64:M64)</f>
        <v>0</v>
      </c>
      <c r="Q64" s="106">
        <f>IF(H64&lt;&gt;"",H64,"")</f>
        <v>1</v>
      </c>
      <c r="R64" s="102">
        <f>IF(I64&lt;&gt;"",I64,"")</f>
        <v>0</v>
      </c>
      <c r="S64" s="103">
        <v>400</v>
      </c>
      <c r="T64" s="103">
        <f>IF(Q64&lt;&gt;"",Q64*R64*S64,"")</f>
        <v>0</v>
      </c>
      <c r="U64" s="104">
        <f>IF(Q64&lt;&gt;"",K64-T64,"")</f>
        <v>0</v>
      </c>
      <c r="V64" s="105">
        <f>IF(Q64&lt;&gt;"",0%,"")</f>
        <v>0</v>
      </c>
      <c r="W64" s="101">
        <f>IF(Q64&lt;&gt;"",V64*U64,"")</f>
        <v>0</v>
      </c>
      <c r="X64" s="101">
        <f>IF(Q64&lt;&gt;"",W64+T64,"")</f>
        <v>0</v>
      </c>
      <c r="Y64" s="92">
        <f>IF(Q64&lt;&gt;"",X64+M64,"")</f>
        <v>0</v>
      </c>
      <c r="Z64" s="89" t="e">
        <f>IF(Q64&lt;&gt;"",U64/K64,"")</f>
        <v>#DIV/0!</v>
      </c>
      <c r="AA64" s="126"/>
    </row>
    <row r="65" spans="1:27" ht="45" customHeight="1" x14ac:dyDescent="0.3">
      <c r="A65" s="69">
        <v>52</v>
      </c>
      <c r="B65" s="74" t="s">
        <v>190</v>
      </c>
      <c r="C65" s="68" t="s">
        <v>114</v>
      </c>
      <c r="D65" s="69" t="s">
        <v>129</v>
      </c>
      <c r="E65" s="69" t="s">
        <v>130</v>
      </c>
      <c r="F65" s="95" t="s">
        <v>224</v>
      </c>
      <c r="G65" s="77" t="s">
        <v>241</v>
      </c>
      <c r="H65" s="93">
        <v>1</v>
      </c>
      <c r="I65" s="93">
        <v>1</v>
      </c>
      <c r="J65" s="76">
        <v>900</v>
      </c>
      <c r="K65" s="76">
        <f t="shared" si="41"/>
        <v>900</v>
      </c>
      <c r="L65" s="76">
        <f t="shared" si="42"/>
        <v>81</v>
      </c>
      <c r="M65" s="76">
        <f t="shared" si="43"/>
        <v>19.658630545544931</v>
      </c>
      <c r="N65" s="91">
        <f t="shared" si="44"/>
        <v>1000.658630545545</v>
      </c>
      <c r="Q65" s="106">
        <f t="shared" si="45"/>
        <v>1</v>
      </c>
      <c r="R65" s="102">
        <f t="shared" si="45"/>
        <v>1</v>
      </c>
      <c r="S65" s="103">
        <v>650</v>
      </c>
      <c r="T65" s="103">
        <f t="shared" si="46"/>
        <v>650</v>
      </c>
      <c r="U65" s="104">
        <f t="shared" si="47"/>
        <v>250</v>
      </c>
      <c r="V65" s="105">
        <f t="shared" si="48"/>
        <v>0</v>
      </c>
      <c r="W65" s="101">
        <f t="shared" si="49"/>
        <v>0</v>
      </c>
      <c r="X65" s="101">
        <f t="shared" si="50"/>
        <v>650</v>
      </c>
      <c r="Y65" s="92">
        <f t="shared" si="51"/>
        <v>669.65863054554495</v>
      </c>
      <c r="Z65" s="98">
        <f t="shared" si="52"/>
        <v>0.27777777777777779</v>
      </c>
      <c r="AA65" s="126">
        <f>IFERROR(T65/$T$68, "")</f>
        <v>0.30952380952380953</v>
      </c>
    </row>
    <row r="66" spans="1:27" ht="49.5" customHeight="1" x14ac:dyDescent="0.3">
      <c r="A66" s="69">
        <v>54</v>
      </c>
      <c r="B66" s="74" t="s">
        <v>191</v>
      </c>
      <c r="C66" s="68" t="s">
        <v>114</v>
      </c>
      <c r="D66" s="69" t="s">
        <v>129</v>
      </c>
      <c r="E66" s="69" t="s">
        <v>130</v>
      </c>
      <c r="F66" s="95" t="s">
        <v>171</v>
      </c>
      <c r="G66" s="77" t="s">
        <v>297</v>
      </c>
      <c r="H66" s="93">
        <v>1</v>
      </c>
      <c r="I66" s="93">
        <v>0</v>
      </c>
      <c r="J66" s="76">
        <v>800</v>
      </c>
      <c r="K66" s="76">
        <f t="shared" si="41"/>
        <v>0</v>
      </c>
      <c r="L66" s="76">
        <f t="shared" si="42"/>
        <v>0</v>
      </c>
      <c r="M66" s="76">
        <f t="shared" si="43"/>
        <v>0</v>
      </c>
      <c r="N66" s="91">
        <f t="shared" si="44"/>
        <v>0</v>
      </c>
      <c r="Q66" s="106">
        <f t="shared" si="45"/>
        <v>1</v>
      </c>
      <c r="R66" s="102">
        <f t="shared" si="45"/>
        <v>0</v>
      </c>
      <c r="S66" s="103">
        <v>800</v>
      </c>
      <c r="T66" s="103">
        <f t="shared" si="46"/>
        <v>0</v>
      </c>
      <c r="U66" s="104">
        <f t="shared" si="47"/>
        <v>0</v>
      </c>
      <c r="V66" s="105">
        <f t="shared" si="48"/>
        <v>0</v>
      </c>
      <c r="W66" s="101">
        <f t="shared" si="49"/>
        <v>0</v>
      </c>
      <c r="X66" s="101">
        <f t="shared" si="50"/>
        <v>0</v>
      </c>
      <c r="Y66" s="92">
        <f t="shared" si="51"/>
        <v>0</v>
      </c>
      <c r="Z66" s="98">
        <f t="shared" si="52"/>
        <v>0</v>
      </c>
      <c r="AA66" s="82">
        <f>IFERROR(T66/$T$68, "")</f>
        <v>0</v>
      </c>
    </row>
    <row r="67" spans="1:27" ht="45" customHeight="1" x14ac:dyDescent="0.3">
      <c r="A67" s="44">
        <v>55</v>
      </c>
      <c r="B67" s="74" t="s">
        <v>302</v>
      </c>
      <c r="C67" s="73" t="s">
        <v>114</v>
      </c>
      <c r="D67" s="69" t="s">
        <v>129</v>
      </c>
      <c r="E67" s="69" t="s">
        <v>130</v>
      </c>
      <c r="F67" s="131" t="s">
        <v>172</v>
      </c>
      <c r="G67" s="77" t="s">
        <v>173</v>
      </c>
      <c r="H67" s="93">
        <v>1</v>
      </c>
      <c r="I67" s="93">
        <v>1</v>
      </c>
      <c r="J67" s="76">
        <v>1500</v>
      </c>
      <c r="K67" s="76">
        <f t="shared" si="41"/>
        <v>1500</v>
      </c>
      <c r="L67" s="76">
        <f t="shared" si="42"/>
        <v>135</v>
      </c>
      <c r="M67" s="76">
        <f t="shared" si="43"/>
        <v>32.764384242574884</v>
      </c>
      <c r="N67" s="91">
        <f t="shared" si="44"/>
        <v>1667.7643842425748</v>
      </c>
      <c r="Q67" s="106">
        <f t="shared" si="45"/>
        <v>1</v>
      </c>
      <c r="R67" s="102">
        <f t="shared" si="45"/>
        <v>1</v>
      </c>
      <c r="S67" s="103">
        <v>1000</v>
      </c>
      <c r="T67" s="103">
        <f t="shared" si="46"/>
        <v>1000</v>
      </c>
      <c r="U67" s="104">
        <f t="shared" si="47"/>
        <v>500</v>
      </c>
      <c r="V67" s="105">
        <f t="shared" si="48"/>
        <v>0</v>
      </c>
      <c r="W67" s="101">
        <f t="shared" si="49"/>
        <v>0</v>
      </c>
      <c r="X67" s="101">
        <f t="shared" si="50"/>
        <v>1000</v>
      </c>
      <c r="Y67" s="92">
        <f t="shared" si="51"/>
        <v>1032.7643842425748</v>
      </c>
      <c r="Z67" s="89">
        <f t="shared" si="52"/>
        <v>0.33333333333333331</v>
      </c>
      <c r="AA67" s="82">
        <f>IFERROR(T67/$T$68, "")</f>
        <v>0.47619047619047616</v>
      </c>
    </row>
    <row r="68" spans="1:27" ht="32.4" customHeight="1" thickBot="1" x14ac:dyDescent="0.4">
      <c r="A68" s="70">
        <v>57</v>
      </c>
      <c r="B68" s="74"/>
      <c r="C68" s="72" t="s">
        <v>122</v>
      </c>
      <c r="D68" s="70"/>
      <c r="E68" s="70"/>
      <c r="F68" s="626" t="s">
        <v>203</v>
      </c>
      <c r="G68" s="627"/>
      <c r="H68" s="627"/>
      <c r="I68" s="627"/>
      <c r="J68" s="627"/>
      <c r="K68" s="168">
        <f>SUM(K63:K67)</f>
        <v>3200</v>
      </c>
      <c r="L68" s="168">
        <f>SUM(L63:L67)</f>
        <v>288</v>
      </c>
      <c r="M68" s="168">
        <f>SUM(M63:M67)</f>
        <v>69.89735305082641</v>
      </c>
      <c r="N68" s="169">
        <f>SUM(N63:N67)</f>
        <v>3557.8973530508265</v>
      </c>
      <c r="Q68" s="661" t="s">
        <v>203</v>
      </c>
      <c r="R68" s="662"/>
      <c r="S68" s="662"/>
      <c r="T68" s="178">
        <f>SUM(T63:T67)</f>
        <v>2100</v>
      </c>
      <c r="U68" s="179">
        <f>SUM(U63:U67)</f>
        <v>1100</v>
      </c>
      <c r="V68" s="105"/>
      <c r="W68" s="101"/>
      <c r="X68" s="180">
        <f>SUM(X63:X67)</f>
        <v>2100</v>
      </c>
      <c r="Y68" s="181">
        <f t="shared" si="51"/>
        <v>2169.8973530508265</v>
      </c>
      <c r="Z68" s="98"/>
      <c r="AA68" s="100"/>
    </row>
    <row r="69" spans="1:27" ht="23.1" customHeight="1" thickBot="1" x14ac:dyDescent="0.4">
      <c r="A69" s="69">
        <v>58</v>
      </c>
      <c r="B69" s="74">
        <v>7</v>
      </c>
      <c r="C69" s="68" t="s">
        <v>108</v>
      </c>
      <c r="D69" s="69"/>
      <c r="E69" s="69"/>
      <c r="F69" s="637" t="s">
        <v>174</v>
      </c>
      <c r="G69" s="638"/>
      <c r="H69" s="638"/>
      <c r="I69" s="638"/>
      <c r="J69" s="638"/>
      <c r="K69" s="638"/>
      <c r="L69" s="638"/>
      <c r="M69" s="638"/>
      <c r="N69" s="639"/>
      <c r="Q69" s="663" t="str">
        <f>IF(F69&lt;&gt;"",F69,"")</f>
        <v>LOGISTICA</v>
      </c>
      <c r="R69" s="664"/>
      <c r="S69" s="664"/>
      <c r="T69" s="664"/>
      <c r="U69" s="664"/>
      <c r="V69" s="664"/>
      <c r="W69" s="664"/>
      <c r="X69" s="664"/>
      <c r="Y69" s="665"/>
      <c r="Z69" s="89"/>
    </row>
    <row r="70" spans="1:27" ht="27.6" customHeight="1" x14ac:dyDescent="0.35">
      <c r="A70" s="69">
        <v>59</v>
      </c>
      <c r="B70" s="74" t="s">
        <v>205</v>
      </c>
      <c r="C70" s="68" t="s">
        <v>109</v>
      </c>
      <c r="D70" s="69"/>
      <c r="E70" s="69"/>
      <c r="F70" s="643" t="s">
        <v>174</v>
      </c>
      <c r="G70" s="644"/>
      <c r="H70" s="644"/>
      <c r="I70" s="644"/>
      <c r="J70" s="644"/>
      <c r="K70" s="644"/>
      <c r="L70" s="170" t="s">
        <v>111</v>
      </c>
      <c r="M70" s="170" t="s">
        <v>112</v>
      </c>
      <c r="N70" s="171" t="s">
        <v>81</v>
      </c>
      <c r="Q70" s="661" t="str">
        <f>IF(F70&lt;&gt;"",F70,"")</f>
        <v>LOGISTICA</v>
      </c>
      <c r="R70" s="662"/>
      <c r="S70" s="662"/>
      <c r="T70" s="662"/>
      <c r="U70" s="662"/>
      <c r="V70" s="662"/>
      <c r="W70" s="662"/>
      <c r="X70" s="662"/>
      <c r="Y70" s="666"/>
      <c r="Z70" s="96" t="s">
        <v>113</v>
      </c>
      <c r="AA70" s="75" t="s">
        <v>82</v>
      </c>
    </row>
    <row r="71" spans="1:27" ht="37.5" customHeight="1" x14ac:dyDescent="0.3">
      <c r="A71" s="69">
        <v>66</v>
      </c>
      <c r="B71" s="74" t="s">
        <v>206</v>
      </c>
      <c r="C71" s="68" t="s">
        <v>114</v>
      </c>
      <c r="D71" s="69" t="s">
        <v>129</v>
      </c>
      <c r="E71" s="69" t="s">
        <v>130</v>
      </c>
      <c r="F71" s="95" t="s">
        <v>179</v>
      </c>
      <c r="G71" s="77" t="s">
        <v>180</v>
      </c>
      <c r="H71" s="93">
        <v>1</v>
      </c>
      <c r="I71" s="93">
        <v>1</v>
      </c>
      <c r="J71" s="76">
        <v>900</v>
      </c>
      <c r="K71" s="76">
        <f t="shared" ref="K71" si="53">IF(F71&lt;&gt;"",H71*I71*J71,"")</f>
        <v>900</v>
      </c>
      <c r="L71" s="76">
        <f t="shared" ref="L71:L72" si="54">IF(K71&lt;&gt;"",IF(D71="INTERNO",0,K71*$L$14),"")</f>
        <v>81</v>
      </c>
      <c r="M71" s="76">
        <f t="shared" ref="M71:M72" si="55">IF(K71&lt;&gt;"",IF(E71="FAT.OGGI",SUM(K71:L71)*(1/(1-$M$14)-1),L71*(1/(1-$M$14)-1)),0)</f>
        <v>19.658630545544931</v>
      </c>
      <c r="N71" s="91">
        <f t="shared" ref="N71:N72" si="56">SUM(K71:M71)</f>
        <v>1000.658630545545</v>
      </c>
      <c r="Q71" s="106">
        <f>IF(H71&lt;&gt;"",H71,"")</f>
        <v>1</v>
      </c>
      <c r="R71" s="102">
        <f t="shared" ref="R71:R72" si="57">IF(I71&lt;&gt;"",I71,"")</f>
        <v>1</v>
      </c>
      <c r="S71" s="103">
        <v>500</v>
      </c>
      <c r="T71" s="103">
        <f t="shared" ref="T71:T72" si="58">IF(Q71&lt;&gt;"",Q71*R71*S71,"")</f>
        <v>500</v>
      </c>
      <c r="U71" s="104">
        <f t="shared" ref="U71:U72" si="59">IF(Q71&lt;&gt;"",K71-T71,"")</f>
        <v>400</v>
      </c>
      <c r="V71" s="105">
        <f t="shared" ref="V71:V72" si="60">IF(Q71&lt;&gt;"",0%,"")</f>
        <v>0</v>
      </c>
      <c r="W71" s="101">
        <f t="shared" ref="W71:W72" si="61">IF(Q71&lt;&gt;"",V71*U71,"")</f>
        <v>0</v>
      </c>
      <c r="X71" s="101">
        <f t="shared" ref="X71:X72" si="62">IF(Q71&lt;&gt;"",W71+T71,"")</f>
        <v>500</v>
      </c>
      <c r="Y71" s="92">
        <f t="shared" ref="Y71:Y73" si="63">IF(Q71&lt;&gt;"",X71+M71,"")</f>
        <v>519.65863054554495</v>
      </c>
      <c r="Z71" s="98">
        <f t="shared" ref="Z71:Z72" si="64">IF(Q71&lt;&gt;"", IFERROR(U71/K71, 0), 0)</f>
        <v>0.44444444444444442</v>
      </c>
      <c r="AA71" s="82">
        <f>IFERROR(T71/$T$73, "")</f>
        <v>0.38461538461538464</v>
      </c>
    </row>
    <row r="72" spans="1:27" ht="45" customHeight="1" x14ac:dyDescent="0.3">
      <c r="A72" s="44">
        <v>69</v>
      </c>
      <c r="B72" s="74" t="s">
        <v>207</v>
      </c>
      <c r="C72" s="73" t="s">
        <v>114</v>
      </c>
      <c r="D72" s="69" t="s">
        <v>129</v>
      </c>
      <c r="E72" s="69" t="s">
        <v>130</v>
      </c>
      <c r="F72" s="131" t="s">
        <v>138</v>
      </c>
      <c r="G72" s="77" t="s">
        <v>217</v>
      </c>
      <c r="H72" s="93">
        <v>1</v>
      </c>
      <c r="I72" s="93">
        <v>1</v>
      </c>
      <c r="J72" s="76">
        <v>1000</v>
      </c>
      <c r="K72" s="76">
        <f>IF(F72&lt;&gt;"",H72*I72*J72,"")</f>
        <v>1000</v>
      </c>
      <c r="L72" s="76">
        <f t="shared" si="54"/>
        <v>90</v>
      </c>
      <c r="M72" s="76">
        <f t="shared" si="55"/>
        <v>21.842922828383255</v>
      </c>
      <c r="N72" s="91">
        <f t="shared" si="56"/>
        <v>1111.8429228283833</v>
      </c>
      <c r="Q72" s="106">
        <f>IF(H72&lt;&gt;"",H72,"")</f>
        <v>1</v>
      </c>
      <c r="R72" s="102">
        <f t="shared" si="57"/>
        <v>1</v>
      </c>
      <c r="S72" s="103">
        <v>800</v>
      </c>
      <c r="T72" s="103">
        <f t="shared" si="58"/>
        <v>800</v>
      </c>
      <c r="U72" s="104">
        <f t="shared" si="59"/>
        <v>200</v>
      </c>
      <c r="V72" s="105">
        <f t="shared" si="60"/>
        <v>0</v>
      </c>
      <c r="W72" s="101">
        <f t="shared" si="61"/>
        <v>0</v>
      </c>
      <c r="X72" s="101">
        <f t="shared" si="62"/>
        <v>800</v>
      </c>
      <c r="Y72" s="92">
        <f t="shared" si="63"/>
        <v>821.84292282838328</v>
      </c>
      <c r="Z72" s="89">
        <f t="shared" si="64"/>
        <v>0.2</v>
      </c>
      <c r="AA72" s="82">
        <f>IFERROR(T72/$T$73, "")</f>
        <v>0.61538461538461542</v>
      </c>
    </row>
    <row r="73" spans="1:27" ht="32.1" customHeight="1" thickBot="1" x14ac:dyDescent="0.4">
      <c r="A73" s="70">
        <v>70</v>
      </c>
      <c r="B73" s="74"/>
      <c r="C73" s="72" t="s">
        <v>122</v>
      </c>
      <c r="D73" s="70"/>
      <c r="E73" s="70"/>
      <c r="F73" s="626" t="s">
        <v>204</v>
      </c>
      <c r="G73" s="627"/>
      <c r="H73" s="627"/>
      <c r="I73" s="627"/>
      <c r="J73" s="627"/>
      <c r="K73" s="168">
        <f>SUM(K71:K72)</f>
        <v>1900</v>
      </c>
      <c r="L73" s="168">
        <f>SUM(L71:L72)</f>
        <v>171</v>
      </c>
      <c r="M73" s="168">
        <f>SUM(M71:M72)</f>
        <v>41.501553373928189</v>
      </c>
      <c r="N73" s="169">
        <f>SUM(N71:N72)</f>
        <v>2112.5015533739283</v>
      </c>
      <c r="Q73" s="628" t="s">
        <v>204</v>
      </c>
      <c r="R73" s="629"/>
      <c r="S73" s="629"/>
      <c r="T73" s="195">
        <f>SUM(T71:T72)</f>
        <v>1300</v>
      </c>
      <c r="U73" s="196">
        <f>SUM(U71:U72)</f>
        <v>600</v>
      </c>
      <c r="V73" s="201"/>
      <c r="W73" s="130"/>
      <c r="X73" s="199">
        <f>SUM(X71:X72)</f>
        <v>1300</v>
      </c>
      <c r="Y73" s="200">
        <f t="shared" si="63"/>
        <v>1341.5015533739281</v>
      </c>
      <c r="Z73" s="98"/>
      <c r="AA73" s="100"/>
    </row>
    <row r="74" spans="1:27" ht="23.4" customHeight="1" thickBot="1" x14ac:dyDescent="0.4">
      <c r="A74" s="69">
        <v>71</v>
      </c>
      <c r="B74" s="74">
        <v>8</v>
      </c>
      <c r="C74" s="68" t="s">
        <v>108</v>
      </c>
      <c r="D74" s="69"/>
      <c r="E74" s="69"/>
      <c r="F74" s="637" t="s">
        <v>247</v>
      </c>
      <c r="G74" s="638"/>
      <c r="H74" s="638"/>
      <c r="I74" s="638"/>
      <c r="J74" s="638"/>
      <c r="K74" s="638"/>
      <c r="L74" s="638"/>
      <c r="M74" s="638"/>
      <c r="N74" s="639"/>
      <c r="Q74" s="640" t="str">
        <f>IF(F74&lt;&gt;"",F74,"")</f>
        <v xml:space="preserve">BELO HORIZONTE </v>
      </c>
      <c r="R74" s="641"/>
      <c r="S74" s="641"/>
      <c r="T74" s="641"/>
      <c r="U74" s="641"/>
      <c r="V74" s="641"/>
      <c r="W74" s="641"/>
      <c r="X74" s="641"/>
      <c r="Y74" s="642"/>
      <c r="Z74" s="89"/>
    </row>
    <row r="75" spans="1:27" ht="27.6" customHeight="1" x14ac:dyDescent="0.35">
      <c r="A75" s="69">
        <v>72</v>
      </c>
      <c r="B75" s="74" t="s">
        <v>225</v>
      </c>
      <c r="C75" s="68" t="s">
        <v>109</v>
      </c>
      <c r="D75" s="69"/>
      <c r="E75" s="69"/>
      <c r="F75" s="667" t="s">
        <v>155</v>
      </c>
      <c r="G75" s="668"/>
      <c r="H75" s="668"/>
      <c r="I75" s="668"/>
      <c r="J75" s="668"/>
      <c r="K75" s="668"/>
      <c r="L75" s="265" t="s">
        <v>111</v>
      </c>
      <c r="M75" s="265" t="s">
        <v>112</v>
      </c>
      <c r="N75" s="266" t="s">
        <v>81</v>
      </c>
      <c r="Q75" s="656" t="str">
        <f>IF(F75&lt;&gt;"",F75,"")</f>
        <v>LOCAÇÃO DE ESPAÇO E A&amp;B</v>
      </c>
      <c r="R75" s="657"/>
      <c r="S75" s="657"/>
      <c r="T75" s="657"/>
      <c r="U75" s="657"/>
      <c r="V75" s="657"/>
      <c r="W75" s="657"/>
      <c r="X75" s="657"/>
      <c r="Y75" s="658"/>
      <c r="Z75" s="96" t="s">
        <v>113</v>
      </c>
      <c r="AA75" s="75" t="s">
        <v>82</v>
      </c>
    </row>
    <row r="76" spans="1:27" ht="32.4" x14ac:dyDescent="0.3">
      <c r="A76" s="44">
        <v>73</v>
      </c>
      <c r="B76" s="74" t="s">
        <v>226</v>
      </c>
      <c r="C76" s="73" t="s">
        <v>114</v>
      </c>
      <c r="D76" s="44" t="s">
        <v>129</v>
      </c>
      <c r="E76" s="44" t="s">
        <v>130</v>
      </c>
      <c r="F76" s="95" t="s">
        <v>245</v>
      </c>
      <c r="G76" s="77" t="s">
        <v>248</v>
      </c>
      <c r="H76" s="93">
        <v>1</v>
      </c>
      <c r="I76" s="93">
        <v>1</v>
      </c>
      <c r="J76" s="76">
        <v>8500</v>
      </c>
      <c r="K76" s="76">
        <f t="shared" ref="K76:K77" si="65">IF(F76&lt;&gt;"",H76*I76*J76,"")</f>
        <v>8500</v>
      </c>
      <c r="L76" s="76">
        <f t="shared" ref="L76:L77" si="66">IF(K76&lt;&gt;"",IF(D76="INTERNO",0,K76*$L$14),"")</f>
        <v>765</v>
      </c>
      <c r="M76" s="76">
        <f t="shared" ref="M76:M77" si="67">IF(K76&lt;&gt;"",IF(E76="FAT.OGGI",SUM(K76:L76)*(1/(1-$M$14)-1),L76*(1/(1-$M$14)-1)),"")</f>
        <v>185.66484404125768</v>
      </c>
      <c r="N76" s="91">
        <f t="shared" ref="N76:N77" si="68">SUM(K76:M76)</f>
        <v>9450.6648440412573</v>
      </c>
      <c r="Q76" s="106">
        <f t="shared" ref="Q76:R77" si="69">IF(H76&lt;&gt;"",H76,"")</f>
        <v>1</v>
      </c>
      <c r="R76" s="102">
        <f t="shared" si="69"/>
        <v>1</v>
      </c>
      <c r="S76" s="103">
        <v>8500</v>
      </c>
      <c r="T76" s="103">
        <f t="shared" ref="T76:T77" si="70">IF(Q76&lt;&gt;"",Q76*R76*S76,"")</f>
        <v>8500</v>
      </c>
      <c r="U76" s="104">
        <f t="shared" ref="U76:U77" si="71">IF(Q76&lt;&gt;"",K76-T76,"")</f>
        <v>0</v>
      </c>
      <c r="V76" s="105">
        <f t="shared" ref="V76:V77" si="72">IF(Q76&lt;&gt;"",0%,"")</f>
        <v>0</v>
      </c>
      <c r="W76" s="101">
        <f t="shared" ref="W76:W77" si="73">IF(Q76&lt;&gt;"",V76*U76,"")</f>
        <v>0</v>
      </c>
      <c r="X76" s="101">
        <f t="shared" ref="X76:X77" si="74">IF(Q76&lt;&gt;"",W76+T76,"")</f>
        <v>8500</v>
      </c>
      <c r="Y76" s="92">
        <f t="shared" ref="Y76:Y78" si="75">IF(Q76&lt;&gt;"",X76+M76,"")</f>
        <v>8685.6648440412573</v>
      </c>
      <c r="Z76" s="89">
        <f t="shared" ref="Z76:Z77" si="76">IF(Q76&lt;&gt;"",U76/K76,"")</f>
        <v>0</v>
      </c>
      <c r="AA76" s="82">
        <f>T76/$T$78</f>
        <v>0.38202247191011235</v>
      </c>
    </row>
    <row r="77" spans="1:27" ht="32.4" x14ac:dyDescent="0.3">
      <c r="A77" s="44">
        <v>74</v>
      </c>
      <c r="B77" s="74" t="s">
        <v>227</v>
      </c>
      <c r="C77" s="73" t="s">
        <v>114</v>
      </c>
      <c r="D77" s="44" t="s">
        <v>129</v>
      </c>
      <c r="E77" s="44" t="s">
        <v>130</v>
      </c>
      <c r="F77" s="86" t="s">
        <v>220</v>
      </c>
      <c r="G77" s="83" t="s">
        <v>221</v>
      </c>
      <c r="H77" s="85">
        <v>25</v>
      </c>
      <c r="I77" s="85">
        <v>1</v>
      </c>
      <c r="J77" s="84">
        <v>550</v>
      </c>
      <c r="K77" s="84">
        <f t="shared" si="65"/>
        <v>13750</v>
      </c>
      <c r="L77" s="84">
        <f t="shared" si="66"/>
        <v>1237.5</v>
      </c>
      <c r="M77" s="84">
        <f t="shared" si="67"/>
        <v>300.34018889026976</v>
      </c>
      <c r="N77" s="87">
        <f t="shared" si="68"/>
        <v>15287.84018889027</v>
      </c>
      <c r="Q77" s="107">
        <f t="shared" si="69"/>
        <v>25</v>
      </c>
      <c r="R77" s="108">
        <f t="shared" si="69"/>
        <v>1</v>
      </c>
      <c r="S77" s="109">
        <v>550</v>
      </c>
      <c r="T77" s="109">
        <f t="shared" si="70"/>
        <v>13750</v>
      </c>
      <c r="U77" s="204">
        <f t="shared" si="71"/>
        <v>0</v>
      </c>
      <c r="V77" s="201">
        <f t="shared" si="72"/>
        <v>0</v>
      </c>
      <c r="W77" s="130">
        <f t="shared" si="73"/>
        <v>0</v>
      </c>
      <c r="X77" s="130">
        <f t="shared" si="74"/>
        <v>13750</v>
      </c>
      <c r="Y77" s="90">
        <f t="shared" si="75"/>
        <v>14050.34018889027</v>
      </c>
      <c r="Z77" s="89">
        <f t="shared" si="76"/>
        <v>0</v>
      </c>
      <c r="AA77" s="82">
        <f>T77/$T$78</f>
        <v>0.6179775280898876</v>
      </c>
    </row>
    <row r="78" spans="1:27" ht="32.4" customHeight="1" thickBot="1" x14ac:dyDescent="0.4">
      <c r="A78" s="69">
        <v>75</v>
      </c>
      <c r="B78" s="74"/>
      <c r="C78" s="68" t="s">
        <v>122</v>
      </c>
      <c r="D78" s="69"/>
      <c r="E78" s="69"/>
      <c r="F78" s="671" t="s">
        <v>249</v>
      </c>
      <c r="G78" s="672"/>
      <c r="H78" s="672"/>
      <c r="I78" s="672"/>
      <c r="J78" s="672"/>
      <c r="K78" s="157">
        <f>SUM(K76:K77)</f>
        <v>22250</v>
      </c>
      <c r="L78" s="157">
        <f>SUM(L76:L77)</f>
        <v>2002.5</v>
      </c>
      <c r="M78" s="157">
        <f>SUM(M76:M77)</f>
        <v>486.00503293152747</v>
      </c>
      <c r="N78" s="158">
        <f>SUM(N76:N77)</f>
        <v>24738.505032931527</v>
      </c>
      <c r="Q78" s="626" t="s">
        <v>249</v>
      </c>
      <c r="R78" s="627"/>
      <c r="S78" s="627"/>
      <c r="T78" s="187">
        <f>SUM(T76:T77)</f>
        <v>22250</v>
      </c>
      <c r="U78" s="188">
        <f>SUM(U76:U77)</f>
        <v>0</v>
      </c>
      <c r="V78" s="189"/>
      <c r="W78" s="189"/>
      <c r="X78" s="190">
        <f>SUM(X76:X77)</f>
        <v>22250</v>
      </c>
      <c r="Y78" s="191">
        <f t="shared" si="75"/>
        <v>22736.005032931527</v>
      </c>
    </row>
    <row r="79" spans="1:27" ht="27.6" customHeight="1" thickBot="1" x14ac:dyDescent="0.4">
      <c r="A79" s="44">
        <v>76</v>
      </c>
      <c r="B79" s="74">
        <v>9</v>
      </c>
      <c r="C79" s="73" t="s">
        <v>108</v>
      </c>
      <c r="D79" s="44"/>
      <c r="E79" s="44"/>
      <c r="F79" s="637" t="s">
        <v>292</v>
      </c>
      <c r="G79" s="638"/>
      <c r="H79" s="638"/>
      <c r="I79" s="638"/>
      <c r="J79" s="638"/>
      <c r="K79" s="638"/>
      <c r="L79" s="638"/>
      <c r="M79" s="638"/>
      <c r="N79" s="639"/>
      <c r="Q79" s="637" t="str">
        <f>IF(F79&lt;&gt;"",F79,"")</f>
        <v>ATRAÇÃO BELO HORIZONTE</v>
      </c>
      <c r="R79" s="638"/>
      <c r="S79" s="638"/>
      <c r="T79" s="638"/>
      <c r="U79" s="638"/>
      <c r="V79" s="638"/>
      <c r="W79" s="638"/>
      <c r="X79" s="638"/>
      <c r="Y79" s="639"/>
    </row>
    <row r="80" spans="1:27" ht="24" customHeight="1" x14ac:dyDescent="0.35">
      <c r="A80" s="44">
        <v>77</v>
      </c>
      <c r="B80" s="74" t="s">
        <v>250</v>
      </c>
      <c r="C80" s="73" t="s">
        <v>109</v>
      </c>
      <c r="D80" s="44"/>
      <c r="E80" s="44"/>
      <c r="F80" s="667" t="s">
        <v>288</v>
      </c>
      <c r="G80" s="668"/>
      <c r="H80" s="668"/>
      <c r="I80" s="668"/>
      <c r="J80" s="668"/>
      <c r="K80" s="668"/>
      <c r="L80" s="267" t="s">
        <v>111</v>
      </c>
      <c r="M80" s="267" t="s">
        <v>112</v>
      </c>
      <c r="N80" s="268" t="s">
        <v>81</v>
      </c>
      <c r="Q80" s="643" t="str">
        <f>IF(F80&lt;&gt;"",F80,"")</f>
        <v xml:space="preserve">ATRAÇÃO </v>
      </c>
      <c r="R80" s="644"/>
      <c r="S80" s="644"/>
      <c r="T80" s="644"/>
      <c r="U80" s="644"/>
      <c r="V80" s="644"/>
      <c r="W80" s="644"/>
      <c r="X80" s="644"/>
      <c r="Y80" s="645"/>
      <c r="Z80" s="88" t="s">
        <v>113</v>
      </c>
      <c r="AA80" s="75" t="s">
        <v>82</v>
      </c>
    </row>
    <row r="81" spans="1:27" ht="32.4" customHeight="1" x14ac:dyDescent="0.3">
      <c r="A81" s="44">
        <v>78</v>
      </c>
      <c r="B81" s="74" t="s">
        <v>251</v>
      </c>
      <c r="C81" s="73" t="s">
        <v>114</v>
      </c>
      <c r="D81" s="44" t="s">
        <v>129</v>
      </c>
      <c r="E81" s="143" t="s">
        <v>130</v>
      </c>
      <c r="F81" s="131" t="s">
        <v>333</v>
      </c>
      <c r="G81" s="132" t="s">
        <v>333</v>
      </c>
      <c r="H81" s="149">
        <v>1</v>
      </c>
      <c r="I81" s="149">
        <v>0</v>
      </c>
      <c r="J81" s="134">
        <v>10500</v>
      </c>
      <c r="K81" s="134">
        <f>IF(F81&lt;&gt;"",H81*I81*J81,"")</f>
        <v>0</v>
      </c>
      <c r="L81" s="134">
        <f>IF(K81&lt;&gt;"",IF(D81="INTERNO",0,K81*$L$14),"")</f>
        <v>0</v>
      </c>
      <c r="M81" s="134">
        <f>IF(K81&lt;&gt;"",IF(E81="FAT.OGGI",SUM(K81:L81)*(1/(1-$M$14)-1),L81*(1/(1-$M$14)-1)),"")</f>
        <v>0</v>
      </c>
      <c r="N81" s="135">
        <f>SUM(K81:M81)</f>
        <v>0</v>
      </c>
      <c r="Q81" s="202">
        <f t="shared" ref="Q81:R85" si="77">IF(H81&lt;&gt;"",H81,"")</f>
        <v>1</v>
      </c>
      <c r="R81" s="203">
        <f t="shared" si="77"/>
        <v>0</v>
      </c>
      <c r="S81" s="146">
        <v>9000</v>
      </c>
      <c r="T81" s="146">
        <f>IF(Q81&lt;&gt;"",Q81*R81*S81,"")</f>
        <v>0</v>
      </c>
      <c r="U81" s="147">
        <f>IF(Q81&lt;&gt;"",K81-T81,"")</f>
        <v>0</v>
      </c>
      <c r="V81" s="148">
        <f>IF(Q81&lt;&gt;"",0%,"")</f>
        <v>0</v>
      </c>
      <c r="W81" s="145">
        <f>IF(Q81&lt;&gt;"",V81*U81,"")</f>
        <v>0</v>
      </c>
      <c r="X81" s="145">
        <f>IF(Q81&lt;&gt;"",W81+T81,"")</f>
        <v>0</v>
      </c>
      <c r="Y81" s="141">
        <f t="shared" ref="Y81:Y86" si="78">IF(Q81&lt;&gt;"",X81+M81,"")</f>
        <v>0</v>
      </c>
      <c r="Z81" s="140" t="e">
        <f>IF(Q81&lt;&gt;"",U81/K81,"")</f>
        <v>#DIV/0!</v>
      </c>
      <c r="AA81" s="139">
        <f>T81/$T$86</f>
        <v>0</v>
      </c>
    </row>
    <row r="82" spans="1:27" ht="32.4" customHeight="1" x14ac:dyDescent="0.3">
      <c r="A82" s="70">
        <v>79</v>
      </c>
      <c r="B82" s="74" t="s">
        <v>252</v>
      </c>
      <c r="C82" s="72" t="s">
        <v>114</v>
      </c>
      <c r="D82" s="44" t="s">
        <v>129</v>
      </c>
      <c r="E82" s="143" t="s">
        <v>130</v>
      </c>
      <c r="F82" s="131" t="s">
        <v>334</v>
      </c>
      <c r="G82" s="132" t="s">
        <v>334</v>
      </c>
      <c r="H82" s="149">
        <v>1</v>
      </c>
      <c r="I82" s="149">
        <v>1</v>
      </c>
      <c r="J82" s="134">
        <v>11500</v>
      </c>
      <c r="K82" s="134">
        <f>IF(F82&lt;&gt;"",H82*I82*J82,"")</f>
        <v>11500</v>
      </c>
      <c r="L82" s="134">
        <f>IF(K82&lt;&gt;"",IF(D82="INTERNO",0,K82*$L$14),"")</f>
        <v>1035</v>
      </c>
      <c r="M82" s="134">
        <f>IF(K82&lt;&gt;"",IF(E82="FAT.OGGI",SUM(K82:L82)*(1/(1-$M$14)-1),L82*(1/(1-$M$14)-1)),"")</f>
        <v>251.19361252640743</v>
      </c>
      <c r="N82" s="135">
        <f>SUM(K82:M82)</f>
        <v>12786.193612526407</v>
      </c>
      <c r="Q82" s="202">
        <f t="shared" si="77"/>
        <v>1</v>
      </c>
      <c r="R82" s="203">
        <f t="shared" si="77"/>
        <v>1</v>
      </c>
      <c r="S82" s="146">
        <v>10500</v>
      </c>
      <c r="T82" s="146">
        <f>IF(Q82&lt;&gt;"",Q82*R82*S82,"")</f>
        <v>10500</v>
      </c>
      <c r="U82" s="147">
        <f>IF(Q82&lt;&gt;"",K82-T82,"")</f>
        <v>1000</v>
      </c>
      <c r="V82" s="148">
        <f>IF(Q82&lt;&gt;"",0%,"")</f>
        <v>0</v>
      </c>
      <c r="W82" s="145">
        <f>IF(Q82&lt;&gt;"",V82*U82,"")</f>
        <v>0</v>
      </c>
      <c r="X82" s="145">
        <f>IF(Q82&lt;&gt;"",W82+T82,"")</f>
        <v>10500</v>
      </c>
      <c r="Y82" s="141">
        <f t="shared" si="78"/>
        <v>10751.193612526407</v>
      </c>
      <c r="Z82" s="140">
        <f>IF(Q82&lt;&gt;"",U82/K82,"")</f>
        <v>8.6956521739130432E-2</v>
      </c>
      <c r="AA82" s="139"/>
    </row>
    <row r="83" spans="1:27" ht="32.4" customHeight="1" x14ac:dyDescent="0.3">
      <c r="A83" s="69">
        <v>79</v>
      </c>
      <c r="B83" s="74" t="s">
        <v>298</v>
      </c>
      <c r="C83" s="68" t="s">
        <v>114</v>
      </c>
      <c r="D83" s="69" t="s">
        <v>129</v>
      </c>
      <c r="E83" s="144" t="s">
        <v>130</v>
      </c>
      <c r="F83" s="219" t="s">
        <v>335</v>
      </c>
      <c r="G83" s="221" t="s">
        <v>335</v>
      </c>
      <c r="H83" s="223">
        <v>1</v>
      </c>
      <c r="I83" s="223">
        <v>0</v>
      </c>
      <c r="J83" s="225">
        <v>28500</v>
      </c>
      <c r="K83" s="225">
        <f>IF(F83&lt;&gt;"",H83*I83*J83,"")</f>
        <v>0</v>
      </c>
      <c r="L83" s="225">
        <f>IF(K83&lt;&gt;"",IF(D83="INTERNO",0,K83*$L$14),"")</f>
        <v>0</v>
      </c>
      <c r="M83" s="225">
        <f>IF(K83&lt;&gt;"",IF(E83="FAT.OGGI",SUM(K83:L83)*(1/(1-$M$14)-1),L83*(1/(1-$M$14)-1)),"")</f>
        <v>0</v>
      </c>
      <c r="N83" s="227">
        <f>SUM(K83:M83)</f>
        <v>0</v>
      </c>
      <c r="Q83" s="229">
        <f t="shared" si="77"/>
        <v>1</v>
      </c>
      <c r="R83" s="230">
        <f t="shared" si="77"/>
        <v>0</v>
      </c>
      <c r="S83" s="231">
        <v>27000</v>
      </c>
      <c r="T83" s="231">
        <f>IF(Q83&lt;&gt;"",Q83*R83*S83,"")</f>
        <v>0</v>
      </c>
      <c r="U83" s="232">
        <f>IF(Q83&lt;&gt;"",K83-T83,"")</f>
        <v>0</v>
      </c>
      <c r="V83" s="197">
        <f>IF(Q83&lt;&gt;"",0%,"")</f>
        <v>0</v>
      </c>
      <c r="W83" s="198">
        <f>IF(Q83&lt;&gt;"",V83*U83,"")</f>
        <v>0</v>
      </c>
      <c r="X83" s="198">
        <f>IF(Q83&lt;&gt;"",W83+T83,"")</f>
        <v>0</v>
      </c>
      <c r="Y83" s="233">
        <f t="shared" si="78"/>
        <v>0</v>
      </c>
      <c r="Z83" s="140" t="e">
        <f>IF(Q83&lt;&gt;"",U83/K83,"")</f>
        <v>#DIV/0!</v>
      </c>
      <c r="AA83" s="139">
        <f>T83/$T$86</f>
        <v>0</v>
      </c>
    </row>
    <row r="84" spans="1:27" ht="32.4" customHeight="1" x14ac:dyDescent="0.3">
      <c r="A84" s="70">
        <v>80</v>
      </c>
      <c r="B84" s="74" t="s">
        <v>300</v>
      </c>
      <c r="C84" s="72" t="s">
        <v>114</v>
      </c>
      <c r="D84" s="69" t="s">
        <v>129</v>
      </c>
      <c r="E84" s="144" t="s">
        <v>130</v>
      </c>
      <c r="F84" s="131" t="s">
        <v>337</v>
      </c>
      <c r="G84" s="132" t="s">
        <v>337</v>
      </c>
      <c r="H84" s="149">
        <v>1</v>
      </c>
      <c r="I84" s="149">
        <v>1</v>
      </c>
      <c r="J84" s="134">
        <v>8500</v>
      </c>
      <c r="K84" s="134">
        <f>IF(F84&lt;&gt;"",H84*I84*J84,"")</f>
        <v>8500</v>
      </c>
      <c r="L84" s="134">
        <f>IF(K84&lt;&gt;"",IF(D84="INTERNO",0,K84*$L$14),"")</f>
        <v>765</v>
      </c>
      <c r="M84" s="134">
        <f>IF(K84&lt;&gt;"",IF(E84="FAT.OGGI",SUM(K84:L84)*(1/(1-$M$14)-1),L84*(1/(1-$M$14)-1)),"")</f>
        <v>185.66484404125768</v>
      </c>
      <c r="N84" s="135">
        <f>SUM(K84:M84)</f>
        <v>9450.6648440412573</v>
      </c>
      <c r="Q84" s="245">
        <f>IF(H84&lt;&gt;"",H84,"")</f>
        <v>1</v>
      </c>
      <c r="R84" s="245">
        <f>IF(I84&lt;&gt;"",I84,"")</f>
        <v>1</v>
      </c>
      <c r="S84" s="241">
        <v>7500</v>
      </c>
      <c r="T84" s="241">
        <f>IF(Q84&lt;&gt;"",Q84*R84*S84,"")</f>
        <v>7500</v>
      </c>
      <c r="U84" s="242">
        <f>IF(Q84&lt;&gt;"",K84-T84,"")</f>
        <v>1000</v>
      </c>
      <c r="V84" s="244">
        <f>IF(Q84&lt;&gt;"",0%,"")</f>
        <v>0</v>
      </c>
      <c r="W84" s="243">
        <f>IF(Q84&lt;&gt;"",V84*U84,"")</f>
        <v>0</v>
      </c>
      <c r="X84" s="243">
        <f>IF(Q84&lt;&gt;"",W84+T84,"")</f>
        <v>7500</v>
      </c>
      <c r="Y84" s="145">
        <f t="shared" si="78"/>
        <v>7685.6648440412573</v>
      </c>
      <c r="Z84" s="139">
        <f>IF(Q84&lt;&gt;"",U84/K84,"")</f>
        <v>0.11764705882352941</v>
      </c>
      <c r="AA84" s="138"/>
    </row>
    <row r="85" spans="1:27" ht="32.4" customHeight="1" x14ac:dyDescent="0.3">
      <c r="A85" s="150">
        <v>80</v>
      </c>
      <c r="B85" s="74" t="s">
        <v>336</v>
      </c>
      <c r="C85" s="151" t="s">
        <v>114</v>
      </c>
      <c r="D85" s="69" t="s">
        <v>129</v>
      </c>
      <c r="E85" s="144" t="s">
        <v>130</v>
      </c>
      <c r="F85" s="220" t="s">
        <v>299</v>
      </c>
      <c r="G85" s="222" t="s">
        <v>301</v>
      </c>
      <c r="H85" s="224">
        <v>1</v>
      </c>
      <c r="I85" s="224">
        <v>0</v>
      </c>
      <c r="J85" s="226">
        <v>1300</v>
      </c>
      <c r="K85" s="226">
        <f>IF(F85&lt;&gt;"",H85*I85*J85,"")</f>
        <v>0</v>
      </c>
      <c r="L85" s="226">
        <f>IF(K85&lt;&gt;"",IF(D85="INTERNO",0,K85*$L$14),"")</f>
        <v>0</v>
      </c>
      <c r="M85" s="226">
        <f>IF(K85&lt;&gt;"",IF(E85="FAT.OGGI",SUM(K85:L85)*(1/(1-$M$14)-1),L85*(1/(1-$M$14)-1)),"")</f>
        <v>0</v>
      </c>
      <c r="N85" s="228">
        <f>SUM(K85:M85)</f>
        <v>0</v>
      </c>
      <c r="Q85" s="234">
        <f t="shared" si="77"/>
        <v>1</v>
      </c>
      <c r="R85" s="235">
        <f t="shared" si="77"/>
        <v>0</v>
      </c>
      <c r="S85" s="236">
        <v>1000</v>
      </c>
      <c r="T85" s="236">
        <f>IF(Q85&lt;&gt;"",Q85*R85*S85,"")</f>
        <v>0</v>
      </c>
      <c r="U85" s="237">
        <f>IF(Q85&lt;&gt;"",K85-T85,"")</f>
        <v>0</v>
      </c>
      <c r="V85" s="238">
        <f>IF(Q85&lt;&gt;"",0%,"")</f>
        <v>0</v>
      </c>
      <c r="W85" s="239">
        <f>IF(Q85&lt;&gt;"",V85*U85,"")</f>
        <v>0</v>
      </c>
      <c r="X85" s="239">
        <f>IF(Q85&lt;&gt;"",W85+T85,"")</f>
        <v>0</v>
      </c>
      <c r="Y85" s="240">
        <f t="shared" si="78"/>
        <v>0</v>
      </c>
      <c r="Z85" s="140" t="e">
        <f>IF(Q85&lt;&gt;"",U85/K85,"")</f>
        <v>#DIV/0!</v>
      </c>
      <c r="AA85" s="138"/>
    </row>
    <row r="86" spans="1:27" ht="27.6" customHeight="1" thickBot="1" x14ac:dyDescent="0.4">
      <c r="A86" s="150">
        <v>80</v>
      </c>
      <c r="B86" s="74"/>
      <c r="C86" s="151" t="s">
        <v>122</v>
      </c>
      <c r="D86" s="150"/>
      <c r="E86" s="152"/>
      <c r="F86" s="671" t="s">
        <v>289</v>
      </c>
      <c r="G86" s="672"/>
      <c r="H86" s="672"/>
      <c r="I86" s="672"/>
      <c r="J86" s="672"/>
      <c r="K86" s="269">
        <f>SUM(K81:K85)</f>
        <v>20000</v>
      </c>
      <c r="L86" s="269">
        <f>SUM(L81:L85)</f>
        <v>1800</v>
      </c>
      <c r="M86" s="269">
        <f>SUM(M81:M85)</f>
        <v>436.85845656766514</v>
      </c>
      <c r="N86" s="270">
        <f>SUM(N81:N85)</f>
        <v>22236.858456567665</v>
      </c>
      <c r="Q86" s="628" t="s">
        <v>289</v>
      </c>
      <c r="R86" s="629"/>
      <c r="S86" s="629"/>
      <c r="T86" s="195">
        <f>SUM(T81:T85)</f>
        <v>18000</v>
      </c>
      <c r="U86" s="196">
        <f>SUM(U81:U85)</f>
        <v>2000</v>
      </c>
      <c r="V86" s="197"/>
      <c r="W86" s="198"/>
      <c r="X86" s="199">
        <f>SUM(X81:X85)</f>
        <v>18000</v>
      </c>
      <c r="Y86" s="200">
        <f t="shared" si="78"/>
        <v>18436.858456567665</v>
      </c>
      <c r="Z86" s="138"/>
      <c r="AA86" s="142"/>
    </row>
    <row r="87" spans="1:27" ht="18.600000000000001" thickBot="1" x14ac:dyDescent="0.4">
      <c r="A87" s="69">
        <v>76</v>
      </c>
      <c r="B87" s="74">
        <v>10</v>
      </c>
      <c r="C87" s="68" t="s">
        <v>108</v>
      </c>
      <c r="D87" s="69"/>
      <c r="E87" s="69"/>
      <c r="F87" s="637" t="s">
        <v>291</v>
      </c>
      <c r="G87" s="638"/>
      <c r="H87" s="638"/>
      <c r="I87" s="638"/>
      <c r="J87" s="638"/>
      <c r="K87" s="638"/>
      <c r="L87" s="638"/>
      <c r="M87" s="638"/>
      <c r="N87" s="639"/>
      <c r="Q87" s="637" t="str">
        <f>IF(F87&lt;&gt;"",F87,"")</f>
        <v xml:space="preserve">CENOGRAFIA BELO HORIZONTE </v>
      </c>
      <c r="R87" s="638"/>
      <c r="S87" s="638"/>
      <c r="T87" s="638"/>
      <c r="U87" s="638"/>
      <c r="V87" s="638"/>
      <c r="W87" s="638"/>
      <c r="X87" s="638"/>
      <c r="Y87" s="639"/>
    </row>
    <row r="88" spans="1:27" ht="24" customHeight="1" x14ac:dyDescent="0.35">
      <c r="A88" s="44">
        <v>77</v>
      </c>
      <c r="B88" s="74" t="s">
        <v>272</v>
      </c>
      <c r="C88" s="73" t="s">
        <v>109</v>
      </c>
      <c r="D88" s="44"/>
      <c r="E88" s="44"/>
      <c r="F88" s="643" t="s">
        <v>166</v>
      </c>
      <c r="G88" s="644"/>
      <c r="H88" s="644"/>
      <c r="I88" s="644"/>
      <c r="J88" s="644"/>
      <c r="K88" s="644"/>
      <c r="L88" s="166" t="s">
        <v>111</v>
      </c>
      <c r="M88" s="166" t="s">
        <v>112</v>
      </c>
      <c r="N88" s="167" t="s">
        <v>81</v>
      </c>
      <c r="Q88" s="643" t="str">
        <f>IF(F88&lt;&gt;"",F88,"")</f>
        <v>CENOGRAFIA</v>
      </c>
      <c r="R88" s="644"/>
      <c r="S88" s="644"/>
      <c r="T88" s="644"/>
      <c r="U88" s="644"/>
      <c r="V88" s="644"/>
      <c r="W88" s="644"/>
      <c r="X88" s="644"/>
      <c r="Y88" s="645"/>
      <c r="Z88" s="88" t="s">
        <v>113</v>
      </c>
      <c r="AA88" s="75" t="s">
        <v>82</v>
      </c>
    </row>
    <row r="89" spans="1:27" ht="26.1" customHeight="1" x14ac:dyDescent="0.3">
      <c r="A89" s="44">
        <v>78</v>
      </c>
      <c r="B89" s="74" t="s">
        <v>273</v>
      </c>
      <c r="C89" s="73" t="s">
        <v>114</v>
      </c>
      <c r="D89" s="44" t="s">
        <v>129</v>
      </c>
      <c r="E89" s="44" t="s">
        <v>130</v>
      </c>
      <c r="F89" s="95" t="s">
        <v>235</v>
      </c>
      <c r="G89" s="77" t="s">
        <v>235</v>
      </c>
      <c r="H89" s="93">
        <v>1</v>
      </c>
      <c r="I89" s="93">
        <v>1</v>
      </c>
      <c r="J89" s="76">
        <v>4000</v>
      </c>
      <c r="K89" s="76">
        <f>IF(F89&lt;&gt;"",H89*I89*J89,"")</f>
        <v>4000</v>
      </c>
      <c r="L89" s="76">
        <f>IF(K89&lt;&gt;"",IF(D89="INTERNO",0,K89*$L$14),"")</f>
        <v>360</v>
      </c>
      <c r="M89" s="76">
        <f>IF(K89&lt;&gt;"",IF(E89="FAT.OGGI",SUM(K89:L89)*(1/(1-$M$14)-1),L89*(1/(1-$M$14)-1)),"")</f>
        <v>87.37169131353302</v>
      </c>
      <c r="N89" s="91">
        <f>SUM(K89:M89)</f>
        <v>4447.3716913135331</v>
      </c>
      <c r="Q89" s="106">
        <f t="shared" ref="Q89:R91" si="79">IF(H89&lt;&gt;"",H89,"")</f>
        <v>1</v>
      </c>
      <c r="R89" s="102">
        <f t="shared" si="79"/>
        <v>1</v>
      </c>
      <c r="S89" s="103">
        <v>2500</v>
      </c>
      <c r="T89" s="103">
        <f>IF(Q89&lt;&gt;"",Q89*R89*S89,"")</f>
        <v>2500</v>
      </c>
      <c r="U89" s="104">
        <f>IF(Q89&lt;&gt;"",K89-T89,"")</f>
        <v>1500</v>
      </c>
      <c r="V89" s="105">
        <f>IF(Q89&lt;&gt;"",0%,"")</f>
        <v>0</v>
      </c>
      <c r="W89" s="101">
        <f>IF(Q89&lt;&gt;"",V89*U89,"")</f>
        <v>0</v>
      </c>
      <c r="X89" s="101">
        <f>IF(Q89&lt;&gt;"",W89+T89,"")</f>
        <v>2500</v>
      </c>
      <c r="Y89" s="92">
        <f>IF(Q89&lt;&gt;"",X89+M89,"")</f>
        <v>2587.3716913135331</v>
      </c>
      <c r="Z89" s="89">
        <f>IF(Q89&lt;&gt;"",U89/K89,"")</f>
        <v>0.375</v>
      </c>
      <c r="AA89" s="82">
        <f t="shared" ref="AA89:AA98" si="80">T89/$T$99</f>
        <v>0.65789473684210531</v>
      </c>
    </row>
    <row r="90" spans="1:27" ht="27.6" customHeight="1" x14ac:dyDescent="0.3">
      <c r="A90" s="44">
        <v>79</v>
      </c>
      <c r="B90" s="74" t="s">
        <v>274</v>
      </c>
      <c r="C90" s="73" t="s">
        <v>114</v>
      </c>
      <c r="D90" s="44" t="s">
        <v>129</v>
      </c>
      <c r="E90" s="44" t="s">
        <v>130</v>
      </c>
      <c r="F90" s="95" t="s">
        <v>167</v>
      </c>
      <c r="G90" s="77" t="s">
        <v>246</v>
      </c>
      <c r="H90" s="93">
        <v>1</v>
      </c>
      <c r="I90" s="93">
        <v>1</v>
      </c>
      <c r="J90" s="76">
        <v>550</v>
      </c>
      <c r="K90" s="76">
        <f>IF(F90&lt;&gt;"",H90*I90*J90,"")</f>
        <v>550</v>
      </c>
      <c r="L90" s="76">
        <f>IF(K90&lt;&gt;"",IF(D90="INTERNO",0,K90*$L$14),"")</f>
        <v>49.5</v>
      </c>
      <c r="M90" s="76">
        <f>IF(K90&lt;&gt;"",IF(E90="FAT.OGGI",SUM(K90:L90)*(1/(1-$M$14)-1),L90*(1/(1-$M$14)-1)),"")</f>
        <v>12.01360755561079</v>
      </c>
      <c r="N90" s="91">
        <f>SUM(K90:M90)</f>
        <v>611.51360755561075</v>
      </c>
      <c r="Q90" s="106">
        <f t="shared" si="79"/>
        <v>1</v>
      </c>
      <c r="R90" s="102">
        <f t="shared" si="79"/>
        <v>1</v>
      </c>
      <c r="S90" s="103">
        <v>300</v>
      </c>
      <c r="T90" s="103">
        <f>IF(Q90&lt;&gt;"",Q90*R90*S90,"")</f>
        <v>300</v>
      </c>
      <c r="U90" s="104">
        <f>IF(Q90&lt;&gt;"",K90-T90,"")</f>
        <v>250</v>
      </c>
      <c r="V90" s="105">
        <f>IF(Q90&lt;&gt;"",0%,"")</f>
        <v>0</v>
      </c>
      <c r="W90" s="101">
        <f>IF(Q90&lt;&gt;"",V90*U90,"")</f>
        <v>0</v>
      </c>
      <c r="X90" s="101">
        <f>IF(Q90&lt;&gt;"",W90+T90,"")</f>
        <v>300</v>
      </c>
      <c r="Y90" s="92">
        <f>IF(Q90&lt;&gt;"",X90+M90,"")</f>
        <v>312.0136075556108</v>
      </c>
      <c r="Z90" s="89">
        <f>IF(Q90&lt;&gt;"",U90/K90,"")</f>
        <v>0.45454545454545453</v>
      </c>
      <c r="AA90" s="82">
        <f t="shared" si="80"/>
        <v>7.8947368421052627E-2</v>
      </c>
    </row>
    <row r="91" spans="1:27" ht="36" customHeight="1" x14ac:dyDescent="0.3">
      <c r="A91" s="44">
        <v>80</v>
      </c>
      <c r="B91" s="74" t="s">
        <v>275</v>
      </c>
      <c r="C91" s="73" t="s">
        <v>114</v>
      </c>
      <c r="D91" s="44" t="s">
        <v>129</v>
      </c>
      <c r="E91" s="44" t="s">
        <v>130</v>
      </c>
      <c r="F91" s="95" t="s">
        <v>168</v>
      </c>
      <c r="G91" s="77" t="s">
        <v>295</v>
      </c>
      <c r="H91" s="93">
        <v>1</v>
      </c>
      <c r="I91" s="93">
        <v>1</v>
      </c>
      <c r="J91" s="76">
        <v>4000</v>
      </c>
      <c r="K91" s="76">
        <f>IF(F91&lt;&gt;"",H91*I91*J91,"")</f>
        <v>4000</v>
      </c>
      <c r="L91" s="76">
        <f>IF(K91&lt;&gt;"",IF(D91="INTERNO",0,K91*$L$14),"")</f>
        <v>360</v>
      </c>
      <c r="M91" s="76">
        <f>IF(K91&lt;&gt;"",IF(E91="FAT.OGGI",SUM(K91:L91)*(1/(1-$M$14)-1),L91*(1/(1-$M$14)-1)),"")</f>
        <v>87.37169131353302</v>
      </c>
      <c r="N91" s="91">
        <f>SUM(K91:M91)</f>
        <v>4447.3716913135331</v>
      </c>
      <c r="Q91" s="106">
        <f t="shared" si="79"/>
        <v>1</v>
      </c>
      <c r="R91" s="102">
        <f t="shared" si="79"/>
        <v>1</v>
      </c>
      <c r="S91" s="103">
        <v>2900</v>
      </c>
      <c r="T91" s="103">
        <f>IF(Q91&lt;&gt;"",Q91*R91*S91,"")</f>
        <v>2900</v>
      </c>
      <c r="U91" s="104">
        <f>IF(Q91&lt;&gt;"",K91-T91,"")</f>
        <v>1100</v>
      </c>
      <c r="V91" s="105">
        <f>IF(Q91&lt;&gt;"",0%,"")</f>
        <v>0</v>
      </c>
      <c r="W91" s="101">
        <f>IF(Q91&lt;&gt;"",V91*U91,"")</f>
        <v>0</v>
      </c>
      <c r="X91" s="101">
        <f>IF(Q91&lt;&gt;"",W91+T91,"")</f>
        <v>2900</v>
      </c>
      <c r="Y91" s="92">
        <f>IF(Q91&lt;&gt;"",X91+M91,"")</f>
        <v>2987.3716913135331</v>
      </c>
      <c r="Z91" s="89">
        <f>IF(Q91&lt;&gt;"",U91/K91,"")</f>
        <v>0.27500000000000002</v>
      </c>
      <c r="AA91" s="82">
        <f t="shared" si="80"/>
        <v>0.76315789473684215</v>
      </c>
    </row>
    <row r="92" spans="1:27" ht="25.5" customHeight="1" thickBot="1" x14ac:dyDescent="0.4">
      <c r="A92" s="44">
        <v>81</v>
      </c>
      <c r="B92" s="74"/>
      <c r="C92" s="73" t="s">
        <v>122</v>
      </c>
      <c r="D92" s="44"/>
      <c r="E92" s="44"/>
      <c r="F92" s="626" t="s">
        <v>201</v>
      </c>
      <c r="G92" s="627"/>
      <c r="H92" s="627"/>
      <c r="I92" s="627"/>
      <c r="J92" s="627"/>
      <c r="K92" s="164">
        <f>SUM(K89:K91)</f>
        <v>8550</v>
      </c>
      <c r="L92" s="164">
        <f>SUM(L89:L91)</f>
        <v>769.5</v>
      </c>
      <c r="M92" s="164">
        <f>SUM(M89:M91)</f>
        <v>186.75699018267682</v>
      </c>
      <c r="N92" s="165">
        <f>SUM(N89:N91)</f>
        <v>9506.2569901826773</v>
      </c>
      <c r="Q92" s="626" t="s">
        <v>201</v>
      </c>
      <c r="R92" s="627"/>
      <c r="S92" s="627"/>
      <c r="T92" s="187">
        <f>SUM(T89:T91)</f>
        <v>5700</v>
      </c>
      <c r="U92" s="188">
        <f>SUM(U89:U91)</f>
        <v>2850</v>
      </c>
      <c r="V92" s="189"/>
      <c r="W92" s="189"/>
      <c r="X92" s="190">
        <f>SUM(X89:X91)</f>
        <v>5700</v>
      </c>
      <c r="Y92" s="191">
        <f>IF(Q92&lt;&gt;"",X92+M92,"")</f>
        <v>5886.7569901826764</v>
      </c>
      <c r="AA92" s="82">
        <f t="shared" si="80"/>
        <v>1.5</v>
      </c>
    </row>
    <row r="93" spans="1:27" ht="18.600000000000001" thickBot="1" x14ac:dyDescent="0.4">
      <c r="A93" s="44">
        <v>82</v>
      </c>
      <c r="B93" s="74">
        <v>11</v>
      </c>
      <c r="C93" s="73" t="s">
        <v>108</v>
      </c>
      <c r="D93" s="44"/>
      <c r="E93" s="44"/>
      <c r="F93" s="637" t="s">
        <v>253</v>
      </c>
      <c r="G93" s="638"/>
      <c r="H93" s="638"/>
      <c r="I93" s="638"/>
      <c r="J93" s="638"/>
      <c r="K93" s="638"/>
      <c r="L93" s="638"/>
      <c r="M93" s="638"/>
      <c r="N93" s="639"/>
      <c r="Q93" s="637" t="str">
        <f>IF(F93&lt;&gt;"",F93,"")</f>
        <v xml:space="preserve">STAFF BELO HORIZONTE </v>
      </c>
      <c r="R93" s="638"/>
      <c r="S93" s="638"/>
      <c r="T93" s="638"/>
      <c r="U93" s="638"/>
      <c r="V93" s="638"/>
      <c r="W93" s="638"/>
      <c r="X93" s="638"/>
      <c r="Y93" s="639"/>
      <c r="AA93" s="82">
        <f t="shared" si="80"/>
        <v>0</v>
      </c>
    </row>
    <row r="94" spans="1:27" ht="33.9" customHeight="1" x14ac:dyDescent="0.3">
      <c r="A94" s="44">
        <v>83</v>
      </c>
      <c r="B94" s="74" t="s">
        <v>276</v>
      </c>
      <c r="C94" s="73" t="s">
        <v>114</v>
      </c>
      <c r="D94" s="44" t="s">
        <v>129</v>
      </c>
      <c r="E94" s="44" t="s">
        <v>130</v>
      </c>
      <c r="F94" s="127" t="s">
        <v>126</v>
      </c>
      <c r="G94" s="128" t="s">
        <v>326</v>
      </c>
      <c r="H94" s="129">
        <v>1</v>
      </c>
      <c r="I94" s="129">
        <v>1</v>
      </c>
      <c r="J94" s="121">
        <v>800</v>
      </c>
      <c r="K94" s="121">
        <f>IF(F94&lt;&gt;"",H94*I94*J94,"")</f>
        <v>800</v>
      </c>
      <c r="L94" s="121">
        <f>IF(K94&lt;&gt;"",IF(D94="INTERNO",0,K94*$L$14),"")</f>
        <v>72</v>
      </c>
      <c r="M94" s="121">
        <f>IF(K94&lt;&gt;"",IF(E94="FAT.OGGI",SUM(K94:L94)*(1/(1-$M$14)-1),L94*(1/(1-$M$14)-1)),"")</f>
        <v>17.474338262706603</v>
      </c>
      <c r="N94" s="122">
        <f>SUM(K94:M94)</f>
        <v>889.47433826270662</v>
      </c>
      <c r="Q94" s="123">
        <f t="shared" ref="Q94:R98" si="81">IF(H94&lt;&gt;"",H94,"")</f>
        <v>1</v>
      </c>
      <c r="R94" s="124">
        <f t="shared" si="81"/>
        <v>1</v>
      </c>
      <c r="S94" s="125">
        <v>400</v>
      </c>
      <c r="T94" s="125">
        <f>IF(Q94&lt;&gt;"",Q94*R94*S94,"")</f>
        <v>400</v>
      </c>
      <c r="U94" s="192">
        <f>IF(Q94&lt;&gt;"",K94-T94,"")</f>
        <v>400</v>
      </c>
      <c r="V94" s="193">
        <f>IF(Q94&lt;&gt;"",0%,"")</f>
        <v>0</v>
      </c>
      <c r="W94" s="194">
        <f>IF(Q94&lt;&gt;"",V94*U94,"")</f>
        <v>0</v>
      </c>
      <c r="X94" s="194">
        <f>IF(Q94&lt;&gt;"",W94+T94,"")</f>
        <v>400</v>
      </c>
      <c r="Y94" s="99">
        <f t="shared" ref="Y94:Y99" si="82">IF(Q94&lt;&gt;"",X94+M94,"")</f>
        <v>417.47433826270662</v>
      </c>
      <c r="Z94" s="89">
        <f>IF(Q94&lt;&gt;"",U94/K94,"")</f>
        <v>0.5</v>
      </c>
      <c r="AA94" s="82">
        <f t="shared" si="80"/>
        <v>0.10526315789473684</v>
      </c>
    </row>
    <row r="95" spans="1:27" ht="27" customHeight="1" x14ac:dyDescent="0.3">
      <c r="A95" s="44">
        <v>84</v>
      </c>
      <c r="B95" s="74" t="s">
        <v>277</v>
      </c>
      <c r="C95" s="73" t="s">
        <v>114</v>
      </c>
      <c r="D95" s="44" t="s">
        <v>129</v>
      </c>
      <c r="E95" s="44" t="s">
        <v>130</v>
      </c>
      <c r="F95" s="95" t="s">
        <v>243</v>
      </c>
      <c r="G95" s="77" t="s">
        <v>241</v>
      </c>
      <c r="H95" s="93">
        <v>1</v>
      </c>
      <c r="I95" s="93">
        <v>2</v>
      </c>
      <c r="J95" s="76">
        <v>900</v>
      </c>
      <c r="K95" s="76">
        <f>IF(F95&lt;&gt;"",H95*I95*J95,"")</f>
        <v>1800</v>
      </c>
      <c r="L95" s="76">
        <f>IF(K95&lt;&gt;"",IF(D95="INTERNO",0,K95*$L$14),"")</f>
        <v>162</v>
      </c>
      <c r="M95" s="76">
        <f>IF(K95&lt;&gt;"",IF(E95="FAT.OGGI",SUM(K95:L95)*(1/(1-$M$14)-1),L95*(1/(1-$M$14)-1)),"")</f>
        <v>39.317261091089861</v>
      </c>
      <c r="N95" s="91">
        <f>SUM(K95:M95)</f>
        <v>2001.3172610910899</v>
      </c>
      <c r="Q95" s="106">
        <f t="shared" si="81"/>
        <v>1</v>
      </c>
      <c r="R95" s="102">
        <f t="shared" si="81"/>
        <v>2</v>
      </c>
      <c r="S95" s="103">
        <v>600</v>
      </c>
      <c r="T95" s="103">
        <f>IF(Q95&lt;&gt;"",Q95*R95*S95,"")</f>
        <v>1200</v>
      </c>
      <c r="U95" s="104">
        <f>IF(Q95&lt;&gt;"",K95-T95,"")</f>
        <v>600</v>
      </c>
      <c r="V95" s="105">
        <f>IF(Q95&lt;&gt;"",0%,"")</f>
        <v>0</v>
      </c>
      <c r="W95" s="101">
        <f>IF(Q95&lt;&gt;"",V95*U95,"")</f>
        <v>0</v>
      </c>
      <c r="X95" s="101">
        <f>IF(Q95&lt;&gt;"",W95+T95,"")</f>
        <v>1200</v>
      </c>
      <c r="Y95" s="92">
        <f t="shared" si="82"/>
        <v>1239.3172610910899</v>
      </c>
      <c r="Z95" s="89">
        <f>IF(Q95&lt;&gt;"",U95/K95,"")</f>
        <v>0.33333333333333331</v>
      </c>
      <c r="AA95" s="82">
        <f t="shared" si="80"/>
        <v>0.31578947368421051</v>
      </c>
    </row>
    <row r="96" spans="1:27" ht="33.9" customHeight="1" x14ac:dyDescent="0.3">
      <c r="A96" s="44">
        <v>85</v>
      </c>
      <c r="B96" s="74" t="s">
        <v>278</v>
      </c>
      <c r="C96" s="73" t="s">
        <v>114</v>
      </c>
      <c r="D96" s="44" t="s">
        <v>129</v>
      </c>
      <c r="E96" s="44" t="s">
        <v>130</v>
      </c>
      <c r="F96" s="95" t="s">
        <v>244</v>
      </c>
      <c r="G96" s="77" t="s">
        <v>170</v>
      </c>
      <c r="H96" s="93">
        <v>1</v>
      </c>
      <c r="I96" s="93">
        <v>2</v>
      </c>
      <c r="J96" s="76">
        <v>900</v>
      </c>
      <c r="K96" s="76">
        <f>IF(F96&lt;&gt;"",H96*I96*J96,"")</f>
        <v>1800</v>
      </c>
      <c r="L96" s="76">
        <f>IF(K96&lt;&gt;"",IF(D96="INTERNO",0,K96*$L$14),"")</f>
        <v>162</v>
      </c>
      <c r="M96" s="76">
        <f>IF(K96&lt;&gt;"",IF(E96="FAT.OGGI",SUM(K96:L96)*(1/(1-$M$14)-1),L96*(1/(1-$M$14)-1)),"")</f>
        <v>39.317261091089861</v>
      </c>
      <c r="N96" s="91">
        <f>SUM(K96:M96)</f>
        <v>2001.3172610910899</v>
      </c>
      <c r="Q96" s="106">
        <f t="shared" si="81"/>
        <v>1</v>
      </c>
      <c r="R96" s="102">
        <f t="shared" si="81"/>
        <v>2</v>
      </c>
      <c r="S96" s="103">
        <v>600</v>
      </c>
      <c r="T96" s="103">
        <f>IF(Q96&lt;&gt;"",Q96*R96*S96,"")</f>
        <v>1200</v>
      </c>
      <c r="U96" s="104">
        <f>IF(Q96&lt;&gt;"",K96-T96,"")</f>
        <v>600</v>
      </c>
      <c r="V96" s="105">
        <f>IF(Q96&lt;&gt;"",0%,"")</f>
        <v>0</v>
      </c>
      <c r="W96" s="101">
        <f>IF(Q96&lt;&gt;"",V96*U96,"")</f>
        <v>0</v>
      </c>
      <c r="X96" s="101">
        <f>IF(Q96&lt;&gt;"",W96+T96,"")</f>
        <v>1200</v>
      </c>
      <c r="Y96" s="92">
        <f t="shared" si="82"/>
        <v>1239.3172610910899</v>
      </c>
      <c r="Z96" s="89">
        <f>IF(Q96&lt;&gt;"",U96/K96,"")</f>
        <v>0.33333333333333331</v>
      </c>
      <c r="AA96" s="82">
        <f t="shared" si="80"/>
        <v>0.31578947368421051</v>
      </c>
    </row>
    <row r="97" spans="1:27" ht="63.6" customHeight="1" x14ac:dyDescent="0.3">
      <c r="A97" s="44">
        <v>86</v>
      </c>
      <c r="B97" s="74" t="s">
        <v>279</v>
      </c>
      <c r="C97" s="73" t="s">
        <v>114</v>
      </c>
      <c r="D97" s="44" t="s">
        <v>129</v>
      </c>
      <c r="E97" s="44" t="s">
        <v>130</v>
      </c>
      <c r="F97" s="95" t="s">
        <v>171</v>
      </c>
      <c r="G97" s="77" t="s">
        <v>296</v>
      </c>
      <c r="H97" s="93">
        <v>1</v>
      </c>
      <c r="I97" s="93">
        <v>0</v>
      </c>
      <c r="J97" s="76">
        <v>800</v>
      </c>
      <c r="K97" s="76">
        <f>IF(F97&lt;&gt;"",H97*I97*J97,"")</f>
        <v>0</v>
      </c>
      <c r="L97" s="76">
        <f>IF(K97&lt;&gt;"",IF(D97="INTERNO",0,K97*$L$14),"")</f>
        <v>0</v>
      </c>
      <c r="M97" s="76">
        <f>IF(K97&lt;&gt;"",IF(E97="FAT.OGGI",SUM(K97:L97)*(1/(1-$M$14)-1),L97*(1/(1-$M$14)-1)),"")</f>
        <v>0</v>
      </c>
      <c r="N97" s="91">
        <f>SUM(K97:M97)</f>
        <v>0</v>
      </c>
      <c r="Q97" s="106">
        <f t="shared" si="81"/>
        <v>1</v>
      </c>
      <c r="R97" s="102">
        <f t="shared" si="81"/>
        <v>0</v>
      </c>
      <c r="S97" s="103">
        <v>800</v>
      </c>
      <c r="T97" s="103">
        <f>IF(Q97&lt;&gt;"",Q97*R97*S97,"")</f>
        <v>0</v>
      </c>
      <c r="U97" s="104">
        <f>IF(Q97&lt;&gt;"",K97-T97,"")</f>
        <v>0</v>
      </c>
      <c r="V97" s="105">
        <f>IF(Q97&lt;&gt;"",0%,"")</f>
        <v>0</v>
      </c>
      <c r="W97" s="101">
        <f>IF(Q97&lt;&gt;"",V97*U97,"")</f>
        <v>0</v>
      </c>
      <c r="X97" s="101">
        <f>IF(Q97&lt;&gt;"",W97+T97,"")</f>
        <v>0</v>
      </c>
      <c r="Y97" s="92">
        <f t="shared" si="82"/>
        <v>0</v>
      </c>
      <c r="Z97" s="89" t="e">
        <f>IF(Q97&lt;&gt;"",U97/K97,"")</f>
        <v>#DIV/0!</v>
      </c>
      <c r="AA97" s="82">
        <f t="shared" si="80"/>
        <v>0</v>
      </c>
    </row>
    <row r="98" spans="1:27" ht="21.9" customHeight="1" x14ac:dyDescent="0.3">
      <c r="A98" s="44">
        <v>87</v>
      </c>
      <c r="B98" s="74" t="s">
        <v>280</v>
      </c>
      <c r="C98" s="73" t="s">
        <v>114</v>
      </c>
      <c r="D98" s="44" t="s">
        <v>129</v>
      </c>
      <c r="E98" s="44" t="s">
        <v>130</v>
      </c>
      <c r="F98" s="217" t="s">
        <v>172</v>
      </c>
      <c r="G98" s="218" t="s">
        <v>173</v>
      </c>
      <c r="H98" s="93">
        <v>1</v>
      </c>
      <c r="I98" s="93">
        <v>1</v>
      </c>
      <c r="J98" s="76">
        <v>1500</v>
      </c>
      <c r="K98" s="76">
        <f>IF(F98&lt;&gt;"",H98*I98*J98,"")</f>
        <v>1500</v>
      </c>
      <c r="L98" s="76">
        <f>IF(K98&lt;&gt;"",IF(D98="INTERNO",0,K98*$L$14),"")</f>
        <v>135</v>
      </c>
      <c r="M98" s="76">
        <f>IF(K98&lt;&gt;"",IF(E98="FAT.OGGI",SUM(K98:L98)*(1/(1-$M$14)-1),L98*(1/(1-$M$14)-1)),"")</f>
        <v>32.764384242574884</v>
      </c>
      <c r="N98" s="91">
        <f>SUM(K98:M98)</f>
        <v>1667.7643842425748</v>
      </c>
      <c r="Q98" s="106">
        <f t="shared" si="81"/>
        <v>1</v>
      </c>
      <c r="R98" s="102">
        <f t="shared" si="81"/>
        <v>1</v>
      </c>
      <c r="S98" s="103">
        <v>1000</v>
      </c>
      <c r="T98" s="103">
        <f>IF(Q98&lt;&gt;"",Q98*R98*S98,"")</f>
        <v>1000</v>
      </c>
      <c r="U98" s="104">
        <f>IF(Q98&lt;&gt;"",K98-T98,"")</f>
        <v>500</v>
      </c>
      <c r="V98" s="105">
        <f>IF(Q98&lt;&gt;"",0%,"")</f>
        <v>0</v>
      </c>
      <c r="W98" s="101">
        <f>IF(Q98&lt;&gt;"",V98*U98,"")</f>
        <v>0</v>
      </c>
      <c r="X98" s="101">
        <f>IF(Q98&lt;&gt;"",W98+T98,"")</f>
        <v>1000</v>
      </c>
      <c r="Y98" s="92">
        <f t="shared" si="82"/>
        <v>1032.7643842425748</v>
      </c>
      <c r="Z98" s="89">
        <f>IF(Q98&lt;&gt;"",U98/K98,"")</f>
        <v>0.33333333333333331</v>
      </c>
      <c r="AA98" s="82">
        <f t="shared" si="80"/>
        <v>0.26315789473684209</v>
      </c>
    </row>
    <row r="99" spans="1:27" ht="26.1" customHeight="1" thickBot="1" x14ac:dyDescent="0.4">
      <c r="A99" s="44">
        <v>88</v>
      </c>
      <c r="B99" s="74"/>
      <c r="C99" s="73" t="s">
        <v>122</v>
      </c>
      <c r="D99" s="44"/>
      <c r="E99" s="44"/>
      <c r="F99" s="626" t="s">
        <v>201</v>
      </c>
      <c r="G99" s="627"/>
      <c r="H99" s="627"/>
      <c r="I99" s="627"/>
      <c r="J99" s="627"/>
      <c r="K99" s="164">
        <f>SUM(K94:K98)</f>
        <v>5900</v>
      </c>
      <c r="L99" s="164">
        <f>SUM(L94:L98)</f>
        <v>531</v>
      </c>
      <c r="M99" s="164">
        <f>SUM(M94:M98)</f>
        <v>128.87324468746121</v>
      </c>
      <c r="N99" s="165">
        <f>SUM(N94:N98)</f>
        <v>6559.873244687461</v>
      </c>
      <c r="Q99" s="626" t="s">
        <v>201</v>
      </c>
      <c r="R99" s="627"/>
      <c r="S99" s="627"/>
      <c r="T99" s="187">
        <f>SUM(T94:T98)</f>
        <v>3800</v>
      </c>
      <c r="U99" s="188">
        <f>SUM(U94:U98)</f>
        <v>2100</v>
      </c>
      <c r="V99" s="189"/>
      <c r="W99" s="189"/>
      <c r="X99" s="190">
        <f>SUM(X94:X98)</f>
        <v>3800</v>
      </c>
      <c r="Y99" s="191">
        <f t="shared" si="82"/>
        <v>3928.873244687461</v>
      </c>
    </row>
    <row r="100" spans="1:27" ht="18.600000000000001" thickBot="1" x14ac:dyDescent="0.4">
      <c r="A100" s="44">
        <v>89</v>
      </c>
      <c r="B100" s="74">
        <v>12</v>
      </c>
      <c r="C100" s="73" t="s">
        <v>108</v>
      </c>
      <c r="D100" s="44"/>
      <c r="E100" s="44"/>
      <c r="F100" s="637" t="s">
        <v>254</v>
      </c>
      <c r="G100" s="638"/>
      <c r="H100" s="638"/>
      <c r="I100" s="638"/>
      <c r="J100" s="638"/>
      <c r="K100" s="638"/>
      <c r="L100" s="638"/>
      <c r="M100" s="638"/>
      <c r="N100" s="639"/>
      <c r="Q100" s="637" t="str">
        <f>IF(F100&lt;&gt;"",F100,"")</f>
        <v xml:space="preserve">LOGÍSTICA BELO HORIZONTE </v>
      </c>
      <c r="R100" s="638"/>
      <c r="S100" s="638"/>
      <c r="T100" s="638"/>
      <c r="U100" s="638"/>
      <c r="V100" s="638"/>
      <c r="W100" s="638"/>
      <c r="X100" s="638"/>
      <c r="Y100" s="639"/>
    </row>
    <row r="101" spans="1:27" ht="26.1" customHeight="1" x14ac:dyDescent="0.35">
      <c r="A101" s="44">
        <v>90</v>
      </c>
      <c r="B101" s="74" t="s">
        <v>259</v>
      </c>
      <c r="C101" s="73" t="s">
        <v>109</v>
      </c>
      <c r="D101" s="44"/>
      <c r="E101" s="44"/>
      <c r="F101" s="643" t="s">
        <v>254</v>
      </c>
      <c r="G101" s="644"/>
      <c r="H101" s="644"/>
      <c r="I101" s="644"/>
      <c r="J101" s="644"/>
      <c r="K101" s="644"/>
      <c r="L101" s="166" t="s">
        <v>111</v>
      </c>
      <c r="M101" s="166" t="s">
        <v>112</v>
      </c>
      <c r="N101" s="167" t="s">
        <v>81</v>
      </c>
      <c r="Q101" s="643" t="str">
        <f>IF(F101&lt;&gt;"",F101,"")</f>
        <v xml:space="preserve">LOGÍSTICA BELO HORIZONTE </v>
      </c>
      <c r="R101" s="644"/>
      <c r="S101" s="644"/>
      <c r="T101" s="644"/>
      <c r="U101" s="644"/>
      <c r="V101" s="644"/>
      <c r="W101" s="644"/>
      <c r="X101" s="644"/>
      <c r="Y101" s="645"/>
      <c r="Z101" s="88" t="s">
        <v>113</v>
      </c>
      <c r="AA101" s="75" t="s">
        <v>82</v>
      </c>
    </row>
    <row r="102" spans="1:27" ht="55.5" customHeight="1" x14ac:dyDescent="0.3">
      <c r="A102" s="44">
        <v>91</v>
      </c>
      <c r="B102" s="74" t="s">
        <v>261</v>
      </c>
      <c r="C102" s="73" t="s">
        <v>114</v>
      </c>
      <c r="D102" s="44" t="s">
        <v>129</v>
      </c>
      <c r="E102" s="44" t="s">
        <v>130</v>
      </c>
      <c r="F102" s="95" t="s">
        <v>175</v>
      </c>
      <c r="G102" s="77" t="s">
        <v>255</v>
      </c>
      <c r="H102" s="93">
        <v>1</v>
      </c>
      <c r="I102" s="93">
        <v>1</v>
      </c>
      <c r="J102" s="76">
        <v>1200</v>
      </c>
      <c r="K102" s="76">
        <f>IF(F102&lt;&gt;"",H102*I102*J102,"")</f>
        <v>1200</v>
      </c>
      <c r="L102" s="76">
        <f>IF(K102&lt;&gt;"",IF(D102="INTERNO",0,K102*$L$14),"")</f>
        <v>108</v>
      </c>
      <c r="M102" s="76">
        <f>IF(K102&lt;&gt;"",IF(E102="FAT.OGGI",SUM(K102:L102)*(1/(1-$M$14)-1),L102*(1/(1-$M$14)-1)),"")</f>
        <v>26.211507394059907</v>
      </c>
      <c r="N102" s="91">
        <f>SUM(K102:M102)</f>
        <v>1334.2115073940599</v>
      </c>
      <c r="Q102" s="106">
        <f>IF(H102&lt;&gt;"",H102,"")</f>
        <v>1</v>
      </c>
      <c r="R102" s="102">
        <f>IF(I102&lt;&gt;"",I102,"")</f>
        <v>1</v>
      </c>
      <c r="S102" s="103">
        <v>950</v>
      </c>
      <c r="T102" s="103">
        <f>IF(Q102&lt;&gt;"",Q102*R102*S102,"")</f>
        <v>950</v>
      </c>
      <c r="U102" s="104">
        <f>IF(Q102&lt;&gt;"",K102-T102,"")</f>
        <v>250</v>
      </c>
      <c r="V102" s="105">
        <f>IF(Q102&lt;&gt;"",0%,"")</f>
        <v>0</v>
      </c>
      <c r="W102" s="101">
        <f>IF(Q102&lt;&gt;"",V102*U102,"")</f>
        <v>0</v>
      </c>
      <c r="X102" s="101">
        <f>IF(Q102&lt;&gt;"",W102+T102,"")</f>
        <v>950</v>
      </c>
      <c r="Y102" s="92">
        <f t="shared" ref="Y102:Y107" si="83">IF(Q102&lt;&gt;"",X102+M102,"")</f>
        <v>976.21150739405994</v>
      </c>
      <c r="Z102" s="89">
        <f>IF(Q102&lt;&gt;"",U102/K102,"")</f>
        <v>0.20833333333333334</v>
      </c>
      <c r="AA102" s="82">
        <f>T102/$T$107</f>
        <v>0.17272727272727273</v>
      </c>
    </row>
    <row r="103" spans="1:27" ht="42.9" customHeight="1" x14ac:dyDescent="0.3">
      <c r="A103" s="44">
        <v>92</v>
      </c>
      <c r="B103" s="74" t="s">
        <v>262</v>
      </c>
      <c r="C103" s="73" t="s">
        <v>114</v>
      </c>
      <c r="D103" s="44" t="s">
        <v>129</v>
      </c>
      <c r="E103" s="44" t="s">
        <v>130</v>
      </c>
      <c r="F103" s="95" t="s">
        <v>176</v>
      </c>
      <c r="G103" s="77" t="s">
        <v>256</v>
      </c>
      <c r="H103" s="93">
        <v>1</v>
      </c>
      <c r="I103" s="93">
        <v>2</v>
      </c>
      <c r="J103" s="76">
        <v>800</v>
      </c>
      <c r="K103" s="76">
        <f>IF(F103&lt;&gt;"",H103*I103*J103,"")</f>
        <v>1600</v>
      </c>
      <c r="L103" s="76">
        <f>IF(K103&lt;&gt;"",IF(D103="INTERNO",0,K103*$L$14),"")</f>
        <v>144</v>
      </c>
      <c r="M103" s="76">
        <f>IF(K103&lt;&gt;"",IF(E103="FAT.OGGI",SUM(K103:L103)*(1/(1-$M$14)-1),L103*(1/(1-$M$14)-1)),"")</f>
        <v>34.948676525413205</v>
      </c>
      <c r="N103" s="91">
        <f>SUM(K103:M103)</f>
        <v>1778.9486765254132</v>
      </c>
      <c r="Q103" s="106">
        <v>1</v>
      </c>
      <c r="R103" s="102">
        <f>IF(I103&lt;&gt;"",I103,"")</f>
        <v>2</v>
      </c>
      <c r="S103" s="103">
        <v>400</v>
      </c>
      <c r="T103" s="103">
        <f>IF(Q103&lt;&gt;"",Q103*R103*S103,"")</f>
        <v>800</v>
      </c>
      <c r="U103" s="104">
        <f>IF(Q103&lt;&gt;"",K103-T103,"")</f>
        <v>800</v>
      </c>
      <c r="V103" s="105">
        <f>IF(Q103&lt;&gt;"",0%,"")</f>
        <v>0</v>
      </c>
      <c r="W103" s="101">
        <f>IF(Q103&lt;&gt;"",V103*U103,"")</f>
        <v>0</v>
      </c>
      <c r="X103" s="101">
        <f>IF(Q103&lt;&gt;"",W103+T103,"")</f>
        <v>800</v>
      </c>
      <c r="Y103" s="92">
        <f t="shared" si="83"/>
        <v>834.94867652541325</v>
      </c>
      <c r="Z103" s="89">
        <f>IF(Q103&lt;&gt;"",U103/K103,"")</f>
        <v>0.5</v>
      </c>
      <c r="AA103" s="82">
        <f>T103/$T$107</f>
        <v>0.14545454545454545</v>
      </c>
    </row>
    <row r="104" spans="1:27" ht="28.5" customHeight="1" x14ac:dyDescent="0.3">
      <c r="A104" s="44">
        <v>93</v>
      </c>
      <c r="B104" s="74" t="s">
        <v>263</v>
      </c>
      <c r="C104" s="73" t="s">
        <v>114</v>
      </c>
      <c r="D104" s="44" t="s">
        <v>129</v>
      </c>
      <c r="E104" s="44" t="s">
        <v>130</v>
      </c>
      <c r="F104" s="95" t="s">
        <v>177</v>
      </c>
      <c r="G104" s="77" t="s">
        <v>178</v>
      </c>
      <c r="H104" s="93">
        <v>1</v>
      </c>
      <c r="I104" s="93">
        <v>1</v>
      </c>
      <c r="J104" s="76">
        <v>350</v>
      </c>
      <c r="K104" s="76">
        <f>IF(F104&lt;&gt;"",H104*I104*J104,"")</f>
        <v>350</v>
      </c>
      <c r="L104" s="76">
        <f>IF(K104&lt;&gt;"",IF(D104="INTERNO",0,K104*$L$14),"")</f>
        <v>31.5</v>
      </c>
      <c r="M104" s="76">
        <f>IF(K104&lt;&gt;"",IF(E104="FAT.OGGI",SUM(K104:L104)*(1/(1-$M$14)-1),L104*(1/(1-$M$14)-1)),"")</f>
        <v>7.6450229899341391</v>
      </c>
      <c r="N104" s="91">
        <f>SUM(K104:M104)</f>
        <v>389.14502298993415</v>
      </c>
      <c r="Q104" s="106">
        <f>IF(H104&lt;&gt;"",H104,"")</f>
        <v>1</v>
      </c>
      <c r="R104" s="102">
        <f>IF(I104&lt;&gt;"",I104,"")</f>
        <v>1</v>
      </c>
      <c r="S104" s="103">
        <v>150</v>
      </c>
      <c r="T104" s="103">
        <f>IF(Q104&lt;&gt;"",Q104*R104*S104,"")</f>
        <v>150</v>
      </c>
      <c r="U104" s="104">
        <f>IF(Q104&lt;&gt;"",K104-T104,"")</f>
        <v>200</v>
      </c>
      <c r="V104" s="105">
        <f>IF(Q104&lt;&gt;"",0%,"")</f>
        <v>0</v>
      </c>
      <c r="W104" s="101">
        <f>IF(Q104&lt;&gt;"",V104*U104,"")</f>
        <v>0</v>
      </c>
      <c r="X104" s="101">
        <f>IF(Q104&lt;&gt;"",W104+T104,"")</f>
        <v>150</v>
      </c>
      <c r="Y104" s="92">
        <f t="shared" si="83"/>
        <v>157.64502298993415</v>
      </c>
      <c r="Z104" s="89">
        <f>IF(Q104&lt;&gt;"",U104/K104,"")</f>
        <v>0.5714285714285714</v>
      </c>
      <c r="AA104" s="82">
        <f>T104/$T$107</f>
        <v>2.7272727272727271E-2</v>
      </c>
    </row>
    <row r="105" spans="1:27" ht="37.5" customHeight="1" x14ac:dyDescent="0.3">
      <c r="A105" s="44">
        <v>94</v>
      </c>
      <c r="B105" s="74" t="s">
        <v>264</v>
      </c>
      <c r="C105" s="73" t="s">
        <v>114</v>
      </c>
      <c r="D105" s="44" t="s">
        <v>129</v>
      </c>
      <c r="E105" s="44" t="s">
        <v>130</v>
      </c>
      <c r="F105" s="95" t="s">
        <v>181</v>
      </c>
      <c r="G105" s="77" t="s">
        <v>182</v>
      </c>
      <c r="H105" s="93">
        <v>1</v>
      </c>
      <c r="I105" s="93">
        <v>1</v>
      </c>
      <c r="J105" s="76">
        <v>4500</v>
      </c>
      <c r="K105" s="76">
        <f>IF(F105&lt;&gt;"",H105*I105*J105,"")</f>
        <v>4500</v>
      </c>
      <c r="L105" s="76">
        <f>IF(K105&lt;&gt;"",IF(D105="INTERNO",0,K105*$L$14),"")</f>
        <v>405</v>
      </c>
      <c r="M105" s="76">
        <f>IF(K105&lt;&gt;"",IF(E105="FAT.OGGI",SUM(K105:L105)*(1/(1-$M$14)-1),L105*(1/(1-$M$14)-1)),"")</f>
        <v>98.293152727724646</v>
      </c>
      <c r="N105" s="91">
        <f>SUM(K105:M105)</f>
        <v>5003.2931527277251</v>
      </c>
      <c r="Q105" s="106">
        <f>IF(H105&lt;&gt;"",H105,"")</f>
        <v>1</v>
      </c>
      <c r="R105" s="102">
        <f>IF(I105&lt;&gt;"",I105,"")</f>
        <v>1</v>
      </c>
      <c r="S105" s="103">
        <v>2800</v>
      </c>
      <c r="T105" s="103">
        <f>IF(Q105&lt;&gt;"",Q105*R105*S105,"")</f>
        <v>2800</v>
      </c>
      <c r="U105" s="104">
        <f>IF(Q105&lt;&gt;"",K105-T105,"")</f>
        <v>1700</v>
      </c>
      <c r="V105" s="105">
        <f>IF(Q105&lt;&gt;"",0%,"")</f>
        <v>0</v>
      </c>
      <c r="W105" s="101">
        <f>IF(Q105&lt;&gt;"",V105*U105,"")</f>
        <v>0</v>
      </c>
      <c r="X105" s="101">
        <f>IF(Q105&lt;&gt;"",W105+T105,"")</f>
        <v>2800</v>
      </c>
      <c r="Y105" s="92">
        <f t="shared" si="83"/>
        <v>2898.2931527277246</v>
      </c>
      <c r="Z105" s="89">
        <f>IF(Q105&lt;&gt;"",U105/K105,"")</f>
        <v>0.37777777777777777</v>
      </c>
      <c r="AA105" s="82">
        <f>T105/$T$107</f>
        <v>0.50909090909090904</v>
      </c>
    </row>
    <row r="106" spans="1:27" ht="37.5" customHeight="1" x14ac:dyDescent="0.3">
      <c r="A106" s="44">
        <v>95</v>
      </c>
      <c r="B106" s="74" t="s">
        <v>265</v>
      </c>
      <c r="C106" s="73" t="s">
        <v>114</v>
      </c>
      <c r="D106" s="44" t="s">
        <v>129</v>
      </c>
      <c r="E106" s="44" t="s">
        <v>130</v>
      </c>
      <c r="F106" s="95" t="s">
        <v>183</v>
      </c>
      <c r="G106" s="77" t="s">
        <v>184</v>
      </c>
      <c r="H106" s="93">
        <v>1</v>
      </c>
      <c r="I106" s="93">
        <v>1</v>
      </c>
      <c r="J106" s="76">
        <v>1000</v>
      </c>
      <c r="K106" s="76">
        <f>IF(F106&lt;&gt;"",H106*I106*J106,"")</f>
        <v>1000</v>
      </c>
      <c r="L106" s="76">
        <f>IF(K106&lt;&gt;"",IF(D106="INTERNO",0,K106*$L$14),"")</f>
        <v>90</v>
      </c>
      <c r="M106" s="76">
        <f>IF(K106&lt;&gt;"",IF(E106="FAT.OGGI",SUM(K106:L106)*(1/(1-$M$14)-1),L106*(1/(1-$M$14)-1)),"")</f>
        <v>21.842922828383255</v>
      </c>
      <c r="N106" s="91">
        <f>SUM(K106:M106)</f>
        <v>1111.8429228283833</v>
      </c>
      <c r="Q106" s="106">
        <f>IF(H106&lt;&gt;"",H106,"")</f>
        <v>1</v>
      </c>
      <c r="R106" s="102">
        <f>IF(I106&lt;&gt;"",I106,"")</f>
        <v>1</v>
      </c>
      <c r="S106" s="103">
        <v>800</v>
      </c>
      <c r="T106" s="103">
        <f>IF(Q106&lt;&gt;"",Q106*R106*S106,"")</f>
        <v>800</v>
      </c>
      <c r="U106" s="104">
        <f>IF(Q106&lt;&gt;"",K106-T106,"")</f>
        <v>200</v>
      </c>
      <c r="V106" s="105">
        <f>IF(Q106&lt;&gt;"",0%,"")</f>
        <v>0</v>
      </c>
      <c r="W106" s="101">
        <f>IF(Q106&lt;&gt;"",V106*U106,"")</f>
        <v>0</v>
      </c>
      <c r="X106" s="101">
        <f>IF(Q106&lt;&gt;"",W106+T106,"")</f>
        <v>800</v>
      </c>
      <c r="Y106" s="92">
        <f t="shared" si="83"/>
        <v>821.84292282838328</v>
      </c>
      <c r="Z106" s="89">
        <f>IF(Q106&lt;&gt;"",U106/K106,"")</f>
        <v>0.2</v>
      </c>
      <c r="AA106" s="82">
        <f>T106/$T$107</f>
        <v>0.14545454545454545</v>
      </c>
    </row>
    <row r="107" spans="1:27" ht="24" customHeight="1" thickBot="1" x14ac:dyDescent="0.4">
      <c r="A107" s="44">
        <v>96</v>
      </c>
      <c r="B107" s="74"/>
      <c r="C107" s="73" t="s">
        <v>122</v>
      </c>
      <c r="D107" s="44"/>
      <c r="E107" s="44"/>
      <c r="F107" s="626" t="s">
        <v>257</v>
      </c>
      <c r="G107" s="627"/>
      <c r="H107" s="627"/>
      <c r="I107" s="627"/>
      <c r="J107" s="627"/>
      <c r="K107" s="164">
        <f>SUM(K102:K106)</f>
        <v>8650</v>
      </c>
      <c r="L107" s="164">
        <f>SUM(L102:L106)</f>
        <v>778.5</v>
      </c>
      <c r="M107" s="164">
        <f>SUM(M102:M106)</f>
        <v>188.94128246551514</v>
      </c>
      <c r="N107" s="165">
        <f>SUM(N102:N106)</f>
        <v>9617.4412824655174</v>
      </c>
      <c r="Q107" s="626" t="s">
        <v>257</v>
      </c>
      <c r="R107" s="627"/>
      <c r="S107" s="627"/>
      <c r="T107" s="187">
        <f>SUM(T102:T106)</f>
        <v>5500</v>
      </c>
      <c r="U107" s="188">
        <f>SUM(U102:U106)</f>
        <v>3150</v>
      </c>
      <c r="V107" s="189"/>
      <c r="W107" s="189"/>
      <c r="X107" s="190">
        <f>SUM(X102:X106)</f>
        <v>5500</v>
      </c>
      <c r="Y107" s="191">
        <f t="shared" si="83"/>
        <v>5688.9412824655155</v>
      </c>
    </row>
    <row r="108" spans="1:27" ht="18.600000000000001" thickBot="1" x14ac:dyDescent="0.4">
      <c r="A108" s="44">
        <v>97</v>
      </c>
      <c r="B108" s="74">
        <v>13</v>
      </c>
      <c r="C108" s="73" t="s">
        <v>108</v>
      </c>
      <c r="D108" s="44"/>
      <c r="E108" s="44"/>
      <c r="F108" s="637" t="s">
        <v>260</v>
      </c>
      <c r="G108" s="638"/>
      <c r="H108" s="638"/>
      <c r="I108" s="638"/>
      <c r="J108" s="638"/>
      <c r="K108" s="638"/>
      <c r="L108" s="638"/>
      <c r="M108" s="638"/>
      <c r="N108" s="639"/>
      <c r="Q108" s="637" t="str">
        <f>IF(F108&lt;&gt;"",F108,"")</f>
        <v>BRNDES</v>
      </c>
      <c r="R108" s="638"/>
      <c r="S108" s="638"/>
      <c r="T108" s="638"/>
      <c r="U108" s="638"/>
      <c r="V108" s="638"/>
      <c r="W108" s="638"/>
      <c r="X108" s="638"/>
      <c r="Y108" s="639"/>
    </row>
    <row r="109" spans="1:27" ht="23.1" customHeight="1" x14ac:dyDescent="0.35">
      <c r="A109" s="44">
        <v>98</v>
      </c>
      <c r="B109" s="74" t="s">
        <v>281</v>
      </c>
      <c r="C109" s="73" t="s">
        <v>109</v>
      </c>
      <c r="D109" s="44"/>
      <c r="E109" s="44"/>
      <c r="F109" s="643" t="s">
        <v>192</v>
      </c>
      <c r="G109" s="644"/>
      <c r="H109" s="644"/>
      <c r="I109" s="644"/>
      <c r="J109" s="644"/>
      <c r="K109" s="644"/>
      <c r="L109" s="166" t="s">
        <v>111</v>
      </c>
      <c r="M109" s="166" t="s">
        <v>112</v>
      </c>
      <c r="N109" s="167" t="s">
        <v>81</v>
      </c>
      <c r="Q109" s="643" t="str">
        <f>IF(F109&lt;&gt;"",F109,"")</f>
        <v>BRINDES</v>
      </c>
      <c r="R109" s="644"/>
      <c r="S109" s="644"/>
      <c r="T109" s="644"/>
      <c r="U109" s="644"/>
      <c r="V109" s="644"/>
      <c r="W109" s="644"/>
      <c r="X109" s="644"/>
      <c r="Y109" s="645"/>
      <c r="Z109" s="88" t="s">
        <v>113</v>
      </c>
      <c r="AA109" s="75" t="s">
        <v>82</v>
      </c>
    </row>
    <row r="110" spans="1:27" ht="31.5" customHeight="1" x14ac:dyDescent="0.3">
      <c r="A110" s="44">
        <v>101</v>
      </c>
      <c r="B110" s="74" t="s">
        <v>282</v>
      </c>
      <c r="C110" s="73" t="s">
        <v>114</v>
      </c>
      <c r="D110" s="44" t="s">
        <v>129</v>
      </c>
      <c r="E110" s="44" t="s">
        <v>130</v>
      </c>
      <c r="F110" s="95" t="s">
        <v>233</v>
      </c>
      <c r="G110" s="77" t="s">
        <v>240</v>
      </c>
      <c r="H110" s="93">
        <v>80</v>
      </c>
      <c r="I110" s="93">
        <v>0</v>
      </c>
      <c r="J110" s="76">
        <v>299.99</v>
      </c>
      <c r="K110" s="76">
        <f t="shared" ref="K110:K115" si="84">IF(F110&lt;&gt;"",H110*I110*J110,"")</f>
        <v>0</v>
      </c>
      <c r="L110" s="76">
        <f t="shared" ref="L110:L115" si="85">IF(K110&lt;&gt;"",IF(D110="INTERNO",0,K110*$L$14),"")</f>
        <v>0</v>
      </c>
      <c r="M110" s="76">
        <f t="shared" ref="M110:M115" si="86">IF(K110&lt;&gt;"",IF(E110="FAT.OGGI",SUM(K110:L110)*(1/(1-$M$14)-1),L110*(1/(1-$M$14)-1)),"")</f>
        <v>0</v>
      </c>
      <c r="N110" s="91">
        <f t="shared" ref="N110:N115" si="87">SUM(K110:M110)</f>
        <v>0</v>
      </c>
      <c r="Q110" s="106">
        <f t="shared" ref="Q110:R115" si="88">IF(H110&lt;&gt;"",H110,"")</f>
        <v>80</v>
      </c>
      <c r="R110" s="102">
        <f t="shared" si="88"/>
        <v>0</v>
      </c>
      <c r="S110" s="103">
        <v>299.99</v>
      </c>
      <c r="T110" s="103">
        <f t="shared" ref="T110:T115" si="89">IF(Q110&lt;&gt;"",Q110*R110*S110,"")</f>
        <v>0</v>
      </c>
      <c r="U110" s="104">
        <f t="shared" ref="U110:U115" si="90">IF(Q110&lt;&gt;"",K110-T110,"")</f>
        <v>0</v>
      </c>
      <c r="V110" s="105">
        <f t="shared" ref="V110:V115" si="91">IF(Q110&lt;&gt;"",0%,"")</f>
        <v>0</v>
      </c>
      <c r="W110" s="101">
        <f t="shared" ref="W110:W115" si="92">IF(Q110&lt;&gt;"",V110*U110,"")</f>
        <v>0</v>
      </c>
      <c r="X110" s="101">
        <f t="shared" ref="X110:X115" si="93">IF(Q110&lt;&gt;"",W110+T110,"")</f>
        <v>0</v>
      </c>
      <c r="Y110" s="92">
        <f t="shared" ref="Y110:Y116" si="94">IF(Q110&lt;&gt;"",X110+M110,"")</f>
        <v>0</v>
      </c>
      <c r="Z110" s="89" t="e">
        <f t="shared" ref="Z110:Z115" si="95">IF(Q110&lt;&gt;"",U110/K110,"")</f>
        <v>#DIV/0!</v>
      </c>
      <c r="AA110" s="82">
        <f>T110/$T$116</f>
        <v>0</v>
      </c>
    </row>
    <row r="111" spans="1:27" ht="21.9" customHeight="1" x14ac:dyDescent="0.3">
      <c r="A111" s="44">
        <v>102</v>
      </c>
      <c r="B111" s="74" t="s">
        <v>283</v>
      </c>
      <c r="C111" s="73" t="s">
        <v>114</v>
      </c>
      <c r="D111" s="44" t="s">
        <v>129</v>
      </c>
      <c r="E111" s="44" t="s">
        <v>130</v>
      </c>
      <c r="F111" s="95" t="s">
        <v>234</v>
      </c>
      <c r="G111" s="77" t="s">
        <v>239</v>
      </c>
      <c r="H111" s="93">
        <v>80</v>
      </c>
      <c r="I111" s="93">
        <v>1</v>
      </c>
      <c r="J111" s="76">
        <v>379.99</v>
      </c>
      <c r="K111" s="76">
        <f t="shared" si="84"/>
        <v>30399.200000000001</v>
      </c>
      <c r="L111" s="76">
        <f t="shared" si="85"/>
        <v>2735.9279999999999</v>
      </c>
      <c r="M111" s="76">
        <f t="shared" si="86"/>
        <v>664.00737964458824</v>
      </c>
      <c r="N111" s="91">
        <f t="shared" si="87"/>
        <v>33799.135379644584</v>
      </c>
      <c r="Q111" s="106">
        <f t="shared" si="88"/>
        <v>80</v>
      </c>
      <c r="R111" s="102">
        <f t="shared" si="88"/>
        <v>1</v>
      </c>
      <c r="S111" s="103">
        <v>379.99</v>
      </c>
      <c r="T111" s="103">
        <f t="shared" si="89"/>
        <v>30399.200000000001</v>
      </c>
      <c r="U111" s="104">
        <f t="shared" si="90"/>
        <v>0</v>
      </c>
      <c r="V111" s="105">
        <f t="shared" si="91"/>
        <v>0</v>
      </c>
      <c r="W111" s="101">
        <f t="shared" si="92"/>
        <v>0</v>
      </c>
      <c r="X111" s="101">
        <f t="shared" si="93"/>
        <v>30399.200000000001</v>
      </c>
      <c r="Y111" s="92">
        <f t="shared" si="94"/>
        <v>31063.207379644587</v>
      </c>
      <c r="Z111" s="89">
        <f t="shared" si="95"/>
        <v>0</v>
      </c>
      <c r="AA111" s="82">
        <f>T111/$T$116</f>
        <v>0.88128438983945134</v>
      </c>
    </row>
    <row r="112" spans="1:27" ht="21.9" customHeight="1" x14ac:dyDescent="0.3">
      <c r="A112" s="70">
        <v>103</v>
      </c>
      <c r="B112" s="74" t="s">
        <v>284</v>
      </c>
      <c r="C112" s="72" t="s">
        <v>114</v>
      </c>
      <c r="D112" s="44" t="s">
        <v>129</v>
      </c>
      <c r="E112" s="44" t="s">
        <v>130</v>
      </c>
      <c r="F112" s="95" t="s">
        <v>304</v>
      </c>
      <c r="G112" s="77" t="s">
        <v>305</v>
      </c>
      <c r="H112" s="93">
        <v>80</v>
      </c>
      <c r="I112" s="93">
        <v>1</v>
      </c>
      <c r="J112" s="76">
        <v>70</v>
      </c>
      <c r="K112" s="76">
        <f>IF(F112&lt;&gt;"",H112*I112*J112,"")</f>
        <v>5600</v>
      </c>
      <c r="L112" s="76">
        <f>IF(K112&lt;&gt;"",IF(D112="INTERNO",0,K112*$L$14),"")</f>
        <v>504</v>
      </c>
      <c r="M112" s="76">
        <f>IF(K112&lt;&gt;"",IF(E112="FAT.OGGI",SUM(K112:L112)*(1/(1-$M$14)-1),L112*(1/(1-$M$14)-1)),"")</f>
        <v>122.32036783894623</v>
      </c>
      <c r="N112" s="91">
        <f>SUM(K112:M112)</f>
        <v>6226.3203678389464</v>
      </c>
      <c r="Q112" s="106">
        <f>IF(H112&lt;&gt;"",H112,"")</f>
        <v>80</v>
      </c>
      <c r="R112" s="102">
        <f>IF(I112&lt;&gt;"",I112,"")</f>
        <v>1</v>
      </c>
      <c r="S112" s="103">
        <v>40</v>
      </c>
      <c r="T112" s="103">
        <f>IF(Q112&lt;&gt;"",Q112*R112*S112,"")</f>
        <v>3200</v>
      </c>
      <c r="U112" s="104">
        <f>IF(Q112&lt;&gt;"",K112-T112,"")</f>
        <v>2400</v>
      </c>
      <c r="V112" s="105">
        <f>IF(Q112&lt;&gt;"",0%,"")</f>
        <v>0</v>
      </c>
      <c r="W112" s="101">
        <f>IF(Q112&lt;&gt;"",V112*U112,"")</f>
        <v>0</v>
      </c>
      <c r="X112" s="101">
        <f>IF(Q112&lt;&gt;"",W112+T112,"")</f>
        <v>3200</v>
      </c>
      <c r="Y112" s="92">
        <f>IF(Q112&lt;&gt;"",X112+M112,"")</f>
        <v>3322.3203678389464</v>
      </c>
      <c r="Z112" s="89">
        <f>IF(Q112&lt;&gt;"",U112/K112,"")</f>
        <v>0.42857142857142855</v>
      </c>
      <c r="AA112" s="82"/>
    </row>
    <row r="113" spans="1:27" ht="29.4" customHeight="1" x14ac:dyDescent="0.3">
      <c r="A113" s="69">
        <v>103</v>
      </c>
      <c r="B113" s="74" t="s">
        <v>285</v>
      </c>
      <c r="C113" s="68" t="s">
        <v>114</v>
      </c>
      <c r="D113" s="69" t="s">
        <v>129</v>
      </c>
      <c r="E113" s="69" t="s">
        <v>130</v>
      </c>
      <c r="F113" s="95" t="s">
        <v>193</v>
      </c>
      <c r="G113" s="77" t="s">
        <v>194</v>
      </c>
      <c r="H113" s="93">
        <v>1</v>
      </c>
      <c r="I113" s="93">
        <v>1</v>
      </c>
      <c r="J113" s="76">
        <v>500</v>
      </c>
      <c r="K113" s="76">
        <f t="shared" si="84"/>
        <v>500</v>
      </c>
      <c r="L113" s="76">
        <f t="shared" si="85"/>
        <v>45</v>
      </c>
      <c r="M113" s="76">
        <f t="shared" si="86"/>
        <v>10.921461414191628</v>
      </c>
      <c r="N113" s="91">
        <f t="shared" si="87"/>
        <v>555.92146141419164</v>
      </c>
      <c r="Q113" s="106">
        <f t="shared" si="88"/>
        <v>1</v>
      </c>
      <c r="R113" s="102">
        <f t="shared" si="88"/>
        <v>1</v>
      </c>
      <c r="S113" s="103">
        <v>225</v>
      </c>
      <c r="T113" s="103">
        <f t="shared" si="89"/>
        <v>225</v>
      </c>
      <c r="U113" s="104">
        <f t="shared" si="90"/>
        <v>275</v>
      </c>
      <c r="V113" s="105">
        <f t="shared" si="91"/>
        <v>0</v>
      </c>
      <c r="W113" s="101">
        <f t="shared" si="92"/>
        <v>0</v>
      </c>
      <c r="X113" s="101">
        <f t="shared" si="93"/>
        <v>225</v>
      </c>
      <c r="Y113" s="92">
        <f t="shared" si="94"/>
        <v>235.92146141419164</v>
      </c>
      <c r="Z113" s="89">
        <f t="shared" si="95"/>
        <v>0.55000000000000004</v>
      </c>
      <c r="AA113" s="82">
        <f>T113/$T$116</f>
        <v>6.5228357231070736E-3</v>
      </c>
    </row>
    <row r="114" spans="1:27" ht="28.5" customHeight="1" x14ac:dyDescent="0.3">
      <c r="A114" s="44">
        <v>104</v>
      </c>
      <c r="B114" s="74" t="s">
        <v>286</v>
      </c>
      <c r="C114" s="73" t="s">
        <v>114</v>
      </c>
      <c r="D114" s="44" t="s">
        <v>129</v>
      </c>
      <c r="E114" s="44" t="s">
        <v>130</v>
      </c>
      <c r="F114" s="95" t="s">
        <v>195</v>
      </c>
      <c r="G114" s="77" t="s">
        <v>196</v>
      </c>
      <c r="H114" s="93">
        <v>1</v>
      </c>
      <c r="I114" s="93">
        <v>1</v>
      </c>
      <c r="J114" s="76">
        <v>550</v>
      </c>
      <c r="K114" s="76">
        <f t="shared" si="84"/>
        <v>550</v>
      </c>
      <c r="L114" s="76">
        <f t="shared" si="85"/>
        <v>49.5</v>
      </c>
      <c r="M114" s="76">
        <f t="shared" si="86"/>
        <v>12.01360755561079</v>
      </c>
      <c r="N114" s="91">
        <f t="shared" si="87"/>
        <v>611.51360755561075</v>
      </c>
      <c r="Q114" s="106">
        <f t="shared" si="88"/>
        <v>1</v>
      </c>
      <c r="R114" s="102">
        <f t="shared" si="88"/>
        <v>1</v>
      </c>
      <c r="S114" s="103">
        <v>320</v>
      </c>
      <c r="T114" s="103">
        <f t="shared" si="89"/>
        <v>320</v>
      </c>
      <c r="U114" s="104">
        <f t="shared" si="90"/>
        <v>230</v>
      </c>
      <c r="V114" s="105">
        <f t="shared" si="91"/>
        <v>0</v>
      </c>
      <c r="W114" s="101">
        <f t="shared" si="92"/>
        <v>0</v>
      </c>
      <c r="X114" s="101">
        <f t="shared" si="93"/>
        <v>320</v>
      </c>
      <c r="Y114" s="92">
        <f t="shared" si="94"/>
        <v>332.0136075556108</v>
      </c>
      <c r="Z114" s="89">
        <f t="shared" si="95"/>
        <v>0.41818181818181815</v>
      </c>
      <c r="AA114" s="82">
        <f>T114/$T$116</f>
        <v>9.2769219173078378E-3</v>
      </c>
    </row>
    <row r="115" spans="1:27" ht="35.4" customHeight="1" thickBot="1" x14ac:dyDescent="0.35">
      <c r="A115" s="44">
        <v>105</v>
      </c>
      <c r="B115" s="74" t="s">
        <v>287</v>
      </c>
      <c r="C115" s="73" t="s">
        <v>114</v>
      </c>
      <c r="D115" s="44" t="s">
        <v>129</v>
      </c>
      <c r="E115" s="44" t="s">
        <v>130</v>
      </c>
      <c r="F115" s="95" t="s">
        <v>197</v>
      </c>
      <c r="G115" s="77" t="s">
        <v>198</v>
      </c>
      <c r="H115" s="93">
        <v>1</v>
      </c>
      <c r="I115" s="93">
        <v>1</v>
      </c>
      <c r="J115" s="76">
        <v>600</v>
      </c>
      <c r="K115" s="76">
        <f t="shared" si="84"/>
        <v>600</v>
      </c>
      <c r="L115" s="76">
        <f t="shared" si="85"/>
        <v>54</v>
      </c>
      <c r="M115" s="76">
        <f t="shared" si="86"/>
        <v>13.105753697029954</v>
      </c>
      <c r="N115" s="91">
        <f t="shared" si="87"/>
        <v>667.10575369702997</v>
      </c>
      <c r="Q115" s="106">
        <f t="shared" si="88"/>
        <v>1</v>
      </c>
      <c r="R115" s="102">
        <f t="shared" si="88"/>
        <v>1</v>
      </c>
      <c r="S115" s="103">
        <v>350</v>
      </c>
      <c r="T115" s="103">
        <f t="shared" si="89"/>
        <v>350</v>
      </c>
      <c r="U115" s="104">
        <f t="shared" si="90"/>
        <v>250</v>
      </c>
      <c r="V115" s="105">
        <f t="shared" si="91"/>
        <v>0</v>
      </c>
      <c r="W115" s="101">
        <f t="shared" si="92"/>
        <v>0</v>
      </c>
      <c r="X115" s="101">
        <f t="shared" si="93"/>
        <v>350</v>
      </c>
      <c r="Y115" s="92">
        <f t="shared" si="94"/>
        <v>363.10575369702997</v>
      </c>
      <c r="Z115" s="110">
        <f t="shared" si="95"/>
        <v>0.41666666666666669</v>
      </c>
      <c r="AA115" s="111">
        <f>T115/$T$116</f>
        <v>1.0146633347055447E-2</v>
      </c>
    </row>
    <row r="116" spans="1:27" ht="26.1" customHeight="1" thickBot="1" x14ac:dyDescent="0.4">
      <c r="A116" s="44">
        <v>106</v>
      </c>
      <c r="B116" s="74"/>
      <c r="C116" s="73" t="s">
        <v>122</v>
      </c>
      <c r="D116" s="44"/>
      <c r="E116" s="44"/>
      <c r="F116" s="671" t="s">
        <v>199</v>
      </c>
      <c r="G116" s="672"/>
      <c r="H116" s="672"/>
      <c r="I116" s="672"/>
      <c r="J116" s="672"/>
      <c r="K116" s="157">
        <f>SUM(K110:K115)</f>
        <v>37649.199999999997</v>
      </c>
      <c r="L116" s="157">
        <f>SUM(L110:L115)</f>
        <v>3388.4279999999999</v>
      </c>
      <c r="M116" s="157">
        <f>SUM(M110:M115)</f>
        <v>822.36857015036685</v>
      </c>
      <c r="N116" s="158">
        <f>SUM(N110:N115)</f>
        <v>41859.996570150361</v>
      </c>
      <c r="Q116" s="671" t="s">
        <v>199</v>
      </c>
      <c r="R116" s="672"/>
      <c r="S116" s="672"/>
      <c r="T116" s="182">
        <f>SUM(T110:T115)</f>
        <v>34494.199999999997</v>
      </c>
      <c r="U116" s="183">
        <f>SUM(U110:U115)</f>
        <v>3155</v>
      </c>
      <c r="V116" s="184"/>
      <c r="W116" s="184"/>
      <c r="X116" s="185">
        <f>SUM(X110:X115)</f>
        <v>34494.199999999997</v>
      </c>
      <c r="Y116" s="186">
        <f t="shared" si="94"/>
        <v>35316.568570150361</v>
      </c>
      <c r="Z116" s="176" t="s">
        <v>140</v>
      </c>
      <c r="AA116" s="133" t="s">
        <v>141</v>
      </c>
    </row>
    <row r="117" spans="1:27" ht="32.4" customHeight="1" thickBot="1" x14ac:dyDescent="0.5">
      <c r="A117" s="44">
        <v>107</v>
      </c>
      <c r="B117" s="71"/>
      <c r="C117" s="73" t="s">
        <v>139</v>
      </c>
      <c r="D117" s="44"/>
      <c r="E117" s="44"/>
      <c r="F117" s="159" t="s">
        <v>315</v>
      </c>
      <c r="G117" s="160"/>
      <c r="H117" s="161"/>
      <c r="I117" s="161"/>
      <c r="J117" s="160"/>
      <c r="K117" s="162">
        <f>SUM(K17:K21)+SUM(K25:K39)+SUM(K43:K45)+SUM(K49:K51)+SUM(K55:K59)+SUM(K63:K67)+SUM(K71:K72)+SUM(K76:K77)+SUM(K81:K85)+SUM(K89:K91)+SUM(K94:K98)+SUM(K102:K106)+SUM(K110:K115)</f>
        <v>228324.2</v>
      </c>
      <c r="L117" s="162">
        <f>SUM(L17:L21)+SUM(L25:L39)+SUM(L43:L45)+SUM(L49:L51)+SUM(L55:L59)+SUM(L63:L67)+SUM(L71:L72)+SUM(L76:L77)+SUM(L81:L85)+SUM(L89:L91)+SUM(L94:L98)+SUM(L102:L106)+SUM(L110:L115)</f>
        <v>18614.178</v>
      </c>
      <c r="M117" s="162">
        <f>SUM(M17:M21)+SUM(M25:M39)+SUM(M43:M45)+SUM(M49:M51)+SUM(M55:M59)+SUM(M63:M67)+SUM(M71:M72)+SUM(M76:M77)+SUM(M81:M85)+SUM(M89:M91)+SUM(M94:M98)+SUM(M102:M106)+SUM(M110:M115)</f>
        <v>9735.6766042003273</v>
      </c>
      <c r="N117" s="163">
        <f>SUM(N17:N21)+SUM(N25:N39)+SUM(N43:N45)+SUM(N49:N51)+SUM(N55:N59)+SUM(N63:N67)+SUM(N71:N72)+SUM(N76:N77)+SUM(N81:N85)+SUM(N89:N91)+SUM(N94:N98)+SUM(N102:N106)+SUM(N110:N115)</f>
        <v>256674.05460420033</v>
      </c>
      <c r="Q117" s="177" t="s">
        <v>43</v>
      </c>
      <c r="R117" s="154"/>
      <c r="S117" s="153"/>
      <c r="T117" s="155">
        <f>SUM(T17:T21)+SUM(T25:T39)+SUM(T43:T45)+SUM(T49:T51)+SUM(T55:T59)+SUM(T63:T67)+SUM(T71:T72)+SUM(T76:T77)+SUM(T81:T85)+SUM(T89:T91)+SUM(T94:T98)+SUM(T102:T106)+SUM(T110:T115)</f>
        <v>177082.2</v>
      </c>
      <c r="U117" s="155">
        <f>SUM(U17:U21)+SUM(U25:U39)+SUM(U43:U45)+SUM(U49:U51)+SUM(U55:U59)+SUM(U63:U67)+SUM(U71:U72)+SUM(U76:U77)+SUM(U81:U85)+SUM(U89:U91)+SUM(U94:U98)+SUM(U102:U106)+SUM(U110:U115)</f>
        <v>51242</v>
      </c>
      <c r="V117" s="153"/>
      <c r="W117" s="153"/>
      <c r="X117" s="155">
        <f>SUM(X17:X21)+SUM(X25:X39)+SUM(X43:X45)+SUM(X49:X51)+SUM(X55:X59)+SUM(X63:X67)+SUM(X71:X72)+SUM(X76:X77)+SUM(X81:X85)+SUM(X89:X91)+SUM(X94:X98)+SUM(X102:X106)+SUM(X110:X115)</f>
        <v>177082.2</v>
      </c>
      <c r="Y117" s="156">
        <f>SUM(Y17:Y21)+SUM(Y25:Y39)+SUM(Y43:Y45)+SUM(Y49:Y51)+SUM(Y55:Y59)+SUM(Y63:Y67)+SUM(Y71:Y72)+SUM(Y76:Y77)+SUM(Y81:Y85)+SUM(Y89:Y91)+SUM(Y94:Y98)+SUM(Y102:Y106)+SUM(Y110:Y115)</f>
        <v>186817.87660420028</v>
      </c>
      <c r="Z117" s="136">
        <f>IF(Q117&lt;&gt;"",(N117-Y117)/N117,"")</f>
        <v>0.2721590933985148</v>
      </c>
      <c r="AA117" s="137">
        <f>IF(Z117&lt;&gt;"",(N117-Y117),"")</f>
        <v>69856.178000000044</v>
      </c>
    </row>
  </sheetData>
  <autoFilter ref="A1:AL14" xr:uid="{107B9E09-8154-459A-AE62-6A4242823A27}">
    <filterColumn colId="5" showButton="0"/>
  </autoFilter>
  <mergeCells count="83">
    <mergeCell ref="F22:J22"/>
    <mergeCell ref="Q22:S22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3:N23"/>
    <mergeCell ref="Q23:Y23"/>
    <mergeCell ref="F24:K24"/>
    <mergeCell ref="Q24:Y24"/>
    <mergeCell ref="F40:J40"/>
    <mergeCell ref="Q40:S40"/>
    <mergeCell ref="F41:N41"/>
    <mergeCell ref="Q41:Y41"/>
    <mergeCell ref="F42:K42"/>
    <mergeCell ref="Q42:Y42"/>
    <mergeCell ref="F46:J46"/>
    <mergeCell ref="Q46:S46"/>
    <mergeCell ref="F47:N47"/>
    <mergeCell ref="Q47:Y47"/>
    <mergeCell ref="F48:K48"/>
    <mergeCell ref="Q48:Y48"/>
    <mergeCell ref="F52:J52"/>
    <mergeCell ref="Q52:S52"/>
    <mergeCell ref="F53:N53"/>
    <mergeCell ref="Q53:Y53"/>
    <mergeCell ref="F54:K54"/>
    <mergeCell ref="Q54:Y54"/>
    <mergeCell ref="F60:J60"/>
    <mergeCell ref="Q60:S60"/>
    <mergeCell ref="F61:N61"/>
    <mergeCell ref="Q61:Y61"/>
    <mergeCell ref="F62:K62"/>
    <mergeCell ref="Q62:Y62"/>
    <mergeCell ref="F68:J68"/>
    <mergeCell ref="Q68:S68"/>
    <mergeCell ref="F69:N69"/>
    <mergeCell ref="Q69:Y69"/>
    <mergeCell ref="F70:K70"/>
    <mergeCell ref="Q70:Y70"/>
    <mergeCell ref="F73:J73"/>
    <mergeCell ref="Q73:S73"/>
    <mergeCell ref="F74:N74"/>
    <mergeCell ref="Q74:Y74"/>
    <mergeCell ref="F75:K75"/>
    <mergeCell ref="Q75:Y75"/>
    <mergeCell ref="F78:J78"/>
    <mergeCell ref="Q78:S78"/>
    <mergeCell ref="F79:N79"/>
    <mergeCell ref="Q79:Y79"/>
    <mergeCell ref="F80:K80"/>
    <mergeCell ref="Q80:Y80"/>
    <mergeCell ref="F86:J86"/>
    <mergeCell ref="Q86:S86"/>
    <mergeCell ref="F87:N87"/>
    <mergeCell ref="Q87:Y87"/>
    <mergeCell ref="F88:K88"/>
    <mergeCell ref="Q88:Y88"/>
    <mergeCell ref="F92:J92"/>
    <mergeCell ref="Q92:S92"/>
    <mergeCell ref="F93:N93"/>
    <mergeCell ref="Q93:Y93"/>
    <mergeCell ref="F99:J99"/>
    <mergeCell ref="Q99:S99"/>
    <mergeCell ref="F100:N100"/>
    <mergeCell ref="Q100:Y100"/>
    <mergeCell ref="F109:K109"/>
    <mergeCell ref="Q109:Y109"/>
    <mergeCell ref="F116:J116"/>
    <mergeCell ref="Q116:S116"/>
    <mergeCell ref="F101:K101"/>
    <mergeCell ref="Q101:Y101"/>
    <mergeCell ref="F107:J107"/>
    <mergeCell ref="Q107:S107"/>
    <mergeCell ref="F108:N108"/>
    <mergeCell ref="Q108:Y108"/>
  </mergeCells>
  <dataValidations count="3">
    <dataValidation type="list" allowBlank="1" showInputMessage="1" showErrorMessage="1" sqref="E117" xr:uid="{88C00478-2445-4B6C-89B2-FC9AEFCE0688}">
      <formula1>"FAT.OGGI,FAT.CLIENTE "</formula1>
    </dataValidation>
    <dataValidation type="list" allowBlank="1" showInputMessage="1" showErrorMessage="1" sqref="D117 D89:D91 D94:D98 D102:D106 D110:D115 D81:D86 D17:D77" xr:uid="{37321069-1765-4047-96CB-BA8F2BD30BBA}">
      <formula1>"INTERNO,OPERACIONAL"</formula1>
    </dataValidation>
    <dataValidation type="list" allowBlank="1" showInputMessage="1" showErrorMessage="1" sqref="E89:E91 E94:E98 E102:E106 E110:E115 E81:E86 E17:E77" xr:uid="{916C086E-29F3-4E79-9461-FD82A5893579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87EAC-02F3-46EB-9E85-DFF1D37932F1}">
  <sheetPr codeName="Planilha12">
    <pageSetUpPr autoPageBreaks="0"/>
  </sheetPr>
  <dimension ref="A1:AL121"/>
  <sheetViews>
    <sheetView showGridLines="0" topLeftCell="C1" zoomScale="70" zoomScaleNormal="70" workbookViewId="0">
      <pane ySplit="1" topLeftCell="A114" activePane="bottomLeft" state="frozen"/>
      <selection pane="bottomLeft" activeCell="F25" sqref="F25:F26"/>
    </sheetView>
  </sheetViews>
  <sheetFormatPr defaultColWidth="8.88671875" defaultRowHeight="14.4" x14ac:dyDescent="0.3"/>
  <cols>
    <col min="1" max="1" width="5.88671875" customWidth="1"/>
    <col min="2" max="2" width="9.88671875" customWidth="1"/>
    <col min="3" max="3" width="11" customWidth="1"/>
    <col min="4" max="5" width="8.44140625" customWidth="1"/>
    <col min="6" max="6" width="25.109375" customWidth="1"/>
    <col min="7" max="7" width="56.88671875" customWidth="1"/>
    <col min="8" max="8" width="5.88671875" style="94" customWidth="1"/>
    <col min="9" max="9" width="7.88671875" style="94" customWidth="1"/>
    <col min="10" max="10" width="16.44140625" bestFit="1" customWidth="1"/>
    <col min="11" max="11" width="24" customWidth="1"/>
    <col min="12" max="13" width="23.109375" customWidth="1"/>
    <col min="14" max="14" width="26.44140625" bestFit="1" customWidth="1"/>
    <col min="15" max="15" width="3.33203125" customWidth="1"/>
    <col min="16" max="16" width="1.88671875" customWidth="1"/>
    <col min="17" max="17" width="11.109375" style="94" bestFit="1" customWidth="1"/>
    <col min="18" max="18" width="8.44140625" style="94" bestFit="1" customWidth="1"/>
    <col min="19" max="19" width="17.88671875" bestFit="1" customWidth="1"/>
    <col min="20" max="20" width="26.6640625" bestFit="1" customWidth="1"/>
    <col min="21" max="21" width="24.6640625" bestFit="1" customWidth="1"/>
    <col min="22" max="22" width="9.6640625" bestFit="1" customWidth="1"/>
    <col min="23" max="23" width="16.109375" bestFit="1" customWidth="1"/>
    <col min="24" max="24" width="27.109375" bestFit="1" customWidth="1"/>
    <col min="25" max="25" width="26.6640625" bestFit="1" customWidth="1"/>
    <col min="26" max="26" width="14.6640625" bestFit="1" customWidth="1"/>
    <col min="27" max="27" width="24.6640625" bestFit="1" customWidth="1"/>
    <col min="28" max="28" width="38.109375" customWidth="1"/>
    <col min="29" max="29" width="14.109375" bestFit="1" customWidth="1"/>
    <col min="30" max="30" width="7.6640625" bestFit="1" customWidth="1"/>
    <col min="31" max="31" width="6.88671875" bestFit="1" customWidth="1"/>
    <col min="32" max="32" width="1.33203125" customWidth="1"/>
    <col min="33" max="33" width="14" bestFit="1" customWidth="1"/>
    <col min="34" max="34" width="11.6640625" bestFit="1" customWidth="1"/>
    <col min="35" max="35" width="6.33203125" bestFit="1" customWidth="1"/>
    <col min="36" max="36" width="12.6640625" bestFit="1" customWidth="1"/>
    <col min="37" max="37" width="13.109375" bestFit="1" customWidth="1"/>
    <col min="38" max="38" width="13.5546875" bestFit="1" customWidth="1"/>
    <col min="40" max="40" width="21.33203125" customWidth="1"/>
  </cols>
  <sheetData>
    <row r="1" spans="1:38" ht="49.5" customHeight="1" x14ac:dyDescent="0.3">
      <c r="B1" s="41"/>
      <c r="C1" s="42"/>
      <c r="D1" s="42"/>
      <c r="F1" s="630" t="s">
        <v>107</v>
      </c>
      <c r="G1" s="630"/>
    </row>
    <row r="2" spans="1:38" ht="24.75" customHeight="1" x14ac:dyDescent="0.3">
      <c r="B2" s="40"/>
      <c r="D2" s="42"/>
      <c r="F2" s="631" t="s">
        <v>0</v>
      </c>
      <c r="G2" s="631"/>
    </row>
    <row r="3" spans="1:38" ht="18.600000000000001" thickBot="1" x14ac:dyDescent="0.4">
      <c r="B3" s="43"/>
      <c r="F3" s="33"/>
      <c r="G3" s="33"/>
    </row>
    <row r="4" spans="1:38" ht="29.1" customHeight="1" x14ac:dyDescent="0.3">
      <c r="F4" s="113" t="s">
        <v>209</v>
      </c>
      <c r="G4" s="114" t="s">
        <v>307</v>
      </c>
    </row>
    <row r="5" spans="1:38" ht="27.6" customHeight="1" x14ac:dyDescent="0.3">
      <c r="F5" s="115" t="s">
        <v>210</v>
      </c>
      <c r="G5" s="116" t="s">
        <v>208</v>
      </c>
    </row>
    <row r="6" spans="1:38" ht="24.9" customHeight="1" x14ac:dyDescent="0.3">
      <c r="D6" t="s">
        <v>105</v>
      </c>
      <c r="F6" s="115" t="s">
        <v>211</v>
      </c>
      <c r="G6" s="116" t="s">
        <v>308</v>
      </c>
    </row>
    <row r="7" spans="1:38" ht="25.5" customHeight="1" x14ac:dyDescent="0.3">
      <c r="F7" s="115" t="s">
        <v>212</v>
      </c>
      <c r="G7" s="116" t="s">
        <v>290</v>
      </c>
      <c r="J7" t="s">
        <v>106</v>
      </c>
    </row>
    <row r="8" spans="1:38" ht="26.1" customHeight="1" x14ac:dyDescent="0.3">
      <c r="F8" s="115" t="s">
        <v>213</v>
      </c>
      <c r="G8" s="116" t="s">
        <v>309</v>
      </c>
    </row>
    <row r="9" spans="1:38" ht="27.6" customHeight="1" x14ac:dyDescent="0.3">
      <c r="F9" s="115" t="s">
        <v>214</v>
      </c>
      <c r="G9" s="116" t="s">
        <v>118</v>
      </c>
      <c r="J9" t="s">
        <v>105</v>
      </c>
    </row>
    <row r="10" spans="1:38" ht="27" customHeight="1" x14ac:dyDescent="0.3">
      <c r="F10" s="115" t="s">
        <v>215</v>
      </c>
      <c r="G10" s="116" t="s">
        <v>293</v>
      </c>
    </row>
    <row r="11" spans="1:38" ht="18.600000000000001" thickBot="1" x14ac:dyDescent="0.35">
      <c r="F11" s="117" t="s">
        <v>216</v>
      </c>
      <c r="G11" s="118" t="s">
        <v>310</v>
      </c>
    </row>
    <row r="12" spans="1:38" ht="16.8" thickBot="1" x14ac:dyDescent="0.35">
      <c r="B12" s="1"/>
      <c r="M12" s="27"/>
      <c r="Q12" s="632" t="s">
        <v>1</v>
      </c>
      <c r="R12" s="633"/>
      <c r="S12" s="633"/>
      <c r="T12" s="634"/>
      <c r="U12" s="646" t="s">
        <v>2</v>
      </c>
      <c r="V12" s="647"/>
      <c r="W12" s="647"/>
      <c r="X12" s="648"/>
      <c r="Y12" s="29" t="s">
        <v>56</v>
      </c>
      <c r="Z12" s="30">
        <f>(1/(1-M14))-1</f>
        <v>0.24269914253759173</v>
      </c>
      <c r="AC12" s="649" t="s">
        <v>3</v>
      </c>
      <c r="AD12" s="650"/>
      <c r="AE12" s="651"/>
      <c r="AG12" s="652" t="s">
        <v>58</v>
      </c>
      <c r="AH12" s="653"/>
      <c r="AJ12" s="34" t="s">
        <v>60</v>
      </c>
      <c r="AK12" s="635" t="s">
        <v>59</v>
      </c>
      <c r="AL12" s="636"/>
    </row>
    <row r="13" spans="1:38" ht="18.600000000000001" thickBot="1" x14ac:dyDescent="0.4">
      <c r="A13" s="31" t="s">
        <v>4</v>
      </c>
      <c r="B13" s="32" t="s">
        <v>5</v>
      </c>
      <c r="C13" s="31" t="s">
        <v>6</v>
      </c>
      <c r="D13" s="31" t="s">
        <v>7</v>
      </c>
      <c r="E13" s="31" t="s">
        <v>8</v>
      </c>
      <c r="M13" s="28">
        <v>0.81</v>
      </c>
    </row>
    <row r="14" spans="1:38" ht="33" thickBot="1" x14ac:dyDescent="0.35">
      <c r="A14" s="45">
        <v>0</v>
      </c>
      <c r="B14" s="46"/>
      <c r="C14" s="47"/>
      <c r="D14" s="44"/>
      <c r="E14" s="44"/>
      <c r="F14" s="172" t="s">
        <v>83</v>
      </c>
      <c r="G14" s="173" t="s">
        <v>84</v>
      </c>
      <c r="H14" s="57" t="s">
        <v>85</v>
      </c>
      <c r="I14" s="57" t="s">
        <v>86</v>
      </c>
      <c r="J14" s="58" t="s">
        <v>87</v>
      </c>
      <c r="K14" s="174" t="s">
        <v>9</v>
      </c>
      <c r="L14" s="175">
        <v>0.09</v>
      </c>
      <c r="M14" s="56">
        <v>0.1953</v>
      </c>
      <c r="N14" s="59" t="s">
        <v>81</v>
      </c>
      <c r="Q14" s="60" t="s">
        <v>88</v>
      </c>
      <c r="R14" s="61" t="s">
        <v>89</v>
      </c>
      <c r="S14" s="62" t="s">
        <v>90</v>
      </c>
      <c r="T14" s="63" t="s">
        <v>91</v>
      </c>
      <c r="U14" s="64" t="s">
        <v>92</v>
      </c>
      <c r="V14" s="65" t="s">
        <v>93</v>
      </c>
      <c r="W14" s="66" t="s">
        <v>94</v>
      </c>
      <c r="X14" s="66" t="s">
        <v>95</v>
      </c>
      <c r="Y14" s="67" t="s">
        <v>96</v>
      </c>
      <c r="Z14" s="48" t="s">
        <v>97</v>
      </c>
      <c r="AA14" s="49" t="s">
        <v>82</v>
      </c>
      <c r="AC14" s="50" t="s">
        <v>98</v>
      </c>
      <c r="AD14" s="51" t="s">
        <v>99</v>
      </c>
      <c r="AE14" s="51" t="s">
        <v>33</v>
      </c>
      <c r="AG14" s="52" t="s">
        <v>100</v>
      </c>
      <c r="AH14" s="53" t="s">
        <v>101</v>
      </c>
      <c r="AK14" s="54" t="s">
        <v>102</v>
      </c>
      <c r="AL14" s="55" t="s">
        <v>103</v>
      </c>
    </row>
    <row r="15" spans="1:38" ht="20.399999999999999" customHeight="1" thickBot="1" x14ac:dyDescent="0.4">
      <c r="A15" s="44">
        <v>1</v>
      </c>
      <c r="B15" s="74">
        <v>1</v>
      </c>
      <c r="C15" s="73" t="s">
        <v>108</v>
      </c>
      <c r="D15" s="44"/>
      <c r="E15" s="44"/>
      <c r="F15" s="637" t="s">
        <v>125</v>
      </c>
      <c r="G15" s="638"/>
      <c r="H15" s="638"/>
      <c r="I15" s="638"/>
      <c r="J15" s="638"/>
      <c r="K15" s="638"/>
      <c r="L15" s="638"/>
      <c r="M15" s="638"/>
      <c r="N15" s="639"/>
      <c r="Q15" s="640" t="str">
        <f>IF(F15&lt;&gt;"",F15,"")</f>
        <v>INTERNOS</v>
      </c>
      <c r="R15" s="641"/>
      <c r="S15" s="641"/>
      <c r="T15" s="641"/>
      <c r="U15" s="641"/>
      <c r="V15" s="641"/>
      <c r="W15" s="641"/>
      <c r="X15" s="641"/>
      <c r="Y15" s="642"/>
      <c r="Z15" s="89"/>
    </row>
    <row r="16" spans="1:38" ht="23.1" customHeight="1" x14ac:dyDescent="0.35">
      <c r="A16" s="44">
        <v>2</v>
      </c>
      <c r="B16" s="74" t="s">
        <v>110</v>
      </c>
      <c r="C16" s="73" t="s">
        <v>109</v>
      </c>
      <c r="D16" s="44"/>
      <c r="E16" s="44"/>
      <c r="F16" s="643" t="s">
        <v>125</v>
      </c>
      <c r="G16" s="644"/>
      <c r="H16" s="644"/>
      <c r="I16" s="644"/>
      <c r="J16" s="644"/>
      <c r="K16" s="644"/>
      <c r="L16" s="166" t="s">
        <v>111</v>
      </c>
      <c r="M16" s="166" t="s">
        <v>112</v>
      </c>
      <c r="N16" s="167" t="s">
        <v>81</v>
      </c>
      <c r="Q16" s="643" t="str">
        <f>IF(F16&lt;&gt;"",F16,"")</f>
        <v>INTERNOS</v>
      </c>
      <c r="R16" s="644"/>
      <c r="S16" s="644"/>
      <c r="T16" s="644"/>
      <c r="U16" s="644"/>
      <c r="V16" s="644"/>
      <c r="W16" s="644"/>
      <c r="X16" s="644"/>
      <c r="Y16" s="645"/>
      <c r="Z16" s="88" t="s">
        <v>113</v>
      </c>
      <c r="AA16" s="75" t="s">
        <v>82</v>
      </c>
    </row>
    <row r="17" spans="1:27" ht="38.1" customHeight="1" x14ac:dyDescent="0.3">
      <c r="A17" s="44">
        <v>3</v>
      </c>
      <c r="B17" s="74" t="s">
        <v>115</v>
      </c>
      <c r="C17" s="73" t="s">
        <v>114</v>
      </c>
      <c r="D17" s="44" t="s">
        <v>120</v>
      </c>
      <c r="E17" s="44" t="s">
        <v>121</v>
      </c>
      <c r="F17" s="95" t="s">
        <v>319</v>
      </c>
      <c r="G17" s="77" t="s">
        <v>146</v>
      </c>
      <c r="H17" s="93">
        <v>1</v>
      </c>
      <c r="I17" s="93">
        <v>1</v>
      </c>
      <c r="J17" s="76">
        <v>4000</v>
      </c>
      <c r="K17" s="76">
        <f>IF(F17&lt;&gt;"",H17*I17*J17,"")</f>
        <v>4000</v>
      </c>
      <c r="L17" s="76">
        <f>IF(K17&lt;&gt;"",IF(D17="INTERNO",0,K17*$L$14),"")</f>
        <v>0</v>
      </c>
      <c r="M17" s="76">
        <f>IF(K17&lt;&gt;"",IF(E17="FAT.OGGI",SUM(K17:L17)*(1/(1-$M$14)-1),L17*(1/(1-$M$14)-1)),0)</f>
        <v>970.79657015036696</v>
      </c>
      <c r="N17" s="91">
        <f>SUM(K17:M17)</f>
        <v>4970.7965701503672</v>
      </c>
      <c r="Q17" s="106">
        <f t="shared" ref="Q17:R20" si="0">IF(H17&lt;&gt;"",H17,"")</f>
        <v>1</v>
      </c>
      <c r="R17" s="102">
        <f t="shared" si="0"/>
        <v>1</v>
      </c>
      <c r="S17" s="103">
        <v>0</v>
      </c>
      <c r="T17" s="103">
        <f>IF(Q17&lt;&gt;"",Q17*R17*S17,"")</f>
        <v>0</v>
      </c>
      <c r="U17" s="104">
        <f>IF(Q17&lt;&gt;"",K17-T17,"")</f>
        <v>4000</v>
      </c>
      <c r="V17" s="105">
        <f>IF(Q17&lt;&gt;"",0%,"")</f>
        <v>0</v>
      </c>
      <c r="W17" s="101">
        <f>IF(Q17&lt;&gt;"",V17*U17,"")</f>
        <v>0</v>
      </c>
      <c r="X17" s="101">
        <f>IF(Q17&lt;&gt;"",W17+T17,"")</f>
        <v>0</v>
      </c>
      <c r="Y17" s="92">
        <f t="shared" ref="Y17:Y22" si="1">IF(Q17&lt;&gt;"",X17+M17,"")</f>
        <v>970.79657015036696</v>
      </c>
      <c r="Z17" s="89">
        <f>IF(Q17&lt;&gt;"", IFERROR(U17/K17, 0), 0)</f>
        <v>1</v>
      </c>
      <c r="AA17" s="82">
        <f>IFERROR(T17/$T$22, "")</f>
        <v>0</v>
      </c>
    </row>
    <row r="18" spans="1:27" ht="49.5" customHeight="1" x14ac:dyDescent="0.3">
      <c r="A18" s="44">
        <v>4</v>
      </c>
      <c r="B18" s="74" t="s">
        <v>104</v>
      </c>
      <c r="C18" s="73" t="s">
        <v>114</v>
      </c>
      <c r="D18" s="44" t="s">
        <v>120</v>
      </c>
      <c r="E18" s="44" t="s">
        <v>121</v>
      </c>
      <c r="F18" s="95" t="s">
        <v>152</v>
      </c>
      <c r="G18" s="77" t="s">
        <v>147</v>
      </c>
      <c r="H18" s="93">
        <v>1</v>
      </c>
      <c r="I18" s="93">
        <v>1</v>
      </c>
      <c r="J18" s="76">
        <v>6000</v>
      </c>
      <c r="K18" s="76">
        <f>IF(F18&lt;&gt;"",H18*I18*J18,"")</f>
        <v>6000</v>
      </c>
      <c r="L18" s="76">
        <f>IF(K18&lt;&gt;"",IF(D18="INTERNO",0,K18*$L$14),"")</f>
        <v>0</v>
      </c>
      <c r="M18" s="76">
        <f>IF(K18&lt;&gt;"",IF(E18="FAT.OGGI",SUM(K18:L18)*(1/(1-$M$14)-1),L18*(1/(1-$M$14)-1)),0)</f>
        <v>1456.1948552255503</v>
      </c>
      <c r="N18" s="91">
        <f>SUM(K18:M18)</f>
        <v>7456.1948552255508</v>
      </c>
      <c r="Q18" s="106">
        <f t="shared" si="0"/>
        <v>1</v>
      </c>
      <c r="R18" s="102">
        <f t="shared" si="0"/>
        <v>1</v>
      </c>
      <c r="S18" s="103">
        <v>4000</v>
      </c>
      <c r="T18" s="103">
        <f>IF(Q18&lt;&gt;"",Q18*R18*S18,"")</f>
        <v>4000</v>
      </c>
      <c r="U18" s="104">
        <f>IF(Q18&lt;&gt;"",K18-T18,"")</f>
        <v>2000</v>
      </c>
      <c r="V18" s="105">
        <f>IF(Q18&lt;&gt;"",0%,"")</f>
        <v>0</v>
      </c>
      <c r="W18" s="101">
        <f>IF(Q18&lt;&gt;"",V18*U18,"")</f>
        <v>0</v>
      </c>
      <c r="X18" s="101">
        <f>IF(Q18&lt;&gt;"",W18+T18,"")</f>
        <v>4000</v>
      </c>
      <c r="Y18" s="92">
        <f t="shared" si="1"/>
        <v>5456.1948552255508</v>
      </c>
      <c r="Z18" s="89">
        <f>IF(Q18&lt;&gt;"", IFERROR(U18/K18, 0), 0)</f>
        <v>0.33333333333333331</v>
      </c>
      <c r="AA18" s="82">
        <f>IFERROR(T18/$T$22, "")</f>
        <v>0.5</v>
      </c>
    </row>
    <row r="19" spans="1:27" ht="87.6" customHeight="1" x14ac:dyDescent="0.3">
      <c r="A19" s="44">
        <v>5</v>
      </c>
      <c r="B19" s="74" t="s">
        <v>116</v>
      </c>
      <c r="C19" s="73" t="s">
        <v>114</v>
      </c>
      <c r="D19" s="44" t="s">
        <v>120</v>
      </c>
      <c r="E19" s="44" t="s">
        <v>121</v>
      </c>
      <c r="F19" s="95" t="s">
        <v>148</v>
      </c>
      <c r="G19" s="77" t="s">
        <v>149</v>
      </c>
      <c r="H19" s="93">
        <v>1</v>
      </c>
      <c r="I19" s="93">
        <v>1</v>
      </c>
      <c r="J19" s="76">
        <v>7000</v>
      </c>
      <c r="K19" s="76">
        <f>IF(F19&lt;&gt;"",H19*I19*J19,"")</f>
        <v>7000</v>
      </c>
      <c r="L19" s="76">
        <f>IF(K19&lt;&gt;"",IF(D19="INTERNO",0,K19*$L$14),"")</f>
        <v>0</v>
      </c>
      <c r="M19" s="76">
        <f>IF(K19&lt;&gt;"",IF(E19="FAT.OGGI",SUM(K19:L19)*(1/(1-$M$14)-1),L19*(1/(1-$M$14)-1)),0)</f>
        <v>1698.8939977631421</v>
      </c>
      <c r="N19" s="91">
        <f>SUM(K19:M19)</f>
        <v>8698.8939977631417</v>
      </c>
      <c r="Q19" s="106">
        <f t="shared" si="0"/>
        <v>1</v>
      </c>
      <c r="R19" s="102">
        <f t="shared" si="0"/>
        <v>1</v>
      </c>
      <c r="S19" s="103">
        <v>3000</v>
      </c>
      <c r="T19" s="103">
        <f>IF(Q19&lt;&gt;"",Q19*R19*S19,"")</f>
        <v>3000</v>
      </c>
      <c r="U19" s="104">
        <f>IF(Q19&lt;&gt;"",K19-T19,"")</f>
        <v>4000</v>
      </c>
      <c r="V19" s="105">
        <f>IF(Q19&lt;&gt;"",0%,"")</f>
        <v>0</v>
      </c>
      <c r="W19" s="101">
        <f>IF(Q19&lt;&gt;"",V19*U19,"")</f>
        <v>0</v>
      </c>
      <c r="X19" s="101">
        <f>IF(Q19&lt;&gt;"",W19+T19,"")</f>
        <v>3000</v>
      </c>
      <c r="Y19" s="92">
        <f t="shared" si="1"/>
        <v>4698.8939977631417</v>
      </c>
      <c r="Z19" s="89">
        <f>IF(Q19&lt;&gt;"", IFERROR(U19/K19, 0), 0)</f>
        <v>0.5714285714285714</v>
      </c>
      <c r="AA19" s="82">
        <f>IFERROR(T19/$T$22, "")</f>
        <v>0.375</v>
      </c>
    </row>
    <row r="20" spans="1:27" ht="35.1" customHeight="1" x14ac:dyDescent="0.3">
      <c r="A20" s="44">
        <v>6</v>
      </c>
      <c r="B20" s="74" t="s">
        <v>117</v>
      </c>
      <c r="C20" s="73" t="s">
        <v>114</v>
      </c>
      <c r="D20" s="44" t="s">
        <v>120</v>
      </c>
      <c r="E20" s="44" t="s">
        <v>121</v>
      </c>
      <c r="F20" s="131" t="s">
        <v>119</v>
      </c>
      <c r="G20" s="132" t="s">
        <v>320</v>
      </c>
      <c r="H20" s="93">
        <v>1</v>
      </c>
      <c r="I20" s="93">
        <v>1</v>
      </c>
      <c r="J20" s="76">
        <v>2000</v>
      </c>
      <c r="K20" s="76">
        <f>IF(F20&lt;&gt;"",H20*I20*J20,"")</f>
        <v>2000</v>
      </c>
      <c r="L20" s="76">
        <f>IF(K20&lt;&gt;"",IF(D20="INTERNO",0,K20*$L$14),"")</f>
        <v>0</v>
      </c>
      <c r="M20" s="76">
        <f>IF(K20&lt;&gt;"",IF(E20="FAT.OGGI",SUM(K20:L20)*(1/(1-$M$14)-1),L20*(1/(1-$M$14)-1)),0)</f>
        <v>485.39828507518348</v>
      </c>
      <c r="N20" s="91">
        <f>SUM(K20:M20)</f>
        <v>2485.3982850751836</v>
      </c>
      <c r="Q20" s="106">
        <f t="shared" si="0"/>
        <v>1</v>
      </c>
      <c r="R20" s="102">
        <f t="shared" si="0"/>
        <v>1</v>
      </c>
      <c r="S20" s="103">
        <v>0</v>
      </c>
      <c r="T20" s="103">
        <f>IF(Q20&lt;&gt;"",Q20*R20*S20,"")</f>
        <v>0</v>
      </c>
      <c r="U20" s="104">
        <f>IF(Q20&lt;&gt;"",K20-T20,"")</f>
        <v>2000</v>
      </c>
      <c r="V20" s="105">
        <f>IF(Q20&lt;&gt;"",0%,"")</f>
        <v>0</v>
      </c>
      <c r="W20" s="101">
        <f>IF(Q20&lt;&gt;"",V20*U20,"")</f>
        <v>0</v>
      </c>
      <c r="X20" s="101">
        <f>IF(Q20&lt;&gt;"",W20+T20,"")</f>
        <v>0</v>
      </c>
      <c r="Y20" s="92">
        <f t="shared" si="1"/>
        <v>485.39828507518348</v>
      </c>
      <c r="Z20" s="89">
        <f>IF(Q20&lt;&gt;"", IFERROR(U20/K20, 0), 0)</f>
        <v>1</v>
      </c>
      <c r="AA20" s="82">
        <f>IFERROR(T20/$T$22, "")</f>
        <v>0</v>
      </c>
    </row>
    <row r="21" spans="1:27" ht="49.5" customHeight="1" x14ac:dyDescent="0.3">
      <c r="A21" s="44">
        <v>7</v>
      </c>
      <c r="B21" s="74" t="s">
        <v>145</v>
      </c>
      <c r="C21" s="73" t="s">
        <v>114</v>
      </c>
      <c r="D21" s="44" t="s">
        <v>120</v>
      </c>
      <c r="E21" s="44" t="s">
        <v>121</v>
      </c>
      <c r="F21" s="95" t="s">
        <v>150</v>
      </c>
      <c r="G21" s="77" t="s">
        <v>151</v>
      </c>
      <c r="H21" s="93">
        <v>1</v>
      </c>
      <c r="I21" s="93">
        <v>1</v>
      </c>
      <c r="J21" s="76">
        <v>2500</v>
      </c>
      <c r="K21" s="76">
        <f>IF(F21&lt;&gt;"",H21*I21*J21,"")</f>
        <v>2500</v>
      </c>
      <c r="L21" s="76">
        <f>IF(K21&lt;&gt;"",IF(D21="INTERNO",0,K21*$L$14),"")</f>
        <v>0</v>
      </c>
      <c r="M21" s="76">
        <f>IF(K21&lt;&gt;"",IF(E21="FAT.OGGI",SUM(K21:L21)*(1/(1-$M$14)-1),L21*(1/(1-$M$14)-1)),0)</f>
        <v>606.74785634397927</v>
      </c>
      <c r="N21" s="91">
        <f>SUM(K21:M21)</f>
        <v>3106.747856343979</v>
      </c>
      <c r="Q21" s="106">
        <f>IF(H21&lt;&gt;"",H21,"")</f>
        <v>1</v>
      </c>
      <c r="R21" s="102">
        <f>IF(I21&lt;&gt;"",I21,"")</f>
        <v>1</v>
      </c>
      <c r="S21" s="103">
        <v>1000</v>
      </c>
      <c r="T21" s="103">
        <f>IF(Q21&lt;&gt;"",Q21*R21*S21,"")</f>
        <v>1000</v>
      </c>
      <c r="U21" s="104">
        <f>IF(Q21&lt;&gt;"",K21-T21,"")</f>
        <v>1500</v>
      </c>
      <c r="V21" s="105">
        <f>IF(Q21&lt;&gt;"",0%,"")</f>
        <v>0</v>
      </c>
      <c r="W21" s="101">
        <f>IF(Q21&lt;&gt;"",V21*U21,"")</f>
        <v>0</v>
      </c>
      <c r="X21" s="101">
        <f>IF(Q21&lt;&gt;"",W21+T21,"")</f>
        <v>1000</v>
      </c>
      <c r="Y21" s="92">
        <f t="shared" si="1"/>
        <v>1606.7478563439793</v>
      </c>
      <c r="Z21" s="89">
        <f>IF(Q21&lt;&gt;"", IFERROR(U21/K21, 0), 0)</f>
        <v>0.6</v>
      </c>
      <c r="AA21" s="82">
        <f>IFERROR(T21/$T$22, "")</f>
        <v>0.125</v>
      </c>
    </row>
    <row r="22" spans="1:27" ht="21.9" customHeight="1" thickBot="1" x14ac:dyDescent="0.4">
      <c r="A22" s="70">
        <v>8</v>
      </c>
      <c r="B22" s="74"/>
      <c r="C22" s="72" t="s">
        <v>122</v>
      </c>
      <c r="D22" s="70"/>
      <c r="E22" s="70"/>
      <c r="F22" s="626" t="s">
        <v>200</v>
      </c>
      <c r="G22" s="627"/>
      <c r="H22" s="627"/>
      <c r="I22" s="627"/>
      <c r="J22" s="627"/>
      <c r="K22" s="168">
        <f>SUM(K17:K21)</f>
        <v>21500</v>
      </c>
      <c r="L22" s="168">
        <f>SUM(L17:L21)</f>
        <v>0</v>
      </c>
      <c r="M22" s="168">
        <f>SUM(M17:M21)</f>
        <v>5218.0315645582223</v>
      </c>
      <c r="N22" s="169">
        <f>SUM(N17:N21)</f>
        <v>26718.031564558223</v>
      </c>
      <c r="Q22" s="628" t="s">
        <v>200</v>
      </c>
      <c r="R22" s="629"/>
      <c r="S22" s="629"/>
      <c r="T22" s="195">
        <f>SUM(T17:T21)</f>
        <v>8000</v>
      </c>
      <c r="U22" s="196">
        <f>SUM(U17:U21)</f>
        <v>13500</v>
      </c>
      <c r="V22" s="201"/>
      <c r="W22" s="130"/>
      <c r="X22" s="199">
        <f>SUM(X17:X21)</f>
        <v>8000</v>
      </c>
      <c r="Y22" s="200">
        <f t="shared" si="1"/>
        <v>13218.031564558223</v>
      </c>
      <c r="Z22" s="89"/>
      <c r="AA22" s="100"/>
    </row>
    <row r="23" spans="1:27" ht="23.4" customHeight="1" thickBot="1" x14ac:dyDescent="0.4">
      <c r="A23" s="44">
        <v>9</v>
      </c>
      <c r="B23" s="74">
        <v>2</v>
      </c>
      <c r="C23" s="73" t="s">
        <v>108</v>
      </c>
      <c r="D23" s="44"/>
      <c r="E23" s="44"/>
      <c r="F23" s="637" t="s">
        <v>155</v>
      </c>
      <c r="G23" s="638"/>
      <c r="H23" s="638"/>
      <c r="I23" s="638"/>
      <c r="J23" s="638"/>
      <c r="K23" s="638"/>
      <c r="L23" s="638"/>
      <c r="M23" s="638"/>
      <c r="N23" s="639"/>
      <c r="Q23" s="640" t="str">
        <f>IF(F23&lt;&gt;"",F23,"")</f>
        <v>LOCAÇÃO DE ESPAÇO E A&amp;B</v>
      </c>
      <c r="R23" s="641"/>
      <c r="S23" s="641"/>
      <c r="T23" s="641"/>
      <c r="U23" s="641"/>
      <c r="V23" s="641"/>
      <c r="W23" s="641"/>
      <c r="X23" s="641"/>
      <c r="Y23" s="642"/>
      <c r="Z23" s="89"/>
    </row>
    <row r="24" spans="1:27" ht="24.6" customHeight="1" thickBot="1" x14ac:dyDescent="0.4">
      <c r="A24" s="44">
        <v>10</v>
      </c>
      <c r="B24" s="74" t="s">
        <v>124</v>
      </c>
      <c r="C24" s="73" t="s">
        <v>109</v>
      </c>
      <c r="D24" s="44"/>
      <c r="E24" s="44"/>
      <c r="F24" s="654" t="s">
        <v>156</v>
      </c>
      <c r="G24" s="655"/>
      <c r="H24" s="655"/>
      <c r="I24" s="655"/>
      <c r="J24" s="655"/>
      <c r="K24" s="655"/>
      <c r="L24" s="247" t="s">
        <v>111</v>
      </c>
      <c r="M24" s="247" t="s">
        <v>112</v>
      </c>
      <c r="N24" s="248" t="s">
        <v>81</v>
      </c>
      <c r="Q24" s="656" t="str">
        <f>IF(F24&lt;&gt;"",F24,"")</f>
        <v>SÃO PAULO</v>
      </c>
      <c r="R24" s="657"/>
      <c r="S24" s="657"/>
      <c r="T24" s="657"/>
      <c r="U24" s="657"/>
      <c r="V24" s="657"/>
      <c r="W24" s="657"/>
      <c r="X24" s="657"/>
      <c r="Y24" s="658"/>
      <c r="Z24" s="96" t="s">
        <v>113</v>
      </c>
      <c r="AA24" s="75" t="s">
        <v>82</v>
      </c>
    </row>
    <row r="25" spans="1:27" ht="36" customHeight="1" x14ac:dyDescent="0.3">
      <c r="A25" s="44">
        <v>11</v>
      </c>
      <c r="B25" s="74" t="s">
        <v>127</v>
      </c>
      <c r="C25" s="73" t="s">
        <v>114</v>
      </c>
      <c r="D25" s="44" t="s">
        <v>129</v>
      </c>
      <c r="E25" s="44" t="s">
        <v>130</v>
      </c>
      <c r="F25" s="250" t="s">
        <v>218</v>
      </c>
      <c r="G25" s="251" t="s">
        <v>219</v>
      </c>
      <c r="H25" s="252">
        <v>1</v>
      </c>
      <c r="I25" s="252">
        <v>0</v>
      </c>
      <c r="J25" s="253">
        <v>4100</v>
      </c>
      <c r="K25" s="253">
        <f t="shared" ref="K25:K29" si="2">IF(F25&lt;&gt;"",H25*I25*J25,"")</f>
        <v>0</v>
      </c>
      <c r="L25" s="253">
        <f t="shared" ref="L25:L28" si="3">IF(K25&lt;&gt;"",IF(D25="INTERNO",0,K25*$L$14),"")</f>
        <v>0</v>
      </c>
      <c r="M25" s="253">
        <f t="shared" ref="M25:M28" si="4">IF(K25&lt;&gt;"",IF(E25="FAT.OGGI",SUM(K25:L25)*(1/(1-$M$14)-1),L25*(1/(1-$M$14)-1)),0)</f>
        <v>0</v>
      </c>
      <c r="N25" s="254">
        <f t="shared" ref="N25:N28" si="5">SUM(K25:M25)</f>
        <v>0</v>
      </c>
      <c r="Q25" s="106">
        <f t="shared" ref="Q25:R28" si="6">IF(H25&lt;&gt;"",H25,"")</f>
        <v>1</v>
      </c>
      <c r="R25" s="102">
        <f t="shared" si="6"/>
        <v>0</v>
      </c>
      <c r="S25" s="103">
        <v>3200</v>
      </c>
      <c r="T25" s="103">
        <f t="shared" ref="T25:T28" si="7">IF(Q25&lt;&gt;"",Q25*R25*S25,"")</f>
        <v>0</v>
      </c>
      <c r="U25" s="104">
        <f t="shared" ref="U25:U28" si="8">IF(Q25&lt;&gt;"",K25-T25,"")</f>
        <v>0</v>
      </c>
      <c r="V25" s="105">
        <f t="shared" ref="V25:V28" si="9">IF(Q25&lt;&gt;"",0%,"")</f>
        <v>0</v>
      </c>
      <c r="W25" s="101">
        <f t="shared" ref="W25:W28" si="10">IF(Q25&lt;&gt;"",V25*U25,"")</f>
        <v>0</v>
      </c>
      <c r="X25" s="101">
        <f t="shared" ref="X25:X28" si="11">IF(Q25&lt;&gt;"",W25+T25,"")</f>
        <v>0</v>
      </c>
      <c r="Y25" s="92">
        <f t="shared" ref="Y25:Y39" si="12">IF(Q25&lt;&gt;"",X25+M25,"")</f>
        <v>0</v>
      </c>
      <c r="Z25" s="89">
        <f t="shared" ref="Z25:Z28" si="13">IF(Q25&lt;&gt;"", IFERROR(U25/K25, 0), 0)</f>
        <v>0</v>
      </c>
      <c r="AA25" s="82">
        <f>IFERROR(T25/$T$39, "")</f>
        <v>0</v>
      </c>
    </row>
    <row r="26" spans="1:27" ht="36" customHeight="1" thickBot="1" x14ac:dyDescent="0.35">
      <c r="A26" s="44">
        <v>12</v>
      </c>
      <c r="B26" s="74" t="s">
        <v>128</v>
      </c>
      <c r="C26" s="73" t="s">
        <v>114</v>
      </c>
      <c r="D26" s="44" t="s">
        <v>129</v>
      </c>
      <c r="E26" s="44" t="s">
        <v>130</v>
      </c>
      <c r="F26" s="86" t="s">
        <v>220</v>
      </c>
      <c r="G26" s="83" t="s">
        <v>221</v>
      </c>
      <c r="H26" s="85">
        <v>45</v>
      </c>
      <c r="I26" s="85">
        <v>0</v>
      </c>
      <c r="J26" s="84">
        <v>315</v>
      </c>
      <c r="K26" s="84">
        <f t="shared" si="2"/>
        <v>0</v>
      </c>
      <c r="L26" s="84">
        <f t="shared" si="3"/>
        <v>0</v>
      </c>
      <c r="M26" s="84">
        <f t="shared" si="4"/>
        <v>0</v>
      </c>
      <c r="N26" s="87">
        <f t="shared" si="5"/>
        <v>0</v>
      </c>
      <c r="Q26" s="106">
        <v>30</v>
      </c>
      <c r="R26" s="102">
        <f t="shared" si="6"/>
        <v>0</v>
      </c>
      <c r="S26" s="103">
        <v>270</v>
      </c>
      <c r="T26" s="103">
        <f t="shared" si="7"/>
        <v>0</v>
      </c>
      <c r="U26" s="104">
        <f t="shared" si="8"/>
        <v>0</v>
      </c>
      <c r="V26" s="105">
        <f t="shared" si="9"/>
        <v>0</v>
      </c>
      <c r="W26" s="101">
        <f t="shared" si="10"/>
        <v>0</v>
      </c>
      <c r="X26" s="101">
        <f t="shared" si="11"/>
        <v>0</v>
      </c>
      <c r="Y26" s="92">
        <f t="shared" si="12"/>
        <v>0</v>
      </c>
      <c r="Z26" s="89">
        <f t="shared" si="13"/>
        <v>0</v>
      </c>
      <c r="AA26" s="82"/>
    </row>
    <row r="27" spans="1:27" ht="36" customHeight="1" x14ac:dyDescent="0.3">
      <c r="A27" s="44">
        <v>13</v>
      </c>
      <c r="B27" s="74" t="s">
        <v>153</v>
      </c>
      <c r="C27" s="73" t="s">
        <v>114</v>
      </c>
      <c r="D27" s="44" t="s">
        <v>129</v>
      </c>
      <c r="E27" s="44" t="s">
        <v>130</v>
      </c>
      <c r="F27" s="250" t="s">
        <v>222</v>
      </c>
      <c r="G27" s="251" t="s">
        <v>223</v>
      </c>
      <c r="H27" s="252">
        <v>1</v>
      </c>
      <c r="I27" s="252">
        <v>0</v>
      </c>
      <c r="J27" s="253">
        <v>8700</v>
      </c>
      <c r="K27" s="253">
        <f t="shared" si="2"/>
        <v>0</v>
      </c>
      <c r="L27" s="253">
        <f t="shared" si="3"/>
        <v>0</v>
      </c>
      <c r="M27" s="253">
        <f t="shared" si="4"/>
        <v>0</v>
      </c>
      <c r="N27" s="254">
        <f t="shared" si="5"/>
        <v>0</v>
      </c>
      <c r="Q27" s="106">
        <v>30</v>
      </c>
      <c r="R27" s="102">
        <f t="shared" si="6"/>
        <v>0</v>
      </c>
      <c r="S27" s="103">
        <v>8000</v>
      </c>
      <c r="T27" s="103">
        <f t="shared" si="7"/>
        <v>0</v>
      </c>
      <c r="U27" s="104">
        <f t="shared" si="8"/>
        <v>0</v>
      </c>
      <c r="V27" s="105">
        <f t="shared" si="9"/>
        <v>0</v>
      </c>
      <c r="W27" s="101">
        <f t="shared" si="10"/>
        <v>0</v>
      </c>
      <c r="X27" s="101">
        <f t="shared" si="11"/>
        <v>0</v>
      </c>
      <c r="Y27" s="92">
        <f t="shared" si="12"/>
        <v>0</v>
      </c>
      <c r="Z27" s="89">
        <f t="shared" si="13"/>
        <v>0</v>
      </c>
      <c r="AA27" s="82"/>
    </row>
    <row r="28" spans="1:27" ht="36" customHeight="1" thickBot="1" x14ac:dyDescent="0.35">
      <c r="A28" s="44">
        <v>14</v>
      </c>
      <c r="B28" s="74" t="s">
        <v>154</v>
      </c>
      <c r="C28" s="73" t="s">
        <v>114</v>
      </c>
      <c r="D28" s="44" t="s">
        <v>129</v>
      </c>
      <c r="E28" s="44" t="s">
        <v>130</v>
      </c>
      <c r="F28" s="255" t="s">
        <v>220</v>
      </c>
      <c r="G28" s="256" t="s">
        <v>221</v>
      </c>
      <c r="H28" s="257">
        <v>45</v>
      </c>
      <c r="I28" s="257">
        <v>0</v>
      </c>
      <c r="J28" s="258">
        <v>360</v>
      </c>
      <c r="K28" s="258">
        <f t="shared" si="2"/>
        <v>0</v>
      </c>
      <c r="L28" s="258">
        <f t="shared" si="3"/>
        <v>0</v>
      </c>
      <c r="M28" s="258">
        <f t="shared" si="4"/>
        <v>0</v>
      </c>
      <c r="N28" s="259">
        <f t="shared" si="5"/>
        <v>0</v>
      </c>
      <c r="Q28" s="107">
        <f t="shared" si="6"/>
        <v>45</v>
      </c>
      <c r="R28" s="108">
        <f t="shared" si="6"/>
        <v>0</v>
      </c>
      <c r="S28" s="109">
        <v>320</v>
      </c>
      <c r="T28" s="109">
        <f t="shared" si="7"/>
        <v>0</v>
      </c>
      <c r="U28" s="204">
        <f t="shared" si="8"/>
        <v>0</v>
      </c>
      <c r="V28" s="201">
        <f t="shared" si="9"/>
        <v>0</v>
      </c>
      <c r="W28" s="130">
        <f t="shared" si="10"/>
        <v>0</v>
      </c>
      <c r="X28" s="130">
        <f t="shared" si="11"/>
        <v>0</v>
      </c>
      <c r="Y28" s="90">
        <f t="shared" si="12"/>
        <v>0</v>
      </c>
      <c r="Z28" s="89">
        <f t="shared" si="13"/>
        <v>0</v>
      </c>
      <c r="AA28" s="82"/>
    </row>
    <row r="29" spans="1:27" ht="36" customHeight="1" x14ac:dyDescent="0.3">
      <c r="A29" s="44">
        <v>15</v>
      </c>
      <c r="B29" s="74" t="s">
        <v>316</v>
      </c>
      <c r="C29" s="73" t="s">
        <v>114</v>
      </c>
      <c r="D29" s="44" t="s">
        <v>129</v>
      </c>
      <c r="E29" s="44" t="s">
        <v>130</v>
      </c>
      <c r="F29" s="249" t="s">
        <v>318</v>
      </c>
      <c r="G29" s="128" t="s">
        <v>327</v>
      </c>
      <c r="H29" s="129">
        <v>1</v>
      </c>
      <c r="I29" s="129">
        <v>0</v>
      </c>
      <c r="J29" s="121">
        <v>56000</v>
      </c>
      <c r="K29" s="246">
        <f t="shared" si="2"/>
        <v>0</v>
      </c>
      <c r="L29" s="121">
        <f t="shared" ref="L29:L38" si="14">IF(K29&lt;&gt;"",IF(D29="INTERNO",0,K29*$L$14),"")</f>
        <v>0</v>
      </c>
      <c r="M29" s="121">
        <f t="shared" ref="M29:M38" si="15">IF(K29&lt;&gt;"",IF(E29="FAT.OGGI",SUM(K29:L29)*(1/(1-$M$14)-1),L29*(1/(1-$M$14)-1)),"")</f>
        <v>0</v>
      </c>
      <c r="N29" s="122">
        <f t="shared" ref="N29:N38" si="16">SUM(K29:M29)</f>
        <v>0</v>
      </c>
      <c r="Q29" s="214">
        <f t="shared" ref="Q29:R31" si="17">IF(H29&lt;&gt;"",H29,"")</f>
        <v>1</v>
      </c>
      <c r="R29" s="214">
        <f t="shared" si="17"/>
        <v>0</v>
      </c>
      <c r="S29" s="210">
        <v>54160</v>
      </c>
      <c r="T29" s="210">
        <f t="shared" ref="T29:T38" si="18">IF(Q29&lt;&gt;"",Q29*R29*S29,"")</f>
        <v>0</v>
      </c>
      <c r="U29" s="211">
        <f t="shared" ref="U29:U38" si="19">IF(Q29&lt;&gt;"",K29-T29,"")</f>
        <v>0</v>
      </c>
      <c r="V29" s="212">
        <f t="shared" ref="V29:V38" si="20">IF(Q29&lt;&gt;"",0%,"")</f>
        <v>0</v>
      </c>
      <c r="W29" s="213">
        <f t="shared" ref="W29:W38" si="21">IF(Q29&lt;&gt;"",V29*U29,"")</f>
        <v>0</v>
      </c>
      <c r="X29" s="213">
        <f t="shared" ref="X29:X38" si="22">IF(Q29&lt;&gt;"",W29+T29,"")</f>
        <v>0</v>
      </c>
      <c r="Y29" s="130">
        <f t="shared" ref="Y29:Y38" si="23">IF(Q29&lt;&gt;"",X29+M29,"")</f>
        <v>0</v>
      </c>
      <c r="Z29" s="82" t="e">
        <f t="shared" ref="Z29:Z38" si="24">IF(Q29&lt;&gt;"",U29/K29,"")</f>
        <v>#DIV/0!</v>
      </c>
      <c r="AA29" s="100"/>
    </row>
    <row r="30" spans="1:27" ht="36" customHeight="1" x14ac:dyDescent="0.3">
      <c r="A30" s="44">
        <v>16</v>
      </c>
      <c r="B30" s="74" t="s">
        <v>317</v>
      </c>
      <c r="C30" s="73" t="s">
        <v>114</v>
      </c>
      <c r="D30" s="44" t="s">
        <v>129</v>
      </c>
      <c r="E30" s="44" t="s">
        <v>130</v>
      </c>
      <c r="F30" s="95" t="s">
        <v>220</v>
      </c>
      <c r="G30" s="77" t="s">
        <v>314</v>
      </c>
      <c r="H30" s="93">
        <v>45</v>
      </c>
      <c r="I30" s="93">
        <v>0</v>
      </c>
      <c r="J30" s="76">
        <v>250</v>
      </c>
      <c r="K30" s="76">
        <f t="shared" ref="K30:K38" si="25">IF(F30&lt;&gt;"",H30*I30*J30,"")</f>
        <v>0</v>
      </c>
      <c r="L30" s="76">
        <f t="shared" si="14"/>
        <v>0</v>
      </c>
      <c r="M30" s="76">
        <f t="shared" si="15"/>
        <v>0</v>
      </c>
      <c r="N30" s="91">
        <f t="shared" si="16"/>
        <v>0</v>
      </c>
      <c r="Q30" s="214">
        <f t="shared" si="17"/>
        <v>45</v>
      </c>
      <c r="R30" s="214">
        <f t="shared" si="17"/>
        <v>0</v>
      </c>
      <c r="S30" s="210">
        <v>225</v>
      </c>
      <c r="T30" s="210">
        <f t="shared" si="18"/>
        <v>0</v>
      </c>
      <c r="U30" s="211">
        <f t="shared" si="19"/>
        <v>0</v>
      </c>
      <c r="V30" s="212">
        <f t="shared" si="20"/>
        <v>0</v>
      </c>
      <c r="W30" s="213">
        <f t="shared" si="21"/>
        <v>0</v>
      </c>
      <c r="X30" s="213">
        <f t="shared" si="22"/>
        <v>0</v>
      </c>
      <c r="Y30" s="130">
        <f t="shared" si="23"/>
        <v>0</v>
      </c>
      <c r="Z30" s="82" t="e">
        <f t="shared" si="24"/>
        <v>#DIV/0!</v>
      </c>
      <c r="AA30" s="100"/>
    </row>
    <row r="31" spans="1:27" ht="36" customHeight="1" thickBot="1" x14ac:dyDescent="0.35">
      <c r="A31" s="44">
        <v>17</v>
      </c>
      <c r="B31" s="74" t="s">
        <v>338</v>
      </c>
      <c r="C31" s="73" t="s">
        <v>114</v>
      </c>
      <c r="D31" s="44" t="s">
        <v>129</v>
      </c>
      <c r="E31" s="44" t="s">
        <v>130</v>
      </c>
      <c r="F31" s="255" t="s">
        <v>330</v>
      </c>
      <c r="G31" s="256" t="s">
        <v>331</v>
      </c>
      <c r="H31" s="257">
        <v>45</v>
      </c>
      <c r="I31" s="257">
        <v>0</v>
      </c>
      <c r="J31" s="258">
        <v>90</v>
      </c>
      <c r="K31" s="258">
        <f t="shared" si="25"/>
        <v>0</v>
      </c>
      <c r="L31" s="258">
        <f t="shared" si="14"/>
        <v>0</v>
      </c>
      <c r="M31" s="258">
        <f t="shared" si="15"/>
        <v>0</v>
      </c>
      <c r="N31" s="259">
        <f t="shared" si="16"/>
        <v>0</v>
      </c>
      <c r="Q31" s="214">
        <f t="shared" si="17"/>
        <v>45</v>
      </c>
      <c r="R31" s="214">
        <f t="shared" si="17"/>
        <v>0</v>
      </c>
      <c r="S31" s="210">
        <v>70</v>
      </c>
      <c r="T31" s="210">
        <f t="shared" si="18"/>
        <v>0</v>
      </c>
      <c r="U31" s="211">
        <f t="shared" si="19"/>
        <v>0</v>
      </c>
      <c r="V31" s="212">
        <f t="shared" si="20"/>
        <v>0</v>
      </c>
      <c r="W31" s="213">
        <f t="shared" si="21"/>
        <v>0</v>
      </c>
      <c r="X31" s="213">
        <f t="shared" si="22"/>
        <v>0</v>
      </c>
      <c r="Y31" s="130">
        <f t="shared" si="23"/>
        <v>0</v>
      </c>
      <c r="Z31" s="82" t="e">
        <f t="shared" si="24"/>
        <v>#DIV/0!</v>
      </c>
      <c r="AA31" s="100"/>
    </row>
    <row r="32" spans="1:27" ht="36" customHeight="1" x14ac:dyDescent="0.3">
      <c r="A32" s="44">
        <v>18</v>
      </c>
      <c r="B32" s="74" t="s">
        <v>340</v>
      </c>
      <c r="C32" s="73" t="s">
        <v>114</v>
      </c>
      <c r="D32" s="44" t="s">
        <v>129</v>
      </c>
      <c r="E32" s="44" t="s">
        <v>130</v>
      </c>
      <c r="F32" s="260" t="s">
        <v>347</v>
      </c>
      <c r="G32" s="261" t="s">
        <v>348</v>
      </c>
      <c r="H32" s="262">
        <v>1</v>
      </c>
      <c r="I32" s="262">
        <v>1</v>
      </c>
      <c r="J32" s="263">
        <v>4900</v>
      </c>
      <c r="K32" s="263">
        <f t="shared" si="25"/>
        <v>4900</v>
      </c>
      <c r="L32" s="263">
        <f t="shared" si="14"/>
        <v>441</v>
      </c>
      <c r="M32" s="263">
        <f t="shared" si="15"/>
        <v>107.03032185907796</v>
      </c>
      <c r="N32" s="264">
        <f t="shared" si="16"/>
        <v>5448.030321859078</v>
      </c>
      <c r="Q32" s="214">
        <f t="shared" ref="Q32:R38" si="26">IF(H32&lt;&gt;"",H32,"")</f>
        <v>1</v>
      </c>
      <c r="R32" s="214">
        <f t="shared" si="26"/>
        <v>1</v>
      </c>
      <c r="S32" s="210">
        <v>3800</v>
      </c>
      <c r="T32" s="210">
        <f t="shared" si="18"/>
        <v>3800</v>
      </c>
      <c r="U32" s="211">
        <f t="shared" si="19"/>
        <v>1100</v>
      </c>
      <c r="V32" s="212">
        <f t="shared" si="20"/>
        <v>0</v>
      </c>
      <c r="W32" s="213">
        <f t="shared" si="21"/>
        <v>0</v>
      </c>
      <c r="X32" s="213">
        <f t="shared" si="22"/>
        <v>3800</v>
      </c>
      <c r="Y32" s="130">
        <f t="shared" si="23"/>
        <v>3907.030321859078</v>
      </c>
      <c r="Z32" s="82">
        <f t="shared" si="24"/>
        <v>0.22448979591836735</v>
      </c>
      <c r="AA32" s="100"/>
    </row>
    <row r="33" spans="1:27" ht="36" customHeight="1" x14ac:dyDescent="0.3">
      <c r="A33" s="44">
        <v>19</v>
      </c>
      <c r="B33" s="74" t="s">
        <v>341</v>
      </c>
      <c r="C33" s="73" t="s">
        <v>114</v>
      </c>
      <c r="D33" s="44" t="s">
        <v>129</v>
      </c>
      <c r="E33" s="44" t="s">
        <v>130</v>
      </c>
      <c r="F33" s="86" t="s">
        <v>220</v>
      </c>
      <c r="G33" s="83" t="s">
        <v>349</v>
      </c>
      <c r="H33" s="85">
        <v>45</v>
      </c>
      <c r="I33" s="85">
        <v>1</v>
      </c>
      <c r="J33" s="84">
        <v>290</v>
      </c>
      <c r="K33" s="84">
        <f t="shared" si="25"/>
        <v>13050</v>
      </c>
      <c r="L33" s="84">
        <f t="shared" si="14"/>
        <v>1174.5</v>
      </c>
      <c r="M33" s="84">
        <f t="shared" si="15"/>
        <v>285.05014291040146</v>
      </c>
      <c r="N33" s="87">
        <f t="shared" si="16"/>
        <v>14509.550142910401</v>
      </c>
      <c r="Q33" s="214">
        <f t="shared" si="26"/>
        <v>45</v>
      </c>
      <c r="R33" s="214">
        <f t="shared" si="26"/>
        <v>1</v>
      </c>
      <c r="S33" s="210">
        <v>255</v>
      </c>
      <c r="T33" s="210">
        <f t="shared" si="18"/>
        <v>11475</v>
      </c>
      <c r="U33" s="211">
        <f t="shared" si="19"/>
        <v>1575</v>
      </c>
      <c r="V33" s="212">
        <f t="shared" si="20"/>
        <v>0</v>
      </c>
      <c r="W33" s="213">
        <f t="shared" si="21"/>
        <v>0</v>
      </c>
      <c r="X33" s="213">
        <f t="shared" si="22"/>
        <v>11475</v>
      </c>
      <c r="Y33" s="130">
        <f t="shared" si="23"/>
        <v>11760.050142910401</v>
      </c>
      <c r="Z33" s="82">
        <f t="shared" si="24"/>
        <v>0.1206896551724138</v>
      </c>
      <c r="AA33" s="100"/>
    </row>
    <row r="34" spans="1:27" ht="36" customHeight="1" thickBot="1" x14ac:dyDescent="0.35">
      <c r="A34" s="44">
        <v>20</v>
      </c>
      <c r="B34" s="74" t="s">
        <v>342</v>
      </c>
      <c r="C34" s="73" t="s">
        <v>114</v>
      </c>
      <c r="D34" s="44" t="s">
        <v>129</v>
      </c>
      <c r="E34" s="44" t="s">
        <v>130</v>
      </c>
      <c r="F34" s="255" t="s">
        <v>220</v>
      </c>
      <c r="G34" s="256" t="s">
        <v>350</v>
      </c>
      <c r="H34" s="257">
        <v>45</v>
      </c>
      <c r="I34" s="257">
        <v>1</v>
      </c>
      <c r="J34" s="258">
        <v>155</v>
      </c>
      <c r="K34" s="258">
        <f t="shared" si="25"/>
        <v>6975</v>
      </c>
      <c r="L34" s="258">
        <f t="shared" si="14"/>
        <v>627.75</v>
      </c>
      <c r="M34" s="258">
        <f t="shared" si="15"/>
        <v>152.35438672797321</v>
      </c>
      <c r="N34" s="259">
        <f t="shared" si="16"/>
        <v>7755.1043867279732</v>
      </c>
      <c r="Q34" s="214">
        <f t="shared" si="26"/>
        <v>45</v>
      </c>
      <c r="R34" s="214">
        <f t="shared" si="26"/>
        <v>1</v>
      </c>
      <c r="S34" s="210">
        <v>142</v>
      </c>
      <c r="T34" s="210">
        <f t="shared" si="18"/>
        <v>6390</v>
      </c>
      <c r="U34" s="211">
        <f t="shared" si="19"/>
        <v>585</v>
      </c>
      <c r="V34" s="212">
        <f t="shared" si="20"/>
        <v>0</v>
      </c>
      <c r="W34" s="213">
        <f t="shared" si="21"/>
        <v>0</v>
      </c>
      <c r="X34" s="213">
        <f t="shared" si="22"/>
        <v>6390</v>
      </c>
      <c r="Y34" s="130">
        <f t="shared" si="23"/>
        <v>6542.3543867279732</v>
      </c>
      <c r="Z34" s="82">
        <f t="shared" si="24"/>
        <v>8.387096774193549E-2</v>
      </c>
      <c r="AA34" s="100"/>
    </row>
    <row r="35" spans="1:27" ht="36" customHeight="1" x14ac:dyDescent="0.3">
      <c r="A35" s="44">
        <v>21</v>
      </c>
      <c r="B35" s="74" t="s">
        <v>343</v>
      </c>
      <c r="C35" s="73" t="s">
        <v>114</v>
      </c>
      <c r="D35" s="44" t="s">
        <v>129</v>
      </c>
      <c r="E35" s="44" t="s">
        <v>130</v>
      </c>
      <c r="F35" s="260" t="s">
        <v>351</v>
      </c>
      <c r="G35" s="261" t="s">
        <v>352</v>
      </c>
      <c r="H35" s="262">
        <v>1</v>
      </c>
      <c r="I35" s="262">
        <v>0</v>
      </c>
      <c r="J35" s="263">
        <v>2000</v>
      </c>
      <c r="K35" s="263">
        <f t="shared" si="25"/>
        <v>0</v>
      </c>
      <c r="L35" s="263">
        <f t="shared" si="14"/>
        <v>0</v>
      </c>
      <c r="M35" s="263">
        <f t="shared" si="15"/>
        <v>0</v>
      </c>
      <c r="N35" s="264">
        <f t="shared" si="16"/>
        <v>0</v>
      </c>
      <c r="Q35" s="214">
        <f t="shared" si="26"/>
        <v>1</v>
      </c>
      <c r="R35" s="214">
        <f t="shared" si="26"/>
        <v>0</v>
      </c>
      <c r="S35" s="210">
        <v>0</v>
      </c>
      <c r="T35" s="210">
        <f t="shared" si="18"/>
        <v>0</v>
      </c>
      <c r="U35" s="211">
        <f t="shared" si="19"/>
        <v>0</v>
      </c>
      <c r="V35" s="212">
        <f t="shared" si="20"/>
        <v>0</v>
      </c>
      <c r="W35" s="213">
        <f t="shared" si="21"/>
        <v>0</v>
      </c>
      <c r="X35" s="213">
        <f t="shared" si="22"/>
        <v>0</v>
      </c>
      <c r="Y35" s="130">
        <f t="shared" si="23"/>
        <v>0</v>
      </c>
      <c r="Z35" s="82" t="e">
        <f t="shared" si="24"/>
        <v>#DIV/0!</v>
      </c>
      <c r="AA35" s="100"/>
    </row>
    <row r="36" spans="1:27" ht="36" customHeight="1" thickBot="1" x14ac:dyDescent="0.35">
      <c r="A36" s="44">
        <v>22</v>
      </c>
      <c r="B36" s="74" t="s">
        <v>344</v>
      </c>
      <c r="C36" s="73" t="s">
        <v>114</v>
      </c>
      <c r="D36" s="44" t="s">
        <v>129</v>
      </c>
      <c r="E36" s="44" t="s">
        <v>130</v>
      </c>
      <c r="F36" s="255" t="s">
        <v>220</v>
      </c>
      <c r="G36" s="256" t="s">
        <v>353</v>
      </c>
      <c r="H36" s="257">
        <v>45</v>
      </c>
      <c r="I36" s="257">
        <v>0</v>
      </c>
      <c r="J36" s="258">
        <v>390</v>
      </c>
      <c r="K36" s="258">
        <f t="shared" si="25"/>
        <v>0</v>
      </c>
      <c r="L36" s="258">
        <f t="shared" si="14"/>
        <v>0</v>
      </c>
      <c r="M36" s="258">
        <f t="shared" si="15"/>
        <v>0</v>
      </c>
      <c r="N36" s="259">
        <f t="shared" si="16"/>
        <v>0</v>
      </c>
      <c r="Q36" s="214">
        <f t="shared" si="26"/>
        <v>45</v>
      </c>
      <c r="R36" s="214">
        <f t="shared" si="26"/>
        <v>0</v>
      </c>
      <c r="S36" s="210">
        <v>340</v>
      </c>
      <c r="T36" s="210">
        <f t="shared" si="18"/>
        <v>0</v>
      </c>
      <c r="U36" s="211">
        <f t="shared" si="19"/>
        <v>0</v>
      </c>
      <c r="V36" s="212">
        <f t="shared" si="20"/>
        <v>0</v>
      </c>
      <c r="W36" s="213">
        <f t="shared" si="21"/>
        <v>0</v>
      </c>
      <c r="X36" s="213">
        <f t="shared" si="22"/>
        <v>0</v>
      </c>
      <c r="Y36" s="130">
        <f t="shared" si="23"/>
        <v>0</v>
      </c>
      <c r="Z36" s="82" t="e">
        <f t="shared" si="24"/>
        <v>#DIV/0!</v>
      </c>
      <c r="AA36" s="100"/>
    </row>
    <row r="37" spans="1:27" ht="36" customHeight="1" x14ac:dyDescent="0.3">
      <c r="A37" s="44">
        <v>23</v>
      </c>
      <c r="B37" s="74" t="s">
        <v>345</v>
      </c>
      <c r="C37" s="73" t="s">
        <v>114</v>
      </c>
      <c r="D37" s="44" t="s">
        <v>129</v>
      </c>
      <c r="E37" s="44" t="s">
        <v>130</v>
      </c>
      <c r="F37" s="260" t="s">
        <v>354</v>
      </c>
      <c r="G37" s="261" t="s">
        <v>355</v>
      </c>
      <c r="H37" s="262">
        <v>1</v>
      </c>
      <c r="I37" s="262">
        <v>0</v>
      </c>
      <c r="J37" s="263">
        <v>8900</v>
      </c>
      <c r="K37" s="263">
        <f t="shared" si="25"/>
        <v>0</v>
      </c>
      <c r="L37" s="263">
        <f t="shared" si="14"/>
        <v>0</v>
      </c>
      <c r="M37" s="263">
        <f t="shared" si="15"/>
        <v>0</v>
      </c>
      <c r="N37" s="264">
        <f t="shared" si="16"/>
        <v>0</v>
      </c>
      <c r="Q37" s="214">
        <f t="shared" si="26"/>
        <v>1</v>
      </c>
      <c r="R37" s="214">
        <f t="shared" si="26"/>
        <v>0</v>
      </c>
      <c r="S37" s="210">
        <v>8000</v>
      </c>
      <c r="T37" s="210">
        <f t="shared" si="18"/>
        <v>0</v>
      </c>
      <c r="U37" s="211">
        <f t="shared" si="19"/>
        <v>0</v>
      </c>
      <c r="V37" s="212">
        <f t="shared" si="20"/>
        <v>0</v>
      </c>
      <c r="W37" s="213">
        <f t="shared" si="21"/>
        <v>0</v>
      </c>
      <c r="X37" s="213">
        <f t="shared" si="22"/>
        <v>0</v>
      </c>
      <c r="Y37" s="130">
        <f t="shared" si="23"/>
        <v>0</v>
      </c>
      <c r="Z37" s="82" t="e">
        <f t="shared" si="24"/>
        <v>#DIV/0!</v>
      </c>
      <c r="AA37" s="100"/>
    </row>
    <row r="38" spans="1:27" ht="36" customHeight="1" thickBot="1" x14ac:dyDescent="0.35">
      <c r="A38" s="44">
        <v>24</v>
      </c>
      <c r="B38" s="74" t="s">
        <v>346</v>
      </c>
      <c r="C38" s="73" t="s">
        <v>114</v>
      </c>
      <c r="D38" s="44" t="s">
        <v>129</v>
      </c>
      <c r="E38" s="44" t="s">
        <v>130</v>
      </c>
      <c r="F38" s="255" t="s">
        <v>220</v>
      </c>
      <c r="G38" s="256" t="s">
        <v>353</v>
      </c>
      <c r="H38" s="257">
        <v>45</v>
      </c>
      <c r="I38" s="257">
        <v>0</v>
      </c>
      <c r="J38" s="258">
        <v>485</v>
      </c>
      <c r="K38" s="258">
        <f t="shared" si="25"/>
        <v>0</v>
      </c>
      <c r="L38" s="258">
        <f t="shared" si="14"/>
        <v>0</v>
      </c>
      <c r="M38" s="258">
        <f t="shared" si="15"/>
        <v>0</v>
      </c>
      <c r="N38" s="259">
        <f t="shared" si="16"/>
        <v>0</v>
      </c>
      <c r="Q38" s="214">
        <f t="shared" si="26"/>
        <v>45</v>
      </c>
      <c r="R38" s="214">
        <f t="shared" si="26"/>
        <v>0</v>
      </c>
      <c r="S38" s="210">
        <v>450</v>
      </c>
      <c r="T38" s="210">
        <f t="shared" si="18"/>
        <v>0</v>
      </c>
      <c r="U38" s="211">
        <f t="shared" si="19"/>
        <v>0</v>
      </c>
      <c r="V38" s="212">
        <f t="shared" si="20"/>
        <v>0</v>
      </c>
      <c r="W38" s="213">
        <f t="shared" si="21"/>
        <v>0</v>
      </c>
      <c r="X38" s="213">
        <f t="shared" si="22"/>
        <v>0</v>
      </c>
      <c r="Y38" s="130">
        <f t="shared" si="23"/>
        <v>0</v>
      </c>
      <c r="Z38" s="82" t="e">
        <f t="shared" si="24"/>
        <v>#DIV/0!</v>
      </c>
      <c r="AA38" s="100"/>
    </row>
    <row r="39" spans="1:27" ht="20.399999999999999" customHeight="1" thickBot="1" x14ac:dyDescent="0.4">
      <c r="A39" s="69">
        <v>20</v>
      </c>
      <c r="B39" s="74"/>
      <c r="C39" s="68" t="s">
        <v>122</v>
      </c>
      <c r="D39" s="69"/>
      <c r="E39" s="69"/>
      <c r="F39" s="654" t="s">
        <v>242</v>
      </c>
      <c r="G39" s="655"/>
      <c r="H39" s="655"/>
      <c r="I39" s="655"/>
      <c r="J39" s="655"/>
      <c r="K39" s="119">
        <f>SUM(K25:K38)</f>
        <v>24925</v>
      </c>
      <c r="L39" s="119">
        <f>SUM(L25:L38)</f>
        <v>2243.25</v>
      </c>
      <c r="M39" s="119">
        <f>SUM(M25:M38)</f>
        <v>544.43485149745266</v>
      </c>
      <c r="N39" s="120">
        <f>SUM(N25:N38)</f>
        <v>27712.684851497452</v>
      </c>
      <c r="Q39" s="659" t="s">
        <v>131</v>
      </c>
      <c r="R39" s="660"/>
      <c r="S39" s="660"/>
      <c r="T39" s="205">
        <f>SUM(T25:T38)</f>
        <v>21665</v>
      </c>
      <c r="U39" s="206">
        <f>SUM(U25:U38)</f>
        <v>3260</v>
      </c>
      <c r="V39" s="207"/>
      <c r="W39" s="208"/>
      <c r="X39" s="209">
        <f>SUM(X25:X38)</f>
        <v>21665</v>
      </c>
      <c r="Y39" s="112">
        <f t="shared" si="12"/>
        <v>22209.434851497452</v>
      </c>
      <c r="Z39" s="89"/>
    </row>
    <row r="40" spans="1:27" ht="26.1" customHeight="1" thickBot="1" x14ac:dyDescent="0.4">
      <c r="A40" s="70">
        <v>21</v>
      </c>
      <c r="B40" s="74">
        <v>3</v>
      </c>
      <c r="C40" s="72" t="s">
        <v>108</v>
      </c>
      <c r="D40" s="70"/>
      <c r="E40" s="70"/>
      <c r="F40" s="637" t="s">
        <v>228</v>
      </c>
      <c r="G40" s="638"/>
      <c r="H40" s="638"/>
      <c r="I40" s="638"/>
      <c r="J40" s="638"/>
      <c r="K40" s="638"/>
      <c r="L40" s="638"/>
      <c r="M40" s="638"/>
      <c r="N40" s="639"/>
      <c r="Q40" s="640" t="str">
        <f>IF(F40&lt;&gt;"",F40,"")</f>
        <v>ATRAÇÕES</v>
      </c>
      <c r="R40" s="641"/>
      <c r="S40" s="641"/>
      <c r="T40" s="641"/>
      <c r="U40" s="641"/>
      <c r="V40" s="641"/>
      <c r="W40" s="641"/>
      <c r="X40" s="641"/>
      <c r="Y40" s="642"/>
      <c r="Z40" s="89"/>
    </row>
    <row r="41" spans="1:27" ht="21" customHeight="1" x14ac:dyDescent="0.35">
      <c r="A41" s="69">
        <v>21</v>
      </c>
      <c r="B41" s="74" t="s">
        <v>132</v>
      </c>
      <c r="C41" s="68" t="s">
        <v>109</v>
      </c>
      <c r="D41" s="69"/>
      <c r="E41" s="69"/>
      <c r="F41" s="643" t="s">
        <v>228</v>
      </c>
      <c r="G41" s="644"/>
      <c r="H41" s="644"/>
      <c r="I41" s="644"/>
      <c r="J41" s="644"/>
      <c r="K41" s="644"/>
      <c r="L41" s="170" t="s">
        <v>111</v>
      </c>
      <c r="M41" s="170" t="s">
        <v>112</v>
      </c>
      <c r="N41" s="171" t="s">
        <v>81</v>
      </c>
      <c r="Q41" s="656" t="str">
        <f>IF(F41&lt;&gt;"",F41,"")</f>
        <v>ATRAÇÕES</v>
      </c>
      <c r="R41" s="657"/>
      <c r="S41" s="657"/>
      <c r="T41" s="657"/>
      <c r="U41" s="657"/>
      <c r="V41" s="657"/>
      <c r="W41" s="657"/>
      <c r="X41" s="657"/>
      <c r="Y41" s="658"/>
      <c r="Z41" s="96" t="s">
        <v>113</v>
      </c>
      <c r="AA41" s="75" t="s">
        <v>82</v>
      </c>
    </row>
    <row r="42" spans="1:27" ht="45" customHeight="1" x14ac:dyDescent="0.3">
      <c r="A42" s="44">
        <v>22</v>
      </c>
      <c r="B42" s="74" t="s">
        <v>133</v>
      </c>
      <c r="C42" s="73" t="s">
        <v>114</v>
      </c>
      <c r="D42" s="44" t="s">
        <v>129</v>
      </c>
      <c r="E42" s="44" t="s">
        <v>130</v>
      </c>
      <c r="F42" s="95" t="s">
        <v>229</v>
      </c>
      <c r="G42" s="77" t="s">
        <v>332</v>
      </c>
      <c r="H42" s="93">
        <v>1</v>
      </c>
      <c r="I42" s="93">
        <v>1</v>
      </c>
      <c r="J42" s="76">
        <v>45000</v>
      </c>
      <c r="K42" s="76">
        <f>IF(F42&lt;&gt;"",H42*I42*J42,"")</f>
        <v>45000</v>
      </c>
      <c r="L42" s="76">
        <f>IF(K42&lt;&gt;"",IF(D42="INTERNO",0,K42*$L$14),"")</f>
        <v>4050</v>
      </c>
      <c r="M42" s="76">
        <f>IF(K42&lt;&gt;"",IF(E42="FAT.OGGI",SUM(K42:L42)*(1/(1-$M$14)-1),L42*(1/(1-$M$14)-1)),0)</f>
        <v>982.93152727724646</v>
      </c>
      <c r="N42" s="91">
        <f>SUM(K42:M42)</f>
        <v>50032.931527277244</v>
      </c>
      <c r="Q42" s="106">
        <f>IF(H42&lt;&gt;"",H42,"")</f>
        <v>1</v>
      </c>
      <c r="R42" s="102">
        <f>IF(I42&lt;&gt;"",I42,"")</f>
        <v>1</v>
      </c>
      <c r="S42" s="103">
        <v>39600</v>
      </c>
      <c r="T42" s="103">
        <f>IF(Q42&lt;&gt;"",Q42*R42*S42,"")</f>
        <v>39600</v>
      </c>
      <c r="U42" s="104">
        <f>IF(Q42&lt;&gt;"",K42-T42,"")</f>
        <v>5400</v>
      </c>
      <c r="V42" s="105">
        <f>IF(Q42&lt;&gt;"",0%,"")</f>
        <v>0</v>
      </c>
      <c r="W42" s="101">
        <f>IF(Q42&lt;&gt;"",V42*U42,"")</f>
        <v>0</v>
      </c>
      <c r="X42" s="101">
        <f>IF(Q42&lt;&gt;"",W42+T42,"")</f>
        <v>39600</v>
      </c>
      <c r="Y42" s="92">
        <f t="shared" ref="Y42:Y46" si="27">IF(Q42&lt;&gt;"",X42+M42,"")</f>
        <v>40582.931527277244</v>
      </c>
      <c r="Z42" s="89">
        <f>IF(Q42&lt;&gt;"", IFERROR(U42/K42, 0), 0)</f>
        <v>0.12</v>
      </c>
      <c r="AA42" s="82">
        <f>IFERROR(T42/$T$46, "")</f>
        <v>0.97058823529411764</v>
      </c>
    </row>
    <row r="43" spans="1:27" ht="45" customHeight="1" x14ac:dyDescent="0.3">
      <c r="A43" s="44">
        <v>23</v>
      </c>
      <c r="B43" s="74" t="s">
        <v>134</v>
      </c>
      <c r="C43" s="73" t="s">
        <v>114</v>
      </c>
      <c r="D43" s="44" t="s">
        <v>129</v>
      </c>
      <c r="E43" s="44" t="s">
        <v>130</v>
      </c>
      <c r="F43" s="95" t="s">
        <v>230</v>
      </c>
      <c r="G43" s="77" t="s">
        <v>232</v>
      </c>
      <c r="H43" s="93">
        <v>1</v>
      </c>
      <c r="I43" s="93">
        <v>0</v>
      </c>
      <c r="J43" s="76">
        <v>7200</v>
      </c>
      <c r="K43" s="76">
        <f>IF(F43&lt;&gt;"",H43*I43*J43,"")</f>
        <v>0</v>
      </c>
      <c r="L43" s="76">
        <f>IF(K43&lt;&gt;"",IF(D43="INTERNO",0,K43*$L$14),"")</f>
        <v>0</v>
      </c>
      <c r="M43" s="76">
        <f>IF(K43&lt;&gt;"",IF(E43="FAT.OGGI",SUM(K43:L43)*(1/(1-$M$14)-1),L43*(1/(1-$M$14)-1)),0)</f>
        <v>0</v>
      </c>
      <c r="N43" s="91">
        <f>SUM(K43:M43)</f>
        <v>0</v>
      </c>
      <c r="Q43" s="106">
        <v>1</v>
      </c>
      <c r="R43" s="102">
        <f>IF(I43&lt;&gt;"",I43,"")</f>
        <v>0</v>
      </c>
      <c r="S43" s="103">
        <v>6000</v>
      </c>
      <c r="T43" s="103">
        <f>IF(Q43&lt;&gt;"",Q43*R43*S43,"")</f>
        <v>0</v>
      </c>
      <c r="U43" s="104">
        <f>IF(Q43&lt;&gt;"",K43-T43,"")</f>
        <v>0</v>
      </c>
      <c r="V43" s="105">
        <f>IF(Q43&lt;&gt;"",0%,"")</f>
        <v>0</v>
      </c>
      <c r="W43" s="101">
        <f>IF(Q43&lt;&gt;"",V43*U43,"")</f>
        <v>0</v>
      </c>
      <c r="X43" s="101">
        <f>IF(Q43&lt;&gt;"",W43+T43,"")</f>
        <v>0</v>
      </c>
      <c r="Y43" s="92">
        <f t="shared" si="27"/>
        <v>0</v>
      </c>
      <c r="Z43" s="89">
        <f>IF(Q43&lt;&gt;"", IFERROR(U43/K43, 0), 0)</f>
        <v>0</v>
      </c>
      <c r="AA43" s="82"/>
    </row>
    <row r="44" spans="1:27" ht="45" customHeight="1" x14ac:dyDescent="0.3">
      <c r="A44" s="44">
        <v>24</v>
      </c>
      <c r="B44" s="74" t="s">
        <v>159</v>
      </c>
      <c r="C44" s="73" t="s">
        <v>114</v>
      </c>
      <c r="D44" s="44" t="s">
        <v>129</v>
      </c>
      <c r="E44" s="44" t="s">
        <v>130</v>
      </c>
      <c r="F44" s="131" t="s">
        <v>231</v>
      </c>
      <c r="G44" s="77" t="s">
        <v>329</v>
      </c>
      <c r="H44" s="93">
        <v>1</v>
      </c>
      <c r="I44" s="93">
        <v>1</v>
      </c>
      <c r="J44" s="76">
        <v>2000</v>
      </c>
      <c r="K44" s="76">
        <f>IF(F44&lt;&gt;"",H44*I44*J44,"")</f>
        <v>2000</v>
      </c>
      <c r="L44" s="76">
        <f>IF(K44&lt;&gt;"",IF(D44="INTERNO",0,K44*$L$14),"")</f>
        <v>180</v>
      </c>
      <c r="M44" s="76">
        <f>IF(K44&lt;&gt;"",IF(E44="FAT.OGGI",SUM(K44:L44)*(1/(1-$M$14)-1),L44*(1/(1-$M$14)-1)),0)</f>
        <v>43.68584565676651</v>
      </c>
      <c r="N44" s="91">
        <f>SUM(K44:M44)</f>
        <v>2223.6858456567666</v>
      </c>
      <c r="Q44" s="106">
        <f>IF(H44&lt;&gt;"",H44,"")</f>
        <v>1</v>
      </c>
      <c r="R44" s="102">
        <f>IF(I44&lt;&gt;"",I44,"")</f>
        <v>1</v>
      </c>
      <c r="S44" s="103">
        <v>1200</v>
      </c>
      <c r="T44" s="103">
        <f>IF(Q44&lt;&gt;"",Q44*R44*S44,"")</f>
        <v>1200</v>
      </c>
      <c r="U44" s="104">
        <f>IF(Q44&lt;&gt;"",K44-T44,"")</f>
        <v>800</v>
      </c>
      <c r="V44" s="105">
        <f>IF(Q44&lt;&gt;"",0%,"")</f>
        <v>0</v>
      </c>
      <c r="W44" s="101">
        <f>IF(Q44&lt;&gt;"",V44*U44,"")</f>
        <v>0</v>
      </c>
      <c r="X44" s="101">
        <f>IF(Q44&lt;&gt;"",W44+T44,"")</f>
        <v>1200</v>
      </c>
      <c r="Y44" s="92">
        <f t="shared" si="27"/>
        <v>1243.6858456567666</v>
      </c>
      <c r="Z44" s="89">
        <f>IF(Q44&lt;&gt;"", IFERROR(U44/K44, 0), 0)</f>
        <v>0.4</v>
      </c>
      <c r="AA44" s="100"/>
    </row>
    <row r="45" spans="1:27" ht="45" customHeight="1" x14ac:dyDescent="0.3">
      <c r="A45" s="44">
        <v>25</v>
      </c>
      <c r="B45" s="74" t="s">
        <v>165</v>
      </c>
      <c r="C45" s="73" t="s">
        <v>114</v>
      </c>
      <c r="D45" s="44" t="s">
        <v>129</v>
      </c>
      <c r="E45" s="44" t="s">
        <v>130</v>
      </c>
      <c r="F45" s="131" t="s">
        <v>299</v>
      </c>
      <c r="G45" s="77" t="s">
        <v>339</v>
      </c>
      <c r="H45" s="93">
        <v>2</v>
      </c>
      <c r="I45" s="93">
        <v>1</v>
      </c>
      <c r="J45" s="76">
        <v>1300</v>
      </c>
      <c r="K45" s="76">
        <f>IF(F45&lt;&gt;"",H45*I45*J45,"")</f>
        <v>2600</v>
      </c>
      <c r="L45" s="76">
        <f>IF(K45&lt;&gt;"",IF(D45="INTERNO",0,K45*$L$14),"")</f>
        <v>234</v>
      </c>
      <c r="M45" s="76">
        <f>IF(K45&lt;&gt;"",IF(E45="FAT.OGGI",SUM(K45:L45)*(1/(1-$M$14)-1),L45*(1/(1-$M$14)-1)),"")</f>
        <v>56.791599353796464</v>
      </c>
      <c r="N45" s="91">
        <f>SUM(K45:M45)</f>
        <v>2890.7915993537963</v>
      </c>
      <c r="Q45" s="106">
        <f>IF(H45&lt;&gt;"",H45,"")</f>
        <v>2</v>
      </c>
      <c r="R45" s="102">
        <f>IF(I45&lt;&gt;"",I45,"")</f>
        <v>1</v>
      </c>
      <c r="S45" s="103">
        <v>0</v>
      </c>
      <c r="T45" s="103">
        <f>IF(Q45&lt;&gt;"",Q45*R45*S45,"")</f>
        <v>0</v>
      </c>
      <c r="U45" s="104">
        <f>IF(Q45&lt;&gt;"",K45-T45,"")</f>
        <v>2600</v>
      </c>
      <c r="V45" s="105">
        <f>IF(Q45&lt;&gt;"",0%,"")</f>
        <v>0</v>
      </c>
      <c r="W45" s="101">
        <f>IF(Q45&lt;&gt;"",V45*U45,"")</f>
        <v>0</v>
      </c>
      <c r="X45" s="101">
        <f>IF(Q45&lt;&gt;"",W45+T45,"")</f>
        <v>0</v>
      </c>
      <c r="Y45" s="92">
        <f t="shared" si="27"/>
        <v>56.791599353796464</v>
      </c>
      <c r="Z45" s="89">
        <f>IF(Q45&lt;&gt;"",U45/K45,"")</f>
        <v>1</v>
      </c>
      <c r="AA45" s="100"/>
    </row>
    <row r="46" spans="1:27" ht="21" customHeight="1" thickBot="1" x14ac:dyDescent="0.4">
      <c r="A46" s="69">
        <v>26</v>
      </c>
      <c r="B46" s="74"/>
      <c r="C46" s="68" t="s">
        <v>122</v>
      </c>
      <c r="D46" s="69"/>
      <c r="E46" s="69"/>
      <c r="F46" s="626" t="s">
        <v>123</v>
      </c>
      <c r="G46" s="627"/>
      <c r="H46" s="627"/>
      <c r="I46" s="627"/>
      <c r="J46" s="627"/>
      <c r="K46" s="168">
        <f>SUM(K42:K45)</f>
        <v>49600</v>
      </c>
      <c r="L46" s="168">
        <f>SUM(L42:L45)</f>
        <v>4464</v>
      </c>
      <c r="M46" s="168">
        <f>SUM(M42:M45)</f>
        <v>1083.4089722878095</v>
      </c>
      <c r="N46" s="169">
        <f>SUM(N42:N45)</f>
        <v>55147.408972287805</v>
      </c>
      <c r="Q46" s="628" t="s">
        <v>123</v>
      </c>
      <c r="R46" s="629"/>
      <c r="S46" s="629"/>
      <c r="T46" s="195">
        <f>SUM(T42:T45)</f>
        <v>40800</v>
      </c>
      <c r="U46" s="196">
        <f>SUM(U42:U45)</f>
        <v>8800</v>
      </c>
      <c r="V46" s="201"/>
      <c r="W46" s="130"/>
      <c r="X46" s="199">
        <f>SUM(X42:X45)</f>
        <v>40800</v>
      </c>
      <c r="Y46" s="200">
        <f t="shared" si="27"/>
        <v>41883.408972287813</v>
      </c>
      <c r="Z46" s="89"/>
    </row>
    <row r="47" spans="1:27" ht="20.399999999999999" customHeight="1" thickBot="1" x14ac:dyDescent="0.4">
      <c r="A47" s="44">
        <v>35</v>
      </c>
      <c r="B47" s="74">
        <v>4</v>
      </c>
      <c r="C47" s="73" t="s">
        <v>108</v>
      </c>
      <c r="D47" s="44"/>
      <c r="E47" s="44"/>
      <c r="F47" s="637" t="s">
        <v>160</v>
      </c>
      <c r="G47" s="638"/>
      <c r="H47" s="638"/>
      <c r="I47" s="638"/>
      <c r="J47" s="638"/>
      <c r="K47" s="638"/>
      <c r="L47" s="638"/>
      <c r="M47" s="638"/>
      <c r="N47" s="639"/>
      <c r="Q47" s="640" t="str">
        <f>IF(F47&lt;&gt;"",F47,"")</f>
        <v>CREDENCIAMENTO</v>
      </c>
      <c r="R47" s="641"/>
      <c r="S47" s="641"/>
      <c r="T47" s="641"/>
      <c r="U47" s="641"/>
      <c r="V47" s="641"/>
      <c r="W47" s="641"/>
      <c r="X47" s="641"/>
      <c r="Y47" s="642"/>
      <c r="Z47" s="89"/>
    </row>
    <row r="48" spans="1:27" ht="21" customHeight="1" x14ac:dyDescent="0.35">
      <c r="A48" s="69">
        <v>36</v>
      </c>
      <c r="B48" s="74" t="s">
        <v>135</v>
      </c>
      <c r="C48" s="68" t="s">
        <v>109</v>
      </c>
      <c r="D48" s="69"/>
      <c r="E48" s="69"/>
      <c r="F48" s="643" t="s">
        <v>160</v>
      </c>
      <c r="G48" s="644"/>
      <c r="H48" s="644"/>
      <c r="I48" s="644"/>
      <c r="J48" s="644"/>
      <c r="K48" s="644"/>
      <c r="L48" s="170" t="s">
        <v>111</v>
      </c>
      <c r="M48" s="170" t="s">
        <v>112</v>
      </c>
      <c r="N48" s="171" t="s">
        <v>81</v>
      </c>
      <c r="Q48" s="656" t="str">
        <f>IF(F48&lt;&gt;"",F48,"")</f>
        <v>CREDENCIAMENTO</v>
      </c>
      <c r="R48" s="657"/>
      <c r="S48" s="657"/>
      <c r="T48" s="657"/>
      <c r="U48" s="657"/>
      <c r="V48" s="657"/>
      <c r="W48" s="657"/>
      <c r="X48" s="657"/>
      <c r="Y48" s="658"/>
      <c r="Z48" s="96" t="s">
        <v>113</v>
      </c>
      <c r="AA48" s="75" t="s">
        <v>82</v>
      </c>
    </row>
    <row r="49" spans="1:27" ht="45" customHeight="1" x14ac:dyDescent="0.3">
      <c r="A49" s="44">
        <v>37</v>
      </c>
      <c r="B49" s="74" t="s">
        <v>136</v>
      </c>
      <c r="C49" s="73" t="s">
        <v>114</v>
      </c>
      <c r="D49" s="44" t="s">
        <v>129</v>
      </c>
      <c r="E49" s="44" t="s">
        <v>130</v>
      </c>
      <c r="F49" s="131" t="s">
        <v>161</v>
      </c>
      <c r="G49" s="132" t="s">
        <v>162</v>
      </c>
      <c r="H49" s="149">
        <v>1</v>
      </c>
      <c r="I49" s="149">
        <v>2</v>
      </c>
      <c r="J49" s="134">
        <v>2000</v>
      </c>
      <c r="K49" s="134">
        <f>IF(F49&lt;&gt;"",H49*I49*J49,"")</f>
        <v>4000</v>
      </c>
      <c r="L49" s="134">
        <f>IF(K49&lt;&gt;"",IF(D49="INTERNO",0,K49*$L$14),"")</f>
        <v>360</v>
      </c>
      <c r="M49" s="134">
        <f>IF(K49&lt;&gt;"",IF(E49="FAT.OGGI",SUM(K49:L49)*(1/(1-$M$14)-1),L49*(1/(1-$M$14)-1)),0)</f>
        <v>87.37169131353302</v>
      </c>
      <c r="N49" s="135">
        <f>SUM(K49:M49)</f>
        <v>4447.3716913135331</v>
      </c>
      <c r="Q49" s="106">
        <f t="shared" ref="Q49:R51" si="28">IF(H49&lt;&gt;"",H49,"")</f>
        <v>1</v>
      </c>
      <c r="R49" s="102">
        <f t="shared" si="28"/>
        <v>2</v>
      </c>
      <c r="S49" s="103">
        <v>900</v>
      </c>
      <c r="T49" s="103">
        <f>IF(Q49&lt;&gt;"",Q49*R49*S49,"")</f>
        <v>1800</v>
      </c>
      <c r="U49" s="104">
        <f>IF(Q49&lt;&gt;"",K49-T49,"")</f>
        <v>2200</v>
      </c>
      <c r="V49" s="105">
        <f>IF(Q49&lt;&gt;"",0%,"")</f>
        <v>0</v>
      </c>
      <c r="W49" s="101">
        <f>IF(Q49&lt;&gt;"",V49*U49,"")</f>
        <v>0</v>
      </c>
      <c r="X49" s="101">
        <f>IF(Q49&lt;&gt;"",W49+T49,"")</f>
        <v>1800</v>
      </c>
      <c r="Y49" s="92">
        <f>IF(Q49&lt;&gt;"",X49+M49,"")</f>
        <v>1887.3716913135331</v>
      </c>
      <c r="Z49" s="89">
        <f>IF(Q49&lt;&gt;"", IFERROR(U49/K49, 0), 0)</f>
        <v>0.55000000000000004</v>
      </c>
      <c r="AA49" s="82">
        <f>IFERROR(T49/$T$52, "")</f>
        <v>1</v>
      </c>
    </row>
    <row r="50" spans="1:27" ht="45" customHeight="1" x14ac:dyDescent="0.3">
      <c r="A50" s="44">
        <v>38</v>
      </c>
      <c r="B50" s="74" t="s">
        <v>157</v>
      </c>
      <c r="C50" s="73" t="s">
        <v>114</v>
      </c>
      <c r="D50" s="44" t="s">
        <v>129</v>
      </c>
      <c r="E50" s="44" t="s">
        <v>130</v>
      </c>
      <c r="F50" s="131" t="s">
        <v>163</v>
      </c>
      <c r="G50" s="132" t="s">
        <v>321</v>
      </c>
      <c r="H50" s="149">
        <v>70</v>
      </c>
      <c r="I50" s="149">
        <v>0</v>
      </c>
      <c r="J50" s="134">
        <v>6.4</v>
      </c>
      <c r="K50" s="134">
        <f>IF(F50&lt;&gt;"",H50*I50*J50,"")</f>
        <v>0</v>
      </c>
      <c r="L50" s="134">
        <f>IF(K50&lt;&gt;"",IF(D50="INTERNO",0,K50*$L$14),"")</f>
        <v>0</v>
      </c>
      <c r="M50" s="134">
        <f>IF(K50&lt;&gt;"",IF(E50="FAT.OGGI",SUM(K50:L50)*(1/(1-$M$14)-1),L50*(1/(1-$M$14)-1)),0)</f>
        <v>0</v>
      </c>
      <c r="N50" s="135">
        <f>SUM(K50:M50)</f>
        <v>0</v>
      </c>
      <c r="Q50" s="106">
        <f t="shared" si="28"/>
        <v>70</v>
      </c>
      <c r="R50" s="102">
        <f t="shared" si="28"/>
        <v>0</v>
      </c>
      <c r="S50" s="103">
        <v>3.3</v>
      </c>
      <c r="T50" s="103">
        <f>IF(Q50&lt;&gt;"",Q50*R50*S50,"")</f>
        <v>0</v>
      </c>
      <c r="U50" s="104">
        <f>IF(Q50&lt;&gt;"",K50-T50,"")</f>
        <v>0</v>
      </c>
      <c r="V50" s="105">
        <f>IF(Q50&lt;&gt;"",0%,"")</f>
        <v>0</v>
      </c>
      <c r="W50" s="101">
        <f>IF(Q50&lt;&gt;"",V50*U50,"")</f>
        <v>0</v>
      </c>
      <c r="X50" s="101">
        <f>IF(Q50&lt;&gt;"",W50+T50,"")</f>
        <v>0</v>
      </c>
      <c r="Y50" s="92">
        <f>IF(Q50&lt;&gt;"",X50+M50,"")</f>
        <v>0</v>
      </c>
      <c r="Z50" s="89">
        <f>IF(Q50&lt;&gt;"", IFERROR(U50/K50, 0), 0)</f>
        <v>0</v>
      </c>
      <c r="AA50" s="82">
        <f>IFERROR(T50/$T$52, "")</f>
        <v>0</v>
      </c>
    </row>
    <row r="51" spans="1:27" ht="45" customHeight="1" x14ac:dyDescent="0.3">
      <c r="A51" s="69">
        <v>39</v>
      </c>
      <c r="B51" s="74" t="s">
        <v>158</v>
      </c>
      <c r="C51" s="68" t="s">
        <v>114</v>
      </c>
      <c r="D51" s="69" t="s">
        <v>129</v>
      </c>
      <c r="E51" s="69" t="s">
        <v>130</v>
      </c>
      <c r="F51" s="131" t="s">
        <v>164</v>
      </c>
      <c r="G51" s="132" t="s">
        <v>322</v>
      </c>
      <c r="H51" s="149">
        <v>70</v>
      </c>
      <c r="I51" s="149">
        <v>0</v>
      </c>
      <c r="J51" s="134">
        <v>4.9000000000000004</v>
      </c>
      <c r="K51" s="134">
        <f>IF(F51&lt;&gt;"",H51*I51*J51,"")</f>
        <v>0</v>
      </c>
      <c r="L51" s="134">
        <f>IF(K51&lt;&gt;"",IF(D51="INTERNO",0,K51*$L$14),"")</f>
        <v>0</v>
      </c>
      <c r="M51" s="134">
        <f>IF(K51&lt;&gt;"",IF(E51="FAT.OGGI",SUM(K51:L51)*(1/(1-$M$14)-1),L51*(1/(1-$M$14)-1)),0)</f>
        <v>0</v>
      </c>
      <c r="N51" s="135">
        <f>SUM(K51:M51)</f>
        <v>0</v>
      </c>
      <c r="Q51" s="106">
        <f t="shared" si="28"/>
        <v>70</v>
      </c>
      <c r="R51" s="102">
        <f t="shared" si="28"/>
        <v>0</v>
      </c>
      <c r="S51" s="103">
        <v>2.9</v>
      </c>
      <c r="T51" s="103">
        <f>IF(Q51&lt;&gt;"",Q51*R51*S51,"")</f>
        <v>0</v>
      </c>
      <c r="U51" s="104">
        <f>IF(Q51&lt;&gt;"",K51-T51,"")</f>
        <v>0</v>
      </c>
      <c r="V51" s="105">
        <f>IF(Q51&lt;&gt;"",0%,"")</f>
        <v>0</v>
      </c>
      <c r="W51" s="101">
        <f>IF(Q51&lt;&gt;"",V51*U51,"")</f>
        <v>0</v>
      </c>
      <c r="X51" s="101">
        <f>IF(Q51&lt;&gt;"",W51+T51,"")</f>
        <v>0</v>
      </c>
      <c r="Y51" s="92">
        <f>IF(Q51&lt;&gt;"",X51+M51,"")</f>
        <v>0</v>
      </c>
      <c r="Z51" s="98">
        <f>IF(Q51&lt;&gt;"", IFERROR(U51/K51, 0), 0)</f>
        <v>0</v>
      </c>
      <c r="AA51" s="82">
        <f>IFERROR(T51/$T$52, "")</f>
        <v>0</v>
      </c>
    </row>
    <row r="52" spans="1:27" ht="24" customHeight="1" thickBot="1" x14ac:dyDescent="0.4">
      <c r="A52" s="70">
        <v>41</v>
      </c>
      <c r="B52" s="74"/>
      <c r="C52" s="72" t="s">
        <v>122</v>
      </c>
      <c r="D52" s="70"/>
      <c r="E52" s="70"/>
      <c r="F52" s="626" t="s">
        <v>202</v>
      </c>
      <c r="G52" s="627"/>
      <c r="H52" s="627"/>
      <c r="I52" s="627"/>
      <c r="J52" s="627"/>
      <c r="K52" s="168">
        <f>SUM(K49:K51)</f>
        <v>4000</v>
      </c>
      <c r="L52" s="168">
        <f>SUM(L49:L51)</f>
        <v>360</v>
      </c>
      <c r="M52" s="168">
        <f>SUM(M49:M51)</f>
        <v>87.37169131353302</v>
      </c>
      <c r="N52" s="169">
        <f>SUM(N49:N51)</f>
        <v>4447.3716913135331</v>
      </c>
      <c r="Q52" s="628" t="s">
        <v>202</v>
      </c>
      <c r="R52" s="629"/>
      <c r="S52" s="629"/>
      <c r="T52" s="195">
        <f>SUM(T49:T51)</f>
        <v>1800</v>
      </c>
      <c r="U52" s="196">
        <f>SUM(U49:U51)</f>
        <v>2200</v>
      </c>
      <c r="V52" s="201"/>
      <c r="W52" s="130"/>
      <c r="X52" s="199">
        <f>SUM(X49:X51)</f>
        <v>1800</v>
      </c>
      <c r="Y52" s="200">
        <f>IF(Q52&lt;&gt;"",X52+M52,"")</f>
        <v>1887.3716913135331</v>
      </c>
      <c r="Z52" s="98"/>
      <c r="AA52" s="100"/>
    </row>
    <row r="53" spans="1:27" ht="22.5" customHeight="1" thickBot="1" x14ac:dyDescent="0.4">
      <c r="A53" s="69">
        <v>42</v>
      </c>
      <c r="B53" s="74">
        <v>5</v>
      </c>
      <c r="C53" s="68" t="s">
        <v>108</v>
      </c>
      <c r="D53" s="69"/>
      <c r="E53" s="69"/>
      <c r="F53" s="637" t="s">
        <v>166</v>
      </c>
      <c r="G53" s="638"/>
      <c r="H53" s="638"/>
      <c r="I53" s="638"/>
      <c r="J53" s="638"/>
      <c r="K53" s="638"/>
      <c r="L53" s="638"/>
      <c r="M53" s="638"/>
      <c r="N53" s="639"/>
      <c r="Q53" s="640" t="str">
        <f>IF(F53&lt;&gt;"",F53,"")</f>
        <v>CENOGRAFIA</v>
      </c>
      <c r="R53" s="641"/>
      <c r="S53" s="641"/>
      <c r="T53" s="641"/>
      <c r="U53" s="641"/>
      <c r="V53" s="641"/>
      <c r="W53" s="641"/>
      <c r="X53" s="641"/>
      <c r="Y53" s="642"/>
      <c r="Z53" s="89"/>
    </row>
    <row r="54" spans="1:27" ht="24" customHeight="1" x14ac:dyDescent="0.35">
      <c r="A54" s="69">
        <v>43</v>
      </c>
      <c r="B54" s="74" t="s">
        <v>137</v>
      </c>
      <c r="C54" s="68" t="s">
        <v>109</v>
      </c>
      <c r="D54" s="69"/>
      <c r="E54" s="69"/>
      <c r="F54" s="643" t="s">
        <v>166</v>
      </c>
      <c r="G54" s="644"/>
      <c r="H54" s="644"/>
      <c r="I54" s="644"/>
      <c r="J54" s="644"/>
      <c r="K54" s="644"/>
      <c r="L54" s="170" t="s">
        <v>111</v>
      </c>
      <c r="M54" s="170" t="s">
        <v>112</v>
      </c>
      <c r="N54" s="171" t="s">
        <v>81</v>
      </c>
      <c r="Q54" s="656" t="str">
        <f>IF(F54&lt;&gt;"",F54,"")</f>
        <v>CENOGRAFIA</v>
      </c>
      <c r="R54" s="657"/>
      <c r="S54" s="657"/>
      <c r="T54" s="657"/>
      <c r="U54" s="657"/>
      <c r="V54" s="657"/>
      <c r="W54" s="657"/>
      <c r="X54" s="657"/>
      <c r="Y54" s="658"/>
      <c r="Z54" s="96" t="s">
        <v>113</v>
      </c>
      <c r="AA54" s="75" t="s">
        <v>82</v>
      </c>
    </row>
    <row r="55" spans="1:27" ht="45" customHeight="1" x14ac:dyDescent="0.3">
      <c r="A55" s="44">
        <v>45</v>
      </c>
      <c r="B55" s="74" t="s">
        <v>142</v>
      </c>
      <c r="C55" s="73" t="s">
        <v>114</v>
      </c>
      <c r="D55" s="44" t="s">
        <v>129</v>
      </c>
      <c r="E55" s="44" t="s">
        <v>130</v>
      </c>
      <c r="F55" s="95" t="s">
        <v>271</v>
      </c>
      <c r="G55" s="77" t="s">
        <v>270</v>
      </c>
      <c r="H55" s="93">
        <v>1</v>
      </c>
      <c r="I55" s="93">
        <v>1</v>
      </c>
      <c r="J55" s="76">
        <v>2000</v>
      </c>
      <c r="K55" s="76">
        <f t="shared" ref="K55:K59" si="29">IF(F55&lt;&gt;"",H55*I55*J55,"")</f>
        <v>2000</v>
      </c>
      <c r="L55" s="76">
        <f t="shared" ref="L55:L59" si="30">IF(K55&lt;&gt;"",IF(D55="INTERNO",0,K55*$L$14),"")</f>
        <v>180</v>
      </c>
      <c r="M55" s="76">
        <f>IF(K55&lt;&gt;"",IF(E55="FAT.OGGI",SUM(K55:L55)*(1/(1-$M$14)-1),L55*(1/(1-$M$14)-1)),0)</f>
        <v>43.68584565676651</v>
      </c>
      <c r="N55" s="91">
        <f t="shared" ref="N55:N59" si="31">SUM(K55:M55)</f>
        <v>2223.6858456567666</v>
      </c>
      <c r="Q55" s="106">
        <f t="shared" ref="Q55:R58" si="32">IF(H55&lt;&gt;"",H55,"")</f>
        <v>1</v>
      </c>
      <c r="R55" s="102">
        <f t="shared" si="32"/>
        <v>1</v>
      </c>
      <c r="S55" s="103">
        <v>1300</v>
      </c>
      <c r="T55" s="103">
        <f t="shared" ref="T55:T59" si="33">IF(Q55&lt;&gt;"",Q55*R55*S55,"")</f>
        <v>1300</v>
      </c>
      <c r="U55" s="104">
        <f t="shared" ref="U55:U59" si="34">IF(Q55&lt;&gt;"",K55-T55,"")</f>
        <v>700</v>
      </c>
      <c r="V55" s="105">
        <f t="shared" ref="V55:V59" si="35">IF(Q55&lt;&gt;"",0%,"")</f>
        <v>0</v>
      </c>
      <c r="W55" s="101">
        <f t="shared" ref="W55:W59" si="36">IF(Q55&lt;&gt;"",V55*U55,"")</f>
        <v>0</v>
      </c>
      <c r="X55" s="101">
        <f t="shared" ref="X55:X59" si="37">IF(Q55&lt;&gt;"",W55+T55,"")</f>
        <v>1300</v>
      </c>
      <c r="Y55" s="92">
        <f t="shared" ref="Y55:Y60" si="38">IF(Q55&lt;&gt;"",X55+M55,"")</f>
        <v>1343.6858456567666</v>
      </c>
      <c r="Z55" s="89">
        <f>IF(Q55&lt;&gt;"", IFERROR(U55/K55, 0), 0)</f>
        <v>0.35</v>
      </c>
      <c r="AA55" s="82">
        <f>IFERROR(T55/$T$60, "")</f>
        <v>0.1368421052631579</v>
      </c>
    </row>
    <row r="56" spans="1:27" ht="45" customHeight="1" x14ac:dyDescent="0.3">
      <c r="A56" s="44">
        <v>46</v>
      </c>
      <c r="B56" s="74" t="s">
        <v>143</v>
      </c>
      <c r="C56" s="73" t="s">
        <v>114</v>
      </c>
      <c r="D56" s="44" t="s">
        <v>129</v>
      </c>
      <c r="E56" s="44" t="s">
        <v>130</v>
      </c>
      <c r="F56" s="95" t="s">
        <v>235</v>
      </c>
      <c r="G56" s="77" t="s">
        <v>237</v>
      </c>
      <c r="H56" s="93">
        <v>1</v>
      </c>
      <c r="I56" s="93">
        <v>1</v>
      </c>
      <c r="J56" s="76">
        <v>5000</v>
      </c>
      <c r="K56" s="76">
        <f t="shared" si="29"/>
        <v>5000</v>
      </c>
      <c r="L56" s="76">
        <f t="shared" si="30"/>
        <v>450</v>
      </c>
      <c r="M56" s="76">
        <f>IF(K56&lt;&gt;"",IF(E56="FAT.OGGI",SUM(K56:L56)*(1/(1-$M$14)-1),L56*(1/(1-$M$14)-1)),"")</f>
        <v>109.21461414191627</v>
      </c>
      <c r="N56" s="91">
        <f t="shared" si="31"/>
        <v>5559.2146141419162</v>
      </c>
      <c r="Q56" s="106">
        <f t="shared" ref="Q56:R57" si="39">IF(H56&lt;&gt;"",H56,"")</f>
        <v>1</v>
      </c>
      <c r="R56" s="102">
        <f t="shared" si="39"/>
        <v>1</v>
      </c>
      <c r="S56" s="103">
        <v>3000</v>
      </c>
      <c r="T56" s="103">
        <f t="shared" si="33"/>
        <v>3000</v>
      </c>
      <c r="U56" s="104">
        <f t="shared" si="34"/>
        <v>2000</v>
      </c>
      <c r="V56" s="105">
        <f t="shared" si="35"/>
        <v>0</v>
      </c>
      <c r="W56" s="101">
        <f t="shared" si="36"/>
        <v>0</v>
      </c>
      <c r="X56" s="101">
        <f t="shared" si="37"/>
        <v>3000</v>
      </c>
      <c r="Y56" s="92">
        <f t="shared" si="38"/>
        <v>3109.2146141419162</v>
      </c>
      <c r="Z56" s="89">
        <f>IF(Q56&lt;&gt;"",U56/K56,"")</f>
        <v>0.4</v>
      </c>
      <c r="AA56" s="82"/>
    </row>
    <row r="57" spans="1:27" ht="45" customHeight="1" x14ac:dyDescent="0.3">
      <c r="A57" s="44">
        <v>47</v>
      </c>
      <c r="B57" s="74" t="s">
        <v>144</v>
      </c>
      <c r="C57" s="73" t="s">
        <v>114</v>
      </c>
      <c r="D57" s="44" t="s">
        <v>129</v>
      </c>
      <c r="E57" s="44" t="s">
        <v>130</v>
      </c>
      <c r="F57" s="95" t="s">
        <v>236</v>
      </c>
      <c r="G57" s="77" t="s">
        <v>238</v>
      </c>
      <c r="H57" s="93">
        <v>1</v>
      </c>
      <c r="I57" s="93">
        <v>1</v>
      </c>
      <c r="J57" s="76">
        <v>2000</v>
      </c>
      <c r="K57" s="76">
        <f t="shared" si="29"/>
        <v>2000</v>
      </c>
      <c r="L57" s="76">
        <f t="shared" si="30"/>
        <v>180</v>
      </c>
      <c r="M57" s="76">
        <f>IF(K57&lt;&gt;"",IF(E57="FAT.OGGI",SUM(K57:L57)*(1/(1-$M$14)-1),L57*(1/(1-$M$14)-1)),"")</f>
        <v>43.68584565676651</v>
      </c>
      <c r="N57" s="91">
        <f t="shared" si="31"/>
        <v>2223.6858456567666</v>
      </c>
      <c r="Q57" s="106">
        <f t="shared" si="39"/>
        <v>1</v>
      </c>
      <c r="R57" s="102">
        <f t="shared" si="39"/>
        <v>1</v>
      </c>
      <c r="S57" s="103">
        <v>1500</v>
      </c>
      <c r="T57" s="103">
        <f t="shared" si="33"/>
        <v>1500</v>
      </c>
      <c r="U57" s="104">
        <f t="shared" si="34"/>
        <v>500</v>
      </c>
      <c r="V57" s="105">
        <f t="shared" si="35"/>
        <v>0</v>
      </c>
      <c r="W57" s="101">
        <f t="shared" si="36"/>
        <v>0</v>
      </c>
      <c r="X57" s="101">
        <f t="shared" si="37"/>
        <v>1500</v>
      </c>
      <c r="Y57" s="92">
        <f t="shared" si="38"/>
        <v>1543.6858456567666</v>
      </c>
      <c r="Z57" s="89">
        <f>IF(Q57&lt;&gt;"",U57/K57,"")</f>
        <v>0.25</v>
      </c>
      <c r="AA57" s="82"/>
    </row>
    <row r="58" spans="1:27" ht="45" customHeight="1" x14ac:dyDescent="0.3">
      <c r="A58" s="69">
        <v>47</v>
      </c>
      <c r="B58" s="74" t="s">
        <v>185</v>
      </c>
      <c r="C58" s="68" t="s">
        <v>114</v>
      </c>
      <c r="D58" s="69" t="s">
        <v>129</v>
      </c>
      <c r="E58" s="69" t="s">
        <v>130</v>
      </c>
      <c r="F58" s="86" t="s">
        <v>168</v>
      </c>
      <c r="G58" s="83" t="s">
        <v>295</v>
      </c>
      <c r="H58" s="85">
        <v>1</v>
      </c>
      <c r="I58" s="85">
        <v>1</v>
      </c>
      <c r="J58" s="84">
        <v>8000</v>
      </c>
      <c r="K58" s="84">
        <f t="shared" si="29"/>
        <v>8000</v>
      </c>
      <c r="L58" s="84">
        <f t="shared" si="30"/>
        <v>720</v>
      </c>
      <c r="M58" s="84">
        <f>IF(K58&lt;&gt;"",IF(E58="FAT.OGGI",SUM(K58:L58)*(1/(1-$M$14)-1),L58*(1/(1-$M$14)-1)),0)</f>
        <v>174.74338262706604</v>
      </c>
      <c r="N58" s="87">
        <f t="shared" si="31"/>
        <v>8894.7433826270662</v>
      </c>
      <c r="Q58" s="107">
        <f t="shared" si="32"/>
        <v>1</v>
      </c>
      <c r="R58" s="108">
        <f t="shared" si="32"/>
        <v>1</v>
      </c>
      <c r="S58" s="109">
        <v>2500</v>
      </c>
      <c r="T58" s="109">
        <f t="shared" si="33"/>
        <v>2500</v>
      </c>
      <c r="U58" s="204">
        <f t="shared" si="34"/>
        <v>5500</v>
      </c>
      <c r="V58" s="201">
        <f t="shared" si="35"/>
        <v>0</v>
      </c>
      <c r="W58" s="130">
        <f t="shared" si="36"/>
        <v>0</v>
      </c>
      <c r="X58" s="130">
        <f t="shared" si="37"/>
        <v>2500</v>
      </c>
      <c r="Y58" s="90">
        <f t="shared" si="38"/>
        <v>2674.7433826270662</v>
      </c>
      <c r="Z58" s="89">
        <f>IF(Q58&lt;&gt;"", IFERROR(U58/K58, 0), 0)</f>
        <v>0.6875</v>
      </c>
      <c r="AA58" s="82">
        <f>IFERROR(T58/$T$60, "")</f>
        <v>0.26315789473684209</v>
      </c>
    </row>
    <row r="59" spans="1:27" ht="45" customHeight="1" x14ac:dyDescent="0.3">
      <c r="A59" s="44">
        <v>48</v>
      </c>
      <c r="B59" s="74" t="s">
        <v>186</v>
      </c>
      <c r="C59" s="73" t="s">
        <v>114</v>
      </c>
      <c r="D59" s="69" t="s">
        <v>129</v>
      </c>
      <c r="E59" s="69" t="s">
        <v>130</v>
      </c>
      <c r="F59" s="83" t="s">
        <v>306</v>
      </c>
      <c r="G59" s="83" t="s">
        <v>323</v>
      </c>
      <c r="H59" s="85">
        <v>1</v>
      </c>
      <c r="I59" s="85">
        <v>1</v>
      </c>
      <c r="J59" s="84">
        <v>2100</v>
      </c>
      <c r="K59" s="84">
        <f t="shared" si="29"/>
        <v>2100</v>
      </c>
      <c r="L59" s="84">
        <f t="shared" si="30"/>
        <v>189</v>
      </c>
      <c r="M59" s="84">
        <f>IF(K59&lt;&gt;"",IF(E59="FAT.OGGI",SUM(K59:L59)*(1/(1-$M$14)-1),L59*(1/(1-$M$14)-1)),"")</f>
        <v>45.870137939604838</v>
      </c>
      <c r="N59" s="84">
        <f t="shared" si="31"/>
        <v>2334.8701379396048</v>
      </c>
      <c r="Q59" s="214">
        <f>IF(H59&lt;&gt;"",H59,"")</f>
        <v>1</v>
      </c>
      <c r="R59" s="214">
        <f>IF(I59&lt;&gt;"",I59,"")</f>
        <v>1</v>
      </c>
      <c r="S59" s="210">
        <v>1200</v>
      </c>
      <c r="T59" s="210">
        <f t="shared" si="33"/>
        <v>1200</v>
      </c>
      <c r="U59" s="211">
        <f t="shared" si="34"/>
        <v>900</v>
      </c>
      <c r="V59" s="212">
        <f t="shared" si="35"/>
        <v>0</v>
      </c>
      <c r="W59" s="213">
        <f t="shared" si="36"/>
        <v>0</v>
      </c>
      <c r="X59" s="213">
        <f t="shared" si="37"/>
        <v>1200</v>
      </c>
      <c r="Y59" s="130">
        <f>IF(Q59&lt;&gt;"",X59+M59,"")</f>
        <v>1245.8701379396048</v>
      </c>
      <c r="Z59" s="82">
        <f>IF(Q59&lt;&gt;"",U59/K59,"")</f>
        <v>0.42857142857142855</v>
      </c>
      <c r="AA59" s="100"/>
    </row>
    <row r="60" spans="1:27" ht="24.6" customHeight="1" thickBot="1" x14ac:dyDescent="0.4">
      <c r="A60" s="150">
        <v>48</v>
      </c>
      <c r="B60" s="74"/>
      <c r="C60" s="151" t="s">
        <v>122</v>
      </c>
      <c r="D60" s="150"/>
      <c r="E60" s="150"/>
      <c r="F60" s="654" t="s">
        <v>201</v>
      </c>
      <c r="G60" s="655"/>
      <c r="H60" s="655"/>
      <c r="I60" s="655"/>
      <c r="J60" s="655"/>
      <c r="K60" s="119">
        <f>SUM(K55:K59)</f>
        <v>19100</v>
      </c>
      <c r="L60" s="119">
        <f>SUM(L55:L59)</f>
        <v>1719</v>
      </c>
      <c r="M60" s="119">
        <f>SUM(M55:M59)</f>
        <v>417.19982602212013</v>
      </c>
      <c r="N60" s="120">
        <f>SUM(N55:N59)</f>
        <v>21236.199826022119</v>
      </c>
      <c r="Q60" s="659" t="s">
        <v>201</v>
      </c>
      <c r="R60" s="660"/>
      <c r="S60" s="660"/>
      <c r="T60" s="205">
        <f>SUM(T55:T59)</f>
        <v>9500</v>
      </c>
      <c r="U60" s="206">
        <f>SUM(U55:U59)</f>
        <v>9600</v>
      </c>
      <c r="V60" s="207"/>
      <c r="W60" s="208"/>
      <c r="X60" s="209">
        <f>SUM(X55:X59)</f>
        <v>9500</v>
      </c>
      <c r="Y60" s="112">
        <f t="shared" si="38"/>
        <v>9917.1998260221208</v>
      </c>
      <c r="Z60" s="98"/>
      <c r="AA60" s="100"/>
    </row>
    <row r="61" spans="1:27" ht="20.399999999999999" customHeight="1" thickBot="1" x14ac:dyDescent="0.4">
      <c r="A61" s="69">
        <v>49</v>
      </c>
      <c r="B61" s="74">
        <v>6</v>
      </c>
      <c r="C61" s="68" t="s">
        <v>108</v>
      </c>
      <c r="D61" s="69"/>
      <c r="E61" s="69"/>
      <c r="F61" s="637" t="s">
        <v>258</v>
      </c>
      <c r="G61" s="638"/>
      <c r="H61" s="638"/>
      <c r="I61" s="638"/>
      <c r="J61" s="638"/>
      <c r="K61" s="638"/>
      <c r="L61" s="638"/>
      <c r="M61" s="638"/>
      <c r="N61" s="639"/>
      <c r="Q61" s="640" t="str">
        <f>IF(F61&lt;&gt;"",F61,"")</f>
        <v xml:space="preserve">STAFF SÃO PAULO </v>
      </c>
      <c r="R61" s="641"/>
      <c r="S61" s="641"/>
      <c r="T61" s="641"/>
      <c r="U61" s="641"/>
      <c r="V61" s="641"/>
      <c r="W61" s="641"/>
      <c r="X61" s="641"/>
      <c r="Y61" s="642"/>
      <c r="Z61" s="89"/>
    </row>
    <row r="62" spans="1:27" ht="21.6" customHeight="1" x14ac:dyDescent="0.35">
      <c r="A62" s="69">
        <v>50</v>
      </c>
      <c r="B62" s="74" t="s">
        <v>187</v>
      </c>
      <c r="C62" s="68" t="s">
        <v>109</v>
      </c>
      <c r="D62" s="69"/>
      <c r="E62" s="69"/>
      <c r="F62" s="643" t="s">
        <v>169</v>
      </c>
      <c r="G62" s="644"/>
      <c r="H62" s="644"/>
      <c r="I62" s="644"/>
      <c r="J62" s="644"/>
      <c r="K62" s="644"/>
      <c r="L62" s="170" t="s">
        <v>111</v>
      </c>
      <c r="M62" s="170" t="s">
        <v>112</v>
      </c>
      <c r="N62" s="171" t="s">
        <v>81</v>
      </c>
      <c r="Q62" s="656" t="str">
        <f>IF(F62&lt;&gt;"",F62,"")</f>
        <v>STAFF</v>
      </c>
      <c r="R62" s="657"/>
      <c r="S62" s="657"/>
      <c r="T62" s="657"/>
      <c r="U62" s="657"/>
      <c r="V62" s="657"/>
      <c r="W62" s="657"/>
      <c r="X62" s="657"/>
      <c r="Y62" s="658"/>
      <c r="Z62" s="96" t="s">
        <v>113</v>
      </c>
      <c r="AA62" s="75" t="s">
        <v>82</v>
      </c>
    </row>
    <row r="63" spans="1:27" ht="45" customHeight="1" x14ac:dyDescent="0.3">
      <c r="A63" s="69">
        <v>51</v>
      </c>
      <c r="B63" s="74" t="s">
        <v>188</v>
      </c>
      <c r="C63" s="68" t="s">
        <v>114</v>
      </c>
      <c r="D63" s="69" t="s">
        <v>129</v>
      </c>
      <c r="E63" s="69" t="s">
        <v>130</v>
      </c>
      <c r="F63" s="95" t="s">
        <v>126</v>
      </c>
      <c r="G63" s="77" t="s">
        <v>324</v>
      </c>
      <c r="H63" s="93">
        <v>1</v>
      </c>
      <c r="I63" s="93">
        <v>1</v>
      </c>
      <c r="J63" s="76">
        <v>800</v>
      </c>
      <c r="K63" s="76">
        <f t="shared" ref="K63:K67" si="40">IF(F63&lt;&gt;"",H63*I63*J63,"")</f>
        <v>800</v>
      </c>
      <c r="L63" s="76">
        <f t="shared" ref="L63:L67" si="41">IF(K63&lt;&gt;"",IF(D63="INTERNO",0,K63*$L$14),"")</f>
        <v>72</v>
      </c>
      <c r="M63" s="76">
        <f t="shared" ref="M63:M67" si="42">IF(K63&lt;&gt;"",IF(E63="FAT.OGGI",SUM(K63:L63)*(1/(1-$M$14)-1),L63*(1/(1-$M$14)-1)),0)</f>
        <v>17.474338262706603</v>
      </c>
      <c r="N63" s="91">
        <f t="shared" ref="N63:N67" si="43">SUM(K63:M63)</f>
        <v>889.47433826270662</v>
      </c>
      <c r="Q63" s="106">
        <f t="shared" ref="Q63:R67" si="44">IF(H63&lt;&gt;"",H63,"")</f>
        <v>1</v>
      </c>
      <c r="R63" s="102">
        <f t="shared" si="44"/>
        <v>1</v>
      </c>
      <c r="S63" s="103">
        <v>450</v>
      </c>
      <c r="T63" s="103">
        <f t="shared" ref="T63:T67" si="45">IF(Q63&lt;&gt;"",Q63*R63*S63,"")</f>
        <v>450</v>
      </c>
      <c r="U63" s="104">
        <f t="shared" ref="U63:U67" si="46">IF(Q63&lt;&gt;"",K63-T63,"")</f>
        <v>350</v>
      </c>
      <c r="V63" s="105">
        <f t="shared" ref="V63:V67" si="47">IF(Q63&lt;&gt;"",0%,"")</f>
        <v>0</v>
      </c>
      <c r="W63" s="101">
        <f t="shared" ref="W63:W67" si="48">IF(Q63&lt;&gt;"",V63*U63,"")</f>
        <v>0</v>
      </c>
      <c r="X63" s="101">
        <f t="shared" ref="X63:X67" si="49">IF(Q63&lt;&gt;"",W63+T63,"")</f>
        <v>450</v>
      </c>
      <c r="Y63" s="92">
        <f t="shared" ref="Y63:Y68" si="50">IF(Q63&lt;&gt;"",X63+M63,"")</f>
        <v>467.47433826270662</v>
      </c>
      <c r="Z63" s="98">
        <f t="shared" ref="Z63:Z67" si="51">IF(Q63&lt;&gt;"", IFERROR(U63/K63, 0), 0)</f>
        <v>0.4375</v>
      </c>
      <c r="AA63" s="126">
        <f>IFERROR(T63/$T$68, "")</f>
        <v>0.21428571428571427</v>
      </c>
    </row>
    <row r="64" spans="1:27" ht="45" customHeight="1" x14ac:dyDescent="0.3">
      <c r="A64" s="70">
        <v>52</v>
      </c>
      <c r="B64" s="74" t="s">
        <v>189</v>
      </c>
      <c r="C64" s="72" t="s">
        <v>114</v>
      </c>
      <c r="D64" s="69" t="s">
        <v>129</v>
      </c>
      <c r="E64" s="69" t="s">
        <v>130</v>
      </c>
      <c r="F64" s="95" t="s">
        <v>303</v>
      </c>
      <c r="G64" s="77" t="s">
        <v>325</v>
      </c>
      <c r="H64" s="93">
        <v>1</v>
      </c>
      <c r="I64" s="93">
        <v>0</v>
      </c>
      <c r="J64" s="76">
        <v>600</v>
      </c>
      <c r="K64" s="76">
        <f>IF(F64&lt;&gt;"",H64*I64*J64,"")</f>
        <v>0</v>
      </c>
      <c r="L64" s="76">
        <f>IF(K64&lt;&gt;"",IF(D64="INTERNO",0,K64*$L$14),"")</f>
        <v>0</v>
      </c>
      <c r="M64" s="76">
        <f>IF(K64&lt;&gt;"",IF(E64="FAT.OGGI",SUM(K64:L64)*(1/(1-$M$14)-1),L64*(1/(1-$M$14)-1)),"")</f>
        <v>0</v>
      </c>
      <c r="N64" s="91">
        <f>SUM(K64:M64)</f>
        <v>0</v>
      </c>
      <c r="Q64" s="106">
        <f>IF(H64&lt;&gt;"",H64,"")</f>
        <v>1</v>
      </c>
      <c r="R64" s="102">
        <f>IF(I64&lt;&gt;"",I64,"")</f>
        <v>0</v>
      </c>
      <c r="S64" s="103">
        <v>400</v>
      </c>
      <c r="T64" s="103">
        <f>IF(Q64&lt;&gt;"",Q64*R64*S64,"")</f>
        <v>0</v>
      </c>
      <c r="U64" s="104">
        <f>IF(Q64&lt;&gt;"",K64-T64,"")</f>
        <v>0</v>
      </c>
      <c r="V64" s="105">
        <f>IF(Q64&lt;&gt;"",0%,"")</f>
        <v>0</v>
      </c>
      <c r="W64" s="101">
        <f>IF(Q64&lt;&gt;"",V64*U64,"")</f>
        <v>0</v>
      </c>
      <c r="X64" s="101">
        <f>IF(Q64&lt;&gt;"",W64+T64,"")</f>
        <v>0</v>
      </c>
      <c r="Y64" s="92">
        <f>IF(Q64&lt;&gt;"",X64+M64,"")</f>
        <v>0</v>
      </c>
      <c r="Z64" s="89" t="e">
        <f>IF(Q64&lt;&gt;"",U64/K64,"")</f>
        <v>#DIV/0!</v>
      </c>
      <c r="AA64" s="126"/>
    </row>
    <row r="65" spans="1:27" ht="45" customHeight="1" x14ac:dyDescent="0.3">
      <c r="A65" s="69">
        <v>52</v>
      </c>
      <c r="B65" s="74" t="s">
        <v>190</v>
      </c>
      <c r="C65" s="68" t="s">
        <v>114</v>
      </c>
      <c r="D65" s="69" t="s">
        <v>129</v>
      </c>
      <c r="E65" s="69" t="s">
        <v>130</v>
      </c>
      <c r="F65" s="95" t="s">
        <v>224</v>
      </c>
      <c r="G65" s="77" t="s">
        <v>241</v>
      </c>
      <c r="H65" s="93">
        <v>1</v>
      </c>
      <c r="I65" s="93">
        <v>1</v>
      </c>
      <c r="J65" s="76">
        <v>900</v>
      </c>
      <c r="K65" s="76">
        <f t="shared" si="40"/>
        <v>900</v>
      </c>
      <c r="L65" s="76">
        <f t="shared" si="41"/>
        <v>81</v>
      </c>
      <c r="M65" s="76">
        <f t="shared" si="42"/>
        <v>19.658630545544931</v>
      </c>
      <c r="N65" s="91">
        <f t="shared" si="43"/>
        <v>1000.658630545545</v>
      </c>
      <c r="Q65" s="106">
        <f t="shared" si="44"/>
        <v>1</v>
      </c>
      <c r="R65" s="102">
        <f t="shared" si="44"/>
        <v>1</v>
      </c>
      <c r="S65" s="103">
        <v>650</v>
      </c>
      <c r="T65" s="103">
        <f t="shared" si="45"/>
        <v>650</v>
      </c>
      <c r="U65" s="104">
        <f t="shared" si="46"/>
        <v>250</v>
      </c>
      <c r="V65" s="105">
        <f t="shared" si="47"/>
        <v>0</v>
      </c>
      <c r="W65" s="101">
        <f t="shared" si="48"/>
        <v>0</v>
      </c>
      <c r="X65" s="101">
        <f t="shared" si="49"/>
        <v>650</v>
      </c>
      <c r="Y65" s="92">
        <f t="shared" si="50"/>
        <v>669.65863054554495</v>
      </c>
      <c r="Z65" s="98">
        <f t="shared" si="51"/>
        <v>0.27777777777777779</v>
      </c>
      <c r="AA65" s="126">
        <f>IFERROR(T65/$T$68, "")</f>
        <v>0.30952380952380953</v>
      </c>
    </row>
    <row r="66" spans="1:27" ht="49.5" customHeight="1" x14ac:dyDescent="0.3">
      <c r="A66" s="69">
        <v>54</v>
      </c>
      <c r="B66" s="74" t="s">
        <v>191</v>
      </c>
      <c r="C66" s="68" t="s">
        <v>114</v>
      </c>
      <c r="D66" s="69" t="s">
        <v>129</v>
      </c>
      <c r="E66" s="69" t="s">
        <v>130</v>
      </c>
      <c r="F66" s="95" t="s">
        <v>171</v>
      </c>
      <c r="G66" s="77" t="s">
        <v>297</v>
      </c>
      <c r="H66" s="93">
        <v>1</v>
      </c>
      <c r="I66" s="93">
        <v>0</v>
      </c>
      <c r="J66" s="76">
        <v>800</v>
      </c>
      <c r="K66" s="76">
        <f t="shared" si="40"/>
        <v>0</v>
      </c>
      <c r="L66" s="76">
        <f t="shared" si="41"/>
        <v>0</v>
      </c>
      <c r="M66" s="76">
        <f t="shared" si="42"/>
        <v>0</v>
      </c>
      <c r="N66" s="91">
        <f t="shared" si="43"/>
        <v>0</v>
      </c>
      <c r="Q66" s="106">
        <f t="shared" si="44"/>
        <v>1</v>
      </c>
      <c r="R66" s="102">
        <f t="shared" si="44"/>
        <v>0</v>
      </c>
      <c r="S66" s="103">
        <v>800</v>
      </c>
      <c r="T66" s="103">
        <f t="shared" si="45"/>
        <v>0</v>
      </c>
      <c r="U66" s="104">
        <f t="shared" si="46"/>
        <v>0</v>
      </c>
      <c r="V66" s="105">
        <f t="shared" si="47"/>
        <v>0</v>
      </c>
      <c r="W66" s="101">
        <f t="shared" si="48"/>
        <v>0</v>
      </c>
      <c r="X66" s="101">
        <f t="shared" si="49"/>
        <v>0</v>
      </c>
      <c r="Y66" s="92">
        <f t="shared" si="50"/>
        <v>0</v>
      </c>
      <c r="Z66" s="98">
        <f t="shared" si="51"/>
        <v>0</v>
      </c>
      <c r="AA66" s="82">
        <f>IFERROR(T66/$T$68, "")</f>
        <v>0</v>
      </c>
    </row>
    <row r="67" spans="1:27" ht="45" customHeight="1" x14ac:dyDescent="0.3">
      <c r="A67" s="44">
        <v>55</v>
      </c>
      <c r="B67" s="74" t="s">
        <v>302</v>
      </c>
      <c r="C67" s="73" t="s">
        <v>114</v>
      </c>
      <c r="D67" s="69" t="s">
        <v>129</v>
      </c>
      <c r="E67" s="69" t="s">
        <v>130</v>
      </c>
      <c r="F67" s="131" t="s">
        <v>172</v>
      </c>
      <c r="G67" s="77" t="s">
        <v>173</v>
      </c>
      <c r="H67" s="93">
        <v>1</v>
      </c>
      <c r="I67" s="93">
        <v>1</v>
      </c>
      <c r="J67" s="76">
        <v>1500</v>
      </c>
      <c r="K67" s="76">
        <f t="shared" si="40"/>
        <v>1500</v>
      </c>
      <c r="L67" s="76">
        <f t="shared" si="41"/>
        <v>135</v>
      </c>
      <c r="M67" s="76">
        <f t="shared" si="42"/>
        <v>32.764384242574884</v>
      </c>
      <c r="N67" s="91">
        <f t="shared" si="43"/>
        <v>1667.7643842425748</v>
      </c>
      <c r="Q67" s="106">
        <f t="shared" si="44"/>
        <v>1</v>
      </c>
      <c r="R67" s="102">
        <f t="shared" si="44"/>
        <v>1</v>
      </c>
      <c r="S67" s="103">
        <v>1000</v>
      </c>
      <c r="T67" s="103">
        <f t="shared" si="45"/>
        <v>1000</v>
      </c>
      <c r="U67" s="104">
        <f t="shared" si="46"/>
        <v>500</v>
      </c>
      <c r="V67" s="105">
        <f t="shared" si="47"/>
        <v>0</v>
      </c>
      <c r="W67" s="101">
        <f t="shared" si="48"/>
        <v>0</v>
      </c>
      <c r="X67" s="101">
        <f t="shared" si="49"/>
        <v>1000</v>
      </c>
      <c r="Y67" s="92">
        <f t="shared" si="50"/>
        <v>1032.7643842425748</v>
      </c>
      <c r="Z67" s="89">
        <f t="shared" si="51"/>
        <v>0.33333333333333331</v>
      </c>
      <c r="AA67" s="82">
        <f>IFERROR(T67/$T$68, "")</f>
        <v>0.47619047619047616</v>
      </c>
    </row>
    <row r="68" spans="1:27" ht="32.4" customHeight="1" thickBot="1" x14ac:dyDescent="0.4">
      <c r="A68" s="70">
        <v>57</v>
      </c>
      <c r="B68" s="74"/>
      <c r="C68" s="72" t="s">
        <v>122</v>
      </c>
      <c r="D68" s="70"/>
      <c r="E68" s="70"/>
      <c r="F68" s="626" t="s">
        <v>203</v>
      </c>
      <c r="G68" s="627"/>
      <c r="H68" s="627"/>
      <c r="I68" s="627"/>
      <c r="J68" s="627"/>
      <c r="K68" s="168">
        <f>SUM(K63:K67)</f>
        <v>3200</v>
      </c>
      <c r="L68" s="168">
        <f>SUM(L63:L67)</f>
        <v>288</v>
      </c>
      <c r="M68" s="168">
        <f>SUM(M63:M67)</f>
        <v>69.89735305082641</v>
      </c>
      <c r="N68" s="169">
        <f>SUM(N63:N67)</f>
        <v>3557.8973530508265</v>
      </c>
      <c r="Q68" s="661" t="s">
        <v>203</v>
      </c>
      <c r="R68" s="662"/>
      <c r="S68" s="662"/>
      <c r="T68" s="178">
        <f>SUM(T63:T67)</f>
        <v>2100</v>
      </c>
      <c r="U68" s="179">
        <f>SUM(U63:U67)</f>
        <v>1100</v>
      </c>
      <c r="V68" s="105"/>
      <c r="W68" s="101"/>
      <c r="X68" s="180">
        <f>SUM(X63:X67)</f>
        <v>2100</v>
      </c>
      <c r="Y68" s="181">
        <f t="shared" si="50"/>
        <v>2169.8973530508265</v>
      </c>
      <c r="Z68" s="98"/>
      <c r="AA68" s="100"/>
    </row>
    <row r="69" spans="1:27" ht="23.1" customHeight="1" thickBot="1" x14ac:dyDescent="0.4">
      <c r="A69" s="69">
        <v>58</v>
      </c>
      <c r="B69" s="74">
        <v>7</v>
      </c>
      <c r="C69" s="68" t="s">
        <v>108</v>
      </c>
      <c r="D69" s="69"/>
      <c r="E69" s="69"/>
      <c r="F69" s="637" t="s">
        <v>174</v>
      </c>
      <c r="G69" s="638"/>
      <c r="H69" s="638"/>
      <c r="I69" s="638"/>
      <c r="J69" s="638"/>
      <c r="K69" s="638"/>
      <c r="L69" s="638"/>
      <c r="M69" s="638"/>
      <c r="N69" s="639"/>
      <c r="Q69" s="663" t="str">
        <f>IF(F69&lt;&gt;"",F69,"")</f>
        <v>LOGISTICA</v>
      </c>
      <c r="R69" s="664"/>
      <c r="S69" s="664"/>
      <c r="T69" s="664"/>
      <c r="U69" s="664"/>
      <c r="V69" s="664"/>
      <c r="W69" s="664"/>
      <c r="X69" s="664"/>
      <c r="Y69" s="665"/>
      <c r="Z69" s="89"/>
    </row>
    <row r="70" spans="1:27" ht="27.6" customHeight="1" x14ac:dyDescent="0.35">
      <c r="A70" s="69">
        <v>59</v>
      </c>
      <c r="B70" s="74" t="s">
        <v>205</v>
      </c>
      <c r="C70" s="68" t="s">
        <v>109</v>
      </c>
      <c r="D70" s="69"/>
      <c r="E70" s="69"/>
      <c r="F70" s="643" t="s">
        <v>174</v>
      </c>
      <c r="G70" s="644"/>
      <c r="H70" s="644"/>
      <c r="I70" s="644"/>
      <c r="J70" s="644"/>
      <c r="K70" s="644"/>
      <c r="L70" s="170" t="s">
        <v>111</v>
      </c>
      <c r="M70" s="170" t="s">
        <v>112</v>
      </c>
      <c r="N70" s="171" t="s">
        <v>81</v>
      </c>
      <c r="Q70" s="661" t="str">
        <f>IF(F70&lt;&gt;"",F70,"")</f>
        <v>LOGISTICA</v>
      </c>
      <c r="R70" s="662"/>
      <c r="S70" s="662"/>
      <c r="T70" s="662"/>
      <c r="U70" s="662"/>
      <c r="V70" s="662"/>
      <c r="W70" s="662"/>
      <c r="X70" s="662"/>
      <c r="Y70" s="666"/>
      <c r="Z70" s="96" t="s">
        <v>113</v>
      </c>
      <c r="AA70" s="75" t="s">
        <v>82</v>
      </c>
    </row>
    <row r="71" spans="1:27" ht="37.5" customHeight="1" x14ac:dyDescent="0.3">
      <c r="A71" s="69">
        <v>66</v>
      </c>
      <c r="B71" s="74" t="s">
        <v>206</v>
      </c>
      <c r="C71" s="68" t="s">
        <v>114</v>
      </c>
      <c r="D71" s="69" t="s">
        <v>129</v>
      </c>
      <c r="E71" s="69" t="s">
        <v>130</v>
      </c>
      <c r="F71" s="95" t="s">
        <v>179</v>
      </c>
      <c r="G71" s="77" t="s">
        <v>180</v>
      </c>
      <c r="H71" s="93">
        <v>1</v>
      </c>
      <c r="I71" s="93">
        <v>1</v>
      </c>
      <c r="J71" s="76">
        <v>900</v>
      </c>
      <c r="K71" s="76">
        <f t="shared" ref="K71" si="52">IF(F71&lt;&gt;"",H71*I71*J71,"")</f>
        <v>900</v>
      </c>
      <c r="L71" s="76">
        <f t="shared" ref="L71:L72" si="53">IF(K71&lt;&gt;"",IF(D71="INTERNO",0,K71*$L$14),"")</f>
        <v>81</v>
      </c>
      <c r="M71" s="76">
        <f t="shared" ref="M71:M72" si="54">IF(K71&lt;&gt;"",IF(E71="FAT.OGGI",SUM(K71:L71)*(1/(1-$M$14)-1),L71*(1/(1-$M$14)-1)),0)</f>
        <v>19.658630545544931</v>
      </c>
      <c r="N71" s="91">
        <f t="shared" ref="N71:N72" si="55">SUM(K71:M71)</f>
        <v>1000.658630545545</v>
      </c>
      <c r="Q71" s="106">
        <f>IF(H71&lt;&gt;"",H71,"")</f>
        <v>1</v>
      </c>
      <c r="R71" s="102">
        <f t="shared" ref="R71:R72" si="56">IF(I71&lt;&gt;"",I71,"")</f>
        <v>1</v>
      </c>
      <c r="S71" s="103">
        <v>500</v>
      </c>
      <c r="T71" s="103">
        <f t="shared" ref="T71:T72" si="57">IF(Q71&lt;&gt;"",Q71*R71*S71,"")</f>
        <v>500</v>
      </c>
      <c r="U71" s="104">
        <f t="shared" ref="U71:U72" si="58">IF(Q71&lt;&gt;"",K71-T71,"")</f>
        <v>400</v>
      </c>
      <c r="V71" s="105">
        <f t="shared" ref="V71:V72" si="59">IF(Q71&lt;&gt;"",0%,"")</f>
        <v>0</v>
      </c>
      <c r="W71" s="101">
        <f t="shared" ref="W71:W72" si="60">IF(Q71&lt;&gt;"",V71*U71,"")</f>
        <v>0</v>
      </c>
      <c r="X71" s="101">
        <f t="shared" ref="X71:X72" si="61">IF(Q71&lt;&gt;"",W71+T71,"")</f>
        <v>500</v>
      </c>
      <c r="Y71" s="92">
        <f t="shared" ref="Y71:Y73" si="62">IF(Q71&lt;&gt;"",X71+M71,"")</f>
        <v>519.65863054554495</v>
      </c>
      <c r="Z71" s="98">
        <f t="shared" ref="Z71:Z72" si="63">IF(Q71&lt;&gt;"", IFERROR(U71/K71, 0), 0)</f>
        <v>0.44444444444444442</v>
      </c>
      <c r="AA71" s="82">
        <f>IFERROR(T71/$T$73, "")</f>
        <v>0.38461538461538464</v>
      </c>
    </row>
    <row r="72" spans="1:27" ht="45" customHeight="1" x14ac:dyDescent="0.3">
      <c r="A72" s="44">
        <v>69</v>
      </c>
      <c r="B72" s="74" t="s">
        <v>207</v>
      </c>
      <c r="C72" s="73" t="s">
        <v>114</v>
      </c>
      <c r="D72" s="69" t="s">
        <v>129</v>
      </c>
      <c r="E72" s="69" t="s">
        <v>130</v>
      </c>
      <c r="F72" s="131" t="s">
        <v>138</v>
      </c>
      <c r="G72" s="77" t="s">
        <v>217</v>
      </c>
      <c r="H72" s="93">
        <v>1</v>
      </c>
      <c r="I72" s="93">
        <v>1</v>
      </c>
      <c r="J72" s="76">
        <v>1000</v>
      </c>
      <c r="K72" s="76">
        <f>IF(F72&lt;&gt;"",H72*I72*J72,"")</f>
        <v>1000</v>
      </c>
      <c r="L72" s="76">
        <f t="shared" si="53"/>
        <v>90</v>
      </c>
      <c r="M72" s="76">
        <f t="shared" si="54"/>
        <v>21.842922828383255</v>
      </c>
      <c r="N72" s="91">
        <f t="shared" si="55"/>
        <v>1111.8429228283833</v>
      </c>
      <c r="Q72" s="106">
        <f>IF(H72&lt;&gt;"",H72,"")</f>
        <v>1</v>
      </c>
      <c r="R72" s="102">
        <f t="shared" si="56"/>
        <v>1</v>
      </c>
      <c r="S72" s="103">
        <v>800</v>
      </c>
      <c r="T72" s="103">
        <f t="shared" si="57"/>
        <v>800</v>
      </c>
      <c r="U72" s="104">
        <f t="shared" si="58"/>
        <v>200</v>
      </c>
      <c r="V72" s="105">
        <f t="shared" si="59"/>
        <v>0</v>
      </c>
      <c r="W72" s="101">
        <f t="shared" si="60"/>
        <v>0</v>
      </c>
      <c r="X72" s="101">
        <f t="shared" si="61"/>
        <v>800</v>
      </c>
      <c r="Y72" s="92">
        <f t="shared" si="62"/>
        <v>821.84292282838328</v>
      </c>
      <c r="Z72" s="89">
        <f t="shared" si="63"/>
        <v>0.2</v>
      </c>
      <c r="AA72" s="82">
        <f>IFERROR(T72/$T$73, "")</f>
        <v>0.61538461538461542</v>
      </c>
    </row>
    <row r="73" spans="1:27" ht="32.1" customHeight="1" thickBot="1" x14ac:dyDescent="0.4">
      <c r="A73" s="70">
        <v>70</v>
      </c>
      <c r="B73" s="74"/>
      <c r="C73" s="72" t="s">
        <v>122</v>
      </c>
      <c r="D73" s="70"/>
      <c r="E73" s="70"/>
      <c r="F73" s="626" t="s">
        <v>204</v>
      </c>
      <c r="G73" s="627"/>
      <c r="H73" s="627"/>
      <c r="I73" s="627"/>
      <c r="J73" s="627"/>
      <c r="K73" s="168">
        <f>SUM(K71:K72)</f>
        <v>1900</v>
      </c>
      <c r="L73" s="168">
        <f>SUM(L71:L72)</f>
        <v>171</v>
      </c>
      <c r="M73" s="168">
        <f>SUM(M71:M72)</f>
        <v>41.501553373928189</v>
      </c>
      <c r="N73" s="169">
        <f>SUM(N71:N72)</f>
        <v>2112.5015533739283</v>
      </c>
      <c r="Q73" s="628" t="s">
        <v>204</v>
      </c>
      <c r="R73" s="629"/>
      <c r="S73" s="629"/>
      <c r="T73" s="195">
        <f>SUM(T71:T72)</f>
        <v>1300</v>
      </c>
      <c r="U73" s="196">
        <f>SUM(U71:U72)</f>
        <v>600</v>
      </c>
      <c r="V73" s="201"/>
      <c r="W73" s="130"/>
      <c r="X73" s="199">
        <f>SUM(X71:X72)</f>
        <v>1300</v>
      </c>
      <c r="Y73" s="200">
        <f t="shared" si="62"/>
        <v>1341.5015533739281</v>
      </c>
      <c r="Z73" s="98"/>
      <c r="AA73" s="100"/>
    </row>
    <row r="74" spans="1:27" ht="23.4" customHeight="1" thickBot="1" x14ac:dyDescent="0.4">
      <c r="A74" s="69">
        <v>71</v>
      </c>
      <c r="B74" s="74">
        <v>8</v>
      </c>
      <c r="C74" s="68" t="s">
        <v>108</v>
      </c>
      <c r="D74" s="69"/>
      <c r="E74" s="69"/>
      <c r="F74" s="637" t="s">
        <v>247</v>
      </c>
      <c r="G74" s="638"/>
      <c r="H74" s="638"/>
      <c r="I74" s="638"/>
      <c r="J74" s="638"/>
      <c r="K74" s="638"/>
      <c r="L74" s="638"/>
      <c r="M74" s="638"/>
      <c r="N74" s="639"/>
      <c r="Q74" s="640" t="str">
        <f>IF(F74&lt;&gt;"",F74,"")</f>
        <v xml:space="preserve">BELO HORIZONTE </v>
      </c>
      <c r="R74" s="641"/>
      <c r="S74" s="641"/>
      <c r="T74" s="641"/>
      <c r="U74" s="641"/>
      <c r="V74" s="641"/>
      <c r="W74" s="641"/>
      <c r="X74" s="641"/>
      <c r="Y74" s="642"/>
      <c r="Z74" s="89"/>
    </row>
    <row r="75" spans="1:27" ht="27.6" customHeight="1" x14ac:dyDescent="0.35">
      <c r="A75" s="69">
        <v>72</v>
      </c>
      <c r="B75" s="74" t="s">
        <v>225</v>
      </c>
      <c r="C75" s="68" t="s">
        <v>109</v>
      </c>
      <c r="D75" s="69"/>
      <c r="E75" s="69"/>
      <c r="F75" s="667" t="s">
        <v>155</v>
      </c>
      <c r="G75" s="668"/>
      <c r="H75" s="668"/>
      <c r="I75" s="668"/>
      <c r="J75" s="668"/>
      <c r="K75" s="668"/>
      <c r="L75" s="265" t="s">
        <v>111</v>
      </c>
      <c r="M75" s="265" t="s">
        <v>112</v>
      </c>
      <c r="N75" s="266" t="s">
        <v>81</v>
      </c>
      <c r="Q75" s="656" t="str">
        <f>IF(F75&lt;&gt;"",F75,"")</f>
        <v>LOCAÇÃO DE ESPAÇO E A&amp;B</v>
      </c>
      <c r="R75" s="657"/>
      <c r="S75" s="657"/>
      <c r="T75" s="657"/>
      <c r="U75" s="657"/>
      <c r="V75" s="657"/>
      <c r="W75" s="657"/>
      <c r="X75" s="657"/>
      <c r="Y75" s="658"/>
      <c r="Z75" s="96" t="s">
        <v>113</v>
      </c>
      <c r="AA75" s="75" t="s">
        <v>82</v>
      </c>
    </row>
    <row r="76" spans="1:27" ht="32.4" x14ac:dyDescent="0.3">
      <c r="A76" s="44">
        <v>73</v>
      </c>
      <c r="B76" s="74" t="s">
        <v>226</v>
      </c>
      <c r="C76" s="73" t="s">
        <v>114</v>
      </c>
      <c r="D76" s="44" t="s">
        <v>129</v>
      </c>
      <c r="E76" s="44" t="s">
        <v>130</v>
      </c>
      <c r="F76" s="95" t="s">
        <v>245</v>
      </c>
      <c r="G76" s="77" t="s">
        <v>248</v>
      </c>
      <c r="H76" s="93">
        <v>1</v>
      </c>
      <c r="I76" s="93">
        <v>1</v>
      </c>
      <c r="J76" s="76">
        <v>8500</v>
      </c>
      <c r="K76" s="76">
        <f t="shared" ref="K76:K81" si="64">IF(F76&lt;&gt;"",H76*I76*J76,"")</f>
        <v>8500</v>
      </c>
      <c r="L76" s="76">
        <f t="shared" ref="L76:L81" si="65">IF(K76&lt;&gt;"",IF(D76="INTERNO",0,K76*$L$14),"")</f>
        <v>765</v>
      </c>
      <c r="M76" s="76">
        <f t="shared" ref="M76:M81" si="66">IF(K76&lt;&gt;"",IF(E76="FAT.OGGI",SUM(K76:L76)*(1/(1-$M$14)-1),L76*(1/(1-$M$14)-1)),"")</f>
        <v>185.66484404125768</v>
      </c>
      <c r="N76" s="91">
        <f t="shared" ref="N76:N81" si="67">SUM(K76:M76)</f>
        <v>9450.6648440412573</v>
      </c>
      <c r="Q76" s="106">
        <f t="shared" ref="Q76:R81" si="68">IF(H76&lt;&gt;"",H76,"")</f>
        <v>1</v>
      </c>
      <c r="R76" s="102">
        <f t="shared" si="68"/>
        <v>1</v>
      </c>
      <c r="S76" s="103">
        <v>8500</v>
      </c>
      <c r="T76" s="103">
        <f t="shared" ref="T76:T81" si="69">IF(Q76&lt;&gt;"",Q76*R76*S76,"")</f>
        <v>8500</v>
      </c>
      <c r="U76" s="104">
        <f t="shared" ref="U76:U81" si="70">IF(Q76&lt;&gt;"",K76-T76,"")</f>
        <v>0</v>
      </c>
      <c r="V76" s="105">
        <f t="shared" ref="V76:V81" si="71">IF(Q76&lt;&gt;"",0%,"")</f>
        <v>0</v>
      </c>
      <c r="W76" s="101">
        <f t="shared" ref="W76:W81" si="72">IF(Q76&lt;&gt;"",V76*U76,"")</f>
        <v>0</v>
      </c>
      <c r="X76" s="101">
        <f t="shared" ref="X76:X81" si="73">IF(Q76&lt;&gt;"",W76+T76,"")</f>
        <v>8500</v>
      </c>
      <c r="Y76" s="92">
        <f t="shared" ref="Y76:Y82" si="74">IF(Q76&lt;&gt;"",X76+M76,"")</f>
        <v>8685.6648440412573</v>
      </c>
      <c r="Z76" s="89">
        <f t="shared" ref="Z76:Z81" si="75">IF(Q76&lt;&gt;"",U76/K76,"")</f>
        <v>0</v>
      </c>
      <c r="AA76" s="82">
        <f>T76/$T$82</f>
        <v>0.38202247191011235</v>
      </c>
    </row>
    <row r="77" spans="1:27" ht="32.4" x14ac:dyDescent="0.3">
      <c r="A77" s="44">
        <v>74</v>
      </c>
      <c r="B77" s="74" t="s">
        <v>227</v>
      </c>
      <c r="C77" s="73" t="s">
        <v>114</v>
      </c>
      <c r="D77" s="44" t="s">
        <v>129</v>
      </c>
      <c r="E77" s="44" t="s">
        <v>130</v>
      </c>
      <c r="F77" s="86" t="s">
        <v>220</v>
      </c>
      <c r="G77" s="83" t="s">
        <v>221</v>
      </c>
      <c r="H77" s="85">
        <v>25</v>
      </c>
      <c r="I77" s="85">
        <v>1</v>
      </c>
      <c r="J77" s="84">
        <v>550</v>
      </c>
      <c r="K77" s="84">
        <f t="shared" si="64"/>
        <v>13750</v>
      </c>
      <c r="L77" s="84">
        <f t="shared" si="65"/>
        <v>1237.5</v>
      </c>
      <c r="M77" s="84">
        <f t="shared" si="66"/>
        <v>300.34018889026976</v>
      </c>
      <c r="N77" s="87">
        <f t="shared" si="67"/>
        <v>15287.84018889027</v>
      </c>
      <c r="Q77" s="107">
        <f t="shared" si="68"/>
        <v>25</v>
      </c>
      <c r="R77" s="108">
        <f t="shared" si="68"/>
        <v>1</v>
      </c>
      <c r="S77" s="109">
        <v>550</v>
      </c>
      <c r="T77" s="109">
        <f t="shared" si="69"/>
        <v>13750</v>
      </c>
      <c r="U77" s="204">
        <f t="shared" si="70"/>
        <v>0</v>
      </c>
      <c r="V77" s="201">
        <f t="shared" si="71"/>
        <v>0</v>
      </c>
      <c r="W77" s="130">
        <f t="shared" si="72"/>
        <v>0</v>
      </c>
      <c r="X77" s="130">
        <f t="shared" si="73"/>
        <v>13750</v>
      </c>
      <c r="Y77" s="90">
        <f t="shared" si="74"/>
        <v>14050.34018889027</v>
      </c>
      <c r="Z77" s="89">
        <f t="shared" si="75"/>
        <v>0</v>
      </c>
      <c r="AA77" s="82">
        <f>T77/$T$82</f>
        <v>0.6179775280898876</v>
      </c>
    </row>
    <row r="78" spans="1:27" ht="41.4" customHeight="1" x14ac:dyDescent="0.3">
      <c r="A78" s="44">
        <v>75</v>
      </c>
      <c r="B78" s="74" t="s">
        <v>266</v>
      </c>
      <c r="C78" s="73" t="s">
        <v>114</v>
      </c>
      <c r="D78" s="44" t="s">
        <v>129</v>
      </c>
      <c r="E78" s="44" t="s">
        <v>130</v>
      </c>
      <c r="F78" s="86" t="s">
        <v>313</v>
      </c>
      <c r="G78" s="83" t="s">
        <v>328</v>
      </c>
      <c r="H78" s="85">
        <v>1</v>
      </c>
      <c r="I78" s="85">
        <v>0</v>
      </c>
      <c r="J78" s="84">
        <v>8500</v>
      </c>
      <c r="K78" s="84">
        <f t="shared" si="64"/>
        <v>0</v>
      </c>
      <c r="L78" s="84">
        <f t="shared" si="65"/>
        <v>0</v>
      </c>
      <c r="M78" s="84">
        <f t="shared" si="66"/>
        <v>0</v>
      </c>
      <c r="N78" s="87">
        <f t="shared" si="67"/>
        <v>0</v>
      </c>
      <c r="Q78" s="214">
        <f>IF(H78&lt;&gt;"",H78,"")</f>
        <v>1</v>
      </c>
      <c r="R78" s="214">
        <f>IF(I78&lt;&gt;"",I78,"")</f>
        <v>0</v>
      </c>
      <c r="S78" s="215">
        <v>7000</v>
      </c>
      <c r="T78" s="210">
        <f t="shared" si="69"/>
        <v>0</v>
      </c>
      <c r="U78" s="211">
        <f t="shared" si="70"/>
        <v>0</v>
      </c>
      <c r="V78" s="212">
        <f t="shared" si="71"/>
        <v>0</v>
      </c>
      <c r="W78" s="213">
        <f t="shared" si="72"/>
        <v>0</v>
      </c>
      <c r="X78" s="213">
        <f t="shared" si="73"/>
        <v>0</v>
      </c>
      <c r="Y78" s="130">
        <f t="shared" si="74"/>
        <v>0</v>
      </c>
      <c r="Z78" s="82" t="e">
        <f t="shared" si="75"/>
        <v>#DIV/0!</v>
      </c>
      <c r="AA78" s="100"/>
    </row>
    <row r="79" spans="1:27" ht="32.4" x14ac:dyDescent="0.3">
      <c r="A79" s="70">
        <v>76</v>
      </c>
      <c r="B79" s="74" t="s">
        <v>267</v>
      </c>
      <c r="C79" s="72" t="s">
        <v>114</v>
      </c>
      <c r="D79" s="44" t="s">
        <v>129</v>
      </c>
      <c r="E79" s="44" t="s">
        <v>130</v>
      </c>
      <c r="F79" s="95" t="s">
        <v>220</v>
      </c>
      <c r="G79" s="77" t="s">
        <v>314</v>
      </c>
      <c r="H79" s="93">
        <v>25</v>
      </c>
      <c r="I79" s="93">
        <v>0</v>
      </c>
      <c r="J79" s="76">
        <v>290</v>
      </c>
      <c r="K79" s="76">
        <f t="shared" si="64"/>
        <v>0</v>
      </c>
      <c r="L79" s="76">
        <f t="shared" si="65"/>
        <v>0</v>
      </c>
      <c r="M79" s="76">
        <f t="shared" si="66"/>
        <v>0</v>
      </c>
      <c r="N79" s="91">
        <f t="shared" si="67"/>
        <v>0</v>
      </c>
      <c r="Q79" s="97">
        <f>IF(H79&lt;&gt;"",H79,"")</f>
        <v>25</v>
      </c>
      <c r="R79" s="97">
        <f>IF(I79&lt;&gt;"",I79,"")</f>
        <v>0</v>
      </c>
      <c r="S79" s="216">
        <v>250</v>
      </c>
      <c r="T79" s="78">
        <f t="shared" si="69"/>
        <v>0</v>
      </c>
      <c r="U79" s="81">
        <f t="shared" si="70"/>
        <v>0</v>
      </c>
      <c r="V79" s="79">
        <f t="shared" si="71"/>
        <v>0</v>
      </c>
      <c r="W79" s="80">
        <f t="shared" si="72"/>
        <v>0</v>
      </c>
      <c r="X79" s="80">
        <f t="shared" si="73"/>
        <v>0</v>
      </c>
      <c r="Y79" s="101">
        <f t="shared" si="74"/>
        <v>0</v>
      </c>
      <c r="Z79" s="82" t="e">
        <f t="shared" si="75"/>
        <v>#DIV/0!</v>
      </c>
      <c r="AA79" s="100"/>
    </row>
    <row r="80" spans="1:27" ht="32.4" x14ac:dyDescent="0.3">
      <c r="A80" s="69">
        <v>75</v>
      </c>
      <c r="B80" s="74" t="s">
        <v>311</v>
      </c>
      <c r="C80" s="68" t="s">
        <v>114</v>
      </c>
      <c r="D80" s="69" t="s">
        <v>129</v>
      </c>
      <c r="E80" s="69" t="s">
        <v>130</v>
      </c>
      <c r="F80" s="127" t="s">
        <v>268</v>
      </c>
      <c r="G80" s="128" t="s">
        <v>269</v>
      </c>
      <c r="H80" s="129">
        <v>1</v>
      </c>
      <c r="I80" s="129">
        <v>0</v>
      </c>
      <c r="J80" s="121">
        <v>4000</v>
      </c>
      <c r="K80" s="121">
        <f t="shared" si="64"/>
        <v>0</v>
      </c>
      <c r="L80" s="121">
        <f t="shared" si="65"/>
        <v>0</v>
      </c>
      <c r="M80" s="121">
        <f t="shared" si="66"/>
        <v>0</v>
      </c>
      <c r="N80" s="122">
        <f t="shared" si="67"/>
        <v>0</v>
      </c>
      <c r="Q80" s="123">
        <f t="shared" si="68"/>
        <v>1</v>
      </c>
      <c r="R80" s="124">
        <f t="shared" si="68"/>
        <v>0</v>
      </c>
      <c r="S80" s="125">
        <v>2900</v>
      </c>
      <c r="T80" s="125">
        <f t="shared" si="69"/>
        <v>0</v>
      </c>
      <c r="U80" s="192">
        <f t="shared" si="70"/>
        <v>0</v>
      </c>
      <c r="V80" s="193">
        <f t="shared" si="71"/>
        <v>0</v>
      </c>
      <c r="W80" s="194">
        <f t="shared" si="72"/>
        <v>0</v>
      </c>
      <c r="X80" s="194">
        <f t="shared" si="73"/>
        <v>0</v>
      </c>
      <c r="Y80" s="99">
        <f t="shared" si="74"/>
        <v>0</v>
      </c>
      <c r="Z80" s="89" t="e">
        <f t="shared" si="75"/>
        <v>#DIV/0!</v>
      </c>
      <c r="AA80" s="100"/>
    </row>
    <row r="81" spans="1:27" ht="32.4" x14ac:dyDescent="0.3">
      <c r="A81" s="44">
        <v>76</v>
      </c>
      <c r="B81" s="74" t="s">
        <v>312</v>
      </c>
      <c r="C81" s="73" t="s">
        <v>114</v>
      </c>
      <c r="D81" s="44" t="s">
        <v>129</v>
      </c>
      <c r="E81" s="44" t="s">
        <v>130</v>
      </c>
      <c r="F81" s="95" t="s">
        <v>220</v>
      </c>
      <c r="G81" s="77" t="s">
        <v>294</v>
      </c>
      <c r="H81" s="93">
        <v>25</v>
      </c>
      <c r="I81" s="93">
        <v>0</v>
      </c>
      <c r="J81" s="76">
        <v>375</v>
      </c>
      <c r="K81" s="76">
        <f t="shared" si="64"/>
        <v>0</v>
      </c>
      <c r="L81" s="76">
        <f t="shared" si="65"/>
        <v>0</v>
      </c>
      <c r="M81" s="76">
        <f t="shared" si="66"/>
        <v>0</v>
      </c>
      <c r="N81" s="91">
        <f t="shared" si="67"/>
        <v>0</v>
      </c>
      <c r="Q81" s="106">
        <f t="shared" si="68"/>
        <v>25</v>
      </c>
      <c r="R81" s="102">
        <f t="shared" si="68"/>
        <v>0</v>
      </c>
      <c r="S81" s="103">
        <v>350</v>
      </c>
      <c r="T81" s="103">
        <f t="shared" si="69"/>
        <v>0</v>
      </c>
      <c r="U81" s="104">
        <f t="shared" si="70"/>
        <v>0</v>
      </c>
      <c r="V81" s="105">
        <f t="shared" si="71"/>
        <v>0</v>
      </c>
      <c r="W81" s="101">
        <f t="shared" si="72"/>
        <v>0</v>
      </c>
      <c r="X81" s="101">
        <f t="shared" si="73"/>
        <v>0</v>
      </c>
      <c r="Y81" s="92">
        <f t="shared" si="74"/>
        <v>0</v>
      </c>
      <c r="Z81" s="89" t="e">
        <f t="shared" si="75"/>
        <v>#DIV/0!</v>
      </c>
      <c r="AA81" s="100"/>
    </row>
    <row r="82" spans="1:27" ht="32.4" customHeight="1" thickBot="1" x14ac:dyDescent="0.4">
      <c r="A82" s="69">
        <v>75</v>
      </c>
      <c r="B82" s="74"/>
      <c r="C82" s="68" t="s">
        <v>122</v>
      </c>
      <c r="D82" s="69"/>
      <c r="E82" s="69"/>
      <c r="F82" s="671" t="s">
        <v>249</v>
      </c>
      <c r="G82" s="672"/>
      <c r="H82" s="672"/>
      <c r="I82" s="672"/>
      <c r="J82" s="672"/>
      <c r="K82" s="157">
        <f>SUM(K76:K81)</f>
        <v>22250</v>
      </c>
      <c r="L82" s="157">
        <f>SUM(L76:L81)</f>
        <v>2002.5</v>
      </c>
      <c r="M82" s="157">
        <f>SUM(M76:M81)</f>
        <v>486.00503293152747</v>
      </c>
      <c r="N82" s="158">
        <f>SUM(N76:N81)</f>
        <v>24738.505032931527</v>
      </c>
      <c r="Q82" s="626" t="s">
        <v>249</v>
      </c>
      <c r="R82" s="627"/>
      <c r="S82" s="627"/>
      <c r="T82" s="187">
        <f>SUM(T76:T81)</f>
        <v>22250</v>
      </c>
      <c r="U82" s="188">
        <f>SUM(U76:U81)</f>
        <v>0</v>
      </c>
      <c r="V82" s="189"/>
      <c r="W82" s="189"/>
      <c r="X82" s="190">
        <f>SUM(X76:X81)</f>
        <v>22250</v>
      </c>
      <c r="Y82" s="191">
        <f t="shared" si="74"/>
        <v>22736.005032931527</v>
      </c>
    </row>
    <row r="83" spans="1:27" ht="27.6" customHeight="1" thickBot="1" x14ac:dyDescent="0.4">
      <c r="A83" s="44">
        <v>76</v>
      </c>
      <c r="B83" s="74">
        <v>9</v>
      </c>
      <c r="C83" s="73" t="s">
        <v>108</v>
      </c>
      <c r="D83" s="44"/>
      <c r="E83" s="44"/>
      <c r="F83" s="637" t="s">
        <v>292</v>
      </c>
      <c r="G83" s="638"/>
      <c r="H83" s="638"/>
      <c r="I83" s="638"/>
      <c r="J83" s="638"/>
      <c r="K83" s="638"/>
      <c r="L83" s="638"/>
      <c r="M83" s="638"/>
      <c r="N83" s="639"/>
      <c r="Q83" s="637" t="str">
        <f>IF(F83&lt;&gt;"",F83,"")</f>
        <v>ATRAÇÃO BELO HORIZONTE</v>
      </c>
      <c r="R83" s="638"/>
      <c r="S83" s="638"/>
      <c r="T83" s="638"/>
      <c r="U83" s="638"/>
      <c r="V83" s="638"/>
      <c r="W83" s="638"/>
      <c r="X83" s="638"/>
      <c r="Y83" s="639"/>
    </row>
    <row r="84" spans="1:27" ht="24" customHeight="1" x14ac:dyDescent="0.35">
      <c r="A84" s="44">
        <v>77</v>
      </c>
      <c r="B84" s="74" t="s">
        <v>250</v>
      </c>
      <c r="C84" s="73" t="s">
        <v>109</v>
      </c>
      <c r="D84" s="44"/>
      <c r="E84" s="44"/>
      <c r="F84" s="667" t="s">
        <v>288</v>
      </c>
      <c r="G84" s="668"/>
      <c r="H84" s="668"/>
      <c r="I84" s="668"/>
      <c r="J84" s="668"/>
      <c r="K84" s="668"/>
      <c r="L84" s="267" t="s">
        <v>111</v>
      </c>
      <c r="M84" s="267" t="s">
        <v>112</v>
      </c>
      <c r="N84" s="268" t="s">
        <v>81</v>
      </c>
      <c r="Q84" s="643" t="str">
        <f>IF(F84&lt;&gt;"",F84,"")</f>
        <v xml:space="preserve">ATRAÇÃO </v>
      </c>
      <c r="R84" s="644"/>
      <c r="S84" s="644"/>
      <c r="T84" s="644"/>
      <c r="U84" s="644"/>
      <c r="V84" s="644"/>
      <c r="W84" s="644"/>
      <c r="X84" s="644"/>
      <c r="Y84" s="645"/>
      <c r="Z84" s="88" t="s">
        <v>113</v>
      </c>
      <c r="AA84" s="75" t="s">
        <v>82</v>
      </c>
    </row>
    <row r="85" spans="1:27" ht="32.4" customHeight="1" x14ac:dyDescent="0.3">
      <c r="A85" s="44">
        <v>78</v>
      </c>
      <c r="B85" s="74" t="s">
        <v>251</v>
      </c>
      <c r="C85" s="73" t="s">
        <v>114</v>
      </c>
      <c r="D85" s="44" t="s">
        <v>129</v>
      </c>
      <c r="E85" s="143" t="s">
        <v>130</v>
      </c>
      <c r="F85" s="131" t="s">
        <v>333</v>
      </c>
      <c r="G85" s="132" t="s">
        <v>333</v>
      </c>
      <c r="H85" s="149">
        <v>1</v>
      </c>
      <c r="I85" s="149">
        <v>0</v>
      </c>
      <c r="J85" s="134">
        <v>10500</v>
      </c>
      <c r="K85" s="134">
        <f>IF(F85&lt;&gt;"",H85*I85*J85,"")</f>
        <v>0</v>
      </c>
      <c r="L85" s="134">
        <f>IF(K85&lt;&gt;"",IF(D85="INTERNO",0,K85*$L$14),"")</f>
        <v>0</v>
      </c>
      <c r="M85" s="134">
        <f>IF(K85&lt;&gt;"",IF(E85="FAT.OGGI",SUM(K85:L85)*(1/(1-$M$14)-1),L85*(1/(1-$M$14)-1)),"")</f>
        <v>0</v>
      </c>
      <c r="N85" s="135">
        <f>SUM(K85:M85)</f>
        <v>0</v>
      </c>
      <c r="Q85" s="202">
        <f t="shared" ref="Q85:R89" si="76">IF(H85&lt;&gt;"",H85,"")</f>
        <v>1</v>
      </c>
      <c r="R85" s="203">
        <f t="shared" si="76"/>
        <v>0</v>
      </c>
      <c r="S85" s="146">
        <v>9000</v>
      </c>
      <c r="T85" s="146">
        <f>IF(Q85&lt;&gt;"",Q85*R85*S85,"")</f>
        <v>0</v>
      </c>
      <c r="U85" s="147">
        <f>IF(Q85&lt;&gt;"",K85-T85,"")</f>
        <v>0</v>
      </c>
      <c r="V85" s="148">
        <f>IF(Q85&lt;&gt;"",0%,"")</f>
        <v>0</v>
      </c>
      <c r="W85" s="145">
        <f>IF(Q85&lt;&gt;"",V85*U85,"")</f>
        <v>0</v>
      </c>
      <c r="X85" s="145">
        <f>IF(Q85&lt;&gt;"",W85+T85,"")</f>
        <v>0</v>
      </c>
      <c r="Y85" s="141">
        <f t="shared" ref="Y85:Y90" si="77">IF(Q85&lt;&gt;"",X85+M85,"")</f>
        <v>0</v>
      </c>
      <c r="Z85" s="140" t="e">
        <f>IF(Q85&lt;&gt;"",U85/K85,"")</f>
        <v>#DIV/0!</v>
      </c>
      <c r="AA85" s="139">
        <f>T85/$T$90</f>
        <v>0</v>
      </c>
    </row>
    <row r="86" spans="1:27" ht="32.4" customHeight="1" x14ac:dyDescent="0.3">
      <c r="A86" s="70">
        <v>79</v>
      </c>
      <c r="B86" s="74" t="s">
        <v>252</v>
      </c>
      <c r="C86" s="72" t="s">
        <v>114</v>
      </c>
      <c r="D86" s="44" t="s">
        <v>129</v>
      </c>
      <c r="E86" s="143" t="s">
        <v>130</v>
      </c>
      <c r="F86" s="131" t="s">
        <v>334</v>
      </c>
      <c r="G86" s="132" t="s">
        <v>334</v>
      </c>
      <c r="H86" s="149">
        <v>1</v>
      </c>
      <c r="I86" s="149">
        <v>1</v>
      </c>
      <c r="J86" s="134">
        <v>11500</v>
      </c>
      <c r="K86" s="134">
        <f>IF(F86&lt;&gt;"",H86*I86*J86,"")</f>
        <v>11500</v>
      </c>
      <c r="L86" s="134">
        <f>IF(K86&lt;&gt;"",IF(D86="INTERNO",0,K86*$L$14),"")</f>
        <v>1035</v>
      </c>
      <c r="M86" s="134">
        <f>IF(K86&lt;&gt;"",IF(E86="FAT.OGGI",SUM(K86:L86)*(1/(1-$M$14)-1),L86*(1/(1-$M$14)-1)),"")</f>
        <v>251.19361252640743</v>
      </c>
      <c r="N86" s="135">
        <f>SUM(K86:M86)</f>
        <v>12786.193612526407</v>
      </c>
      <c r="Q86" s="202">
        <f t="shared" si="76"/>
        <v>1</v>
      </c>
      <c r="R86" s="203">
        <f t="shared" si="76"/>
        <v>1</v>
      </c>
      <c r="S86" s="146">
        <v>10500</v>
      </c>
      <c r="T86" s="146">
        <f>IF(Q86&lt;&gt;"",Q86*R86*S86,"")</f>
        <v>10500</v>
      </c>
      <c r="U86" s="147">
        <f>IF(Q86&lt;&gt;"",K86-T86,"")</f>
        <v>1000</v>
      </c>
      <c r="V86" s="148">
        <f>IF(Q86&lt;&gt;"",0%,"")</f>
        <v>0</v>
      </c>
      <c r="W86" s="145">
        <f>IF(Q86&lt;&gt;"",V86*U86,"")</f>
        <v>0</v>
      </c>
      <c r="X86" s="145">
        <f>IF(Q86&lt;&gt;"",W86+T86,"")</f>
        <v>10500</v>
      </c>
      <c r="Y86" s="141">
        <f t="shared" si="77"/>
        <v>10751.193612526407</v>
      </c>
      <c r="Z86" s="140">
        <f>IF(Q86&lt;&gt;"",U86/K86,"")</f>
        <v>8.6956521739130432E-2</v>
      </c>
      <c r="AA86" s="139"/>
    </row>
    <row r="87" spans="1:27" ht="32.4" customHeight="1" x14ac:dyDescent="0.3">
      <c r="A87" s="69">
        <v>79</v>
      </c>
      <c r="B87" s="74" t="s">
        <v>298</v>
      </c>
      <c r="C87" s="68" t="s">
        <v>114</v>
      </c>
      <c r="D87" s="69" t="s">
        <v>129</v>
      </c>
      <c r="E87" s="144" t="s">
        <v>130</v>
      </c>
      <c r="F87" s="219" t="s">
        <v>335</v>
      </c>
      <c r="G87" s="221" t="s">
        <v>335</v>
      </c>
      <c r="H87" s="223">
        <v>1</v>
      </c>
      <c r="I87" s="223">
        <v>0</v>
      </c>
      <c r="J87" s="225">
        <v>28500</v>
      </c>
      <c r="K87" s="225">
        <f>IF(F87&lt;&gt;"",H87*I87*J87,"")</f>
        <v>0</v>
      </c>
      <c r="L87" s="225">
        <f>IF(K87&lt;&gt;"",IF(D87="INTERNO",0,K87*$L$14),"")</f>
        <v>0</v>
      </c>
      <c r="M87" s="225">
        <f>IF(K87&lt;&gt;"",IF(E87="FAT.OGGI",SUM(K87:L87)*(1/(1-$M$14)-1),L87*(1/(1-$M$14)-1)),"")</f>
        <v>0</v>
      </c>
      <c r="N87" s="227">
        <f>SUM(K87:M87)</f>
        <v>0</v>
      </c>
      <c r="Q87" s="229">
        <f t="shared" si="76"/>
        <v>1</v>
      </c>
      <c r="R87" s="230">
        <f t="shared" si="76"/>
        <v>0</v>
      </c>
      <c r="S87" s="231">
        <v>27000</v>
      </c>
      <c r="T87" s="231">
        <f>IF(Q87&lt;&gt;"",Q87*R87*S87,"")</f>
        <v>0</v>
      </c>
      <c r="U87" s="232">
        <f>IF(Q87&lt;&gt;"",K87-T87,"")</f>
        <v>0</v>
      </c>
      <c r="V87" s="197">
        <f>IF(Q87&lt;&gt;"",0%,"")</f>
        <v>0</v>
      </c>
      <c r="W87" s="198">
        <f>IF(Q87&lt;&gt;"",V87*U87,"")</f>
        <v>0</v>
      </c>
      <c r="X87" s="198">
        <f>IF(Q87&lt;&gt;"",W87+T87,"")</f>
        <v>0</v>
      </c>
      <c r="Y87" s="233">
        <f t="shared" si="77"/>
        <v>0</v>
      </c>
      <c r="Z87" s="140" t="e">
        <f>IF(Q87&lt;&gt;"",U87/K87,"")</f>
        <v>#DIV/0!</v>
      </c>
      <c r="AA87" s="139">
        <f>T87/$T$90</f>
        <v>0</v>
      </c>
    </row>
    <row r="88" spans="1:27" ht="32.4" customHeight="1" x14ac:dyDescent="0.3">
      <c r="A88" s="70">
        <v>80</v>
      </c>
      <c r="B88" s="74" t="s">
        <v>300</v>
      </c>
      <c r="C88" s="72" t="s">
        <v>114</v>
      </c>
      <c r="D88" s="69" t="s">
        <v>129</v>
      </c>
      <c r="E88" s="144" t="s">
        <v>130</v>
      </c>
      <c r="F88" s="131" t="s">
        <v>337</v>
      </c>
      <c r="G88" s="132" t="s">
        <v>337</v>
      </c>
      <c r="H88" s="149">
        <v>1</v>
      </c>
      <c r="I88" s="149">
        <v>1</v>
      </c>
      <c r="J88" s="134">
        <v>8500</v>
      </c>
      <c r="K88" s="134">
        <f>IF(F88&lt;&gt;"",H88*I88*J88,"")</f>
        <v>8500</v>
      </c>
      <c r="L88" s="134">
        <f>IF(K88&lt;&gt;"",IF(D88="INTERNO",0,K88*$L$14),"")</f>
        <v>765</v>
      </c>
      <c r="M88" s="134">
        <f>IF(K88&lt;&gt;"",IF(E88="FAT.OGGI",SUM(K88:L88)*(1/(1-$M$14)-1),L88*(1/(1-$M$14)-1)),"")</f>
        <v>185.66484404125768</v>
      </c>
      <c r="N88" s="135">
        <f>SUM(K88:M88)</f>
        <v>9450.6648440412573</v>
      </c>
      <c r="Q88" s="245">
        <f>IF(H88&lt;&gt;"",H88,"")</f>
        <v>1</v>
      </c>
      <c r="R88" s="245">
        <f>IF(I88&lt;&gt;"",I88,"")</f>
        <v>1</v>
      </c>
      <c r="S88" s="241">
        <v>7500</v>
      </c>
      <c r="T88" s="241">
        <f>IF(Q88&lt;&gt;"",Q88*R88*S88,"")</f>
        <v>7500</v>
      </c>
      <c r="U88" s="242">
        <f>IF(Q88&lt;&gt;"",K88-T88,"")</f>
        <v>1000</v>
      </c>
      <c r="V88" s="244">
        <f>IF(Q88&lt;&gt;"",0%,"")</f>
        <v>0</v>
      </c>
      <c r="W88" s="243">
        <f>IF(Q88&lt;&gt;"",V88*U88,"")</f>
        <v>0</v>
      </c>
      <c r="X88" s="243">
        <f>IF(Q88&lt;&gt;"",W88+T88,"")</f>
        <v>7500</v>
      </c>
      <c r="Y88" s="145">
        <f t="shared" si="77"/>
        <v>7685.6648440412573</v>
      </c>
      <c r="Z88" s="139">
        <f>IF(Q88&lt;&gt;"",U88/K88,"")</f>
        <v>0.11764705882352941</v>
      </c>
      <c r="AA88" s="138"/>
    </row>
    <row r="89" spans="1:27" ht="32.4" customHeight="1" x14ac:dyDescent="0.3">
      <c r="A89" s="150">
        <v>80</v>
      </c>
      <c r="B89" s="74" t="s">
        <v>336</v>
      </c>
      <c r="C89" s="151" t="s">
        <v>114</v>
      </c>
      <c r="D89" s="69" t="s">
        <v>129</v>
      </c>
      <c r="E89" s="144" t="s">
        <v>130</v>
      </c>
      <c r="F89" s="220" t="s">
        <v>299</v>
      </c>
      <c r="G89" s="222" t="s">
        <v>301</v>
      </c>
      <c r="H89" s="224">
        <v>1</v>
      </c>
      <c r="I89" s="224">
        <v>0</v>
      </c>
      <c r="J89" s="226">
        <v>1300</v>
      </c>
      <c r="K89" s="226">
        <f>IF(F89&lt;&gt;"",H89*I89*J89,"")</f>
        <v>0</v>
      </c>
      <c r="L89" s="226">
        <f>IF(K89&lt;&gt;"",IF(D89="INTERNO",0,K89*$L$14),"")</f>
        <v>0</v>
      </c>
      <c r="M89" s="226">
        <f>IF(K89&lt;&gt;"",IF(E89="FAT.OGGI",SUM(K89:L89)*(1/(1-$M$14)-1),L89*(1/(1-$M$14)-1)),"")</f>
        <v>0</v>
      </c>
      <c r="N89" s="228">
        <f>SUM(K89:M89)</f>
        <v>0</v>
      </c>
      <c r="Q89" s="234">
        <f t="shared" si="76"/>
        <v>1</v>
      </c>
      <c r="R89" s="235">
        <f t="shared" si="76"/>
        <v>0</v>
      </c>
      <c r="S89" s="236">
        <v>1000</v>
      </c>
      <c r="T89" s="236">
        <f>IF(Q89&lt;&gt;"",Q89*R89*S89,"")</f>
        <v>0</v>
      </c>
      <c r="U89" s="237">
        <f>IF(Q89&lt;&gt;"",K89-T89,"")</f>
        <v>0</v>
      </c>
      <c r="V89" s="238">
        <f>IF(Q89&lt;&gt;"",0%,"")</f>
        <v>0</v>
      </c>
      <c r="W89" s="239">
        <f>IF(Q89&lt;&gt;"",V89*U89,"")</f>
        <v>0</v>
      </c>
      <c r="X89" s="239">
        <f>IF(Q89&lt;&gt;"",W89+T89,"")</f>
        <v>0</v>
      </c>
      <c r="Y89" s="240">
        <f t="shared" si="77"/>
        <v>0</v>
      </c>
      <c r="Z89" s="140" t="e">
        <f>IF(Q89&lt;&gt;"",U89/K89,"")</f>
        <v>#DIV/0!</v>
      </c>
      <c r="AA89" s="138"/>
    </row>
    <row r="90" spans="1:27" ht="27.6" customHeight="1" thickBot="1" x14ac:dyDescent="0.4">
      <c r="A90" s="150">
        <v>80</v>
      </c>
      <c r="B90" s="74"/>
      <c r="C90" s="151" t="s">
        <v>122</v>
      </c>
      <c r="D90" s="150"/>
      <c r="E90" s="152"/>
      <c r="F90" s="671" t="s">
        <v>289</v>
      </c>
      <c r="G90" s="672"/>
      <c r="H90" s="672"/>
      <c r="I90" s="672"/>
      <c r="J90" s="672"/>
      <c r="K90" s="269">
        <f>SUM(K85:K89)</f>
        <v>20000</v>
      </c>
      <c r="L90" s="269">
        <f>SUM(L85:L89)</f>
        <v>1800</v>
      </c>
      <c r="M90" s="269">
        <f>SUM(M85:M89)</f>
        <v>436.85845656766514</v>
      </c>
      <c r="N90" s="270">
        <f>SUM(N85:N89)</f>
        <v>22236.858456567665</v>
      </c>
      <c r="Q90" s="628" t="s">
        <v>289</v>
      </c>
      <c r="R90" s="629"/>
      <c r="S90" s="629"/>
      <c r="T90" s="195">
        <f>SUM(T85:T89)</f>
        <v>18000</v>
      </c>
      <c r="U90" s="196">
        <f>SUM(U85:U89)</f>
        <v>2000</v>
      </c>
      <c r="V90" s="197"/>
      <c r="W90" s="198"/>
      <c r="X90" s="199">
        <f>SUM(X85:X89)</f>
        <v>18000</v>
      </c>
      <c r="Y90" s="200">
        <f t="shared" si="77"/>
        <v>18436.858456567665</v>
      </c>
      <c r="Z90" s="138"/>
      <c r="AA90" s="142"/>
    </row>
    <row r="91" spans="1:27" ht="18.600000000000001" thickBot="1" x14ac:dyDescent="0.4">
      <c r="A91" s="69">
        <v>76</v>
      </c>
      <c r="B91" s="74">
        <v>10</v>
      </c>
      <c r="C91" s="68" t="s">
        <v>108</v>
      </c>
      <c r="D91" s="69"/>
      <c r="E91" s="69"/>
      <c r="F91" s="637" t="s">
        <v>291</v>
      </c>
      <c r="G91" s="638"/>
      <c r="H91" s="638"/>
      <c r="I91" s="638"/>
      <c r="J91" s="638"/>
      <c r="K91" s="638"/>
      <c r="L91" s="638"/>
      <c r="M91" s="638"/>
      <c r="N91" s="639"/>
      <c r="Q91" s="637" t="str">
        <f>IF(F91&lt;&gt;"",F91,"")</f>
        <v xml:space="preserve">CENOGRAFIA BELO HORIZONTE </v>
      </c>
      <c r="R91" s="638"/>
      <c r="S91" s="638"/>
      <c r="T91" s="638"/>
      <c r="U91" s="638"/>
      <c r="V91" s="638"/>
      <c r="W91" s="638"/>
      <c r="X91" s="638"/>
      <c r="Y91" s="639"/>
    </row>
    <row r="92" spans="1:27" ht="24" customHeight="1" x14ac:dyDescent="0.35">
      <c r="A92" s="44">
        <v>77</v>
      </c>
      <c r="B92" s="74" t="s">
        <v>272</v>
      </c>
      <c r="C92" s="73" t="s">
        <v>109</v>
      </c>
      <c r="D92" s="44"/>
      <c r="E92" s="44"/>
      <c r="F92" s="643" t="s">
        <v>166</v>
      </c>
      <c r="G92" s="644"/>
      <c r="H92" s="644"/>
      <c r="I92" s="644"/>
      <c r="J92" s="644"/>
      <c r="K92" s="644"/>
      <c r="L92" s="166" t="s">
        <v>111</v>
      </c>
      <c r="M92" s="166" t="s">
        <v>112</v>
      </c>
      <c r="N92" s="167" t="s">
        <v>81</v>
      </c>
      <c r="Q92" s="643" t="str">
        <f>IF(F92&lt;&gt;"",F92,"")</f>
        <v>CENOGRAFIA</v>
      </c>
      <c r="R92" s="644"/>
      <c r="S92" s="644"/>
      <c r="T92" s="644"/>
      <c r="U92" s="644"/>
      <c r="V92" s="644"/>
      <c r="W92" s="644"/>
      <c r="X92" s="644"/>
      <c r="Y92" s="645"/>
      <c r="Z92" s="88" t="s">
        <v>113</v>
      </c>
      <c r="AA92" s="75" t="s">
        <v>82</v>
      </c>
    </row>
    <row r="93" spans="1:27" ht="26.1" customHeight="1" x14ac:dyDescent="0.3">
      <c r="A93" s="44">
        <v>78</v>
      </c>
      <c r="B93" s="74" t="s">
        <v>273</v>
      </c>
      <c r="C93" s="73" t="s">
        <v>114</v>
      </c>
      <c r="D93" s="44" t="s">
        <v>129</v>
      </c>
      <c r="E93" s="44" t="s">
        <v>130</v>
      </c>
      <c r="F93" s="95" t="s">
        <v>235</v>
      </c>
      <c r="G93" s="77" t="s">
        <v>235</v>
      </c>
      <c r="H93" s="93">
        <v>1</v>
      </c>
      <c r="I93" s="93">
        <v>1</v>
      </c>
      <c r="J93" s="76">
        <v>4000</v>
      </c>
      <c r="K93" s="76">
        <f>IF(F93&lt;&gt;"",H93*I93*J93,"")</f>
        <v>4000</v>
      </c>
      <c r="L93" s="76">
        <f>IF(K93&lt;&gt;"",IF(D93="INTERNO",0,K93*$L$14),"")</f>
        <v>360</v>
      </c>
      <c r="M93" s="76">
        <f>IF(K93&lt;&gt;"",IF(E93="FAT.OGGI",SUM(K93:L93)*(1/(1-$M$14)-1),L93*(1/(1-$M$14)-1)),"")</f>
        <v>87.37169131353302</v>
      </c>
      <c r="N93" s="91">
        <f>SUM(K93:M93)</f>
        <v>4447.3716913135331</v>
      </c>
      <c r="Q93" s="106">
        <f t="shared" ref="Q93:R95" si="78">IF(H93&lt;&gt;"",H93,"")</f>
        <v>1</v>
      </c>
      <c r="R93" s="102">
        <f t="shared" si="78"/>
        <v>1</v>
      </c>
      <c r="S93" s="103">
        <v>2500</v>
      </c>
      <c r="T93" s="103">
        <f>IF(Q93&lt;&gt;"",Q93*R93*S93,"")</f>
        <v>2500</v>
      </c>
      <c r="U93" s="104">
        <f>IF(Q93&lt;&gt;"",K93-T93,"")</f>
        <v>1500</v>
      </c>
      <c r="V93" s="105">
        <f>IF(Q93&lt;&gt;"",0%,"")</f>
        <v>0</v>
      </c>
      <c r="W93" s="101">
        <f>IF(Q93&lt;&gt;"",V93*U93,"")</f>
        <v>0</v>
      </c>
      <c r="X93" s="101">
        <f>IF(Q93&lt;&gt;"",W93+T93,"")</f>
        <v>2500</v>
      </c>
      <c r="Y93" s="92">
        <f>IF(Q93&lt;&gt;"",X93+M93,"")</f>
        <v>2587.3716913135331</v>
      </c>
      <c r="Z93" s="89">
        <f>IF(Q93&lt;&gt;"",U93/K93,"")</f>
        <v>0.375</v>
      </c>
      <c r="AA93" s="82">
        <f t="shared" ref="AA93:AA102" si="79">T93/$T$103</f>
        <v>0.65789473684210531</v>
      </c>
    </row>
    <row r="94" spans="1:27" ht="27.6" customHeight="1" x14ac:dyDescent="0.3">
      <c r="A94" s="44">
        <v>79</v>
      </c>
      <c r="B94" s="74" t="s">
        <v>274</v>
      </c>
      <c r="C94" s="73" t="s">
        <v>114</v>
      </c>
      <c r="D94" s="44" t="s">
        <v>129</v>
      </c>
      <c r="E94" s="44" t="s">
        <v>130</v>
      </c>
      <c r="F94" s="95" t="s">
        <v>167</v>
      </c>
      <c r="G94" s="77" t="s">
        <v>246</v>
      </c>
      <c r="H94" s="93">
        <v>1</v>
      </c>
      <c r="I94" s="93">
        <v>1</v>
      </c>
      <c r="J94" s="76">
        <v>550</v>
      </c>
      <c r="K94" s="76">
        <f>IF(F94&lt;&gt;"",H94*I94*J94,"")</f>
        <v>550</v>
      </c>
      <c r="L94" s="76">
        <f>IF(K94&lt;&gt;"",IF(D94="INTERNO",0,K94*$L$14),"")</f>
        <v>49.5</v>
      </c>
      <c r="M94" s="76">
        <f>IF(K94&lt;&gt;"",IF(E94="FAT.OGGI",SUM(K94:L94)*(1/(1-$M$14)-1),L94*(1/(1-$M$14)-1)),"")</f>
        <v>12.01360755561079</v>
      </c>
      <c r="N94" s="91">
        <f>SUM(K94:M94)</f>
        <v>611.51360755561075</v>
      </c>
      <c r="Q94" s="106">
        <f t="shared" si="78"/>
        <v>1</v>
      </c>
      <c r="R94" s="102">
        <f t="shared" si="78"/>
        <v>1</v>
      </c>
      <c r="S94" s="103">
        <v>300</v>
      </c>
      <c r="T94" s="103">
        <f>IF(Q94&lt;&gt;"",Q94*R94*S94,"")</f>
        <v>300</v>
      </c>
      <c r="U94" s="104">
        <f>IF(Q94&lt;&gt;"",K94-T94,"")</f>
        <v>250</v>
      </c>
      <c r="V94" s="105">
        <f>IF(Q94&lt;&gt;"",0%,"")</f>
        <v>0</v>
      </c>
      <c r="W94" s="101">
        <f>IF(Q94&lt;&gt;"",V94*U94,"")</f>
        <v>0</v>
      </c>
      <c r="X94" s="101">
        <f>IF(Q94&lt;&gt;"",W94+T94,"")</f>
        <v>300</v>
      </c>
      <c r="Y94" s="92">
        <f>IF(Q94&lt;&gt;"",X94+M94,"")</f>
        <v>312.0136075556108</v>
      </c>
      <c r="Z94" s="89">
        <f>IF(Q94&lt;&gt;"",U94/K94,"")</f>
        <v>0.45454545454545453</v>
      </c>
      <c r="AA94" s="82">
        <f t="shared" si="79"/>
        <v>7.8947368421052627E-2</v>
      </c>
    </row>
    <row r="95" spans="1:27" ht="36" customHeight="1" x14ac:dyDescent="0.3">
      <c r="A95" s="44">
        <v>80</v>
      </c>
      <c r="B95" s="74" t="s">
        <v>275</v>
      </c>
      <c r="C95" s="73" t="s">
        <v>114</v>
      </c>
      <c r="D95" s="44" t="s">
        <v>129</v>
      </c>
      <c r="E95" s="44" t="s">
        <v>130</v>
      </c>
      <c r="F95" s="95" t="s">
        <v>168</v>
      </c>
      <c r="G95" s="77" t="s">
        <v>295</v>
      </c>
      <c r="H95" s="93">
        <v>1</v>
      </c>
      <c r="I95" s="93">
        <v>1</v>
      </c>
      <c r="J95" s="76">
        <v>4000</v>
      </c>
      <c r="K95" s="76">
        <f>IF(F95&lt;&gt;"",H95*I95*J95,"")</f>
        <v>4000</v>
      </c>
      <c r="L95" s="76">
        <f>IF(K95&lt;&gt;"",IF(D95="INTERNO",0,K95*$L$14),"")</f>
        <v>360</v>
      </c>
      <c r="M95" s="76">
        <f>IF(K95&lt;&gt;"",IF(E95="FAT.OGGI",SUM(K95:L95)*(1/(1-$M$14)-1),L95*(1/(1-$M$14)-1)),"")</f>
        <v>87.37169131353302</v>
      </c>
      <c r="N95" s="91">
        <f>SUM(K95:M95)</f>
        <v>4447.3716913135331</v>
      </c>
      <c r="Q95" s="106">
        <f t="shared" si="78"/>
        <v>1</v>
      </c>
      <c r="R95" s="102">
        <f t="shared" si="78"/>
        <v>1</v>
      </c>
      <c r="S95" s="103">
        <v>2900</v>
      </c>
      <c r="T95" s="103">
        <f>IF(Q95&lt;&gt;"",Q95*R95*S95,"")</f>
        <v>2900</v>
      </c>
      <c r="U95" s="104">
        <f>IF(Q95&lt;&gt;"",K95-T95,"")</f>
        <v>1100</v>
      </c>
      <c r="V95" s="105">
        <f>IF(Q95&lt;&gt;"",0%,"")</f>
        <v>0</v>
      </c>
      <c r="W95" s="101">
        <f>IF(Q95&lt;&gt;"",V95*U95,"")</f>
        <v>0</v>
      </c>
      <c r="X95" s="101">
        <f>IF(Q95&lt;&gt;"",W95+T95,"")</f>
        <v>2900</v>
      </c>
      <c r="Y95" s="92">
        <f>IF(Q95&lt;&gt;"",X95+M95,"")</f>
        <v>2987.3716913135331</v>
      </c>
      <c r="Z95" s="89">
        <f>IF(Q95&lt;&gt;"",U95/K95,"")</f>
        <v>0.27500000000000002</v>
      </c>
      <c r="AA95" s="82">
        <f t="shared" si="79"/>
        <v>0.76315789473684215</v>
      </c>
    </row>
    <row r="96" spans="1:27" ht="25.5" customHeight="1" thickBot="1" x14ac:dyDescent="0.4">
      <c r="A96" s="44">
        <v>81</v>
      </c>
      <c r="B96" s="74"/>
      <c r="C96" s="73" t="s">
        <v>122</v>
      </c>
      <c r="D96" s="44"/>
      <c r="E96" s="44"/>
      <c r="F96" s="626" t="s">
        <v>201</v>
      </c>
      <c r="G96" s="627"/>
      <c r="H96" s="627"/>
      <c r="I96" s="627"/>
      <c r="J96" s="627"/>
      <c r="K96" s="164">
        <f>SUM(K93:K95)</f>
        <v>8550</v>
      </c>
      <c r="L96" s="164">
        <f>SUM(L93:L95)</f>
        <v>769.5</v>
      </c>
      <c r="M96" s="164">
        <f>SUM(M93:M95)</f>
        <v>186.75699018267682</v>
      </c>
      <c r="N96" s="165">
        <f>SUM(N93:N95)</f>
        <v>9506.2569901826773</v>
      </c>
      <c r="Q96" s="626" t="s">
        <v>201</v>
      </c>
      <c r="R96" s="627"/>
      <c r="S96" s="627"/>
      <c r="T96" s="187">
        <f>SUM(T93:T95)</f>
        <v>5700</v>
      </c>
      <c r="U96" s="188">
        <f>SUM(U93:U95)</f>
        <v>2850</v>
      </c>
      <c r="V96" s="189"/>
      <c r="W96" s="189"/>
      <c r="X96" s="190">
        <f>SUM(X93:X95)</f>
        <v>5700</v>
      </c>
      <c r="Y96" s="191">
        <f>IF(Q96&lt;&gt;"",X96+M96,"")</f>
        <v>5886.7569901826764</v>
      </c>
      <c r="AA96" s="82">
        <f t="shared" si="79"/>
        <v>1.5</v>
      </c>
    </row>
    <row r="97" spans="1:27" ht="18.600000000000001" thickBot="1" x14ac:dyDescent="0.4">
      <c r="A97" s="44">
        <v>82</v>
      </c>
      <c r="B97" s="74">
        <v>11</v>
      </c>
      <c r="C97" s="73" t="s">
        <v>108</v>
      </c>
      <c r="D97" s="44"/>
      <c r="E97" s="44"/>
      <c r="F97" s="637" t="s">
        <v>253</v>
      </c>
      <c r="G97" s="638"/>
      <c r="H97" s="638"/>
      <c r="I97" s="638"/>
      <c r="J97" s="638"/>
      <c r="K97" s="638"/>
      <c r="L97" s="638"/>
      <c r="M97" s="638"/>
      <c r="N97" s="639"/>
      <c r="Q97" s="637" t="str">
        <f>IF(F97&lt;&gt;"",F97,"")</f>
        <v xml:space="preserve">STAFF BELO HORIZONTE </v>
      </c>
      <c r="R97" s="638"/>
      <c r="S97" s="638"/>
      <c r="T97" s="638"/>
      <c r="U97" s="638"/>
      <c r="V97" s="638"/>
      <c r="W97" s="638"/>
      <c r="X97" s="638"/>
      <c r="Y97" s="639"/>
      <c r="AA97" s="82">
        <f t="shared" si="79"/>
        <v>0</v>
      </c>
    </row>
    <row r="98" spans="1:27" ht="33.9" customHeight="1" x14ac:dyDescent="0.3">
      <c r="A98" s="44">
        <v>83</v>
      </c>
      <c r="B98" s="74" t="s">
        <v>276</v>
      </c>
      <c r="C98" s="73" t="s">
        <v>114</v>
      </c>
      <c r="D98" s="44" t="s">
        <v>129</v>
      </c>
      <c r="E98" s="44" t="s">
        <v>130</v>
      </c>
      <c r="F98" s="127" t="s">
        <v>126</v>
      </c>
      <c r="G98" s="128" t="s">
        <v>326</v>
      </c>
      <c r="H98" s="129">
        <v>1</v>
      </c>
      <c r="I98" s="129">
        <v>1</v>
      </c>
      <c r="J98" s="121">
        <v>800</v>
      </c>
      <c r="K98" s="121">
        <f>IF(F98&lt;&gt;"",H98*I98*J98,"")</f>
        <v>800</v>
      </c>
      <c r="L98" s="121">
        <f>IF(K98&lt;&gt;"",IF(D98="INTERNO",0,K98*$L$14),"")</f>
        <v>72</v>
      </c>
      <c r="M98" s="121">
        <f>IF(K98&lt;&gt;"",IF(E98="FAT.OGGI",SUM(K98:L98)*(1/(1-$M$14)-1),L98*(1/(1-$M$14)-1)),"")</f>
        <v>17.474338262706603</v>
      </c>
      <c r="N98" s="122">
        <f>SUM(K98:M98)</f>
        <v>889.47433826270662</v>
      </c>
      <c r="Q98" s="123">
        <f t="shared" ref="Q98:R102" si="80">IF(H98&lt;&gt;"",H98,"")</f>
        <v>1</v>
      </c>
      <c r="R98" s="124">
        <f t="shared" si="80"/>
        <v>1</v>
      </c>
      <c r="S98" s="125">
        <v>400</v>
      </c>
      <c r="T98" s="125">
        <f>IF(Q98&lt;&gt;"",Q98*R98*S98,"")</f>
        <v>400</v>
      </c>
      <c r="U98" s="192">
        <f>IF(Q98&lt;&gt;"",K98-T98,"")</f>
        <v>400</v>
      </c>
      <c r="V98" s="193">
        <f>IF(Q98&lt;&gt;"",0%,"")</f>
        <v>0</v>
      </c>
      <c r="W98" s="194">
        <f>IF(Q98&lt;&gt;"",V98*U98,"")</f>
        <v>0</v>
      </c>
      <c r="X98" s="194">
        <f>IF(Q98&lt;&gt;"",W98+T98,"")</f>
        <v>400</v>
      </c>
      <c r="Y98" s="99">
        <f t="shared" ref="Y98:Y103" si="81">IF(Q98&lt;&gt;"",X98+M98,"")</f>
        <v>417.47433826270662</v>
      </c>
      <c r="Z98" s="89">
        <f>IF(Q98&lt;&gt;"",U98/K98,"")</f>
        <v>0.5</v>
      </c>
      <c r="AA98" s="82">
        <f t="shared" si="79"/>
        <v>0.10526315789473684</v>
      </c>
    </row>
    <row r="99" spans="1:27" ht="27" customHeight="1" x14ac:dyDescent="0.3">
      <c r="A99" s="44">
        <v>84</v>
      </c>
      <c r="B99" s="74" t="s">
        <v>277</v>
      </c>
      <c r="C99" s="73" t="s">
        <v>114</v>
      </c>
      <c r="D99" s="44" t="s">
        <v>129</v>
      </c>
      <c r="E99" s="44" t="s">
        <v>130</v>
      </c>
      <c r="F99" s="95" t="s">
        <v>243</v>
      </c>
      <c r="G99" s="77" t="s">
        <v>241</v>
      </c>
      <c r="H99" s="93">
        <v>1</v>
      </c>
      <c r="I99" s="93">
        <v>2</v>
      </c>
      <c r="J99" s="76">
        <v>900</v>
      </c>
      <c r="K99" s="76">
        <f>IF(F99&lt;&gt;"",H99*I99*J99,"")</f>
        <v>1800</v>
      </c>
      <c r="L99" s="76">
        <f>IF(K99&lt;&gt;"",IF(D99="INTERNO",0,K99*$L$14),"")</f>
        <v>162</v>
      </c>
      <c r="M99" s="76">
        <f>IF(K99&lt;&gt;"",IF(E99="FAT.OGGI",SUM(K99:L99)*(1/(1-$M$14)-1),L99*(1/(1-$M$14)-1)),"")</f>
        <v>39.317261091089861</v>
      </c>
      <c r="N99" s="91">
        <f>SUM(K99:M99)</f>
        <v>2001.3172610910899</v>
      </c>
      <c r="Q99" s="106">
        <f t="shared" si="80"/>
        <v>1</v>
      </c>
      <c r="R99" s="102">
        <f t="shared" si="80"/>
        <v>2</v>
      </c>
      <c r="S99" s="103">
        <v>600</v>
      </c>
      <c r="T99" s="103">
        <f>IF(Q99&lt;&gt;"",Q99*R99*S99,"")</f>
        <v>1200</v>
      </c>
      <c r="U99" s="104">
        <f>IF(Q99&lt;&gt;"",K99-T99,"")</f>
        <v>600</v>
      </c>
      <c r="V99" s="105">
        <f>IF(Q99&lt;&gt;"",0%,"")</f>
        <v>0</v>
      </c>
      <c r="W99" s="101">
        <f>IF(Q99&lt;&gt;"",V99*U99,"")</f>
        <v>0</v>
      </c>
      <c r="X99" s="101">
        <f>IF(Q99&lt;&gt;"",W99+T99,"")</f>
        <v>1200</v>
      </c>
      <c r="Y99" s="92">
        <f t="shared" si="81"/>
        <v>1239.3172610910899</v>
      </c>
      <c r="Z99" s="89">
        <f>IF(Q99&lt;&gt;"",U99/K99,"")</f>
        <v>0.33333333333333331</v>
      </c>
      <c r="AA99" s="82">
        <f t="shared" si="79"/>
        <v>0.31578947368421051</v>
      </c>
    </row>
    <row r="100" spans="1:27" ht="33.9" customHeight="1" x14ac:dyDescent="0.3">
      <c r="A100" s="44">
        <v>85</v>
      </c>
      <c r="B100" s="74" t="s">
        <v>278</v>
      </c>
      <c r="C100" s="73" t="s">
        <v>114</v>
      </c>
      <c r="D100" s="44" t="s">
        <v>129</v>
      </c>
      <c r="E100" s="44" t="s">
        <v>130</v>
      </c>
      <c r="F100" s="95" t="s">
        <v>244</v>
      </c>
      <c r="G100" s="77" t="s">
        <v>170</v>
      </c>
      <c r="H100" s="93">
        <v>1</v>
      </c>
      <c r="I100" s="93">
        <v>2</v>
      </c>
      <c r="J100" s="76">
        <v>900</v>
      </c>
      <c r="K100" s="76">
        <f>IF(F100&lt;&gt;"",H100*I100*J100,"")</f>
        <v>1800</v>
      </c>
      <c r="L100" s="76">
        <f>IF(K100&lt;&gt;"",IF(D100="INTERNO",0,K100*$L$14),"")</f>
        <v>162</v>
      </c>
      <c r="M100" s="76">
        <f>IF(K100&lt;&gt;"",IF(E100="FAT.OGGI",SUM(K100:L100)*(1/(1-$M$14)-1),L100*(1/(1-$M$14)-1)),"")</f>
        <v>39.317261091089861</v>
      </c>
      <c r="N100" s="91">
        <f>SUM(K100:M100)</f>
        <v>2001.3172610910899</v>
      </c>
      <c r="Q100" s="106">
        <f t="shared" si="80"/>
        <v>1</v>
      </c>
      <c r="R100" s="102">
        <f t="shared" si="80"/>
        <v>2</v>
      </c>
      <c r="S100" s="103">
        <v>600</v>
      </c>
      <c r="T100" s="103">
        <f>IF(Q100&lt;&gt;"",Q100*R100*S100,"")</f>
        <v>1200</v>
      </c>
      <c r="U100" s="104">
        <f>IF(Q100&lt;&gt;"",K100-T100,"")</f>
        <v>600</v>
      </c>
      <c r="V100" s="105">
        <f>IF(Q100&lt;&gt;"",0%,"")</f>
        <v>0</v>
      </c>
      <c r="W100" s="101">
        <f>IF(Q100&lt;&gt;"",V100*U100,"")</f>
        <v>0</v>
      </c>
      <c r="X100" s="101">
        <f>IF(Q100&lt;&gt;"",W100+T100,"")</f>
        <v>1200</v>
      </c>
      <c r="Y100" s="92">
        <f t="shared" si="81"/>
        <v>1239.3172610910899</v>
      </c>
      <c r="Z100" s="89">
        <f>IF(Q100&lt;&gt;"",U100/K100,"")</f>
        <v>0.33333333333333331</v>
      </c>
      <c r="AA100" s="82">
        <f t="shared" si="79"/>
        <v>0.31578947368421051</v>
      </c>
    </row>
    <row r="101" spans="1:27" ht="63.6" customHeight="1" x14ac:dyDescent="0.3">
      <c r="A101" s="44">
        <v>86</v>
      </c>
      <c r="B101" s="74" t="s">
        <v>279</v>
      </c>
      <c r="C101" s="73" t="s">
        <v>114</v>
      </c>
      <c r="D101" s="44" t="s">
        <v>129</v>
      </c>
      <c r="E101" s="44" t="s">
        <v>130</v>
      </c>
      <c r="F101" s="95" t="s">
        <v>171</v>
      </c>
      <c r="G101" s="77" t="s">
        <v>296</v>
      </c>
      <c r="H101" s="93">
        <v>1</v>
      </c>
      <c r="I101" s="93">
        <v>0</v>
      </c>
      <c r="J101" s="76">
        <v>800</v>
      </c>
      <c r="K101" s="76">
        <f>IF(F101&lt;&gt;"",H101*I101*J101,"")</f>
        <v>0</v>
      </c>
      <c r="L101" s="76">
        <f>IF(K101&lt;&gt;"",IF(D101="INTERNO",0,K101*$L$14),"")</f>
        <v>0</v>
      </c>
      <c r="M101" s="76">
        <f>IF(K101&lt;&gt;"",IF(E101="FAT.OGGI",SUM(K101:L101)*(1/(1-$M$14)-1),L101*(1/(1-$M$14)-1)),"")</f>
        <v>0</v>
      </c>
      <c r="N101" s="91">
        <f>SUM(K101:M101)</f>
        <v>0</v>
      </c>
      <c r="Q101" s="106">
        <f t="shared" si="80"/>
        <v>1</v>
      </c>
      <c r="R101" s="102">
        <f t="shared" si="80"/>
        <v>0</v>
      </c>
      <c r="S101" s="103">
        <v>800</v>
      </c>
      <c r="T101" s="103">
        <f>IF(Q101&lt;&gt;"",Q101*R101*S101,"")</f>
        <v>0</v>
      </c>
      <c r="U101" s="104">
        <f>IF(Q101&lt;&gt;"",K101-T101,"")</f>
        <v>0</v>
      </c>
      <c r="V101" s="105">
        <f>IF(Q101&lt;&gt;"",0%,"")</f>
        <v>0</v>
      </c>
      <c r="W101" s="101">
        <f>IF(Q101&lt;&gt;"",V101*U101,"")</f>
        <v>0</v>
      </c>
      <c r="X101" s="101">
        <f>IF(Q101&lt;&gt;"",W101+T101,"")</f>
        <v>0</v>
      </c>
      <c r="Y101" s="92">
        <f t="shared" si="81"/>
        <v>0</v>
      </c>
      <c r="Z101" s="89" t="e">
        <f>IF(Q101&lt;&gt;"",U101/K101,"")</f>
        <v>#DIV/0!</v>
      </c>
      <c r="AA101" s="82">
        <f t="shared" si="79"/>
        <v>0</v>
      </c>
    </row>
    <row r="102" spans="1:27" ht="21.9" customHeight="1" x14ac:dyDescent="0.3">
      <c r="A102" s="44">
        <v>87</v>
      </c>
      <c r="B102" s="74" t="s">
        <v>280</v>
      </c>
      <c r="C102" s="73" t="s">
        <v>114</v>
      </c>
      <c r="D102" s="44" t="s">
        <v>129</v>
      </c>
      <c r="E102" s="44" t="s">
        <v>130</v>
      </c>
      <c r="F102" s="217" t="s">
        <v>172</v>
      </c>
      <c r="G102" s="218" t="s">
        <v>173</v>
      </c>
      <c r="H102" s="93">
        <v>1</v>
      </c>
      <c r="I102" s="93">
        <v>1</v>
      </c>
      <c r="J102" s="76">
        <v>1500</v>
      </c>
      <c r="K102" s="76">
        <f>IF(F102&lt;&gt;"",H102*I102*J102,"")</f>
        <v>1500</v>
      </c>
      <c r="L102" s="76">
        <f>IF(K102&lt;&gt;"",IF(D102="INTERNO",0,K102*$L$14),"")</f>
        <v>135</v>
      </c>
      <c r="M102" s="76">
        <f>IF(K102&lt;&gt;"",IF(E102="FAT.OGGI",SUM(K102:L102)*(1/(1-$M$14)-1),L102*(1/(1-$M$14)-1)),"")</f>
        <v>32.764384242574884</v>
      </c>
      <c r="N102" s="91">
        <f>SUM(K102:M102)</f>
        <v>1667.7643842425748</v>
      </c>
      <c r="Q102" s="106">
        <f t="shared" si="80"/>
        <v>1</v>
      </c>
      <c r="R102" s="102">
        <f t="shared" si="80"/>
        <v>1</v>
      </c>
      <c r="S102" s="103">
        <v>1000</v>
      </c>
      <c r="T102" s="103">
        <f>IF(Q102&lt;&gt;"",Q102*R102*S102,"")</f>
        <v>1000</v>
      </c>
      <c r="U102" s="104">
        <f>IF(Q102&lt;&gt;"",K102-T102,"")</f>
        <v>500</v>
      </c>
      <c r="V102" s="105">
        <f>IF(Q102&lt;&gt;"",0%,"")</f>
        <v>0</v>
      </c>
      <c r="W102" s="101">
        <f>IF(Q102&lt;&gt;"",V102*U102,"")</f>
        <v>0</v>
      </c>
      <c r="X102" s="101">
        <f>IF(Q102&lt;&gt;"",W102+T102,"")</f>
        <v>1000</v>
      </c>
      <c r="Y102" s="92">
        <f t="shared" si="81"/>
        <v>1032.7643842425748</v>
      </c>
      <c r="Z102" s="89">
        <f>IF(Q102&lt;&gt;"",U102/K102,"")</f>
        <v>0.33333333333333331</v>
      </c>
      <c r="AA102" s="82">
        <f t="shared" si="79"/>
        <v>0.26315789473684209</v>
      </c>
    </row>
    <row r="103" spans="1:27" ht="26.1" customHeight="1" thickBot="1" x14ac:dyDescent="0.4">
      <c r="A103" s="44">
        <v>88</v>
      </c>
      <c r="B103" s="74"/>
      <c r="C103" s="73" t="s">
        <v>122</v>
      </c>
      <c r="D103" s="44"/>
      <c r="E103" s="44"/>
      <c r="F103" s="626" t="s">
        <v>201</v>
      </c>
      <c r="G103" s="627"/>
      <c r="H103" s="627"/>
      <c r="I103" s="627"/>
      <c r="J103" s="627"/>
      <c r="K103" s="164">
        <f>SUM(K98:K102)</f>
        <v>5900</v>
      </c>
      <c r="L103" s="164">
        <f>SUM(L98:L102)</f>
        <v>531</v>
      </c>
      <c r="M103" s="164">
        <f>SUM(M98:M102)</f>
        <v>128.87324468746121</v>
      </c>
      <c r="N103" s="165">
        <f>SUM(N98:N102)</f>
        <v>6559.873244687461</v>
      </c>
      <c r="Q103" s="626" t="s">
        <v>201</v>
      </c>
      <c r="R103" s="627"/>
      <c r="S103" s="627"/>
      <c r="T103" s="187">
        <f>SUM(T98:T102)</f>
        <v>3800</v>
      </c>
      <c r="U103" s="188">
        <f>SUM(U98:U102)</f>
        <v>2100</v>
      </c>
      <c r="V103" s="189"/>
      <c r="W103" s="189"/>
      <c r="X103" s="190">
        <f>SUM(X98:X102)</f>
        <v>3800</v>
      </c>
      <c r="Y103" s="191">
        <f t="shared" si="81"/>
        <v>3928.873244687461</v>
      </c>
    </row>
    <row r="104" spans="1:27" ht="18.600000000000001" thickBot="1" x14ac:dyDescent="0.4">
      <c r="A104" s="44">
        <v>89</v>
      </c>
      <c r="B104" s="74">
        <v>12</v>
      </c>
      <c r="C104" s="73" t="s">
        <v>108</v>
      </c>
      <c r="D104" s="44"/>
      <c r="E104" s="44"/>
      <c r="F104" s="637" t="s">
        <v>254</v>
      </c>
      <c r="G104" s="638"/>
      <c r="H104" s="638"/>
      <c r="I104" s="638"/>
      <c r="J104" s="638"/>
      <c r="K104" s="638"/>
      <c r="L104" s="638"/>
      <c r="M104" s="638"/>
      <c r="N104" s="639"/>
      <c r="Q104" s="637" t="str">
        <f>IF(F104&lt;&gt;"",F104,"")</f>
        <v xml:space="preserve">LOGÍSTICA BELO HORIZONTE </v>
      </c>
      <c r="R104" s="638"/>
      <c r="S104" s="638"/>
      <c r="T104" s="638"/>
      <c r="U104" s="638"/>
      <c r="V104" s="638"/>
      <c r="W104" s="638"/>
      <c r="X104" s="638"/>
      <c r="Y104" s="639"/>
    </row>
    <row r="105" spans="1:27" ht="26.1" customHeight="1" x14ac:dyDescent="0.35">
      <c r="A105" s="44">
        <v>90</v>
      </c>
      <c r="B105" s="74" t="s">
        <v>259</v>
      </c>
      <c r="C105" s="73" t="s">
        <v>109</v>
      </c>
      <c r="D105" s="44"/>
      <c r="E105" s="44"/>
      <c r="F105" s="643" t="s">
        <v>254</v>
      </c>
      <c r="G105" s="644"/>
      <c r="H105" s="644"/>
      <c r="I105" s="644"/>
      <c r="J105" s="644"/>
      <c r="K105" s="644"/>
      <c r="L105" s="166" t="s">
        <v>111</v>
      </c>
      <c r="M105" s="166" t="s">
        <v>112</v>
      </c>
      <c r="N105" s="167" t="s">
        <v>81</v>
      </c>
      <c r="Q105" s="643" t="str">
        <f>IF(F105&lt;&gt;"",F105,"")</f>
        <v xml:space="preserve">LOGÍSTICA BELO HORIZONTE </v>
      </c>
      <c r="R105" s="644"/>
      <c r="S105" s="644"/>
      <c r="T105" s="644"/>
      <c r="U105" s="644"/>
      <c r="V105" s="644"/>
      <c r="W105" s="644"/>
      <c r="X105" s="644"/>
      <c r="Y105" s="645"/>
      <c r="Z105" s="88" t="s">
        <v>113</v>
      </c>
      <c r="AA105" s="75" t="s">
        <v>82</v>
      </c>
    </row>
    <row r="106" spans="1:27" ht="55.5" customHeight="1" x14ac:dyDescent="0.3">
      <c r="A106" s="44">
        <v>91</v>
      </c>
      <c r="B106" s="74" t="s">
        <v>261</v>
      </c>
      <c r="C106" s="73" t="s">
        <v>114</v>
      </c>
      <c r="D106" s="44" t="s">
        <v>129</v>
      </c>
      <c r="E106" s="44" t="s">
        <v>130</v>
      </c>
      <c r="F106" s="95" t="s">
        <v>175</v>
      </c>
      <c r="G106" s="77" t="s">
        <v>255</v>
      </c>
      <c r="H106" s="93">
        <v>1</v>
      </c>
      <c r="I106" s="93">
        <v>1</v>
      </c>
      <c r="J106" s="76">
        <v>1200</v>
      </c>
      <c r="K106" s="76">
        <f>IF(F106&lt;&gt;"",H106*I106*J106,"")</f>
        <v>1200</v>
      </c>
      <c r="L106" s="76">
        <f>IF(K106&lt;&gt;"",IF(D106="INTERNO",0,K106*$L$14),"")</f>
        <v>108</v>
      </c>
      <c r="M106" s="76">
        <f>IF(K106&lt;&gt;"",IF(E106="FAT.OGGI",SUM(K106:L106)*(1/(1-$M$14)-1),L106*(1/(1-$M$14)-1)),"")</f>
        <v>26.211507394059907</v>
      </c>
      <c r="N106" s="91">
        <f>SUM(K106:M106)</f>
        <v>1334.2115073940599</v>
      </c>
      <c r="Q106" s="106">
        <f>IF(H106&lt;&gt;"",H106,"")</f>
        <v>1</v>
      </c>
      <c r="R106" s="102">
        <f>IF(I106&lt;&gt;"",I106,"")</f>
        <v>1</v>
      </c>
      <c r="S106" s="103">
        <v>950</v>
      </c>
      <c r="T106" s="103">
        <f>IF(Q106&lt;&gt;"",Q106*R106*S106,"")</f>
        <v>950</v>
      </c>
      <c r="U106" s="104">
        <f>IF(Q106&lt;&gt;"",K106-T106,"")</f>
        <v>250</v>
      </c>
      <c r="V106" s="105">
        <f>IF(Q106&lt;&gt;"",0%,"")</f>
        <v>0</v>
      </c>
      <c r="W106" s="101">
        <f>IF(Q106&lt;&gt;"",V106*U106,"")</f>
        <v>0</v>
      </c>
      <c r="X106" s="101">
        <f>IF(Q106&lt;&gt;"",W106+T106,"")</f>
        <v>950</v>
      </c>
      <c r="Y106" s="92">
        <f t="shared" ref="Y106:Y111" si="82">IF(Q106&lt;&gt;"",X106+M106,"")</f>
        <v>976.21150739405994</v>
      </c>
      <c r="Z106" s="89">
        <f>IF(Q106&lt;&gt;"",U106/K106,"")</f>
        <v>0.20833333333333334</v>
      </c>
      <c r="AA106" s="82">
        <f>T106/$T$111</f>
        <v>0.17272727272727273</v>
      </c>
    </row>
    <row r="107" spans="1:27" ht="42.9" customHeight="1" x14ac:dyDescent="0.3">
      <c r="A107" s="44">
        <v>92</v>
      </c>
      <c r="B107" s="74" t="s">
        <v>262</v>
      </c>
      <c r="C107" s="73" t="s">
        <v>114</v>
      </c>
      <c r="D107" s="44" t="s">
        <v>129</v>
      </c>
      <c r="E107" s="44" t="s">
        <v>130</v>
      </c>
      <c r="F107" s="95" t="s">
        <v>176</v>
      </c>
      <c r="G107" s="77" t="s">
        <v>256</v>
      </c>
      <c r="H107" s="93">
        <v>1</v>
      </c>
      <c r="I107" s="93">
        <v>2</v>
      </c>
      <c r="J107" s="76">
        <v>800</v>
      </c>
      <c r="K107" s="76">
        <f>IF(F107&lt;&gt;"",H107*I107*J107,"")</f>
        <v>1600</v>
      </c>
      <c r="L107" s="76">
        <f>IF(K107&lt;&gt;"",IF(D107="INTERNO",0,K107*$L$14),"")</f>
        <v>144</v>
      </c>
      <c r="M107" s="76">
        <f>IF(K107&lt;&gt;"",IF(E107="FAT.OGGI",SUM(K107:L107)*(1/(1-$M$14)-1),L107*(1/(1-$M$14)-1)),"")</f>
        <v>34.948676525413205</v>
      </c>
      <c r="N107" s="91">
        <f>SUM(K107:M107)</f>
        <v>1778.9486765254132</v>
      </c>
      <c r="Q107" s="106">
        <v>1</v>
      </c>
      <c r="R107" s="102">
        <f>IF(I107&lt;&gt;"",I107,"")</f>
        <v>2</v>
      </c>
      <c r="S107" s="103">
        <v>400</v>
      </c>
      <c r="T107" s="103">
        <f>IF(Q107&lt;&gt;"",Q107*R107*S107,"")</f>
        <v>800</v>
      </c>
      <c r="U107" s="104">
        <f>IF(Q107&lt;&gt;"",K107-T107,"")</f>
        <v>800</v>
      </c>
      <c r="V107" s="105">
        <f>IF(Q107&lt;&gt;"",0%,"")</f>
        <v>0</v>
      </c>
      <c r="W107" s="101">
        <f>IF(Q107&lt;&gt;"",V107*U107,"")</f>
        <v>0</v>
      </c>
      <c r="X107" s="101">
        <f>IF(Q107&lt;&gt;"",W107+T107,"")</f>
        <v>800</v>
      </c>
      <c r="Y107" s="92">
        <f t="shared" si="82"/>
        <v>834.94867652541325</v>
      </c>
      <c r="Z107" s="89">
        <f>IF(Q107&lt;&gt;"",U107/K107,"")</f>
        <v>0.5</v>
      </c>
      <c r="AA107" s="82">
        <f>T107/$T$111</f>
        <v>0.14545454545454545</v>
      </c>
    </row>
    <row r="108" spans="1:27" ht="28.5" customHeight="1" x14ac:dyDescent="0.3">
      <c r="A108" s="44">
        <v>93</v>
      </c>
      <c r="B108" s="74" t="s">
        <v>263</v>
      </c>
      <c r="C108" s="73" t="s">
        <v>114</v>
      </c>
      <c r="D108" s="44" t="s">
        <v>129</v>
      </c>
      <c r="E108" s="44" t="s">
        <v>130</v>
      </c>
      <c r="F108" s="95" t="s">
        <v>177</v>
      </c>
      <c r="G108" s="77" t="s">
        <v>178</v>
      </c>
      <c r="H108" s="93">
        <v>1</v>
      </c>
      <c r="I108" s="93">
        <v>1</v>
      </c>
      <c r="J108" s="76">
        <v>350</v>
      </c>
      <c r="K108" s="76">
        <f>IF(F108&lt;&gt;"",H108*I108*J108,"")</f>
        <v>350</v>
      </c>
      <c r="L108" s="76">
        <f>IF(K108&lt;&gt;"",IF(D108="INTERNO",0,K108*$L$14),"")</f>
        <v>31.5</v>
      </c>
      <c r="M108" s="76">
        <f>IF(K108&lt;&gt;"",IF(E108="FAT.OGGI",SUM(K108:L108)*(1/(1-$M$14)-1),L108*(1/(1-$M$14)-1)),"")</f>
        <v>7.6450229899341391</v>
      </c>
      <c r="N108" s="91">
        <f>SUM(K108:M108)</f>
        <v>389.14502298993415</v>
      </c>
      <c r="Q108" s="106">
        <f>IF(H108&lt;&gt;"",H108,"")</f>
        <v>1</v>
      </c>
      <c r="R108" s="102">
        <f>IF(I108&lt;&gt;"",I108,"")</f>
        <v>1</v>
      </c>
      <c r="S108" s="103">
        <v>150</v>
      </c>
      <c r="T108" s="103">
        <f>IF(Q108&lt;&gt;"",Q108*R108*S108,"")</f>
        <v>150</v>
      </c>
      <c r="U108" s="104">
        <f>IF(Q108&lt;&gt;"",K108-T108,"")</f>
        <v>200</v>
      </c>
      <c r="V108" s="105">
        <f>IF(Q108&lt;&gt;"",0%,"")</f>
        <v>0</v>
      </c>
      <c r="W108" s="101">
        <f>IF(Q108&lt;&gt;"",V108*U108,"")</f>
        <v>0</v>
      </c>
      <c r="X108" s="101">
        <f>IF(Q108&lt;&gt;"",W108+T108,"")</f>
        <v>150</v>
      </c>
      <c r="Y108" s="92">
        <f t="shared" si="82"/>
        <v>157.64502298993415</v>
      </c>
      <c r="Z108" s="89">
        <f>IF(Q108&lt;&gt;"",U108/K108,"")</f>
        <v>0.5714285714285714</v>
      </c>
      <c r="AA108" s="82">
        <f>T108/$T$111</f>
        <v>2.7272727272727271E-2</v>
      </c>
    </row>
    <row r="109" spans="1:27" ht="37.5" customHeight="1" x14ac:dyDescent="0.3">
      <c r="A109" s="44">
        <v>94</v>
      </c>
      <c r="B109" s="74" t="s">
        <v>264</v>
      </c>
      <c r="C109" s="73" t="s">
        <v>114</v>
      </c>
      <c r="D109" s="44" t="s">
        <v>129</v>
      </c>
      <c r="E109" s="44" t="s">
        <v>130</v>
      </c>
      <c r="F109" s="95" t="s">
        <v>181</v>
      </c>
      <c r="G109" s="77" t="s">
        <v>182</v>
      </c>
      <c r="H109" s="93">
        <v>1</v>
      </c>
      <c r="I109" s="93">
        <v>1</v>
      </c>
      <c r="J109" s="76">
        <v>4500</v>
      </c>
      <c r="K109" s="76">
        <f>IF(F109&lt;&gt;"",H109*I109*J109,"")</f>
        <v>4500</v>
      </c>
      <c r="L109" s="76">
        <f>IF(K109&lt;&gt;"",IF(D109="INTERNO",0,K109*$L$14),"")</f>
        <v>405</v>
      </c>
      <c r="M109" s="76">
        <f>IF(K109&lt;&gt;"",IF(E109="FAT.OGGI",SUM(K109:L109)*(1/(1-$M$14)-1),L109*(1/(1-$M$14)-1)),"")</f>
        <v>98.293152727724646</v>
      </c>
      <c r="N109" s="91">
        <f>SUM(K109:M109)</f>
        <v>5003.2931527277251</v>
      </c>
      <c r="Q109" s="106">
        <f>IF(H109&lt;&gt;"",H109,"")</f>
        <v>1</v>
      </c>
      <c r="R109" s="102">
        <f>IF(I109&lt;&gt;"",I109,"")</f>
        <v>1</v>
      </c>
      <c r="S109" s="103">
        <v>2800</v>
      </c>
      <c r="T109" s="103">
        <f>IF(Q109&lt;&gt;"",Q109*R109*S109,"")</f>
        <v>2800</v>
      </c>
      <c r="U109" s="104">
        <f>IF(Q109&lt;&gt;"",K109-T109,"")</f>
        <v>1700</v>
      </c>
      <c r="V109" s="105">
        <f>IF(Q109&lt;&gt;"",0%,"")</f>
        <v>0</v>
      </c>
      <c r="W109" s="101">
        <f>IF(Q109&lt;&gt;"",V109*U109,"")</f>
        <v>0</v>
      </c>
      <c r="X109" s="101">
        <f>IF(Q109&lt;&gt;"",W109+T109,"")</f>
        <v>2800</v>
      </c>
      <c r="Y109" s="92">
        <f t="shared" si="82"/>
        <v>2898.2931527277246</v>
      </c>
      <c r="Z109" s="89">
        <f>IF(Q109&lt;&gt;"",U109/K109,"")</f>
        <v>0.37777777777777777</v>
      </c>
      <c r="AA109" s="82">
        <f>T109/$T$111</f>
        <v>0.50909090909090904</v>
      </c>
    </row>
    <row r="110" spans="1:27" ht="37.5" customHeight="1" x14ac:dyDescent="0.3">
      <c r="A110" s="44">
        <v>95</v>
      </c>
      <c r="B110" s="74" t="s">
        <v>265</v>
      </c>
      <c r="C110" s="73" t="s">
        <v>114</v>
      </c>
      <c r="D110" s="44" t="s">
        <v>129</v>
      </c>
      <c r="E110" s="44" t="s">
        <v>130</v>
      </c>
      <c r="F110" s="95" t="s">
        <v>183</v>
      </c>
      <c r="G110" s="77" t="s">
        <v>184</v>
      </c>
      <c r="H110" s="93">
        <v>1</v>
      </c>
      <c r="I110" s="93">
        <v>1</v>
      </c>
      <c r="J110" s="76">
        <v>1000</v>
      </c>
      <c r="K110" s="76">
        <f>IF(F110&lt;&gt;"",H110*I110*J110,"")</f>
        <v>1000</v>
      </c>
      <c r="L110" s="76">
        <f>IF(K110&lt;&gt;"",IF(D110="INTERNO",0,K110*$L$14),"")</f>
        <v>90</v>
      </c>
      <c r="M110" s="76">
        <f>IF(K110&lt;&gt;"",IF(E110="FAT.OGGI",SUM(K110:L110)*(1/(1-$M$14)-1),L110*(1/(1-$M$14)-1)),"")</f>
        <v>21.842922828383255</v>
      </c>
      <c r="N110" s="91">
        <f>SUM(K110:M110)</f>
        <v>1111.8429228283833</v>
      </c>
      <c r="Q110" s="106">
        <f>IF(H110&lt;&gt;"",H110,"")</f>
        <v>1</v>
      </c>
      <c r="R110" s="102">
        <f>IF(I110&lt;&gt;"",I110,"")</f>
        <v>1</v>
      </c>
      <c r="S110" s="103">
        <v>800</v>
      </c>
      <c r="T110" s="103">
        <f>IF(Q110&lt;&gt;"",Q110*R110*S110,"")</f>
        <v>800</v>
      </c>
      <c r="U110" s="104">
        <f>IF(Q110&lt;&gt;"",K110-T110,"")</f>
        <v>200</v>
      </c>
      <c r="V110" s="105">
        <f>IF(Q110&lt;&gt;"",0%,"")</f>
        <v>0</v>
      </c>
      <c r="W110" s="101">
        <f>IF(Q110&lt;&gt;"",V110*U110,"")</f>
        <v>0</v>
      </c>
      <c r="X110" s="101">
        <f>IF(Q110&lt;&gt;"",W110+T110,"")</f>
        <v>800</v>
      </c>
      <c r="Y110" s="92">
        <f t="shared" si="82"/>
        <v>821.84292282838328</v>
      </c>
      <c r="Z110" s="89">
        <f>IF(Q110&lt;&gt;"",U110/K110,"")</f>
        <v>0.2</v>
      </c>
      <c r="AA110" s="82">
        <f>T110/$T$111</f>
        <v>0.14545454545454545</v>
      </c>
    </row>
    <row r="111" spans="1:27" ht="24" customHeight="1" thickBot="1" x14ac:dyDescent="0.4">
      <c r="A111" s="44">
        <v>96</v>
      </c>
      <c r="B111" s="74"/>
      <c r="C111" s="73" t="s">
        <v>122</v>
      </c>
      <c r="D111" s="44"/>
      <c r="E111" s="44"/>
      <c r="F111" s="626" t="s">
        <v>257</v>
      </c>
      <c r="G111" s="627"/>
      <c r="H111" s="627"/>
      <c r="I111" s="627"/>
      <c r="J111" s="627"/>
      <c r="K111" s="164">
        <f>SUM(K106:K110)</f>
        <v>8650</v>
      </c>
      <c r="L111" s="164">
        <f>SUM(L106:L110)</f>
        <v>778.5</v>
      </c>
      <c r="M111" s="164">
        <f>SUM(M106:M110)</f>
        <v>188.94128246551514</v>
      </c>
      <c r="N111" s="165">
        <f>SUM(N106:N110)</f>
        <v>9617.4412824655174</v>
      </c>
      <c r="Q111" s="626" t="s">
        <v>257</v>
      </c>
      <c r="R111" s="627"/>
      <c r="S111" s="627"/>
      <c r="T111" s="187">
        <f>SUM(T106:T110)</f>
        <v>5500</v>
      </c>
      <c r="U111" s="188">
        <f>SUM(U106:U110)</f>
        <v>3150</v>
      </c>
      <c r="V111" s="189"/>
      <c r="W111" s="189"/>
      <c r="X111" s="190">
        <f>SUM(X106:X110)</f>
        <v>5500</v>
      </c>
      <c r="Y111" s="191">
        <f t="shared" si="82"/>
        <v>5688.9412824655155</v>
      </c>
    </row>
    <row r="112" spans="1:27" ht="18.600000000000001" thickBot="1" x14ac:dyDescent="0.4">
      <c r="A112" s="44">
        <v>97</v>
      </c>
      <c r="B112" s="74">
        <v>13</v>
      </c>
      <c r="C112" s="73" t="s">
        <v>108</v>
      </c>
      <c r="D112" s="44"/>
      <c r="E112" s="44"/>
      <c r="F112" s="637" t="s">
        <v>260</v>
      </c>
      <c r="G112" s="638"/>
      <c r="H112" s="638"/>
      <c r="I112" s="638"/>
      <c r="J112" s="638"/>
      <c r="K112" s="638"/>
      <c r="L112" s="638"/>
      <c r="M112" s="638"/>
      <c r="N112" s="639"/>
      <c r="Q112" s="637" t="str">
        <f>IF(F112&lt;&gt;"",F112,"")</f>
        <v>BRNDES</v>
      </c>
      <c r="R112" s="638"/>
      <c r="S112" s="638"/>
      <c r="T112" s="638"/>
      <c r="U112" s="638"/>
      <c r="V112" s="638"/>
      <c r="W112" s="638"/>
      <c r="X112" s="638"/>
      <c r="Y112" s="639"/>
    </row>
    <row r="113" spans="1:27" ht="23.1" customHeight="1" x14ac:dyDescent="0.35">
      <c r="A113" s="44">
        <v>98</v>
      </c>
      <c r="B113" s="74" t="s">
        <v>281</v>
      </c>
      <c r="C113" s="73" t="s">
        <v>109</v>
      </c>
      <c r="D113" s="44"/>
      <c r="E113" s="44"/>
      <c r="F113" s="643" t="s">
        <v>192</v>
      </c>
      <c r="G113" s="644"/>
      <c r="H113" s="644"/>
      <c r="I113" s="644"/>
      <c r="J113" s="644"/>
      <c r="K113" s="644"/>
      <c r="L113" s="166" t="s">
        <v>111</v>
      </c>
      <c r="M113" s="166" t="s">
        <v>112</v>
      </c>
      <c r="N113" s="167" t="s">
        <v>81</v>
      </c>
      <c r="Q113" s="643" t="str">
        <f>IF(F113&lt;&gt;"",F113,"")</f>
        <v>BRINDES</v>
      </c>
      <c r="R113" s="644"/>
      <c r="S113" s="644"/>
      <c r="T113" s="644"/>
      <c r="U113" s="644"/>
      <c r="V113" s="644"/>
      <c r="W113" s="644"/>
      <c r="X113" s="644"/>
      <c r="Y113" s="645"/>
      <c r="Z113" s="88" t="s">
        <v>113</v>
      </c>
      <c r="AA113" s="75" t="s">
        <v>82</v>
      </c>
    </row>
    <row r="114" spans="1:27" ht="31.5" customHeight="1" x14ac:dyDescent="0.3">
      <c r="A114" s="44">
        <v>101</v>
      </c>
      <c r="B114" s="74" t="s">
        <v>282</v>
      </c>
      <c r="C114" s="73" t="s">
        <v>114</v>
      </c>
      <c r="D114" s="44" t="s">
        <v>129</v>
      </c>
      <c r="E114" s="44" t="s">
        <v>130</v>
      </c>
      <c r="F114" s="95" t="s">
        <v>233</v>
      </c>
      <c r="G114" s="77" t="s">
        <v>240</v>
      </c>
      <c r="H114" s="93">
        <v>80</v>
      </c>
      <c r="I114" s="93">
        <v>0</v>
      </c>
      <c r="J114" s="76">
        <v>299.99</v>
      </c>
      <c r="K114" s="76">
        <f t="shared" ref="K114:K119" si="83">IF(F114&lt;&gt;"",H114*I114*J114,"")</f>
        <v>0</v>
      </c>
      <c r="L114" s="76">
        <f t="shared" ref="L114:L119" si="84">IF(K114&lt;&gt;"",IF(D114="INTERNO",0,K114*$L$14),"")</f>
        <v>0</v>
      </c>
      <c r="M114" s="76">
        <f t="shared" ref="M114:M119" si="85">IF(K114&lt;&gt;"",IF(E114="FAT.OGGI",SUM(K114:L114)*(1/(1-$M$14)-1),L114*(1/(1-$M$14)-1)),"")</f>
        <v>0</v>
      </c>
      <c r="N114" s="91">
        <f t="shared" ref="N114:N119" si="86">SUM(K114:M114)</f>
        <v>0</v>
      </c>
      <c r="Q114" s="106">
        <f t="shared" ref="Q114:R119" si="87">IF(H114&lt;&gt;"",H114,"")</f>
        <v>80</v>
      </c>
      <c r="R114" s="102">
        <f t="shared" si="87"/>
        <v>0</v>
      </c>
      <c r="S114" s="103">
        <v>299.99</v>
      </c>
      <c r="T114" s="103">
        <f t="shared" ref="T114:T119" si="88">IF(Q114&lt;&gt;"",Q114*R114*S114,"")</f>
        <v>0</v>
      </c>
      <c r="U114" s="104">
        <f t="shared" ref="U114:U119" si="89">IF(Q114&lt;&gt;"",K114-T114,"")</f>
        <v>0</v>
      </c>
      <c r="V114" s="105">
        <f t="shared" ref="V114:V119" si="90">IF(Q114&lt;&gt;"",0%,"")</f>
        <v>0</v>
      </c>
      <c r="W114" s="101">
        <f t="shared" ref="W114:W119" si="91">IF(Q114&lt;&gt;"",V114*U114,"")</f>
        <v>0</v>
      </c>
      <c r="X114" s="101">
        <f t="shared" ref="X114:X119" si="92">IF(Q114&lt;&gt;"",W114+T114,"")</f>
        <v>0</v>
      </c>
      <c r="Y114" s="92">
        <f t="shared" ref="Y114:Y120" si="93">IF(Q114&lt;&gt;"",X114+M114,"")</f>
        <v>0</v>
      </c>
      <c r="Z114" s="89" t="e">
        <f t="shared" ref="Z114:Z119" si="94">IF(Q114&lt;&gt;"",U114/K114,"")</f>
        <v>#DIV/0!</v>
      </c>
      <c r="AA114" s="82">
        <f>T114/$T$120</f>
        <v>0</v>
      </c>
    </row>
    <row r="115" spans="1:27" ht="21.9" customHeight="1" x14ac:dyDescent="0.3">
      <c r="A115" s="44">
        <v>102</v>
      </c>
      <c r="B115" s="74" t="s">
        <v>283</v>
      </c>
      <c r="C115" s="73" t="s">
        <v>114</v>
      </c>
      <c r="D115" s="44" t="s">
        <v>129</v>
      </c>
      <c r="E115" s="44" t="s">
        <v>130</v>
      </c>
      <c r="F115" s="95" t="s">
        <v>234</v>
      </c>
      <c r="G115" s="77" t="s">
        <v>239</v>
      </c>
      <c r="H115" s="93">
        <v>80</v>
      </c>
      <c r="I115" s="93">
        <v>1</v>
      </c>
      <c r="J115" s="76">
        <v>379.99</v>
      </c>
      <c r="K115" s="76">
        <f t="shared" si="83"/>
        <v>30399.200000000001</v>
      </c>
      <c r="L115" s="76">
        <f t="shared" si="84"/>
        <v>2735.9279999999999</v>
      </c>
      <c r="M115" s="76">
        <f t="shared" si="85"/>
        <v>664.00737964458824</v>
      </c>
      <c r="N115" s="91">
        <f t="shared" si="86"/>
        <v>33799.135379644584</v>
      </c>
      <c r="Q115" s="106">
        <f t="shared" si="87"/>
        <v>80</v>
      </c>
      <c r="R115" s="102">
        <f t="shared" si="87"/>
        <v>1</v>
      </c>
      <c r="S115" s="103">
        <v>379.99</v>
      </c>
      <c r="T115" s="103">
        <f t="shared" si="88"/>
        <v>30399.200000000001</v>
      </c>
      <c r="U115" s="104">
        <f t="shared" si="89"/>
        <v>0</v>
      </c>
      <c r="V115" s="105">
        <f t="shared" si="90"/>
        <v>0</v>
      </c>
      <c r="W115" s="101">
        <f t="shared" si="91"/>
        <v>0</v>
      </c>
      <c r="X115" s="101">
        <f t="shared" si="92"/>
        <v>30399.200000000001</v>
      </c>
      <c r="Y115" s="92">
        <f t="shared" si="93"/>
        <v>31063.207379644587</v>
      </c>
      <c r="Z115" s="89">
        <f t="shared" si="94"/>
        <v>0</v>
      </c>
      <c r="AA115" s="82">
        <f>T115/$T$120</f>
        <v>0.88128438983945134</v>
      </c>
    </row>
    <row r="116" spans="1:27" ht="21.9" customHeight="1" x14ac:dyDescent="0.3">
      <c r="A116" s="70">
        <v>103</v>
      </c>
      <c r="B116" s="74" t="s">
        <v>284</v>
      </c>
      <c r="C116" s="72" t="s">
        <v>114</v>
      </c>
      <c r="D116" s="44" t="s">
        <v>129</v>
      </c>
      <c r="E116" s="44" t="s">
        <v>130</v>
      </c>
      <c r="F116" s="95" t="s">
        <v>304</v>
      </c>
      <c r="G116" s="77" t="s">
        <v>305</v>
      </c>
      <c r="H116" s="93">
        <v>80</v>
      </c>
      <c r="I116" s="93">
        <v>1</v>
      </c>
      <c r="J116" s="76">
        <v>70</v>
      </c>
      <c r="K116" s="76">
        <f>IF(F116&lt;&gt;"",H116*I116*J116,"")</f>
        <v>5600</v>
      </c>
      <c r="L116" s="76">
        <f>IF(K116&lt;&gt;"",IF(D116="INTERNO",0,K116*$L$14),"")</f>
        <v>504</v>
      </c>
      <c r="M116" s="76">
        <f>IF(K116&lt;&gt;"",IF(E116="FAT.OGGI",SUM(K116:L116)*(1/(1-$M$14)-1),L116*(1/(1-$M$14)-1)),"")</f>
        <v>122.32036783894623</v>
      </c>
      <c r="N116" s="91">
        <f>SUM(K116:M116)</f>
        <v>6226.3203678389464</v>
      </c>
      <c r="Q116" s="106">
        <f>IF(H116&lt;&gt;"",H116,"")</f>
        <v>80</v>
      </c>
      <c r="R116" s="102">
        <f>IF(I116&lt;&gt;"",I116,"")</f>
        <v>1</v>
      </c>
      <c r="S116" s="103">
        <v>40</v>
      </c>
      <c r="T116" s="103">
        <f>IF(Q116&lt;&gt;"",Q116*R116*S116,"")</f>
        <v>3200</v>
      </c>
      <c r="U116" s="104">
        <f>IF(Q116&lt;&gt;"",K116-T116,"")</f>
        <v>2400</v>
      </c>
      <c r="V116" s="105">
        <f>IF(Q116&lt;&gt;"",0%,"")</f>
        <v>0</v>
      </c>
      <c r="W116" s="101">
        <f>IF(Q116&lt;&gt;"",V116*U116,"")</f>
        <v>0</v>
      </c>
      <c r="X116" s="101">
        <f>IF(Q116&lt;&gt;"",W116+T116,"")</f>
        <v>3200</v>
      </c>
      <c r="Y116" s="92">
        <f>IF(Q116&lt;&gt;"",X116+M116,"")</f>
        <v>3322.3203678389464</v>
      </c>
      <c r="Z116" s="89">
        <f>IF(Q116&lt;&gt;"",U116/K116,"")</f>
        <v>0.42857142857142855</v>
      </c>
      <c r="AA116" s="82"/>
    </row>
    <row r="117" spans="1:27" ht="29.4" customHeight="1" x14ac:dyDescent="0.3">
      <c r="A117" s="69">
        <v>103</v>
      </c>
      <c r="B117" s="74" t="s">
        <v>285</v>
      </c>
      <c r="C117" s="68" t="s">
        <v>114</v>
      </c>
      <c r="D117" s="69" t="s">
        <v>129</v>
      </c>
      <c r="E117" s="69" t="s">
        <v>130</v>
      </c>
      <c r="F117" s="95" t="s">
        <v>193</v>
      </c>
      <c r="G117" s="77" t="s">
        <v>194</v>
      </c>
      <c r="H117" s="93">
        <v>1</v>
      </c>
      <c r="I117" s="93">
        <v>1</v>
      </c>
      <c r="J117" s="76">
        <v>500</v>
      </c>
      <c r="K117" s="76">
        <f t="shared" si="83"/>
        <v>500</v>
      </c>
      <c r="L117" s="76">
        <f t="shared" si="84"/>
        <v>45</v>
      </c>
      <c r="M117" s="76">
        <f t="shared" si="85"/>
        <v>10.921461414191628</v>
      </c>
      <c r="N117" s="91">
        <f t="shared" si="86"/>
        <v>555.92146141419164</v>
      </c>
      <c r="Q117" s="106">
        <f t="shared" si="87"/>
        <v>1</v>
      </c>
      <c r="R117" s="102">
        <f t="shared" si="87"/>
        <v>1</v>
      </c>
      <c r="S117" s="103">
        <v>225</v>
      </c>
      <c r="T117" s="103">
        <f t="shared" si="88"/>
        <v>225</v>
      </c>
      <c r="U117" s="104">
        <f t="shared" si="89"/>
        <v>275</v>
      </c>
      <c r="V117" s="105">
        <f t="shared" si="90"/>
        <v>0</v>
      </c>
      <c r="W117" s="101">
        <f t="shared" si="91"/>
        <v>0</v>
      </c>
      <c r="X117" s="101">
        <f t="shared" si="92"/>
        <v>225</v>
      </c>
      <c r="Y117" s="92">
        <f t="shared" si="93"/>
        <v>235.92146141419164</v>
      </c>
      <c r="Z117" s="89">
        <f t="shared" si="94"/>
        <v>0.55000000000000004</v>
      </c>
      <c r="AA117" s="82">
        <f>T117/$T$120</f>
        <v>6.5228357231070736E-3</v>
      </c>
    </row>
    <row r="118" spans="1:27" ht="28.5" customHeight="1" x14ac:dyDescent="0.3">
      <c r="A118" s="44">
        <v>104</v>
      </c>
      <c r="B118" s="74" t="s">
        <v>286</v>
      </c>
      <c r="C118" s="73" t="s">
        <v>114</v>
      </c>
      <c r="D118" s="44" t="s">
        <v>129</v>
      </c>
      <c r="E118" s="44" t="s">
        <v>130</v>
      </c>
      <c r="F118" s="95" t="s">
        <v>195</v>
      </c>
      <c r="G118" s="77" t="s">
        <v>196</v>
      </c>
      <c r="H118" s="93">
        <v>1</v>
      </c>
      <c r="I118" s="93">
        <v>1</v>
      </c>
      <c r="J118" s="76">
        <v>550</v>
      </c>
      <c r="K118" s="76">
        <f t="shared" si="83"/>
        <v>550</v>
      </c>
      <c r="L118" s="76">
        <f t="shared" si="84"/>
        <v>49.5</v>
      </c>
      <c r="M118" s="76">
        <f t="shared" si="85"/>
        <v>12.01360755561079</v>
      </c>
      <c r="N118" s="91">
        <f t="shared" si="86"/>
        <v>611.51360755561075</v>
      </c>
      <c r="Q118" s="106">
        <f t="shared" si="87"/>
        <v>1</v>
      </c>
      <c r="R118" s="102">
        <f t="shared" si="87"/>
        <v>1</v>
      </c>
      <c r="S118" s="103">
        <v>320</v>
      </c>
      <c r="T118" s="103">
        <f t="shared" si="88"/>
        <v>320</v>
      </c>
      <c r="U118" s="104">
        <f t="shared" si="89"/>
        <v>230</v>
      </c>
      <c r="V118" s="105">
        <f t="shared" si="90"/>
        <v>0</v>
      </c>
      <c r="W118" s="101">
        <f t="shared" si="91"/>
        <v>0</v>
      </c>
      <c r="X118" s="101">
        <f t="shared" si="92"/>
        <v>320</v>
      </c>
      <c r="Y118" s="92">
        <f t="shared" si="93"/>
        <v>332.0136075556108</v>
      </c>
      <c r="Z118" s="89">
        <f t="shared" si="94"/>
        <v>0.41818181818181815</v>
      </c>
      <c r="AA118" s="82">
        <f>T118/$T$120</f>
        <v>9.2769219173078378E-3</v>
      </c>
    </row>
    <row r="119" spans="1:27" ht="35.4" customHeight="1" thickBot="1" x14ac:dyDescent="0.35">
      <c r="A119" s="44">
        <v>105</v>
      </c>
      <c r="B119" s="74" t="s">
        <v>287</v>
      </c>
      <c r="C119" s="73" t="s">
        <v>114</v>
      </c>
      <c r="D119" s="44" t="s">
        <v>129</v>
      </c>
      <c r="E119" s="44" t="s">
        <v>130</v>
      </c>
      <c r="F119" s="95" t="s">
        <v>197</v>
      </c>
      <c r="G119" s="77" t="s">
        <v>198</v>
      </c>
      <c r="H119" s="93">
        <v>1</v>
      </c>
      <c r="I119" s="93">
        <v>1</v>
      </c>
      <c r="J119" s="76">
        <v>600</v>
      </c>
      <c r="K119" s="76">
        <f t="shared" si="83"/>
        <v>600</v>
      </c>
      <c r="L119" s="76">
        <f t="shared" si="84"/>
        <v>54</v>
      </c>
      <c r="M119" s="76">
        <f t="shared" si="85"/>
        <v>13.105753697029954</v>
      </c>
      <c r="N119" s="91">
        <f t="shared" si="86"/>
        <v>667.10575369702997</v>
      </c>
      <c r="Q119" s="106">
        <f t="shared" si="87"/>
        <v>1</v>
      </c>
      <c r="R119" s="102">
        <f t="shared" si="87"/>
        <v>1</v>
      </c>
      <c r="S119" s="103">
        <v>350</v>
      </c>
      <c r="T119" s="103">
        <f t="shared" si="88"/>
        <v>350</v>
      </c>
      <c r="U119" s="104">
        <f t="shared" si="89"/>
        <v>250</v>
      </c>
      <c r="V119" s="105">
        <f t="shared" si="90"/>
        <v>0</v>
      </c>
      <c r="W119" s="101">
        <f t="shared" si="91"/>
        <v>0</v>
      </c>
      <c r="X119" s="101">
        <f t="shared" si="92"/>
        <v>350</v>
      </c>
      <c r="Y119" s="92">
        <f t="shared" si="93"/>
        <v>363.10575369702997</v>
      </c>
      <c r="Z119" s="110">
        <f t="shared" si="94"/>
        <v>0.41666666666666669</v>
      </c>
      <c r="AA119" s="111">
        <f>T119/$T$120</f>
        <v>1.0146633347055447E-2</v>
      </c>
    </row>
    <row r="120" spans="1:27" ht="26.1" customHeight="1" thickBot="1" x14ac:dyDescent="0.4">
      <c r="A120" s="44">
        <v>106</v>
      </c>
      <c r="B120" s="74"/>
      <c r="C120" s="73" t="s">
        <v>122</v>
      </c>
      <c r="D120" s="44"/>
      <c r="E120" s="44"/>
      <c r="F120" s="671" t="s">
        <v>199</v>
      </c>
      <c r="G120" s="672"/>
      <c r="H120" s="672"/>
      <c r="I120" s="672"/>
      <c r="J120" s="672"/>
      <c r="K120" s="157">
        <f>SUM(K114:K119)</f>
        <v>37649.199999999997</v>
      </c>
      <c r="L120" s="157">
        <f>SUM(L114:L119)</f>
        <v>3388.4279999999999</v>
      </c>
      <c r="M120" s="157">
        <f>SUM(M114:M119)</f>
        <v>822.36857015036685</v>
      </c>
      <c r="N120" s="158">
        <f>SUM(N114:N119)</f>
        <v>41859.996570150361</v>
      </c>
      <c r="Q120" s="671" t="s">
        <v>199</v>
      </c>
      <c r="R120" s="672"/>
      <c r="S120" s="672"/>
      <c r="T120" s="182">
        <f>SUM(T114:T119)</f>
        <v>34494.199999999997</v>
      </c>
      <c r="U120" s="183">
        <f>SUM(U114:U119)</f>
        <v>3155</v>
      </c>
      <c r="V120" s="184"/>
      <c r="W120" s="184"/>
      <c r="X120" s="185">
        <f>SUM(X114:X119)</f>
        <v>34494.199999999997</v>
      </c>
      <c r="Y120" s="186">
        <f t="shared" si="93"/>
        <v>35316.568570150361</v>
      </c>
      <c r="Z120" s="176" t="s">
        <v>140</v>
      </c>
      <c r="AA120" s="133" t="s">
        <v>141</v>
      </c>
    </row>
    <row r="121" spans="1:27" ht="32.4" customHeight="1" thickBot="1" x14ac:dyDescent="0.5">
      <c r="A121" s="44">
        <v>107</v>
      </c>
      <c r="B121" s="71"/>
      <c r="C121" s="73" t="s">
        <v>139</v>
      </c>
      <c r="D121" s="44"/>
      <c r="E121" s="44"/>
      <c r="F121" s="159" t="s">
        <v>315</v>
      </c>
      <c r="G121" s="160"/>
      <c r="H121" s="161"/>
      <c r="I121" s="161"/>
      <c r="J121" s="160"/>
      <c r="K121" s="162">
        <f>SUM(K17:K21)+SUM(K25:K38)+SUM(K42:K45)+SUM(K49:K51)+SUM(K55:K59)+SUM(K63:K67)+SUM(K71:K72)+SUM(K76:K81)+SUM(K85:K89)+SUM(K93:K95)+SUM(K98:K102)+SUM(K106:K110)+SUM(K114:K119)</f>
        <v>227224.2</v>
      </c>
      <c r="L121" s="162">
        <f>SUM(L17:L21)+SUM(L25:L38)+SUM(L42:L45)+SUM(L49:L51)+SUM(L55:L59)+SUM(L63:L67)+SUM(L71:L72)+SUM(L76:L81)+SUM(L85:L89)+SUM(L93:L95)+SUM(L98:L102)+SUM(L106:L110)+SUM(L114:L119)</f>
        <v>18515.178</v>
      </c>
      <c r="M121" s="162">
        <f>SUM(M17:M21)+SUM(M25:M38)+SUM(M42:M45)+SUM(M49:M51)+SUM(M55:M59)+SUM(M63:M67)+SUM(M71:M72)+SUM(M76:M81)+SUM(M85:M89)+SUM(M93:M95)+SUM(M98:M102)+SUM(M106:M110)+SUM(M114:M119)</f>
        <v>9711.649389089107</v>
      </c>
      <c r="N121" s="163">
        <f>SUM(N17:N21)+SUM(N25:N38)+SUM(N42:N45)+SUM(N49:N51)+SUM(N55:N59)+SUM(N63:N67)+SUM(N71:N72)+SUM(N76:N81)+SUM(N85:N89)+SUM(N93:N95)+SUM(N98:N102)+SUM(N106:N110)+SUM(N114:N119)</f>
        <v>255451.02738908908</v>
      </c>
      <c r="Q121" s="177" t="s">
        <v>43</v>
      </c>
      <c r="R121" s="154"/>
      <c r="S121" s="153"/>
      <c r="T121" s="155">
        <f>SUM(T17:T21)+SUM(T25:T38)+SUM(T42:T45)+SUM(T49:T51)+SUM(T55:T59)+SUM(T63:T67)+SUM(T71:T72)+SUM(T76:T81)+SUM(T85:T89)+SUM(T93:T95)+SUM(T98:T102)+SUM(T106:T110)+SUM(T114:T119)</f>
        <v>174909.2</v>
      </c>
      <c r="U121" s="155">
        <f>SUM(U17:U21)+SUM(U25:U38)+SUM(U42:U45)+SUM(U49:U51)+SUM(U55:U59)+SUM(U63:U67)+SUM(U71:U72)+SUM(U76:U81)+SUM(U85:U89)+SUM(U93:U95)+SUM(U98:U102)+SUM(U106:U110)+SUM(U114:U119)</f>
        <v>52315</v>
      </c>
      <c r="V121" s="153"/>
      <c r="W121" s="153"/>
      <c r="X121" s="155">
        <f>SUM(X17:X21)+SUM(X25:X38)+SUM(X42:X45)+SUM(X49:X51)+SUM(X55:X59)+SUM(X63:X67)+SUM(X71:X72)+SUM(X76:X81)+SUM(X85:X89)+SUM(X93:X95)+SUM(X98:X102)+SUM(X106:X110)+SUM(X114:X119)</f>
        <v>174909.2</v>
      </c>
      <c r="Y121" s="156">
        <f>SUM(Y17:Y21)+SUM(Y25:Y38)+SUM(Y42:Y45)+SUM(Y49:Y51)+SUM(Y55:Y59)+SUM(Y63:Y67)+SUM(Y71:Y72)+SUM(Y76:Y81)+SUM(Y85:Y89)+SUM(Y93:Y95)+SUM(Y98:Y102)+SUM(Y106:Y110)+SUM(Y114:Y119)</f>
        <v>184620.84938908904</v>
      </c>
      <c r="Z121" s="136">
        <f>IF(Q121&lt;&gt;"",(N121-Y121)/N121,"")</f>
        <v>0.27727497800239959</v>
      </c>
      <c r="AA121" s="137">
        <f>IF(Z121&lt;&gt;"",(N121-Y121),"")</f>
        <v>70830.178000000044</v>
      </c>
    </row>
  </sheetData>
  <autoFilter ref="A1:AL14" xr:uid="{107B9E09-8154-459A-AE62-6A4242823A27}">
    <filterColumn colId="5" showButton="0"/>
  </autoFilter>
  <mergeCells count="83">
    <mergeCell ref="F23:N23"/>
    <mergeCell ref="Q23:Y23"/>
    <mergeCell ref="F24:K24"/>
    <mergeCell ref="Q24:Y24"/>
    <mergeCell ref="F39:J39"/>
    <mergeCell ref="Q39:S39"/>
    <mergeCell ref="F22:J22"/>
    <mergeCell ref="Q22:S22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  <mergeCell ref="Q48:Y48"/>
    <mergeCell ref="F41:K41"/>
    <mergeCell ref="Q41:Y41"/>
    <mergeCell ref="F46:J46"/>
    <mergeCell ref="Q46:S46"/>
    <mergeCell ref="F47:N47"/>
    <mergeCell ref="Q47:Y47"/>
    <mergeCell ref="F48:K48"/>
    <mergeCell ref="F62:K62"/>
    <mergeCell ref="Q62:Y62"/>
    <mergeCell ref="F52:J52"/>
    <mergeCell ref="Q52:S52"/>
    <mergeCell ref="F53:N53"/>
    <mergeCell ref="Q53:Y53"/>
    <mergeCell ref="F54:K54"/>
    <mergeCell ref="Q54:Y54"/>
    <mergeCell ref="F92:K92"/>
    <mergeCell ref="Q92:Y92"/>
    <mergeCell ref="F73:J73"/>
    <mergeCell ref="Q73:S73"/>
    <mergeCell ref="F74:N74"/>
    <mergeCell ref="Q74:Y74"/>
    <mergeCell ref="F75:K75"/>
    <mergeCell ref="Q75:Y75"/>
    <mergeCell ref="F83:N83"/>
    <mergeCell ref="Q83:Y83"/>
    <mergeCell ref="F84:K84"/>
    <mergeCell ref="Q84:Y84"/>
    <mergeCell ref="F90:J90"/>
    <mergeCell ref="Q90:S90"/>
    <mergeCell ref="F40:N40"/>
    <mergeCell ref="Q40:Y40"/>
    <mergeCell ref="F82:J82"/>
    <mergeCell ref="Q82:S82"/>
    <mergeCell ref="F91:N91"/>
    <mergeCell ref="Q91:Y91"/>
    <mergeCell ref="F68:J68"/>
    <mergeCell ref="Q68:S68"/>
    <mergeCell ref="F69:N69"/>
    <mergeCell ref="Q69:Y69"/>
    <mergeCell ref="F70:K70"/>
    <mergeCell ref="Q70:Y70"/>
    <mergeCell ref="F60:J60"/>
    <mergeCell ref="Q60:S60"/>
    <mergeCell ref="F61:N61"/>
    <mergeCell ref="Q61:Y61"/>
    <mergeCell ref="F96:J96"/>
    <mergeCell ref="Q96:S96"/>
    <mergeCell ref="F97:N97"/>
    <mergeCell ref="Q97:Y97"/>
    <mergeCell ref="F103:J103"/>
    <mergeCell ref="Q103:S103"/>
    <mergeCell ref="F104:N104"/>
    <mergeCell ref="Q104:Y104"/>
    <mergeCell ref="F105:K105"/>
    <mergeCell ref="Q105:Y105"/>
    <mergeCell ref="F111:J111"/>
    <mergeCell ref="Q111:S111"/>
    <mergeCell ref="F112:N112"/>
    <mergeCell ref="Q112:Y112"/>
    <mergeCell ref="F113:K113"/>
    <mergeCell ref="Q113:Y113"/>
    <mergeCell ref="F120:J120"/>
    <mergeCell ref="Q120:S120"/>
  </mergeCells>
  <dataValidations count="3">
    <dataValidation type="list" allowBlank="1" showInputMessage="1" showErrorMessage="1" sqref="E93:E95 E98:E102 E106:E110 E114:E119 E85:E90 E17:E81" xr:uid="{EF1CAEDD-C4D9-436B-8962-4D6C15C6406F}">
      <formula1>"FAT.OGGI,FAT.CLIENTE"</formula1>
    </dataValidation>
    <dataValidation type="list" allowBlank="1" showInputMessage="1" showErrorMessage="1" sqref="D121 D93:D95 D98:D102 D106:D110 D114:D119 D85:D90 D17:D81" xr:uid="{C17C1174-EF03-412F-BDD4-8F206CC9FF35}">
      <formula1>"INTERNO,OPERACIONAL"</formula1>
    </dataValidation>
    <dataValidation type="list" allowBlank="1" showInputMessage="1" showErrorMessage="1" sqref="E121" xr:uid="{A664E09A-4D07-4008-8602-656B44AF2ED2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40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5" t="s">
        <v>48</v>
      </c>
      <c r="B8" s="25" t="s">
        <v>49</v>
      </c>
      <c r="C8" s="25" t="s">
        <v>50</v>
      </c>
      <c r="D8" s="25" t="s">
        <v>51</v>
      </c>
      <c r="E8" s="25" t="s">
        <v>52</v>
      </c>
      <c r="F8" s="25" t="s">
        <v>53</v>
      </c>
      <c r="G8" s="26" t="s">
        <v>46</v>
      </c>
      <c r="H8" s="26" t="s">
        <v>47</v>
      </c>
      <c r="I8" s="26" t="s">
        <v>9</v>
      </c>
      <c r="J8" s="26" t="s">
        <v>10</v>
      </c>
      <c r="K8" s="26" t="s">
        <v>54</v>
      </c>
      <c r="L8" s="26" t="s">
        <v>55</v>
      </c>
    </row>
    <row r="9" spans="1:12" x14ac:dyDescent="0.3">
      <c r="A9">
        <v>69</v>
      </c>
      <c r="B9" t="s">
        <v>174</v>
      </c>
      <c r="C9" t="s">
        <v>174</v>
      </c>
      <c r="D9" t="s">
        <v>138</v>
      </c>
      <c r="E9" t="s">
        <v>217</v>
      </c>
      <c r="F9" t="s">
        <v>379</v>
      </c>
      <c r="G9" t="s">
        <v>293</v>
      </c>
      <c r="H9" t="s">
        <v>386</v>
      </c>
      <c r="I9" t="s">
        <v>383</v>
      </c>
      <c r="J9" t="s">
        <v>11</v>
      </c>
      <c r="K9" t="s">
        <v>382</v>
      </c>
      <c r="L9" t="s">
        <v>11</v>
      </c>
    </row>
    <row r="10" spans="1:12" x14ac:dyDescent="0.3">
      <c r="A10">
        <v>79</v>
      </c>
      <c r="B10" t="s">
        <v>292</v>
      </c>
      <c r="C10" t="s">
        <v>288</v>
      </c>
      <c r="D10" t="s">
        <v>367</v>
      </c>
      <c r="E10" t="s">
        <v>334</v>
      </c>
      <c r="F10" t="s">
        <v>387</v>
      </c>
      <c r="G10" t="s">
        <v>293</v>
      </c>
      <c r="H10" t="s">
        <v>386</v>
      </c>
      <c r="I10" t="s">
        <v>391</v>
      </c>
      <c r="J10" t="s">
        <v>388</v>
      </c>
      <c r="K10" t="s">
        <v>389</v>
      </c>
      <c r="L10" t="s">
        <v>390</v>
      </c>
    </row>
    <row r="11" spans="1:12" x14ac:dyDescent="0.3">
      <c r="A11">
        <v>18</v>
      </c>
      <c r="B11" t="s">
        <v>228</v>
      </c>
      <c r="C11" t="s">
        <v>228</v>
      </c>
      <c r="D11" t="s">
        <v>229</v>
      </c>
      <c r="E11" t="s">
        <v>332</v>
      </c>
      <c r="F11" t="s">
        <v>387</v>
      </c>
      <c r="G11" t="s">
        <v>293</v>
      </c>
      <c r="H11" t="s">
        <v>395</v>
      </c>
      <c r="I11" t="s">
        <v>394</v>
      </c>
      <c r="J11" t="s">
        <v>388</v>
      </c>
      <c r="K11" t="s">
        <v>389</v>
      </c>
      <c r="L11" t="s">
        <v>390</v>
      </c>
    </row>
    <row r="12" spans="1:12" x14ac:dyDescent="0.3">
      <c r="A12">
        <v>82</v>
      </c>
      <c r="B12" t="s">
        <v>376</v>
      </c>
      <c r="C12" t="s">
        <v>376</v>
      </c>
      <c r="D12" t="s">
        <v>271</v>
      </c>
      <c r="E12" t="s">
        <v>377</v>
      </c>
      <c r="F12" t="s">
        <v>397</v>
      </c>
      <c r="G12" t="s">
        <v>293</v>
      </c>
      <c r="H12" t="s">
        <v>404</v>
      </c>
      <c r="I12" t="s">
        <v>401</v>
      </c>
      <c r="J12" t="s">
        <v>398</v>
      </c>
      <c r="K12" t="s">
        <v>399</v>
      </c>
      <c r="L12" t="s">
        <v>400</v>
      </c>
    </row>
    <row r="13" spans="1:12" x14ac:dyDescent="0.3">
      <c r="A13">
        <v>31</v>
      </c>
      <c r="B13" t="s">
        <v>166</v>
      </c>
      <c r="C13" t="s">
        <v>166</v>
      </c>
      <c r="D13" t="s">
        <v>235</v>
      </c>
      <c r="E13" t="s">
        <v>237</v>
      </c>
      <c r="F13" t="s">
        <v>405</v>
      </c>
      <c r="G13" t="s">
        <v>293</v>
      </c>
      <c r="H13" t="s">
        <v>404</v>
      </c>
      <c r="I13" t="s">
        <v>409</v>
      </c>
      <c r="J13" t="s">
        <v>406</v>
      </c>
      <c r="K13" t="s">
        <v>407</v>
      </c>
      <c r="L13" t="s">
        <v>408</v>
      </c>
    </row>
    <row r="14" spans="1:12" x14ac:dyDescent="0.3">
      <c r="A14">
        <v>26</v>
      </c>
      <c r="B14" t="s">
        <v>160</v>
      </c>
      <c r="C14" t="s">
        <v>160</v>
      </c>
      <c r="D14" t="s">
        <v>164</v>
      </c>
      <c r="E14" t="s">
        <v>322</v>
      </c>
      <c r="F14" t="s">
        <v>405</v>
      </c>
      <c r="G14" t="s">
        <v>293</v>
      </c>
      <c r="H14" t="s">
        <v>418</v>
      </c>
      <c r="I14" t="s">
        <v>415</v>
      </c>
      <c r="J14" t="s">
        <v>412</v>
      </c>
      <c r="K14" t="s">
        <v>413</v>
      </c>
      <c r="L14" t="s">
        <v>414</v>
      </c>
    </row>
    <row r="15" spans="1:12" x14ac:dyDescent="0.3">
      <c r="A15">
        <v>25</v>
      </c>
      <c r="B15" t="s">
        <v>160</v>
      </c>
      <c r="C15" t="s">
        <v>160</v>
      </c>
      <c r="D15" t="s">
        <v>163</v>
      </c>
      <c r="E15" t="s">
        <v>321</v>
      </c>
      <c r="F15" t="s">
        <v>405</v>
      </c>
      <c r="G15" t="s">
        <v>293</v>
      </c>
      <c r="H15" t="s">
        <v>404</v>
      </c>
      <c r="I15" t="s">
        <v>422</v>
      </c>
      <c r="J15" t="s">
        <v>419</v>
      </c>
      <c r="K15" t="s">
        <v>420</v>
      </c>
      <c r="L15" t="s">
        <v>421</v>
      </c>
    </row>
    <row r="16" spans="1:12" x14ac:dyDescent="0.3">
      <c r="A16">
        <v>34</v>
      </c>
      <c r="B16" t="s">
        <v>166</v>
      </c>
      <c r="C16" t="s">
        <v>166</v>
      </c>
      <c r="D16" t="s">
        <v>306</v>
      </c>
      <c r="E16" t="s">
        <v>356</v>
      </c>
      <c r="F16" t="s">
        <v>423</v>
      </c>
      <c r="G16" t="s">
        <v>293</v>
      </c>
      <c r="H16" t="s">
        <v>404</v>
      </c>
      <c r="I16" t="s">
        <v>425</v>
      </c>
      <c r="J16" t="s">
        <v>11</v>
      </c>
      <c r="K16" t="s">
        <v>424</v>
      </c>
      <c r="L16" t="s">
        <v>11</v>
      </c>
    </row>
    <row r="17" spans="1:12" x14ac:dyDescent="0.3">
      <c r="A17">
        <v>25</v>
      </c>
      <c r="B17" t="s">
        <v>160</v>
      </c>
      <c r="C17" t="s">
        <v>160</v>
      </c>
      <c r="D17" t="s">
        <v>163</v>
      </c>
      <c r="E17" t="s">
        <v>321</v>
      </c>
      <c r="F17" t="s">
        <v>423</v>
      </c>
      <c r="G17" t="s">
        <v>293</v>
      </c>
      <c r="H17" t="s">
        <v>404</v>
      </c>
      <c r="I17" t="s">
        <v>422</v>
      </c>
      <c r="J17" t="s">
        <v>419</v>
      </c>
      <c r="K17" t="s">
        <v>420</v>
      </c>
      <c r="L17" t="s">
        <v>421</v>
      </c>
    </row>
    <row r="18" spans="1:12" x14ac:dyDescent="0.3">
      <c r="A18">
        <v>20</v>
      </c>
      <c r="B18" t="s">
        <v>228</v>
      </c>
      <c r="C18" t="s">
        <v>228</v>
      </c>
      <c r="D18" t="s">
        <v>299</v>
      </c>
      <c r="E18" t="s">
        <v>364</v>
      </c>
      <c r="F18" t="s">
        <v>423</v>
      </c>
      <c r="G18" t="s">
        <v>293</v>
      </c>
      <c r="H18" t="s">
        <v>435</v>
      </c>
      <c r="I18" t="s">
        <v>432</v>
      </c>
      <c r="J18" t="s">
        <v>429</v>
      </c>
      <c r="K18" t="s">
        <v>430</v>
      </c>
      <c r="L18" t="s">
        <v>431</v>
      </c>
    </row>
    <row r="19" spans="1:12" x14ac:dyDescent="0.3">
      <c r="A19">
        <v>11</v>
      </c>
      <c r="B19" t="s">
        <v>155</v>
      </c>
      <c r="C19" t="s">
        <v>156</v>
      </c>
      <c r="D19" t="s">
        <v>357</v>
      </c>
      <c r="E19" t="s">
        <v>358</v>
      </c>
      <c r="F19" t="s">
        <v>423</v>
      </c>
      <c r="G19" t="s">
        <v>293</v>
      </c>
      <c r="H19" t="s">
        <v>386</v>
      </c>
      <c r="I19" t="s">
        <v>439</v>
      </c>
      <c r="J19" t="s">
        <v>436</v>
      </c>
      <c r="K19" t="s">
        <v>437</v>
      </c>
      <c r="L19" t="s">
        <v>438</v>
      </c>
    </row>
    <row r="20" spans="1:12" x14ac:dyDescent="0.3">
      <c r="A20">
        <v>33</v>
      </c>
      <c r="B20" t="s">
        <v>166</v>
      </c>
      <c r="C20" t="s">
        <v>166</v>
      </c>
      <c r="D20" t="s">
        <v>168</v>
      </c>
      <c r="E20" t="s">
        <v>295</v>
      </c>
      <c r="F20" t="s">
        <v>442</v>
      </c>
      <c r="G20" t="s">
        <v>293</v>
      </c>
      <c r="H20" t="s">
        <v>386</v>
      </c>
      <c r="I20" t="s">
        <v>446</v>
      </c>
      <c r="J20" t="s">
        <v>443</v>
      </c>
      <c r="K20" t="s">
        <v>444</v>
      </c>
      <c r="L20" t="s">
        <v>445</v>
      </c>
    </row>
    <row r="21" spans="1:12" x14ac:dyDescent="0.3">
      <c r="A21">
        <v>51</v>
      </c>
      <c r="B21" t="s">
        <v>247</v>
      </c>
      <c r="C21" t="s">
        <v>155</v>
      </c>
      <c r="D21" t="s">
        <v>220</v>
      </c>
      <c r="E21" t="s">
        <v>221</v>
      </c>
      <c r="F21" t="s">
        <v>442</v>
      </c>
      <c r="G21" t="s">
        <v>293</v>
      </c>
      <c r="H21" t="s">
        <v>404</v>
      </c>
      <c r="I21" t="s">
        <v>452</v>
      </c>
      <c r="J21" t="s">
        <v>449</v>
      </c>
      <c r="K21" t="s">
        <v>450</v>
      </c>
      <c r="L21" t="s">
        <v>451</v>
      </c>
    </row>
    <row r="22" spans="1:12" x14ac:dyDescent="0.3">
      <c r="A22">
        <v>70</v>
      </c>
      <c r="B22" t="s">
        <v>253</v>
      </c>
      <c r="C22" t="s">
        <v>166</v>
      </c>
      <c r="D22" t="s">
        <v>372</v>
      </c>
      <c r="E22" t="s">
        <v>173</v>
      </c>
      <c r="F22" t="s">
        <v>442</v>
      </c>
      <c r="G22" t="s">
        <v>293</v>
      </c>
      <c r="H22" t="s">
        <v>11</v>
      </c>
      <c r="I22" t="s">
        <v>458</v>
      </c>
      <c r="J22" t="s">
        <v>455</v>
      </c>
      <c r="K22" t="s">
        <v>456</v>
      </c>
      <c r="L22" t="s">
        <v>457</v>
      </c>
    </row>
    <row r="23" spans="1:12" ht="43.2" x14ac:dyDescent="0.3">
      <c r="A23">
        <v>74</v>
      </c>
      <c r="B23" t="s">
        <v>254</v>
      </c>
      <c r="C23" t="s">
        <v>254</v>
      </c>
      <c r="D23" t="s">
        <v>175</v>
      </c>
      <c r="E23" s="312" t="s">
        <v>255</v>
      </c>
      <c r="F23" t="s">
        <v>442</v>
      </c>
      <c r="G23" t="s">
        <v>293</v>
      </c>
      <c r="H23" t="s">
        <v>11</v>
      </c>
      <c r="I23" t="s">
        <v>462</v>
      </c>
      <c r="J23" t="s">
        <v>11</v>
      </c>
      <c r="K23" t="s">
        <v>461</v>
      </c>
      <c r="L23" t="s">
        <v>11</v>
      </c>
    </row>
    <row r="24" spans="1:12" x14ac:dyDescent="0.3">
      <c r="A24">
        <v>63</v>
      </c>
      <c r="B24" t="s">
        <v>291</v>
      </c>
      <c r="C24" t="s">
        <v>166</v>
      </c>
      <c r="D24" t="s">
        <v>370</v>
      </c>
      <c r="E24" t="s">
        <v>295</v>
      </c>
      <c r="F24" t="s">
        <v>464</v>
      </c>
      <c r="G24" t="s">
        <v>293</v>
      </c>
      <c r="H24" t="s">
        <v>404</v>
      </c>
      <c r="I24" t="s">
        <v>468</v>
      </c>
      <c r="J24" t="s">
        <v>465</v>
      </c>
      <c r="K24" t="s">
        <v>466</v>
      </c>
      <c r="L24" t="s">
        <v>467</v>
      </c>
    </row>
    <row r="25" spans="1:12" x14ac:dyDescent="0.3">
      <c r="A25">
        <v>52</v>
      </c>
      <c r="B25" t="s">
        <v>247</v>
      </c>
      <c r="C25" t="s">
        <v>155</v>
      </c>
      <c r="D25" t="s">
        <v>374</v>
      </c>
      <c r="E25" t="s">
        <v>375</v>
      </c>
      <c r="F25" t="s">
        <v>464</v>
      </c>
      <c r="G25" t="s">
        <v>293</v>
      </c>
      <c r="H25" t="s">
        <v>404</v>
      </c>
      <c r="I25" t="s">
        <v>474</v>
      </c>
      <c r="J25" t="s">
        <v>472</v>
      </c>
      <c r="K25" t="s">
        <v>473</v>
      </c>
      <c r="L25" t="s">
        <v>11</v>
      </c>
    </row>
    <row r="26" spans="1:12" x14ac:dyDescent="0.3">
      <c r="A26">
        <v>52</v>
      </c>
      <c r="B26" t="s">
        <v>247</v>
      </c>
      <c r="C26" t="s">
        <v>155</v>
      </c>
      <c r="D26" t="s">
        <v>374</v>
      </c>
      <c r="E26" t="s">
        <v>375</v>
      </c>
      <c r="F26" t="s">
        <v>464</v>
      </c>
      <c r="G26" t="s">
        <v>293</v>
      </c>
      <c r="H26" t="s">
        <v>404</v>
      </c>
      <c r="I26" t="s">
        <v>481</v>
      </c>
      <c r="J26" t="s">
        <v>479</v>
      </c>
      <c r="K26" t="s">
        <v>480</v>
      </c>
      <c r="L26" t="s">
        <v>11</v>
      </c>
    </row>
    <row r="27" spans="1:12" ht="28.8" x14ac:dyDescent="0.3">
      <c r="A27">
        <v>75</v>
      </c>
      <c r="B27" t="s">
        <v>254</v>
      </c>
      <c r="C27" t="s">
        <v>254</v>
      </c>
      <c r="D27" t="s">
        <v>176</v>
      </c>
      <c r="E27" s="312" t="s">
        <v>256</v>
      </c>
      <c r="F27" t="s">
        <v>464</v>
      </c>
      <c r="G27" t="s">
        <v>293</v>
      </c>
      <c r="H27" t="s">
        <v>386</v>
      </c>
      <c r="I27" t="s">
        <v>484</v>
      </c>
      <c r="J27" t="s">
        <v>479</v>
      </c>
      <c r="K27" t="s">
        <v>480</v>
      </c>
      <c r="L27" t="s">
        <v>11</v>
      </c>
    </row>
    <row r="28" spans="1:12" x14ac:dyDescent="0.3">
      <c r="A28">
        <v>78</v>
      </c>
      <c r="B28" t="s">
        <v>254</v>
      </c>
      <c r="C28" t="s">
        <v>254</v>
      </c>
      <c r="D28" t="s">
        <v>183</v>
      </c>
      <c r="E28" t="s">
        <v>184</v>
      </c>
      <c r="F28" t="s">
        <v>464</v>
      </c>
      <c r="G28" t="s">
        <v>293</v>
      </c>
      <c r="H28" t="s">
        <v>404</v>
      </c>
      <c r="I28" t="s">
        <v>488</v>
      </c>
      <c r="J28" t="s">
        <v>479</v>
      </c>
      <c r="K28" t="s">
        <v>487</v>
      </c>
      <c r="L28" t="s">
        <v>11</v>
      </c>
    </row>
    <row r="29" spans="1:12" x14ac:dyDescent="0.3">
      <c r="A29">
        <v>69</v>
      </c>
      <c r="B29" t="s">
        <v>253</v>
      </c>
      <c r="C29" t="s">
        <v>166</v>
      </c>
      <c r="D29" t="s">
        <v>244</v>
      </c>
      <c r="E29" t="s">
        <v>170</v>
      </c>
      <c r="F29" t="s">
        <v>464</v>
      </c>
      <c r="G29" t="s">
        <v>293</v>
      </c>
      <c r="H29" t="s">
        <v>404</v>
      </c>
      <c r="I29" t="s">
        <v>493</v>
      </c>
      <c r="J29" t="s">
        <v>490</v>
      </c>
      <c r="K29" t="s">
        <v>491</v>
      </c>
      <c r="L29" t="s">
        <v>492</v>
      </c>
    </row>
    <row r="30" spans="1:12" x14ac:dyDescent="0.3">
      <c r="A30">
        <v>67</v>
      </c>
      <c r="B30" t="s">
        <v>253</v>
      </c>
      <c r="C30" t="s">
        <v>166</v>
      </c>
      <c r="D30" t="s">
        <v>371</v>
      </c>
      <c r="E30" t="s">
        <v>326</v>
      </c>
      <c r="F30" t="s">
        <v>497</v>
      </c>
      <c r="G30" t="s">
        <v>293</v>
      </c>
      <c r="H30" t="s">
        <v>503</v>
      </c>
      <c r="I30" t="s">
        <v>500</v>
      </c>
      <c r="J30" t="s">
        <v>498</v>
      </c>
      <c r="K30" t="s">
        <v>499</v>
      </c>
      <c r="L30" t="s">
        <v>11</v>
      </c>
    </row>
    <row r="31" spans="1:12" x14ac:dyDescent="0.3">
      <c r="A31">
        <v>38</v>
      </c>
      <c r="B31" t="s">
        <v>258</v>
      </c>
      <c r="C31" t="s">
        <v>169</v>
      </c>
      <c r="D31" t="s">
        <v>126</v>
      </c>
      <c r="E31" t="s">
        <v>324</v>
      </c>
      <c r="F31" t="s">
        <v>497</v>
      </c>
      <c r="G31" t="s">
        <v>293</v>
      </c>
      <c r="H31" t="s">
        <v>503</v>
      </c>
      <c r="I31" t="s">
        <v>500</v>
      </c>
      <c r="J31" t="s">
        <v>504</v>
      </c>
      <c r="K31" t="s">
        <v>505</v>
      </c>
      <c r="L31" t="s">
        <v>506</v>
      </c>
    </row>
    <row r="32" spans="1:12" x14ac:dyDescent="0.3">
      <c r="A32">
        <v>38</v>
      </c>
      <c r="B32" t="s">
        <v>258</v>
      </c>
      <c r="C32" t="s">
        <v>169</v>
      </c>
      <c r="D32" t="s">
        <v>126</v>
      </c>
      <c r="E32" t="s">
        <v>324</v>
      </c>
      <c r="F32" t="s">
        <v>497</v>
      </c>
      <c r="G32" t="s">
        <v>293</v>
      </c>
      <c r="H32" t="s">
        <v>503</v>
      </c>
      <c r="I32" t="s">
        <v>500</v>
      </c>
      <c r="J32" t="s">
        <v>507</v>
      </c>
      <c r="K32" t="s">
        <v>508</v>
      </c>
      <c r="L32" t="s">
        <v>509</v>
      </c>
    </row>
    <row r="33" spans="1:12" x14ac:dyDescent="0.3">
      <c r="A33">
        <v>40</v>
      </c>
      <c r="B33" t="s">
        <v>258</v>
      </c>
      <c r="C33" t="s">
        <v>169</v>
      </c>
      <c r="D33" t="s">
        <v>224</v>
      </c>
      <c r="E33" t="s">
        <v>241</v>
      </c>
      <c r="F33" t="s">
        <v>497</v>
      </c>
      <c r="G33" t="s">
        <v>293</v>
      </c>
      <c r="H33" t="s">
        <v>503</v>
      </c>
      <c r="I33" t="s">
        <v>514</v>
      </c>
      <c r="J33" t="s">
        <v>512</v>
      </c>
      <c r="K33" t="s">
        <v>513</v>
      </c>
      <c r="L33" t="s">
        <v>11</v>
      </c>
    </row>
    <row r="34" spans="1:12" x14ac:dyDescent="0.3">
      <c r="A34">
        <v>68</v>
      </c>
      <c r="B34" t="s">
        <v>253</v>
      </c>
      <c r="C34" t="s">
        <v>166</v>
      </c>
      <c r="D34" t="s">
        <v>243</v>
      </c>
      <c r="E34" t="s">
        <v>496</v>
      </c>
      <c r="F34" t="s">
        <v>497</v>
      </c>
      <c r="G34" t="s">
        <v>293</v>
      </c>
      <c r="H34" t="s">
        <v>404</v>
      </c>
      <c r="I34" t="s">
        <v>517</v>
      </c>
      <c r="J34" t="s">
        <v>479</v>
      </c>
      <c r="K34" t="s">
        <v>487</v>
      </c>
      <c r="L34" t="s">
        <v>11</v>
      </c>
    </row>
    <row r="35" spans="1:12" x14ac:dyDescent="0.3">
      <c r="A35">
        <v>3</v>
      </c>
      <c r="B35" t="s">
        <v>125</v>
      </c>
      <c r="C35" t="s">
        <v>125</v>
      </c>
      <c r="D35" t="s">
        <v>319</v>
      </c>
      <c r="E35" t="s">
        <v>146</v>
      </c>
      <c r="F35" t="s">
        <v>518</v>
      </c>
      <c r="G35" t="s">
        <v>293</v>
      </c>
      <c r="H35" t="s">
        <v>503</v>
      </c>
      <c r="I35" t="s">
        <v>521</v>
      </c>
      <c r="J35" t="s">
        <v>519</v>
      </c>
      <c r="K35" t="s">
        <v>520</v>
      </c>
      <c r="L35" t="s">
        <v>11</v>
      </c>
    </row>
    <row r="36" spans="1:12" x14ac:dyDescent="0.3">
      <c r="A36">
        <v>41</v>
      </c>
      <c r="B36" t="s">
        <v>258</v>
      </c>
      <c r="C36" t="s">
        <v>169</v>
      </c>
      <c r="D36" t="s">
        <v>172</v>
      </c>
      <c r="E36" t="s">
        <v>173</v>
      </c>
      <c r="F36" t="s">
        <v>518</v>
      </c>
      <c r="G36" t="s">
        <v>293</v>
      </c>
      <c r="H36" t="s">
        <v>386</v>
      </c>
      <c r="I36" t="s">
        <v>493</v>
      </c>
      <c r="J36" t="s">
        <v>525</v>
      </c>
      <c r="K36" t="s">
        <v>526</v>
      </c>
      <c r="L36" t="s">
        <v>527</v>
      </c>
    </row>
    <row r="37" spans="1:12" x14ac:dyDescent="0.3">
      <c r="A37">
        <v>14</v>
      </c>
      <c r="B37" t="s">
        <v>155</v>
      </c>
      <c r="C37" t="s">
        <v>156</v>
      </c>
      <c r="D37" t="s">
        <v>365</v>
      </c>
      <c r="E37" t="s">
        <v>365</v>
      </c>
      <c r="F37" t="s">
        <v>533</v>
      </c>
      <c r="G37" t="s">
        <v>293</v>
      </c>
      <c r="H37" t="s">
        <v>11</v>
      </c>
      <c r="I37" t="s">
        <v>537</v>
      </c>
      <c r="J37" t="s">
        <v>534</v>
      </c>
      <c r="K37" t="s">
        <v>535</v>
      </c>
      <c r="L37" t="s">
        <v>536</v>
      </c>
    </row>
    <row r="38" spans="1:12" x14ac:dyDescent="0.3">
      <c r="A38">
        <v>24</v>
      </c>
      <c r="B38" t="s">
        <v>160</v>
      </c>
      <c r="C38" t="s">
        <v>160</v>
      </c>
      <c r="D38" t="s">
        <v>161</v>
      </c>
      <c r="E38" t="s">
        <v>162</v>
      </c>
      <c r="F38" t="s">
        <v>533</v>
      </c>
      <c r="G38" t="s">
        <v>293</v>
      </c>
      <c r="H38" t="s">
        <v>11</v>
      </c>
      <c r="I38" t="s">
        <v>543</v>
      </c>
      <c r="J38" t="s">
        <v>540</v>
      </c>
      <c r="K38" t="s">
        <v>541</v>
      </c>
      <c r="L38" t="s">
        <v>542</v>
      </c>
    </row>
    <row r="39" spans="1:12" x14ac:dyDescent="0.3">
      <c r="A39">
        <v>77</v>
      </c>
      <c r="B39" t="s">
        <v>254</v>
      </c>
      <c r="C39" t="s">
        <v>254</v>
      </c>
      <c r="D39" t="s">
        <v>181</v>
      </c>
      <c r="E39" t="s">
        <v>182</v>
      </c>
      <c r="F39" t="s">
        <v>533</v>
      </c>
      <c r="G39" t="s">
        <v>293</v>
      </c>
      <c r="H39" t="s">
        <v>562</v>
      </c>
      <c r="I39" t="s">
        <v>559</v>
      </c>
      <c r="J39" t="s">
        <v>553</v>
      </c>
      <c r="K39" t="s">
        <v>554</v>
      </c>
      <c r="L39" t="s">
        <v>557</v>
      </c>
    </row>
    <row r="40" spans="1:12" x14ac:dyDescent="0.3">
      <c r="A40">
        <v>45</v>
      </c>
      <c r="B40" t="s">
        <v>174</v>
      </c>
      <c r="C40" t="s">
        <v>174</v>
      </c>
      <c r="D40" t="s">
        <v>179</v>
      </c>
      <c r="E40" t="s">
        <v>180</v>
      </c>
      <c r="F40" t="s">
        <v>533</v>
      </c>
      <c r="G40" t="s">
        <v>293</v>
      </c>
      <c r="H40" t="s">
        <v>11</v>
      </c>
      <c r="I40" t="s">
        <v>493</v>
      </c>
      <c r="J40" t="s">
        <v>563</v>
      </c>
      <c r="K40" t="s">
        <v>564</v>
      </c>
      <c r="L40" t="s">
        <v>566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771" t="s">
        <v>11</v>
      </c>
      <c r="B1" s="771"/>
      <c r="C1" s="771"/>
      <c r="D1" s="773" t="s">
        <v>61</v>
      </c>
      <c r="E1" s="773"/>
      <c r="F1" s="773"/>
      <c r="G1" s="773"/>
      <c r="H1" s="773"/>
      <c r="I1" s="773"/>
      <c r="J1" s="35" t="s">
        <v>11</v>
      </c>
      <c r="K1" s="35" t="s">
        <v>11</v>
      </c>
      <c r="L1" s="35" t="s">
        <v>11</v>
      </c>
      <c r="M1" s="35" t="s">
        <v>11</v>
      </c>
      <c r="N1" s="35" t="s">
        <v>11</v>
      </c>
      <c r="O1" s="36" t="s">
        <v>11</v>
      </c>
    </row>
    <row r="2" spans="1:15" x14ac:dyDescent="0.3">
      <c r="A2" s="772"/>
      <c r="B2" s="772"/>
      <c r="C2" s="772"/>
      <c r="D2" s="771" t="s">
        <v>62</v>
      </c>
      <c r="E2" s="771"/>
      <c r="F2" s="771"/>
      <c r="G2" s="771"/>
      <c r="H2" s="771"/>
      <c r="I2" s="771"/>
      <c r="J2" s="35"/>
      <c r="K2" s="35"/>
      <c r="L2" s="35"/>
      <c r="M2" s="35"/>
      <c r="N2" s="35"/>
      <c r="O2" s="774" t="s">
        <v>63</v>
      </c>
    </row>
    <row r="3" spans="1:15" x14ac:dyDescent="0.3">
      <c r="A3" s="772"/>
      <c r="B3" s="772"/>
      <c r="C3" s="772"/>
      <c r="D3" s="771" t="s">
        <v>64</v>
      </c>
      <c r="E3" s="771"/>
      <c r="F3" s="771"/>
      <c r="G3" s="771"/>
      <c r="H3" s="771"/>
      <c r="I3" s="771"/>
      <c r="J3" s="35"/>
      <c r="K3" s="35"/>
      <c r="L3" s="35"/>
      <c r="M3" s="35"/>
      <c r="N3" s="35"/>
      <c r="O3" s="775"/>
    </row>
    <row r="4" spans="1:15" x14ac:dyDescent="0.3">
      <c r="A4" s="772"/>
      <c r="B4" s="772"/>
      <c r="C4" s="772"/>
      <c r="D4" s="771" t="s">
        <v>65</v>
      </c>
      <c r="E4" s="771"/>
      <c r="F4" s="771"/>
      <c r="G4" s="771"/>
      <c r="H4" s="771"/>
      <c r="I4" s="771"/>
      <c r="J4" s="35"/>
      <c r="K4" s="35"/>
      <c r="L4" s="35"/>
      <c r="M4" s="35"/>
      <c r="N4" s="35"/>
      <c r="O4" s="775"/>
    </row>
    <row r="5" spans="1:15" x14ac:dyDescent="0.3">
      <c r="A5" s="772"/>
      <c r="B5" s="772"/>
      <c r="C5" s="772"/>
      <c r="D5" s="771" t="s">
        <v>66</v>
      </c>
      <c r="E5" s="771"/>
      <c r="F5" s="771"/>
      <c r="G5" s="771"/>
      <c r="H5" s="771"/>
      <c r="I5" s="771"/>
      <c r="J5" s="35"/>
      <c r="K5" s="35"/>
      <c r="L5" s="35"/>
      <c r="M5" s="35"/>
      <c r="N5" s="35"/>
      <c r="O5" s="775"/>
    </row>
    <row r="6" spans="1:15" x14ac:dyDescent="0.3">
      <c r="A6" s="772"/>
      <c r="B6" s="772"/>
      <c r="C6" s="772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775"/>
    </row>
    <row r="7" spans="1:15" x14ac:dyDescent="0.3">
      <c r="A7" s="772"/>
      <c r="B7" s="772"/>
      <c r="C7" s="772"/>
      <c r="D7" s="771" t="s">
        <v>67</v>
      </c>
      <c r="E7" s="771"/>
      <c r="F7" s="771"/>
      <c r="G7" s="771"/>
      <c r="H7" s="771"/>
      <c r="I7" s="771"/>
      <c r="J7" s="35"/>
      <c r="K7" s="35"/>
      <c r="L7" s="35"/>
      <c r="M7" s="35"/>
      <c r="N7" s="35"/>
      <c r="O7" s="37">
        <v>45264.482613275461</v>
      </c>
    </row>
    <row r="8" spans="1:15" x14ac:dyDescent="0.3">
      <c r="A8" s="770" t="s">
        <v>68</v>
      </c>
      <c r="B8" s="770"/>
      <c r="C8" s="770"/>
      <c r="D8" s="770"/>
      <c r="E8" s="770"/>
      <c r="F8" s="770"/>
      <c r="G8" s="770"/>
      <c r="H8" s="770"/>
      <c r="I8" s="770"/>
      <c r="J8" s="770"/>
      <c r="K8" s="770"/>
      <c r="L8" s="770"/>
      <c r="M8" s="770"/>
      <c r="N8" s="770"/>
      <c r="O8" s="770"/>
    </row>
    <row r="9" spans="1:15" ht="27.6" x14ac:dyDescent="0.3">
      <c r="A9" s="38" t="s">
        <v>69</v>
      </c>
      <c r="B9" s="38" t="s">
        <v>70</v>
      </c>
      <c r="C9" s="38" t="s">
        <v>71</v>
      </c>
      <c r="D9" s="38" t="s">
        <v>52</v>
      </c>
      <c r="E9" s="38" t="s">
        <v>72</v>
      </c>
      <c r="F9" s="38" t="s">
        <v>73</v>
      </c>
      <c r="G9" s="38" t="s">
        <v>34</v>
      </c>
      <c r="H9" s="38" t="s">
        <v>74</v>
      </c>
      <c r="I9" s="38" t="s">
        <v>75</v>
      </c>
      <c r="J9" s="38" t="s">
        <v>73</v>
      </c>
      <c r="K9" s="38" t="s">
        <v>76</v>
      </c>
      <c r="L9" s="38" t="s">
        <v>77</v>
      </c>
      <c r="M9" s="38" t="s">
        <v>78</v>
      </c>
      <c r="N9" s="38" t="s">
        <v>79</v>
      </c>
      <c r="O9" s="39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779" t="s">
        <v>3</v>
      </c>
      <c r="C2" s="780"/>
      <c r="D2" s="780"/>
      <c r="E2" s="780"/>
      <c r="F2" s="780"/>
      <c r="G2" s="780"/>
      <c r="H2" s="780"/>
      <c r="I2" s="780"/>
      <c r="J2" s="780"/>
      <c r="K2" s="780"/>
      <c r="L2" s="781"/>
    </row>
    <row r="3" spans="2:12" ht="47.4" customHeight="1" thickBot="1" x14ac:dyDescent="0.35">
      <c r="B3" s="782" t="s">
        <v>12</v>
      </c>
      <c r="C3" s="783"/>
      <c r="D3" s="783"/>
      <c r="E3" s="783"/>
      <c r="F3" s="783"/>
      <c r="G3" s="783"/>
      <c r="H3" s="783"/>
      <c r="I3" s="783"/>
      <c r="J3" s="783"/>
      <c r="K3" s="783"/>
      <c r="L3" s="784"/>
    </row>
    <row r="4" spans="2:12" ht="7.35" customHeight="1" thickBot="1" x14ac:dyDescent="0.35"/>
    <row r="5" spans="2:12" x14ac:dyDescent="0.3">
      <c r="B5" s="2"/>
      <c r="C5" s="3"/>
      <c r="D5" s="3"/>
      <c r="E5" s="3"/>
      <c r="F5" s="3"/>
      <c r="G5" s="3"/>
      <c r="H5" s="3"/>
      <c r="I5" s="3"/>
      <c r="J5" s="3"/>
      <c r="K5" s="3"/>
      <c r="L5" s="4"/>
    </row>
    <row r="6" spans="2:12" x14ac:dyDescent="0.3">
      <c r="B6" s="5"/>
      <c r="C6" s="785" t="s">
        <v>13</v>
      </c>
      <c r="D6" s="785"/>
      <c r="E6" s="785"/>
      <c r="F6" s="785"/>
      <c r="G6" s="785"/>
      <c r="H6" s="785"/>
      <c r="I6" s="785"/>
      <c r="J6" s="785"/>
      <c r="K6" s="785"/>
      <c r="L6" s="6"/>
    </row>
    <row r="7" spans="2:12" ht="6" customHeight="1" x14ac:dyDescent="0.3">
      <c r="B7" s="5"/>
      <c r="L7" s="6"/>
    </row>
    <row r="8" spans="2:12" x14ac:dyDescent="0.3">
      <c r="B8" s="5"/>
      <c r="C8" s="7" t="s">
        <v>14</v>
      </c>
      <c r="D8" s="786" t="s">
        <v>533</v>
      </c>
      <c r="E8" s="787"/>
      <c r="F8" s="787"/>
      <c r="G8" s="787"/>
      <c r="H8" s="787"/>
      <c r="I8" s="787"/>
      <c r="J8" s="787"/>
      <c r="K8" s="788"/>
      <c r="L8" s="6"/>
    </row>
    <row r="9" spans="2:12" x14ac:dyDescent="0.3">
      <c r="B9" s="5"/>
      <c r="C9" s="8" t="s">
        <v>15</v>
      </c>
      <c r="D9" s="776" t="s">
        <v>16</v>
      </c>
      <c r="E9" s="777"/>
      <c r="F9" s="777"/>
      <c r="G9" s="777"/>
      <c r="H9" s="777"/>
      <c r="I9" s="777"/>
      <c r="J9" s="777"/>
      <c r="K9" s="778"/>
      <c r="L9" s="6"/>
    </row>
    <row r="10" spans="2:12" x14ac:dyDescent="0.3">
      <c r="B10" s="5"/>
      <c r="C10" s="8" t="s">
        <v>17</v>
      </c>
      <c r="D10" s="776" t="s">
        <v>208</v>
      </c>
      <c r="E10" s="777"/>
      <c r="F10" s="777"/>
      <c r="G10" s="777"/>
      <c r="H10" s="777"/>
      <c r="I10" s="777"/>
      <c r="J10" s="777"/>
      <c r="K10" s="778"/>
      <c r="L10" s="6"/>
    </row>
    <row r="11" spans="2:12" x14ac:dyDescent="0.3">
      <c r="B11" s="5"/>
      <c r="C11" s="8" t="s">
        <v>18</v>
      </c>
      <c r="D11" s="776" t="s">
        <v>380</v>
      </c>
      <c r="E11" s="777"/>
      <c r="F11" s="777"/>
      <c r="G11" s="777"/>
      <c r="H11" s="777"/>
      <c r="I11" s="777"/>
      <c r="J11" s="777"/>
      <c r="K11" s="778"/>
      <c r="L11" s="6"/>
    </row>
    <row r="12" spans="2:12" x14ac:dyDescent="0.3">
      <c r="B12" s="5"/>
      <c r="C12" s="11" t="s">
        <v>19</v>
      </c>
      <c r="D12" s="789" t="s">
        <v>381</v>
      </c>
      <c r="E12" s="790"/>
      <c r="F12" s="790"/>
      <c r="G12" s="790"/>
      <c r="H12" s="791"/>
      <c r="I12" s="12" t="s">
        <v>20</v>
      </c>
      <c r="J12" s="789" t="s">
        <v>206</v>
      </c>
      <c r="K12" s="791"/>
      <c r="L12" s="6"/>
    </row>
    <row r="13" spans="2:12" ht="6" customHeight="1" thickBot="1" x14ac:dyDescent="0.35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5"/>
    </row>
    <row r="14" spans="2:12" ht="7.35" customHeight="1" thickBot="1" x14ac:dyDescent="0.35"/>
    <row r="15" spans="2:12" ht="8.1" customHeight="1" x14ac:dyDescent="0.3">
      <c r="B15" s="2"/>
      <c r="C15" s="3"/>
      <c r="D15" s="3"/>
      <c r="E15" s="3"/>
      <c r="F15" s="3"/>
      <c r="G15" s="3"/>
      <c r="H15" s="3"/>
      <c r="I15" s="3"/>
      <c r="J15" s="3"/>
      <c r="K15" s="3"/>
      <c r="L15" s="4"/>
    </row>
    <row r="16" spans="2:12" x14ac:dyDescent="0.3">
      <c r="B16" s="5"/>
      <c r="C16" s="785" t="s">
        <v>21</v>
      </c>
      <c r="D16" s="785"/>
      <c r="E16" s="785"/>
      <c r="F16" s="785"/>
      <c r="G16" s="785"/>
      <c r="H16" s="785"/>
      <c r="I16" s="785"/>
      <c r="J16" s="785"/>
      <c r="K16" s="785"/>
      <c r="L16" s="6"/>
    </row>
    <row r="17" spans="2:12" ht="9" customHeight="1" x14ac:dyDescent="0.3">
      <c r="B17" s="5"/>
      <c r="L17" s="6"/>
    </row>
    <row r="18" spans="2:12" x14ac:dyDescent="0.3">
      <c r="B18" s="5"/>
      <c r="C18" s="7"/>
      <c r="D18" s="792" t="s">
        <v>524</v>
      </c>
      <c r="E18" s="792"/>
      <c r="F18" s="792"/>
      <c r="G18" s="793"/>
      <c r="H18" s="792" t="s">
        <v>22</v>
      </c>
      <c r="I18" s="792"/>
      <c r="J18" s="792"/>
      <c r="K18" s="793"/>
      <c r="L18" s="6"/>
    </row>
    <row r="19" spans="2:12" x14ac:dyDescent="0.3">
      <c r="B19" s="5"/>
      <c r="C19" s="16" t="s">
        <v>23</v>
      </c>
      <c r="D19" s="794" t="s">
        <v>564</v>
      </c>
      <c r="E19" s="795"/>
      <c r="F19" s="795"/>
      <c r="G19" s="795"/>
      <c r="H19" s="795"/>
      <c r="I19" s="795"/>
      <c r="J19" s="795"/>
      <c r="K19" s="796"/>
      <c r="L19" s="6"/>
    </row>
    <row r="20" spans="2:12" x14ac:dyDescent="0.3">
      <c r="B20" s="5"/>
      <c r="C20" s="8" t="s">
        <v>24</v>
      </c>
      <c r="D20" s="776"/>
      <c r="E20" s="777"/>
      <c r="F20" s="777"/>
      <c r="G20" s="777"/>
      <c r="H20" s="777"/>
      <c r="I20" s="777"/>
      <c r="J20" s="777"/>
      <c r="K20" s="778"/>
      <c r="L20" s="6"/>
    </row>
    <row r="21" spans="2:12" x14ac:dyDescent="0.3">
      <c r="B21" s="5"/>
      <c r="C21" s="8" t="s">
        <v>25</v>
      </c>
      <c r="D21" s="776" t="s">
        <v>565</v>
      </c>
      <c r="E21" s="778"/>
      <c r="F21" s="8" t="s">
        <v>57</v>
      </c>
      <c r="G21" s="17" t="s">
        <v>555</v>
      </c>
      <c r="H21" s="8" t="s">
        <v>26</v>
      </c>
      <c r="I21" s="9" t="s">
        <v>556</v>
      </c>
      <c r="J21" s="8" t="s">
        <v>27</v>
      </c>
      <c r="K21" s="10" t="s">
        <v>11</v>
      </c>
      <c r="L21" s="6"/>
    </row>
    <row r="22" spans="2:12" x14ac:dyDescent="0.3">
      <c r="B22" s="5"/>
      <c r="C22" s="8" t="s">
        <v>28</v>
      </c>
      <c r="D22" s="776" t="s">
        <v>563</v>
      </c>
      <c r="E22" s="777"/>
      <c r="F22" s="777"/>
      <c r="G22" s="778"/>
      <c r="H22" s="8" t="s">
        <v>29</v>
      </c>
      <c r="I22" s="776"/>
      <c r="J22" s="777"/>
      <c r="K22" s="778"/>
      <c r="L22" s="6"/>
    </row>
    <row r="23" spans="2:12" x14ac:dyDescent="0.3">
      <c r="B23" s="5"/>
      <c r="C23" s="11" t="s">
        <v>30</v>
      </c>
      <c r="D23" s="789" t="s">
        <v>566</v>
      </c>
      <c r="E23" s="790"/>
      <c r="F23" s="790"/>
      <c r="G23" s="791"/>
      <c r="H23" s="11" t="s">
        <v>31</v>
      </c>
      <c r="I23" s="789" t="s">
        <v>11</v>
      </c>
      <c r="J23" s="790"/>
      <c r="K23" s="791"/>
      <c r="L23" s="6"/>
    </row>
    <row r="24" spans="2:12" ht="6.75" customHeight="1" thickBot="1" x14ac:dyDescent="0.35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5"/>
    </row>
    <row r="25" spans="2:12" ht="9.75" customHeight="1" thickBot="1" x14ac:dyDescent="0.35"/>
    <row r="26" spans="2:12" ht="8.1" customHeight="1" x14ac:dyDescent="0.3">
      <c r="B26" s="2"/>
      <c r="C26" s="3"/>
      <c r="D26" s="3"/>
      <c r="E26" s="3"/>
      <c r="F26" s="3"/>
      <c r="G26" s="3"/>
      <c r="H26" s="3"/>
      <c r="I26" s="3"/>
      <c r="J26" s="3"/>
      <c r="K26" s="3"/>
      <c r="L26" s="4"/>
    </row>
    <row r="27" spans="2:12" x14ac:dyDescent="0.3">
      <c r="B27" s="5"/>
      <c r="C27" s="785" t="s">
        <v>21</v>
      </c>
      <c r="D27" s="785"/>
      <c r="E27" s="785"/>
      <c r="F27" s="785"/>
      <c r="G27" s="785"/>
      <c r="H27" s="785"/>
      <c r="I27" s="785"/>
      <c r="J27" s="785"/>
      <c r="K27" s="785"/>
      <c r="L27" s="6"/>
    </row>
    <row r="28" spans="2:12" x14ac:dyDescent="0.3">
      <c r="B28" s="5"/>
      <c r="L28" s="6"/>
    </row>
    <row r="29" spans="2:12" x14ac:dyDescent="0.3">
      <c r="B29" s="5"/>
      <c r="C29" s="7" t="s">
        <v>32</v>
      </c>
      <c r="D29" s="797" t="s">
        <v>33</v>
      </c>
      <c r="E29" s="793"/>
      <c r="F29" s="797" t="s">
        <v>34</v>
      </c>
      <c r="G29" s="793"/>
      <c r="H29" s="798" t="s">
        <v>35</v>
      </c>
      <c r="I29" s="798"/>
      <c r="J29" s="798"/>
      <c r="K29" s="799"/>
      <c r="L29" s="6"/>
    </row>
    <row r="30" spans="2:12" x14ac:dyDescent="0.3">
      <c r="B30" s="5"/>
      <c r="C30" s="18" t="s">
        <v>36</v>
      </c>
      <c r="D30" s="800" t="s">
        <v>558</v>
      </c>
      <c r="E30" s="801"/>
      <c r="F30" s="802" t="s">
        <v>493</v>
      </c>
      <c r="G30" s="803"/>
      <c r="H30" s="19" t="s">
        <v>37</v>
      </c>
      <c r="I30" s="797" t="s">
        <v>469</v>
      </c>
      <c r="J30" s="793"/>
      <c r="K30" s="7" t="s">
        <v>38</v>
      </c>
      <c r="L30" s="6"/>
    </row>
    <row r="31" spans="2:12" x14ac:dyDescent="0.3">
      <c r="B31" s="5"/>
      <c r="C31" s="18" t="s">
        <v>39</v>
      </c>
      <c r="D31" s="800" t="s">
        <v>11</v>
      </c>
      <c r="E31" s="801"/>
      <c r="F31" s="802" t="s">
        <v>11</v>
      </c>
      <c r="G31" s="803"/>
      <c r="H31" s="18" t="s">
        <v>37</v>
      </c>
      <c r="I31" s="806" t="s">
        <v>40</v>
      </c>
      <c r="J31" s="807"/>
      <c r="K31" s="8" t="s">
        <v>38</v>
      </c>
      <c r="L31" s="6"/>
    </row>
    <row r="32" spans="2:12" x14ac:dyDescent="0.3">
      <c r="B32" s="5"/>
      <c r="C32" s="18" t="s">
        <v>41</v>
      </c>
      <c r="D32" s="800" t="s">
        <v>11</v>
      </c>
      <c r="E32" s="801"/>
      <c r="F32" s="802" t="s">
        <v>11</v>
      </c>
      <c r="G32" s="803"/>
      <c r="H32" s="18" t="s">
        <v>37</v>
      </c>
      <c r="I32" s="806" t="s">
        <v>40</v>
      </c>
      <c r="J32" s="807"/>
      <c r="K32" s="8" t="s">
        <v>38</v>
      </c>
      <c r="L32" s="6"/>
    </row>
    <row r="33" spans="2:12" x14ac:dyDescent="0.3">
      <c r="B33" s="5"/>
      <c r="C33" s="20" t="s">
        <v>42</v>
      </c>
      <c r="D33" s="800" t="s">
        <v>11</v>
      </c>
      <c r="E33" s="801"/>
      <c r="F33" s="804" t="s">
        <v>11</v>
      </c>
      <c r="G33" s="805"/>
      <c r="H33" s="18" t="s">
        <v>37</v>
      </c>
      <c r="I33" s="806" t="s">
        <v>40</v>
      </c>
      <c r="J33" s="807"/>
      <c r="K33" s="8" t="s">
        <v>38</v>
      </c>
      <c r="L33" s="6"/>
    </row>
    <row r="34" spans="2:12" x14ac:dyDescent="0.3">
      <c r="B34" s="5"/>
      <c r="C34" s="808" t="s">
        <v>43</v>
      </c>
      <c r="D34" s="809"/>
      <c r="E34" s="810"/>
      <c r="F34" s="811" t="s">
        <v>493</v>
      </c>
      <c r="G34" s="812"/>
      <c r="H34" s="21"/>
      <c r="I34" s="22"/>
      <c r="J34" s="23"/>
      <c r="K34" s="21"/>
      <c r="L34" s="6"/>
    </row>
    <row r="35" spans="2:12" ht="15" thickBot="1" x14ac:dyDescent="0.35"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5"/>
    </row>
    <row r="36" spans="2:12" ht="15" thickBot="1" x14ac:dyDescent="0.35"/>
    <row r="37" spans="2:12" ht="6" customHeight="1" x14ac:dyDescent="0.3">
      <c r="B37" s="2"/>
      <c r="C37" s="3"/>
      <c r="D37" s="3"/>
      <c r="E37" s="3"/>
      <c r="F37" s="3"/>
      <c r="G37" s="3"/>
      <c r="H37" s="3"/>
      <c r="I37" s="3"/>
      <c r="J37" s="3"/>
      <c r="K37" s="3"/>
      <c r="L37" s="4"/>
    </row>
    <row r="38" spans="2:12" x14ac:dyDescent="0.3">
      <c r="B38" s="5"/>
      <c r="C38" s="785" t="s">
        <v>44</v>
      </c>
      <c r="D38" s="785"/>
      <c r="E38" s="785"/>
      <c r="F38" s="785"/>
      <c r="G38" s="785"/>
      <c r="H38" s="785"/>
      <c r="I38" s="785"/>
      <c r="J38" s="785"/>
      <c r="K38" s="785"/>
      <c r="L38" s="6"/>
    </row>
    <row r="39" spans="2:12" x14ac:dyDescent="0.3">
      <c r="B39" s="5"/>
      <c r="C39" s="816" t="s">
        <v>567</v>
      </c>
      <c r="D39" s="816"/>
      <c r="E39" s="816"/>
      <c r="F39" s="816"/>
      <c r="G39" s="816"/>
      <c r="H39" s="816"/>
      <c r="I39" s="816"/>
      <c r="J39" s="816"/>
      <c r="K39" s="816"/>
      <c r="L39" s="6"/>
    </row>
    <row r="40" spans="2:12" x14ac:dyDescent="0.3">
      <c r="B40" s="5"/>
      <c r="C40" s="816"/>
      <c r="D40" s="816"/>
      <c r="E40" s="816"/>
      <c r="F40" s="816"/>
      <c r="G40" s="816"/>
      <c r="H40" s="816"/>
      <c r="I40" s="816"/>
      <c r="J40" s="816"/>
      <c r="K40" s="816"/>
      <c r="L40" s="6"/>
    </row>
    <row r="41" spans="2:12" x14ac:dyDescent="0.3">
      <c r="B41" s="5"/>
      <c r="C41" s="816"/>
      <c r="D41" s="816"/>
      <c r="E41" s="816"/>
      <c r="F41" s="816"/>
      <c r="G41" s="816"/>
      <c r="H41" s="816"/>
      <c r="I41" s="816"/>
      <c r="J41" s="816"/>
      <c r="K41" s="816"/>
      <c r="L41" s="6"/>
    </row>
    <row r="42" spans="2:12" x14ac:dyDescent="0.3">
      <c r="B42" s="5"/>
      <c r="C42" s="816"/>
      <c r="D42" s="816"/>
      <c r="E42" s="816"/>
      <c r="F42" s="816"/>
      <c r="G42" s="816"/>
      <c r="H42" s="816"/>
      <c r="I42" s="816"/>
      <c r="J42" s="816"/>
      <c r="K42" s="816"/>
      <c r="L42" s="6"/>
    </row>
    <row r="43" spans="2:12" x14ac:dyDescent="0.3">
      <c r="B43" s="5"/>
      <c r="C43" s="816"/>
      <c r="D43" s="816"/>
      <c r="E43" s="816"/>
      <c r="F43" s="816"/>
      <c r="G43" s="816"/>
      <c r="H43" s="816"/>
      <c r="I43" s="816"/>
      <c r="J43" s="816"/>
      <c r="K43" s="816"/>
      <c r="L43" s="6"/>
    </row>
    <row r="44" spans="2:12" x14ac:dyDescent="0.3">
      <c r="B44" s="5"/>
      <c r="C44" s="816"/>
      <c r="D44" s="816"/>
      <c r="E44" s="816"/>
      <c r="F44" s="816"/>
      <c r="G44" s="816"/>
      <c r="H44" s="816"/>
      <c r="I44" s="816"/>
      <c r="J44" s="816"/>
      <c r="K44" s="816"/>
      <c r="L44" s="6"/>
    </row>
    <row r="45" spans="2:12" x14ac:dyDescent="0.3">
      <c r="B45" s="5"/>
      <c r="C45" s="817"/>
      <c r="D45" s="817"/>
      <c r="E45" s="817"/>
      <c r="F45" s="817"/>
      <c r="G45" s="817"/>
      <c r="H45" s="817"/>
      <c r="I45" s="817"/>
      <c r="J45" s="817"/>
      <c r="K45" s="817"/>
      <c r="L45" s="6"/>
    </row>
    <row r="46" spans="2:12" ht="8.4" customHeight="1" thickBot="1" x14ac:dyDescent="0.35">
      <c r="B46" s="13"/>
      <c r="C46" s="14"/>
      <c r="D46" s="14"/>
      <c r="E46" s="14"/>
      <c r="F46" s="14"/>
      <c r="G46" s="14"/>
      <c r="H46" s="14"/>
      <c r="I46" s="14"/>
      <c r="J46" s="14"/>
      <c r="K46" s="14"/>
      <c r="L46" s="15"/>
    </row>
    <row r="47" spans="2:12" ht="9" customHeight="1" thickBot="1" x14ac:dyDescent="0.35"/>
    <row r="48" spans="2:12" x14ac:dyDescent="0.3">
      <c r="B48" s="813" t="s">
        <v>45</v>
      </c>
      <c r="C48" s="814"/>
      <c r="D48" s="3"/>
      <c r="E48" s="3"/>
      <c r="F48" s="3"/>
      <c r="G48" s="3"/>
      <c r="H48" s="3"/>
      <c r="I48" s="3"/>
      <c r="J48" s="3"/>
      <c r="K48" s="3"/>
      <c r="L48" s="4"/>
    </row>
    <row r="49" spans="2:12" x14ac:dyDescent="0.3">
      <c r="B49" s="5"/>
      <c r="L49" s="6"/>
    </row>
    <row r="50" spans="2:12" x14ac:dyDescent="0.3">
      <c r="B50" s="5"/>
      <c r="C50" s="24"/>
      <c r="L50" s="6"/>
    </row>
    <row r="51" spans="2:12" x14ac:dyDescent="0.3">
      <c r="B51" s="5"/>
      <c r="C51" s="815" t="s">
        <v>46</v>
      </c>
      <c r="D51" s="815"/>
      <c r="E51" s="815"/>
      <c r="F51" s="815"/>
      <c r="H51" s="815" t="s">
        <v>47</v>
      </c>
      <c r="I51" s="815"/>
      <c r="J51" s="815"/>
      <c r="K51" s="815"/>
      <c r="L51" s="6"/>
    </row>
    <row r="52" spans="2:12" ht="15" thickBot="1" x14ac:dyDescent="0.35">
      <c r="B52" s="13"/>
      <c r="C52" s="14"/>
      <c r="D52" s="14"/>
      <c r="E52" s="14"/>
      <c r="F52" s="14"/>
      <c r="G52" s="14"/>
      <c r="H52" s="14"/>
      <c r="I52" s="14"/>
      <c r="J52" s="14"/>
      <c r="K52" s="14"/>
      <c r="L52" s="15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15</vt:i4>
      </vt:variant>
    </vt:vector>
  </HeadingPairs>
  <TitlesOfParts>
    <vt:vector size="23" baseType="lpstr">
      <vt:lpstr>EMISSÃO</vt:lpstr>
      <vt:lpstr>RESUMO</vt:lpstr>
      <vt:lpstr>SP- BH FINAL </vt:lpstr>
      <vt:lpstr>SP- BH  (2)</vt:lpstr>
      <vt:lpstr>SP- BH 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2026-04-24T19:31:45Z</cp:lastPrinted>
  <dcterms:created xsi:type="dcterms:W3CDTF">2023-09-21T21:02:20Z</dcterms:created>
  <dcterms:modified xsi:type="dcterms:W3CDTF">2026-04-28T23:31:33Z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