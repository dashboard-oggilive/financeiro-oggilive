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C46CF7AE-A22B-4466-B08A-BCFFE05A2C1A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9" r:id="rId1"/>
    <sheet name="Taxas" sheetId="94" r:id="rId2"/>
    <sheet name="Operação" sheetId="91" r:id="rId3"/>
    <sheet name="Estandes" sheetId="95" r:id="rId4"/>
    <sheet name="Extras" sheetId="96" r:id="rId5"/>
    <sheet name="Extras DPA" sheetId="97" r:id="rId6"/>
    <sheet name="CUSTOS OP." sheetId="98" r:id="rId7"/>
    <sheet name="Resumo 02" sheetId="93" r:id="rId8"/>
    <sheet name="ItensOrc" sheetId="76" state="hidden" r:id="rId9"/>
    <sheet name="Template SP" sheetId="3" state="hidden" r:id="rId10"/>
  </sheets>
  <definedNames>
    <definedName name="_xlnm._FilterDatabase" localSheetId="3" hidden="1">Estandes!$A$1:$AL$14</definedName>
    <definedName name="_xlnm._FilterDatabase" localSheetId="4" hidden="1">Extras!$A$1:$AL$14</definedName>
    <definedName name="_xlnm._FilterDatabase" localSheetId="5" hidden="1">'Extras DPA'!$A$1:$AL$14</definedName>
    <definedName name="_xlnm._FilterDatabase" localSheetId="2" hidden="1">Operação!$A$17:$AN$17</definedName>
    <definedName name="_xlnm._FilterDatabase" localSheetId="1" hidden="1">Taxas!$A$1:$AL$14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8">ItensOrc!$M:$M</definedName>
    <definedName name="itensorc_desconto">#REF!</definedName>
    <definedName name="itensorc_descricao" localSheetId="8">ItensOrc!$D:$D</definedName>
    <definedName name="itensorc_descricao">#REF!</definedName>
    <definedName name="itensorc_encargos" localSheetId="8">ItensOrc!$N:$N</definedName>
    <definedName name="itensorc_encargos">#REF!</definedName>
    <definedName name="itensorc_especifica" localSheetId="8">ItensOrc!$O:$O</definedName>
    <definedName name="itensorc_especifica">#REF!</definedName>
    <definedName name="itensorc_item" localSheetId="8">ItensOrc!$C:$C</definedName>
    <definedName name="itensorc_item">#REF!</definedName>
    <definedName name="itensorc_lancamento" localSheetId="8">ItensOrc!$B:$B</definedName>
    <definedName name="itensorc_lancamento">#REF!</definedName>
    <definedName name="itensorc_percentualhonorarios" localSheetId="8">ItensOrc!$L:$L</definedName>
    <definedName name="itensorc_percentualhonorarios">#REF!</definedName>
    <definedName name="itensorc_quantidade" localSheetId="8">ItensOrc!$E:$E</definedName>
    <definedName name="itensorc_quantidade">#REF!</definedName>
    <definedName name="itensorc_situacao" localSheetId="8">ItensOrc!$H:$H</definedName>
    <definedName name="itensorc_situacao">#REF!</definedName>
    <definedName name="itensorc_subtipo" localSheetId="8">ItensOrc!$K:$K</definedName>
    <definedName name="itensorc_subtipo">#REF!</definedName>
    <definedName name="itensorc_tiporeceita" localSheetId="8">ItensOrc!$A:$A</definedName>
    <definedName name="itensorc_tiporeceita">#REF!</definedName>
    <definedName name="itensorc_valor" localSheetId="8">ItensOrc!$G:$G</definedName>
    <definedName name="itensorc_valor">#REF!</definedName>
    <definedName name="itensorc_valorfornecedor" localSheetId="8">ItensOrc!$I:$I</definedName>
    <definedName name="itensorc_valorfornecedor">#REF!</definedName>
    <definedName name="itensorc_valorfornecedorunitario" localSheetId="8">ItensOrc!$J:$J</definedName>
    <definedName name="itensorc_valorfornecedorunitario">#REF!</definedName>
    <definedName name="itensorc_valorunitario" localSheetId="8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99" l="1"/>
  <c r="C36" i="99"/>
  <c r="D36" i="99"/>
  <c r="F32" i="99" l="1"/>
  <c r="E32" i="99"/>
  <c r="C30" i="99"/>
  <c r="L20" i="97"/>
  <c r="M20" i="97"/>
  <c r="N20" i="97"/>
  <c r="K20" i="97"/>
  <c r="Q19" i="97" l="1"/>
  <c r="V19" i="97"/>
  <c r="G18" i="98"/>
  <c r="U19" i="97" l="1"/>
  <c r="W19" i="97" s="1"/>
  <c r="L19" i="97"/>
  <c r="D35" i="99"/>
  <c r="E35" i="99" s="1"/>
  <c r="F35" i="99" s="1"/>
  <c r="D34" i="99"/>
  <c r="AL56" i="91"/>
  <c r="AL54" i="91"/>
  <c r="C24" i="99"/>
  <c r="D23" i="99"/>
  <c r="C23" i="99"/>
  <c r="C22" i="99"/>
  <c r="E3" i="99"/>
  <c r="AK21" i="91"/>
  <c r="AK20" i="91"/>
  <c r="AP20" i="96"/>
  <c r="AL55" i="91"/>
  <c r="AP18" i="96"/>
  <c r="AO18" i="96" s="1"/>
  <c r="AL25" i="91"/>
  <c r="AP17" i="95"/>
  <c r="AK27" i="91"/>
  <c r="AK18" i="91"/>
  <c r="AK19" i="91"/>
  <c r="AK17" i="91"/>
  <c r="AO19" i="95"/>
  <c r="AO20" i="95"/>
  <c r="AO21" i="95"/>
  <c r="AO22" i="95"/>
  <c r="AO19" i="96"/>
  <c r="AO21" i="96"/>
  <c r="AO22" i="96"/>
  <c r="AO23" i="96"/>
  <c r="AO24" i="96"/>
  <c r="AO25" i="96"/>
  <c r="AO26" i="96"/>
  <c r="AO27" i="96"/>
  <c r="AO28" i="96"/>
  <c r="AO29" i="96"/>
  <c r="AO30" i="96"/>
  <c r="AO31" i="96"/>
  <c r="AO32" i="96"/>
  <c r="AN20" i="97"/>
  <c r="AP33" i="96"/>
  <c r="AP23" i="95"/>
  <c r="AK26" i="91"/>
  <c r="AK29" i="91"/>
  <c r="AK31" i="91"/>
  <c r="AK32" i="91"/>
  <c r="AK44" i="91"/>
  <c r="AK47" i="91"/>
  <c r="AK50" i="91"/>
  <c r="AK51" i="91"/>
  <c r="AK53" i="91"/>
  <c r="T33" i="96"/>
  <c r="K33" i="96"/>
  <c r="E34" i="99" l="1"/>
  <c r="F34" i="99" s="1"/>
  <c r="E23" i="99"/>
  <c r="F23" i="99" s="1"/>
  <c r="AL58" i="91"/>
  <c r="T20" i="97"/>
  <c r="K30" i="96"/>
  <c r="Q30" i="96"/>
  <c r="T30" i="96" s="1"/>
  <c r="AA30" i="96" s="1"/>
  <c r="K31" i="96"/>
  <c r="L31" i="96" s="1"/>
  <c r="S31" i="96"/>
  <c r="T31" i="96"/>
  <c r="U31" i="96"/>
  <c r="W31" i="96" s="1"/>
  <c r="X31" i="96" s="1"/>
  <c r="V31" i="96"/>
  <c r="AA31" i="96"/>
  <c r="V30" i="96" l="1"/>
  <c r="L30" i="96"/>
  <c r="Z31" i="96"/>
  <c r="U30" i="96"/>
  <c r="Z30" i="96" s="1"/>
  <c r="J25" i="96"/>
  <c r="S55" i="91"/>
  <c r="S54" i="91"/>
  <c r="K52" i="91"/>
  <c r="L52" i="91" s="1"/>
  <c r="Q52" i="91"/>
  <c r="AA52" i="91"/>
  <c r="V52" i="91"/>
  <c r="W30" i="96" l="1"/>
  <c r="X30" i="96" s="1"/>
  <c r="U52" i="91"/>
  <c r="W52" i="91" l="1"/>
  <c r="X52" i="91" s="1"/>
  <c r="AK52" i="91" s="1"/>
  <c r="Z52" i="91"/>
  <c r="Q28" i="96"/>
  <c r="K28" i="96"/>
  <c r="V28" i="96" l="1"/>
  <c r="T28" i="96"/>
  <c r="AA28" i="96" s="1"/>
  <c r="L28" i="96"/>
  <c r="U28" i="96" l="1"/>
  <c r="S24" i="96"/>
  <c r="W28" i="96" l="1"/>
  <c r="X28" i="96" s="1"/>
  <c r="Z28" i="96"/>
  <c r="Y24" i="94" l="1"/>
  <c r="X24" i="94"/>
  <c r="U24" i="94"/>
  <c r="T24" i="94"/>
  <c r="N24" i="94"/>
  <c r="M24" i="94"/>
  <c r="L24" i="94"/>
  <c r="K24" i="94"/>
  <c r="X23" i="94"/>
  <c r="U23" i="94"/>
  <c r="T23" i="94"/>
  <c r="N23" i="94"/>
  <c r="M23" i="94"/>
  <c r="L23" i="94"/>
  <c r="K23" i="94"/>
  <c r="T23" i="95"/>
  <c r="N23" i="95"/>
  <c r="M23" i="95"/>
  <c r="L23" i="95"/>
  <c r="K23" i="95"/>
  <c r="R29" i="96"/>
  <c r="T29" i="96" s="1"/>
  <c r="AA29" i="96" s="1"/>
  <c r="V29" i="96"/>
  <c r="K29" i="96"/>
  <c r="L29" i="96" s="1"/>
  <c r="D5" i="93"/>
  <c r="U29" i="96" l="1"/>
  <c r="W29" i="96" l="1"/>
  <c r="X29" i="96" s="1"/>
  <c r="Z29" i="96"/>
  <c r="R18" i="96"/>
  <c r="K18" i="96"/>
  <c r="L18" i="96" s="1"/>
  <c r="Q18" i="97"/>
  <c r="K18" i="97"/>
  <c r="Q17" i="97"/>
  <c r="K17" i="97"/>
  <c r="Q16" i="97"/>
  <c r="Q15" i="97"/>
  <c r="M14" i="97"/>
  <c r="Z12" i="97" s="1"/>
  <c r="R17" i="96"/>
  <c r="Q17" i="96"/>
  <c r="V17" i="96" s="1"/>
  <c r="K17" i="96"/>
  <c r="L17" i="97" l="1"/>
  <c r="L17" i="96"/>
  <c r="T18" i="96"/>
  <c r="V18" i="96"/>
  <c r="V17" i="97"/>
  <c r="AA18" i="97"/>
  <c r="V18" i="97"/>
  <c r="L18" i="97"/>
  <c r="M18" i="97" s="1"/>
  <c r="N18" i="97" s="1"/>
  <c r="Q19" i="96"/>
  <c r="V19" i="96" s="1"/>
  <c r="K19" i="96"/>
  <c r="M17" i="97" l="1"/>
  <c r="AA17" i="97"/>
  <c r="AA17" i="96"/>
  <c r="U18" i="97"/>
  <c r="Z18" i="97" s="1"/>
  <c r="U17" i="97"/>
  <c r="AA18" i="96"/>
  <c r="U18" i="96"/>
  <c r="Z18" i="96" s="1"/>
  <c r="U17" i="96"/>
  <c r="L19" i="96"/>
  <c r="T19" i="96"/>
  <c r="V32" i="96"/>
  <c r="T32" i="96"/>
  <c r="AA32" i="96" s="1"/>
  <c r="K32" i="96"/>
  <c r="V26" i="96"/>
  <c r="T26" i="96"/>
  <c r="AA26" i="96" s="1"/>
  <c r="K26" i="96"/>
  <c r="Q23" i="96"/>
  <c r="K23" i="96"/>
  <c r="U20" i="97" l="1"/>
  <c r="N17" i="97"/>
  <c r="C25" i="99" s="1"/>
  <c r="C26" i="99" s="1"/>
  <c r="Z17" i="97"/>
  <c r="Z17" i="96"/>
  <c r="W18" i="97"/>
  <c r="X18" i="97" s="1"/>
  <c r="W17" i="97"/>
  <c r="X17" i="97" s="1"/>
  <c r="W18" i="96"/>
  <c r="X18" i="96" s="1"/>
  <c r="U32" i="96"/>
  <c r="Z32" i="96" s="1"/>
  <c r="W17" i="96"/>
  <c r="X17" i="96" s="1"/>
  <c r="AO17" i="96" s="1"/>
  <c r="U19" i="96"/>
  <c r="L32" i="96"/>
  <c r="U26" i="96"/>
  <c r="Z26" i="96" s="1"/>
  <c r="L26" i="96"/>
  <c r="T23" i="96"/>
  <c r="AA23" i="96" s="1"/>
  <c r="V23" i="96"/>
  <c r="L23" i="96"/>
  <c r="Y18" i="97" l="1"/>
  <c r="AM18" i="97"/>
  <c r="AM17" i="97"/>
  <c r="X20" i="97"/>
  <c r="D25" i="99" s="1"/>
  <c r="E25" i="99" s="1"/>
  <c r="F25" i="99" s="1"/>
  <c r="Y17" i="97"/>
  <c r="Y20" i="97" s="1"/>
  <c r="W32" i="96"/>
  <c r="X32" i="96" s="1"/>
  <c r="Z19" i="96"/>
  <c r="W19" i="96"/>
  <c r="X19" i="96" s="1"/>
  <c r="U23" i="96"/>
  <c r="W26" i="96"/>
  <c r="X26" i="96" s="1"/>
  <c r="Q27" i="96"/>
  <c r="K27" i="96"/>
  <c r="L27" i="96" s="1"/>
  <c r="Q25" i="96"/>
  <c r="K25" i="96"/>
  <c r="L25" i="96" s="1"/>
  <c r="Q22" i="96"/>
  <c r="K22" i="96"/>
  <c r="Q24" i="96"/>
  <c r="K24" i="96"/>
  <c r="AM20" i="97" l="1"/>
  <c r="Z23" i="96"/>
  <c r="W23" i="96"/>
  <c r="X23" i="96" s="1"/>
  <c r="T27" i="96"/>
  <c r="AA27" i="96" s="1"/>
  <c r="V27" i="96"/>
  <c r="T25" i="96"/>
  <c r="AA25" i="96" s="1"/>
  <c r="V25" i="96"/>
  <c r="T22" i="96"/>
  <c r="AA22" i="96" s="1"/>
  <c r="V22" i="96"/>
  <c r="L22" i="96"/>
  <c r="T24" i="96"/>
  <c r="AA24" i="96" s="1"/>
  <c r="V24" i="96"/>
  <c r="L24" i="96"/>
  <c r="K21" i="96"/>
  <c r="L21" i="96" s="1"/>
  <c r="Q20" i="96"/>
  <c r="K20" i="96"/>
  <c r="Q16" i="96"/>
  <c r="Q15" i="96"/>
  <c r="M14" i="96"/>
  <c r="R27" i="91"/>
  <c r="Q27" i="91"/>
  <c r="K27" i="91"/>
  <c r="L27" i="91" s="1"/>
  <c r="Q37" i="91"/>
  <c r="J18" i="91"/>
  <c r="M31" i="96" l="1"/>
  <c r="M30" i="96"/>
  <c r="M28" i="96"/>
  <c r="N28" i="96" s="1"/>
  <c r="M52" i="91"/>
  <c r="M29" i="96"/>
  <c r="L20" i="96"/>
  <c r="L33" i="96" s="1"/>
  <c r="M32" i="96"/>
  <c r="Y32" i="96" s="1"/>
  <c r="M17" i="96"/>
  <c r="M26" i="96"/>
  <c r="M23" i="96"/>
  <c r="Z12" i="96"/>
  <c r="U27" i="96"/>
  <c r="Z27" i="96" s="1"/>
  <c r="U25" i="96"/>
  <c r="Z25" i="96" s="1"/>
  <c r="M27" i="96"/>
  <c r="N27" i="96" s="1"/>
  <c r="M25" i="96"/>
  <c r="U24" i="96"/>
  <c r="Z24" i="96" s="1"/>
  <c r="U22" i="96"/>
  <c r="Z22" i="96" s="1"/>
  <c r="M24" i="96"/>
  <c r="N24" i="96" s="1"/>
  <c r="M22" i="96"/>
  <c r="N22" i="96" s="1"/>
  <c r="V20" i="96"/>
  <c r="T21" i="96"/>
  <c r="V21" i="96"/>
  <c r="T27" i="91"/>
  <c r="V27" i="91"/>
  <c r="Q31" i="91"/>
  <c r="K31" i="91"/>
  <c r="L31" i="91" s="1"/>
  <c r="R30" i="91"/>
  <c r="Q30" i="91"/>
  <c r="K30" i="91"/>
  <c r="R29" i="91"/>
  <c r="Q29" i="91"/>
  <c r="V29" i="91" s="1"/>
  <c r="K29" i="91"/>
  <c r="Q28" i="91"/>
  <c r="V28" i="91" s="1"/>
  <c r="K28" i="91"/>
  <c r="R26" i="91"/>
  <c r="Q26" i="91"/>
  <c r="V26" i="91" s="1"/>
  <c r="K26" i="91"/>
  <c r="R25" i="91"/>
  <c r="Q25" i="91"/>
  <c r="K25" i="91"/>
  <c r="K32" i="91"/>
  <c r="L32" i="91" s="1"/>
  <c r="Q32" i="91"/>
  <c r="V32" i="91" s="1"/>
  <c r="R32" i="91"/>
  <c r="N30" i="96" l="1"/>
  <c r="Y30" i="96"/>
  <c r="Y31" i="96"/>
  <c r="N31" i="96"/>
  <c r="Y28" i="96"/>
  <c r="Z20" i="97"/>
  <c r="AA20" i="97" s="1"/>
  <c r="N52" i="91"/>
  <c r="Y52" i="91"/>
  <c r="L25" i="91"/>
  <c r="K33" i="91"/>
  <c r="N17" i="96"/>
  <c r="N29" i="96"/>
  <c r="Y29" i="96"/>
  <c r="Y23" i="96"/>
  <c r="N32" i="96"/>
  <c r="N23" i="96"/>
  <c r="N26" i="96"/>
  <c r="Y26" i="96"/>
  <c r="W27" i="96"/>
  <c r="X27" i="96" s="1"/>
  <c r="Y27" i="96" s="1"/>
  <c r="W25" i="96"/>
  <c r="X25" i="96" s="1"/>
  <c r="Y25" i="96" s="1"/>
  <c r="W24" i="96"/>
  <c r="X24" i="96" s="1"/>
  <c r="Y24" i="96" s="1"/>
  <c r="W22" i="96"/>
  <c r="X22" i="96" s="1"/>
  <c r="Y22" i="96" s="1"/>
  <c r="N25" i="96"/>
  <c r="U20" i="96"/>
  <c r="U33" i="96" s="1"/>
  <c r="U21" i="96"/>
  <c r="Z21" i="96" s="1"/>
  <c r="U27" i="91"/>
  <c r="T26" i="91"/>
  <c r="O25" i="91"/>
  <c r="U26" i="91"/>
  <c r="Z26" i="91" s="1"/>
  <c r="T29" i="91"/>
  <c r="U29" i="91" s="1"/>
  <c r="Z29" i="91" s="1"/>
  <c r="U28" i="91"/>
  <c r="U30" i="91"/>
  <c r="Z30" i="91" s="1"/>
  <c r="L28" i="91"/>
  <c r="V31" i="91"/>
  <c r="L29" i="91"/>
  <c r="L26" i="91"/>
  <c r="T31" i="91"/>
  <c r="L30" i="91"/>
  <c r="V30" i="91"/>
  <c r="T32" i="91"/>
  <c r="U32" i="91" s="1"/>
  <c r="W32" i="91" s="1"/>
  <c r="X32" i="91" s="1"/>
  <c r="V25" i="91"/>
  <c r="L33" i="91" l="1"/>
  <c r="T33" i="91"/>
  <c r="Z20" i="96"/>
  <c r="W20" i="96"/>
  <c r="X20" i="96" s="1"/>
  <c r="W21" i="96"/>
  <c r="X21" i="96" s="1"/>
  <c r="Z27" i="91"/>
  <c r="W27" i="91"/>
  <c r="X27" i="91" s="1"/>
  <c r="W26" i="91"/>
  <c r="X26" i="91" s="1"/>
  <c r="Z28" i="91"/>
  <c r="W28" i="91"/>
  <c r="X28" i="91" s="1"/>
  <c r="AK28" i="91" s="1"/>
  <c r="W30" i="91"/>
  <c r="X30" i="91" s="1"/>
  <c r="AK30" i="91" s="1"/>
  <c r="U31" i="91"/>
  <c r="W29" i="91"/>
  <c r="X29" i="91" s="1"/>
  <c r="AD25" i="91"/>
  <c r="U25" i="91"/>
  <c r="Z32" i="91"/>
  <c r="R18" i="95"/>
  <c r="Q18" i="95"/>
  <c r="K18" i="95"/>
  <c r="L18" i="95" s="1"/>
  <c r="Q47" i="91"/>
  <c r="K47" i="91"/>
  <c r="Q22" i="95"/>
  <c r="K22" i="95"/>
  <c r="L22" i="95" s="1"/>
  <c r="X33" i="96" l="1"/>
  <c r="D24" i="99" s="1"/>
  <c r="E24" i="99" s="1"/>
  <c r="F24" i="99" s="1"/>
  <c r="AO20" i="96"/>
  <c r="AO33" i="96" s="1"/>
  <c r="Z25" i="91"/>
  <c r="U33" i="91"/>
  <c r="W31" i="91"/>
  <c r="X31" i="91" s="1"/>
  <c r="Z31" i="91"/>
  <c r="W25" i="91"/>
  <c r="X25" i="91" s="1"/>
  <c r="AK25" i="91" s="1"/>
  <c r="V18" i="95"/>
  <c r="L47" i="91"/>
  <c r="T47" i="91"/>
  <c r="U47" i="91" s="1"/>
  <c r="Z47" i="91" s="1"/>
  <c r="V47" i="91"/>
  <c r="T22" i="95"/>
  <c r="AA22" i="95" s="1"/>
  <c r="V22" i="95"/>
  <c r="X33" i="91" l="1"/>
  <c r="AA18" i="95"/>
  <c r="T26" i="95"/>
  <c r="U18" i="95"/>
  <c r="W47" i="91"/>
  <c r="X47" i="91" s="1"/>
  <c r="AD47" i="91"/>
  <c r="AA47" i="91"/>
  <c r="U22" i="95"/>
  <c r="Z22" i="95" s="1"/>
  <c r="W18" i="95" l="1"/>
  <c r="X18" i="95" s="1"/>
  <c r="AO18" i="95" s="1"/>
  <c r="Z18" i="95"/>
  <c r="W22" i="95"/>
  <c r="X22" i="95" s="1"/>
  <c r="Q21" i="95" l="1"/>
  <c r="K21" i="95"/>
  <c r="L21" i="95" l="1"/>
  <c r="T21" i="95"/>
  <c r="AA21" i="95" s="1"/>
  <c r="V21" i="95"/>
  <c r="U21" i="95" l="1"/>
  <c r="Z21" i="95" s="1"/>
  <c r="W21" i="95" l="1"/>
  <c r="X21" i="95" s="1"/>
  <c r="K39" i="91" l="1"/>
  <c r="K38" i="91"/>
  <c r="L38" i="91" s="1"/>
  <c r="K37" i="91"/>
  <c r="L37" i="91" s="1"/>
  <c r="K36" i="91"/>
  <c r="K40" i="91" s="1"/>
  <c r="Q17" i="95"/>
  <c r="K17" i="95"/>
  <c r="R56" i="91"/>
  <c r="Q56" i="91"/>
  <c r="K56" i="91"/>
  <c r="L56" i="91" s="1"/>
  <c r="R55" i="91"/>
  <c r="Q55" i="91"/>
  <c r="K55" i="91"/>
  <c r="L55" i="91" s="1"/>
  <c r="R54" i="91"/>
  <c r="Q54" i="91"/>
  <c r="V54" i="91" s="1"/>
  <c r="K54" i="91"/>
  <c r="R53" i="91"/>
  <c r="V53" i="91"/>
  <c r="K53" i="91"/>
  <c r="R51" i="91"/>
  <c r="Q51" i="91"/>
  <c r="K51" i="91"/>
  <c r="R50" i="91"/>
  <c r="Q50" i="91"/>
  <c r="K50" i="91"/>
  <c r="L50" i="91" s="1"/>
  <c r="Q49" i="91"/>
  <c r="K49" i="91"/>
  <c r="L49" i="91" s="1"/>
  <c r="V48" i="91"/>
  <c r="AA48" i="91"/>
  <c r="K48" i="91"/>
  <c r="R46" i="91"/>
  <c r="Q46" i="91"/>
  <c r="K46" i="91"/>
  <c r="L46" i="91" s="1"/>
  <c r="Q45" i="91"/>
  <c r="V45" i="91" s="1"/>
  <c r="K45" i="91"/>
  <c r="Q44" i="91"/>
  <c r="K44" i="91"/>
  <c r="R43" i="91"/>
  <c r="Q43" i="91"/>
  <c r="K43" i="91"/>
  <c r="Q42" i="91"/>
  <c r="Q41" i="91"/>
  <c r="R39" i="91"/>
  <c r="Q39" i="91"/>
  <c r="R38" i="91"/>
  <c r="Q38" i="91"/>
  <c r="R37" i="91"/>
  <c r="V36" i="91"/>
  <c r="R36" i="91"/>
  <c r="Q35" i="91"/>
  <c r="Q34" i="91"/>
  <c r="Q24" i="91"/>
  <c r="Q23" i="91"/>
  <c r="Q21" i="91"/>
  <c r="V21" i="91" s="1"/>
  <c r="K21" i="91"/>
  <c r="R20" i="91"/>
  <c r="Q20" i="91"/>
  <c r="K20" i="91"/>
  <c r="Q19" i="91"/>
  <c r="K19" i="91"/>
  <c r="L19" i="91" s="1"/>
  <c r="R18" i="91"/>
  <c r="Q18" i="91"/>
  <c r="K18" i="91"/>
  <c r="L18" i="91" s="1"/>
  <c r="Q17" i="91"/>
  <c r="K17" i="91"/>
  <c r="Q16" i="91"/>
  <c r="Q15" i="91"/>
  <c r="R22" i="94"/>
  <c r="Q22" i="94"/>
  <c r="K22" i="94"/>
  <c r="R21" i="94"/>
  <c r="Q21" i="94"/>
  <c r="V21" i="94" s="1"/>
  <c r="K21" i="94"/>
  <c r="V20" i="94"/>
  <c r="T20" i="94"/>
  <c r="K20" i="94"/>
  <c r="R19" i="94"/>
  <c r="Q19" i="94"/>
  <c r="V19" i="94" s="1"/>
  <c r="K19" i="94"/>
  <c r="L19" i="94" s="1"/>
  <c r="R18" i="94"/>
  <c r="Q18" i="94"/>
  <c r="K18" i="94"/>
  <c r="R17" i="94"/>
  <c r="Q17" i="94"/>
  <c r="K17" i="94"/>
  <c r="M14" i="95"/>
  <c r="V44" i="91" l="1"/>
  <c r="T44" i="91"/>
  <c r="U44" i="91" s="1"/>
  <c r="V46" i="91"/>
  <c r="K22" i="91"/>
  <c r="K58" i="91"/>
  <c r="V17" i="91"/>
  <c r="K57" i="91"/>
  <c r="L17" i="95"/>
  <c r="L43" i="91"/>
  <c r="M18" i="95"/>
  <c r="M21" i="95"/>
  <c r="N21" i="95" s="1"/>
  <c r="V55" i="91"/>
  <c r="N18" i="95"/>
  <c r="M22" i="95"/>
  <c r="M17" i="95"/>
  <c r="V17" i="95"/>
  <c r="T17" i="91"/>
  <c r="AA45" i="91"/>
  <c r="AA46" i="91"/>
  <c r="AA54" i="91"/>
  <c r="T53" i="91"/>
  <c r="AA53" i="91" s="1"/>
  <c r="U36" i="91"/>
  <c r="L39" i="91"/>
  <c r="V49" i="91"/>
  <c r="U48" i="91"/>
  <c r="Z48" i="91" s="1"/>
  <c r="L20" i="91"/>
  <c r="V18" i="91"/>
  <c r="T18" i="91"/>
  <c r="V37" i="91"/>
  <c r="T19" i="91"/>
  <c r="U19" i="91" s="1"/>
  <c r="Z19" i="91" s="1"/>
  <c r="T50" i="91"/>
  <c r="U50" i="91" s="1"/>
  <c r="Z50" i="91" s="1"/>
  <c r="L53" i="91"/>
  <c r="V38" i="91"/>
  <c r="L17" i="91"/>
  <c r="T51" i="91"/>
  <c r="U51" i="91" s="1"/>
  <c r="Z51" i="91" s="1"/>
  <c r="L54" i="91"/>
  <c r="V56" i="91"/>
  <c r="V20" i="91"/>
  <c r="T21" i="91"/>
  <c r="U21" i="91" s="1"/>
  <c r="Z21" i="91" s="1"/>
  <c r="L36" i="91"/>
  <c r="L40" i="91" s="1"/>
  <c r="L48" i="91"/>
  <c r="L21" i="91"/>
  <c r="V19" i="91"/>
  <c r="V51" i="91"/>
  <c r="L51" i="91"/>
  <c r="L44" i="91"/>
  <c r="U38" i="91"/>
  <c r="Z38" i="91" s="1"/>
  <c r="L45" i="91"/>
  <c r="V50" i="91"/>
  <c r="V39" i="91"/>
  <c r="V43" i="91"/>
  <c r="T18" i="94"/>
  <c r="U18" i="94" s="1"/>
  <c r="T21" i="94"/>
  <c r="U21" i="94" s="1"/>
  <c r="Z21" i="94" s="1"/>
  <c r="V18" i="94"/>
  <c r="U20" i="94"/>
  <c r="Z20" i="94" s="1"/>
  <c r="L17" i="94"/>
  <c r="L18" i="94"/>
  <c r="T17" i="94"/>
  <c r="U17" i="94" s="1"/>
  <c r="Z17" i="94" s="1"/>
  <c r="T22" i="94"/>
  <c r="U22" i="94" s="1"/>
  <c r="Z22" i="94" s="1"/>
  <c r="V22" i="94"/>
  <c r="L20" i="94"/>
  <c r="L21" i="94"/>
  <c r="L22" i="94"/>
  <c r="T19" i="94"/>
  <c r="U19" i="94" s="1"/>
  <c r="V17" i="94"/>
  <c r="AA27" i="91" l="1"/>
  <c r="AA19" i="96"/>
  <c r="AA20" i="96"/>
  <c r="AA21" i="96"/>
  <c r="T40" i="91"/>
  <c r="L57" i="91"/>
  <c r="T22" i="91"/>
  <c r="L22" i="91"/>
  <c r="L58" i="91"/>
  <c r="AA44" i="91"/>
  <c r="T57" i="91"/>
  <c r="T58" i="91"/>
  <c r="Y18" i="95"/>
  <c r="AA28" i="91"/>
  <c r="AA29" i="91"/>
  <c r="AA26" i="91"/>
  <c r="AA31" i="91"/>
  <c r="AA30" i="91"/>
  <c r="AA25" i="91"/>
  <c r="AA32" i="91"/>
  <c r="U55" i="91"/>
  <c r="AA55" i="91"/>
  <c r="Y21" i="95"/>
  <c r="N22" i="95"/>
  <c r="Y22" i="95"/>
  <c r="U46" i="91"/>
  <c r="Z46" i="91" s="1"/>
  <c r="U45" i="91"/>
  <c r="Z45" i="91" s="1"/>
  <c r="N17" i="95"/>
  <c r="U17" i="95"/>
  <c r="U23" i="95" s="1"/>
  <c r="U17" i="91"/>
  <c r="U54" i="91"/>
  <c r="Z54" i="91" s="1"/>
  <c r="AA36" i="91"/>
  <c r="W48" i="91"/>
  <c r="X48" i="91" s="1"/>
  <c r="AK48" i="91" s="1"/>
  <c r="U53" i="91"/>
  <c r="W19" i="91"/>
  <c r="X19" i="91" s="1"/>
  <c r="AD54" i="91"/>
  <c r="W51" i="91"/>
  <c r="X51" i="91" s="1"/>
  <c r="AA21" i="91"/>
  <c r="W50" i="91"/>
  <c r="X50" i="91" s="1"/>
  <c r="AA39" i="91"/>
  <c r="W38" i="91"/>
  <c r="X38" i="91" s="1"/>
  <c r="AK38" i="91" s="1"/>
  <c r="AD56" i="91"/>
  <c r="AA56" i="91"/>
  <c r="AD43" i="91"/>
  <c r="AA43" i="91"/>
  <c r="AD55" i="91"/>
  <c r="U37" i="91"/>
  <c r="Z37" i="91" s="1"/>
  <c r="W21" i="91"/>
  <c r="X21" i="91" s="1"/>
  <c r="AD50" i="91"/>
  <c r="AA50" i="91"/>
  <c r="AA18" i="91"/>
  <c r="AA37" i="91"/>
  <c r="U56" i="91"/>
  <c r="Z56" i="91" s="1"/>
  <c r="AA51" i="91"/>
  <c r="AD51" i="91"/>
  <c r="AA19" i="91"/>
  <c r="Z36" i="91"/>
  <c r="AA20" i="91"/>
  <c r="U18" i="91"/>
  <c r="AD49" i="91"/>
  <c r="AA49" i="91"/>
  <c r="W36" i="91"/>
  <c r="X36" i="91" s="1"/>
  <c r="AK36" i="91" s="1"/>
  <c r="U49" i="91"/>
  <c r="Z49" i="91" s="1"/>
  <c r="U43" i="91"/>
  <c r="U39" i="91"/>
  <c r="Z39" i="91" s="1"/>
  <c r="U20" i="91"/>
  <c r="Z20" i="91" s="1"/>
  <c r="AA17" i="91"/>
  <c r="Z18" i="94"/>
  <c r="W18" i="94"/>
  <c r="X18" i="94" s="1"/>
  <c r="W20" i="94"/>
  <c r="X20" i="94" s="1"/>
  <c r="W17" i="94"/>
  <c r="X17" i="94" s="1"/>
  <c r="Z19" i="94"/>
  <c r="W19" i="94"/>
  <c r="X19" i="94" s="1"/>
  <c r="W21" i="94"/>
  <c r="X21" i="94" s="1"/>
  <c r="W22" i="94"/>
  <c r="X22" i="94" s="1"/>
  <c r="U22" i="91" l="1"/>
  <c r="U40" i="91"/>
  <c r="U57" i="91"/>
  <c r="U58" i="91"/>
  <c r="W45" i="91"/>
  <c r="X45" i="91" s="1"/>
  <c r="AK45" i="91" s="1"/>
  <c r="Z17" i="91"/>
  <c r="W43" i="91"/>
  <c r="X43" i="91" s="1"/>
  <c r="AK43" i="91" s="1"/>
  <c r="W55" i="91"/>
  <c r="X55" i="91" s="1"/>
  <c r="AK55" i="91" s="1"/>
  <c r="Z55" i="91"/>
  <c r="W46" i="91"/>
  <c r="X46" i="91" s="1"/>
  <c r="AK46" i="91" s="1"/>
  <c r="W54" i="91"/>
  <c r="X54" i="91" s="1"/>
  <c r="AK54" i="91" s="1"/>
  <c r="Z17" i="95"/>
  <c r="W17" i="95"/>
  <c r="X17" i="95" s="1"/>
  <c r="W17" i="91"/>
  <c r="X17" i="91" s="1"/>
  <c r="W56" i="91"/>
  <c r="X56" i="91" s="1"/>
  <c r="AK56" i="91" s="1"/>
  <c r="W20" i="91"/>
  <c r="X20" i="91" s="1"/>
  <c r="W39" i="91"/>
  <c r="X39" i="91" s="1"/>
  <c r="AK39" i="91" s="1"/>
  <c r="Z53" i="91"/>
  <c r="W53" i="91"/>
  <c r="X53" i="91" s="1"/>
  <c r="W18" i="91"/>
  <c r="X18" i="91" s="1"/>
  <c r="Z18" i="91"/>
  <c r="W37" i="91"/>
  <c r="X37" i="91" s="1"/>
  <c r="Z43" i="91"/>
  <c r="W49" i="91"/>
  <c r="X49" i="91" s="1"/>
  <c r="AK49" i="91" s="1"/>
  <c r="Z44" i="91"/>
  <c r="W44" i="91"/>
  <c r="X44" i="91" s="1"/>
  <c r="AO17" i="95" l="1"/>
  <c r="AO23" i="95" s="1"/>
  <c r="X23" i="95"/>
  <c r="X40" i="91"/>
  <c r="AK37" i="91"/>
  <c r="AK58" i="91" s="1"/>
  <c r="X22" i="91"/>
  <c r="X57" i="91"/>
  <c r="X58" i="91"/>
  <c r="D22" i="99" s="1"/>
  <c r="Y17" i="95"/>
  <c r="Y23" i="95" s="1"/>
  <c r="K20" i="95"/>
  <c r="L20" i="95" s="1"/>
  <c r="K19" i="95"/>
  <c r="R20" i="95"/>
  <c r="Q20" i="95"/>
  <c r="R19" i="95"/>
  <c r="Q19" i="95"/>
  <c r="Q16" i="95"/>
  <c r="Q15" i="95"/>
  <c r="D26" i="99" l="1"/>
  <c r="D32" i="99" s="1"/>
  <c r="F36" i="99" s="1"/>
  <c r="E22" i="99"/>
  <c r="E26" i="99" s="1"/>
  <c r="F26" i="99" s="1"/>
  <c r="L19" i="95"/>
  <c r="Z12" i="95"/>
  <c r="M20" i="95"/>
  <c r="N20" i="95" s="1"/>
  <c r="T20" i="95"/>
  <c r="AA20" i="95" s="1"/>
  <c r="V20" i="95"/>
  <c r="T19" i="95"/>
  <c r="V19" i="95"/>
  <c r="F22" i="99" l="1"/>
  <c r="U19" i="95"/>
  <c r="W19" i="95" s="1"/>
  <c r="X19" i="95" s="1"/>
  <c r="M19" i="95"/>
  <c r="N19" i="95" s="1"/>
  <c r="AA17" i="95"/>
  <c r="U20" i="95"/>
  <c r="Z20" i="95" s="1"/>
  <c r="Z19" i="95" l="1"/>
  <c r="Y19" i="95"/>
  <c r="AA19" i="95"/>
  <c r="W20" i="95"/>
  <c r="X20" i="95" s="1"/>
  <c r="Y20" i="95" s="1"/>
  <c r="Q16" i="94" l="1"/>
  <c r="Q15" i="94"/>
  <c r="M14" i="94"/>
  <c r="M18" i="96" s="1"/>
  <c r="N18" i="96" l="1"/>
  <c r="Y18" i="96"/>
  <c r="M19" i="94"/>
  <c r="M22" i="94"/>
  <c r="M17" i="94"/>
  <c r="M18" i="94"/>
  <c r="M21" i="94"/>
  <c r="M20" i="94"/>
  <c r="Z12" i="94"/>
  <c r="Y17" i="96" l="1"/>
  <c r="Y20" i="94"/>
  <c r="N20" i="94"/>
  <c r="N21" i="94"/>
  <c r="Y21" i="94"/>
  <c r="N22" i="94"/>
  <c r="Y22" i="94"/>
  <c r="N18" i="94"/>
  <c r="Y18" i="94"/>
  <c r="N17" i="94"/>
  <c r="Y17" i="94"/>
  <c r="AA18" i="94"/>
  <c r="AA20" i="94"/>
  <c r="AA21" i="94"/>
  <c r="AA19" i="94"/>
  <c r="AA22" i="94"/>
  <c r="AA17" i="94"/>
  <c r="N19" i="94"/>
  <c r="Y19" i="94"/>
  <c r="C4" i="93" l="1"/>
  <c r="Y23" i="94"/>
  <c r="C5" i="93" l="1"/>
  <c r="F5" i="93" s="1"/>
  <c r="Z24" i="94"/>
  <c r="AA24" i="94" s="1"/>
  <c r="F4" i="93" l="1"/>
  <c r="M14" i="91"/>
  <c r="M19" i="96" l="1"/>
  <c r="M33" i="96" s="1"/>
  <c r="M21" i="96"/>
  <c r="M20" i="96"/>
  <c r="M27" i="91"/>
  <c r="N27" i="91" s="1"/>
  <c r="M31" i="91"/>
  <c r="M28" i="91"/>
  <c r="M30" i="91"/>
  <c r="M26" i="91"/>
  <c r="M29" i="91"/>
  <c r="M25" i="91"/>
  <c r="M32" i="91"/>
  <c r="Y32" i="91" s="1"/>
  <c r="M47" i="91"/>
  <c r="Y47" i="91" s="1"/>
  <c r="M43" i="91"/>
  <c r="M44" i="91"/>
  <c r="M21" i="91"/>
  <c r="M18" i="91"/>
  <c r="M55" i="91"/>
  <c r="M37" i="91"/>
  <c r="M38" i="91"/>
  <c r="M50" i="91"/>
  <c r="M45" i="91"/>
  <c r="M46" i="91"/>
  <c r="M56" i="91"/>
  <c r="M39" i="91"/>
  <c r="M19" i="91"/>
  <c r="M54" i="91"/>
  <c r="M17" i="91"/>
  <c r="M49" i="91"/>
  <c r="M53" i="91"/>
  <c r="M51" i="91"/>
  <c r="M36" i="91"/>
  <c r="M40" i="91" s="1"/>
  <c r="M48" i="91"/>
  <c r="M20" i="91"/>
  <c r="Z12" i="91"/>
  <c r="Y27" i="91" l="1"/>
  <c r="N20" i="96"/>
  <c r="Y20" i="96"/>
  <c r="M33" i="91"/>
  <c r="Y33" i="91" s="1"/>
  <c r="Y25" i="91"/>
  <c r="M22" i="91"/>
  <c r="Y22" i="91" s="1"/>
  <c r="M58" i="91"/>
  <c r="Y17" i="91"/>
  <c r="M57" i="91"/>
  <c r="Y57" i="91" s="1"/>
  <c r="N21" i="96"/>
  <c r="Y21" i="96"/>
  <c r="N19" i="96"/>
  <c r="N33" i="96" s="1"/>
  <c r="Y19" i="96"/>
  <c r="Y33" i="96" s="1"/>
  <c r="N29" i="91"/>
  <c r="Y29" i="91"/>
  <c r="Y26" i="91"/>
  <c r="N26" i="91"/>
  <c r="N30" i="91"/>
  <c r="Y30" i="91"/>
  <c r="N28" i="91"/>
  <c r="Y28" i="91"/>
  <c r="N31" i="91"/>
  <c r="Y31" i="91"/>
  <c r="D11" i="93"/>
  <c r="D12" i="93" s="1"/>
  <c r="N25" i="91"/>
  <c r="N47" i="91"/>
  <c r="Y40" i="91"/>
  <c r="N32" i="91"/>
  <c r="N46" i="91"/>
  <c r="Y46" i="91"/>
  <c r="Y45" i="91"/>
  <c r="N45" i="91"/>
  <c r="Y51" i="91"/>
  <c r="N51" i="91"/>
  <c r="N50" i="91"/>
  <c r="Y50" i="91"/>
  <c r="N38" i="91"/>
  <c r="Y38" i="91"/>
  <c r="N37" i="91"/>
  <c r="Y37" i="91"/>
  <c r="N17" i="91"/>
  <c r="N54" i="91"/>
  <c r="Y54" i="91"/>
  <c r="N39" i="91"/>
  <c r="Y39" i="91"/>
  <c r="Y48" i="91"/>
  <c r="N48" i="91"/>
  <c r="N36" i="91"/>
  <c r="Y36" i="91"/>
  <c r="N53" i="91"/>
  <c r="Y53" i="91"/>
  <c r="N49" i="91"/>
  <c r="Y49" i="91"/>
  <c r="N55" i="91"/>
  <c r="Y55" i="91"/>
  <c r="N18" i="91"/>
  <c r="Y18" i="91"/>
  <c r="N19" i="91"/>
  <c r="Y19" i="91"/>
  <c r="N21" i="91"/>
  <c r="Y21" i="91"/>
  <c r="N44" i="91"/>
  <c r="Y44" i="91"/>
  <c r="N20" i="91"/>
  <c r="Y20" i="91"/>
  <c r="N56" i="91"/>
  <c r="Y56" i="91"/>
  <c r="N43" i="91"/>
  <c r="Y43" i="91"/>
  <c r="N22" i="91" l="1"/>
  <c r="N58" i="91"/>
  <c r="Y58" i="91"/>
  <c r="N57" i="91"/>
  <c r="N40" i="91"/>
  <c r="N33" i="91"/>
  <c r="C8" i="93"/>
  <c r="D8" i="93"/>
  <c r="C11" i="93"/>
  <c r="C12" i="93" s="1"/>
  <c r="Z23" i="95"/>
  <c r="AA23" i="95" s="1"/>
  <c r="Z33" i="96" l="1"/>
  <c r="AA33" i="96" s="1"/>
  <c r="E8" i="93"/>
  <c r="F8" i="93" s="1"/>
  <c r="E11" i="93"/>
  <c r="E12" i="93" s="1"/>
  <c r="F12" i="93" s="1"/>
  <c r="C7" i="93"/>
  <c r="C9" i="93" s="1"/>
  <c r="C15" i="93" l="1"/>
  <c r="C14" i="93"/>
  <c r="F11" i="93"/>
  <c r="Z58" i="91"/>
  <c r="AA58" i="91" s="1"/>
  <c r="D7" i="93"/>
  <c r="D9" i="93" s="1"/>
  <c r="D15" i="93" s="1"/>
  <c r="E15" i="93" l="1"/>
  <c r="F15" i="93" s="1"/>
  <c r="E7" i="93"/>
  <c r="E9" i="93" s="1"/>
  <c r="F9" i="93" s="1"/>
  <c r="F7" i="9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tc={2BD7F1A3-C25A-4803-ADFA-29EC82A4C0FB}</author>
    <author>tc={8AE6BA20-E999-4674-80AB-E97EF09A8646}</author>
    <author>tc={C351604C-8DF1-45BB-BCB3-E11690A0B728}</author>
    <author>tc={A66BC103-73CB-4ECD-8E59-4698DB31951E}</author>
    <author>tc={60BF1E80-2890-4BC0-BD60-C50C5E1C962C}</author>
  </authors>
  <commentList>
    <comment ref="T25" authorId="0" shapeId="0" xr:uid="{2BD7F1A3-C25A-4803-ADFA-29EC82A4C0F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Pago 10.882,50</t>
      </text>
    </comment>
    <comment ref="T28" authorId="1" shapeId="0" xr:uid="{8AE6BA20-E999-4674-80AB-E97EF09A864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Cartão Isabela</t>
      </text>
    </comment>
    <comment ref="T30" authorId="2" shapeId="0" xr:uid="{C351604C-8DF1-45BB-BCB3-E11690A0B72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Cartão Isabela</t>
      </text>
    </comment>
    <comment ref="T49" authorId="3" shapeId="0" xr:uid="{A66BC103-73CB-4ECD-8E59-4698DB31951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Pago  R$     1.948,80, entender diferença? Imposto</t>
      </text>
    </comment>
    <comment ref="S52" authorId="4" shapeId="0" xr:uid="{60BF1E80-2890-4BC0-BD60-C50C5E1C962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Bela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tc={35E14F0B-AC01-4C3C-B315-0AD01C0826F9}</author>
    <author>tc={BDD9041F-38C1-47CE-9E2D-0777C8C09106}</author>
    <author>tc={7858D815-A552-4AA4-9770-257D0C53DE44}</author>
    <author>tc={AEA321AC-EE6A-450D-B19E-7A0CEA28FBEA}</author>
    <author>tc={40C89B06-D685-43F7-A281-CEFA4F4290B7}</author>
    <author>tc={AEBC3E70-3A0C-438A-A47E-D39125D9D042}</author>
    <author>tc={CB5965C0-FEC9-4FEF-9F5D-EA8FB8C2AC5A}</author>
    <author>tc={B7D95AA6-1D1C-4139-B39B-8F4CFF2B55D8}</author>
  </authors>
  <commentList>
    <comment ref="S21" authorId="0" shapeId="0" xr:uid="{35E14F0B-AC01-4C3C-B315-0AD01C0826F9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Luiza 370,00
</t>
      </text>
    </comment>
    <comment ref="S22" authorId="1" shapeId="0" xr:uid="{BDD9041F-38C1-47CE-9E2D-0777C8C0910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Compra das lixeiras</t>
      </text>
    </comment>
    <comment ref="S24" authorId="2" shapeId="0" xr:uid="{7858D815-A552-4AA4-9770-257D0C53DE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Luiza</t>
      </text>
    </comment>
    <comment ref="S25" authorId="3" shapeId="0" xr:uid="{AEA321AC-EE6A-450D-B19E-7A0CEA28FBE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410+500,00 aplicação</t>
      </text>
    </comment>
    <comment ref="S27" authorId="4" shapeId="0" xr:uid="{40C89B06-D685-43F7-A281-CEFA4F4290B7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Luiza 149,00
</t>
      </text>
    </comment>
    <comment ref="S28" authorId="5" shapeId="0" xr:uid="{AEBC3E70-3A0C-438A-A47E-D39125D9D04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Fê 560,00</t>
      </text>
    </comment>
    <comment ref="S30" authorId="6" shapeId="0" xr:uid="{CB5965C0-FEC9-4FEF-9F5D-EA8FB8C2AC5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Fê 560,00</t>
      </text>
    </comment>
    <comment ref="S31" authorId="7" shapeId="0" xr:uid="{B7D95AA6-1D1C-4139-B39B-8F4CFF2B55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Evandro e Fernanda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tc={6626A8D6-5CF9-4D4A-BBE9-20C83EAFD706}</author>
    <author>tc={AE6372F8-CF76-4058-A72D-8E60C22E6506}</author>
  </authors>
  <commentList>
    <comment ref="S17" authorId="0" shapeId="0" xr:uid="{6626A8D6-5CF9-4D4A-BBE9-20C83EAFD70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Cartão Oggi</t>
      </text>
    </comment>
    <comment ref="S18" authorId="1" shapeId="0" xr:uid="{AE6372F8-CF76-4058-A72D-8E60C22E650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Sakura</t>
      </text>
    </comment>
  </commentList>
</comments>
</file>

<file path=xl/sharedStrings.xml><?xml version="1.0" encoding="utf-8"?>
<sst xmlns="http://schemas.openxmlformats.org/spreadsheetml/2006/main" count="974" uniqueCount="382">
  <si>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</si>
  <si>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</si>
  <si>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</si>
  <si>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</si>
  <si>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</si>
  <si>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</si>
  <si>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</si>
  <si>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</si>
  <si>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</si>
  <si>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</si>
  <si>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</si>
  <si>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</si>
  <si>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</si>
  <si>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</si>
  <si>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</si>
  <si>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</si>
  <si>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</si>
  <si>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</si>
  <si>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</si>
  <si>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</si>
  <si>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</si>
  <si>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</si>
  <si>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</si>
  <si>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</si>
  <si>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</si>
  <si>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</si>
  <si>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</si>
  <si>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</si>
  <si>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</si>
  <si>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</si>
  <si>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</si>
  <si>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</si>
  <si>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</si>
  <si>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</si>
  <si>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</si>
  <si>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</si>
  <si>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</si>
  <si>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</si>
  <si>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</si>
  <si>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</si>
  <si>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</si>
  <si>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</si>
  <si>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</si>
  <si>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</si>
  <si>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</si>
  <si>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</si>
  <si>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</si>
  <si>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</si>
  <si>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</si>
  <si>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</si>
  <si>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</si>
  <si>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</si>
  <si>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</si>
  <si>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</si>
  <si>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</si>
  <si>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</si>
  <si>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</si>
  <si>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</si>
  <si>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</si>
  <si>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</si>
  <si>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</si>
  <si>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</si>
  <si>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</si>
  <si>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</si>
  <si>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</si>
  <si>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</si>
  <si>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</si>
  <si>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</si>
  <si>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</si>
  <si>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</si>
  <si>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</si>
  <si>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</si>
  <si>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</si>
  <si>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</si>
  <si>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</si>
  <si>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</si>
  <si>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</si>
  <si>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</si>
  <si>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</si>
  <si>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</si>
  <si>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</si>
  <si>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</si>
  <si>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</si>
  <si>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</si>
  <si>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</si>
  <si>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</si>
  <si>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</si>
  <si>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</si>
  <si>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</si>
  <si>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</si>
  <si>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</si>
  <si>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</si>
  <si>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</si>
  <si>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</si>
  <si>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</si>
  <si>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</si>
  <si>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</si>
  <si>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</si>
  <si>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</si>
  <si>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</si>
  <si>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</si>
  <si>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</si>
  <si>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</si>
  <si>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</si>
  <si>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</si>
  <si>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</si>
  <si>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</si>
  <si>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</si>
  <si>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</si>
  <si>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</si>
  <si>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</si>
  <si>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</si>
  <si>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</si>
  <si>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</si>
  <si>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</si>
  <si>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</si>
  <si>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</si>
  <si>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</si>
  <si>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</si>
  <si>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</si>
  <si>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</si>
  <si>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</si>
  <si>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SUBGRUPO</t>
  </si>
  <si>
    <t>SUBTOTAL PLANILHA</t>
  </si>
  <si>
    <t xml:space="preserve">TOTAL </t>
  </si>
  <si>
    <t>Nilson Miguel</t>
  </si>
  <si>
    <t>FAT.OGGI</t>
  </si>
  <si>
    <t>1.1.3</t>
  </si>
  <si>
    <t xml:space="preserve">LUCAS </t>
  </si>
  <si>
    <t>DATA:</t>
  </si>
  <si>
    <t>ATENDIMENTO:</t>
  </si>
  <si>
    <t>PRODUTOR:</t>
  </si>
  <si>
    <t>NOME PLANILHA:</t>
  </si>
  <si>
    <t>LOCAL:</t>
  </si>
  <si>
    <t>EVENTO:</t>
  </si>
  <si>
    <t>CLIENTE:</t>
  </si>
  <si>
    <t xml:space="preserve">CÓDIGO DO JOB: </t>
  </si>
  <si>
    <t>INTERNO</t>
  </si>
  <si>
    <t>2.1</t>
  </si>
  <si>
    <t>Segurança</t>
  </si>
  <si>
    <t>Carregadores</t>
  </si>
  <si>
    <t>1.1.4</t>
  </si>
  <si>
    <t>1.1.5</t>
  </si>
  <si>
    <t>Produtor Executivo</t>
  </si>
  <si>
    <t>Produtor Assistente</t>
  </si>
  <si>
    <t xml:space="preserve">Subtotal </t>
  </si>
  <si>
    <t>Garçom</t>
  </si>
  <si>
    <t>Copeira</t>
  </si>
  <si>
    <t>Auxiliar de limpeza</t>
  </si>
  <si>
    <t>Marg. Lucro</t>
  </si>
  <si>
    <t>Lucro</t>
  </si>
  <si>
    <t>1.1.6</t>
  </si>
  <si>
    <t>1.1.7</t>
  </si>
  <si>
    <t>FAT.CLIENTE</t>
  </si>
  <si>
    <t xml:space="preserve">Taxas obrigatórias </t>
  </si>
  <si>
    <t xml:space="preserve">Subtotal Taxas obrigatórias </t>
  </si>
  <si>
    <t>Estande</t>
  </si>
  <si>
    <t xml:space="preserve">Estande 100m² </t>
  </si>
  <si>
    <t>Itens</t>
  </si>
  <si>
    <t>Custo</t>
  </si>
  <si>
    <t>3.1</t>
  </si>
  <si>
    <t>3.1.1</t>
  </si>
  <si>
    <t>3.1.2</t>
  </si>
  <si>
    <t>Lactalis do Brasil</t>
  </si>
  <si>
    <t xml:space="preserve">Taxas  &gt; LDB &gt; Organização - Pgto direto </t>
  </si>
  <si>
    <t>Carol Iglezias</t>
  </si>
  <si>
    <t>Estande - ND</t>
  </si>
  <si>
    <t>2.1.1</t>
  </si>
  <si>
    <t>3.1.3</t>
  </si>
  <si>
    <t>Produtor Operacional</t>
  </si>
  <si>
    <t>L_074_APRAS 2026</t>
  </si>
  <si>
    <t>L_074</t>
  </si>
  <si>
    <t>KVA</t>
  </si>
  <si>
    <t>Ponto de hidráulica</t>
  </si>
  <si>
    <t xml:space="preserve">Ponto de Hidráulica (Instalação de pia) </t>
  </si>
  <si>
    <t>Deságue</t>
  </si>
  <si>
    <t xml:space="preserve">Limpeza área comum </t>
  </si>
  <si>
    <t>Limpeza - Pavilhão (81m2) custo de mt2, limpeza R$20,55</t>
  </si>
  <si>
    <t>Extintor - isento</t>
  </si>
  <si>
    <t xml:space="preserve">Credenciais de montagem </t>
  </si>
  <si>
    <t>Credenciais de montagem - custo de R$25,00 cada até 28/03. Após esta data será cobrado R$56,00</t>
  </si>
  <si>
    <t>Credenciais de serviço</t>
  </si>
  <si>
    <t>INTERNOS</t>
  </si>
  <si>
    <t>Internos</t>
  </si>
  <si>
    <t>Planejamento Operacional</t>
  </si>
  <si>
    <t>Planejamento e desenvolvimento do estande com apresentação do projeto em 3D - Incluso 03 refações. Após será cobrado novo planejamento.</t>
  </si>
  <si>
    <t>2.1.3</t>
  </si>
  <si>
    <t xml:space="preserve">Atendimento </t>
  </si>
  <si>
    <t>Atendimento ao cliente, reuniões, alinhamento e fluxo interno</t>
  </si>
  <si>
    <t>2.1.4</t>
  </si>
  <si>
    <t>Produtor executivo dedicado, responsável pela pré-produção, implementação do projeto e pós produção</t>
  </si>
  <si>
    <t>Suporte e acompanhamento junto ao produtor executivo</t>
  </si>
  <si>
    <t>BUFFET: ALIMENTOS E BEBIDAS</t>
  </si>
  <si>
    <t>Alimentação e bebidas</t>
  </si>
  <si>
    <t>_x000D_
EVIDENCE MARKETING PROMOCIONAL E EVENTOS LTDA</t>
  </si>
  <si>
    <t>_x000D_
07.901.844/0001-52</t>
  </si>
  <si>
    <t>Insumos incluso na proposta</t>
  </si>
  <si>
    <t>Insumos| Grão de café - incluso na proposta</t>
  </si>
  <si>
    <t>3.1.4</t>
  </si>
  <si>
    <t>Forno elétrico  - Incluso na proposta</t>
  </si>
  <si>
    <t xml:space="preserve"> Forno Elétrico 28L - Fischer | 220ws</t>
  </si>
  <si>
    <t>EQUIPE DE BUFFET</t>
  </si>
  <si>
    <t>4.1</t>
  </si>
  <si>
    <t>4.1.1</t>
  </si>
  <si>
    <t>Garçom direcionado para as operações do estande</t>
  </si>
  <si>
    <t>4.1.2</t>
  </si>
  <si>
    <t>4.1.3</t>
  </si>
  <si>
    <t>Auxiliar de copa</t>
  </si>
  <si>
    <t>4.1.4</t>
  </si>
  <si>
    <t>Auxliar de limpeza</t>
  </si>
  <si>
    <t>PRODUÇÃO</t>
  </si>
  <si>
    <t>Equipe de produção</t>
  </si>
  <si>
    <t xml:space="preserve">EVANDRO </t>
  </si>
  <si>
    <t>_x000D_
Evandro jose Dias da Silva</t>
  </si>
  <si>
    <t>_x000D_
054.732.189-97</t>
  </si>
  <si>
    <t xml:space="preserve">Alimentação </t>
  </si>
  <si>
    <t>Alimentação considerando o período de montagem</t>
  </si>
  <si>
    <t>Produtor Executivo | atendimento</t>
  </si>
  <si>
    <t xml:space="preserve">Responsável pelo atedimento e operação geral </t>
  </si>
  <si>
    <t xml:space="preserve">EVANDRO PAGO NA LINHA MONTAGEM </t>
  </si>
  <si>
    <t>Segurança para o período noturno considerando dia - Montagem dia 20 e 21 de abril| Evento: 22, 23 e 24 de abril de 2025</t>
  </si>
  <si>
    <t>_x000D_
ESPLENDOR - VIGILANCIA PATRIMONIAL LTDA</t>
  </si>
  <si>
    <t>_x000D_
22.228.659/0001-32</t>
  </si>
  <si>
    <t>Promotora do estande</t>
  </si>
  <si>
    <t>Responsável pelo prévio atendimento cliente/marca</t>
  </si>
  <si>
    <t>_x000D_
54.894.891 ADRIANA LUIZA DE ABREU LOPES</t>
  </si>
  <si>
    <t>_x000D_
54.894.891/0001-04</t>
  </si>
  <si>
    <t xml:space="preserve">Uniforme </t>
  </si>
  <si>
    <t>_x000D_
LARISSA MARTINS MODA LTDA</t>
  </si>
  <si>
    <t>_x000D_
30.170.745/0001-60</t>
  </si>
  <si>
    <t>Custos com hospedagem + aéreo</t>
  </si>
  <si>
    <t>_x000D_
ALLUREE TURISMO LTDA</t>
  </si>
  <si>
    <t>_x000D_
24.682.861/0001-65</t>
  </si>
  <si>
    <t>Reserva de verba</t>
  </si>
  <si>
    <t>Reserva de verba para custos operacionais</t>
  </si>
  <si>
    <t>LÉO, VISITA TÉCNICA 500,00</t>
  </si>
  <si>
    <t xml:space="preserve">_x000D_
MRB SOLUCAO EM EVENTOS LTDA_x000D_
SILVIA BRITO </t>
  </si>
  <si>
    <t xml:space="preserve">_x000D_
44.231.203/0001-64_x000D_
</t>
  </si>
  <si>
    <t>Seguro do evento</t>
  </si>
  <si>
    <t>RC e AP (Responsabilidade Civil Eventos) e Acidentes Pessoais Eventos</t>
  </si>
  <si>
    <t>_x000D_
CHUBB SEGUROS BRASIL S.A.</t>
  </si>
  <si>
    <t>_x000D_
03.502.099/0001-18</t>
  </si>
  <si>
    <t>4.1.5</t>
  </si>
  <si>
    <t>4.1.6</t>
  </si>
  <si>
    <t>4.1.7</t>
  </si>
  <si>
    <t>4.1.8</t>
  </si>
  <si>
    <t>4.1.9</t>
  </si>
  <si>
    <t>4.1.10</t>
  </si>
  <si>
    <t>4.1.11</t>
  </si>
  <si>
    <t>4.1.12</t>
  </si>
  <si>
    <t>Opção 03</t>
  </si>
  <si>
    <t>_x000D_
Jean Rafael Siqueira</t>
  </si>
  <si>
    <t>_x000D_
044.223.079-67</t>
  </si>
  <si>
    <t>Fotógrafo</t>
  </si>
  <si>
    <t>RESUMO GERAL: Opção 3</t>
  </si>
  <si>
    <t>Alimentação promotoras</t>
  </si>
  <si>
    <t>APRAS 2026</t>
  </si>
  <si>
    <t>Pinhais - Paraná</t>
  </si>
  <si>
    <t>14 a 16 de Abril</t>
  </si>
  <si>
    <t xml:space="preserve">Criação </t>
  </si>
  <si>
    <t>TOTAL L_074_APRAS 2026</t>
  </si>
  <si>
    <t>Geladeira adcional</t>
  </si>
  <si>
    <t>Considerado no projeto 02 geladeiras, Valor de geladeira adicional</t>
  </si>
  <si>
    <t>02 painéis de LED - medidas 2x1m vitrines</t>
  </si>
  <si>
    <t>Painel de Led para Vitrines</t>
  </si>
  <si>
    <t>Painel de Led</t>
  </si>
  <si>
    <t>02 painéis de LED - medidas 3x1m acima das salas de reunião</t>
  </si>
  <si>
    <t xml:space="preserve">Fechamento das salas e instalação de ar condicionado </t>
  </si>
  <si>
    <t>Balcão Refrigerado ou Frigoobar</t>
  </si>
  <si>
    <t>Macacão de Super Rio</t>
  </si>
  <si>
    <t>2.1.5</t>
  </si>
  <si>
    <t>4.1.13</t>
  </si>
  <si>
    <t>Descartáveis</t>
  </si>
  <si>
    <t>Água em copo</t>
  </si>
  <si>
    <t>A&amp;B - Fornecedor 02 - Opção 03</t>
  </si>
  <si>
    <t>Máquina de café</t>
  </si>
  <si>
    <t>Compra de 02 Cafeteira Nespresso Essenza Mini Preta</t>
  </si>
  <si>
    <t xml:space="preserve">Passagem aérea + hospedagem + deslocamento de 1 produtor da Oggi SP </t>
  </si>
  <si>
    <t>150 Uni. Copo de água 200ml</t>
  </si>
  <si>
    <t>Bandeja de Degustação</t>
  </si>
  <si>
    <t>Fotografo para cobertura do evento - Dia 15</t>
  </si>
  <si>
    <t>Bistrô e banqueta</t>
  </si>
  <si>
    <t>Bristrô com 3 banquetas + frete</t>
  </si>
  <si>
    <t xml:space="preserve">Edição de Vídeo </t>
  </si>
  <si>
    <t>Passagem Aérea</t>
  </si>
  <si>
    <t>Hospedagem</t>
  </si>
  <si>
    <t>Credenciais de serviço - Cada CNPJ pode adquirir até 5 credenciais - pagamento oggi</t>
  </si>
  <si>
    <t>Lixeiras</t>
  </si>
  <si>
    <t>Manuseio e aplicação de adesivos nas salas de reunião</t>
  </si>
  <si>
    <t>Proteção Bagagem</t>
  </si>
  <si>
    <t>Troca de Mobialiário</t>
  </si>
  <si>
    <t>1.1.8</t>
  </si>
  <si>
    <t>1.1.9</t>
  </si>
  <si>
    <t>Reembolso Deovania Morais</t>
  </si>
  <si>
    <t>Jantar com equipe Lactalis, aprovação Patrick</t>
  </si>
  <si>
    <t>Pacote de Internet</t>
  </si>
  <si>
    <t>Pacote de internet comprado no pavilhão</t>
  </si>
  <si>
    <t>Produtor de montagem | desmontagem</t>
  </si>
  <si>
    <t>1.1.10</t>
  </si>
  <si>
    <t>1.1.11</t>
  </si>
  <si>
    <t>1.1.12</t>
  </si>
  <si>
    <t>1.1.13</t>
  </si>
  <si>
    <t>1.1.14</t>
  </si>
  <si>
    <t>1.1.15</t>
  </si>
  <si>
    <t>1.1.16</t>
  </si>
  <si>
    <t>Rádios Comunicadores</t>
  </si>
  <si>
    <t xml:space="preserve">Extras </t>
  </si>
  <si>
    <t xml:space="preserve">Operação </t>
  </si>
  <si>
    <t>Estande (ND)</t>
  </si>
  <si>
    <t>2.1.2</t>
  </si>
  <si>
    <t>2.1.6</t>
  </si>
  <si>
    <t>2.1.7</t>
  </si>
  <si>
    <t>2.1.8</t>
  </si>
  <si>
    <t>Total Taxas</t>
  </si>
  <si>
    <t>Total Operação + Taxas</t>
  </si>
  <si>
    <t>Valor total do Investimento</t>
  </si>
  <si>
    <t>TOTAL A SER PAGO &gt; OGGI</t>
  </si>
  <si>
    <t>A&amp;B</t>
  </si>
  <si>
    <t>Despacho de Bagagem</t>
  </si>
  <si>
    <t>Despachado cafeteiras, displays vitrine, tabuas de frios e adesivos</t>
  </si>
  <si>
    <t>Comunicação Visual</t>
  </si>
  <si>
    <t>Adesivos solicitados pela Kamila das marcas - 800 unidades</t>
  </si>
  <si>
    <t>Locação de lixeiras adicionais</t>
  </si>
  <si>
    <t>Embalar as caixas de máquinas de café e as bandejas de degustação</t>
  </si>
  <si>
    <t>Solicitação Cliente - Compra de energético, refrigerante e cerveja</t>
  </si>
  <si>
    <t>Locação de rádios comunicadores para montagem e evento</t>
  </si>
  <si>
    <t>Extras Buffet - Limpeza adicional, Mini torradas, Cerveja Heineken, Taças de Vinho, Vinho seco, colher de degustação</t>
  </si>
  <si>
    <t>Edição e ajustes dos vídeos de DPA e LDB - Valor negociado com desconto de 50%</t>
  </si>
  <si>
    <t>Aplicação do logo institucional com ilunimação (Não está sendo considerado o valor de correção dos logos)</t>
  </si>
  <si>
    <t xml:space="preserve">Reserva de hospedagem para o periodo da feira - Notovel </t>
  </si>
  <si>
    <t>São Paulo &gt; Curitiba &gt; São Paulo</t>
  </si>
  <si>
    <t xml:space="preserve">Compra de 04 Espumante  </t>
  </si>
  <si>
    <r>
      <t xml:space="preserve">KWA - com base em 2025 - </t>
    </r>
    <r>
      <rPr>
        <b/>
        <sz val="14"/>
        <color rgb="FFFF0000"/>
        <rFont val="Trebuchet MS"/>
        <family val="2"/>
      </rPr>
      <t>sujeito a alteração</t>
    </r>
  </si>
  <si>
    <r>
      <t xml:space="preserve">Extintores de incêndio (base de calculo de acordo com a metragem do estande) - </t>
    </r>
    <r>
      <rPr>
        <b/>
        <sz val="14"/>
        <color rgb="FFFF0000"/>
        <rFont val="Trebuchet MS"/>
        <family val="2"/>
      </rPr>
      <t>isento de locação</t>
    </r>
  </si>
  <si>
    <r>
      <t>Criação, desenvolvimento e finalização das peças -  Cob</t>
    </r>
    <r>
      <rPr>
        <sz val="14"/>
        <rFont val="Trebuchet MS"/>
        <family val="2"/>
      </rPr>
      <t xml:space="preserve">rado 50% </t>
    </r>
    <r>
      <rPr>
        <sz val="14"/>
        <color theme="1"/>
        <rFont val="Trebuchet MS"/>
        <family val="2"/>
      </rPr>
      <t>para finalização das peças</t>
    </r>
  </si>
  <si>
    <r>
      <t xml:space="preserve">500 Potinho de 80 ml
</t>
    </r>
    <r>
      <rPr>
        <sz val="14"/>
        <color theme="1"/>
        <rFont val="Trebuchet MS"/>
        <family val="2"/>
      </rPr>
      <t xml:space="preserve">50 Espátula Plástica Descartável </t>
    </r>
    <r>
      <rPr>
        <sz val="14"/>
        <rFont val="Trebuchet MS"/>
        <family val="2"/>
      </rPr>
      <t xml:space="preserve">
500 Colher de Sobremesa</t>
    </r>
  </si>
  <si>
    <r>
      <t xml:space="preserve">Produtor (full time) dedicado no período de montagem, e  desmontagem do estande. </t>
    </r>
    <r>
      <rPr>
        <sz val="14"/>
        <color rgb="FFFF0000"/>
        <rFont val="Trebuchet MS"/>
        <family val="2"/>
      </rPr>
      <t>Contratação local</t>
    </r>
  </si>
  <si>
    <r>
      <t xml:space="preserve">Produtor responsável pelas operações do estande </t>
    </r>
    <r>
      <rPr>
        <sz val="14"/>
        <color rgb="FFFF0000"/>
        <rFont val="Trebuchet MS"/>
        <family val="2"/>
      </rPr>
      <t>Contratação local</t>
    </r>
  </si>
  <si>
    <r>
      <t xml:space="preserve">Ar condicionado - </t>
    </r>
    <r>
      <rPr>
        <sz val="14"/>
        <color rgb="FFFF0000"/>
        <rFont val="Trebuchet MS"/>
        <family val="2"/>
      </rPr>
      <t>custo incluso na proposta do estande</t>
    </r>
  </si>
  <si>
    <r>
      <t xml:space="preserve">Mobiliário - </t>
    </r>
    <r>
      <rPr>
        <sz val="14"/>
        <color rgb="FFFF0000"/>
        <rFont val="Trebuchet MS"/>
        <family val="2"/>
      </rPr>
      <t>locação inclusa na proposta do estande</t>
    </r>
  </si>
  <si>
    <r>
      <t>Comunicação visual -</t>
    </r>
    <r>
      <rPr>
        <sz val="14"/>
        <color rgb="FFFF0000"/>
        <rFont val="Trebuchet MS"/>
        <family val="2"/>
      </rPr>
      <t xml:space="preserve">  custo incluso na proposta do estande</t>
    </r>
  </si>
  <si>
    <t>SHIRLEI SALOMÃO</t>
  </si>
  <si>
    <t>PORTAL DO IGUAÇU</t>
  </si>
  <si>
    <t>TOTALE EVENTOS</t>
  </si>
  <si>
    <t xml:space="preserve">EVIDENCE </t>
  </si>
  <si>
    <t>EVIDENCE</t>
  </si>
  <si>
    <t>ASSOCIAÇÃO</t>
  </si>
  <si>
    <t xml:space="preserve">NOME </t>
  </si>
  <si>
    <t>PETERSON EMILIANO</t>
  </si>
  <si>
    <t>CAROL IGLEZIAS</t>
  </si>
  <si>
    <t>LUIZA TAVORA</t>
  </si>
  <si>
    <t>FERNANDA PINHEIRO</t>
  </si>
  <si>
    <t>ISABELA FERREIRA</t>
  </si>
  <si>
    <t>CHUBB - EVANDRO JOSE - CAROL IGLEZIAS</t>
  </si>
  <si>
    <t>CUSPOS OP.</t>
  </si>
  <si>
    <t>DOZAIN MAKERS</t>
  </si>
  <si>
    <t>ALEZANDRE BISPO</t>
  </si>
  <si>
    <t>ESPLENDOR</t>
  </si>
  <si>
    <t>JEAN RAFAEL</t>
  </si>
  <si>
    <t>DEOVANIA</t>
  </si>
  <si>
    <t>VIARADIO</t>
  </si>
  <si>
    <t>PLANO A</t>
  </si>
  <si>
    <t>LT CRAVO - GEAN CARLOS</t>
  </si>
  <si>
    <t>ROYAL PARANA</t>
  </si>
  <si>
    <t>VÍDEO</t>
  </si>
  <si>
    <t>STUDIO ROCA</t>
  </si>
  <si>
    <t>VENDA</t>
  </si>
  <si>
    <t xml:space="preserve">CUSTO </t>
  </si>
  <si>
    <t>LUCRO</t>
  </si>
  <si>
    <t>NOTAS EMITIDAS</t>
  </si>
  <si>
    <t>OPERAÇÃO</t>
  </si>
  <si>
    <t xml:space="preserve">ESTANDES </t>
  </si>
  <si>
    <t>EXTRAS</t>
  </si>
  <si>
    <t>EXTRAS DPA</t>
  </si>
  <si>
    <t>ATRIO HOTEIS - SAKURA</t>
  </si>
  <si>
    <t>WORKS</t>
  </si>
  <si>
    <t>NOTA DE DÉBITO 34</t>
  </si>
  <si>
    <t>NOTA DE DÉBITO 35</t>
  </si>
  <si>
    <t>NOTA FISCAL 2914</t>
  </si>
  <si>
    <t>NOTA FISCAL 2913</t>
  </si>
  <si>
    <t>THAIS PONTE</t>
  </si>
  <si>
    <t>Despesas Extras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</si>
</sst>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  <numFmt numFmtId="172" formatCode="0.0000000000000000000E+00;\౜"/>
    <numFmt numFmtId="173" formatCode="0.00000000000000000E+00;\౜"/>
    <numFmt numFmtId="174" formatCode="#,##0_C_r_$_);[Red]\(#,##0_C_r_$\)"/>
    <numFmt numFmtId="175" formatCode="0.00_);\(0.00\)"/>
    <numFmt numFmtId="176" formatCode="0.000000000000000000E+00;\౜"/>
    <numFmt numFmtId="177" formatCode="#,##0.00_C_r_$_);\(#,##0.00_C_r_$\)"/>
    <numFmt numFmtId="178" formatCode="_(* #,##0_);_(* \(#,##0\);_(* &quot;-&quot;?????_);_(@_)"/>
    <numFmt numFmtId="179" formatCode="#,##0.00_C_r_$_);[Red]\(#,##0.00_C_r_$\)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Trebuchet MS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4"/>
      <name val="Trebuchet MS"/>
      <family val="2"/>
    </font>
    <font>
      <sz val="12"/>
      <color rgb="FF0070C0"/>
      <name val="Trebuchet MS"/>
      <family val="2"/>
    </font>
    <font>
      <sz val="10"/>
      <color theme="1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1"/>
      <name val="Tms Rmn"/>
    </font>
    <font>
      <sz val="1"/>
      <color indexed="8"/>
      <name val="Courier"/>
      <family val="3"/>
    </font>
    <font>
      <b/>
      <sz val="12"/>
      <name val="Arial"/>
      <family val="2"/>
    </font>
    <font>
      <sz val="10"/>
      <name val="Courier"/>
      <family val="3"/>
    </font>
    <font>
      <sz val="12"/>
      <name val="Times New Roman"/>
      <family val="1"/>
    </font>
    <font>
      <sz val="10"/>
      <name val="Palatino"/>
      <family val="1"/>
    </font>
    <font>
      <b/>
      <sz val="11"/>
      <color rgb="FFFFFFFF"/>
      <name val="Calibri"/>
      <family val="2"/>
      <scheme val="minor"/>
    </font>
    <font>
      <sz val="12"/>
      <color rgb="FFC00000"/>
      <name val="Trebuchet MS"/>
      <family val="2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indexed="63"/>
      <name val="Trebuchet MS"/>
      <family val="2"/>
    </font>
    <font>
      <sz val="14"/>
      <color theme="0"/>
      <name val="Calibri"/>
      <family val="2"/>
      <scheme val="minor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sz val="14"/>
      <name val="Trebuchet MS"/>
      <family val="2"/>
    </font>
    <font>
      <sz val="14"/>
      <color theme="1"/>
      <name val="Trebuchet MS"/>
      <family val="2"/>
    </font>
    <font>
      <sz val="14"/>
      <color rgb="FF0070C0"/>
      <name val="Trebuchet MS"/>
      <family val="2"/>
    </font>
    <font>
      <sz val="14"/>
      <color rgb="FFE90000"/>
      <name val="Trebuchet MS"/>
      <family val="2"/>
    </font>
    <font>
      <sz val="14"/>
      <color theme="4"/>
      <name val="Trebuchet MS"/>
      <family val="2"/>
    </font>
    <font>
      <sz val="14"/>
      <color rgb="FFFF0000"/>
      <name val="Trebuchet MS"/>
      <family val="2"/>
    </font>
    <font>
      <sz val="14"/>
      <color rgb="FFA46300"/>
      <name val="Trebuchet MS"/>
      <family val="2"/>
    </font>
    <font>
      <sz val="14"/>
      <color theme="5"/>
      <name val="Trebuchet MS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rgb="FF358400"/>
      <name val="Trebuchet MS"/>
      <family val="2"/>
    </font>
    <font>
      <b/>
      <sz val="12"/>
      <color theme="0"/>
      <name val="Trebuchet MS"/>
      <family val="2"/>
    </font>
    <font>
      <sz val="12"/>
      <color theme="0"/>
      <name val="Trebuchet MS"/>
      <family val="2"/>
    </font>
    <font>
      <sz val="12"/>
      <color rgb="FFFF0000"/>
      <name val="Trebuchet MS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8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38" fillId="32" borderId="0" applyNumberFormat="0" applyBorder="0" applyAlignment="0" applyProtection="0"/>
    <xf numFmtId="0" fontId="38" fillId="29" borderId="0" applyNumberFormat="0" applyBorder="0" applyAlignment="0" applyProtection="0"/>
    <xf numFmtId="0" fontId="38" fillId="30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38" fillId="39" borderId="0" applyNumberFormat="0" applyBorder="0" applyAlignment="0" applyProtection="0"/>
    <xf numFmtId="0" fontId="39" fillId="23" borderId="0" applyNumberFormat="0" applyBorder="0" applyAlignment="0" applyProtection="0"/>
    <xf numFmtId="0" fontId="40" fillId="40" borderId="107" applyNumberFormat="0" applyAlignment="0" applyProtection="0"/>
    <xf numFmtId="0" fontId="41" fillId="0" borderId="0" applyNumberFormat="0" applyFill="0" applyBorder="0" applyAlignment="0" applyProtection="0"/>
    <xf numFmtId="0" fontId="42" fillId="0" borderId="108" applyNumberFormat="0" applyFill="0" applyAlignment="0" applyProtection="0"/>
    <xf numFmtId="0" fontId="43" fillId="0" borderId="109" applyNumberFormat="0" applyFill="0" applyAlignment="0" applyProtection="0"/>
    <xf numFmtId="0" fontId="44" fillId="0" borderId="110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46" fillId="40" borderId="111" applyNumberFormat="0" applyAlignment="0" applyProtection="0"/>
    <xf numFmtId="0" fontId="47" fillId="0" borderId="0" applyNumberFormat="0" applyFill="0" applyBorder="0" applyAlignment="0" applyProtection="0"/>
    <xf numFmtId="0" fontId="48" fillId="0" borderId="112" applyNumberFormat="0" applyFill="0" applyAlignment="0" applyProtection="0"/>
    <xf numFmtId="0" fontId="37" fillId="0" borderId="0"/>
    <xf numFmtId="172" fontId="3" fillId="0" borderId="0" applyFont="0" applyFill="0" applyBorder="0" applyAlignment="0" applyProtection="0">
      <alignment vertical="top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173" fontId="3" fillId="0" borderId="0" applyFont="0" applyFill="0" applyBorder="0" applyAlignment="0" applyProtection="0"/>
    <xf numFmtId="0" fontId="51" fillId="0" borderId="0">
      <protection locked="0"/>
    </xf>
    <xf numFmtId="174" fontId="3" fillId="0" borderId="0">
      <protection locked="0"/>
    </xf>
    <xf numFmtId="38" fontId="49" fillId="6" borderId="0" applyNumberFormat="0" applyBorder="0" applyAlignment="0" applyProtection="0"/>
    <xf numFmtId="0" fontId="52" fillId="0" borderId="35" applyNumberFormat="0" applyAlignment="0" applyProtection="0">
      <alignment horizontal="left" vertical="center"/>
    </xf>
    <xf numFmtId="0" fontId="52" fillId="0" borderId="9">
      <alignment horizontal="left" vertical="center"/>
    </xf>
    <xf numFmtId="0" fontId="53" fillId="0" borderId="0"/>
    <xf numFmtId="10" fontId="49" fillId="41" borderId="60" applyNumberFormat="0" applyBorder="0" applyAlignment="0" applyProtection="0"/>
    <xf numFmtId="0" fontId="54" fillId="0" borderId="0"/>
    <xf numFmtId="175" fontId="3" fillId="0" borderId="0"/>
    <xf numFmtId="176" fontId="3" fillId="0" borderId="0" applyFont="0" applyFill="0" applyBorder="0" applyAlignment="0" applyProtection="0">
      <alignment horizontal="center" vertical="top" wrapText="1"/>
    </xf>
    <xf numFmtId="10" fontId="3" fillId="0" borderId="0" applyFont="0" applyFill="0" applyBorder="0" applyAlignment="0" applyProtection="0"/>
    <xf numFmtId="177" fontId="3" fillId="0" borderId="0">
      <protection locked="0"/>
    </xf>
    <xf numFmtId="178" fontId="3" fillId="0" borderId="0">
      <protection locked="0"/>
    </xf>
    <xf numFmtId="179" fontId="3" fillId="0" borderId="0">
      <protection locked="0"/>
    </xf>
    <xf numFmtId="179" fontId="3" fillId="0" borderId="0">
      <protection locked="0"/>
    </xf>
    <xf numFmtId="0" fontId="55" fillId="0" borderId="0" applyNumberFormat="0" applyFont="0" applyFill="0" applyBorder="0" applyProtection="0">
      <alignment horizontal="center" wrapText="1"/>
    </xf>
    <xf numFmtId="0" fontId="37" fillId="0" borderId="0"/>
    <xf numFmtId="0" fontId="1" fillId="0" borderId="0"/>
    <xf numFmtId="9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596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0" fillId="0" borderId="0" xfId="1" applyNumberFormat="1" applyFont="1"/>
    <xf numFmtId="0" fontId="14" fillId="0" borderId="0" xfId="0" applyFont="1"/>
    <xf numFmtId="165" fontId="9" fillId="6" borderId="36" xfId="4" applyFont="1" applyFill="1" applyBorder="1" applyAlignment="1">
      <alignment horizontal="center" vertical="center" wrapText="1"/>
    </xf>
    <xf numFmtId="168" fontId="2" fillId="0" borderId="5" xfId="1" applyNumberFormat="1" applyFont="1" applyBorder="1"/>
    <xf numFmtId="164" fontId="6" fillId="0" borderId="0" xfId="2" applyNumberFormat="1" applyFont="1" applyAlignment="1">
      <alignment horizontal="left" vertical="center"/>
    </xf>
    <xf numFmtId="166" fontId="9" fillId="0" borderId="38" xfId="4" applyNumberFormat="1" applyFont="1" applyBorder="1" applyAlignment="1">
      <alignment horizontal="center" vertical="center" wrapText="1"/>
    </xf>
    <xf numFmtId="0" fontId="16" fillId="8" borderId="40" xfId="0" applyFont="1" applyFill="1" applyBorder="1" applyAlignment="1">
      <alignment vertical="center"/>
    </xf>
    <xf numFmtId="0" fontId="18" fillId="8" borderId="40" xfId="0" applyFont="1" applyFill="1" applyBorder="1" applyAlignment="1">
      <alignment horizontal="center" vertical="center"/>
    </xf>
    <xf numFmtId="22" fontId="16" fillId="8" borderId="40" xfId="0" applyNumberFormat="1" applyFont="1" applyFill="1" applyBorder="1" applyAlignment="1">
      <alignment horizontal="center" vertical="center"/>
    </xf>
    <xf numFmtId="0" fontId="20" fillId="8" borderId="41" xfId="0" applyFont="1" applyFill="1" applyBorder="1" applyAlignment="1">
      <alignment horizontal="center" vertical="center" wrapText="1"/>
    </xf>
    <xf numFmtId="0" fontId="20" fillId="8" borderId="42" xfId="0" applyFont="1" applyFill="1" applyBorder="1" applyAlignment="1">
      <alignment horizontal="center" vertical="center" wrapText="1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10" fontId="9" fillId="6" borderId="46" xfId="5" applyNumberFormat="1" applyFont="1" applyFill="1" applyBorder="1" applyAlignment="1">
      <alignment horizontal="center" vertical="center" wrapText="1"/>
    </xf>
    <xf numFmtId="10" fontId="9" fillId="6" borderId="47" xfId="5" applyNumberFormat="1" applyFont="1" applyFill="1" applyBorder="1" applyAlignment="1">
      <alignment horizontal="center" vertical="center" wrapText="1"/>
    </xf>
    <xf numFmtId="165" fontId="9" fillId="6" borderId="48" xfId="4" applyFont="1" applyFill="1" applyBorder="1" applyAlignment="1">
      <alignment horizontal="center" vertical="center" wrapText="1"/>
    </xf>
    <xf numFmtId="165" fontId="9" fillId="6" borderId="47" xfId="4" applyFont="1" applyFill="1" applyBorder="1" applyAlignment="1">
      <alignment horizontal="center" vertical="center" wrapText="1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49" xfId="4" applyNumberFormat="1" applyFont="1" applyFill="1" applyBorder="1" applyAlignment="1">
      <alignment horizontal="center" vertical="center"/>
    </xf>
    <xf numFmtId="166" fontId="24" fillId="6" borderId="50" xfId="4" applyNumberFormat="1" applyFont="1" applyFill="1" applyBorder="1" applyAlignment="1">
      <alignment horizontal="center" vertical="center" wrapText="1"/>
    </xf>
    <xf numFmtId="166" fontId="25" fillId="6" borderId="51" xfId="4" applyNumberFormat="1" applyFont="1" applyFill="1" applyBorder="1" applyAlignment="1">
      <alignment horizontal="center" vertical="center" wrapText="1"/>
    </xf>
    <xf numFmtId="164" fontId="6" fillId="0" borderId="19" xfId="2" applyNumberFormat="1" applyFont="1" applyBorder="1" applyAlignment="1" applyProtection="1">
      <alignment horizontal="left" vertical="center"/>
      <protection locked="0"/>
    </xf>
    <xf numFmtId="164" fontId="6" fillId="0" borderId="30" xfId="2" applyNumberFormat="1" applyFont="1" applyBorder="1" applyAlignment="1" applyProtection="1">
      <alignment horizontal="left" vertical="center"/>
      <protection locked="0"/>
    </xf>
    <xf numFmtId="0" fontId="7" fillId="0" borderId="23" xfId="2" applyFont="1" applyBorder="1" applyAlignment="1" applyProtection="1">
      <alignment horizontal="left" vertical="center"/>
      <protection locked="0"/>
    </xf>
    <xf numFmtId="0" fontId="6" fillId="0" borderId="23" xfId="2" applyFont="1" applyBorder="1" applyAlignment="1" applyProtection="1">
      <alignment horizontal="left" vertical="center"/>
      <protection locked="0"/>
    </xf>
    <xf numFmtId="14" fontId="7" fillId="0" borderId="30" xfId="2" applyNumberFormat="1" applyFont="1" applyBorder="1" applyAlignment="1" applyProtection="1">
      <alignment horizontal="left" vertical="center"/>
      <protection locked="0"/>
    </xf>
    <xf numFmtId="0" fontId="6" fillId="0" borderId="26" xfId="2" applyFont="1" applyBorder="1" applyAlignment="1" applyProtection="1">
      <alignment horizontal="left" vertical="center"/>
      <protection locked="0"/>
    </xf>
    <xf numFmtId="49" fontId="22" fillId="0" borderId="44" xfId="0" applyNumberFormat="1" applyFont="1" applyBorder="1" applyAlignment="1">
      <alignment horizontal="left" vertical="center" wrapText="1"/>
    </xf>
    <xf numFmtId="0" fontId="2" fillId="11" borderId="60" xfId="0" applyFont="1" applyFill="1" applyBorder="1" applyAlignment="1">
      <alignment horizontal="center" vertical="center"/>
    </xf>
    <xf numFmtId="44" fontId="22" fillId="0" borderId="60" xfId="8" applyFont="1" applyBorder="1" applyAlignment="1">
      <alignment vertical="center"/>
    </xf>
    <xf numFmtId="44" fontId="22" fillId="13" borderId="60" xfId="8" applyFont="1" applyFill="1" applyBorder="1" applyAlignment="1">
      <alignment vertical="center"/>
    </xf>
    <xf numFmtId="10" fontId="22" fillId="14" borderId="60" xfId="0" applyNumberFormat="1" applyFont="1" applyFill="1" applyBorder="1" applyAlignment="1">
      <alignment horizontal="center" vertical="center"/>
    </xf>
    <xf numFmtId="9" fontId="22" fillId="13" borderId="59" xfId="1" applyFont="1" applyFill="1" applyBorder="1" applyAlignment="1">
      <alignment vertical="center"/>
    </xf>
    <xf numFmtId="44" fontId="22" fillId="13" borderId="59" xfId="8" applyFont="1" applyFill="1" applyBorder="1" applyAlignment="1">
      <alignment vertical="center"/>
    </xf>
    <xf numFmtId="0" fontId="2" fillId="11" borderId="10" xfId="0" applyFont="1" applyFill="1" applyBorder="1" applyAlignment="1">
      <alignment horizontal="center" vertical="center"/>
    </xf>
    <xf numFmtId="10" fontId="22" fillId="14" borderId="10" xfId="0" applyNumberFormat="1" applyFont="1" applyFill="1" applyBorder="1" applyAlignment="1">
      <alignment horizontal="center" vertical="center"/>
    </xf>
    <xf numFmtId="44" fontId="22" fillId="13" borderId="51" xfId="8" applyFont="1" applyFill="1" applyBorder="1" applyAlignment="1">
      <alignment vertical="center"/>
    </xf>
    <xf numFmtId="0" fontId="27" fillId="15" borderId="6" xfId="0" applyFont="1" applyFill="1" applyBorder="1"/>
    <xf numFmtId="0" fontId="27" fillId="15" borderId="35" xfId="0" applyFont="1" applyFill="1" applyBorder="1"/>
    <xf numFmtId="44" fontId="27" fillId="15" borderId="35" xfId="0" applyNumberFormat="1" applyFont="1" applyFill="1" applyBorder="1"/>
    <xf numFmtId="0" fontId="22" fillId="0" borderId="60" xfId="0" applyFont="1" applyBorder="1" applyAlignment="1">
      <alignment horizontal="left" vertical="center" wrapText="1"/>
    </xf>
    <xf numFmtId="44" fontId="22" fillId="14" borderId="60" xfId="8" applyFont="1" applyFill="1" applyBorder="1" applyAlignment="1">
      <alignment vertical="center"/>
    </xf>
    <xf numFmtId="9" fontId="22" fillId="13" borderId="60" xfId="1" applyFont="1" applyFill="1" applyBorder="1" applyAlignment="1">
      <alignment vertical="center"/>
    </xf>
    <xf numFmtId="44" fontId="22" fillId="0" borderId="64" xfId="8" applyFont="1" applyBorder="1" applyAlignment="1">
      <alignment vertical="center"/>
    </xf>
    <xf numFmtId="44" fontId="22" fillId="12" borderId="60" xfId="8" applyFont="1" applyFill="1" applyBorder="1" applyAlignment="1">
      <alignment vertical="center"/>
    </xf>
    <xf numFmtId="0" fontId="22" fillId="0" borderId="61" xfId="0" applyFont="1" applyBorder="1" applyAlignment="1">
      <alignment horizontal="left" vertical="center" wrapText="1"/>
    </xf>
    <xf numFmtId="44" fontId="22" fillId="13" borderId="64" xfId="8" applyFont="1" applyFill="1" applyBorder="1" applyAlignment="1">
      <alignment vertical="center"/>
    </xf>
    <xf numFmtId="0" fontId="4" fillId="6" borderId="65" xfId="3" applyFont="1" applyFill="1" applyBorder="1" applyAlignment="1">
      <alignment horizontal="left" vertical="center"/>
    </xf>
    <xf numFmtId="0" fontId="4" fillId="6" borderId="66" xfId="3" applyFont="1" applyFill="1" applyBorder="1" applyAlignment="1">
      <alignment horizontal="center" vertical="center"/>
    </xf>
    <xf numFmtId="0" fontId="23" fillId="6" borderId="66" xfId="3" applyFont="1" applyFill="1" applyBorder="1" applyAlignment="1">
      <alignment horizontal="center" vertical="center"/>
    </xf>
    <xf numFmtId="169" fontId="23" fillId="6" borderId="66" xfId="3" applyNumberFormat="1" applyFont="1" applyFill="1" applyBorder="1" applyAlignment="1">
      <alignment horizontal="center" vertical="center" wrapText="1"/>
    </xf>
    <xf numFmtId="0" fontId="23" fillId="6" borderId="66" xfId="3" applyFont="1" applyFill="1" applyBorder="1" applyAlignment="1">
      <alignment horizontal="center" vertical="center" wrapText="1"/>
    </xf>
    <xf numFmtId="171" fontId="23" fillId="6" borderId="66" xfId="1" applyNumberFormat="1" applyFont="1" applyFill="1" applyBorder="1" applyAlignment="1">
      <alignment horizontal="center" vertical="center" wrapText="1"/>
    </xf>
    <xf numFmtId="10" fontId="23" fillId="6" borderId="66" xfId="1" applyNumberFormat="1" applyFont="1" applyFill="1" applyBorder="1" applyAlignment="1">
      <alignment horizontal="center" vertical="center" wrapText="1"/>
    </xf>
    <xf numFmtId="0" fontId="23" fillId="6" borderId="68" xfId="3" applyFont="1" applyFill="1" applyBorder="1" applyAlignment="1">
      <alignment horizontal="center" vertical="center" wrapText="1"/>
    </xf>
    <xf numFmtId="44" fontId="15" fillId="13" borderId="0" xfId="8" applyFont="1" applyFill="1" applyBorder="1"/>
    <xf numFmtId="0" fontId="23" fillId="11" borderId="66" xfId="0" applyFont="1" applyFill="1" applyBorder="1" applyAlignment="1">
      <alignment horizontal="center" vertical="center"/>
    </xf>
    <xf numFmtId="0" fontId="23" fillId="11" borderId="68" xfId="0" applyFont="1" applyFill="1" applyBorder="1" applyAlignment="1">
      <alignment horizontal="center" vertical="center"/>
    </xf>
    <xf numFmtId="0" fontId="22" fillId="0" borderId="60" xfId="0" applyFont="1" applyBorder="1" applyAlignment="1">
      <alignment horizontal="center" vertical="center"/>
    </xf>
    <xf numFmtId="44" fontId="22" fillId="0" borderId="67" xfId="8" applyFont="1" applyBorder="1" applyAlignment="1">
      <alignment vertical="center"/>
    </xf>
    <xf numFmtId="44" fontId="22" fillId="0" borderId="51" xfId="8" applyFont="1" applyBorder="1" applyAlignment="1">
      <alignment vertical="center"/>
    </xf>
    <xf numFmtId="170" fontId="26" fillId="10" borderId="18" xfId="0" applyNumberFormat="1" applyFont="1" applyFill="1" applyBorder="1" applyAlignment="1">
      <alignment horizontal="right"/>
    </xf>
    <xf numFmtId="44" fontId="26" fillId="10" borderId="0" xfId="0" applyNumberFormat="1" applyFont="1" applyFill="1" applyAlignment="1">
      <alignment horizontal="right"/>
    </xf>
    <xf numFmtId="44" fontId="15" fillId="14" borderId="0" xfId="0" applyNumberFormat="1" applyFont="1" applyFill="1"/>
    <xf numFmtId="44" fontId="15" fillId="13" borderId="0" xfId="0" applyNumberFormat="1" applyFont="1" applyFill="1"/>
    <xf numFmtId="10" fontId="22" fillId="14" borderId="67" xfId="0" applyNumberFormat="1" applyFont="1" applyFill="1" applyBorder="1" applyAlignment="1">
      <alignment horizontal="center" vertical="center"/>
    </xf>
    <xf numFmtId="170" fontId="26" fillId="10" borderId="0" xfId="0" applyNumberFormat="1" applyFont="1" applyFill="1" applyAlignment="1">
      <alignment horizontal="right"/>
    </xf>
    <xf numFmtId="37" fontId="9" fillId="6" borderId="65" xfId="3" applyNumberFormat="1" applyFont="1" applyFill="1" applyBorder="1" applyAlignment="1">
      <alignment horizontal="center" vertical="center"/>
    </xf>
    <xf numFmtId="37" fontId="9" fillId="6" borderId="66" xfId="3" applyNumberFormat="1" applyFont="1" applyFill="1" applyBorder="1" applyAlignment="1">
      <alignment horizontal="center" vertical="center"/>
    </xf>
    <xf numFmtId="40" fontId="9" fillId="6" borderId="66" xfId="4" applyNumberFormat="1" applyFont="1" applyFill="1" applyBorder="1" applyAlignment="1">
      <alignment horizontal="center" vertical="center"/>
    </xf>
    <xf numFmtId="165" fontId="9" fillId="6" borderId="66" xfId="4" applyFont="1" applyFill="1" applyBorder="1" applyAlignment="1">
      <alignment horizontal="right" vertical="center"/>
    </xf>
    <xf numFmtId="40" fontId="9" fillId="6" borderId="66" xfId="4" applyNumberFormat="1" applyFont="1" applyFill="1" applyBorder="1" applyAlignment="1">
      <alignment horizontal="center" vertical="center" wrapText="1"/>
    </xf>
    <xf numFmtId="10" fontId="9" fillId="6" borderId="66" xfId="5" applyNumberFormat="1" applyFont="1" applyFill="1" applyBorder="1" applyAlignment="1">
      <alignment horizontal="center" vertical="center" wrapText="1"/>
    </xf>
    <xf numFmtId="165" fontId="9" fillId="6" borderId="66" xfId="4" applyFont="1" applyFill="1" applyBorder="1" applyAlignment="1">
      <alignment horizontal="center" vertical="center" wrapText="1"/>
    </xf>
    <xf numFmtId="49" fontId="22" fillId="0" borderId="57" xfId="0" applyNumberFormat="1" applyFont="1" applyBorder="1" applyAlignment="1">
      <alignment horizontal="left" vertical="center" wrapText="1"/>
    </xf>
    <xf numFmtId="0" fontId="28" fillId="18" borderId="48" xfId="0" applyFont="1" applyFill="1" applyBorder="1" applyAlignment="1">
      <alignment horizontal="center"/>
    </xf>
    <xf numFmtId="0" fontId="28" fillId="18" borderId="83" xfId="0" applyFont="1" applyFill="1" applyBorder="1" applyAlignment="1">
      <alignment horizontal="center"/>
    </xf>
    <xf numFmtId="0" fontId="28" fillId="18" borderId="36" xfId="0" applyFont="1" applyFill="1" applyBorder="1"/>
    <xf numFmtId="0" fontId="28" fillId="18" borderId="47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2" fillId="17" borderId="60" xfId="0" applyFont="1" applyFill="1" applyBorder="1" applyAlignment="1">
      <alignment horizontal="center" vertical="center"/>
    </xf>
    <xf numFmtId="1" fontId="22" fillId="12" borderId="61" xfId="0" applyNumberFormat="1" applyFont="1" applyFill="1" applyBorder="1" applyAlignment="1">
      <alignment horizontal="center" vertical="center"/>
    </xf>
    <xf numFmtId="1" fontId="22" fillId="12" borderId="60" xfId="0" applyNumberFormat="1" applyFont="1" applyFill="1" applyBorder="1" applyAlignment="1">
      <alignment horizontal="center" vertical="center"/>
    </xf>
    <xf numFmtId="1" fontId="22" fillId="12" borderId="62" xfId="0" applyNumberFormat="1" applyFont="1" applyFill="1" applyBorder="1" applyAlignment="1">
      <alignment horizontal="center" vertical="center"/>
    </xf>
    <xf numFmtId="1" fontId="22" fillId="12" borderId="59" xfId="0" applyNumberFormat="1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35" xfId="0" applyFont="1" applyFill="1" applyBorder="1" applyAlignment="1">
      <alignment horizontal="center"/>
    </xf>
    <xf numFmtId="44" fontId="0" fillId="20" borderId="61" xfId="0" applyNumberFormat="1" applyFill="1" applyBorder="1" applyAlignment="1">
      <alignment vertical="center"/>
    </xf>
    <xf numFmtId="44" fontId="0" fillId="20" borderId="65" xfId="0" applyNumberFormat="1" applyFill="1" applyBorder="1" applyAlignment="1">
      <alignment vertical="center"/>
    </xf>
    <xf numFmtId="44" fontId="0" fillId="20" borderId="84" xfId="0" applyNumberFormat="1" applyFill="1" applyBorder="1" applyAlignment="1">
      <alignment vertical="center"/>
    </xf>
    <xf numFmtId="0" fontId="30" fillId="17" borderId="60" xfId="2" applyFont="1" applyFill="1" applyBorder="1" applyAlignment="1">
      <alignment horizontal="left" vertical="center" wrapText="1"/>
    </xf>
    <xf numFmtId="0" fontId="30" fillId="0" borderId="60" xfId="2" applyFont="1" applyBorder="1" applyAlignment="1">
      <alignment horizontal="left" vertical="center" wrapText="1"/>
    </xf>
    <xf numFmtId="10" fontId="22" fillId="14" borderId="71" xfId="0" applyNumberFormat="1" applyFont="1" applyFill="1" applyBorder="1" applyAlignment="1">
      <alignment horizontal="center" vertical="center"/>
    </xf>
    <xf numFmtId="170" fontId="26" fillId="10" borderId="67" xfId="0" applyNumberFormat="1" applyFont="1" applyFill="1" applyBorder="1" applyAlignment="1">
      <alignment horizontal="right" vertical="center"/>
    </xf>
    <xf numFmtId="170" fontId="26" fillId="10" borderId="51" xfId="0" applyNumberFormat="1" applyFont="1" applyFill="1" applyBorder="1" applyAlignment="1">
      <alignment horizontal="right" vertical="center"/>
    </xf>
    <xf numFmtId="44" fontId="26" fillId="10" borderId="67" xfId="0" applyNumberFormat="1" applyFont="1" applyFill="1" applyBorder="1" applyAlignment="1">
      <alignment horizontal="right" vertical="center"/>
    </xf>
    <xf numFmtId="44" fontId="15" fillId="14" borderId="67" xfId="0" applyNumberFormat="1" applyFont="1" applyFill="1" applyBorder="1" applyAlignment="1">
      <alignment vertical="center"/>
    </xf>
    <xf numFmtId="44" fontId="15" fillId="13" borderId="67" xfId="0" applyNumberFormat="1" applyFont="1" applyFill="1" applyBorder="1" applyAlignment="1">
      <alignment vertical="center"/>
    </xf>
    <xf numFmtId="44" fontId="15" fillId="13" borderId="51" xfId="8" applyFont="1" applyFill="1" applyBorder="1" applyAlignment="1">
      <alignment vertical="center"/>
    </xf>
    <xf numFmtId="170" fontId="26" fillId="10" borderId="70" xfId="0" applyNumberFormat="1" applyFont="1" applyFill="1" applyBorder="1" applyAlignment="1">
      <alignment horizontal="right" vertical="center"/>
    </xf>
    <xf numFmtId="170" fontId="26" fillId="10" borderId="71" xfId="0" applyNumberFormat="1" applyFont="1" applyFill="1" applyBorder="1" applyAlignment="1">
      <alignment horizontal="right" vertical="center"/>
    </xf>
    <xf numFmtId="44" fontId="26" fillId="10" borderId="60" xfId="0" applyNumberFormat="1" applyFont="1" applyFill="1" applyBorder="1" applyAlignment="1">
      <alignment horizontal="right" vertical="center"/>
    </xf>
    <xf numFmtId="44" fontId="15" fillId="14" borderId="60" xfId="0" applyNumberFormat="1" applyFont="1" applyFill="1" applyBorder="1" applyAlignment="1">
      <alignment vertical="center"/>
    </xf>
    <xf numFmtId="44" fontId="15" fillId="13" borderId="60" xfId="0" applyNumberFormat="1" applyFont="1" applyFill="1" applyBorder="1" applyAlignment="1">
      <alignment vertical="center"/>
    </xf>
    <xf numFmtId="44" fontId="15" fillId="13" borderId="64" xfId="8" applyFont="1" applyFill="1" applyBorder="1" applyAlignment="1">
      <alignment vertical="center"/>
    </xf>
    <xf numFmtId="44" fontId="15" fillId="13" borderId="59" xfId="8" applyFont="1" applyFill="1" applyBorder="1" applyAlignment="1">
      <alignment vertical="center"/>
    </xf>
    <xf numFmtId="44" fontId="29" fillId="20" borderId="69" xfId="0" applyNumberFormat="1" applyFont="1" applyFill="1" applyBorder="1" applyAlignment="1">
      <alignment vertical="center"/>
    </xf>
    <xf numFmtId="9" fontId="29" fillId="17" borderId="79" xfId="1" applyFont="1" applyFill="1" applyBorder="1" applyAlignment="1">
      <alignment horizontal="center" vertical="center"/>
    </xf>
    <xf numFmtId="9" fontId="29" fillId="17" borderId="82" xfId="1" applyFont="1" applyFill="1" applyBorder="1" applyAlignment="1">
      <alignment horizontal="center" vertical="center"/>
    </xf>
    <xf numFmtId="0" fontId="22" fillId="0" borderId="50" xfId="0" applyFont="1" applyBorder="1" applyAlignment="1">
      <alignment horizontal="left" vertical="center" wrapText="1"/>
    </xf>
    <xf numFmtId="0" fontId="22" fillId="0" borderId="67" xfId="0" applyFont="1" applyBorder="1" applyAlignment="1">
      <alignment horizontal="left" vertical="center" wrapText="1"/>
    </xf>
    <xf numFmtId="0" fontId="22" fillId="0" borderId="67" xfId="0" applyFont="1" applyBorder="1" applyAlignment="1">
      <alignment horizontal="center" vertical="center"/>
    </xf>
    <xf numFmtId="44" fontId="27" fillId="15" borderId="98" xfId="0" applyNumberFormat="1" applyFont="1" applyFill="1" applyBorder="1"/>
    <xf numFmtId="44" fontId="27" fillId="15" borderId="100" xfId="8" applyFont="1" applyFill="1" applyBorder="1"/>
    <xf numFmtId="10" fontId="22" fillId="14" borderId="101" xfId="0" applyNumberFormat="1" applyFont="1" applyFill="1" applyBorder="1" applyAlignment="1">
      <alignment horizontal="center" vertical="center"/>
    </xf>
    <xf numFmtId="10" fontId="22" fillId="14" borderId="78" xfId="0" applyNumberFormat="1" applyFont="1" applyFill="1" applyBorder="1" applyAlignment="1">
      <alignment horizontal="center" vertical="center"/>
    </xf>
    <xf numFmtId="9" fontId="27" fillId="15" borderId="15" xfId="1" applyFont="1" applyFill="1" applyBorder="1"/>
    <xf numFmtId="165" fontId="9" fillId="6" borderId="99" xfId="4" applyFont="1" applyFill="1" applyBorder="1" applyAlignment="1">
      <alignment horizontal="center" vertical="center" wrapText="1"/>
    </xf>
    <xf numFmtId="44" fontId="22" fillId="17" borderId="60" xfId="8" applyFont="1" applyFill="1" applyBorder="1" applyAlignment="1">
      <alignment vertical="center"/>
    </xf>
    <xf numFmtId="44" fontId="0" fillId="0" borderId="0" xfId="0" applyNumberFormat="1"/>
    <xf numFmtId="44" fontId="22" fillId="12" borderId="59" xfId="8" applyFont="1" applyFill="1" applyBorder="1" applyAlignment="1">
      <alignment vertical="center"/>
    </xf>
    <xf numFmtId="44" fontId="22" fillId="14" borderId="59" xfId="8" applyFont="1" applyFill="1" applyBorder="1" applyAlignment="1">
      <alignment vertical="center"/>
    </xf>
    <xf numFmtId="0" fontId="22" fillId="17" borderId="61" xfId="0" applyFont="1" applyFill="1" applyBorder="1" applyAlignment="1">
      <alignment horizontal="left" vertical="center" wrapText="1"/>
    </xf>
    <xf numFmtId="0" fontId="30" fillId="0" borderId="60" xfId="0" applyFont="1" applyBorder="1" applyAlignment="1">
      <alignment horizontal="center" vertical="center"/>
    </xf>
    <xf numFmtId="44" fontId="30" fillId="0" borderId="60" xfId="8" applyFont="1" applyBorder="1" applyAlignment="1">
      <alignment vertical="center"/>
    </xf>
    <xf numFmtId="0" fontId="30" fillId="17" borderId="60" xfId="0" applyFont="1" applyFill="1" applyBorder="1" applyAlignment="1">
      <alignment horizontal="center" vertical="center"/>
    </xf>
    <xf numFmtId="0" fontId="22" fillId="0" borderId="81" xfId="0" applyFont="1" applyBorder="1" applyAlignment="1">
      <alignment horizontal="left" vertical="center" wrapText="1"/>
    </xf>
    <xf numFmtId="0" fontId="22" fillId="0" borderId="63" xfId="0" applyFont="1" applyBorder="1" applyAlignment="1">
      <alignment horizontal="left" vertical="center" wrapText="1"/>
    </xf>
    <xf numFmtId="0" fontId="22" fillId="0" borderId="63" xfId="0" applyFont="1" applyBorder="1" applyAlignment="1">
      <alignment horizontal="center" vertical="center"/>
    </xf>
    <xf numFmtId="44" fontId="22" fillId="0" borderId="63" xfId="8" applyFont="1" applyBorder="1" applyAlignment="1">
      <alignment vertical="center"/>
    </xf>
    <xf numFmtId="44" fontId="22" fillId="0" borderId="101" xfId="8" applyFont="1" applyBorder="1" applyAlignment="1">
      <alignment vertical="center"/>
    </xf>
    <xf numFmtId="44" fontId="22" fillId="0" borderId="102" xfId="8" applyFont="1" applyBorder="1" applyAlignment="1">
      <alignment vertical="center"/>
    </xf>
    <xf numFmtId="1" fontId="22" fillId="12" borderId="7" xfId="0" applyNumberFormat="1" applyFont="1" applyFill="1" applyBorder="1" applyAlignment="1">
      <alignment horizontal="center" vertical="center"/>
    </xf>
    <xf numFmtId="44" fontId="22" fillId="12" borderId="7" xfId="8" applyFont="1" applyFill="1" applyBorder="1" applyAlignment="1">
      <alignment vertical="center"/>
    </xf>
    <xf numFmtId="44" fontId="22" fillId="14" borderId="7" xfId="8" applyFont="1" applyFill="1" applyBorder="1" applyAlignment="1">
      <alignment vertical="center"/>
    </xf>
    <xf numFmtId="9" fontId="22" fillId="13" borderId="7" xfId="1" applyFont="1" applyFill="1" applyBorder="1" applyAlignment="1">
      <alignment vertical="center"/>
    </xf>
    <xf numFmtId="44" fontId="22" fillId="13" borderId="7" xfId="8" applyFont="1" applyFill="1" applyBorder="1" applyAlignment="1">
      <alignment vertical="center"/>
    </xf>
    <xf numFmtId="1" fontId="22" fillId="12" borderId="17" xfId="0" applyNumberFormat="1" applyFont="1" applyFill="1" applyBorder="1" applyAlignment="1">
      <alignment horizontal="center" vertical="center"/>
    </xf>
    <xf numFmtId="1" fontId="22" fillId="12" borderId="103" xfId="0" applyNumberFormat="1" applyFont="1" applyFill="1" applyBorder="1" applyAlignment="1">
      <alignment horizontal="center" vertical="center"/>
    </xf>
    <xf numFmtId="44" fontId="22" fillId="12" borderId="103" xfId="8" applyFont="1" applyFill="1" applyBorder="1" applyAlignment="1">
      <alignment vertical="center"/>
    </xf>
    <xf numFmtId="44" fontId="22" fillId="14" borderId="103" xfId="8" applyFont="1" applyFill="1" applyBorder="1" applyAlignment="1">
      <alignment vertical="center"/>
    </xf>
    <xf numFmtId="9" fontId="22" fillId="13" borderId="103" xfId="1" applyFont="1" applyFill="1" applyBorder="1" applyAlignment="1">
      <alignment vertical="center"/>
    </xf>
    <xf numFmtId="44" fontId="22" fillId="13" borderId="103" xfId="8" applyFont="1" applyFill="1" applyBorder="1" applyAlignment="1">
      <alignment vertical="center"/>
    </xf>
    <xf numFmtId="44" fontId="22" fillId="13" borderId="102" xfId="8" applyFont="1" applyFill="1" applyBorder="1" applyAlignment="1">
      <alignment vertical="center"/>
    </xf>
    <xf numFmtId="0" fontId="32" fillId="0" borderId="0" xfId="0" applyFont="1"/>
    <xf numFmtId="49" fontId="33" fillId="0" borderId="0" xfId="2" applyNumberFormat="1" applyFont="1" applyAlignment="1">
      <alignment horizontal="left" vertical="center" wrapText="1"/>
    </xf>
    <xf numFmtId="0" fontId="33" fillId="0" borderId="0" xfId="2" applyFont="1" applyAlignment="1">
      <alignment horizontal="left" vertical="center" wrapText="1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49" fontId="32" fillId="0" borderId="0" xfId="0" applyNumberFormat="1" applyFont="1"/>
    <xf numFmtId="0" fontId="34" fillId="5" borderId="0" xfId="0" applyFont="1" applyFill="1"/>
    <xf numFmtId="49" fontId="34" fillId="5" borderId="0" xfId="0" applyNumberFormat="1" applyFont="1" applyFill="1"/>
    <xf numFmtId="0" fontId="32" fillId="0" borderId="43" xfId="0" applyFont="1" applyBorder="1" applyAlignment="1">
      <alignment horizontal="left" vertical="center"/>
    </xf>
    <xf numFmtId="49" fontId="32" fillId="0" borderId="44" xfId="0" applyNumberFormat="1" applyFont="1" applyBorder="1" applyAlignment="1">
      <alignment horizontal="left" vertical="center"/>
    </xf>
    <xf numFmtId="0" fontId="32" fillId="0" borderId="45" xfId="0" applyFont="1" applyBorder="1" applyAlignment="1">
      <alignment horizontal="left" vertical="center"/>
    </xf>
    <xf numFmtId="0" fontId="32" fillId="0" borderId="43" xfId="0" applyFont="1" applyBorder="1" applyAlignment="1">
      <alignment horizontal="left" vertical="center" wrapText="1"/>
    </xf>
    <xf numFmtId="0" fontId="32" fillId="0" borderId="45" xfId="0" applyFont="1" applyBorder="1" applyAlignment="1">
      <alignment horizontal="left" vertical="center" wrapText="1"/>
    </xf>
    <xf numFmtId="0" fontId="32" fillId="0" borderId="55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32" fillId="0" borderId="56" xfId="0" applyFont="1" applyBorder="1" applyAlignment="1">
      <alignment horizontal="left" vertical="center" wrapText="1"/>
    </xf>
    <xf numFmtId="0" fontId="32" fillId="0" borderId="58" xfId="0" applyFont="1" applyBorder="1" applyAlignment="1">
      <alignment horizontal="left" vertical="center" wrapText="1"/>
    </xf>
    <xf numFmtId="44" fontId="35" fillId="12" borderId="60" xfId="8" applyFont="1" applyFill="1" applyBorder="1" applyAlignment="1">
      <alignment vertical="center"/>
    </xf>
    <xf numFmtId="44" fontId="35" fillId="12" borderId="59" xfId="8" applyFont="1" applyFill="1" applyBorder="1" applyAlignment="1">
      <alignment vertical="center"/>
    </xf>
    <xf numFmtId="44" fontId="36" fillId="12" borderId="59" xfId="8" applyFont="1" applyFill="1" applyBorder="1" applyAlignment="1">
      <alignment vertical="center"/>
    </xf>
    <xf numFmtId="44" fontId="36" fillId="12" borderId="60" xfId="8" applyFont="1" applyFill="1" applyBorder="1" applyAlignment="1">
      <alignment vertical="center"/>
    </xf>
    <xf numFmtId="0" fontId="2" fillId="0" borderId="104" xfId="0" applyFont="1" applyBorder="1" applyAlignment="1">
      <alignment vertical="center"/>
    </xf>
    <xf numFmtId="44" fontId="2" fillId="0" borderId="105" xfId="0" applyNumberFormat="1" applyFont="1" applyBorder="1" applyAlignment="1">
      <alignment vertical="center"/>
    </xf>
    <xf numFmtId="44" fontId="0" fillId="20" borderId="104" xfId="0" applyNumberFormat="1" applyFill="1" applyBorder="1" applyAlignment="1">
      <alignment vertical="center"/>
    </xf>
    <xf numFmtId="44" fontId="0" fillId="20" borderId="106" xfId="0" applyNumberFormat="1" applyFill="1" applyBorder="1" applyAlignment="1">
      <alignment vertical="center"/>
    </xf>
    <xf numFmtId="9" fontId="29" fillId="17" borderId="80" xfId="1" applyFont="1" applyFill="1" applyBorder="1" applyAlignment="1">
      <alignment horizontal="center" vertical="center"/>
    </xf>
    <xf numFmtId="0" fontId="2" fillId="17" borderId="65" xfId="0" applyFont="1" applyFill="1" applyBorder="1" applyAlignment="1">
      <alignment vertical="center"/>
    </xf>
    <xf numFmtId="44" fontId="2" fillId="17" borderId="99" xfId="0" applyNumberFormat="1" applyFont="1" applyFill="1" applyBorder="1" applyAlignment="1">
      <alignment vertical="center"/>
    </xf>
    <xf numFmtId="0" fontId="2" fillId="17" borderId="0" xfId="0" applyFont="1" applyFill="1" applyAlignment="1">
      <alignment vertical="center"/>
    </xf>
    <xf numFmtId="44" fontId="2" fillId="17" borderId="0" xfId="0" applyNumberFormat="1" applyFont="1" applyFill="1" applyAlignment="1">
      <alignment vertical="center"/>
    </xf>
    <xf numFmtId="9" fontId="29" fillId="17" borderId="0" xfId="1" applyFont="1" applyFill="1" applyBorder="1" applyAlignment="1">
      <alignment horizontal="center" vertical="center"/>
    </xf>
    <xf numFmtId="44" fontId="0" fillId="17" borderId="0" xfId="0" applyNumberFormat="1" applyFill="1" applyAlignment="1">
      <alignment vertical="center"/>
    </xf>
    <xf numFmtId="0" fontId="0" fillId="17" borderId="0" xfId="0" applyFill="1"/>
    <xf numFmtId="0" fontId="56" fillId="42" borderId="104" xfId="0" applyFont="1" applyFill="1" applyBorder="1" applyAlignment="1">
      <alignment vertical="center"/>
    </xf>
    <xf numFmtId="44" fontId="56" fillId="42" borderId="105" xfId="0" applyNumberFormat="1" applyFont="1" applyFill="1" applyBorder="1" applyAlignment="1">
      <alignment vertical="center"/>
    </xf>
    <xf numFmtId="0" fontId="2" fillId="0" borderId="65" xfId="0" applyFont="1" applyBorder="1" applyAlignment="1">
      <alignment vertical="center"/>
    </xf>
    <xf numFmtId="44" fontId="2" fillId="0" borderId="99" xfId="0" applyNumberFormat="1" applyFont="1" applyBorder="1" applyAlignment="1">
      <alignment vertical="center"/>
    </xf>
    <xf numFmtId="9" fontId="29" fillId="0" borderId="79" xfId="1" applyFont="1" applyFill="1" applyBorder="1" applyAlignment="1">
      <alignment horizontal="center" vertical="center"/>
    </xf>
    <xf numFmtId="0" fontId="2" fillId="19" borderId="61" xfId="0" applyFont="1" applyFill="1" applyBorder="1" applyAlignment="1">
      <alignment vertical="center"/>
    </xf>
    <xf numFmtId="44" fontId="2" fillId="19" borderId="64" xfId="0" applyNumberFormat="1" applyFont="1" applyFill="1" applyBorder="1" applyAlignment="1">
      <alignment vertical="center"/>
    </xf>
    <xf numFmtId="44" fontId="57" fillId="12" borderId="7" xfId="8" applyFont="1" applyFill="1" applyBorder="1" applyAlignment="1">
      <alignment vertical="center"/>
    </xf>
    <xf numFmtId="44" fontId="57" fillId="12" borderId="60" xfId="8" applyFont="1" applyFill="1" applyBorder="1" applyAlignment="1">
      <alignment vertical="center"/>
    </xf>
    <xf numFmtId="44" fontId="30" fillId="17" borderId="60" xfId="8" applyFont="1" applyFill="1" applyBorder="1" applyAlignment="1">
      <alignment vertical="center"/>
    </xf>
    <xf numFmtId="44" fontId="29" fillId="20" borderId="84" xfId="0" applyNumberFormat="1" applyFont="1" applyFill="1" applyBorder="1" applyAlignment="1">
      <alignment vertical="center"/>
    </xf>
    <xf numFmtId="44" fontId="29" fillId="20" borderId="106" xfId="0" applyNumberFormat="1" applyFont="1" applyFill="1" applyBorder="1" applyAlignment="1">
      <alignment vertical="center"/>
    </xf>
    <xf numFmtId="0" fontId="29" fillId="0" borderId="0" xfId="0" applyFont="1"/>
    <xf numFmtId="44" fontId="29" fillId="20" borderId="7" xfId="0" applyNumberFormat="1" applyFont="1" applyFill="1" applyBorder="1" applyAlignment="1">
      <alignment vertical="center"/>
    </xf>
    <xf numFmtId="0" fontId="58" fillId="0" borderId="0" xfId="0" applyFont="1"/>
    <xf numFmtId="49" fontId="59" fillId="0" borderId="0" xfId="2" applyNumberFormat="1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14" fontId="6" fillId="0" borderId="30" xfId="2" applyNumberFormat="1" applyFont="1" applyBorder="1" applyAlignment="1" applyProtection="1">
      <alignment horizontal="left" vertical="center"/>
      <protection locked="0"/>
    </xf>
    <xf numFmtId="49" fontId="58" fillId="0" borderId="0" xfId="0" applyNumberFormat="1" applyFont="1"/>
    <xf numFmtId="0" fontId="58" fillId="0" borderId="0" xfId="1" applyNumberFormat="1" applyFont="1"/>
    <xf numFmtId="165" fontId="61" fillId="6" borderId="36" xfId="4" applyFont="1" applyFill="1" applyBorder="1" applyAlignment="1">
      <alignment horizontal="center" vertical="center" wrapText="1"/>
    </xf>
    <xf numFmtId="168" fontId="60" fillId="0" borderId="5" xfId="1" applyNumberFormat="1" applyFont="1" applyBorder="1"/>
    <xf numFmtId="166" fontId="61" fillId="0" borderId="38" xfId="4" applyNumberFormat="1" applyFont="1" applyBorder="1" applyAlignment="1">
      <alignment horizontal="center" vertical="center" wrapText="1"/>
    </xf>
    <xf numFmtId="0" fontId="60" fillId="5" borderId="0" xfId="0" applyFont="1" applyFill="1"/>
    <xf numFmtId="49" fontId="60" fillId="5" borderId="0" xfId="0" applyNumberFormat="1" applyFont="1" applyFill="1"/>
    <xf numFmtId="0" fontId="62" fillId="0" borderId="0" xfId="0" applyFont="1"/>
    <xf numFmtId="0" fontId="58" fillId="0" borderId="43" xfId="0" applyFont="1" applyBorder="1" applyAlignment="1">
      <alignment horizontal="left" vertical="center"/>
    </xf>
    <xf numFmtId="49" fontId="58" fillId="0" borderId="44" xfId="0" applyNumberFormat="1" applyFont="1" applyBorder="1" applyAlignment="1">
      <alignment horizontal="left" vertical="center"/>
    </xf>
    <xf numFmtId="0" fontId="58" fillId="0" borderId="45" xfId="0" applyFont="1" applyBorder="1" applyAlignment="1">
      <alignment horizontal="left" vertical="center"/>
    </xf>
    <xf numFmtId="0" fontId="58" fillId="0" borderId="43" xfId="0" applyFont="1" applyBorder="1" applyAlignment="1">
      <alignment horizontal="left" vertical="center" wrapText="1"/>
    </xf>
    <xf numFmtId="0" fontId="6" fillId="6" borderId="65" xfId="3" applyFont="1" applyFill="1" applyBorder="1" applyAlignment="1">
      <alignment horizontal="left" vertical="center"/>
    </xf>
    <xf numFmtId="0" fontId="6" fillId="6" borderId="66" xfId="3" applyFont="1" applyFill="1" applyBorder="1" applyAlignment="1">
      <alignment horizontal="center" vertical="center"/>
    </xf>
    <xf numFmtId="0" fontId="15" fillId="6" borderId="66" xfId="3" applyFont="1" applyFill="1" applyBorder="1" applyAlignment="1">
      <alignment horizontal="center" vertical="center"/>
    </xf>
    <xf numFmtId="169" fontId="15" fillId="6" borderId="66" xfId="3" applyNumberFormat="1" applyFont="1" applyFill="1" applyBorder="1" applyAlignment="1">
      <alignment horizontal="center" vertical="center" wrapText="1"/>
    </xf>
    <xf numFmtId="0" fontId="15" fillId="6" borderId="66" xfId="3" applyFont="1" applyFill="1" applyBorder="1" applyAlignment="1">
      <alignment horizontal="center" vertical="center" wrapText="1"/>
    </xf>
    <xf numFmtId="171" fontId="15" fillId="6" borderId="66" xfId="1" applyNumberFormat="1" applyFont="1" applyFill="1" applyBorder="1" applyAlignment="1">
      <alignment horizontal="center" vertical="center" wrapText="1"/>
    </xf>
    <xf numFmtId="10" fontId="15" fillId="6" borderId="66" xfId="1" applyNumberFormat="1" applyFont="1" applyFill="1" applyBorder="1" applyAlignment="1">
      <alignment horizontal="center" vertical="center" wrapText="1"/>
    </xf>
    <xf numFmtId="0" fontId="15" fillId="6" borderId="68" xfId="3" applyFont="1" applyFill="1" applyBorder="1" applyAlignment="1">
      <alignment horizontal="center" vertical="center" wrapText="1"/>
    </xf>
    <xf numFmtId="37" fontId="61" fillId="6" borderId="52" xfId="3" applyNumberFormat="1" applyFont="1" applyFill="1" applyBorder="1" applyAlignment="1">
      <alignment horizontal="center" vertical="center"/>
    </xf>
    <xf numFmtId="37" fontId="61" fillId="6" borderId="53" xfId="3" applyNumberFormat="1" applyFont="1" applyFill="1" applyBorder="1" applyAlignment="1">
      <alignment horizontal="center" vertical="center"/>
    </xf>
    <xf numFmtId="40" fontId="61" fillId="6" borderId="53" xfId="4" applyNumberFormat="1" applyFont="1" applyFill="1" applyBorder="1" applyAlignment="1">
      <alignment horizontal="center" vertical="center"/>
    </xf>
    <xf numFmtId="165" fontId="61" fillId="6" borderId="53" xfId="4" applyFont="1" applyFill="1" applyBorder="1" applyAlignment="1">
      <alignment horizontal="right" vertical="center"/>
    </xf>
    <xf numFmtId="40" fontId="61" fillId="6" borderId="53" xfId="4" applyNumberFormat="1" applyFont="1" applyFill="1" applyBorder="1" applyAlignment="1">
      <alignment horizontal="center" vertical="center" wrapText="1"/>
    </xf>
    <xf numFmtId="10" fontId="61" fillId="6" borderId="53" xfId="5" applyNumberFormat="1" applyFont="1" applyFill="1" applyBorder="1" applyAlignment="1">
      <alignment horizontal="center" vertical="center" wrapText="1"/>
    </xf>
    <xf numFmtId="165" fontId="61" fillId="6" borderId="53" xfId="4" applyFont="1" applyFill="1" applyBorder="1" applyAlignment="1">
      <alignment horizontal="center" vertical="center" wrapText="1"/>
    </xf>
    <xf numFmtId="165" fontId="61" fillId="6" borderId="54" xfId="4" applyFont="1" applyFill="1" applyBorder="1" applyAlignment="1">
      <alignment horizontal="center" vertical="center" wrapText="1"/>
    </xf>
    <xf numFmtId="10" fontId="61" fillId="6" borderId="46" xfId="5" applyNumberFormat="1" applyFont="1" applyFill="1" applyBorder="1" applyAlignment="1">
      <alignment horizontal="center" vertical="center" wrapText="1"/>
    </xf>
    <xf numFmtId="10" fontId="61" fillId="6" borderId="47" xfId="5" applyNumberFormat="1" applyFont="1" applyFill="1" applyBorder="1" applyAlignment="1">
      <alignment horizontal="center" vertical="center" wrapText="1"/>
    </xf>
    <xf numFmtId="165" fontId="61" fillId="6" borderId="48" xfId="4" applyFont="1" applyFill="1" applyBorder="1" applyAlignment="1">
      <alignment horizontal="center" vertical="center" wrapText="1"/>
    </xf>
    <xf numFmtId="165" fontId="61" fillId="6" borderId="47" xfId="4" applyFont="1" applyFill="1" applyBorder="1" applyAlignment="1">
      <alignment horizontal="center" vertical="center" wrapText="1"/>
    </xf>
    <xf numFmtId="37" fontId="61" fillId="6" borderId="3" xfId="3" applyNumberFormat="1" applyFont="1" applyFill="1" applyBorder="1" applyAlignment="1">
      <alignment horizontal="center" vertical="center"/>
    </xf>
    <xf numFmtId="40" fontId="61" fillId="6" borderId="49" xfId="4" applyNumberFormat="1" applyFont="1" applyFill="1" applyBorder="1" applyAlignment="1">
      <alignment horizontal="center" vertical="center"/>
    </xf>
    <xf numFmtId="166" fontId="63" fillId="6" borderId="50" xfId="4" applyNumberFormat="1" applyFont="1" applyFill="1" applyBorder="1" applyAlignment="1">
      <alignment horizontal="center" vertical="center" wrapText="1"/>
    </xf>
    <xf numFmtId="166" fontId="64" fillId="6" borderId="51" xfId="4" applyNumberFormat="1" applyFont="1" applyFill="1" applyBorder="1" applyAlignment="1">
      <alignment horizontal="center" vertical="center" wrapText="1"/>
    </xf>
    <xf numFmtId="49" fontId="58" fillId="0" borderId="44" xfId="0" applyNumberFormat="1" applyFont="1" applyBorder="1" applyAlignment="1">
      <alignment horizontal="left" vertical="center" wrapText="1"/>
    </xf>
    <xf numFmtId="0" fontId="58" fillId="0" borderId="45" xfId="0" applyFont="1" applyBorder="1" applyAlignment="1">
      <alignment horizontal="left" vertical="center" wrapText="1"/>
    </xf>
    <xf numFmtId="0" fontId="15" fillId="11" borderId="66" xfId="0" applyFont="1" applyFill="1" applyBorder="1" applyAlignment="1">
      <alignment horizontal="center" vertical="center"/>
    </xf>
    <xf numFmtId="0" fontId="15" fillId="11" borderId="68" xfId="0" applyFont="1" applyFill="1" applyBorder="1" applyAlignment="1">
      <alignment horizontal="center" vertical="center"/>
    </xf>
    <xf numFmtId="0" fontId="60" fillId="11" borderId="10" xfId="0" applyFont="1" applyFill="1" applyBorder="1" applyAlignment="1">
      <alignment horizontal="center" vertical="center"/>
    </xf>
    <xf numFmtId="0" fontId="60" fillId="11" borderId="60" xfId="0" applyFont="1" applyFill="1" applyBorder="1" applyAlignment="1">
      <alignment horizontal="center" vertical="center"/>
    </xf>
    <xf numFmtId="0" fontId="15" fillId="0" borderId="61" xfId="2" applyFont="1" applyBorder="1" applyAlignment="1">
      <alignment horizontal="left" vertical="center" wrapText="1"/>
    </xf>
    <xf numFmtId="0" fontId="65" fillId="17" borderId="60" xfId="2" applyFont="1" applyFill="1" applyBorder="1" applyAlignment="1">
      <alignment horizontal="left" vertical="center" wrapText="1"/>
    </xf>
    <xf numFmtId="0" fontId="66" fillId="0" borderId="60" xfId="2" applyFont="1" applyBorder="1" applyAlignment="1">
      <alignment horizontal="center" vertical="center" wrapText="1"/>
    </xf>
    <xf numFmtId="169" fontId="65" fillId="17" borderId="60" xfId="10" applyNumberFormat="1" applyFont="1" applyFill="1" applyBorder="1" applyAlignment="1">
      <alignment horizontal="left" vertical="center" wrapText="1"/>
    </xf>
    <xf numFmtId="44" fontId="66" fillId="0" borderId="60" xfId="8" applyFont="1" applyBorder="1" applyAlignment="1">
      <alignment vertical="center"/>
    </xf>
    <xf numFmtId="44" fontId="66" fillId="0" borderId="64" xfId="8" applyFont="1" applyBorder="1" applyAlignment="1">
      <alignment vertical="center"/>
    </xf>
    <xf numFmtId="1" fontId="66" fillId="12" borderId="61" xfId="0" applyNumberFormat="1" applyFont="1" applyFill="1" applyBorder="1" applyAlignment="1">
      <alignment horizontal="center" vertical="center"/>
    </xf>
    <xf numFmtId="1" fontId="66" fillId="12" borderId="60" xfId="0" applyNumberFormat="1" applyFont="1" applyFill="1" applyBorder="1" applyAlignment="1">
      <alignment horizontal="center" vertical="center"/>
    </xf>
    <xf numFmtId="44" fontId="66" fillId="12" borderId="60" xfId="8" applyFont="1" applyFill="1" applyBorder="1" applyAlignment="1">
      <alignment vertical="center"/>
    </xf>
    <xf numFmtId="44" fontId="66" fillId="14" borderId="60" xfId="8" applyFont="1" applyFill="1" applyBorder="1" applyAlignment="1">
      <alignment vertical="center"/>
    </xf>
    <xf numFmtId="9" fontId="66" fillId="13" borderId="60" xfId="1" applyFont="1" applyFill="1" applyBorder="1" applyAlignment="1">
      <alignment vertical="center"/>
    </xf>
    <xf numFmtId="44" fontId="66" fillId="13" borderId="60" xfId="8" applyFont="1" applyFill="1" applyBorder="1" applyAlignment="1">
      <alignment vertical="center"/>
    </xf>
    <xf numFmtId="44" fontId="66" fillId="13" borderId="64" xfId="8" applyFont="1" applyFill="1" applyBorder="1" applyAlignment="1">
      <alignment vertical="center"/>
    </xf>
    <xf numFmtId="10" fontId="66" fillId="14" borderId="10" xfId="0" applyNumberFormat="1" applyFont="1" applyFill="1" applyBorder="1" applyAlignment="1">
      <alignment horizontal="center" vertical="center"/>
    </xf>
    <xf numFmtId="10" fontId="66" fillId="14" borderId="60" xfId="0" applyNumberFormat="1" applyFont="1" applyFill="1" applyBorder="1" applyAlignment="1">
      <alignment horizontal="center" vertical="center"/>
    </xf>
    <xf numFmtId="0" fontId="66" fillId="0" borderId="61" xfId="0" applyFont="1" applyBorder="1" applyAlignment="1">
      <alignment horizontal="left" vertical="center" wrapText="1"/>
    </xf>
    <xf numFmtId="0" fontId="66" fillId="0" borderId="60" xfId="0" applyFont="1" applyBorder="1" applyAlignment="1">
      <alignment horizontal="center" vertical="center"/>
    </xf>
    <xf numFmtId="0" fontId="66" fillId="0" borderId="60" xfId="2" applyFont="1" applyBorder="1" applyAlignment="1">
      <alignment horizontal="left" vertical="center" wrapText="1"/>
    </xf>
    <xf numFmtId="0" fontId="65" fillId="0" borderId="60" xfId="2" applyFont="1" applyBorder="1" applyAlignment="1">
      <alignment horizontal="left" vertical="center" wrapText="1"/>
    </xf>
    <xf numFmtId="0" fontId="58" fillId="13" borderId="0" xfId="0" applyFont="1" applyFill="1"/>
    <xf numFmtId="44" fontId="26" fillId="15" borderId="11" xfId="8" applyFont="1" applyFill="1" applyBorder="1" applyAlignment="1">
      <alignment horizontal="center"/>
    </xf>
    <xf numFmtId="44" fontId="26" fillId="15" borderId="73" xfId="8" applyFont="1" applyFill="1" applyBorder="1" applyAlignment="1">
      <alignment horizontal="center"/>
    </xf>
    <xf numFmtId="0" fontId="58" fillId="0" borderId="56" xfId="0" applyFont="1" applyBorder="1" applyAlignment="1">
      <alignment horizontal="left" vertical="center" wrapText="1"/>
    </xf>
    <xf numFmtId="49" fontId="58" fillId="0" borderId="57" xfId="0" applyNumberFormat="1" applyFont="1" applyBorder="1" applyAlignment="1">
      <alignment horizontal="left" vertical="center" wrapText="1"/>
    </xf>
    <xf numFmtId="0" fontId="58" fillId="0" borderId="58" xfId="0" applyFont="1" applyBorder="1" applyAlignment="1">
      <alignment horizontal="left" vertical="center" wrapText="1"/>
    </xf>
    <xf numFmtId="0" fontId="26" fillId="15" borderId="6" xfId="0" applyFont="1" applyFill="1" applyBorder="1"/>
    <xf numFmtId="0" fontId="26" fillId="15" borderId="35" xfId="0" applyFont="1" applyFill="1" applyBorder="1"/>
    <xf numFmtId="44" fontId="26" fillId="15" borderId="35" xfId="0" applyNumberFormat="1" applyFont="1" applyFill="1" applyBorder="1"/>
    <xf numFmtId="44" fontId="26" fillId="15" borderId="72" xfId="0" applyNumberFormat="1" applyFont="1" applyFill="1" applyBorder="1"/>
    <xf numFmtId="0" fontId="26" fillId="15" borderId="6" xfId="0" applyFont="1" applyFill="1" applyBorder="1" applyAlignment="1">
      <alignment horizontal="center"/>
    </xf>
    <xf numFmtId="0" fontId="26" fillId="15" borderId="35" xfId="0" applyFont="1" applyFill="1" applyBorder="1" applyAlignment="1">
      <alignment horizontal="center"/>
    </xf>
    <xf numFmtId="9" fontId="26" fillId="15" borderId="14" xfId="1" applyFont="1" applyFill="1" applyBorder="1"/>
    <xf numFmtId="44" fontId="26" fillId="15" borderId="74" xfId="8" applyFont="1" applyFill="1" applyBorder="1"/>
    <xf numFmtId="37" fontId="61" fillId="6" borderId="65" xfId="3" applyNumberFormat="1" applyFont="1" applyFill="1" applyBorder="1" applyAlignment="1">
      <alignment horizontal="center" vertical="center"/>
    </xf>
    <xf numFmtId="37" fontId="61" fillId="6" borderId="66" xfId="3" applyNumberFormat="1" applyFont="1" applyFill="1" applyBorder="1" applyAlignment="1">
      <alignment horizontal="center" vertical="center"/>
    </xf>
    <xf numFmtId="40" fontId="61" fillId="6" borderId="66" xfId="4" applyNumberFormat="1" applyFont="1" applyFill="1" applyBorder="1" applyAlignment="1">
      <alignment horizontal="center" vertical="center"/>
    </xf>
    <xf numFmtId="165" fontId="61" fillId="6" borderId="66" xfId="4" applyFont="1" applyFill="1" applyBorder="1" applyAlignment="1">
      <alignment horizontal="right" vertical="center"/>
    </xf>
    <xf numFmtId="40" fontId="61" fillId="6" borderId="66" xfId="4" applyNumberFormat="1" applyFont="1" applyFill="1" applyBorder="1" applyAlignment="1">
      <alignment horizontal="center" vertical="center" wrapText="1"/>
    </xf>
    <xf numFmtId="10" fontId="61" fillId="6" borderId="66" xfId="5" applyNumberFormat="1" applyFont="1" applyFill="1" applyBorder="1" applyAlignment="1">
      <alignment horizontal="center" vertical="center" wrapText="1"/>
    </xf>
    <xf numFmtId="165" fontId="61" fillId="6" borderId="66" xfId="4" applyFont="1" applyFill="1" applyBorder="1" applyAlignment="1">
      <alignment horizontal="center" vertical="center" wrapText="1"/>
    </xf>
    <xf numFmtId="165" fontId="61" fillId="6" borderId="68" xfId="4" applyFont="1" applyFill="1" applyBorder="1" applyAlignment="1">
      <alignment horizontal="center" vertical="center" wrapText="1"/>
    </xf>
    <xf numFmtId="0" fontId="58" fillId="0" borderId="55" xfId="0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15" fillId="11" borderId="60" xfId="0" applyFont="1" applyFill="1" applyBorder="1" applyAlignment="1">
      <alignment horizontal="center" vertical="center"/>
    </xf>
    <xf numFmtId="0" fontId="15" fillId="11" borderId="64" xfId="0" applyFont="1" applyFill="1" applyBorder="1" applyAlignment="1">
      <alignment horizontal="center" vertical="center"/>
    </xf>
    <xf numFmtId="0" fontId="60" fillId="11" borderId="65" xfId="0" applyFont="1" applyFill="1" applyBorder="1" applyAlignment="1">
      <alignment horizontal="center" vertical="center"/>
    </xf>
    <xf numFmtId="0" fontId="60" fillId="11" borderId="68" xfId="0" applyFont="1" applyFill="1" applyBorder="1" applyAlignment="1">
      <alignment horizontal="center" vertical="center"/>
    </xf>
    <xf numFmtId="0" fontId="66" fillId="17" borderId="61" xfId="2" applyFont="1" applyFill="1" applyBorder="1" applyAlignment="1">
      <alignment vertical="center" wrapText="1"/>
    </xf>
    <xf numFmtId="0" fontId="65" fillId="0" borderId="60" xfId="2" quotePrefix="1" applyFont="1" applyBorder="1" applyAlignment="1">
      <alignment horizontal="center" vertical="center"/>
    </xf>
    <xf numFmtId="3" fontId="65" fillId="0" borderId="60" xfId="2" quotePrefix="1" applyNumberFormat="1" applyFont="1" applyBorder="1" applyAlignment="1">
      <alignment horizontal="center" vertical="center"/>
    </xf>
    <xf numFmtId="44" fontId="65" fillId="0" borderId="60" xfId="10" quotePrefix="1" applyFont="1" applyBorder="1" applyAlignment="1">
      <alignment horizontal="right" vertical="center"/>
    </xf>
    <xf numFmtId="0" fontId="58" fillId="0" borderId="0" xfId="0" applyFont="1" applyAlignment="1">
      <alignment vertical="center"/>
    </xf>
    <xf numFmtId="10" fontId="66" fillId="14" borderId="61" xfId="0" applyNumberFormat="1" applyFont="1" applyFill="1" applyBorder="1" applyAlignment="1">
      <alignment horizontal="center" vertical="center"/>
    </xf>
    <xf numFmtId="10" fontId="66" fillId="14" borderId="64" xfId="0" applyNumberFormat="1" applyFont="1" applyFill="1" applyBorder="1" applyAlignment="1">
      <alignment horizontal="center" vertical="center"/>
    </xf>
    <xf numFmtId="44" fontId="65" fillId="21" borderId="60" xfId="10" quotePrefix="1" applyFont="1" applyFill="1" applyBorder="1" applyAlignment="1">
      <alignment horizontal="right" vertical="center"/>
    </xf>
    <xf numFmtId="0" fontId="66" fillId="17" borderId="60" xfId="2" applyFont="1" applyFill="1" applyBorder="1" applyAlignment="1">
      <alignment horizontal="left" vertical="center" wrapText="1"/>
    </xf>
    <xf numFmtId="0" fontId="65" fillId="17" borderId="60" xfId="2" quotePrefix="1" applyFont="1" applyFill="1" applyBorder="1" applyAlignment="1">
      <alignment horizontal="center" vertical="center"/>
    </xf>
    <xf numFmtId="3" fontId="65" fillId="17" borderId="60" xfId="2" quotePrefix="1" applyNumberFormat="1" applyFont="1" applyFill="1" applyBorder="1" applyAlignment="1">
      <alignment horizontal="center" vertical="center"/>
    </xf>
    <xf numFmtId="0" fontId="66" fillId="17" borderId="61" xfId="2" applyFont="1" applyFill="1" applyBorder="1" applyAlignment="1">
      <alignment horizontal="left" vertical="center" wrapText="1"/>
    </xf>
    <xf numFmtId="0" fontId="66" fillId="17" borderId="60" xfId="2" quotePrefix="1" applyFont="1" applyFill="1" applyBorder="1" applyAlignment="1">
      <alignment horizontal="center" vertical="center"/>
    </xf>
    <xf numFmtId="3" fontId="66" fillId="17" borderId="60" xfId="2" quotePrefix="1" applyNumberFormat="1" applyFont="1" applyFill="1" applyBorder="1" applyAlignment="1">
      <alignment horizontal="center" vertical="center"/>
    </xf>
    <xf numFmtId="0" fontId="66" fillId="0" borderId="61" xfId="2" applyFont="1" applyBorder="1" applyAlignment="1">
      <alignment horizontal="left" vertical="center" wrapText="1"/>
    </xf>
    <xf numFmtId="44" fontId="67" fillId="12" borderId="60" xfId="8" applyFont="1" applyFill="1" applyBorder="1" applyAlignment="1">
      <alignment vertical="center"/>
    </xf>
    <xf numFmtId="10" fontId="66" fillId="14" borderId="69" xfId="0" applyNumberFormat="1" applyFont="1" applyFill="1" applyBorder="1" applyAlignment="1">
      <alignment horizontal="center" vertical="center"/>
    </xf>
    <xf numFmtId="10" fontId="66" fillId="14" borderId="71" xfId="0" applyNumberFormat="1" applyFont="1" applyFill="1" applyBorder="1" applyAlignment="1">
      <alignment horizontal="center" vertical="center"/>
    </xf>
    <xf numFmtId="0" fontId="58" fillId="13" borderId="67" xfId="0" applyFont="1" applyFill="1" applyBorder="1" applyAlignment="1">
      <alignment vertical="center"/>
    </xf>
    <xf numFmtId="0" fontId="66" fillId="0" borderId="60" xfId="0" applyFont="1" applyBorder="1" applyAlignment="1">
      <alignment horizontal="left" vertical="center" wrapText="1"/>
    </xf>
    <xf numFmtId="44" fontId="58" fillId="0" borderId="0" xfId="0" applyNumberFormat="1" applyFont="1" applyAlignment="1">
      <alignment vertical="center"/>
    </xf>
    <xf numFmtId="44" fontId="68" fillId="12" borderId="60" xfId="8" applyFont="1" applyFill="1" applyBorder="1" applyAlignment="1">
      <alignment vertical="center"/>
    </xf>
    <xf numFmtId="8" fontId="66" fillId="12" borderId="7" xfId="0" applyNumberFormat="1" applyFont="1" applyFill="1" applyBorder="1" applyAlignment="1">
      <alignment vertical="center"/>
    </xf>
    <xf numFmtId="44" fontId="66" fillId="12" borderId="9" xfId="0" applyNumberFormat="1" applyFont="1" applyFill="1" applyBorder="1" applyAlignment="1">
      <alignment vertical="center"/>
    </xf>
    <xf numFmtId="14" fontId="66" fillId="12" borderId="10" xfId="0" applyNumberFormat="1" applyFont="1" applyFill="1" applyBorder="1" applyAlignment="1">
      <alignment vertical="center"/>
    </xf>
    <xf numFmtId="0" fontId="66" fillId="12" borderId="7" xfId="0" applyFont="1" applyFill="1" applyBorder="1" applyAlignment="1">
      <alignment wrapText="1"/>
    </xf>
    <xf numFmtId="0" fontId="66" fillId="12" borderId="10" xfId="0" applyFont="1" applyFill="1" applyBorder="1" applyAlignment="1">
      <alignment wrapText="1"/>
    </xf>
    <xf numFmtId="44" fontId="69" fillId="12" borderId="60" xfId="8" applyFont="1" applyFill="1" applyBorder="1" applyAlignment="1">
      <alignment vertical="center"/>
    </xf>
    <xf numFmtId="44" fontId="65" fillId="12" borderId="60" xfId="8" applyFont="1" applyFill="1" applyBorder="1" applyAlignment="1">
      <alignment vertical="center"/>
    </xf>
    <xf numFmtId="0" fontId="70" fillId="17" borderId="60" xfId="2" applyFont="1" applyFill="1" applyBorder="1" applyAlignment="1">
      <alignment horizontal="left" vertical="center" wrapText="1"/>
    </xf>
    <xf numFmtId="0" fontId="66" fillId="17" borderId="60" xfId="0" applyFont="1" applyFill="1" applyBorder="1" applyAlignment="1">
      <alignment horizontal="center" vertical="center"/>
    </xf>
    <xf numFmtId="44" fontId="66" fillId="17" borderId="60" xfId="8" applyFont="1" applyFill="1" applyBorder="1" applyAlignment="1">
      <alignment vertical="center"/>
    </xf>
    <xf numFmtId="0" fontId="58" fillId="13" borderId="60" xfId="0" applyFont="1" applyFill="1" applyBorder="1" applyAlignment="1">
      <alignment vertical="center"/>
    </xf>
    <xf numFmtId="10" fontId="66" fillId="14" borderId="97" xfId="0" applyNumberFormat="1" applyFont="1" applyFill="1" applyBorder="1" applyAlignment="1">
      <alignment horizontal="center" vertical="center"/>
    </xf>
    <xf numFmtId="10" fontId="66" fillId="14" borderId="63" xfId="0" applyNumberFormat="1" applyFont="1" applyFill="1" applyBorder="1" applyAlignment="1">
      <alignment horizontal="center" vertical="center"/>
    </xf>
    <xf numFmtId="10" fontId="66" fillId="14" borderId="33" xfId="0" applyNumberFormat="1" applyFont="1" applyFill="1" applyBorder="1" applyAlignment="1">
      <alignment horizontal="center" vertical="center"/>
    </xf>
    <xf numFmtId="44" fontId="66" fillId="21" borderId="60" xfId="8" applyFont="1" applyFill="1" applyBorder="1" applyAlignment="1">
      <alignment vertical="center"/>
    </xf>
    <xf numFmtId="44" fontId="71" fillId="12" borderId="60" xfId="8" applyFont="1" applyFill="1" applyBorder="1" applyAlignment="1">
      <alignment vertical="center"/>
    </xf>
    <xf numFmtId="0" fontId="66" fillId="21" borderId="60" xfId="0" applyFont="1" applyFill="1" applyBorder="1" applyAlignment="1">
      <alignment horizontal="center" vertical="center"/>
    </xf>
    <xf numFmtId="44" fontId="66" fillId="0" borderId="67" xfId="8" applyFont="1" applyBorder="1" applyAlignment="1">
      <alignment vertical="center"/>
    </xf>
    <xf numFmtId="44" fontId="66" fillId="0" borderId="51" xfId="8" applyFont="1" applyBorder="1" applyAlignment="1">
      <alignment vertical="center"/>
    </xf>
    <xf numFmtId="1" fontId="66" fillId="12" borderId="62" xfId="0" applyNumberFormat="1" applyFont="1" applyFill="1" applyBorder="1" applyAlignment="1">
      <alignment horizontal="center" vertical="center"/>
    </xf>
    <xf numFmtId="1" fontId="66" fillId="12" borderId="59" xfId="0" applyNumberFormat="1" applyFont="1" applyFill="1" applyBorder="1" applyAlignment="1">
      <alignment horizontal="center" vertical="center"/>
    </xf>
    <xf numFmtId="44" fontId="65" fillId="12" borderId="59" xfId="8" applyFont="1" applyFill="1" applyBorder="1" applyAlignment="1">
      <alignment vertical="center"/>
    </xf>
    <xf numFmtId="44" fontId="69" fillId="12" borderId="59" xfId="8" applyFont="1" applyFill="1" applyBorder="1" applyAlignment="1">
      <alignment vertical="center"/>
    </xf>
    <xf numFmtId="44" fontId="66" fillId="14" borderId="59" xfId="8" applyFont="1" applyFill="1" applyBorder="1" applyAlignment="1">
      <alignment vertical="center"/>
    </xf>
    <xf numFmtId="9" fontId="66" fillId="13" borderId="59" xfId="1" applyFont="1" applyFill="1" applyBorder="1" applyAlignment="1">
      <alignment vertical="center"/>
    </xf>
    <xf numFmtId="44" fontId="66" fillId="13" borderId="59" xfId="8" applyFont="1" applyFill="1" applyBorder="1" applyAlignment="1">
      <alignment vertical="center"/>
    </xf>
    <xf numFmtId="44" fontId="66" fillId="13" borderId="51" xfId="8" applyFont="1" applyFill="1" applyBorder="1" applyAlignment="1">
      <alignment vertical="center"/>
    </xf>
    <xf numFmtId="10" fontId="66" fillId="14" borderId="67" xfId="0" applyNumberFormat="1" applyFont="1" applyFill="1" applyBorder="1" applyAlignment="1">
      <alignment horizontal="center" vertical="center"/>
    </xf>
    <xf numFmtId="44" fontId="72" fillId="12" borderId="60" xfId="8" applyFont="1" applyFill="1" applyBorder="1" applyAlignment="1">
      <alignment vertical="center"/>
    </xf>
    <xf numFmtId="0" fontId="66" fillId="0" borderId="69" xfId="0" applyFont="1" applyBorder="1" applyAlignment="1">
      <alignment horizontal="left" vertical="center" wrapText="1"/>
    </xf>
    <xf numFmtId="0" fontId="66" fillId="0" borderId="70" xfId="0" applyFont="1" applyBorder="1" applyAlignment="1">
      <alignment horizontal="left" vertical="center" wrapText="1"/>
    </xf>
    <xf numFmtId="0" fontId="66" fillId="0" borderId="70" xfId="0" applyFont="1" applyBorder="1" applyAlignment="1">
      <alignment horizontal="center" vertical="center"/>
    </xf>
    <xf numFmtId="44" fontId="66" fillId="0" borderId="70" xfId="8" applyFont="1" applyBorder="1" applyAlignment="1">
      <alignment vertical="center"/>
    </xf>
    <xf numFmtId="44" fontId="66" fillId="0" borderId="71" xfId="8" applyFont="1" applyBorder="1" applyAlignment="1">
      <alignment vertical="center"/>
    </xf>
    <xf numFmtId="1" fontId="66" fillId="12" borderId="69" xfId="0" applyNumberFormat="1" applyFont="1" applyFill="1" applyBorder="1" applyAlignment="1">
      <alignment horizontal="center" vertical="center"/>
    </xf>
    <xf numFmtId="1" fontId="66" fillId="12" borderId="70" xfId="0" applyNumberFormat="1" applyFont="1" applyFill="1" applyBorder="1" applyAlignment="1">
      <alignment horizontal="center" vertical="center"/>
    </xf>
    <xf numFmtId="44" fontId="66" fillId="12" borderId="70" xfId="8" applyFont="1" applyFill="1" applyBorder="1" applyAlignment="1">
      <alignment vertical="center"/>
    </xf>
    <xf numFmtId="44" fontId="67" fillId="12" borderId="70" xfId="8" applyFont="1" applyFill="1" applyBorder="1" applyAlignment="1">
      <alignment vertical="center"/>
    </xf>
    <xf numFmtId="44" fontId="66" fillId="14" borderId="70" xfId="8" applyFont="1" applyFill="1" applyBorder="1" applyAlignment="1">
      <alignment vertical="center"/>
    </xf>
    <xf numFmtId="9" fontId="66" fillId="13" borderId="70" xfId="1" applyFont="1" applyFill="1" applyBorder="1" applyAlignment="1">
      <alignment vertical="center"/>
    </xf>
    <xf numFmtId="44" fontId="66" fillId="13" borderId="70" xfId="8" applyFont="1" applyFill="1" applyBorder="1" applyAlignment="1">
      <alignment vertical="center"/>
    </xf>
    <xf numFmtId="44" fontId="66" fillId="13" borderId="71" xfId="8" applyFont="1" applyFill="1" applyBorder="1" applyAlignment="1">
      <alignment vertical="center"/>
    </xf>
    <xf numFmtId="44" fontId="26" fillId="15" borderId="95" xfId="8" applyFont="1" applyFill="1" applyBorder="1" applyAlignment="1">
      <alignment horizontal="center"/>
    </xf>
    <xf numFmtId="44" fontId="26" fillId="15" borderId="94" xfId="0" applyNumberFormat="1" applyFont="1" applyFill="1" applyBorder="1"/>
    <xf numFmtId="44" fontId="26" fillId="15" borderId="96" xfId="8" applyFont="1" applyFill="1" applyBorder="1"/>
    <xf numFmtId="0" fontId="58" fillId="0" borderId="60" xfId="0" applyFont="1" applyBorder="1"/>
    <xf numFmtId="44" fontId="73" fillId="0" borderId="60" xfId="8" applyFont="1" applyBorder="1"/>
    <xf numFmtId="44" fontId="74" fillId="0" borderId="60" xfId="8" applyFont="1" applyBorder="1"/>
    <xf numFmtId="165" fontId="61" fillId="6" borderId="99" xfId="4" applyFont="1" applyFill="1" applyBorder="1" applyAlignment="1">
      <alignment horizontal="center" vertical="center" wrapText="1"/>
    </xf>
    <xf numFmtId="0" fontId="66" fillId="17" borderId="50" xfId="2" applyFont="1" applyFill="1" applyBorder="1" applyAlignment="1">
      <alignment vertical="center" wrapText="1"/>
    </xf>
    <xf numFmtId="0" fontId="66" fillId="0" borderId="67" xfId="2" applyFont="1" applyBorder="1" applyAlignment="1">
      <alignment horizontal="left" vertical="center" wrapText="1"/>
    </xf>
    <xf numFmtId="0" fontId="65" fillId="0" borderId="67" xfId="2" quotePrefix="1" applyFont="1" applyBorder="1" applyAlignment="1">
      <alignment horizontal="center" vertical="center"/>
    </xf>
    <xf numFmtId="3" fontId="65" fillId="0" borderId="67" xfId="2" quotePrefix="1" applyNumberFormat="1" applyFont="1" applyBorder="1" applyAlignment="1">
      <alignment horizontal="center" vertical="center"/>
    </xf>
    <xf numFmtId="44" fontId="65" fillId="0" borderId="67" xfId="10" applyFont="1" applyBorder="1" applyAlignment="1">
      <alignment horizontal="right" vertical="center"/>
    </xf>
    <xf numFmtId="1" fontId="66" fillId="12" borderId="50" xfId="0" applyNumberFormat="1" applyFont="1" applyFill="1" applyBorder="1" applyAlignment="1">
      <alignment horizontal="center" vertical="center"/>
    </xf>
    <xf numFmtId="1" fontId="66" fillId="12" borderId="67" xfId="0" applyNumberFormat="1" applyFont="1" applyFill="1" applyBorder="1" applyAlignment="1">
      <alignment horizontal="center" vertical="center"/>
    </xf>
    <xf numFmtId="44" fontId="66" fillId="12" borderId="67" xfId="8" applyFont="1" applyFill="1" applyBorder="1" applyAlignment="1">
      <alignment vertical="center"/>
    </xf>
    <xf numFmtId="44" fontId="75" fillId="12" borderId="67" xfId="8" applyFont="1" applyFill="1" applyBorder="1" applyAlignment="1">
      <alignment vertical="center"/>
    </xf>
    <xf numFmtId="44" fontId="66" fillId="14" borderId="67" xfId="8" applyFont="1" applyFill="1" applyBorder="1" applyAlignment="1">
      <alignment vertical="center"/>
    </xf>
    <xf numFmtId="9" fontId="66" fillId="13" borderId="67" xfId="1" applyFont="1" applyFill="1" applyBorder="1" applyAlignment="1">
      <alignment vertical="center"/>
    </xf>
    <xf numFmtId="44" fontId="66" fillId="13" borderId="67" xfId="8" applyFont="1" applyFill="1" applyBorder="1" applyAlignment="1">
      <alignment vertical="center"/>
    </xf>
    <xf numFmtId="0" fontId="58" fillId="16" borderId="0" xfId="0" applyFont="1" applyFill="1"/>
    <xf numFmtId="44" fontId="75" fillId="12" borderId="60" xfId="8" applyFont="1" applyFill="1" applyBorder="1" applyAlignment="1">
      <alignment vertical="center"/>
    </xf>
    <xf numFmtId="44" fontId="66" fillId="12" borderId="59" xfId="8" applyFont="1" applyFill="1" applyBorder="1" applyAlignment="1">
      <alignment vertical="center"/>
    </xf>
    <xf numFmtId="10" fontId="66" fillId="14" borderId="101" xfId="0" applyNumberFormat="1" applyFont="1" applyFill="1" applyBorder="1" applyAlignment="1">
      <alignment horizontal="center" vertical="center"/>
    </xf>
    <xf numFmtId="0" fontId="66" fillId="0" borderId="50" xfId="0" applyFont="1" applyBorder="1" applyAlignment="1">
      <alignment horizontal="left" vertical="center" wrapText="1"/>
    </xf>
    <xf numFmtId="0" fontId="66" fillId="0" borderId="67" xfId="0" applyFont="1" applyBorder="1" applyAlignment="1">
      <alignment horizontal="left" vertical="center" wrapText="1"/>
    </xf>
    <xf numFmtId="0" fontId="66" fillId="0" borderId="67" xfId="0" applyFont="1" applyBorder="1" applyAlignment="1">
      <alignment horizontal="center" vertical="center"/>
    </xf>
    <xf numFmtId="44" fontId="26" fillId="15" borderId="98" xfId="0" applyNumberFormat="1" applyFont="1" applyFill="1" applyBorder="1"/>
    <xf numFmtId="9" fontId="26" fillId="15" borderId="15" xfId="1" applyFont="1" applyFill="1" applyBorder="1"/>
    <xf numFmtId="44" fontId="26" fillId="15" borderId="100" xfId="8" applyFont="1" applyFill="1" applyBorder="1"/>
    <xf numFmtId="44" fontId="58" fillId="0" borderId="0" xfId="0" applyNumberFormat="1" applyFont="1"/>
    <xf numFmtId="0" fontId="58" fillId="0" borderId="0" xfId="0" applyFont="1" applyAlignment="1">
      <alignment horizontal="left" vertical="top"/>
    </xf>
    <xf numFmtId="0" fontId="6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60" fillId="0" borderId="0" xfId="0" applyFont="1"/>
    <xf numFmtId="0" fontId="60" fillId="0" borderId="0" xfId="0" applyFont="1" applyAlignment="1">
      <alignment vertical="center"/>
    </xf>
    <xf numFmtId="44" fontId="0" fillId="0" borderId="0" xfId="8" applyFont="1"/>
    <xf numFmtId="0" fontId="2" fillId="43" borderId="0" xfId="0" applyFont="1" applyFill="1"/>
    <xf numFmtId="44" fontId="2" fillId="43" borderId="0" xfId="8" applyFont="1" applyFill="1"/>
    <xf numFmtId="44" fontId="2" fillId="0" borderId="0" xfId="8" applyFont="1"/>
    <xf numFmtId="0" fontId="22" fillId="0" borderId="0" xfId="0" applyFont="1"/>
    <xf numFmtId="0" fontId="22" fillId="0" borderId="0" xfId="0" applyFont="1" applyAlignment="1">
      <alignment horizontal="center"/>
    </xf>
    <xf numFmtId="16" fontId="22" fillId="18" borderId="11" xfId="0" applyNumberFormat="1" applyFont="1" applyFill="1" applyBorder="1"/>
    <xf numFmtId="16" fontId="22" fillId="18" borderId="12" xfId="0" applyNumberFormat="1" applyFont="1" applyFill="1" applyBorder="1"/>
    <xf numFmtId="16" fontId="22" fillId="44" borderId="14" xfId="0" applyNumberFormat="1" applyFont="1" applyFill="1" applyBorder="1"/>
    <xf numFmtId="16" fontId="22" fillId="44" borderId="15" xfId="0" applyNumberFormat="1" applyFont="1" applyFill="1" applyBorder="1"/>
    <xf numFmtId="0" fontId="22" fillId="45" borderId="17" xfId="0" applyFont="1" applyFill="1" applyBorder="1" applyAlignment="1">
      <alignment horizontal="right"/>
    </xf>
    <xf numFmtId="0" fontId="22" fillId="45" borderId="0" xfId="0" applyFont="1" applyFill="1" applyAlignment="1">
      <alignment horizontal="right"/>
    </xf>
    <xf numFmtId="0" fontId="76" fillId="46" borderId="14" xfId="0" applyFont="1" applyFill="1" applyBorder="1"/>
    <xf numFmtId="0" fontId="76" fillId="46" borderId="15" xfId="0" applyFont="1" applyFill="1" applyBorder="1"/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23" fillId="47" borderId="60" xfId="0" applyFont="1" applyFill="1" applyBorder="1" applyAlignment="1">
      <alignment horizontal="center"/>
    </xf>
    <xf numFmtId="164" fontId="4" fillId="0" borderId="60" xfId="2" applyNumberFormat="1" applyFont="1" applyBorder="1" applyAlignment="1" applyProtection="1">
      <alignment horizontal="left" vertical="center"/>
      <protection locked="0"/>
    </xf>
    <xf numFmtId="44" fontId="23" fillId="0" borderId="60" xfId="0" applyNumberFormat="1" applyFont="1" applyBorder="1"/>
    <xf numFmtId="9" fontId="23" fillId="0" borderId="60" xfId="1" applyFont="1" applyBorder="1" applyAlignment="1">
      <alignment horizontal="center"/>
    </xf>
    <xf numFmtId="44" fontId="23" fillId="47" borderId="60" xfId="0" applyNumberFormat="1" applyFont="1" applyFill="1" applyBorder="1" applyAlignment="1">
      <alignment horizontal="center"/>
    </xf>
    <xf numFmtId="44" fontId="22" fillId="0" borderId="0" xfId="0" applyNumberFormat="1" applyFont="1"/>
    <xf numFmtId="170" fontId="77" fillId="0" borderId="0" xfId="8" applyNumberFormat="1" applyFont="1"/>
    <xf numFmtId="0" fontId="23" fillId="0" borderId="48" xfId="0" applyFont="1" applyBorder="1"/>
    <xf numFmtId="170" fontId="23" fillId="0" borderId="113" xfId="0" applyNumberFormat="1" applyFont="1" applyBorder="1" applyAlignment="1">
      <alignment horizontal="center"/>
    </xf>
    <xf numFmtId="0" fontId="23" fillId="0" borderId="104" xfId="0" applyFont="1" applyBorder="1"/>
    <xf numFmtId="170" fontId="23" fillId="0" borderId="114" xfId="0" applyNumberFormat="1" applyFont="1" applyBorder="1" applyAlignment="1">
      <alignment horizontal="center"/>
    </xf>
    <xf numFmtId="9" fontId="23" fillId="0" borderId="105" xfId="1" applyFont="1" applyBorder="1" applyAlignment="1">
      <alignment horizontal="center"/>
    </xf>
    <xf numFmtId="0" fontId="23" fillId="0" borderId="0" xfId="0" applyFont="1"/>
    <xf numFmtId="170" fontId="23" fillId="47" borderId="63" xfId="0" applyNumberFormat="1" applyFont="1" applyFill="1" applyBorder="1" applyAlignment="1">
      <alignment horizontal="center"/>
    </xf>
    <xf numFmtId="170" fontId="22" fillId="0" borderId="0" xfId="0" applyNumberFormat="1" applyFont="1"/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23" xfId="2" applyFont="1" applyBorder="1" applyAlignment="1" applyProtection="1">
      <alignment horizontal="left" vertical="center"/>
      <protection locked="0"/>
    </xf>
    <xf numFmtId="1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/>
      <protection locked="0"/>
    </xf>
    <xf numFmtId="44" fontId="78" fillId="0" borderId="0" xfId="0" applyNumberFormat="1" applyFont="1"/>
    <xf numFmtId="170" fontId="23" fillId="0" borderId="53" xfId="0" applyNumberFormat="1" applyFont="1" applyBorder="1" applyAlignment="1">
      <alignment horizontal="center" vertical="center"/>
    </xf>
    <xf numFmtId="44" fontId="22" fillId="13" borderId="18" xfId="8" applyFont="1" applyFill="1" applyBorder="1" applyAlignment="1">
      <alignment vertical="center"/>
    </xf>
    <xf numFmtId="10" fontId="22" fillId="14" borderId="0" xfId="0" applyNumberFormat="1" applyFont="1" applyFill="1" applyAlignment="1">
      <alignment horizontal="center" vertical="center"/>
    </xf>
    <xf numFmtId="44" fontId="4" fillId="0" borderId="60" xfId="0" applyNumberFormat="1" applyFont="1" applyBorder="1"/>
    <xf numFmtId="44" fontId="22" fillId="0" borderId="73" xfId="0" applyNumberFormat="1" applyFont="1" applyBorder="1" applyAlignment="1">
      <alignment horizontal="center" vertical="center"/>
    </xf>
    <xf numFmtId="0" fontId="22" fillId="0" borderId="100" xfId="0" applyFont="1" applyBorder="1" applyAlignment="1">
      <alignment horizontal="center" vertical="center"/>
    </xf>
    <xf numFmtId="0" fontId="23" fillId="47" borderId="6" xfId="0" applyFont="1" applyFill="1" applyBorder="1" applyAlignment="1">
      <alignment horizontal="center"/>
    </xf>
    <xf numFmtId="0" fontId="23" fillId="47" borderId="35" xfId="0" applyFont="1" applyFill="1" applyBorder="1" applyAlignment="1">
      <alignment horizontal="center"/>
    </xf>
    <xf numFmtId="0" fontId="23" fillId="47" borderId="98" xfId="0" applyFont="1" applyFill="1" applyBorder="1" applyAlignment="1">
      <alignment horizontal="center"/>
    </xf>
    <xf numFmtId="0" fontId="6" fillId="0" borderId="0" xfId="2" applyFont="1" applyAlignment="1">
      <alignment horizontal="left" vertical="center" wrapText="1"/>
    </xf>
    <xf numFmtId="0" fontId="6" fillId="0" borderId="0" xfId="2" applyFont="1" applyAlignment="1">
      <alignment horizontal="left" vertical="top"/>
    </xf>
    <xf numFmtId="0" fontId="61" fillId="2" borderId="3" xfId="3" applyFont="1" applyFill="1" applyBorder="1" applyAlignment="1">
      <alignment horizontal="center" vertical="center"/>
    </xf>
    <xf numFmtId="0" fontId="61" fillId="2" borderId="4" xfId="3" applyFont="1" applyFill="1" applyBorder="1" applyAlignment="1">
      <alignment horizontal="center" vertical="center"/>
    </xf>
    <xf numFmtId="0" fontId="61" fillId="2" borderId="5" xfId="3" applyFont="1" applyFill="1" applyBorder="1" applyAlignment="1">
      <alignment horizontal="center" vertical="center"/>
    </xf>
    <xf numFmtId="0" fontId="61" fillId="3" borderId="6" xfId="0" applyFont="1" applyFill="1" applyBorder="1" applyAlignment="1">
      <alignment horizontal="center" vertical="center" wrapText="1"/>
    </xf>
    <xf numFmtId="0" fontId="61" fillId="3" borderId="35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166" fontId="61" fillId="4" borderId="6" xfId="4" applyNumberFormat="1" applyFont="1" applyFill="1" applyBorder="1" applyAlignment="1">
      <alignment horizontal="center" vertical="center" wrapText="1"/>
    </xf>
    <xf numFmtId="166" fontId="61" fillId="4" borderId="35" xfId="4" applyNumberFormat="1" applyFont="1" applyFill="1" applyBorder="1" applyAlignment="1">
      <alignment horizontal="center" vertical="center" wrapText="1"/>
    </xf>
    <xf numFmtId="166" fontId="61" fillId="4" borderId="5" xfId="4" applyNumberFormat="1" applyFont="1" applyFill="1" applyBorder="1" applyAlignment="1">
      <alignment horizontal="center" vertical="center" wrapText="1"/>
    </xf>
    <xf numFmtId="0" fontId="26" fillId="10" borderId="62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left"/>
    </xf>
    <xf numFmtId="0" fontId="26" fillId="10" borderId="17" xfId="0" applyFont="1" applyFill="1" applyBorder="1" applyAlignment="1">
      <alignment horizontal="left"/>
    </xf>
    <xf numFmtId="0" fontId="26" fillId="10" borderId="0" xfId="0" applyFont="1" applyFill="1" applyAlignment="1">
      <alignment horizontal="left"/>
    </xf>
    <xf numFmtId="166" fontId="61" fillId="0" borderId="38" xfId="4" applyNumberFormat="1" applyFont="1" applyBorder="1" applyAlignment="1">
      <alignment horizontal="center" vertical="center" wrapText="1"/>
    </xf>
    <xf numFmtId="166" fontId="61" fillId="0" borderId="39" xfId="4" applyNumberFormat="1" applyFont="1" applyBorder="1" applyAlignment="1">
      <alignment horizontal="center" vertical="center" wrapText="1"/>
    </xf>
    <xf numFmtId="0" fontId="26" fillId="9" borderId="50" xfId="0" applyFont="1" applyFill="1" applyBorder="1" applyAlignment="1">
      <alignment horizontal="center"/>
    </xf>
    <xf numFmtId="0" fontId="26" fillId="9" borderId="67" xfId="0" applyFont="1" applyFill="1" applyBorder="1" applyAlignment="1">
      <alignment horizontal="center"/>
    </xf>
    <xf numFmtId="0" fontId="26" fillId="9" borderId="51" xfId="0" applyFont="1" applyFill="1" applyBorder="1" applyAlignment="1">
      <alignment horizontal="center"/>
    </xf>
    <xf numFmtId="0" fontId="26" fillId="9" borderId="52" xfId="0" applyFont="1" applyFill="1" applyBorder="1" applyAlignment="1">
      <alignment horizontal="center"/>
    </xf>
    <xf numFmtId="0" fontId="26" fillId="9" borderId="53" xfId="0" applyFont="1" applyFill="1" applyBorder="1" applyAlignment="1">
      <alignment horizontal="center"/>
    </xf>
    <xf numFmtId="0" fontId="26" fillId="9" borderId="54" xfId="0" applyFont="1" applyFill="1" applyBorder="1" applyAlignment="1">
      <alignment horizontal="center"/>
    </xf>
    <xf numFmtId="0" fontId="26" fillId="10" borderId="65" xfId="0" applyFont="1" applyFill="1" applyBorder="1" applyAlignment="1">
      <alignment horizontal="left"/>
    </xf>
    <xf numFmtId="0" fontId="26" fillId="10" borderId="66" xfId="0" applyFont="1" applyFill="1" applyBorder="1" applyAlignment="1">
      <alignment horizontal="left"/>
    </xf>
    <xf numFmtId="0" fontId="26" fillId="10" borderId="68" xfId="0" applyFont="1" applyFill="1" applyBorder="1" applyAlignment="1">
      <alignment horizontal="left"/>
    </xf>
    <xf numFmtId="166" fontId="61" fillId="4" borderId="17" xfId="4" applyNumberFormat="1" applyFont="1" applyFill="1" applyBorder="1" applyAlignment="1">
      <alignment horizontal="center" vertical="center" wrapText="1"/>
    </xf>
    <xf numFmtId="166" fontId="61" fillId="4" borderId="0" xfId="4" applyNumberFormat="1" applyFont="1" applyFill="1" applyBorder="1" applyAlignment="1">
      <alignment horizontal="center" vertical="center" wrapText="1"/>
    </xf>
    <xf numFmtId="0" fontId="26" fillId="10" borderId="90" xfId="0" applyFont="1" applyFill="1" applyBorder="1" applyAlignment="1">
      <alignment horizontal="left" vertical="center"/>
    </xf>
    <xf numFmtId="0" fontId="26" fillId="10" borderId="91" xfId="0" applyFont="1" applyFill="1" applyBorder="1" applyAlignment="1">
      <alignment horizontal="left" vertical="center"/>
    </xf>
    <xf numFmtId="0" fontId="26" fillId="10" borderId="92" xfId="0" applyFont="1" applyFill="1" applyBorder="1" applyAlignment="1">
      <alignment horizontal="left" vertical="center"/>
    </xf>
    <xf numFmtId="0" fontId="26" fillId="10" borderId="85" xfId="0" applyFont="1" applyFill="1" applyBorder="1" applyAlignment="1">
      <alignment horizontal="left" vertical="center"/>
    </xf>
    <xf numFmtId="0" fontId="26" fillId="10" borderId="9" xfId="0" applyFont="1" applyFill="1" applyBorder="1" applyAlignment="1">
      <alignment horizontal="left" vertical="center"/>
    </xf>
    <xf numFmtId="0" fontId="26" fillId="10" borderId="89" xfId="0" applyFont="1" applyFill="1" applyBorder="1" applyAlignment="1">
      <alignment horizontal="left" vertical="center"/>
    </xf>
    <xf numFmtId="0" fontId="26" fillId="10" borderId="62" xfId="0" applyFont="1" applyFill="1" applyBorder="1" applyAlignment="1">
      <alignment horizontal="left" vertical="center"/>
    </xf>
    <xf numFmtId="0" fontId="26" fillId="10" borderId="8" xfId="0" applyFont="1" applyFill="1" applyBorder="1" applyAlignment="1">
      <alignment horizontal="left" vertical="center"/>
    </xf>
    <xf numFmtId="0" fontId="26" fillId="10" borderId="33" xfId="0" applyFont="1" applyFill="1" applyBorder="1" applyAlignment="1">
      <alignment horizontal="left" vertical="center"/>
    </xf>
    <xf numFmtId="0" fontId="26" fillId="10" borderId="75" xfId="0" applyFont="1" applyFill="1" applyBorder="1" applyAlignment="1">
      <alignment horizontal="left" vertical="center"/>
    </xf>
    <xf numFmtId="0" fontId="26" fillId="10" borderId="76" xfId="0" applyFont="1" applyFill="1" applyBorder="1" applyAlignment="1">
      <alignment horizontal="left" vertical="center"/>
    </xf>
    <xf numFmtId="0" fontId="26" fillId="10" borderId="78" xfId="0" applyFont="1" applyFill="1" applyBorder="1" applyAlignment="1">
      <alignment horizontal="left" vertical="center"/>
    </xf>
    <xf numFmtId="0" fontId="26" fillId="9" borderId="6" xfId="0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/>
    </xf>
    <xf numFmtId="0" fontId="26" fillId="9" borderId="77" xfId="0" applyFont="1" applyFill="1" applyBorder="1" applyAlignment="1">
      <alignment horizontal="center" vertical="center"/>
    </xf>
    <xf numFmtId="0" fontId="26" fillId="9" borderId="90" xfId="0" applyFont="1" applyFill="1" applyBorder="1" applyAlignment="1">
      <alignment horizontal="center" vertical="center"/>
    </xf>
    <xf numFmtId="0" fontId="26" fillId="9" borderId="91" xfId="0" applyFont="1" applyFill="1" applyBorder="1" applyAlignment="1">
      <alignment horizontal="center" vertical="center"/>
    </xf>
    <xf numFmtId="0" fontId="26" fillId="9" borderId="93" xfId="0" applyFont="1" applyFill="1" applyBorder="1" applyAlignment="1">
      <alignment horizontal="center" vertical="center"/>
    </xf>
    <xf numFmtId="0" fontId="26" fillId="10" borderId="10" xfId="0" applyFont="1" applyFill="1" applyBorder="1" applyAlignment="1">
      <alignment horizontal="left" vertical="center"/>
    </xf>
    <xf numFmtId="0" fontId="26" fillId="9" borderId="85" xfId="0" applyFont="1" applyFill="1" applyBorder="1" applyAlignment="1">
      <alignment horizontal="center" vertical="center"/>
    </xf>
    <xf numFmtId="0" fontId="26" fillId="9" borderId="9" xfId="0" applyFont="1" applyFill="1" applyBorder="1" applyAlignment="1">
      <alignment horizontal="center" vertical="center"/>
    </xf>
    <xf numFmtId="0" fontId="26" fillId="9" borderId="89" xfId="0" applyFont="1" applyFill="1" applyBorder="1" applyAlignment="1">
      <alignment horizontal="center" vertical="center"/>
    </xf>
    <xf numFmtId="0" fontId="26" fillId="9" borderId="86" xfId="0" applyFont="1" applyFill="1" applyBorder="1" applyAlignment="1">
      <alignment horizontal="center"/>
    </xf>
    <xf numFmtId="0" fontId="26" fillId="9" borderId="87" xfId="0" applyFont="1" applyFill="1" applyBorder="1" applyAlignment="1">
      <alignment horizontal="center"/>
    </xf>
    <xf numFmtId="0" fontId="26" fillId="9" borderId="88" xfId="0" applyFont="1" applyFill="1" applyBorder="1" applyAlignment="1">
      <alignment horizontal="center"/>
    </xf>
    <xf numFmtId="0" fontId="26" fillId="10" borderId="85" xfId="0" applyFont="1" applyFill="1" applyBorder="1" applyAlignment="1">
      <alignment horizontal="left"/>
    </xf>
    <xf numFmtId="0" fontId="26" fillId="10" borderId="9" xfId="0" applyFont="1" applyFill="1" applyBorder="1" applyAlignment="1">
      <alignment horizontal="left"/>
    </xf>
    <xf numFmtId="0" fontId="26" fillId="10" borderId="10" xfId="0" applyFont="1" applyFill="1" applyBorder="1" applyAlignment="1">
      <alignment horizontal="left"/>
    </xf>
    <xf numFmtId="0" fontId="26" fillId="10" borderId="89" xfId="0" applyFont="1" applyFill="1" applyBorder="1" applyAlignment="1">
      <alignment horizontal="left"/>
    </xf>
    <xf numFmtId="0" fontId="26" fillId="10" borderId="99" xfId="0" applyFont="1" applyFill="1" applyBorder="1" applyAlignment="1">
      <alignment horizontal="left"/>
    </xf>
    <xf numFmtId="166" fontId="9" fillId="0" borderId="38" xfId="4" applyNumberFormat="1" applyFont="1" applyBorder="1" applyAlignment="1">
      <alignment horizontal="center" vertical="center" wrapText="1"/>
    </xf>
    <xf numFmtId="166" fontId="9" fillId="0" borderId="39" xfId="4" applyNumberFormat="1" applyFont="1" applyBorder="1" applyAlignment="1">
      <alignment horizontal="center" vertical="center" wrapText="1"/>
    </xf>
    <xf numFmtId="166" fontId="9" fillId="4" borderId="17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3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35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28" fillId="18" borderId="52" xfId="0" applyFont="1" applyFill="1" applyBorder="1" applyAlignment="1">
      <alignment horizontal="center"/>
    </xf>
    <xf numFmtId="0" fontId="28" fillId="18" borderId="53" xfId="0" applyFont="1" applyFill="1" applyBorder="1" applyAlignment="1">
      <alignment horizontal="center"/>
    </xf>
    <xf numFmtId="0" fontId="28" fillId="18" borderId="54" xfId="0" applyFont="1" applyFill="1" applyBorder="1" applyAlignment="1">
      <alignment horizontal="center"/>
    </xf>
    <xf numFmtId="0" fontId="16" fillId="8" borderId="40" xfId="0" applyFont="1" applyFill="1" applyBorder="1" applyAlignment="1">
      <alignment horizontal="left" vertical="center"/>
    </xf>
    <xf numFmtId="0" fontId="16" fillId="8" borderId="40" xfId="0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7" fillId="8" borderId="40" xfId="0" applyFont="1" applyFill="1" applyBorder="1" applyAlignment="1">
      <alignment horizontal="left" vertical="top"/>
    </xf>
    <xf numFmtId="0" fontId="19" fillId="8" borderId="40" xfId="0" applyFont="1" applyFill="1" applyBorder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170" fontId="24" fillId="0" borderId="53" xfId="0" applyNumberFormat="1" applyFont="1" applyBorder="1" applyAlignment="1">
      <alignment horizontal="center" vertical="center"/>
    </xf>
    <xf numFmtId="170" fontId="24" fillId="0" borderId="114" xfId="0" applyNumberFormat="1" applyFont="1" applyBorder="1" applyAlignment="1">
      <alignment horizontal="center" vertical="center"/>
    </xf>
    <xf numFmtId="170" fontId="23" fillId="47" borderId="60" xfId="0" applyNumberFormat="1" applyFont="1" applyFill="1" applyBorder="1" applyAlignment="1">
      <alignment horizontal="center"/>
    </xf>
    <xf numFmtId="44" fontId="23" fillId="0" borderId="53" xfId="0" applyNumberFormat="1" applyFont="1" applyBorder="1" applyAlignment="1">
      <alignment vertical="center"/>
    </xf>
    <xf numFmtId="44" fontId="23" fillId="0" borderId="114" xfId="0" applyNumberFormat="1" applyFont="1" applyBorder="1" applyAlignment="1">
      <alignment vertical="center"/>
    </xf>
    <xf numFmtId="44" fontId="23" fillId="0" borderId="53" xfId="0" applyNumberFormat="1" applyFont="1" applyBorder="1" applyAlignment="1">
      <alignment vertical="center"/>
    </xf>
    <xf numFmtId="44" fontId="23" fillId="47" borderId="60" xfId="0" applyNumberFormat="1" applyFont="1" applyFill="1" applyBorder="1" applyAlignment="1"/>
    <xf numFmtId="170" fontId="76" fillId="0" borderId="0" xfId="0" applyNumberFormat="1" applyFont="1" applyAlignment="1">
      <alignment horizontal="right"/>
    </xf>
    <xf numFmtId="9" fontId="24" fillId="0" borderId="95" xfId="1" applyFont="1" applyBorder="1" applyAlignment="1">
      <alignment horizontal="center" vertical="center"/>
    </xf>
    <xf numFmtId="9" fontId="24" fillId="0" borderId="105" xfId="1" applyFont="1" applyBorder="1" applyAlignment="1">
      <alignment horizontal="center" vertical="center"/>
    </xf>
  </cellXfs>
  <cellStyles count="86">
    <cellStyle name="20% - Accent1" xfId="18" xr:uid="{9C7D0587-1F01-400E-BCF6-8B7D7CB3AA39}"/>
    <cellStyle name="20% - Accent2" xfId="19" xr:uid="{3145DEDC-9011-466D-A04E-15B5A1973640}"/>
    <cellStyle name="20% - Accent3" xfId="20" xr:uid="{02D7E7AB-9C6F-49E5-B6D1-F4F60B22C41F}"/>
    <cellStyle name="20% - Accent4" xfId="21" xr:uid="{EF8570D0-4F3A-4A9D-BF1B-F459BDF5C3FF}"/>
    <cellStyle name="20% - Accent5" xfId="22" xr:uid="{48D822C5-FAA3-4CF3-A851-57B4D6B5CA0B}"/>
    <cellStyle name="20% - Accent6" xfId="23" xr:uid="{7E7846DB-A2AB-4E8D-A882-CC9FC7638603}"/>
    <cellStyle name="40% - Accent1" xfId="24" xr:uid="{97B52E0A-F2C4-43D7-8AC8-7CA54793AFEC}"/>
    <cellStyle name="40% - Accent2" xfId="25" xr:uid="{E6588D44-5DAF-4703-A96F-296011B56F53}"/>
    <cellStyle name="40% - Accent3" xfId="26" xr:uid="{ACAC1FF9-8469-4ED7-951E-C14513987CF1}"/>
    <cellStyle name="40% - Accent4" xfId="27" xr:uid="{5F17FCAD-AD4C-426A-A5E6-5AD78012758D}"/>
    <cellStyle name="40% - Accent5" xfId="28" xr:uid="{BBF47F62-A8C6-4E51-AA04-3A54ED8693BA}"/>
    <cellStyle name="40% - Accent6" xfId="29" xr:uid="{4C5ABAB0-6971-4A20-A32D-52BE0AF740F4}"/>
    <cellStyle name="60% - Accent1" xfId="30" xr:uid="{C0B0E164-8F24-4D77-9B8F-F8338779DCB6}"/>
    <cellStyle name="60% - Accent2" xfId="31" xr:uid="{C323B525-F65B-43DF-ACF7-6C065A841A55}"/>
    <cellStyle name="60% - Accent3" xfId="32" xr:uid="{C1AC57D2-AC2B-4DFE-B188-80640DE58470}"/>
    <cellStyle name="60% - Accent4" xfId="33" xr:uid="{E6069E84-D227-49D7-9EEA-F613C10C3DA6}"/>
    <cellStyle name="60% - Accent5" xfId="34" xr:uid="{C30E4A7C-B9D7-4B56-8CF5-5EA29477FC50}"/>
    <cellStyle name="60% - Accent6" xfId="35" xr:uid="{C2D4F9EF-AAEB-4E3C-822F-0476014A2F21}"/>
    <cellStyle name="Accent1" xfId="36" xr:uid="{0F11D1FA-6012-4462-9968-74A18B5832CC}"/>
    <cellStyle name="Accent2" xfId="37" xr:uid="{B419192B-B35D-48D3-A936-A0D2F84159AB}"/>
    <cellStyle name="Accent3" xfId="38" xr:uid="{75C2CC3C-AB53-468F-A588-3B278BC8AA82}"/>
    <cellStyle name="Accent4" xfId="39" xr:uid="{27EAD278-D83A-46CC-A7A7-6DF4B7D3779A}"/>
    <cellStyle name="Accent5" xfId="40" xr:uid="{289CBB15-B333-4CB8-BC6F-26E9381FACCE}"/>
    <cellStyle name="Accent6" xfId="41" xr:uid="{C6C7BA26-5E3D-4BCC-B4C6-E7BB622551CD}"/>
    <cellStyle name="Bad" xfId="42" xr:uid="{E89D30DA-B0A6-4872-9E04-0A44F700B046}"/>
    <cellStyle name="Basis points" xfId="55" xr:uid="{649E8329-40EE-4A08-A413-95E99D647DE5}"/>
    <cellStyle name="Calculation" xfId="43" xr:uid="{C0E33B77-7B62-4699-9F80-C2446152509B}"/>
    <cellStyle name="Comma  - Style1" xfId="56" xr:uid="{B2C5990F-F935-41A6-B6AA-E5A101AC07DE}"/>
    <cellStyle name="Comma  - Style2" xfId="57" xr:uid="{61E08CF4-CB21-437E-8B39-35FE9C53EABE}"/>
    <cellStyle name="Comma  - Style3" xfId="58" xr:uid="{8C90F1CD-EE41-4251-82E2-A47212677818}"/>
    <cellStyle name="Comma  - Style4" xfId="59" xr:uid="{B3B40E95-FA07-460D-9C79-7EB13B3BF105}"/>
    <cellStyle name="Comma  - Style5" xfId="60" xr:uid="{7A073893-8C55-4CC4-AA3F-A2B6DB5FC5AC}"/>
    <cellStyle name="Comma  - Style6" xfId="61" xr:uid="{2461145F-E876-4325-BE83-ED27AD2176CE}"/>
    <cellStyle name="Comma  - Style7" xfId="62" xr:uid="{B192D86C-B63F-4FB7-8159-59AEE66B3E13}"/>
    <cellStyle name="Comma  - Style8" xfId="63" xr:uid="{D3078B6F-F986-41E5-AE53-857332A05D8E}"/>
    <cellStyle name="Cover" xfId="64" xr:uid="{321E7694-49FF-43A4-8F51-56E6636B148C}"/>
    <cellStyle name="Data" xfId="65" xr:uid="{06121772-1DA9-4932-9283-0BE483E7D338}"/>
    <cellStyle name="Explanatory Text" xfId="44" xr:uid="{B0D9D42C-45C2-4599-9D92-C64EFBB19A82}"/>
    <cellStyle name="Fixo" xfId="66" xr:uid="{0E462586-F072-46A6-9C49-4B6F02FCD0C0}"/>
    <cellStyle name="Grey" xfId="67" xr:uid="{A785900A-9C91-4896-A789-56BF75122CC1}"/>
    <cellStyle name="Header1" xfId="68" xr:uid="{1504766B-D4F1-444B-8F44-F78DB6C29BA2}"/>
    <cellStyle name="Header2" xfId="69" xr:uid="{68FA570C-55C7-4D0F-8663-557E6902B1F7}"/>
    <cellStyle name="Heading 1" xfId="45" xr:uid="{120C9404-967B-4049-A70A-7D3453A29404}"/>
    <cellStyle name="Heading 2" xfId="46" xr:uid="{0045108F-0C28-4A56-8B61-47019B4CDCFE}"/>
    <cellStyle name="Heading 3" xfId="47" xr:uid="{D692F510-A8E9-4910-A1FC-5A93BD19A1F6}"/>
    <cellStyle name="Heading 4" xfId="48" xr:uid="{3D472D33-4139-489C-8E1F-980C99E6C638}"/>
    <cellStyle name="Hiperlink 2" xfId="49" xr:uid="{12CB14E9-551D-4364-9E1E-AC67B4C44A0A}"/>
    <cellStyle name="Indefinido" xfId="70" xr:uid="{8C846663-3002-400D-A6D1-F829B8931831}"/>
    <cellStyle name="Input [yellow]" xfId="71" xr:uid="{252ED870-1172-4643-BAB9-A37AF6A5AD4B}"/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Moeda 7" xfId="85" xr:uid="{8B9738D6-D11C-4248-B3F7-260592DC3D17}"/>
    <cellStyle name="Normal" xfId="0" builtinId="0"/>
    <cellStyle name="Normal - Style1" xfId="73" xr:uid="{98D8F333-F5EF-411C-B6D2-6570375DE871}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3 3" xfId="50" xr:uid="{681F779F-66C8-45F8-A9B6-55EFE446C021}"/>
    <cellStyle name="Normal 4" xfId="54" xr:uid="{1C31E896-B88F-47D6-8B4E-CC0B19356810}"/>
    <cellStyle name="Normal 5" xfId="81" xr:uid="{2D1F9408-B8C7-4602-BC67-A31482947CBF}"/>
    <cellStyle name="Normal 6" xfId="12" xr:uid="{2888F636-9924-454F-857E-E38553BD81CD}"/>
    <cellStyle name="Normal 6 2" xfId="82" xr:uid="{C5896102-CCB2-43B6-A390-A5987B726ED0}"/>
    <cellStyle name="Normal_Plan1" xfId="3" xr:uid="{ABCD160A-D73A-4213-9DF3-17A45862579B}"/>
    <cellStyle name="Nor᧭al_Transf-cal" xfId="72" xr:uid="{E55EDE34-43A7-4501-AAC6-08FFE6E35485}"/>
    <cellStyle name="Output" xfId="51" xr:uid="{CCD85DC2-9EBA-46AA-96AE-38C797EEA981}"/>
    <cellStyle name="Pence" xfId="74" xr:uid="{5FB06EAA-108A-48F7-9DFB-DFA722CF5ABC}"/>
    <cellStyle name="Percent [2]" xfId="75" xr:uid="{599F1088-0208-4109-B780-10159E581796}"/>
    <cellStyle name="Percentual" xfId="76" xr:uid="{6496D0E9-F830-4043-86BC-4DCCF2752FD6}"/>
    <cellStyle name="Ponto" xfId="77" xr:uid="{627D8F66-62B8-4471-BD1C-69BFDEA7E5BB}"/>
    <cellStyle name="Porcentagem" xfId="1" builtinId="5"/>
    <cellStyle name="Porcentagem 2" xfId="5" xr:uid="{58C97418-D6D1-4F2E-95E9-1B0ADE8B90D4}"/>
    <cellStyle name="Porcentagem 2 2" xfId="83" xr:uid="{FB4AC5DD-0033-4268-AF8A-79DE589BDFEF}"/>
    <cellStyle name="Separador de milhares 10" xfId="84" xr:uid="{0595286F-F364-4692-A9B6-F024642DEFDD}"/>
    <cellStyle name="Title" xfId="52" xr:uid="{18E51025-E418-4EE7-BA0F-74432198936A}"/>
    <cellStyle name="Titulo1" xfId="78" xr:uid="{6D8EC1BA-9D6C-47E7-B016-58855562B91A}"/>
    <cellStyle name="Titulo2" xfId="79" xr:uid="{68A3454C-3CA0-4F42-8B4C-10D7D0E1C64A}"/>
    <cellStyle name="Total 2" xfId="53" xr:uid="{246A9C83-BB64-4855-BCE7-88B35B4F2C31}"/>
    <cellStyle name="Wrap" xfId="80" xr:uid="{34B92F08-BA0D-4793-8955-B396DC2FA93D}"/>
  </cellStyles>
  <dxfs count="0"/>
  <tableStyles count="0" defaultTableStyle="TableStyleMedium2" defaultPivotStyle="PivotStyleLight16"/>
  <colors>
    <mruColors>
      <color rgb="FF000000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696127</xdr:colOff>
      <xdr:row>0</xdr:row>
      <xdr:rowOff>152400</xdr:rowOff>
    </xdr:from>
    <xdr:to>
      <xdr:col>5</xdr:col>
      <xdr:colOff>756042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74F5BA2C-42CF-4563-B1ED-B7510AE4B4EA}"/>
            </a:ext>
          </a:extLst>
        </xdr:cNvPr>
        <xdr:cNvSpPr/>
      </xdr:nvSpPr>
      <xdr:spPr bwMode="auto">
        <a:xfrm>
          <a:off x="702931" y="152400"/>
          <a:ext cx="880425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239145</xdr:colOff>
      <xdr:row>0</xdr:row>
      <xdr:rowOff>130971</xdr:rowOff>
    </xdr:from>
    <xdr:to>
      <xdr:col>1</xdr:col>
      <xdr:colOff>620701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EDF221D-E11E-4104-95A3-1B3E6B7C3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949" y="130971"/>
          <a:ext cx="381556" cy="372267"/>
        </a:xfrm>
        <a:prstGeom prst="rect">
          <a:avLst/>
        </a:prstGeom>
      </xdr:spPr>
    </xdr:pic>
    <xdr:clientData/>
  </xdr:twoCellAnchor>
  <xdr:twoCellAnchor editAs="absolute">
    <xdr:from>
      <xdr:col>51</xdr:col>
      <xdr:colOff>213404</xdr:colOff>
      <xdr:row>0</xdr:row>
      <xdr:rowOff>190500</xdr:rowOff>
    </xdr:from>
    <xdr:to>
      <xdr:col>52</xdr:col>
      <xdr:colOff>518011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D5F6A5E3-A686-412F-853F-2192787CCEF8}"/>
            </a:ext>
          </a:extLst>
        </xdr:cNvPr>
        <xdr:cNvSpPr/>
      </xdr:nvSpPr>
      <xdr:spPr bwMode="auto">
        <a:xfrm>
          <a:off x="29687382" y="190500"/>
          <a:ext cx="102306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325357</xdr:colOff>
      <xdr:row>0</xdr:row>
      <xdr:rowOff>179391</xdr:rowOff>
    </xdr:from>
    <xdr:to>
      <xdr:col>51</xdr:col>
      <xdr:colOff>99101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9B91980F-CF9A-41EF-BC4D-9E59690E3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0578" y="179391"/>
          <a:ext cx="374726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696127</xdr:colOff>
      <xdr:row>0</xdr:row>
      <xdr:rowOff>152400</xdr:rowOff>
    </xdr:from>
    <xdr:to>
      <xdr:col>5</xdr:col>
      <xdr:colOff>756042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5AE39A1-0BB2-41B4-9D8F-803263C850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31" y="152400"/>
          <a:ext cx="880425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51</xdr:col>
      <xdr:colOff>213404</xdr:colOff>
      <xdr:row>0</xdr:row>
      <xdr:rowOff>190500</xdr:rowOff>
    </xdr:from>
    <xdr:to>
      <xdr:col>52</xdr:col>
      <xdr:colOff>518011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ABCD1851-D987-4772-A35B-BC110F81DCF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7382" y="190500"/>
          <a:ext cx="102306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600982</xdr:colOff>
      <xdr:row>2</xdr:row>
      <xdr:rowOff>40821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E03FFA7B-0479-4317-9599-1FD361807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47857" y="993321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702493</xdr:colOff>
      <xdr:row>0</xdr:row>
      <xdr:rowOff>152400</xdr:rowOff>
    </xdr:from>
    <xdr:to>
      <xdr:col>5</xdr:col>
      <xdr:colOff>834932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245949</xdr:colOff>
      <xdr:row>0</xdr:row>
      <xdr:rowOff>130971</xdr:rowOff>
    </xdr:from>
    <xdr:to>
      <xdr:col>1</xdr:col>
      <xdr:colOff>623892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398871</xdr:colOff>
      <xdr:row>0</xdr:row>
      <xdr:rowOff>190500</xdr:rowOff>
    </xdr:from>
    <xdr:to>
      <xdr:col>49</xdr:col>
      <xdr:colOff>225641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518308</xdr:colOff>
      <xdr:row>0</xdr:row>
      <xdr:rowOff>185741</xdr:rowOff>
    </xdr:from>
    <xdr:to>
      <xdr:col>47</xdr:col>
      <xdr:colOff>300443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702493</xdr:colOff>
      <xdr:row>0</xdr:row>
      <xdr:rowOff>152400</xdr:rowOff>
    </xdr:from>
    <xdr:to>
      <xdr:col>5</xdr:col>
      <xdr:colOff>834932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398871</xdr:colOff>
      <xdr:row>0</xdr:row>
      <xdr:rowOff>190500</xdr:rowOff>
    </xdr:from>
    <xdr:to>
      <xdr:col>49</xdr:col>
      <xdr:colOff>225641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8</xdr:col>
      <xdr:colOff>428625</xdr:colOff>
      <xdr:row>1</xdr:row>
      <xdr:rowOff>210911</xdr:rowOff>
    </xdr:from>
    <xdr:ext cx="2776118" cy="1993675"/>
    <xdr:pic>
      <xdr:nvPicPr>
        <xdr:cNvPr id="9" name="Imagem 7">
          <a:extLst>
            <a:ext uri="{FF2B5EF4-FFF2-40B4-BE49-F238E27FC236}">
              <a16:creationId xmlns:a16="http://schemas.microsoft.com/office/drawing/2014/main" id="{77C37D8E-E9B3-4DE6-BC08-52ECB966F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18625" y="845911"/>
          <a:ext cx="2776118" cy="19936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155016</xdr:colOff>
      <xdr:row>0</xdr:row>
      <xdr:rowOff>152400</xdr:rowOff>
    </xdr:from>
    <xdr:to>
      <xdr:col>5</xdr:col>
      <xdr:colOff>1000970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6FD5E798-550A-490D-8406-94337249DBD1}"/>
            </a:ext>
          </a:extLst>
        </xdr:cNvPr>
        <xdr:cNvSpPr/>
      </xdr:nvSpPr>
      <xdr:spPr bwMode="auto">
        <a:xfrm>
          <a:off x="706106" y="152400"/>
          <a:ext cx="87725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242320</xdr:colOff>
      <xdr:row>0</xdr:row>
      <xdr:rowOff>130971</xdr:rowOff>
    </xdr:from>
    <xdr:to>
      <xdr:col>5</xdr:col>
      <xdr:colOff>79590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7017A36-EFF3-46EE-9C9A-79AEF5706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24" y="130971"/>
          <a:ext cx="381556" cy="375442"/>
        </a:xfrm>
        <a:prstGeom prst="rect">
          <a:avLst/>
        </a:prstGeom>
      </xdr:spPr>
    </xdr:pic>
    <xdr:clientData/>
  </xdr:twoCellAnchor>
  <xdr:twoCellAnchor editAs="absolute">
    <xdr:from>
      <xdr:col>46</xdr:col>
      <xdr:colOff>225876</xdr:colOff>
      <xdr:row>0</xdr:row>
      <xdr:rowOff>190500</xdr:rowOff>
    </xdr:from>
    <xdr:to>
      <xdr:col>48</xdr:col>
      <xdr:colOff>90065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8153335-FB9F-486C-9B7B-30D9C045846F}"/>
            </a:ext>
          </a:extLst>
        </xdr:cNvPr>
        <xdr:cNvSpPr/>
      </xdr:nvSpPr>
      <xdr:spPr bwMode="auto">
        <a:xfrm>
          <a:off x="29690557" y="190500"/>
          <a:ext cx="101671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422647</xdr:colOff>
      <xdr:row>0</xdr:row>
      <xdr:rowOff>182566</xdr:rowOff>
    </xdr:from>
    <xdr:to>
      <xdr:col>46</xdr:col>
      <xdr:colOff>125181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317DEC91-7D91-4431-A068-5A7C322B1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0578" y="182566"/>
          <a:ext cx="371551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155016</xdr:colOff>
      <xdr:row>0</xdr:row>
      <xdr:rowOff>152400</xdr:rowOff>
    </xdr:from>
    <xdr:to>
      <xdr:col>5</xdr:col>
      <xdr:colOff>1000970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8336738E-5321-4A9A-AE93-3A69850383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106" y="152400"/>
          <a:ext cx="87725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46</xdr:col>
      <xdr:colOff>225876</xdr:colOff>
      <xdr:row>0</xdr:row>
      <xdr:rowOff>190500</xdr:rowOff>
    </xdr:from>
    <xdr:to>
      <xdr:col>48</xdr:col>
      <xdr:colOff>90065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12160696-0BF6-4444-A697-E5AA18B715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0557" y="190500"/>
          <a:ext cx="101671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412751</xdr:colOff>
      <xdr:row>2</xdr:row>
      <xdr:rowOff>40821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3560D856-445B-4028-A315-D5774EA1C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17858" y="979714"/>
          <a:ext cx="2776118" cy="19936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348691</xdr:colOff>
      <xdr:row>0</xdr:row>
      <xdr:rowOff>152400</xdr:rowOff>
    </xdr:from>
    <xdr:to>
      <xdr:col>5</xdr:col>
      <xdr:colOff>1191470</xdr:colOff>
      <xdr:row>1</xdr:row>
      <xdr:rowOff>69850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A337CEB-2097-4F03-88D2-2292233D4C09}"/>
            </a:ext>
          </a:extLst>
        </xdr:cNvPr>
        <xdr:cNvSpPr/>
      </xdr:nvSpPr>
      <xdr:spPr bwMode="auto">
        <a:xfrm>
          <a:off x="696581" y="152400"/>
          <a:ext cx="84867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245495</xdr:colOff>
      <xdr:row>0</xdr:row>
      <xdr:rowOff>130971</xdr:rowOff>
    </xdr:from>
    <xdr:to>
      <xdr:col>5</xdr:col>
      <xdr:colOff>273265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4481320-B2A9-4196-B3E4-52445C256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599" y="130971"/>
          <a:ext cx="381556" cy="375442"/>
        </a:xfrm>
        <a:prstGeom prst="rect">
          <a:avLst/>
        </a:prstGeom>
      </xdr:spPr>
    </xdr:pic>
    <xdr:clientData/>
  </xdr:twoCellAnchor>
  <xdr:twoCellAnchor editAs="absolute">
    <xdr:from>
      <xdr:col>47</xdr:col>
      <xdr:colOff>580116</xdr:colOff>
      <xdr:row>0</xdr:row>
      <xdr:rowOff>190500</xdr:rowOff>
    </xdr:from>
    <xdr:to>
      <xdr:col>49</xdr:col>
      <xdr:colOff>446572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1BF09BD8-FA6B-4DF7-82AD-E74F01DCC70A}"/>
            </a:ext>
          </a:extLst>
        </xdr:cNvPr>
        <xdr:cNvSpPr/>
      </xdr:nvSpPr>
      <xdr:spPr bwMode="auto">
        <a:xfrm>
          <a:off x="25637216" y="190500"/>
          <a:ext cx="103984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191779</xdr:colOff>
      <xdr:row>0</xdr:row>
      <xdr:rowOff>185741</xdr:rowOff>
    </xdr:from>
    <xdr:to>
      <xdr:col>47</xdr:col>
      <xdr:colOff>484863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395B30E-1472-49D0-80AE-77680E05A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50239" y="182566"/>
          <a:ext cx="291724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348691</xdr:colOff>
      <xdr:row>0</xdr:row>
      <xdr:rowOff>152400</xdr:rowOff>
    </xdr:from>
    <xdr:to>
      <xdr:col>5</xdr:col>
      <xdr:colOff>1191470</xdr:colOff>
      <xdr:row>1</xdr:row>
      <xdr:rowOff>69850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A32FD25B-075E-42EF-AA2C-B1501C3325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581" y="152400"/>
          <a:ext cx="84867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580116</xdr:colOff>
      <xdr:row>0</xdr:row>
      <xdr:rowOff>190500</xdr:rowOff>
    </xdr:from>
    <xdr:to>
      <xdr:col>49</xdr:col>
      <xdr:colOff>446572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E5BB5FB9-D14D-46A4-8007-EC85C35ED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37216" y="190500"/>
          <a:ext cx="103984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589645</xdr:colOff>
      <xdr:row>2</xdr:row>
      <xdr:rowOff>68035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11DA2711-A3B3-4996-A3BF-FE7D660E4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94752" y="1006928"/>
          <a:ext cx="2776118" cy="19936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307870</xdr:colOff>
      <xdr:row>0</xdr:row>
      <xdr:rowOff>152400</xdr:rowOff>
    </xdr:from>
    <xdr:to>
      <xdr:col>5</xdr:col>
      <xdr:colOff>1150649</xdr:colOff>
      <xdr:row>1</xdr:row>
      <xdr:rowOff>69850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AF99DC28-CFDB-49C4-BC66-64CE66B89C9F}"/>
            </a:ext>
          </a:extLst>
        </xdr:cNvPr>
        <xdr:cNvSpPr/>
      </xdr:nvSpPr>
      <xdr:spPr bwMode="auto">
        <a:xfrm>
          <a:off x="697034" y="152400"/>
          <a:ext cx="85366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245495</xdr:colOff>
      <xdr:row>0</xdr:row>
      <xdr:rowOff>130971</xdr:rowOff>
    </xdr:from>
    <xdr:to>
      <xdr:col>5</xdr:col>
      <xdr:colOff>232444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05D0E19B-94BD-4294-93ED-EFBBC1962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495" y="130971"/>
          <a:ext cx="376113" cy="378617"/>
        </a:xfrm>
        <a:prstGeom prst="rect">
          <a:avLst/>
        </a:prstGeom>
      </xdr:spPr>
    </xdr:pic>
    <xdr:clientData/>
  </xdr:twoCellAnchor>
  <xdr:twoCellAnchor editAs="absolute">
    <xdr:from>
      <xdr:col>46</xdr:col>
      <xdr:colOff>6348</xdr:colOff>
      <xdr:row>0</xdr:row>
      <xdr:rowOff>190500</xdr:rowOff>
    </xdr:from>
    <xdr:to>
      <xdr:col>47</xdr:col>
      <xdr:colOff>460180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24FB5FDC-EE05-4C3D-93C8-B9B42D323020}"/>
            </a:ext>
          </a:extLst>
        </xdr:cNvPr>
        <xdr:cNvSpPr/>
      </xdr:nvSpPr>
      <xdr:spPr bwMode="auto">
        <a:xfrm>
          <a:off x="25664884" y="190500"/>
          <a:ext cx="103667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205386</xdr:colOff>
      <xdr:row>0</xdr:row>
      <xdr:rowOff>185741</xdr:rowOff>
    </xdr:from>
    <xdr:to>
      <xdr:col>45</xdr:col>
      <xdr:colOff>498470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9E0475B-5630-4D2B-B80C-7329A3D4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76547" y="185741"/>
          <a:ext cx="293084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307870</xdr:colOff>
      <xdr:row>0</xdr:row>
      <xdr:rowOff>152400</xdr:rowOff>
    </xdr:from>
    <xdr:to>
      <xdr:col>5</xdr:col>
      <xdr:colOff>1150649</xdr:colOff>
      <xdr:row>1</xdr:row>
      <xdr:rowOff>69850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33C950D-55A7-4EAD-8BCB-DE03CA37C5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034" y="152400"/>
          <a:ext cx="85366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46</xdr:col>
      <xdr:colOff>6348</xdr:colOff>
      <xdr:row>0</xdr:row>
      <xdr:rowOff>190500</xdr:rowOff>
    </xdr:from>
    <xdr:to>
      <xdr:col>47</xdr:col>
      <xdr:colOff>460180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E760C77B-ECCF-466D-AA57-6D181B193A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64884" y="190500"/>
          <a:ext cx="103667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639535</xdr:colOff>
      <xdr:row>1</xdr:row>
      <xdr:rowOff>54427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D98C8938-55DF-4623-8C20-71DE091C4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85464" y="680356"/>
          <a:ext cx="2776118" cy="19936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29706</xdr:colOff>
      <xdr:row>0</xdr:row>
      <xdr:rowOff>0</xdr:rowOff>
    </xdr:from>
    <xdr:ext cx="1870112" cy="1343025"/>
    <xdr:pic>
      <xdr:nvPicPr>
        <xdr:cNvPr id="2" name="Imagem 1">
          <a:extLst>
            <a:ext uri="{FF2B5EF4-FFF2-40B4-BE49-F238E27FC236}">
              <a16:creationId xmlns:a16="http://schemas.microsoft.com/office/drawing/2014/main" id="{31668231-8E90-40C6-BB3A-DB110EBA7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68956" y="600075"/>
          <a:ext cx="1870112" cy="134302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Iglezias" id="{9A861197-0662-434B-8DA3-0A6687C7C8F9}" userId="S::carol.iglezias@oggilive.com.br::e3599335-7fad-48c9-a3a1-f8827cdc78a0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25" dT="2026-05-08T15:23:43.14" personId="{9A861197-0662-434B-8DA3-0A6687C7C8F9}" id="{2BD7F1A3-C25A-4803-ADFA-29EC82A4C0FB}">
    <text>Pago 10.882,50</text>
  </threadedComment>
  <threadedComment ref="T28" dT="2026-05-08T16:02:14.57" personId="{9A861197-0662-434B-8DA3-0A6687C7C8F9}" id="{8AE6BA20-E999-4674-80AB-E97EF09A8646}">
    <text>Cartão Isabela</text>
  </threadedComment>
  <threadedComment ref="T30" dT="2026-05-08T16:02:28.61" personId="{9A861197-0662-434B-8DA3-0A6687C7C8F9}" id="{C351604C-8DF1-45BB-BCB3-E11690A0B728}">
    <text>Cartão Isabela</text>
  </threadedComment>
  <threadedComment ref="T49" dT="2026-05-08T14:34:52.09" personId="{9A861197-0662-434B-8DA3-0A6687C7C8F9}" id="{A66BC103-73CB-4ECD-8E59-4698DB31951E}">
    <text>Pago  R$     1.948,80, entender diferença? Imposto</text>
  </threadedComment>
  <threadedComment ref="S52" dT="2026-05-08T14:52:00.39" personId="{9A861197-0662-434B-8DA3-0A6687C7C8F9}" id="{60BF1E80-2890-4BC0-BD60-C50C5E1C962C}">
    <text>Reembolso Bela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21" dT="2026-05-08T15:19:04.48" personId="{9A861197-0662-434B-8DA3-0A6687C7C8F9}" id="{35E14F0B-AC01-4C3C-B315-0AD01C0826F9}">
    <text xml:space="preserve">Reembolso Luiza 370,00
</text>
  </threadedComment>
  <threadedComment ref="S22" dT="2026-05-08T17:17:40.56" personId="{9A861197-0662-434B-8DA3-0A6687C7C8F9}" id="{BDD9041F-38C1-47CE-9E2D-0777C8C09106}">
    <text>Compra das lixeiras</text>
  </threadedComment>
  <threadedComment ref="S24" dT="2026-05-08T17:09:42.19" personId="{9A861197-0662-434B-8DA3-0A6687C7C8F9}" id="{7858D815-A552-4AA4-9770-257D0C53DE44}">
    <text>Reembolso Luiza</text>
  </threadedComment>
  <threadedComment ref="S25" dT="2026-05-08T17:16:58.22" personId="{9A861197-0662-434B-8DA3-0A6687C7C8F9}" id="{AEA321AC-EE6A-450D-B19E-7A0CEA28FBEA}">
    <text>410+500,00 aplicação</text>
  </threadedComment>
  <threadedComment ref="S27" dT="2026-05-08T15:17:17.93" personId="{9A861197-0662-434B-8DA3-0A6687C7C8F9}" id="{40C89B06-D685-43F7-A281-CEFA4F4290B7}">
    <text xml:space="preserve">Reembolso Luiza 149,00
</text>
  </threadedComment>
  <threadedComment ref="S28" dT="2026-05-08T15:09:42.81" personId="{9A861197-0662-434B-8DA3-0A6687C7C8F9}" id="{AEBC3E70-3A0C-438A-A47E-D39125D9D042}">
    <text>Reembolso Fê 560,00</text>
  </threadedComment>
  <threadedComment ref="S30" dT="2026-05-08T15:09:42.81" personId="{9A861197-0662-434B-8DA3-0A6687C7C8F9}" id="{CB5965C0-FEC9-4FEF-9F5D-EA8FB8C2AC5A}">
    <text>Reembolso Fê 560,00</text>
  </threadedComment>
  <threadedComment ref="S31" dT="2026-05-08T15:56:12.55" personId="{9A861197-0662-434B-8DA3-0A6687C7C8F9}" id="{B7D95AA6-1D1C-4139-B39B-8F4CFF2B55D8}">
    <text>Reembolso Evandro e Fernanda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S17" dT="2026-05-08T14:59:01.35" personId="{9A861197-0662-434B-8DA3-0A6687C7C8F9}" id="{6626A8D6-5CF9-4D4A-BBE9-20C83EAFD706}">
    <text>Cartão Oggi</text>
  </threadedComment>
  <threadedComment ref="S18" dT="2026-05-08T14:59:57.91" personId="{9A861197-0662-434B-8DA3-0A6687C7C8F9}" id="{AE6372F8-CF76-4058-A72D-8E60C22E6506}">
    <text>Sakura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794E-C8DF-49A8-AF5D-1EDEDA0671E9}">
  <sheetPr>
    <pageSetUpPr fitToPage="1"/>
  </sheetPr>
  <dimension ref="A1:H43"/>
  <sheetViews>
    <sheetView showGridLines="0" tabSelected="1" topLeftCell="A20" zoomScaleNormal="100" workbookViewId="0">
      <selection activeCell="C36" sqref="C36:D36"/>
    </sheetView>
  </sheetViews>
  <sheetFormatPr defaultColWidth="8.6640625" defaultRowHeight="16.2"/>
  <cols>
    <col min="1" max="1" width="8.6640625" style="416"/>
    <col min="2" max="2" width="23.44140625" style="416" bestFit="1" customWidth="1"/>
    <col min="3" max="3" width="26.5546875" style="416" bestFit="1" customWidth="1"/>
    <col min="4" max="4" width="21" style="416" bestFit="1" customWidth="1"/>
    <col min="5" max="5" width="19.109375" style="416" bestFit="1" customWidth="1"/>
    <col min="6" max="6" width="11.88671875" style="417" bestFit="1" customWidth="1"/>
    <col min="7" max="7" width="13.5546875" style="416" bestFit="1" customWidth="1"/>
    <col min="8" max="8" width="18.33203125" style="416" bestFit="1" customWidth="1"/>
    <col min="9" max="16384" width="8.6640625" style="416"/>
  </cols>
  <sheetData>
    <row r="1" spans="1:5" s="417" customFormat="1" hidden="1">
      <c r="A1" s="416"/>
      <c r="B1" s="416"/>
      <c r="C1" s="416"/>
      <c r="D1" s="416"/>
      <c r="E1" s="416"/>
    </row>
    <row r="2" spans="1:5" s="417" customFormat="1" hidden="1">
      <c r="A2" s="416"/>
      <c r="B2" s="416"/>
      <c r="C2" s="416"/>
      <c r="D2" s="416"/>
      <c r="E2" s="416"/>
    </row>
    <row r="3" spans="1:5" s="417" customFormat="1" hidden="1">
      <c r="A3" s="416"/>
      <c r="B3" s="416"/>
      <c r="C3" s="418">
        <v>45866</v>
      </c>
      <c r="D3" s="419"/>
      <c r="E3" s="457" t="e">
        <f>SUM(#REF!)</f>
        <v>#REF!</v>
      </c>
    </row>
    <row r="4" spans="1:5" s="417" customFormat="1" ht="15.6" hidden="1" customHeight="1" thickBot="1">
      <c r="A4" s="416"/>
      <c r="B4" s="416"/>
      <c r="C4" s="420">
        <v>45867</v>
      </c>
      <c r="D4" s="421"/>
      <c r="E4" s="458"/>
    </row>
    <row r="5" spans="1:5" s="417" customFormat="1" hidden="1">
      <c r="A5" s="416"/>
      <c r="B5" s="416"/>
      <c r="C5" s="422" t="s">
        <v>364</v>
      </c>
      <c r="D5" s="423"/>
      <c r="E5" s="416"/>
    </row>
    <row r="6" spans="1:5" s="417" customFormat="1" hidden="1">
      <c r="A6" s="416"/>
      <c r="B6" s="416"/>
      <c r="C6" s="422" t="s">
        <v>365</v>
      </c>
      <c r="D6" s="423"/>
      <c r="E6" s="416"/>
    </row>
    <row r="7" spans="1:5" s="417" customFormat="1" ht="16.8" hidden="1" thickBot="1">
      <c r="A7" s="416"/>
      <c r="B7" s="416"/>
      <c r="C7" s="424" t="s">
        <v>42</v>
      </c>
      <c r="D7" s="425"/>
      <c r="E7" s="416"/>
    </row>
    <row r="9" spans="1:5" s="417" customFormat="1">
      <c r="A9" s="416" t="s">
        <v>99</v>
      </c>
      <c r="B9" s="416"/>
      <c r="C9" s="416"/>
      <c r="D9" s="416"/>
      <c r="E9" s="416"/>
    </row>
    <row r="10" spans="1:5" s="417" customFormat="1" ht="24" customHeight="1">
      <c r="A10" s="416"/>
      <c r="B10" s="416"/>
      <c r="C10" s="416"/>
      <c r="D10" s="416"/>
      <c r="E10" s="416"/>
    </row>
    <row r="12" spans="1:5" s="417" customFormat="1" ht="15" customHeight="1">
      <c r="A12" s="416"/>
      <c r="B12" s="426" t="s">
        <v>136</v>
      </c>
      <c r="C12" s="447" t="s">
        <v>171</v>
      </c>
      <c r="D12" s="427"/>
      <c r="E12" s="416"/>
    </row>
    <row r="13" spans="1:5" s="417" customFormat="1" ht="15" customHeight="1">
      <c r="A13" s="416"/>
      <c r="B13" s="428" t="s">
        <v>135</v>
      </c>
      <c r="C13" s="448" t="s">
        <v>163</v>
      </c>
      <c r="D13" s="427"/>
      <c r="E13" s="416"/>
    </row>
    <row r="14" spans="1:5" s="417" customFormat="1" ht="15" customHeight="1">
      <c r="A14" s="416"/>
      <c r="B14" s="428" t="s">
        <v>134</v>
      </c>
      <c r="C14" s="449" t="s">
        <v>256</v>
      </c>
      <c r="D14" s="429"/>
      <c r="E14" s="416"/>
    </row>
    <row r="15" spans="1:5" s="417" customFormat="1" ht="15" customHeight="1">
      <c r="A15" s="416"/>
      <c r="B15" s="428" t="s">
        <v>133</v>
      </c>
      <c r="C15" s="449" t="s">
        <v>257</v>
      </c>
      <c r="D15" s="429"/>
      <c r="E15" s="416"/>
    </row>
    <row r="16" spans="1:5" s="417" customFormat="1" ht="15" customHeight="1">
      <c r="A16" s="416"/>
      <c r="B16" s="428" t="s">
        <v>129</v>
      </c>
      <c r="C16" s="450" t="s">
        <v>258</v>
      </c>
      <c r="D16" s="430"/>
      <c r="E16" s="416"/>
    </row>
    <row r="17" spans="2:8" ht="15" customHeight="1">
      <c r="B17" s="428" t="s">
        <v>130</v>
      </c>
      <c r="C17" s="449" t="s">
        <v>125</v>
      </c>
      <c r="D17" s="429"/>
    </row>
    <row r="18" spans="2:8" ht="15" customHeight="1">
      <c r="B18" s="428" t="s">
        <v>131</v>
      </c>
      <c r="C18" s="449" t="s">
        <v>165</v>
      </c>
      <c r="D18" s="429"/>
    </row>
    <row r="19" spans="2:8" ht="15" customHeight="1">
      <c r="B19" s="431" t="s">
        <v>132</v>
      </c>
      <c r="C19" s="451" t="s">
        <v>170</v>
      </c>
      <c r="D19" s="429"/>
    </row>
    <row r="21" spans="2:8" ht="15.6" customHeight="1">
      <c r="B21" s="432"/>
      <c r="C21" s="432" t="s">
        <v>366</v>
      </c>
      <c r="D21" s="432" t="s">
        <v>367</v>
      </c>
      <c r="E21" s="432" t="s">
        <v>368</v>
      </c>
    </row>
    <row r="22" spans="2:8">
      <c r="B22" s="433" t="s">
        <v>370</v>
      </c>
      <c r="C22" s="434">
        <f>Operação!N58</f>
        <v>135000.07766869641</v>
      </c>
      <c r="D22" s="434">
        <f>Operação!X58</f>
        <v>78049.179999999993</v>
      </c>
      <c r="E22" s="434">
        <f t="shared" ref="E22:E25" si="0">C22-D22</f>
        <v>56950.897668696416</v>
      </c>
      <c r="F22" s="435">
        <f t="shared" ref="F22:F24" si="1">E22*100%/C22</f>
        <v>0.42185825854455855</v>
      </c>
    </row>
    <row r="23" spans="2:8">
      <c r="B23" s="433" t="s">
        <v>371</v>
      </c>
      <c r="C23" s="434">
        <f>Estandes!N23</f>
        <v>179274.92335031688</v>
      </c>
      <c r="D23" s="434">
        <f>Estandes!AP23</f>
        <v>147964.04999999999</v>
      </c>
      <c r="E23" s="434">
        <f t="shared" si="0"/>
        <v>31310.873350316891</v>
      </c>
      <c r="F23" s="435">
        <f t="shared" si="1"/>
        <v>0.17465283356520006</v>
      </c>
    </row>
    <row r="24" spans="2:8">
      <c r="B24" s="433" t="s">
        <v>372</v>
      </c>
      <c r="C24" s="434">
        <f>Extras!N33</f>
        <v>28824.879271778304</v>
      </c>
      <c r="D24" s="434">
        <f>Extras!X33</f>
        <v>13089.6</v>
      </c>
      <c r="E24" s="434">
        <f t="shared" si="0"/>
        <v>15735.279271778303</v>
      </c>
      <c r="F24" s="435">
        <f t="shared" si="1"/>
        <v>0.54589228712518179</v>
      </c>
    </row>
    <row r="25" spans="2:8">
      <c r="B25" s="433" t="s">
        <v>373</v>
      </c>
      <c r="C25" s="456">
        <f>'Extras DPA'!N20</f>
        <v>9521.8758046476942</v>
      </c>
      <c r="D25" s="434">
        <f>'Extras DPA'!X20</f>
        <v>3286.5</v>
      </c>
      <c r="E25" s="434">
        <f t="shared" si="0"/>
        <v>6235.3758046476942</v>
      </c>
      <c r="F25" s="435">
        <f>E25*100%/C25</f>
        <v>0.6548474200434502</v>
      </c>
    </row>
    <row r="26" spans="2:8">
      <c r="B26" s="432" t="s">
        <v>42</v>
      </c>
      <c r="C26" s="436">
        <f>SUM(C22:C25)</f>
        <v>352621.75609543925</v>
      </c>
      <c r="D26" s="436">
        <f>SUM(D22:D25)</f>
        <v>242389.33</v>
      </c>
      <c r="E26" s="436">
        <f>SUM(E22:E25)</f>
        <v>110232.4260954393</v>
      </c>
      <c r="F26" s="435">
        <f>E26*100%/C26</f>
        <v>0.31260812525023046</v>
      </c>
      <c r="H26" s="437"/>
    </row>
    <row r="28" spans="2:8" ht="200.1" hidden="1" customHeight="1"/>
    <row r="30" spans="2:8" ht="16.8" thickBot="1">
      <c r="C30" s="593">
        <f>C32+C33</f>
        <v>163990.6</v>
      </c>
      <c r="D30" s="438"/>
    </row>
    <row r="31" spans="2:8" ht="21.9" customHeight="1" thickBot="1">
      <c r="B31" s="459" t="s">
        <v>369</v>
      </c>
      <c r="C31" s="460"/>
      <c r="D31" s="460"/>
      <c r="E31" s="460"/>
      <c r="F31" s="461"/>
    </row>
    <row r="32" spans="2:8" ht="24.9" customHeight="1" thickBot="1">
      <c r="B32" s="439" t="s">
        <v>376</v>
      </c>
      <c r="C32" s="440">
        <v>126150.57</v>
      </c>
      <c r="D32" s="589">
        <f>D26</f>
        <v>242389.33</v>
      </c>
      <c r="E32" s="586">
        <f>C30-D32</f>
        <v>-78398.729999999981</v>
      </c>
      <c r="F32" s="594">
        <f>E32*100%/C30</f>
        <v>-0.47806843806901111</v>
      </c>
    </row>
    <row r="33" spans="1:8" ht="24.9" customHeight="1" thickBot="1">
      <c r="B33" s="439" t="s">
        <v>377</v>
      </c>
      <c r="C33" s="442">
        <v>37840.03</v>
      </c>
      <c r="D33" s="590"/>
      <c r="E33" s="587"/>
      <c r="F33" s="595"/>
    </row>
    <row r="34" spans="1:8" ht="24.9" customHeight="1" thickBot="1">
      <c r="B34" s="441" t="s">
        <v>379</v>
      </c>
      <c r="C34" s="442">
        <v>179109.28</v>
      </c>
      <c r="D34" s="591">
        <f>C34*0.15</f>
        <v>26866.392</v>
      </c>
      <c r="E34" s="453">
        <f>C34-D34</f>
        <v>152242.88800000001</v>
      </c>
      <c r="F34" s="443">
        <f t="shared" ref="F34:F35" si="2">E34*100%/C34</f>
        <v>0.85000000000000009</v>
      </c>
    </row>
    <row r="35" spans="1:8" ht="24.9" customHeight="1" thickBot="1">
      <c r="B35" s="441" t="s">
        <v>378</v>
      </c>
      <c r="C35" s="442">
        <v>9521.8799999999992</v>
      </c>
      <c r="D35" s="591">
        <f>C35*0.15</f>
        <v>1428.2819999999999</v>
      </c>
      <c r="E35" s="453">
        <f>C35-D35</f>
        <v>8093.597999999999</v>
      </c>
      <c r="F35" s="443">
        <f t="shared" si="2"/>
        <v>0.85</v>
      </c>
    </row>
    <row r="36" spans="1:8" ht="20.25" customHeight="1" thickBot="1">
      <c r="B36" s="444"/>
      <c r="C36" s="445">
        <f>SUM(C32:C35)</f>
        <v>352621.76</v>
      </c>
      <c r="D36" s="592">
        <f>SUM(D34:D35,D32)</f>
        <v>270684.00399999996</v>
      </c>
      <c r="E36" s="588">
        <f>C36-D36</f>
        <v>81937.756000000052</v>
      </c>
      <c r="F36" s="443">
        <f>E36*100%/C36</f>
        <v>0.23236727081164829</v>
      </c>
      <c r="G36" s="446"/>
    </row>
    <row r="37" spans="1:8">
      <c r="C37" s="452"/>
    </row>
    <row r="43" spans="1:8" s="417" customFormat="1">
      <c r="A43" s="416"/>
      <c r="B43" s="416"/>
      <c r="C43" s="416"/>
      <c r="D43" s="416"/>
      <c r="E43" s="446"/>
      <c r="G43" s="416"/>
      <c r="H43" s="416"/>
    </row>
  </sheetData>
  <mergeCells count="5">
    <mergeCell ref="E3:E4"/>
    <mergeCell ref="B31:F31"/>
    <mergeCell ref="D32:D33"/>
    <mergeCell ref="E32:E33"/>
    <mergeCell ref="F32:F33"/>
  </mergeCells>
  <phoneticPr fontId="31" type="noConversion"/>
  <pageMargins left="0.51181102362204722" right="0.51181102362204722" top="0.78740157480314965" bottom="0.78740157480314965" header="0.31496062992125984" footer="0.31496062992125984"/>
  <pageSetup paperSize="9" fitToHeight="0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48968-A16A-40ED-A675-B08E53C88425}">
  <sheetPr codeName="Planilha12">
    <pageSetUpPr autoPageBreaks="0"/>
  </sheetPr>
  <dimension ref="A1:AL24"/>
  <sheetViews>
    <sheetView showGridLines="0" topLeftCell="B1" zoomScale="60" zoomScaleNormal="60" workbookViewId="0">
      <pane ySplit="1" topLeftCell="A20" activePane="bottomLeft" state="frozen"/>
      <selection pane="bottomLeft" activeCell="K22" sqref="K22"/>
    </sheetView>
  </sheetViews>
  <sheetFormatPr defaultColWidth="8.88671875" defaultRowHeight="18"/>
  <cols>
    <col min="1" max="1" width="5.33203125" style="217" hidden="1" customWidth="1"/>
    <col min="2" max="2" width="11.88671875" style="217" customWidth="1"/>
    <col min="3" max="5" width="5.33203125" style="217" hidden="1" customWidth="1"/>
    <col min="6" max="6" width="28.109375" style="217" bestFit="1" customWidth="1"/>
    <col min="7" max="7" width="61.109375" style="217" customWidth="1"/>
    <col min="8" max="8" width="7.109375" style="217" hidden="1" customWidth="1"/>
    <col min="9" max="9" width="7.6640625" style="217" hidden="1" customWidth="1"/>
    <col min="10" max="10" width="16.44140625" style="217" hidden="1" customWidth="1"/>
    <col min="11" max="11" width="26.6640625" style="217" bestFit="1" customWidth="1"/>
    <col min="12" max="12" width="22.5546875" style="217" customWidth="1"/>
    <col min="13" max="13" width="20.6640625" style="217" customWidth="1"/>
    <col min="14" max="14" width="26.109375" style="217" customWidth="1"/>
    <col min="15" max="15" width="3.33203125" style="217" hidden="1" customWidth="1"/>
    <col min="16" max="16" width="1.88671875" style="217" hidden="1" customWidth="1"/>
    <col min="17" max="17" width="11.109375" style="220" bestFit="1" customWidth="1"/>
    <col min="18" max="18" width="8.44140625" style="220" hidden="1" customWidth="1"/>
    <col min="19" max="19" width="16.44140625" style="217" hidden="1" customWidth="1"/>
    <col min="20" max="20" width="26.6640625" style="217" bestFit="1" customWidth="1"/>
    <col min="21" max="21" width="24.6640625" style="217" hidden="1" customWidth="1"/>
    <col min="22" max="22" width="9.6640625" style="217" hidden="1" customWidth="1"/>
    <col min="23" max="23" width="16.109375" style="217" hidden="1" customWidth="1"/>
    <col min="24" max="24" width="27.109375" style="217" bestFit="1" customWidth="1"/>
    <col min="25" max="25" width="26.6640625" style="217" hidden="1" customWidth="1"/>
    <col min="26" max="26" width="14.6640625" style="217" hidden="1" customWidth="1"/>
    <col min="27" max="27" width="24.6640625" style="217" hidden="1" customWidth="1"/>
    <col min="28" max="28" width="38.109375" style="217" hidden="1" customWidth="1"/>
    <col min="29" max="29" width="14.109375" style="217" hidden="1" customWidth="1"/>
    <col min="30" max="30" width="7.6640625" style="217" hidden="1" customWidth="1"/>
    <col min="31" max="31" width="6.88671875" style="217" hidden="1" customWidth="1"/>
    <col min="32" max="32" width="1.33203125" style="217" hidden="1" customWidth="1"/>
    <col min="33" max="33" width="14" style="217" hidden="1" customWidth="1"/>
    <col min="34" max="34" width="11.6640625" style="217" hidden="1" customWidth="1"/>
    <col min="35" max="35" width="6.33203125" style="217" hidden="1" customWidth="1"/>
    <col min="36" max="36" width="12.6640625" style="217" hidden="1" customWidth="1"/>
    <col min="37" max="37" width="17.33203125" style="217" customWidth="1"/>
    <col min="38" max="38" width="16.88671875" style="217" customWidth="1"/>
    <col min="39" max="39" width="8.88671875" style="217"/>
    <col min="40" max="40" width="21.33203125" style="217" customWidth="1"/>
    <col min="41" max="16384" width="8.88671875" style="217"/>
  </cols>
  <sheetData>
    <row r="1" spans="1:38" ht="49.5" customHeight="1">
      <c r="B1" s="218"/>
      <c r="C1" s="219"/>
      <c r="D1" s="219"/>
      <c r="F1" s="462" t="s">
        <v>112</v>
      </c>
      <c r="G1" s="462"/>
    </row>
    <row r="2" spans="1:38" ht="24.75" customHeight="1">
      <c r="B2" s="220"/>
      <c r="D2" s="219"/>
      <c r="F2" s="463" t="s">
        <v>0</v>
      </c>
      <c r="G2" s="463"/>
    </row>
    <row r="3" spans="1:38">
      <c r="B3" s="221"/>
      <c r="F3" s="28"/>
      <c r="G3" s="28"/>
    </row>
    <row r="4" spans="1:38">
      <c r="F4" s="35" t="s">
        <v>136</v>
      </c>
      <c r="G4" s="47" t="s">
        <v>171</v>
      </c>
    </row>
    <row r="5" spans="1:38">
      <c r="F5" s="36" t="s">
        <v>135</v>
      </c>
      <c r="G5" s="48" t="s">
        <v>163</v>
      </c>
    </row>
    <row r="6" spans="1:38">
      <c r="D6" s="217" t="s">
        <v>99</v>
      </c>
      <c r="F6" s="36" t="s">
        <v>134</v>
      </c>
      <c r="G6" s="50" t="s">
        <v>256</v>
      </c>
    </row>
    <row r="7" spans="1:38" ht="21.75" customHeight="1">
      <c r="F7" s="36" t="s">
        <v>133</v>
      </c>
      <c r="G7" s="50" t="s">
        <v>257</v>
      </c>
      <c r="J7" s="217" t="s">
        <v>111</v>
      </c>
    </row>
    <row r="8" spans="1:38">
      <c r="F8" s="36" t="s">
        <v>129</v>
      </c>
      <c r="G8" s="222" t="s">
        <v>258</v>
      </c>
    </row>
    <row r="9" spans="1:38">
      <c r="F9" s="36" t="s">
        <v>130</v>
      </c>
      <c r="G9" s="50" t="s">
        <v>125</v>
      </c>
      <c r="J9" s="217" t="s">
        <v>99</v>
      </c>
    </row>
    <row r="10" spans="1:38" ht="27" customHeight="1">
      <c r="F10" s="36" t="s">
        <v>131</v>
      </c>
      <c r="G10" s="50" t="s">
        <v>165</v>
      </c>
    </row>
    <row r="11" spans="1:38">
      <c r="F11" s="37" t="s">
        <v>132</v>
      </c>
      <c r="G11" s="52" t="s">
        <v>170</v>
      </c>
    </row>
    <row r="12" spans="1:38" ht="54.6" hidden="1" thickBot="1">
      <c r="B12" s="223"/>
      <c r="M12" s="224"/>
      <c r="Q12" s="464" t="s">
        <v>1</v>
      </c>
      <c r="R12" s="465"/>
      <c r="S12" s="465"/>
      <c r="T12" s="466"/>
      <c r="U12" s="467" t="s">
        <v>2</v>
      </c>
      <c r="V12" s="468"/>
      <c r="W12" s="468"/>
      <c r="X12" s="469"/>
      <c r="Y12" s="225" t="s">
        <v>48</v>
      </c>
      <c r="Z12" s="226">
        <f>(1/(1-M14))-1</f>
        <v>0.24269914253759173</v>
      </c>
      <c r="AC12" s="470" t="s">
        <v>3</v>
      </c>
      <c r="AD12" s="471"/>
      <c r="AE12" s="472"/>
      <c r="AG12" s="488" t="s">
        <v>50</v>
      </c>
      <c r="AH12" s="489"/>
      <c r="AJ12" s="227" t="s">
        <v>52</v>
      </c>
      <c r="AK12" s="477" t="s">
        <v>51</v>
      </c>
      <c r="AL12" s="478"/>
    </row>
    <row r="13" spans="1:38" ht="18.600000000000001" thickBot="1">
      <c r="A13" s="228" t="s">
        <v>4</v>
      </c>
      <c r="B13" s="229" t="s">
        <v>5</v>
      </c>
      <c r="C13" s="228" t="s">
        <v>6</v>
      </c>
      <c r="D13" s="228" t="s">
        <v>7</v>
      </c>
      <c r="E13" s="228" t="s">
        <v>8</v>
      </c>
      <c r="M13" s="230">
        <v>0.80469999999999997</v>
      </c>
    </row>
    <row r="14" spans="1:38" ht="41.25" customHeight="1" thickBot="1">
      <c r="A14" s="231">
        <v>0</v>
      </c>
      <c r="B14" s="232"/>
      <c r="C14" s="233"/>
      <c r="D14" s="234"/>
      <c r="E14" s="234"/>
      <c r="F14" s="235" t="s">
        <v>76</v>
      </c>
      <c r="G14" s="236" t="s">
        <v>77</v>
      </c>
      <c r="H14" s="237" t="s">
        <v>78</v>
      </c>
      <c r="I14" s="237" t="s">
        <v>79</v>
      </c>
      <c r="J14" s="238" t="s">
        <v>80</v>
      </c>
      <c r="K14" s="239" t="s">
        <v>9</v>
      </c>
      <c r="L14" s="240">
        <v>7.4999999999999997E-2</v>
      </c>
      <c r="M14" s="241">
        <f>1-M13</f>
        <v>0.19530000000000003</v>
      </c>
      <c r="N14" s="242" t="s">
        <v>74</v>
      </c>
      <c r="Q14" s="243" t="s">
        <v>81</v>
      </c>
      <c r="R14" s="244" t="s">
        <v>82</v>
      </c>
      <c r="S14" s="245" t="s">
        <v>83</v>
      </c>
      <c r="T14" s="246" t="s">
        <v>84</v>
      </c>
      <c r="U14" s="247" t="s">
        <v>85</v>
      </c>
      <c r="V14" s="248" t="s">
        <v>86</v>
      </c>
      <c r="W14" s="249" t="s">
        <v>87</v>
      </c>
      <c r="X14" s="249" t="s">
        <v>88</v>
      </c>
      <c r="Y14" s="250" t="s">
        <v>89</v>
      </c>
      <c r="Z14" s="251" t="s">
        <v>90</v>
      </c>
      <c r="AA14" s="252" t="s">
        <v>75</v>
      </c>
      <c r="AC14" s="253" t="s">
        <v>91</v>
      </c>
      <c r="AD14" s="254" t="s">
        <v>92</v>
      </c>
      <c r="AE14" s="254" t="s">
        <v>32</v>
      </c>
      <c r="AG14" s="255" t="s">
        <v>93</v>
      </c>
      <c r="AH14" s="256" t="s">
        <v>94</v>
      </c>
      <c r="AK14" s="257" t="s">
        <v>95</v>
      </c>
      <c r="AL14" s="258" t="s">
        <v>96</v>
      </c>
    </row>
    <row r="15" spans="1:38" ht="35.1" customHeight="1" thickBot="1">
      <c r="A15" s="234">
        <v>1</v>
      </c>
      <c r="B15" s="259">
        <v>1</v>
      </c>
      <c r="C15" s="260" t="s">
        <v>113</v>
      </c>
      <c r="D15" s="234"/>
      <c r="E15" s="234"/>
      <c r="F15" s="479"/>
      <c r="G15" s="480"/>
      <c r="H15" s="480"/>
      <c r="I15" s="480"/>
      <c r="J15" s="480"/>
      <c r="K15" s="480"/>
      <c r="L15" s="480"/>
      <c r="M15" s="480"/>
      <c r="N15" s="481"/>
      <c r="Q15" s="482" t="str">
        <f>IF(F15&lt;&gt;"",F15,"")</f>
        <v/>
      </c>
      <c r="R15" s="483"/>
      <c r="S15" s="483"/>
      <c r="T15" s="483"/>
      <c r="U15" s="483"/>
      <c r="V15" s="483"/>
      <c r="W15" s="483"/>
      <c r="X15" s="483"/>
      <c r="Y15" s="484"/>
      <c r="AK15" s="482"/>
      <c r="AL15" s="483"/>
    </row>
    <row r="16" spans="1:38" ht="35.1" customHeight="1">
      <c r="A16" s="234">
        <v>2</v>
      </c>
      <c r="B16" s="259" t="s">
        <v>115</v>
      </c>
      <c r="C16" s="260" t="s">
        <v>114</v>
      </c>
      <c r="D16" s="234"/>
      <c r="E16" s="234"/>
      <c r="F16" s="485" t="s">
        <v>154</v>
      </c>
      <c r="G16" s="486"/>
      <c r="H16" s="486"/>
      <c r="I16" s="486"/>
      <c r="J16" s="486"/>
      <c r="K16" s="486"/>
      <c r="L16" s="261" t="s">
        <v>116</v>
      </c>
      <c r="M16" s="261" t="s">
        <v>117</v>
      </c>
      <c r="N16" s="262" t="s">
        <v>74</v>
      </c>
      <c r="Q16" s="485" t="str">
        <f>IF(F16&lt;&gt;"",F16,"")</f>
        <v xml:space="preserve">Taxas obrigatórias </v>
      </c>
      <c r="R16" s="486"/>
      <c r="S16" s="486"/>
      <c r="T16" s="486"/>
      <c r="U16" s="486"/>
      <c r="V16" s="486"/>
      <c r="W16" s="486"/>
      <c r="X16" s="486"/>
      <c r="Y16" s="487"/>
      <c r="Z16" s="263" t="s">
        <v>118</v>
      </c>
      <c r="AA16" s="264" t="s">
        <v>75</v>
      </c>
      <c r="AK16" s="485"/>
      <c r="AL16" s="486"/>
    </row>
    <row r="17" spans="1:38" ht="80.099999999999994" customHeight="1">
      <c r="A17" s="234">
        <v>3</v>
      </c>
      <c r="B17" s="259" t="s">
        <v>120</v>
      </c>
      <c r="C17" s="260" t="s">
        <v>119</v>
      </c>
      <c r="D17" s="234" t="s">
        <v>137</v>
      </c>
      <c r="E17" s="234" t="s">
        <v>153</v>
      </c>
      <c r="F17" s="265" t="s">
        <v>172</v>
      </c>
      <c r="G17" s="266" t="s">
        <v>332</v>
      </c>
      <c r="H17" s="267">
        <v>25</v>
      </c>
      <c r="I17" s="267">
        <v>1</v>
      </c>
      <c r="J17" s="268">
        <v>390</v>
      </c>
      <c r="K17" s="269">
        <f t="shared" ref="K17:K22" si="0">IF(F17&lt;&gt;"",H17*I17*J17,"")</f>
        <v>9750</v>
      </c>
      <c r="L17" s="269">
        <f t="shared" ref="L17:L22" si="1">IF(K17&lt;&gt;"",IF(D17="INTERNO",0,K17*$L$14),"")</f>
        <v>0</v>
      </c>
      <c r="M17" s="269">
        <f t="shared" ref="M17:M22" si="2">IF(K17&lt;&gt;"",IF(E17="FAT.OGGI",SUM(K17:L17)*(1/(1-$M$14)-1),L17*(1/(1-$M$14)-1)),"")</f>
        <v>0</v>
      </c>
      <c r="N17" s="270">
        <f t="shared" ref="N17:N22" si="3">SUM(K17:M17)</f>
        <v>9750</v>
      </c>
      <c r="Q17" s="271">
        <f t="shared" ref="Q17:R19" si="4">IF(H17&lt;&gt;"",H17,"")</f>
        <v>25</v>
      </c>
      <c r="R17" s="272">
        <f t="shared" si="4"/>
        <v>1</v>
      </c>
      <c r="S17" s="273">
        <v>0</v>
      </c>
      <c r="T17" s="273">
        <f t="shared" ref="T17:T22" si="5">IF(Q17&lt;&gt;"",Q17*R17*S17,"")</f>
        <v>0</v>
      </c>
      <c r="U17" s="274">
        <f t="shared" ref="U17:U22" si="6">IF(Q17&lt;&gt;"",K17-T17,"")</f>
        <v>9750</v>
      </c>
      <c r="V17" s="275">
        <f t="shared" ref="V17:V22" si="7">IF(Q17&lt;&gt;"",0%,"")</f>
        <v>0</v>
      </c>
      <c r="W17" s="276">
        <f t="shared" ref="W17:W22" si="8">IF(Q17&lt;&gt;"",V17*U17,"")</f>
        <v>0</v>
      </c>
      <c r="X17" s="276">
        <f t="shared" ref="X17:X22" si="9">IF(Q17&lt;&gt;"",W17+T17,"")</f>
        <v>0</v>
      </c>
      <c r="Y17" s="277">
        <f t="shared" ref="Y17:Y22" si="10">IF(Q17&lt;&gt;"",X17+M17,"")</f>
        <v>0</v>
      </c>
      <c r="Z17" s="278">
        <f t="shared" ref="Z17:Z22" si="11">IF(Q17&lt;&gt;"",U17/K17,"")</f>
        <v>1</v>
      </c>
      <c r="AA17" s="279" t="e">
        <f>T17/#REF!</f>
        <v>#REF!</v>
      </c>
      <c r="AK17" s="379"/>
      <c r="AL17" s="379"/>
    </row>
    <row r="18" spans="1:38" ht="80.099999999999994" customHeight="1">
      <c r="A18" s="234">
        <v>4</v>
      </c>
      <c r="B18" s="259" t="s">
        <v>97</v>
      </c>
      <c r="C18" s="260" t="s">
        <v>119</v>
      </c>
      <c r="D18" s="234" t="s">
        <v>137</v>
      </c>
      <c r="E18" s="234" t="s">
        <v>153</v>
      </c>
      <c r="F18" s="280" t="s">
        <v>173</v>
      </c>
      <c r="G18" s="266" t="s">
        <v>174</v>
      </c>
      <c r="H18" s="281">
        <v>1</v>
      </c>
      <c r="I18" s="281">
        <v>1</v>
      </c>
      <c r="J18" s="269">
        <v>742</v>
      </c>
      <c r="K18" s="269">
        <f t="shared" si="0"/>
        <v>742</v>
      </c>
      <c r="L18" s="269">
        <f t="shared" si="1"/>
        <v>0</v>
      </c>
      <c r="M18" s="269">
        <f t="shared" si="2"/>
        <v>0</v>
      </c>
      <c r="N18" s="270">
        <f t="shared" si="3"/>
        <v>742</v>
      </c>
      <c r="Q18" s="271">
        <f t="shared" si="4"/>
        <v>1</v>
      </c>
      <c r="R18" s="272">
        <f t="shared" si="4"/>
        <v>1</v>
      </c>
      <c r="S18" s="273">
        <v>0</v>
      </c>
      <c r="T18" s="273">
        <f t="shared" si="5"/>
        <v>0</v>
      </c>
      <c r="U18" s="274">
        <f t="shared" si="6"/>
        <v>742</v>
      </c>
      <c r="V18" s="275">
        <f t="shared" si="7"/>
        <v>0</v>
      </c>
      <c r="W18" s="276">
        <f t="shared" si="8"/>
        <v>0</v>
      </c>
      <c r="X18" s="276">
        <f t="shared" si="9"/>
        <v>0</v>
      </c>
      <c r="Y18" s="277">
        <f t="shared" si="10"/>
        <v>0</v>
      </c>
      <c r="Z18" s="278">
        <f t="shared" si="11"/>
        <v>1</v>
      </c>
      <c r="AA18" s="279" t="e">
        <f>T18/#REF!</f>
        <v>#REF!</v>
      </c>
      <c r="AK18" s="379"/>
      <c r="AL18" s="379"/>
    </row>
    <row r="19" spans="1:38" ht="80.099999999999994" customHeight="1">
      <c r="A19" s="234">
        <v>5</v>
      </c>
      <c r="B19" s="259" t="s">
        <v>127</v>
      </c>
      <c r="C19" s="260" t="s">
        <v>119</v>
      </c>
      <c r="D19" s="234" t="s">
        <v>137</v>
      </c>
      <c r="E19" s="234" t="s">
        <v>153</v>
      </c>
      <c r="F19" s="280" t="s">
        <v>175</v>
      </c>
      <c r="G19" s="282" t="s">
        <v>175</v>
      </c>
      <c r="H19" s="281">
        <v>3</v>
      </c>
      <c r="I19" s="281">
        <v>1</v>
      </c>
      <c r="J19" s="269">
        <v>371</v>
      </c>
      <c r="K19" s="269">
        <f t="shared" si="0"/>
        <v>1113</v>
      </c>
      <c r="L19" s="269">
        <f t="shared" si="1"/>
        <v>0</v>
      </c>
      <c r="M19" s="269">
        <f t="shared" si="2"/>
        <v>0</v>
      </c>
      <c r="N19" s="270">
        <f t="shared" si="3"/>
        <v>1113</v>
      </c>
      <c r="Q19" s="271">
        <f t="shared" si="4"/>
        <v>3</v>
      </c>
      <c r="R19" s="272">
        <f t="shared" si="4"/>
        <v>1</v>
      </c>
      <c r="S19" s="273">
        <v>0</v>
      </c>
      <c r="T19" s="273">
        <f t="shared" si="5"/>
        <v>0</v>
      </c>
      <c r="U19" s="274">
        <f t="shared" si="6"/>
        <v>1113</v>
      </c>
      <c r="V19" s="275">
        <f t="shared" si="7"/>
        <v>0</v>
      </c>
      <c r="W19" s="276">
        <f t="shared" si="8"/>
        <v>0</v>
      </c>
      <c r="X19" s="276">
        <f t="shared" si="9"/>
        <v>0</v>
      </c>
      <c r="Y19" s="277">
        <f t="shared" si="10"/>
        <v>0</v>
      </c>
      <c r="Z19" s="278">
        <f t="shared" si="11"/>
        <v>1</v>
      </c>
      <c r="AA19" s="279" t="e">
        <f>T19/#REF!</f>
        <v>#REF!</v>
      </c>
      <c r="AK19" s="379"/>
      <c r="AL19" s="379"/>
    </row>
    <row r="20" spans="1:38" ht="80.099999999999994" customHeight="1">
      <c r="A20" s="234">
        <v>6</v>
      </c>
      <c r="B20" s="259" t="s">
        <v>141</v>
      </c>
      <c r="C20" s="260" t="s">
        <v>119</v>
      </c>
      <c r="D20" s="234" t="s">
        <v>137</v>
      </c>
      <c r="E20" s="234" t="s">
        <v>153</v>
      </c>
      <c r="F20" s="280" t="s">
        <v>176</v>
      </c>
      <c r="G20" s="283" t="s">
        <v>177</v>
      </c>
      <c r="H20" s="281">
        <v>81</v>
      </c>
      <c r="I20" s="281">
        <v>1</v>
      </c>
      <c r="J20" s="269">
        <v>22.59</v>
      </c>
      <c r="K20" s="269">
        <f t="shared" si="0"/>
        <v>1829.79</v>
      </c>
      <c r="L20" s="269">
        <f t="shared" si="1"/>
        <v>0</v>
      </c>
      <c r="M20" s="269">
        <f t="shared" si="2"/>
        <v>0</v>
      </c>
      <c r="N20" s="270">
        <f t="shared" si="3"/>
        <v>1829.79</v>
      </c>
      <c r="Q20" s="271">
        <v>81</v>
      </c>
      <c r="R20" s="272">
        <v>1</v>
      </c>
      <c r="S20" s="273">
        <v>0</v>
      </c>
      <c r="T20" s="273">
        <f t="shared" si="5"/>
        <v>0</v>
      </c>
      <c r="U20" s="274">
        <f t="shared" si="6"/>
        <v>1829.79</v>
      </c>
      <c r="V20" s="275">
        <f t="shared" si="7"/>
        <v>0</v>
      </c>
      <c r="W20" s="276">
        <f t="shared" si="8"/>
        <v>0</v>
      </c>
      <c r="X20" s="276">
        <f t="shared" si="9"/>
        <v>0</v>
      </c>
      <c r="Y20" s="277">
        <f t="shared" si="10"/>
        <v>0</v>
      </c>
      <c r="Z20" s="278">
        <f t="shared" si="11"/>
        <v>1</v>
      </c>
      <c r="AA20" s="279" t="e">
        <f>T20/#REF!</f>
        <v>#REF!</v>
      </c>
      <c r="AK20" s="379"/>
      <c r="AL20" s="379"/>
    </row>
    <row r="21" spans="1:38" ht="80.099999999999994" customHeight="1">
      <c r="A21" s="234">
        <v>7</v>
      </c>
      <c r="B21" s="259" t="s">
        <v>142</v>
      </c>
      <c r="C21" s="260" t="s">
        <v>119</v>
      </c>
      <c r="D21" s="234" t="s">
        <v>137</v>
      </c>
      <c r="E21" s="234" t="s">
        <v>153</v>
      </c>
      <c r="F21" s="280" t="s">
        <v>178</v>
      </c>
      <c r="G21" s="283" t="s">
        <v>333</v>
      </c>
      <c r="H21" s="281">
        <v>1</v>
      </c>
      <c r="I21" s="281">
        <v>0</v>
      </c>
      <c r="J21" s="269">
        <v>0</v>
      </c>
      <c r="K21" s="269">
        <f t="shared" si="0"/>
        <v>0</v>
      </c>
      <c r="L21" s="269">
        <f t="shared" si="1"/>
        <v>0</v>
      </c>
      <c r="M21" s="269">
        <f t="shared" si="2"/>
        <v>0</v>
      </c>
      <c r="N21" s="270">
        <f t="shared" si="3"/>
        <v>0</v>
      </c>
      <c r="Q21" s="271">
        <f>IF(H21&lt;&gt;"",H21,"")</f>
        <v>1</v>
      </c>
      <c r="R21" s="272">
        <f>IF(I21&lt;&gt;"",I21,"")</f>
        <v>0</v>
      </c>
      <c r="S21" s="273">
        <v>0</v>
      </c>
      <c r="T21" s="273">
        <f t="shared" si="5"/>
        <v>0</v>
      </c>
      <c r="U21" s="274">
        <f t="shared" si="6"/>
        <v>0</v>
      </c>
      <c r="V21" s="275">
        <f t="shared" si="7"/>
        <v>0</v>
      </c>
      <c r="W21" s="276">
        <f t="shared" si="8"/>
        <v>0</v>
      </c>
      <c r="X21" s="276">
        <f t="shared" si="9"/>
        <v>0</v>
      </c>
      <c r="Y21" s="277">
        <f t="shared" si="10"/>
        <v>0</v>
      </c>
      <c r="Z21" s="278" t="e">
        <f t="shared" si="11"/>
        <v>#DIV/0!</v>
      </c>
      <c r="AA21" s="279" t="e">
        <f>T21/#REF!</f>
        <v>#REF!</v>
      </c>
      <c r="AK21" s="379"/>
      <c r="AL21" s="379"/>
    </row>
    <row r="22" spans="1:38" ht="80.099999999999994" customHeight="1" thickBot="1">
      <c r="A22" s="234">
        <v>8</v>
      </c>
      <c r="B22" s="259" t="s">
        <v>151</v>
      </c>
      <c r="C22" s="260" t="s">
        <v>119</v>
      </c>
      <c r="D22" s="234" t="s">
        <v>137</v>
      </c>
      <c r="E22" s="234" t="s">
        <v>153</v>
      </c>
      <c r="F22" s="280" t="s">
        <v>179</v>
      </c>
      <c r="G22" s="283" t="s">
        <v>180</v>
      </c>
      <c r="H22" s="281">
        <v>20</v>
      </c>
      <c r="I22" s="281">
        <v>0</v>
      </c>
      <c r="J22" s="269">
        <v>28</v>
      </c>
      <c r="K22" s="269">
        <f t="shared" si="0"/>
        <v>0</v>
      </c>
      <c r="L22" s="269">
        <f t="shared" si="1"/>
        <v>0</v>
      </c>
      <c r="M22" s="269">
        <f t="shared" si="2"/>
        <v>0</v>
      </c>
      <c r="N22" s="270">
        <f t="shared" si="3"/>
        <v>0</v>
      </c>
      <c r="Q22" s="271">
        <f>IF(H22&lt;&gt;"",H22,"")</f>
        <v>20</v>
      </c>
      <c r="R22" s="272">
        <f>IF(I22&lt;&gt;"",I22,"")</f>
        <v>0</v>
      </c>
      <c r="S22" s="273">
        <v>0</v>
      </c>
      <c r="T22" s="273">
        <f t="shared" si="5"/>
        <v>0</v>
      </c>
      <c r="U22" s="274">
        <f t="shared" si="6"/>
        <v>0</v>
      </c>
      <c r="V22" s="275">
        <f t="shared" si="7"/>
        <v>0</v>
      </c>
      <c r="W22" s="276">
        <f t="shared" si="8"/>
        <v>0</v>
      </c>
      <c r="X22" s="276">
        <f t="shared" si="9"/>
        <v>0</v>
      </c>
      <c r="Y22" s="277">
        <f t="shared" si="10"/>
        <v>0</v>
      </c>
      <c r="Z22" s="278" t="e">
        <f t="shared" si="11"/>
        <v>#DIV/0!</v>
      </c>
      <c r="AA22" s="279" t="e">
        <f>T22/#REF!</f>
        <v>#REF!</v>
      </c>
      <c r="AK22" s="379"/>
      <c r="AL22" s="379"/>
    </row>
    <row r="23" spans="1:38" ht="35.1" customHeight="1" thickBot="1">
      <c r="A23" s="234">
        <v>9</v>
      </c>
      <c r="B23" s="259"/>
      <c r="C23" s="260" t="s">
        <v>122</v>
      </c>
      <c r="D23" s="234"/>
      <c r="E23" s="234"/>
      <c r="F23" s="473" t="s">
        <v>155</v>
      </c>
      <c r="G23" s="474"/>
      <c r="H23" s="474"/>
      <c r="I23" s="474"/>
      <c r="J23" s="474"/>
      <c r="K23" s="92">
        <f>SUM(K17:K22)</f>
        <v>13434.79</v>
      </c>
      <c r="L23" s="92">
        <f>SUM(L17:L22)</f>
        <v>0</v>
      </c>
      <c r="M23" s="92">
        <f>SUM(M17:M22)</f>
        <v>0</v>
      </c>
      <c r="N23" s="87">
        <f>SUM(N17:N22)</f>
        <v>13434.79</v>
      </c>
      <c r="Q23" s="475" t="s">
        <v>155</v>
      </c>
      <c r="R23" s="476"/>
      <c r="S23" s="476"/>
      <c r="T23" s="88">
        <f>SUM(T17:T22)</f>
        <v>0</v>
      </c>
      <c r="U23" s="89">
        <f>SUM(U17:U22)</f>
        <v>13434.79</v>
      </c>
      <c r="V23" s="284"/>
      <c r="W23" s="284"/>
      <c r="X23" s="90">
        <f>SUM(X17:X22)</f>
        <v>0</v>
      </c>
      <c r="Y23" s="81">
        <f t="shared" ref="Y23" si="12">IF(Q23&lt;&gt;"",X23+M23,"")</f>
        <v>0</v>
      </c>
      <c r="Z23" s="285" t="s">
        <v>149</v>
      </c>
      <c r="AA23" s="286" t="s">
        <v>150</v>
      </c>
      <c r="AK23" s="379"/>
      <c r="AL23" s="379"/>
    </row>
    <row r="24" spans="1:38" ht="35.1" customHeight="1" thickBot="1">
      <c r="A24" s="287">
        <v>10</v>
      </c>
      <c r="B24" s="288"/>
      <c r="C24" s="289" t="s">
        <v>123</v>
      </c>
      <c r="D24" s="287"/>
      <c r="E24" s="287"/>
      <c r="F24" s="290" t="s">
        <v>124</v>
      </c>
      <c r="G24" s="291"/>
      <c r="H24" s="291"/>
      <c r="I24" s="291"/>
      <c r="J24" s="291"/>
      <c r="K24" s="292">
        <f>SUM(K17:K22)</f>
        <v>13434.79</v>
      </c>
      <c r="L24" s="292">
        <f>SUM(L17:L22)</f>
        <v>0</v>
      </c>
      <c r="M24" s="292">
        <f>SUM(M17:M22)</f>
        <v>0</v>
      </c>
      <c r="N24" s="293">
        <f>SUM(N17:N22)</f>
        <v>13434.79</v>
      </c>
      <c r="Q24" s="294" t="s">
        <v>42</v>
      </c>
      <c r="R24" s="295"/>
      <c r="S24" s="291"/>
      <c r="T24" s="292">
        <f>SUM(T17:T22)</f>
        <v>0</v>
      </c>
      <c r="U24" s="292">
        <f>SUM(U17:U22)</f>
        <v>13434.79</v>
      </c>
      <c r="V24" s="291"/>
      <c r="W24" s="291"/>
      <c r="X24" s="292">
        <f>SUM(X17:X22)</f>
        <v>0</v>
      </c>
      <c r="Y24" s="293">
        <f>SUM(Y17:Y22)</f>
        <v>0</v>
      </c>
      <c r="Z24" s="296">
        <f>IF(Q24&lt;&gt;"",(N24-Y24)/N24,"")</f>
        <v>1</v>
      </c>
      <c r="AA24" s="297">
        <f>IF(Z24&lt;&gt;"",(N24-Y24),"")</f>
        <v>13434.79</v>
      </c>
      <c r="AK24" s="379"/>
      <c r="AL24" s="379"/>
    </row>
  </sheetData>
  <mergeCells count="15">
    <mergeCell ref="F23:J23"/>
    <mergeCell ref="Q23:S23"/>
    <mergeCell ref="AK12:AL12"/>
    <mergeCell ref="F15:N15"/>
    <mergeCell ref="Q15:Y15"/>
    <mergeCell ref="F16:K16"/>
    <mergeCell ref="Q16:Y16"/>
    <mergeCell ref="AG12:AH12"/>
    <mergeCell ref="AK15:AL15"/>
    <mergeCell ref="AK16:AL16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24 D17:D22" xr:uid="{7244D71B-849A-4A79-9F87-34083B6A7F4B}">
      <formula1>"INTERNO,OPERACIONAL"</formula1>
    </dataValidation>
    <dataValidation type="list" allowBlank="1" showInputMessage="1" showErrorMessage="1" sqref="E24" xr:uid="{6B57CE75-871D-4D6D-A12D-E995FE0F6276}">
      <formula1>"FAT.OGGI,FAT.CLIENTE "</formula1>
    </dataValidation>
    <dataValidation type="list" allowBlank="1" showInputMessage="1" showErrorMessage="1" sqref="E17:E22" xr:uid="{271A5F68-DCC7-4B5D-BF6F-FD96AB4E057E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N58"/>
  <sheetViews>
    <sheetView showGridLines="0" topLeftCell="H1" zoomScale="58" zoomScaleNormal="58" workbookViewId="0">
      <pane ySplit="1" topLeftCell="A53" activePane="bottomLeft" state="frozen"/>
      <selection activeCell="E1" sqref="A1:E1048576"/>
      <selection pane="bottomLeft" activeCell="T56" sqref="T56"/>
    </sheetView>
  </sheetViews>
  <sheetFormatPr defaultColWidth="8.88671875" defaultRowHeight="18"/>
  <cols>
    <col min="1" max="1" width="5.33203125" style="217" hidden="1" customWidth="1"/>
    <col min="2" max="2" width="10.6640625" style="217" customWidth="1"/>
    <col min="3" max="5" width="5.33203125" style="217" hidden="1" customWidth="1"/>
    <col min="6" max="6" width="44.44140625" style="217" customWidth="1"/>
    <col min="7" max="7" width="76.44140625" style="217" customWidth="1"/>
    <col min="8" max="8" width="7.109375" style="220" customWidth="1"/>
    <col min="9" max="9" width="8.33203125" style="220" bestFit="1" customWidth="1"/>
    <col min="10" max="10" width="19.5546875" style="217" bestFit="1" customWidth="1"/>
    <col min="11" max="11" width="27.33203125" style="217" bestFit="1" customWidth="1"/>
    <col min="12" max="12" width="24.6640625" style="217" hidden="1" customWidth="1"/>
    <col min="13" max="13" width="26.6640625" style="217" hidden="1" customWidth="1"/>
    <col min="14" max="14" width="27.33203125" style="217" bestFit="1" customWidth="1"/>
    <col min="15" max="15" width="5" style="217" hidden="1" customWidth="1"/>
    <col min="16" max="16" width="4.5546875" style="217" hidden="1" customWidth="1"/>
    <col min="17" max="17" width="8.88671875" style="220" customWidth="1"/>
    <col min="18" max="18" width="8.88671875" style="220" hidden="1" customWidth="1"/>
    <col min="19" max="19" width="19.44140625" style="217" hidden="1" customWidth="1"/>
    <col min="20" max="20" width="27.33203125" style="217" bestFit="1" customWidth="1"/>
    <col min="21" max="21" width="25.33203125" style="217" hidden="1" customWidth="1"/>
    <col min="22" max="22" width="10.33203125" style="217" hidden="1" customWidth="1"/>
    <col min="23" max="23" width="16.6640625" style="217" hidden="1" customWidth="1"/>
    <col min="24" max="24" width="27.6640625" style="217" bestFit="1" customWidth="1"/>
    <col min="25" max="25" width="27.33203125" style="217" hidden="1" customWidth="1"/>
    <col min="26" max="26" width="20.6640625" style="217" hidden="1" customWidth="1"/>
    <col min="27" max="27" width="25.33203125" style="217" hidden="1" customWidth="1"/>
    <col min="28" max="28" width="38.109375" style="217" hidden="1" customWidth="1"/>
    <col min="29" max="29" width="17.33203125" style="217" hidden="1" customWidth="1"/>
    <col min="30" max="30" width="19.44140625" style="217" hidden="1" customWidth="1"/>
    <col min="31" max="31" width="16.109375" style="217" hidden="1" customWidth="1"/>
    <col min="32" max="32" width="1.33203125" style="217" hidden="1" customWidth="1"/>
    <col min="33" max="33" width="14" style="217" hidden="1" customWidth="1"/>
    <col min="34" max="34" width="11.6640625" style="217" hidden="1" customWidth="1"/>
    <col min="35" max="35" width="6.33203125" style="217" hidden="1" customWidth="1"/>
    <col min="36" max="36" width="12.6640625" style="217" hidden="1" customWidth="1"/>
    <col min="37" max="37" width="22.5546875" style="217" bestFit="1" customWidth="1"/>
    <col min="38" max="38" width="19.33203125" style="217" customWidth="1"/>
    <col min="39" max="39" width="8.88671875" style="407"/>
    <col min="40" max="40" width="21.33203125" style="217" customWidth="1"/>
    <col min="41" max="16384" width="8.88671875" style="217"/>
  </cols>
  <sheetData>
    <row r="1" spans="1:38" ht="49.5" customHeight="1">
      <c r="B1" s="218"/>
      <c r="C1" s="219"/>
      <c r="D1" s="219"/>
      <c r="F1" s="462" t="s">
        <v>112</v>
      </c>
      <c r="G1" s="462"/>
    </row>
    <row r="2" spans="1:38" ht="24.75" customHeight="1">
      <c r="B2" s="220"/>
      <c r="D2" s="219"/>
      <c r="F2" s="463" t="s">
        <v>0</v>
      </c>
      <c r="G2" s="463"/>
    </row>
    <row r="3" spans="1:38">
      <c r="B3" s="221"/>
      <c r="F3" s="28"/>
      <c r="G3" s="28"/>
    </row>
    <row r="4" spans="1:38">
      <c r="F4" s="35" t="s">
        <v>136</v>
      </c>
      <c r="G4" s="47" t="s">
        <v>171</v>
      </c>
    </row>
    <row r="5" spans="1:38">
      <c r="F5" s="36" t="s">
        <v>135</v>
      </c>
      <c r="G5" s="48" t="s">
        <v>163</v>
      </c>
    </row>
    <row r="6" spans="1:38">
      <c r="D6" s="217" t="s">
        <v>99</v>
      </c>
      <c r="F6" s="36" t="s">
        <v>134</v>
      </c>
      <c r="G6" s="50" t="s">
        <v>256</v>
      </c>
    </row>
    <row r="7" spans="1:38" ht="21.75" customHeight="1">
      <c r="F7" s="36" t="s">
        <v>133</v>
      </c>
      <c r="G7" s="50" t="s">
        <v>257</v>
      </c>
      <c r="J7" s="217" t="s">
        <v>111</v>
      </c>
    </row>
    <row r="8" spans="1:38">
      <c r="F8" s="36" t="s">
        <v>129</v>
      </c>
      <c r="G8" s="222" t="s">
        <v>258</v>
      </c>
    </row>
    <row r="9" spans="1:38">
      <c r="F9" s="36" t="s">
        <v>130</v>
      </c>
      <c r="G9" s="50" t="s">
        <v>125</v>
      </c>
      <c r="J9" s="217" t="s">
        <v>99</v>
      </c>
    </row>
    <row r="10" spans="1:38" ht="27" customHeight="1">
      <c r="F10" s="36" t="s">
        <v>131</v>
      </c>
      <c r="G10" s="50" t="s">
        <v>165</v>
      </c>
    </row>
    <row r="11" spans="1:38">
      <c r="F11" s="37" t="s">
        <v>132</v>
      </c>
      <c r="G11" s="52" t="s">
        <v>170</v>
      </c>
    </row>
    <row r="12" spans="1:38" ht="54.6" hidden="1" thickBot="1">
      <c r="B12" s="223"/>
      <c r="M12" s="224"/>
      <c r="Q12" s="464" t="s">
        <v>1</v>
      </c>
      <c r="R12" s="465"/>
      <c r="S12" s="465"/>
      <c r="T12" s="466"/>
      <c r="U12" s="467" t="s">
        <v>2</v>
      </c>
      <c r="V12" s="468"/>
      <c r="W12" s="468"/>
      <c r="X12" s="469"/>
      <c r="Y12" s="225" t="s">
        <v>48</v>
      </c>
      <c r="Z12" s="226">
        <f>(1/(1-M14))-1</f>
        <v>0.24269914253759173</v>
      </c>
      <c r="AC12" s="470" t="s">
        <v>3</v>
      </c>
      <c r="AD12" s="471"/>
      <c r="AE12" s="472"/>
      <c r="AG12" s="488" t="s">
        <v>50</v>
      </c>
      <c r="AH12" s="489"/>
      <c r="AJ12" s="227" t="s">
        <v>52</v>
      </c>
      <c r="AK12" s="477" t="s">
        <v>51</v>
      </c>
      <c r="AL12" s="478"/>
    </row>
    <row r="13" spans="1:38" ht="18.600000000000001" thickBot="1">
      <c r="A13" s="228" t="s">
        <v>4</v>
      </c>
      <c r="B13" s="229" t="s">
        <v>5</v>
      </c>
      <c r="C13" s="228" t="s">
        <v>6</v>
      </c>
      <c r="D13" s="228" t="s">
        <v>7</v>
      </c>
      <c r="E13" s="228" t="s">
        <v>8</v>
      </c>
      <c r="M13" s="230">
        <v>0.80469999999999997</v>
      </c>
    </row>
    <row r="14" spans="1:38" ht="35.1" customHeight="1" thickBot="1">
      <c r="A14" s="231">
        <v>0</v>
      </c>
      <c r="B14" s="232"/>
      <c r="C14" s="233"/>
      <c r="D14" s="234"/>
      <c r="E14" s="234"/>
      <c r="F14" s="235" t="s">
        <v>76</v>
      </c>
      <c r="G14" s="236" t="s">
        <v>77</v>
      </c>
      <c r="H14" s="237" t="s">
        <v>78</v>
      </c>
      <c r="I14" s="237" t="s">
        <v>79</v>
      </c>
      <c r="J14" s="238" t="s">
        <v>80</v>
      </c>
      <c r="K14" s="239" t="s">
        <v>9</v>
      </c>
      <c r="L14" s="240">
        <v>7.4999999999999997E-2</v>
      </c>
      <c r="M14" s="241">
        <f>1-M13</f>
        <v>0.19530000000000003</v>
      </c>
      <c r="N14" s="242" t="s">
        <v>74</v>
      </c>
      <c r="Q14" s="298" t="s">
        <v>81</v>
      </c>
      <c r="R14" s="299" t="s">
        <v>82</v>
      </c>
      <c r="S14" s="300" t="s">
        <v>83</v>
      </c>
      <c r="T14" s="301" t="s">
        <v>84</v>
      </c>
      <c r="U14" s="302" t="s">
        <v>85</v>
      </c>
      <c r="V14" s="303" t="s">
        <v>86</v>
      </c>
      <c r="W14" s="304" t="s">
        <v>87</v>
      </c>
      <c r="X14" s="304" t="s">
        <v>88</v>
      </c>
      <c r="Y14" s="305" t="s">
        <v>89</v>
      </c>
      <c r="Z14" s="251" t="s">
        <v>90</v>
      </c>
      <c r="AA14" s="252" t="s">
        <v>75</v>
      </c>
      <c r="AC14" s="253" t="s">
        <v>91</v>
      </c>
      <c r="AD14" s="254" t="s">
        <v>92</v>
      </c>
      <c r="AE14" s="254" t="s">
        <v>32</v>
      </c>
      <c r="AG14" s="255" t="s">
        <v>93</v>
      </c>
      <c r="AH14" s="256" t="s">
        <v>94</v>
      </c>
      <c r="AK14" s="257" t="s">
        <v>95</v>
      </c>
      <c r="AL14" s="258" t="s">
        <v>96</v>
      </c>
    </row>
    <row r="15" spans="1:38" ht="35.1" customHeight="1" thickBot="1">
      <c r="A15" s="306">
        <v>1</v>
      </c>
      <c r="B15" s="259">
        <v>1</v>
      </c>
      <c r="C15" s="307" t="s">
        <v>113</v>
      </c>
      <c r="D15" s="306"/>
      <c r="E15" s="306"/>
      <c r="F15" s="512" t="s">
        <v>182</v>
      </c>
      <c r="G15" s="513"/>
      <c r="H15" s="513"/>
      <c r="I15" s="513"/>
      <c r="J15" s="513"/>
      <c r="K15" s="513"/>
      <c r="L15" s="513"/>
      <c r="M15" s="513"/>
      <c r="N15" s="514"/>
      <c r="Q15" s="512" t="str">
        <f>IF(F15&lt;&gt;"",F15,"")</f>
        <v>INTERNOS</v>
      </c>
      <c r="R15" s="513"/>
      <c r="S15" s="513"/>
      <c r="T15" s="513"/>
      <c r="U15" s="513"/>
      <c r="V15" s="513"/>
      <c r="W15" s="513"/>
      <c r="X15" s="513"/>
      <c r="Y15" s="514"/>
      <c r="AK15" s="482"/>
      <c r="AL15" s="483"/>
    </row>
    <row r="16" spans="1:38" ht="35.1" customHeight="1">
      <c r="A16" s="234">
        <v>2</v>
      </c>
      <c r="B16" s="259" t="s">
        <v>115</v>
      </c>
      <c r="C16" s="260" t="s">
        <v>114</v>
      </c>
      <c r="D16" s="234"/>
      <c r="E16" s="234"/>
      <c r="F16" s="515" t="s">
        <v>183</v>
      </c>
      <c r="G16" s="516"/>
      <c r="H16" s="516"/>
      <c r="I16" s="516"/>
      <c r="J16" s="516"/>
      <c r="K16" s="517"/>
      <c r="L16" s="308" t="s">
        <v>116</v>
      </c>
      <c r="M16" s="308" t="s">
        <v>117</v>
      </c>
      <c r="N16" s="309" t="s">
        <v>74</v>
      </c>
      <c r="Q16" s="515" t="str">
        <f>IF(F16&lt;&gt;"",F16,"")</f>
        <v>Internos</v>
      </c>
      <c r="R16" s="516"/>
      <c r="S16" s="516"/>
      <c r="T16" s="516"/>
      <c r="U16" s="516"/>
      <c r="V16" s="516"/>
      <c r="W16" s="516"/>
      <c r="X16" s="516"/>
      <c r="Y16" s="518"/>
      <c r="Z16" s="310" t="s">
        <v>118</v>
      </c>
      <c r="AA16" s="311" t="s">
        <v>75</v>
      </c>
      <c r="AK16" s="485"/>
      <c r="AL16" s="486"/>
    </row>
    <row r="17" spans="1:39" s="316" customFormat="1" ht="80.099999999999994" customHeight="1">
      <c r="A17" s="234">
        <v>3</v>
      </c>
      <c r="B17" s="259" t="s">
        <v>120</v>
      </c>
      <c r="C17" s="260" t="s">
        <v>119</v>
      </c>
      <c r="D17" s="234" t="s">
        <v>137</v>
      </c>
      <c r="E17" s="234" t="s">
        <v>126</v>
      </c>
      <c r="F17" s="312" t="s">
        <v>184</v>
      </c>
      <c r="G17" s="282" t="s">
        <v>185</v>
      </c>
      <c r="H17" s="313">
        <v>1</v>
      </c>
      <c r="I17" s="314">
        <v>1</v>
      </c>
      <c r="J17" s="315">
        <v>9975</v>
      </c>
      <c r="K17" s="269">
        <f>IF(F17&lt;&gt;"",H17*I17*J17,"")</f>
        <v>9975</v>
      </c>
      <c r="L17" s="269">
        <f>IF(K17&lt;&gt;"",IF(D17="INTERNO",0,K17*$L$14),"")</f>
        <v>0</v>
      </c>
      <c r="M17" s="269">
        <f>IF(K17&lt;&gt;"",IF(E17="FAT.OGGI",SUM(K17:L17)*(1/(1-$M$14)-1),L17*(1/(1-$M$14)-1)),"")</f>
        <v>2420.9239468124774</v>
      </c>
      <c r="N17" s="270">
        <f>SUM(K17:M17)</f>
        <v>12395.923946812478</v>
      </c>
      <c r="Q17" s="271">
        <f>IF(H17&lt;&gt;"",H17,"")</f>
        <v>1</v>
      </c>
      <c r="R17" s="272">
        <v>0</v>
      </c>
      <c r="S17" s="273">
        <v>9500</v>
      </c>
      <c r="T17" s="273">
        <f>IF(Q17&lt;&gt;"",Q17*R17*S17,"")</f>
        <v>0</v>
      </c>
      <c r="U17" s="274">
        <f>IF(Q17&lt;&gt;"",K17-T17,"")</f>
        <v>9975</v>
      </c>
      <c r="V17" s="275">
        <f>IF(Q17&lt;&gt;"",0%,"")</f>
        <v>0</v>
      </c>
      <c r="W17" s="276">
        <f>IF(Q17&lt;&gt;"",V17*U17,"")</f>
        <v>0</v>
      </c>
      <c r="X17" s="276">
        <f>IF(Q17&lt;&gt;"",W17+T17,"")</f>
        <v>0</v>
      </c>
      <c r="Y17" s="277">
        <f>IF(Q17&lt;&gt;"",X17+M17,"")</f>
        <v>2420.9239468124774</v>
      </c>
      <c r="Z17" s="317">
        <f>IF(Q17&lt;&gt;"",U17/K17,"")</f>
        <v>1</v>
      </c>
      <c r="AA17" s="318" t="e">
        <f>T17/#REF!</f>
        <v>#REF!</v>
      </c>
      <c r="AK17" s="380">
        <f>X17-AL17</f>
        <v>0</v>
      </c>
      <c r="AL17" s="381"/>
      <c r="AM17" s="407"/>
    </row>
    <row r="18" spans="1:39" s="316" customFormat="1" ht="80.099999999999994" customHeight="1">
      <c r="A18" s="234">
        <v>4</v>
      </c>
      <c r="B18" s="259" t="s">
        <v>97</v>
      </c>
      <c r="C18" s="260" t="s">
        <v>119</v>
      </c>
      <c r="D18" s="234" t="s">
        <v>137</v>
      </c>
      <c r="E18" s="234" t="s">
        <v>126</v>
      </c>
      <c r="F18" s="312" t="s">
        <v>259</v>
      </c>
      <c r="G18" s="282" t="s">
        <v>334</v>
      </c>
      <c r="H18" s="313">
        <v>1</v>
      </c>
      <c r="I18" s="314">
        <v>1</v>
      </c>
      <c r="J18" s="319">
        <f>5659.5/2</f>
        <v>2829.75</v>
      </c>
      <c r="K18" s="269">
        <f>IF(F18&lt;&gt;"",H18*I18*J18,"")</f>
        <v>2829.75</v>
      </c>
      <c r="L18" s="269">
        <f>IF(K18&lt;&gt;"",IF(D18="INTERNO",0,K18*$L$14),"")</f>
        <v>0</v>
      </c>
      <c r="M18" s="269">
        <f>IF(K18&lt;&gt;"",IF(E18="FAT.OGGI",SUM(K18:L18)*(1/(1-$M$14)-1),L18*(1/(1-$M$14)-1)),"")</f>
        <v>686.77789859575023</v>
      </c>
      <c r="N18" s="270">
        <f>SUM(K18:M18)</f>
        <v>3516.5278985957502</v>
      </c>
      <c r="Q18" s="271">
        <f>IF(H18&lt;&gt;"",H18,"")</f>
        <v>1</v>
      </c>
      <c r="R18" s="272">
        <f>IF(I18&lt;&gt;"",I18,"")</f>
        <v>1</v>
      </c>
      <c r="S18" s="273">
        <v>0</v>
      </c>
      <c r="T18" s="273">
        <f>IF(Q18&lt;&gt;"",Q18*R18*S18,"")</f>
        <v>0</v>
      </c>
      <c r="U18" s="274">
        <f>IF(Q18&lt;&gt;"",K18-T18,"")</f>
        <v>2829.75</v>
      </c>
      <c r="V18" s="275">
        <f>IF(Q18&lt;&gt;"",0%,"")</f>
        <v>0</v>
      </c>
      <c r="W18" s="276">
        <f>IF(Q18&lt;&gt;"",V18*U18,"")</f>
        <v>0</v>
      </c>
      <c r="X18" s="276">
        <f>IF(Q18&lt;&gt;"",W18+T18,"")</f>
        <v>0</v>
      </c>
      <c r="Y18" s="277">
        <f t="shared" ref="Y18:Y21" si="0">IF(Q18&lt;&gt;"",X18+M18,"")</f>
        <v>686.77789859575023</v>
      </c>
      <c r="Z18" s="317">
        <f>IF(Q18&lt;&gt;"",U18/K18,"")</f>
        <v>1</v>
      </c>
      <c r="AA18" s="318" t="e">
        <f>T18/#REF!</f>
        <v>#REF!</v>
      </c>
      <c r="AK18" s="380">
        <f t="shared" ref="AK18:AK19" si="1">X18-AL18</f>
        <v>0</v>
      </c>
      <c r="AL18" s="381"/>
      <c r="AM18" s="407"/>
    </row>
    <row r="19" spans="1:39" s="316" customFormat="1" ht="80.099999999999994" customHeight="1">
      <c r="A19" s="234">
        <v>5</v>
      </c>
      <c r="B19" s="259" t="s">
        <v>127</v>
      </c>
      <c r="C19" s="260" t="s">
        <v>119</v>
      </c>
      <c r="D19" s="234" t="s">
        <v>137</v>
      </c>
      <c r="E19" s="234" t="s">
        <v>126</v>
      </c>
      <c r="F19" s="312" t="s">
        <v>187</v>
      </c>
      <c r="G19" s="320" t="s">
        <v>188</v>
      </c>
      <c r="H19" s="321">
        <v>1</v>
      </c>
      <c r="I19" s="322">
        <v>1</v>
      </c>
      <c r="J19" s="315">
        <v>7875</v>
      </c>
      <c r="K19" s="269">
        <f>IF(F19&lt;&gt;"",H19*I19*J19,"")</f>
        <v>7875</v>
      </c>
      <c r="L19" s="269">
        <f>IF(K19&lt;&gt;"",IF(D19="INTERNO",0,K19*$L$14),"")</f>
        <v>0</v>
      </c>
      <c r="M19" s="269">
        <f>IF(K19&lt;&gt;"",IF(E19="FAT.OGGI",SUM(K19:L19)*(1/(1-$M$14)-1),L19*(1/(1-$M$14)-1)),"")</f>
        <v>1911.2557474835348</v>
      </c>
      <c r="N19" s="270">
        <f>SUM(K19:M19)</f>
        <v>9786.2557474835339</v>
      </c>
      <c r="Q19" s="271">
        <f>IF(H19&lt;&gt;"",H19,"")</f>
        <v>1</v>
      </c>
      <c r="R19" s="272">
        <v>0</v>
      </c>
      <c r="S19" s="273">
        <v>7500</v>
      </c>
      <c r="T19" s="273">
        <f>IF(Q19&lt;&gt;"",Q19*R19*S19,"")</f>
        <v>0</v>
      </c>
      <c r="U19" s="274">
        <f>IF(Q19&lt;&gt;"",K19-T19,"")</f>
        <v>7875</v>
      </c>
      <c r="V19" s="275">
        <f>IF(Q19&lt;&gt;"",0%,"")</f>
        <v>0</v>
      </c>
      <c r="W19" s="276">
        <f>IF(Q19&lt;&gt;"",V19*U19,"")</f>
        <v>0</v>
      </c>
      <c r="X19" s="276">
        <f>IF(Q19&lt;&gt;"",W19+T19,"")</f>
        <v>0</v>
      </c>
      <c r="Y19" s="277">
        <f t="shared" si="0"/>
        <v>1911.2557474835348</v>
      </c>
      <c r="Z19" s="317">
        <f>IF(Q19&lt;&gt;"",U19/K19,"")</f>
        <v>1</v>
      </c>
      <c r="AA19" s="318" t="e">
        <f>T19/#REF!</f>
        <v>#REF!</v>
      </c>
      <c r="AK19" s="380">
        <f t="shared" si="1"/>
        <v>0</v>
      </c>
      <c r="AL19" s="381"/>
      <c r="AM19" s="407"/>
    </row>
    <row r="20" spans="1:39" s="316" customFormat="1" ht="80.099999999999994" customHeight="1">
      <c r="A20" s="234">
        <v>6</v>
      </c>
      <c r="B20" s="259" t="s">
        <v>141</v>
      </c>
      <c r="C20" s="260" t="s">
        <v>119</v>
      </c>
      <c r="D20" s="234" t="s">
        <v>137</v>
      </c>
      <c r="E20" s="234" t="s">
        <v>126</v>
      </c>
      <c r="F20" s="323" t="s">
        <v>143</v>
      </c>
      <c r="G20" s="320" t="s">
        <v>190</v>
      </c>
      <c r="H20" s="324">
        <v>1</v>
      </c>
      <c r="I20" s="325">
        <v>1</v>
      </c>
      <c r="J20" s="315">
        <v>7875</v>
      </c>
      <c r="K20" s="269">
        <f>IF(F20&lt;&gt;"",H20*I20*J20,"")</f>
        <v>7875</v>
      </c>
      <c r="L20" s="269">
        <f>IF(K20&lt;&gt;"",IF(D20="INTERNO",0,K20*$L$14),"")</f>
        <v>0</v>
      </c>
      <c r="M20" s="269">
        <f>IF(K20&lt;&gt;"",IF(E20="FAT.OGGI",SUM(K20:L20)*(1/(1-$M$14)-1),L20*(1/(1-$M$14)-1)),"")</f>
        <v>1911.2557474835348</v>
      </c>
      <c r="N20" s="270">
        <f>SUM(K20:M20)</f>
        <v>9786.2557474835339</v>
      </c>
      <c r="Q20" s="271">
        <f>IF(H20&lt;&gt;"",H20,"")</f>
        <v>1</v>
      </c>
      <c r="R20" s="272">
        <f>IF(I20&lt;&gt;"",I20,"")</f>
        <v>1</v>
      </c>
      <c r="S20" s="273">
        <v>7500</v>
      </c>
      <c r="T20" s="273">
        <v>0</v>
      </c>
      <c r="U20" s="274">
        <f>IF(Q20&lt;&gt;"",K20-T20,"")</f>
        <v>7875</v>
      </c>
      <c r="V20" s="275">
        <f>IF(Q20&lt;&gt;"",0%,"")</f>
        <v>0</v>
      </c>
      <c r="W20" s="276">
        <f>IF(Q20&lt;&gt;"",V20*U20,"")</f>
        <v>0</v>
      </c>
      <c r="X20" s="276">
        <f>IF(Q20&lt;&gt;"",W20+T20,"")</f>
        <v>0</v>
      </c>
      <c r="Y20" s="277">
        <f t="shared" si="0"/>
        <v>1911.2557474835348</v>
      </c>
      <c r="Z20" s="317">
        <f>IF(Q20&lt;&gt;"",U20/K20,"")</f>
        <v>1</v>
      </c>
      <c r="AA20" s="318" t="e">
        <f>T20/#REF!</f>
        <v>#REF!</v>
      </c>
      <c r="AK20" s="380">
        <f>X20-AL20</f>
        <v>0</v>
      </c>
      <c r="AL20" s="381">
        <v>0</v>
      </c>
    </row>
    <row r="21" spans="1:39" s="316" customFormat="1" ht="80.099999999999994" customHeight="1" thickBot="1">
      <c r="A21" s="234">
        <v>7</v>
      </c>
      <c r="B21" s="259" t="s">
        <v>142</v>
      </c>
      <c r="C21" s="260" t="s">
        <v>119</v>
      </c>
      <c r="D21" s="234" t="s">
        <v>137</v>
      </c>
      <c r="E21" s="234" t="s">
        <v>126</v>
      </c>
      <c r="F21" s="326" t="s">
        <v>144</v>
      </c>
      <c r="G21" s="320" t="s">
        <v>191</v>
      </c>
      <c r="H21" s="324">
        <v>1</v>
      </c>
      <c r="I21" s="325">
        <v>1</v>
      </c>
      <c r="J21" s="315">
        <v>4725</v>
      </c>
      <c r="K21" s="269">
        <f>IF(F21&lt;&gt;"",H21*I21*J21,"")</f>
        <v>4725</v>
      </c>
      <c r="L21" s="269">
        <f>IF(K21&lt;&gt;"",IF(D21="INTERNO",0,K21*$L$14),"")</f>
        <v>0</v>
      </c>
      <c r="M21" s="269">
        <f>IF(K21&lt;&gt;"",IF(E21="FAT.OGGI",SUM(K21:L21)*(1/(1-$M$14)-1),L21*(1/(1-$M$14)-1)),"")</f>
        <v>1146.7534484901209</v>
      </c>
      <c r="N21" s="270">
        <f>SUM(K21:M21)</f>
        <v>5871.7534484901207</v>
      </c>
      <c r="Q21" s="271">
        <f>IF(H21&lt;&gt;"",H21,"")</f>
        <v>1</v>
      </c>
      <c r="R21" s="272">
        <v>1</v>
      </c>
      <c r="S21" s="273">
        <v>3150</v>
      </c>
      <c r="T21" s="327">
        <f>IF(Q21&lt;&gt;"",Q21*R21*S21,"")</f>
        <v>3150</v>
      </c>
      <c r="U21" s="274">
        <f>IF(Q21&lt;&gt;"",K21-T21,"")</f>
        <v>1575</v>
      </c>
      <c r="V21" s="275">
        <f>IF(Q21&lt;&gt;"",0%,"")</f>
        <v>0</v>
      </c>
      <c r="W21" s="276">
        <f>IF(Q21&lt;&gt;"",V21*U21,"")</f>
        <v>0</v>
      </c>
      <c r="X21" s="276">
        <f>IF(Q21&lt;&gt;"",W21+T21,"")</f>
        <v>3150</v>
      </c>
      <c r="Y21" s="277">
        <f t="shared" si="0"/>
        <v>4296.7534484901207</v>
      </c>
      <c r="Z21" s="328">
        <f>IF(Q21&lt;&gt;"",U21/K21,"")</f>
        <v>0.33333333333333331</v>
      </c>
      <c r="AA21" s="329" t="e">
        <f>T21/#REF!</f>
        <v>#REF!</v>
      </c>
      <c r="AK21" s="380">
        <f>X21-AL21</f>
        <v>0</v>
      </c>
      <c r="AL21" s="381">
        <v>3150</v>
      </c>
      <c r="AM21" s="407" t="s">
        <v>341</v>
      </c>
    </row>
    <row r="22" spans="1:39" s="316" customFormat="1" ht="35.1" customHeight="1" thickBot="1">
      <c r="A22" s="234">
        <v>8</v>
      </c>
      <c r="B22" s="259"/>
      <c r="C22" s="260" t="s">
        <v>122</v>
      </c>
      <c r="D22" s="234"/>
      <c r="E22" s="234"/>
      <c r="F22" s="499" t="s">
        <v>145</v>
      </c>
      <c r="G22" s="500"/>
      <c r="H22" s="500"/>
      <c r="I22" s="500"/>
      <c r="J22" s="501"/>
      <c r="K22" s="119">
        <f>SUM(K17:K21)</f>
        <v>33279.75</v>
      </c>
      <c r="L22" s="119">
        <f>SUM(L17:L21)</f>
        <v>0</v>
      </c>
      <c r="M22" s="119">
        <f>SUM(M17:M21)</f>
        <v>8076.9667888654176</v>
      </c>
      <c r="N22" s="120">
        <f>SUM(N17:N21)</f>
        <v>41356.716788865415</v>
      </c>
      <c r="Q22" s="499" t="s">
        <v>145</v>
      </c>
      <c r="R22" s="500"/>
      <c r="S22" s="501"/>
      <c r="T22" s="121">
        <f>SUM(T17:T21)</f>
        <v>3150</v>
      </c>
      <c r="U22" s="122">
        <f>SUM(U17:U21)</f>
        <v>30129.75</v>
      </c>
      <c r="V22" s="330"/>
      <c r="W22" s="330"/>
      <c r="X22" s="123">
        <f>SUM(X17:X21)</f>
        <v>3150</v>
      </c>
      <c r="Y22" s="124">
        <f>IF(Q22&lt;&gt;"",X22+M22,"")</f>
        <v>11226.966788865418</v>
      </c>
      <c r="AK22" s="380"/>
      <c r="AL22" s="381"/>
      <c r="AM22" s="407"/>
    </row>
    <row r="23" spans="1:39" s="316" customFormat="1" ht="35.1" customHeight="1" thickBot="1">
      <c r="A23" s="306">
        <v>9</v>
      </c>
      <c r="B23" s="259">
        <v>2</v>
      </c>
      <c r="C23" s="307" t="s">
        <v>113</v>
      </c>
      <c r="D23" s="306"/>
      <c r="E23" s="306"/>
      <c r="F23" s="502" t="s">
        <v>192</v>
      </c>
      <c r="G23" s="503"/>
      <c r="H23" s="503"/>
      <c r="I23" s="503"/>
      <c r="J23" s="503"/>
      <c r="K23" s="503"/>
      <c r="L23" s="503"/>
      <c r="M23" s="503"/>
      <c r="N23" s="504"/>
      <c r="Q23" s="509" t="str">
        <f>IF(F23&lt;&gt;"",F23,"")</f>
        <v>BUFFET: ALIMENTOS E BEBIDAS</v>
      </c>
      <c r="R23" s="510"/>
      <c r="S23" s="510"/>
      <c r="T23" s="510"/>
      <c r="U23" s="510"/>
      <c r="V23" s="510"/>
      <c r="W23" s="510"/>
      <c r="X23" s="510"/>
      <c r="Y23" s="511"/>
      <c r="AK23" s="380"/>
      <c r="AL23" s="381"/>
      <c r="AM23" s="407"/>
    </row>
    <row r="24" spans="1:39" s="316" customFormat="1" ht="35.1" customHeight="1">
      <c r="A24" s="234">
        <v>10</v>
      </c>
      <c r="B24" s="259" t="s">
        <v>138</v>
      </c>
      <c r="C24" s="260" t="s">
        <v>114</v>
      </c>
      <c r="D24" s="234"/>
      <c r="E24" s="234"/>
      <c r="F24" s="490"/>
      <c r="G24" s="491"/>
      <c r="H24" s="491"/>
      <c r="I24" s="491"/>
      <c r="J24" s="491"/>
      <c r="K24" s="492"/>
      <c r="L24" s="261" t="s">
        <v>116</v>
      </c>
      <c r="M24" s="261" t="s">
        <v>117</v>
      </c>
      <c r="N24" s="262" t="s">
        <v>74</v>
      </c>
      <c r="Q24" s="493" t="str">
        <f>IF(F24&lt;&gt;"",F24,"")</f>
        <v/>
      </c>
      <c r="R24" s="494"/>
      <c r="S24" s="494"/>
      <c r="T24" s="494"/>
      <c r="U24" s="494"/>
      <c r="V24" s="494"/>
      <c r="W24" s="494"/>
      <c r="X24" s="494"/>
      <c r="Y24" s="495"/>
      <c r="Z24" s="310" t="s">
        <v>118</v>
      </c>
      <c r="AA24" s="311" t="s">
        <v>75</v>
      </c>
      <c r="AK24" s="380"/>
      <c r="AL24" s="381"/>
      <c r="AM24" s="407"/>
    </row>
    <row r="25" spans="1:39" s="316" customFormat="1" ht="80.099999999999994" customHeight="1">
      <c r="A25" s="234">
        <v>11</v>
      </c>
      <c r="B25" s="259" t="s">
        <v>167</v>
      </c>
      <c r="C25" s="260" t="s">
        <v>119</v>
      </c>
      <c r="D25" s="234" t="s">
        <v>121</v>
      </c>
      <c r="E25" s="234" t="s">
        <v>126</v>
      </c>
      <c r="F25" s="280" t="s">
        <v>193</v>
      </c>
      <c r="G25" s="331" t="s">
        <v>274</v>
      </c>
      <c r="H25" s="281">
        <v>100</v>
      </c>
      <c r="I25" s="281">
        <v>3</v>
      </c>
      <c r="J25" s="269">
        <v>65.5</v>
      </c>
      <c r="K25" s="269">
        <f t="shared" ref="K25:K32" si="2">IF(F25&lt;&gt;"",H25*I25*J25,"")</f>
        <v>19650</v>
      </c>
      <c r="L25" s="269">
        <f t="shared" ref="L25:L32" si="3">IF(K25&lt;&gt;"",IF(D25="INTERNO",0,K25*$L$14),"")</f>
        <v>1473.75</v>
      </c>
      <c r="M25" s="269">
        <f t="shared" ref="M25:M32" si="4">IF(K25&lt;&gt;"",IF(E25="FAT.OGGI",SUM(K25:L25)*(1/(1-$M$14)-1),L25*(1/(1-$M$14)-1)),"")</f>
        <v>5126.7160121784536</v>
      </c>
      <c r="N25" s="270">
        <f t="shared" ref="N25:N32" si="5">SUM(K25:M25)</f>
        <v>26250.466012178455</v>
      </c>
      <c r="O25" s="332">
        <f>K25+7500</f>
        <v>27150</v>
      </c>
      <c r="Q25" s="271">
        <f t="shared" ref="Q25" si="6">IF(H25&lt;&gt;"",H25,"")</f>
        <v>100</v>
      </c>
      <c r="R25" s="272">
        <f t="shared" ref="R25" si="7">IF(I25&lt;&gt;"",I25,"")</f>
        <v>3</v>
      </c>
      <c r="S25" s="273">
        <v>48</v>
      </c>
      <c r="T25" s="333">
        <v>21765</v>
      </c>
      <c r="U25" s="274">
        <f t="shared" ref="U25:U32" si="8">IF(Q25&lt;&gt;"",K25-T25,"")</f>
        <v>-2115</v>
      </c>
      <c r="V25" s="275">
        <f t="shared" ref="V25:V32" si="9">IF(Q25&lt;&gt;"",0%,"")</f>
        <v>0</v>
      </c>
      <c r="W25" s="276">
        <f t="shared" ref="W25:W32" si="10">IF(Q25&lt;&gt;"",V25*U25,"")</f>
        <v>0</v>
      </c>
      <c r="X25" s="276">
        <f t="shared" ref="X25:X32" si="11">IF(Q25&lt;&gt;"",W25+T25,"")</f>
        <v>21765</v>
      </c>
      <c r="Y25" s="277">
        <f>IF(Q25&lt;&gt;"",X25+M25,"")</f>
        <v>26891.716012178455</v>
      </c>
      <c r="Z25" s="317">
        <f t="shared" ref="Z25:Z32" si="12">IF(Q25&lt;&gt;"",U25/K25,"")</f>
        <v>-0.10763358778625955</v>
      </c>
      <c r="AA25" s="318" t="e">
        <f t="shared" ref="AA25:AA32" si="13">T25/$T$37</f>
        <v>#DIV/0!</v>
      </c>
      <c r="AC25" s="334">
        <v>10365</v>
      </c>
      <c r="AD25" s="335">
        <f>T25-AC25</f>
        <v>11400</v>
      </c>
      <c r="AE25" s="336">
        <v>45755</v>
      </c>
      <c r="AG25" s="337" t="s">
        <v>194</v>
      </c>
      <c r="AH25" s="338" t="s">
        <v>195</v>
      </c>
      <c r="AK25" s="380">
        <f>X25-AL25</f>
        <v>0</v>
      </c>
      <c r="AL25" s="381">
        <f>10882.5+10882.5</f>
        <v>21765</v>
      </c>
      <c r="AM25" s="407" t="s">
        <v>345</v>
      </c>
    </row>
    <row r="26" spans="1:39" s="316" customFormat="1" ht="80.099999999999994" customHeight="1">
      <c r="A26" s="234">
        <v>12</v>
      </c>
      <c r="B26" s="259" t="s">
        <v>309</v>
      </c>
      <c r="C26" s="260" t="s">
        <v>119</v>
      </c>
      <c r="D26" s="234" t="s">
        <v>121</v>
      </c>
      <c r="E26" s="234" t="s">
        <v>126</v>
      </c>
      <c r="F26" s="280" t="s">
        <v>196</v>
      </c>
      <c r="G26" s="266" t="s">
        <v>197</v>
      </c>
      <c r="H26" s="281">
        <v>1</v>
      </c>
      <c r="I26" s="281">
        <v>0</v>
      </c>
      <c r="J26" s="269">
        <v>0</v>
      </c>
      <c r="K26" s="269">
        <f t="shared" si="2"/>
        <v>0</v>
      </c>
      <c r="L26" s="269">
        <f t="shared" si="3"/>
        <v>0</v>
      </c>
      <c r="M26" s="269">
        <f t="shared" si="4"/>
        <v>0</v>
      </c>
      <c r="N26" s="270">
        <f t="shared" si="5"/>
        <v>0</v>
      </c>
      <c r="O26" s="332"/>
      <c r="Q26" s="271">
        <f t="shared" ref="Q26:Q31" si="14">IF(H26&lt;&gt;"",H26,"")</f>
        <v>1</v>
      </c>
      <c r="R26" s="272">
        <f t="shared" ref="R26:R27" si="15">IF(I26&lt;&gt;"",I26,"")</f>
        <v>0</v>
      </c>
      <c r="S26" s="273">
        <v>0</v>
      </c>
      <c r="T26" s="273">
        <f t="shared" ref="T26" si="16">IF(Q26&lt;&gt;"",Q26*R26*S26,"")</f>
        <v>0</v>
      </c>
      <c r="U26" s="274">
        <f t="shared" si="8"/>
        <v>0</v>
      </c>
      <c r="V26" s="275">
        <f t="shared" si="9"/>
        <v>0</v>
      </c>
      <c r="W26" s="276">
        <f t="shared" si="10"/>
        <v>0</v>
      </c>
      <c r="X26" s="276">
        <f t="shared" si="11"/>
        <v>0</v>
      </c>
      <c r="Y26" s="277">
        <f t="shared" ref="Y26:Y31" si="17">IF(Q26&lt;&gt;"",X26+M26,"")</f>
        <v>0</v>
      </c>
      <c r="Z26" s="317" t="e">
        <f t="shared" si="12"/>
        <v>#DIV/0!</v>
      </c>
      <c r="AA26" s="318" t="e">
        <f t="shared" si="13"/>
        <v>#DIV/0!</v>
      </c>
      <c r="AK26" s="380">
        <f t="shared" ref="AK26:AK56" si="18">X26-AL26</f>
        <v>0</v>
      </c>
      <c r="AL26" s="381"/>
      <c r="AM26" s="407"/>
    </row>
    <row r="27" spans="1:39" s="316" customFormat="1" ht="80.099999999999994" customHeight="1" thickBot="1">
      <c r="A27" s="234">
        <v>13</v>
      </c>
      <c r="B27" s="259" t="s">
        <v>186</v>
      </c>
      <c r="C27" s="260" t="s">
        <v>119</v>
      </c>
      <c r="D27" s="234" t="s">
        <v>121</v>
      </c>
      <c r="E27" s="234" t="s">
        <v>126</v>
      </c>
      <c r="F27" s="280" t="s">
        <v>279</v>
      </c>
      <c r="G27" s="266"/>
      <c r="H27" s="281">
        <v>2</v>
      </c>
      <c r="I27" s="281">
        <v>1</v>
      </c>
      <c r="J27" s="269">
        <v>78.900000000000006</v>
      </c>
      <c r="K27" s="269">
        <f t="shared" ref="K27" si="19">IF(F27&lt;&gt;"",H27*I27*J27,"")</f>
        <v>157.80000000000001</v>
      </c>
      <c r="L27" s="269">
        <f t="shared" ref="L27" si="20">IF(K27&lt;&gt;"",IF(D27="INTERNO",0,K27*$L$14),"")</f>
        <v>11.835000000000001</v>
      </c>
      <c r="M27" s="269">
        <f t="shared" ref="M27" si="21">IF(K27&lt;&gt;"",IF(E27="FAT.OGGI",SUM(K27:L27)*(1/(1-$M$14)-1),L27*(1/(1-$M$14)-1)),"")</f>
        <v>41.170269044364375</v>
      </c>
      <c r="N27" s="270">
        <f t="shared" ref="N27" si="22">SUM(K27:M27)</f>
        <v>210.80526904436439</v>
      </c>
      <c r="Q27" s="271">
        <f t="shared" ref="Q27" si="23">IF(H27&lt;&gt;"",H27,"")</f>
        <v>2</v>
      </c>
      <c r="R27" s="272">
        <f t="shared" si="15"/>
        <v>1</v>
      </c>
      <c r="S27" s="273">
        <v>0</v>
      </c>
      <c r="T27" s="273">
        <f>IF(Q27&lt;&gt;"",Q27*R27*S27,"")</f>
        <v>0</v>
      </c>
      <c r="U27" s="274">
        <f t="shared" ref="U27" si="24">IF(Q27&lt;&gt;"",K27-T27,"")</f>
        <v>157.80000000000001</v>
      </c>
      <c r="V27" s="275">
        <f t="shared" ref="V27" si="25">IF(Q27&lt;&gt;"",0%,"")</f>
        <v>0</v>
      </c>
      <c r="W27" s="276">
        <f t="shared" ref="W27" si="26">IF(Q27&lt;&gt;"",V27*U27,"")</f>
        <v>0</v>
      </c>
      <c r="X27" s="276">
        <f t="shared" ref="X27" si="27">IF(Q27&lt;&gt;"",W27+T27,"")</f>
        <v>0</v>
      </c>
      <c r="Y27" s="277">
        <f t="shared" ref="Y27" si="28">IF(Q27&lt;&gt;"",X27+M27,"")</f>
        <v>41.170269044364375</v>
      </c>
      <c r="Z27" s="328">
        <f t="shared" ref="Z27" si="29">IF(Q27&lt;&gt;"",U27/K27,"")</f>
        <v>1</v>
      </c>
      <c r="AA27" s="329" t="e">
        <f t="shared" ref="AA27" si="30">T27/$T$37</f>
        <v>#DIV/0!</v>
      </c>
      <c r="AK27" s="380">
        <f>X27-AL27</f>
        <v>0</v>
      </c>
      <c r="AL27" s="381"/>
      <c r="AM27" s="407"/>
    </row>
    <row r="28" spans="1:39" s="316" customFormat="1" ht="80.099999999999994" customHeight="1" thickBot="1">
      <c r="A28" s="234">
        <v>14</v>
      </c>
      <c r="B28" s="259" t="s">
        <v>189</v>
      </c>
      <c r="C28" s="260" t="s">
        <v>119</v>
      </c>
      <c r="D28" s="234" t="s">
        <v>121</v>
      </c>
      <c r="E28" s="234" t="s">
        <v>126</v>
      </c>
      <c r="F28" s="280" t="s">
        <v>275</v>
      </c>
      <c r="G28" s="266" t="s">
        <v>276</v>
      </c>
      <c r="H28" s="281">
        <v>2</v>
      </c>
      <c r="I28" s="281">
        <v>1</v>
      </c>
      <c r="J28" s="269">
        <v>538.85</v>
      </c>
      <c r="K28" s="269">
        <f t="shared" si="2"/>
        <v>1077.7</v>
      </c>
      <c r="L28" s="269">
        <f t="shared" si="3"/>
        <v>80.827500000000001</v>
      </c>
      <c r="M28" s="269">
        <f t="shared" si="4"/>
        <v>281.17363085621986</v>
      </c>
      <c r="N28" s="270">
        <f t="shared" si="5"/>
        <v>1439.7011308562201</v>
      </c>
      <c r="Q28" s="271">
        <f t="shared" si="14"/>
        <v>2</v>
      </c>
      <c r="R28" s="272">
        <v>1</v>
      </c>
      <c r="S28" s="273">
        <v>539</v>
      </c>
      <c r="T28" s="339">
        <v>0</v>
      </c>
      <c r="U28" s="274">
        <f t="shared" si="8"/>
        <v>1077.7</v>
      </c>
      <c r="V28" s="275">
        <f t="shared" si="9"/>
        <v>0</v>
      </c>
      <c r="W28" s="276">
        <f t="shared" si="10"/>
        <v>0</v>
      </c>
      <c r="X28" s="276">
        <f t="shared" si="11"/>
        <v>0</v>
      </c>
      <c r="Y28" s="277">
        <f t="shared" si="17"/>
        <v>281.17363085621986</v>
      </c>
      <c r="Z28" s="328">
        <f t="shared" si="12"/>
        <v>1</v>
      </c>
      <c r="AA28" s="329" t="e">
        <f t="shared" si="13"/>
        <v>#DIV/0!</v>
      </c>
      <c r="AK28" s="380">
        <f>X28-AL28</f>
        <v>0</v>
      </c>
      <c r="AL28" s="381"/>
      <c r="AM28" s="407"/>
    </row>
    <row r="29" spans="1:39" s="316" customFormat="1" ht="80.099999999999994" customHeight="1" thickBot="1">
      <c r="A29" s="234">
        <v>15</v>
      </c>
      <c r="B29" s="259" t="s">
        <v>270</v>
      </c>
      <c r="C29" s="260" t="s">
        <v>119</v>
      </c>
      <c r="D29" s="234" t="s">
        <v>121</v>
      </c>
      <c r="E29" s="234" t="s">
        <v>126</v>
      </c>
      <c r="F29" s="280" t="s">
        <v>199</v>
      </c>
      <c r="G29" s="266" t="s">
        <v>200</v>
      </c>
      <c r="H29" s="281">
        <v>1</v>
      </c>
      <c r="I29" s="281">
        <v>1</v>
      </c>
      <c r="J29" s="269">
        <v>0</v>
      </c>
      <c r="K29" s="269">
        <f t="shared" si="2"/>
        <v>0</v>
      </c>
      <c r="L29" s="269">
        <f t="shared" si="3"/>
        <v>0</v>
      </c>
      <c r="M29" s="269">
        <f t="shared" si="4"/>
        <v>0</v>
      </c>
      <c r="N29" s="270">
        <f t="shared" si="5"/>
        <v>0</v>
      </c>
      <c r="Q29" s="271">
        <f t="shared" si="14"/>
        <v>1</v>
      </c>
      <c r="R29" s="272">
        <f t="shared" ref="R29:R30" si="31">IF(I29&lt;&gt;"",I29,"")</f>
        <v>1</v>
      </c>
      <c r="S29" s="273">
        <v>0</v>
      </c>
      <c r="T29" s="273">
        <f>IF(Q29&lt;&gt;"",Q29*R29*S29,"")</f>
        <v>0</v>
      </c>
      <c r="U29" s="274">
        <f t="shared" si="8"/>
        <v>0</v>
      </c>
      <c r="V29" s="275">
        <f t="shared" si="9"/>
        <v>0</v>
      </c>
      <c r="W29" s="276">
        <f t="shared" si="10"/>
        <v>0</v>
      </c>
      <c r="X29" s="276">
        <f t="shared" si="11"/>
        <v>0</v>
      </c>
      <c r="Y29" s="277">
        <f t="shared" si="17"/>
        <v>0</v>
      </c>
      <c r="Z29" s="328" t="e">
        <f t="shared" si="12"/>
        <v>#DIV/0!</v>
      </c>
      <c r="AA29" s="329" t="e">
        <f t="shared" si="13"/>
        <v>#DIV/0!</v>
      </c>
      <c r="AK29" s="380">
        <f t="shared" si="18"/>
        <v>0</v>
      </c>
      <c r="AL29" s="381"/>
      <c r="AM29" s="407"/>
    </row>
    <row r="30" spans="1:39" s="316" customFormat="1" ht="80.099999999999994" customHeight="1" thickBot="1">
      <c r="A30" s="234">
        <v>16</v>
      </c>
      <c r="B30" s="259" t="s">
        <v>310</v>
      </c>
      <c r="C30" s="260" t="s">
        <v>119</v>
      </c>
      <c r="D30" s="234" t="s">
        <v>121</v>
      </c>
      <c r="E30" s="234" t="s">
        <v>126</v>
      </c>
      <c r="F30" s="280" t="s">
        <v>272</v>
      </c>
      <c r="G30" s="266" t="s">
        <v>335</v>
      </c>
      <c r="H30" s="281">
        <v>1</v>
      </c>
      <c r="I30" s="281">
        <v>1</v>
      </c>
      <c r="J30" s="269">
        <v>475</v>
      </c>
      <c r="K30" s="269">
        <f t="shared" si="2"/>
        <v>475</v>
      </c>
      <c r="L30" s="269">
        <f t="shared" si="3"/>
        <v>35.625</v>
      </c>
      <c r="M30" s="269">
        <f t="shared" si="4"/>
        <v>123.92824965825777</v>
      </c>
      <c r="N30" s="270">
        <f t="shared" si="5"/>
        <v>634.55324965825776</v>
      </c>
      <c r="Q30" s="271">
        <f t="shared" si="14"/>
        <v>1</v>
      </c>
      <c r="R30" s="272">
        <f t="shared" si="31"/>
        <v>1</v>
      </c>
      <c r="S30" s="340">
        <v>220.71</v>
      </c>
      <c r="T30" s="339">
        <v>0</v>
      </c>
      <c r="U30" s="274">
        <f t="shared" si="8"/>
        <v>475</v>
      </c>
      <c r="V30" s="275">
        <f t="shared" si="9"/>
        <v>0</v>
      </c>
      <c r="W30" s="276">
        <f t="shared" si="10"/>
        <v>0</v>
      </c>
      <c r="X30" s="276">
        <f t="shared" si="11"/>
        <v>0</v>
      </c>
      <c r="Y30" s="277">
        <f t="shared" si="17"/>
        <v>123.92824965825777</v>
      </c>
      <c r="Z30" s="328">
        <f t="shared" si="12"/>
        <v>1</v>
      </c>
      <c r="AA30" s="329" t="e">
        <f t="shared" si="13"/>
        <v>#DIV/0!</v>
      </c>
      <c r="AK30" s="380">
        <f t="shared" si="18"/>
        <v>0</v>
      </c>
      <c r="AL30" s="381"/>
      <c r="AM30" s="407"/>
    </row>
    <row r="31" spans="1:39" s="316" customFormat="1" ht="80.099999999999994" customHeight="1" thickBot="1">
      <c r="A31" s="234">
        <v>17</v>
      </c>
      <c r="B31" s="259" t="s">
        <v>311</v>
      </c>
      <c r="C31" s="260" t="s">
        <v>119</v>
      </c>
      <c r="D31" s="234" t="s">
        <v>121</v>
      </c>
      <c r="E31" s="234" t="s">
        <v>126</v>
      </c>
      <c r="F31" s="280" t="s">
        <v>273</v>
      </c>
      <c r="G31" s="266" t="s">
        <v>278</v>
      </c>
      <c r="H31" s="281">
        <v>1</v>
      </c>
      <c r="I31" s="281">
        <v>1</v>
      </c>
      <c r="J31" s="269">
        <v>255</v>
      </c>
      <c r="K31" s="269">
        <f t="shared" si="2"/>
        <v>255</v>
      </c>
      <c r="L31" s="269">
        <f t="shared" si="3"/>
        <v>19.125</v>
      </c>
      <c r="M31" s="269">
        <f t="shared" si="4"/>
        <v>66.529902448117326</v>
      </c>
      <c r="N31" s="270">
        <f t="shared" si="5"/>
        <v>340.65490244811735</v>
      </c>
      <c r="Q31" s="271">
        <f t="shared" si="14"/>
        <v>1</v>
      </c>
      <c r="R31" s="272">
        <v>0</v>
      </c>
      <c r="S31" s="273">
        <v>255</v>
      </c>
      <c r="T31" s="273">
        <f>IF(Q31&lt;&gt;"",Q31*R31*S31,"")</f>
        <v>0</v>
      </c>
      <c r="U31" s="274">
        <f t="shared" si="8"/>
        <v>255</v>
      </c>
      <c r="V31" s="275">
        <f t="shared" si="9"/>
        <v>0</v>
      </c>
      <c r="W31" s="276">
        <f t="shared" si="10"/>
        <v>0</v>
      </c>
      <c r="X31" s="276">
        <f t="shared" si="11"/>
        <v>0</v>
      </c>
      <c r="Y31" s="277">
        <f t="shared" si="17"/>
        <v>66.529902448117326</v>
      </c>
      <c r="Z31" s="328">
        <f t="shared" si="12"/>
        <v>1</v>
      </c>
      <c r="AA31" s="329" t="e">
        <f t="shared" si="13"/>
        <v>#DIV/0!</v>
      </c>
      <c r="AK31" s="380">
        <f t="shared" si="18"/>
        <v>0</v>
      </c>
      <c r="AL31" s="381"/>
      <c r="AM31" s="407"/>
    </row>
    <row r="32" spans="1:39" s="316" customFormat="1" ht="80.099999999999994" customHeight="1" thickBot="1">
      <c r="A32" s="234">
        <v>18</v>
      </c>
      <c r="B32" s="259" t="s">
        <v>312</v>
      </c>
      <c r="C32" s="260" t="s">
        <v>119</v>
      </c>
      <c r="D32" s="234" t="s">
        <v>121</v>
      </c>
      <c r="E32" s="234" t="s">
        <v>126</v>
      </c>
      <c r="F32" s="280" t="s">
        <v>268</v>
      </c>
      <c r="G32" s="341"/>
      <c r="H32" s="342">
        <v>1</v>
      </c>
      <c r="I32" s="342">
        <v>1</v>
      </c>
      <c r="J32" s="343">
        <v>4800</v>
      </c>
      <c r="K32" s="269">
        <f t="shared" si="2"/>
        <v>4800</v>
      </c>
      <c r="L32" s="269">
        <f t="shared" si="3"/>
        <v>360</v>
      </c>
      <c r="M32" s="269">
        <f t="shared" si="4"/>
        <v>1252.3275754939734</v>
      </c>
      <c r="N32" s="270">
        <f t="shared" si="5"/>
        <v>6412.3275754939732</v>
      </c>
      <c r="Q32" s="271">
        <f t="shared" ref="Q32:R32" si="32">IF(H32&lt;&gt;"",H32,"")</f>
        <v>1</v>
      </c>
      <c r="R32" s="272">
        <f t="shared" si="32"/>
        <v>1</v>
      </c>
      <c r="S32" s="273">
        <v>0</v>
      </c>
      <c r="T32" s="273">
        <f t="shared" ref="T32" si="33">IF(Q32&lt;&gt;"",Q32*R32*S32,"")</f>
        <v>0</v>
      </c>
      <c r="U32" s="274">
        <f t="shared" si="8"/>
        <v>4800</v>
      </c>
      <c r="V32" s="275">
        <f t="shared" si="9"/>
        <v>0</v>
      </c>
      <c r="W32" s="276">
        <f t="shared" si="10"/>
        <v>0</v>
      </c>
      <c r="X32" s="276">
        <f t="shared" si="11"/>
        <v>0</v>
      </c>
      <c r="Y32" s="277">
        <f t="shared" ref="Y32" si="34">IF(Q32&lt;&gt;"",X32+M32,"")</f>
        <v>1252.3275754939734</v>
      </c>
      <c r="Z32" s="328">
        <f t="shared" si="12"/>
        <v>1</v>
      </c>
      <c r="AA32" s="329" t="e">
        <f t="shared" si="13"/>
        <v>#DIV/0!</v>
      </c>
      <c r="AK32" s="380">
        <f t="shared" si="18"/>
        <v>0</v>
      </c>
      <c r="AL32" s="381"/>
      <c r="AM32" s="407"/>
    </row>
    <row r="33" spans="1:39" s="316" customFormat="1" ht="35.1" customHeight="1" thickBot="1">
      <c r="A33" s="234">
        <v>19</v>
      </c>
      <c r="B33" s="259"/>
      <c r="C33" s="260" t="s">
        <v>122</v>
      </c>
      <c r="D33" s="234"/>
      <c r="E33" s="234"/>
      <c r="F33" s="499" t="s">
        <v>145</v>
      </c>
      <c r="G33" s="500"/>
      <c r="H33" s="500"/>
      <c r="I33" s="500"/>
      <c r="J33" s="501"/>
      <c r="K33" s="125">
        <f>SUM(K25:K32)</f>
        <v>26415.5</v>
      </c>
      <c r="L33" s="125">
        <f>SUM(L25:L32)</f>
        <v>1981.1625000000001</v>
      </c>
      <c r="M33" s="125">
        <f>SUM(M25:M32)</f>
        <v>6891.8456396793863</v>
      </c>
      <c r="N33" s="126">
        <f>SUM(N25:N32)</f>
        <v>35288.50813967939</v>
      </c>
      <c r="Q33" s="493" t="s">
        <v>145</v>
      </c>
      <c r="R33" s="494"/>
      <c r="S33" s="508"/>
      <c r="T33" s="127">
        <f>SUM(T25:T32)</f>
        <v>21765</v>
      </c>
      <c r="U33" s="128">
        <f>SUM(U25:U32)</f>
        <v>4650.5</v>
      </c>
      <c r="V33" s="344"/>
      <c r="W33" s="344"/>
      <c r="X33" s="129">
        <f>SUM(X25:X32)</f>
        <v>21765</v>
      </c>
      <c r="Y33" s="130">
        <f>IF(Q33&lt;&gt;"",X33+M33,"")</f>
        <v>28656.845639679384</v>
      </c>
      <c r="AK33" s="380"/>
      <c r="AL33" s="381"/>
      <c r="AM33" s="407"/>
    </row>
    <row r="34" spans="1:39" s="316" customFormat="1" ht="35.1" customHeight="1" thickBot="1">
      <c r="A34" s="234">
        <v>20</v>
      </c>
      <c r="B34" s="259">
        <v>3</v>
      </c>
      <c r="C34" s="260" t="s">
        <v>113</v>
      </c>
      <c r="D34" s="234"/>
      <c r="E34" s="234"/>
      <c r="F34" s="502" t="s">
        <v>201</v>
      </c>
      <c r="G34" s="503"/>
      <c r="H34" s="503"/>
      <c r="I34" s="503"/>
      <c r="J34" s="503"/>
      <c r="K34" s="503"/>
      <c r="L34" s="503"/>
      <c r="M34" s="503"/>
      <c r="N34" s="504"/>
      <c r="Q34" s="509" t="str">
        <f>IF(F34&lt;&gt;"",F34,"")</f>
        <v>EQUIPE DE BUFFET</v>
      </c>
      <c r="R34" s="510"/>
      <c r="S34" s="510"/>
      <c r="T34" s="510"/>
      <c r="U34" s="510"/>
      <c r="V34" s="510"/>
      <c r="W34" s="510"/>
      <c r="X34" s="510"/>
      <c r="Y34" s="511"/>
      <c r="AK34" s="380"/>
      <c r="AL34" s="381"/>
      <c r="AM34" s="407"/>
    </row>
    <row r="35" spans="1:39" s="316" customFormat="1" ht="35.1" customHeight="1">
      <c r="A35" s="234">
        <v>21</v>
      </c>
      <c r="B35" s="259" t="s">
        <v>160</v>
      </c>
      <c r="C35" s="260" t="s">
        <v>114</v>
      </c>
      <c r="D35" s="234"/>
      <c r="E35" s="234"/>
      <c r="F35" s="490"/>
      <c r="G35" s="491"/>
      <c r="H35" s="491"/>
      <c r="I35" s="491"/>
      <c r="J35" s="491"/>
      <c r="K35" s="492"/>
      <c r="L35" s="261" t="s">
        <v>116</v>
      </c>
      <c r="M35" s="261" t="s">
        <v>117</v>
      </c>
      <c r="N35" s="262" t="s">
        <v>74</v>
      </c>
      <c r="Q35" s="493" t="str">
        <f>IF(F35&lt;&gt;"",F35,"")</f>
        <v/>
      </c>
      <c r="R35" s="494"/>
      <c r="S35" s="494"/>
      <c r="T35" s="494"/>
      <c r="U35" s="494"/>
      <c r="V35" s="494"/>
      <c r="W35" s="494"/>
      <c r="X35" s="494"/>
      <c r="Y35" s="495"/>
      <c r="Z35" s="310" t="s">
        <v>118</v>
      </c>
      <c r="AA35" s="311" t="s">
        <v>75</v>
      </c>
      <c r="AK35" s="380"/>
      <c r="AL35" s="381"/>
      <c r="AM35" s="407"/>
    </row>
    <row r="36" spans="1:39" s="316" customFormat="1" ht="80.099999999999994" customHeight="1">
      <c r="A36" s="234">
        <v>22</v>
      </c>
      <c r="B36" s="259" t="s">
        <v>161</v>
      </c>
      <c r="C36" s="260" t="s">
        <v>119</v>
      </c>
      <c r="D36" s="234" t="s">
        <v>121</v>
      </c>
      <c r="E36" s="234" t="s">
        <v>126</v>
      </c>
      <c r="F36" s="280" t="s">
        <v>146</v>
      </c>
      <c r="G36" s="331" t="s">
        <v>204</v>
      </c>
      <c r="H36" s="281">
        <v>2</v>
      </c>
      <c r="I36" s="281">
        <v>3</v>
      </c>
      <c r="J36" s="269">
        <v>576</v>
      </c>
      <c r="K36" s="269">
        <f>IF(F36&lt;&gt;"",H36*I36*J36,"")</f>
        <v>3456</v>
      </c>
      <c r="L36" s="269">
        <f>IF(K36&lt;&gt;"",IF(D36="INTERNO",0,K36*$L$14),"")</f>
        <v>259.2</v>
      </c>
      <c r="M36" s="269">
        <f>IF(K36&lt;&gt;"",IF(E36="FAT.OGGI",SUM(K36:L36)*(1/(1-$M$14)-1),L36*(1/(1-$M$14)-1)),"")</f>
        <v>901.6758543556607</v>
      </c>
      <c r="N36" s="270">
        <f>SUM(K36:M36)</f>
        <v>4616.8758543556605</v>
      </c>
      <c r="Q36" s="271">
        <v>2</v>
      </c>
      <c r="R36" s="272">
        <f t="shared" ref="Q36:R39" si="35">IF(I36&lt;&gt;"",I36,"")</f>
        <v>3</v>
      </c>
      <c r="S36" s="273">
        <v>480</v>
      </c>
      <c r="T36" s="333">
        <v>0</v>
      </c>
      <c r="U36" s="274">
        <f>IF(Q36&lt;&gt;"",K36-T36,"")</f>
        <v>3456</v>
      </c>
      <c r="V36" s="275">
        <f>IF(Q36&lt;&gt;"",0%,"")</f>
        <v>0</v>
      </c>
      <c r="W36" s="276">
        <f>IF(Q36&lt;&gt;"",V36*U36,"")</f>
        <v>0</v>
      </c>
      <c r="X36" s="276">
        <f>IF(Q36&lt;&gt;"",W36+T36,"")</f>
        <v>0</v>
      </c>
      <c r="Y36" s="277">
        <f>IF(Q36&lt;&gt;"",X36+M36,"")</f>
        <v>901.6758543556607</v>
      </c>
      <c r="Z36" s="317">
        <f>IF(Q36&lt;&gt;"",U36/K36,"")</f>
        <v>1</v>
      </c>
      <c r="AA36" s="318" t="e">
        <f>T36/$T$44</f>
        <v>#DIV/0!</v>
      </c>
      <c r="AK36" s="380">
        <f t="shared" si="18"/>
        <v>0</v>
      </c>
      <c r="AL36" s="381"/>
      <c r="AM36" s="407"/>
    </row>
    <row r="37" spans="1:39" s="316" customFormat="1" ht="80.099999999999994" customHeight="1">
      <c r="A37" s="234">
        <v>23</v>
      </c>
      <c r="B37" s="259" t="s">
        <v>162</v>
      </c>
      <c r="C37" s="260" t="s">
        <v>119</v>
      </c>
      <c r="D37" s="234" t="s">
        <v>121</v>
      </c>
      <c r="E37" s="234" t="s">
        <v>126</v>
      </c>
      <c r="F37" s="280" t="s">
        <v>147</v>
      </c>
      <c r="G37" s="331" t="s">
        <v>147</v>
      </c>
      <c r="H37" s="281">
        <v>1</v>
      </c>
      <c r="I37" s="281">
        <v>3</v>
      </c>
      <c r="J37" s="269">
        <v>600</v>
      </c>
      <c r="K37" s="269">
        <f>IF(F37&lt;&gt;"",H37*I37*J37,"")</f>
        <v>1800</v>
      </c>
      <c r="L37" s="269">
        <f>IF(K37&lt;&gt;"",IF(D37="INTERNO",0,K37*$L$14),"")</f>
        <v>135</v>
      </c>
      <c r="M37" s="269">
        <f>IF(K37&lt;&gt;"",IF(E37="FAT.OGGI",SUM(K37:L37)*(1/(1-$M$14)-1),L37*(1/(1-$M$14)-1)),"")</f>
        <v>469.62284081024001</v>
      </c>
      <c r="N37" s="270">
        <f>SUM(K37:M37)</f>
        <v>2404.6228408102402</v>
      </c>
      <c r="Q37" s="271">
        <f t="shared" si="35"/>
        <v>1</v>
      </c>
      <c r="R37" s="272">
        <f t="shared" si="35"/>
        <v>3</v>
      </c>
      <c r="S37" s="273">
        <v>500</v>
      </c>
      <c r="T37" s="333">
        <v>0</v>
      </c>
      <c r="U37" s="274">
        <f>IF(Q37&lt;&gt;"",K37-T37,"")</f>
        <v>1800</v>
      </c>
      <c r="V37" s="275">
        <f>IF(Q37&lt;&gt;"",0%,"")</f>
        <v>0</v>
      </c>
      <c r="W37" s="276">
        <f>IF(Q37&lt;&gt;"",V37*U37,"")</f>
        <v>0</v>
      </c>
      <c r="X37" s="276">
        <f>IF(Q37&lt;&gt;"",W37+T37,"")</f>
        <v>0</v>
      </c>
      <c r="Y37" s="277">
        <f>IF(Q37&lt;&gt;"",X37+M37,"")</f>
        <v>469.62284081024001</v>
      </c>
      <c r="Z37" s="317">
        <f>IF(Q37&lt;&gt;"",U37/K37,"")</f>
        <v>1</v>
      </c>
      <c r="AA37" s="318" t="e">
        <f>T37/$T$44</f>
        <v>#DIV/0!</v>
      </c>
      <c r="AK37" s="380">
        <f t="shared" si="18"/>
        <v>0</v>
      </c>
      <c r="AL37" s="381"/>
      <c r="AM37" s="407"/>
    </row>
    <row r="38" spans="1:39" s="316" customFormat="1" ht="80.099999999999994" customHeight="1">
      <c r="A38" s="287">
        <v>24</v>
      </c>
      <c r="B38" s="259" t="s">
        <v>168</v>
      </c>
      <c r="C38" s="289" t="s">
        <v>119</v>
      </c>
      <c r="D38" s="287" t="s">
        <v>121</v>
      </c>
      <c r="E38" s="234" t="s">
        <v>126</v>
      </c>
      <c r="F38" s="280" t="s">
        <v>207</v>
      </c>
      <c r="G38" s="331" t="s">
        <v>207</v>
      </c>
      <c r="H38" s="281">
        <v>1</v>
      </c>
      <c r="I38" s="281">
        <v>3</v>
      </c>
      <c r="J38" s="269">
        <v>576</v>
      </c>
      <c r="K38" s="269">
        <f>IF(F38&lt;&gt;"",H38*I38*J38,"")</f>
        <v>1728</v>
      </c>
      <c r="L38" s="269">
        <f>IF(K38&lt;&gt;"",IF(D38="INTERNO",0,K38*$L$14),"")</f>
        <v>129.6</v>
      </c>
      <c r="M38" s="269">
        <f>IF(K38&lt;&gt;"",IF(E38="FAT.OGGI",SUM(K38:L38)*(1/(1-$M$14)-1),L38*(1/(1-$M$14)-1)),"")</f>
        <v>450.83792717783035</v>
      </c>
      <c r="N38" s="270">
        <f>SUM(K38:M38)</f>
        <v>2308.4379271778303</v>
      </c>
      <c r="Q38" s="271">
        <f>IF(H38&lt;&gt;"",H38,"")</f>
        <v>1</v>
      </c>
      <c r="R38" s="272">
        <f>IF(I38&lt;&gt;"",I38,"")</f>
        <v>3</v>
      </c>
      <c r="S38" s="273">
        <v>480</v>
      </c>
      <c r="T38" s="333">
        <v>0</v>
      </c>
      <c r="U38" s="274">
        <f>IF(Q38&lt;&gt;"",K38-T38,"")</f>
        <v>1728</v>
      </c>
      <c r="V38" s="275">
        <f>IF(Q38&lt;&gt;"",0%,"")</f>
        <v>0</v>
      </c>
      <c r="W38" s="276">
        <f>IF(Q38&lt;&gt;"",V38*U38,"")</f>
        <v>0</v>
      </c>
      <c r="X38" s="276">
        <f>IF(Q38&lt;&gt;"",W38+T38,"")</f>
        <v>0</v>
      </c>
      <c r="Y38" s="277">
        <f>IF(Q38&lt;&gt;"",X38+M38,"")</f>
        <v>450.83792717783035</v>
      </c>
      <c r="Z38" s="317">
        <f>IF(Q38&lt;&gt;"",U38/K38,"")</f>
        <v>1</v>
      </c>
      <c r="AA38" s="318"/>
      <c r="AK38" s="380">
        <f t="shared" si="18"/>
        <v>0</v>
      </c>
      <c r="AL38" s="381"/>
      <c r="AM38" s="407"/>
    </row>
    <row r="39" spans="1:39" s="316" customFormat="1" ht="80.099999999999994" customHeight="1" thickBot="1">
      <c r="A39" s="306">
        <v>25</v>
      </c>
      <c r="B39" s="259" t="s">
        <v>198</v>
      </c>
      <c r="C39" s="307" t="s">
        <v>119</v>
      </c>
      <c r="D39" s="306" t="s">
        <v>121</v>
      </c>
      <c r="E39" s="234" t="s">
        <v>126</v>
      </c>
      <c r="F39" s="280" t="s">
        <v>209</v>
      </c>
      <c r="G39" s="331" t="s">
        <v>148</v>
      </c>
      <c r="H39" s="281">
        <v>1</v>
      </c>
      <c r="I39" s="281">
        <v>3</v>
      </c>
      <c r="J39" s="269">
        <v>456</v>
      </c>
      <c r="K39" s="269">
        <f>IF(F39&lt;&gt;"",H39*I39*J39,"")</f>
        <v>1368</v>
      </c>
      <c r="L39" s="269">
        <f>IF(K39&lt;&gt;"",IF(D39="INTERNO",0,K39*$L$14),"")</f>
        <v>102.6</v>
      </c>
      <c r="M39" s="269">
        <f>IF(K39&lt;&gt;"",IF(E39="FAT.OGGI",SUM(K39:L39)*(1/(1-$M$14)-1),L39*(1/(1-$M$14)-1)),"")</f>
        <v>356.91335901578236</v>
      </c>
      <c r="N39" s="270">
        <f>SUM(K39:M39)</f>
        <v>1827.5133590157823</v>
      </c>
      <c r="Q39" s="271">
        <f t="shared" si="35"/>
        <v>1</v>
      </c>
      <c r="R39" s="272">
        <f t="shared" si="35"/>
        <v>3</v>
      </c>
      <c r="S39" s="273">
        <v>380</v>
      </c>
      <c r="T39" s="333">
        <v>0</v>
      </c>
      <c r="U39" s="274">
        <f>IF(Q39&lt;&gt;"",K39-T39,"")</f>
        <v>1368</v>
      </c>
      <c r="V39" s="275">
        <f>IF(Q39&lt;&gt;"",0%,"")</f>
        <v>0</v>
      </c>
      <c r="W39" s="276">
        <f>IF(Q39&lt;&gt;"",V39*U39,"")</f>
        <v>0</v>
      </c>
      <c r="X39" s="276">
        <f>IF(Q39&lt;&gt;"",W39+T39,"")</f>
        <v>0</v>
      </c>
      <c r="Y39" s="277">
        <f>IF(Q39&lt;&gt;"",X39+M39,"")</f>
        <v>356.91335901578236</v>
      </c>
      <c r="Z39" s="328">
        <f>IF(Q39&lt;&gt;"",U39/K39,"")</f>
        <v>1</v>
      </c>
      <c r="AA39" s="329" t="e">
        <f>T39/$T$44</f>
        <v>#DIV/0!</v>
      </c>
      <c r="AK39" s="380">
        <f t="shared" si="18"/>
        <v>0</v>
      </c>
      <c r="AL39" s="381"/>
      <c r="AM39" s="407"/>
    </row>
    <row r="40" spans="1:39" s="316" customFormat="1" ht="35.1" customHeight="1" thickBot="1">
      <c r="A40" s="234">
        <v>26</v>
      </c>
      <c r="B40" s="259"/>
      <c r="C40" s="260" t="s">
        <v>122</v>
      </c>
      <c r="D40" s="234"/>
      <c r="E40" s="234"/>
      <c r="F40" s="499" t="s">
        <v>145</v>
      </c>
      <c r="G40" s="500"/>
      <c r="H40" s="500"/>
      <c r="I40" s="500"/>
      <c r="J40" s="501"/>
      <c r="K40" s="119">
        <f>SUM(K36:K39)</f>
        <v>8352</v>
      </c>
      <c r="L40" s="119">
        <f>SUM(L36:L39)</f>
        <v>626.4</v>
      </c>
      <c r="M40" s="119">
        <f>SUM(M36:M39)</f>
        <v>2179.0499813595134</v>
      </c>
      <c r="N40" s="120">
        <f>SUM(N36:N39)</f>
        <v>11157.449981359514</v>
      </c>
      <c r="Q40" s="499" t="s">
        <v>145</v>
      </c>
      <c r="R40" s="500"/>
      <c r="S40" s="501"/>
      <c r="T40" s="121">
        <f>SUM(T36:T39)</f>
        <v>0</v>
      </c>
      <c r="U40" s="122">
        <f>SUM(U36:U39)</f>
        <v>8352</v>
      </c>
      <c r="V40" s="330"/>
      <c r="W40" s="330"/>
      <c r="X40" s="123">
        <f>SUM(X36:X39)</f>
        <v>0</v>
      </c>
      <c r="Y40" s="124">
        <f>IF(Q40&lt;&gt;"",X40+M40,"")</f>
        <v>2179.0499813595134</v>
      </c>
      <c r="AK40" s="380"/>
      <c r="AL40" s="381"/>
      <c r="AM40" s="407"/>
    </row>
    <row r="41" spans="1:39" s="316" customFormat="1" ht="35.1" customHeight="1" thickBot="1">
      <c r="A41" s="234">
        <v>27</v>
      </c>
      <c r="B41" s="259">
        <v>4</v>
      </c>
      <c r="C41" s="260" t="s">
        <v>113</v>
      </c>
      <c r="D41" s="234"/>
      <c r="E41" s="234"/>
      <c r="F41" s="502" t="s">
        <v>210</v>
      </c>
      <c r="G41" s="503"/>
      <c r="H41" s="503"/>
      <c r="I41" s="503"/>
      <c r="J41" s="503"/>
      <c r="K41" s="503"/>
      <c r="L41" s="503"/>
      <c r="M41" s="503"/>
      <c r="N41" s="504"/>
      <c r="Q41" s="505" t="str">
        <f>IF(F41&lt;&gt;"",F41,"")</f>
        <v>PRODUÇÃO</v>
      </c>
      <c r="R41" s="506"/>
      <c r="S41" s="506"/>
      <c r="T41" s="506"/>
      <c r="U41" s="506"/>
      <c r="V41" s="506"/>
      <c r="W41" s="506"/>
      <c r="X41" s="506"/>
      <c r="Y41" s="507"/>
      <c r="AK41" s="380"/>
      <c r="AL41" s="381"/>
      <c r="AM41" s="407"/>
    </row>
    <row r="42" spans="1:39" s="316" customFormat="1" ht="35.1" customHeight="1">
      <c r="A42" s="234">
        <v>28</v>
      </c>
      <c r="B42" s="259" t="s">
        <v>202</v>
      </c>
      <c r="C42" s="260" t="s">
        <v>114</v>
      </c>
      <c r="D42" s="234"/>
      <c r="E42" s="234"/>
      <c r="F42" s="490" t="s">
        <v>211</v>
      </c>
      <c r="G42" s="491"/>
      <c r="H42" s="491"/>
      <c r="I42" s="491"/>
      <c r="J42" s="491"/>
      <c r="K42" s="492"/>
      <c r="L42" s="261" t="s">
        <v>116</v>
      </c>
      <c r="M42" s="261" t="s">
        <v>117</v>
      </c>
      <c r="N42" s="262" t="s">
        <v>74</v>
      </c>
      <c r="Q42" s="493" t="str">
        <f>IF(F42&lt;&gt;"",F42,"")</f>
        <v>Equipe de produção</v>
      </c>
      <c r="R42" s="494"/>
      <c r="S42" s="494"/>
      <c r="T42" s="494"/>
      <c r="U42" s="494"/>
      <c r="V42" s="494"/>
      <c r="W42" s="494"/>
      <c r="X42" s="494"/>
      <c r="Y42" s="495"/>
      <c r="Z42" s="310" t="s">
        <v>118</v>
      </c>
      <c r="AA42" s="311" t="s">
        <v>75</v>
      </c>
      <c r="AK42" s="380"/>
      <c r="AL42" s="381"/>
      <c r="AM42" s="407"/>
    </row>
    <row r="43" spans="1:39" s="316" customFormat="1" ht="80.099999999999994" customHeight="1">
      <c r="A43" s="234">
        <v>29</v>
      </c>
      <c r="B43" s="259" t="s">
        <v>203</v>
      </c>
      <c r="C43" s="260" t="s">
        <v>119</v>
      </c>
      <c r="D43" s="234" t="s">
        <v>121</v>
      </c>
      <c r="E43" s="234" t="s">
        <v>126</v>
      </c>
      <c r="F43" s="280" t="s">
        <v>297</v>
      </c>
      <c r="G43" s="331" t="s">
        <v>336</v>
      </c>
      <c r="H43" s="281">
        <v>1</v>
      </c>
      <c r="I43" s="342">
        <v>5</v>
      </c>
      <c r="J43" s="269">
        <v>750</v>
      </c>
      <c r="K43" s="269">
        <f t="shared" ref="K43:K56" si="36">IF(F43&lt;&gt;"",H43*I43*J43,"")</f>
        <v>3750</v>
      </c>
      <c r="L43" s="269">
        <f t="shared" ref="L43:L56" si="37">IF(K43&lt;&gt;"",IF(D43="INTERNO",0,K43*$L$14),"")</f>
        <v>281.25</v>
      </c>
      <c r="M43" s="269">
        <f t="shared" ref="M43:M56" si="38">IF(K43&lt;&gt;"",IF(E43="FAT.OGGI",SUM(K43:L43)*(1/(1-$M$14)-1),L43*(1/(1-$M$14)-1)),"")</f>
        <v>978.38091835466662</v>
      </c>
      <c r="N43" s="270">
        <f t="shared" ref="N43:N56" si="39">SUM(K43:M43)</f>
        <v>5009.6309183546664</v>
      </c>
      <c r="Q43" s="271">
        <f t="shared" ref="Q43:R56" si="40">IF(H43&lt;&gt;"",H43,"")</f>
        <v>1</v>
      </c>
      <c r="R43" s="272">
        <f t="shared" si="40"/>
        <v>5</v>
      </c>
      <c r="S43" s="273">
        <v>650</v>
      </c>
      <c r="T43" s="327">
        <v>0</v>
      </c>
      <c r="U43" s="274">
        <f t="shared" ref="U43:U56" si="41">IF(Q43&lt;&gt;"",K43-T43,"")</f>
        <v>3750</v>
      </c>
      <c r="V43" s="275">
        <f t="shared" ref="V43:V56" si="42">IF(Q43&lt;&gt;"",0%,"")</f>
        <v>0</v>
      </c>
      <c r="W43" s="276">
        <f t="shared" ref="W43:W56" si="43">IF(Q43&lt;&gt;"",V43*U43,"")</f>
        <v>0</v>
      </c>
      <c r="X43" s="276">
        <f t="shared" ref="X43:X56" si="44">IF(Q43&lt;&gt;"",W43+T43,"")</f>
        <v>0</v>
      </c>
      <c r="Y43" s="277">
        <f t="shared" ref="Y43:Y56" si="45">IF(Q43&lt;&gt;"",X43+M43,"")</f>
        <v>978.38091835466662</v>
      </c>
      <c r="Z43" s="317">
        <f t="shared" ref="Z43:Z51" si="46">IF(Q43&lt;&gt;"",U43/K43,"")</f>
        <v>1</v>
      </c>
      <c r="AA43" s="318" t="e">
        <f>T43/#REF!</f>
        <v>#REF!</v>
      </c>
      <c r="AB43" s="316" t="s">
        <v>212</v>
      </c>
      <c r="AC43" s="334">
        <v>7620</v>
      </c>
      <c r="AD43" s="335">
        <f>T43-AC43</f>
        <v>-7620</v>
      </c>
      <c r="AE43" s="336">
        <v>45770</v>
      </c>
      <c r="AG43" s="337" t="s">
        <v>213</v>
      </c>
      <c r="AH43" s="338" t="s">
        <v>214</v>
      </c>
      <c r="AK43" s="380">
        <f t="shared" si="18"/>
        <v>0</v>
      </c>
      <c r="AL43" s="381"/>
      <c r="AM43" s="407"/>
    </row>
    <row r="44" spans="1:39" s="316" customFormat="1" ht="80.099999999999994" customHeight="1">
      <c r="A44" s="234">
        <v>30</v>
      </c>
      <c r="B44" s="259" t="s">
        <v>205</v>
      </c>
      <c r="C44" s="260" t="s">
        <v>119</v>
      </c>
      <c r="D44" s="234" t="s">
        <v>121</v>
      </c>
      <c r="E44" s="234" t="s">
        <v>126</v>
      </c>
      <c r="F44" s="280" t="s">
        <v>215</v>
      </c>
      <c r="G44" s="331" t="s">
        <v>216</v>
      </c>
      <c r="H44" s="281">
        <v>4</v>
      </c>
      <c r="I44" s="281">
        <v>5</v>
      </c>
      <c r="J44" s="269">
        <v>85</v>
      </c>
      <c r="K44" s="269">
        <f>IF(F44&lt;&gt;"",H44*I44*J44,"")</f>
        <v>1700</v>
      </c>
      <c r="L44" s="269">
        <f>IF(K44&lt;&gt;"",IF(D44="INTERNO",0,K44*$L$14),"")</f>
        <v>127.5</v>
      </c>
      <c r="M44" s="269">
        <f>IF(K44&lt;&gt;"",IF(E44="FAT.OGGI",SUM(K44:L44)*(1/(1-$M$14)-1),L44*(1/(1-$M$14)-1)),"")</f>
        <v>443.53268298744888</v>
      </c>
      <c r="N44" s="270">
        <f>SUM(K44:M44)</f>
        <v>2271.0326829874489</v>
      </c>
      <c r="Q44" s="271">
        <f>IF(H44&lt;&gt;"",H44,"")</f>
        <v>4</v>
      </c>
      <c r="R44" s="272">
        <v>0</v>
      </c>
      <c r="S44" s="273">
        <v>140.61099999999999</v>
      </c>
      <c r="T44" s="273">
        <f>IF(Q44&lt;&gt;"",Q44*R44*S44,"")</f>
        <v>0</v>
      </c>
      <c r="U44" s="274">
        <f>IF(Q44&lt;&gt;"",K44-T44,"")</f>
        <v>1700</v>
      </c>
      <c r="V44" s="275">
        <f>IF(Q44&lt;&gt;"",0%,"")</f>
        <v>0</v>
      </c>
      <c r="W44" s="276">
        <f>IF(Q44&lt;&gt;"",V44*U44,"")</f>
        <v>0</v>
      </c>
      <c r="X44" s="276">
        <f>IF(Q44&lt;&gt;"",W44+T44,"")</f>
        <v>0</v>
      </c>
      <c r="Y44" s="277">
        <f>IF(Q44&lt;&gt;"",X44+M44,"")</f>
        <v>443.53268298744888</v>
      </c>
      <c r="Z44" s="317">
        <f>IF(Q44&lt;&gt;"",U44/K44,"")</f>
        <v>1</v>
      </c>
      <c r="AA44" s="318" t="e">
        <f>T44/#REF!</f>
        <v>#REF!</v>
      </c>
      <c r="AK44" s="380">
        <f t="shared" si="18"/>
        <v>0</v>
      </c>
      <c r="AL44" s="381"/>
      <c r="AM44" s="407"/>
    </row>
    <row r="45" spans="1:39" s="316" customFormat="1" ht="80.099999999999994" customHeight="1">
      <c r="A45" s="234">
        <v>31</v>
      </c>
      <c r="B45" s="259" t="s">
        <v>206</v>
      </c>
      <c r="C45" s="260" t="s">
        <v>119</v>
      </c>
      <c r="D45" s="234" t="s">
        <v>121</v>
      </c>
      <c r="E45" s="234" t="s">
        <v>126</v>
      </c>
      <c r="F45" s="280" t="s">
        <v>217</v>
      </c>
      <c r="G45" s="331" t="s">
        <v>218</v>
      </c>
      <c r="H45" s="281">
        <v>1</v>
      </c>
      <c r="I45" s="281">
        <v>5</v>
      </c>
      <c r="J45" s="269">
        <v>750</v>
      </c>
      <c r="K45" s="269">
        <f t="shared" si="36"/>
        <v>3750</v>
      </c>
      <c r="L45" s="269">
        <f t="shared" si="37"/>
        <v>281.25</v>
      </c>
      <c r="M45" s="269">
        <f t="shared" si="38"/>
        <v>978.38091835466662</v>
      </c>
      <c r="N45" s="270">
        <f t="shared" si="39"/>
        <v>5009.6309183546664</v>
      </c>
      <c r="Q45" s="271">
        <f t="shared" si="40"/>
        <v>1</v>
      </c>
      <c r="R45" s="272">
        <v>5</v>
      </c>
      <c r="S45" s="273">
        <v>650</v>
      </c>
      <c r="T45" s="273">
        <v>0</v>
      </c>
      <c r="U45" s="274">
        <f t="shared" si="41"/>
        <v>3750</v>
      </c>
      <c r="V45" s="275">
        <f t="shared" si="42"/>
        <v>0</v>
      </c>
      <c r="W45" s="276">
        <f t="shared" si="43"/>
        <v>0</v>
      </c>
      <c r="X45" s="276">
        <f t="shared" si="44"/>
        <v>0</v>
      </c>
      <c r="Y45" s="277">
        <f t="shared" si="45"/>
        <v>978.38091835466662</v>
      </c>
      <c r="Z45" s="317">
        <f t="shared" si="46"/>
        <v>1</v>
      </c>
      <c r="AA45" s="318" t="e">
        <f>T45/#REF!</f>
        <v>#REF!</v>
      </c>
      <c r="AK45" s="380">
        <f t="shared" si="18"/>
        <v>0</v>
      </c>
      <c r="AL45" s="381"/>
      <c r="AM45" s="407"/>
    </row>
    <row r="46" spans="1:39" s="316" customFormat="1" ht="80.099999999999994" customHeight="1">
      <c r="A46" s="234">
        <v>32</v>
      </c>
      <c r="B46" s="259" t="s">
        <v>208</v>
      </c>
      <c r="C46" s="260" t="s">
        <v>119</v>
      </c>
      <c r="D46" s="234" t="s">
        <v>121</v>
      </c>
      <c r="E46" s="234" t="s">
        <v>126</v>
      </c>
      <c r="F46" s="280" t="s">
        <v>169</v>
      </c>
      <c r="G46" s="331" t="s">
        <v>337</v>
      </c>
      <c r="H46" s="281">
        <v>1</v>
      </c>
      <c r="I46" s="342">
        <v>4</v>
      </c>
      <c r="J46" s="269">
        <v>750</v>
      </c>
      <c r="K46" s="269">
        <f t="shared" si="36"/>
        <v>3000</v>
      </c>
      <c r="L46" s="269">
        <f t="shared" si="37"/>
        <v>225</v>
      </c>
      <c r="M46" s="269">
        <f t="shared" si="38"/>
        <v>782.70473468373336</v>
      </c>
      <c r="N46" s="270">
        <f t="shared" si="39"/>
        <v>4007.7047346837335</v>
      </c>
      <c r="Q46" s="271">
        <f t="shared" si="40"/>
        <v>1</v>
      </c>
      <c r="R46" s="272">
        <f t="shared" si="40"/>
        <v>4</v>
      </c>
      <c r="S46" s="273">
        <v>650</v>
      </c>
      <c r="T46" s="327">
        <v>0</v>
      </c>
      <c r="U46" s="274">
        <f t="shared" si="41"/>
        <v>3000</v>
      </c>
      <c r="V46" s="275">
        <f t="shared" si="42"/>
        <v>0</v>
      </c>
      <c r="W46" s="276">
        <f t="shared" si="43"/>
        <v>0</v>
      </c>
      <c r="X46" s="276">
        <f t="shared" si="44"/>
        <v>0</v>
      </c>
      <c r="Y46" s="277">
        <f t="shared" si="45"/>
        <v>782.70473468373336</v>
      </c>
      <c r="Z46" s="278">
        <f t="shared" si="46"/>
        <v>1</v>
      </c>
      <c r="AA46" s="279" t="e">
        <f>T46/#REF!</f>
        <v>#REF!</v>
      </c>
      <c r="AK46" s="380">
        <f t="shared" si="18"/>
        <v>0</v>
      </c>
      <c r="AL46" s="381"/>
      <c r="AM46" s="407"/>
    </row>
    <row r="47" spans="1:39" s="316" customFormat="1" ht="80.099999999999994" customHeight="1">
      <c r="A47" s="306">
        <v>33</v>
      </c>
      <c r="B47" s="259" t="s">
        <v>242</v>
      </c>
      <c r="C47" s="307" t="s">
        <v>119</v>
      </c>
      <c r="D47" s="306" t="s">
        <v>121</v>
      </c>
      <c r="E47" s="234" t="s">
        <v>126</v>
      </c>
      <c r="F47" s="280" t="s">
        <v>253</v>
      </c>
      <c r="G47" s="331" t="s">
        <v>280</v>
      </c>
      <c r="H47" s="281">
        <v>1</v>
      </c>
      <c r="I47" s="281">
        <v>1</v>
      </c>
      <c r="J47" s="269">
        <v>1300</v>
      </c>
      <c r="K47" s="269">
        <f>IF(F47&lt;&gt;"",H47*I47*J47,"")</f>
        <v>1300</v>
      </c>
      <c r="L47" s="269">
        <f t="shared" si="37"/>
        <v>97.5</v>
      </c>
      <c r="M47" s="269">
        <f t="shared" si="38"/>
        <v>339.17205169628443</v>
      </c>
      <c r="N47" s="270">
        <f>SUM(K47:M47)</f>
        <v>1736.6720516962844</v>
      </c>
      <c r="Q47" s="271">
        <f t="shared" si="40"/>
        <v>1</v>
      </c>
      <c r="R47" s="272">
        <v>1</v>
      </c>
      <c r="S47" s="340">
        <v>1100</v>
      </c>
      <c r="T47" s="339">
        <f t="shared" ref="T47:T53" si="47">IF(Q47&lt;&gt;"",Q47*R47*S47,"")</f>
        <v>1100</v>
      </c>
      <c r="U47" s="274">
        <f t="shared" si="41"/>
        <v>200</v>
      </c>
      <c r="V47" s="275">
        <f t="shared" si="42"/>
        <v>0</v>
      </c>
      <c r="W47" s="276">
        <f t="shared" si="43"/>
        <v>0</v>
      </c>
      <c r="X47" s="276">
        <f t="shared" si="44"/>
        <v>1100</v>
      </c>
      <c r="Y47" s="277">
        <f t="shared" si="45"/>
        <v>1439.1720516962844</v>
      </c>
      <c r="Z47" s="345">
        <f>IF(Q47&lt;&gt;"",U47/K47,"")</f>
        <v>0.15384615384615385</v>
      </c>
      <c r="AA47" s="346" t="e">
        <f>T47/#REF!</f>
        <v>#REF!</v>
      </c>
      <c r="AC47" s="334">
        <v>1500</v>
      </c>
      <c r="AD47" s="335">
        <f>T47-AC47</f>
        <v>-400</v>
      </c>
      <c r="AE47" s="336">
        <v>45751</v>
      </c>
      <c r="AG47" s="337" t="s">
        <v>251</v>
      </c>
      <c r="AH47" s="338" t="s">
        <v>252</v>
      </c>
      <c r="AK47" s="380">
        <f t="shared" si="18"/>
        <v>0</v>
      </c>
      <c r="AL47" s="381">
        <v>1100</v>
      </c>
      <c r="AM47" s="407" t="s">
        <v>358</v>
      </c>
    </row>
    <row r="48" spans="1:39" s="316" customFormat="1" ht="80.099999999999994" customHeight="1">
      <c r="A48" s="234">
        <v>34</v>
      </c>
      <c r="B48" s="259" t="s">
        <v>243</v>
      </c>
      <c r="C48" s="260" t="s">
        <v>119</v>
      </c>
      <c r="D48" s="234" t="s">
        <v>121</v>
      </c>
      <c r="E48" s="234" t="s">
        <v>126</v>
      </c>
      <c r="F48" s="280" t="s">
        <v>140</v>
      </c>
      <c r="G48" s="331" t="s">
        <v>140</v>
      </c>
      <c r="H48" s="281">
        <v>2</v>
      </c>
      <c r="I48" s="281">
        <v>5</v>
      </c>
      <c r="J48" s="269">
        <v>380</v>
      </c>
      <c r="K48" s="269">
        <f>IF(F48&lt;&gt;"",H48*I48*J48,"")</f>
        <v>3800</v>
      </c>
      <c r="L48" s="269">
        <f>IF(K48&lt;&gt;"",IF(D48="INTERNO",0,K48*$L$14),"")</f>
        <v>285</v>
      </c>
      <c r="M48" s="269">
        <f>IF(K48&lt;&gt;"",IF(E48="FAT.OGGI",SUM(K48:L48)*(1/(1-$M$14)-1),L48*(1/(1-$M$14)-1)),"")</f>
        <v>991.42599726606215</v>
      </c>
      <c r="N48" s="270">
        <f>SUM(K48:M48)</f>
        <v>5076.425997266062</v>
      </c>
      <c r="Q48" s="271">
        <v>2</v>
      </c>
      <c r="R48" s="272">
        <v>5</v>
      </c>
      <c r="S48" s="273">
        <v>380</v>
      </c>
      <c r="T48" s="327">
        <v>0</v>
      </c>
      <c r="U48" s="274">
        <f>IF(Q48&lt;&gt;"",K48-T48,"")</f>
        <v>3800</v>
      </c>
      <c r="V48" s="275">
        <f>IF(Q48&lt;&gt;"",0%,"")</f>
        <v>0</v>
      </c>
      <c r="W48" s="276">
        <f>IF(Q48&lt;&gt;"",V48*U48,"")</f>
        <v>0</v>
      </c>
      <c r="X48" s="276">
        <f>IF(Q48&lt;&gt;"",W48+T48,"")</f>
        <v>0</v>
      </c>
      <c r="Y48" s="277">
        <f>IF(Q48&lt;&gt;"",X48+M48,"")</f>
        <v>991.42599726606215</v>
      </c>
      <c r="Z48" s="347">
        <f t="shared" si="46"/>
        <v>1</v>
      </c>
      <c r="AA48" s="279" t="e">
        <f>T48/#REF!</f>
        <v>#REF!</v>
      </c>
      <c r="AB48" s="316" t="s">
        <v>219</v>
      </c>
      <c r="AK48" s="380">
        <f t="shared" si="18"/>
        <v>0</v>
      </c>
      <c r="AL48" s="381"/>
      <c r="AM48" s="407"/>
    </row>
    <row r="49" spans="1:40" s="316" customFormat="1" ht="80.099999999999994" customHeight="1">
      <c r="A49" s="234">
        <v>35</v>
      </c>
      <c r="B49" s="259" t="s">
        <v>244</v>
      </c>
      <c r="C49" s="260" t="s">
        <v>119</v>
      </c>
      <c r="D49" s="234" t="s">
        <v>121</v>
      </c>
      <c r="E49" s="234" t="s">
        <v>126</v>
      </c>
      <c r="F49" s="280" t="s">
        <v>139</v>
      </c>
      <c r="G49" s="331" t="s">
        <v>220</v>
      </c>
      <c r="H49" s="281">
        <v>1</v>
      </c>
      <c r="I49" s="281">
        <v>4</v>
      </c>
      <c r="J49" s="348">
        <v>580</v>
      </c>
      <c r="K49" s="269">
        <f t="shared" ref="K49" si="48">IF(F49&lt;&gt;"",H49*I49*J49,"")</f>
        <v>2320</v>
      </c>
      <c r="L49" s="269">
        <f>IF(K49&lt;&gt;"",IF(D49="INTERNO",0,K49*$L$14),"")</f>
        <v>174</v>
      </c>
      <c r="M49" s="269">
        <f t="shared" ref="M49" si="49">IF(K49&lt;&gt;"",IF(E49="FAT.OGGI",SUM(K49:L49)*(1/(1-$M$14)-1),L49*(1/(1-$M$14)-1)),"")</f>
        <v>605.29166148875379</v>
      </c>
      <c r="N49" s="270">
        <f t="shared" ref="N49" si="50">SUM(K49:M49)</f>
        <v>3099.2916614887536</v>
      </c>
      <c r="Q49" s="271">
        <f t="shared" ref="Q49" si="51">IF(H49&lt;&gt;"",H49,"")</f>
        <v>1</v>
      </c>
      <c r="R49" s="272">
        <v>4</v>
      </c>
      <c r="S49" s="273">
        <v>580</v>
      </c>
      <c r="T49" s="349">
        <v>1948.8</v>
      </c>
      <c r="U49" s="274">
        <f t="shared" ref="U49" si="52">IF(Q49&lt;&gt;"",K49-T49,"")</f>
        <v>371.20000000000005</v>
      </c>
      <c r="V49" s="275">
        <f t="shared" ref="V49" si="53">IF(Q49&lt;&gt;"",0%,"")</f>
        <v>0</v>
      </c>
      <c r="W49" s="276">
        <f t="shared" ref="W49" si="54">IF(Q49&lt;&gt;"",V49*U49,"")</f>
        <v>0</v>
      </c>
      <c r="X49" s="276">
        <f t="shared" ref="X49" si="55">IF(Q49&lt;&gt;"",W49+T49,"")</f>
        <v>1948.8</v>
      </c>
      <c r="Y49" s="277">
        <f t="shared" ref="Y49" si="56">IF(Q49&lt;&gt;"",X49+M49,"")</f>
        <v>2554.0916614887537</v>
      </c>
      <c r="Z49" s="278">
        <f t="shared" si="46"/>
        <v>0.16000000000000003</v>
      </c>
      <c r="AA49" s="279" t="e">
        <f>T49/#REF!</f>
        <v>#REF!</v>
      </c>
      <c r="AC49" s="334">
        <v>1280</v>
      </c>
      <c r="AD49" s="335">
        <f>T49-AC49</f>
        <v>668.8</v>
      </c>
      <c r="AE49" s="336">
        <v>45754</v>
      </c>
      <c r="AG49" s="337" t="s">
        <v>221</v>
      </c>
      <c r="AH49" s="338" t="s">
        <v>222</v>
      </c>
      <c r="AK49" s="380">
        <f t="shared" si="18"/>
        <v>0</v>
      </c>
      <c r="AL49" s="381">
        <v>1948.8</v>
      </c>
      <c r="AM49" s="407" t="s">
        <v>357</v>
      </c>
    </row>
    <row r="50" spans="1:40" s="316" customFormat="1" ht="80.099999999999994" customHeight="1">
      <c r="A50" s="234">
        <v>36</v>
      </c>
      <c r="B50" s="259" t="s">
        <v>245</v>
      </c>
      <c r="C50" s="260" t="s">
        <v>119</v>
      </c>
      <c r="D50" s="234" t="s">
        <v>121</v>
      </c>
      <c r="E50" s="234" t="s">
        <v>126</v>
      </c>
      <c r="F50" s="280" t="s">
        <v>223</v>
      </c>
      <c r="G50" s="331" t="s">
        <v>224</v>
      </c>
      <c r="H50" s="281">
        <v>2</v>
      </c>
      <c r="I50" s="281">
        <v>3</v>
      </c>
      <c r="J50" s="348">
        <v>550</v>
      </c>
      <c r="K50" s="269">
        <f t="shared" si="36"/>
        <v>3300</v>
      </c>
      <c r="L50" s="269">
        <f t="shared" si="37"/>
        <v>247.5</v>
      </c>
      <c r="M50" s="269">
        <f t="shared" si="38"/>
        <v>860.97520815210669</v>
      </c>
      <c r="N50" s="270">
        <f t="shared" si="39"/>
        <v>4408.4752081521065</v>
      </c>
      <c r="Q50" s="271">
        <f t="shared" si="40"/>
        <v>2</v>
      </c>
      <c r="R50" s="272">
        <f t="shared" si="40"/>
        <v>3</v>
      </c>
      <c r="S50" s="273">
        <v>500</v>
      </c>
      <c r="T50" s="327">
        <f t="shared" si="47"/>
        <v>3000</v>
      </c>
      <c r="U50" s="274">
        <f t="shared" si="41"/>
        <v>300</v>
      </c>
      <c r="V50" s="275">
        <f t="shared" si="42"/>
        <v>0</v>
      </c>
      <c r="W50" s="276">
        <f t="shared" si="43"/>
        <v>0</v>
      </c>
      <c r="X50" s="276">
        <f t="shared" si="44"/>
        <v>3000</v>
      </c>
      <c r="Y50" s="277">
        <f t="shared" si="45"/>
        <v>3860.9752081521065</v>
      </c>
      <c r="Z50" s="317">
        <f t="shared" si="46"/>
        <v>9.0909090909090912E-2</v>
      </c>
      <c r="AA50" s="318" t="e">
        <f>T50/#REF!</f>
        <v>#REF!</v>
      </c>
      <c r="AC50" s="334">
        <v>2400</v>
      </c>
      <c r="AD50" s="335">
        <f>T50-AC50</f>
        <v>600</v>
      </c>
      <c r="AE50" s="336">
        <v>45770</v>
      </c>
      <c r="AG50" s="337" t="s">
        <v>225</v>
      </c>
      <c r="AH50" s="338" t="s">
        <v>226</v>
      </c>
      <c r="AK50" s="380">
        <f t="shared" si="18"/>
        <v>0</v>
      </c>
      <c r="AL50" s="381">
        <v>3000</v>
      </c>
      <c r="AM50" s="407" t="s">
        <v>356</v>
      </c>
    </row>
    <row r="51" spans="1:40" s="316" customFormat="1" ht="80.099999999999994" customHeight="1">
      <c r="A51" s="287">
        <v>37</v>
      </c>
      <c r="B51" s="259" t="s">
        <v>246</v>
      </c>
      <c r="C51" s="289" t="s">
        <v>119</v>
      </c>
      <c r="D51" s="234" t="s">
        <v>121</v>
      </c>
      <c r="E51" s="234" t="s">
        <v>126</v>
      </c>
      <c r="F51" s="280" t="s">
        <v>227</v>
      </c>
      <c r="G51" s="331" t="s">
        <v>269</v>
      </c>
      <c r="H51" s="350">
        <v>0</v>
      </c>
      <c r="I51" s="281">
        <v>3</v>
      </c>
      <c r="J51" s="269">
        <v>250</v>
      </c>
      <c r="K51" s="269">
        <f t="shared" si="36"/>
        <v>0</v>
      </c>
      <c r="L51" s="269">
        <f t="shared" si="37"/>
        <v>0</v>
      </c>
      <c r="M51" s="269">
        <f t="shared" si="38"/>
        <v>0</v>
      </c>
      <c r="N51" s="270">
        <f t="shared" si="39"/>
        <v>0</v>
      </c>
      <c r="Q51" s="271">
        <f t="shared" si="40"/>
        <v>0</v>
      </c>
      <c r="R51" s="272">
        <f t="shared" si="40"/>
        <v>3</v>
      </c>
      <c r="S51" s="273">
        <v>180</v>
      </c>
      <c r="T51" s="273">
        <f t="shared" si="47"/>
        <v>0</v>
      </c>
      <c r="U51" s="274">
        <f t="shared" si="41"/>
        <v>0</v>
      </c>
      <c r="V51" s="275">
        <f t="shared" si="42"/>
        <v>0</v>
      </c>
      <c r="W51" s="276">
        <f t="shared" si="43"/>
        <v>0</v>
      </c>
      <c r="X51" s="276">
        <f t="shared" si="44"/>
        <v>0</v>
      </c>
      <c r="Y51" s="277">
        <f t="shared" si="45"/>
        <v>0</v>
      </c>
      <c r="Z51" s="317" t="e">
        <f t="shared" si="46"/>
        <v>#DIV/0!</v>
      </c>
      <c r="AA51" s="318" t="e">
        <f>T51/#REF!</f>
        <v>#REF!</v>
      </c>
      <c r="AC51" s="334">
        <v>1050</v>
      </c>
      <c r="AD51" s="335">
        <f>T51-AC51</f>
        <v>-1050</v>
      </c>
      <c r="AE51" s="336">
        <v>45755</v>
      </c>
      <c r="AG51" s="337" t="s">
        <v>228</v>
      </c>
      <c r="AH51" s="338" t="s">
        <v>229</v>
      </c>
      <c r="AK51" s="380">
        <f t="shared" si="18"/>
        <v>0</v>
      </c>
      <c r="AL51" s="381"/>
      <c r="AM51" s="407"/>
    </row>
    <row r="52" spans="1:40" ht="80.099999999999994" customHeight="1">
      <c r="A52" s="234">
        <v>16</v>
      </c>
      <c r="B52" s="259" t="s">
        <v>302</v>
      </c>
      <c r="C52" s="260" t="s">
        <v>119</v>
      </c>
      <c r="D52" s="234" t="s">
        <v>121</v>
      </c>
      <c r="E52" s="234" t="s">
        <v>126</v>
      </c>
      <c r="F52" s="280" t="s">
        <v>290</v>
      </c>
      <c r="G52" s="331"/>
      <c r="H52" s="281">
        <v>1</v>
      </c>
      <c r="I52" s="281">
        <v>1</v>
      </c>
      <c r="J52" s="269"/>
      <c r="K52" s="269">
        <f>IF(F52&lt;&gt;"",H52*I52*J52,"")</f>
        <v>0</v>
      </c>
      <c r="L52" s="351">
        <f>IF(K52&lt;&gt;"",IF(D52="INTERNO",0,K52*Extras!$L$14),"")</f>
        <v>0</v>
      </c>
      <c r="M52" s="351">
        <f>IF(K52&lt;&gt;"",IF(E52="FAT.OGGI",SUM(K52:L52)*(1/(1-Extras!$M$14)-1),L52*(1/(1-Extras!$M$14)-1)),0)</f>
        <v>0</v>
      </c>
      <c r="N52" s="352">
        <f>SUM(K52:M52)</f>
        <v>0</v>
      </c>
      <c r="Q52" s="353">
        <f>IF(H52&lt;&gt;"",H52,"")</f>
        <v>1</v>
      </c>
      <c r="R52" s="354">
        <v>1</v>
      </c>
      <c r="S52" s="355">
        <v>2590</v>
      </c>
      <c r="T52" s="356">
        <v>0</v>
      </c>
      <c r="U52" s="357">
        <f>IF(Q52&lt;&gt;"",K52-T52,"")</f>
        <v>0</v>
      </c>
      <c r="V52" s="358">
        <f>IF(Q52&lt;&gt;"",0%,"")</f>
        <v>0</v>
      </c>
      <c r="W52" s="359">
        <f>IF(Q52&lt;&gt;"",V52*U52,"")</f>
        <v>0</v>
      </c>
      <c r="X52" s="359">
        <f>IF(Q52&lt;&gt;"",W52+T52,"")</f>
        <v>0</v>
      </c>
      <c r="Y52" s="360">
        <f>IF(Q52&lt;&gt;"",X52+M52,"")</f>
        <v>0</v>
      </c>
      <c r="Z52" s="278">
        <f>IF(Q52&lt;&gt;"", IFERROR(U52/K52, 0), 0)</f>
        <v>0</v>
      </c>
      <c r="AA52" s="361" t="str">
        <f>IFERROR(T52/#REF!, "")</f>
        <v/>
      </c>
      <c r="AK52" s="380">
        <f t="shared" si="18"/>
        <v>0</v>
      </c>
      <c r="AL52" s="381"/>
    </row>
    <row r="53" spans="1:40" s="316" customFormat="1" ht="80.099999999999994" customHeight="1">
      <c r="A53" s="234">
        <v>38</v>
      </c>
      <c r="B53" s="259" t="s">
        <v>247</v>
      </c>
      <c r="C53" s="260" t="s">
        <v>119</v>
      </c>
      <c r="D53" s="234" t="s">
        <v>121</v>
      </c>
      <c r="E53" s="234" t="s">
        <v>126</v>
      </c>
      <c r="F53" s="280" t="s">
        <v>215</v>
      </c>
      <c r="G53" s="331" t="s">
        <v>255</v>
      </c>
      <c r="H53" s="281">
        <v>2</v>
      </c>
      <c r="I53" s="281">
        <v>3</v>
      </c>
      <c r="J53" s="269">
        <v>85</v>
      </c>
      <c r="K53" s="269">
        <f t="shared" si="36"/>
        <v>510</v>
      </c>
      <c r="L53" s="269">
        <f t="shared" si="37"/>
        <v>38.25</v>
      </c>
      <c r="M53" s="269">
        <f t="shared" si="38"/>
        <v>133.05980489623465</v>
      </c>
      <c r="N53" s="270">
        <f t="shared" si="39"/>
        <v>681.30980489623471</v>
      </c>
      <c r="Q53" s="271">
        <v>0</v>
      </c>
      <c r="R53" s="272">
        <f t="shared" si="40"/>
        <v>3</v>
      </c>
      <c r="S53" s="273">
        <v>85</v>
      </c>
      <c r="T53" s="273">
        <f t="shared" si="47"/>
        <v>0</v>
      </c>
      <c r="U53" s="274">
        <f t="shared" si="41"/>
        <v>510</v>
      </c>
      <c r="V53" s="275">
        <f t="shared" si="42"/>
        <v>0</v>
      </c>
      <c r="W53" s="276">
        <f t="shared" si="43"/>
        <v>0</v>
      </c>
      <c r="X53" s="276">
        <f t="shared" si="44"/>
        <v>0</v>
      </c>
      <c r="Y53" s="277">
        <f t="shared" si="45"/>
        <v>133.05980489623465</v>
      </c>
      <c r="Z53" s="317">
        <f>IF(Q53&lt;&gt;"",U53/K53,"")</f>
        <v>1</v>
      </c>
      <c r="AA53" s="318" t="e">
        <f>T53/#REF!</f>
        <v>#REF!</v>
      </c>
      <c r="AK53" s="380">
        <f t="shared" si="18"/>
        <v>0</v>
      </c>
      <c r="AL53" s="381"/>
      <c r="AM53" s="407"/>
      <c r="AN53" s="406"/>
    </row>
    <row r="54" spans="1:40" s="316" customFormat="1" ht="80.099999999999994" customHeight="1">
      <c r="A54" s="287">
        <v>39</v>
      </c>
      <c r="B54" s="259" t="s">
        <v>248</v>
      </c>
      <c r="C54" s="289" t="s">
        <v>119</v>
      </c>
      <c r="D54" s="234" t="s">
        <v>121</v>
      </c>
      <c r="E54" s="234" t="s">
        <v>126</v>
      </c>
      <c r="F54" s="280" t="s">
        <v>230</v>
      </c>
      <c r="G54" s="331" t="s">
        <v>277</v>
      </c>
      <c r="H54" s="281">
        <v>1</v>
      </c>
      <c r="I54" s="281">
        <v>1</v>
      </c>
      <c r="J54" s="348">
        <v>6500</v>
      </c>
      <c r="K54" s="269">
        <f t="shared" si="36"/>
        <v>6500</v>
      </c>
      <c r="L54" s="269">
        <f t="shared" si="37"/>
        <v>487.5</v>
      </c>
      <c r="M54" s="269">
        <f t="shared" si="38"/>
        <v>1695.8602584814223</v>
      </c>
      <c r="N54" s="270">
        <f t="shared" si="39"/>
        <v>8683.3602584814216</v>
      </c>
      <c r="Q54" s="271">
        <f t="shared" si="40"/>
        <v>1</v>
      </c>
      <c r="R54" s="272">
        <f t="shared" si="40"/>
        <v>1</v>
      </c>
      <c r="S54" s="362">
        <f>6762.28+3286.5</f>
        <v>10048.779999999999</v>
      </c>
      <c r="T54" s="339">
        <v>11889.96</v>
      </c>
      <c r="U54" s="274">
        <f t="shared" si="41"/>
        <v>-5389.9599999999991</v>
      </c>
      <c r="V54" s="275">
        <f t="shared" si="42"/>
        <v>0</v>
      </c>
      <c r="W54" s="276">
        <f t="shared" si="43"/>
        <v>0</v>
      </c>
      <c r="X54" s="276">
        <f t="shared" si="44"/>
        <v>11889.96</v>
      </c>
      <c r="Y54" s="277">
        <f t="shared" si="45"/>
        <v>13585.820258481421</v>
      </c>
      <c r="Z54" s="317">
        <f>IF(Q54&lt;&gt;"",U54/K54,"")</f>
        <v>-0.82922461538461523</v>
      </c>
      <c r="AA54" s="318" t="e">
        <f>T54/#REF!</f>
        <v>#REF!</v>
      </c>
      <c r="AC54" s="334">
        <v>3274.43</v>
      </c>
      <c r="AD54" s="335">
        <f>T54-AC54</f>
        <v>8615.5299999999988</v>
      </c>
      <c r="AE54" s="336">
        <v>45750</v>
      </c>
      <c r="AG54" s="337" t="s">
        <v>231</v>
      </c>
      <c r="AH54" s="338" t="s">
        <v>232</v>
      </c>
      <c r="AK54" s="380">
        <f t="shared" si="18"/>
        <v>0</v>
      </c>
      <c r="AL54" s="381">
        <f>2812.97+912.96+1351.99+1656.82+2314.71+2840.51</f>
        <v>11889.960000000001</v>
      </c>
      <c r="AM54" s="407" t="s">
        <v>374</v>
      </c>
    </row>
    <row r="55" spans="1:40" s="316" customFormat="1" ht="80.099999999999994" customHeight="1">
      <c r="A55" s="234">
        <v>40</v>
      </c>
      <c r="B55" s="259" t="s">
        <v>249</v>
      </c>
      <c r="C55" s="260" t="s">
        <v>119</v>
      </c>
      <c r="D55" s="234" t="s">
        <v>121</v>
      </c>
      <c r="E55" s="234" t="s">
        <v>126</v>
      </c>
      <c r="F55" s="280" t="s">
        <v>233</v>
      </c>
      <c r="G55" s="331" t="s">
        <v>234</v>
      </c>
      <c r="H55" s="281">
        <v>1</v>
      </c>
      <c r="I55" s="281">
        <v>1</v>
      </c>
      <c r="J55" s="269">
        <v>3200</v>
      </c>
      <c r="K55" s="269">
        <f t="shared" si="36"/>
        <v>3200</v>
      </c>
      <c r="L55" s="269">
        <f t="shared" si="37"/>
        <v>240</v>
      </c>
      <c r="M55" s="269">
        <f t="shared" si="38"/>
        <v>834.8850503293155</v>
      </c>
      <c r="N55" s="270">
        <f t="shared" si="39"/>
        <v>4274.8850503293152</v>
      </c>
      <c r="Q55" s="271">
        <f t="shared" si="40"/>
        <v>1</v>
      </c>
      <c r="R55" s="272">
        <f t="shared" si="40"/>
        <v>1</v>
      </c>
      <c r="S55" s="273">
        <f>292+1431+5123.11+400+1312.07+6409.92+1948.8+233.78</f>
        <v>17150.68</v>
      </c>
      <c r="T55" s="339">
        <v>22600.44</v>
      </c>
      <c r="U55" s="274">
        <f t="shared" si="41"/>
        <v>-19400.439999999999</v>
      </c>
      <c r="V55" s="275">
        <f t="shared" si="42"/>
        <v>0</v>
      </c>
      <c r="W55" s="276">
        <f t="shared" si="43"/>
        <v>0</v>
      </c>
      <c r="X55" s="276">
        <f t="shared" si="44"/>
        <v>22600.44</v>
      </c>
      <c r="Y55" s="277">
        <f t="shared" si="45"/>
        <v>23435.325050329313</v>
      </c>
      <c r="Z55" s="317">
        <f>IF(Q55&lt;&gt;"",U55/K55,"")</f>
        <v>-6.0626374999999992</v>
      </c>
      <c r="AA55" s="318" t="e">
        <f>T55/#REF!</f>
        <v>#REF!</v>
      </c>
      <c r="AB55" s="316" t="s">
        <v>235</v>
      </c>
      <c r="AC55" s="334">
        <v>863</v>
      </c>
      <c r="AD55" s="335">
        <f>T55-AC55</f>
        <v>21737.439999999999</v>
      </c>
      <c r="AE55" s="336">
        <v>45755</v>
      </c>
      <c r="AG55" s="337" t="s">
        <v>236</v>
      </c>
      <c r="AH55" s="338" t="s">
        <v>237</v>
      </c>
      <c r="AK55" s="380">
        <f t="shared" si="18"/>
        <v>0</v>
      </c>
      <c r="AL55" s="381">
        <f>'CUSTOS OP.'!G18</f>
        <v>22600.440000000002</v>
      </c>
      <c r="AM55" s="407" t="s">
        <v>354</v>
      </c>
    </row>
    <row r="56" spans="1:40" s="316" customFormat="1" ht="80.099999999999994" customHeight="1" thickBot="1">
      <c r="A56" s="234">
        <v>41</v>
      </c>
      <c r="B56" s="259" t="s">
        <v>271</v>
      </c>
      <c r="C56" s="260" t="s">
        <v>119</v>
      </c>
      <c r="D56" s="234" t="s">
        <v>121</v>
      </c>
      <c r="E56" s="234" t="s">
        <v>126</v>
      </c>
      <c r="F56" s="363" t="s">
        <v>238</v>
      </c>
      <c r="G56" s="364" t="s">
        <v>239</v>
      </c>
      <c r="H56" s="365">
        <v>1</v>
      </c>
      <c r="I56" s="365">
        <v>1</v>
      </c>
      <c r="J56" s="366">
        <v>2200</v>
      </c>
      <c r="K56" s="366">
        <f t="shared" si="36"/>
        <v>2200</v>
      </c>
      <c r="L56" s="366">
        <f t="shared" si="37"/>
        <v>165</v>
      </c>
      <c r="M56" s="366">
        <f t="shared" si="38"/>
        <v>573.98347210140446</v>
      </c>
      <c r="N56" s="367">
        <f t="shared" si="39"/>
        <v>2938.9834721014045</v>
      </c>
      <c r="Q56" s="368">
        <f t="shared" si="40"/>
        <v>1</v>
      </c>
      <c r="R56" s="369">
        <f t="shared" si="40"/>
        <v>1</v>
      </c>
      <c r="S56" s="370">
        <v>1722.91</v>
      </c>
      <c r="T56" s="371">
        <v>12594.98</v>
      </c>
      <c r="U56" s="372">
        <f t="shared" si="41"/>
        <v>-10394.98</v>
      </c>
      <c r="V56" s="373">
        <f t="shared" si="42"/>
        <v>0</v>
      </c>
      <c r="W56" s="374">
        <f t="shared" si="43"/>
        <v>0</v>
      </c>
      <c r="X56" s="374">
        <f t="shared" si="44"/>
        <v>12594.98</v>
      </c>
      <c r="Y56" s="375">
        <f t="shared" si="45"/>
        <v>13168.963472101404</v>
      </c>
      <c r="Z56" s="347">
        <f t="shared" ref="Z56" si="57">IF(Q56&lt;&gt;"",U56/K56,"")</f>
        <v>-4.7249909090909092</v>
      </c>
      <c r="AA56" s="361" t="e">
        <f>T56/#REF!</f>
        <v>#REF!</v>
      </c>
      <c r="AC56" s="334">
        <v>1876.79</v>
      </c>
      <c r="AD56" s="335">
        <f>T56-AC56</f>
        <v>10718.189999999999</v>
      </c>
      <c r="AE56" s="336">
        <v>45750</v>
      </c>
      <c r="AG56" s="337" t="s">
        <v>240</v>
      </c>
      <c r="AH56" s="338" t="s">
        <v>241</v>
      </c>
      <c r="AK56" s="380">
        <f t="shared" si="18"/>
        <v>0</v>
      </c>
      <c r="AL56" s="381">
        <f>4560+5000+1722.91+1312.07</f>
        <v>12594.98</v>
      </c>
      <c r="AM56" s="407" t="s">
        <v>353</v>
      </c>
    </row>
    <row r="57" spans="1:40" s="316" customFormat="1" ht="35.1" customHeight="1" thickBot="1">
      <c r="A57" s="234">
        <v>42</v>
      </c>
      <c r="B57" s="259"/>
      <c r="C57" s="260" t="s">
        <v>122</v>
      </c>
      <c r="D57" s="234"/>
      <c r="E57" s="234"/>
      <c r="F57" s="496" t="s">
        <v>145</v>
      </c>
      <c r="G57" s="497"/>
      <c r="H57" s="497"/>
      <c r="I57" s="497"/>
      <c r="J57" s="498"/>
      <c r="K57" s="119">
        <f>SUM(K43:K56)</f>
        <v>35330</v>
      </c>
      <c r="L57" s="119">
        <f>SUM(L43:L56)</f>
        <v>2649.75</v>
      </c>
      <c r="M57" s="119">
        <f>SUM(M43:M56)</f>
        <v>9217.6527587921009</v>
      </c>
      <c r="N57" s="120">
        <f>SUM(N43:N56)</f>
        <v>47197.402758792094</v>
      </c>
      <c r="Q57" s="496" t="s">
        <v>145</v>
      </c>
      <c r="R57" s="497"/>
      <c r="S57" s="498"/>
      <c r="T57" s="121">
        <f>SUM(T43:T56)</f>
        <v>53134.179999999993</v>
      </c>
      <c r="U57" s="122">
        <f>SUM(U43:U56)</f>
        <v>-17804.179999999997</v>
      </c>
      <c r="V57" s="330"/>
      <c r="W57" s="330"/>
      <c r="X57" s="123">
        <f>SUM(X43:X56)</f>
        <v>53134.179999999993</v>
      </c>
      <c r="Y57" s="131">
        <f>IF(Q57&lt;&gt;"",X57+M57,"")</f>
        <v>62351.832758792094</v>
      </c>
      <c r="Z57" s="285" t="s">
        <v>149</v>
      </c>
      <c r="AA57" s="376" t="s">
        <v>150</v>
      </c>
      <c r="AK57" s="380"/>
      <c r="AL57" s="381"/>
      <c r="AM57" s="407"/>
    </row>
    <row r="58" spans="1:40" ht="35.1" customHeight="1" thickBot="1">
      <c r="A58" s="287">
        <v>43</v>
      </c>
      <c r="B58" s="288"/>
      <c r="C58" s="289" t="s">
        <v>123</v>
      </c>
      <c r="D58" s="287"/>
      <c r="E58" s="287"/>
      <c r="F58" s="290" t="s">
        <v>42</v>
      </c>
      <c r="G58" s="291"/>
      <c r="H58" s="295"/>
      <c r="I58" s="295"/>
      <c r="J58" s="291"/>
      <c r="K58" s="292">
        <f>SUM(K17:K21)+SUM(K25:K32)+SUM(K36:K39)+SUM(K43:K56)</f>
        <v>103377.25</v>
      </c>
      <c r="L58" s="292">
        <f>SUM(L17:L21)+SUM(L25:L32)+SUM(L36:L39)+SUM(L43:L56)</f>
        <v>5257.3125</v>
      </c>
      <c r="M58" s="292">
        <f>SUM(M17:M21)+SUM(M25:M32)+SUM(M36:M39)+SUM(M43:M56)</f>
        <v>26365.515168696416</v>
      </c>
      <c r="N58" s="377">
        <f>SUM(N17:N21)+SUM(N25:N32)+SUM(N36:N39)+SUM(N43:N56)</f>
        <v>135000.07766869641</v>
      </c>
      <c r="Q58" s="294" t="s">
        <v>42</v>
      </c>
      <c r="R58" s="295"/>
      <c r="S58" s="291"/>
      <c r="T58" s="292">
        <f>SUM(T17:T21)+SUM(T25:T32)+SUM(T36:T39)+SUM(T43:T56)</f>
        <v>78049.179999999993</v>
      </c>
      <c r="U58" s="292">
        <f>SUM(U17:U21)+SUM(U25:U32)+SUM(U36:U39)+SUM(U43:U56)</f>
        <v>25328.070000000003</v>
      </c>
      <c r="V58" s="291"/>
      <c r="W58" s="291"/>
      <c r="X58" s="292">
        <f>SUM(X17:X21)+SUM(X25:X32)+SUM(X36:X39)+SUM(X43:X56)</f>
        <v>78049.179999999993</v>
      </c>
      <c r="Y58" s="377">
        <f>SUM(Y17:Y21)+SUM(Y25:Y32)+SUM(Y36:Y39)+SUM(Y43:Y56)</f>
        <v>104414.69516869642</v>
      </c>
      <c r="Z58" s="296">
        <f>IF(Q58&lt;&gt;"",(N58-Y58)/N58,"")</f>
        <v>0.22655825854455844</v>
      </c>
      <c r="AA58" s="378">
        <f>IF(Z58&lt;&gt;"",(N58-Y58),"")</f>
        <v>30585.382499999992</v>
      </c>
      <c r="AK58" s="380">
        <f>SUM(AK17:AK57)</f>
        <v>0</v>
      </c>
      <c r="AL58" s="381">
        <f>SUM(AL17:AL57)</f>
        <v>78049.180000000008</v>
      </c>
    </row>
  </sheetData>
  <mergeCells count="33">
    <mergeCell ref="F22:J22"/>
    <mergeCell ref="Q22:S22"/>
    <mergeCell ref="F23:N23"/>
    <mergeCell ref="Q23:Y23"/>
    <mergeCell ref="F1:G1"/>
    <mergeCell ref="F2:G2"/>
    <mergeCell ref="Q12:T12"/>
    <mergeCell ref="U12:X12"/>
    <mergeCell ref="AK12:AL12"/>
    <mergeCell ref="AG12:AH12"/>
    <mergeCell ref="F15:N15"/>
    <mergeCell ref="Q15:Y15"/>
    <mergeCell ref="F16:K16"/>
    <mergeCell ref="Q16:Y16"/>
    <mergeCell ref="AC12:AE12"/>
    <mergeCell ref="AK15:AL15"/>
    <mergeCell ref="AK16:AL16"/>
    <mergeCell ref="F24:K24"/>
    <mergeCell ref="Q24:Y24"/>
    <mergeCell ref="F33:J33"/>
    <mergeCell ref="Q33:S33"/>
    <mergeCell ref="F34:N34"/>
    <mergeCell ref="Q34:Y34"/>
    <mergeCell ref="F42:K42"/>
    <mergeCell ref="Q42:Y42"/>
    <mergeCell ref="F57:J57"/>
    <mergeCell ref="Q57:S57"/>
    <mergeCell ref="F35:K35"/>
    <mergeCell ref="Q35:Y35"/>
    <mergeCell ref="F40:J40"/>
    <mergeCell ref="Q40:S40"/>
    <mergeCell ref="F41:N41"/>
    <mergeCell ref="Q41:Y41"/>
  </mergeCells>
  <dataValidations count="3">
    <dataValidation type="list" allowBlank="1" showInputMessage="1" showErrorMessage="1" sqref="D17:D21 D58 D36:D39 D25:D32 D43:D56" xr:uid="{3EFE53A9-6730-4F75-830F-74A58BE49321}">
      <formula1>"INTERNO,OPERACIONAL"</formula1>
    </dataValidation>
    <dataValidation type="list" allowBlank="1" showInputMessage="1" showErrorMessage="1" sqref="E17:E21 E36:E39 E25:E32 E43:E56" xr:uid="{CD75B295-2527-4911-908C-60EF7E809F77}">
      <formula1>"FAT.OGGI,FAT.CLIENTE"</formula1>
    </dataValidation>
    <dataValidation type="list" allowBlank="1" showInputMessage="1" showErrorMessage="1" sqref="E58" xr:uid="{BFF1150F-7475-4B07-82B3-B81BC6902FF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F2FE-347C-4CCA-B0E9-C774C2ABD63D}">
  <sheetPr codeName="Planilha13">
    <pageSetUpPr autoPageBreaks="0"/>
  </sheetPr>
  <dimension ref="A1:AQ43"/>
  <sheetViews>
    <sheetView showGridLines="0" topLeftCell="G1" zoomScale="50" zoomScaleNormal="50" workbookViewId="0">
      <pane ySplit="1" topLeftCell="A19" activePane="bottomLeft" state="frozen"/>
      <selection activeCell="E1" sqref="A1:E1048576"/>
      <selection pane="bottomLeft" activeCell="T19" sqref="T19"/>
    </sheetView>
  </sheetViews>
  <sheetFormatPr defaultColWidth="8.88671875" defaultRowHeight="18"/>
  <cols>
    <col min="1" max="1" width="5.33203125" style="217" hidden="1" customWidth="1"/>
    <col min="2" max="2" width="8.109375" style="217" customWidth="1"/>
    <col min="3" max="5" width="5.33203125" style="217" hidden="1" customWidth="1"/>
    <col min="6" max="6" width="52.5546875" style="217" customWidth="1"/>
    <col min="7" max="7" width="65.109375" style="217" customWidth="1"/>
    <col min="8" max="8" width="7.109375" style="220" hidden="1" customWidth="1"/>
    <col min="9" max="9" width="7.6640625" style="220" hidden="1" customWidth="1"/>
    <col min="10" max="10" width="17.6640625" style="217" hidden="1" customWidth="1"/>
    <col min="11" max="11" width="26.6640625" style="217" bestFit="1" customWidth="1"/>
    <col min="12" max="12" width="24.6640625" style="217" bestFit="1" customWidth="1"/>
    <col min="13" max="14" width="26.6640625" style="217" bestFit="1" customWidth="1"/>
    <col min="15" max="15" width="3.33203125" style="217" hidden="1" customWidth="1"/>
    <col min="16" max="16" width="1.88671875" style="217" hidden="1" customWidth="1"/>
    <col min="17" max="17" width="11.109375" style="220" bestFit="1" customWidth="1"/>
    <col min="18" max="18" width="8.44140625" style="220" hidden="1" customWidth="1"/>
    <col min="19" max="19" width="18.44140625" style="217" hidden="1" customWidth="1"/>
    <col min="20" max="20" width="26.6640625" style="217" bestFit="1" customWidth="1"/>
    <col min="21" max="21" width="24.6640625" style="217" hidden="1" customWidth="1"/>
    <col min="22" max="22" width="9.6640625" style="217" hidden="1" customWidth="1"/>
    <col min="23" max="23" width="16.109375" style="217" hidden="1" customWidth="1"/>
    <col min="24" max="24" width="27.109375" style="217" bestFit="1" customWidth="1"/>
    <col min="25" max="25" width="26.6640625" style="217" hidden="1" customWidth="1"/>
    <col min="26" max="26" width="14.6640625" style="217" hidden="1" customWidth="1"/>
    <col min="27" max="27" width="24.6640625" style="217" hidden="1" customWidth="1"/>
    <col min="28" max="28" width="38.109375" style="217" hidden="1" customWidth="1"/>
    <col min="29" max="29" width="14.109375" style="217" hidden="1" customWidth="1"/>
    <col min="30" max="30" width="7.6640625" style="217" hidden="1" customWidth="1"/>
    <col min="31" max="31" width="6.88671875" style="217" hidden="1" customWidth="1"/>
    <col min="32" max="32" width="1.33203125" style="217" hidden="1" customWidth="1"/>
    <col min="33" max="33" width="14" style="217" hidden="1" customWidth="1"/>
    <col min="34" max="34" width="11.6640625" style="217" hidden="1" customWidth="1"/>
    <col min="35" max="35" width="6.33203125" style="217" hidden="1" customWidth="1"/>
    <col min="36" max="36" width="12.6640625" style="217" hidden="1" customWidth="1"/>
    <col min="37" max="37" width="13.109375" style="217" hidden="1" customWidth="1"/>
    <col min="38" max="38" width="13.5546875" style="217" hidden="1" customWidth="1"/>
    <col min="39" max="39" width="0" style="217" hidden="1" customWidth="1"/>
    <col min="40" max="40" width="21.33203125" style="217" hidden="1" customWidth="1"/>
    <col min="41" max="42" width="25.33203125" style="217" bestFit="1" customWidth="1"/>
    <col min="43" max="43" width="8.88671875" style="410"/>
    <col min="44" max="16384" width="8.88671875" style="217"/>
  </cols>
  <sheetData>
    <row r="1" spans="1:42" ht="49.5" customHeight="1">
      <c r="B1" s="218"/>
      <c r="C1" s="219"/>
      <c r="D1" s="219"/>
      <c r="F1" s="462" t="s">
        <v>112</v>
      </c>
      <c r="G1" s="462"/>
    </row>
    <row r="2" spans="1:42" ht="24.75" customHeight="1">
      <c r="B2" s="220"/>
      <c r="D2" s="219"/>
      <c r="F2" s="463" t="s">
        <v>0</v>
      </c>
      <c r="G2" s="463"/>
    </row>
    <row r="3" spans="1:42">
      <c r="B3" s="221"/>
      <c r="F3" s="28"/>
      <c r="G3" s="28"/>
    </row>
    <row r="4" spans="1:42">
      <c r="F4" s="35" t="s">
        <v>136</v>
      </c>
      <c r="G4" s="47" t="s">
        <v>171</v>
      </c>
    </row>
    <row r="5" spans="1:42">
      <c r="F5" s="36" t="s">
        <v>135</v>
      </c>
      <c r="G5" s="48" t="s">
        <v>163</v>
      </c>
    </row>
    <row r="6" spans="1:42">
      <c r="D6" s="217" t="s">
        <v>99</v>
      </c>
      <c r="F6" s="36" t="s">
        <v>134</v>
      </c>
      <c r="G6" s="50" t="s">
        <v>256</v>
      </c>
    </row>
    <row r="7" spans="1:42" ht="21.75" customHeight="1">
      <c r="F7" s="36" t="s">
        <v>133</v>
      </c>
      <c r="G7" s="50" t="s">
        <v>257</v>
      </c>
      <c r="J7" s="217" t="s">
        <v>111</v>
      </c>
    </row>
    <row r="8" spans="1:42">
      <c r="F8" s="36" t="s">
        <v>129</v>
      </c>
      <c r="G8" s="222" t="s">
        <v>258</v>
      </c>
    </row>
    <row r="9" spans="1:42">
      <c r="F9" s="36" t="s">
        <v>130</v>
      </c>
      <c r="G9" s="50" t="s">
        <v>125</v>
      </c>
      <c r="J9" s="217" t="s">
        <v>99</v>
      </c>
    </row>
    <row r="10" spans="1:42" ht="27" customHeight="1">
      <c r="F10" s="36" t="s">
        <v>131</v>
      </c>
      <c r="G10" s="50" t="s">
        <v>165</v>
      </c>
    </row>
    <row r="11" spans="1:42">
      <c r="F11" s="37" t="s">
        <v>132</v>
      </c>
      <c r="G11" s="52" t="s">
        <v>170</v>
      </c>
    </row>
    <row r="12" spans="1:42" ht="54.6" hidden="1" thickBot="1">
      <c r="B12" s="223"/>
      <c r="M12" s="224"/>
      <c r="Q12" s="464" t="s">
        <v>1</v>
      </c>
      <c r="R12" s="465"/>
      <c r="S12" s="465"/>
      <c r="T12" s="466"/>
      <c r="U12" s="467" t="s">
        <v>2</v>
      </c>
      <c r="V12" s="468"/>
      <c r="W12" s="468"/>
      <c r="X12" s="469"/>
      <c r="Y12" s="225" t="s">
        <v>48</v>
      </c>
      <c r="Z12" s="226">
        <f>(1/(1-M14))-1</f>
        <v>0.24269914253759173</v>
      </c>
      <c r="AC12" s="470" t="s">
        <v>3</v>
      </c>
      <c r="AD12" s="471"/>
      <c r="AE12" s="472"/>
      <c r="AG12" s="488" t="s">
        <v>50</v>
      </c>
      <c r="AH12" s="489"/>
      <c r="AJ12" s="227" t="s">
        <v>52</v>
      </c>
      <c r="AK12" s="477" t="s">
        <v>51</v>
      </c>
      <c r="AL12" s="478"/>
    </row>
    <row r="13" spans="1:42" ht="18.600000000000001" thickBot="1">
      <c r="A13" s="228" t="s">
        <v>4</v>
      </c>
      <c r="B13" s="229" t="s">
        <v>5</v>
      </c>
      <c r="C13" s="228" t="s">
        <v>6</v>
      </c>
      <c r="D13" s="228" t="s">
        <v>7</v>
      </c>
      <c r="E13" s="228" t="s">
        <v>8</v>
      </c>
      <c r="M13" s="230">
        <v>0.80469999999999997</v>
      </c>
    </row>
    <row r="14" spans="1:42" ht="40.5" customHeight="1" thickBot="1">
      <c r="A14" s="231">
        <v>0</v>
      </c>
      <c r="B14" s="232"/>
      <c r="C14" s="233"/>
      <c r="D14" s="234"/>
      <c r="E14" s="234"/>
      <c r="F14" s="235" t="s">
        <v>76</v>
      </c>
      <c r="G14" s="236" t="s">
        <v>77</v>
      </c>
      <c r="H14" s="237" t="s">
        <v>78</v>
      </c>
      <c r="I14" s="237" t="s">
        <v>79</v>
      </c>
      <c r="J14" s="238" t="s">
        <v>80</v>
      </c>
      <c r="K14" s="239" t="s">
        <v>9</v>
      </c>
      <c r="L14" s="240">
        <v>7.4999999999999997E-2</v>
      </c>
      <c r="M14" s="241">
        <f>1-M13</f>
        <v>0.19530000000000003</v>
      </c>
      <c r="N14" s="242" t="s">
        <v>74</v>
      </c>
      <c r="Q14" s="298" t="s">
        <v>81</v>
      </c>
      <c r="R14" s="299" t="s">
        <v>82</v>
      </c>
      <c r="S14" s="300" t="s">
        <v>83</v>
      </c>
      <c r="T14" s="301" t="s">
        <v>84</v>
      </c>
      <c r="U14" s="302" t="s">
        <v>85</v>
      </c>
      <c r="V14" s="303" t="s">
        <v>86</v>
      </c>
      <c r="W14" s="304" t="s">
        <v>87</v>
      </c>
      <c r="X14" s="304" t="s">
        <v>88</v>
      </c>
      <c r="Y14" s="382" t="s">
        <v>89</v>
      </c>
      <c r="Z14" s="251" t="s">
        <v>90</v>
      </c>
      <c r="AA14" s="252" t="s">
        <v>75</v>
      </c>
      <c r="AC14" s="253" t="s">
        <v>91</v>
      </c>
      <c r="AD14" s="254" t="s">
        <v>92</v>
      </c>
      <c r="AE14" s="254" t="s">
        <v>32</v>
      </c>
      <c r="AG14" s="255" t="s">
        <v>93</v>
      </c>
      <c r="AH14" s="256" t="s">
        <v>94</v>
      </c>
      <c r="AK14" s="257" t="s">
        <v>95</v>
      </c>
      <c r="AL14" s="258" t="s">
        <v>96</v>
      </c>
      <c r="AO14" s="257" t="s">
        <v>95</v>
      </c>
      <c r="AP14" s="258" t="s">
        <v>96</v>
      </c>
    </row>
    <row r="15" spans="1:42" ht="30" customHeight="1" thickBot="1">
      <c r="A15" s="234">
        <v>1</v>
      </c>
      <c r="B15" s="259">
        <v>1</v>
      </c>
      <c r="C15" s="260" t="s">
        <v>113</v>
      </c>
      <c r="D15" s="234"/>
      <c r="E15" s="234"/>
      <c r="F15" s="479" t="s">
        <v>156</v>
      </c>
      <c r="G15" s="480"/>
      <c r="H15" s="480"/>
      <c r="I15" s="480"/>
      <c r="J15" s="480"/>
      <c r="K15" s="480"/>
      <c r="L15" s="480"/>
      <c r="M15" s="480"/>
      <c r="N15" s="481"/>
      <c r="Q15" s="479" t="str">
        <f>IF(F15&lt;&gt;"",F15,"")</f>
        <v>Estande</v>
      </c>
      <c r="R15" s="480"/>
      <c r="S15" s="480"/>
      <c r="T15" s="480"/>
      <c r="U15" s="480"/>
      <c r="V15" s="480"/>
      <c r="W15" s="480"/>
      <c r="X15" s="480"/>
      <c r="Y15" s="481"/>
      <c r="AO15" s="482"/>
      <c r="AP15" s="483"/>
    </row>
    <row r="16" spans="1:42" ht="30" customHeight="1">
      <c r="A16" s="234">
        <v>2</v>
      </c>
      <c r="B16" s="259" t="s">
        <v>115</v>
      </c>
      <c r="C16" s="260" t="s">
        <v>114</v>
      </c>
      <c r="D16" s="234"/>
      <c r="E16" s="234"/>
      <c r="F16" s="485" t="s">
        <v>157</v>
      </c>
      <c r="G16" s="486"/>
      <c r="H16" s="486"/>
      <c r="I16" s="486"/>
      <c r="J16" s="486"/>
      <c r="K16" s="486"/>
      <c r="L16" s="261" t="s">
        <v>116</v>
      </c>
      <c r="M16" s="261" t="s">
        <v>117</v>
      </c>
      <c r="N16" s="262" t="s">
        <v>74</v>
      </c>
      <c r="Q16" s="485" t="str">
        <f>IF(F16&lt;&gt;"",F16,"")</f>
        <v xml:space="preserve">Estande 100m² </v>
      </c>
      <c r="R16" s="486"/>
      <c r="S16" s="486"/>
      <c r="T16" s="486"/>
      <c r="U16" s="486"/>
      <c r="V16" s="486"/>
      <c r="W16" s="486"/>
      <c r="X16" s="486"/>
      <c r="Y16" s="519"/>
      <c r="Z16" s="263" t="s">
        <v>118</v>
      </c>
      <c r="AA16" s="264" t="s">
        <v>75</v>
      </c>
      <c r="AO16" s="485"/>
      <c r="AP16" s="486"/>
    </row>
    <row r="17" spans="1:43" ht="80.099999999999994" customHeight="1">
      <c r="A17" s="234">
        <v>3</v>
      </c>
      <c r="B17" s="259" t="s">
        <v>120</v>
      </c>
      <c r="C17" s="260" t="s">
        <v>119</v>
      </c>
      <c r="D17" s="234" t="s">
        <v>121</v>
      </c>
      <c r="E17" s="234" t="s">
        <v>153</v>
      </c>
      <c r="F17" s="383" t="s">
        <v>166</v>
      </c>
      <c r="G17" s="384" t="s">
        <v>250</v>
      </c>
      <c r="H17" s="385">
        <v>1</v>
      </c>
      <c r="I17" s="386">
        <v>1</v>
      </c>
      <c r="J17" s="387">
        <v>148990.6</v>
      </c>
      <c r="K17" s="351">
        <f>IF(F17&lt;&gt;"",H17*I17*J17,"")</f>
        <v>148990.6</v>
      </c>
      <c r="L17" s="351">
        <f>IF(K17&lt;&gt;"",IF(D17="INTERNO",0,K17*$L$14),"")</f>
        <v>11174.295</v>
      </c>
      <c r="M17" s="351">
        <f>IF(K17&lt;&gt;"",IF(E17="FAT.OGGI",SUM(K17:L17)*(1/(1-$M$14)-1),L17*(1/(1-$M$14)-1)),0)</f>
        <v>2711.9918149620985</v>
      </c>
      <c r="N17" s="352">
        <f>SUM(K17:M17)</f>
        <v>162876.88681496211</v>
      </c>
      <c r="Q17" s="388">
        <f t="shared" ref="Q17:Q22" si="0">IF(H17&lt;&gt;"",H17,"")</f>
        <v>1</v>
      </c>
      <c r="R17" s="389">
        <v>1</v>
      </c>
      <c r="S17" s="390">
        <v>135259</v>
      </c>
      <c r="T17" s="391">
        <v>147964.04999999999</v>
      </c>
      <c r="U17" s="392">
        <f>IF(Q17&lt;&gt;"",K17-T17,"")</f>
        <v>1026.5500000000175</v>
      </c>
      <c r="V17" s="393">
        <f>IF(Q17&lt;&gt;"",0%,"")</f>
        <v>0</v>
      </c>
      <c r="W17" s="394">
        <f>IF(Q17&lt;&gt;"",V17*U17,"")</f>
        <v>0</v>
      </c>
      <c r="X17" s="394">
        <f>IF(Q17&lt;&gt;"",W17+T17,"")</f>
        <v>147964.04999999999</v>
      </c>
      <c r="Y17" s="360">
        <f>IF(Q17&lt;&gt;"",X17+M17,"")</f>
        <v>150676.04181496208</v>
      </c>
      <c r="Z17" s="278">
        <f t="shared" ref="Z17:Z22" si="1">IF(Q17&lt;&gt;"", IFERROR(U17/K17, 0), 0)</f>
        <v>6.890031988595371E-3</v>
      </c>
      <c r="AA17" s="279" t="str">
        <f>IFERROR(T17/#REF!, "")</f>
        <v/>
      </c>
      <c r="AC17" s="395" t="s">
        <v>128</v>
      </c>
      <c r="AO17" s="380">
        <f>X17-AP17</f>
        <v>0</v>
      </c>
      <c r="AP17" s="381">
        <f>15582+20000+20000+25954.05+28360+38068</f>
        <v>147964.04999999999</v>
      </c>
      <c r="AQ17" s="407" t="s">
        <v>343</v>
      </c>
    </row>
    <row r="18" spans="1:43" s="316" customFormat="1" ht="80.099999999999994" customHeight="1">
      <c r="A18" s="234">
        <v>4</v>
      </c>
      <c r="B18" s="259" t="s">
        <v>97</v>
      </c>
      <c r="C18" s="260" t="s">
        <v>119</v>
      </c>
      <c r="D18" s="234" t="s">
        <v>121</v>
      </c>
      <c r="E18" s="234" t="s">
        <v>153</v>
      </c>
      <c r="F18" s="280" t="s">
        <v>338</v>
      </c>
      <c r="G18" s="266" t="s">
        <v>267</v>
      </c>
      <c r="H18" s="281">
        <v>1</v>
      </c>
      <c r="I18" s="281">
        <v>1</v>
      </c>
      <c r="J18" s="269">
        <v>0</v>
      </c>
      <c r="K18" s="269">
        <f>IF(F18&lt;&gt;"",H18*I18*J18,"")</f>
        <v>0</v>
      </c>
      <c r="L18" s="269">
        <f>IF(K18&lt;&gt;"",IF(D18="INTERNO",0,K18*$L$14),"")</f>
        <v>0</v>
      </c>
      <c r="M18" s="269">
        <f>IF(K18&lt;&gt;"",IF(E18="FAT.OGGI",SUM(K18:L18)*(1/(1-$M$14)-1),L18*(1/(1-$M$14)-1)),"")</f>
        <v>0</v>
      </c>
      <c r="N18" s="270">
        <f>SUM(K18:M18)</f>
        <v>0</v>
      </c>
      <c r="Q18" s="271">
        <f t="shared" si="0"/>
        <v>1</v>
      </c>
      <c r="R18" s="272">
        <f>IF(I18&lt;&gt;"",I18,"")</f>
        <v>1</v>
      </c>
      <c r="S18" s="273">
        <v>12705.05</v>
      </c>
      <c r="T18" s="396">
        <v>0</v>
      </c>
      <c r="U18" s="274">
        <f>IF(Q18&lt;&gt;"",K18-T18,"")</f>
        <v>0</v>
      </c>
      <c r="V18" s="275">
        <f>IF(Q18&lt;&gt;"",0%,"")</f>
        <v>0</v>
      </c>
      <c r="W18" s="276">
        <f>IF(Q18&lt;&gt;"",V18*U18,"")</f>
        <v>0</v>
      </c>
      <c r="X18" s="276">
        <f>IF(Q18&lt;&gt;"",W18+T18,"")</f>
        <v>0</v>
      </c>
      <c r="Y18" s="277">
        <f>IF(Q18&lt;&gt;"",X18+M18,"")</f>
        <v>0</v>
      </c>
      <c r="Z18" s="278">
        <f t="shared" si="1"/>
        <v>0</v>
      </c>
      <c r="AA18" s="318" t="e">
        <f>T18/$T$35</f>
        <v>#DIV/0!</v>
      </c>
      <c r="AO18" s="380">
        <f t="shared" ref="AO18:AO22" si="2">X18-AP18</f>
        <v>0</v>
      </c>
      <c r="AP18" s="381"/>
      <c r="AQ18" s="411"/>
    </row>
    <row r="19" spans="1:43" ht="80.099999999999994" customHeight="1">
      <c r="A19" s="234">
        <v>5</v>
      </c>
      <c r="B19" s="259" t="s">
        <v>127</v>
      </c>
      <c r="C19" s="260" t="s">
        <v>119</v>
      </c>
      <c r="D19" s="234" t="s">
        <v>121</v>
      </c>
      <c r="E19" s="234" t="s">
        <v>153</v>
      </c>
      <c r="F19" s="280" t="s">
        <v>339</v>
      </c>
      <c r="G19" s="331"/>
      <c r="H19" s="281">
        <v>1</v>
      </c>
      <c r="I19" s="281">
        <v>0</v>
      </c>
      <c r="J19" s="269">
        <v>0</v>
      </c>
      <c r="K19" s="269">
        <f>IF(F19&lt;&gt;"",H19*I19*J19,"")</f>
        <v>0</v>
      </c>
      <c r="L19" s="351">
        <f>IF(K19&lt;&gt;"",IF(D19="INTERNO",0,K19*$L$14),"")</f>
        <v>0</v>
      </c>
      <c r="M19" s="351">
        <f>IF(K19&lt;&gt;"",IF(E19="FAT.OGGI",SUM(K19:L19)*(1/(1-$M$14)-1),L19*(1/(1-$M$14)-1)),0)</f>
        <v>0</v>
      </c>
      <c r="N19" s="352">
        <f>SUM(K19:M19)</f>
        <v>0</v>
      </c>
      <c r="Q19" s="353">
        <f t="shared" si="0"/>
        <v>1</v>
      </c>
      <c r="R19" s="354">
        <f>IF(I19&lt;&gt;"",I19,"")</f>
        <v>0</v>
      </c>
      <c r="S19" s="397"/>
      <c r="T19" s="397">
        <f>IF(Q19&lt;&gt;"",Q19*R19*S19,"")</f>
        <v>0</v>
      </c>
      <c r="U19" s="357">
        <f>IF(Q19&lt;&gt;"",K19-T19,"")</f>
        <v>0</v>
      </c>
      <c r="V19" s="358">
        <f>IF(Q19&lt;&gt;"",0%,"")</f>
        <v>0</v>
      </c>
      <c r="W19" s="359">
        <f>IF(Q19&lt;&gt;"",V19*U19,"")</f>
        <v>0</v>
      </c>
      <c r="X19" s="359">
        <f>IF(Q19&lt;&gt;"",W19+T19,"")</f>
        <v>0</v>
      </c>
      <c r="Y19" s="360">
        <f>IF(Q19&lt;&gt;"",X19+M19,"")</f>
        <v>0</v>
      </c>
      <c r="Z19" s="278">
        <f t="shared" si="1"/>
        <v>0</v>
      </c>
      <c r="AA19" s="398" t="str">
        <f>IFERROR(T19/#REF!, "")</f>
        <v/>
      </c>
      <c r="AO19" s="380">
        <f t="shared" si="2"/>
        <v>0</v>
      </c>
      <c r="AP19" s="381"/>
    </row>
    <row r="20" spans="1:43" ht="80.099999999999994" customHeight="1">
      <c r="A20" s="234">
        <v>6</v>
      </c>
      <c r="B20" s="259" t="s">
        <v>141</v>
      </c>
      <c r="C20" s="260" t="s">
        <v>119</v>
      </c>
      <c r="D20" s="234" t="s">
        <v>121</v>
      </c>
      <c r="E20" s="234" t="s">
        <v>153</v>
      </c>
      <c r="F20" s="399" t="s">
        <v>340</v>
      </c>
      <c r="G20" s="400"/>
      <c r="H20" s="401">
        <v>1</v>
      </c>
      <c r="I20" s="401">
        <v>0</v>
      </c>
      <c r="J20" s="351">
        <v>0</v>
      </c>
      <c r="K20" s="351">
        <f>IF(F20&lt;&gt;"",H20*I20*J20,"")</f>
        <v>0</v>
      </c>
      <c r="L20" s="351">
        <f>IF(K20&lt;&gt;"",IF(D20="INTERNO",0,K20*$L$14),"")</f>
        <v>0</v>
      </c>
      <c r="M20" s="351">
        <f>IF(K20&lt;&gt;"",IF(E20="FAT.OGGI",SUM(K20:L20)*(1/(1-$M$14)-1),L20*(1/(1-$M$14)-1)),0)</f>
        <v>0</v>
      </c>
      <c r="N20" s="352">
        <f>SUM(K20:M20)</f>
        <v>0</v>
      </c>
      <c r="Q20" s="353">
        <f t="shared" si="0"/>
        <v>1</v>
      </c>
      <c r="R20" s="354">
        <f>IF(I20&lt;&gt;"",I20,"")</f>
        <v>0</v>
      </c>
      <c r="S20" s="397"/>
      <c r="T20" s="397">
        <f>IF(Q20&lt;&gt;"",Q20*R20*S20,"")</f>
        <v>0</v>
      </c>
      <c r="U20" s="357">
        <f>IF(Q20&lt;&gt;"",K20-T20,"")</f>
        <v>0</v>
      </c>
      <c r="V20" s="358">
        <f>IF(Q20&lt;&gt;"",0%,"")</f>
        <v>0</v>
      </c>
      <c r="W20" s="359">
        <f>IF(Q20&lt;&gt;"",V20*U20,"")</f>
        <v>0</v>
      </c>
      <c r="X20" s="359">
        <f>IF(Q20&lt;&gt;"",W20+T20,"")</f>
        <v>0</v>
      </c>
      <c r="Y20" s="360">
        <f>IF(Q20&lt;&gt;"",X20+M20,"")</f>
        <v>0</v>
      </c>
      <c r="Z20" s="278">
        <f t="shared" si="1"/>
        <v>0</v>
      </c>
      <c r="AA20" s="361" t="str">
        <f>IFERROR(T20/#REF!, "")</f>
        <v/>
      </c>
      <c r="AO20" s="380">
        <f t="shared" si="2"/>
        <v>0</v>
      </c>
      <c r="AP20" s="381"/>
    </row>
    <row r="21" spans="1:43" ht="80.099999999999994" customHeight="1">
      <c r="A21" s="234">
        <v>7</v>
      </c>
      <c r="B21" s="259" t="s">
        <v>142</v>
      </c>
      <c r="C21" s="260" t="s">
        <v>119</v>
      </c>
      <c r="D21" s="234" t="s">
        <v>121</v>
      </c>
      <c r="E21" s="234" t="s">
        <v>153</v>
      </c>
      <c r="F21" s="280" t="s">
        <v>264</v>
      </c>
      <c r="G21" s="331" t="s">
        <v>263</v>
      </c>
      <c r="H21" s="281">
        <v>1</v>
      </c>
      <c r="I21" s="281">
        <v>1</v>
      </c>
      <c r="J21" s="269">
        <v>6000</v>
      </c>
      <c r="K21" s="269">
        <f t="shared" ref="K21" si="3">IF(F21&lt;&gt;"",H21*I21*J21,"")</f>
        <v>6000</v>
      </c>
      <c r="L21" s="351">
        <f>IF(K21&lt;&gt;"",IF(D21="INTERNO",0,K21*$L$14),"")</f>
        <v>450</v>
      </c>
      <c r="M21" s="351">
        <f t="shared" ref="M21" si="4">IF(K21&lt;&gt;"",IF(E21="FAT.OGGI",SUM(K21:L21)*(1/(1-$M$14)-1),L21*(1/(1-$M$14)-1)),0)</f>
        <v>109.21461414191627</v>
      </c>
      <c r="N21" s="352">
        <f t="shared" ref="N21" si="5">SUM(K21:M21)</f>
        <v>6559.2146141419162</v>
      </c>
      <c r="Q21" s="353">
        <f t="shared" si="0"/>
        <v>1</v>
      </c>
      <c r="R21" s="354">
        <v>0</v>
      </c>
      <c r="S21" s="397">
        <v>12000</v>
      </c>
      <c r="T21" s="397">
        <f t="shared" ref="T21" si="6">IF(Q21&lt;&gt;"",Q21*R21*S21,"")</f>
        <v>0</v>
      </c>
      <c r="U21" s="357">
        <f t="shared" ref="U21" si="7">IF(Q21&lt;&gt;"",K21-T21,"")</f>
        <v>6000</v>
      </c>
      <c r="V21" s="358">
        <f t="shared" ref="V21" si="8">IF(Q21&lt;&gt;"",0%,"")</f>
        <v>0</v>
      </c>
      <c r="W21" s="359">
        <f t="shared" ref="W21" si="9">IF(Q21&lt;&gt;"",V21*U21,"")</f>
        <v>0</v>
      </c>
      <c r="X21" s="359">
        <f t="shared" ref="X21" si="10">IF(Q21&lt;&gt;"",W21+T21,"")</f>
        <v>0</v>
      </c>
      <c r="Y21" s="360">
        <f t="shared" ref="Y21" si="11">IF(Q21&lt;&gt;"",X21+M21,"")</f>
        <v>109.21461414191627</v>
      </c>
      <c r="Z21" s="278">
        <f t="shared" si="1"/>
        <v>1</v>
      </c>
      <c r="AA21" s="361" t="str">
        <f>IFERROR(T21/#REF!, "")</f>
        <v/>
      </c>
      <c r="AO21" s="380">
        <f t="shared" si="2"/>
        <v>0</v>
      </c>
      <c r="AP21" s="381"/>
    </row>
    <row r="22" spans="1:43" ht="80.099999999999994" customHeight="1" thickBot="1">
      <c r="A22" s="234">
        <v>8</v>
      </c>
      <c r="B22" s="259" t="s">
        <v>151</v>
      </c>
      <c r="C22" s="260" t="s">
        <v>119</v>
      </c>
      <c r="D22" s="234" t="s">
        <v>121</v>
      </c>
      <c r="E22" s="234" t="s">
        <v>153</v>
      </c>
      <c r="F22" s="280" t="s">
        <v>265</v>
      </c>
      <c r="G22" s="331" t="s">
        <v>266</v>
      </c>
      <c r="H22" s="281">
        <v>1</v>
      </c>
      <c r="I22" s="281">
        <v>1</v>
      </c>
      <c r="J22" s="269">
        <v>9000</v>
      </c>
      <c r="K22" s="269">
        <f t="shared" ref="K22" si="12">IF(F22&lt;&gt;"",H22*I22*J22,"")</f>
        <v>9000</v>
      </c>
      <c r="L22" s="351">
        <f t="shared" ref="L22" si="13">IF(K22&lt;&gt;"",IF(D22="INTERNO",0,K22*$L$14),"")</f>
        <v>675</v>
      </c>
      <c r="M22" s="351">
        <f t="shared" ref="M22" si="14">IF(K22&lt;&gt;"",IF(E22="FAT.OGGI",SUM(K22:L22)*(1/(1-$M$14)-1),L22*(1/(1-$M$14)-1)),0)</f>
        <v>163.82192121287443</v>
      </c>
      <c r="N22" s="352">
        <f t="shared" ref="N22" si="15">SUM(K22:M22)</f>
        <v>9838.8219212128752</v>
      </c>
      <c r="Q22" s="353">
        <f t="shared" si="0"/>
        <v>1</v>
      </c>
      <c r="R22" s="354">
        <v>0</v>
      </c>
      <c r="S22" s="397"/>
      <c r="T22" s="397">
        <f t="shared" ref="T22" si="16">IF(Q22&lt;&gt;"",Q22*R22*S22,"")</f>
        <v>0</v>
      </c>
      <c r="U22" s="357">
        <f t="shared" ref="U22" si="17">IF(Q22&lt;&gt;"",K22-T22,"")</f>
        <v>9000</v>
      </c>
      <c r="V22" s="358">
        <f t="shared" ref="V22" si="18">IF(Q22&lt;&gt;"",0%,"")</f>
        <v>0</v>
      </c>
      <c r="W22" s="359">
        <f t="shared" ref="W22" si="19">IF(Q22&lt;&gt;"",V22*U22,"")</f>
        <v>0</v>
      </c>
      <c r="X22" s="359">
        <f t="shared" ref="X22" si="20">IF(Q22&lt;&gt;"",W22+T22,"")</f>
        <v>0</v>
      </c>
      <c r="Y22" s="360">
        <f t="shared" ref="Y22" si="21">IF(Q22&lt;&gt;"",X22+M22,"")</f>
        <v>163.82192121287443</v>
      </c>
      <c r="Z22" s="278">
        <f t="shared" si="1"/>
        <v>1</v>
      </c>
      <c r="AA22" s="361" t="str">
        <f>IFERROR(T22/#REF!, "")</f>
        <v/>
      </c>
      <c r="AO22" s="380">
        <f t="shared" si="2"/>
        <v>0</v>
      </c>
      <c r="AP22" s="381"/>
    </row>
    <row r="23" spans="1:43" ht="30" customHeight="1" thickBot="1">
      <c r="A23" s="287">
        <v>9</v>
      </c>
      <c r="B23" s="288"/>
      <c r="C23" s="289" t="s">
        <v>123</v>
      </c>
      <c r="D23" s="287"/>
      <c r="E23" s="287"/>
      <c r="F23" s="290" t="s">
        <v>260</v>
      </c>
      <c r="G23" s="291"/>
      <c r="H23" s="295"/>
      <c r="I23" s="295"/>
      <c r="J23" s="291"/>
      <c r="K23" s="292">
        <f>SUM(K17:K22)</f>
        <v>163990.6</v>
      </c>
      <c r="L23" s="292">
        <f>SUM(L17:L22)</f>
        <v>12299.295</v>
      </c>
      <c r="M23" s="292">
        <f>SUM(M17:M22)</f>
        <v>2985.0283503168889</v>
      </c>
      <c r="N23" s="402">
        <f>SUM(N17:N22)</f>
        <v>179274.92335031688</v>
      </c>
      <c r="Q23" s="294" t="s">
        <v>42</v>
      </c>
      <c r="R23" s="295"/>
      <c r="S23" s="291"/>
      <c r="T23" s="292">
        <f>SUM(T17:T22)</f>
        <v>147964.04999999999</v>
      </c>
      <c r="U23" s="292">
        <f>SUM(U17:U22)</f>
        <v>16026.550000000017</v>
      </c>
      <c r="V23" s="291"/>
      <c r="W23" s="291"/>
      <c r="X23" s="292">
        <f>SUM(X17:X22)</f>
        <v>147964.04999999999</v>
      </c>
      <c r="Y23" s="402">
        <f>SUM(Y17:Y22)</f>
        <v>150949.07835031685</v>
      </c>
      <c r="Z23" s="403">
        <f>IF(Q23&lt;&gt;"",(N23-Y23)/N23,"")</f>
        <v>0.15800227087337346</v>
      </c>
      <c r="AA23" s="404">
        <f>IF(Z23&lt;&gt;"",(N23-Y23),"")</f>
        <v>28325.84500000003</v>
      </c>
      <c r="AO23" s="380">
        <f>SUM(AO17:AO22)</f>
        <v>0</v>
      </c>
      <c r="AP23" s="381">
        <f>SUM(AP17:AP22)</f>
        <v>147964.04999999999</v>
      </c>
    </row>
    <row r="25" spans="1:43">
      <c r="T25" s="405"/>
    </row>
    <row r="26" spans="1:43">
      <c r="T26" s="405">
        <f>K23-T23</f>
        <v>16026.550000000017</v>
      </c>
    </row>
    <row r="27" spans="1:43">
      <c r="T27" s="405"/>
    </row>
    <row r="28" spans="1:43">
      <c r="S28" s="405"/>
    </row>
    <row r="36" ht="26.1" customHeight="1"/>
    <row r="37" ht="27.6" customHeight="1"/>
    <row r="42" ht="27" customHeight="1"/>
    <row r="43" ht="24.9" customHeight="1"/>
  </sheetData>
  <mergeCells count="13">
    <mergeCell ref="F1:G1"/>
    <mergeCell ref="F2:G2"/>
    <mergeCell ref="Q12:T12"/>
    <mergeCell ref="U12:X12"/>
    <mergeCell ref="AC12:AE12"/>
    <mergeCell ref="AO15:AP15"/>
    <mergeCell ref="AO16:AP16"/>
    <mergeCell ref="AK12:AL12"/>
    <mergeCell ref="F15:N15"/>
    <mergeCell ref="Q15:Y15"/>
    <mergeCell ref="F16:K16"/>
    <mergeCell ref="Q16:Y16"/>
    <mergeCell ref="AG12:AH12"/>
  </mergeCells>
  <phoneticPr fontId="31" type="noConversion"/>
  <dataValidations count="3">
    <dataValidation type="list" allowBlank="1" showInputMessage="1" showErrorMessage="1" sqref="E23" xr:uid="{90BF751F-75DB-4CC1-9971-F6797D296101}">
      <formula1>"FAT.OGGI,FAT.CLIENTE "</formula1>
    </dataValidation>
    <dataValidation type="list" allowBlank="1" showInputMessage="1" showErrorMessage="1" sqref="D17:D23" xr:uid="{EF7FEF71-45D2-4A49-9813-E3A3DE5F9E9D}">
      <formula1>"INTERNO,OPERACIONAL"</formula1>
    </dataValidation>
    <dataValidation type="list" allowBlank="1" showInputMessage="1" showErrorMessage="1" sqref="E17:E22" xr:uid="{8C03CD34-2B10-45E1-9D8B-4B65A0AA11B2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3058-BD20-4967-89E0-9836CA26BD71}">
  <sheetPr codeName="Planilha14">
    <pageSetUpPr autoPageBreaks="0"/>
  </sheetPr>
  <dimension ref="A1:AQ53"/>
  <sheetViews>
    <sheetView showGridLines="0" topLeftCell="K1" zoomScale="70" zoomScaleNormal="70" workbookViewId="0">
      <pane ySplit="1" topLeftCell="A29" activePane="bottomLeft" state="frozen"/>
      <selection activeCell="E1" sqref="A1:E1048576"/>
      <selection pane="bottomLeft" activeCell="T18" sqref="T18"/>
    </sheetView>
  </sheetViews>
  <sheetFormatPr defaultColWidth="8.88671875" defaultRowHeight="14.4"/>
  <cols>
    <col min="1" max="1" width="5.33203125" style="170" hidden="1" customWidth="1"/>
    <col min="2" max="2" width="5.33203125" style="170" customWidth="1"/>
    <col min="3" max="5" width="5.33203125" style="170" hidden="1" customWidth="1"/>
    <col min="6" max="6" width="52.5546875" customWidth="1"/>
    <col min="7" max="7" width="65.109375" customWidth="1"/>
    <col min="8" max="8" width="7.109375" style="38" hidden="1" customWidth="1"/>
    <col min="9" max="9" width="7.6640625" style="38" hidden="1" customWidth="1"/>
    <col min="10" max="10" width="17.6640625" hidden="1" customWidth="1"/>
    <col min="11" max="11" width="26.6640625" customWidth="1"/>
    <col min="12" max="12" width="24.6640625" customWidth="1"/>
    <col min="13" max="13" width="26.6640625" customWidth="1"/>
    <col min="14" max="14" width="26.6640625" bestFit="1" customWidth="1"/>
    <col min="15" max="15" width="3.33203125" hidden="1" customWidth="1"/>
    <col min="16" max="16" width="1.88671875" hidden="1" customWidth="1"/>
    <col min="17" max="17" width="11.109375" style="38" bestFit="1" customWidth="1"/>
    <col min="18" max="18" width="8.44140625" style="38" hidden="1" customWidth="1"/>
    <col min="19" max="19" width="18.44140625" hidden="1" customWidth="1"/>
    <col min="20" max="20" width="26.6640625" bestFit="1" customWidth="1"/>
    <col min="21" max="21" width="24.6640625" hidden="1" customWidth="1"/>
    <col min="22" max="22" width="9.6640625" hidden="1" customWidth="1"/>
    <col min="23" max="23" width="16.109375" hidden="1" customWidth="1"/>
    <col min="24" max="24" width="27.109375" bestFit="1" customWidth="1"/>
    <col min="25" max="25" width="26.6640625" hidden="1" customWidth="1"/>
    <col min="26" max="26" width="14.6640625" hidden="1" customWidth="1"/>
    <col min="27" max="27" width="24.6640625" hidden="1" customWidth="1"/>
    <col min="28" max="28" width="38.109375" hidden="1" customWidth="1"/>
    <col min="29" max="29" width="14.109375" hidden="1" customWidth="1"/>
    <col min="30" max="30" width="7.6640625" hidden="1" customWidth="1"/>
    <col min="31" max="31" width="6.88671875" hidden="1" customWidth="1"/>
    <col min="32" max="32" width="1.33203125" hidden="1" customWidth="1"/>
    <col min="33" max="33" width="14" hidden="1" customWidth="1"/>
    <col min="34" max="34" width="11.6640625" hidden="1" customWidth="1"/>
    <col min="35" max="35" width="6.33203125" hidden="1" customWidth="1"/>
    <col min="36" max="36" width="12.6640625" hidden="1" customWidth="1"/>
    <col min="37" max="37" width="13.109375" hidden="1" customWidth="1"/>
    <col min="38" max="38" width="13.5546875" hidden="1" customWidth="1"/>
    <col min="39" max="39" width="0" hidden="1" customWidth="1"/>
    <col min="40" max="40" width="21.33203125" hidden="1" customWidth="1"/>
    <col min="41" max="41" width="18.33203125" customWidth="1"/>
    <col min="42" max="42" width="18.33203125" bestFit="1" customWidth="1"/>
    <col min="43" max="43" width="11.33203125" style="408" customWidth="1"/>
  </cols>
  <sheetData>
    <row r="1" spans="1:42" ht="49.5" customHeight="1">
      <c r="B1" s="171"/>
      <c r="C1" s="172"/>
      <c r="D1" s="172"/>
      <c r="F1" s="524" t="s">
        <v>112</v>
      </c>
      <c r="G1" s="524"/>
    </row>
    <row r="2" spans="1:42" ht="24.75" customHeight="1">
      <c r="B2" s="173"/>
      <c r="D2" s="172"/>
      <c r="F2" s="525" t="s">
        <v>0</v>
      </c>
      <c r="G2" s="525"/>
    </row>
    <row r="3" spans="1:42" ht="18">
      <c r="B3" s="174"/>
      <c r="F3" s="28"/>
      <c r="G3" s="28"/>
    </row>
    <row r="4" spans="1:42" ht="18">
      <c r="F4" s="35" t="s">
        <v>136</v>
      </c>
      <c r="G4" s="47" t="s">
        <v>171</v>
      </c>
    </row>
    <row r="5" spans="1:42" ht="18">
      <c r="F5" s="36" t="s">
        <v>135</v>
      </c>
      <c r="G5" s="48" t="s">
        <v>163</v>
      </c>
    </row>
    <row r="6" spans="1:42" ht="18">
      <c r="D6" s="170" t="s">
        <v>99</v>
      </c>
      <c r="F6" s="36" t="s">
        <v>134</v>
      </c>
      <c r="G6" s="49" t="s">
        <v>256</v>
      </c>
    </row>
    <row r="7" spans="1:42" ht="21.75" customHeight="1">
      <c r="F7" s="36" t="s">
        <v>133</v>
      </c>
      <c r="G7" s="50" t="s">
        <v>257</v>
      </c>
      <c r="J7" t="s">
        <v>111</v>
      </c>
    </row>
    <row r="8" spans="1:42" ht="18">
      <c r="F8" s="36" t="s">
        <v>129</v>
      </c>
      <c r="G8" s="51" t="s">
        <v>258</v>
      </c>
    </row>
    <row r="9" spans="1:42" ht="18">
      <c r="F9" s="36" t="s">
        <v>130</v>
      </c>
      <c r="G9" s="50" t="s">
        <v>125</v>
      </c>
      <c r="J9" t="s">
        <v>99</v>
      </c>
    </row>
    <row r="10" spans="1:42" ht="27" customHeight="1">
      <c r="F10" s="36" t="s">
        <v>131</v>
      </c>
      <c r="G10" s="50" t="s">
        <v>165</v>
      </c>
    </row>
    <row r="11" spans="1:42" ht="18">
      <c r="F11" s="37" t="s">
        <v>132</v>
      </c>
      <c r="G11" s="52" t="s">
        <v>170</v>
      </c>
    </row>
    <row r="12" spans="1:42" ht="16.8" hidden="1" thickBot="1">
      <c r="B12" s="175"/>
      <c r="M12" s="24"/>
      <c r="Q12" s="526" t="s">
        <v>1</v>
      </c>
      <c r="R12" s="527"/>
      <c r="S12" s="527"/>
      <c r="T12" s="528"/>
      <c r="U12" s="529" t="s">
        <v>2</v>
      </c>
      <c r="V12" s="530"/>
      <c r="W12" s="530"/>
      <c r="X12" s="531"/>
      <c r="Y12" s="26" t="s">
        <v>48</v>
      </c>
      <c r="Z12" s="27">
        <f>(1/(1-M14))-1</f>
        <v>0.24269914253759173</v>
      </c>
      <c r="AC12" s="532" t="s">
        <v>3</v>
      </c>
      <c r="AD12" s="533"/>
      <c r="AE12" s="534"/>
      <c r="AG12" s="522" t="s">
        <v>50</v>
      </c>
      <c r="AH12" s="523"/>
      <c r="AJ12" s="29" t="s">
        <v>52</v>
      </c>
      <c r="AK12" s="520" t="s">
        <v>51</v>
      </c>
      <c r="AL12" s="521"/>
    </row>
    <row r="13" spans="1:42" ht="15" thickBot="1">
      <c r="A13" s="176" t="s">
        <v>4</v>
      </c>
      <c r="B13" s="177" t="s">
        <v>5</v>
      </c>
      <c r="C13" s="176" t="s">
        <v>6</v>
      </c>
      <c r="D13" s="176" t="s">
        <v>7</v>
      </c>
      <c r="E13" s="176" t="s">
        <v>8</v>
      </c>
      <c r="M13" s="25">
        <v>0.80469999999999997</v>
      </c>
    </row>
    <row r="14" spans="1:42" ht="30" customHeight="1" thickBot="1">
      <c r="A14" s="178">
        <v>0</v>
      </c>
      <c r="B14" s="179"/>
      <c r="C14" s="180"/>
      <c r="D14" s="181"/>
      <c r="E14" s="181"/>
      <c r="F14" s="73" t="s">
        <v>76</v>
      </c>
      <c r="G14" s="74" t="s">
        <v>77</v>
      </c>
      <c r="H14" s="75" t="s">
        <v>78</v>
      </c>
      <c r="I14" s="75" t="s">
        <v>79</v>
      </c>
      <c r="J14" s="76" t="s">
        <v>80</v>
      </c>
      <c r="K14" s="77" t="s">
        <v>9</v>
      </c>
      <c r="L14" s="78">
        <v>7.4999999999999997E-2</v>
      </c>
      <c r="M14" s="79">
        <f>1-M13</f>
        <v>0.19530000000000003</v>
      </c>
      <c r="N14" s="80" t="s">
        <v>74</v>
      </c>
      <c r="Q14" s="93" t="s">
        <v>81</v>
      </c>
      <c r="R14" s="94" t="s">
        <v>82</v>
      </c>
      <c r="S14" s="95" t="s">
        <v>83</v>
      </c>
      <c r="T14" s="96" t="s">
        <v>84</v>
      </c>
      <c r="U14" s="97" t="s">
        <v>85</v>
      </c>
      <c r="V14" s="98" t="s">
        <v>86</v>
      </c>
      <c r="W14" s="99" t="s">
        <v>87</v>
      </c>
      <c r="X14" s="99" t="s">
        <v>88</v>
      </c>
      <c r="Y14" s="143" t="s">
        <v>89</v>
      </c>
      <c r="Z14" s="39" t="s">
        <v>90</v>
      </c>
      <c r="AA14" s="40" t="s">
        <v>75</v>
      </c>
      <c r="AC14" s="41" t="s">
        <v>91</v>
      </c>
      <c r="AD14" s="42" t="s">
        <v>92</v>
      </c>
      <c r="AE14" s="42" t="s">
        <v>32</v>
      </c>
      <c r="AG14" s="43" t="s">
        <v>93</v>
      </c>
      <c r="AH14" s="44" t="s">
        <v>94</v>
      </c>
      <c r="AK14" s="45" t="s">
        <v>95</v>
      </c>
      <c r="AL14" s="46" t="s">
        <v>96</v>
      </c>
      <c r="AO14" s="257" t="s">
        <v>95</v>
      </c>
      <c r="AP14" s="258" t="s">
        <v>96</v>
      </c>
    </row>
    <row r="15" spans="1:42" ht="30" customHeight="1" thickBot="1">
      <c r="A15" s="181">
        <v>1</v>
      </c>
      <c r="B15" s="53">
        <v>1</v>
      </c>
      <c r="C15" s="182" t="s">
        <v>113</v>
      </c>
      <c r="D15" s="181"/>
      <c r="E15" s="181"/>
      <c r="F15" s="479" t="s">
        <v>156</v>
      </c>
      <c r="G15" s="480"/>
      <c r="H15" s="480"/>
      <c r="I15" s="480"/>
      <c r="J15" s="480"/>
      <c r="K15" s="480"/>
      <c r="L15" s="480"/>
      <c r="M15" s="480"/>
      <c r="N15" s="481"/>
      <c r="Q15" s="479" t="str">
        <f>IF(F15&lt;&gt;"",F15,"")</f>
        <v>Estande</v>
      </c>
      <c r="R15" s="480"/>
      <c r="S15" s="480"/>
      <c r="T15" s="480"/>
      <c r="U15" s="480"/>
      <c r="V15" s="480"/>
      <c r="W15" s="480"/>
      <c r="X15" s="480"/>
      <c r="Y15" s="481"/>
      <c r="AO15" s="482"/>
      <c r="AP15" s="483"/>
    </row>
    <row r="16" spans="1:42" ht="30" customHeight="1">
      <c r="A16" s="181">
        <v>2</v>
      </c>
      <c r="B16" s="53" t="s">
        <v>115</v>
      </c>
      <c r="C16" s="182" t="s">
        <v>114</v>
      </c>
      <c r="D16" s="181"/>
      <c r="E16" s="181"/>
      <c r="F16" s="485" t="s">
        <v>157</v>
      </c>
      <c r="G16" s="486"/>
      <c r="H16" s="486"/>
      <c r="I16" s="486"/>
      <c r="J16" s="486"/>
      <c r="K16" s="486"/>
      <c r="L16" s="82" t="s">
        <v>116</v>
      </c>
      <c r="M16" s="82" t="s">
        <v>117</v>
      </c>
      <c r="N16" s="83" t="s">
        <v>74</v>
      </c>
      <c r="Q16" s="485" t="str">
        <f>IF(F16&lt;&gt;"",F16,"")</f>
        <v xml:space="preserve">Estande 100m² </v>
      </c>
      <c r="R16" s="486"/>
      <c r="S16" s="486"/>
      <c r="T16" s="486"/>
      <c r="U16" s="486"/>
      <c r="V16" s="486"/>
      <c r="W16" s="486"/>
      <c r="X16" s="486"/>
      <c r="Y16" s="519"/>
      <c r="Z16" s="60" t="s">
        <v>118</v>
      </c>
      <c r="AA16" s="54" t="s">
        <v>75</v>
      </c>
      <c r="AO16" s="485"/>
      <c r="AP16" s="486"/>
    </row>
    <row r="17" spans="1:43" ht="60" customHeight="1">
      <c r="A17" s="181">
        <v>3</v>
      </c>
      <c r="B17" s="53" t="s">
        <v>120</v>
      </c>
      <c r="C17" s="182" t="s">
        <v>119</v>
      </c>
      <c r="D17" s="181" t="s">
        <v>121</v>
      </c>
      <c r="E17" s="181" t="s">
        <v>126</v>
      </c>
      <c r="F17" s="71" t="s">
        <v>295</v>
      </c>
      <c r="G17" s="117" t="s">
        <v>296</v>
      </c>
      <c r="H17" s="151">
        <v>1</v>
      </c>
      <c r="I17" s="149">
        <v>1</v>
      </c>
      <c r="J17" s="212">
        <v>3000</v>
      </c>
      <c r="K17" s="150">
        <f t="shared" ref="K17:K32" si="0">IF(F17&lt;&gt;"",H17*I17*J17,"")</f>
        <v>3000</v>
      </c>
      <c r="L17" s="55">
        <f>IF(K17&lt;&gt;"",IF(D17="INTERNO",0,K17*Operação!$L$14),"")</f>
        <v>225</v>
      </c>
      <c r="M17" s="55">
        <f>IF(K17&lt;&gt;"",IF(E17="FAT.OGGI",SUM(K17:L17)*(1/(1-$M$14)-1),L17*(1/(1-$M$14)-1)),0)</f>
        <v>782.70473468373336</v>
      </c>
      <c r="N17" s="69">
        <f t="shared" ref="N17:N32" si="1">SUM(K17:M17)</f>
        <v>4007.7047346837335</v>
      </c>
      <c r="Q17" s="107">
        <f>IF(H17&lt;&gt;"",H17,"")</f>
        <v>1</v>
      </c>
      <c r="R17" s="108">
        <f>IF(I17&lt;&gt;"",I17,"")</f>
        <v>1</v>
      </c>
      <c r="S17" s="70">
        <v>3000</v>
      </c>
      <c r="T17" s="211">
        <v>3309</v>
      </c>
      <c r="U17" s="67">
        <f t="shared" ref="U17:U32" si="2">IF(Q17&lt;&gt;"",K17-T17,"")</f>
        <v>-309</v>
      </c>
      <c r="V17" s="68">
        <f t="shared" ref="V17:V32" si="3">IF(Q17&lt;&gt;"",0%,"")</f>
        <v>0</v>
      </c>
      <c r="W17" s="56">
        <f t="shared" ref="W17:W32" si="4">IF(Q17&lt;&gt;"",V17*U17,"")</f>
        <v>0</v>
      </c>
      <c r="X17" s="56">
        <f t="shared" ref="X17:X32" si="5">IF(Q17&lt;&gt;"",W17+T17,"")</f>
        <v>3309</v>
      </c>
      <c r="Y17" s="72">
        <f t="shared" ref="Y17:Y32" si="6">IF(Q17&lt;&gt;"",X17+M17,"")</f>
        <v>4091.7047346837335</v>
      </c>
      <c r="Z17" s="61">
        <f>IF(Q17&lt;&gt;"",U17/K17,"")</f>
        <v>-0.10299999999999999</v>
      </c>
      <c r="AA17" s="57" t="e">
        <f>T17/#REF!</f>
        <v>#REF!</v>
      </c>
      <c r="AO17" s="380">
        <f>X17-AP17</f>
        <v>0</v>
      </c>
      <c r="AP17" s="381">
        <v>3309</v>
      </c>
      <c r="AQ17" s="408" t="s">
        <v>363</v>
      </c>
    </row>
    <row r="18" spans="1:43" ht="60" customHeight="1">
      <c r="A18" s="181">
        <v>4</v>
      </c>
      <c r="B18" s="53" t="s">
        <v>97</v>
      </c>
      <c r="C18" s="182" t="s">
        <v>119</v>
      </c>
      <c r="D18" s="181" t="s">
        <v>121</v>
      </c>
      <c r="E18" s="181" t="s">
        <v>126</v>
      </c>
      <c r="F18" s="71" t="s">
        <v>181</v>
      </c>
      <c r="G18" s="117" t="s">
        <v>286</v>
      </c>
      <c r="H18" s="151">
        <v>2</v>
      </c>
      <c r="I18" s="149">
        <v>1</v>
      </c>
      <c r="J18" s="150">
        <v>250</v>
      </c>
      <c r="K18" s="150">
        <f t="shared" si="0"/>
        <v>500</v>
      </c>
      <c r="L18" s="55">
        <f>IF(K18&lt;&gt;"",IF(D18="INTERNO",0,K18*Taxas!$L$14),"")</f>
        <v>37.5</v>
      </c>
      <c r="M18" s="55">
        <f>IF(K18&lt;&gt;"",IF(E18="FAT.OGGI",SUM(K18:L18)*(1/(1-Taxas!$M$14)-1),L18*(1/(1-Taxas!$M$14)-1)),"")</f>
        <v>130.45078911395555</v>
      </c>
      <c r="N18" s="69">
        <f t="shared" si="1"/>
        <v>667.95078911395558</v>
      </c>
      <c r="Q18" s="107">
        <v>1</v>
      </c>
      <c r="R18" s="108">
        <f>IF(I18&lt;&gt;"",I18,"")</f>
        <v>1</v>
      </c>
      <c r="S18" s="190">
        <v>500</v>
      </c>
      <c r="T18" s="187">
        <f t="shared" ref="T18:T32" si="7">IF(Q18&lt;&gt;"",Q18*R18*S18,"")</f>
        <v>500</v>
      </c>
      <c r="U18" s="67">
        <f t="shared" si="2"/>
        <v>0</v>
      </c>
      <c r="V18" s="68">
        <f t="shared" si="3"/>
        <v>0</v>
      </c>
      <c r="W18" s="56">
        <f t="shared" si="4"/>
        <v>0</v>
      </c>
      <c r="X18" s="56">
        <f t="shared" si="5"/>
        <v>500</v>
      </c>
      <c r="Y18" s="72">
        <f t="shared" si="6"/>
        <v>630.45078911395558</v>
      </c>
      <c r="Z18" s="61">
        <f>IF(Q18&lt;&gt;"",U18/K18,"")</f>
        <v>0</v>
      </c>
      <c r="AA18" s="57" t="e">
        <f>T18/#REF!</f>
        <v>#REF!</v>
      </c>
      <c r="AO18" s="380">
        <f t="shared" ref="AO18:AO32" si="8">X18-AP18</f>
        <v>0</v>
      </c>
      <c r="AP18" s="381">
        <f>250+250</f>
        <v>500</v>
      </c>
      <c r="AQ18" s="408" t="s">
        <v>346</v>
      </c>
    </row>
    <row r="19" spans="1:43" s="105" customFormat="1" ht="60" customHeight="1" thickBot="1">
      <c r="A19" s="181">
        <v>5</v>
      </c>
      <c r="B19" s="53" t="s">
        <v>127</v>
      </c>
      <c r="C19" s="182" t="s">
        <v>119</v>
      </c>
      <c r="D19" s="181" t="s">
        <v>121</v>
      </c>
      <c r="E19" s="181" t="s">
        <v>126</v>
      </c>
      <c r="F19" s="71" t="s">
        <v>261</v>
      </c>
      <c r="G19" s="116" t="s">
        <v>262</v>
      </c>
      <c r="H19" s="84">
        <v>1</v>
      </c>
      <c r="I19" s="84">
        <v>1</v>
      </c>
      <c r="J19" s="55">
        <v>1200</v>
      </c>
      <c r="K19" s="55">
        <f t="shared" si="0"/>
        <v>1200</v>
      </c>
      <c r="L19" s="55">
        <f>IF(K19&lt;&gt;"",IF(D19="INTERNO",0,K19*Operação!$L$14),"")</f>
        <v>90</v>
      </c>
      <c r="M19" s="55">
        <f>IF(K19&lt;&gt;"",IF(E19="FAT.OGGI",SUM(K19:L19)*(1/(1-Operação!$M$14)-1),L19*(1/(1-Operação!$M$14)-1)),"")</f>
        <v>313.08189387349336</v>
      </c>
      <c r="N19" s="69">
        <f t="shared" si="1"/>
        <v>1603.0818938734933</v>
      </c>
      <c r="Q19" s="107">
        <f>IF(H19&lt;&gt;"",H19,"")</f>
        <v>1</v>
      </c>
      <c r="R19" s="108">
        <v>1</v>
      </c>
      <c r="S19" s="146"/>
      <c r="T19" s="70">
        <f t="shared" si="7"/>
        <v>0</v>
      </c>
      <c r="U19" s="67">
        <f t="shared" si="2"/>
        <v>1200</v>
      </c>
      <c r="V19" s="68">
        <f t="shared" si="3"/>
        <v>0</v>
      </c>
      <c r="W19" s="56">
        <f t="shared" si="4"/>
        <v>0</v>
      </c>
      <c r="X19" s="56">
        <f t="shared" si="5"/>
        <v>0</v>
      </c>
      <c r="Y19" s="72">
        <f t="shared" si="6"/>
        <v>313.08189387349336</v>
      </c>
      <c r="Z19" s="141">
        <f>IF(Q19&lt;&gt;"",U19/K19,"")</f>
        <v>1</v>
      </c>
      <c r="AA19" s="118" t="e">
        <f>T19/Operação!$T$37</f>
        <v>#DIV/0!</v>
      </c>
      <c r="AO19" s="380">
        <f t="shared" si="8"/>
        <v>0</v>
      </c>
      <c r="AP19" s="381"/>
      <c r="AQ19" s="408"/>
    </row>
    <row r="20" spans="1:43" s="105" customFormat="1" ht="60" customHeight="1" thickBot="1">
      <c r="A20" s="181">
        <v>6</v>
      </c>
      <c r="B20" s="53" t="s">
        <v>141</v>
      </c>
      <c r="C20" s="182" t="s">
        <v>119</v>
      </c>
      <c r="D20" s="181" t="s">
        <v>121</v>
      </c>
      <c r="E20" s="181" t="s">
        <v>126</v>
      </c>
      <c r="F20" s="71" t="s">
        <v>283</v>
      </c>
      <c r="G20" s="116" t="s">
        <v>327</v>
      </c>
      <c r="H20" s="84">
        <v>1</v>
      </c>
      <c r="I20" s="84">
        <v>1</v>
      </c>
      <c r="J20" s="150">
        <v>900</v>
      </c>
      <c r="K20" s="55">
        <f t="shared" si="0"/>
        <v>900</v>
      </c>
      <c r="L20" s="55">
        <f>IF(K20&lt;&gt;"",IF(D20="INTERNO",0,K20*Operação!$L$14),"")</f>
        <v>67.5</v>
      </c>
      <c r="M20" s="55">
        <f>IF(K20&lt;&gt;"",IF(E20="FAT.OGGI",SUM(K20:L20)*(1/(1-Operação!$M$14)-1),L20*(1/(1-Operação!$M$14)-1)),"")</f>
        <v>234.81142040512</v>
      </c>
      <c r="N20" s="69">
        <f t="shared" si="1"/>
        <v>1202.3114204051201</v>
      </c>
      <c r="Q20" s="107">
        <f>IF(H20&lt;&gt;"",H20,"")</f>
        <v>1</v>
      </c>
      <c r="R20" s="108">
        <v>1</v>
      </c>
      <c r="S20" s="188">
        <v>1500</v>
      </c>
      <c r="T20" s="187">
        <v>1900</v>
      </c>
      <c r="U20" s="67">
        <f t="shared" si="2"/>
        <v>-1000</v>
      </c>
      <c r="V20" s="68">
        <f t="shared" si="3"/>
        <v>0</v>
      </c>
      <c r="W20" s="56">
        <f t="shared" si="4"/>
        <v>0</v>
      </c>
      <c r="X20" s="56">
        <f t="shared" si="5"/>
        <v>1900</v>
      </c>
      <c r="Y20" s="72">
        <f t="shared" si="6"/>
        <v>2134.8114204051199</v>
      </c>
      <c r="Z20" s="141">
        <f>IF(Q20&lt;&gt;"",U20/K20,"")</f>
        <v>-1.1111111111111112</v>
      </c>
      <c r="AA20" s="118" t="e">
        <f>T20/Operação!$T$37</f>
        <v>#DIV/0!</v>
      </c>
      <c r="AO20" s="380">
        <f t="shared" si="8"/>
        <v>0</v>
      </c>
      <c r="AP20" s="381">
        <f>1500+400</f>
        <v>1900</v>
      </c>
      <c r="AQ20" s="408" t="s">
        <v>362</v>
      </c>
    </row>
    <row r="21" spans="1:43" s="105" customFormat="1" ht="60" customHeight="1" thickBot="1">
      <c r="A21" s="181">
        <v>7</v>
      </c>
      <c r="B21" s="53" t="s">
        <v>142</v>
      </c>
      <c r="C21" s="182" t="s">
        <v>119</v>
      </c>
      <c r="D21" s="181" t="s">
        <v>121</v>
      </c>
      <c r="E21" s="181" t="s">
        <v>126</v>
      </c>
      <c r="F21" s="148" t="s">
        <v>281</v>
      </c>
      <c r="G21" s="116" t="s">
        <v>282</v>
      </c>
      <c r="H21" s="106">
        <v>2</v>
      </c>
      <c r="I21" s="106">
        <v>1</v>
      </c>
      <c r="J21" s="144">
        <v>370</v>
      </c>
      <c r="K21" s="55">
        <f t="shared" si="0"/>
        <v>740</v>
      </c>
      <c r="L21" s="55">
        <f>IF(K21&lt;&gt;"",IF(D21="INTERNO",0,K21*Operação!$L$14),"")</f>
        <v>55.5</v>
      </c>
      <c r="M21" s="55">
        <f>IF(K21&lt;&gt;"",IF(E21="FAT.OGGI",SUM(K21:L21)*(1/(1-Operação!$M$14)-1),L21*(1/(1-Operação!$M$14)-1)),"")</f>
        <v>193.06716788865421</v>
      </c>
      <c r="N21" s="69">
        <f t="shared" si="1"/>
        <v>988.56716788865424</v>
      </c>
      <c r="Q21" s="107">
        <v>1</v>
      </c>
      <c r="R21" s="108">
        <v>0</v>
      </c>
      <c r="S21" s="146">
        <v>370</v>
      </c>
      <c r="T21" s="70">
        <f t="shared" si="7"/>
        <v>0</v>
      </c>
      <c r="U21" s="67">
        <f t="shared" si="2"/>
        <v>740</v>
      </c>
      <c r="V21" s="68">
        <f t="shared" si="3"/>
        <v>0</v>
      </c>
      <c r="W21" s="56">
        <f t="shared" si="4"/>
        <v>0</v>
      </c>
      <c r="X21" s="56">
        <f t="shared" si="5"/>
        <v>0</v>
      </c>
      <c r="Y21" s="72">
        <f t="shared" si="6"/>
        <v>193.06716788865421</v>
      </c>
      <c r="Z21" s="141">
        <f>IF(Q21&lt;&gt;"",U21/K21,"")</f>
        <v>1</v>
      </c>
      <c r="AA21" s="118" t="e">
        <f>T21/Operação!$T$37</f>
        <v>#DIV/0!</v>
      </c>
      <c r="AO21" s="380">
        <f t="shared" si="8"/>
        <v>0</v>
      </c>
      <c r="AP21" s="381"/>
      <c r="AQ21" s="408"/>
    </row>
    <row r="22" spans="1:43" ht="60" customHeight="1">
      <c r="A22" s="181">
        <v>8</v>
      </c>
      <c r="B22" s="53" t="s">
        <v>151</v>
      </c>
      <c r="C22" s="182" t="s">
        <v>119</v>
      </c>
      <c r="D22" s="181" t="s">
        <v>121</v>
      </c>
      <c r="E22" s="181" t="s">
        <v>126</v>
      </c>
      <c r="F22" s="71" t="s">
        <v>287</v>
      </c>
      <c r="G22" s="66" t="s">
        <v>322</v>
      </c>
      <c r="H22" s="84">
        <v>1</v>
      </c>
      <c r="I22" s="84">
        <v>1</v>
      </c>
      <c r="J22" s="55">
        <v>365</v>
      </c>
      <c r="K22" s="55">
        <f t="shared" si="0"/>
        <v>365</v>
      </c>
      <c r="L22" s="85">
        <f t="shared" ref="L22:L29" si="9">IF(K22&lt;&gt;"",IF(D22="INTERNO",0,K22*$L$14),"")</f>
        <v>27.375</v>
      </c>
      <c r="M22" s="85">
        <f t="shared" ref="M22:M29" si="10">IF(K22&lt;&gt;"",IF(E22="FAT.OGGI",SUM(K22:L22)*(1/(1-$M$14)-1),L22*(1/(1-$M$14)-1)),0)</f>
        <v>95.229076053187555</v>
      </c>
      <c r="N22" s="86">
        <f t="shared" si="1"/>
        <v>487.60407605318755</v>
      </c>
      <c r="Q22" s="109">
        <f>IF(H22&lt;&gt;"",H22,"")</f>
        <v>1</v>
      </c>
      <c r="R22" s="110">
        <v>0</v>
      </c>
      <c r="S22" s="146">
        <v>323.83999999999997</v>
      </c>
      <c r="T22" s="146">
        <f t="shared" si="7"/>
        <v>0</v>
      </c>
      <c r="U22" s="147">
        <f t="shared" si="2"/>
        <v>365</v>
      </c>
      <c r="V22" s="58">
        <f t="shared" si="3"/>
        <v>0</v>
      </c>
      <c r="W22" s="59">
        <f t="shared" si="4"/>
        <v>0</v>
      </c>
      <c r="X22" s="59">
        <f t="shared" si="5"/>
        <v>0</v>
      </c>
      <c r="Y22" s="62">
        <f t="shared" si="6"/>
        <v>95.229076053187555</v>
      </c>
      <c r="Z22" s="61">
        <f t="shared" ref="Z22:Z32" si="11">IF(Q22&lt;&gt;"", IFERROR(U22/K22, 0), 0)</f>
        <v>1</v>
      </c>
      <c r="AA22" s="91" t="str">
        <f>IFERROR(T22/#REF!, "")</f>
        <v/>
      </c>
      <c r="AO22" s="380">
        <f t="shared" si="8"/>
        <v>0</v>
      </c>
      <c r="AP22" s="381"/>
    </row>
    <row r="23" spans="1:43" ht="60" customHeight="1">
      <c r="A23" s="181">
        <v>9</v>
      </c>
      <c r="B23" s="53" t="s">
        <v>152</v>
      </c>
      <c r="C23" s="182" t="s">
        <v>119</v>
      </c>
      <c r="D23" s="181" t="s">
        <v>121</v>
      </c>
      <c r="E23" s="181" t="s">
        <v>126</v>
      </c>
      <c r="F23" s="71" t="s">
        <v>305</v>
      </c>
      <c r="G23" s="66" t="s">
        <v>325</v>
      </c>
      <c r="H23" s="84">
        <v>1</v>
      </c>
      <c r="I23" s="84">
        <v>1</v>
      </c>
      <c r="J23" s="55">
        <v>980</v>
      </c>
      <c r="K23" s="55">
        <f t="shared" si="0"/>
        <v>980</v>
      </c>
      <c r="L23" s="85">
        <f t="shared" si="9"/>
        <v>73.5</v>
      </c>
      <c r="M23" s="85">
        <f t="shared" si="10"/>
        <v>255.68354666335287</v>
      </c>
      <c r="N23" s="86">
        <f t="shared" si="1"/>
        <v>1309.1835466633529</v>
      </c>
      <c r="Q23" s="109">
        <f>IF(H23&lt;&gt;"",H23,"")</f>
        <v>1</v>
      </c>
      <c r="R23" s="110">
        <v>1</v>
      </c>
      <c r="S23" s="189">
        <v>780</v>
      </c>
      <c r="T23" s="188">
        <f t="shared" si="7"/>
        <v>780</v>
      </c>
      <c r="U23" s="147">
        <f t="shared" si="2"/>
        <v>200</v>
      </c>
      <c r="V23" s="58">
        <f t="shared" si="3"/>
        <v>0</v>
      </c>
      <c r="W23" s="59">
        <f t="shared" si="4"/>
        <v>0</v>
      </c>
      <c r="X23" s="59">
        <f t="shared" si="5"/>
        <v>780</v>
      </c>
      <c r="Y23" s="62">
        <f t="shared" si="6"/>
        <v>1035.6835466633529</v>
      </c>
      <c r="Z23" s="61">
        <f t="shared" si="11"/>
        <v>0.20408163265306123</v>
      </c>
      <c r="AA23" s="91" t="str">
        <f>IFERROR(T23/#REF!, "")</f>
        <v/>
      </c>
      <c r="AO23" s="380">
        <f t="shared" si="8"/>
        <v>0</v>
      </c>
      <c r="AP23" s="381">
        <v>780</v>
      </c>
      <c r="AQ23" s="408" t="s">
        <v>360</v>
      </c>
    </row>
    <row r="24" spans="1:43" ht="60" customHeight="1">
      <c r="A24" s="181">
        <v>10</v>
      </c>
      <c r="B24" s="53" t="s">
        <v>291</v>
      </c>
      <c r="C24" s="182" t="s">
        <v>119</v>
      </c>
      <c r="D24" s="181" t="s">
        <v>121</v>
      </c>
      <c r="E24" s="181" t="s">
        <v>126</v>
      </c>
      <c r="F24" s="71" t="s">
        <v>320</v>
      </c>
      <c r="G24" s="66" t="s">
        <v>321</v>
      </c>
      <c r="H24" s="84">
        <v>1</v>
      </c>
      <c r="I24" s="84">
        <v>1</v>
      </c>
      <c r="J24" s="144">
        <v>860</v>
      </c>
      <c r="K24" s="55">
        <f t="shared" si="0"/>
        <v>860</v>
      </c>
      <c r="L24" s="85">
        <f t="shared" si="9"/>
        <v>64.5</v>
      </c>
      <c r="M24" s="85">
        <f t="shared" si="10"/>
        <v>224.37535727600354</v>
      </c>
      <c r="N24" s="86">
        <f t="shared" si="1"/>
        <v>1148.8753572760036</v>
      </c>
      <c r="Q24" s="109">
        <f>IF(H24&lt;&gt;"",H24,"")</f>
        <v>1</v>
      </c>
      <c r="R24" s="110">
        <v>0</v>
      </c>
      <c r="S24" s="146">
        <f>530</f>
        <v>530</v>
      </c>
      <c r="T24" s="146">
        <f t="shared" si="7"/>
        <v>0</v>
      </c>
      <c r="U24" s="147">
        <f t="shared" si="2"/>
        <v>860</v>
      </c>
      <c r="V24" s="58">
        <f t="shared" si="3"/>
        <v>0</v>
      </c>
      <c r="W24" s="59">
        <f t="shared" si="4"/>
        <v>0</v>
      </c>
      <c r="X24" s="59">
        <f t="shared" si="5"/>
        <v>0</v>
      </c>
      <c r="Y24" s="62">
        <f t="shared" si="6"/>
        <v>224.37535727600354</v>
      </c>
      <c r="Z24" s="61">
        <f t="shared" si="11"/>
        <v>1</v>
      </c>
      <c r="AA24" s="91" t="str">
        <f>IFERROR(T24/#REF!, "")</f>
        <v/>
      </c>
      <c r="AO24" s="380">
        <f t="shared" si="8"/>
        <v>0</v>
      </c>
      <c r="AP24" s="381"/>
    </row>
    <row r="25" spans="1:43" ht="60" customHeight="1">
      <c r="A25" s="181">
        <v>11</v>
      </c>
      <c r="B25" s="53" t="s">
        <v>292</v>
      </c>
      <c r="C25" s="182" t="s">
        <v>119</v>
      </c>
      <c r="D25" s="181" t="s">
        <v>121</v>
      </c>
      <c r="E25" s="181" t="s">
        <v>126</v>
      </c>
      <c r="F25" s="71" t="s">
        <v>320</v>
      </c>
      <c r="G25" s="66" t="s">
        <v>288</v>
      </c>
      <c r="H25" s="84">
        <v>1</v>
      </c>
      <c r="I25" s="84">
        <v>1</v>
      </c>
      <c r="J25" s="55">
        <f>1185</f>
        <v>1185</v>
      </c>
      <c r="K25" s="55">
        <f t="shared" si="0"/>
        <v>1185</v>
      </c>
      <c r="L25" s="85">
        <f t="shared" si="9"/>
        <v>88.875</v>
      </c>
      <c r="M25" s="85">
        <f t="shared" si="10"/>
        <v>309.16837020007466</v>
      </c>
      <c r="N25" s="86">
        <f t="shared" si="1"/>
        <v>1583.0433702000746</v>
      </c>
      <c r="Q25" s="109">
        <f>IF(H25&lt;&gt;"",H25,"")</f>
        <v>1</v>
      </c>
      <c r="R25" s="110">
        <v>1</v>
      </c>
      <c r="S25" s="188">
        <v>410</v>
      </c>
      <c r="T25" s="188">
        <f t="shared" si="7"/>
        <v>410</v>
      </c>
      <c r="U25" s="147">
        <f t="shared" si="2"/>
        <v>775</v>
      </c>
      <c r="V25" s="58">
        <f t="shared" si="3"/>
        <v>0</v>
      </c>
      <c r="W25" s="59">
        <f t="shared" si="4"/>
        <v>0</v>
      </c>
      <c r="X25" s="59">
        <f t="shared" si="5"/>
        <v>410</v>
      </c>
      <c r="Y25" s="62">
        <f t="shared" si="6"/>
        <v>719.16837020007461</v>
      </c>
      <c r="Z25" s="61">
        <f t="shared" si="11"/>
        <v>0.65400843881856541</v>
      </c>
      <c r="AA25" s="91" t="str">
        <f>IFERROR(T25/#REF!, "")</f>
        <v/>
      </c>
      <c r="AO25" s="380">
        <f t="shared" si="8"/>
        <v>0</v>
      </c>
      <c r="AP25" s="381">
        <v>410</v>
      </c>
      <c r="AQ25" s="408" t="s">
        <v>361</v>
      </c>
    </row>
    <row r="26" spans="1:43" ht="60" customHeight="1">
      <c r="A26" s="181">
        <v>12</v>
      </c>
      <c r="B26" s="53" t="s">
        <v>298</v>
      </c>
      <c r="C26" s="182" t="s">
        <v>119</v>
      </c>
      <c r="D26" s="181" t="s">
        <v>121</v>
      </c>
      <c r="E26" s="181" t="s">
        <v>126</v>
      </c>
      <c r="F26" s="135" t="s">
        <v>320</v>
      </c>
      <c r="G26" s="136" t="s">
        <v>328</v>
      </c>
      <c r="H26" s="137">
        <v>1</v>
      </c>
      <c r="I26" s="137">
        <v>1</v>
      </c>
      <c r="J26" s="85">
        <v>2900</v>
      </c>
      <c r="K26" s="85">
        <f t="shared" si="0"/>
        <v>2900</v>
      </c>
      <c r="L26" s="85">
        <f t="shared" si="9"/>
        <v>217.5</v>
      </c>
      <c r="M26" s="85">
        <f t="shared" si="10"/>
        <v>756.61457686094218</v>
      </c>
      <c r="N26" s="86">
        <f t="shared" si="1"/>
        <v>3874.1145768609422</v>
      </c>
      <c r="Q26" s="109">
        <v>1</v>
      </c>
      <c r="R26" s="110">
        <v>0</v>
      </c>
      <c r="S26" s="146">
        <v>0</v>
      </c>
      <c r="T26" s="146">
        <f t="shared" si="7"/>
        <v>0</v>
      </c>
      <c r="U26" s="147">
        <f t="shared" si="2"/>
        <v>2900</v>
      </c>
      <c r="V26" s="58">
        <f t="shared" si="3"/>
        <v>0</v>
      </c>
      <c r="W26" s="59">
        <f t="shared" si="4"/>
        <v>0</v>
      </c>
      <c r="X26" s="59">
        <f t="shared" si="5"/>
        <v>0</v>
      </c>
      <c r="Y26" s="62">
        <f t="shared" si="6"/>
        <v>756.61457686094218</v>
      </c>
      <c r="Z26" s="61">
        <f t="shared" si="11"/>
        <v>1</v>
      </c>
      <c r="AA26" s="91" t="str">
        <f>IFERROR(T26/#REF!, "")</f>
        <v/>
      </c>
      <c r="AO26" s="380">
        <f t="shared" si="8"/>
        <v>0</v>
      </c>
      <c r="AP26" s="381"/>
    </row>
    <row r="27" spans="1:43" ht="60" customHeight="1">
      <c r="A27" s="181">
        <v>13</v>
      </c>
      <c r="B27" s="53" t="s">
        <v>299</v>
      </c>
      <c r="C27" s="182" t="s">
        <v>119</v>
      </c>
      <c r="D27" s="181" t="s">
        <v>121</v>
      </c>
      <c r="E27" s="181" t="s">
        <v>126</v>
      </c>
      <c r="F27" s="71" t="s">
        <v>289</v>
      </c>
      <c r="G27" s="66" t="s">
        <v>323</v>
      </c>
      <c r="H27" s="84">
        <v>1</v>
      </c>
      <c r="I27" s="84">
        <v>1</v>
      </c>
      <c r="J27" s="55">
        <v>149</v>
      </c>
      <c r="K27" s="55">
        <f t="shared" si="0"/>
        <v>149</v>
      </c>
      <c r="L27" s="85">
        <f t="shared" si="9"/>
        <v>11.174999999999999</v>
      </c>
      <c r="M27" s="85">
        <f t="shared" si="10"/>
        <v>38.874335155958761</v>
      </c>
      <c r="N27" s="86">
        <f t="shared" si="1"/>
        <v>199.04933515595877</v>
      </c>
      <c r="Q27" s="109">
        <f>IF(H27&lt;&gt;"",H27,"")</f>
        <v>1</v>
      </c>
      <c r="R27" s="110">
        <v>0</v>
      </c>
      <c r="S27" s="146">
        <v>149</v>
      </c>
      <c r="T27" s="146">
        <f t="shared" si="7"/>
        <v>0</v>
      </c>
      <c r="U27" s="147">
        <f t="shared" si="2"/>
        <v>149</v>
      </c>
      <c r="V27" s="58">
        <f t="shared" si="3"/>
        <v>0</v>
      </c>
      <c r="W27" s="59">
        <f t="shared" si="4"/>
        <v>0</v>
      </c>
      <c r="X27" s="59">
        <f t="shared" si="5"/>
        <v>0</v>
      </c>
      <c r="Y27" s="62">
        <f t="shared" si="6"/>
        <v>38.874335155958761</v>
      </c>
      <c r="Z27" s="61">
        <f t="shared" si="11"/>
        <v>1</v>
      </c>
      <c r="AA27" s="91" t="str">
        <f>IFERROR(T27/#REF!, "")</f>
        <v/>
      </c>
      <c r="AO27" s="380">
        <f t="shared" si="8"/>
        <v>0</v>
      </c>
      <c r="AP27" s="381"/>
    </row>
    <row r="28" spans="1:43" ht="60" customHeight="1">
      <c r="A28" s="181">
        <v>14</v>
      </c>
      <c r="B28" s="53" t="s">
        <v>300</v>
      </c>
      <c r="C28" s="182" t="s">
        <v>119</v>
      </c>
      <c r="D28" s="181" t="s">
        <v>121</v>
      </c>
      <c r="E28" s="181" t="s">
        <v>126</v>
      </c>
      <c r="F28" s="71" t="s">
        <v>318</v>
      </c>
      <c r="G28" s="66" t="s">
        <v>319</v>
      </c>
      <c r="H28" s="84">
        <v>1</v>
      </c>
      <c r="I28" s="84">
        <v>1</v>
      </c>
      <c r="J28" s="55">
        <v>560</v>
      </c>
      <c r="K28" s="55">
        <f t="shared" si="0"/>
        <v>560</v>
      </c>
      <c r="L28" s="85">
        <f t="shared" si="9"/>
        <v>42</v>
      </c>
      <c r="M28" s="85">
        <f t="shared" si="10"/>
        <v>146.10488380763022</v>
      </c>
      <c r="N28" s="86">
        <f t="shared" si="1"/>
        <v>748.10488380763024</v>
      </c>
      <c r="Q28" s="109">
        <f>IF(H28&lt;&gt;"",H28,"")</f>
        <v>1</v>
      </c>
      <c r="R28" s="110">
        <v>0</v>
      </c>
      <c r="S28" s="146">
        <v>560</v>
      </c>
      <c r="T28" s="146">
        <f t="shared" si="7"/>
        <v>0</v>
      </c>
      <c r="U28" s="147">
        <f t="shared" si="2"/>
        <v>560</v>
      </c>
      <c r="V28" s="58">
        <f t="shared" si="3"/>
        <v>0</v>
      </c>
      <c r="W28" s="59">
        <f t="shared" si="4"/>
        <v>0</v>
      </c>
      <c r="X28" s="59">
        <f t="shared" si="5"/>
        <v>0</v>
      </c>
      <c r="Y28" s="62">
        <f t="shared" si="6"/>
        <v>146.10488380763022</v>
      </c>
      <c r="Z28" s="61">
        <f t="shared" si="11"/>
        <v>1</v>
      </c>
      <c r="AA28" s="91" t="str">
        <f>IFERROR(T28/#REF!, "")</f>
        <v/>
      </c>
      <c r="AO28" s="380">
        <f t="shared" si="8"/>
        <v>0</v>
      </c>
      <c r="AP28" s="381"/>
    </row>
    <row r="29" spans="1:43" ht="60" customHeight="1">
      <c r="A29" s="185">
        <v>15</v>
      </c>
      <c r="B29" s="53" t="s">
        <v>301</v>
      </c>
      <c r="C29" s="186" t="s">
        <v>119</v>
      </c>
      <c r="D29" s="185" t="s">
        <v>121</v>
      </c>
      <c r="E29" s="185" t="s">
        <v>126</v>
      </c>
      <c r="F29" s="71" t="s">
        <v>317</v>
      </c>
      <c r="G29" s="66" t="s">
        <v>326</v>
      </c>
      <c r="H29" s="84">
        <v>1</v>
      </c>
      <c r="I29" s="84">
        <v>1</v>
      </c>
      <c r="J29" s="55">
        <v>2962</v>
      </c>
      <c r="K29" s="55">
        <f t="shared" si="0"/>
        <v>2962</v>
      </c>
      <c r="L29" s="55">
        <f t="shared" si="9"/>
        <v>222.15</v>
      </c>
      <c r="M29" s="55">
        <f t="shared" si="10"/>
        <v>772.79047471107276</v>
      </c>
      <c r="N29" s="69">
        <f t="shared" si="1"/>
        <v>3956.940474711073</v>
      </c>
      <c r="Q29" s="107">
        <v>1</v>
      </c>
      <c r="R29" s="158">
        <f>IF(I29&lt;&gt;"",I29,"")</f>
        <v>1</v>
      </c>
      <c r="S29" s="159">
        <v>2103</v>
      </c>
      <c r="T29" s="210">
        <f t="shared" si="7"/>
        <v>2103</v>
      </c>
      <c r="U29" s="160">
        <f t="shared" si="2"/>
        <v>859</v>
      </c>
      <c r="V29" s="161">
        <f t="shared" si="3"/>
        <v>0</v>
      </c>
      <c r="W29" s="162">
        <f t="shared" si="4"/>
        <v>0</v>
      </c>
      <c r="X29" s="162">
        <f t="shared" si="5"/>
        <v>2103</v>
      </c>
      <c r="Y29" s="56">
        <f t="shared" si="6"/>
        <v>2875.7904747110729</v>
      </c>
      <c r="Z29" s="57">
        <f t="shared" si="11"/>
        <v>0.2900067521944632</v>
      </c>
      <c r="AA29" s="91" t="str">
        <f>IFERROR(T29/#REF!, "")</f>
        <v/>
      </c>
      <c r="AO29" s="380">
        <f t="shared" si="8"/>
        <v>0</v>
      </c>
      <c r="AP29" s="381">
        <v>2103</v>
      </c>
      <c r="AQ29" s="408" t="s">
        <v>344</v>
      </c>
    </row>
    <row r="30" spans="1:43" ht="60" customHeight="1">
      <c r="A30" s="181">
        <v>16</v>
      </c>
      <c r="B30" s="53" t="s">
        <v>302</v>
      </c>
      <c r="C30" s="182" t="s">
        <v>119</v>
      </c>
      <c r="D30" s="181" t="s">
        <v>121</v>
      </c>
      <c r="E30" s="181" t="s">
        <v>126</v>
      </c>
      <c r="F30" s="71" t="s">
        <v>317</v>
      </c>
      <c r="G30" s="66" t="s">
        <v>324</v>
      </c>
      <c r="H30" s="84">
        <v>1</v>
      </c>
      <c r="I30" s="84">
        <v>1</v>
      </c>
      <c r="J30" s="55">
        <v>580.66999999999996</v>
      </c>
      <c r="K30" s="55">
        <f t="shared" si="0"/>
        <v>580.66999999999996</v>
      </c>
      <c r="L30" s="85">
        <f>IF(K30&lt;&gt;"",IF(D30="INTERNO",0,K30*Extras!$L$14),"")</f>
        <v>43.550249999999998</v>
      </c>
      <c r="M30" s="85">
        <f>IF(K30&lt;&gt;"",IF(E30="FAT.OGGI",SUM(K30:L30)*(1/(1-Extras!$M$14)-1),L30*(1/(1-Extras!$M$14)-1)),0)</f>
        <v>151.49771942960115</v>
      </c>
      <c r="N30" s="86">
        <f t="shared" si="1"/>
        <v>775.71796942960111</v>
      </c>
      <c r="Q30" s="109">
        <f>IF(H30&lt;&gt;"",H30,"")</f>
        <v>1</v>
      </c>
      <c r="R30" s="110">
        <v>0</v>
      </c>
      <c r="S30" s="146">
        <v>550.66999999999996</v>
      </c>
      <c r="T30" s="146">
        <f t="shared" si="7"/>
        <v>0</v>
      </c>
      <c r="U30" s="147">
        <f t="shared" si="2"/>
        <v>580.66999999999996</v>
      </c>
      <c r="V30" s="58">
        <f t="shared" si="3"/>
        <v>0</v>
      </c>
      <c r="W30" s="59">
        <f t="shared" si="4"/>
        <v>0</v>
      </c>
      <c r="X30" s="59">
        <f t="shared" si="5"/>
        <v>0</v>
      </c>
      <c r="Y30" s="62">
        <f t="shared" si="6"/>
        <v>151.49771942960115</v>
      </c>
      <c r="Z30" s="61">
        <f t="shared" si="11"/>
        <v>1</v>
      </c>
      <c r="AA30" s="91" t="str">
        <f>IFERROR(T30/#REF!, "")</f>
        <v/>
      </c>
      <c r="AO30" s="380">
        <f t="shared" si="8"/>
        <v>0</v>
      </c>
      <c r="AP30" s="381"/>
    </row>
    <row r="31" spans="1:43" ht="60" customHeight="1">
      <c r="A31" s="181">
        <v>17</v>
      </c>
      <c r="B31" s="53" t="s">
        <v>303</v>
      </c>
      <c r="C31" s="182" t="s">
        <v>119</v>
      </c>
      <c r="D31" s="181" t="s">
        <v>121</v>
      </c>
      <c r="E31" s="181" t="s">
        <v>126</v>
      </c>
      <c r="F31" s="71" t="s">
        <v>317</v>
      </c>
      <c r="G31" s="66" t="s">
        <v>331</v>
      </c>
      <c r="H31" s="84">
        <v>1</v>
      </c>
      <c r="I31" s="84">
        <v>1</v>
      </c>
      <c r="J31" s="55">
        <v>607.82799999999997</v>
      </c>
      <c r="K31" s="55">
        <f t="shared" si="0"/>
        <v>607.82799999999997</v>
      </c>
      <c r="L31" s="85">
        <f>IF(K31&lt;&gt;"",IF(D31="INTERNO",0,K31*Extras!$L$14),"")</f>
        <v>45.5871</v>
      </c>
      <c r="M31" s="85">
        <f>IF(K31&lt;&gt;"",IF(E31="FAT.OGGI",SUM(K31:L31)*(1/(1-Extras!$M$14)-1),L31*(1/(1-Extras!$M$14)-1)),0)</f>
        <v>158.58328449111474</v>
      </c>
      <c r="N31" s="86">
        <f t="shared" si="1"/>
        <v>811.99838449111462</v>
      </c>
      <c r="Q31" s="109">
        <v>1</v>
      </c>
      <c r="R31" s="110">
        <v>0</v>
      </c>
      <c r="S31" s="146">
        <f>233.78*2</f>
        <v>467.56</v>
      </c>
      <c r="T31" s="146">
        <f t="shared" si="7"/>
        <v>0</v>
      </c>
      <c r="U31" s="147">
        <f t="shared" si="2"/>
        <v>607.82799999999997</v>
      </c>
      <c r="V31" s="58">
        <f t="shared" si="3"/>
        <v>0</v>
      </c>
      <c r="W31" s="59">
        <f t="shared" si="4"/>
        <v>0</v>
      </c>
      <c r="X31" s="59">
        <f t="shared" si="5"/>
        <v>0</v>
      </c>
      <c r="Y31" s="62">
        <f t="shared" si="6"/>
        <v>158.58328449111474</v>
      </c>
      <c r="Z31" s="61">
        <f t="shared" si="11"/>
        <v>1</v>
      </c>
      <c r="AA31" s="91" t="str">
        <f>IFERROR(T31/#REF!, "")</f>
        <v/>
      </c>
      <c r="AO31" s="380">
        <f t="shared" si="8"/>
        <v>0</v>
      </c>
      <c r="AP31" s="381"/>
    </row>
    <row r="32" spans="1:43" ht="60" customHeight="1" thickBot="1">
      <c r="A32" s="181">
        <v>18</v>
      </c>
      <c r="B32" s="53" t="s">
        <v>304</v>
      </c>
      <c r="C32" s="182" t="s">
        <v>119</v>
      </c>
      <c r="D32" s="181" t="s">
        <v>121</v>
      </c>
      <c r="E32" s="181" t="s">
        <v>126</v>
      </c>
      <c r="F32" s="71" t="s">
        <v>293</v>
      </c>
      <c r="G32" s="66" t="s">
        <v>294</v>
      </c>
      <c r="H32" s="84">
        <v>1</v>
      </c>
      <c r="I32" s="84">
        <v>1</v>
      </c>
      <c r="J32" s="55">
        <v>4087.6</v>
      </c>
      <c r="K32" s="55">
        <f t="shared" si="0"/>
        <v>4087.6</v>
      </c>
      <c r="L32" s="85">
        <f>IF(K32&lt;&gt;"",IF(D32="INTERNO",0,K32*$L$14),"")</f>
        <v>306.57</v>
      </c>
      <c r="M32" s="85">
        <f>IF(K32&lt;&gt;"",IF(E32="FAT.OGGI",SUM(K32:L32)*(1/(1-$M$14)-1),L32*(1/(1-$M$14)-1)),0)</f>
        <v>1066.4612911644094</v>
      </c>
      <c r="N32" s="86">
        <f t="shared" si="1"/>
        <v>5460.631291164409</v>
      </c>
      <c r="Q32" s="109">
        <v>1</v>
      </c>
      <c r="R32" s="110">
        <v>1</v>
      </c>
      <c r="S32" s="189">
        <v>4087.6</v>
      </c>
      <c r="T32" s="188">
        <f t="shared" si="7"/>
        <v>4087.6</v>
      </c>
      <c r="U32" s="147">
        <f t="shared" si="2"/>
        <v>0</v>
      </c>
      <c r="V32" s="58">
        <f t="shared" si="3"/>
        <v>0</v>
      </c>
      <c r="W32" s="59">
        <f t="shared" si="4"/>
        <v>0</v>
      </c>
      <c r="X32" s="59">
        <f t="shared" si="5"/>
        <v>4087.6</v>
      </c>
      <c r="Y32" s="62">
        <f t="shared" si="6"/>
        <v>5154.0612911644093</v>
      </c>
      <c r="Z32" s="61">
        <f t="shared" si="11"/>
        <v>0</v>
      </c>
      <c r="AA32" s="91" t="str">
        <f>IFERROR(T32/#REF!, "")</f>
        <v/>
      </c>
      <c r="AO32" s="380">
        <f t="shared" si="8"/>
        <v>0</v>
      </c>
      <c r="AP32" s="381">
        <v>4087.6</v>
      </c>
      <c r="AQ32" s="408" t="s">
        <v>359</v>
      </c>
    </row>
    <row r="33" spans="1:42" ht="30" customHeight="1" thickBot="1">
      <c r="A33" s="185">
        <v>19</v>
      </c>
      <c r="B33" s="100"/>
      <c r="C33" s="186" t="s">
        <v>123</v>
      </c>
      <c r="D33" s="185"/>
      <c r="E33" s="185"/>
      <c r="F33" s="63" t="s">
        <v>260</v>
      </c>
      <c r="G33" s="64"/>
      <c r="H33" s="112"/>
      <c r="I33" s="112"/>
      <c r="J33" s="64"/>
      <c r="K33" s="65">
        <f>SUM(K17:K32)</f>
        <v>21577.097999999998</v>
      </c>
      <c r="L33" s="65">
        <f>SUM(L17:L32)</f>
        <v>1618.28235</v>
      </c>
      <c r="M33" s="65">
        <f>SUM(M17:M32)</f>
        <v>5629.4989217783041</v>
      </c>
      <c r="N33" s="138">
        <f>SUM(N17:N32)</f>
        <v>28824.879271778304</v>
      </c>
      <c r="Q33" s="111" t="s">
        <v>42</v>
      </c>
      <c r="R33" s="112"/>
      <c r="S33" s="64"/>
      <c r="T33" s="65">
        <f>SUM(T17:T32)</f>
        <v>13089.6</v>
      </c>
      <c r="U33" s="65">
        <f>SUM(U17:U32)</f>
        <v>8487.4979999999996</v>
      </c>
      <c r="V33" s="64"/>
      <c r="W33" s="64"/>
      <c r="X33" s="65">
        <f>SUM(X17:X32)</f>
        <v>13089.6</v>
      </c>
      <c r="Y33" s="138">
        <f>SUM(Y17:Y32)</f>
        <v>18719.098921778306</v>
      </c>
      <c r="Z33" s="142">
        <f>IF(Q33&lt;&gt;"",(N33-Y33)/N33,"")</f>
        <v>0.3505922871251817</v>
      </c>
      <c r="AA33" s="139">
        <f>IF(Z33&lt;&gt;"",(N33-Y33),"")</f>
        <v>10105.780349999997</v>
      </c>
      <c r="AO33" s="380">
        <f>SUM(AO17:AO32)</f>
        <v>0</v>
      </c>
      <c r="AP33" s="381">
        <f>SUM(AP17:AP32)</f>
        <v>13089.6</v>
      </c>
    </row>
    <row r="35" spans="1:42">
      <c r="T35" s="145"/>
    </row>
    <row r="46" spans="1:42" ht="26.1" customHeight="1"/>
    <row r="47" spans="1:42" ht="27.6" customHeight="1"/>
    <row r="52" ht="27" customHeight="1"/>
    <row r="53" ht="24.9" customHeight="1"/>
  </sheetData>
  <mergeCells count="13">
    <mergeCell ref="F1:G1"/>
    <mergeCell ref="F2:G2"/>
    <mergeCell ref="Q12:T12"/>
    <mergeCell ref="U12:X12"/>
    <mergeCell ref="AC12:AE12"/>
    <mergeCell ref="AO15:AP15"/>
    <mergeCell ref="AO16:AP16"/>
    <mergeCell ref="AK12:AL12"/>
    <mergeCell ref="F15:N15"/>
    <mergeCell ref="Q15:Y15"/>
    <mergeCell ref="F16:K16"/>
    <mergeCell ref="Q16:Y16"/>
    <mergeCell ref="AG12:AH12"/>
  </mergeCells>
  <dataValidations count="3">
    <dataValidation type="list" allowBlank="1" showInputMessage="1" showErrorMessage="1" sqref="E33" xr:uid="{4F736EDE-12DE-48AA-A3E4-61E3810B55B1}">
      <formula1>"FAT.OGGI,FAT.CLIENTE "</formula1>
    </dataValidation>
    <dataValidation type="list" allowBlank="1" showInputMessage="1" showErrorMessage="1" sqref="E17:E32" xr:uid="{9E52AED3-3B17-44D9-A07F-206CF3319592}">
      <formula1>"FAT.OGGI,FAT.CLIENTE"</formula1>
    </dataValidation>
    <dataValidation type="list" allowBlank="1" showInputMessage="1" showErrorMessage="1" sqref="D17:D33" xr:uid="{8F48E4A6-29B1-47FC-8A7E-0A244FC685A0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BA480-0EFD-415F-8F30-F1E82AB8FB06}">
  <sheetPr codeName="Planilha15">
    <pageSetUpPr autoPageBreaks="0"/>
  </sheetPr>
  <dimension ref="A1:AO40"/>
  <sheetViews>
    <sheetView showGridLines="0" topLeftCell="B1" zoomScale="60" zoomScaleNormal="60" workbookViewId="0">
      <pane ySplit="1" topLeftCell="A6" activePane="bottomLeft" state="frozen"/>
      <selection pane="bottomLeft" activeCell="T23" sqref="T23"/>
    </sheetView>
  </sheetViews>
  <sheetFormatPr defaultColWidth="8.88671875" defaultRowHeight="14.4"/>
  <cols>
    <col min="1" max="1" width="5.44140625" style="170" hidden="1" customWidth="1"/>
    <col min="2" max="2" width="6" style="170" customWidth="1"/>
    <col min="3" max="5" width="6" style="170" hidden="1" customWidth="1"/>
    <col min="6" max="6" width="52.5546875" customWidth="1"/>
    <col min="7" max="7" width="65.109375" customWidth="1"/>
    <col min="8" max="8" width="7.109375" style="38" hidden="1" customWidth="1"/>
    <col min="9" max="9" width="7.6640625" style="38" hidden="1" customWidth="1"/>
    <col min="10" max="10" width="17.6640625" hidden="1" customWidth="1"/>
    <col min="11" max="11" width="26.6640625" bestFit="1" customWidth="1"/>
    <col min="12" max="12" width="24.6640625" customWidth="1"/>
    <col min="13" max="13" width="26.6640625" customWidth="1"/>
    <col min="14" max="14" width="26.6640625" bestFit="1" customWidth="1"/>
    <col min="15" max="15" width="3.33203125" hidden="1" customWidth="1"/>
    <col min="16" max="16" width="1.88671875" hidden="1" customWidth="1"/>
    <col min="17" max="17" width="11.109375" style="38" bestFit="1" customWidth="1"/>
    <col min="18" max="18" width="8.44140625" style="38" hidden="1" customWidth="1"/>
    <col min="19" max="19" width="18.44140625" hidden="1" customWidth="1"/>
    <col min="20" max="20" width="26.6640625" bestFit="1" customWidth="1"/>
    <col min="21" max="21" width="24.6640625" hidden="1" customWidth="1"/>
    <col min="22" max="22" width="9.6640625" hidden="1" customWidth="1"/>
    <col min="23" max="23" width="16.109375" hidden="1" customWidth="1"/>
    <col min="24" max="24" width="27.109375" bestFit="1" customWidth="1"/>
    <col min="25" max="25" width="26.6640625" hidden="1" customWidth="1"/>
    <col min="26" max="26" width="14.6640625" hidden="1" customWidth="1"/>
    <col min="27" max="27" width="24.6640625" hidden="1" customWidth="1"/>
    <col min="28" max="28" width="38.109375" hidden="1" customWidth="1"/>
    <col min="29" max="29" width="14.109375" hidden="1" customWidth="1"/>
    <col min="30" max="30" width="7.6640625" hidden="1" customWidth="1"/>
    <col min="31" max="31" width="6.88671875" hidden="1" customWidth="1"/>
    <col min="32" max="32" width="1.33203125" hidden="1" customWidth="1"/>
    <col min="33" max="33" width="14" hidden="1" customWidth="1"/>
    <col min="34" max="34" width="11.6640625" hidden="1" customWidth="1"/>
    <col min="35" max="35" width="6.33203125" hidden="1" customWidth="1"/>
    <col min="36" max="36" width="12.6640625" hidden="1" customWidth="1"/>
    <col min="37" max="37" width="13.109375" hidden="1" customWidth="1"/>
    <col min="38" max="38" width="13.5546875" hidden="1" customWidth="1"/>
    <col min="39" max="39" width="17.33203125" customWidth="1"/>
    <col min="40" max="40" width="21.33203125" customWidth="1"/>
    <col min="41" max="41" width="8.88671875" style="408"/>
  </cols>
  <sheetData>
    <row r="1" spans="1:40" ht="49.5" customHeight="1">
      <c r="B1" s="171"/>
      <c r="C1" s="172"/>
      <c r="D1" s="172"/>
      <c r="F1" s="524" t="s">
        <v>112</v>
      </c>
      <c r="G1" s="524"/>
    </row>
    <row r="2" spans="1:40" ht="24.75" customHeight="1">
      <c r="B2" s="173"/>
      <c r="D2" s="172"/>
      <c r="F2" s="525" t="s">
        <v>0</v>
      </c>
      <c r="G2" s="525"/>
    </row>
    <row r="3" spans="1:40" ht="18">
      <c r="B3" s="174"/>
      <c r="F3" s="28"/>
      <c r="G3" s="28"/>
    </row>
    <row r="4" spans="1:40" ht="18">
      <c r="F4" s="35" t="s">
        <v>136</v>
      </c>
      <c r="G4" s="47" t="s">
        <v>171</v>
      </c>
    </row>
    <row r="5" spans="1:40" ht="18">
      <c r="F5" s="36" t="s">
        <v>135</v>
      </c>
      <c r="G5" s="48" t="s">
        <v>163</v>
      </c>
    </row>
    <row r="6" spans="1:40" ht="18">
      <c r="D6" s="170" t="s">
        <v>99</v>
      </c>
      <c r="F6" s="36" t="s">
        <v>134</v>
      </c>
      <c r="G6" s="49" t="s">
        <v>256</v>
      </c>
    </row>
    <row r="7" spans="1:40" ht="21.75" customHeight="1">
      <c r="F7" s="36" t="s">
        <v>133</v>
      </c>
      <c r="G7" s="50" t="s">
        <v>257</v>
      </c>
      <c r="J7" t="s">
        <v>111</v>
      </c>
    </row>
    <row r="8" spans="1:40" ht="18">
      <c r="F8" s="36" t="s">
        <v>129</v>
      </c>
      <c r="G8" s="51" t="s">
        <v>258</v>
      </c>
    </row>
    <row r="9" spans="1:40" ht="18">
      <c r="F9" s="36" t="s">
        <v>130</v>
      </c>
      <c r="G9" s="50" t="s">
        <v>125</v>
      </c>
      <c r="J9" t="s">
        <v>99</v>
      </c>
    </row>
    <row r="10" spans="1:40" ht="27" customHeight="1">
      <c r="F10" s="36" t="s">
        <v>131</v>
      </c>
      <c r="G10" s="50" t="s">
        <v>165</v>
      </c>
    </row>
    <row r="11" spans="1:40" ht="18">
      <c r="F11" s="37" t="s">
        <v>132</v>
      </c>
      <c r="G11" s="52" t="s">
        <v>170</v>
      </c>
    </row>
    <row r="12" spans="1:40" ht="16.8" hidden="1" thickBot="1">
      <c r="B12" s="175"/>
      <c r="M12" s="24"/>
      <c r="Q12" s="526" t="s">
        <v>1</v>
      </c>
      <c r="R12" s="527"/>
      <c r="S12" s="527"/>
      <c r="T12" s="528"/>
      <c r="U12" s="529" t="s">
        <v>2</v>
      </c>
      <c r="V12" s="530"/>
      <c r="W12" s="530"/>
      <c r="X12" s="531"/>
      <c r="Y12" s="26" t="s">
        <v>48</v>
      </c>
      <c r="Z12" s="27">
        <f>(1/(1-M14))-1</f>
        <v>0.24269914253759173</v>
      </c>
      <c r="AC12" s="532" t="s">
        <v>3</v>
      </c>
      <c r="AD12" s="533"/>
      <c r="AE12" s="534"/>
      <c r="AG12" s="522" t="s">
        <v>50</v>
      </c>
      <c r="AH12" s="523"/>
      <c r="AJ12" s="29" t="s">
        <v>52</v>
      </c>
      <c r="AK12" s="520" t="s">
        <v>51</v>
      </c>
      <c r="AL12" s="521"/>
    </row>
    <row r="13" spans="1:40" ht="15" thickBot="1">
      <c r="A13" s="176" t="s">
        <v>4</v>
      </c>
      <c r="B13" s="177" t="s">
        <v>5</v>
      </c>
      <c r="C13" s="176" t="s">
        <v>6</v>
      </c>
      <c r="D13" s="176" t="s">
        <v>7</v>
      </c>
      <c r="E13" s="176" t="s">
        <v>8</v>
      </c>
      <c r="M13" s="25">
        <v>0.80469999999999997</v>
      </c>
    </row>
    <row r="14" spans="1:40" ht="30" customHeight="1" thickBot="1">
      <c r="A14" s="178">
        <v>0</v>
      </c>
      <c r="B14" s="179"/>
      <c r="C14" s="180"/>
      <c r="D14" s="181"/>
      <c r="E14" s="181"/>
      <c r="F14" s="73" t="s">
        <v>76</v>
      </c>
      <c r="G14" s="74" t="s">
        <v>77</v>
      </c>
      <c r="H14" s="75" t="s">
        <v>78</v>
      </c>
      <c r="I14" s="75" t="s">
        <v>79</v>
      </c>
      <c r="J14" s="76" t="s">
        <v>80</v>
      </c>
      <c r="K14" s="77" t="s">
        <v>9</v>
      </c>
      <c r="L14" s="78">
        <v>7.4999999999999997E-2</v>
      </c>
      <c r="M14" s="79">
        <f>1-M13</f>
        <v>0.19530000000000003</v>
      </c>
      <c r="N14" s="80" t="s">
        <v>74</v>
      </c>
      <c r="Q14" s="93" t="s">
        <v>81</v>
      </c>
      <c r="R14" s="94" t="s">
        <v>82</v>
      </c>
      <c r="S14" s="95" t="s">
        <v>83</v>
      </c>
      <c r="T14" s="96" t="s">
        <v>84</v>
      </c>
      <c r="U14" s="97" t="s">
        <v>85</v>
      </c>
      <c r="V14" s="98" t="s">
        <v>86</v>
      </c>
      <c r="W14" s="99" t="s">
        <v>87</v>
      </c>
      <c r="X14" s="99" t="s">
        <v>88</v>
      </c>
      <c r="Y14" s="143" t="s">
        <v>89</v>
      </c>
      <c r="Z14" s="39" t="s">
        <v>90</v>
      </c>
      <c r="AA14" s="40" t="s">
        <v>75</v>
      </c>
      <c r="AC14" s="41" t="s">
        <v>91</v>
      </c>
      <c r="AD14" s="42" t="s">
        <v>92</v>
      </c>
      <c r="AE14" s="42" t="s">
        <v>32</v>
      </c>
      <c r="AG14" s="43" t="s">
        <v>93</v>
      </c>
      <c r="AH14" s="44" t="s">
        <v>94</v>
      </c>
      <c r="AK14" s="45" t="s">
        <v>95</v>
      </c>
      <c r="AL14" s="46" t="s">
        <v>96</v>
      </c>
      <c r="AM14" s="257" t="s">
        <v>95</v>
      </c>
      <c r="AN14" s="258" t="s">
        <v>96</v>
      </c>
    </row>
    <row r="15" spans="1:40" ht="30" customHeight="1" thickBot="1">
      <c r="A15" s="181">
        <v>1</v>
      </c>
      <c r="B15" s="53">
        <v>1</v>
      </c>
      <c r="C15" s="182" t="s">
        <v>113</v>
      </c>
      <c r="D15" s="181"/>
      <c r="E15" s="181"/>
      <c r="F15" s="479" t="s">
        <v>156</v>
      </c>
      <c r="G15" s="480"/>
      <c r="H15" s="480"/>
      <c r="I15" s="480"/>
      <c r="J15" s="480"/>
      <c r="K15" s="480"/>
      <c r="L15" s="480"/>
      <c r="M15" s="480"/>
      <c r="N15" s="481"/>
      <c r="Q15" s="479" t="str">
        <f>IF(F15&lt;&gt;"",F15,"")</f>
        <v>Estande</v>
      </c>
      <c r="R15" s="480"/>
      <c r="S15" s="480"/>
      <c r="T15" s="480"/>
      <c r="U15" s="480"/>
      <c r="V15" s="480"/>
      <c r="W15" s="480"/>
      <c r="X15" s="480"/>
      <c r="Y15" s="481"/>
      <c r="AM15" s="482"/>
      <c r="AN15" s="483"/>
    </row>
    <row r="16" spans="1:40" ht="30" customHeight="1">
      <c r="A16" s="181">
        <v>2</v>
      </c>
      <c r="B16" s="53" t="s">
        <v>115</v>
      </c>
      <c r="C16" s="182" t="s">
        <v>114</v>
      </c>
      <c r="D16" s="181"/>
      <c r="E16" s="181"/>
      <c r="F16" s="485" t="s">
        <v>157</v>
      </c>
      <c r="G16" s="486"/>
      <c r="H16" s="486"/>
      <c r="I16" s="486"/>
      <c r="J16" s="486"/>
      <c r="K16" s="486"/>
      <c r="L16" s="82" t="s">
        <v>116</v>
      </c>
      <c r="M16" s="82" t="s">
        <v>117</v>
      </c>
      <c r="N16" s="83" t="s">
        <v>74</v>
      </c>
      <c r="Q16" s="485" t="str">
        <f>IF(F16&lt;&gt;"",F16,"")</f>
        <v xml:space="preserve">Estande 100m² </v>
      </c>
      <c r="R16" s="486"/>
      <c r="S16" s="486"/>
      <c r="T16" s="486"/>
      <c r="U16" s="486"/>
      <c r="V16" s="486"/>
      <c r="W16" s="486"/>
      <c r="X16" s="486"/>
      <c r="Y16" s="519"/>
      <c r="Z16" s="60" t="s">
        <v>118</v>
      </c>
      <c r="AA16" s="54" t="s">
        <v>75</v>
      </c>
      <c r="AM16" s="485"/>
      <c r="AN16" s="486"/>
    </row>
    <row r="17" spans="1:41" ht="60" customHeight="1">
      <c r="A17" s="183">
        <v>3</v>
      </c>
      <c r="B17" s="53" t="s">
        <v>120</v>
      </c>
      <c r="C17" s="184" t="s">
        <v>119</v>
      </c>
      <c r="D17" s="183" t="s">
        <v>121</v>
      </c>
      <c r="E17" s="183" t="s">
        <v>126</v>
      </c>
      <c r="F17" s="152" t="s">
        <v>285</v>
      </c>
      <c r="G17" s="153" t="s">
        <v>329</v>
      </c>
      <c r="H17" s="154">
        <v>1</v>
      </c>
      <c r="I17" s="154">
        <v>1</v>
      </c>
      <c r="J17" s="155">
        <v>2812.97</v>
      </c>
      <c r="K17" s="155">
        <f t="shared" ref="K17:K18" si="0">IF(F17&lt;&gt;"",H17*I17*J17,"")</f>
        <v>2812.97</v>
      </c>
      <c r="L17" s="156">
        <f>IF(K17&lt;&gt;"",IF(D17="INTERNO",0,K17*$L$14),"")</f>
        <v>210.97274999999999</v>
      </c>
      <c r="M17" s="156">
        <f>IF(K17&lt;&gt;"",IF(E17="FAT.OGGI",SUM(K17:L17)*(1/(1-$M$14)-1),L17*(1/(1-$M$14)-1)),0)</f>
        <v>733.90831250776705</v>
      </c>
      <c r="N17" s="157">
        <f t="shared" ref="N17:N18" si="1">SUM(K17:M17)</f>
        <v>3757.851062507767</v>
      </c>
      <c r="Q17" s="163">
        <f t="shared" ref="Q17:Q18" si="2">IF(H17&lt;&gt;"",H17,"")</f>
        <v>1</v>
      </c>
      <c r="R17" s="164">
        <v>1</v>
      </c>
      <c r="S17" s="165">
        <v>2812.97</v>
      </c>
      <c r="T17" s="165">
        <v>3286.5</v>
      </c>
      <c r="U17" s="166">
        <f t="shared" ref="U17:U18" si="3">IF(Q17&lt;&gt;"",K17-T17,"")</f>
        <v>-473.5300000000002</v>
      </c>
      <c r="V17" s="167">
        <f t="shared" ref="V17:V18" si="4">IF(Q17&lt;&gt;"",0%,"")</f>
        <v>0</v>
      </c>
      <c r="W17" s="168">
        <f t="shared" ref="W17:W18" si="5">IF(Q17&lt;&gt;"",V17*U17,"")</f>
        <v>0</v>
      </c>
      <c r="X17" s="168">
        <f t="shared" ref="X17:X18" si="6">IF(Q17&lt;&gt;"",W17+T17,"")</f>
        <v>3286.5</v>
      </c>
      <c r="Y17" s="169">
        <f t="shared" ref="Y17:Y18" si="7">IF(Q17&lt;&gt;"",X17+M17,"")</f>
        <v>4020.4083125077668</v>
      </c>
      <c r="Z17" s="61">
        <f t="shared" ref="Z17:Z18" si="8">IF(Q17&lt;&gt;"", IFERROR(U17/K17, 0), 0)</f>
        <v>-0.16833809105678349</v>
      </c>
      <c r="AA17" s="140" t="str">
        <f>IFERROR(T17/#REF!, "")</f>
        <v/>
      </c>
      <c r="AM17" s="380">
        <f>X17-AN17</f>
        <v>0</v>
      </c>
      <c r="AN17" s="381">
        <v>3286.5</v>
      </c>
      <c r="AO17" s="408" t="s">
        <v>342</v>
      </c>
    </row>
    <row r="18" spans="1:41" ht="60" customHeight="1">
      <c r="A18" s="181">
        <v>4</v>
      </c>
      <c r="B18" s="53" t="s">
        <v>97</v>
      </c>
      <c r="C18" s="182" t="s">
        <v>119</v>
      </c>
      <c r="D18" s="181" t="s">
        <v>121</v>
      </c>
      <c r="E18" s="181" t="s">
        <v>126</v>
      </c>
      <c r="F18" s="135" t="s">
        <v>284</v>
      </c>
      <c r="G18" s="136" t="s">
        <v>330</v>
      </c>
      <c r="H18" s="137">
        <v>1</v>
      </c>
      <c r="I18" s="137">
        <v>1</v>
      </c>
      <c r="J18" s="85">
        <v>2314.71</v>
      </c>
      <c r="K18" s="85">
        <f t="shared" si="0"/>
        <v>2314.71</v>
      </c>
      <c r="L18" s="85">
        <f>IF(K18&lt;&gt;"",IF(D18="INTERNO",0,K18*$L$14),"")</f>
        <v>173.60325</v>
      </c>
      <c r="M18" s="85">
        <f>IF(K18&lt;&gt;"",IF(E18="FAT.OGGI",SUM(K18:L18)*(1/(1-$M$14)-1),L18*(1/(1-$M$14)-1)),0)</f>
        <v>603.9114921399281</v>
      </c>
      <c r="N18" s="86">
        <f t="shared" si="1"/>
        <v>3092.2247421399284</v>
      </c>
      <c r="Q18" s="109">
        <f t="shared" si="2"/>
        <v>1</v>
      </c>
      <c r="R18" s="110">
        <v>1</v>
      </c>
      <c r="S18" s="146">
        <v>2314.71</v>
      </c>
      <c r="T18" s="146">
        <v>0</v>
      </c>
      <c r="U18" s="147">
        <f t="shared" si="3"/>
        <v>2314.71</v>
      </c>
      <c r="V18" s="58">
        <f t="shared" si="4"/>
        <v>0</v>
      </c>
      <c r="W18" s="59">
        <f t="shared" si="5"/>
        <v>0</v>
      </c>
      <c r="X18" s="59">
        <f t="shared" si="6"/>
        <v>0</v>
      </c>
      <c r="Y18" s="62">
        <f t="shared" si="7"/>
        <v>603.9114921399281</v>
      </c>
      <c r="Z18" s="61">
        <f t="shared" si="8"/>
        <v>1</v>
      </c>
      <c r="AA18" s="91" t="str">
        <f>IFERROR(T18/#REF!, "")</f>
        <v/>
      </c>
      <c r="AM18" s="380">
        <f>X18-AN18</f>
        <v>0</v>
      </c>
      <c r="AN18" s="381"/>
    </row>
    <row r="19" spans="1:41" ht="60" customHeight="1" thickBot="1">
      <c r="A19" s="181"/>
      <c r="B19" s="53" t="s">
        <v>97</v>
      </c>
      <c r="C19" s="182"/>
      <c r="D19" s="181"/>
      <c r="E19" s="181"/>
      <c r="F19" s="135" t="s">
        <v>381</v>
      </c>
      <c r="G19" s="136" t="s">
        <v>381</v>
      </c>
      <c r="H19" s="137">
        <v>1</v>
      </c>
      <c r="I19" s="137">
        <v>1</v>
      </c>
      <c r="J19" s="85">
        <v>2314.71</v>
      </c>
      <c r="K19" s="85">
        <v>2000</v>
      </c>
      <c r="L19" s="85">
        <f>IF(K19&lt;&gt;"",IF(D19="INTERNO",0,K19*$L$14),"")</f>
        <v>150</v>
      </c>
      <c r="M19" s="85">
        <v>521.79999999999995</v>
      </c>
      <c r="N19" s="86">
        <v>2671.8</v>
      </c>
      <c r="Q19" s="109">
        <f t="shared" ref="Q19" si="9">IF(H19&lt;&gt;"",H19,"")</f>
        <v>1</v>
      </c>
      <c r="R19" s="110">
        <v>2</v>
      </c>
      <c r="S19" s="146">
        <v>2314.71</v>
      </c>
      <c r="T19" s="146">
        <v>2000</v>
      </c>
      <c r="U19" s="147">
        <f t="shared" ref="U19" si="10">IF(Q19&lt;&gt;"",K19-T19,"")</f>
        <v>0</v>
      </c>
      <c r="V19" s="58">
        <f t="shared" ref="V19" si="11">IF(Q19&lt;&gt;"",0%,"")</f>
        <v>0</v>
      </c>
      <c r="W19" s="59">
        <f t="shared" ref="W19" si="12">IF(Q19&lt;&gt;"",V19*U19,"")</f>
        <v>0</v>
      </c>
      <c r="X19" s="59">
        <v>2000</v>
      </c>
      <c r="Y19" s="454"/>
      <c r="Z19" s="455"/>
      <c r="AA19" s="455"/>
      <c r="AM19" s="380"/>
      <c r="AN19" s="381"/>
    </row>
    <row r="20" spans="1:41" ht="30" customHeight="1" thickBot="1">
      <c r="A20" s="185">
        <v>5</v>
      </c>
      <c r="B20" s="100"/>
      <c r="C20" s="186" t="s">
        <v>123</v>
      </c>
      <c r="D20" s="185"/>
      <c r="E20" s="185"/>
      <c r="F20" s="63" t="s">
        <v>260</v>
      </c>
      <c r="G20" s="64"/>
      <c r="H20" s="112"/>
      <c r="I20" s="112"/>
      <c r="J20" s="64"/>
      <c r="K20" s="65">
        <f>SUM(K17:K19)</f>
        <v>7127.68</v>
      </c>
      <c r="L20" s="65">
        <f t="shared" ref="L20:N20" si="13">SUM(L17:L19)</f>
        <v>534.57600000000002</v>
      </c>
      <c r="M20" s="65">
        <f t="shared" si="13"/>
        <v>1859.619804647695</v>
      </c>
      <c r="N20" s="65">
        <f t="shared" si="13"/>
        <v>9521.8758046476942</v>
      </c>
      <c r="Q20" s="111" t="s">
        <v>42</v>
      </c>
      <c r="R20" s="112"/>
      <c r="S20" s="64"/>
      <c r="T20" s="65">
        <f>SUM(T17:T18)</f>
        <v>3286.5</v>
      </c>
      <c r="U20" s="65">
        <f>SUM(U17:U18)</f>
        <v>1841.1799999999998</v>
      </c>
      <c r="V20" s="64"/>
      <c r="W20" s="64"/>
      <c r="X20" s="65">
        <f>SUM(X17:X18)</f>
        <v>3286.5</v>
      </c>
      <c r="Y20" s="138">
        <f>SUM(Y17:Y18)</f>
        <v>4624.3198046476946</v>
      </c>
      <c r="Z20" s="142">
        <f>IF(Q20&lt;&gt;"",(N20-Y20)/N20,"")</f>
        <v>0.51434781344338354</v>
      </c>
      <c r="AA20" s="139">
        <f>IF(Z20&lt;&gt;"",(N20-Y20),"")</f>
        <v>4897.5559999999996</v>
      </c>
      <c r="AM20" s="380">
        <f>SUM(AM17:AM18)</f>
        <v>0</v>
      </c>
      <c r="AN20" s="381">
        <f>SUM(AN17:AN18)</f>
        <v>3286.5</v>
      </c>
    </row>
    <row r="22" spans="1:41">
      <c r="T22" s="145"/>
    </row>
    <row r="33" spans="6:41" s="170" customFormat="1" ht="26.1" customHeight="1">
      <c r="F33"/>
      <c r="G33"/>
      <c r="H33" s="38"/>
      <c r="I33" s="38"/>
      <c r="J33"/>
      <c r="K33"/>
      <c r="L33"/>
      <c r="M33"/>
      <c r="N33"/>
      <c r="O33"/>
      <c r="P33"/>
      <c r="Q33" s="38"/>
      <c r="R33" s="38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O33" s="409"/>
    </row>
    <row r="34" spans="6:41" s="170" customFormat="1" ht="27.6" customHeight="1">
      <c r="F34"/>
      <c r="G34"/>
      <c r="H34" s="38"/>
      <c r="I34" s="38"/>
      <c r="J34"/>
      <c r="K34"/>
      <c r="L34"/>
      <c r="M34"/>
      <c r="N34"/>
      <c r="O34"/>
      <c r="P34"/>
      <c r="Q34" s="38"/>
      <c r="R34" s="38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O34" s="409"/>
    </row>
    <row r="39" spans="6:41" s="170" customFormat="1" ht="27" customHeight="1">
      <c r="F39"/>
      <c r="G39"/>
      <c r="H39" s="38"/>
      <c r="I39" s="38"/>
      <c r="J39"/>
      <c r="K39"/>
      <c r="L39"/>
      <c r="M39"/>
      <c r="N39"/>
      <c r="O39"/>
      <c r="P39"/>
      <c r="Q39" s="38"/>
      <c r="R39" s="38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O39" s="409"/>
    </row>
    <row r="40" spans="6:41" s="170" customFormat="1" ht="24.9" customHeight="1">
      <c r="F40"/>
      <c r="G40"/>
      <c r="H40" s="38"/>
      <c r="I40" s="38"/>
      <c r="J40"/>
      <c r="K40"/>
      <c r="L40"/>
      <c r="M40"/>
      <c r="N40"/>
      <c r="O40"/>
      <c r="P40"/>
      <c r="Q40" s="38"/>
      <c r="R40" s="38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O40" s="409"/>
    </row>
  </sheetData>
  <mergeCells count="13">
    <mergeCell ref="F1:G1"/>
    <mergeCell ref="F2:G2"/>
    <mergeCell ref="Q12:T12"/>
    <mergeCell ref="U12:X12"/>
    <mergeCell ref="AC12:AE12"/>
    <mergeCell ref="AM15:AN15"/>
    <mergeCell ref="AM16:AN16"/>
    <mergeCell ref="AK12:AL12"/>
    <mergeCell ref="F15:N15"/>
    <mergeCell ref="Q15:Y15"/>
    <mergeCell ref="F16:K16"/>
    <mergeCell ref="Q16:Y16"/>
    <mergeCell ref="AG12:AH12"/>
  </mergeCells>
  <dataValidations count="3">
    <dataValidation type="list" allowBlank="1" showInputMessage="1" showErrorMessage="1" sqref="E20" xr:uid="{68110D77-0E56-4123-A203-C3F681ED7AC5}">
      <formula1>"FAT.OGGI,FAT.CLIENTE "</formula1>
    </dataValidation>
    <dataValidation type="list" allowBlank="1" showInputMessage="1" showErrorMessage="1" sqref="E17:E19" xr:uid="{C2BF6BF9-3913-424D-8C98-EFBEE047BB92}">
      <formula1>"FAT.OGGI,FAT.CLIENTE"</formula1>
    </dataValidation>
    <dataValidation type="list" allowBlank="1" showInputMessage="1" showErrorMessage="1" sqref="D17:D20" xr:uid="{7E745B3C-72D6-47E0-8CC0-209FEDE4341F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9DDD-1A0F-4D63-9220-95CDE61F577A}">
  <dimension ref="F3:G18"/>
  <sheetViews>
    <sheetView workbookViewId="0">
      <selection activeCell="F18" sqref="F18"/>
    </sheetView>
  </sheetViews>
  <sheetFormatPr defaultRowHeight="14.4"/>
  <cols>
    <col min="6" max="6" width="19.6640625" bestFit="1" customWidth="1"/>
    <col min="7" max="7" width="13.33203125" style="412" bestFit="1" customWidth="1"/>
  </cols>
  <sheetData>
    <row r="3" spans="6:7">
      <c r="F3" s="413" t="s">
        <v>347</v>
      </c>
      <c r="G3" s="414" t="s">
        <v>9</v>
      </c>
    </row>
    <row r="4" spans="6:7">
      <c r="F4" t="s">
        <v>348</v>
      </c>
      <c r="G4" s="412">
        <v>6000</v>
      </c>
    </row>
    <row r="5" spans="6:7">
      <c r="F5" t="s">
        <v>348</v>
      </c>
      <c r="G5" s="412">
        <v>40.380000000000003</v>
      </c>
    </row>
    <row r="6" spans="6:7">
      <c r="F6" t="s">
        <v>349</v>
      </c>
      <c r="G6" s="412">
        <v>792</v>
      </c>
    </row>
    <row r="7" spans="6:7">
      <c r="F7" t="s">
        <v>350</v>
      </c>
      <c r="G7" s="412">
        <v>123.11</v>
      </c>
    </row>
    <row r="8" spans="6:7">
      <c r="F8" t="s">
        <v>350</v>
      </c>
      <c r="G8" s="412">
        <v>2000</v>
      </c>
    </row>
    <row r="9" spans="6:7">
      <c r="F9" t="s">
        <v>350</v>
      </c>
      <c r="G9" s="412">
        <v>3000</v>
      </c>
    </row>
    <row r="10" spans="6:7">
      <c r="F10" t="s">
        <v>351</v>
      </c>
      <c r="G10" s="412">
        <v>233.78</v>
      </c>
    </row>
    <row r="11" spans="6:7">
      <c r="F11" t="s">
        <v>351</v>
      </c>
      <c r="G11" s="412">
        <v>1421</v>
      </c>
    </row>
    <row r="12" spans="6:7">
      <c r="F12" t="s">
        <v>352</v>
      </c>
      <c r="G12" s="412">
        <v>2179.85</v>
      </c>
    </row>
    <row r="13" spans="6:7">
      <c r="F13" t="s">
        <v>352</v>
      </c>
      <c r="G13" s="412">
        <v>2590</v>
      </c>
    </row>
    <row r="14" spans="6:7">
      <c r="F14" t="s">
        <v>355</v>
      </c>
      <c r="G14" s="412">
        <v>292</v>
      </c>
    </row>
    <row r="15" spans="6:7">
      <c r="F15" t="s">
        <v>352</v>
      </c>
      <c r="G15" s="412">
        <v>3238.32</v>
      </c>
    </row>
    <row r="16" spans="6:7">
      <c r="F16" t="s">
        <v>375</v>
      </c>
      <c r="G16" s="412">
        <v>400</v>
      </c>
    </row>
    <row r="17" spans="6:7">
      <c r="F17" t="s">
        <v>380</v>
      </c>
      <c r="G17" s="412">
        <v>290</v>
      </c>
    </row>
    <row r="18" spans="6:7">
      <c r="G18" s="415">
        <f>SUM(G4:G17)</f>
        <v>22600.440000000002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46BC-F466-41B3-9E18-8A665D569CB6}">
  <sheetPr codeName="Planilha1"/>
  <dimension ref="B1:F15"/>
  <sheetViews>
    <sheetView showGridLines="0" topLeftCell="A2" workbookViewId="0">
      <selection activeCell="J12" sqref="J12"/>
    </sheetView>
  </sheetViews>
  <sheetFormatPr defaultRowHeight="14.4"/>
  <cols>
    <col min="1" max="1" width="8.6640625" customWidth="1"/>
    <col min="2" max="2" width="37.5546875" customWidth="1"/>
    <col min="3" max="3" width="24.44140625" customWidth="1"/>
    <col min="4" max="4" width="18.44140625" customWidth="1"/>
    <col min="5" max="5" width="15" customWidth="1"/>
    <col min="6" max="6" width="13.6640625" bestFit="1" customWidth="1"/>
  </cols>
  <sheetData>
    <row r="1" spans="2:6" ht="15" thickBot="1"/>
    <row r="2" spans="2:6" ht="15" thickBot="1">
      <c r="B2" s="535" t="s">
        <v>254</v>
      </c>
      <c r="C2" s="536"/>
      <c r="D2" s="536"/>
      <c r="E2" s="536"/>
      <c r="F2" s="537"/>
    </row>
    <row r="3" spans="2:6" ht="15" thickBot="1">
      <c r="B3" s="101" t="s">
        <v>158</v>
      </c>
      <c r="C3" s="104" t="s">
        <v>33</v>
      </c>
      <c r="D3" s="101" t="s">
        <v>159</v>
      </c>
      <c r="E3" s="102"/>
      <c r="F3" s="103"/>
    </row>
    <row r="4" spans="2:6" ht="24.75" customHeight="1">
      <c r="B4" s="196" t="s">
        <v>164</v>
      </c>
      <c r="C4" s="197">
        <f>Taxas!$N$24</f>
        <v>13434.79</v>
      </c>
      <c r="D4" s="114"/>
      <c r="E4" s="115">
        <v>0</v>
      </c>
      <c r="F4" s="133">
        <f>E4*100%/C4</f>
        <v>0</v>
      </c>
    </row>
    <row r="5" spans="2:6" ht="24.75" customHeight="1" thickBot="1">
      <c r="B5" s="203" t="s">
        <v>313</v>
      </c>
      <c r="C5" s="204">
        <f>SUM(C4)</f>
        <v>13434.79</v>
      </c>
      <c r="D5" s="193">
        <f>SUM(D4)</f>
        <v>0</v>
      </c>
      <c r="E5" s="194">
        <v>0</v>
      </c>
      <c r="F5" s="134">
        <f>E5*100%/C5</f>
        <v>0</v>
      </c>
    </row>
    <row r="6" spans="2:6" s="202" customFormat="1" ht="16.5" customHeight="1" thickBot="1">
      <c r="B6" s="198"/>
      <c r="C6" s="199"/>
      <c r="D6" s="201"/>
      <c r="E6" s="201"/>
      <c r="F6" s="200"/>
    </row>
    <row r="7" spans="2:6" ht="24.75" customHeight="1">
      <c r="B7" s="205" t="s">
        <v>307</v>
      </c>
      <c r="C7" s="206">
        <f>Operação!N58</f>
        <v>135000.07766869641</v>
      </c>
      <c r="D7" s="114">
        <f>Operação!Y58</f>
        <v>104414.69516869642</v>
      </c>
      <c r="E7" s="213">
        <f>C7-D7</f>
        <v>30585.382499999992</v>
      </c>
      <c r="F7" s="207">
        <f t="shared" ref="F7" si="0">E7*100%/C7</f>
        <v>0.22655825854455844</v>
      </c>
    </row>
    <row r="8" spans="2:6" ht="24.75" customHeight="1" thickBot="1">
      <c r="B8" s="191" t="s">
        <v>306</v>
      </c>
      <c r="C8" s="192">
        <f>Extras!N33</f>
        <v>28824.879271778304</v>
      </c>
      <c r="D8" s="193">
        <f>Extras!Y33</f>
        <v>18719.098921778306</v>
      </c>
      <c r="E8" s="214">
        <f>C8-D8</f>
        <v>10105.780349999997</v>
      </c>
      <c r="F8" s="134">
        <f>E8*100%/C8</f>
        <v>0.3505922871251817</v>
      </c>
    </row>
    <row r="9" spans="2:6" ht="24.75" customHeight="1" thickBot="1">
      <c r="B9" s="203" t="s">
        <v>314</v>
      </c>
      <c r="C9" s="204">
        <f>SUM(C7:C8)</f>
        <v>163824.95694047472</v>
      </c>
      <c r="D9" s="132">
        <f>SUM(D7:D8)</f>
        <v>123133.79409047472</v>
      </c>
      <c r="E9" s="132">
        <f>SUM(E7:E8)</f>
        <v>40691.162849999993</v>
      </c>
      <c r="F9" s="134">
        <f>E9*100%/C9</f>
        <v>0.24838195357978943</v>
      </c>
    </row>
    <row r="10" spans="2:6" ht="16.5" customHeight="1" thickBot="1">
      <c r="E10" s="215"/>
    </row>
    <row r="11" spans="2:6" ht="24.75" customHeight="1">
      <c r="B11" s="205" t="s">
        <v>308</v>
      </c>
      <c r="C11" s="206">
        <f>Estandes!N23</f>
        <v>179274.92335031688</v>
      </c>
      <c r="D11" s="114">
        <f>Estandes!Y23</f>
        <v>150949.07835031685</v>
      </c>
      <c r="E11" s="213">
        <f>C11-D11</f>
        <v>28325.84500000003</v>
      </c>
      <c r="F11" s="133">
        <f>E11*100%/C11</f>
        <v>0.15800227087337346</v>
      </c>
    </row>
    <row r="12" spans="2:6" ht="24.75" customHeight="1" thickBot="1">
      <c r="B12" s="203" t="s">
        <v>314</v>
      </c>
      <c r="C12" s="204">
        <f>SUM(C11)</f>
        <v>179274.92335031688</v>
      </c>
      <c r="D12" s="132">
        <f>SUM(D11)</f>
        <v>150949.07835031685</v>
      </c>
      <c r="E12" s="132">
        <f>SUM(E11)</f>
        <v>28325.84500000003</v>
      </c>
      <c r="F12" s="134">
        <f>E12*100%/C12</f>
        <v>0.15800227087337346</v>
      </c>
    </row>
    <row r="13" spans="2:6" ht="16.5" customHeight="1">
      <c r="E13" s="215"/>
    </row>
    <row r="14" spans="2:6" ht="24.75" customHeight="1" thickBot="1">
      <c r="B14" s="203" t="s">
        <v>315</v>
      </c>
      <c r="C14" s="204">
        <f>C12+C9+C5</f>
        <v>356534.6702907916</v>
      </c>
      <c r="E14" s="215"/>
    </row>
    <row r="15" spans="2:6" ht="24.75" customHeight="1">
      <c r="B15" s="208" t="s">
        <v>316</v>
      </c>
      <c r="C15" s="209">
        <f>C9+C12</f>
        <v>343099.88029079163</v>
      </c>
      <c r="D15" s="113">
        <f>D9+D12</f>
        <v>274082.87244079157</v>
      </c>
      <c r="E15" s="216">
        <f>C15-D15</f>
        <v>69017.007850000053</v>
      </c>
      <c r="F15" s="195">
        <f>E15*100%/C15</f>
        <v>0.20115719012057137</v>
      </c>
    </row>
  </sheetData>
  <mergeCells count="1">
    <mergeCell ref="B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>
      <c r="A1" s="539" t="s">
        <v>10</v>
      </c>
      <c r="B1" s="539"/>
      <c r="C1" s="539"/>
      <c r="D1" s="541" t="s">
        <v>53</v>
      </c>
      <c r="E1" s="541"/>
      <c r="F1" s="541"/>
      <c r="G1" s="541"/>
      <c r="H1" s="541"/>
      <c r="I1" s="541"/>
      <c r="J1" s="30" t="s">
        <v>10</v>
      </c>
      <c r="K1" s="30" t="s">
        <v>10</v>
      </c>
      <c r="L1" s="30" t="s">
        <v>10</v>
      </c>
      <c r="M1" s="30" t="s">
        <v>10</v>
      </c>
      <c r="N1" s="30" t="s">
        <v>10</v>
      </c>
      <c r="O1" s="31" t="s">
        <v>10</v>
      </c>
    </row>
    <row r="2" spans="1:15">
      <c r="A2" s="540"/>
      <c r="B2" s="540"/>
      <c r="C2" s="540"/>
      <c r="D2" s="539" t="s">
        <v>54</v>
      </c>
      <c r="E2" s="539"/>
      <c r="F2" s="539"/>
      <c r="G2" s="539"/>
      <c r="H2" s="539"/>
      <c r="I2" s="539"/>
      <c r="J2" s="30"/>
      <c r="K2" s="30"/>
      <c r="L2" s="30"/>
      <c r="M2" s="30"/>
      <c r="N2" s="30"/>
      <c r="O2" s="542" t="s">
        <v>55</v>
      </c>
    </row>
    <row r="3" spans="1:15">
      <c r="A3" s="540"/>
      <c r="B3" s="540"/>
      <c r="C3" s="540"/>
      <c r="D3" s="539" t="s">
        <v>56</v>
      </c>
      <c r="E3" s="539"/>
      <c r="F3" s="539"/>
      <c r="G3" s="539"/>
      <c r="H3" s="539"/>
      <c r="I3" s="539"/>
      <c r="J3" s="30"/>
      <c r="K3" s="30"/>
      <c r="L3" s="30"/>
      <c r="M3" s="30"/>
      <c r="N3" s="30"/>
      <c r="O3" s="543"/>
    </row>
    <row r="4" spans="1:15">
      <c r="A4" s="540"/>
      <c r="B4" s="540"/>
      <c r="C4" s="540"/>
      <c r="D4" s="539" t="s">
        <v>57</v>
      </c>
      <c r="E4" s="539"/>
      <c r="F4" s="539"/>
      <c r="G4" s="539"/>
      <c r="H4" s="539"/>
      <c r="I4" s="539"/>
      <c r="J4" s="30"/>
      <c r="K4" s="30"/>
      <c r="L4" s="30"/>
      <c r="M4" s="30"/>
      <c r="N4" s="30"/>
      <c r="O4" s="543"/>
    </row>
    <row r="5" spans="1:15">
      <c r="A5" s="540"/>
      <c r="B5" s="540"/>
      <c r="C5" s="540"/>
      <c r="D5" s="539" t="s">
        <v>58</v>
      </c>
      <c r="E5" s="539"/>
      <c r="F5" s="539"/>
      <c r="G5" s="539"/>
      <c r="H5" s="539"/>
      <c r="I5" s="539"/>
      <c r="J5" s="30"/>
      <c r="K5" s="30"/>
      <c r="L5" s="30"/>
      <c r="M5" s="30"/>
      <c r="N5" s="30"/>
      <c r="O5" s="543"/>
    </row>
    <row r="6" spans="1:15">
      <c r="A6" s="540"/>
      <c r="B6" s="540"/>
      <c r="C6" s="54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543"/>
    </row>
    <row r="7" spans="1:15">
      <c r="A7" s="540"/>
      <c r="B7" s="540"/>
      <c r="C7" s="540"/>
      <c r="D7" s="539" t="s">
        <v>59</v>
      </c>
      <c r="E7" s="539"/>
      <c r="F7" s="539"/>
      <c r="G7" s="539"/>
      <c r="H7" s="539"/>
      <c r="I7" s="539"/>
      <c r="J7" s="30"/>
      <c r="K7" s="30"/>
      <c r="L7" s="30"/>
      <c r="M7" s="30"/>
      <c r="N7" s="30"/>
      <c r="O7" s="32">
        <v>45264.482613275461</v>
      </c>
    </row>
    <row r="8" spans="1:15">
      <c r="A8" s="538" t="s">
        <v>60</v>
      </c>
      <c r="B8" s="538"/>
      <c r="C8" s="538"/>
      <c r="D8" s="538"/>
      <c r="E8" s="538"/>
      <c r="F8" s="538"/>
      <c r="G8" s="538"/>
      <c r="H8" s="538"/>
      <c r="I8" s="538"/>
      <c r="J8" s="538"/>
      <c r="K8" s="538"/>
      <c r="L8" s="538"/>
      <c r="M8" s="538"/>
      <c r="N8" s="538"/>
      <c r="O8" s="538"/>
    </row>
    <row r="9" spans="1:15" ht="27.6">
      <c r="A9" s="33" t="s">
        <v>61</v>
      </c>
      <c r="B9" s="33" t="s">
        <v>62</v>
      </c>
      <c r="C9" s="33" t="s">
        <v>63</v>
      </c>
      <c r="D9" s="33" t="s">
        <v>47</v>
      </c>
      <c r="E9" s="33" t="s">
        <v>64</v>
      </c>
      <c r="F9" s="33" t="s">
        <v>65</v>
      </c>
      <c r="G9" s="33" t="s">
        <v>33</v>
      </c>
      <c r="H9" s="33" t="s">
        <v>66</v>
      </c>
      <c r="I9" s="33" t="s">
        <v>67</v>
      </c>
      <c r="J9" s="33" t="s">
        <v>65</v>
      </c>
      <c r="K9" s="33" t="s">
        <v>68</v>
      </c>
      <c r="L9" s="33" t="s">
        <v>69</v>
      </c>
      <c r="M9" s="33" t="s">
        <v>70</v>
      </c>
      <c r="N9" s="33" t="s">
        <v>71</v>
      </c>
      <c r="O9" s="34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/>
    <row r="2" spans="2:12" ht="38.4" customHeight="1">
      <c r="B2" s="577" t="s">
        <v>3</v>
      </c>
      <c r="C2" s="578"/>
      <c r="D2" s="578"/>
      <c r="E2" s="578"/>
      <c r="F2" s="578"/>
      <c r="G2" s="578"/>
      <c r="H2" s="578"/>
      <c r="I2" s="578"/>
      <c r="J2" s="578"/>
      <c r="K2" s="578"/>
      <c r="L2" s="579"/>
    </row>
    <row r="3" spans="2:12" ht="47.4" customHeight="1" thickBot="1">
      <c r="B3" s="580" t="s">
        <v>11</v>
      </c>
      <c r="C3" s="581"/>
      <c r="D3" s="581"/>
      <c r="E3" s="581"/>
      <c r="F3" s="581"/>
      <c r="G3" s="581"/>
      <c r="H3" s="581"/>
      <c r="I3" s="581"/>
      <c r="J3" s="581"/>
      <c r="K3" s="581"/>
      <c r="L3" s="582"/>
    </row>
    <row r="4" spans="2:12" ht="7.35" customHeight="1" thickBot="1"/>
    <row r="5" spans="2:12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>
      <c r="B6" s="4"/>
      <c r="C6" s="549" t="s">
        <v>12</v>
      </c>
      <c r="D6" s="549"/>
      <c r="E6" s="549"/>
      <c r="F6" s="549"/>
      <c r="G6" s="549"/>
      <c r="H6" s="549"/>
      <c r="I6" s="549"/>
      <c r="J6" s="549"/>
      <c r="K6" s="549"/>
      <c r="L6" s="5"/>
    </row>
    <row r="7" spans="2:12" ht="6" customHeight="1">
      <c r="B7" s="4"/>
      <c r="L7" s="5"/>
    </row>
    <row r="8" spans="2:12">
      <c r="B8" s="4"/>
      <c r="C8" s="6" t="s">
        <v>13</v>
      </c>
      <c r="D8" s="583" t="s">
        <v>98</v>
      </c>
      <c r="E8" s="584"/>
      <c r="F8" s="584"/>
      <c r="G8" s="584"/>
      <c r="H8" s="584"/>
      <c r="I8" s="584"/>
      <c r="J8" s="584"/>
      <c r="K8" s="585"/>
      <c r="L8" s="5"/>
    </row>
    <row r="9" spans="2:12">
      <c r="B9" s="4"/>
      <c r="C9" s="7" t="s">
        <v>14</v>
      </c>
      <c r="D9" s="570" t="s">
        <v>15</v>
      </c>
      <c r="E9" s="571"/>
      <c r="F9" s="571"/>
      <c r="G9" s="571"/>
      <c r="H9" s="571"/>
      <c r="I9" s="571"/>
      <c r="J9" s="571"/>
      <c r="K9" s="572"/>
      <c r="L9" s="5"/>
    </row>
    <row r="10" spans="2:12">
      <c r="B10" s="4"/>
      <c r="C10" s="7" t="s">
        <v>16</v>
      </c>
      <c r="D10" s="570" t="s">
        <v>10</v>
      </c>
      <c r="E10" s="571"/>
      <c r="F10" s="571"/>
      <c r="G10" s="571"/>
      <c r="H10" s="571"/>
      <c r="I10" s="571"/>
      <c r="J10" s="571"/>
      <c r="K10" s="572"/>
      <c r="L10" s="5"/>
    </row>
    <row r="11" spans="2:12">
      <c r="B11" s="4"/>
      <c r="C11" s="7" t="s">
        <v>17</v>
      </c>
      <c r="D11" s="570" t="s">
        <v>99</v>
      </c>
      <c r="E11" s="571"/>
      <c r="F11" s="571"/>
      <c r="G11" s="571"/>
      <c r="H11" s="571"/>
      <c r="I11" s="571"/>
      <c r="J11" s="571"/>
      <c r="K11" s="572"/>
      <c r="L11" s="5"/>
    </row>
    <row r="12" spans="2:12">
      <c r="B12" s="4"/>
      <c r="C12" s="10" t="s">
        <v>18</v>
      </c>
      <c r="D12" s="567" t="s">
        <v>100</v>
      </c>
      <c r="E12" s="568"/>
      <c r="F12" s="568"/>
      <c r="G12" s="568"/>
      <c r="H12" s="569"/>
      <c r="I12" s="11" t="s">
        <v>19</v>
      </c>
      <c r="J12" s="567" t="s">
        <v>97</v>
      </c>
      <c r="K12" s="569"/>
      <c r="L12" s="5"/>
    </row>
    <row r="13" spans="2:12" ht="6" customHeight="1" thickBot="1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/>
    <row r="15" spans="2:12" ht="8.1" customHeight="1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>
      <c r="B16" s="4"/>
      <c r="C16" s="549" t="s">
        <v>20</v>
      </c>
      <c r="D16" s="549"/>
      <c r="E16" s="549"/>
      <c r="F16" s="549"/>
      <c r="G16" s="549"/>
      <c r="H16" s="549"/>
      <c r="I16" s="549"/>
      <c r="J16" s="549"/>
      <c r="K16" s="549"/>
      <c r="L16" s="5"/>
    </row>
    <row r="17" spans="2:12" ht="9" customHeight="1">
      <c r="B17" s="4"/>
      <c r="L17" s="5"/>
    </row>
    <row r="18" spans="2:12">
      <c r="B18" s="4"/>
      <c r="C18" s="6"/>
      <c r="D18" s="573" t="s">
        <v>73</v>
      </c>
      <c r="E18" s="573"/>
      <c r="F18" s="573"/>
      <c r="G18" s="564"/>
      <c r="H18" s="573" t="s">
        <v>21</v>
      </c>
      <c r="I18" s="573"/>
      <c r="J18" s="573"/>
      <c r="K18" s="564"/>
      <c r="L18" s="5"/>
    </row>
    <row r="19" spans="2:12">
      <c r="B19" s="4"/>
      <c r="C19" s="15" t="s">
        <v>22</v>
      </c>
      <c r="D19" s="574" t="s">
        <v>102</v>
      </c>
      <c r="E19" s="575"/>
      <c r="F19" s="575"/>
      <c r="G19" s="575"/>
      <c r="H19" s="575"/>
      <c r="I19" s="575"/>
      <c r="J19" s="575"/>
      <c r="K19" s="576"/>
      <c r="L19" s="5"/>
    </row>
    <row r="20" spans="2:12">
      <c r="B20" s="4"/>
      <c r="C20" s="7" t="s">
        <v>23</v>
      </c>
      <c r="D20" s="570"/>
      <c r="E20" s="571"/>
      <c r="F20" s="571"/>
      <c r="G20" s="571"/>
      <c r="H20" s="571"/>
      <c r="I20" s="571"/>
      <c r="J20" s="571"/>
      <c r="K20" s="572"/>
      <c r="L20" s="5"/>
    </row>
    <row r="21" spans="2:12">
      <c r="B21" s="4"/>
      <c r="C21" s="7" t="s">
        <v>24</v>
      </c>
      <c r="D21" s="570" t="s">
        <v>106</v>
      </c>
      <c r="E21" s="572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>
      <c r="B22" s="4"/>
      <c r="C22" s="7" t="s">
        <v>27</v>
      </c>
      <c r="D22" s="570" t="s">
        <v>101</v>
      </c>
      <c r="E22" s="571"/>
      <c r="F22" s="571"/>
      <c r="G22" s="572"/>
      <c r="H22" s="7" t="s">
        <v>28</v>
      </c>
      <c r="I22" s="570"/>
      <c r="J22" s="571"/>
      <c r="K22" s="572"/>
      <c r="L22" s="5"/>
    </row>
    <row r="23" spans="2:12">
      <c r="B23" s="4"/>
      <c r="C23" s="10" t="s">
        <v>29</v>
      </c>
      <c r="D23" s="567" t="s">
        <v>103</v>
      </c>
      <c r="E23" s="568"/>
      <c r="F23" s="568"/>
      <c r="G23" s="569"/>
      <c r="H23" s="10" t="s">
        <v>30</v>
      </c>
      <c r="I23" s="567" t="s">
        <v>10</v>
      </c>
      <c r="J23" s="568"/>
      <c r="K23" s="569"/>
      <c r="L23" s="5"/>
    </row>
    <row r="24" spans="2:12" ht="6.75" customHeight="1" thickBot="1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/>
    <row r="26" spans="2:12" ht="8.1" customHeight="1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>
      <c r="B27" s="4"/>
      <c r="C27" s="549" t="s">
        <v>20</v>
      </c>
      <c r="D27" s="549"/>
      <c r="E27" s="549"/>
      <c r="F27" s="549"/>
      <c r="G27" s="549"/>
      <c r="H27" s="549"/>
      <c r="I27" s="549"/>
      <c r="J27" s="549"/>
      <c r="K27" s="549"/>
      <c r="L27" s="5"/>
    </row>
    <row r="28" spans="2:12">
      <c r="B28" s="4"/>
      <c r="L28" s="5"/>
    </row>
    <row r="29" spans="2:12">
      <c r="B29" s="4"/>
      <c r="C29" s="6" t="s">
        <v>31</v>
      </c>
      <c r="D29" s="563" t="s">
        <v>32</v>
      </c>
      <c r="E29" s="564"/>
      <c r="F29" s="563" t="s">
        <v>33</v>
      </c>
      <c r="G29" s="564"/>
      <c r="H29" s="565" t="s">
        <v>34</v>
      </c>
      <c r="I29" s="565"/>
      <c r="J29" s="565"/>
      <c r="K29" s="566"/>
      <c r="L29" s="5"/>
    </row>
    <row r="30" spans="2:12">
      <c r="B30" s="4"/>
      <c r="C30" s="17" t="s">
        <v>35</v>
      </c>
      <c r="D30" s="550" t="s">
        <v>104</v>
      </c>
      <c r="E30" s="551"/>
      <c r="F30" s="552" t="s">
        <v>109</v>
      </c>
      <c r="G30" s="553"/>
      <c r="H30" s="18" t="s">
        <v>105</v>
      </c>
      <c r="I30" s="563" t="s">
        <v>39</v>
      </c>
      <c r="J30" s="564"/>
      <c r="K30" s="6" t="s">
        <v>37</v>
      </c>
      <c r="L30" s="5"/>
    </row>
    <row r="31" spans="2:12">
      <c r="B31" s="4"/>
      <c r="C31" s="17" t="s">
        <v>38</v>
      </c>
      <c r="D31" s="550" t="s">
        <v>10</v>
      </c>
      <c r="E31" s="551"/>
      <c r="F31" s="552" t="s">
        <v>10</v>
      </c>
      <c r="G31" s="553"/>
      <c r="H31" s="17" t="s">
        <v>36</v>
      </c>
      <c r="I31" s="554" t="s">
        <v>39</v>
      </c>
      <c r="J31" s="555"/>
      <c r="K31" s="7" t="s">
        <v>37</v>
      </c>
      <c r="L31" s="5"/>
    </row>
    <row r="32" spans="2:12">
      <c r="B32" s="4"/>
      <c r="C32" s="17" t="s">
        <v>40</v>
      </c>
      <c r="D32" s="550" t="s">
        <v>10</v>
      </c>
      <c r="E32" s="551"/>
      <c r="F32" s="552" t="s">
        <v>10</v>
      </c>
      <c r="G32" s="553"/>
      <c r="H32" s="17" t="s">
        <v>36</v>
      </c>
      <c r="I32" s="554" t="s">
        <v>39</v>
      </c>
      <c r="J32" s="555"/>
      <c r="K32" s="7" t="s">
        <v>37</v>
      </c>
      <c r="L32" s="5"/>
    </row>
    <row r="33" spans="2:12">
      <c r="B33" s="4"/>
      <c r="C33" s="19" t="s">
        <v>41</v>
      </c>
      <c r="D33" s="550" t="s">
        <v>10</v>
      </c>
      <c r="E33" s="551"/>
      <c r="F33" s="556" t="s">
        <v>10</v>
      </c>
      <c r="G33" s="557"/>
      <c r="H33" s="17" t="s">
        <v>36</v>
      </c>
      <c r="I33" s="554" t="s">
        <v>39</v>
      </c>
      <c r="J33" s="555"/>
      <c r="K33" s="7" t="s">
        <v>37</v>
      </c>
      <c r="L33" s="5"/>
    </row>
    <row r="34" spans="2:12">
      <c r="B34" s="4"/>
      <c r="C34" s="558" t="s">
        <v>42</v>
      </c>
      <c r="D34" s="559"/>
      <c r="E34" s="560"/>
      <c r="F34" s="561" t="s">
        <v>109</v>
      </c>
      <c r="G34" s="562"/>
      <c r="H34" s="20"/>
      <c r="I34" s="21"/>
      <c r="J34" s="22"/>
      <c r="K34" s="20"/>
      <c r="L34" s="5"/>
    </row>
    <row r="35" spans="2:12" ht="15" thickBot="1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/>
    <row r="37" spans="2:12" ht="6" customHeight="1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>
      <c r="B38" s="4"/>
      <c r="C38" s="549" t="s">
        <v>43</v>
      </c>
      <c r="D38" s="549"/>
      <c r="E38" s="549"/>
      <c r="F38" s="549"/>
      <c r="G38" s="549"/>
      <c r="H38" s="549"/>
      <c r="I38" s="549"/>
      <c r="J38" s="549"/>
      <c r="K38" s="549"/>
      <c r="L38" s="5"/>
    </row>
    <row r="39" spans="2:12">
      <c r="B39" s="4"/>
      <c r="C39" s="547" t="s">
        <v>110</v>
      </c>
      <c r="D39" s="547"/>
      <c r="E39" s="547"/>
      <c r="F39" s="547"/>
      <c r="G39" s="547"/>
      <c r="H39" s="547"/>
      <c r="I39" s="547"/>
      <c r="J39" s="547"/>
      <c r="K39" s="547"/>
      <c r="L39" s="5"/>
    </row>
    <row r="40" spans="2:12">
      <c r="B40" s="4"/>
      <c r="C40" s="547"/>
      <c r="D40" s="547"/>
      <c r="E40" s="547"/>
      <c r="F40" s="547"/>
      <c r="G40" s="547"/>
      <c r="H40" s="547"/>
      <c r="I40" s="547"/>
      <c r="J40" s="547"/>
      <c r="K40" s="547"/>
      <c r="L40" s="5"/>
    </row>
    <row r="41" spans="2:12">
      <c r="B41" s="4"/>
      <c r="C41" s="547"/>
      <c r="D41" s="547"/>
      <c r="E41" s="547"/>
      <c r="F41" s="547"/>
      <c r="G41" s="547"/>
      <c r="H41" s="547"/>
      <c r="I41" s="547"/>
      <c r="J41" s="547"/>
      <c r="K41" s="547"/>
      <c r="L41" s="5"/>
    </row>
    <row r="42" spans="2:12">
      <c r="B42" s="4"/>
      <c r="C42" s="547"/>
      <c r="D42" s="547"/>
      <c r="E42" s="547"/>
      <c r="F42" s="547"/>
      <c r="G42" s="547"/>
      <c r="H42" s="547"/>
      <c r="I42" s="547"/>
      <c r="J42" s="547"/>
      <c r="K42" s="547"/>
      <c r="L42" s="5"/>
    </row>
    <row r="43" spans="2:12">
      <c r="B43" s="4"/>
      <c r="C43" s="547"/>
      <c r="D43" s="547"/>
      <c r="E43" s="547"/>
      <c r="F43" s="547"/>
      <c r="G43" s="547"/>
      <c r="H43" s="547"/>
      <c r="I43" s="547"/>
      <c r="J43" s="547"/>
      <c r="K43" s="547"/>
      <c r="L43" s="5"/>
    </row>
    <row r="44" spans="2:12">
      <c r="B44" s="4"/>
      <c r="C44" s="547"/>
      <c r="D44" s="547"/>
      <c r="E44" s="547"/>
      <c r="F44" s="547"/>
      <c r="G44" s="547"/>
      <c r="H44" s="547"/>
      <c r="I44" s="547"/>
      <c r="J44" s="547"/>
      <c r="K44" s="547"/>
      <c r="L44" s="5"/>
    </row>
    <row r="45" spans="2:12">
      <c r="B45" s="4"/>
      <c r="C45" s="548"/>
      <c r="D45" s="548"/>
      <c r="E45" s="548"/>
      <c r="F45" s="548"/>
      <c r="G45" s="548"/>
      <c r="H45" s="548"/>
      <c r="I45" s="548"/>
      <c r="J45" s="548"/>
      <c r="K45" s="548"/>
      <c r="L45" s="5"/>
    </row>
    <row r="46" spans="2:12" ht="8.4" customHeight="1" thickBot="1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/>
    <row r="48" spans="2:12">
      <c r="B48" s="544" t="s">
        <v>44</v>
      </c>
      <c r="C48" s="545"/>
      <c r="D48" s="2"/>
      <c r="E48" s="2"/>
      <c r="F48" s="2"/>
      <c r="G48" s="2"/>
      <c r="H48" s="2"/>
      <c r="I48" s="2"/>
      <c r="J48" s="2"/>
      <c r="K48" s="2"/>
      <c r="L48" s="3"/>
    </row>
    <row r="49" spans="2:12">
      <c r="B49" s="4"/>
      <c r="L49" s="5"/>
    </row>
    <row r="50" spans="2:12">
      <c r="B50" s="4"/>
      <c r="C50" s="23"/>
      <c r="L50" s="5"/>
    </row>
    <row r="51" spans="2:12">
      <c r="B51" s="4"/>
      <c r="C51" s="546" t="s">
        <v>45</v>
      </c>
      <c r="D51" s="546"/>
      <c r="E51" s="546"/>
      <c r="F51" s="546"/>
      <c r="H51" s="546" t="s">
        <v>46</v>
      </c>
      <c r="I51" s="546"/>
      <c r="J51" s="546"/>
      <c r="K51" s="546"/>
      <c r="L51" s="5"/>
    </row>
    <row r="52" spans="2:12" ht="15" thickBot="1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4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15</vt:i4>
      </vt:variant>
    </vt:vector>
  </HeadingPairs>
  <TitlesOfParts>
    <vt:vector size="25" baseType="lpstr">
      <vt:lpstr>RESUMO</vt:lpstr>
      <vt:lpstr>Taxas</vt:lpstr>
      <vt:lpstr>Operação</vt:lpstr>
      <vt:lpstr>Estandes</vt:lpstr>
      <vt:lpstr>Extras</vt:lpstr>
      <vt:lpstr>Extras DPA</vt:lpstr>
      <vt:lpstr>CUSTOS OP.</vt:lpstr>
      <vt:lpstr>Resumo 02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2026-06-23T15:43:10Z</cp:lastPrinted>
  <dcterms:created xsi:type="dcterms:W3CDTF">2023-09-21T21:02:20Z</dcterms:created>
  <dcterms:modified xsi:type="dcterms:W3CDTF">2026-06-26T21:03:40Z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