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4 abril\"/>
    </mc:Choice>
  </mc:AlternateContent>
  <xr:revisionPtr revIDLastSave="0" documentId="13_ncr:1_{498F7568-A359-4485-A5FF-439865EAA2CE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93" r:id="rId1"/>
    <sheet name="Principal" sheetId="91" r:id="rId2"/>
    <sheet name="Planilha1" sheetId="92" state="hidden" r:id="rId3"/>
    <sheet name="Solicitações de Pagamento" sheetId="4" state="hidden" r:id="rId4"/>
    <sheet name="ItensOrc" sheetId="76" state="hidden" r:id="rId5"/>
    <sheet name="Template SP" sheetId="3" state="hidden" r:id="rId6"/>
  </sheets>
  <definedNames>
    <definedName name="_xlnm._FilterDatabase" localSheetId="1" hidden="1">Principal!$A$1:$AL$14</definedName>
    <definedName name="_xleta.N" hidden="1" xlm="1">#NAME?</definedName>
    <definedName name="_xleta.SUM" hidden="1" xlm="1">#NAME?</definedName>
    <definedName name="itensorc_desconto" localSheetId="4">ItensOrc!$M:$M</definedName>
    <definedName name="itensorc_desconto">#REF!</definedName>
    <definedName name="itensorc_descricao" localSheetId="4">ItensOrc!$D:$D</definedName>
    <definedName name="itensorc_descricao">#REF!</definedName>
    <definedName name="itensorc_encargos" localSheetId="4">ItensOrc!$N:$N</definedName>
    <definedName name="itensorc_encargos">#REF!</definedName>
    <definedName name="itensorc_especifica" localSheetId="4">ItensOrc!$O:$O</definedName>
    <definedName name="itensorc_especifica">#REF!</definedName>
    <definedName name="itensorc_item" localSheetId="4">ItensOrc!$C:$C</definedName>
    <definedName name="itensorc_item">#REF!</definedName>
    <definedName name="itensorc_lancamento" localSheetId="4">ItensOrc!$B:$B</definedName>
    <definedName name="itensorc_lancamento">#REF!</definedName>
    <definedName name="itensorc_percentualhonorarios" localSheetId="4">ItensOrc!$L:$L</definedName>
    <definedName name="itensorc_percentualhonorarios">#REF!</definedName>
    <definedName name="itensorc_quantidade" localSheetId="4">ItensOrc!$E:$E</definedName>
    <definedName name="itensorc_quantidade">#REF!</definedName>
    <definedName name="itensorc_situacao" localSheetId="4">ItensOrc!$H:$H</definedName>
    <definedName name="itensorc_situacao">#REF!</definedName>
    <definedName name="itensorc_subtipo" localSheetId="4">ItensOrc!$K:$K</definedName>
    <definedName name="itensorc_subtipo">#REF!</definedName>
    <definedName name="itensorc_tiporeceita" localSheetId="4">ItensOrc!$A:$A</definedName>
    <definedName name="itensorc_tiporeceita">#REF!</definedName>
    <definedName name="itensorc_valor" localSheetId="4">ItensOrc!$G:$G</definedName>
    <definedName name="itensorc_valor">#REF!</definedName>
    <definedName name="itensorc_valorfornecedor" localSheetId="4">ItensOrc!$I:$I</definedName>
    <definedName name="itensorc_valorfornecedor">#REF!</definedName>
    <definedName name="itensorc_valorfornecedorunitario" localSheetId="4">ItensOrc!$J:$J</definedName>
    <definedName name="itensorc_valorfornecedorunitario">#REF!</definedName>
    <definedName name="itensorc_valorunitario" localSheetId="4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93" l="1"/>
  <c r="E29" i="93"/>
  <c r="F29" i="93"/>
  <c r="C30" i="93"/>
  <c r="AL22" i="91"/>
  <c r="AL26" i="91" s="1"/>
  <c r="AL23" i="91"/>
  <c r="AK25" i="91"/>
  <c r="E3" i="93"/>
  <c r="R18" i="91"/>
  <c r="Q18" i="91"/>
  <c r="V18" i="91" s="1"/>
  <c r="K18" i="91"/>
  <c r="L18" i="91" s="1"/>
  <c r="Q25" i="91"/>
  <c r="R23" i="91"/>
  <c r="Q23" i="91"/>
  <c r="V23" i="91" s="1"/>
  <c r="K23" i="91"/>
  <c r="R22" i="91"/>
  <c r="Q22" i="91"/>
  <c r="K22" i="91"/>
  <c r="K24" i="91" s="1"/>
  <c r="Q21" i="91"/>
  <c r="Q20" i="91"/>
  <c r="T23" i="91" l="1"/>
  <c r="T18" i="91"/>
  <c r="L23" i="91"/>
  <c r="L22" i="91"/>
  <c r="T22" i="91"/>
  <c r="V22" i="91"/>
  <c r="L24" i="91" l="1"/>
  <c r="T24" i="91"/>
  <c r="U22" i="91"/>
  <c r="W22" i="91" s="1"/>
  <c r="X22" i="91" s="1"/>
  <c r="AK22" i="91" s="1"/>
  <c r="U18" i="91"/>
  <c r="W18" i="91"/>
  <c r="X18" i="91" s="1"/>
  <c r="AK18" i="91" s="1"/>
  <c r="U23" i="91"/>
  <c r="W23" i="91" s="1"/>
  <c r="X23" i="91" s="1"/>
  <c r="AK23" i="91" s="1"/>
  <c r="Z23" i="91"/>
  <c r="X24" i="91" l="1"/>
  <c r="U24" i="91"/>
  <c r="Z22" i="91"/>
  <c r="Z18" i="91"/>
  <c r="AA23" i="91"/>
  <c r="AA22" i="91"/>
  <c r="R17" i="91" l="1"/>
  <c r="Q17" i="91"/>
  <c r="K17" i="91"/>
  <c r="Q16" i="91"/>
  <c r="K19" i="91" l="1"/>
  <c r="K26" i="91"/>
  <c r="V17" i="91"/>
  <c r="L17" i="91"/>
  <c r="Q15" i="91"/>
  <c r="M14" i="91"/>
  <c r="T26" i="91" l="1"/>
  <c r="T19" i="91"/>
  <c r="L19" i="91"/>
  <c r="L26" i="91"/>
  <c r="M18" i="91"/>
  <c r="M23" i="91"/>
  <c r="M22" i="91"/>
  <c r="M24" i="91" s="1"/>
  <c r="Z12" i="91"/>
  <c r="M17" i="91"/>
  <c r="U17" i="91"/>
  <c r="U19" i="91" l="1"/>
  <c r="U26" i="91"/>
  <c r="M19" i="91"/>
  <c r="M26" i="91"/>
  <c r="Y24" i="91"/>
  <c r="N17" i="91"/>
  <c r="N26" i="91" s="1"/>
  <c r="C22" i="93" s="1"/>
  <c r="N18" i="91"/>
  <c r="Y18" i="91"/>
  <c r="N22" i="91"/>
  <c r="Y22" i="91"/>
  <c r="N23" i="91"/>
  <c r="Y23" i="91"/>
  <c r="W17" i="91"/>
  <c r="X17" i="91" s="1"/>
  <c r="AK17" i="91" s="1"/>
  <c r="Z17" i="91"/>
  <c r="AA17" i="91"/>
  <c r="N24" i="91" l="1"/>
  <c r="X26" i="91"/>
  <c r="X19" i="91"/>
  <c r="Y19" i="91" s="1"/>
  <c r="N19" i="91"/>
  <c r="Y17" i="91"/>
  <c r="Y26" i="91" s="1"/>
  <c r="D22" i="93" l="1"/>
  <c r="AL30" i="91"/>
  <c r="AL31" i="91" s="1"/>
  <c r="AL29" i="91"/>
  <c r="AK26" i="91"/>
  <c r="Z26" i="91"/>
  <c r="AA26" i="91" s="1"/>
  <c r="E22" i="93" l="1"/>
  <c r="F22" i="93" s="1"/>
  <c r="D28" i="93"/>
  <c r="D30" i="93" l="1"/>
  <c r="E28" i="93"/>
  <c r="E30" i="93" l="1"/>
  <c r="F28" i="93"/>
</calcChain>
</file>

<file path=xl/sharedStrings.xml><?xml version="1.0" encoding="utf-8"?>
<sst xmlns="http://schemas.openxmlformats.org/spreadsheetml/2006/main" count="281" uniqueCount="195">
  <si>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</si>
  <si>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</si>
  <si>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</si>
  <si>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</si>
  <si>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</si>
  <si>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</si>
  <si>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</si>
  <si>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</si>
  <si>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</si>
  <si>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</si>
  <si>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</si>
  <si>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</si>
  <si>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</si>
  <si>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</si>
  <si>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</si>
  <si>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</si>
  <si>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</si>
  <si>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</si>
  <si>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</si>
  <si>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</si>
  <si>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</si>
  <si>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</si>
  <si>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</si>
  <si>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</si>
  <si>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</si>
  <si>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</si>
  <si>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</si>
  <si>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</si>
  <si>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</si>
  <si>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</si>
  <si>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</si>
  <si>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</si>
  <si>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</si>
  <si>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</si>
  <si>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</si>
  <si>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</si>
  <si>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</si>
  <si>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</si>
  <si>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</si>
  <si>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</si>
  <si>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</si>
  <si>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</si>
  <si>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</si>
  <si>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</si>
  <si>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</si>
  <si>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</si>
  <si>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</si>
  <si>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</si>
  <si>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</si>
  <si>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</si>
  <si>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</si>
  <si>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</si>
  <si>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</si>
  <si>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</si>
  <si>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</si>
  <si>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</si>
  <si>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</si>
  <si>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</si>
  <si>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</si>
  <si>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</si>
  <si>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</si>
  <si>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</si>
  <si>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</si>
  <si>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</si>
  <si>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</si>
  <si>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</si>
  <si>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</si>
  <si>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</si>
  <si>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</si>
  <si>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</si>
  <si>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</si>
  <si>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</si>
  <si>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</si>
  <si>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</si>
  <si>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</si>
  <si>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</si>
  <si>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</si>
  <si>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</si>
  <si>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</si>
  <si>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</si>
  <si>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</si>
  <si>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 X ) Pessoa Jurídica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</si>
  <si>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</si>
  <si>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</si>
  <si>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</si>
  <si>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</si>
  <si>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</si>
  <si>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</si>
  <si>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</si>
  <si>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</si>
  <si>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</si>
  <si>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</si>
  <si>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</si>
  <si>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</si>
  <si>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</si>
  <si>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</si>
  <si>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</si>
  <si>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</si>
  <si>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</si>
  <si>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</si>
  <si>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</si>
  <si>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</si>
  <si>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</si>
  <si>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</si>
  <si>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</si>
  <si>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>1.1.2</t>
  </si>
  <si>
    <t>24/06/2025</t>
  </si>
  <si>
    <t xml:space="preserve"> </t>
  </si>
  <si>
    <t>Orçamento Produção Oggi 5.1.xlsm</t>
  </si>
  <si>
    <t>24.636.168/0001-56</t>
  </si>
  <si>
    <t>CLINICA DEBORA PADUA LTDA</t>
  </si>
  <si>
    <t>(11) 8209-4333</t>
  </si>
  <si>
    <t>24/06/25</t>
  </si>
  <si>
    <t>( X ) Boleto</t>
  </si>
  <si>
    <t>Santader</t>
  </si>
  <si>
    <t>123123</t>
  </si>
  <si>
    <t>12312</t>
  </si>
  <si>
    <t>R$ 100,00</t>
  </si>
  <si>
    <t>Teste</t>
  </si>
  <si>
    <t xml:space="preserve">   </t>
  </si>
  <si>
    <t>ORÇAMENTO 5.2</t>
  </si>
  <si>
    <t>FERNANDA PINHEIRO</t>
  </si>
  <si>
    <t>SILVIA BRITO</t>
  </si>
  <si>
    <t>GRUPO</t>
  </si>
  <si>
    <t>SUBGRUPO</t>
  </si>
  <si>
    <t>1.1</t>
  </si>
  <si>
    <t>AGENCIAMENTO</t>
  </si>
  <si>
    <t>IMPOSTOS</t>
  </si>
  <si>
    <t>Marg.</t>
  </si>
  <si>
    <t>OPERACIONAL</t>
  </si>
  <si>
    <t>ITEM</t>
  </si>
  <si>
    <t>1.1.1</t>
  </si>
  <si>
    <t>INTERNO</t>
  </si>
  <si>
    <t>SUBTOTAL SUBGRUPO</t>
  </si>
  <si>
    <t>Subtotal OPERACIONAL</t>
  </si>
  <si>
    <t>FAT.OGGI</t>
  </si>
  <si>
    <t>FAT.CLIENTE</t>
  </si>
  <si>
    <t xml:space="preserve">CÓDIGO DO JOB: </t>
  </si>
  <si>
    <t>CLIENTE:</t>
  </si>
  <si>
    <t>LENOVO</t>
  </si>
  <si>
    <t>EVENTO:</t>
  </si>
  <si>
    <t>LOCAL:</t>
  </si>
  <si>
    <t>DATA:</t>
  </si>
  <si>
    <t>ATENDIMENTO:</t>
  </si>
  <si>
    <t>PRODUTOR:</t>
  </si>
  <si>
    <t>NOME PLANILHA:</t>
  </si>
  <si>
    <t>LE_240</t>
  </si>
  <si>
    <t>KICKOFF LAPA E LBC</t>
  </si>
  <si>
    <t>LAPA E IDU</t>
  </si>
  <si>
    <t>LE_240_KICKOFF LAPA E LBC</t>
  </si>
  <si>
    <t>Atendimento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</si>
  <si>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</si>
  <si>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>2.1</t>
  </si>
  <si>
    <t>2.1.1</t>
  </si>
  <si>
    <t>2.1.2</t>
  </si>
  <si>
    <t>INTERNOS</t>
  </si>
  <si>
    <t>CUSTOS OGGI</t>
  </si>
  <si>
    <t>LAPA</t>
  </si>
  <si>
    <t>Café da Manhã</t>
  </si>
  <si>
    <t>Subtotal LAPA</t>
  </si>
  <si>
    <t>2.2</t>
  </si>
  <si>
    <t>INDAIATUBA</t>
  </si>
  <si>
    <t>Criação</t>
  </si>
  <si>
    <t>• 200 pães de queijo 
• 250 pedaços de torta de frango com catupiry 
• 100 pedaços de torta de Brócolis  
• 130 pedaços Bolo de cenoura com chocolate 
• 130 pedaços Bolo de chocolate 
• 180 mini Brownie de ninho e doce de leite 
• 100 esfihas de carne 
• 100 esfihas de frango 
• 100 Bauru 
• 100 esfiha calabresa 
• 8 Suco Dell Valle 1litro 
• 10 refrigerantes  
Serviço de  Entrega</t>
  </si>
  <si>
    <t>SUBTOTAL PLANILHA</t>
  </si>
  <si>
    <t>TOTAL LE_240_KICKOFF LAPA E LBC</t>
  </si>
  <si>
    <t>Marg. Lucro</t>
  </si>
  <si>
    <t>Lucro</t>
  </si>
  <si>
    <t>⏰ Horário de início e término da ação:</t>
  </si>
  <si>
    <t>📍 Endereço do evento:</t>
  </si>
  <si>
    <t>👥 Número de convidados:</t>
  </si>
  <si>
    <t>🏢 Tipo do evento: Social ou corporativo</t>
  </si>
  <si>
    <t>📅 Data:</t>
  </si>
  <si>
    <t>EVENTO 1</t>
  </si>
  <si>
    <t>EVENTO 2</t>
  </si>
  <si>
    <t>Rua Werner Von Siemens, 111, Torre A, 3º e 4º andares - Lapa de Baixo, São Paulo</t>
  </si>
  <si>
    <t>Corporativo</t>
  </si>
  <si>
    <t>Estrada Municipal José Costa de Mesquita, 200-Módulo: 11-Chácara Alvorada Indaiatuba-São Paulo</t>
  </si>
  <si>
    <t xml:space="preserve"> das 08:00 às 11h</t>
  </si>
  <si>
    <t>Responsabilidade do cliente.</t>
  </si>
  <si>
    <t>Triedo de mesa</t>
  </si>
  <si>
    <t>Triedro de mesa personalizado com KV Kick Off Global Lenovo- 10x19 cm.Arte do cliente.</t>
  </si>
  <si>
    <t>VÍDEO</t>
  </si>
  <si>
    <t>STUDIO ROCA</t>
  </si>
  <si>
    <t>VENDA</t>
  </si>
  <si>
    <t xml:space="preserve">CUSTO </t>
  </si>
  <si>
    <t>LUCRO</t>
  </si>
  <si>
    <t>NOTAS EMITIDAS E ND EMITIDAS</t>
  </si>
  <si>
    <t>IMPOSTO</t>
  </si>
  <si>
    <t>JENNIFER RIBEIRO</t>
  </si>
  <si>
    <t>PRINCIPAL</t>
  </si>
  <si>
    <t>CUSTO TOTAL</t>
  </si>
  <si>
    <t>SK COPIADORA</t>
  </si>
  <si>
    <t>NOTA DE DÉBITO 253</t>
  </si>
  <si>
    <t>NOTA FISCAL 2874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</si>
</sst>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b/>
      <sz val="16"/>
      <color theme="0"/>
      <name val="Trebuchet MS"/>
      <family val="2"/>
    </font>
    <font>
      <b/>
      <sz val="10"/>
      <color theme="0"/>
      <name val="Trebuchet MS"/>
      <family val="2"/>
    </font>
    <font>
      <sz val="8"/>
      <name val="Calibri"/>
      <family val="2"/>
      <scheme val="minor"/>
    </font>
    <font>
      <sz val="11"/>
      <color rgb="FF001D35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name val="Trebuchet MS"/>
      <family val="2"/>
    </font>
    <font>
      <sz val="10"/>
      <color theme="1"/>
      <name val="Trebuchet MS"/>
      <family val="2"/>
    </font>
    <font>
      <b/>
      <sz val="10"/>
      <name val="Trebuchet MS"/>
      <family val="2"/>
    </font>
    <font>
      <b/>
      <sz val="11"/>
      <color theme="0"/>
      <name val="Trebuchet MS"/>
      <family val="2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b/>
      <sz val="11"/>
      <name val="Trebuchet MS"/>
      <family val="2"/>
    </font>
    <font>
      <sz val="16"/>
      <color theme="1"/>
      <name val="Calibri"/>
      <family val="2"/>
      <scheme val="minor"/>
    </font>
    <font>
      <b/>
      <sz val="16"/>
      <name val="Trebuchet MS"/>
      <family val="2"/>
    </font>
    <font>
      <b/>
      <sz val="16"/>
      <color theme="1"/>
      <name val="Gadugi"/>
      <family val="2"/>
    </font>
    <font>
      <b/>
      <sz val="16"/>
      <color indexed="63"/>
      <name val="Trebuchet MS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Trebuchet MS"/>
      <family val="2"/>
    </font>
    <font>
      <sz val="16"/>
      <color theme="0"/>
      <name val="Calibri"/>
      <family val="2"/>
      <scheme val="minor"/>
    </font>
    <font>
      <sz val="16"/>
      <color theme="1"/>
      <name val="Trebuchet MS"/>
      <family val="2"/>
    </font>
    <font>
      <b/>
      <sz val="16"/>
      <color rgb="FFFF0000"/>
      <name val="Trebuchet MS"/>
      <family val="2"/>
    </font>
    <font>
      <b/>
      <sz val="16"/>
      <color rgb="FF00B050"/>
      <name val="Trebuchet MS"/>
      <family val="2"/>
    </font>
    <font>
      <b/>
      <sz val="18"/>
      <color rgb="FFFF000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sz val="14"/>
      <color rgb="FFFF0000"/>
      <name val="Trebuchet MS"/>
      <family val="2"/>
    </font>
    <font>
      <b/>
      <sz val="14"/>
      <color theme="1"/>
      <name val="Trebuchet MS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89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14990691854609822"/>
      </left>
      <right/>
      <top/>
      <bottom/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5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6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21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8" fillId="4" borderId="35" xfId="0" applyFont="1" applyFill="1" applyBorder="1"/>
    <xf numFmtId="0" fontId="8" fillId="4" borderId="36" xfId="0" applyFont="1" applyFill="1" applyBorder="1"/>
    <xf numFmtId="0" fontId="11" fillId="8" borderId="42" xfId="0" applyFont="1" applyFill="1" applyBorder="1" applyAlignment="1">
      <alignment vertical="center"/>
    </xf>
    <xf numFmtId="0" fontId="13" fillId="8" borderId="42" xfId="0" applyFont="1" applyFill="1" applyBorder="1" applyAlignment="1">
      <alignment horizontal="center" vertical="center"/>
    </xf>
    <xf numFmtId="22" fontId="11" fillId="8" borderId="42" xfId="0" applyNumberFormat="1" applyFont="1" applyFill="1" applyBorder="1" applyAlignment="1">
      <alignment horizontal="center" vertical="center"/>
    </xf>
    <xf numFmtId="0" fontId="15" fillId="8" borderId="43" xfId="0" applyFont="1" applyFill="1" applyBorder="1" applyAlignment="1">
      <alignment horizontal="center" vertical="center" wrapText="1"/>
    </xf>
    <xf numFmtId="0" fontId="15" fillId="8" borderId="44" xfId="0" applyFont="1" applyFill="1" applyBorder="1" applyAlignment="1">
      <alignment horizontal="center" vertical="center" wrapText="1"/>
    </xf>
    <xf numFmtId="0" fontId="17" fillId="15" borderId="6" xfId="0" applyFont="1" applyFill="1" applyBorder="1"/>
    <xf numFmtId="0" fontId="17" fillId="15" borderId="37" xfId="0" applyFont="1" applyFill="1" applyBorder="1"/>
    <xf numFmtId="0" fontId="17" fillId="15" borderId="37" xfId="0" applyFont="1" applyFill="1" applyBorder="1" applyAlignment="1">
      <alignment horizontal="center" vertical="center"/>
    </xf>
    <xf numFmtId="44" fontId="17" fillId="15" borderId="37" xfId="0" applyNumberFormat="1" applyFont="1" applyFill="1" applyBorder="1"/>
    <xf numFmtId="9" fontId="17" fillId="15" borderId="14" xfId="1" applyFont="1" applyFill="1" applyBorder="1"/>
    <xf numFmtId="20" fontId="0" fillId="0" borderId="0" xfId="0" applyNumberFormat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20" fontId="0" fillId="0" borderId="0" xfId="0" applyNumberFormat="1" applyAlignment="1">
      <alignment wrapText="1"/>
    </xf>
    <xf numFmtId="16" fontId="0" fillId="0" borderId="0" xfId="0" applyNumberFormat="1" applyAlignment="1">
      <alignment wrapText="1"/>
    </xf>
    <xf numFmtId="16" fontId="0" fillId="0" borderId="18" xfId="0" applyNumberFormat="1" applyBorder="1" applyAlignment="1">
      <alignment horizontal="left" wrapText="1"/>
    </xf>
    <xf numFmtId="20" fontId="0" fillId="0" borderId="18" xfId="0" applyNumberFormat="1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0" borderId="74" xfId="0" applyBorder="1" applyAlignment="1">
      <alignment horizontal="left" wrapText="1"/>
    </xf>
    <xf numFmtId="16" fontId="0" fillId="0" borderId="73" xfId="0" applyNumberFormat="1" applyBorder="1" applyAlignment="1">
      <alignment horizontal="left" wrapText="1"/>
    </xf>
    <xf numFmtId="0" fontId="0" fillId="0" borderId="74" xfId="0" applyBorder="1" applyAlignment="1">
      <alignment wrapText="1"/>
    </xf>
    <xf numFmtId="0" fontId="20" fillId="0" borderId="18" xfId="0" applyFont="1" applyBorder="1" applyAlignment="1">
      <alignment horizontal="left" wrapText="1"/>
    </xf>
    <xf numFmtId="0" fontId="20" fillId="0" borderId="18" xfId="0" applyFont="1" applyBorder="1" applyAlignment="1">
      <alignment wrapText="1"/>
    </xf>
    <xf numFmtId="0" fontId="0" fillId="0" borderId="54" xfId="0" applyBorder="1"/>
    <xf numFmtId="0" fontId="0" fillId="0" borderId="85" xfId="0" applyBorder="1"/>
    <xf numFmtId="0" fontId="0" fillId="0" borderId="85" xfId="0" applyBorder="1" applyAlignment="1">
      <alignment horizontal="left" vertical="center"/>
    </xf>
    <xf numFmtId="0" fontId="0" fillId="0" borderId="81" xfId="0" applyBorder="1"/>
    <xf numFmtId="44" fontId="17" fillId="15" borderId="86" xfId="0" applyNumberFormat="1" applyFont="1" applyFill="1" applyBorder="1"/>
    <xf numFmtId="44" fontId="17" fillId="15" borderId="88" xfId="8" applyFont="1" applyFill="1" applyBorder="1"/>
    <xf numFmtId="0" fontId="21" fillId="0" borderId="0" xfId="0" applyFont="1"/>
    <xf numFmtId="164" fontId="23" fillId="0" borderId="20" xfId="2" applyNumberFormat="1" applyFont="1" applyBorder="1" applyAlignment="1" applyProtection="1">
      <alignment horizontal="left" vertical="center"/>
      <protection locked="0"/>
    </xf>
    <xf numFmtId="164" fontId="23" fillId="0" borderId="19" xfId="2" applyNumberFormat="1" applyFont="1" applyBorder="1" applyAlignment="1" applyProtection="1">
      <alignment horizontal="left" vertical="center"/>
      <protection locked="0"/>
    </xf>
    <xf numFmtId="164" fontId="23" fillId="0" borderId="31" xfId="2" applyNumberFormat="1" applyFont="1" applyBorder="1" applyAlignment="1" applyProtection="1">
      <alignment horizontal="left" vertical="center"/>
      <protection locked="0"/>
    </xf>
    <xf numFmtId="164" fontId="23" fillId="0" borderId="30" xfId="2" applyNumberFormat="1" applyFont="1" applyBorder="1" applyAlignment="1" applyProtection="1">
      <alignment horizontal="left" vertical="center"/>
      <protection locked="0"/>
    </xf>
    <xf numFmtId="0" fontId="23" fillId="0" borderId="23" xfId="2" applyFont="1" applyBorder="1" applyAlignment="1" applyProtection="1">
      <alignment horizontal="left" vertical="center"/>
      <protection locked="0"/>
    </xf>
    <xf numFmtId="14" fontId="23" fillId="0" borderId="30" xfId="2" applyNumberFormat="1" applyFont="1" applyBorder="1" applyAlignment="1" applyProtection="1">
      <alignment horizontal="left" vertical="center"/>
      <protection locked="0"/>
    </xf>
    <xf numFmtId="164" fontId="23" fillId="0" borderId="39" xfId="2" applyNumberFormat="1" applyFont="1" applyBorder="1" applyAlignment="1" applyProtection="1">
      <alignment horizontal="left" vertical="center"/>
      <protection locked="0"/>
    </xf>
    <xf numFmtId="0" fontId="23" fillId="0" borderId="26" xfId="2" applyFont="1" applyBorder="1" applyAlignment="1" applyProtection="1">
      <alignment horizontal="left" vertical="center"/>
      <protection locked="0"/>
    </xf>
    <xf numFmtId="0" fontId="24" fillId="0" borderId="0" xfId="0" applyFont="1"/>
    <xf numFmtId="0" fontId="24" fillId="0" borderId="0" xfId="0" applyFont="1" applyAlignment="1">
      <alignment horizontal="center"/>
    </xf>
    <xf numFmtId="16" fontId="24" fillId="18" borderId="11" xfId="0" applyNumberFormat="1" applyFont="1" applyFill="1" applyBorder="1"/>
    <xf numFmtId="16" fontId="24" fillId="18" borderId="12" xfId="0" applyNumberFormat="1" applyFont="1" applyFill="1" applyBorder="1"/>
    <xf numFmtId="16" fontId="24" fillId="19" borderId="14" xfId="0" applyNumberFormat="1" applyFont="1" applyFill="1" applyBorder="1"/>
    <xf numFmtId="16" fontId="24" fillId="19" borderId="15" xfId="0" applyNumberFormat="1" applyFont="1" applyFill="1" applyBorder="1"/>
    <xf numFmtId="0" fontId="24" fillId="20" borderId="17" xfId="0" applyFont="1" applyFill="1" applyBorder="1" applyAlignment="1">
      <alignment horizontal="right"/>
    </xf>
    <xf numFmtId="0" fontId="24" fillId="20" borderId="0" xfId="0" applyFont="1" applyFill="1" applyAlignment="1">
      <alignment horizontal="right"/>
    </xf>
    <xf numFmtId="0" fontId="18" fillId="21" borderId="14" xfId="0" applyFont="1" applyFill="1" applyBorder="1"/>
    <xf numFmtId="0" fontId="18" fillId="21" borderId="15" xfId="0" applyFont="1" applyFill="1" applyBorder="1"/>
    <xf numFmtId="164" fontId="25" fillId="0" borderId="0" xfId="2" applyNumberFormat="1" applyFont="1" applyAlignment="1" applyProtection="1">
      <alignment horizontal="left" vertical="center"/>
      <protection locked="0"/>
    </xf>
    <xf numFmtId="0" fontId="25" fillId="0" borderId="0" xfId="2" applyFont="1" applyAlignment="1" applyProtection="1">
      <alignment horizontal="left" vertical="center"/>
      <protection locked="0"/>
    </xf>
    <xf numFmtId="14" fontId="25" fillId="0" borderId="0" xfId="2" applyNumberFormat="1" applyFont="1" applyAlignment="1" applyProtection="1">
      <alignment horizontal="left" vertical="center"/>
      <protection locked="0"/>
    </xf>
    <xf numFmtId="0" fontId="26" fillId="22" borderId="62" xfId="0" applyFont="1" applyFill="1" applyBorder="1" applyAlignment="1">
      <alignment horizontal="center"/>
    </xf>
    <xf numFmtId="0" fontId="27" fillId="0" borderId="0" xfId="0" applyFont="1" applyAlignment="1">
      <alignment horizontal="center"/>
    </xf>
    <xf numFmtId="0" fontId="28" fillId="23" borderId="62" xfId="0" applyFont="1" applyFill="1" applyBorder="1" applyAlignment="1">
      <alignment horizontal="left"/>
    </xf>
    <xf numFmtId="44" fontId="29" fillId="23" borderId="62" xfId="0" applyNumberFormat="1" applyFont="1" applyFill="1" applyBorder="1" applyAlignment="1">
      <alignment horizontal="center"/>
    </xf>
    <xf numFmtId="9" fontId="28" fillId="0" borderId="62" xfId="1" applyFont="1" applyBorder="1" applyAlignment="1">
      <alignment horizontal="center"/>
    </xf>
    <xf numFmtId="44" fontId="26" fillId="22" borderId="62" xfId="0" applyNumberFormat="1" applyFont="1" applyFill="1" applyBorder="1" applyAlignment="1">
      <alignment horizontal="center"/>
    </xf>
    <xf numFmtId="0" fontId="27" fillId="0" borderId="0" xfId="0" applyFont="1"/>
    <xf numFmtId="44" fontId="29" fillId="23" borderId="62" xfId="8" applyFont="1" applyFill="1" applyBorder="1" applyAlignment="1">
      <alignment horizontal="center"/>
    </xf>
    <xf numFmtId="44" fontId="29" fillId="23" borderId="62" xfId="8" applyFont="1" applyFill="1" applyBorder="1"/>
    <xf numFmtId="0" fontId="28" fillId="22" borderId="62" xfId="0" applyFont="1" applyFill="1" applyBorder="1"/>
    <xf numFmtId="170" fontId="26" fillId="22" borderId="62" xfId="0" applyNumberFormat="1" applyFont="1" applyFill="1" applyBorder="1" applyAlignment="1">
      <alignment horizontal="right"/>
    </xf>
    <xf numFmtId="44" fontId="26" fillId="22" borderId="62" xfId="0" applyNumberFormat="1" applyFont="1" applyFill="1" applyBorder="1"/>
    <xf numFmtId="9" fontId="26" fillId="22" borderId="62" xfId="1" applyFont="1" applyFill="1" applyBorder="1" applyAlignment="1">
      <alignment horizontal="center"/>
    </xf>
    <xf numFmtId="0" fontId="30" fillId="0" borderId="0" xfId="0" applyFont="1"/>
    <xf numFmtId="49" fontId="31" fillId="0" borderId="0" xfId="2" applyNumberFormat="1" applyFont="1" applyAlignment="1">
      <alignment horizontal="left" vertical="center" wrapText="1"/>
    </xf>
    <xf numFmtId="0" fontId="31" fillId="0" borderId="0" xfId="2" applyFont="1" applyAlignment="1">
      <alignment horizontal="left" vertical="center" wrapText="1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164" fontId="31" fillId="0" borderId="0" xfId="2" applyNumberFormat="1" applyFont="1" applyAlignment="1">
      <alignment horizontal="left" vertical="center"/>
    </xf>
    <xf numFmtId="49" fontId="30" fillId="0" borderId="0" xfId="0" applyNumberFormat="1" applyFont="1"/>
    <xf numFmtId="0" fontId="30" fillId="0" borderId="0" xfId="1" applyNumberFormat="1" applyFont="1"/>
    <xf numFmtId="165" fontId="33" fillId="6" borderId="38" xfId="4" applyFont="1" applyFill="1" applyBorder="1" applyAlignment="1">
      <alignment horizontal="center" vertical="center" wrapText="1"/>
    </xf>
    <xf numFmtId="168" fontId="34" fillId="0" borderId="5" xfId="1" applyNumberFormat="1" applyFont="1" applyBorder="1"/>
    <xf numFmtId="166" fontId="33" fillId="0" borderId="40" xfId="4" applyNumberFormat="1" applyFont="1" applyBorder="1" applyAlignment="1">
      <alignment horizontal="center" vertical="center" wrapText="1"/>
    </xf>
    <xf numFmtId="0" fontId="35" fillId="5" borderId="0" xfId="0" applyFont="1" applyFill="1"/>
    <xf numFmtId="49" fontId="35" fillId="5" borderId="0" xfId="0" applyNumberFormat="1" applyFont="1" applyFill="1"/>
    <xf numFmtId="0" fontId="36" fillId="0" borderId="0" xfId="0" applyFont="1"/>
    <xf numFmtId="0" fontId="37" fillId="0" borderId="45" xfId="0" applyFont="1" applyBorder="1" applyAlignment="1">
      <alignment horizontal="left" vertical="center"/>
    </xf>
    <xf numFmtId="49" fontId="37" fillId="0" borderId="46" xfId="0" applyNumberFormat="1" applyFont="1" applyBorder="1" applyAlignment="1">
      <alignment horizontal="left" vertical="center"/>
    </xf>
    <xf numFmtId="0" fontId="37" fillId="0" borderId="47" xfId="0" applyFont="1" applyBorder="1" applyAlignment="1">
      <alignment horizontal="left" vertical="center"/>
    </xf>
    <xf numFmtId="0" fontId="37" fillId="0" borderId="45" xfId="0" applyFont="1" applyBorder="1" applyAlignment="1">
      <alignment horizontal="left" vertical="center" wrapText="1"/>
    </xf>
    <xf numFmtId="0" fontId="31" fillId="6" borderId="68" xfId="3" applyFont="1" applyFill="1" applyBorder="1" applyAlignment="1">
      <alignment horizontal="left" vertical="center"/>
    </xf>
    <xf numFmtId="0" fontId="31" fillId="6" borderId="58" xfId="3" applyFont="1" applyFill="1" applyBorder="1" applyAlignment="1">
      <alignment horizontal="center" vertical="center"/>
    </xf>
    <xf numFmtId="0" fontId="35" fillId="6" borderId="55" xfId="3" applyFont="1" applyFill="1" applyBorder="1" applyAlignment="1">
      <alignment horizontal="center" vertical="center"/>
    </xf>
    <xf numFmtId="169" fontId="35" fillId="6" borderId="55" xfId="3" applyNumberFormat="1" applyFont="1" applyFill="1" applyBorder="1" applyAlignment="1">
      <alignment horizontal="center" vertical="center" wrapText="1"/>
    </xf>
    <xf numFmtId="0" fontId="35" fillId="6" borderId="56" xfId="3" applyFont="1" applyFill="1" applyBorder="1" applyAlignment="1">
      <alignment horizontal="center" vertical="center" wrapText="1"/>
    </xf>
    <xf numFmtId="9" fontId="35" fillId="6" borderId="54" xfId="1" applyFont="1" applyFill="1" applyBorder="1" applyAlignment="1">
      <alignment horizontal="center" vertical="center" wrapText="1"/>
    </xf>
    <xf numFmtId="10" fontId="35" fillId="6" borderId="55" xfId="1" applyNumberFormat="1" applyFont="1" applyFill="1" applyBorder="1" applyAlignment="1">
      <alignment horizontal="center" vertical="center" wrapText="1"/>
    </xf>
    <xf numFmtId="0" fontId="35" fillId="6" borderId="57" xfId="3" applyFont="1" applyFill="1" applyBorder="1" applyAlignment="1">
      <alignment horizontal="center" vertical="center" wrapText="1"/>
    </xf>
    <xf numFmtId="37" fontId="33" fillId="6" borderId="54" xfId="3" applyNumberFormat="1" applyFont="1" applyFill="1" applyBorder="1" applyAlignment="1">
      <alignment horizontal="center" vertical="center"/>
    </xf>
    <xf numFmtId="37" fontId="33" fillId="6" borderId="55" xfId="3" applyNumberFormat="1" applyFont="1" applyFill="1" applyBorder="1" applyAlignment="1">
      <alignment horizontal="center" vertical="center"/>
    </xf>
    <xf numFmtId="40" fontId="33" fillId="6" borderId="55" xfId="4" applyNumberFormat="1" applyFont="1" applyFill="1" applyBorder="1" applyAlignment="1">
      <alignment horizontal="center" vertical="center"/>
    </xf>
    <xf numFmtId="165" fontId="33" fillId="6" borderId="55" xfId="4" applyFont="1" applyFill="1" applyBorder="1" applyAlignment="1">
      <alignment horizontal="right" vertical="center"/>
    </xf>
    <xf numFmtId="40" fontId="33" fillId="6" borderId="55" xfId="4" applyNumberFormat="1" applyFont="1" applyFill="1" applyBorder="1" applyAlignment="1">
      <alignment horizontal="center" vertical="center" wrapText="1"/>
    </xf>
    <xf numFmtId="10" fontId="33" fillId="6" borderId="55" xfId="5" applyNumberFormat="1" applyFont="1" applyFill="1" applyBorder="1" applyAlignment="1">
      <alignment horizontal="center" vertical="center" wrapText="1"/>
    </xf>
    <xf numFmtId="165" fontId="33" fillId="6" borderId="55" xfId="4" applyFont="1" applyFill="1" applyBorder="1" applyAlignment="1">
      <alignment horizontal="center" vertical="center" wrapText="1"/>
    </xf>
    <xf numFmtId="165" fontId="33" fillId="6" borderId="57" xfId="4" applyFont="1" applyFill="1" applyBorder="1" applyAlignment="1">
      <alignment horizontal="center" vertical="center" wrapText="1"/>
    </xf>
    <xf numFmtId="10" fontId="33" fillId="6" borderId="48" xfId="5" applyNumberFormat="1" applyFont="1" applyFill="1" applyBorder="1" applyAlignment="1">
      <alignment horizontal="center" vertical="center" wrapText="1"/>
    </xf>
    <xf numFmtId="10" fontId="33" fillId="6" borderId="49" xfId="5" applyNumberFormat="1" applyFont="1" applyFill="1" applyBorder="1" applyAlignment="1">
      <alignment horizontal="center" vertical="center" wrapText="1"/>
    </xf>
    <xf numFmtId="165" fontId="33" fillId="6" borderId="50" xfId="4" applyFont="1" applyFill="1" applyBorder="1" applyAlignment="1">
      <alignment horizontal="center" vertical="center" wrapText="1"/>
    </xf>
    <xf numFmtId="165" fontId="33" fillId="6" borderId="49" xfId="4" applyFont="1" applyFill="1" applyBorder="1" applyAlignment="1">
      <alignment horizontal="center" vertical="center" wrapText="1"/>
    </xf>
    <xf numFmtId="37" fontId="33" fillId="6" borderId="3" xfId="3" applyNumberFormat="1" applyFont="1" applyFill="1" applyBorder="1" applyAlignment="1">
      <alignment horizontal="center" vertical="center"/>
    </xf>
    <xf numFmtId="40" fontId="33" fillId="6" borderId="51" xfId="4" applyNumberFormat="1" applyFont="1" applyFill="1" applyBorder="1" applyAlignment="1">
      <alignment horizontal="center" vertical="center"/>
    </xf>
    <xf numFmtId="166" fontId="38" fillId="6" borderId="62" xfId="4" applyNumberFormat="1" applyFont="1" applyFill="1" applyBorder="1" applyAlignment="1">
      <alignment horizontal="center" vertical="center" wrapText="1"/>
    </xf>
    <xf numFmtId="166" fontId="39" fillId="6" borderId="62" xfId="4" applyNumberFormat="1" applyFont="1" applyFill="1" applyBorder="1" applyAlignment="1">
      <alignment horizontal="center" vertical="center" wrapText="1"/>
    </xf>
    <xf numFmtId="49" fontId="37" fillId="0" borderId="46" xfId="0" applyNumberFormat="1" applyFont="1" applyBorder="1" applyAlignment="1">
      <alignment horizontal="left" vertical="center" wrapText="1"/>
    </xf>
    <xf numFmtId="0" fontId="37" fillId="0" borderId="47" xfId="0" applyFont="1" applyBorder="1" applyAlignment="1">
      <alignment horizontal="left" vertical="center" wrapText="1"/>
    </xf>
    <xf numFmtId="0" fontId="30" fillId="0" borderId="62" xfId="0" applyFont="1" applyBorder="1"/>
    <xf numFmtId="0" fontId="35" fillId="11" borderId="56" xfId="0" applyFont="1" applyFill="1" applyBorder="1" applyAlignment="1">
      <alignment horizontal="center" vertical="center"/>
    </xf>
    <xf numFmtId="0" fontId="35" fillId="11" borderId="55" xfId="0" applyFont="1" applyFill="1" applyBorder="1" applyAlignment="1">
      <alignment horizontal="center" vertical="center"/>
    </xf>
    <xf numFmtId="0" fontId="35" fillId="11" borderId="73" xfId="0" applyFont="1" applyFill="1" applyBorder="1" applyAlignment="1">
      <alignment horizontal="center" vertical="center"/>
    </xf>
    <xf numFmtId="0" fontId="34" fillId="11" borderId="10" xfId="0" applyFont="1" applyFill="1" applyBorder="1" applyAlignment="1">
      <alignment horizontal="center" vertical="center"/>
    </xf>
    <xf numFmtId="0" fontId="34" fillId="11" borderId="62" xfId="0" applyFont="1" applyFill="1" applyBorder="1" applyAlignment="1">
      <alignment horizontal="center" vertical="center"/>
    </xf>
    <xf numFmtId="0" fontId="37" fillId="0" borderId="70" xfId="0" applyFont="1" applyBorder="1" applyAlignment="1">
      <alignment horizontal="left" vertical="center" wrapText="1"/>
    </xf>
    <xf numFmtId="0" fontId="37" fillId="0" borderId="69" xfId="0" applyFont="1" applyBorder="1" applyAlignment="1">
      <alignment horizontal="left" vertical="center" wrapText="1"/>
    </xf>
    <xf numFmtId="0" fontId="37" fillId="0" borderId="55" xfId="0" applyFont="1" applyBorder="1" applyAlignment="1">
      <alignment horizontal="center" vertical="center"/>
    </xf>
    <xf numFmtId="44" fontId="37" fillId="0" borderId="55" xfId="8" applyFont="1" applyBorder="1" applyAlignment="1">
      <alignment vertical="center"/>
    </xf>
    <xf numFmtId="44" fontId="37" fillId="0" borderId="57" xfId="8" applyFont="1" applyBorder="1" applyAlignment="1">
      <alignment vertical="center"/>
    </xf>
    <xf numFmtId="1" fontId="37" fillId="12" borderId="64" xfId="0" applyNumberFormat="1" applyFont="1" applyFill="1" applyBorder="1" applyAlignment="1">
      <alignment vertical="center"/>
    </xf>
    <xf numFmtId="1" fontId="37" fillId="12" borderId="62" xfId="0" applyNumberFormat="1" applyFont="1" applyFill="1" applyBorder="1" applyAlignment="1">
      <alignment vertical="center"/>
    </xf>
    <xf numFmtId="44" fontId="37" fillId="12" borderId="62" xfId="8" applyFont="1" applyFill="1" applyBorder="1" applyAlignment="1">
      <alignment vertical="center"/>
    </xf>
    <xf numFmtId="44" fontId="37" fillId="14" borderId="62" xfId="8" applyFont="1" applyFill="1" applyBorder="1" applyAlignment="1">
      <alignment vertical="center"/>
    </xf>
    <xf numFmtId="9" fontId="37" fillId="13" borderId="62" xfId="1" applyFont="1" applyFill="1" applyBorder="1" applyAlignment="1">
      <alignment vertical="center"/>
    </xf>
    <xf numFmtId="44" fontId="37" fillId="13" borderId="62" xfId="8" applyFont="1" applyFill="1" applyBorder="1" applyAlignment="1">
      <alignment vertical="center"/>
    </xf>
    <xf numFmtId="44" fontId="37" fillId="13" borderId="67" xfId="8" applyFont="1" applyFill="1" applyBorder="1" applyAlignment="1">
      <alignment vertical="center"/>
    </xf>
    <xf numFmtId="10" fontId="37" fillId="14" borderId="10" xfId="0" applyNumberFormat="1" applyFont="1" applyFill="1" applyBorder="1" applyAlignment="1">
      <alignment horizontal="center" vertical="center"/>
    </xf>
    <xf numFmtId="10" fontId="37" fillId="14" borderId="62" xfId="0" applyNumberFormat="1" applyFont="1" applyFill="1" applyBorder="1" applyAlignment="1">
      <alignment horizontal="center" vertical="center"/>
    </xf>
    <xf numFmtId="0" fontId="37" fillId="0" borderId="59" xfId="0" applyFont="1" applyBorder="1" applyAlignment="1">
      <alignment horizontal="left" vertical="center" wrapText="1"/>
    </xf>
    <xf numFmtId="0" fontId="37" fillId="0" borderId="77" xfId="0" applyFont="1" applyBorder="1" applyAlignment="1">
      <alignment horizontal="left" vertical="center" wrapText="1"/>
    </xf>
    <xf numFmtId="0" fontId="37" fillId="0" borderId="64" xfId="0" applyFont="1" applyBorder="1" applyAlignment="1">
      <alignment horizontal="left" vertical="center" wrapText="1"/>
    </xf>
    <xf numFmtId="0" fontId="37" fillId="0" borderId="62" xfId="0" applyFont="1" applyBorder="1" applyAlignment="1">
      <alignment horizontal="left" vertical="center" wrapText="1"/>
    </xf>
    <xf numFmtId="0" fontId="37" fillId="0" borderId="62" xfId="0" applyFont="1" applyBorder="1" applyAlignment="1">
      <alignment horizontal="center" vertical="center"/>
    </xf>
    <xf numFmtId="44" fontId="37" fillId="0" borderId="62" xfId="8" applyFont="1" applyBorder="1" applyAlignment="1">
      <alignment vertical="center"/>
    </xf>
    <xf numFmtId="44" fontId="37" fillId="0" borderId="67" xfId="8" applyFont="1" applyBorder="1" applyAlignment="1">
      <alignment vertical="center"/>
    </xf>
    <xf numFmtId="1" fontId="37" fillId="12" borderId="82" xfId="0" applyNumberFormat="1" applyFont="1" applyFill="1" applyBorder="1" applyAlignment="1">
      <alignment vertical="center"/>
    </xf>
    <xf numFmtId="1" fontId="37" fillId="12" borderId="7" xfId="0" applyNumberFormat="1" applyFont="1" applyFill="1" applyBorder="1" applyAlignment="1">
      <alignment vertical="center"/>
    </xf>
    <xf numFmtId="44" fontId="37" fillId="12" borderId="7" xfId="8" applyFont="1" applyFill="1" applyBorder="1" applyAlignment="1">
      <alignment vertical="center"/>
    </xf>
    <xf numFmtId="44" fontId="37" fillId="14" borderId="7" xfId="8" applyFont="1" applyFill="1" applyBorder="1" applyAlignment="1">
      <alignment vertical="center"/>
    </xf>
    <xf numFmtId="9" fontId="37" fillId="13" borderId="7" xfId="1" applyFont="1" applyFill="1" applyBorder="1" applyAlignment="1">
      <alignment vertical="center"/>
    </xf>
    <xf numFmtId="44" fontId="37" fillId="13" borderId="7" xfId="8" applyFont="1" applyFill="1" applyBorder="1" applyAlignment="1">
      <alignment vertical="center"/>
    </xf>
    <xf numFmtId="170" fontId="17" fillId="10" borderId="15" xfId="0" applyNumberFormat="1" applyFont="1" applyFill="1" applyBorder="1" applyAlignment="1">
      <alignment horizontal="right"/>
    </xf>
    <xf numFmtId="170" fontId="17" fillId="10" borderId="0" xfId="0" applyNumberFormat="1" applyFont="1" applyFill="1" applyAlignment="1">
      <alignment horizontal="right"/>
    </xf>
    <xf numFmtId="170" fontId="17" fillId="10" borderId="74" xfId="0" applyNumberFormat="1" applyFont="1" applyFill="1" applyBorder="1" applyAlignment="1">
      <alignment horizontal="right"/>
    </xf>
    <xf numFmtId="44" fontId="17" fillId="10" borderId="15" xfId="0" applyNumberFormat="1" applyFont="1" applyFill="1" applyBorder="1" applyAlignment="1">
      <alignment horizontal="right"/>
    </xf>
    <xf numFmtId="44" fontId="35" fillId="14" borderId="15" xfId="0" applyNumberFormat="1" applyFont="1" applyFill="1" applyBorder="1"/>
    <xf numFmtId="0" fontId="30" fillId="13" borderId="15" xfId="0" applyFont="1" applyFill="1" applyBorder="1"/>
    <xf numFmtId="44" fontId="35" fillId="13" borderId="15" xfId="0" applyNumberFormat="1" applyFont="1" applyFill="1" applyBorder="1"/>
    <xf numFmtId="44" fontId="35" fillId="13" borderId="84" xfId="8" applyFont="1" applyFill="1" applyBorder="1"/>
    <xf numFmtId="0" fontId="37" fillId="0" borderId="46" xfId="0" applyFont="1" applyBorder="1" applyAlignment="1">
      <alignment horizontal="left" vertical="center" wrapText="1"/>
    </xf>
    <xf numFmtId="0" fontId="35" fillId="11" borderId="83" xfId="0" applyFont="1" applyFill="1" applyBorder="1" applyAlignment="1">
      <alignment horizontal="center" vertical="center"/>
    </xf>
    <xf numFmtId="0" fontId="37" fillId="0" borderId="76" xfId="0" applyFont="1" applyBorder="1" applyAlignment="1">
      <alignment horizontal="left" vertical="center" wrapText="1"/>
    </xf>
    <xf numFmtId="0" fontId="37" fillId="0" borderId="0" xfId="0" applyFont="1" applyAlignment="1">
      <alignment horizontal="left" vertical="center" wrapText="1"/>
    </xf>
    <xf numFmtId="0" fontId="37" fillId="17" borderId="64" xfId="0" applyFont="1" applyFill="1" applyBorder="1" applyAlignment="1">
      <alignment horizontal="left" vertical="center" wrapText="1"/>
    </xf>
    <xf numFmtId="0" fontId="37" fillId="0" borderId="78" xfId="0" applyFont="1" applyBorder="1" applyAlignment="1">
      <alignment horizontal="left" vertical="center" wrapText="1"/>
    </xf>
    <xf numFmtId="44" fontId="37" fillId="0" borderId="78" xfId="8" applyFont="1" applyBorder="1" applyAlignment="1">
      <alignment vertical="center"/>
    </xf>
    <xf numFmtId="44" fontId="37" fillId="0" borderId="80" xfId="8" applyFont="1" applyBorder="1" applyAlignment="1">
      <alignment vertical="center"/>
    </xf>
    <xf numFmtId="1" fontId="37" fillId="12" borderId="17" xfId="0" applyNumberFormat="1" applyFont="1" applyFill="1" applyBorder="1" applyAlignment="1">
      <alignment vertical="center"/>
    </xf>
    <xf numFmtId="1" fontId="37" fillId="12" borderId="75" xfId="0" applyNumberFormat="1" applyFont="1" applyFill="1" applyBorder="1" applyAlignment="1">
      <alignment vertical="center"/>
    </xf>
    <xf numFmtId="44" fontId="37" fillId="12" borderId="75" xfId="8" applyFont="1" applyFill="1" applyBorder="1" applyAlignment="1">
      <alignment vertical="center"/>
    </xf>
    <xf numFmtId="44" fontId="37" fillId="14" borderId="75" xfId="8" applyFont="1" applyFill="1" applyBorder="1" applyAlignment="1">
      <alignment vertical="center"/>
    </xf>
    <xf numFmtId="9" fontId="37" fillId="13" borderId="75" xfId="1" applyFont="1" applyFill="1" applyBorder="1" applyAlignment="1">
      <alignment vertical="center"/>
    </xf>
    <xf numFmtId="44" fontId="37" fillId="13" borderId="75" xfId="8" applyFont="1" applyFill="1" applyBorder="1" applyAlignment="1">
      <alignment vertical="center"/>
    </xf>
    <xf numFmtId="44" fontId="37" fillId="13" borderId="80" xfId="8" applyFont="1" applyFill="1" applyBorder="1" applyAlignment="1">
      <alignment vertical="center"/>
    </xf>
    <xf numFmtId="0" fontId="37" fillId="17" borderId="52" xfId="0" applyFont="1" applyFill="1" applyBorder="1" applyAlignment="1">
      <alignment horizontal="left" vertical="center" wrapText="1"/>
    </xf>
    <xf numFmtId="0" fontId="37" fillId="0" borderId="63" xfId="0" applyFont="1" applyBorder="1" applyAlignment="1">
      <alignment horizontal="left" vertical="center" wrapText="1"/>
    </xf>
    <xf numFmtId="0" fontId="37" fillId="0" borderId="63" xfId="0" applyFont="1" applyBorder="1" applyAlignment="1">
      <alignment horizontal="center" vertical="center"/>
    </xf>
    <xf numFmtId="44" fontId="37" fillId="0" borderId="63" xfId="8" applyFont="1" applyBorder="1" applyAlignment="1">
      <alignment vertical="center"/>
    </xf>
    <xf numFmtId="44" fontId="37" fillId="0" borderId="53" xfId="8" applyFont="1" applyBorder="1" applyAlignment="1">
      <alignment vertical="center"/>
    </xf>
    <xf numFmtId="1" fontId="37" fillId="12" borderId="79" xfId="0" applyNumberFormat="1" applyFont="1" applyFill="1" applyBorder="1" applyAlignment="1">
      <alignment vertical="center"/>
    </xf>
    <xf numFmtId="1" fontId="37" fillId="12" borderId="61" xfId="0" applyNumberFormat="1" applyFont="1" applyFill="1" applyBorder="1" applyAlignment="1">
      <alignment vertical="center"/>
    </xf>
    <xf numFmtId="44" fontId="37" fillId="12" borderId="61" xfId="8" applyFont="1" applyFill="1" applyBorder="1" applyAlignment="1">
      <alignment vertical="center"/>
    </xf>
    <xf numFmtId="44" fontId="37" fillId="14" borderId="61" xfId="8" applyFont="1" applyFill="1" applyBorder="1" applyAlignment="1">
      <alignment vertical="center"/>
    </xf>
    <xf numFmtId="9" fontId="37" fillId="13" borderId="61" xfId="1" applyFont="1" applyFill="1" applyBorder="1" applyAlignment="1">
      <alignment vertical="center"/>
    </xf>
    <xf numFmtId="44" fontId="37" fillId="13" borderId="61" xfId="8" applyFont="1" applyFill="1" applyBorder="1" applyAlignment="1">
      <alignment vertical="center"/>
    </xf>
    <xf numFmtId="44" fontId="37" fillId="13" borderId="53" xfId="8" applyFont="1" applyFill="1" applyBorder="1" applyAlignment="1">
      <alignment vertical="center"/>
    </xf>
    <xf numFmtId="170" fontId="17" fillId="10" borderId="18" xfId="0" applyNumberFormat="1" applyFont="1" applyFill="1" applyBorder="1" applyAlignment="1">
      <alignment horizontal="right"/>
    </xf>
    <xf numFmtId="44" fontId="17" fillId="10" borderId="0" xfId="0" applyNumberFormat="1" applyFont="1" applyFill="1" applyAlignment="1">
      <alignment horizontal="right"/>
    </xf>
    <xf numFmtId="44" fontId="35" fillId="14" borderId="0" xfId="0" applyNumberFormat="1" applyFont="1" applyFill="1"/>
    <xf numFmtId="0" fontId="30" fillId="13" borderId="0" xfId="0" applyFont="1" applyFill="1"/>
    <xf numFmtId="44" fontId="35" fillId="13" borderId="0" xfId="0" applyNumberFormat="1" applyFont="1" applyFill="1"/>
    <xf numFmtId="44" fontId="35" fillId="13" borderId="18" xfId="8" applyFont="1" applyFill="1" applyBorder="1"/>
    <xf numFmtId="44" fontId="17" fillId="15" borderId="70" xfId="8" applyFont="1" applyFill="1" applyBorder="1" applyAlignment="1">
      <alignment horizontal="center"/>
    </xf>
    <xf numFmtId="44" fontId="17" fillId="15" borderId="87" xfId="8" applyFont="1" applyFill="1" applyBorder="1" applyAlignment="1">
      <alignment horizontal="center"/>
    </xf>
    <xf numFmtId="49" fontId="37" fillId="0" borderId="60" xfId="0" applyNumberFormat="1" applyFont="1" applyBorder="1" applyAlignment="1">
      <alignment horizontal="left" vertical="center" wrapText="1"/>
    </xf>
    <xf numFmtId="44" fontId="40" fillId="0" borderId="62" xfId="0" applyNumberFormat="1" applyFont="1" applyBorder="1"/>
    <xf numFmtId="164" fontId="4" fillId="0" borderId="20" xfId="2" applyNumberFormat="1" applyFont="1" applyBorder="1" applyAlignment="1" applyProtection="1">
      <alignment horizontal="left" vertical="center"/>
      <protection locked="0"/>
    </xf>
    <xf numFmtId="164" fontId="4" fillId="0" borderId="19" xfId="2" applyNumberFormat="1" applyFont="1" applyBorder="1" applyAlignment="1" applyProtection="1">
      <alignment horizontal="left" vertical="center"/>
      <protection locked="0"/>
    </xf>
    <xf numFmtId="164" fontId="4" fillId="0" borderId="31" xfId="2" applyNumberFormat="1" applyFont="1" applyBorder="1" applyAlignment="1" applyProtection="1">
      <alignment horizontal="left" vertical="center"/>
      <protection locked="0"/>
    </xf>
    <xf numFmtId="164" fontId="4" fillId="0" borderId="30" xfId="2" applyNumberFormat="1" applyFont="1" applyBorder="1" applyAlignment="1" applyProtection="1">
      <alignment horizontal="left" vertical="center"/>
      <protection locked="0"/>
    </xf>
    <xf numFmtId="0" fontId="4" fillId="0" borderId="23" xfId="2" applyFont="1" applyBorder="1" applyAlignment="1" applyProtection="1">
      <alignment horizontal="left" vertical="center"/>
      <protection locked="0"/>
    </xf>
    <xf numFmtId="14" fontId="4" fillId="0" borderId="30" xfId="2" applyNumberFormat="1" applyFont="1" applyBorder="1" applyAlignment="1" applyProtection="1">
      <alignment horizontal="left" vertical="center"/>
      <protection locked="0"/>
    </xf>
    <xf numFmtId="164" fontId="4" fillId="0" borderId="39" xfId="2" applyNumberFormat="1" applyFont="1" applyBorder="1" applyAlignment="1" applyProtection="1">
      <alignment horizontal="left" vertical="center"/>
      <protection locked="0"/>
    </xf>
    <xf numFmtId="0" fontId="4" fillId="0" borderId="26" xfId="2" applyFont="1" applyBorder="1" applyAlignment="1" applyProtection="1">
      <alignment horizontal="left" vertical="center"/>
      <protection locked="0"/>
    </xf>
    <xf numFmtId="0" fontId="34" fillId="0" borderId="0" xfId="0" applyFont="1"/>
    <xf numFmtId="0" fontId="34" fillId="0" borderId="62" xfId="0" applyFont="1" applyBorder="1"/>
    <xf numFmtId="44" fontId="41" fillId="0" borderId="62" xfId="8" applyFont="1" applyBorder="1"/>
    <xf numFmtId="0" fontId="22" fillId="0" borderId="0" xfId="0" applyFont="1"/>
    <xf numFmtId="0" fontId="42" fillId="0" borderId="0" xfId="0" applyFont="1" applyAlignment="1">
      <alignment horizontal="left"/>
    </xf>
    <xf numFmtId="44" fontId="21" fillId="0" borderId="0" xfId="0" applyNumberFormat="1" applyFont="1"/>
    <xf numFmtId="0" fontId="43" fillId="0" borderId="0" xfId="0" applyFont="1" applyAlignment="1">
      <alignment horizontal="left"/>
    </xf>
    <xf numFmtId="9" fontId="22" fillId="0" borderId="0" xfId="1" applyFont="1"/>
    <xf numFmtId="44" fontId="24" fillId="0" borderId="83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6" fillId="22" borderId="11" xfId="0" applyFont="1" applyFill="1" applyBorder="1" applyAlignment="1">
      <alignment horizontal="center"/>
    </xf>
    <xf numFmtId="0" fontId="26" fillId="22" borderId="12" xfId="0" applyFont="1" applyFill="1" applyBorder="1" applyAlignment="1">
      <alignment horizontal="center"/>
    </xf>
    <xf numFmtId="0" fontId="26" fillId="22" borderId="83" xfId="0" applyFont="1" applyFill="1" applyBorder="1" applyAlignment="1">
      <alignment horizontal="center"/>
    </xf>
    <xf numFmtId="0" fontId="17" fillId="10" borderId="14" xfId="0" applyFont="1" applyFill="1" applyBorder="1" applyAlignment="1">
      <alignment horizontal="left"/>
    </xf>
    <xf numFmtId="0" fontId="17" fillId="10" borderId="15" xfId="0" applyFont="1" applyFill="1" applyBorder="1" applyAlignment="1">
      <alignment horizontal="left"/>
    </xf>
    <xf numFmtId="0" fontId="17" fillId="10" borderId="65" xfId="0" applyFont="1" applyFill="1" applyBorder="1" applyAlignment="1">
      <alignment horizontal="left"/>
    </xf>
    <xf numFmtId="0" fontId="17" fillId="10" borderId="66" xfId="0" applyFont="1" applyFill="1" applyBorder="1" applyAlignment="1">
      <alignment horizontal="left"/>
    </xf>
    <xf numFmtId="0" fontId="31" fillId="0" borderId="0" xfId="2" applyFont="1" applyAlignment="1">
      <alignment horizontal="left" vertical="center" wrapText="1"/>
    </xf>
    <xf numFmtId="0" fontId="31" fillId="0" borderId="0" xfId="2" applyFont="1" applyAlignment="1">
      <alignment horizontal="left" vertical="top"/>
    </xf>
    <xf numFmtId="0" fontId="33" fillId="2" borderId="3" xfId="3" applyFont="1" applyFill="1" applyBorder="1" applyAlignment="1">
      <alignment horizontal="center" vertical="center"/>
    </xf>
    <xf numFmtId="0" fontId="33" fillId="2" borderId="4" xfId="3" applyFont="1" applyFill="1" applyBorder="1" applyAlignment="1">
      <alignment horizontal="center" vertical="center"/>
    </xf>
    <xf numFmtId="0" fontId="33" fillId="2" borderId="5" xfId="3" applyFont="1" applyFill="1" applyBorder="1" applyAlignment="1">
      <alignment horizontal="center" vertical="center"/>
    </xf>
    <xf numFmtId="166" fontId="33" fillId="0" borderId="40" xfId="4" applyNumberFormat="1" applyFont="1" applyBorder="1" applyAlignment="1">
      <alignment horizontal="center" vertical="center" wrapText="1"/>
    </xf>
    <xf numFmtId="166" fontId="33" fillId="0" borderId="41" xfId="4" applyNumberFormat="1" applyFont="1" applyBorder="1" applyAlignment="1">
      <alignment horizontal="center" vertical="center" wrapText="1"/>
    </xf>
    <xf numFmtId="166" fontId="33" fillId="4" borderId="17" xfId="4" applyNumberFormat="1" applyFont="1" applyFill="1" applyBorder="1" applyAlignment="1">
      <alignment horizontal="center" vertical="center" wrapText="1"/>
    </xf>
    <xf numFmtId="166" fontId="33" fillId="4" borderId="0" xfId="4" applyNumberFormat="1" applyFont="1" applyFill="1" applyBorder="1" applyAlignment="1">
      <alignment horizontal="center" vertical="center" wrapText="1"/>
    </xf>
    <xf numFmtId="0" fontId="17" fillId="9" borderId="11" xfId="0" applyFont="1" applyFill="1" applyBorder="1" applyAlignment="1">
      <alignment horizontal="center"/>
    </xf>
    <xf numFmtId="0" fontId="17" fillId="9" borderId="12" xfId="0" applyFont="1" applyFill="1" applyBorder="1" applyAlignment="1">
      <alignment horizontal="center"/>
    </xf>
    <xf numFmtId="0" fontId="17" fillId="9" borderId="13" xfId="0" applyFont="1" applyFill="1" applyBorder="1" applyAlignment="1">
      <alignment horizontal="center"/>
    </xf>
    <xf numFmtId="0" fontId="17" fillId="9" borderId="54" xfId="0" applyFont="1" applyFill="1" applyBorder="1" applyAlignment="1">
      <alignment horizontal="center"/>
    </xf>
    <xf numFmtId="0" fontId="17" fillId="9" borderId="55" xfId="0" applyFont="1" applyFill="1" applyBorder="1" applyAlignment="1">
      <alignment horizontal="center"/>
    </xf>
    <xf numFmtId="0" fontId="17" fillId="9" borderId="57" xfId="0" applyFont="1" applyFill="1" applyBorder="1" applyAlignment="1">
      <alignment horizontal="center"/>
    </xf>
    <xf numFmtId="0" fontId="17" fillId="10" borderId="11" xfId="0" applyFont="1" applyFill="1" applyBorder="1" applyAlignment="1">
      <alignment horizontal="left"/>
    </xf>
    <xf numFmtId="0" fontId="17" fillId="10" borderId="12" xfId="0" applyFont="1" applyFill="1" applyBorder="1" applyAlignment="1">
      <alignment horizontal="left"/>
    </xf>
    <xf numFmtId="0" fontId="17" fillId="10" borderId="58" xfId="0" applyFont="1" applyFill="1" applyBorder="1" applyAlignment="1">
      <alignment horizontal="left"/>
    </xf>
    <xf numFmtId="0" fontId="17" fillId="10" borderId="70" xfId="0" applyFont="1" applyFill="1" applyBorder="1" applyAlignment="1">
      <alignment horizontal="left"/>
    </xf>
    <xf numFmtId="0" fontId="17" fillId="10" borderId="69" xfId="0" applyFont="1" applyFill="1" applyBorder="1" applyAlignment="1">
      <alignment horizontal="left"/>
    </xf>
    <xf numFmtId="0" fontId="17" fillId="10" borderId="71" xfId="0" applyFont="1" applyFill="1" applyBorder="1" applyAlignment="1">
      <alignment horizontal="left"/>
    </xf>
    <xf numFmtId="0" fontId="33" fillId="3" borderId="6" xfId="0" applyFont="1" applyFill="1" applyBorder="1" applyAlignment="1">
      <alignment horizontal="center" vertical="center" wrapText="1"/>
    </xf>
    <xf numFmtId="0" fontId="33" fillId="3" borderId="37" xfId="0" applyFont="1" applyFill="1" applyBorder="1" applyAlignment="1">
      <alignment horizontal="center" vertical="center" wrapText="1"/>
    </xf>
    <xf numFmtId="0" fontId="33" fillId="3" borderId="5" xfId="0" applyFont="1" applyFill="1" applyBorder="1" applyAlignment="1">
      <alignment horizontal="center" vertical="center" wrapText="1"/>
    </xf>
    <xf numFmtId="166" fontId="33" fillId="4" borderId="6" xfId="4" applyNumberFormat="1" applyFont="1" applyFill="1" applyBorder="1" applyAlignment="1">
      <alignment horizontal="center" vertical="center" wrapText="1"/>
    </xf>
    <xf numFmtId="166" fontId="33" fillId="4" borderId="37" xfId="4" applyNumberFormat="1" applyFont="1" applyFill="1" applyBorder="1" applyAlignment="1">
      <alignment horizontal="center" vertical="center" wrapText="1"/>
    </xf>
    <xf numFmtId="166" fontId="33" fillId="4" borderId="5" xfId="4" applyNumberFormat="1" applyFont="1" applyFill="1" applyBorder="1" applyAlignment="1">
      <alignment horizontal="center" vertical="center" wrapText="1"/>
    </xf>
    <xf numFmtId="0" fontId="17" fillId="10" borderId="17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7" fillId="9" borderId="76" xfId="0" applyFont="1" applyFill="1" applyBorder="1" applyAlignment="1">
      <alignment horizontal="center"/>
    </xf>
    <xf numFmtId="0" fontId="17" fillId="9" borderId="0" xfId="0" applyFont="1" applyFill="1" applyAlignment="1">
      <alignment horizontal="center"/>
    </xf>
    <xf numFmtId="0" fontId="17" fillId="9" borderId="83" xfId="0" applyFont="1" applyFill="1" applyBorder="1" applyAlignment="1">
      <alignment horizontal="center"/>
    </xf>
    <xf numFmtId="0" fontId="17" fillId="10" borderId="83" xfId="0" applyFont="1" applyFill="1" applyBorder="1" applyAlignment="1">
      <alignment horizontal="left"/>
    </xf>
    <xf numFmtId="0" fontId="0" fillId="16" borderId="6" xfId="0" applyFill="1" applyBorder="1" applyAlignment="1">
      <alignment horizontal="center"/>
    </xf>
    <xf numFmtId="0" fontId="0" fillId="16" borderId="72" xfId="0" applyFill="1" applyBorder="1" applyAlignment="1">
      <alignment horizontal="center"/>
    </xf>
    <xf numFmtId="0" fontId="11" fillId="8" borderId="42" xfId="0" applyFont="1" applyFill="1" applyBorder="1" applyAlignment="1">
      <alignment horizontal="left" vertical="center"/>
    </xf>
    <xf numFmtId="0" fontId="11" fillId="8" borderId="42" xfId="0" applyFont="1" applyFill="1" applyBorder="1" applyAlignment="1">
      <alignment vertical="center"/>
    </xf>
    <xf numFmtId="0" fontId="11" fillId="8" borderId="0" xfId="0" applyFont="1" applyFill="1" applyAlignment="1">
      <alignment vertical="center"/>
    </xf>
    <xf numFmtId="0" fontId="12" fillId="8" borderId="42" xfId="0" applyFont="1" applyFill="1" applyBorder="1" applyAlignment="1">
      <alignment horizontal="left" vertical="top"/>
    </xf>
    <xf numFmtId="0" fontId="14" fillId="8" borderId="42" xfId="0" applyFont="1" applyFill="1" applyBorder="1" applyAlignment="1">
      <alignment horizontal="center" vertical="center" wrapText="1"/>
    </xf>
    <xf numFmtId="0" fontId="14" fillId="8" borderId="0" xfId="0" applyFont="1" applyFill="1" applyAlignment="1">
      <alignment horizontal="center" vertical="center" wrapText="1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990099"/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0</xdr:row>
      <xdr:rowOff>152400</xdr:rowOff>
    </xdr:from>
    <xdr:to>
      <xdr:col>5</xdr:col>
      <xdr:colOff>888216</xdr:colOff>
      <xdr:row>1</xdr:row>
      <xdr:rowOff>66801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CB1F43E9-E50D-4C37-894D-9D2B9A7861D6}"/>
            </a:ext>
          </a:extLst>
        </xdr:cNvPr>
        <xdr:cNvSpPr/>
      </xdr:nvSpPr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610544</xdr:colOff>
      <xdr:row>0</xdr:row>
      <xdr:rowOff>506287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1CAD9771-8352-4CE6-8D77-DBB296305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5207" cy="372267"/>
        </a:xfrm>
        <a:prstGeom prst="rect">
          <a:avLst/>
        </a:prstGeom>
      </xdr:spPr>
    </xdr:pic>
    <xdr:clientData/>
  </xdr:twoCellAnchor>
  <xdr:twoCellAnchor editAs="absolute">
    <xdr:from>
      <xdr:col>47</xdr:col>
      <xdr:colOff>227527</xdr:colOff>
      <xdr:row>0</xdr:row>
      <xdr:rowOff>190500</xdr:rowOff>
    </xdr:from>
    <xdr:to>
      <xdr:col>49</xdr:col>
      <xdr:colOff>35445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6324A32B-F725-47EB-A47D-0C01D7C2A961}"/>
            </a:ext>
          </a:extLst>
        </xdr:cNvPr>
        <xdr:cNvSpPr/>
      </xdr:nvSpPr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46</xdr:col>
      <xdr:colOff>349724</xdr:colOff>
      <xdr:row>0</xdr:row>
      <xdr:rowOff>182692</xdr:rowOff>
    </xdr:from>
    <xdr:to>
      <xdr:col>47</xdr:col>
      <xdr:colOff>151324</xdr:colOff>
      <xdr:row>0</xdr:row>
      <xdr:rowOff>545182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B093F04-D6FF-41CD-AAD0-45FB985AC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99740" y="179391"/>
          <a:ext cx="353217" cy="362742"/>
        </a:xfrm>
        <a:prstGeom prst="rect">
          <a:avLst/>
        </a:prstGeom>
      </xdr:spPr>
    </xdr:pic>
    <xdr:clientData/>
  </xdr:twoCellAnchor>
  <xdr:twoCellAnchor editAs="absolute">
    <xdr:from>
      <xdr:col>2</xdr:col>
      <xdr:colOff>0</xdr:colOff>
      <xdr:row>0</xdr:row>
      <xdr:rowOff>152400</xdr:rowOff>
    </xdr:from>
    <xdr:to>
      <xdr:col>5</xdr:col>
      <xdr:colOff>888216</xdr:colOff>
      <xdr:row>1</xdr:row>
      <xdr:rowOff>66801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6ABA7E1C-E3A7-4A40-A94D-86E5F2BD72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47</xdr:col>
      <xdr:colOff>227527</xdr:colOff>
      <xdr:row>0</xdr:row>
      <xdr:rowOff>190500</xdr:rowOff>
    </xdr:from>
    <xdr:to>
      <xdr:col>49</xdr:col>
      <xdr:colOff>35445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0B3F352-0E54-457D-BA4A-E5B3FA4220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937E0-2CF9-4FE4-82AB-EB2BEC9C7904}">
  <dimension ref="A1:F31"/>
  <sheetViews>
    <sheetView showGridLines="0" tabSelected="1" topLeftCell="A13" zoomScaleNormal="100" workbookViewId="0">
      <selection activeCell="D30" sqref="D30"/>
    </sheetView>
  </sheetViews>
  <sheetFormatPr defaultColWidth="8.6640625" defaultRowHeight="14.4" x14ac:dyDescent="0.35"/>
  <cols>
    <col min="1" max="1" width="6.44140625" style="64" customWidth="1"/>
    <col min="2" max="2" width="23.5546875" style="64" customWidth="1"/>
    <col min="3" max="3" width="33.33203125" style="64" bestFit="1" customWidth="1"/>
    <col min="4" max="4" width="20.44140625" style="64" customWidth="1"/>
    <col min="5" max="5" width="18.44140625" style="64" customWidth="1"/>
    <col min="6" max="6" width="7.44140625" style="65" customWidth="1"/>
    <col min="7" max="7" width="12.88671875" style="64" bestFit="1" customWidth="1"/>
    <col min="8" max="8" width="12.5546875" style="64" bestFit="1" customWidth="1"/>
    <col min="9" max="16384" width="8.6640625" style="64"/>
  </cols>
  <sheetData>
    <row r="1" spans="1:5" hidden="1" x14ac:dyDescent="0.35"/>
    <row r="2" spans="1:5" hidden="1" x14ac:dyDescent="0.35"/>
    <row r="3" spans="1:5" hidden="1" x14ac:dyDescent="0.35">
      <c r="C3" s="66">
        <v>45866</v>
      </c>
      <c r="D3" s="67"/>
      <c r="E3" s="229" t="e">
        <f>SUM(#REF!)</f>
        <v>#REF!</v>
      </c>
    </row>
    <row r="4" spans="1:5" ht="15.6" hidden="1" customHeight="1" thickBot="1" x14ac:dyDescent="0.4">
      <c r="C4" s="68">
        <v>45867</v>
      </c>
      <c r="D4" s="69"/>
      <c r="E4" s="230"/>
    </row>
    <row r="5" spans="1:5" hidden="1" x14ac:dyDescent="0.35">
      <c r="C5" s="70" t="s">
        <v>182</v>
      </c>
      <c r="D5" s="71"/>
    </row>
    <row r="6" spans="1:5" hidden="1" x14ac:dyDescent="0.35">
      <c r="C6" s="70" t="s">
        <v>183</v>
      </c>
      <c r="D6" s="71"/>
    </row>
    <row r="7" spans="1:5" ht="15" hidden="1" thickBot="1" x14ac:dyDescent="0.4">
      <c r="C7" s="72" t="s">
        <v>43</v>
      </c>
      <c r="D7" s="73"/>
    </row>
    <row r="9" spans="1:5" x14ac:dyDescent="0.35">
      <c r="A9" s="64" t="s">
        <v>107</v>
      </c>
    </row>
    <row r="10" spans="1:5" ht="24" customHeight="1" x14ac:dyDescent="0.35"/>
    <row r="12" spans="1:5" ht="15" customHeight="1" x14ac:dyDescent="0.35">
      <c r="B12" s="213" t="s">
        <v>137</v>
      </c>
      <c r="C12" s="214" t="s">
        <v>146</v>
      </c>
      <c r="D12" s="74"/>
    </row>
    <row r="13" spans="1:5" ht="15" customHeight="1" x14ac:dyDescent="0.35">
      <c r="B13" s="215" t="s">
        <v>138</v>
      </c>
      <c r="C13" s="216" t="s">
        <v>139</v>
      </c>
      <c r="D13" s="74"/>
    </row>
    <row r="14" spans="1:5" ht="15" customHeight="1" x14ac:dyDescent="0.35">
      <c r="B14" s="215" t="s">
        <v>140</v>
      </c>
      <c r="C14" s="217" t="s">
        <v>147</v>
      </c>
      <c r="D14" s="75"/>
    </row>
    <row r="15" spans="1:5" ht="15" customHeight="1" x14ac:dyDescent="0.35">
      <c r="B15" s="215" t="s">
        <v>141</v>
      </c>
      <c r="C15" s="217" t="s">
        <v>148</v>
      </c>
      <c r="D15" s="75"/>
    </row>
    <row r="16" spans="1:5" ht="15" customHeight="1" x14ac:dyDescent="0.35">
      <c r="B16" s="215" t="s">
        <v>142</v>
      </c>
      <c r="C16" s="218">
        <v>46121</v>
      </c>
      <c r="D16" s="76"/>
    </row>
    <row r="17" spans="2:6" ht="15" customHeight="1" x14ac:dyDescent="0.35">
      <c r="B17" s="215" t="s">
        <v>143</v>
      </c>
      <c r="C17" s="217" t="s">
        <v>121</v>
      </c>
      <c r="D17" s="75"/>
    </row>
    <row r="18" spans="2:6" ht="15" customHeight="1" x14ac:dyDescent="0.35">
      <c r="B18" s="215" t="s">
        <v>144</v>
      </c>
      <c r="C18" s="217" t="s">
        <v>122</v>
      </c>
      <c r="D18" s="75"/>
    </row>
    <row r="19" spans="2:6" ht="15" customHeight="1" x14ac:dyDescent="0.35">
      <c r="B19" s="219" t="s">
        <v>145</v>
      </c>
      <c r="C19" s="220" t="s">
        <v>149</v>
      </c>
      <c r="D19" s="75"/>
    </row>
    <row r="21" spans="2:6" ht="15.6" customHeight="1" x14ac:dyDescent="0.35">
      <c r="B21" s="77"/>
      <c r="C21" s="77" t="s">
        <v>184</v>
      </c>
      <c r="D21" s="77" t="s">
        <v>185</v>
      </c>
      <c r="E21" s="77" t="s">
        <v>186</v>
      </c>
      <c r="F21" s="78"/>
    </row>
    <row r="22" spans="2:6" ht="15.6" customHeight="1" x14ac:dyDescent="0.35">
      <c r="B22" s="79" t="s">
        <v>190</v>
      </c>
      <c r="C22" s="80">
        <f>Principal!N26</f>
        <v>6474.8913880949422</v>
      </c>
      <c r="D22" s="80">
        <f>Principal!X26</f>
        <v>4353</v>
      </c>
      <c r="E22" s="80">
        <f>C22-D22</f>
        <v>2121.8913880949422</v>
      </c>
      <c r="F22" s="81">
        <f>E22*100%/C22</f>
        <v>0.32771073071532247</v>
      </c>
    </row>
    <row r="23" spans="2:6" ht="15" x14ac:dyDescent="0.35">
      <c r="B23" s="77"/>
      <c r="C23" s="82"/>
      <c r="D23" s="82"/>
      <c r="E23" s="82"/>
      <c r="F23" s="82"/>
    </row>
    <row r="24" spans="2:6" ht="15" x14ac:dyDescent="0.35">
      <c r="B24" s="83"/>
      <c r="C24" s="83"/>
      <c r="D24" s="83"/>
      <c r="E24" s="83"/>
      <c r="F24" s="78"/>
    </row>
    <row r="25" spans="2:6" ht="200.1" hidden="1" customHeight="1" x14ac:dyDescent="0.35">
      <c r="B25" s="83"/>
      <c r="C25" s="83"/>
      <c r="D25" s="83"/>
      <c r="E25" s="83"/>
      <c r="F25" s="78"/>
    </row>
    <row r="26" spans="2:6" ht="15.6" thickBot="1" x14ac:dyDescent="0.4">
      <c r="B26" s="83"/>
      <c r="C26" s="83"/>
      <c r="D26" s="83"/>
      <c r="E26" s="83"/>
      <c r="F26" s="78"/>
    </row>
    <row r="27" spans="2:6" ht="21.9" customHeight="1" x14ac:dyDescent="0.35">
      <c r="B27" s="231" t="s">
        <v>187</v>
      </c>
      <c r="C27" s="232"/>
      <c r="D27" s="232"/>
      <c r="E27" s="232"/>
      <c r="F27" s="233"/>
    </row>
    <row r="28" spans="2:6" ht="21.9" customHeight="1" x14ac:dyDescent="0.35">
      <c r="B28" s="79" t="s">
        <v>193</v>
      </c>
      <c r="C28" s="84">
        <v>4533</v>
      </c>
      <c r="D28" s="80">
        <f>D22</f>
        <v>4353</v>
      </c>
      <c r="E28" s="80">
        <f>C28-D28</f>
        <v>180</v>
      </c>
      <c r="F28" s="81">
        <f>E28*100%/C28</f>
        <v>3.9708802117802783E-2</v>
      </c>
    </row>
    <row r="29" spans="2:6" ht="18" customHeight="1" x14ac:dyDescent="0.35">
      <c r="B29" s="79" t="s">
        <v>194</v>
      </c>
      <c r="C29" s="84">
        <v>1941.89</v>
      </c>
      <c r="D29" s="85">
        <f>C29*0.15</f>
        <v>291.2835</v>
      </c>
      <c r="E29" s="80">
        <f>C29-D29</f>
        <v>1650.6065000000001</v>
      </c>
      <c r="F29" s="81">
        <f>E29*100%/C29</f>
        <v>0.85</v>
      </c>
    </row>
    <row r="30" spans="2:6" ht="16.5" customHeight="1" x14ac:dyDescent="0.35">
      <c r="B30" s="86"/>
      <c r="C30" s="87">
        <f>SUM(C28:C29)</f>
        <v>6474.89</v>
      </c>
      <c r="D30" s="88">
        <f>SUM(D28:D29)</f>
        <v>4644.2834999999995</v>
      </c>
      <c r="E30" s="88">
        <f>SUM(E28:E29)</f>
        <v>1830.6065000000001</v>
      </c>
      <c r="F30" s="89"/>
    </row>
    <row r="31" spans="2:6" ht="15" x14ac:dyDescent="0.35">
      <c r="B31" s="83"/>
      <c r="C31" s="83"/>
      <c r="D31" s="83"/>
      <c r="E31" s="83"/>
      <c r="F31" s="78"/>
    </row>
  </sheetData>
  <mergeCells count="2">
    <mergeCell ref="E3:E4"/>
    <mergeCell ref="B27:F27"/>
  </mergeCells>
  <pageMargins left="0.51181102362204722" right="0.51181102362204722" top="0.78740157480314965" bottom="0.78740157480314965" header="0.31496062992125984" footer="0.31496062992125984"/>
  <pageSetup paperSize="9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B35F7-15A5-405C-ABF9-C7FFAB2A5A71}">
  <sheetPr codeName="Planilha11">
    <pageSetUpPr autoPageBreaks="0"/>
  </sheetPr>
  <dimension ref="A1:AO31"/>
  <sheetViews>
    <sheetView showGridLines="0" topLeftCell="B1" zoomScale="60" zoomScaleNormal="60" workbookViewId="0">
      <pane ySplit="1" topLeftCell="A22" activePane="bottomLeft" state="frozen"/>
      <selection pane="bottomLeft" activeCell="B24" sqref="A24:XFD24"/>
    </sheetView>
  </sheetViews>
  <sheetFormatPr defaultColWidth="8.88671875" defaultRowHeight="21" x14ac:dyDescent="0.4"/>
  <cols>
    <col min="1" max="1" width="5" style="90" hidden="1" customWidth="1"/>
    <col min="2" max="2" width="10" style="90" customWidth="1"/>
    <col min="3" max="5" width="5" style="90" hidden="1" customWidth="1"/>
    <col min="6" max="6" width="34.109375" style="90" customWidth="1"/>
    <col min="7" max="7" width="48.88671875" style="90" customWidth="1"/>
    <col min="8" max="8" width="5.109375" style="93" bestFit="1" customWidth="1"/>
    <col min="9" max="9" width="5.33203125" style="93" customWidth="1"/>
    <col min="10" max="10" width="19.109375" style="90" bestFit="1" customWidth="1"/>
    <col min="11" max="11" width="26.88671875" style="90" bestFit="1" customWidth="1"/>
    <col min="12" max="12" width="24.88671875" style="90" bestFit="1" customWidth="1"/>
    <col min="13" max="14" width="26.88671875" style="90" bestFit="1" customWidth="1"/>
    <col min="15" max="15" width="12.33203125" style="90" hidden="1" customWidth="1"/>
    <col min="16" max="16" width="9.109375" style="90" hidden="1" customWidth="1"/>
    <col min="17" max="17" width="7" style="90" bestFit="1" customWidth="1"/>
    <col min="18" max="18" width="8.33203125" style="90" hidden="1" customWidth="1"/>
    <col min="19" max="19" width="19.33203125" style="90" hidden="1" customWidth="1"/>
    <col min="20" max="20" width="23.5546875" style="90" bestFit="1" customWidth="1"/>
    <col min="21" max="21" width="24.88671875" style="90" hidden="1" customWidth="1"/>
    <col min="22" max="22" width="9.88671875" style="90" hidden="1" customWidth="1"/>
    <col min="23" max="23" width="16.33203125" style="90" hidden="1" customWidth="1"/>
    <col min="24" max="24" width="27.44140625" style="90" bestFit="1" customWidth="1"/>
    <col min="25" max="25" width="26.88671875" style="90" hidden="1" customWidth="1"/>
    <col min="26" max="26" width="19" style="90" hidden="1" customWidth="1"/>
    <col min="27" max="27" width="24.88671875" style="90" hidden="1" customWidth="1"/>
    <col min="28" max="28" width="38.109375" style="90" hidden="1" customWidth="1"/>
    <col min="29" max="29" width="14.109375" style="90" hidden="1" customWidth="1"/>
    <col min="30" max="30" width="7.6640625" style="90" hidden="1" customWidth="1"/>
    <col min="31" max="31" width="6.88671875" style="90" hidden="1" customWidth="1"/>
    <col min="32" max="32" width="1.33203125" style="90" hidden="1" customWidth="1"/>
    <col min="33" max="33" width="14" style="90" hidden="1" customWidth="1"/>
    <col min="34" max="34" width="11.6640625" style="90" hidden="1" customWidth="1"/>
    <col min="35" max="35" width="6.33203125" style="90" hidden="1" customWidth="1"/>
    <col min="36" max="36" width="12.6640625" style="90" hidden="1" customWidth="1"/>
    <col min="37" max="37" width="23.44140625" style="90" customWidth="1"/>
    <col min="38" max="38" width="20.44140625" style="221" customWidth="1"/>
    <col min="39" max="39" width="8.88671875" style="224"/>
    <col min="40" max="40" width="21.33203125" style="90" customWidth="1"/>
    <col min="41" max="16384" width="8.88671875" style="90"/>
  </cols>
  <sheetData>
    <row r="1" spans="1:38" ht="49.5" customHeight="1" x14ac:dyDescent="0.4">
      <c r="B1" s="91"/>
      <c r="C1" s="92"/>
      <c r="D1" s="92"/>
      <c r="F1" s="238" t="s">
        <v>120</v>
      </c>
      <c r="G1" s="238"/>
    </row>
    <row r="2" spans="1:38" ht="24.75" customHeight="1" x14ac:dyDescent="0.4">
      <c r="B2" s="94"/>
      <c r="D2" s="92"/>
      <c r="F2" s="239" t="s">
        <v>0</v>
      </c>
      <c r="G2" s="239"/>
    </row>
    <row r="3" spans="1:38" ht="22.2" x14ac:dyDescent="0.4">
      <c r="B3" s="95"/>
      <c r="F3" s="96"/>
      <c r="G3" s="96"/>
    </row>
    <row r="4" spans="1:38" ht="23.4" x14ac:dyDescent="0.4">
      <c r="F4" s="56" t="s">
        <v>137</v>
      </c>
      <c r="G4" s="57" t="s">
        <v>146</v>
      </c>
    </row>
    <row r="5" spans="1:38" ht="23.4" x14ac:dyDescent="0.4">
      <c r="F5" s="58" t="s">
        <v>138</v>
      </c>
      <c r="G5" s="59" t="s">
        <v>139</v>
      </c>
    </row>
    <row r="6" spans="1:38" ht="23.4" x14ac:dyDescent="0.4">
      <c r="D6" s="90" t="s">
        <v>107</v>
      </c>
      <c r="F6" s="58" t="s">
        <v>140</v>
      </c>
      <c r="G6" s="60" t="s">
        <v>147</v>
      </c>
    </row>
    <row r="7" spans="1:38" ht="21.75" customHeight="1" x14ac:dyDescent="0.4">
      <c r="F7" s="58" t="s">
        <v>141</v>
      </c>
      <c r="G7" s="60" t="s">
        <v>148</v>
      </c>
      <c r="J7" s="90" t="s">
        <v>119</v>
      </c>
    </row>
    <row r="8" spans="1:38" ht="23.4" x14ac:dyDescent="0.4">
      <c r="F8" s="58" t="s">
        <v>142</v>
      </c>
      <c r="G8" s="61">
        <v>46121</v>
      </c>
    </row>
    <row r="9" spans="1:38" ht="23.4" x14ac:dyDescent="0.4">
      <c r="F9" s="58" t="s">
        <v>143</v>
      </c>
      <c r="G9" s="60" t="s">
        <v>121</v>
      </c>
      <c r="J9" s="90" t="s">
        <v>107</v>
      </c>
    </row>
    <row r="10" spans="1:38" ht="27" customHeight="1" x14ac:dyDescent="0.4">
      <c r="F10" s="58" t="s">
        <v>144</v>
      </c>
      <c r="G10" s="60" t="s">
        <v>122</v>
      </c>
    </row>
    <row r="11" spans="1:38" ht="24" thickBot="1" x14ac:dyDescent="0.45">
      <c r="F11" s="62" t="s">
        <v>145</v>
      </c>
      <c r="G11" s="63" t="s">
        <v>149</v>
      </c>
    </row>
    <row r="12" spans="1:38" ht="67.2" thickBot="1" x14ac:dyDescent="0.45">
      <c r="B12" s="97"/>
      <c r="M12" s="98"/>
      <c r="Q12" s="240" t="s">
        <v>1</v>
      </c>
      <c r="R12" s="241"/>
      <c r="S12" s="241"/>
      <c r="T12" s="242"/>
      <c r="U12" s="259" t="s">
        <v>2</v>
      </c>
      <c r="V12" s="260"/>
      <c r="W12" s="260"/>
      <c r="X12" s="261"/>
      <c r="Y12" s="99" t="s">
        <v>56</v>
      </c>
      <c r="Z12" s="100">
        <f>(1/(1-M14))-1</f>
        <v>0.24269914253759173</v>
      </c>
      <c r="AC12" s="262" t="s">
        <v>3</v>
      </c>
      <c r="AD12" s="263"/>
      <c r="AE12" s="264"/>
      <c r="AG12" s="245" t="s">
        <v>58</v>
      </c>
      <c r="AH12" s="246"/>
      <c r="AJ12" s="101" t="s">
        <v>60</v>
      </c>
      <c r="AK12" s="243" t="s">
        <v>59</v>
      </c>
      <c r="AL12" s="244"/>
    </row>
    <row r="13" spans="1:38" ht="22.8" thickBot="1" x14ac:dyDescent="0.5">
      <c r="A13" s="102" t="s">
        <v>4</v>
      </c>
      <c r="B13" s="103" t="s">
        <v>5</v>
      </c>
      <c r="C13" s="102" t="s">
        <v>6</v>
      </c>
      <c r="D13" s="102" t="s">
        <v>7</v>
      </c>
      <c r="E13" s="102" t="s">
        <v>8</v>
      </c>
      <c r="M13" s="104">
        <v>0.80469999999999997</v>
      </c>
    </row>
    <row r="14" spans="1:38" ht="39" customHeight="1" thickBot="1" x14ac:dyDescent="0.45">
      <c r="A14" s="105">
        <v>0</v>
      </c>
      <c r="B14" s="106"/>
      <c r="C14" s="107"/>
      <c r="D14" s="108"/>
      <c r="E14" s="108"/>
      <c r="F14" s="109" t="s">
        <v>84</v>
      </c>
      <c r="G14" s="110" t="s">
        <v>85</v>
      </c>
      <c r="H14" s="111" t="s">
        <v>86</v>
      </c>
      <c r="I14" s="111" t="s">
        <v>87</v>
      </c>
      <c r="J14" s="112" t="s">
        <v>88</v>
      </c>
      <c r="K14" s="113" t="s">
        <v>9</v>
      </c>
      <c r="L14" s="114">
        <v>0.08</v>
      </c>
      <c r="M14" s="115">
        <f>1-M13</f>
        <v>0.19530000000000003</v>
      </c>
      <c r="N14" s="116" t="s">
        <v>82</v>
      </c>
      <c r="Q14" s="117" t="s">
        <v>89</v>
      </c>
      <c r="R14" s="118" t="s">
        <v>90</v>
      </c>
      <c r="S14" s="119" t="s">
        <v>91</v>
      </c>
      <c r="T14" s="120" t="s">
        <v>92</v>
      </c>
      <c r="U14" s="121" t="s">
        <v>93</v>
      </c>
      <c r="V14" s="122" t="s">
        <v>94</v>
      </c>
      <c r="W14" s="123" t="s">
        <v>95</v>
      </c>
      <c r="X14" s="123" t="s">
        <v>96</v>
      </c>
      <c r="Y14" s="124" t="s">
        <v>97</v>
      </c>
      <c r="Z14" s="125" t="s">
        <v>98</v>
      </c>
      <c r="AA14" s="126" t="s">
        <v>83</v>
      </c>
      <c r="AC14" s="127" t="s">
        <v>99</v>
      </c>
      <c r="AD14" s="128" t="s">
        <v>100</v>
      </c>
      <c r="AE14" s="128" t="s">
        <v>33</v>
      </c>
      <c r="AG14" s="129" t="s">
        <v>101</v>
      </c>
      <c r="AH14" s="130" t="s">
        <v>102</v>
      </c>
      <c r="AK14" s="131" t="s">
        <v>103</v>
      </c>
      <c r="AL14" s="132" t="s">
        <v>104</v>
      </c>
    </row>
    <row r="15" spans="1:38" ht="30" customHeight="1" thickBot="1" x14ac:dyDescent="0.5">
      <c r="A15" s="108">
        <v>1</v>
      </c>
      <c r="B15" s="133">
        <v>1</v>
      </c>
      <c r="C15" s="134" t="s">
        <v>123</v>
      </c>
      <c r="D15" s="108"/>
      <c r="E15" s="108"/>
      <c r="F15" s="247" t="s">
        <v>155</v>
      </c>
      <c r="G15" s="248"/>
      <c r="H15" s="248"/>
      <c r="I15" s="248"/>
      <c r="J15" s="248"/>
      <c r="K15" s="248"/>
      <c r="L15" s="248"/>
      <c r="M15" s="248"/>
      <c r="N15" s="249"/>
      <c r="Q15" s="250" t="str">
        <f>IF(F15&lt;&gt;"",F15,"")</f>
        <v>INTERNOS</v>
      </c>
      <c r="R15" s="251"/>
      <c r="S15" s="251"/>
      <c r="T15" s="251"/>
      <c r="U15" s="251"/>
      <c r="V15" s="251"/>
      <c r="W15" s="251"/>
      <c r="X15" s="251"/>
      <c r="Y15" s="252"/>
      <c r="AK15" s="135"/>
      <c r="AL15" s="222"/>
    </row>
    <row r="16" spans="1:38" ht="30" customHeight="1" thickBot="1" x14ac:dyDescent="0.5">
      <c r="A16" s="108">
        <v>2</v>
      </c>
      <c r="B16" s="133" t="s">
        <v>125</v>
      </c>
      <c r="C16" s="134" t="s">
        <v>124</v>
      </c>
      <c r="D16" s="108"/>
      <c r="E16" s="108"/>
      <c r="F16" s="253" t="s">
        <v>156</v>
      </c>
      <c r="G16" s="254"/>
      <c r="H16" s="254"/>
      <c r="I16" s="254"/>
      <c r="J16" s="254"/>
      <c r="K16" s="255"/>
      <c r="L16" s="136" t="s">
        <v>126</v>
      </c>
      <c r="M16" s="137" t="s">
        <v>127</v>
      </c>
      <c r="N16" s="138" t="s">
        <v>82</v>
      </c>
      <c r="Q16" s="256" t="str">
        <f>IF(F16&lt;&gt;"",F16,"")</f>
        <v>CUSTOS OGGI</v>
      </c>
      <c r="R16" s="257"/>
      <c r="S16" s="257"/>
      <c r="T16" s="257"/>
      <c r="U16" s="257"/>
      <c r="V16" s="257"/>
      <c r="W16" s="257"/>
      <c r="X16" s="257"/>
      <c r="Y16" s="258"/>
      <c r="Z16" s="139" t="s">
        <v>128</v>
      </c>
      <c r="AA16" s="140" t="s">
        <v>83</v>
      </c>
      <c r="AK16" s="135"/>
      <c r="AL16" s="222"/>
    </row>
    <row r="17" spans="1:41" ht="80.099999999999994" customHeight="1" x14ac:dyDescent="0.45">
      <c r="A17" s="108">
        <v>3</v>
      </c>
      <c r="B17" s="133" t="s">
        <v>131</v>
      </c>
      <c r="C17" s="134" t="s">
        <v>130</v>
      </c>
      <c r="D17" s="108" t="s">
        <v>132</v>
      </c>
      <c r="E17" s="108" t="s">
        <v>135</v>
      </c>
      <c r="F17" s="141" t="s">
        <v>150</v>
      </c>
      <c r="G17" s="142" t="s">
        <v>151</v>
      </c>
      <c r="H17" s="143">
        <v>1</v>
      </c>
      <c r="I17" s="143">
        <v>1</v>
      </c>
      <c r="J17" s="144">
        <v>1200</v>
      </c>
      <c r="K17" s="144">
        <f>IF(F17&lt;&gt;"",H17*I17*J17,"")</f>
        <v>1200</v>
      </c>
      <c r="L17" s="144">
        <f>IF(K17&lt;&gt;"",IF(D17="INTERNO",0,K17*$L$14),"")</f>
        <v>0</v>
      </c>
      <c r="M17" s="144">
        <f>IF(K17&lt;&gt;"",IF(E17="FAT.OGGI",SUM(K17:L17)*(1/(1-$M$14)-1),L17*(1/(1-$M$14)-1)),"")</f>
        <v>291.23897104511008</v>
      </c>
      <c r="N17" s="145">
        <f>SUM(K17:M17)</f>
        <v>1491.23897104511</v>
      </c>
      <c r="Q17" s="146">
        <f t="shared" ref="Q17:R17" si="0">IF(H17&lt;&gt;"",H17,"")</f>
        <v>1</v>
      </c>
      <c r="R17" s="147">
        <f t="shared" si="0"/>
        <v>1</v>
      </c>
      <c r="S17" s="148">
        <v>400</v>
      </c>
      <c r="T17" s="148">
        <v>0</v>
      </c>
      <c r="U17" s="149">
        <f>IF(Q17&lt;&gt;"",K17-T17,"")</f>
        <v>1200</v>
      </c>
      <c r="V17" s="150">
        <f>IF(Q17&lt;&gt;"",0%,"")</f>
        <v>0</v>
      </c>
      <c r="W17" s="151">
        <f>IF(Q17&lt;&gt;"",V17*U17,"")</f>
        <v>0</v>
      </c>
      <c r="X17" s="151">
        <f>IF(Q17&lt;&gt;"",W17+T17,"")</f>
        <v>0</v>
      </c>
      <c r="Y17" s="152">
        <f t="shared" ref="Y17" si="1">IF(Q17&lt;&gt;"",X17+M17,"")</f>
        <v>291.23897104511008</v>
      </c>
      <c r="Z17" s="153">
        <f>IF(Q17&lt;&gt;"",U17/K17,"")</f>
        <v>1</v>
      </c>
      <c r="AA17" s="154" t="str">
        <f>IFERROR(T17/$T$19, "")</f>
        <v/>
      </c>
      <c r="AK17" s="212">
        <f>X17-AL17</f>
        <v>0</v>
      </c>
      <c r="AL17" s="223"/>
    </row>
    <row r="18" spans="1:41" ht="80.099999999999994" customHeight="1" x14ac:dyDescent="0.45">
      <c r="A18" s="155">
        <v>4</v>
      </c>
      <c r="B18" s="133" t="s">
        <v>105</v>
      </c>
      <c r="C18" s="156" t="s">
        <v>130</v>
      </c>
      <c r="D18" s="108" t="s">
        <v>132</v>
      </c>
      <c r="E18" s="108" t="s">
        <v>135</v>
      </c>
      <c r="F18" s="157" t="s">
        <v>162</v>
      </c>
      <c r="G18" s="158" t="s">
        <v>179</v>
      </c>
      <c r="H18" s="159">
        <v>1</v>
      </c>
      <c r="I18" s="159">
        <v>0</v>
      </c>
      <c r="J18" s="160">
        <v>2000</v>
      </c>
      <c r="K18" s="160">
        <f>IF(F18&lt;&gt;"",H18*I18*J18,"")</f>
        <v>0</v>
      </c>
      <c r="L18" s="160">
        <f>IF(K18&lt;&gt;"",IF(D18="INTERNO",0,K18*$L$14),"")</f>
        <v>0</v>
      </c>
      <c r="M18" s="160">
        <f>IF(K18&lt;&gt;"",IF(E18="FAT.OGGI",SUM(K18:L18)*(1/(1-$M$14)-1),L18*(1/(1-$M$14)-1)),0)</f>
        <v>0</v>
      </c>
      <c r="N18" s="161">
        <f>SUM(K18:M18)</f>
        <v>0</v>
      </c>
      <c r="Q18" s="162">
        <f>IF(H18&lt;&gt;"",H18,"")</f>
        <v>1</v>
      </c>
      <c r="R18" s="163">
        <f>IF(I18&lt;&gt;"",I18,"")</f>
        <v>0</v>
      </c>
      <c r="S18" s="164">
        <v>0</v>
      </c>
      <c r="T18" s="164">
        <f>IF(Q18&lt;&gt;"",Q18*R18*S18,"")</f>
        <v>0</v>
      </c>
      <c r="U18" s="165">
        <f>IF(Q18&lt;&gt;"",K18-T18,"")</f>
        <v>0</v>
      </c>
      <c r="V18" s="166">
        <f>IF(Q18&lt;&gt;"",0%,"")</f>
        <v>0</v>
      </c>
      <c r="W18" s="167">
        <f>IF(Q18&lt;&gt;"",V18*U18,"")</f>
        <v>0</v>
      </c>
      <c r="X18" s="167">
        <f>IF(Q18&lt;&gt;"",W18+T18,"")</f>
        <v>0</v>
      </c>
      <c r="Y18" s="152">
        <f>IF(Q18&lt;&gt;"",X18+M18,"")</f>
        <v>0</v>
      </c>
      <c r="Z18" s="153">
        <f>IF(Q18&lt;&gt;"", IFERROR(U18/K18, 0), 0)</f>
        <v>0</v>
      </c>
      <c r="AA18" s="154"/>
      <c r="AK18" s="212">
        <f t="shared" ref="AK18:AK26" si="2">X18-AL18</f>
        <v>0</v>
      </c>
      <c r="AL18" s="223"/>
    </row>
    <row r="19" spans="1:41" ht="30" customHeight="1" thickBot="1" x14ac:dyDescent="0.5">
      <c r="A19" s="108">
        <v>5</v>
      </c>
      <c r="B19" s="133"/>
      <c r="C19" s="134" t="s">
        <v>133</v>
      </c>
      <c r="D19" s="108"/>
      <c r="E19" s="108"/>
      <c r="F19" s="234" t="s">
        <v>134</v>
      </c>
      <c r="G19" s="235"/>
      <c r="H19" s="235"/>
      <c r="I19" s="235"/>
      <c r="J19" s="235"/>
      <c r="K19" s="168">
        <f>SUM(K17:K18)</f>
        <v>1200</v>
      </c>
      <c r="L19" s="169">
        <f>SUM(L17:L18)</f>
        <v>0</v>
      </c>
      <c r="M19" s="169">
        <f>SUM(M17:M18)</f>
        <v>291.23897104511008</v>
      </c>
      <c r="N19" s="170">
        <f>SUM(N17:N18)</f>
        <v>1491.23897104511</v>
      </c>
      <c r="Q19" s="236" t="s">
        <v>134</v>
      </c>
      <c r="R19" s="237"/>
      <c r="S19" s="237"/>
      <c r="T19" s="171">
        <f>SUM(T17:T18)</f>
        <v>0</v>
      </c>
      <c r="U19" s="172">
        <f>SUM(U17:U18)</f>
        <v>1200</v>
      </c>
      <c r="V19" s="173"/>
      <c r="W19" s="173"/>
      <c r="X19" s="174">
        <f>SUM(X17:X18)</f>
        <v>0</v>
      </c>
      <c r="Y19" s="175">
        <f>IF(Q19&lt;&gt;"",X19+M19,"")</f>
        <v>291.23897104511008</v>
      </c>
      <c r="AK19" s="212"/>
      <c r="AL19" s="223"/>
    </row>
    <row r="20" spans="1:41" ht="30" customHeight="1" thickBot="1" x14ac:dyDescent="0.5">
      <c r="A20" s="108">
        <v>6</v>
      </c>
      <c r="B20" s="133">
        <v>2</v>
      </c>
      <c r="C20" s="134" t="s">
        <v>123</v>
      </c>
      <c r="D20" s="108"/>
      <c r="E20" s="176"/>
      <c r="F20" s="267" t="s">
        <v>129</v>
      </c>
      <c r="G20" s="268"/>
      <c r="H20" s="268"/>
      <c r="I20" s="268"/>
      <c r="J20" s="268"/>
      <c r="K20" s="268"/>
      <c r="L20" s="268"/>
      <c r="M20" s="268"/>
      <c r="N20" s="268"/>
      <c r="Q20" s="247" t="str">
        <f>IF(F20&lt;&gt;"",F20,"")</f>
        <v>OPERACIONAL</v>
      </c>
      <c r="R20" s="248"/>
      <c r="S20" s="248"/>
      <c r="T20" s="248"/>
      <c r="U20" s="248"/>
      <c r="V20" s="248"/>
      <c r="W20" s="248"/>
      <c r="X20" s="248"/>
      <c r="Y20" s="269"/>
      <c r="AK20" s="212"/>
      <c r="AL20" s="223"/>
    </row>
    <row r="21" spans="1:41" ht="30" customHeight="1" x14ac:dyDescent="0.45">
      <c r="A21" s="108">
        <v>7</v>
      </c>
      <c r="B21" s="133" t="s">
        <v>152</v>
      </c>
      <c r="C21" s="134" t="s">
        <v>124</v>
      </c>
      <c r="D21" s="108"/>
      <c r="E21" s="108"/>
      <c r="F21" s="253" t="s">
        <v>157</v>
      </c>
      <c r="G21" s="254"/>
      <c r="H21" s="254"/>
      <c r="I21" s="254"/>
      <c r="J21" s="254"/>
      <c r="K21" s="255"/>
      <c r="L21" s="136" t="s">
        <v>126</v>
      </c>
      <c r="M21" s="137" t="s">
        <v>127</v>
      </c>
      <c r="N21" s="177" t="s">
        <v>82</v>
      </c>
      <c r="Q21" s="253" t="str">
        <f>IF(F21&lt;&gt;"",F21,"")</f>
        <v>LAPA</v>
      </c>
      <c r="R21" s="254"/>
      <c r="S21" s="254"/>
      <c r="T21" s="254"/>
      <c r="U21" s="254"/>
      <c r="V21" s="254"/>
      <c r="W21" s="254"/>
      <c r="X21" s="254"/>
      <c r="Y21" s="270"/>
      <c r="Z21" s="139" t="s">
        <v>128</v>
      </c>
      <c r="AA21" s="140" t="s">
        <v>83</v>
      </c>
      <c r="AK21" s="212"/>
      <c r="AL21" s="223"/>
    </row>
    <row r="22" spans="1:41" ht="80.099999999999994" customHeight="1" x14ac:dyDescent="0.45">
      <c r="A22" s="178">
        <v>8</v>
      </c>
      <c r="B22" s="133" t="s">
        <v>153</v>
      </c>
      <c r="C22" s="179" t="s">
        <v>130</v>
      </c>
      <c r="D22" s="178" t="s">
        <v>129</v>
      </c>
      <c r="E22" s="178" t="s">
        <v>136</v>
      </c>
      <c r="F22" s="180" t="s">
        <v>180</v>
      </c>
      <c r="G22" s="181" t="s">
        <v>181</v>
      </c>
      <c r="H22" s="159">
        <v>1</v>
      </c>
      <c r="I22" s="159">
        <v>1</v>
      </c>
      <c r="J22" s="160">
        <v>540</v>
      </c>
      <c r="K22" s="160">
        <f t="shared" ref="K22:K23" si="3">IF(F22&lt;&gt;"",H22*I22*J22,"")</f>
        <v>540</v>
      </c>
      <c r="L22" s="182">
        <f t="shared" ref="L22:L23" si="4">IF(K22&lt;&gt;"",IF(D22="INTERNO",0,K22*$L$14),"")</f>
        <v>43.2</v>
      </c>
      <c r="M22" s="182">
        <f t="shared" ref="M22:M23" si="5">IF(K22&lt;&gt;"",IF(E22="FAT.OGGI",SUM(K22:L22)*(1/(1-$M$14)-1),L22*(1/(1-$M$14)-1)),0)</f>
        <v>10.484602957623963</v>
      </c>
      <c r="N22" s="183">
        <f t="shared" ref="N22:N23" si="6">SUM(K22:M22)</f>
        <v>593.68460295762407</v>
      </c>
      <c r="Q22" s="184">
        <f t="shared" ref="Q22:Q23" si="7">IF(H22&lt;&gt;"",H22,"")</f>
        <v>1</v>
      </c>
      <c r="R22" s="185">
        <f t="shared" ref="R22:R23" si="8">IF(I22&lt;&gt;"",I22,"")</f>
        <v>1</v>
      </c>
      <c r="S22" s="186">
        <v>360</v>
      </c>
      <c r="T22" s="186">
        <f t="shared" ref="T22:T23" si="9">IF(Q22&lt;&gt;"",Q22*R22*S22,"")</f>
        <v>360</v>
      </c>
      <c r="U22" s="187">
        <f t="shared" ref="U22:U23" si="10">IF(Q22&lt;&gt;"",K22-T22,"")</f>
        <v>180</v>
      </c>
      <c r="V22" s="188">
        <f t="shared" ref="V22:V23" si="11">IF(Q22&lt;&gt;"",0%,"")</f>
        <v>0</v>
      </c>
      <c r="W22" s="189">
        <f t="shared" ref="W22:W23" si="12">IF(Q22&lt;&gt;"",V22*U22,"")</f>
        <v>0</v>
      </c>
      <c r="X22" s="189">
        <f t="shared" ref="X22:X23" si="13">IF(Q22&lt;&gt;"",W22+T22,"")</f>
        <v>360</v>
      </c>
      <c r="Y22" s="190">
        <f t="shared" ref="Y22:Y24" si="14">IF(Q22&lt;&gt;"",X22+M22,"")</f>
        <v>370.48460295762396</v>
      </c>
      <c r="Z22" s="153">
        <f t="shared" ref="Z22:Z23" si="15">IF(Q22&lt;&gt;"", IFERROR(U22/K22, 0), 0)</f>
        <v>0.33333333333333331</v>
      </c>
      <c r="AA22" s="154">
        <f>IFERROR(T22/$T$24, "")</f>
        <v>8.2701585113714685E-2</v>
      </c>
      <c r="AK22" s="212">
        <f t="shared" si="2"/>
        <v>0</v>
      </c>
      <c r="AL22" s="223">
        <f>360</f>
        <v>360</v>
      </c>
      <c r="AM22" s="224" t="s">
        <v>192</v>
      </c>
    </row>
    <row r="23" spans="1:41" ht="80.099999999999994" customHeight="1" x14ac:dyDescent="0.45">
      <c r="A23" s="108">
        <v>9</v>
      </c>
      <c r="B23" s="133" t="s">
        <v>154</v>
      </c>
      <c r="C23" s="134" t="s">
        <v>130</v>
      </c>
      <c r="D23" s="108" t="s">
        <v>129</v>
      </c>
      <c r="E23" s="108" t="s">
        <v>136</v>
      </c>
      <c r="F23" s="191" t="s">
        <v>158</v>
      </c>
      <c r="G23" s="192" t="s">
        <v>163</v>
      </c>
      <c r="H23" s="193">
        <v>1</v>
      </c>
      <c r="I23" s="193">
        <v>1</v>
      </c>
      <c r="J23" s="194">
        <v>3993</v>
      </c>
      <c r="K23" s="194">
        <f t="shared" si="3"/>
        <v>3993</v>
      </c>
      <c r="L23" s="194">
        <f t="shared" si="4"/>
        <v>319.44</v>
      </c>
      <c r="M23" s="194">
        <f t="shared" si="5"/>
        <v>77.527814092208303</v>
      </c>
      <c r="N23" s="195">
        <f t="shared" si="6"/>
        <v>4389.9678140922078</v>
      </c>
      <c r="Q23" s="196">
        <f t="shared" si="7"/>
        <v>1</v>
      </c>
      <c r="R23" s="197">
        <f t="shared" si="8"/>
        <v>1</v>
      </c>
      <c r="S23" s="198">
        <v>3993</v>
      </c>
      <c r="T23" s="198">
        <f t="shared" si="9"/>
        <v>3993</v>
      </c>
      <c r="U23" s="199">
        <f t="shared" si="10"/>
        <v>0</v>
      </c>
      <c r="V23" s="200">
        <f t="shared" si="11"/>
        <v>0</v>
      </c>
      <c r="W23" s="201">
        <f t="shared" si="12"/>
        <v>0</v>
      </c>
      <c r="X23" s="201">
        <f t="shared" si="13"/>
        <v>3993</v>
      </c>
      <c r="Y23" s="202">
        <f t="shared" si="14"/>
        <v>4070.5278140922082</v>
      </c>
      <c r="Z23" s="153">
        <f t="shared" si="15"/>
        <v>0</v>
      </c>
      <c r="AA23" s="154">
        <f>IFERROR(T23/$T$24, "")</f>
        <v>0.91729841488628527</v>
      </c>
      <c r="AK23" s="212">
        <f t="shared" si="2"/>
        <v>0</v>
      </c>
      <c r="AL23" s="223">
        <f>3993</f>
        <v>3993</v>
      </c>
      <c r="AM23" s="224" t="s">
        <v>189</v>
      </c>
    </row>
    <row r="24" spans="1:41" ht="30" customHeight="1" thickBot="1" x14ac:dyDescent="0.5">
      <c r="A24" s="178">
        <v>11</v>
      </c>
      <c r="B24" s="133"/>
      <c r="C24" s="179" t="s">
        <v>133</v>
      </c>
      <c r="D24" s="178"/>
      <c r="E24" s="178"/>
      <c r="F24" s="265" t="s">
        <v>159</v>
      </c>
      <c r="G24" s="266"/>
      <c r="H24" s="266"/>
      <c r="I24" s="266"/>
      <c r="J24" s="266"/>
      <c r="K24" s="169">
        <f>SUM(K22:K23)</f>
        <v>4533</v>
      </c>
      <c r="L24" s="169">
        <f>SUM(L22:L23)</f>
        <v>362.64</v>
      </c>
      <c r="M24" s="169">
        <f>SUM(M22:M23)</f>
        <v>88.012417049832266</v>
      </c>
      <c r="N24" s="203">
        <f>SUM(N22:N23)</f>
        <v>4983.6524170498324</v>
      </c>
      <c r="Q24" s="265" t="s">
        <v>159</v>
      </c>
      <c r="R24" s="266"/>
      <c r="S24" s="266"/>
      <c r="T24" s="204">
        <f>SUM(T22:T23)</f>
        <v>4353</v>
      </c>
      <c r="U24" s="205">
        <f>SUM(U22:U23)</f>
        <v>180</v>
      </c>
      <c r="V24" s="206"/>
      <c r="W24" s="206"/>
      <c r="X24" s="207">
        <f>SUM(X22:X23)</f>
        <v>4353</v>
      </c>
      <c r="Y24" s="208">
        <f t="shared" si="14"/>
        <v>4441.012417049832</v>
      </c>
      <c r="AK24" s="212"/>
      <c r="AL24" s="223"/>
    </row>
    <row r="25" spans="1:41" ht="30" customHeight="1" thickBot="1" x14ac:dyDescent="0.5">
      <c r="A25" s="108">
        <v>12</v>
      </c>
      <c r="B25" s="133" t="s">
        <v>160</v>
      </c>
      <c r="C25" s="134" t="s">
        <v>124</v>
      </c>
      <c r="D25" s="108"/>
      <c r="E25" s="108"/>
      <c r="F25" s="253" t="s">
        <v>161</v>
      </c>
      <c r="G25" s="254"/>
      <c r="H25" s="254"/>
      <c r="I25" s="254"/>
      <c r="J25" s="254"/>
      <c r="K25" s="255"/>
      <c r="L25" s="136" t="s">
        <v>126</v>
      </c>
      <c r="M25" s="137" t="s">
        <v>127</v>
      </c>
      <c r="N25" s="177" t="s">
        <v>82</v>
      </c>
      <c r="Q25" s="253" t="str">
        <f>IF(F25&lt;&gt;"",F25,"")</f>
        <v>INDAIATUBA</v>
      </c>
      <c r="R25" s="254"/>
      <c r="S25" s="254"/>
      <c r="T25" s="254"/>
      <c r="U25" s="254"/>
      <c r="V25" s="254"/>
      <c r="W25" s="254"/>
      <c r="X25" s="254"/>
      <c r="Y25" s="254"/>
      <c r="Z25" s="209" t="s">
        <v>166</v>
      </c>
      <c r="AA25" s="210" t="s">
        <v>167</v>
      </c>
      <c r="AK25" s="212">
        <f t="shared" si="2"/>
        <v>0</v>
      </c>
      <c r="AL25" s="223"/>
    </row>
    <row r="26" spans="1:41" ht="30" customHeight="1" thickBot="1" x14ac:dyDescent="0.5">
      <c r="A26" s="155">
        <v>13</v>
      </c>
      <c r="B26" s="211"/>
      <c r="C26" s="156" t="s">
        <v>164</v>
      </c>
      <c r="D26" s="155"/>
      <c r="E26" s="155"/>
      <c r="F26" s="31" t="s">
        <v>165</v>
      </c>
      <c r="G26" s="32"/>
      <c r="H26" s="33"/>
      <c r="I26" s="33"/>
      <c r="J26" s="32"/>
      <c r="K26" s="34">
        <f>SUM(K17:K18)+SUM(K22:K23)</f>
        <v>5733</v>
      </c>
      <c r="L26" s="34">
        <f>SUM(L17:L18)+SUM(L22:L23)</f>
        <v>362.64</v>
      </c>
      <c r="M26" s="34">
        <f>SUM(M17:M18)+SUM(M22:M23)</f>
        <v>379.25138809494234</v>
      </c>
      <c r="N26" s="53">
        <f>SUM(N17:N18)+SUM(N22:N23)</f>
        <v>6474.8913880949422</v>
      </c>
      <c r="Q26" s="31" t="s">
        <v>43</v>
      </c>
      <c r="R26" s="32"/>
      <c r="S26" s="32"/>
      <c r="T26" s="34">
        <f>SUM(T17:T18)+SUM(T22:T23)</f>
        <v>4353</v>
      </c>
      <c r="U26" s="34">
        <f>SUM(U17:U18)+SUM(U22:U23)</f>
        <v>1380</v>
      </c>
      <c r="V26" s="32"/>
      <c r="W26" s="32"/>
      <c r="X26" s="34">
        <f>SUM(X17:X18)+SUM(X22:X23)</f>
        <v>4353</v>
      </c>
      <c r="Y26" s="53">
        <f>SUM(Y17:Y18)+SUM(Y22:Y23)</f>
        <v>4732.2513880949418</v>
      </c>
      <c r="Z26" s="35">
        <f>IF(Q26&lt;&gt;"",(N26-Y26)/N26,"")</f>
        <v>0.26913810526677018</v>
      </c>
      <c r="AA26" s="54">
        <f>IF(Z26&lt;&gt;"",(N26-Y26),"")</f>
        <v>1742.6400000000003</v>
      </c>
      <c r="AK26" s="212">
        <f t="shared" si="2"/>
        <v>0</v>
      </c>
      <c r="AL26" s="223">
        <f>SUM(AL17:AL24)</f>
        <v>4353</v>
      </c>
    </row>
    <row r="28" spans="1:41" x14ac:dyDescent="0.4">
      <c r="AL28" s="55"/>
      <c r="AM28" s="225" t="s">
        <v>188</v>
      </c>
      <c r="AN28" s="55"/>
      <c r="AO28" s="55"/>
    </row>
    <row r="29" spans="1:41" x14ac:dyDescent="0.4">
      <c r="AL29" s="226">
        <f>X26</f>
        <v>4353</v>
      </c>
      <c r="AM29" s="225" t="s">
        <v>191</v>
      </c>
      <c r="AN29" s="55"/>
      <c r="AO29" s="55"/>
    </row>
    <row r="30" spans="1:41" x14ac:dyDescent="0.4">
      <c r="AL30" s="226">
        <f>N26-X26</f>
        <v>2121.8913880949422</v>
      </c>
      <c r="AM30" s="227" t="s">
        <v>186</v>
      </c>
      <c r="AN30" s="55"/>
      <c r="AO30" s="55"/>
    </row>
    <row r="31" spans="1:41" x14ac:dyDescent="0.4">
      <c r="AL31" s="228">
        <f>AL30*100%/N26</f>
        <v>0.32771073071532247</v>
      </c>
      <c r="AN31" s="55"/>
      <c r="AO31" s="55"/>
    </row>
  </sheetData>
  <autoFilter ref="A1:AL14" xr:uid="{107B9E09-8154-459A-AE62-6A4242823A27}">
    <filterColumn colId="5" showButton="0"/>
  </autoFilter>
  <mergeCells count="21">
    <mergeCell ref="F24:J24"/>
    <mergeCell ref="Q24:S24"/>
    <mergeCell ref="F25:K25"/>
    <mergeCell ref="Q25:Y25"/>
    <mergeCell ref="F20:N20"/>
    <mergeCell ref="Q20:Y20"/>
    <mergeCell ref="F21:K21"/>
    <mergeCell ref="Q21:Y21"/>
    <mergeCell ref="AK12:AL12"/>
    <mergeCell ref="AG12:AH12"/>
    <mergeCell ref="F15:N15"/>
    <mergeCell ref="Q15:Y15"/>
    <mergeCell ref="F16:K16"/>
    <mergeCell ref="Q16:Y16"/>
    <mergeCell ref="U12:X12"/>
    <mergeCell ref="AC12:AE12"/>
    <mergeCell ref="F19:J19"/>
    <mergeCell ref="Q19:S19"/>
    <mergeCell ref="F1:G1"/>
    <mergeCell ref="F2:G2"/>
    <mergeCell ref="Q12:T12"/>
  </mergeCells>
  <phoneticPr fontId="19" type="noConversion"/>
  <dataValidations disablePrompts="1" count="3">
    <dataValidation type="list" allowBlank="1" showInputMessage="1" showErrorMessage="1" sqref="D17:D18 D26 D22:D23" xr:uid="{206A7F17-A0CD-4D37-9862-A54F8255C549}">
      <formula1>"INTERNO,OPERACIONAL"</formula1>
    </dataValidation>
    <dataValidation type="list" allowBlank="1" showInputMessage="1" showErrorMessage="1" sqref="E17:E18 E22:E23" xr:uid="{AE269441-DAA9-4972-9B60-153B10A89D87}">
      <formula1>"FAT.OGGI,FAT.CLIENTE"</formula1>
    </dataValidation>
    <dataValidation type="list" allowBlank="1" showInputMessage="1" showErrorMessage="1" sqref="E26" xr:uid="{4DF0297B-652A-46D5-9DF5-73B24BF29DB2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6EA92-7939-4832-B164-457F50A8107D}">
  <sheetPr codeName="Planilha1"/>
  <dimension ref="B2:D15"/>
  <sheetViews>
    <sheetView showGridLines="0" workbookViewId="0">
      <selection activeCell="B16" sqref="B16"/>
    </sheetView>
  </sheetViews>
  <sheetFormatPr defaultRowHeight="14.4" x14ac:dyDescent="0.3"/>
  <cols>
    <col min="2" max="2" width="35.33203125" bestFit="1" customWidth="1"/>
    <col min="3" max="3" width="26.6640625" customWidth="1"/>
  </cols>
  <sheetData>
    <row r="2" spans="2:4" ht="15" thickBot="1" x14ac:dyDescent="0.35"/>
    <row r="3" spans="2:4" ht="15" thickBot="1" x14ac:dyDescent="0.35">
      <c r="B3" s="271" t="s">
        <v>173</v>
      </c>
      <c r="C3" s="272"/>
    </row>
    <row r="4" spans="2:4" x14ac:dyDescent="0.3">
      <c r="B4" s="49" t="s">
        <v>172</v>
      </c>
      <c r="C4" s="41">
        <v>46121</v>
      </c>
      <c r="D4" s="40"/>
    </row>
    <row r="5" spans="2:4" x14ac:dyDescent="0.3">
      <c r="B5" s="50" t="s">
        <v>168</v>
      </c>
      <c r="C5" s="42" t="s">
        <v>178</v>
      </c>
      <c r="D5" s="36"/>
    </row>
    <row r="6" spans="2:4" ht="43.2" x14ac:dyDescent="0.3">
      <c r="B6" s="51" t="s">
        <v>169</v>
      </c>
      <c r="C6" s="47" t="s">
        <v>175</v>
      </c>
      <c r="D6" s="37"/>
    </row>
    <row r="7" spans="2:4" x14ac:dyDescent="0.3">
      <c r="B7" s="50" t="s">
        <v>170</v>
      </c>
      <c r="C7" s="43">
        <v>150</v>
      </c>
      <c r="D7" s="37"/>
    </row>
    <row r="8" spans="2:4" ht="15" thickBot="1" x14ac:dyDescent="0.35">
      <c r="B8" s="52" t="s">
        <v>171</v>
      </c>
      <c r="C8" s="44" t="s">
        <v>176</v>
      </c>
      <c r="D8" s="37"/>
    </row>
    <row r="9" spans="2:4" ht="15" thickBot="1" x14ac:dyDescent="0.35">
      <c r="C9" s="38"/>
      <c r="D9" s="38"/>
    </row>
    <row r="10" spans="2:4" ht="15" thickBot="1" x14ac:dyDescent="0.35">
      <c r="B10" s="271" t="s">
        <v>174</v>
      </c>
      <c r="C10" s="272"/>
      <c r="D10" s="38"/>
    </row>
    <row r="11" spans="2:4" x14ac:dyDescent="0.3">
      <c r="B11" s="49" t="s">
        <v>172</v>
      </c>
      <c r="C11" s="45">
        <v>46121</v>
      </c>
      <c r="D11" s="40"/>
    </row>
    <row r="12" spans="2:4" x14ac:dyDescent="0.3">
      <c r="B12" s="50" t="s">
        <v>168</v>
      </c>
      <c r="C12" s="42" t="s">
        <v>178</v>
      </c>
      <c r="D12" s="39"/>
    </row>
    <row r="13" spans="2:4" ht="57.6" x14ac:dyDescent="0.3">
      <c r="B13" s="51" t="s">
        <v>169</v>
      </c>
      <c r="C13" s="48" t="s">
        <v>177</v>
      </c>
      <c r="D13" s="38"/>
    </row>
    <row r="14" spans="2:4" x14ac:dyDescent="0.3">
      <c r="B14" s="50" t="s">
        <v>170</v>
      </c>
      <c r="C14" s="43">
        <v>100</v>
      </c>
      <c r="D14" s="38"/>
    </row>
    <row r="15" spans="2:4" ht="15" thickBot="1" x14ac:dyDescent="0.35">
      <c r="B15" s="52" t="s">
        <v>171</v>
      </c>
      <c r="C15" s="46" t="s">
        <v>176</v>
      </c>
      <c r="D15" s="38"/>
    </row>
  </sheetData>
  <mergeCells count="2">
    <mergeCell ref="B3:C3"/>
    <mergeCell ref="B10:C10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8"/>
  <sheetViews>
    <sheetView zoomScale="70" zoomScaleNormal="70" workbookViewId="0">
      <selection activeCell="E18" sqref="E18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24" t="s">
        <v>48</v>
      </c>
      <c r="B8" s="24" t="s">
        <v>49</v>
      </c>
      <c r="C8" s="24" t="s">
        <v>50</v>
      </c>
      <c r="D8" s="24" t="s">
        <v>51</v>
      </c>
      <c r="E8" s="24" t="s">
        <v>52</v>
      </c>
      <c r="F8" s="24" t="s">
        <v>53</v>
      </c>
      <c r="G8" s="25" t="s">
        <v>46</v>
      </c>
      <c r="H8" s="25" t="s">
        <v>47</v>
      </c>
      <c r="I8" s="25" t="s">
        <v>9</v>
      </c>
      <c r="J8" s="25" t="s">
        <v>10</v>
      </c>
      <c r="K8" s="25" t="s">
        <v>54</v>
      </c>
      <c r="L8" s="25" t="s">
        <v>55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274" t="s">
        <v>11</v>
      </c>
      <c r="B1" s="274"/>
      <c r="C1" s="274"/>
      <c r="D1" s="276" t="s">
        <v>61</v>
      </c>
      <c r="E1" s="276"/>
      <c r="F1" s="276"/>
      <c r="G1" s="276"/>
      <c r="H1" s="276"/>
      <c r="I1" s="276"/>
      <c r="J1" s="26" t="s">
        <v>11</v>
      </c>
      <c r="K1" s="26" t="s">
        <v>11</v>
      </c>
      <c r="L1" s="26" t="s">
        <v>11</v>
      </c>
      <c r="M1" s="26" t="s">
        <v>11</v>
      </c>
      <c r="N1" s="26" t="s">
        <v>11</v>
      </c>
      <c r="O1" s="27" t="s">
        <v>11</v>
      </c>
    </row>
    <row r="2" spans="1:15" x14ac:dyDescent="0.3">
      <c r="A2" s="275"/>
      <c r="B2" s="275"/>
      <c r="C2" s="275"/>
      <c r="D2" s="274" t="s">
        <v>62</v>
      </c>
      <c r="E2" s="274"/>
      <c r="F2" s="274"/>
      <c r="G2" s="274"/>
      <c r="H2" s="274"/>
      <c r="I2" s="274"/>
      <c r="J2" s="26"/>
      <c r="K2" s="26"/>
      <c r="L2" s="26"/>
      <c r="M2" s="26"/>
      <c r="N2" s="26"/>
      <c r="O2" s="277" t="s">
        <v>63</v>
      </c>
    </row>
    <row r="3" spans="1:15" x14ac:dyDescent="0.3">
      <c r="A3" s="275"/>
      <c r="B3" s="275"/>
      <c r="C3" s="275"/>
      <c r="D3" s="274" t="s">
        <v>64</v>
      </c>
      <c r="E3" s="274"/>
      <c r="F3" s="274"/>
      <c r="G3" s="274"/>
      <c r="H3" s="274"/>
      <c r="I3" s="274"/>
      <c r="J3" s="26"/>
      <c r="K3" s="26"/>
      <c r="L3" s="26"/>
      <c r="M3" s="26"/>
      <c r="N3" s="26"/>
      <c r="O3" s="278"/>
    </row>
    <row r="4" spans="1:15" x14ac:dyDescent="0.3">
      <c r="A4" s="275"/>
      <c r="B4" s="275"/>
      <c r="C4" s="275"/>
      <c r="D4" s="274" t="s">
        <v>65</v>
      </c>
      <c r="E4" s="274"/>
      <c r="F4" s="274"/>
      <c r="G4" s="274"/>
      <c r="H4" s="274"/>
      <c r="I4" s="274"/>
      <c r="J4" s="26"/>
      <c r="K4" s="26"/>
      <c r="L4" s="26"/>
      <c r="M4" s="26"/>
      <c r="N4" s="26"/>
      <c r="O4" s="278"/>
    </row>
    <row r="5" spans="1:15" x14ac:dyDescent="0.3">
      <c r="A5" s="275"/>
      <c r="B5" s="275"/>
      <c r="C5" s="275"/>
      <c r="D5" s="274" t="s">
        <v>66</v>
      </c>
      <c r="E5" s="274"/>
      <c r="F5" s="274"/>
      <c r="G5" s="274"/>
      <c r="H5" s="274"/>
      <c r="I5" s="274"/>
      <c r="J5" s="26"/>
      <c r="K5" s="26"/>
      <c r="L5" s="26"/>
      <c r="M5" s="26"/>
      <c r="N5" s="26"/>
      <c r="O5" s="278"/>
    </row>
    <row r="6" spans="1:15" x14ac:dyDescent="0.3">
      <c r="A6" s="275"/>
      <c r="B6" s="275"/>
      <c r="C6" s="275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78"/>
    </row>
    <row r="7" spans="1:15" x14ac:dyDescent="0.3">
      <c r="A7" s="275"/>
      <c r="B7" s="275"/>
      <c r="C7" s="275"/>
      <c r="D7" s="274" t="s">
        <v>67</v>
      </c>
      <c r="E7" s="274"/>
      <c r="F7" s="274"/>
      <c r="G7" s="274"/>
      <c r="H7" s="274"/>
      <c r="I7" s="274"/>
      <c r="J7" s="26"/>
      <c r="K7" s="26"/>
      <c r="L7" s="26"/>
      <c r="M7" s="26"/>
      <c r="N7" s="26"/>
      <c r="O7" s="28">
        <v>45264.482613275461</v>
      </c>
    </row>
    <row r="8" spans="1:15" x14ac:dyDescent="0.3">
      <c r="A8" s="273" t="s">
        <v>68</v>
      </c>
      <c r="B8" s="273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</row>
    <row r="9" spans="1:15" ht="27.6" x14ac:dyDescent="0.3">
      <c r="A9" s="29" t="s">
        <v>69</v>
      </c>
      <c r="B9" s="29" t="s">
        <v>70</v>
      </c>
      <c r="C9" s="29" t="s">
        <v>71</v>
      </c>
      <c r="D9" s="29" t="s">
        <v>52</v>
      </c>
      <c r="E9" s="29" t="s">
        <v>72</v>
      </c>
      <c r="F9" s="29" t="s">
        <v>73</v>
      </c>
      <c r="G9" s="29" t="s">
        <v>34</v>
      </c>
      <c r="H9" s="29" t="s">
        <v>74</v>
      </c>
      <c r="I9" s="29" t="s">
        <v>75</v>
      </c>
      <c r="J9" s="29" t="s">
        <v>73</v>
      </c>
      <c r="K9" s="29" t="s">
        <v>76</v>
      </c>
      <c r="L9" s="29" t="s">
        <v>77</v>
      </c>
      <c r="M9" s="29" t="s">
        <v>78</v>
      </c>
      <c r="N9" s="29" t="s">
        <v>79</v>
      </c>
      <c r="O9" s="30" t="s">
        <v>80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312" t="s">
        <v>3</v>
      </c>
      <c r="C2" s="313"/>
      <c r="D2" s="313"/>
      <c r="E2" s="313"/>
      <c r="F2" s="313"/>
      <c r="G2" s="313"/>
      <c r="H2" s="313"/>
      <c r="I2" s="313"/>
      <c r="J2" s="313"/>
      <c r="K2" s="313"/>
      <c r="L2" s="314"/>
    </row>
    <row r="3" spans="2:12" ht="47.4" customHeight="1" thickBot="1" x14ac:dyDescent="0.35">
      <c r="B3" s="315" t="s">
        <v>12</v>
      </c>
      <c r="C3" s="316"/>
      <c r="D3" s="316"/>
      <c r="E3" s="316"/>
      <c r="F3" s="316"/>
      <c r="G3" s="316"/>
      <c r="H3" s="316"/>
      <c r="I3" s="316"/>
      <c r="J3" s="316"/>
      <c r="K3" s="316"/>
      <c r="L3" s="317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284" t="s">
        <v>13</v>
      </c>
      <c r="D6" s="284"/>
      <c r="E6" s="284"/>
      <c r="F6" s="284"/>
      <c r="G6" s="284"/>
      <c r="H6" s="284"/>
      <c r="I6" s="284"/>
      <c r="J6" s="284"/>
      <c r="K6" s="284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14</v>
      </c>
      <c r="D8" s="318" t="s">
        <v>106</v>
      </c>
      <c r="E8" s="319"/>
      <c r="F8" s="319"/>
      <c r="G8" s="319"/>
      <c r="H8" s="319"/>
      <c r="I8" s="319"/>
      <c r="J8" s="319"/>
      <c r="K8" s="320"/>
      <c r="L8" s="5"/>
    </row>
    <row r="9" spans="2:12" x14ac:dyDescent="0.3">
      <c r="B9" s="4"/>
      <c r="C9" s="7" t="s">
        <v>15</v>
      </c>
      <c r="D9" s="305" t="s">
        <v>16</v>
      </c>
      <c r="E9" s="306"/>
      <c r="F9" s="306"/>
      <c r="G9" s="306"/>
      <c r="H9" s="306"/>
      <c r="I9" s="306"/>
      <c r="J9" s="306"/>
      <c r="K9" s="307"/>
      <c r="L9" s="5"/>
    </row>
    <row r="10" spans="2:12" x14ac:dyDescent="0.3">
      <c r="B10" s="4"/>
      <c r="C10" s="7" t="s">
        <v>17</v>
      </c>
      <c r="D10" s="305" t="s">
        <v>11</v>
      </c>
      <c r="E10" s="306"/>
      <c r="F10" s="306"/>
      <c r="G10" s="306"/>
      <c r="H10" s="306"/>
      <c r="I10" s="306"/>
      <c r="J10" s="306"/>
      <c r="K10" s="307"/>
      <c r="L10" s="5"/>
    </row>
    <row r="11" spans="2:12" x14ac:dyDescent="0.3">
      <c r="B11" s="4"/>
      <c r="C11" s="7" t="s">
        <v>18</v>
      </c>
      <c r="D11" s="305" t="s">
        <v>107</v>
      </c>
      <c r="E11" s="306"/>
      <c r="F11" s="306"/>
      <c r="G11" s="306"/>
      <c r="H11" s="306"/>
      <c r="I11" s="306"/>
      <c r="J11" s="306"/>
      <c r="K11" s="307"/>
      <c r="L11" s="5"/>
    </row>
    <row r="12" spans="2:12" x14ac:dyDescent="0.3">
      <c r="B12" s="4"/>
      <c r="C12" s="10" t="s">
        <v>19</v>
      </c>
      <c r="D12" s="302" t="s">
        <v>108</v>
      </c>
      <c r="E12" s="303"/>
      <c r="F12" s="303"/>
      <c r="G12" s="303"/>
      <c r="H12" s="304"/>
      <c r="I12" s="11" t="s">
        <v>20</v>
      </c>
      <c r="J12" s="302" t="s">
        <v>105</v>
      </c>
      <c r="K12" s="304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284" t="s">
        <v>21</v>
      </c>
      <c r="D16" s="284"/>
      <c r="E16" s="284"/>
      <c r="F16" s="284"/>
      <c r="G16" s="284"/>
      <c r="H16" s="284"/>
      <c r="I16" s="284"/>
      <c r="J16" s="284"/>
      <c r="K16" s="284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308" t="s">
        <v>81</v>
      </c>
      <c r="E18" s="308"/>
      <c r="F18" s="308"/>
      <c r="G18" s="299"/>
      <c r="H18" s="308" t="s">
        <v>22</v>
      </c>
      <c r="I18" s="308"/>
      <c r="J18" s="308"/>
      <c r="K18" s="299"/>
      <c r="L18" s="5"/>
    </row>
    <row r="19" spans="2:12" x14ac:dyDescent="0.3">
      <c r="B19" s="4"/>
      <c r="C19" s="15" t="s">
        <v>23</v>
      </c>
      <c r="D19" s="309" t="s">
        <v>110</v>
      </c>
      <c r="E19" s="310"/>
      <c r="F19" s="310"/>
      <c r="G19" s="310"/>
      <c r="H19" s="310"/>
      <c r="I19" s="310"/>
      <c r="J19" s="310"/>
      <c r="K19" s="311"/>
      <c r="L19" s="5"/>
    </row>
    <row r="20" spans="2:12" x14ac:dyDescent="0.3">
      <c r="B20" s="4"/>
      <c r="C20" s="7" t="s">
        <v>24</v>
      </c>
      <c r="D20" s="305"/>
      <c r="E20" s="306"/>
      <c r="F20" s="306"/>
      <c r="G20" s="306"/>
      <c r="H20" s="306"/>
      <c r="I20" s="306"/>
      <c r="J20" s="306"/>
      <c r="K20" s="307"/>
      <c r="L20" s="5"/>
    </row>
    <row r="21" spans="2:12" x14ac:dyDescent="0.3">
      <c r="B21" s="4"/>
      <c r="C21" s="7" t="s">
        <v>25</v>
      </c>
      <c r="D21" s="305" t="s">
        <v>114</v>
      </c>
      <c r="E21" s="307"/>
      <c r="F21" s="7" t="s">
        <v>57</v>
      </c>
      <c r="G21" s="16" t="s">
        <v>115</v>
      </c>
      <c r="H21" s="7" t="s">
        <v>26</v>
      </c>
      <c r="I21" s="8" t="s">
        <v>116</v>
      </c>
      <c r="J21" s="7" t="s">
        <v>27</v>
      </c>
      <c r="K21" s="9" t="s">
        <v>11</v>
      </c>
      <c r="L21" s="5"/>
    </row>
    <row r="22" spans="2:12" x14ac:dyDescent="0.3">
      <c r="B22" s="4"/>
      <c r="C22" s="7" t="s">
        <v>28</v>
      </c>
      <c r="D22" s="305" t="s">
        <v>109</v>
      </c>
      <c r="E22" s="306"/>
      <c r="F22" s="306"/>
      <c r="G22" s="307"/>
      <c r="H22" s="7" t="s">
        <v>29</v>
      </c>
      <c r="I22" s="305"/>
      <c r="J22" s="306"/>
      <c r="K22" s="307"/>
      <c r="L22" s="5"/>
    </row>
    <row r="23" spans="2:12" x14ac:dyDescent="0.3">
      <c r="B23" s="4"/>
      <c r="C23" s="10" t="s">
        <v>30</v>
      </c>
      <c r="D23" s="302" t="s">
        <v>111</v>
      </c>
      <c r="E23" s="303"/>
      <c r="F23" s="303"/>
      <c r="G23" s="304"/>
      <c r="H23" s="10" t="s">
        <v>31</v>
      </c>
      <c r="I23" s="302" t="s">
        <v>11</v>
      </c>
      <c r="J23" s="303"/>
      <c r="K23" s="304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284" t="s">
        <v>21</v>
      </c>
      <c r="D27" s="284"/>
      <c r="E27" s="284"/>
      <c r="F27" s="284"/>
      <c r="G27" s="284"/>
      <c r="H27" s="284"/>
      <c r="I27" s="284"/>
      <c r="J27" s="284"/>
      <c r="K27" s="284"/>
      <c r="L27" s="5"/>
    </row>
    <row r="28" spans="2:12" x14ac:dyDescent="0.3">
      <c r="B28" s="4"/>
      <c r="L28" s="5"/>
    </row>
    <row r="29" spans="2:12" x14ac:dyDescent="0.3">
      <c r="B29" s="4"/>
      <c r="C29" s="6" t="s">
        <v>32</v>
      </c>
      <c r="D29" s="298" t="s">
        <v>33</v>
      </c>
      <c r="E29" s="299"/>
      <c r="F29" s="298" t="s">
        <v>34</v>
      </c>
      <c r="G29" s="299"/>
      <c r="H29" s="300" t="s">
        <v>35</v>
      </c>
      <c r="I29" s="300"/>
      <c r="J29" s="300"/>
      <c r="K29" s="301"/>
      <c r="L29" s="5"/>
    </row>
    <row r="30" spans="2:12" x14ac:dyDescent="0.3">
      <c r="B30" s="4"/>
      <c r="C30" s="17" t="s">
        <v>36</v>
      </c>
      <c r="D30" s="285" t="s">
        <v>112</v>
      </c>
      <c r="E30" s="286"/>
      <c r="F30" s="287" t="s">
        <v>117</v>
      </c>
      <c r="G30" s="288"/>
      <c r="H30" s="18" t="s">
        <v>113</v>
      </c>
      <c r="I30" s="298" t="s">
        <v>40</v>
      </c>
      <c r="J30" s="299"/>
      <c r="K30" s="6" t="s">
        <v>38</v>
      </c>
      <c r="L30" s="5"/>
    </row>
    <row r="31" spans="2:12" x14ac:dyDescent="0.3">
      <c r="B31" s="4"/>
      <c r="C31" s="17" t="s">
        <v>39</v>
      </c>
      <c r="D31" s="285" t="s">
        <v>11</v>
      </c>
      <c r="E31" s="286"/>
      <c r="F31" s="287" t="s">
        <v>11</v>
      </c>
      <c r="G31" s="288"/>
      <c r="H31" s="17" t="s">
        <v>37</v>
      </c>
      <c r="I31" s="289" t="s">
        <v>40</v>
      </c>
      <c r="J31" s="290"/>
      <c r="K31" s="7" t="s">
        <v>38</v>
      </c>
      <c r="L31" s="5"/>
    </row>
    <row r="32" spans="2:12" x14ac:dyDescent="0.3">
      <c r="B32" s="4"/>
      <c r="C32" s="17" t="s">
        <v>41</v>
      </c>
      <c r="D32" s="285" t="s">
        <v>11</v>
      </c>
      <c r="E32" s="286"/>
      <c r="F32" s="287" t="s">
        <v>11</v>
      </c>
      <c r="G32" s="288"/>
      <c r="H32" s="17" t="s">
        <v>37</v>
      </c>
      <c r="I32" s="289" t="s">
        <v>40</v>
      </c>
      <c r="J32" s="290"/>
      <c r="K32" s="7" t="s">
        <v>38</v>
      </c>
      <c r="L32" s="5"/>
    </row>
    <row r="33" spans="2:12" x14ac:dyDescent="0.3">
      <c r="B33" s="4"/>
      <c r="C33" s="19" t="s">
        <v>42</v>
      </c>
      <c r="D33" s="285" t="s">
        <v>11</v>
      </c>
      <c r="E33" s="286"/>
      <c r="F33" s="291" t="s">
        <v>11</v>
      </c>
      <c r="G33" s="292"/>
      <c r="H33" s="17" t="s">
        <v>37</v>
      </c>
      <c r="I33" s="289" t="s">
        <v>40</v>
      </c>
      <c r="J33" s="290"/>
      <c r="K33" s="7" t="s">
        <v>38</v>
      </c>
      <c r="L33" s="5"/>
    </row>
    <row r="34" spans="2:12" x14ac:dyDescent="0.3">
      <c r="B34" s="4"/>
      <c r="C34" s="293" t="s">
        <v>43</v>
      </c>
      <c r="D34" s="294"/>
      <c r="E34" s="295"/>
      <c r="F34" s="296" t="s">
        <v>117</v>
      </c>
      <c r="G34" s="297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284" t="s">
        <v>44</v>
      </c>
      <c r="D38" s="284"/>
      <c r="E38" s="284"/>
      <c r="F38" s="284"/>
      <c r="G38" s="284"/>
      <c r="H38" s="284"/>
      <c r="I38" s="284"/>
      <c r="J38" s="284"/>
      <c r="K38" s="284"/>
      <c r="L38" s="5"/>
    </row>
    <row r="39" spans="2:12" x14ac:dyDescent="0.3">
      <c r="B39" s="4"/>
      <c r="C39" s="282" t="s">
        <v>118</v>
      </c>
      <c r="D39" s="282"/>
      <c r="E39" s="282"/>
      <c r="F39" s="282"/>
      <c r="G39" s="282"/>
      <c r="H39" s="282"/>
      <c r="I39" s="282"/>
      <c r="J39" s="282"/>
      <c r="K39" s="282"/>
      <c r="L39" s="5"/>
    </row>
    <row r="40" spans="2:12" x14ac:dyDescent="0.3">
      <c r="B40" s="4"/>
      <c r="C40" s="282"/>
      <c r="D40" s="282"/>
      <c r="E40" s="282"/>
      <c r="F40" s="282"/>
      <c r="G40" s="282"/>
      <c r="H40" s="282"/>
      <c r="I40" s="282"/>
      <c r="J40" s="282"/>
      <c r="K40" s="282"/>
      <c r="L40" s="5"/>
    </row>
    <row r="41" spans="2:12" x14ac:dyDescent="0.3">
      <c r="B41" s="4"/>
      <c r="C41" s="282"/>
      <c r="D41" s="282"/>
      <c r="E41" s="282"/>
      <c r="F41" s="282"/>
      <c r="G41" s="282"/>
      <c r="H41" s="282"/>
      <c r="I41" s="282"/>
      <c r="J41" s="282"/>
      <c r="K41" s="282"/>
      <c r="L41" s="5"/>
    </row>
    <row r="42" spans="2:12" x14ac:dyDescent="0.3">
      <c r="B42" s="4"/>
      <c r="C42" s="282"/>
      <c r="D42" s="282"/>
      <c r="E42" s="282"/>
      <c r="F42" s="282"/>
      <c r="G42" s="282"/>
      <c r="H42" s="282"/>
      <c r="I42" s="282"/>
      <c r="J42" s="282"/>
      <c r="K42" s="282"/>
      <c r="L42" s="5"/>
    </row>
    <row r="43" spans="2:12" x14ac:dyDescent="0.3">
      <c r="B43" s="4"/>
      <c r="C43" s="282"/>
      <c r="D43" s="282"/>
      <c r="E43" s="282"/>
      <c r="F43" s="282"/>
      <c r="G43" s="282"/>
      <c r="H43" s="282"/>
      <c r="I43" s="282"/>
      <c r="J43" s="282"/>
      <c r="K43" s="282"/>
      <c r="L43" s="5"/>
    </row>
    <row r="44" spans="2:12" x14ac:dyDescent="0.3">
      <c r="B44" s="4"/>
      <c r="C44" s="282"/>
      <c r="D44" s="282"/>
      <c r="E44" s="282"/>
      <c r="F44" s="282"/>
      <c r="G44" s="282"/>
      <c r="H44" s="282"/>
      <c r="I44" s="282"/>
      <c r="J44" s="282"/>
      <c r="K44" s="282"/>
      <c r="L44" s="5"/>
    </row>
    <row r="45" spans="2:12" x14ac:dyDescent="0.3">
      <c r="B45" s="4"/>
      <c r="C45" s="283"/>
      <c r="D45" s="283"/>
      <c r="E45" s="283"/>
      <c r="F45" s="283"/>
      <c r="G45" s="283"/>
      <c r="H45" s="283"/>
      <c r="I45" s="283"/>
      <c r="J45" s="283"/>
      <c r="K45" s="283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279" t="s">
        <v>45</v>
      </c>
      <c r="C48" s="280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281" t="s">
        <v>46</v>
      </c>
      <c r="D51" s="281"/>
      <c r="E51" s="281"/>
      <c r="F51" s="281"/>
      <c r="H51" s="281" t="s">
        <v>47</v>
      </c>
      <c r="I51" s="281"/>
      <c r="J51" s="281"/>
      <c r="K51" s="281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a79990-ee87-4241-abc6-9e01ab9b2464">
      <Terms xmlns="http://schemas.microsoft.com/office/infopath/2007/PartnerControls"/>
    </lcf76f155ced4ddcb4097134ff3c332f>
    <TaxCatchAll xmlns="8f4bf414-7d56-47ef-876f-a064b6139123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D1A04DF-DEA7-49E5-8546-1D9135F984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  <ds:schemaRef ds:uri="29a79990-ee87-4241-abc6-9e01ab9b2464"/>
    <ds:schemaRef ds:uri="8f4bf414-7d56-47ef-876f-a064b6139123"/>
  </ds:schemaRefs>
</ds:datastoreItem>
</file>

<file path=customXml/itemProps4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</vt:i4>
      </vt:variant>
    </vt:vector>
  </HeadingPairs>
  <TitlesOfParts>
    <vt:vector size="21" baseType="lpstr">
      <vt:lpstr>RESUMO</vt:lpstr>
      <vt:lpstr>Principal</vt:lpstr>
      <vt:lpstr>Planilha1</vt:lpstr>
      <vt:lpstr>Solicitações de Pagamento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2026-05-14T21:53:34Z</cp:lastPrinted>
  <dcterms:created xsi:type="dcterms:W3CDTF">2023-09-21T21:02:20Z</dcterms:created>
  <dcterms:modified xsi:type="dcterms:W3CDTF">2026-05-27T15:06:41Z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</Properties>
</file>