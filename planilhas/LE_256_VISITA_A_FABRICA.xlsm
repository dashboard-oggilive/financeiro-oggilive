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6 junho\"/>
    </mc:Choice>
  </mc:AlternateContent>
  <xr:revisionPtr revIDLastSave="0" documentId="13_ncr:1_{C93DE3D6-E180-4056-BF08-F79BF29EE34E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5" r:id="rId1"/>
    <sheet name="PRINCIPAL" sheetId="94" r:id="rId2"/>
    <sheet name="Solicitações de Pagamento" sheetId="4" r:id="rId3"/>
    <sheet name="ItensOrc" sheetId="76" state="hidden" r:id="rId4"/>
    <sheet name="Template SP" sheetId="3" state="hidden" r:id="rId5"/>
  </sheets>
  <definedNames>
    <definedName name="_xlnm._FilterDatabase" localSheetId="1" hidden="1">PRINCIPAL!$A$1:$AD$14</definedName>
    <definedName name="_xleta.N" hidden="1" xlm="1">#NAME?</definedName>
    <definedName name="_xleta.SUM" hidden="1" xlm="1">#NAME?</definedName>
    <definedName name="itensorc_desconto" localSheetId="3">ItensOrc!$M:$M</definedName>
    <definedName name="itensorc_desconto">#REF!</definedName>
    <definedName name="itensorc_descricao" localSheetId="3">ItensOrc!$D:$D</definedName>
    <definedName name="itensorc_descricao">#REF!</definedName>
    <definedName name="itensorc_encargos" localSheetId="3">ItensOrc!$N:$N</definedName>
    <definedName name="itensorc_encargos">#REF!</definedName>
    <definedName name="itensorc_especifica" localSheetId="3">ItensOrc!$O:$O</definedName>
    <definedName name="itensorc_especifica">#REF!</definedName>
    <definedName name="itensorc_item" localSheetId="3">ItensOrc!$C:$C</definedName>
    <definedName name="itensorc_item">#REF!</definedName>
    <definedName name="itensorc_lancamento" localSheetId="3">ItensOrc!$B:$B</definedName>
    <definedName name="itensorc_lancamento">#REF!</definedName>
    <definedName name="itensorc_percentualhonorarios" localSheetId="3">ItensOrc!$L:$L</definedName>
    <definedName name="itensorc_percentualhonorarios">#REF!</definedName>
    <definedName name="itensorc_quantidade" localSheetId="3">ItensOrc!$E:$E</definedName>
    <definedName name="itensorc_quantidade">#REF!</definedName>
    <definedName name="itensorc_situacao" localSheetId="3">ItensOrc!$H:$H</definedName>
    <definedName name="itensorc_situacao">#REF!</definedName>
    <definedName name="itensorc_subtipo" localSheetId="3">ItensOrc!$K:$K</definedName>
    <definedName name="itensorc_subtipo">#REF!</definedName>
    <definedName name="itensorc_tiporeceita" localSheetId="3">ItensOrc!$A:$A</definedName>
    <definedName name="itensorc_tiporeceita">#REF!</definedName>
    <definedName name="itensorc_valor" localSheetId="3">ItensOrc!$G:$G</definedName>
    <definedName name="itensorc_valor">#REF!</definedName>
    <definedName name="itensorc_valorfornecedor" localSheetId="3">ItensOrc!$I:$I</definedName>
    <definedName name="itensorc_valorfornecedor">#REF!</definedName>
    <definedName name="itensorc_valorfornecedorunitario" localSheetId="3">ItensOrc!$J:$J</definedName>
    <definedName name="itensorc_valorfornecedorunitario">#REF!</definedName>
    <definedName name="itensorc_valorunitario" localSheetId="3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" i="95" l="1"/>
  <c r="D26" i="95"/>
  <c r="D28" i="95"/>
  <c r="D22" i="95"/>
  <c r="C22" i="95"/>
  <c r="C28" i="95"/>
  <c r="E26" i="95"/>
  <c r="E28" i="95"/>
  <c r="AB46" i="94"/>
  <c r="AB45" i="94"/>
  <c r="AB44" i="94"/>
  <c r="E27" i="95" l="1"/>
  <c r="F27" i="95" l="1"/>
  <c r="F26" i="95"/>
  <c r="C21" i="95"/>
  <c r="AC38" i="94"/>
  <c r="AC40" i="94" s="1"/>
  <c r="E3" i="95"/>
  <c r="F28" i="95" l="1"/>
  <c r="R38" i="94"/>
  <c r="Q38" i="94"/>
  <c r="K38" i="94"/>
  <c r="R37" i="94"/>
  <c r="Q37" i="94"/>
  <c r="V37" i="94" s="1"/>
  <c r="K37" i="94"/>
  <c r="Q36" i="94"/>
  <c r="Q35" i="94"/>
  <c r="R33" i="94"/>
  <c r="Q33" i="94"/>
  <c r="K33" i="94"/>
  <c r="L33" i="94" s="1"/>
  <c r="L34" i="94" s="1"/>
  <c r="Q32" i="94"/>
  <c r="Q31" i="94"/>
  <c r="V29" i="94"/>
  <c r="T29" i="94"/>
  <c r="K29" i="94"/>
  <c r="R28" i="94"/>
  <c r="Q28" i="94"/>
  <c r="V28" i="94" s="1"/>
  <c r="K28" i="94"/>
  <c r="Q27" i="94"/>
  <c r="Q26" i="94"/>
  <c r="R24" i="94"/>
  <c r="Q24" i="94"/>
  <c r="V24" i="94" s="1"/>
  <c r="K24" i="94"/>
  <c r="R23" i="94"/>
  <c r="Q23" i="94"/>
  <c r="V23" i="94" s="1"/>
  <c r="K23" i="94"/>
  <c r="Q22" i="94"/>
  <c r="Q21" i="94"/>
  <c r="R19" i="94"/>
  <c r="Q19" i="94"/>
  <c r="V19" i="94" s="1"/>
  <c r="K19" i="94"/>
  <c r="L19" i="94" s="1"/>
  <c r="M19" i="94" s="1"/>
  <c r="R18" i="94"/>
  <c r="Q18" i="94"/>
  <c r="K18" i="94"/>
  <c r="R17" i="94"/>
  <c r="Q17" i="94"/>
  <c r="K17" i="94"/>
  <c r="Q16" i="94"/>
  <c r="Q15" i="94"/>
  <c r="K39" i="94" l="1"/>
  <c r="K40" i="94"/>
  <c r="K25" i="94"/>
  <c r="K30" i="94"/>
  <c r="T24" i="94"/>
  <c r="T37" i="94"/>
  <c r="U37" i="94" s="1"/>
  <c r="K20" i="94"/>
  <c r="T19" i="94"/>
  <c r="U19" i="94" s="1"/>
  <c r="K34" i="94"/>
  <c r="M33" i="94"/>
  <c r="M34" i="94" s="1"/>
  <c r="V38" i="94"/>
  <c r="L37" i="94"/>
  <c r="L38" i="94"/>
  <c r="M38" i="94" s="1"/>
  <c r="V33" i="94"/>
  <c r="T33" i="94"/>
  <c r="T23" i="94"/>
  <c r="V17" i="94"/>
  <c r="U29" i="94"/>
  <c r="L29" i="94"/>
  <c r="M29" i="94" s="1"/>
  <c r="N29" i="94" s="1"/>
  <c r="L28" i="94"/>
  <c r="L30" i="94" s="1"/>
  <c r="L24" i="94"/>
  <c r="M24" i="94" s="1"/>
  <c r="N24" i="94" s="1"/>
  <c r="L23" i="94"/>
  <c r="T18" i="94"/>
  <c r="V18" i="94"/>
  <c r="L18" i="94"/>
  <c r="L17" i="94"/>
  <c r="N19" i="94"/>
  <c r="Z12" i="94"/>
  <c r="L25" i="94" l="1"/>
  <c r="U24" i="94"/>
  <c r="T30" i="94"/>
  <c r="AA28" i="94" s="1"/>
  <c r="U28" i="94"/>
  <c r="W28" i="94" s="1"/>
  <c r="X28" i="94" s="1"/>
  <c r="AB28" i="94" s="1"/>
  <c r="Z19" i="94"/>
  <c r="W19" i="94"/>
  <c r="X19" i="94" s="1"/>
  <c r="T34" i="94"/>
  <c r="AA33" i="94" s="1"/>
  <c r="M37" i="94"/>
  <c r="L39" i="94"/>
  <c r="T20" i="94"/>
  <c r="L20" i="94"/>
  <c r="L40" i="94"/>
  <c r="T25" i="94"/>
  <c r="AA24" i="94" s="1"/>
  <c r="T39" i="94"/>
  <c r="AA38" i="94" s="1"/>
  <c r="T40" i="94"/>
  <c r="Z29" i="94"/>
  <c r="W29" i="94"/>
  <c r="X29" i="94" s="1"/>
  <c r="U38" i="94"/>
  <c r="U33" i="94"/>
  <c r="U34" i="94" s="1"/>
  <c r="U23" i="94"/>
  <c r="M18" i="94"/>
  <c r="N33" i="94"/>
  <c r="N34" i="94" s="1"/>
  <c r="N38" i="94"/>
  <c r="M28" i="94"/>
  <c r="M30" i="94" s="1"/>
  <c r="Z37" i="94"/>
  <c r="W37" i="94"/>
  <c r="X37" i="94" s="1"/>
  <c r="AB37" i="94" s="1"/>
  <c r="U17" i="94"/>
  <c r="M23" i="94"/>
  <c r="M25" i="94" s="1"/>
  <c r="U18" i="94"/>
  <c r="M17" i="94"/>
  <c r="W24" i="94"/>
  <c r="X24" i="94" s="1"/>
  <c r="Z24" i="94"/>
  <c r="Y19" i="94" l="1"/>
  <c r="AB19" i="94"/>
  <c r="U25" i="94"/>
  <c r="X30" i="94"/>
  <c r="AB29" i="94"/>
  <c r="Y24" i="94"/>
  <c r="AB24" i="94"/>
  <c r="Z28" i="94"/>
  <c r="U30" i="94"/>
  <c r="AA29" i="94"/>
  <c r="W23" i="94"/>
  <c r="X23" i="94" s="1"/>
  <c r="AA23" i="94"/>
  <c r="U20" i="94"/>
  <c r="N37" i="94"/>
  <c r="N39" i="94" s="1"/>
  <c r="M39" i="94"/>
  <c r="N23" i="94"/>
  <c r="N25" i="94" s="1"/>
  <c r="W33" i="94"/>
  <c r="X33" i="94" s="1"/>
  <c r="Z23" i="94"/>
  <c r="M20" i="94"/>
  <c r="M40" i="94"/>
  <c r="AA37" i="94"/>
  <c r="U40" i="94"/>
  <c r="U39" i="94"/>
  <c r="Y28" i="94"/>
  <c r="Y29" i="94"/>
  <c r="W38" i="94"/>
  <c r="X38" i="94" s="1"/>
  <c r="AB38" i="94" s="1"/>
  <c r="Z38" i="94"/>
  <c r="Y37" i="94"/>
  <c r="Z33" i="94"/>
  <c r="Z18" i="94"/>
  <c r="W18" i="94"/>
  <c r="X18" i="94" s="1"/>
  <c r="N18" i="94"/>
  <c r="N28" i="94"/>
  <c r="N30" i="94" s="1"/>
  <c r="N17" i="94"/>
  <c r="Z17" i="94"/>
  <c r="W17" i="94"/>
  <c r="X17" i="94" s="1"/>
  <c r="AB17" i="94" s="1"/>
  <c r="Y23" i="94"/>
  <c r="AA19" i="94"/>
  <c r="AA18" i="94"/>
  <c r="AA17" i="94"/>
  <c r="Y18" i="94" l="1"/>
  <c r="AB18" i="94"/>
  <c r="X34" i="94"/>
  <c r="AB33" i="94"/>
  <c r="X25" i="94"/>
  <c r="AB23" i="94"/>
  <c r="N20" i="94"/>
  <c r="N40" i="94"/>
  <c r="Y33" i="94"/>
  <c r="X20" i="94"/>
  <c r="Y20" i="94" s="1"/>
  <c r="X40" i="94"/>
  <c r="D21" i="95" s="1"/>
  <c r="X39" i="94"/>
  <c r="Y30" i="94"/>
  <c r="Y38" i="94"/>
  <c r="Y17" i="94"/>
  <c r="E22" i="95" l="1"/>
  <c r="F22" i="95" s="1"/>
  <c r="E21" i="95"/>
  <c r="F21" i="95" s="1"/>
  <c r="AB40" i="94"/>
  <c r="Y25" i="94"/>
  <c r="Y39" i="94"/>
  <c r="Y34" i="94"/>
  <c r="Y40" i="94"/>
  <c r="Z40" i="94" s="1"/>
  <c r="AA40" i="94" s="1"/>
</calcChain>
</file>

<file path=xl/sharedStrings.xml><?xml version="1.0" encoding="utf-8"?>
<sst xmlns="http://schemas.openxmlformats.org/spreadsheetml/2006/main" count="517" uniqueCount="248">
  <si>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</si>
  <si>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</si>
  <si>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</si>
  <si>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</si>
  <si>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</si>
  <si>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</si>
  <si>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</si>
  <si>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</si>
  <si>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</si>
  <si>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</si>
  <si>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</si>
  <si>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</si>
  <si>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</si>
  <si>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</si>
  <si>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</si>
  <si>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</si>
  <si>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</si>
  <si>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</si>
  <si>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</si>
  <si>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</si>
  <si>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</si>
  <si>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</si>
  <si>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</si>
  <si>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</si>
  <si>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</si>
  <si>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</si>
  <si>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</si>
  <si>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</si>
  <si>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</si>
  <si>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</si>
  <si>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</si>
  <si>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</si>
  <si>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</si>
  <si>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</si>
  <si>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</si>
  <si>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</si>
  <si>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</si>
  <si>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</si>
  <si>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</si>
  <si>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</si>
  <si>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</si>
  <si>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</si>
  <si>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</si>
  <si>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</si>
  <si>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</si>
  <si>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</si>
  <si>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</si>
  <si>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</si>
  <si>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</si>
  <si>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</si>
  <si>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</si>
  <si>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</si>
  <si>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</si>
  <si>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</si>
  <si>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</si>
  <si>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</si>
  <si>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</si>
  <si>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</si>
  <si>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</si>
  <si>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</si>
  <si>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</si>
  <si>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</si>
  <si>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</si>
  <si>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</si>
  <si>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</si>
  <si>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</si>
  <si>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</si>
  <si>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</si>
  <si>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</si>
  <si>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</si>
  <si>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</si>
  <si>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</si>
  <si>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</si>
  <si>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</si>
  <si>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</si>
  <si>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</si>
  <si>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</si>
  <si>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</si>
  <si>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</si>
  <si>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</si>
  <si>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</si>
  <si>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</si>
  <si>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</si>
  <si>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</si>
  <si>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</si>
  <si>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</si>
  <si>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</si>
  <si>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</si>
  <si>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</si>
  <si>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</si>
  <si>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</si>
  <si>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</si>
  <si>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</si>
  <si>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</si>
  <si>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</si>
  <si>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PENDENTE</t>
  </si>
  <si>
    <t>EFETUADO</t>
  </si>
  <si>
    <t>1.1.2</t>
  </si>
  <si>
    <t xml:space="preserve"> </t>
  </si>
  <si>
    <t xml:space="preserve">   </t>
  </si>
  <si>
    <t>ORÇAMENTO 5.2</t>
  </si>
  <si>
    <t>GRUPO</t>
  </si>
  <si>
    <t>SUBGRUPO</t>
  </si>
  <si>
    <t>1.1</t>
  </si>
  <si>
    <t>AGENCIAMENTO</t>
  </si>
  <si>
    <t>IMPOSTOS</t>
  </si>
  <si>
    <t>Marg.</t>
  </si>
  <si>
    <t>ITEM</t>
  </si>
  <si>
    <t>SUBTOTAL SUBGRUPO</t>
  </si>
  <si>
    <t>OPERACIONAL</t>
  </si>
  <si>
    <t>FAT.CLIENTE</t>
  </si>
  <si>
    <t>SUBTOTAL PLANILHA</t>
  </si>
  <si>
    <t>BRINDES</t>
  </si>
  <si>
    <t>LENOVO</t>
  </si>
  <si>
    <t xml:space="preserve">CÓDIGO DO JOB: </t>
  </si>
  <si>
    <t>CLIENTE:</t>
  </si>
  <si>
    <t>EVENTO:</t>
  </si>
  <si>
    <t>LOCAL:</t>
  </si>
  <si>
    <t>DATA:</t>
  </si>
  <si>
    <t>ATENDIMENTO:</t>
  </si>
  <si>
    <t>PRODUTOR:</t>
  </si>
  <si>
    <t>NOME PLANILHA:</t>
  </si>
  <si>
    <t xml:space="preserve">PATRICK / GIOVANNI </t>
  </si>
  <si>
    <t>1.1.1</t>
  </si>
  <si>
    <t>2.1.2</t>
  </si>
  <si>
    <t>Agasalho</t>
  </si>
  <si>
    <t>1.1.3</t>
  </si>
  <si>
    <t>Agasalho ADIDAS  com logos em DTF;</t>
  </si>
  <si>
    <t>06/04/2026</t>
  </si>
  <si>
    <t>05.570.154/0019-61</t>
  </si>
  <si>
    <t>FASHION SHOES COMERCIO DE CALCADOS E CONFECCOES LTDA</t>
  </si>
  <si>
    <t>(48) 9606-3972</t>
  </si>
  <si>
    <t>R$ 49.800,00</t>
  </si>
  <si>
    <t xml:space="preserve">PATRICK </t>
  </si>
  <si>
    <t>16/04/2026</t>
  </si>
  <si>
    <t>296.693.618-50</t>
  </si>
  <si>
    <t xml:space="preserve">CRISTIANE VIANA </t>
  </si>
  <si>
    <t>R$ 1.275,00</t>
  </si>
  <si>
    <t xml:space="preserve">PETERSON </t>
  </si>
  <si>
    <t xml:space="preserve">INTERNOS </t>
  </si>
  <si>
    <t>FAT.OGGI</t>
  </si>
  <si>
    <t>INTERNO</t>
  </si>
  <si>
    <t>Planejamento</t>
  </si>
  <si>
    <t>Planejamento operacional;</t>
  </si>
  <si>
    <t>Gerenciamento da visita</t>
  </si>
  <si>
    <t>Atendimento e produção;</t>
  </si>
  <si>
    <t>Criação</t>
  </si>
  <si>
    <t>Adaptação arte convite;</t>
  </si>
  <si>
    <t xml:space="preserve">Subtotal INTERNOS </t>
  </si>
  <si>
    <t>2.1</t>
  </si>
  <si>
    <t>STAFF</t>
  </si>
  <si>
    <t>2.1.1</t>
  </si>
  <si>
    <t>Coordenação Presencial</t>
  </si>
  <si>
    <t>Coordenação presencial na fábrica;</t>
  </si>
  <si>
    <t>Recepcionista</t>
  </si>
  <si>
    <t>Recepcionista acompanhando o grupo SP &gt; Indu;</t>
  </si>
  <si>
    <t>Subtotal STAFF</t>
  </si>
  <si>
    <t>3.1</t>
  </si>
  <si>
    <t>A&amp;B</t>
  </si>
  <si>
    <t>3.1.1</t>
  </si>
  <si>
    <t>3.1.2</t>
  </si>
  <si>
    <t>Welcome Coffee</t>
  </si>
  <si>
    <t>Café da manhã de boas vindas aos visitantes na Fabrica da Lenovo;</t>
  </si>
  <si>
    <t>Almoço</t>
  </si>
  <si>
    <t>Almoço no restaurante Caipirão em Indaiatuba;</t>
  </si>
  <si>
    <t>Subtotal A&amp;B</t>
  </si>
  <si>
    <t>4.1</t>
  </si>
  <si>
    <t>LOGÍSTICA</t>
  </si>
  <si>
    <t>4.1.1</t>
  </si>
  <si>
    <t>Transfer</t>
  </si>
  <si>
    <t>Van executiva para até 15 pessoas (SP &gt; Indu);</t>
  </si>
  <si>
    <t>Subtotal LOGÍSTICA</t>
  </si>
  <si>
    <t>5.1</t>
  </si>
  <si>
    <t>CUSTOS COMPLEMENTARES</t>
  </si>
  <si>
    <t>5.1.1</t>
  </si>
  <si>
    <t>5.1.2</t>
  </si>
  <si>
    <t>Alimentação Equipe</t>
  </si>
  <si>
    <t>Restaurante Caipirão (Coordenador, recepcionista e motorista);</t>
  </si>
  <si>
    <t>Custos operacionais</t>
  </si>
  <si>
    <t>Deslocamento da equipe até o ponto de partida, despesas da viagem, lavagens dos jalecos e de mais necessidades;</t>
  </si>
  <si>
    <t>Subtotal CUSTOS COMPLEMENTARES</t>
  </si>
  <si>
    <t xml:space="preserve">TOTAL </t>
  </si>
  <si>
    <t>Marg. Lucro</t>
  </si>
  <si>
    <t>Lucro</t>
  </si>
  <si>
    <t xml:space="preserve">VISITA A FÁBRICA </t>
  </si>
  <si>
    <t xml:space="preserve">FÁBRICA LENOVO - INDAIATUBA </t>
  </si>
  <si>
    <t>GIOVANNI FERREIRA</t>
  </si>
  <si>
    <t>15/05/2026</t>
  </si>
  <si>
    <t>362.257.668-55</t>
  </si>
  <si>
    <t xml:space="preserve">GIOVANNI FERREIRA </t>
  </si>
  <si>
    <t>R$ 500,00</t>
  </si>
  <si>
    <t>23.217.587/0001-90</t>
  </si>
  <si>
    <t>EDUARDO ARTHUR MOLINA TRANSPORTES</t>
  </si>
  <si>
    <t>(11) 2681-7850 / (11) 2681-7850</t>
  </si>
  <si>
    <t>R$ 1.250,00</t>
  </si>
  <si>
    <t>48.492.064/0001-83</t>
  </si>
  <si>
    <t>KAMYLLE SANTOS CALDEIRA 13409993665</t>
  </si>
  <si>
    <t>(38) 9200-4933</t>
  </si>
  <si>
    <t>R$ 450,00</t>
  </si>
  <si>
    <t>18/05/2026</t>
  </si>
  <si>
    <t>301.222.808-06</t>
  </si>
  <si>
    <t xml:space="preserve">marcelo bayeux da silva </t>
  </si>
  <si>
    <t>R$ 650,00</t>
  </si>
  <si>
    <t xml:space="preserve">MARCELO BAYUX DA SILVA </t>
  </si>
  <si>
    <t>R$ 1.704,64</t>
  </si>
  <si>
    <t>08.750.285/0001-90</t>
  </si>
  <si>
    <t>SK COPIADORA E IMPRESSAO DIGITAL LTDA</t>
  </si>
  <si>
    <t>(11) 2905-7107</t>
  </si>
  <si>
    <t>R$ 207,00</t>
  </si>
  <si>
    <t>R$ 237,00</t>
  </si>
  <si>
    <t>22.843.980/0001-27</t>
  </si>
  <si>
    <t>ALERE ALIMENTACAO E SERVICOS LTDA</t>
  </si>
  <si>
    <t>(11) 4118-1919</t>
  </si>
  <si>
    <t>R$ 668,96</t>
  </si>
  <si>
    <t>LE_256_VISITA A FÁBRICA</t>
  </si>
  <si>
    <t>LE_256_VISITA A FÁBRICA_11.06</t>
  </si>
  <si>
    <t>11.06.2026</t>
  </si>
  <si>
    <t>15/06/2026</t>
  </si>
  <si>
    <t xml:space="preserve">LE_256_VISITA A FÁBRICA VISITA A FÁBRICA </t>
  </si>
  <si>
    <t>LE_256_VISITA A FÁBRICA_11.06.xlsm</t>
  </si>
  <si>
    <t xml:space="preserve">MARCELO BAYEUX DA SILVA </t>
  </si>
  <si>
    <t>R$ 80,00</t>
  </si>
  <si>
    <t>R$ 1.839,04</t>
  </si>
  <si>
    <t>334.928.938-05</t>
  </si>
  <si>
    <t>Renata Mendes Buzoni</t>
  </si>
  <si>
    <t>17/06/2026</t>
  </si>
  <si>
    <t>( X ) Pessoa Jurídica</t>
  </si>
  <si>
    <t>23/06/26</t>
  </si>
  <si>
    <t>R$ 703,06</t>
  </si>
  <si>
    <t>( X ) Boleto</t>
  </si>
  <si>
    <t>VALOR REFERENTE A COFFEE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</si>
  <si>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</si>
  <si>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</si>
  <si>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</si>
  <si>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</si>
  <si>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</si>
  <si>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</si>
  <si>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</si>
  <si>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IMPOSTO</t>
  </si>
  <si>
    <t>CUSTO TOTAL</t>
  </si>
  <si>
    <t>GIOVANNI</t>
  </si>
  <si>
    <t>MARCELO</t>
  </si>
  <si>
    <t>RANATA</t>
  </si>
  <si>
    <t>ALERE</t>
  </si>
  <si>
    <t>MOLINA</t>
  </si>
  <si>
    <t>SK - MARCELO - GIOVANNI</t>
  </si>
  <si>
    <t>NOTA FISCAL 2988</t>
  </si>
  <si>
    <t>NOTA DE DÉBITO 263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</si>
</sst>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sz val="18"/>
      <color theme="1"/>
      <name val="Calibri"/>
      <family val="2"/>
      <scheme val="minor"/>
    </font>
    <font>
      <b/>
      <sz val="18"/>
      <name val="Trebuchet MS"/>
      <family val="2"/>
    </font>
    <font>
      <b/>
      <sz val="18"/>
      <color theme="1"/>
      <name val="Gadugi"/>
      <family val="2"/>
    </font>
    <font>
      <b/>
      <sz val="18"/>
      <color indexed="63"/>
      <name val="Trebuchet MS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Trebuchet MS"/>
      <family val="2"/>
    </font>
    <font>
      <sz val="18"/>
      <color theme="0"/>
      <name val="Calibri"/>
      <family val="2"/>
      <scheme val="minor"/>
    </font>
    <font>
      <sz val="18"/>
      <color theme="1"/>
      <name val="Trebuchet MS"/>
      <family val="2"/>
    </font>
    <font>
      <b/>
      <sz val="18"/>
      <color rgb="FF00B050"/>
      <name val="Trebuchet MS"/>
      <family val="2"/>
    </font>
    <font>
      <b/>
      <sz val="18"/>
      <color rgb="FFFF0000"/>
      <name val="Trebuchet MS"/>
      <family val="2"/>
    </font>
    <font>
      <b/>
      <sz val="18"/>
      <color theme="0"/>
      <name val="Trebuchet MS"/>
      <family val="2"/>
    </font>
    <font>
      <sz val="12"/>
      <color theme="1"/>
      <name val="Trebuchet MS"/>
      <family val="2"/>
    </font>
    <font>
      <b/>
      <sz val="12"/>
      <color theme="0"/>
      <name val="Trebuchet MS"/>
      <family val="2"/>
    </font>
    <font>
      <b/>
      <sz val="12"/>
      <name val="Trebuchet MS"/>
      <family val="2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1"/>
      <name val="Trebuchet MS"/>
      <family val="2"/>
    </font>
    <font>
      <b/>
      <sz val="12"/>
      <color theme="1"/>
      <name val="Trebuchet MS"/>
      <family val="2"/>
    </font>
    <font>
      <sz val="18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8"/>
      <color rgb="FF00B050"/>
      <name val="Calibri"/>
      <family val="2"/>
      <scheme val="minor"/>
    </font>
    <font>
      <sz val="8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82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4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9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5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7" fillId="4" borderId="35" xfId="0" applyFont="1" applyFill="1" applyBorder="1"/>
    <xf numFmtId="0" fontId="7" fillId="4" borderId="36" xfId="0" applyFont="1" applyFill="1" applyBorder="1"/>
    <xf numFmtId="0" fontId="10" fillId="8" borderId="39" xfId="0" applyFont="1" applyFill="1" applyBorder="1" applyAlignment="1">
      <alignment vertical="center"/>
    </xf>
    <xf numFmtId="0" fontId="12" fillId="8" borderId="39" xfId="0" applyFont="1" applyFill="1" applyBorder="1" applyAlignment="1">
      <alignment horizontal="center" vertical="center"/>
    </xf>
    <xf numFmtId="22" fontId="10" fillId="8" borderId="39" xfId="0" applyNumberFormat="1" applyFont="1" applyFill="1" applyBorder="1" applyAlignment="1">
      <alignment horizontal="center" vertical="center"/>
    </xf>
    <xf numFmtId="0" fontId="14" fillId="8" borderId="40" xfId="0" applyFont="1" applyFill="1" applyBorder="1" applyAlignment="1">
      <alignment horizontal="center" vertical="center" wrapText="1"/>
    </xf>
    <xf numFmtId="0" fontId="14" fillId="8" borderId="41" xfId="0" applyFont="1" applyFill="1" applyBorder="1" applyAlignment="1">
      <alignment horizontal="center" vertical="center" wrapText="1"/>
    </xf>
    <xf numFmtId="0" fontId="16" fillId="0" borderId="0" xfId="0" applyFont="1"/>
    <xf numFmtId="49" fontId="17" fillId="0" borderId="0" xfId="2" applyNumberFormat="1" applyFont="1" applyAlignment="1">
      <alignment horizontal="left" vertical="center" wrapText="1"/>
    </xf>
    <xf numFmtId="0" fontId="17" fillId="0" borderId="0" xfId="2" applyFont="1" applyAlignment="1">
      <alignment horizontal="left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164" fontId="17" fillId="0" borderId="0" xfId="2" applyNumberFormat="1" applyFont="1" applyAlignment="1">
      <alignment horizontal="left" vertical="center"/>
    </xf>
    <xf numFmtId="164" fontId="17" fillId="0" borderId="59" xfId="2" applyNumberFormat="1" applyFont="1" applyBorder="1" applyAlignment="1" applyProtection="1">
      <alignment horizontal="left" vertical="center"/>
      <protection locked="0"/>
    </xf>
    <xf numFmtId="164" fontId="17" fillId="0" borderId="60" xfId="2" applyNumberFormat="1" applyFont="1" applyBorder="1" applyAlignment="1" applyProtection="1">
      <alignment horizontal="left" vertical="center"/>
      <protection locked="0"/>
    </xf>
    <xf numFmtId="164" fontId="17" fillId="0" borderId="61" xfId="2" applyNumberFormat="1" applyFont="1" applyBorder="1" applyAlignment="1" applyProtection="1">
      <alignment horizontal="left" vertical="center"/>
      <protection locked="0"/>
    </xf>
    <xf numFmtId="164" fontId="17" fillId="0" borderId="62" xfId="2" applyNumberFormat="1" applyFont="1" applyBorder="1" applyAlignment="1" applyProtection="1">
      <alignment horizontal="left" vertical="center"/>
      <protection locked="0"/>
    </xf>
    <xf numFmtId="164" fontId="17" fillId="0" borderId="14" xfId="2" applyNumberFormat="1" applyFont="1" applyBorder="1" applyAlignment="1" applyProtection="1">
      <alignment horizontal="left" vertical="center"/>
      <protection locked="0"/>
    </xf>
    <xf numFmtId="164" fontId="17" fillId="0" borderId="58" xfId="2" applyNumberFormat="1" applyFont="1" applyBorder="1" applyAlignment="1" applyProtection="1">
      <alignment horizontal="left" vertical="center"/>
      <protection locked="0"/>
    </xf>
    <xf numFmtId="49" fontId="16" fillId="0" borderId="0" xfId="0" applyNumberFormat="1" applyFont="1"/>
    <xf numFmtId="0" fontId="16" fillId="0" borderId="0" xfId="1" applyNumberFormat="1" applyFont="1"/>
    <xf numFmtId="165" fontId="19" fillId="6" borderId="38" xfId="4" applyFont="1" applyFill="1" applyBorder="1" applyAlignment="1">
      <alignment horizontal="center" vertical="center" wrapText="1"/>
    </xf>
    <xf numFmtId="168" fontId="20" fillId="0" borderId="5" xfId="1" applyNumberFormat="1" applyFont="1" applyBorder="1"/>
    <xf numFmtId="0" fontId="21" fillId="5" borderId="0" xfId="0" applyFont="1" applyFill="1"/>
    <xf numFmtId="49" fontId="21" fillId="5" borderId="0" xfId="0" applyNumberFormat="1" applyFont="1" applyFill="1"/>
    <xf numFmtId="0" fontId="22" fillId="0" borderId="0" xfId="0" applyFont="1"/>
    <xf numFmtId="0" fontId="23" fillId="0" borderId="42" xfId="0" applyFont="1" applyBorder="1" applyAlignment="1">
      <alignment horizontal="left" vertical="center"/>
    </xf>
    <xf numFmtId="49" fontId="23" fillId="0" borderId="43" xfId="0" applyNumberFormat="1" applyFont="1" applyBorder="1" applyAlignment="1">
      <alignment horizontal="left" vertical="center"/>
    </xf>
    <xf numFmtId="0" fontId="23" fillId="0" borderId="44" xfId="0" applyFont="1" applyBorder="1" applyAlignment="1">
      <alignment horizontal="left" vertical="center"/>
    </xf>
    <xf numFmtId="0" fontId="23" fillId="0" borderId="42" xfId="0" applyFont="1" applyBorder="1" applyAlignment="1">
      <alignment horizontal="left" vertical="center" wrapText="1"/>
    </xf>
    <xf numFmtId="0" fontId="17" fillId="6" borderId="50" xfId="3" applyFont="1" applyFill="1" applyBorder="1" applyAlignment="1">
      <alignment horizontal="left" vertical="center"/>
    </xf>
    <xf numFmtId="0" fontId="17" fillId="6" borderId="51" xfId="3" applyFont="1" applyFill="1" applyBorder="1" applyAlignment="1">
      <alignment horizontal="center" vertical="center"/>
    </xf>
    <xf numFmtId="0" fontId="21" fillId="6" borderId="51" xfId="3" applyFont="1" applyFill="1" applyBorder="1" applyAlignment="1">
      <alignment horizontal="center" vertical="center"/>
    </xf>
    <xf numFmtId="169" fontId="21" fillId="6" borderId="51" xfId="3" applyNumberFormat="1" applyFont="1" applyFill="1" applyBorder="1" applyAlignment="1">
      <alignment horizontal="center" vertical="center" wrapText="1"/>
    </xf>
    <xf numFmtId="0" fontId="21" fillId="6" borderId="51" xfId="3" applyFont="1" applyFill="1" applyBorder="1" applyAlignment="1">
      <alignment horizontal="center" vertical="center" wrapText="1"/>
    </xf>
    <xf numFmtId="9" fontId="21" fillId="6" borderId="51" xfId="1" applyFont="1" applyFill="1" applyBorder="1" applyAlignment="1">
      <alignment horizontal="center" vertical="center" wrapText="1"/>
    </xf>
    <xf numFmtId="10" fontId="21" fillId="6" borderId="51" xfId="1" applyNumberFormat="1" applyFont="1" applyFill="1" applyBorder="1" applyAlignment="1">
      <alignment horizontal="center" vertical="center" wrapText="1"/>
    </xf>
    <xf numFmtId="0" fontId="21" fillId="6" borderId="52" xfId="3" applyFont="1" applyFill="1" applyBorder="1" applyAlignment="1">
      <alignment horizontal="center" vertical="center" wrapText="1"/>
    </xf>
    <xf numFmtId="37" fontId="19" fillId="6" borderId="50" xfId="3" applyNumberFormat="1" applyFont="1" applyFill="1" applyBorder="1" applyAlignment="1">
      <alignment horizontal="center" vertical="center"/>
    </xf>
    <xf numFmtId="37" fontId="19" fillId="6" borderId="51" xfId="3" applyNumberFormat="1" applyFont="1" applyFill="1" applyBorder="1" applyAlignment="1">
      <alignment horizontal="center" vertical="center"/>
    </xf>
    <xf numFmtId="40" fontId="19" fillId="6" borderId="51" xfId="4" applyNumberFormat="1" applyFont="1" applyFill="1" applyBorder="1" applyAlignment="1">
      <alignment horizontal="center" vertical="center"/>
    </xf>
    <xf numFmtId="165" fontId="19" fillId="6" borderId="51" xfId="4" applyFont="1" applyFill="1" applyBorder="1" applyAlignment="1">
      <alignment horizontal="right" vertical="center"/>
    </xf>
    <xf numFmtId="40" fontId="19" fillId="6" borderId="51" xfId="4" applyNumberFormat="1" applyFont="1" applyFill="1" applyBorder="1" applyAlignment="1">
      <alignment horizontal="center" vertical="center" wrapText="1"/>
    </xf>
    <xf numFmtId="10" fontId="19" fillId="6" borderId="51" xfId="5" applyNumberFormat="1" applyFont="1" applyFill="1" applyBorder="1" applyAlignment="1">
      <alignment horizontal="center" vertical="center" wrapText="1"/>
    </xf>
    <xf numFmtId="165" fontId="19" fillId="6" borderId="51" xfId="4" applyFont="1" applyFill="1" applyBorder="1" applyAlignment="1">
      <alignment horizontal="center" vertical="center" wrapText="1"/>
    </xf>
    <xf numFmtId="165" fontId="19" fillId="6" borderId="52" xfId="4" applyFont="1" applyFill="1" applyBorder="1" applyAlignment="1">
      <alignment horizontal="center" vertical="center" wrapText="1"/>
    </xf>
    <xf numFmtId="10" fontId="19" fillId="6" borderId="45" xfId="5" applyNumberFormat="1" applyFont="1" applyFill="1" applyBorder="1" applyAlignment="1">
      <alignment horizontal="center" vertical="center" wrapText="1"/>
    </xf>
    <xf numFmtId="49" fontId="23" fillId="0" borderId="43" xfId="0" applyNumberFormat="1" applyFont="1" applyBorder="1" applyAlignment="1">
      <alignment horizontal="left" vertical="center" wrapText="1"/>
    </xf>
    <xf numFmtId="0" fontId="23" fillId="0" borderId="44" xfId="0" applyFont="1" applyBorder="1" applyAlignment="1">
      <alignment horizontal="left" vertical="center" wrapText="1"/>
    </xf>
    <xf numFmtId="0" fontId="23" fillId="0" borderId="43" xfId="0" applyFont="1" applyBorder="1" applyAlignment="1">
      <alignment horizontal="left" vertical="center" wrapText="1"/>
    </xf>
    <xf numFmtId="0" fontId="21" fillId="11" borderId="71" xfId="0" applyFont="1" applyFill="1" applyBorder="1" applyAlignment="1">
      <alignment horizontal="center" vertical="center"/>
    </xf>
    <xf numFmtId="0" fontId="21" fillId="11" borderId="51" xfId="0" applyFont="1" applyFill="1" applyBorder="1" applyAlignment="1">
      <alignment horizontal="center" vertical="center"/>
    </xf>
    <xf numFmtId="0" fontId="21" fillId="11" borderId="66" xfId="0" applyFont="1" applyFill="1" applyBorder="1" applyAlignment="1">
      <alignment horizontal="center" vertical="center"/>
    </xf>
    <xf numFmtId="0" fontId="20" fillId="11" borderId="10" xfId="0" applyFont="1" applyFill="1" applyBorder="1" applyAlignment="1">
      <alignment horizontal="center" vertical="center"/>
    </xf>
    <xf numFmtId="0" fontId="23" fillId="16" borderId="48" xfId="0" applyFont="1" applyFill="1" applyBorder="1" applyAlignment="1">
      <alignment horizontal="left" vertical="center" wrapText="1"/>
    </xf>
    <xf numFmtId="0" fontId="23" fillId="0" borderId="57" xfId="0" applyFont="1" applyBorder="1" applyAlignment="1">
      <alignment horizontal="left" vertical="center" wrapText="1"/>
    </xf>
    <xf numFmtId="0" fontId="23" fillId="0" borderId="57" xfId="0" applyFont="1" applyBorder="1" applyAlignment="1">
      <alignment horizontal="center" vertical="center"/>
    </xf>
    <xf numFmtId="44" fontId="23" fillId="0" borderId="57" xfId="8" applyFont="1" applyBorder="1" applyAlignment="1">
      <alignment vertical="center"/>
    </xf>
    <xf numFmtId="44" fontId="23" fillId="0" borderId="49" xfId="8" applyFont="1" applyBorder="1" applyAlignment="1">
      <alignment vertical="center"/>
    </xf>
    <xf numFmtId="1" fontId="23" fillId="12" borderId="65" xfId="0" applyNumberFormat="1" applyFont="1" applyFill="1" applyBorder="1" applyAlignment="1">
      <alignment vertical="center"/>
    </xf>
    <xf numFmtId="1" fontId="23" fillId="12" borderId="64" xfId="0" applyNumberFormat="1" applyFont="1" applyFill="1" applyBorder="1" applyAlignment="1">
      <alignment vertical="center"/>
    </xf>
    <xf numFmtId="44" fontId="23" fillId="12" borderId="64" xfId="8" applyFont="1" applyFill="1" applyBorder="1" applyAlignment="1">
      <alignment vertical="center"/>
    </xf>
    <xf numFmtId="44" fontId="23" fillId="14" borderId="64" xfId="8" applyFont="1" applyFill="1" applyBorder="1" applyAlignment="1">
      <alignment vertical="center"/>
    </xf>
    <xf numFmtId="9" fontId="23" fillId="13" borderId="64" xfId="1" applyFont="1" applyFill="1" applyBorder="1" applyAlignment="1">
      <alignment vertical="center"/>
    </xf>
    <xf numFmtId="44" fontId="23" fillId="13" borderId="64" xfId="8" applyFont="1" applyFill="1" applyBorder="1" applyAlignment="1">
      <alignment vertical="center"/>
    </xf>
    <xf numFmtId="44" fontId="23" fillId="13" borderId="49" xfId="8" applyFont="1" applyFill="1" applyBorder="1" applyAlignment="1">
      <alignment vertical="center"/>
    </xf>
    <xf numFmtId="10" fontId="23" fillId="14" borderId="10" xfId="0" applyNumberFormat="1" applyFont="1" applyFill="1" applyBorder="1" applyAlignment="1">
      <alignment horizontal="center" vertical="center"/>
    </xf>
    <xf numFmtId="10" fontId="23" fillId="14" borderId="7" xfId="0" applyNumberFormat="1" applyFont="1" applyFill="1" applyBorder="1" applyAlignment="1">
      <alignment horizontal="center" vertical="center"/>
    </xf>
    <xf numFmtId="0" fontId="23" fillId="16" borderId="69" xfId="0" applyFont="1" applyFill="1" applyBorder="1" applyAlignment="1">
      <alignment horizontal="left" vertical="center" wrapText="1"/>
    </xf>
    <xf numFmtId="0" fontId="23" fillId="0" borderId="56" xfId="0" applyFont="1" applyBorder="1" applyAlignment="1">
      <alignment horizontal="left" vertical="center" wrapText="1"/>
    </xf>
    <xf numFmtId="0" fontId="23" fillId="0" borderId="56" xfId="0" applyFont="1" applyBorder="1" applyAlignment="1">
      <alignment horizontal="center" vertical="center"/>
    </xf>
    <xf numFmtId="44" fontId="23" fillId="0" borderId="56" xfId="8" applyFont="1" applyBorder="1" applyAlignment="1">
      <alignment vertical="center"/>
    </xf>
    <xf numFmtId="44" fontId="23" fillId="0" borderId="75" xfId="8" applyFont="1" applyBorder="1" applyAlignment="1">
      <alignment vertical="center"/>
    </xf>
    <xf numFmtId="1" fontId="23" fillId="12" borderId="72" xfId="0" applyNumberFormat="1" applyFont="1" applyFill="1" applyBorder="1" applyAlignment="1">
      <alignment vertical="center"/>
    </xf>
    <xf numFmtId="1" fontId="23" fillId="12" borderId="7" xfId="0" applyNumberFormat="1" applyFont="1" applyFill="1" applyBorder="1" applyAlignment="1">
      <alignment vertical="center"/>
    </xf>
    <xf numFmtId="44" fontId="23" fillId="12" borderId="7" xfId="8" applyFont="1" applyFill="1" applyBorder="1" applyAlignment="1">
      <alignment vertical="center"/>
    </xf>
    <xf numFmtId="44" fontId="23" fillId="14" borderId="7" xfId="8" applyFont="1" applyFill="1" applyBorder="1" applyAlignment="1">
      <alignment vertical="center"/>
    </xf>
    <xf numFmtId="9" fontId="23" fillId="13" borderId="7" xfId="1" applyFont="1" applyFill="1" applyBorder="1" applyAlignment="1">
      <alignment vertical="center"/>
    </xf>
    <xf numFmtId="44" fontId="23" fillId="13" borderId="7" xfId="8" applyFont="1" applyFill="1" applyBorder="1" applyAlignment="1">
      <alignment vertical="center"/>
    </xf>
    <xf numFmtId="44" fontId="23" fillId="13" borderId="75" xfId="8" applyFont="1" applyFill="1" applyBorder="1" applyAlignment="1">
      <alignment vertical="center"/>
    </xf>
    <xf numFmtId="170" fontId="26" fillId="10" borderId="15" xfId="0" applyNumberFormat="1" applyFont="1" applyFill="1" applyBorder="1" applyAlignment="1">
      <alignment horizontal="right"/>
    </xf>
    <xf numFmtId="170" fontId="26" fillId="10" borderId="0" xfId="0" applyNumberFormat="1" applyFont="1" applyFill="1" applyAlignment="1">
      <alignment horizontal="right"/>
    </xf>
    <xf numFmtId="170" fontId="26" fillId="10" borderId="67" xfId="0" applyNumberFormat="1" applyFont="1" applyFill="1" applyBorder="1" applyAlignment="1">
      <alignment horizontal="right"/>
    </xf>
    <xf numFmtId="44" fontId="26" fillId="10" borderId="15" xfId="0" applyNumberFormat="1" applyFont="1" applyFill="1" applyBorder="1" applyAlignment="1">
      <alignment horizontal="right"/>
    </xf>
    <xf numFmtId="44" fontId="21" fillId="14" borderId="15" xfId="0" applyNumberFormat="1" applyFont="1" applyFill="1" applyBorder="1"/>
    <xf numFmtId="0" fontId="16" fillId="13" borderId="15" xfId="0" applyFont="1" applyFill="1" applyBorder="1"/>
    <xf numFmtId="44" fontId="21" fillId="13" borderId="15" xfId="0" applyNumberFormat="1" applyFont="1" applyFill="1" applyBorder="1"/>
    <xf numFmtId="44" fontId="21" fillId="13" borderId="67" xfId="8" applyFont="1" applyFill="1" applyBorder="1"/>
    <xf numFmtId="0" fontId="20" fillId="11" borderId="7" xfId="0" applyFont="1" applyFill="1" applyBorder="1" applyAlignment="1">
      <alignment horizontal="center" vertical="center"/>
    </xf>
    <xf numFmtId="170" fontId="26" fillId="10" borderId="18" xfId="0" applyNumberFormat="1" applyFont="1" applyFill="1" applyBorder="1" applyAlignment="1">
      <alignment horizontal="right"/>
    </xf>
    <xf numFmtId="44" fontId="26" fillId="10" borderId="0" xfId="0" applyNumberFormat="1" applyFont="1" applyFill="1" applyAlignment="1">
      <alignment horizontal="right"/>
    </xf>
    <xf numFmtId="44" fontId="21" fillId="14" borderId="0" xfId="0" applyNumberFormat="1" applyFont="1" applyFill="1"/>
    <xf numFmtId="0" fontId="16" fillId="13" borderId="0" xfId="0" applyFont="1" applyFill="1"/>
    <xf numFmtId="44" fontId="21" fillId="13" borderId="0" xfId="0" applyNumberFormat="1" applyFont="1" applyFill="1"/>
    <xf numFmtId="44" fontId="21" fillId="13" borderId="18" xfId="8" applyFont="1" applyFill="1" applyBorder="1"/>
    <xf numFmtId="0" fontId="23" fillId="0" borderId="48" xfId="0" applyFont="1" applyBorder="1" applyAlignment="1">
      <alignment horizontal="left" vertical="center" wrapText="1"/>
    </xf>
    <xf numFmtId="1" fontId="23" fillId="12" borderId="69" xfId="0" applyNumberFormat="1" applyFont="1" applyFill="1" applyBorder="1" applyAlignment="1">
      <alignment vertical="center"/>
    </xf>
    <xf numFmtId="1" fontId="23" fillId="12" borderId="56" xfId="0" applyNumberFormat="1" applyFont="1" applyFill="1" applyBorder="1" applyAlignment="1">
      <alignment vertical="center"/>
    </xf>
    <xf numFmtId="44" fontId="23" fillId="12" borderId="56" xfId="8" applyFont="1" applyFill="1" applyBorder="1" applyAlignment="1">
      <alignment vertical="center"/>
    </xf>
    <xf numFmtId="44" fontId="23" fillId="14" borderId="56" xfId="8" applyFont="1" applyFill="1" applyBorder="1" applyAlignment="1">
      <alignment vertical="center"/>
    </xf>
    <xf numFmtId="9" fontId="23" fillId="13" borderId="56" xfId="1" applyFont="1" applyFill="1" applyBorder="1" applyAlignment="1">
      <alignment vertical="center"/>
    </xf>
    <xf numFmtId="44" fontId="23" fillId="13" borderId="56" xfId="8" applyFont="1" applyFill="1" applyBorder="1" applyAlignment="1">
      <alignment vertical="center"/>
    </xf>
    <xf numFmtId="10" fontId="23" fillId="14" borderId="33" xfId="0" applyNumberFormat="1" applyFont="1" applyFill="1" applyBorder="1" applyAlignment="1">
      <alignment horizontal="center" vertical="center"/>
    </xf>
    <xf numFmtId="10" fontId="23" fillId="14" borderId="64" xfId="0" applyNumberFormat="1" applyFont="1" applyFill="1" applyBorder="1" applyAlignment="1">
      <alignment horizontal="center" vertical="center"/>
    </xf>
    <xf numFmtId="0" fontId="23" fillId="0" borderId="54" xfId="0" applyFont="1" applyBorder="1" applyAlignment="1">
      <alignment horizontal="left" vertical="center" wrapText="1"/>
    </xf>
    <xf numFmtId="44" fontId="21" fillId="13" borderId="0" xfId="8" applyFont="1" applyFill="1" applyBorder="1"/>
    <xf numFmtId="44" fontId="26" fillId="15" borderId="11" xfId="8" applyFont="1" applyFill="1" applyBorder="1" applyAlignment="1">
      <alignment horizontal="center"/>
    </xf>
    <xf numFmtId="44" fontId="26" fillId="15" borderId="12" xfId="8" applyFont="1" applyFill="1" applyBorder="1" applyAlignment="1">
      <alignment horizontal="center"/>
    </xf>
    <xf numFmtId="0" fontId="23" fillId="0" borderId="55" xfId="0" applyFont="1" applyBorder="1" applyAlignment="1">
      <alignment horizontal="left" vertical="center" wrapText="1"/>
    </xf>
    <xf numFmtId="0" fontId="26" fillId="15" borderId="63" xfId="0" applyFont="1" applyFill="1" applyBorder="1"/>
    <xf numFmtId="0" fontId="26" fillId="15" borderId="37" xfId="0" applyFont="1" applyFill="1" applyBorder="1"/>
    <xf numFmtId="0" fontId="26" fillId="15" borderId="37" xfId="0" applyFont="1" applyFill="1" applyBorder="1" applyAlignment="1">
      <alignment horizontal="center" vertical="center"/>
    </xf>
    <xf numFmtId="44" fontId="26" fillId="15" borderId="37" xfId="0" applyNumberFormat="1" applyFont="1" applyFill="1" applyBorder="1"/>
    <xf numFmtId="44" fontId="26" fillId="15" borderId="78" xfId="0" applyNumberFormat="1" applyFont="1" applyFill="1" applyBorder="1"/>
    <xf numFmtId="0" fontId="26" fillId="15" borderId="63" xfId="0" applyFont="1" applyFill="1" applyBorder="1" applyAlignment="1">
      <alignment horizontal="center" vertical="center"/>
    </xf>
    <xf numFmtId="9" fontId="26" fillId="15" borderId="14" xfId="1" applyFont="1" applyFill="1" applyBorder="1"/>
    <xf numFmtId="44" fontId="26" fillId="15" borderId="15" xfId="8" applyFont="1" applyFill="1" applyBorder="1"/>
    <xf numFmtId="0" fontId="27" fillId="0" borderId="0" xfId="0" applyFont="1"/>
    <xf numFmtId="0" fontId="27" fillId="0" borderId="0" xfId="0" applyFont="1" applyAlignment="1">
      <alignment horizontal="center"/>
    </xf>
    <xf numFmtId="16" fontId="27" fillId="17" borderId="11" xfId="0" applyNumberFormat="1" applyFont="1" applyFill="1" applyBorder="1"/>
    <xf numFmtId="16" fontId="27" fillId="17" borderId="12" xfId="0" applyNumberFormat="1" applyFont="1" applyFill="1" applyBorder="1"/>
    <xf numFmtId="16" fontId="27" fillId="18" borderId="14" xfId="0" applyNumberFormat="1" applyFont="1" applyFill="1" applyBorder="1"/>
    <xf numFmtId="16" fontId="27" fillId="18" borderId="15" xfId="0" applyNumberFormat="1" applyFont="1" applyFill="1" applyBorder="1"/>
    <xf numFmtId="0" fontId="27" fillId="19" borderId="17" xfId="0" applyFont="1" applyFill="1" applyBorder="1" applyAlignment="1">
      <alignment horizontal="right"/>
    </xf>
    <xf numFmtId="0" fontId="27" fillId="19" borderId="0" xfId="0" applyFont="1" applyFill="1" applyAlignment="1">
      <alignment horizontal="right"/>
    </xf>
    <xf numFmtId="0" fontId="28" fillId="20" borderId="14" xfId="0" applyFont="1" applyFill="1" applyBorder="1"/>
    <xf numFmtId="0" fontId="28" fillId="20" borderId="15" xfId="0" applyFont="1" applyFill="1" applyBorder="1"/>
    <xf numFmtId="164" fontId="29" fillId="0" borderId="59" xfId="2" applyNumberFormat="1" applyFont="1" applyBorder="1" applyAlignment="1" applyProtection="1">
      <alignment horizontal="left" vertical="center"/>
      <protection locked="0"/>
    </xf>
    <xf numFmtId="164" fontId="29" fillId="0" borderId="60" xfId="2" applyNumberFormat="1" applyFont="1" applyBorder="1" applyAlignment="1" applyProtection="1">
      <alignment horizontal="left" vertical="center"/>
      <protection locked="0"/>
    </xf>
    <xf numFmtId="164" fontId="29" fillId="0" borderId="0" xfId="2" applyNumberFormat="1" applyFont="1" applyAlignment="1" applyProtection="1">
      <alignment horizontal="left" vertical="center"/>
      <protection locked="0"/>
    </xf>
    <xf numFmtId="164" fontId="29" fillId="0" borderId="61" xfId="2" applyNumberFormat="1" applyFont="1" applyBorder="1" applyAlignment="1" applyProtection="1">
      <alignment horizontal="left" vertical="center"/>
      <protection locked="0"/>
    </xf>
    <xf numFmtId="164" fontId="29" fillId="0" borderId="62" xfId="2" applyNumberFormat="1" applyFont="1" applyBorder="1" applyAlignment="1" applyProtection="1">
      <alignment horizontal="left" vertical="center"/>
      <protection locked="0"/>
    </xf>
    <xf numFmtId="0" fontId="29" fillId="0" borderId="0" xfId="2" applyFont="1" applyAlignment="1" applyProtection="1">
      <alignment horizontal="left" vertical="center"/>
      <protection locked="0"/>
    </xf>
    <xf numFmtId="14" fontId="29" fillId="0" borderId="0" xfId="2" applyNumberFormat="1" applyFont="1" applyAlignment="1" applyProtection="1">
      <alignment horizontal="left" vertical="center"/>
      <protection locked="0"/>
    </xf>
    <xf numFmtId="164" fontId="29" fillId="0" borderId="14" xfId="2" applyNumberFormat="1" applyFont="1" applyBorder="1" applyAlignment="1" applyProtection="1">
      <alignment horizontal="left" vertical="center"/>
      <protection locked="0"/>
    </xf>
    <xf numFmtId="164" fontId="29" fillId="0" borderId="58" xfId="2" applyNumberFormat="1" applyFont="1" applyBorder="1" applyAlignment="1" applyProtection="1">
      <alignment horizontal="left" vertical="center"/>
      <protection locked="0"/>
    </xf>
    <xf numFmtId="0" fontId="30" fillId="21" borderId="56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164" fontId="32" fillId="0" borderId="56" xfId="2" applyNumberFormat="1" applyFont="1" applyBorder="1" applyAlignment="1" applyProtection="1">
      <alignment horizontal="left" vertical="center"/>
      <protection locked="0"/>
    </xf>
    <xf numFmtId="44" fontId="30" fillId="0" borderId="56" xfId="0" applyNumberFormat="1" applyFont="1" applyBorder="1"/>
    <xf numFmtId="9" fontId="30" fillId="0" borderId="56" xfId="1" applyFont="1" applyBorder="1" applyAlignment="1">
      <alignment horizontal="center"/>
    </xf>
    <xf numFmtId="44" fontId="30" fillId="21" borderId="56" xfId="0" applyNumberFormat="1" applyFont="1" applyFill="1" applyBorder="1" applyAlignment="1">
      <alignment horizontal="center"/>
    </xf>
    <xf numFmtId="0" fontId="33" fillId="0" borderId="47" xfId="0" applyFont="1" applyBorder="1"/>
    <xf numFmtId="170" fontId="33" fillId="0" borderId="79" xfId="0" applyNumberFormat="1" applyFont="1" applyBorder="1" applyAlignment="1">
      <alignment horizontal="center"/>
    </xf>
    <xf numFmtId="44" fontId="33" fillId="0" borderId="79" xfId="0" applyNumberFormat="1" applyFont="1" applyBorder="1"/>
    <xf numFmtId="170" fontId="33" fillId="0" borderId="79" xfId="0" applyNumberFormat="1" applyFont="1" applyBorder="1"/>
    <xf numFmtId="9" fontId="33" fillId="0" borderId="46" xfId="1" applyFont="1" applyBorder="1" applyAlignment="1">
      <alignment horizontal="center"/>
    </xf>
    <xf numFmtId="0" fontId="33" fillId="0" borderId="0" xfId="0" applyFont="1"/>
    <xf numFmtId="170" fontId="33" fillId="21" borderId="80" xfId="0" applyNumberFormat="1" applyFont="1" applyFill="1" applyBorder="1" applyAlignment="1">
      <alignment horizontal="center"/>
    </xf>
    <xf numFmtId="44" fontId="33" fillId="21" borderId="56" xfId="0" applyNumberFormat="1" applyFont="1" applyFill="1" applyBorder="1"/>
    <xf numFmtId="170" fontId="33" fillId="21" borderId="56" xfId="0" applyNumberFormat="1" applyFont="1" applyFill="1" applyBorder="1"/>
    <xf numFmtId="44" fontId="27" fillId="0" borderId="0" xfId="0" applyNumberFormat="1" applyFont="1"/>
    <xf numFmtId="170" fontId="27" fillId="0" borderId="0" xfId="0" applyNumberFormat="1" applyFont="1"/>
    <xf numFmtId="10" fontId="19" fillId="6" borderId="81" xfId="5" applyNumberFormat="1" applyFont="1" applyFill="1" applyBorder="1" applyAlignment="1">
      <alignment horizontal="center" vertical="center" wrapText="1"/>
    </xf>
    <xf numFmtId="0" fontId="34" fillId="0" borderId="0" xfId="0" applyFont="1"/>
    <xf numFmtId="0" fontId="17" fillId="0" borderId="0" xfId="0" applyFont="1" applyAlignment="1">
      <alignment horizontal="left"/>
    </xf>
    <xf numFmtId="44" fontId="34" fillId="0" borderId="0" xfId="0" applyNumberFormat="1" applyFont="1"/>
    <xf numFmtId="9" fontId="35" fillId="0" borderId="0" xfId="1" applyFont="1"/>
    <xf numFmtId="0" fontId="35" fillId="0" borderId="0" xfId="0" applyFont="1"/>
    <xf numFmtId="0" fontId="20" fillId="0" borderId="0" xfId="0" applyFont="1"/>
    <xf numFmtId="166" fontId="25" fillId="6" borderId="56" xfId="4" applyNumberFormat="1" applyFont="1" applyFill="1" applyBorder="1" applyAlignment="1">
      <alignment horizontal="center" vertical="center" wrapText="1"/>
    </xf>
    <xf numFmtId="166" fontId="24" fillId="6" borderId="56" xfId="4" applyNumberFormat="1" applyFont="1" applyFill="1" applyBorder="1" applyAlignment="1">
      <alignment horizontal="center" vertical="center" wrapText="1"/>
    </xf>
    <xf numFmtId="166" fontId="21" fillId="0" borderId="0" xfId="4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44" fontId="36" fillId="0" borderId="56" xfId="8" applyFont="1" applyBorder="1"/>
    <xf numFmtId="44" fontId="37" fillId="0" borderId="56" xfId="8" applyFont="1" applyBorder="1"/>
    <xf numFmtId="44" fontId="20" fillId="0" borderId="0" xfId="8" applyFont="1" applyFill="1" applyBorder="1"/>
    <xf numFmtId="44" fontId="27" fillId="0" borderId="66" xfId="0" applyNumberFormat="1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33" fillId="21" borderId="63" xfId="0" applyFont="1" applyFill="1" applyBorder="1" applyAlignment="1">
      <alignment horizontal="center"/>
    </xf>
    <xf numFmtId="0" fontId="33" fillId="21" borderId="37" xfId="0" applyFont="1" applyFill="1" applyBorder="1" applyAlignment="1">
      <alignment horizontal="center"/>
    </xf>
    <xf numFmtId="0" fontId="33" fillId="21" borderId="78" xfId="0" applyFont="1" applyFill="1" applyBorder="1" applyAlignment="1">
      <alignment horizontal="center"/>
    </xf>
    <xf numFmtId="0" fontId="26" fillId="10" borderId="56" xfId="0" applyFont="1" applyFill="1" applyBorder="1" applyAlignment="1">
      <alignment horizontal="left"/>
    </xf>
    <xf numFmtId="0" fontId="17" fillId="0" borderId="0" xfId="2" applyFont="1" applyAlignment="1">
      <alignment horizontal="left" vertical="center" wrapText="1"/>
    </xf>
    <xf numFmtId="0" fontId="17" fillId="0" borderId="0" xfId="2" applyFont="1" applyAlignment="1">
      <alignment horizontal="left" vertical="top"/>
    </xf>
    <xf numFmtId="0" fontId="19" fillId="2" borderId="3" xfId="3" applyFont="1" applyFill="1" applyBorder="1" applyAlignment="1">
      <alignment horizontal="center" vertical="center"/>
    </xf>
    <xf numFmtId="0" fontId="19" fillId="2" borderId="4" xfId="3" applyFont="1" applyFill="1" applyBorder="1" applyAlignment="1">
      <alignment horizontal="center" vertical="center"/>
    </xf>
    <xf numFmtId="0" fontId="19" fillId="2" borderId="5" xfId="3" applyFont="1" applyFill="1" applyBorder="1" applyAlignment="1">
      <alignment horizontal="center" vertical="center"/>
    </xf>
    <xf numFmtId="0" fontId="26" fillId="10" borderId="73" xfId="0" applyFont="1" applyFill="1" applyBorder="1" applyAlignment="1">
      <alignment horizontal="left"/>
    </xf>
    <xf numFmtId="0" fontId="26" fillId="10" borderId="74" xfId="0" applyFont="1" applyFill="1" applyBorder="1" applyAlignment="1">
      <alignment horizontal="left"/>
    </xf>
    <xf numFmtId="0" fontId="19" fillId="3" borderId="6" xfId="0" applyFont="1" applyFill="1" applyBorder="1" applyAlignment="1">
      <alignment horizontal="center" vertical="center" wrapText="1"/>
    </xf>
    <xf numFmtId="0" fontId="19" fillId="3" borderId="37" xfId="0" applyFont="1" applyFill="1" applyBorder="1" applyAlignment="1">
      <alignment horizontal="center" vertical="center" wrapText="1"/>
    </xf>
    <xf numFmtId="0" fontId="19" fillId="3" borderId="5" xfId="0" applyFont="1" applyFill="1" applyBorder="1" applyAlignment="1">
      <alignment horizontal="center" vertical="center" wrapText="1"/>
    </xf>
    <xf numFmtId="0" fontId="26" fillId="9" borderId="53" xfId="0" applyFont="1" applyFill="1" applyBorder="1" applyAlignment="1">
      <alignment horizontal="center"/>
    </xf>
    <xf numFmtId="0" fontId="26" fillId="9" borderId="0" xfId="0" applyFont="1" applyFill="1" applyAlignment="1">
      <alignment horizontal="center"/>
    </xf>
    <xf numFmtId="0" fontId="26" fillId="9" borderId="56" xfId="0" applyFont="1" applyFill="1" applyBorder="1" applyAlignment="1">
      <alignment horizontal="center"/>
    </xf>
    <xf numFmtId="0" fontId="26" fillId="9" borderId="12" xfId="0" applyFont="1" applyFill="1" applyBorder="1" applyAlignment="1">
      <alignment horizontal="center"/>
    </xf>
    <xf numFmtId="0" fontId="26" fillId="10" borderId="11" xfId="0" applyFont="1" applyFill="1" applyBorder="1" applyAlignment="1">
      <alignment horizontal="left"/>
    </xf>
    <xf numFmtId="0" fontId="26" fillId="10" borderId="12" xfId="0" applyFont="1" applyFill="1" applyBorder="1" applyAlignment="1">
      <alignment horizontal="left"/>
    </xf>
    <xf numFmtId="0" fontId="26" fillId="10" borderId="70" xfId="0" applyFont="1" applyFill="1" applyBorder="1" applyAlignment="1">
      <alignment horizontal="left"/>
    </xf>
    <xf numFmtId="0" fontId="26" fillId="10" borderId="66" xfId="0" applyFont="1" applyFill="1" applyBorder="1" applyAlignment="1">
      <alignment horizontal="left"/>
    </xf>
    <xf numFmtId="0" fontId="26" fillId="10" borderId="65" xfId="0" applyFont="1" applyFill="1" applyBorder="1" applyAlignment="1">
      <alignment horizontal="left"/>
    </xf>
    <xf numFmtId="0" fontId="26" fillId="10" borderId="8" xfId="0" applyFont="1" applyFill="1" applyBorder="1" applyAlignment="1">
      <alignment horizontal="left"/>
    </xf>
    <xf numFmtId="0" fontId="26" fillId="9" borderId="11" xfId="0" applyFont="1" applyFill="1" applyBorder="1" applyAlignment="1">
      <alignment horizontal="center"/>
    </xf>
    <xf numFmtId="0" fontId="26" fillId="9" borderId="66" xfId="0" applyFont="1" applyFill="1" applyBorder="1" applyAlignment="1">
      <alignment horizontal="center"/>
    </xf>
    <xf numFmtId="0" fontId="26" fillId="9" borderId="50" xfId="0" applyFont="1" applyFill="1" applyBorder="1" applyAlignment="1">
      <alignment horizontal="center"/>
    </xf>
    <xf numFmtId="0" fontId="26" fillId="9" borderId="51" xfId="0" applyFont="1" applyFill="1" applyBorder="1" applyAlignment="1">
      <alignment horizontal="center"/>
    </xf>
    <xf numFmtId="0" fontId="26" fillId="9" borderId="52" xfId="0" applyFont="1" applyFill="1" applyBorder="1" applyAlignment="1">
      <alignment horizontal="center"/>
    </xf>
    <xf numFmtId="0" fontId="26" fillId="10" borderId="76" xfId="0" applyFont="1" applyFill="1" applyBorder="1" applyAlignment="1">
      <alignment horizontal="left"/>
    </xf>
    <xf numFmtId="0" fontId="26" fillId="10" borderId="68" xfId="0" applyFont="1" applyFill="1" applyBorder="1" applyAlignment="1">
      <alignment horizontal="left"/>
    </xf>
    <xf numFmtId="0" fontId="26" fillId="10" borderId="77" xfId="0" applyFont="1" applyFill="1" applyBorder="1" applyAlignment="1">
      <alignment horizontal="left"/>
    </xf>
    <xf numFmtId="0" fontId="10" fillId="8" borderId="39" xfId="0" applyFont="1" applyFill="1" applyBorder="1" applyAlignment="1">
      <alignment horizontal="left" vertical="center"/>
    </xf>
    <xf numFmtId="0" fontId="10" fillId="8" borderId="39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1" fillId="8" borderId="39" xfId="0" applyFont="1" applyFill="1" applyBorder="1" applyAlignment="1">
      <alignment horizontal="left" vertical="top"/>
    </xf>
    <xf numFmtId="0" fontId="13" fillId="8" borderId="39" xfId="0" applyFont="1" applyFill="1" applyBorder="1" applyAlignment="1">
      <alignment horizontal="center" vertical="center" wrapText="1"/>
    </xf>
    <xf numFmtId="0" fontId="13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42638</xdr:colOff>
      <xdr:row>0</xdr:row>
      <xdr:rowOff>152400</xdr:rowOff>
    </xdr:from>
    <xdr:to>
      <xdr:col>5</xdr:col>
      <xdr:colOff>881307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214FAB90-49BB-42BA-83FF-EF6CE54A1A3A}"/>
            </a:ext>
          </a:extLst>
        </xdr:cNvPr>
        <xdr:cNvSpPr/>
      </xdr:nvSpPr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604320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22D466AC-C36C-43DE-B765-C36253F8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63814" cy="372267"/>
        </a:xfrm>
        <a:prstGeom prst="rect">
          <a:avLst/>
        </a:prstGeom>
      </xdr:spPr>
    </xdr:pic>
    <xdr:clientData/>
  </xdr:twoCellAnchor>
  <xdr:twoCellAnchor editAs="absolute">
    <xdr:from>
      <xdr:col>29</xdr:col>
      <xdr:colOff>1878994</xdr:colOff>
      <xdr:row>0</xdr:row>
      <xdr:rowOff>190500</xdr:rowOff>
    </xdr:from>
    <xdr:to>
      <xdr:col>30</xdr:col>
      <xdr:colOff>373232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9C21CEE4-6060-4223-9DD8-B8B36F65B533}"/>
            </a:ext>
          </a:extLst>
        </xdr:cNvPr>
        <xdr:cNvSpPr/>
      </xdr:nvSpPr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29</xdr:col>
      <xdr:colOff>1369728</xdr:colOff>
      <xdr:row>0</xdr:row>
      <xdr:rowOff>182566</xdr:rowOff>
    </xdr:from>
    <xdr:to>
      <xdr:col>29</xdr:col>
      <xdr:colOff>1802791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B8324303-66CB-4AA4-8E07-EBA2E0659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12803" y="179391"/>
          <a:ext cx="448938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42638</xdr:colOff>
      <xdr:row>0</xdr:row>
      <xdr:rowOff>152400</xdr:rowOff>
    </xdr:from>
    <xdr:to>
      <xdr:col>5</xdr:col>
      <xdr:colOff>881307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EB0BD2BA-3C29-4FDD-B14B-2895F1435E0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9863" y="152400"/>
          <a:ext cx="879944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29</xdr:col>
      <xdr:colOff>1878994</xdr:colOff>
      <xdr:row>0</xdr:row>
      <xdr:rowOff>190500</xdr:rowOff>
    </xdr:from>
    <xdr:to>
      <xdr:col>30</xdr:col>
      <xdr:colOff>373232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F6D4D86-A880-4D9A-8012-4BAAE272BE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37944" y="190500"/>
          <a:ext cx="998255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744099</xdr:colOff>
      <xdr:row>3</xdr:row>
      <xdr:rowOff>317500</xdr:rowOff>
    </xdr:from>
    <xdr:to>
      <xdr:col>11</xdr:col>
      <xdr:colOff>889000</xdr:colOff>
      <xdr:row>9</xdr:row>
      <xdr:rowOff>48918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84ED87F-0E14-4794-B79A-CF864118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649849" y="1571625"/>
          <a:ext cx="2446776" cy="17475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4D90C-FF45-468E-B0BB-D78BF10496D7}">
  <dimension ref="A1:F30"/>
  <sheetViews>
    <sheetView showGridLines="0" tabSelected="1" topLeftCell="A14" zoomScaleNormal="100" workbookViewId="0">
      <selection activeCell="C28" sqref="C28:D28"/>
    </sheetView>
  </sheetViews>
  <sheetFormatPr defaultColWidth="8.6640625" defaultRowHeight="16.2" x14ac:dyDescent="0.35"/>
  <cols>
    <col min="1" max="1" width="8.6640625" style="142"/>
    <col min="2" max="2" width="30.6640625" style="142" customWidth="1"/>
    <col min="3" max="3" width="37.44140625" style="142" bestFit="1" customWidth="1"/>
    <col min="4" max="4" width="20.44140625" style="142" customWidth="1"/>
    <col min="5" max="5" width="18.44140625" style="142" customWidth="1"/>
    <col min="6" max="6" width="11.88671875" style="143" bestFit="1" customWidth="1"/>
    <col min="7" max="7" width="12.88671875" style="142" bestFit="1" customWidth="1"/>
    <col min="8" max="8" width="12.5546875" style="142" bestFit="1" customWidth="1"/>
    <col min="9" max="16384" width="8.6640625" style="142"/>
  </cols>
  <sheetData>
    <row r="1" spans="1:5" s="143" customFormat="1" hidden="1" x14ac:dyDescent="0.35">
      <c r="A1" s="142"/>
      <c r="B1" s="142"/>
      <c r="C1" s="142"/>
      <c r="D1" s="142"/>
      <c r="E1" s="142"/>
    </row>
    <row r="2" spans="1:5" s="143" customFormat="1" hidden="1" x14ac:dyDescent="0.35">
      <c r="A2" s="142"/>
      <c r="B2" s="142"/>
      <c r="C2" s="142"/>
      <c r="D2" s="142"/>
      <c r="E2" s="142"/>
    </row>
    <row r="3" spans="1:5" s="143" customFormat="1" hidden="1" x14ac:dyDescent="0.35">
      <c r="A3" s="142"/>
      <c r="B3" s="142"/>
      <c r="C3" s="144">
        <v>45866</v>
      </c>
      <c r="D3" s="145"/>
      <c r="E3" s="193" t="e">
        <f>SUM(#REF!)</f>
        <v>#REF!</v>
      </c>
    </row>
    <row r="4" spans="1:5" s="143" customFormat="1" ht="15.6" hidden="1" customHeight="1" thickBot="1" x14ac:dyDescent="0.4">
      <c r="A4" s="142"/>
      <c r="B4" s="142"/>
      <c r="C4" s="146">
        <v>45867</v>
      </c>
      <c r="D4" s="147"/>
      <c r="E4" s="194"/>
    </row>
    <row r="5" spans="1:5" s="143" customFormat="1" hidden="1" x14ac:dyDescent="0.35">
      <c r="A5" s="142"/>
      <c r="B5" s="142"/>
      <c r="C5" s="148" t="s">
        <v>231</v>
      </c>
      <c r="D5" s="149"/>
      <c r="E5" s="142"/>
    </row>
    <row r="6" spans="1:5" s="143" customFormat="1" hidden="1" x14ac:dyDescent="0.35">
      <c r="A6" s="142"/>
      <c r="B6" s="142"/>
      <c r="C6" s="148" t="s">
        <v>232</v>
      </c>
      <c r="D6" s="149"/>
      <c r="E6" s="142"/>
    </row>
    <row r="7" spans="1:5" s="143" customFormat="1" ht="16.8" hidden="1" thickBot="1" x14ac:dyDescent="0.4">
      <c r="A7" s="142"/>
      <c r="B7" s="142"/>
      <c r="C7" s="150" t="s">
        <v>43</v>
      </c>
      <c r="D7" s="151"/>
      <c r="E7" s="142"/>
    </row>
    <row r="9" spans="1:5" s="143" customFormat="1" ht="24" customHeight="1" x14ac:dyDescent="0.35">
      <c r="A9" s="142"/>
      <c r="B9" s="142"/>
      <c r="C9" s="142"/>
      <c r="D9" s="142"/>
      <c r="E9" s="142"/>
    </row>
    <row r="10" spans="1:5" ht="16.8" thickBot="1" x14ac:dyDescent="0.4"/>
    <row r="11" spans="1:5" s="143" customFormat="1" ht="15" customHeight="1" x14ac:dyDescent="0.35">
      <c r="A11" s="142"/>
      <c r="B11" s="152" t="s">
        <v>114</v>
      </c>
      <c r="C11" s="153" t="s">
        <v>214</v>
      </c>
      <c r="D11" s="154"/>
      <c r="E11" s="142"/>
    </row>
    <row r="12" spans="1:5" s="143" customFormat="1" ht="15" customHeight="1" x14ac:dyDescent="0.35">
      <c r="A12" s="142"/>
      <c r="B12" s="155" t="s">
        <v>115</v>
      </c>
      <c r="C12" s="156" t="s">
        <v>113</v>
      </c>
      <c r="D12" s="154"/>
      <c r="E12" s="142"/>
    </row>
    <row r="13" spans="1:5" s="143" customFormat="1" ht="15" customHeight="1" x14ac:dyDescent="0.35">
      <c r="A13" s="142"/>
      <c r="B13" s="155" t="s">
        <v>116</v>
      </c>
      <c r="C13" s="156" t="s">
        <v>184</v>
      </c>
      <c r="D13" s="157"/>
      <c r="E13" s="142"/>
    </row>
    <row r="14" spans="1:5" s="143" customFormat="1" ht="15" customHeight="1" x14ac:dyDescent="0.35">
      <c r="A14" s="142"/>
      <c r="B14" s="155" t="s">
        <v>117</v>
      </c>
      <c r="C14" s="156" t="s">
        <v>185</v>
      </c>
      <c r="D14" s="157"/>
      <c r="E14" s="142"/>
    </row>
    <row r="15" spans="1:5" s="143" customFormat="1" ht="15" customHeight="1" x14ac:dyDescent="0.35">
      <c r="A15" s="142"/>
      <c r="B15" s="155" t="s">
        <v>118</v>
      </c>
      <c r="C15" s="156" t="s">
        <v>216</v>
      </c>
      <c r="D15" s="158"/>
      <c r="E15" s="142"/>
    </row>
    <row r="16" spans="1:5" ht="15" customHeight="1" x14ac:dyDescent="0.35">
      <c r="B16" s="155" t="s">
        <v>119</v>
      </c>
      <c r="C16" s="156" t="s">
        <v>186</v>
      </c>
      <c r="D16" s="157"/>
    </row>
    <row r="17" spans="2:6" ht="15" customHeight="1" x14ac:dyDescent="0.35">
      <c r="B17" s="155" t="s">
        <v>120</v>
      </c>
      <c r="C17" s="156" t="s">
        <v>186</v>
      </c>
      <c r="D17" s="157"/>
    </row>
    <row r="18" spans="2:6" ht="15" customHeight="1" thickBot="1" x14ac:dyDescent="0.4">
      <c r="B18" s="159" t="s">
        <v>121</v>
      </c>
      <c r="C18" s="160" t="s">
        <v>215</v>
      </c>
      <c r="D18" s="157"/>
    </row>
    <row r="20" spans="2:6" ht="15.6" customHeight="1" x14ac:dyDescent="0.35">
      <c r="B20" s="161"/>
      <c r="C20" s="161" t="s">
        <v>233</v>
      </c>
      <c r="D20" s="161" t="s">
        <v>234</v>
      </c>
      <c r="E20" s="161" t="s">
        <v>235</v>
      </c>
      <c r="F20" s="162"/>
    </row>
    <row r="21" spans="2:6" x14ac:dyDescent="0.35">
      <c r="B21" s="163" t="s">
        <v>236</v>
      </c>
      <c r="C21" s="164">
        <f>PRINCIPAL!N40</f>
        <v>14761.162149869517</v>
      </c>
      <c r="D21" s="164">
        <f>PRINCIPAL!X40</f>
        <v>5923.5</v>
      </c>
      <c r="E21" s="164">
        <f>C21-D21</f>
        <v>8837.6621498695167</v>
      </c>
      <c r="F21" s="165">
        <f>E21*100%/C21</f>
        <v>0.59871045789898314</v>
      </c>
    </row>
    <row r="22" spans="2:6" x14ac:dyDescent="0.35">
      <c r="B22" s="161" t="s">
        <v>43</v>
      </c>
      <c r="C22" s="166">
        <f>SUM(C21:C21)</f>
        <v>14761.162149869517</v>
      </c>
      <c r="D22" s="166">
        <f>SUM(D21:D21)</f>
        <v>5923.5</v>
      </c>
      <c r="E22" s="166">
        <f>C22-D22</f>
        <v>8837.6621498695167</v>
      </c>
      <c r="F22" s="165">
        <f t="shared" ref="F22" si="0">E22*100%/C22</f>
        <v>0.59871045789898314</v>
      </c>
    </row>
    <row r="24" spans="2:6" ht="16.8" thickBot="1" x14ac:dyDescent="0.4"/>
    <row r="25" spans="2:6" ht="21.9" customHeight="1" thickBot="1" x14ac:dyDescent="0.4">
      <c r="B25" s="195" t="s">
        <v>237</v>
      </c>
      <c r="C25" s="196"/>
      <c r="D25" s="196"/>
      <c r="E25" s="196"/>
      <c r="F25" s="197"/>
    </row>
    <row r="26" spans="2:6" ht="21" customHeight="1" thickBot="1" x14ac:dyDescent="0.4">
      <c r="B26" s="167" t="s">
        <v>247</v>
      </c>
      <c r="C26" s="168">
        <v>8003.06</v>
      </c>
      <c r="D26" s="169">
        <f>D22</f>
        <v>5923.5</v>
      </c>
      <c r="E26" s="170">
        <f>C26-D26</f>
        <v>2079.5600000000004</v>
      </c>
      <c r="F26" s="171">
        <f>E26*100%/C26</f>
        <v>0.25984560905453669</v>
      </c>
    </row>
    <row r="27" spans="2:6" ht="21" customHeight="1" thickBot="1" x14ac:dyDescent="0.4">
      <c r="B27" s="167" t="s">
        <v>246</v>
      </c>
      <c r="C27" s="168">
        <v>6758.1</v>
      </c>
      <c r="D27" s="169">
        <f>C27*0.15</f>
        <v>1013.715</v>
      </c>
      <c r="E27" s="170">
        <f>C27-D27</f>
        <v>5744.3850000000002</v>
      </c>
      <c r="F27" s="171">
        <f>E27*100%/C27</f>
        <v>0.85</v>
      </c>
    </row>
    <row r="28" spans="2:6" ht="20.25" customHeight="1" thickBot="1" x14ac:dyDescent="0.4">
      <c r="B28" s="172"/>
      <c r="C28" s="173">
        <f>SUM(C26:C27)</f>
        <v>14761.16</v>
      </c>
      <c r="D28" s="174">
        <f>SUM(D26:D27)</f>
        <v>6937.2150000000001</v>
      </c>
      <c r="E28" s="175">
        <f>C28-D28</f>
        <v>7823.9449999999997</v>
      </c>
      <c r="F28" s="171">
        <f>E28*100%/C28</f>
        <v>0.53003591858634413</v>
      </c>
    </row>
    <row r="29" spans="2:6" x14ac:dyDescent="0.35">
      <c r="C29" s="176"/>
    </row>
    <row r="30" spans="2:6" x14ac:dyDescent="0.35">
      <c r="C30" s="177"/>
    </row>
  </sheetData>
  <mergeCells count="2">
    <mergeCell ref="E3:E4"/>
    <mergeCell ref="B25:F25"/>
  </mergeCells>
  <phoneticPr fontId="38" type="noConversion"/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8932-2CF4-4DE5-ABE5-2EDB3EE7510F}">
  <sheetPr codeName="Planilha14">
    <pageSetUpPr autoPageBreaks="0" fitToPage="1"/>
  </sheetPr>
  <dimension ref="A1:AD46"/>
  <sheetViews>
    <sheetView showGridLines="0" topLeftCell="G1" zoomScale="50" zoomScaleNormal="50" workbookViewId="0">
      <pane ySplit="1" topLeftCell="A37" activePane="bottomLeft" state="frozen"/>
      <selection pane="bottomLeft" activeCell="AB47" sqref="AB47"/>
    </sheetView>
  </sheetViews>
  <sheetFormatPr defaultColWidth="8.88671875" defaultRowHeight="23.4" x14ac:dyDescent="0.45"/>
  <cols>
    <col min="1" max="1" width="5.88671875" style="31" hidden="1" customWidth="1"/>
    <col min="2" max="2" width="9.88671875" style="31" customWidth="1"/>
    <col min="3" max="3" width="11" style="31" hidden="1" customWidth="1"/>
    <col min="4" max="4" width="10.5546875" style="31" hidden="1" customWidth="1"/>
    <col min="5" max="5" width="15.109375" style="31" hidden="1" customWidth="1"/>
    <col min="6" max="6" width="29" style="31" customWidth="1"/>
    <col min="7" max="7" width="79.88671875" style="31" customWidth="1"/>
    <col min="8" max="8" width="7.5546875" style="34" hidden="1" customWidth="1"/>
    <col min="9" max="9" width="9.88671875" style="34" hidden="1" customWidth="1"/>
    <col min="10" max="10" width="16.44140625" style="31" hidden="1" customWidth="1"/>
    <col min="11" max="11" width="34.44140625" style="31" bestFit="1" customWidth="1"/>
    <col min="12" max="12" width="37.33203125" style="31" bestFit="1" customWidth="1"/>
    <col min="13" max="13" width="31.5546875" style="31" bestFit="1" customWidth="1"/>
    <col min="14" max="14" width="33.44140625" style="31" bestFit="1" customWidth="1"/>
    <col min="15" max="15" width="19.109375" style="31" hidden="1" customWidth="1"/>
    <col min="16" max="16" width="1.88671875" style="31" hidden="1" customWidth="1"/>
    <col min="17" max="17" width="11.5546875" style="34" bestFit="1" customWidth="1"/>
    <col min="18" max="18" width="8.44140625" style="34" hidden="1" customWidth="1"/>
    <col min="19" max="19" width="17.88671875" style="31" hidden="1" customWidth="1"/>
    <col min="20" max="20" width="29.5546875" style="31" customWidth="1"/>
    <col min="21" max="21" width="24.6640625" style="31" hidden="1" customWidth="1"/>
    <col min="22" max="22" width="9.6640625" style="31" hidden="1" customWidth="1"/>
    <col min="23" max="23" width="16.109375" style="31" hidden="1" customWidth="1"/>
    <col min="24" max="24" width="32.44140625" style="31" customWidth="1"/>
    <col min="25" max="25" width="26.6640625" style="31" hidden="1" customWidth="1"/>
    <col min="26" max="26" width="14.6640625" style="31" hidden="1" customWidth="1"/>
    <col min="27" max="27" width="24.6640625" style="31" hidden="1" customWidth="1"/>
    <col min="28" max="28" width="34.88671875" style="31" customWidth="1"/>
    <col min="29" max="29" width="32.6640625" style="31" customWidth="1"/>
    <col min="30" max="30" width="36.6640625" style="184" customWidth="1"/>
    <col min="31" max="16384" width="8.88671875" style="31"/>
  </cols>
  <sheetData>
    <row r="1" spans="1:30" ht="49.5" customHeight="1" x14ac:dyDescent="0.45">
      <c r="B1" s="32"/>
      <c r="C1" s="33"/>
      <c r="D1" s="33"/>
      <c r="F1" s="199" t="s">
        <v>100</v>
      </c>
      <c r="G1" s="199"/>
    </row>
    <row r="2" spans="1:30" ht="24.75" customHeight="1" x14ac:dyDescent="0.45">
      <c r="B2" s="35"/>
      <c r="D2" s="33"/>
      <c r="F2" s="200" t="s">
        <v>0</v>
      </c>
      <c r="G2" s="200"/>
    </row>
    <row r="3" spans="1:30" ht="24" thickBot="1" x14ac:dyDescent="0.5">
      <c r="B3" s="36"/>
      <c r="F3" s="37"/>
      <c r="G3" s="37"/>
    </row>
    <row r="4" spans="1:30" ht="29.1" customHeight="1" x14ac:dyDescent="0.45">
      <c r="F4" s="38" t="s">
        <v>114</v>
      </c>
      <c r="G4" s="39" t="s">
        <v>214</v>
      </c>
    </row>
    <row r="5" spans="1:30" ht="27.6" customHeight="1" x14ac:dyDescent="0.45">
      <c r="F5" s="40" t="s">
        <v>115</v>
      </c>
      <c r="G5" s="41" t="s">
        <v>113</v>
      </c>
    </row>
    <row r="6" spans="1:30" ht="24.9" customHeight="1" x14ac:dyDescent="0.45">
      <c r="D6" s="31" t="s">
        <v>98</v>
      </c>
      <c r="F6" s="40" t="s">
        <v>116</v>
      </c>
      <c r="G6" s="41" t="s">
        <v>184</v>
      </c>
    </row>
    <row r="7" spans="1:30" ht="25.5" customHeight="1" x14ac:dyDescent="0.45">
      <c r="F7" s="40" t="s">
        <v>117</v>
      </c>
      <c r="G7" s="41" t="s">
        <v>185</v>
      </c>
      <c r="J7" s="31" t="s">
        <v>99</v>
      </c>
    </row>
    <row r="8" spans="1:30" ht="26.1" customHeight="1" x14ac:dyDescent="0.45">
      <c r="F8" s="40" t="s">
        <v>118</v>
      </c>
      <c r="G8" s="41" t="s">
        <v>216</v>
      </c>
    </row>
    <row r="9" spans="1:30" ht="27.6" customHeight="1" x14ac:dyDescent="0.45">
      <c r="F9" s="40" t="s">
        <v>119</v>
      </c>
      <c r="G9" s="41" t="s">
        <v>186</v>
      </c>
      <c r="J9" s="31" t="s">
        <v>98</v>
      </c>
    </row>
    <row r="10" spans="1:30" ht="27" customHeight="1" x14ac:dyDescent="0.45">
      <c r="F10" s="40" t="s">
        <v>120</v>
      </c>
      <c r="G10" s="41" t="s">
        <v>186</v>
      </c>
    </row>
    <row r="11" spans="1:30" ht="24" thickBot="1" x14ac:dyDescent="0.5">
      <c r="F11" s="42" t="s">
        <v>121</v>
      </c>
      <c r="G11" s="43" t="s">
        <v>215</v>
      </c>
    </row>
    <row r="12" spans="1:30" ht="47.4" hidden="1" thickBot="1" x14ac:dyDescent="0.5">
      <c r="B12" s="44"/>
      <c r="M12" s="45"/>
      <c r="Q12" s="201" t="s">
        <v>1</v>
      </c>
      <c r="R12" s="202"/>
      <c r="S12" s="202"/>
      <c r="T12" s="203"/>
      <c r="U12" s="206" t="s">
        <v>2</v>
      </c>
      <c r="V12" s="207"/>
      <c r="W12" s="207"/>
      <c r="X12" s="208"/>
      <c r="Y12" s="46" t="s">
        <v>56</v>
      </c>
      <c r="Z12" s="47">
        <f>(1/(1-M14))-1</f>
        <v>0.24269914253759173</v>
      </c>
    </row>
    <row r="13" spans="1:30" ht="24" thickBot="1" x14ac:dyDescent="0.5">
      <c r="A13" s="48" t="s">
        <v>4</v>
      </c>
      <c r="B13" s="49" t="s">
        <v>5</v>
      </c>
      <c r="C13" s="48" t="s">
        <v>6</v>
      </c>
      <c r="D13" s="48" t="s">
        <v>7</v>
      </c>
      <c r="E13" s="48" t="s">
        <v>8</v>
      </c>
      <c r="M13" s="50">
        <v>0.81</v>
      </c>
    </row>
    <row r="14" spans="1:30" ht="43.5" customHeight="1" thickBot="1" x14ac:dyDescent="0.5">
      <c r="A14" s="51">
        <v>0</v>
      </c>
      <c r="B14" s="52"/>
      <c r="C14" s="53"/>
      <c r="D14" s="54"/>
      <c r="E14" s="54"/>
      <c r="F14" s="55" t="s">
        <v>80</v>
      </c>
      <c r="G14" s="56" t="s">
        <v>81</v>
      </c>
      <c r="H14" s="57" t="s">
        <v>82</v>
      </c>
      <c r="I14" s="57" t="s">
        <v>83</v>
      </c>
      <c r="J14" s="58" t="s">
        <v>84</v>
      </c>
      <c r="K14" s="59" t="s">
        <v>9</v>
      </c>
      <c r="L14" s="60">
        <v>0.08</v>
      </c>
      <c r="M14" s="61">
        <v>0.1953</v>
      </c>
      <c r="N14" s="62" t="s">
        <v>78</v>
      </c>
      <c r="Q14" s="63" t="s">
        <v>85</v>
      </c>
      <c r="R14" s="64" t="s">
        <v>86</v>
      </c>
      <c r="S14" s="65" t="s">
        <v>87</v>
      </c>
      <c r="T14" s="66" t="s">
        <v>88</v>
      </c>
      <c r="U14" s="67" t="s">
        <v>89</v>
      </c>
      <c r="V14" s="68" t="s">
        <v>90</v>
      </c>
      <c r="W14" s="69" t="s">
        <v>91</v>
      </c>
      <c r="X14" s="69" t="s">
        <v>92</v>
      </c>
      <c r="Y14" s="70" t="s">
        <v>93</v>
      </c>
      <c r="Z14" s="71" t="s">
        <v>94</v>
      </c>
      <c r="AA14" s="178" t="s">
        <v>79</v>
      </c>
      <c r="AB14" s="185" t="s">
        <v>95</v>
      </c>
      <c r="AC14" s="186" t="s">
        <v>96</v>
      </c>
      <c r="AD14" s="187"/>
    </row>
    <row r="15" spans="1:30" ht="35.1" customHeight="1" thickBot="1" x14ac:dyDescent="0.5">
      <c r="A15" s="54">
        <v>1</v>
      </c>
      <c r="B15" s="72">
        <v>1</v>
      </c>
      <c r="C15" s="73" t="s">
        <v>101</v>
      </c>
      <c r="D15" s="54"/>
      <c r="E15" s="74"/>
      <c r="F15" s="209" t="s">
        <v>139</v>
      </c>
      <c r="G15" s="210"/>
      <c r="H15" s="210"/>
      <c r="I15" s="210"/>
      <c r="J15" s="210"/>
      <c r="K15" s="210"/>
      <c r="L15" s="210"/>
      <c r="M15" s="210"/>
      <c r="N15" s="210"/>
      <c r="Q15" s="210" t="str">
        <f>IF(F15&lt;&gt;"",F15,"")</f>
        <v xml:space="preserve">INTERNOS </v>
      </c>
      <c r="R15" s="210"/>
      <c r="S15" s="210"/>
      <c r="T15" s="210"/>
      <c r="U15" s="210"/>
      <c r="V15" s="210"/>
      <c r="W15" s="210"/>
      <c r="X15" s="210"/>
      <c r="Y15" s="210"/>
      <c r="AB15" s="211"/>
      <c r="AC15" s="211"/>
      <c r="AD15" s="188"/>
    </row>
    <row r="16" spans="1:30" ht="35.1" customHeight="1" x14ac:dyDescent="0.45">
      <c r="A16" s="54">
        <v>2</v>
      </c>
      <c r="B16" s="72" t="s">
        <v>103</v>
      </c>
      <c r="C16" s="73" t="s">
        <v>102</v>
      </c>
      <c r="D16" s="54"/>
      <c r="E16" s="54"/>
      <c r="F16" s="213" t="s">
        <v>139</v>
      </c>
      <c r="G16" s="214"/>
      <c r="H16" s="214"/>
      <c r="I16" s="214"/>
      <c r="J16" s="214"/>
      <c r="K16" s="215"/>
      <c r="L16" s="75" t="s">
        <v>104</v>
      </c>
      <c r="M16" s="76" t="s">
        <v>105</v>
      </c>
      <c r="N16" s="77" t="s">
        <v>78</v>
      </c>
      <c r="Q16" s="213" t="str">
        <f>IF(F16&lt;&gt;"",F16,"")</f>
        <v xml:space="preserve">INTERNOS </v>
      </c>
      <c r="R16" s="214"/>
      <c r="S16" s="214"/>
      <c r="T16" s="214"/>
      <c r="U16" s="214"/>
      <c r="V16" s="214"/>
      <c r="W16" s="214"/>
      <c r="X16" s="214"/>
      <c r="Y16" s="216"/>
      <c r="Z16" s="78" t="s">
        <v>106</v>
      </c>
      <c r="AA16" s="113" t="s">
        <v>79</v>
      </c>
      <c r="AB16" s="198"/>
      <c r="AC16" s="198"/>
      <c r="AD16" s="189"/>
    </row>
    <row r="17" spans="1:30" ht="159.9" customHeight="1" x14ac:dyDescent="0.45">
      <c r="A17" s="54">
        <v>3</v>
      </c>
      <c r="B17" s="72" t="s">
        <v>123</v>
      </c>
      <c r="C17" s="73" t="s">
        <v>107</v>
      </c>
      <c r="D17" s="54" t="s">
        <v>141</v>
      </c>
      <c r="E17" s="54" t="s">
        <v>140</v>
      </c>
      <c r="F17" s="79" t="s">
        <v>142</v>
      </c>
      <c r="G17" s="80" t="s">
        <v>143</v>
      </c>
      <c r="H17" s="81">
        <v>1</v>
      </c>
      <c r="I17" s="81">
        <v>1</v>
      </c>
      <c r="J17" s="82">
        <v>2242</v>
      </c>
      <c r="K17" s="82">
        <f>IF(F17&lt;&gt;"",H17*I17*J17,"")</f>
        <v>2242</v>
      </c>
      <c r="L17" s="82">
        <f>IF(K17&lt;&gt;"",IF(D17="INTERNO",0,K17*$L$14),"")</f>
        <v>0</v>
      </c>
      <c r="M17" s="82">
        <f>IF(K17&lt;&gt;"",IF(E17="FAT.OGGI",SUM(K17:L17)*(1/(1-$M$14)-1),L17*(1/(1-$M$14)-1)),"")</f>
        <v>544.13147756928061</v>
      </c>
      <c r="N17" s="83">
        <f>SUM(K17:M17)</f>
        <v>2786.1314775692808</v>
      </c>
      <c r="Q17" s="84">
        <f t="shared" ref="Q17:R19" si="0">IF(H17&lt;&gt;"",H17,"")</f>
        <v>1</v>
      </c>
      <c r="R17" s="85">
        <f t="shared" si="0"/>
        <v>1</v>
      </c>
      <c r="S17" s="86">
        <v>0</v>
      </c>
      <c r="T17" s="86">
        <v>500</v>
      </c>
      <c r="U17" s="87">
        <f>IF(Q17&lt;&gt;"",K17-T17,"")</f>
        <v>1742</v>
      </c>
      <c r="V17" s="88">
        <f>IF(Q17&lt;&gt;"",0%,"")</f>
        <v>0</v>
      </c>
      <c r="W17" s="89">
        <f>IF(Q17&lt;&gt;"",V17*U17,"")</f>
        <v>0</v>
      </c>
      <c r="X17" s="89">
        <f>IF(Q17&lt;&gt;"",W17+T17,"")</f>
        <v>500</v>
      </c>
      <c r="Y17" s="90">
        <f>IF(Q17&lt;&gt;"",X17+M17,"")</f>
        <v>1044.1314775692806</v>
      </c>
      <c r="Z17" s="91">
        <f>IF(Q17&lt;&gt;"",U17/K17,"")</f>
        <v>0.7769848349687779</v>
      </c>
      <c r="AA17" s="92">
        <f>T17/$T$20</f>
        <v>1</v>
      </c>
      <c r="AB17" s="190">
        <f>X17-AC17</f>
        <v>0</v>
      </c>
      <c r="AC17" s="191">
        <v>500</v>
      </c>
      <c r="AD17" s="192" t="s">
        <v>240</v>
      </c>
    </row>
    <row r="18" spans="1:30" ht="159.9" customHeight="1" x14ac:dyDescent="0.45">
      <c r="A18" s="54">
        <v>4</v>
      </c>
      <c r="B18" s="72" t="s">
        <v>97</v>
      </c>
      <c r="C18" s="73" t="s">
        <v>107</v>
      </c>
      <c r="D18" s="54" t="s">
        <v>141</v>
      </c>
      <c r="E18" s="54" t="s">
        <v>140</v>
      </c>
      <c r="F18" s="79" t="s">
        <v>144</v>
      </c>
      <c r="G18" s="80" t="s">
        <v>145</v>
      </c>
      <c r="H18" s="81">
        <v>1</v>
      </c>
      <c r="I18" s="81">
        <v>1</v>
      </c>
      <c r="J18" s="82">
        <v>2006</v>
      </c>
      <c r="K18" s="82">
        <f>IF(F18&lt;&gt;"",H18*I18*J18,"")</f>
        <v>2006</v>
      </c>
      <c r="L18" s="82">
        <f>IF(K18&lt;&gt;"",IF(D18="INTERNO",0,K18*$L$14),"")</f>
        <v>0</v>
      </c>
      <c r="M18" s="82">
        <f>IF(K18&lt;&gt;"",IF(E18="FAT.OGGI",SUM(K18:L18)*(1/(1-$M$14)-1),L18*(1/(1-$M$14)-1)),"")</f>
        <v>486.85447993040901</v>
      </c>
      <c r="N18" s="83">
        <f>SUM(K18:M18)</f>
        <v>2492.8544799304091</v>
      </c>
      <c r="Q18" s="84">
        <f t="shared" si="0"/>
        <v>1</v>
      </c>
      <c r="R18" s="85">
        <f t="shared" si="0"/>
        <v>1</v>
      </c>
      <c r="S18" s="86"/>
      <c r="T18" s="86">
        <f>IF(Q18&lt;&gt;"",Q18*R18*S18,"")</f>
        <v>0</v>
      </c>
      <c r="U18" s="87">
        <f>IF(Q18&lt;&gt;"",K18-T18,"")</f>
        <v>2006</v>
      </c>
      <c r="V18" s="88">
        <f>IF(Q18&lt;&gt;"",0%,"")</f>
        <v>0</v>
      </c>
      <c r="W18" s="89">
        <f>IF(Q18&lt;&gt;"",V18*U18,"")</f>
        <v>0</v>
      </c>
      <c r="X18" s="89">
        <f>IF(Q18&lt;&gt;"",W18+T18,"")</f>
        <v>0</v>
      </c>
      <c r="Y18" s="90">
        <f>IF(Q18&lt;&gt;"",X18+M18,"")</f>
        <v>486.85447993040901</v>
      </c>
      <c r="Z18" s="91">
        <f>IF(Q18&lt;&gt;"",U18/K18,"")</f>
        <v>1</v>
      </c>
      <c r="AA18" s="92">
        <f>T18/$T$20</f>
        <v>0</v>
      </c>
      <c r="AB18" s="190">
        <f t="shared" ref="AB18:AB38" si="1">X18-AC18</f>
        <v>0</v>
      </c>
      <c r="AC18" s="191">
        <v>0</v>
      </c>
      <c r="AD18" s="192"/>
    </row>
    <row r="19" spans="1:30" ht="159.9" customHeight="1" x14ac:dyDescent="0.45">
      <c r="A19" s="54">
        <v>5</v>
      </c>
      <c r="B19" s="72" t="s">
        <v>126</v>
      </c>
      <c r="C19" s="73" t="s">
        <v>107</v>
      </c>
      <c r="D19" s="54" t="s">
        <v>141</v>
      </c>
      <c r="E19" s="54" t="s">
        <v>140</v>
      </c>
      <c r="F19" s="93" t="s">
        <v>146</v>
      </c>
      <c r="G19" s="94" t="s">
        <v>147</v>
      </c>
      <c r="H19" s="95">
        <v>1</v>
      </c>
      <c r="I19" s="95">
        <v>1</v>
      </c>
      <c r="J19" s="96">
        <v>550</v>
      </c>
      <c r="K19" s="96">
        <f>IF(F19&lt;&gt;"",H19*I19*J19,"")</f>
        <v>550</v>
      </c>
      <c r="L19" s="96">
        <f>IF(K19&lt;&gt;"",IF(D19="INTERNO",0,K19*$L$14),"")</f>
        <v>0</v>
      </c>
      <c r="M19" s="96">
        <f>IF(K19&lt;&gt;"",IF(E19="FAT.OGGI",SUM(K19:L19)*(1/(1-$M$14)-1),L19*(1/(1-$M$14)-1)),"")</f>
        <v>133.48452839567545</v>
      </c>
      <c r="N19" s="97">
        <f>SUM(K19:M19)</f>
        <v>683.4845283956754</v>
      </c>
      <c r="Q19" s="98">
        <f t="shared" si="0"/>
        <v>1</v>
      </c>
      <c r="R19" s="99">
        <f t="shared" si="0"/>
        <v>1</v>
      </c>
      <c r="S19" s="100"/>
      <c r="T19" s="100">
        <f>IF(Q19&lt;&gt;"",Q19*R19*S19,"")</f>
        <v>0</v>
      </c>
      <c r="U19" s="101">
        <f>IF(Q19&lt;&gt;"",K19-T19,"")</f>
        <v>550</v>
      </c>
      <c r="V19" s="102">
        <f>IF(Q19&lt;&gt;"",0%,"")</f>
        <v>0</v>
      </c>
      <c r="W19" s="103">
        <f>IF(Q19&lt;&gt;"",V19*U19,"")</f>
        <v>0</v>
      </c>
      <c r="X19" s="103">
        <f>IF(Q19&lt;&gt;"",W19+T19,"")</f>
        <v>0</v>
      </c>
      <c r="Y19" s="104">
        <f>IF(Q19&lt;&gt;"",X19+M19,"")</f>
        <v>133.48452839567545</v>
      </c>
      <c r="Z19" s="91">
        <f>IF(Q19&lt;&gt;"",U19/K19,"")</f>
        <v>1</v>
      </c>
      <c r="AA19" s="92">
        <f>T19/$T$20</f>
        <v>0</v>
      </c>
      <c r="AB19" s="190">
        <f t="shared" si="1"/>
        <v>0</v>
      </c>
      <c r="AC19" s="191">
        <v>0</v>
      </c>
      <c r="AD19" s="192"/>
    </row>
    <row r="20" spans="1:30" ht="35.1" customHeight="1" thickBot="1" x14ac:dyDescent="0.5">
      <c r="A20" s="54">
        <v>6</v>
      </c>
      <c r="B20" s="72"/>
      <c r="C20" s="73" t="s">
        <v>108</v>
      </c>
      <c r="D20" s="54"/>
      <c r="E20" s="54"/>
      <c r="F20" s="204" t="s">
        <v>148</v>
      </c>
      <c r="G20" s="205"/>
      <c r="H20" s="205"/>
      <c r="I20" s="205"/>
      <c r="J20" s="205"/>
      <c r="K20" s="105">
        <f>SUM(K17:K19)</f>
        <v>4798</v>
      </c>
      <c r="L20" s="106">
        <f>SUM(L17:L19)</f>
        <v>0</v>
      </c>
      <c r="M20" s="106">
        <f>SUM(M17:M19)</f>
        <v>1164.4704858953651</v>
      </c>
      <c r="N20" s="107">
        <f>SUM(N17:N19)</f>
        <v>5962.4704858953655</v>
      </c>
      <c r="Q20" s="204" t="s">
        <v>148</v>
      </c>
      <c r="R20" s="205"/>
      <c r="S20" s="205"/>
      <c r="T20" s="108">
        <f>SUM(T17:T19)</f>
        <v>500</v>
      </c>
      <c r="U20" s="109">
        <f>SUM(U17:U19)</f>
        <v>4298</v>
      </c>
      <c r="V20" s="110"/>
      <c r="W20" s="110"/>
      <c r="X20" s="111">
        <f>SUM(X17:X19)</f>
        <v>500</v>
      </c>
      <c r="Y20" s="112">
        <f>IF(Q20&lt;&gt;"",X20+M20,"")</f>
        <v>1664.4704858953651</v>
      </c>
      <c r="AB20" s="190"/>
      <c r="AC20" s="191"/>
      <c r="AD20" s="192"/>
    </row>
    <row r="21" spans="1:30" ht="35.1" customHeight="1" thickBot="1" x14ac:dyDescent="0.5">
      <c r="A21" s="54">
        <v>7</v>
      </c>
      <c r="B21" s="72">
        <v>2</v>
      </c>
      <c r="C21" s="73" t="s">
        <v>101</v>
      </c>
      <c r="D21" s="54"/>
      <c r="E21" s="74"/>
      <c r="F21" s="209" t="s">
        <v>150</v>
      </c>
      <c r="G21" s="210"/>
      <c r="H21" s="210"/>
      <c r="I21" s="210"/>
      <c r="J21" s="210"/>
      <c r="K21" s="210"/>
      <c r="L21" s="210"/>
      <c r="M21" s="210"/>
      <c r="N21" s="210"/>
      <c r="Q21" s="212" t="str">
        <f>IF(F21&lt;&gt;"",F21,"")</f>
        <v>STAFF</v>
      </c>
      <c r="R21" s="212"/>
      <c r="S21" s="212"/>
      <c r="T21" s="212"/>
      <c r="U21" s="212"/>
      <c r="V21" s="212"/>
      <c r="W21" s="212"/>
      <c r="X21" s="212"/>
      <c r="Y21" s="212"/>
      <c r="AB21" s="190"/>
      <c r="AC21" s="191"/>
      <c r="AD21" s="192"/>
    </row>
    <row r="22" spans="1:30" ht="35.1" customHeight="1" x14ac:dyDescent="0.45">
      <c r="A22" s="54">
        <v>8</v>
      </c>
      <c r="B22" s="72" t="s">
        <v>149</v>
      </c>
      <c r="C22" s="73" t="s">
        <v>102</v>
      </c>
      <c r="D22" s="54"/>
      <c r="E22" s="54"/>
      <c r="F22" s="213" t="s">
        <v>150</v>
      </c>
      <c r="G22" s="214"/>
      <c r="H22" s="214"/>
      <c r="I22" s="214"/>
      <c r="J22" s="214"/>
      <c r="K22" s="215"/>
      <c r="L22" s="75" t="s">
        <v>104</v>
      </c>
      <c r="M22" s="76" t="s">
        <v>105</v>
      </c>
      <c r="N22" s="77" t="s">
        <v>78</v>
      </c>
      <c r="Q22" s="213" t="str">
        <f>IF(F22&lt;&gt;"",F22,"")</f>
        <v>STAFF</v>
      </c>
      <c r="R22" s="214"/>
      <c r="S22" s="214"/>
      <c r="T22" s="214"/>
      <c r="U22" s="214"/>
      <c r="V22" s="214"/>
      <c r="W22" s="214"/>
      <c r="X22" s="214"/>
      <c r="Y22" s="216"/>
      <c r="Z22" s="78" t="s">
        <v>106</v>
      </c>
      <c r="AA22" s="113" t="s">
        <v>79</v>
      </c>
      <c r="AB22" s="190"/>
      <c r="AC22" s="191"/>
      <c r="AD22" s="192"/>
    </row>
    <row r="23" spans="1:30" ht="159.9" customHeight="1" x14ac:dyDescent="0.45">
      <c r="A23" s="54">
        <v>9</v>
      </c>
      <c r="B23" s="72" t="s">
        <v>151</v>
      </c>
      <c r="C23" s="73" t="s">
        <v>107</v>
      </c>
      <c r="D23" s="54" t="s">
        <v>109</v>
      </c>
      <c r="E23" s="54" t="s">
        <v>110</v>
      </c>
      <c r="F23" s="79" t="s">
        <v>152</v>
      </c>
      <c r="G23" s="80" t="s">
        <v>153</v>
      </c>
      <c r="H23" s="81">
        <v>1</v>
      </c>
      <c r="I23" s="81">
        <v>1</v>
      </c>
      <c r="J23" s="82">
        <v>900</v>
      </c>
      <c r="K23" s="82">
        <f>IF(F23&lt;&gt;"",H23*I23*J23,"")</f>
        <v>900</v>
      </c>
      <c r="L23" s="82">
        <f>IF(K23&lt;&gt;"",IF(D23="INTERNO",0,K23*$L$14),"")</f>
        <v>72</v>
      </c>
      <c r="M23" s="82">
        <f>IF(K23&lt;&gt;"",IF(E23="FAT.OGGI",SUM(K23:L23)*(1/(1-$M$14)-1),L23*(1/(1-$M$14)-1)),"")</f>
        <v>17.474338262706603</v>
      </c>
      <c r="N23" s="83">
        <f>SUM(K23:M23)</f>
        <v>989.47433826270662</v>
      </c>
      <c r="Q23" s="84">
        <f>IF(H23&lt;&gt;"",H23,"")</f>
        <v>1</v>
      </c>
      <c r="R23" s="85">
        <f>IF(I23&lt;&gt;"",I23,"")</f>
        <v>1</v>
      </c>
      <c r="S23" s="86">
        <v>650</v>
      </c>
      <c r="T23" s="86">
        <f>IF(Q23&lt;&gt;"",Q23*R23*S23,"")</f>
        <v>650</v>
      </c>
      <c r="U23" s="87">
        <f>IF(Q23&lt;&gt;"",K23-T23,"")</f>
        <v>250</v>
      </c>
      <c r="V23" s="88">
        <f>IF(Q23&lt;&gt;"",0%,"")</f>
        <v>0</v>
      </c>
      <c r="W23" s="89">
        <f>IF(Q23&lt;&gt;"",V23*U23,"")</f>
        <v>0</v>
      </c>
      <c r="X23" s="89">
        <f>IF(Q23&lt;&gt;"",W23+T23,"")</f>
        <v>650</v>
      </c>
      <c r="Y23" s="90">
        <f>IF(Q23&lt;&gt;"",X23+M23,"")</f>
        <v>667.47433826270662</v>
      </c>
      <c r="Z23" s="91">
        <f>IF(Q23&lt;&gt;"",U23/K23,"")</f>
        <v>0.27777777777777779</v>
      </c>
      <c r="AA23" s="92">
        <f>T23/$T$25</f>
        <v>0.59090909090909094</v>
      </c>
      <c r="AB23" s="190">
        <f t="shared" si="1"/>
        <v>0</v>
      </c>
      <c r="AC23" s="191">
        <v>650</v>
      </c>
      <c r="AD23" s="192" t="s">
        <v>241</v>
      </c>
    </row>
    <row r="24" spans="1:30" ht="159.9" customHeight="1" x14ac:dyDescent="0.45">
      <c r="A24" s="54">
        <v>10</v>
      </c>
      <c r="B24" s="72" t="s">
        <v>124</v>
      </c>
      <c r="C24" s="73" t="s">
        <v>107</v>
      </c>
      <c r="D24" s="54" t="s">
        <v>109</v>
      </c>
      <c r="E24" s="54" t="s">
        <v>110</v>
      </c>
      <c r="F24" s="93" t="s">
        <v>154</v>
      </c>
      <c r="G24" s="94" t="s">
        <v>155</v>
      </c>
      <c r="H24" s="95">
        <v>1</v>
      </c>
      <c r="I24" s="95">
        <v>1</v>
      </c>
      <c r="J24" s="96">
        <v>800</v>
      </c>
      <c r="K24" s="96">
        <f>IF(F24&lt;&gt;"",H24*I24*J24,"")</f>
        <v>800</v>
      </c>
      <c r="L24" s="96">
        <f>IF(K24&lt;&gt;"",IF(D24="INTERNO",0,K24*$L$14),"")</f>
        <v>64</v>
      </c>
      <c r="M24" s="96">
        <f>IF(K24&lt;&gt;"",IF(E24="FAT.OGGI",SUM(K24:L24)*(1/(1-$M$14)-1),L24*(1/(1-$M$14)-1)),"")</f>
        <v>15.532745122405871</v>
      </c>
      <c r="N24" s="97">
        <f>SUM(K24:M24)</f>
        <v>879.53274512240591</v>
      </c>
      <c r="Q24" s="98">
        <f>IF(H24&lt;&gt;"",H24,"")</f>
        <v>1</v>
      </c>
      <c r="R24" s="99">
        <f>IF(I24&lt;&gt;"",I24,"")</f>
        <v>1</v>
      </c>
      <c r="S24" s="100">
        <v>450</v>
      </c>
      <c r="T24" s="100">
        <f>IF(Q24&lt;&gt;"",Q24*R24*S24,"")</f>
        <v>450</v>
      </c>
      <c r="U24" s="101">
        <f>IF(Q24&lt;&gt;"",K24-T24,"")</f>
        <v>350</v>
      </c>
      <c r="V24" s="102">
        <f>IF(Q24&lt;&gt;"",0%,"")</f>
        <v>0</v>
      </c>
      <c r="W24" s="103">
        <f>IF(Q24&lt;&gt;"",V24*U24,"")</f>
        <v>0</v>
      </c>
      <c r="X24" s="103">
        <f>IF(Q24&lt;&gt;"",W24+T24,"")</f>
        <v>450</v>
      </c>
      <c r="Y24" s="104">
        <f>IF(Q24&lt;&gt;"",X24+M24,"")</f>
        <v>465.53274512240586</v>
      </c>
      <c r="Z24" s="91">
        <f>IF(Q24&lt;&gt;"",U24/K24,"")</f>
        <v>0.4375</v>
      </c>
      <c r="AA24" s="92">
        <f>T24/$T$25</f>
        <v>0.40909090909090912</v>
      </c>
      <c r="AB24" s="190">
        <f t="shared" si="1"/>
        <v>0</v>
      </c>
      <c r="AC24" s="191">
        <v>450</v>
      </c>
      <c r="AD24" s="192" t="s">
        <v>242</v>
      </c>
    </row>
    <row r="25" spans="1:30" ht="35.1" customHeight="1" thickBot="1" x14ac:dyDescent="0.5">
      <c r="A25" s="54">
        <v>11</v>
      </c>
      <c r="B25" s="72"/>
      <c r="C25" s="73" t="s">
        <v>108</v>
      </c>
      <c r="D25" s="54"/>
      <c r="E25" s="54"/>
      <c r="F25" s="217" t="s">
        <v>156</v>
      </c>
      <c r="G25" s="218"/>
      <c r="H25" s="218"/>
      <c r="I25" s="218"/>
      <c r="J25" s="218"/>
      <c r="K25" s="106">
        <f>SUM(K23:K24)</f>
        <v>1700</v>
      </c>
      <c r="L25" s="106">
        <f>SUM(L23:L24)</f>
        <v>136</v>
      </c>
      <c r="M25" s="106">
        <f>SUM(M23:M24)</f>
        <v>33.007083385112473</v>
      </c>
      <c r="N25" s="114">
        <f>SUM(N23:N24)</f>
        <v>1869.0070833851125</v>
      </c>
      <c r="Q25" s="217" t="s">
        <v>156</v>
      </c>
      <c r="R25" s="218"/>
      <c r="S25" s="218"/>
      <c r="T25" s="115">
        <f>SUM(T23:T24)</f>
        <v>1100</v>
      </c>
      <c r="U25" s="116">
        <f>SUM(U23:U24)</f>
        <v>600</v>
      </c>
      <c r="V25" s="117"/>
      <c r="W25" s="117"/>
      <c r="X25" s="118">
        <f>SUM(X23:X24)</f>
        <v>1100</v>
      </c>
      <c r="Y25" s="119">
        <f>IF(Q25&lt;&gt;"",X25+M25,"")</f>
        <v>1133.0070833851125</v>
      </c>
      <c r="AB25" s="190"/>
      <c r="AC25" s="191"/>
      <c r="AD25" s="192"/>
    </row>
    <row r="26" spans="1:30" ht="35.1" customHeight="1" thickBot="1" x14ac:dyDescent="0.5">
      <c r="A26" s="54">
        <v>12</v>
      </c>
      <c r="B26" s="72">
        <v>3</v>
      </c>
      <c r="C26" s="73" t="s">
        <v>101</v>
      </c>
      <c r="D26" s="54"/>
      <c r="E26" s="54"/>
      <c r="F26" s="219" t="s">
        <v>158</v>
      </c>
      <c r="G26" s="212"/>
      <c r="H26" s="212"/>
      <c r="I26" s="212"/>
      <c r="J26" s="212"/>
      <c r="K26" s="212"/>
      <c r="L26" s="212"/>
      <c r="M26" s="212"/>
      <c r="N26" s="220"/>
      <c r="Q26" s="221" t="str">
        <f>IF(F26&lt;&gt;"",F26,"")</f>
        <v>A&amp;B</v>
      </c>
      <c r="R26" s="222"/>
      <c r="S26" s="222"/>
      <c r="T26" s="222"/>
      <c r="U26" s="222"/>
      <c r="V26" s="222"/>
      <c r="W26" s="222"/>
      <c r="X26" s="222"/>
      <c r="Y26" s="223"/>
      <c r="AB26" s="190"/>
      <c r="AC26" s="191"/>
      <c r="AD26" s="192"/>
    </row>
    <row r="27" spans="1:30" ht="35.1" customHeight="1" x14ac:dyDescent="0.45">
      <c r="A27" s="54">
        <v>13</v>
      </c>
      <c r="B27" s="72" t="s">
        <v>157</v>
      </c>
      <c r="C27" s="73" t="s">
        <v>102</v>
      </c>
      <c r="D27" s="54"/>
      <c r="E27" s="54"/>
      <c r="F27" s="213" t="s">
        <v>158</v>
      </c>
      <c r="G27" s="214"/>
      <c r="H27" s="214"/>
      <c r="I27" s="214"/>
      <c r="J27" s="214"/>
      <c r="K27" s="215"/>
      <c r="L27" s="75" t="s">
        <v>104</v>
      </c>
      <c r="M27" s="76" t="s">
        <v>105</v>
      </c>
      <c r="N27" s="77" t="s">
        <v>78</v>
      </c>
      <c r="Q27" s="224" t="str">
        <f>IF(F27&lt;&gt;"",F27,"")</f>
        <v>A&amp;B</v>
      </c>
      <c r="R27" s="225"/>
      <c r="S27" s="225"/>
      <c r="T27" s="225"/>
      <c r="U27" s="225"/>
      <c r="V27" s="225"/>
      <c r="W27" s="225"/>
      <c r="X27" s="225"/>
      <c r="Y27" s="226"/>
      <c r="Z27" s="78" t="s">
        <v>106</v>
      </c>
      <c r="AA27" s="113" t="s">
        <v>79</v>
      </c>
      <c r="AB27" s="190"/>
      <c r="AC27" s="191"/>
      <c r="AD27" s="192"/>
    </row>
    <row r="28" spans="1:30" ht="159.9" customHeight="1" x14ac:dyDescent="0.45">
      <c r="A28" s="54">
        <v>14</v>
      </c>
      <c r="B28" s="72" t="s">
        <v>159</v>
      </c>
      <c r="C28" s="73" t="s">
        <v>107</v>
      </c>
      <c r="D28" s="54" t="s">
        <v>109</v>
      </c>
      <c r="E28" s="54" t="s">
        <v>110</v>
      </c>
      <c r="F28" s="120" t="s">
        <v>161</v>
      </c>
      <c r="G28" s="80" t="s">
        <v>162</v>
      </c>
      <c r="H28" s="81">
        <v>1</v>
      </c>
      <c r="I28" s="81">
        <v>1</v>
      </c>
      <c r="J28" s="82">
        <v>703.06</v>
      </c>
      <c r="K28" s="82">
        <f>IF(F28&lt;&gt;"",H28*I28*J28,"")</f>
        <v>703.06</v>
      </c>
      <c r="L28" s="82">
        <f>IF(K28&lt;&gt;"",IF(D28="INTERNO",0,K28*$L$14),"")</f>
        <v>56.244799999999998</v>
      </c>
      <c r="M28" s="82">
        <f>IF(K28&lt;&gt;"",IF(E28="FAT.OGGI",SUM(K28:L28)*(1/(1-$M$14)-1),L28*(1/(1-$M$14)-1)),"")</f>
        <v>13.650564732198339</v>
      </c>
      <c r="N28" s="83">
        <f>SUM(K28:M28)</f>
        <v>772.95536473219818</v>
      </c>
      <c r="Q28" s="121">
        <f>IF(H28&lt;&gt;"",H28,"")</f>
        <v>1</v>
      </c>
      <c r="R28" s="122">
        <f>IF(I28&lt;&gt;"",I28,"")</f>
        <v>1</v>
      </c>
      <c r="S28" s="123">
        <v>850</v>
      </c>
      <c r="T28" s="123">
        <v>703.06</v>
      </c>
      <c r="U28" s="124">
        <f>IF(Q28&lt;&gt;"",K28-T28,"")</f>
        <v>0</v>
      </c>
      <c r="V28" s="125">
        <f>IF(Q28&lt;&gt;"",0%,"")</f>
        <v>0</v>
      </c>
      <c r="W28" s="126">
        <f>IF(Q28&lt;&gt;"",V28*U28,"")</f>
        <v>0</v>
      </c>
      <c r="X28" s="126">
        <f>IF(Q28&lt;&gt;"",W28+T28,"")</f>
        <v>703.06</v>
      </c>
      <c r="Y28" s="104">
        <f>IF(Q28&lt;&gt;"",X28+M28,"")</f>
        <v>716.71056473219824</v>
      </c>
      <c r="Z28" s="91">
        <f>IF(Q28&lt;&gt;"",U28/K28,"")</f>
        <v>0</v>
      </c>
      <c r="AA28" s="92">
        <f>T28/$T$30</f>
        <v>0.27656661815034811</v>
      </c>
      <c r="AB28" s="190">
        <f t="shared" si="1"/>
        <v>0</v>
      </c>
      <c r="AC28" s="191">
        <v>703.06</v>
      </c>
      <c r="AD28" s="192" t="s">
        <v>243</v>
      </c>
    </row>
    <row r="29" spans="1:30" ht="159.9" customHeight="1" x14ac:dyDescent="0.45">
      <c r="A29" s="54">
        <v>15</v>
      </c>
      <c r="B29" s="72" t="s">
        <v>160</v>
      </c>
      <c r="C29" s="73" t="s">
        <v>107</v>
      </c>
      <c r="D29" s="54" t="s">
        <v>109</v>
      </c>
      <c r="E29" s="54" t="s">
        <v>110</v>
      </c>
      <c r="F29" s="93" t="s">
        <v>163</v>
      </c>
      <c r="G29" s="94" t="s">
        <v>164</v>
      </c>
      <c r="H29" s="95">
        <v>12</v>
      </c>
      <c r="I29" s="95">
        <v>1</v>
      </c>
      <c r="J29" s="96">
        <v>140</v>
      </c>
      <c r="K29" s="96">
        <f>IF(F29&lt;&gt;"",H29*I29*J29,"")</f>
        <v>1680</v>
      </c>
      <c r="L29" s="96">
        <f>IF(K29&lt;&gt;"",IF(D29="INTERNO",0,K29*$L$14),"")</f>
        <v>134.4</v>
      </c>
      <c r="M29" s="96">
        <f>IF(K29&lt;&gt;"",IF(E29="FAT.OGGI",SUM(K29:L29)*(1/(1-$M$14)-1),L29*(1/(1-$M$14)-1)),"")</f>
        <v>32.618764757052332</v>
      </c>
      <c r="N29" s="97">
        <f>SUM(K29:M29)</f>
        <v>1847.0187647570524</v>
      </c>
      <c r="Q29" s="121">
        <v>1</v>
      </c>
      <c r="R29" s="122">
        <v>1</v>
      </c>
      <c r="S29" s="123">
        <v>1839.04</v>
      </c>
      <c r="T29" s="123">
        <f>IF(Q29&lt;&gt;"",Q29*R29*S29,"")</f>
        <v>1839.04</v>
      </c>
      <c r="U29" s="124">
        <f>IF(Q29&lt;&gt;"",K29-T29,"")</f>
        <v>-159.03999999999996</v>
      </c>
      <c r="V29" s="125">
        <f>IF(Q29&lt;&gt;"",0%,"")</f>
        <v>0</v>
      </c>
      <c r="W29" s="126">
        <f>IF(Q29&lt;&gt;"",V29*U29,"")</f>
        <v>0</v>
      </c>
      <c r="X29" s="126">
        <f>IF(Q29&lt;&gt;"",W29+T29,"")</f>
        <v>1839.04</v>
      </c>
      <c r="Y29" s="104">
        <f>IF(Q29&lt;&gt;"",X29+M29,"")</f>
        <v>1871.6587647570523</v>
      </c>
      <c r="Z29" s="91">
        <f>IF(Q29&lt;&gt;"",U29/K29,"")</f>
        <v>-9.4666666666666649E-2</v>
      </c>
      <c r="AA29" s="92">
        <f>T29/$T$30</f>
        <v>0.72343338184965189</v>
      </c>
      <c r="AB29" s="190">
        <f t="shared" si="1"/>
        <v>0</v>
      </c>
      <c r="AC29" s="191">
        <v>1839.04</v>
      </c>
      <c r="AD29" s="192" t="s">
        <v>241</v>
      </c>
    </row>
    <row r="30" spans="1:30" ht="35.1" customHeight="1" thickBot="1" x14ac:dyDescent="0.5">
      <c r="A30" s="54">
        <v>16</v>
      </c>
      <c r="B30" s="72"/>
      <c r="C30" s="73" t="s">
        <v>108</v>
      </c>
      <c r="D30" s="54"/>
      <c r="E30" s="54"/>
      <c r="F30" s="204" t="s">
        <v>165</v>
      </c>
      <c r="G30" s="205"/>
      <c r="H30" s="205"/>
      <c r="I30" s="205"/>
      <c r="J30" s="205"/>
      <c r="K30" s="105">
        <f>SUM(K28:K29)</f>
        <v>2383.06</v>
      </c>
      <c r="L30" s="106">
        <f>SUM(L28:L29)</f>
        <v>190.6448</v>
      </c>
      <c r="M30" s="106">
        <f>SUM(M28:M29)</f>
        <v>46.269329489250673</v>
      </c>
      <c r="N30" s="107">
        <f>SUM(N28:N29)</f>
        <v>2619.9741294892506</v>
      </c>
      <c r="Q30" s="204" t="s">
        <v>165</v>
      </c>
      <c r="R30" s="205"/>
      <c r="S30" s="205"/>
      <c r="T30" s="108">
        <f>SUM(T28:T29)</f>
        <v>2542.1</v>
      </c>
      <c r="U30" s="109">
        <f>SUM(U28:U29)</f>
        <v>-159.03999999999996</v>
      </c>
      <c r="V30" s="110"/>
      <c r="W30" s="110"/>
      <c r="X30" s="111">
        <f>SUM(X28:X29)</f>
        <v>2542.1</v>
      </c>
      <c r="Y30" s="112">
        <f>IF(Q30&lt;&gt;"",X30+M30,"")</f>
        <v>2588.3693294892505</v>
      </c>
      <c r="AB30" s="190"/>
      <c r="AC30" s="191"/>
      <c r="AD30" s="192"/>
    </row>
    <row r="31" spans="1:30" ht="35.1" customHeight="1" thickBot="1" x14ac:dyDescent="0.5">
      <c r="A31" s="54">
        <v>17</v>
      </c>
      <c r="B31" s="72">
        <v>4</v>
      </c>
      <c r="C31" s="73" t="s">
        <v>101</v>
      </c>
      <c r="D31" s="54"/>
      <c r="E31" s="74"/>
      <c r="F31" s="209" t="s">
        <v>167</v>
      </c>
      <c r="G31" s="210"/>
      <c r="H31" s="210"/>
      <c r="I31" s="210"/>
      <c r="J31" s="210"/>
      <c r="K31" s="210"/>
      <c r="L31" s="210"/>
      <c r="M31" s="210"/>
      <c r="N31" s="210"/>
      <c r="Q31" s="212" t="str">
        <f>IF(F31&lt;&gt;"",F31,"")</f>
        <v>LOGÍSTICA</v>
      </c>
      <c r="R31" s="212"/>
      <c r="S31" s="212"/>
      <c r="T31" s="212"/>
      <c r="U31" s="212"/>
      <c r="V31" s="212"/>
      <c r="W31" s="212"/>
      <c r="X31" s="212"/>
      <c r="Y31" s="212"/>
      <c r="AB31" s="190"/>
      <c r="AC31" s="191"/>
      <c r="AD31" s="192"/>
    </row>
    <row r="32" spans="1:30" ht="35.1" customHeight="1" x14ac:dyDescent="0.45">
      <c r="A32" s="54">
        <v>18</v>
      </c>
      <c r="B32" s="72" t="s">
        <v>166</v>
      </c>
      <c r="C32" s="73" t="s">
        <v>102</v>
      </c>
      <c r="D32" s="54"/>
      <c r="E32" s="54"/>
      <c r="F32" s="213" t="s">
        <v>167</v>
      </c>
      <c r="G32" s="214"/>
      <c r="H32" s="214"/>
      <c r="I32" s="214"/>
      <c r="J32" s="214"/>
      <c r="K32" s="215"/>
      <c r="L32" s="75" t="s">
        <v>104</v>
      </c>
      <c r="M32" s="76" t="s">
        <v>105</v>
      </c>
      <c r="N32" s="77" t="s">
        <v>78</v>
      </c>
      <c r="Q32" s="213" t="str">
        <f>IF(F32&lt;&gt;"",F32,"")</f>
        <v>LOGÍSTICA</v>
      </c>
      <c r="R32" s="214"/>
      <c r="S32" s="214"/>
      <c r="T32" s="214"/>
      <c r="U32" s="214"/>
      <c r="V32" s="214"/>
      <c r="W32" s="214"/>
      <c r="X32" s="214"/>
      <c r="Y32" s="216"/>
      <c r="Z32" s="78" t="s">
        <v>106</v>
      </c>
      <c r="AA32" s="113" t="s">
        <v>79</v>
      </c>
      <c r="AB32" s="190"/>
      <c r="AC32" s="191"/>
      <c r="AD32" s="192"/>
    </row>
    <row r="33" spans="1:30" ht="159.9" customHeight="1" x14ac:dyDescent="0.45">
      <c r="A33" s="54">
        <v>19</v>
      </c>
      <c r="B33" s="72" t="s">
        <v>168</v>
      </c>
      <c r="C33" s="73" t="s">
        <v>107</v>
      </c>
      <c r="D33" s="54" t="s">
        <v>109</v>
      </c>
      <c r="E33" s="54" t="s">
        <v>110</v>
      </c>
      <c r="F33" s="93" t="s">
        <v>169</v>
      </c>
      <c r="G33" s="94" t="s">
        <v>170</v>
      </c>
      <c r="H33" s="95">
        <v>1</v>
      </c>
      <c r="I33" s="95">
        <v>1</v>
      </c>
      <c r="J33" s="96">
        <v>2200</v>
      </c>
      <c r="K33" s="96">
        <f>IF(F33&lt;&gt;"",H33*I33*J33,"")</f>
        <v>2200</v>
      </c>
      <c r="L33" s="96">
        <f>IF(K33&lt;&gt;"",IF(D33="INTERNO",0,K33*$L$14),"")</f>
        <v>176</v>
      </c>
      <c r="M33" s="96">
        <f>IF(K33&lt;&gt;"",IF(E33="FAT.OGGI",SUM(K33:L33)*(1/(1-$M$14)-1),L33*(1/(1-$M$14)-1)),"")</f>
        <v>42.715049086616148</v>
      </c>
      <c r="N33" s="97">
        <f>SUM(K33:M33)</f>
        <v>2418.7150490866161</v>
      </c>
      <c r="Q33" s="98">
        <f>IF(H33&lt;&gt;"",H33,"")</f>
        <v>1</v>
      </c>
      <c r="R33" s="99">
        <f>IF(I33&lt;&gt;"",I33,"")</f>
        <v>1</v>
      </c>
      <c r="S33" s="100">
        <v>1250</v>
      </c>
      <c r="T33" s="100">
        <f>IF(Q33&lt;&gt;"",Q33*R33*S33,"")</f>
        <v>1250</v>
      </c>
      <c r="U33" s="101">
        <f>IF(Q33&lt;&gt;"",K33-T33,"")</f>
        <v>950</v>
      </c>
      <c r="V33" s="102">
        <f>IF(Q33&lt;&gt;"",0%,"")</f>
        <v>0</v>
      </c>
      <c r="W33" s="103">
        <f>IF(Q33&lt;&gt;"",V33*U33,"")</f>
        <v>0</v>
      </c>
      <c r="X33" s="103">
        <f>IF(Q33&lt;&gt;"",W33+T33,"")</f>
        <v>1250</v>
      </c>
      <c r="Y33" s="104">
        <f>IF(Q33&lt;&gt;"",X33+M33,"")</f>
        <v>1292.7150490866161</v>
      </c>
      <c r="Z33" s="91">
        <f>IF(Q33&lt;&gt;"",U33/K33,"")</f>
        <v>0.43181818181818182</v>
      </c>
      <c r="AA33" s="92">
        <f>T33/$T$34</f>
        <v>1</v>
      </c>
      <c r="AB33" s="190">
        <f t="shared" si="1"/>
        <v>0</v>
      </c>
      <c r="AC33" s="191">
        <v>1250</v>
      </c>
      <c r="AD33" s="192" t="s">
        <v>244</v>
      </c>
    </row>
    <row r="34" spans="1:30" ht="35.1" customHeight="1" thickBot="1" x14ac:dyDescent="0.5">
      <c r="A34" s="54">
        <v>20</v>
      </c>
      <c r="B34" s="72"/>
      <c r="C34" s="73" t="s">
        <v>108</v>
      </c>
      <c r="D34" s="54"/>
      <c r="E34" s="54"/>
      <c r="F34" s="204" t="s">
        <v>171</v>
      </c>
      <c r="G34" s="205"/>
      <c r="H34" s="205"/>
      <c r="I34" s="205"/>
      <c r="J34" s="205"/>
      <c r="K34" s="105">
        <f>SUM(K33:K33)</f>
        <v>2200</v>
      </c>
      <c r="L34" s="106">
        <f>SUM(L33:L33)</f>
        <v>176</v>
      </c>
      <c r="M34" s="106">
        <f>SUM(M33:M33)</f>
        <v>42.715049086616148</v>
      </c>
      <c r="N34" s="107">
        <f>SUM(N33:N33)</f>
        <v>2418.7150490866161</v>
      </c>
      <c r="Q34" s="204" t="s">
        <v>171</v>
      </c>
      <c r="R34" s="205"/>
      <c r="S34" s="205"/>
      <c r="T34" s="108">
        <f>SUM(T33:T33)</f>
        <v>1250</v>
      </c>
      <c r="U34" s="109">
        <f>SUM(U33:U33)</f>
        <v>950</v>
      </c>
      <c r="V34" s="110"/>
      <c r="W34" s="110"/>
      <c r="X34" s="111">
        <f>SUM(X33:X33)</f>
        <v>1250</v>
      </c>
      <c r="Y34" s="112">
        <f>IF(Q34&lt;&gt;"",X34+M34,"")</f>
        <v>1292.7150490866161</v>
      </c>
      <c r="AB34" s="190"/>
      <c r="AC34" s="191"/>
      <c r="AD34" s="192"/>
    </row>
    <row r="35" spans="1:30" ht="35.1" customHeight="1" thickBot="1" x14ac:dyDescent="0.5">
      <c r="A35" s="54">
        <v>21</v>
      </c>
      <c r="B35" s="72">
        <v>5</v>
      </c>
      <c r="C35" s="73" t="s">
        <v>101</v>
      </c>
      <c r="D35" s="54"/>
      <c r="E35" s="74"/>
      <c r="F35" s="209" t="s">
        <v>173</v>
      </c>
      <c r="G35" s="210"/>
      <c r="H35" s="210"/>
      <c r="I35" s="210"/>
      <c r="J35" s="210"/>
      <c r="K35" s="210"/>
      <c r="L35" s="210"/>
      <c r="M35" s="210"/>
      <c r="N35" s="210"/>
      <c r="Q35" s="212" t="str">
        <f>IF(F35&lt;&gt;"",F35,"")</f>
        <v>CUSTOS COMPLEMENTARES</v>
      </c>
      <c r="R35" s="212"/>
      <c r="S35" s="212"/>
      <c r="T35" s="212"/>
      <c r="U35" s="212"/>
      <c r="V35" s="212"/>
      <c r="W35" s="212"/>
      <c r="X35" s="212"/>
      <c r="Y35" s="212"/>
      <c r="AB35" s="190"/>
      <c r="AC35" s="191"/>
      <c r="AD35" s="192"/>
    </row>
    <row r="36" spans="1:30" ht="35.1" customHeight="1" x14ac:dyDescent="0.45">
      <c r="A36" s="54">
        <v>22</v>
      </c>
      <c r="B36" s="72" t="s">
        <v>172</v>
      </c>
      <c r="C36" s="73" t="s">
        <v>102</v>
      </c>
      <c r="D36" s="54"/>
      <c r="E36" s="54"/>
      <c r="F36" s="213" t="s">
        <v>173</v>
      </c>
      <c r="G36" s="214"/>
      <c r="H36" s="214"/>
      <c r="I36" s="214"/>
      <c r="J36" s="214"/>
      <c r="K36" s="215"/>
      <c r="L36" s="75" t="s">
        <v>104</v>
      </c>
      <c r="M36" s="76" t="s">
        <v>105</v>
      </c>
      <c r="N36" s="77" t="s">
        <v>78</v>
      </c>
      <c r="Q36" s="213" t="str">
        <f>IF(F36&lt;&gt;"",F36,"")</f>
        <v>CUSTOS COMPLEMENTARES</v>
      </c>
      <c r="R36" s="214"/>
      <c r="S36" s="214"/>
      <c r="T36" s="214"/>
      <c r="U36" s="214"/>
      <c r="V36" s="214"/>
      <c r="W36" s="214"/>
      <c r="X36" s="214"/>
      <c r="Y36" s="216"/>
      <c r="Z36" s="78" t="s">
        <v>106</v>
      </c>
      <c r="AA36" s="113" t="s">
        <v>79</v>
      </c>
      <c r="AB36" s="190"/>
      <c r="AC36" s="191"/>
      <c r="AD36" s="192"/>
    </row>
    <row r="37" spans="1:30" ht="159.9" customHeight="1" x14ac:dyDescent="0.45">
      <c r="A37" s="54">
        <v>23</v>
      </c>
      <c r="B37" s="72" t="s">
        <v>174</v>
      </c>
      <c r="C37" s="73" t="s">
        <v>107</v>
      </c>
      <c r="D37" s="54" t="s">
        <v>109</v>
      </c>
      <c r="E37" s="54" t="s">
        <v>110</v>
      </c>
      <c r="F37" s="79" t="s">
        <v>176</v>
      </c>
      <c r="G37" s="80" t="s">
        <v>177</v>
      </c>
      <c r="H37" s="81">
        <v>3</v>
      </c>
      <c r="I37" s="81">
        <v>1</v>
      </c>
      <c r="J37" s="82">
        <v>140</v>
      </c>
      <c r="K37" s="82">
        <f>IF(F37&lt;&gt;"",H37*I37*J37,"")</f>
        <v>420</v>
      </c>
      <c r="L37" s="82">
        <f>IF(K37&lt;&gt;"",IF(D37="INTERNO",0,K37*$L$14),"")</f>
        <v>33.6</v>
      </c>
      <c r="M37" s="82">
        <f>IF(K37&lt;&gt;"",IF(E38="FAT.OGGI",SUM(K37:L37)*(1/(1-$M$14)-1),L37*(1/(1-$M$14)-1)),"")</f>
        <v>8.1546911892630831</v>
      </c>
      <c r="N37" s="83">
        <f>SUM(K37:M37)</f>
        <v>461.7546911892631</v>
      </c>
      <c r="Q37" s="84">
        <f>IF(H37&lt;&gt;"",H37,"")</f>
        <v>3</v>
      </c>
      <c r="R37" s="85">
        <f>IF(I37&lt;&gt;"",I37,"")</f>
        <v>1</v>
      </c>
      <c r="S37" s="86">
        <v>0</v>
      </c>
      <c r="T37" s="86">
        <f>IF(Q37&lt;&gt;"",Q37*R37*S37,"")</f>
        <v>0</v>
      </c>
      <c r="U37" s="87">
        <f>IF(Q37&lt;&gt;"",K37-T37,"")</f>
        <v>420</v>
      </c>
      <c r="V37" s="88">
        <f>IF(Q37&lt;&gt;"",0%,"")</f>
        <v>0</v>
      </c>
      <c r="W37" s="89">
        <f>IF(Q37&lt;&gt;"",V37*U37,"")</f>
        <v>0</v>
      </c>
      <c r="X37" s="89">
        <f>IF(Q37&lt;&gt;"",W37+T37,"")</f>
        <v>0</v>
      </c>
      <c r="Y37" s="90">
        <f>IF(Q37&lt;&gt;"",X37+M37,"")</f>
        <v>8.1546911892630831</v>
      </c>
      <c r="Z37" s="91">
        <f>IF(Q37&lt;&gt;"",U37/K37,"")</f>
        <v>1</v>
      </c>
      <c r="AA37" s="92">
        <f>T37/$T$39</f>
        <v>0</v>
      </c>
      <c r="AB37" s="190">
        <f t="shared" si="1"/>
        <v>0</v>
      </c>
      <c r="AC37" s="191">
        <v>0</v>
      </c>
      <c r="AD37" s="192"/>
    </row>
    <row r="38" spans="1:30" ht="159.9" customHeight="1" thickBot="1" x14ac:dyDescent="0.5">
      <c r="A38" s="54">
        <v>24</v>
      </c>
      <c r="B38" s="72" t="s">
        <v>175</v>
      </c>
      <c r="C38" s="73" t="s">
        <v>107</v>
      </c>
      <c r="D38" s="54" t="s">
        <v>109</v>
      </c>
      <c r="E38" s="54" t="s">
        <v>110</v>
      </c>
      <c r="F38" s="93" t="s">
        <v>178</v>
      </c>
      <c r="G38" s="94" t="s">
        <v>179</v>
      </c>
      <c r="H38" s="95">
        <v>1</v>
      </c>
      <c r="I38" s="95">
        <v>1</v>
      </c>
      <c r="J38" s="96">
        <v>1300</v>
      </c>
      <c r="K38" s="96">
        <f>IF(F38&lt;&gt;"",H38*I38*J38,"")</f>
        <v>1300</v>
      </c>
      <c r="L38" s="96">
        <f>IF(K38&lt;&gt;"",IF(D38="INTERNO",0,K38*$L$14),"")</f>
        <v>104</v>
      </c>
      <c r="M38" s="82">
        <f>IF(K38&lt;&gt;"",IF(E39="FAT.OGGI",SUM(K38:L38)*(1/(1-$M$14)-1),L38*(1/(1-$M$14)-1)),"")</f>
        <v>25.240710823909538</v>
      </c>
      <c r="N38" s="97">
        <f>SUM(K38:M38)</f>
        <v>1429.2407108239095</v>
      </c>
      <c r="Q38" s="98">
        <f>IF(H38&lt;&gt;"",H38,"")</f>
        <v>1</v>
      </c>
      <c r="R38" s="99">
        <f>IF(I38&lt;&gt;"",I38,"")</f>
        <v>1</v>
      </c>
      <c r="S38" s="100">
        <v>451.4</v>
      </c>
      <c r="T38" s="100">
        <v>531.4</v>
      </c>
      <c r="U38" s="101">
        <f>IF(Q38&lt;&gt;"",K38-T38,"")</f>
        <v>768.6</v>
      </c>
      <c r="V38" s="102">
        <f>IF(Q38&lt;&gt;"",0%,"")</f>
        <v>0</v>
      </c>
      <c r="W38" s="103">
        <f>IF(Q38&lt;&gt;"",V38*U38,"")</f>
        <v>0</v>
      </c>
      <c r="X38" s="103">
        <f>IF(Q38&lt;&gt;"",W38+T38,"")</f>
        <v>531.4</v>
      </c>
      <c r="Y38" s="104">
        <f>IF(Q38&lt;&gt;"",X38+M38,"")</f>
        <v>556.64071082390956</v>
      </c>
      <c r="Z38" s="127">
        <f>IF(Q38&lt;&gt;"",U38/K38,"")</f>
        <v>0.59123076923076923</v>
      </c>
      <c r="AA38" s="128">
        <f>T38/$T$39</f>
        <v>1</v>
      </c>
      <c r="AB38" s="190">
        <f t="shared" si="1"/>
        <v>0</v>
      </c>
      <c r="AC38" s="191">
        <f>80+193.4+258</f>
        <v>531.4</v>
      </c>
      <c r="AD38" s="192" t="s">
        <v>245</v>
      </c>
    </row>
    <row r="39" spans="1:30" ht="35.1" customHeight="1" thickBot="1" x14ac:dyDescent="0.5">
      <c r="A39" s="54">
        <v>25</v>
      </c>
      <c r="B39" s="129"/>
      <c r="C39" s="54" t="s">
        <v>108</v>
      </c>
      <c r="D39" s="54"/>
      <c r="E39" s="54"/>
      <c r="F39" s="217" t="s">
        <v>180</v>
      </c>
      <c r="G39" s="218"/>
      <c r="H39" s="218"/>
      <c r="I39" s="218"/>
      <c r="J39" s="218"/>
      <c r="K39" s="106">
        <f>SUM(K37:K38)</f>
        <v>1720</v>
      </c>
      <c r="L39" s="106">
        <f>SUM(L37:L38)</f>
        <v>137.6</v>
      </c>
      <c r="M39" s="106">
        <f>SUM(M37:M38)</f>
        <v>33.395402013172621</v>
      </c>
      <c r="N39" s="114">
        <f>SUM(N37:N38)</f>
        <v>1890.9954020131727</v>
      </c>
      <c r="Q39" s="217" t="s">
        <v>180</v>
      </c>
      <c r="R39" s="218"/>
      <c r="S39" s="218"/>
      <c r="T39" s="115">
        <f>SUM(T37:T38)</f>
        <v>531.4</v>
      </c>
      <c r="U39" s="116">
        <f>SUM(U37:U38)</f>
        <v>1188.5999999999999</v>
      </c>
      <c r="V39" s="117"/>
      <c r="W39" s="117"/>
      <c r="X39" s="118">
        <f>SUM(X37:X38)</f>
        <v>531.4</v>
      </c>
      <c r="Y39" s="130">
        <f>IF(Q39&lt;&gt;"",X39+M39,"")</f>
        <v>564.79540201317263</v>
      </c>
      <c r="Z39" s="131" t="s">
        <v>182</v>
      </c>
      <c r="AA39" s="132" t="s">
        <v>183</v>
      </c>
      <c r="AB39" s="190"/>
      <c r="AC39" s="191"/>
      <c r="AD39" s="192"/>
    </row>
    <row r="40" spans="1:30" ht="35.1" customHeight="1" thickBot="1" x14ac:dyDescent="0.5">
      <c r="A40" s="133">
        <v>26</v>
      </c>
      <c r="C40" s="129" t="s">
        <v>111</v>
      </c>
      <c r="D40" s="129"/>
      <c r="E40" s="129"/>
      <c r="F40" s="134" t="s">
        <v>181</v>
      </c>
      <c r="G40" s="135"/>
      <c r="H40" s="136"/>
      <c r="I40" s="136"/>
      <c r="J40" s="135"/>
      <c r="K40" s="137">
        <f>SUM(K17:K19)+SUM(K23:K24)+SUM(K28:K29)+SUM(K33:K33)+SUM(K37:K38)</f>
        <v>12801.06</v>
      </c>
      <c r="L40" s="137">
        <f>SUM(L17:L19)+SUM(L23:L24)+SUM(L28:L29)+SUM(L33:L33)+SUM(L37:L38)</f>
        <v>640.24480000000005</v>
      </c>
      <c r="M40" s="137">
        <f>SUM(M17:M19)+SUM(M23:M24)+SUM(M28:M29)+SUM(M33:M33)+SUM(M37:M38)</f>
        <v>1319.8573498695168</v>
      </c>
      <c r="N40" s="138">
        <f>SUM(N17:N19)+SUM(N23:N24)+SUM(N28:N29)+SUM(N33:N33)+SUM(N37:N38)</f>
        <v>14761.162149869517</v>
      </c>
      <c r="Q40" s="139" t="s">
        <v>43</v>
      </c>
      <c r="R40" s="136"/>
      <c r="S40" s="135"/>
      <c r="T40" s="137">
        <f>SUM(T17:T19)+SUM(T23:T24)+SUM(T28:T29)+SUM(T33:T33)+SUM(T37:T38)</f>
        <v>5923.5</v>
      </c>
      <c r="U40" s="137">
        <f>SUM(U17:U19)+SUM(U23:U24)+SUM(U28:U29)+SUM(U33:U33)+SUM(U37:U38)</f>
        <v>6877.5599999999995</v>
      </c>
      <c r="V40" s="135"/>
      <c r="W40" s="135"/>
      <c r="X40" s="137">
        <f>SUM(X17:X19)+SUM(X23:X24)+SUM(X28:X29)+SUM(X33:X33)+SUM(X37:X38)</f>
        <v>5923.5</v>
      </c>
      <c r="Y40" s="138">
        <f>SUM(Y17:Y19)+SUM(Y23:Y24)+SUM(Y28:Y29)+SUM(Y33:Y33)+SUM(Y37:Y38)</f>
        <v>7243.3573498695177</v>
      </c>
      <c r="Z40" s="140">
        <f>IF(Q40&lt;&gt;"",(N40-Y40)/N40,"")</f>
        <v>0.50929626838808584</v>
      </c>
      <c r="AA40" s="141">
        <f>IF(Z40&lt;&gt;"",(N40-Y40),"")</f>
        <v>7517.804799999999</v>
      </c>
      <c r="AB40" s="190">
        <f>SUM(AB17:AB38)</f>
        <v>0</v>
      </c>
      <c r="AC40" s="191">
        <f>SUM(AC17:AC38)</f>
        <v>5923.5</v>
      </c>
      <c r="AD40" s="192"/>
    </row>
    <row r="43" spans="1:30" x14ac:dyDescent="0.45">
      <c r="AB43" s="179"/>
      <c r="AC43" s="180" t="s">
        <v>238</v>
      </c>
    </row>
    <row r="44" spans="1:30" x14ac:dyDescent="0.45">
      <c r="AB44" s="181">
        <f>X40</f>
        <v>5923.5</v>
      </c>
      <c r="AC44" s="180" t="s">
        <v>239</v>
      </c>
    </row>
    <row r="45" spans="1:30" x14ac:dyDescent="0.45">
      <c r="AB45" s="181">
        <f>N40-X40</f>
        <v>8837.6621498695167</v>
      </c>
      <c r="AC45" s="180" t="s">
        <v>235</v>
      </c>
    </row>
    <row r="46" spans="1:30" x14ac:dyDescent="0.45">
      <c r="AB46" s="182">
        <f>AB45*100%/N40</f>
        <v>0.59871045789898314</v>
      </c>
      <c r="AC46" s="183"/>
    </row>
  </sheetData>
  <autoFilter ref="A1:AD14" xr:uid="{107B9E09-8154-459A-AE62-6A4242823A27}">
    <filterColumn colId="5" showButton="0"/>
  </autoFilter>
  <mergeCells count="36">
    <mergeCell ref="F39:J39"/>
    <mergeCell ref="Q39:S39"/>
    <mergeCell ref="F34:J34"/>
    <mergeCell ref="Q34:S34"/>
    <mergeCell ref="F35:N35"/>
    <mergeCell ref="Q35:Y35"/>
    <mergeCell ref="F36:K36"/>
    <mergeCell ref="Q36:Y36"/>
    <mergeCell ref="F30:J30"/>
    <mergeCell ref="Q30:S30"/>
    <mergeCell ref="F31:N31"/>
    <mergeCell ref="Q31:Y31"/>
    <mergeCell ref="F32:K32"/>
    <mergeCell ref="Q32:Y32"/>
    <mergeCell ref="F25:J25"/>
    <mergeCell ref="Q25:S25"/>
    <mergeCell ref="F26:N26"/>
    <mergeCell ref="Q26:Y26"/>
    <mergeCell ref="F27:K27"/>
    <mergeCell ref="Q27:Y27"/>
    <mergeCell ref="F21:N21"/>
    <mergeCell ref="Q21:Y21"/>
    <mergeCell ref="F22:K22"/>
    <mergeCell ref="Q22:Y22"/>
    <mergeCell ref="F16:K16"/>
    <mergeCell ref="Q16:Y16"/>
    <mergeCell ref="AB16:AC16"/>
    <mergeCell ref="F1:G1"/>
    <mergeCell ref="F2:G2"/>
    <mergeCell ref="Q12:T12"/>
    <mergeCell ref="F20:J20"/>
    <mergeCell ref="Q20:S20"/>
    <mergeCell ref="U12:X12"/>
    <mergeCell ref="F15:N15"/>
    <mergeCell ref="Q15:Y15"/>
    <mergeCell ref="AB15:AC15"/>
  </mergeCells>
  <dataValidations count="3">
    <dataValidation type="list" allowBlank="1" showInputMessage="1" showErrorMessage="1" sqref="D17:D19 D23:D24 D28:D29 D33 D37:D38 D40" xr:uid="{3945270D-0615-4A00-9546-F09BDD9BCFF5}">
      <formula1>"INTERNO,OPERACIONAL"</formula1>
    </dataValidation>
    <dataValidation type="list" allowBlank="1" showInputMessage="1" showErrorMessage="1" sqref="E17:E19 E23:E24 E28:E29 E33 E37:E38" xr:uid="{E7B2B5DE-16C4-4C55-9400-39E2F795D6EE}">
      <formula1>"FAT.OGGI,FAT.CLIENTE"</formula1>
    </dataValidation>
    <dataValidation type="list" allowBlank="1" showInputMessage="1" showErrorMessage="1" sqref="E40" xr:uid="{2C424478-5EFA-4550-8C67-E8F530535121}">
      <formula1>"FAT.OGGI,FAT.CLIENTE "</formula1>
    </dataValidation>
  </dataValidations>
  <pageMargins left="0" right="0" top="0.39370078740157483" bottom="0.19685039370078741" header="0" footer="0"/>
  <pageSetup paperSize="9" fitToHeight="0" orientation="landscape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25"/>
  <sheetViews>
    <sheetView zoomScale="70" zoomScaleNormal="70" workbookViewId="0">
      <selection activeCell="A8" sqref="A8"/>
    </sheetView>
  </sheetViews>
  <sheetFormatPr defaultColWidth="46.332031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6640625" bestFit="1" customWidth="1"/>
    <col min="7" max="7" width="20.88671875" bestFit="1" customWidth="1"/>
    <col min="8" max="8" width="11.6640625" bestFit="1" customWidth="1"/>
    <col min="9" max="9" width="13.3320312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  <row r="9" spans="1:12" x14ac:dyDescent="0.3">
      <c r="A9">
        <v>12</v>
      </c>
      <c r="B9" t="s">
        <v>112</v>
      </c>
      <c r="C9" t="s">
        <v>112</v>
      </c>
      <c r="D9" t="s">
        <v>125</v>
      </c>
      <c r="E9" t="s">
        <v>127</v>
      </c>
      <c r="F9" t="s">
        <v>128</v>
      </c>
      <c r="G9" t="s">
        <v>122</v>
      </c>
      <c r="H9" t="s">
        <v>133</v>
      </c>
      <c r="I9" t="s">
        <v>132</v>
      </c>
      <c r="J9" t="s">
        <v>129</v>
      </c>
      <c r="K9" t="s">
        <v>130</v>
      </c>
      <c r="L9" t="s">
        <v>131</v>
      </c>
    </row>
    <row r="10" spans="1:12" x14ac:dyDescent="0.3">
      <c r="A10">
        <v>12</v>
      </c>
      <c r="B10" t="s">
        <v>112</v>
      </c>
      <c r="C10" t="s">
        <v>112</v>
      </c>
      <c r="D10" t="s">
        <v>125</v>
      </c>
      <c r="E10" t="s">
        <v>127</v>
      </c>
      <c r="F10" t="s">
        <v>134</v>
      </c>
      <c r="G10" t="s">
        <v>122</v>
      </c>
      <c r="H10" t="s">
        <v>138</v>
      </c>
      <c r="I10" t="s">
        <v>137</v>
      </c>
      <c r="J10" t="s">
        <v>135</v>
      </c>
      <c r="K10" t="s">
        <v>136</v>
      </c>
      <c r="L10" t="s">
        <v>11</v>
      </c>
    </row>
    <row r="11" spans="1:12" x14ac:dyDescent="0.3">
      <c r="A11">
        <v>3</v>
      </c>
      <c r="B11" t="s">
        <v>139</v>
      </c>
      <c r="C11" t="s">
        <v>139</v>
      </c>
      <c r="D11" t="s">
        <v>142</v>
      </c>
      <c r="E11" t="s">
        <v>143</v>
      </c>
      <c r="F11" t="s">
        <v>187</v>
      </c>
      <c r="G11" t="s">
        <v>186</v>
      </c>
      <c r="H11" t="s">
        <v>11</v>
      </c>
      <c r="I11" t="s">
        <v>190</v>
      </c>
      <c r="J11" t="s">
        <v>188</v>
      </c>
      <c r="K11" t="s">
        <v>189</v>
      </c>
      <c r="L11" t="s">
        <v>11</v>
      </c>
    </row>
    <row r="12" spans="1:12" x14ac:dyDescent="0.3">
      <c r="A12">
        <v>19</v>
      </c>
      <c r="B12" t="s">
        <v>167</v>
      </c>
      <c r="C12" t="s">
        <v>167</v>
      </c>
      <c r="D12" t="s">
        <v>169</v>
      </c>
      <c r="E12" t="s">
        <v>170</v>
      </c>
      <c r="F12" t="s">
        <v>187</v>
      </c>
      <c r="G12" t="s">
        <v>186</v>
      </c>
      <c r="H12" t="s">
        <v>11</v>
      </c>
      <c r="I12" t="s">
        <v>194</v>
      </c>
      <c r="J12" t="s">
        <v>191</v>
      </c>
      <c r="K12" t="s">
        <v>192</v>
      </c>
      <c r="L12" t="s">
        <v>193</v>
      </c>
    </row>
    <row r="13" spans="1:12" x14ac:dyDescent="0.3">
      <c r="A13">
        <v>10</v>
      </c>
      <c r="B13" t="s">
        <v>150</v>
      </c>
      <c r="C13" t="s">
        <v>150</v>
      </c>
      <c r="D13" t="s">
        <v>154</v>
      </c>
      <c r="E13" t="s">
        <v>155</v>
      </c>
      <c r="F13" t="s">
        <v>187</v>
      </c>
      <c r="G13" t="s">
        <v>186</v>
      </c>
      <c r="H13" t="s">
        <v>11</v>
      </c>
      <c r="I13" t="s">
        <v>198</v>
      </c>
      <c r="J13" t="s">
        <v>195</v>
      </c>
      <c r="K13" t="s">
        <v>196</v>
      </c>
      <c r="L13" t="s">
        <v>197</v>
      </c>
    </row>
    <row r="14" spans="1:12" x14ac:dyDescent="0.3">
      <c r="A14">
        <v>9</v>
      </c>
      <c r="B14" t="s">
        <v>150</v>
      </c>
      <c r="C14" t="s">
        <v>150</v>
      </c>
      <c r="D14" t="s">
        <v>152</v>
      </c>
      <c r="E14" t="s">
        <v>153</v>
      </c>
      <c r="F14" t="s">
        <v>199</v>
      </c>
      <c r="G14" t="s">
        <v>186</v>
      </c>
      <c r="H14" t="s">
        <v>11</v>
      </c>
      <c r="I14" t="s">
        <v>202</v>
      </c>
      <c r="J14" t="s">
        <v>200</v>
      </c>
      <c r="K14" t="s">
        <v>201</v>
      </c>
      <c r="L14" t="s">
        <v>11</v>
      </c>
    </row>
    <row r="15" spans="1:12" x14ac:dyDescent="0.3">
      <c r="A15">
        <v>15</v>
      </c>
      <c r="B15" t="s">
        <v>158</v>
      </c>
      <c r="C15" t="s">
        <v>158</v>
      </c>
      <c r="D15" t="s">
        <v>163</v>
      </c>
      <c r="E15" t="s">
        <v>164</v>
      </c>
      <c r="F15" t="s">
        <v>199</v>
      </c>
      <c r="G15" t="s">
        <v>186</v>
      </c>
      <c r="H15" t="s">
        <v>11</v>
      </c>
      <c r="I15" t="s">
        <v>204</v>
      </c>
      <c r="J15" t="s">
        <v>200</v>
      </c>
      <c r="K15" t="s">
        <v>203</v>
      </c>
      <c r="L15" t="s">
        <v>11</v>
      </c>
    </row>
    <row r="16" spans="1:12" x14ac:dyDescent="0.3">
      <c r="A16">
        <v>24</v>
      </c>
      <c r="B16" t="s">
        <v>173</v>
      </c>
      <c r="C16" t="s">
        <v>173</v>
      </c>
      <c r="D16" t="s">
        <v>178</v>
      </c>
      <c r="E16" t="s">
        <v>179</v>
      </c>
      <c r="F16" t="s">
        <v>199</v>
      </c>
      <c r="G16" t="s">
        <v>186</v>
      </c>
      <c r="H16" t="s">
        <v>11</v>
      </c>
      <c r="I16" t="s">
        <v>208</v>
      </c>
      <c r="J16" t="s">
        <v>205</v>
      </c>
      <c r="K16" t="s">
        <v>206</v>
      </c>
      <c r="L16" t="s">
        <v>207</v>
      </c>
    </row>
    <row r="17" spans="1:12" x14ac:dyDescent="0.3">
      <c r="A17">
        <v>24</v>
      </c>
      <c r="B17" t="s">
        <v>173</v>
      </c>
      <c r="C17" t="s">
        <v>173</v>
      </c>
      <c r="D17" t="s">
        <v>178</v>
      </c>
      <c r="E17" t="s">
        <v>179</v>
      </c>
      <c r="F17" t="s">
        <v>199</v>
      </c>
      <c r="G17" t="s">
        <v>186</v>
      </c>
      <c r="H17" t="s">
        <v>11</v>
      </c>
      <c r="I17" t="s">
        <v>209</v>
      </c>
      <c r="J17" t="s">
        <v>205</v>
      </c>
      <c r="K17" t="s">
        <v>206</v>
      </c>
      <c r="L17" t="s">
        <v>207</v>
      </c>
    </row>
    <row r="18" spans="1:12" x14ac:dyDescent="0.3">
      <c r="A18">
        <v>14</v>
      </c>
      <c r="B18" t="s">
        <v>158</v>
      </c>
      <c r="C18" t="s">
        <v>158</v>
      </c>
      <c r="D18" t="s">
        <v>161</v>
      </c>
      <c r="E18" t="s">
        <v>162</v>
      </c>
      <c r="F18" t="s">
        <v>199</v>
      </c>
      <c r="G18" t="s">
        <v>186</v>
      </c>
      <c r="H18" t="s">
        <v>11</v>
      </c>
      <c r="I18" t="s">
        <v>213</v>
      </c>
      <c r="J18" t="s">
        <v>210</v>
      </c>
      <c r="K18" t="s">
        <v>211</v>
      </c>
      <c r="L18" t="s">
        <v>212</v>
      </c>
    </row>
    <row r="19" spans="1:12" x14ac:dyDescent="0.3">
      <c r="A19">
        <v>3</v>
      </c>
      <c r="B19" t="s">
        <v>139</v>
      </c>
      <c r="C19" t="s">
        <v>139</v>
      </c>
      <c r="D19" t="s">
        <v>142</v>
      </c>
      <c r="E19" t="s">
        <v>143</v>
      </c>
      <c r="F19" t="s">
        <v>217</v>
      </c>
      <c r="G19" t="s">
        <v>186</v>
      </c>
      <c r="H19" t="s">
        <v>11</v>
      </c>
      <c r="I19" t="s">
        <v>190</v>
      </c>
      <c r="J19" t="s">
        <v>188</v>
      </c>
      <c r="K19" t="s">
        <v>189</v>
      </c>
      <c r="L19" t="s">
        <v>11</v>
      </c>
    </row>
    <row r="20" spans="1:12" x14ac:dyDescent="0.3">
      <c r="A20">
        <v>19</v>
      </c>
      <c r="B20" t="s">
        <v>167</v>
      </c>
      <c r="C20" t="s">
        <v>167</v>
      </c>
      <c r="D20" t="s">
        <v>169</v>
      </c>
      <c r="E20" t="s">
        <v>170</v>
      </c>
      <c r="F20" t="s">
        <v>217</v>
      </c>
      <c r="G20" t="s">
        <v>186</v>
      </c>
      <c r="H20" t="s">
        <v>11</v>
      </c>
      <c r="I20" t="s">
        <v>194</v>
      </c>
      <c r="J20" t="s">
        <v>191</v>
      </c>
      <c r="K20" t="s">
        <v>192</v>
      </c>
      <c r="L20" t="s">
        <v>193</v>
      </c>
    </row>
    <row r="21" spans="1:12" x14ac:dyDescent="0.3">
      <c r="A21">
        <v>9</v>
      </c>
      <c r="B21" t="s">
        <v>150</v>
      </c>
      <c r="C21" t="s">
        <v>150</v>
      </c>
      <c r="D21" t="s">
        <v>152</v>
      </c>
      <c r="E21" t="s">
        <v>153</v>
      </c>
      <c r="F21" t="s">
        <v>217</v>
      </c>
      <c r="G21" t="s">
        <v>186</v>
      </c>
      <c r="H21" t="s">
        <v>11</v>
      </c>
      <c r="I21" t="s">
        <v>202</v>
      </c>
      <c r="J21" t="s">
        <v>200</v>
      </c>
      <c r="K21" t="s">
        <v>220</v>
      </c>
      <c r="L21" t="s">
        <v>11</v>
      </c>
    </row>
    <row r="22" spans="1:12" x14ac:dyDescent="0.3">
      <c r="A22">
        <v>24</v>
      </c>
      <c r="B22" t="s">
        <v>173</v>
      </c>
      <c r="C22" t="s">
        <v>173</v>
      </c>
      <c r="D22" t="s">
        <v>178</v>
      </c>
      <c r="E22" t="s">
        <v>179</v>
      </c>
      <c r="F22" t="s">
        <v>217</v>
      </c>
      <c r="G22" t="s">
        <v>186</v>
      </c>
      <c r="H22" t="s">
        <v>11</v>
      </c>
      <c r="I22" t="s">
        <v>221</v>
      </c>
      <c r="J22" t="s">
        <v>205</v>
      </c>
      <c r="K22" t="s">
        <v>206</v>
      </c>
      <c r="L22" t="s">
        <v>207</v>
      </c>
    </row>
    <row r="23" spans="1:12" x14ac:dyDescent="0.3">
      <c r="A23">
        <v>15</v>
      </c>
      <c r="B23" t="s">
        <v>158</v>
      </c>
      <c r="C23" t="s">
        <v>158</v>
      </c>
      <c r="D23" t="s">
        <v>163</v>
      </c>
      <c r="E23" t="s">
        <v>164</v>
      </c>
      <c r="F23" t="s">
        <v>217</v>
      </c>
      <c r="G23" t="s">
        <v>186</v>
      </c>
      <c r="H23" t="s">
        <v>11</v>
      </c>
      <c r="I23" t="s">
        <v>222</v>
      </c>
      <c r="J23" t="s">
        <v>200</v>
      </c>
      <c r="K23" t="s">
        <v>220</v>
      </c>
      <c r="L23" t="s">
        <v>11</v>
      </c>
    </row>
    <row r="24" spans="1:12" x14ac:dyDescent="0.3">
      <c r="A24">
        <v>10</v>
      </c>
      <c r="B24" t="s">
        <v>150</v>
      </c>
      <c r="C24" t="s">
        <v>150</v>
      </c>
      <c r="D24" t="s">
        <v>154</v>
      </c>
      <c r="E24" t="s">
        <v>155</v>
      </c>
      <c r="F24" t="s">
        <v>217</v>
      </c>
      <c r="G24" t="s">
        <v>186</v>
      </c>
      <c r="H24" t="s">
        <v>11</v>
      </c>
      <c r="I24" t="s">
        <v>198</v>
      </c>
      <c r="J24" t="s">
        <v>223</v>
      </c>
      <c r="K24" t="s">
        <v>224</v>
      </c>
      <c r="L24" t="s">
        <v>11</v>
      </c>
    </row>
    <row r="25" spans="1:12" x14ac:dyDescent="0.3">
      <c r="A25">
        <v>14</v>
      </c>
      <c r="B25" t="s">
        <v>158</v>
      </c>
      <c r="C25" t="s">
        <v>158</v>
      </c>
      <c r="D25" t="s">
        <v>161</v>
      </c>
      <c r="E25" t="s">
        <v>162</v>
      </c>
      <c r="F25" t="s">
        <v>225</v>
      </c>
      <c r="G25" t="s">
        <v>186</v>
      </c>
      <c r="H25" t="s">
        <v>11</v>
      </c>
      <c r="I25" t="s">
        <v>228</v>
      </c>
      <c r="J25" t="s">
        <v>210</v>
      </c>
      <c r="K25" t="s">
        <v>211</v>
      </c>
      <c r="L25" t="s">
        <v>212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88671875" defaultRowHeight="14.4" x14ac:dyDescent="0.3"/>
  <cols>
    <col min="1" max="1" width="35.33203125" customWidth="1"/>
    <col min="2" max="3" width="20.33203125" customWidth="1"/>
    <col min="4" max="4" width="40.44140625" customWidth="1"/>
    <col min="5" max="5" width="17.6640625" customWidth="1"/>
    <col min="6" max="7" width="15.109375" customWidth="1"/>
    <col min="8" max="8" width="25.33203125" customWidth="1"/>
    <col min="9" max="10" width="15.109375" customWidth="1"/>
    <col min="11" max="11" width="10.109375" customWidth="1"/>
    <col min="12" max="12" width="15.109375" customWidth="1"/>
    <col min="13" max="13" width="12.6640625" customWidth="1"/>
    <col min="14" max="14" width="15.109375" customWidth="1"/>
    <col min="15" max="15" width="40.44140625" customWidth="1"/>
  </cols>
  <sheetData>
    <row r="1" spans="1:15" ht="15" x14ac:dyDescent="0.3">
      <c r="A1" s="228" t="s">
        <v>11</v>
      </c>
      <c r="B1" s="228"/>
      <c r="C1" s="228"/>
      <c r="D1" s="230" t="s">
        <v>58</v>
      </c>
      <c r="E1" s="230"/>
      <c r="F1" s="230"/>
      <c r="G1" s="230"/>
      <c r="H1" s="230"/>
      <c r="I1" s="230"/>
      <c r="J1" s="26" t="s">
        <v>11</v>
      </c>
      <c r="K1" s="26" t="s">
        <v>11</v>
      </c>
      <c r="L1" s="26" t="s">
        <v>11</v>
      </c>
      <c r="M1" s="26" t="s">
        <v>11</v>
      </c>
      <c r="N1" s="26" t="s">
        <v>11</v>
      </c>
      <c r="O1" s="27" t="s">
        <v>11</v>
      </c>
    </row>
    <row r="2" spans="1:15" x14ac:dyDescent="0.3">
      <c r="A2" s="229"/>
      <c r="B2" s="229"/>
      <c r="C2" s="229"/>
      <c r="D2" s="228" t="s">
        <v>59</v>
      </c>
      <c r="E2" s="228"/>
      <c r="F2" s="228"/>
      <c r="G2" s="228"/>
      <c r="H2" s="228"/>
      <c r="I2" s="228"/>
      <c r="J2" s="26"/>
      <c r="K2" s="26"/>
      <c r="L2" s="26"/>
      <c r="M2" s="26"/>
      <c r="N2" s="26"/>
      <c r="O2" s="231" t="s">
        <v>60</v>
      </c>
    </row>
    <row r="3" spans="1:15" x14ac:dyDescent="0.3">
      <c r="A3" s="229"/>
      <c r="B3" s="229"/>
      <c r="C3" s="229"/>
      <c r="D3" s="228" t="s">
        <v>61</v>
      </c>
      <c r="E3" s="228"/>
      <c r="F3" s="228"/>
      <c r="G3" s="228"/>
      <c r="H3" s="228"/>
      <c r="I3" s="228"/>
      <c r="J3" s="26"/>
      <c r="K3" s="26"/>
      <c r="L3" s="26"/>
      <c r="M3" s="26"/>
      <c r="N3" s="26"/>
      <c r="O3" s="232"/>
    </row>
    <row r="4" spans="1:15" x14ac:dyDescent="0.3">
      <c r="A4" s="229"/>
      <c r="B4" s="229"/>
      <c r="C4" s="229"/>
      <c r="D4" s="228" t="s">
        <v>62</v>
      </c>
      <c r="E4" s="228"/>
      <c r="F4" s="228"/>
      <c r="G4" s="228"/>
      <c r="H4" s="228"/>
      <c r="I4" s="228"/>
      <c r="J4" s="26"/>
      <c r="K4" s="26"/>
      <c r="L4" s="26"/>
      <c r="M4" s="26"/>
      <c r="N4" s="26"/>
      <c r="O4" s="232"/>
    </row>
    <row r="5" spans="1:15" x14ac:dyDescent="0.3">
      <c r="A5" s="229"/>
      <c r="B5" s="229"/>
      <c r="C5" s="229"/>
      <c r="D5" s="228" t="s">
        <v>63</v>
      </c>
      <c r="E5" s="228"/>
      <c r="F5" s="228"/>
      <c r="G5" s="228"/>
      <c r="H5" s="228"/>
      <c r="I5" s="228"/>
      <c r="J5" s="26"/>
      <c r="K5" s="26"/>
      <c r="L5" s="26"/>
      <c r="M5" s="26"/>
      <c r="N5" s="26"/>
      <c r="O5" s="232"/>
    </row>
    <row r="6" spans="1:15" x14ac:dyDescent="0.3">
      <c r="A6" s="229"/>
      <c r="B6" s="229"/>
      <c r="C6" s="22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32"/>
    </row>
    <row r="7" spans="1:15" x14ac:dyDescent="0.3">
      <c r="A7" s="229"/>
      <c r="B7" s="229"/>
      <c r="C7" s="229"/>
      <c r="D7" s="228" t="s">
        <v>64</v>
      </c>
      <c r="E7" s="228"/>
      <c r="F7" s="228"/>
      <c r="G7" s="228"/>
      <c r="H7" s="228"/>
      <c r="I7" s="228"/>
      <c r="J7" s="26"/>
      <c r="K7" s="26"/>
      <c r="L7" s="26"/>
      <c r="M7" s="26"/>
      <c r="N7" s="26"/>
      <c r="O7" s="28">
        <v>45264.482613275461</v>
      </c>
    </row>
    <row r="8" spans="1:15" x14ac:dyDescent="0.3">
      <c r="A8" s="227" t="s">
        <v>65</v>
      </c>
      <c r="B8" s="227"/>
      <c r="C8" s="227"/>
      <c r="D8" s="227"/>
      <c r="E8" s="227"/>
      <c r="F8" s="227"/>
      <c r="G8" s="227"/>
      <c r="H8" s="227"/>
      <c r="I8" s="227"/>
      <c r="J8" s="227"/>
      <c r="K8" s="227"/>
      <c r="L8" s="227"/>
      <c r="M8" s="227"/>
      <c r="N8" s="227"/>
      <c r="O8" s="227"/>
    </row>
    <row r="9" spans="1:15" ht="27.6" x14ac:dyDescent="0.3">
      <c r="A9" s="29" t="s">
        <v>66</v>
      </c>
      <c r="B9" s="29" t="s">
        <v>67</v>
      </c>
      <c r="C9" s="29" t="s">
        <v>68</v>
      </c>
      <c r="D9" s="29" t="s">
        <v>52</v>
      </c>
      <c r="E9" s="29" t="s">
        <v>69</v>
      </c>
      <c r="F9" s="29" t="s">
        <v>70</v>
      </c>
      <c r="G9" s="29" t="s">
        <v>34</v>
      </c>
      <c r="H9" s="29" t="s">
        <v>71</v>
      </c>
      <c r="I9" s="29" t="s">
        <v>72</v>
      </c>
      <c r="J9" s="29" t="s">
        <v>70</v>
      </c>
      <c r="K9" s="29" t="s">
        <v>73</v>
      </c>
      <c r="L9" s="29" t="s">
        <v>74</v>
      </c>
      <c r="M9" s="29" t="s">
        <v>75</v>
      </c>
      <c r="N9" s="29" t="s">
        <v>76</v>
      </c>
      <c r="O9" s="30" t="s">
        <v>77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88671875" defaultRowHeight="14.4" x14ac:dyDescent="0.3"/>
  <cols>
    <col min="1" max="2" width="1.6640625" customWidth="1"/>
    <col min="3" max="3" width="12.44140625" customWidth="1"/>
    <col min="4" max="4" width="4.6640625" customWidth="1"/>
    <col min="5" max="5" width="10.6640625" customWidth="1"/>
    <col min="6" max="6" width="7.6640625" bestFit="1" customWidth="1"/>
    <col min="7" max="7" width="11" customWidth="1"/>
    <col min="8" max="8" width="11.109375" customWidth="1"/>
    <col min="9" max="9" width="11.6640625" customWidth="1"/>
    <col min="10" max="10" width="4.6640625" customWidth="1"/>
    <col min="11" max="11" width="14.44140625" customWidth="1"/>
    <col min="12" max="12" width="1.6640625" customWidth="1"/>
  </cols>
  <sheetData>
    <row r="1" spans="2:12" ht="8.4" customHeight="1" thickBot="1" x14ac:dyDescent="0.35"/>
    <row r="2" spans="2:12" ht="38.4" customHeight="1" x14ac:dyDescent="0.4">
      <c r="B2" s="236" t="s">
        <v>3</v>
      </c>
      <c r="C2" s="237"/>
      <c r="D2" s="237"/>
      <c r="E2" s="237"/>
      <c r="F2" s="237"/>
      <c r="G2" s="237"/>
      <c r="H2" s="237"/>
      <c r="I2" s="237"/>
      <c r="J2" s="237"/>
      <c r="K2" s="237"/>
      <c r="L2" s="238"/>
    </row>
    <row r="3" spans="2:12" ht="47.4" customHeight="1" thickBot="1" x14ac:dyDescent="0.35">
      <c r="B3" s="239" t="s">
        <v>12</v>
      </c>
      <c r="C3" s="240"/>
      <c r="D3" s="240"/>
      <c r="E3" s="240"/>
      <c r="F3" s="240"/>
      <c r="G3" s="240"/>
      <c r="H3" s="240"/>
      <c r="I3" s="240"/>
      <c r="J3" s="240"/>
      <c r="K3" s="240"/>
      <c r="L3" s="241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42" t="s">
        <v>13</v>
      </c>
      <c r="D6" s="242"/>
      <c r="E6" s="242"/>
      <c r="F6" s="242"/>
      <c r="G6" s="242"/>
      <c r="H6" s="242"/>
      <c r="I6" s="242"/>
      <c r="J6" s="242"/>
      <c r="K6" s="242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243" t="s">
        <v>225</v>
      </c>
      <c r="E8" s="244"/>
      <c r="F8" s="244"/>
      <c r="G8" s="244"/>
      <c r="H8" s="244"/>
      <c r="I8" s="244"/>
      <c r="J8" s="244"/>
      <c r="K8" s="245"/>
      <c r="L8" s="5"/>
    </row>
    <row r="9" spans="2:12" x14ac:dyDescent="0.3">
      <c r="B9" s="4"/>
      <c r="C9" s="7" t="s">
        <v>15</v>
      </c>
      <c r="D9" s="233" t="s">
        <v>16</v>
      </c>
      <c r="E9" s="234"/>
      <c r="F9" s="234"/>
      <c r="G9" s="234"/>
      <c r="H9" s="234"/>
      <c r="I9" s="234"/>
      <c r="J9" s="234"/>
      <c r="K9" s="235"/>
      <c r="L9" s="5"/>
    </row>
    <row r="10" spans="2:12" x14ac:dyDescent="0.3">
      <c r="B10" s="4"/>
      <c r="C10" s="7" t="s">
        <v>17</v>
      </c>
      <c r="D10" s="233" t="s">
        <v>113</v>
      </c>
      <c r="E10" s="234"/>
      <c r="F10" s="234"/>
      <c r="G10" s="234"/>
      <c r="H10" s="234"/>
      <c r="I10" s="234"/>
      <c r="J10" s="234"/>
      <c r="K10" s="235"/>
      <c r="L10" s="5"/>
    </row>
    <row r="11" spans="2:12" x14ac:dyDescent="0.3">
      <c r="B11" s="4"/>
      <c r="C11" s="7" t="s">
        <v>18</v>
      </c>
      <c r="D11" s="233" t="s">
        <v>218</v>
      </c>
      <c r="E11" s="234"/>
      <c r="F11" s="234"/>
      <c r="G11" s="234"/>
      <c r="H11" s="234"/>
      <c r="I11" s="234"/>
      <c r="J11" s="234"/>
      <c r="K11" s="235"/>
      <c r="L11" s="5"/>
    </row>
    <row r="12" spans="2:12" x14ac:dyDescent="0.3">
      <c r="B12" s="4"/>
      <c r="C12" s="10" t="s">
        <v>19</v>
      </c>
      <c r="D12" s="246" t="s">
        <v>219</v>
      </c>
      <c r="E12" s="247"/>
      <c r="F12" s="247"/>
      <c r="G12" s="247"/>
      <c r="H12" s="248"/>
      <c r="I12" s="11" t="s">
        <v>20</v>
      </c>
      <c r="J12" s="246" t="s">
        <v>159</v>
      </c>
      <c r="K12" s="248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42" t="s">
        <v>21</v>
      </c>
      <c r="D16" s="242"/>
      <c r="E16" s="242"/>
      <c r="F16" s="242"/>
      <c r="G16" s="242"/>
      <c r="H16" s="242"/>
      <c r="I16" s="242"/>
      <c r="J16" s="242"/>
      <c r="K16" s="242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49" t="s">
        <v>226</v>
      </c>
      <c r="E18" s="249"/>
      <c r="F18" s="249"/>
      <c r="G18" s="250"/>
      <c r="H18" s="249" t="s">
        <v>22</v>
      </c>
      <c r="I18" s="249"/>
      <c r="J18" s="249"/>
      <c r="K18" s="250"/>
      <c r="L18" s="5"/>
    </row>
    <row r="19" spans="2:12" x14ac:dyDescent="0.3">
      <c r="B19" s="4"/>
      <c r="C19" s="15" t="s">
        <v>23</v>
      </c>
      <c r="D19" s="251" t="s">
        <v>211</v>
      </c>
      <c r="E19" s="252"/>
      <c r="F19" s="252"/>
      <c r="G19" s="252"/>
      <c r="H19" s="252"/>
      <c r="I19" s="252"/>
      <c r="J19" s="252"/>
      <c r="K19" s="253"/>
      <c r="L19" s="5"/>
    </row>
    <row r="20" spans="2:12" x14ac:dyDescent="0.3">
      <c r="B20" s="4"/>
      <c r="C20" s="7" t="s">
        <v>24</v>
      </c>
      <c r="D20" s="233"/>
      <c r="E20" s="234"/>
      <c r="F20" s="234"/>
      <c r="G20" s="234"/>
      <c r="H20" s="234"/>
      <c r="I20" s="234"/>
      <c r="J20" s="234"/>
      <c r="K20" s="235"/>
      <c r="L20" s="5"/>
    </row>
    <row r="21" spans="2:12" x14ac:dyDescent="0.3">
      <c r="B21" s="4"/>
      <c r="C21" s="7" t="s">
        <v>25</v>
      </c>
      <c r="D21" s="233" t="s">
        <v>11</v>
      </c>
      <c r="E21" s="235"/>
      <c r="F21" s="7" t="s">
        <v>57</v>
      </c>
      <c r="G21" s="16" t="s">
        <v>11</v>
      </c>
      <c r="H21" s="7" t="s">
        <v>26</v>
      </c>
      <c r="I21" s="8" t="s">
        <v>11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233" t="s">
        <v>210</v>
      </c>
      <c r="E22" s="234"/>
      <c r="F22" s="234"/>
      <c r="G22" s="235"/>
      <c r="H22" s="7" t="s">
        <v>29</v>
      </c>
      <c r="I22" s="233"/>
      <c r="J22" s="234"/>
      <c r="K22" s="235"/>
      <c r="L22" s="5"/>
    </row>
    <row r="23" spans="2:12" x14ac:dyDescent="0.3">
      <c r="B23" s="4"/>
      <c r="C23" s="10" t="s">
        <v>30</v>
      </c>
      <c r="D23" s="246" t="s">
        <v>212</v>
      </c>
      <c r="E23" s="247"/>
      <c r="F23" s="247"/>
      <c r="G23" s="248"/>
      <c r="H23" s="10" t="s">
        <v>31</v>
      </c>
      <c r="I23" s="246" t="s">
        <v>11</v>
      </c>
      <c r="J23" s="247"/>
      <c r="K23" s="248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42" t="s">
        <v>21</v>
      </c>
      <c r="D27" s="242"/>
      <c r="E27" s="242"/>
      <c r="F27" s="242"/>
      <c r="G27" s="242"/>
      <c r="H27" s="242"/>
      <c r="I27" s="242"/>
      <c r="J27" s="242"/>
      <c r="K27" s="242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254" t="s">
        <v>33</v>
      </c>
      <c r="E29" s="250"/>
      <c r="F29" s="254" t="s">
        <v>34</v>
      </c>
      <c r="G29" s="250"/>
      <c r="H29" s="255" t="s">
        <v>35</v>
      </c>
      <c r="I29" s="255"/>
      <c r="J29" s="255"/>
      <c r="K29" s="256"/>
      <c r="L29" s="5"/>
    </row>
    <row r="30" spans="2:12" x14ac:dyDescent="0.3">
      <c r="B30" s="4"/>
      <c r="C30" s="17" t="s">
        <v>36</v>
      </c>
      <c r="D30" s="257" t="s">
        <v>227</v>
      </c>
      <c r="E30" s="258"/>
      <c r="F30" s="259" t="s">
        <v>228</v>
      </c>
      <c r="G30" s="260"/>
      <c r="H30" s="18" t="s">
        <v>229</v>
      </c>
      <c r="I30" s="254" t="s">
        <v>40</v>
      </c>
      <c r="J30" s="250"/>
      <c r="K30" s="6" t="s">
        <v>38</v>
      </c>
      <c r="L30" s="5"/>
    </row>
    <row r="31" spans="2:12" x14ac:dyDescent="0.3">
      <c r="B31" s="4"/>
      <c r="C31" s="17" t="s">
        <v>39</v>
      </c>
      <c r="D31" s="257" t="s">
        <v>11</v>
      </c>
      <c r="E31" s="258"/>
      <c r="F31" s="259" t="s">
        <v>11</v>
      </c>
      <c r="G31" s="260"/>
      <c r="H31" s="17" t="s">
        <v>37</v>
      </c>
      <c r="I31" s="263" t="s">
        <v>40</v>
      </c>
      <c r="J31" s="264"/>
      <c r="K31" s="7" t="s">
        <v>38</v>
      </c>
      <c r="L31" s="5"/>
    </row>
    <row r="32" spans="2:12" x14ac:dyDescent="0.3">
      <c r="B32" s="4"/>
      <c r="C32" s="17" t="s">
        <v>41</v>
      </c>
      <c r="D32" s="257" t="s">
        <v>11</v>
      </c>
      <c r="E32" s="258"/>
      <c r="F32" s="259" t="s">
        <v>11</v>
      </c>
      <c r="G32" s="260"/>
      <c r="H32" s="17" t="s">
        <v>37</v>
      </c>
      <c r="I32" s="263" t="s">
        <v>40</v>
      </c>
      <c r="J32" s="264"/>
      <c r="K32" s="7" t="s">
        <v>38</v>
      </c>
      <c r="L32" s="5"/>
    </row>
    <row r="33" spans="2:12" x14ac:dyDescent="0.3">
      <c r="B33" s="4"/>
      <c r="C33" s="19" t="s">
        <v>42</v>
      </c>
      <c r="D33" s="257" t="s">
        <v>11</v>
      </c>
      <c r="E33" s="258"/>
      <c r="F33" s="261" t="s">
        <v>11</v>
      </c>
      <c r="G33" s="262"/>
      <c r="H33" s="17" t="s">
        <v>37</v>
      </c>
      <c r="I33" s="263" t="s">
        <v>40</v>
      </c>
      <c r="J33" s="264"/>
      <c r="K33" s="7" t="s">
        <v>38</v>
      </c>
      <c r="L33" s="5"/>
    </row>
    <row r="34" spans="2:12" x14ac:dyDescent="0.3">
      <c r="B34" s="4"/>
      <c r="C34" s="265" t="s">
        <v>43</v>
      </c>
      <c r="D34" s="266"/>
      <c r="E34" s="267"/>
      <c r="F34" s="268" t="s">
        <v>228</v>
      </c>
      <c r="G34" s="269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42" t="s">
        <v>44</v>
      </c>
      <c r="D38" s="242"/>
      <c r="E38" s="242"/>
      <c r="F38" s="242"/>
      <c r="G38" s="242"/>
      <c r="H38" s="242"/>
      <c r="I38" s="242"/>
      <c r="J38" s="242"/>
      <c r="K38" s="242"/>
      <c r="L38" s="5"/>
    </row>
    <row r="39" spans="2:12" x14ac:dyDescent="0.3">
      <c r="B39" s="4"/>
      <c r="C39" s="273" t="s">
        <v>230</v>
      </c>
      <c r="D39" s="273"/>
      <c r="E39" s="273"/>
      <c r="F39" s="273"/>
      <c r="G39" s="273"/>
      <c r="H39" s="273"/>
      <c r="I39" s="273"/>
      <c r="J39" s="273"/>
      <c r="K39" s="273"/>
      <c r="L39" s="5"/>
    </row>
    <row r="40" spans="2:12" x14ac:dyDescent="0.3">
      <c r="B40" s="4"/>
      <c r="C40" s="273"/>
      <c r="D40" s="273"/>
      <c r="E40" s="273"/>
      <c r="F40" s="273"/>
      <c r="G40" s="273"/>
      <c r="H40" s="273"/>
      <c r="I40" s="273"/>
      <c r="J40" s="273"/>
      <c r="K40" s="273"/>
      <c r="L40" s="5"/>
    </row>
    <row r="41" spans="2:12" x14ac:dyDescent="0.3">
      <c r="B41" s="4"/>
      <c r="C41" s="273"/>
      <c r="D41" s="273"/>
      <c r="E41" s="273"/>
      <c r="F41" s="273"/>
      <c r="G41" s="273"/>
      <c r="H41" s="273"/>
      <c r="I41" s="273"/>
      <c r="J41" s="273"/>
      <c r="K41" s="273"/>
      <c r="L41" s="5"/>
    </row>
    <row r="42" spans="2:12" x14ac:dyDescent="0.3">
      <c r="B42" s="4"/>
      <c r="C42" s="273"/>
      <c r="D42" s="273"/>
      <c r="E42" s="273"/>
      <c r="F42" s="273"/>
      <c r="G42" s="273"/>
      <c r="H42" s="273"/>
      <c r="I42" s="273"/>
      <c r="J42" s="273"/>
      <c r="K42" s="273"/>
      <c r="L42" s="5"/>
    </row>
    <row r="43" spans="2:12" x14ac:dyDescent="0.3">
      <c r="B43" s="4"/>
      <c r="C43" s="273"/>
      <c r="D43" s="273"/>
      <c r="E43" s="273"/>
      <c r="F43" s="273"/>
      <c r="G43" s="273"/>
      <c r="H43" s="273"/>
      <c r="I43" s="273"/>
      <c r="J43" s="273"/>
      <c r="K43" s="273"/>
      <c r="L43" s="5"/>
    </row>
    <row r="44" spans="2:12" x14ac:dyDescent="0.3">
      <c r="B44" s="4"/>
      <c r="C44" s="273"/>
      <c r="D44" s="273"/>
      <c r="E44" s="273"/>
      <c r="F44" s="273"/>
      <c r="G44" s="273"/>
      <c r="H44" s="273"/>
      <c r="I44" s="273"/>
      <c r="J44" s="273"/>
      <c r="K44" s="273"/>
      <c r="L44" s="5"/>
    </row>
    <row r="45" spans="2:12" x14ac:dyDescent="0.3">
      <c r="B45" s="4"/>
      <c r="C45" s="274"/>
      <c r="D45" s="274"/>
      <c r="E45" s="274"/>
      <c r="F45" s="274"/>
      <c r="G45" s="274"/>
      <c r="H45" s="274"/>
      <c r="I45" s="274"/>
      <c r="J45" s="274"/>
      <c r="K45" s="274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270" t="s">
        <v>45</v>
      </c>
      <c r="C48" s="271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272" t="s">
        <v>46</v>
      </c>
      <c r="D51" s="272"/>
      <c r="E51" s="272"/>
      <c r="F51" s="272"/>
      <c r="H51" s="272" t="s">
        <v>47</v>
      </c>
      <c r="I51" s="272"/>
      <c r="J51" s="272"/>
      <c r="K51" s="272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c9ae70d9359dd23e9a48b07547b717ad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3937aaad769f7dbee2ffe085997c1990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6851F440-CB5F-4979-B04A-4EA3DFBB93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customXml/itemProps4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15</vt:i4>
      </vt:variant>
    </vt:vector>
  </HeadingPairs>
  <TitlesOfParts>
    <vt:vector size="20" baseType="lpstr">
      <vt:lpstr>RESUMO</vt:lpstr>
      <vt:lpstr>PRINCIPAL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2026-07-16T16:37:55Z</cp:lastPrinted>
  <dcterms:created xsi:type="dcterms:W3CDTF">2023-09-21T21:02:20Z</dcterms:created>
  <dcterms:modified xsi:type="dcterms:W3CDTF">2026-07-29T13:39:03Z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  <property fmtid="{D5CDD505-2E9C-101B-9397-08002B2CF9AE}" pid="3" name="MediaServiceImageTags">
    <vt:lpwstr/>
  </property>
</Properties>
</file>