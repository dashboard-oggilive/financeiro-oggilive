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D7DB1310-9CC9-489D-A36C-4E5BF89E6E73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2" r:id="rId1"/>
    <sheet name="Planilha" sheetId="91" r:id="rId2"/>
    <sheet name="ItensOrc" sheetId="76" state="hidden" r:id="rId3"/>
    <sheet name="Template SP" sheetId="3" state="hidden" r:id="rId4"/>
  </sheets>
  <definedNames>
    <definedName name="_xlnm._FilterDatabase" localSheetId="1" hidden="1">Planilha!$A$1:$AL$14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92" l="1"/>
  <c r="C22" i="92"/>
  <c r="AM30" i="91"/>
  <c r="AM29" i="91"/>
  <c r="AM28" i="91"/>
  <c r="AM27" i="91"/>
  <c r="C23" i="92" l="1"/>
  <c r="E3" i="92"/>
  <c r="AN24" i="91"/>
  <c r="AM21" i="91"/>
  <c r="AM17" i="91"/>
  <c r="S22" i="91" l="1"/>
  <c r="R22" i="91"/>
  <c r="Q22" i="91"/>
  <c r="K22" i="91"/>
  <c r="K21" i="91"/>
  <c r="R21" i="91"/>
  <c r="Q21" i="91"/>
  <c r="V21" i="91" s="1"/>
  <c r="R17" i="91"/>
  <c r="Q17" i="91"/>
  <c r="V17" i="91" s="1"/>
  <c r="K17" i="91"/>
  <c r="K24" i="91" l="1"/>
  <c r="K23" i="91"/>
  <c r="K18" i="91"/>
  <c r="L22" i="91"/>
  <c r="V22" i="91"/>
  <c r="L17" i="91"/>
  <c r="L21" i="91"/>
  <c r="T21" i="91"/>
  <c r="T23" i="91" s="1"/>
  <c r="T17" i="91"/>
  <c r="L23" i="91" l="1"/>
  <c r="L24" i="91"/>
  <c r="L18" i="91"/>
  <c r="T24" i="91"/>
  <c r="T18" i="91"/>
  <c r="U22" i="91"/>
  <c r="U21" i="91"/>
  <c r="U17" i="91"/>
  <c r="U23" i="91" l="1"/>
  <c r="Z22" i="91"/>
  <c r="W22" i="91"/>
  <c r="U24" i="91"/>
  <c r="U18" i="91"/>
  <c r="Z21" i="91"/>
  <c r="W21" i="91"/>
  <c r="X21" i="91" s="1"/>
  <c r="Z17" i="91"/>
  <c r="W17" i="91"/>
  <c r="X17" i="91" s="1"/>
  <c r="X22" i="91" l="1"/>
  <c r="AM22" i="91" s="1"/>
  <c r="AM24" i="91" s="1"/>
  <c r="X23" i="91"/>
  <c r="X18" i="91"/>
  <c r="X24" i="91"/>
  <c r="Q20" i="91"/>
  <c r="Q19" i="91"/>
  <c r="D23" i="92" l="1"/>
  <c r="E22" i="92"/>
  <c r="M14" i="91"/>
  <c r="M22" i="91" s="1"/>
  <c r="Q16" i="91"/>
  <c r="Q15" i="91"/>
  <c r="E23" i="92" l="1"/>
  <c r="F23" i="92" s="1"/>
  <c r="F22" i="92"/>
  <c r="N22" i="91"/>
  <c r="Y22" i="91"/>
  <c r="M21" i="91"/>
  <c r="M23" i="91" s="1"/>
  <c r="M17" i="91"/>
  <c r="Z12" i="91"/>
  <c r="M18" i="91" l="1"/>
  <c r="M24" i="91"/>
  <c r="Y21" i="91"/>
  <c r="N21" i="91"/>
  <c r="N23" i="91" s="1"/>
  <c r="N17" i="91"/>
  <c r="Y17" i="91"/>
  <c r="Y24" i="91" s="1"/>
  <c r="N24" i="91" l="1"/>
  <c r="N18" i="91"/>
  <c r="Y23" i="91"/>
  <c r="Z24" i="91" l="1"/>
  <c r="AA24" i="91" s="1"/>
  <c r="Y18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Luiza</author>
  </authors>
  <commentList>
    <comment ref="S22" authorId="0" shapeId="0" xr:uid="{7EC8FAE1-296D-44A2-BF68-B0CC44B95A67}">
      <text>
        <r>
          <rPr>
            <b/>
            <sz val="9"/>
            <color indexed="81"/>
            <rFont val="Segoe UI"/>
            <family val="2"/>
          </rPr>
          <t>Luiza:</t>
        </r>
        <r>
          <rPr>
            <sz val="9"/>
            <color indexed="81"/>
            <rFont val="Segoe UI"/>
            <family val="2"/>
          </rPr>
          <t xml:space="preserve">
valor do estacionamento</t>
        </r>
      </text>
    </comment>
  </commentList>
</comments>
</file>

<file path=xl/sharedStrings.xml><?xml version="1.0" encoding="utf-8"?>
<sst xmlns="http://schemas.openxmlformats.org/spreadsheetml/2006/main" count="237" uniqueCount="167">
  <si>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</si>
  <si>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</si>
  <si>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</si>
  <si>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</si>
  <si>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</si>
  <si>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</si>
  <si>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</si>
  <si>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</si>
  <si>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</si>
  <si>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</si>
  <si>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</si>
  <si>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</si>
  <si>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</si>
  <si>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</si>
  <si>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</si>
  <si>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</si>
  <si>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</si>
  <si>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</si>
  <si>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</si>
  <si>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</si>
  <si>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</si>
  <si>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</si>
  <si>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</si>
  <si>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</si>
  <si>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</si>
  <si>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</si>
  <si>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</si>
  <si>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</si>
  <si>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</si>
  <si>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</si>
  <si>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</si>
  <si>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</si>
  <si>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</si>
  <si>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</si>
  <si>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</si>
  <si>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</si>
  <si>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</si>
  <si>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</si>
  <si>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</si>
  <si>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</si>
  <si>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</si>
  <si>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</si>
  <si>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</si>
  <si>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</si>
  <si>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</si>
  <si>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</si>
  <si>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</si>
  <si>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</si>
  <si>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</si>
  <si>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</si>
  <si>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</si>
  <si>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</si>
  <si>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</si>
  <si>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</si>
  <si>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</si>
  <si>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</si>
  <si>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</si>
  <si>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</si>
  <si>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</si>
  <si>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</si>
  <si>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</si>
  <si>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</si>
  <si>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</si>
  <si>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</si>
  <si>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</si>
  <si>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</si>
  <si>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</si>
  <si>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</si>
  <si>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</si>
  <si>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</si>
  <si>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</si>
  <si>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</si>
  <si>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</si>
  <si>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</si>
  <si>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</si>
  <si>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</si>
  <si>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</si>
  <si>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</si>
  <si>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</si>
  <si>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</si>
  <si>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</si>
  <si>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</si>
  <si>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</si>
  <si>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</si>
  <si>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</si>
  <si>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</si>
  <si>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</si>
  <si>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</si>
  <si>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</si>
  <si>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</si>
  <si>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</si>
  <si>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</si>
  <si>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</si>
  <si>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</si>
  <si>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</si>
  <si>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</si>
  <si>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</si>
  <si>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</si>
  <si>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</si>
  <si>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</si>
  <si>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</si>
  <si>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</si>
  <si>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</si>
  <si>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</si>
  <si>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</si>
  <si>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</si>
  <si>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</si>
  <si>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</si>
  <si>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</si>
  <si>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</si>
  <si>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</si>
  <si>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</si>
  <si>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</si>
  <si>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</si>
  <si>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</si>
  <si>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</si>
  <si>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</si>
  <si>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</si>
  <si>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</si>
  <si>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</si>
  <si>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</si>
  <si>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</si>
  <si>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PLANILHA</t>
  </si>
  <si>
    <t>Marg. Lucro</t>
  </si>
  <si>
    <t>FAT.OGGI</t>
  </si>
  <si>
    <t>NOME PLANILHA:</t>
  </si>
  <si>
    <t>PRODUTOR:</t>
  </si>
  <si>
    <t>ATENDIMENTO:</t>
  </si>
  <si>
    <t>DATA:</t>
  </si>
  <si>
    <t>CÓDIGO DO JOB:</t>
  </si>
  <si>
    <t>CLIENTE:</t>
  </si>
  <si>
    <t>EVENTO:</t>
  </si>
  <si>
    <t>LOCAL:</t>
  </si>
  <si>
    <t>2.1</t>
  </si>
  <si>
    <t>2.1.1</t>
  </si>
  <si>
    <t>INTERNO</t>
  </si>
  <si>
    <t>SUBTOTAL SUBGRUPO</t>
  </si>
  <si>
    <t>Subtotal OPERACIONAL INTERNO</t>
  </si>
  <si>
    <t>Subtotal MATERIAL GRÁFICO</t>
  </si>
  <si>
    <t>Lucro</t>
  </si>
  <si>
    <t>Fernanda Pinheiro</t>
  </si>
  <si>
    <t>Custos Internos</t>
  </si>
  <si>
    <t xml:space="preserve">Subtotal </t>
  </si>
  <si>
    <t>L_086 PROMOTORAS GALBANI CONSULADO ITALIANO</t>
  </si>
  <si>
    <t>DPA</t>
  </si>
  <si>
    <t>PROMOTORAS</t>
  </si>
  <si>
    <t>CONSULADO MINEIRO</t>
  </si>
  <si>
    <t>Carol Iglezias / Luiza Távora</t>
  </si>
  <si>
    <t>TOTAL L_086 PROMOTORAS GALBANI CONSULADO ITALIANO</t>
  </si>
  <si>
    <t xml:space="preserve">Gestão Interna 
Produtor/Atendimento </t>
  </si>
  <si>
    <t xml:space="preserve">Produtor executivo responsável pelo atendimento, negociação e acompanhamento até entrega do material. </t>
  </si>
  <si>
    <t>Custos Operacionais</t>
  </si>
  <si>
    <t>Promotoras</t>
  </si>
  <si>
    <t>Descolocamento de produtor estacionamento e combustível, compra de pacotes de luvas e toca para manipulação de alimentos</t>
  </si>
  <si>
    <t>2.1.2</t>
  </si>
  <si>
    <t xml:space="preserve">Promotoras </t>
  </si>
  <si>
    <t>Promotoras para ação de degustção e hostess da marca Galbani no consulado Italiano</t>
  </si>
  <si>
    <t>VÍDEO</t>
  </si>
  <si>
    <t>STUDIO ROCA</t>
  </si>
  <si>
    <t>VENDA</t>
  </si>
  <si>
    <t xml:space="preserve">CUSTO </t>
  </si>
  <si>
    <t>LUCRO</t>
  </si>
  <si>
    <t>PRINCIPAL</t>
  </si>
  <si>
    <t>IMPOSTO</t>
  </si>
  <si>
    <t>CUSTO TOTAL</t>
  </si>
  <si>
    <t>ROMILDA</t>
  </si>
  <si>
    <t>LUIZA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</si>
</sst>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0.0%"/>
    <numFmt numFmtId="171" formatCode="&quot;R$&quot;\ #,##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theme="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indexed="63"/>
      <name val="Trebuchet MS"/>
      <family val="2"/>
    </font>
    <font>
      <sz val="18"/>
      <color theme="0"/>
      <name val="Calibri"/>
      <family val="2"/>
      <scheme val="minor"/>
    </font>
    <font>
      <b/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sz val="18"/>
      <color theme="1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2"/>
      <color rgb="FFFF0000"/>
      <name val="Trebuchet MS"/>
      <family val="2"/>
    </font>
    <font>
      <b/>
      <sz val="16"/>
      <color theme="1"/>
      <name val="Trebuchet MS"/>
      <family val="2"/>
    </font>
    <font>
      <b/>
      <sz val="16"/>
      <color theme="1"/>
      <name val="Calibri"/>
      <family val="2"/>
      <scheme val="minor"/>
    </font>
    <font>
      <b/>
      <sz val="1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2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0" fillId="8" borderId="40" xfId="0" applyFont="1" applyFill="1" applyBorder="1" applyAlignment="1">
      <alignment vertical="center"/>
    </xf>
    <xf numFmtId="0" fontId="12" fillId="8" borderId="40" xfId="0" applyFont="1" applyFill="1" applyBorder="1" applyAlignment="1">
      <alignment horizontal="center" vertical="center"/>
    </xf>
    <xf numFmtId="22" fontId="10" fillId="8" borderId="40" xfId="0" applyNumberFormat="1" applyFont="1" applyFill="1" applyBorder="1" applyAlignment="1">
      <alignment horizontal="center" vertical="center"/>
    </xf>
    <xf numFmtId="0" fontId="14" fillId="8" borderId="41" xfId="0" applyFont="1" applyFill="1" applyBorder="1" applyAlignment="1">
      <alignment horizontal="center" vertical="center" wrapText="1"/>
    </xf>
    <xf numFmtId="0" fontId="14" fillId="8" borderId="42" xfId="0" applyFont="1" applyFill="1" applyBorder="1" applyAlignment="1">
      <alignment horizontal="center" vertical="center" wrapText="1"/>
    </xf>
    <xf numFmtId="0" fontId="21" fillId="0" borderId="0" xfId="0" applyFont="1"/>
    <xf numFmtId="49" fontId="22" fillId="0" borderId="0" xfId="2" applyNumberFormat="1" applyFont="1" applyAlignment="1">
      <alignment horizontal="left" vertical="center" wrapText="1"/>
    </xf>
    <xf numFmtId="0" fontId="22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64" fontId="23" fillId="0" borderId="0" xfId="2" applyNumberFormat="1" applyFont="1" applyAlignment="1">
      <alignment horizontal="left" vertical="center"/>
    </xf>
    <xf numFmtId="164" fontId="23" fillId="0" borderId="20" xfId="2" applyNumberFormat="1" applyFont="1" applyBorder="1" applyAlignment="1" applyProtection="1">
      <alignment horizontal="left" vertical="center"/>
      <protection locked="0"/>
    </xf>
    <xf numFmtId="164" fontId="23" fillId="0" borderId="19" xfId="2" applyNumberFormat="1" applyFont="1" applyBorder="1" applyAlignment="1" applyProtection="1">
      <alignment horizontal="left" vertical="center"/>
      <protection locked="0"/>
    </xf>
    <xf numFmtId="164" fontId="23" fillId="0" borderId="31" xfId="2" applyNumberFormat="1" applyFont="1" applyBorder="1" applyAlignment="1" applyProtection="1">
      <alignment horizontal="left" vertical="center"/>
      <protection locked="0"/>
    </xf>
    <xf numFmtId="164" fontId="23" fillId="0" borderId="30" xfId="2" applyNumberFormat="1" applyFont="1" applyBorder="1" applyAlignment="1" applyProtection="1">
      <alignment horizontal="left" vertical="center"/>
      <protection locked="0"/>
    </xf>
    <xf numFmtId="0" fontId="23" fillId="0" borderId="23" xfId="2" applyFont="1" applyBorder="1" applyAlignment="1" applyProtection="1">
      <alignment horizontal="left" vertical="center"/>
      <protection locked="0"/>
    </xf>
    <xf numFmtId="14" fontId="23" fillId="0" borderId="30" xfId="2" applyNumberFormat="1" applyFont="1" applyBorder="1" applyAlignment="1" applyProtection="1">
      <alignment horizontal="left" vertical="center"/>
      <protection locked="0"/>
    </xf>
    <xf numFmtId="164" fontId="23" fillId="0" borderId="37" xfId="2" applyNumberFormat="1" applyFont="1" applyBorder="1" applyAlignment="1" applyProtection="1">
      <alignment horizontal="left" vertical="center"/>
      <protection locked="0"/>
    </xf>
    <xf numFmtId="0" fontId="23" fillId="0" borderId="26" xfId="2" applyFont="1" applyBorder="1" applyAlignment="1" applyProtection="1">
      <alignment horizontal="left" vertical="center"/>
      <protection locked="0"/>
    </xf>
    <xf numFmtId="49" fontId="21" fillId="0" borderId="0" xfId="0" applyNumberFormat="1" applyFont="1"/>
    <xf numFmtId="0" fontId="21" fillId="0" borderId="0" xfId="1" applyNumberFormat="1" applyFont="1"/>
    <xf numFmtId="165" fontId="25" fillId="6" borderId="36" xfId="4" applyFont="1" applyFill="1" applyBorder="1" applyAlignment="1">
      <alignment horizontal="center" vertical="center" wrapText="1"/>
    </xf>
    <xf numFmtId="168" fontId="24" fillId="0" borderId="5" xfId="1" applyNumberFormat="1" applyFont="1" applyBorder="1"/>
    <xf numFmtId="166" fontId="25" fillId="0" borderId="38" xfId="4" applyNumberFormat="1" applyFont="1" applyBorder="1" applyAlignment="1">
      <alignment horizontal="center" vertical="center" wrapText="1"/>
    </xf>
    <xf numFmtId="0" fontId="24" fillId="5" borderId="0" xfId="0" applyFont="1" applyFill="1"/>
    <xf numFmtId="49" fontId="24" fillId="5" borderId="0" xfId="0" applyNumberFormat="1" applyFont="1" applyFill="1"/>
    <xf numFmtId="0" fontId="26" fillId="0" borderId="0" xfId="0" applyFont="1"/>
    <xf numFmtId="0" fontId="21" fillId="0" borderId="43" xfId="0" applyFont="1" applyBorder="1" applyAlignment="1">
      <alignment horizontal="left" vertical="center"/>
    </xf>
    <xf numFmtId="49" fontId="21" fillId="0" borderId="44" xfId="0" applyNumberFormat="1" applyFont="1" applyBorder="1" applyAlignment="1">
      <alignment horizontal="left" vertical="center"/>
    </xf>
    <xf numFmtId="0" fontId="21" fillId="0" borderId="45" xfId="0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 wrapText="1"/>
    </xf>
    <xf numFmtId="0" fontId="23" fillId="6" borderId="36" xfId="3" applyFont="1" applyFill="1" applyBorder="1" applyAlignment="1">
      <alignment horizontal="left" vertical="center"/>
    </xf>
    <xf numFmtId="0" fontId="23" fillId="6" borderId="56" xfId="3" applyFont="1" applyFill="1" applyBorder="1" applyAlignment="1">
      <alignment horizontal="center" vertical="center"/>
    </xf>
    <xf numFmtId="0" fontId="27" fillId="6" borderId="53" xfId="3" applyFont="1" applyFill="1" applyBorder="1" applyAlignment="1">
      <alignment horizontal="center" vertical="center"/>
    </xf>
    <xf numFmtId="169" fontId="27" fillId="6" borderId="53" xfId="3" applyNumberFormat="1" applyFont="1" applyFill="1" applyBorder="1" applyAlignment="1">
      <alignment horizontal="center" vertical="center" wrapText="1"/>
    </xf>
    <xf numFmtId="0" fontId="27" fillId="6" borderId="54" xfId="3" applyFont="1" applyFill="1" applyBorder="1" applyAlignment="1">
      <alignment horizontal="center" vertical="center" wrapText="1"/>
    </xf>
    <xf numFmtId="170" fontId="27" fillId="6" borderId="52" xfId="1" applyNumberFormat="1" applyFont="1" applyFill="1" applyBorder="1" applyAlignment="1">
      <alignment horizontal="center" vertical="center" wrapText="1"/>
    </xf>
    <xf numFmtId="10" fontId="27" fillId="6" borderId="53" xfId="1" applyNumberFormat="1" applyFont="1" applyFill="1" applyBorder="1" applyAlignment="1">
      <alignment horizontal="center" vertical="center" wrapText="1"/>
    </xf>
    <xf numFmtId="0" fontId="27" fillId="6" borderId="55" xfId="3" applyFont="1" applyFill="1" applyBorder="1" applyAlignment="1">
      <alignment horizontal="center" vertical="center" wrapText="1"/>
    </xf>
    <xf numFmtId="37" fontId="25" fillId="6" borderId="52" xfId="3" applyNumberFormat="1" applyFont="1" applyFill="1" applyBorder="1" applyAlignment="1">
      <alignment horizontal="center" vertical="center"/>
    </xf>
    <xf numFmtId="37" fontId="25" fillId="6" borderId="53" xfId="3" applyNumberFormat="1" applyFont="1" applyFill="1" applyBorder="1" applyAlignment="1">
      <alignment horizontal="center" vertical="center"/>
    </xf>
    <xf numFmtId="40" fontId="25" fillId="6" borderId="53" xfId="4" applyNumberFormat="1" applyFont="1" applyFill="1" applyBorder="1" applyAlignment="1">
      <alignment horizontal="center" vertical="center"/>
    </xf>
    <xf numFmtId="165" fontId="25" fillId="6" borderId="53" xfId="4" applyFont="1" applyFill="1" applyBorder="1" applyAlignment="1">
      <alignment horizontal="right" vertical="center"/>
    </xf>
    <xf numFmtId="40" fontId="25" fillId="6" borderId="53" xfId="4" applyNumberFormat="1" applyFont="1" applyFill="1" applyBorder="1" applyAlignment="1">
      <alignment horizontal="center" vertical="center" wrapText="1"/>
    </xf>
    <xf numFmtId="10" fontId="25" fillId="6" borderId="53" xfId="5" applyNumberFormat="1" applyFont="1" applyFill="1" applyBorder="1" applyAlignment="1">
      <alignment horizontal="center" vertical="center" wrapText="1"/>
    </xf>
    <xf numFmtId="165" fontId="25" fillId="6" borderId="53" xfId="4" applyFont="1" applyFill="1" applyBorder="1" applyAlignment="1">
      <alignment horizontal="center" vertical="center" wrapText="1"/>
    </xf>
    <xf numFmtId="165" fontId="25" fillId="6" borderId="55" xfId="4" applyFont="1" applyFill="1" applyBorder="1" applyAlignment="1">
      <alignment horizontal="center" vertical="center" wrapText="1"/>
    </xf>
    <xf numFmtId="10" fontId="25" fillId="6" borderId="46" xfId="5" applyNumberFormat="1" applyFont="1" applyFill="1" applyBorder="1" applyAlignment="1">
      <alignment horizontal="center" vertical="center" wrapText="1"/>
    </xf>
    <xf numFmtId="10" fontId="25" fillId="6" borderId="47" xfId="5" applyNumberFormat="1" applyFont="1" applyFill="1" applyBorder="1" applyAlignment="1">
      <alignment horizontal="center" vertical="center" wrapText="1"/>
    </xf>
    <xf numFmtId="165" fontId="25" fillId="6" borderId="48" xfId="4" applyFont="1" applyFill="1" applyBorder="1" applyAlignment="1">
      <alignment horizontal="center" vertical="center" wrapText="1"/>
    </xf>
    <xf numFmtId="165" fontId="25" fillId="6" borderId="47" xfId="4" applyFont="1" applyFill="1" applyBorder="1" applyAlignment="1">
      <alignment horizontal="center" vertical="center" wrapText="1"/>
    </xf>
    <xf numFmtId="37" fontId="25" fillId="6" borderId="3" xfId="3" applyNumberFormat="1" applyFont="1" applyFill="1" applyBorder="1" applyAlignment="1">
      <alignment horizontal="center" vertical="center"/>
    </xf>
    <xf numFmtId="40" fontId="25" fillId="6" borderId="49" xfId="4" applyNumberFormat="1" applyFont="1" applyFill="1" applyBorder="1" applyAlignment="1">
      <alignment horizontal="center" vertical="center"/>
    </xf>
    <xf numFmtId="166" fontId="28" fillId="6" borderId="50" xfId="4" applyNumberFormat="1" applyFont="1" applyFill="1" applyBorder="1" applyAlignment="1">
      <alignment horizontal="center" vertical="center" wrapText="1"/>
    </xf>
    <xf numFmtId="166" fontId="29" fillId="6" borderId="51" xfId="4" applyNumberFormat="1" applyFont="1" applyFill="1" applyBorder="1" applyAlignment="1">
      <alignment horizontal="center" vertical="center" wrapText="1"/>
    </xf>
    <xf numFmtId="49" fontId="30" fillId="0" borderId="44" xfId="0" applyNumberFormat="1" applyFont="1" applyBorder="1" applyAlignment="1">
      <alignment horizontal="left" vertical="center" wrapText="1"/>
    </xf>
    <xf numFmtId="0" fontId="21" fillId="0" borderId="45" xfId="0" applyFont="1" applyBorder="1" applyAlignment="1">
      <alignment horizontal="left" vertical="center" wrapText="1"/>
    </xf>
    <xf numFmtId="0" fontId="27" fillId="11" borderId="54" xfId="0" applyFont="1" applyFill="1" applyBorder="1" applyAlignment="1">
      <alignment horizontal="center" vertical="center"/>
    </xf>
    <xf numFmtId="0" fontId="27" fillId="11" borderId="53" xfId="0" applyFont="1" applyFill="1" applyBorder="1" applyAlignment="1">
      <alignment horizontal="center" vertical="center"/>
    </xf>
    <xf numFmtId="0" fontId="27" fillId="11" borderId="68" xfId="0" applyFont="1" applyFill="1" applyBorder="1" applyAlignment="1">
      <alignment horizontal="center" vertical="center"/>
    </xf>
    <xf numFmtId="0" fontId="24" fillId="11" borderId="10" xfId="0" applyFont="1" applyFill="1" applyBorder="1" applyAlignment="1">
      <alignment horizontal="center" vertical="center"/>
    </xf>
    <xf numFmtId="0" fontId="24" fillId="11" borderId="59" xfId="0" applyFont="1" applyFill="1" applyBorder="1" applyAlignment="1">
      <alignment horizontal="center" vertical="center"/>
    </xf>
    <xf numFmtId="0" fontId="21" fillId="0" borderId="66" xfId="0" applyFont="1" applyBorder="1" applyAlignment="1">
      <alignment horizontal="left" vertical="center" wrapText="1"/>
    </xf>
    <xf numFmtId="0" fontId="21" fillId="0" borderId="58" xfId="0" applyFont="1" applyBorder="1" applyAlignment="1">
      <alignment horizontal="left" vertical="center" wrapText="1"/>
    </xf>
    <xf numFmtId="0" fontId="30" fillId="0" borderId="70" xfId="0" applyFont="1" applyBorder="1" applyAlignment="1">
      <alignment horizontal="left" vertical="center" wrapText="1"/>
    </xf>
    <xf numFmtId="0" fontId="30" fillId="0" borderId="62" xfId="0" applyFont="1" applyBorder="1" applyAlignment="1">
      <alignment horizontal="left" vertical="center" wrapText="1"/>
    </xf>
    <xf numFmtId="0" fontId="30" fillId="0" borderId="62" xfId="0" applyFont="1" applyBorder="1" applyAlignment="1">
      <alignment horizontal="center" vertical="center"/>
    </xf>
    <xf numFmtId="44" fontId="30" fillId="0" borderId="62" xfId="8" applyFont="1" applyBorder="1" applyAlignment="1">
      <alignment vertical="center"/>
    </xf>
    <xf numFmtId="44" fontId="30" fillId="16" borderId="62" xfId="8" applyFont="1" applyFill="1" applyBorder="1" applyAlignment="1">
      <alignment vertical="center"/>
    </xf>
    <xf numFmtId="44" fontId="30" fillId="16" borderId="59" xfId="8" applyFont="1" applyFill="1" applyBorder="1" applyAlignment="1">
      <alignment vertical="center"/>
    </xf>
    <xf numFmtId="1" fontId="27" fillId="12" borderId="7" xfId="0" applyNumberFormat="1" applyFont="1" applyFill="1" applyBorder="1" applyAlignment="1">
      <alignment horizontal="center" vertical="center"/>
    </xf>
    <xf numFmtId="44" fontId="27" fillId="12" borderId="7" xfId="8" applyFont="1" applyFill="1" applyBorder="1" applyAlignment="1">
      <alignment vertical="center"/>
    </xf>
    <xf numFmtId="44" fontId="27" fillId="14" borderId="7" xfId="8" applyFont="1" applyFill="1" applyBorder="1" applyAlignment="1">
      <alignment vertical="center"/>
    </xf>
    <xf numFmtId="9" fontId="27" fillId="13" borderId="7" xfId="1" applyFont="1" applyFill="1" applyBorder="1" applyAlignment="1">
      <alignment vertical="center"/>
    </xf>
    <xf numFmtId="44" fontId="27" fillId="13" borderId="7" xfId="8" applyFont="1" applyFill="1" applyBorder="1" applyAlignment="1">
      <alignment vertical="center"/>
    </xf>
    <xf numFmtId="44" fontId="27" fillId="13" borderId="59" xfId="8" applyFont="1" applyFill="1" applyBorder="1" applyAlignment="1">
      <alignment vertical="center"/>
    </xf>
    <xf numFmtId="10" fontId="27" fillId="14" borderId="59" xfId="0" applyNumberFormat="1" applyFont="1" applyFill="1" applyBorder="1" applyAlignment="1">
      <alignment horizontal="center" vertical="center"/>
    </xf>
    <xf numFmtId="171" fontId="31" fillId="10" borderId="15" xfId="8" applyNumberFormat="1" applyFont="1" applyFill="1" applyBorder="1" applyAlignment="1">
      <alignment horizontal="right"/>
    </xf>
    <xf numFmtId="171" fontId="31" fillId="10" borderId="69" xfId="8" applyNumberFormat="1" applyFont="1" applyFill="1" applyBorder="1" applyAlignment="1">
      <alignment horizontal="right"/>
    </xf>
    <xf numFmtId="44" fontId="31" fillId="10" borderId="15" xfId="8" applyFont="1" applyFill="1" applyBorder="1" applyAlignment="1">
      <alignment horizontal="right"/>
    </xf>
    <xf numFmtId="44" fontId="27" fillId="14" borderId="15" xfId="8" applyFont="1" applyFill="1" applyBorder="1" applyAlignment="1">
      <alignment vertical="center"/>
    </xf>
    <xf numFmtId="9" fontId="30" fillId="13" borderId="15" xfId="1" applyFont="1" applyFill="1" applyBorder="1" applyAlignment="1">
      <alignment vertical="center"/>
    </xf>
    <xf numFmtId="44" fontId="30" fillId="13" borderId="15" xfId="8" applyFont="1" applyFill="1" applyBorder="1" applyAlignment="1">
      <alignment vertical="center"/>
    </xf>
    <xf numFmtId="44" fontId="27" fillId="13" borderId="15" xfId="8" applyFont="1" applyFill="1" applyBorder="1" applyAlignment="1">
      <alignment vertical="center"/>
    </xf>
    <xf numFmtId="44" fontId="27" fillId="13" borderId="64" xfId="8" applyFont="1" applyFill="1" applyBorder="1" applyAlignment="1">
      <alignment vertical="center"/>
    </xf>
    <xf numFmtId="10" fontId="30" fillId="14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21" fillId="0" borderId="57" xfId="0" applyFont="1" applyBorder="1" applyAlignment="1">
      <alignment horizontal="left" vertical="center" wrapText="1"/>
    </xf>
    <xf numFmtId="0" fontId="24" fillId="11" borderId="33" xfId="0" applyFont="1" applyFill="1" applyBorder="1" applyAlignment="1">
      <alignment horizontal="center" vertical="center"/>
    </xf>
    <xf numFmtId="0" fontId="24" fillId="11" borderId="60" xfId="0" applyFont="1" applyFill="1" applyBorder="1" applyAlignment="1">
      <alignment horizontal="center" vertical="center"/>
    </xf>
    <xf numFmtId="0" fontId="30" fillId="0" borderId="67" xfId="0" applyFont="1" applyBorder="1" applyAlignment="1">
      <alignment horizontal="left" vertical="center" wrapText="1"/>
    </xf>
    <xf numFmtId="0" fontId="30" fillId="0" borderId="59" xfId="0" applyFont="1" applyBorder="1" applyAlignment="1">
      <alignment horizontal="left" vertical="center" wrapText="1"/>
    </xf>
    <xf numFmtId="0" fontId="30" fillId="0" borderId="59" xfId="0" applyFont="1" applyBorder="1" applyAlignment="1">
      <alignment horizontal="center" vertical="center"/>
    </xf>
    <xf numFmtId="44" fontId="30" fillId="0" borderId="59" xfId="8" applyFont="1" applyBorder="1" applyAlignment="1">
      <alignment vertical="center"/>
    </xf>
    <xf numFmtId="1" fontId="30" fillId="12" borderId="7" xfId="0" applyNumberFormat="1" applyFont="1" applyFill="1" applyBorder="1" applyAlignment="1">
      <alignment horizontal="center" vertical="center"/>
    </xf>
    <xf numFmtId="44" fontId="30" fillId="12" borderId="7" xfId="8" applyFont="1" applyFill="1" applyBorder="1" applyAlignment="1">
      <alignment vertical="center"/>
    </xf>
    <xf numFmtId="44" fontId="30" fillId="14" borderId="7" xfId="8" applyFont="1" applyFill="1" applyBorder="1" applyAlignment="1">
      <alignment vertical="center"/>
    </xf>
    <xf numFmtId="9" fontId="30" fillId="13" borderId="7" xfId="1" applyFont="1" applyFill="1" applyBorder="1" applyAlignment="1">
      <alignment vertical="center"/>
    </xf>
    <xf numFmtId="44" fontId="30" fillId="13" borderId="7" xfId="8" applyFont="1" applyFill="1" applyBorder="1" applyAlignment="1">
      <alignment vertical="center"/>
    </xf>
    <xf numFmtId="44" fontId="30" fillId="13" borderId="59" xfId="8" applyFont="1" applyFill="1" applyBorder="1" applyAlignment="1">
      <alignment vertical="center"/>
    </xf>
    <xf numFmtId="10" fontId="31" fillId="14" borderId="59" xfId="8" applyNumberFormat="1" applyFont="1" applyFill="1" applyBorder="1" applyAlignment="1">
      <alignment horizontal="center" vertical="center"/>
    </xf>
    <xf numFmtId="10" fontId="31" fillId="14" borderId="60" xfId="8" applyNumberFormat="1" applyFont="1" applyFill="1" applyBorder="1" applyAlignment="1">
      <alignment horizontal="center" vertical="center"/>
    </xf>
    <xf numFmtId="10" fontId="30" fillId="14" borderId="59" xfId="0" applyNumberFormat="1" applyFont="1" applyFill="1" applyBorder="1" applyAlignment="1">
      <alignment horizontal="center" vertical="center"/>
    </xf>
    <xf numFmtId="0" fontId="21" fillId="11" borderId="59" xfId="0" applyFont="1" applyFill="1" applyBorder="1" applyAlignment="1">
      <alignment horizontal="center" vertical="center"/>
    </xf>
    <xf numFmtId="171" fontId="31" fillId="10" borderId="0" xfId="8" applyNumberFormat="1" applyFont="1" applyFill="1" applyBorder="1" applyAlignment="1">
      <alignment horizontal="right"/>
    </xf>
    <xf numFmtId="171" fontId="31" fillId="10" borderId="18" xfId="8" applyNumberFormat="1" applyFont="1" applyFill="1" applyBorder="1" applyAlignment="1">
      <alignment horizontal="right"/>
    </xf>
    <xf numFmtId="44" fontId="31" fillId="10" borderId="0" xfId="8" applyFont="1" applyFill="1" applyBorder="1" applyAlignment="1">
      <alignment horizontal="right"/>
    </xf>
    <xf numFmtId="44" fontId="27" fillId="14" borderId="0" xfId="8" applyFont="1" applyFill="1" applyBorder="1" applyAlignment="1">
      <alignment vertical="center"/>
    </xf>
    <xf numFmtId="9" fontId="30" fillId="13" borderId="0" xfId="1" applyFont="1" applyFill="1" applyBorder="1" applyAlignment="1">
      <alignment vertical="center"/>
    </xf>
    <xf numFmtId="44" fontId="30" fillId="13" borderId="0" xfId="8" applyFont="1" applyFill="1" applyBorder="1" applyAlignment="1">
      <alignment vertical="center"/>
    </xf>
    <xf numFmtId="44" fontId="27" fillId="13" borderId="0" xfId="8" applyFont="1" applyFill="1" applyBorder="1" applyAlignment="1">
      <alignment vertical="center"/>
    </xf>
    <xf numFmtId="44" fontId="31" fillId="15" borderId="11" xfId="8" applyFont="1" applyFill="1" applyBorder="1" applyAlignment="1">
      <alignment horizontal="center"/>
    </xf>
    <xf numFmtId="44" fontId="31" fillId="15" borderId="72" xfId="8" applyFont="1" applyFill="1" applyBorder="1" applyAlignment="1">
      <alignment horizontal="center"/>
    </xf>
    <xf numFmtId="49" fontId="30" fillId="0" borderId="74" xfId="0" applyNumberFormat="1" applyFont="1" applyBorder="1" applyAlignment="1">
      <alignment horizontal="left" vertical="center" wrapText="1"/>
    </xf>
    <xf numFmtId="0" fontId="31" fillId="15" borderId="6" xfId="0" applyFont="1" applyFill="1" applyBorder="1"/>
    <xf numFmtId="0" fontId="31" fillId="15" borderId="35" xfId="0" applyFont="1" applyFill="1" applyBorder="1"/>
    <xf numFmtId="0" fontId="31" fillId="15" borderId="35" xfId="0" applyFont="1" applyFill="1" applyBorder="1" applyAlignment="1">
      <alignment horizontal="center"/>
    </xf>
    <xf numFmtId="44" fontId="31" fillId="15" borderId="35" xfId="0" applyNumberFormat="1" applyFont="1" applyFill="1" applyBorder="1"/>
    <xf numFmtId="44" fontId="31" fillId="15" borderId="71" xfId="0" applyNumberFormat="1" applyFont="1" applyFill="1" applyBorder="1"/>
    <xf numFmtId="0" fontId="31" fillId="15" borderId="6" xfId="0" applyFont="1" applyFill="1" applyBorder="1" applyAlignment="1">
      <alignment horizontal="center"/>
    </xf>
    <xf numFmtId="9" fontId="31" fillId="15" borderId="14" xfId="1" applyFont="1" applyFill="1" applyBorder="1"/>
    <xf numFmtId="44" fontId="31" fillId="15" borderId="73" xfId="8" applyFont="1" applyFill="1" applyBorder="1"/>
    <xf numFmtId="0" fontId="24" fillId="0" borderId="0" xfId="0" applyFont="1" applyAlignment="1">
      <alignment horizontal="right"/>
    </xf>
    <xf numFmtId="44" fontId="32" fillId="0" borderId="59" xfId="8" applyFont="1" applyBorder="1"/>
    <xf numFmtId="44" fontId="33" fillId="0" borderId="59" xfId="8" applyFont="1" applyBorder="1"/>
    <xf numFmtId="0" fontId="16" fillId="0" borderId="0" xfId="0" applyFont="1"/>
    <xf numFmtId="0" fontId="16" fillId="0" borderId="0" xfId="0" applyFont="1" applyAlignment="1">
      <alignment horizontal="center"/>
    </xf>
    <xf numFmtId="16" fontId="16" fillId="17" borderId="11" xfId="0" applyNumberFormat="1" applyFont="1" applyFill="1" applyBorder="1"/>
    <xf numFmtId="16" fontId="16" fillId="17" borderId="12" xfId="0" applyNumberFormat="1" applyFont="1" applyFill="1" applyBorder="1"/>
    <xf numFmtId="16" fontId="16" fillId="18" borderId="14" xfId="0" applyNumberFormat="1" applyFont="1" applyFill="1" applyBorder="1"/>
    <xf numFmtId="16" fontId="16" fillId="18" borderId="15" xfId="0" applyNumberFormat="1" applyFont="1" applyFill="1" applyBorder="1"/>
    <xf numFmtId="0" fontId="16" fillId="19" borderId="17" xfId="0" applyFont="1" applyFill="1" applyBorder="1" applyAlignment="1">
      <alignment horizontal="right"/>
    </xf>
    <xf numFmtId="0" fontId="16" fillId="19" borderId="0" xfId="0" applyFont="1" applyFill="1" applyAlignment="1">
      <alignment horizontal="right"/>
    </xf>
    <xf numFmtId="0" fontId="18" fillId="20" borderId="14" xfId="0" applyFont="1" applyFill="1" applyBorder="1"/>
    <xf numFmtId="0" fontId="18" fillId="20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7" fillId="21" borderId="59" xfId="0" applyFont="1" applyFill="1" applyBorder="1" applyAlignment="1">
      <alignment horizontal="center"/>
    </xf>
    <xf numFmtId="164" fontId="4" fillId="0" borderId="59" xfId="2" applyNumberFormat="1" applyFont="1" applyBorder="1" applyAlignment="1" applyProtection="1">
      <alignment horizontal="left" vertical="center"/>
      <protection locked="0"/>
    </xf>
    <xf numFmtId="44" fontId="17" fillId="0" borderId="59" xfId="0" applyNumberFormat="1" applyFont="1" applyBorder="1"/>
    <xf numFmtId="9" fontId="17" fillId="0" borderId="59" xfId="1" applyFont="1" applyBorder="1" applyAlignment="1">
      <alignment horizontal="center"/>
    </xf>
    <xf numFmtId="44" fontId="17" fillId="21" borderId="59" xfId="0" applyNumberFormat="1" applyFont="1" applyFill="1" applyBorder="1" applyAlignment="1">
      <alignment horizontal="center"/>
    </xf>
    <xf numFmtId="44" fontId="16" fillId="0" borderId="0" xfId="0" applyNumberFormat="1" applyFont="1"/>
    <xf numFmtId="171" fontId="16" fillId="0" borderId="0" xfId="0" applyNumberFormat="1" applyFont="1"/>
    <xf numFmtId="44" fontId="34" fillId="0" borderId="0" xfId="0" applyNumberFormat="1" applyFont="1"/>
    <xf numFmtId="0" fontId="24" fillId="0" borderId="0" xfId="0" applyFont="1"/>
    <xf numFmtId="0" fontId="35" fillId="0" borderId="0" xfId="0" applyFont="1" applyAlignment="1">
      <alignment horizontal="left"/>
    </xf>
    <xf numFmtId="9" fontId="36" fillId="0" borderId="0" xfId="1" applyFont="1"/>
    <xf numFmtId="0" fontId="36" fillId="0" borderId="0" xfId="0" applyFont="1"/>
    <xf numFmtId="164" fontId="37" fillId="0" borderId="20" xfId="2" applyNumberFormat="1" applyFont="1" applyBorder="1" applyAlignment="1" applyProtection="1">
      <alignment horizontal="left" vertical="center"/>
      <protection locked="0"/>
    </xf>
    <xf numFmtId="164" fontId="37" fillId="0" borderId="19" xfId="2" applyNumberFormat="1" applyFont="1" applyBorder="1" applyAlignment="1" applyProtection="1">
      <alignment horizontal="left" vertical="center"/>
      <protection locked="0"/>
    </xf>
    <xf numFmtId="164" fontId="37" fillId="0" borderId="31" xfId="2" applyNumberFormat="1" applyFont="1" applyBorder="1" applyAlignment="1" applyProtection="1">
      <alignment horizontal="left" vertical="center"/>
      <protection locked="0"/>
    </xf>
    <xf numFmtId="164" fontId="37" fillId="0" borderId="30" xfId="2" applyNumberFormat="1" applyFont="1" applyBorder="1" applyAlignment="1" applyProtection="1">
      <alignment horizontal="left" vertical="center"/>
      <protection locked="0"/>
    </xf>
    <xf numFmtId="0" fontId="37" fillId="0" borderId="23" xfId="2" applyFont="1" applyBorder="1" applyAlignment="1" applyProtection="1">
      <alignment horizontal="left" vertical="center"/>
      <protection locked="0"/>
    </xf>
    <xf numFmtId="14" fontId="37" fillId="0" borderId="30" xfId="2" applyNumberFormat="1" applyFont="1" applyBorder="1" applyAlignment="1" applyProtection="1">
      <alignment horizontal="left" vertical="center"/>
      <protection locked="0"/>
    </xf>
    <xf numFmtId="164" fontId="37" fillId="0" borderId="37" xfId="2" applyNumberFormat="1" applyFont="1" applyBorder="1" applyAlignment="1" applyProtection="1">
      <alignment horizontal="left" vertical="center"/>
      <protection locked="0"/>
    </xf>
    <xf numFmtId="0" fontId="37" fillId="0" borderId="26" xfId="2" applyFont="1" applyBorder="1" applyAlignment="1" applyProtection="1">
      <alignment horizontal="left" vertical="center"/>
      <protection locked="0"/>
    </xf>
    <xf numFmtId="44" fontId="36" fillId="0" borderId="0" xfId="0" applyNumberFormat="1" applyFont="1"/>
    <xf numFmtId="44" fontId="16" fillId="0" borderId="72" xfId="0" applyNumberFormat="1" applyFont="1" applyBorder="1" applyAlignment="1">
      <alignment horizontal="center" vertical="center"/>
    </xf>
    <xf numFmtId="0" fontId="16" fillId="0" borderId="73" xfId="0" applyFont="1" applyBorder="1" applyAlignment="1">
      <alignment horizontal="center" vertical="center"/>
    </xf>
    <xf numFmtId="166" fontId="25" fillId="0" borderId="38" xfId="4" applyNumberFormat="1" applyFont="1" applyBorder="1" applyAlignment="1">
      <alignment horizontal="center" vertical="center" wrapText="1"/>
    </xf>
    <xf numFmtId="166" fontId="25" fillId="0" borderId="39" xfId="4" applyNumberFormat="1" applyFont="1" applyBorder="1" applyAlignment="1">
      <alignment horizontal="center" vertical="center" wrapText="1"/>
    </xf>
    <xf numFmtId="166" fontId="25" fillId="4" borderId="17" xfId="4" applyNumberFormat="1" applyFont="1" applyFill="1" applyBorder="1" applyAlignment="1">
      <alignment horizontal="center" vertical="center" wrapText="1"/>
    </xf>
    <xf numFmtId="166" fontId="25" fillId="4" borderId="0" xfId="4" applyNumberFormat="1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 vertical="center" wrapText="1"/>
    </xf>
    <xf numFmtId="0" fontId="23" fillId="0" borderId="0" xfId="2" applyFont="1" applyAlignment="1">
      <alignment horizontal="left" vertical="top"/>
    </xf>
    <xf numFmtId="0" fontId="25" fillId="2" borderId="3" xfId="3" applyFont="1" applyFill="1" applyBorder="1" applyAlignment="1">
      <alignment horizontal="center" vertical="center"/>
    </xf>
    <xf numFmtId="0" fontId="25" fillId="2" borderId="4" xfId="3" applyFont="1" applyFill="1" applyBorder="1" applyAlignment="1">
      <alignment horizontal="center" vertical="center"/>
    </xf>
    <xf numFmtId="0" fontId="25" fillId="2" borderId="5" xfId="3" applyFont="1" applyFill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 wrapText="1"/>
    </xf>
    <xf numFmtId="0" fontId="25" fillId="3" borderId="35" xfId="0" applyFont="1" applyFill="1" applyBorder="1" applyAlignment="1">
      <alignment horizontal="center" vertical="center" wrapText="1"/>
    </xf>
    <xf numFmtId="0" fontId="25" fillId="3" borderId="5" xfId="0" applyFont="1" applyFill="1" applyBorder="1" applyAlignment="1">
      <alignment horizontal="center" vertical="center" wrapText="1"/>
    </xf>
    <xf numFmtId="166" fontId="25" fillId="4" borderId="6" xfId="4" applyNumberFormat="1" applyFont="1" applyFill="1" applyBorder="1" applyAlignment="1">
      <alignment horizontal="center" vertical="center" wrapText="1"/>
    </xf>
    <xf numFmtId="166" fontId="25" fillId="4" borderId="35" xfId="4" applyNumberFormat="1" applyFont="1" applyFill="1" applyBorder="1" applyAlignment="1">
      <alignment horizontal="center" vertical="center" wrapText="1"/>
    </xf>
    <xf numFmtId="166" fontId="25" fillId="4" borderId="5" xfId="4" applyNumberFormat="1" applyFont="1" applyFill="1" applyBorder="1" applyAlignment="1">
      <alignment horizontal="center" vertical="center" wrapText="1"/>
    </xf>
    <xf numFmtId="0" fontId="31" fillId="9" borderId="52" xfId="0" applyFont="1" applyFill="1" applyBorder="1" applyAlignment="1">
      <alignment horizontal="center"/>
    </xf>
    <xf numFmtId="0" fontId="31" fillId="9" borderId="53" xfId="0" applyFont="1" applyFill="1" applyBorder="1" applyAlignment="1">
      <alignment horizontal="center"/>
    </xf>
    <xf numFmtId="0" fontId="31" fillId="10" borderId="78" xfId="0" applyFont="1" applyFill="1" applyBorder="1" applyAlignment="1">
      <alignment horizontal="left"/>
    </xf>
    <xf numFmtId="0" fontId="31" fillId="10" borderId="79" xfId="0" applyFont="1" applyFill="1" applyBorder="1" applyAlignment="1">
      <alignment horizontal="left"/>
    </xf>
    <xf numFmtId="0" fontId="31" fillId="10" borderId="61" xfId="0" applyFont="1" applyFill="1" applyBorder="1" applyAlignment="1">
      <alignment horizontal="left"/>
    </xf>
    <xf numFmtId="0" fontId="31" fillId="10" borderId="8" xfId="0" applyFont="1" applyFill="1" applyBorder="1" applyAlignment="1">
      <alignment horizontal="left"/>
    </xf>
    <xf numFmtId="1" fontId="31" fillId="10" borderId="61" xfId="0" applyNumberFormat="1" applyFont="1" applyFill="1" applyBorder="1" applyAlignment="1">
      <alignment horizontal="left"/>
    </xf>
    <xf numFmtId="1" fontId="31" fillId="10" borderId="8" xfId="0" applyNumberFormat="1" applyFont="1" applyFill="1" applyBorder="1" applyAlignment="1">
      <alignment horizontal="left"/>
    </xf>
    <xf numFmtId="0" fontId="31" fillId="9" borderId="17" xfId="0" applyFont="1" applyFill="1" applyBorder="1" applyAlignment="1">
      <alignment horizontal="center"/>
    </xf>
    <xf numFmtId="0" fontId="31" fillId="9" borderId="0" xfId="0" applyFont="1" applyFill="1" applyAlignment="1">
      <alignment horizontal="center"/>
    </xf>
    <xf numFmtId="0" fontId="31" fillId="9" borderId="18" xfId="0" applyFont="1" applyFill="1" applyBorder="1" applyAlignment="1">
      <alignment horizontal="center"/>
    </xf>
    <xf numFmtId="0" fontId="31" fillId="10" borderId="75" xfId="0" applyFont="1" applyFill="1" applyBorder="1" applyAlignment="1">
      <alignment horizontal="left"/>
    </xf>
    <xf numFmtId="0" fontId="31" fillId="10" borderId="76" xfId="0" applyFont="1" applyFill="1" applyBorder="1" applyAlignment="1">
      <alignment horizontal="left"/>
    </xf>
    <xf numFmtId="0" fontId="31" fillId="10" borderId="77" xfId="0" applyFont="1" applyFill="1" applyBorder="1" applyAlignment="1">
      <alignment horizontal="left"/>
    </xf>
    <xf numFmtId="0" fontId="31" fillId="10" borderId="11" xfId="0" applyFont="1" applyFill="1" applyBorder="1" applyAlignment="1">
      <alignment horizontal="left"/>
    </xf>
    <xf numFmtId="0" fontId="31" fillId="10" borderId="12" xfId="0" applyFont="1" applyFill="1" applyBorder="1" applyAlignment="1">
      <alignment horizontal="left"/>
    </xf>
    <xf numFmtId="0" fontId="31" fillId="10" borderId="63" xfId="0" applyFont="1" applyFill="1" applyBorder="1" applyAlignment="1">
      <alignment horizontal="left"/>
    </xf>
    <xf numFmtId="0" fontId="31" fillId="10" borderId="56" xfId="0" applyFont="1" applyFill="1" applyBorder="1" applyAlignment="1">
      <alignment horizontal="left"/>
    </xf>
    <xf numFmtId="0" fontId="31" fillId="10" borderId="65" xfId="0" applyFont="1" applyFill="1" applyBorder="1" applyAlignment="1">
      <alignment horizontal="left"/>
    </xf>
    <xf numFmtId="0" fontId="31" fillId="10" borderId="14" xfId="0" applyFont="1" applyFill="1" applyBorder="1" applyAlignment="1">
      <alignment horizontal="left"/>
    </xf>
    <xf numFmtId="0" fontId="31" fillId="10" borderId="15" xfId="0" applyFont="1" applyFill="1" applyBorder="1" applyAlignment="1">
      <alignment horizontal="left"/>
    </xf>
    <xf numFmtId="1" fontId="31" fillId="10" borderId="14" xfId="0" applyNumberFormat="1" applyFont="1" applyFill="1" applyBorder="1" applyAlignment="1">
      <alignment horizontal="left"/>
    </xf>
    <xf numFmtId="1" fontId="31" fillId="10" borderId="15" xfId="0" applyNumberFormat="1" applyFont="1" applyFill="1" applyBorder="1" applyAlignment="1">
      <alignment horizontal="left"/>
    </xf>
    <xf numFmtId="0" fontId="10" fillId="8" borderId="40" xfId="0" applyFont="1" applyFill="1" applyBorder="1" applyAlignment="1">
      <alignment horizontal="left" vertical="center"/>
    </xf>
    <xf numFmtId="0" fontId="10" fillId="8" borderId="4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40" xfId="0" applyFont="1" applyFill="1" applyBorder="1" applyAlignment="1">
      <alignment horizontal="left" vertical="top"/>
    </xf>
    <xf numFmtId="0" fontId="13" fillId="8" borderId="40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44" fontId="21" fillId="16" borderId="0" xfId="0" applyNumberFormat="1" applyFont="1" applyFill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668914</xdr:colOff>
      <xdr:row>0</xdr:row>
      <xdr:rowOff>152400</xdr:rowOff>
    </xdr:from>
    <xdr:to>
      <xdr:col>5</xdr:col>
      <xdr:colOff>759670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625238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49</xdr:col>
      <xdr:colOff>152625</xdr:colOff>
      <xdr:row>0</xdr:row>
      <xdr:rowOff>190500</xdr:rowOff>
    </xdr:from>
    <xdr:to>
      <xdr:col>50</xdr:col>
      <xdr:colOff>531164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48</xdr:col>
      <xdr:colOff>282721</xdr:colOff>
      <xdr:row>0</xdr:row>
      <xdr:rowOff>185741</xdr:rowOff>
    </xdr:from>
    <xdr:to>
      <xdr:col>49</xdr:col>
      <xdr:colOff>79597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668914</xdr:colOff>
      <xdr:row>0</xdr:row>
      <xdr:rowOff>152400</xdr:rowOff>
    </xdr:from>
    <xdr:to>
      <xdr:col>5</xdr:col>
      <xdr:colOff>759670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49</xdr:col>
      <xdr:colOff>152625</xdr:colOff>
      <xdr:row>0</xdr:row>
      <xdr:rowOff>190500</xdr:rowOff>
    </xdr:from>
    <xdr:to>
      <xdr:col>50</xdr:col>
      <xdr:colOff>531164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11</xdr:col>
      <xdr:colOff>544286</xdr:colOff>
      <xdr:row>2</xdr:row>
      <xdr:rowOff>179614</xdr:rowOff>
    </xdr:from>
    <xdr:ext cx="2776118" cy="1993675"/>
    <xdr:pic>
      <xdr:nvPicPr>
        <xdr:cNvPr id="12" name="Imagem 11">
          <a:extLst>
            <a:ext uri="{FF2B5EF4-FFF2-40B4-BE49-F238E27FC236}">
              <a16:creationId xmlns:a16="http://schemas.microsoft.com/office/drawing/2014/main" id="{ED989FE6-125E-4003-A80A-6825842EC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64586" y="1132114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B7F5-2125-4371-B956-775FFE9D2BAA}">
  <dimension ref="A1:H30"/>
  <sheetViews>
    <sheetView showGridLines="0" tabSelected="1" topLeftCell="A13" zoomScaleNormal="100" workbookViewId="0">
      <selection activeCell="C23" sqref="C23:D23"/>
    </sheetView>
  </sheetViews>
  <sheetFormatPr defaultColWidth="8.6640625" defaultRowHeight="16.2" x14ac:dyDescent="0.35"/>
  <cols>
    <col min="1" max="1" width="8.6640625" style="149"/>
    <col min="2" max="2" width="23.44140625" style="149" bestFit="1" customWidth="1"/>
    <col min="3" max="3" width="51.33203125" style="149" bestFit="1" customWidth="1"/>
    <col min="4" max="4" width="21" style="149" bestFit="1" customWidth="1"/>
    <col min="5" max="5" width="20" style="149" bestFit="1" customWidth="1"/>
    <col min="6" max="6" width="11.88671875" style="150" bestFit="1" customWidth="1"/>
    <col min="7" max="7" width="13.5546875" style="149" bestFit="1" customWidth="1"/>
    <col min="8" max="8" width="10" style="149" customWidth="1"/>
    <col min="9" max="16384" width="8.6640625" style="149"/>
  </cols>
  <sheetData>
    <row r="1" spans="1:5" s="150" customFormat="1" hidden="1" x14ac:dyDescent="0.35">
      <c r="A1" s="149"/>
      <c r="B1" s="149"/>
      <c r="C1" s="149"/>
      <c r="D1" s="149"/>
      <c r="E1" s="149"/>
    </row>
    <row r="2" spans="1:5" s="150" customFormat="1" hidden="1" x14ac:dyDescent="0.35">
      <c r="A2" s="149"/>
      <c r="B2" s="149"/>
      <c r="C2" s="149"/>
      <c r="D2" s="149"/>
      <c r="E2" s="149"/>
    </row>
    <row r="3" spans="1:5" s="150" customFormat="1" hidden="1" x14ac:dyDescent="0.35">
      <c r="A3" s="149"/>
      <c r="B3" s="149"/>
      <c r="C3" s="151">
        <v>45866</v>
      </c>
      <c r="D3" s="152"/>
      <c r="E3" s="183" t="e">
        <f>SUM(#REF!)</f>
        <v>#REF!</v>
      </c>
    </row>
    <row r="4" spans="1:5" s="150" customFormat="1" ht="15.6" hidden="1" customHeight="1" thickBot="1" x14ac:dyDescent="0.4">
      <c r="A4" s="149"/>
      <c r="B4" s="149"/>
      <c r="C4" s="153">
        <v>45867</v>
      </c>
      <c r="D4" s="154"/>
      <c r="E4" s="184"/>
    </row>
    <row r="5" spans="1:5" s="150" customFormat="1" hidden="1" x14ac:dyDescent="0.35">
      <c r="A5" s="149"/>
      <c r="B5" s="149"/>
      <c r="C5" s="155" t="s">
        <v>157</v>
      </c>
      <c r="D5" s="156"/>
      <c r="E5" s="149"/>
    </row>
    <row r="6" spans="1:5" s="150" customFormat="1" hidden="1" x14ac:dyDescent="0.35">
      <c r="A6" s="149"/>
      <c r="B6" s="149"/>
      <c r="C6" s="155" t="s">
        <v>158</v>
      </c>
      <c r="D6" s="156"/>
      <c r="E6" s="149"/>
    </row>
    <row r="7" spans="1:5" s="150" customFormat="1" ht="16.8" hidden="1" thickBot="1" x14ac:dyDescent="0.4">
      <c r="A7" s="149"/>
      <c r="B7" s="149"/>
      <c r="C7" s="157" t="s">
        <v>42</v>
      </c>
      <c r="D7" s="158"/>
      <c r="E7" s="149"/>
    </row>
    <row r="9" spans="1:5" s="150" customFormat="1" x14ac:dyDescent="0.35">
      <c r="A9" s="149" t="s">
        <v>99</v>
      </c>
      <c r="B9" s="149"/>
      <c r="C9" s="149"/>
      <c r="D9" s="149"/>
      <c r="E9" s="149"/>
    </row>
    <row r="10" spans="1:5" s="150" customFormat="1" ht="24" customHeight="1" x14ac:dyDescent="0.35">
      <c r="A10" s="149"/>
      <c r="B10" s="149"/>
      <c r="C10" s="149"/>
      <c r="D10" s="149"/>
      <c r="E10" s="149"/>
    </row>
    <row r="12" spans="1:5" s="150" customFormat="1" ht="15" customHeight="1" x14ac:dyDescent="0.35">
      <c r="A12" s="149"/>
      <c r="B12" s="174" t="s">
        <v>129</v>
      </c>
      <c r="C12" s="175" t="s">
        <v>143</v>
      </c>
      <c r="D12" s="159"/>
      <c r="E12" s="149"/>
    </row>
    <row r="13" spans="1:5" s="150" customFormat="1" ht="15" customHeight="1" x14ac:dyDescent="0.35">
      <c r="A13" s="149"/>
      <c r="B13" s="176" t="s">
        <v>130</v>
      </c>
      <c r="C13" s="177" t="s">
        <v>144</v>
      </c>
      <c r="D13" s="159"/>
      <c r="E13" s="149"/>
    </row>
    <row r="14" spans="1:5" s="150" customFormat="1" ht="15" customHeight="1" x14ac:dyDescent="0.35">
      <c r="A14" s="149"/>
      <c r="B14" s="176" t="s">
        <v>131</v>
      </c>
      <c r="C14" s="178" t="s">
        <v>145</v>
      </c>
      <c r="D14" s="160"/>
      <c r="E14" s="149"/>
    </row>
    <row r="15" spans="1:5" s="150" customFormat="1" ht="15" customHeight="1" x14ac:dyDescent="0.35">
      <c r="A15" s="149"/>
      <c r="B15" s="176" t="s">
        <v>132</v>
      </c>
      <c r="C15" s="178" t="s">
        <v>146</v>
      </c>
      <c r="D15" s="160"/>
      <c r="E15" s="149"/>
    </row>
    <row r="16" spans="1:5" s="150" customFormat="1" ht="15" customHeight="1" x14ac:dyDescent="0.35">
      <c r="A16" s="149"/>
      <c r="B16" s="176" t="s">
        <v>128</v>
      </c>
      <c r="C16" s="179">
        <v>46171</v>
      </c>
      <c r="D16" s="161"/>
      <c r="E16" s="149"/>
    </row>
    <row r="17" spans="1:8" ht="15" customHeight="1" x14ac:dyDescent="0.35">
      <c r="B17" s="176" t="s">
        <v>127</v>
      </c>
      <c r="C17" s="178" t="s">
        <v>140</v>
      </c>
      <c r="D17" s="160"/>
    </row>
    <row r="18" spans="1:8" ht="15" customHeight="1" x14ac:dyDescent="0.35">
      <c r="B18" s="176" t="s">
        <v>126</v>
      </c>
      <c r="C18" s="178" t="s">
        <v>147</v>
      </c>
      <c r="D18" s="160"/>
    </row>
    <row r="19" spans="1:8" ht="15" customHeight="1" x14ac:dyDescent="0.35">
      <c r="B19" s="180" t="s">
        <v>125</v>
      </c>
      <c r="C19" s="181" t="s">
        <v>143</v>
      </c>
      <c r="D19" s="160"/>
    </row>
    <row r="21" spans="1:8" ht="15.6" customHeight="1" x14ac:dyDescent="0.35">
      <c r="B21" s="162"/>
      <c r="C21" s="162" t="s">
        <v>159</v>
      </c>
      <c r="D21" s="162" t="s">
        <v>160</v>
      </c>
      <c r="E21" s="162" t="s">
        <v>161</v>
      </c>
    </row>
    <row r="22" spans="1:8" x14ac:dyDescent="0.35">
      <c r="B22" s="163" t="s">
        <v>162</v>
      </c>
      <c r="C22" s="164">
        <f>Planilha!N24</f>
        <v>3345.0944451348332</v>
      </c>
      <c r="D22" s="164">
        <f>Planilha!AM28</f>
        <v>1647.6641667702252</v>
      </c>
      <c r="E22" s="164">
        <f t="shared" ref="E22" si="0">C22-D22</f>
        <v>1697.4302783646081</v>
      </c>
      <c r="F22" s="165">
        <f t="shared" ref="F22:F23" si="1">E22*100%/C22</f>
        <v>0.50743867062808401</v>
      </c>
    </row>
    <row r="23" spans="1:8" x14ac:dyDescent="0.35">
      <c r="B23" s="162" t="s">
        <v>42</v>
      </c>
      <c r="C23" s="166">
        <f>SUM(C22:C22)</f>
        <v>3345.0944451348332</v>
      </c>
      <c r="D23" s="166">
        <f>SUM(D22:D22)</f>
        <v>1647.6641667702252</v>
      </c>
      <c r="E23" s="166">
        <f>SUM(E22:E22)</f>
        <v>1697.4302783646081</v>
      </c>
      <c r="F23" s="165">
        <f t="shared" si="1"/>
        <v>0.50743867062808401</v>
      </c>
      <c r="H23" s="167"/>
    </row>
    <row r="24" spans="1:8" x14ac:dyDescent="0.35">
      <c r="C24" s="169"/>
    </row>
    <row r="26" spans="1:8" x14ac:dyDescent="0.35">
      <c r="E26" s="167"/>
    </row>
    <row r="30" spans="1:8" s="150" customFormat="1" x14ac:dyDescent="0.35">
      <c r="A30" s="149"/>
      <c r="B30" s="149"/>
      <c r="C30" s="149"/>
      <c r="D30" s="149"/>
      <c r="E30" s="168"/>
      <c r="G30" s="149"/>
      <c r="H30" s="149"/>
    </row>
  </sheetData>
  <mergeCells count="1">
    <mergeCell ref="E3:E4"/>
  </mergeCells>
  <pageMargins left="0.51181102362204722" right="0.51181102362204722" top="0.39370078740157483" bottom="0.39370078740157483" header="0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O39"/>
  <sheetViews>
    <sheetView showGridLines="0" zoomScale="50" zoomScaleNormal="50" workbookViewId="0">
      <pane ySplit="1" topLeftCell="A18" activePane="bottomLeft" state="frozen"/>
      <selection pane="bottomLeft" activeCell="AM31" sqref="AM31"/>
    </sheetView>
  </sheetViews>
  <sheetFormatPr defaultColWidth="8.88671875" defaultRowHeight="23.4" x14ac:dyDescent="0.45"/>
  <cols>
    <col min="1" max="1" width="4.6640625" style="29" hidden="1" customWidth="1"/>
    <col min="2" max="2" width="12" style="29" customWidth="1"/>
    <col min="3" max="5" width="4.6640625" style="29" hidden="1" customWidth="1"/>
    <col min="6" max="6" width="44.44140625" style="29" customWidth="1"/>
    <col min="7" max="7" width="66.6640625" style="29" customWidth="1"/>
    <col min="8" max="9" width="7.33203125" style="32" hidden="1" customWidth="1"/>
    <col min="10" max="10" width="16.44140625" style="29" hidden="1" customWidth="1"/>
    <col min="11" max="11" width="26.6640625" style="29" bestFit="1" customWidth="1"/>
    <col min="12" max="12" width="24.6640625" style="29" bestFit="1" customWidth="1"/>
    <col min="13" max="14" width="26.6640625" style="29" bestFit="1" customWidth="1"/>
    <col min="15" max="15" width="3.33203125" style="29" hidden="1" customWidth="1"/>
    <col min="16" max="16" width="1.88671875" style="29" hidden="1" customWidth="1"/>
    <col min="17" max="17" width="8.6640625" style="32" customWidth="1"/>
    <col min="18" max="18" width="8.6640625" style="32" hidden="1" customWidth="1"/>
    <col min="19" max="19" width="16.44140625" style="29" hidden="1" customWidth="1"/>
    <col min="20" max="20" width="26.6640625" style="29" bestFit="1" customWidth="1"/>
    <col min="21" max="21" width="24.6640625" style="29" hidden="1" customWidth="1"/>
    <col min="22" max="22" width="9.6640625" style="29" hidden="1" customWidth="1"/>
    <col min="23" max="23" width="16.109375" style="29" hidden="1" customWidth="1"/>
    <col min="24" max="24" width="27.109375" style="29" bestFit="1" customWidth="1"/>
    <col min="25" max="25" width="26.6640625" style="29" hidden="1" customWidth="1"/>
    <col min="26" max="27" width="24.6640625" style="29" hidden="1" customWidth="1"/>
    <col min="28" max="28" width="38.109375" style="29" hidden="1" customWidth="1"/>
    <col min="29" max="29" width="14.109375" style="29" hidden="1" customWidth="1"/>
    <col min="30" max="30" width="7.6640625" style="29" hidden="1" customWidth="1"/>
    <col min="31" max="31" width="6.88671875" style="29" hidden="1" customWidth="1"/>
    <col min="32" max="32" width="1.33203125" style="29" hidden="1" customWidth="1"/>
    <col min="33" max="33" width="14" style="29" hidden="1" customWidth="1"/>
    <col min="34" max="34" width="11.6640625" style="29" hidden="1" customWidth="1"/>
    <col min="35" max="35" width="6.33203125" style="29" hidden="1" customWidth="1"/>
    <col min="36" max="36" width="12.6640625" style="29" hidden="1" customWidth="1"/>
    <col min="37" max="37" width="13.109375" style="29" hidden="1" customWidth="1"/>
    <col min="38" max="38" width="13.5546875" style="29" hidden="1" customWidth="1"/>
    <col min="39" max="39" width="26.5546875" style="29" customWidth="1"/>
    <col min="40" max="40" width="27.5546875" style="29" customWidth="1"/>
    <col min="41" max="41" width="8.88671875" style="170"/>
    <col min="42" max="16384" width="8.88671875" style="29"/>
  </cols>
  <sheetData>
    <row r="1" spans="1:40" ht="49.5" customHeight="1" x14ac:dyDescent="0.45">
      <c r="B1" s="30"/>
      <c r="C1" s="31"/>
      <c r="D1" s="31"/>
      <c r="F1" s="189" t="s">
        <v>112</v>
      </c>
      <c r="G1" s="189"/>
    </row>
    <row r="2" spans="1:40" ht="24.75" customHeight="1" x14ac:dyDescent="0.45">
      <c r="B2" s="32"/>
      <c r="D2" s="31"/>
      <c r="F2" s="190" t="s">
        <v>0</v>
      </c>
      <c r="G2" s="190"/>
    </row>
    <row r="3" spans="1:40" x14ac:dyDescent="0.45">
      <c r="B3" s="33"/>
      <c r="F3" s="34"/>
      <c r="G3" s="34"/>
    </row>
    <row r="4" spans="1:40" ht="24" customHeight="1" x14ac:dyDescent="0.45">
      <c r="F4" s="35" t="s">
        <v>129</v>
      </c>
      <c r="G4" s="36" t="s">
        <v>143</v>
      </c>
    </row>
    <row r="5" spans="1:40" ht="24" customHeight="1" x14ac:dyDescent="0.45">
      <c r="F5" s="37" t="s">
        <v>130</v>
      </c>
      <c r="G5" s="38" t="s">
        <v>144</v>
      </c>
    </row>
    <row r="6" spans="1:40" ht="24" customHeight="1" x14ac:dyDescent="0.45">
      <c r="D6" s="29" t="s">
        <v>99</v>
      </c>
      <c r="F6" s="37" t="s">
        <v>131</v>
      </c>
      <c r="G6" s="39" t="s">
        <v>145</v>
      </c>
    </row>
    <row r="7" spans="1:40" ht="24" customHeight="1" x14ac:dyDescent="0.45">
      <c r="F7" s="37" t="s">
        <v>132</v>
      </c>
      <c r="G7" s="39" t="s">
        <v>146</v>
      </c>
      <c r="J7" s="29" t="s">
        <v>111</v>
      </c>
    </row>
    <row r="8" spans="1:40" ht="24" customHeight="1" x14ac:dyDescent="0.45">
      <c r="F8" s="37" t="s">
        <v>128</v>
      </c>
      <c r="G8" s="40">
        <v>46171</v>
      </c>
    </row>
    <row r="9" spans="1:40" ht="24" customHeight="1" x14ac:dyDescent="0.45">
      <c r="F9" s="37" t="s">
        <v>127</v>
      </c>
      <c r="G9" s="39" t="s">
        <v>140</v>
      </c>
      <c r="J9" s="29" t="s">
        <v>99</v>
      </c>
    </row>
    <row r="10" spans="1:40" ht="24" customHeight="1" x14ac:dyDescent="0.45">
      <c r="F10" s="37" t="s">
        <v>126</v>
      </c>
      <c r="G10" s="39" t="s">
        <v>147</v>
      </c>
    </row>
    <row r="11" spans="1:40" ht="24" customHeight="1" x14ac:dyDescent="0.45">
      <c r="F11" s="41" t="s">
        <v>125</v>
      </c>
      <c r="G11" s="42" t="s">
        <v>143</v>
      </c>
    </row>
    <row r="12" spans="1:40" ht="70.8" hidden="1" thickBot="1" x14ac:dyDescent="0.5">
      <c r="B12" s="43"/>
      <c r="M12" s="44"/>
      <c r="Q12" s="191" t="s">
        <v>1</v>
      </c>
      <c r="R12" s="192"/>
      <c r="S12" s="192"/>
      <c r="T12" s="193"/>
      <c r="U12" s="194" t="s">
        <v>2</v>
      </c>
      <c r="V12" s="195"/>
      <c r="W12" s="195"/>
      <c r="X12" s="196"/>
      <c r="Y12" s="45" t="s">
        <v>48</v>
      </c>
      <c r="Z12" s="46">
        <f>(1/(1-M14))-1</f>
        <v>0.24269914253759173</v>
      </c>
      <c r="AC12" s="197" t="s">
        <v>3</v>
      </c>
      <c r="AD12" s="198"/>
      <c r="AE12" s="199"/>
      <c r="AG12" s="187" t="s">
        <v>50</v>
      </c>
      <c r="AH12" s="188"/>
      <c r="AJ12" s="47" t="s">
        <v>52</v>
      </c>
      <c r="AK12" s="185" t="s">
        <v>51</v>
      </c>
      <c r="AL12" s="186"/>
    </row>
    <row r="13" spans="1:40" ht="24" thickBot="1" x14ac:dyDescent="0.5">
      <c r="A13" s="48" t="s">
        <v>4</v>
      </c>
      <c r="B13" s="49" t="s">
        <v>5</v>
      </c>
      <c r="C13" s="48" t="s">
        <v>6</v>
      </c>
      <c r="D13" s="48" t="s">
        <v>7</v>
      </c>
      <c r="E13" s="48" t="s">
        <v>8</v>
      </c>
      <c r="M13" s="50">
        <v>0.80469999999999997</v>
      </c>
    </row>
    <row r="14" spans="1:40" ht="42" customHeight="1" thickBot="1" x14ac:dyDescent="0.5">
      <c r="A14" s="51">
        <v>0</v>
      </c>
      <c r="B14" s="52"/>
      <c r="C14" s="53"/>
      <c r="D14" s="54"/>
      <c r="E14" s="54"/>
      <c r="F14" s="55" t="s">
        <v>76</v>
      </c>
      <c r="G14" s="56" t="s">
        <v>77</v>
      </c>
      <c r="H14" s="57" t="s">
        <v>78</v>
      </c>
      <c r="I14" s="57" t="s">
        <v>79</v>
      </c>
      <c r="J14" s="58" t="s">
        <v>80</v>
      </c>
      <c r="K14" s="59" t="s">
        <v>9</v>
      </c>
      <c r="L14" s="60">
        <v>7.4999999999999997E-2</v>
      </c>
      <c r="M14" s="61">
        <f>1-M13</f>
        <v>0.19530000000000003</v>
      </c>
      <c r="N14" s="62" t="s">
        <v>74</v>
      </c>
      <c r="Q14" s="63" t="s">
        <v>81</v>
      </c>
      <c r="R14" s="64" t="s">
        <v>82</v>
      </c>
      <c r="S14" s="65" t="s">
        <v>83</v>
      </c>
      <c r="T14" s="66" t="s">
        <v>84</v>
      </c>
      <c r="U14" s="67" t="s">
        <v>85</v>
      </c>
      <c r="V14" s="68" t="s">
        <v>86</v>
      </c>
      <c r="W14" s="69" t="s">
        <v>87</v>
      </c>
      <c r="X14" s="69" t="s">
        <v>88</v>
      </c>
      <c r="Y14" s="70" t="s">
        <v>89</v>
      </c>
      <c r="Z14" s="71" t="s">
        <v>90</v>
      </c>
      <c r="AA14" s="72" t="s">
        <v>75</v>
      </c>
      <c r="AC14" s="73" t="s">
        <v>91</v>
      </c>
      <c r="AD14" s="74" t="s">
        <v>92</v>
      </c>
      <c r="AE14" s="74" t="s">
        <v>32</v>
      </c>
      <c r="AG14" s="75" t="s">
        <v>93</v>
      </c>
      <c r="AH14" s="76" t="s">
        <v>94</v>
      </c>
      <c r="AK14" s="77" t="s">
        <v>95</v>
      </c>
      <c r="AL14" s="78" t="s">
        <v>96</v>
      </c>
      <c r="AM14" s="77" t="s">
        <v>95</v>
      </c>
      <c r="AN14" s="78" t="s">
        <v>96</v>
      </c>
    </row>
    <row r="15" spans="1:40" ht="35.1" customHeight="1" thickBot="1" x14ac:dyDescent="0.5">
      <c r="A15" s="54">
        <v>1</v>
      </c>
      <c r="B15" s="79">
        <v>1</v>
      </c>
      <c r="C15" s="80" t="s">
        <v>113</v>
      </c>
      <c r="D15" s="54"/>
      <c r="E15" s="54"/>
      <c r="F15" s="208"/>
      <c r="G15" s="209"/>
      <c r="H15" s="209"/>
      <c r="I15" s="209"/>
      <c r="J15" s="209"/>
      <c r="K15" s="209"/>
      <c r="L15" s="209"/>
      <c r="M15" s="209"/>
      <c r="N15" s="210"/>
      <c r="Q15" s="209" t="str">
        <f>IF(F15&lt;&gt;"",F15,"")</f>
        <v/>
      </c>
      <c r="R15" s="209"/>
      <c r="S15" s="209"/>
      <c r="T15" s="209"/>
      <c r="U15" s="209"/>
      <c r="V15" s="209"/>
      <c r="W15" s="209"/>
      <c r="X15" s="209"/>
      <c r="Y15" s="209"/>
      <c r="AM15" s="200"/>
      <c r="AN15" s="201"/>
    </row>
    <row r="16" spans="1:40" ht="35.1" customHeight="1" x14ac:dyDescent="0.45">
      <c r="A16" s="54">
        <v>2</v>
      </c>
      <c r="B16" s="79" t="s">
        <v>115</v>
      </c>
      <c r="C16" s="80" t="s">
        <v>114</v>
      </c>
      <c r="D16" s="54"/>
      <c r="E16" s="54"/>
      <c r="F16" s="211" t="s">
        <v>141</v>
      </c>
      <c r="G16" s="212"/>
      <c r="H16" s="212"/>
      <c r="I16" s="212"/>
      <c r="J16" s="212"/>
      <c r="K16" s="213"/>
      <c r="L16" s="81" t="s">
        <v>116</v>
      </c>
      <c r="M16" s="82" t="s">
        <v>117</v>
      </c>
      <c r="N16" s="83" t="s">
        <v>74</v>
      </c>
      <c r="Q16" s="214" t="str">
        <f>IF(F16&lt;&gt;"",F16,"")</f>
        <v>Custos Internos</v>
      </c>
      <c r="R16" s="215"/>
      <c r="S16" s="215"/>
      <c r="T16" s="215"/>
      <c r="U16" s="215"/>
      <c r="V16" s="215"/>
      <c r="W16" s="215"/>
      <c r="X16" s="215"/>
      <c r="Y16" s="216"/>
      <c r="Z16" s="84" t="s">
        <v>118</v>
      </c>
      <c r="AA16" s="85" t="s">
        <v>75</v>
      </c>
      <c r="AM16" s="202"/>
      <c r="AN16" s="203"/>
    </row>
    <row r="17" spans="1:41" ht="99.9" customHeight="1" x14ac:dyDescent="0.45">
      <c r="A17" s="54">
        <v>3</v>
      </c>
      <c r="B17" s="79" t="s">
        <v>120</v>
      </c>
      <c r="C17" s="86" t="s">
        <v>119</v>
      </c>
      <c r="D17" s="87" t="s">
        <v>135</v>
      </c>
      <c r="E17" s="87" t="s">
        <v>124</v>
      </c>
      <c r="F17" s="88" t="s">
        <v>149</v>
      </c>
      <c r="G17" s="89" t="s">
        <v>150</v>
      </c>
      <c r="H17" s="90">
        <v>1</v>
      </c>
      <c r="I17" s="90">
        <v>1</v>
      </c>
      <c r="J17" s="91">
        <v>850</v>
      </c>
      <c r="K17" s="92">
        <f>IF(F17&lt;&gt;"",H17*I17*J17,"")</f>
        <v>850</v>
      </c>
      <c r="L17" s="93">
        <f>IF(K17&lt;&gt;"",IF(D17="INTERNO",0,K17*$L$14),"")</f>
        <v>0</v>
      </c>
      <c r="M17" s="93">
        <f>IF(K17&lt;&gt;"",IF(E17="FAT.OGGI",SUM(K17:L17)*(1/(1-$M$14)-1),L17*(1/(1-$M$14)-1)),0)</f>
        <v>206.29427115695296</v>
      </c>
      <c r="N17" s="93">
        <f>SUM(K17:M17)</f>
        <v>1056.2942711569531</v>
      </c>
      <c r="Q17" s="94">
        <f>IF(H17&lt;&gt;"",H17,"")</f>
        <v>1</v>
      </c>
      <c r="R17" s="94">
        <f>IF(I17&lt;&gt;"",I17,"")</f>
        <v>1</v>
      </c>
      <c r="S17" s="95"/>
      <c r="T17" s="95">
        <f>IF(Q17&lt;&gt;"",Q17*R17*S17,"")</f>
        <v>0</v>
      </c>
      <c r="U17" s="96">
        <f>IF(Q17&lt;&gt;"",K17-T17,"")</f>
        <v>850</v>
      </c>
      <c r="V17" s="97">
        <f>IF(Q17&lt;&gt;"",0%,"")</f>
        <v>0</v>
      </c>
      <c r="W17" s="98">
        <f>IF(Q17&lt;&gt;"",V17*U17,"")</f>
        <v>0</v>
      </c>
      <c r="X17" s="98">
        <f>IF(Q17&lt;&gt;"",W17+T17,"")</f>
        <v>0</v>
      </c>
      <c r="Y17" s="99">
        <f>IF(Q17&lt;&gt;"",X17+M17,"")</f>
        <v>206.29427115695296</v>
      </c>
      <c r="Z17" s="100">
        <f>IF(Q17&lt;&gt;"", IFERROR(U17/K17, 0), 0)</f>
        <v>1</v>
      </c>
      <c r="AA17" s="85"/>
      <c r="AM17" s="147">
        <f>X17-AN17</f>
        <v>0</v>
      </c>
      <c r="AN17" s="148"/>
    </row>
    <row r="18" spans="1:41" ht="35.1" customHeight="1" thickBot="1" x14ac:dyDescent="0.5">
      <c r="A18" s="54">
        <v>4</v>
      </c>
      <c r="B18" s="79"/>
      <c r="C18" s="86" t="s">
        <v>136</v>
      </c>
      <c r="D18" s="87"/>
      <c r="E18" s="87"/>
      <c r="F18" s="219" t="s">
        <v>137</v>
      </c>
      <c r="G18" s="220"/>
      <c r="H18" s="220"/>
      <c r="I18" s="220"/>
      <c r="J18" s="220"/>
      <c r="K18" s="101">
        <f>SUM(K17:K17)</f>
        <v>850</v>
      </c>
      <c r="L18" s="101">
        <f>SUM(L17:L17)</f>
        <v>0</v>
      </c>
      <c r="M18" s="101">
        <f>SUM(M17:M17)</f>
        <v>206.29427115695296</v>
      </c>
      <c r="N18" s="102">
        <f>SUM(N17:N17)</f>
        <v>1056.2942711569531</v>
      </c>
      <c r="Q18" s="221" t="s">
        <v>137</v>
      </c>
      <c r="R18" s="222"/>
      <c r="S18" s="222"/>
      <c r="T18" s="103">
        <f>SUM(T17:T17)</f>
        <v>0</v>
      </c>
      <c r="U18" s="104">
        <f>SUM(U17:U17)</f>
        <v>850</v>
      </c>
      <c r="V18" s="105"/>
      <c r="W18" s="106"/>
      <c r="X18" s="107">
        <f>SUM(X17:X17)</f>
        <v>0</v>
      </c>
      <c r="Y18" s="108">
        <f>IF(Q18&lt;&gt;"",X18+M18,"")</f>
        <v>206.29427115695296</v>
      </c>
      <c r="Z18" s="109"/>
      <c r="AA18" s="109"/>
      <c r="AM18" s="147"/>
      <c r="AN18" s="148"/>
    </row>
    <row r="19" spans="1:41" ht="35.1" customHeight="1" thickBot="1" x14ac:dyDescent="0.5">
      <c r="A19" s="54">
        <v>5</v>
      </c>
      <c r="B19" s="79">
        <v>2</v>
      </c>
      <c r="C19" s="110" t="s">
        <v>113</v>
      </c>
      <c r="D19" s="111"/>
      <c r="E19" s="111"/>
      <c r="F19" s="208"/>
      <c r="G19" s="209"/>
      <c r="H19" s="209"/>
      <c r="I19" s="209"/>
      <c r="J19" s="209"/>
      <c r="K19" s="209"/>
      <c r="L19" s="209"/>
      <c r="M19" s="209"/>
      <c r="N19" s="210"/>
      <c r="Q19" s="209" t="str">
        <f>IF(F19&lt;&gt;"",F19,"")</f>
        <v/>
      </c>
      <c r="R19" s="209"/>
      <c r="S19" s="209"/>
      <c r="T19" s="209"/>
      <c r="U19" s="209"/>
      <c r="V19" s="209"/>
      <c r="W19" s="209"/>
      <c r="X19" s="209"/>
      <c r="Y19" s="209"/>
      <c r="AM19" s="147"/>
      <c r="AN19" s="148"/>
    </row>
    <row r="20" spans="1:41" ht="35.1" customHeight="1" x14ac:dyDescent="0.45">
      <c r="A20" s="54">
        <v>6</v>
      </c>
      <c r="B20" s="79" t="s">
        <v>133</v>
      </c>
      <c r="C20" s="80" t="s">
        <v>114</v>
      </c>
      <c r="D20" s="54"/>
      <c r="E20" s="54"/>
      <c r="F20" s="214" t="s">
        <v>152</v>
      </c>
      <c r="G20" s="215"/>
      <c r="H20" s="215"/>
      <c r="I20" s="215"/>
      <c r="J20" s="215"/>
      <c r="K20" s="217"/>
      <c r="L20" s="81" t="s">
        <v>116</v>
      </c>
      <c r="M20" s="82" t="s">
        <v>117</v>
      </c>
      <c r="N20" s="83" t="s">
        <v>74</v>
      </c>
      <c r="Q20" s="214" t="str">
        <f>IF(F20&lt;&gt;"",F20,"")</f>
        <v>Promotoras</v>
      </c>
      <c r="R20" s="215"/>
      <c r="S20" s="215"/>
      <c r="T20" s="215"/>
      <c r="U20" s="215"/>
      <c r="V20" s="215"/>
      <c r="W20" s="215"/>
      <c r="X20" s="215"/>
      <c r="Y20" s="218"/>
      <c r="Z20" s="112" t="s">
        <v>118</v>
      </c>
      <c r="AA20" s="113" t="s">
        <v>75</v>
      </c>
      <c r="AM20" s="147"/>
      <c r="AN20" s="148"/>
    </row>
    <row r="21" spans="1:41" ht="99.9" customHeight="1" x14ac:dyDescent="0.45">
      <c r="A21" s="54">
        <v>7</v>
      </c>
      <c r="B21" s="79" t="s">
        <v>134</v>
      </c>
      <c r="C21" s="86" t="s">
        <v>119</v>
      </c>
      <c r="D21" s="87" t="s">
        <v>121</v>
      </c>
      <c r="E21" s="87" t="s">
        <v>124</v>
      </c>
      <c r="F21" s="114" t="s">
        <v>155</v>
      </c>
      <c r="G21" s="115" t="s">
        <v>156</v>
      </c>
      <c r="H21" s="116">
        <v>2</v>
      </c>
      <c r="I21" s="116">
        <v>1</v>
      </c>
      <c r="J21" s="117">
        <v>750</v>
      </c>
      <c r="K21" s="117">
        <f>IF(F21&lt;&gt;"",H21*I21*J21,"")</f>
        <v>1500</v>
      </c>
      <c r="L21" s="117">
        <f>IF(K21&lt;&gt;"",IF(D21="INTERNO",0,K21*$L$14),"")</f>
        <v>112.5</v>
      </c>
      <c r="M21" s="117">
        <f>IF(K21&lt;&gt;"",IF(E21="FAT.OGGI",SUM(K21:L21)*(1/(1-$M$14)-1),L21*(1/(1-$M$14)-1)),0)</f>
        <v>391.35236734186668</v>
      </c>
      <c r="N21" s="117">
        <f>SUM(K21:M21)</f>
        <v>2003.8523673418667</v>
      </c>
      <c r="Q21" s="118">
        <f>IF(H21&lt;&gt;"",H21,"")</f>
        <v>2</v>
      </c>
      <c r="R21" s="118">
        <f>IF(I21&lt;&gt;"",I21,"")</f>
        <v>1</v>
      </c>
      <c r="S21" s="119">
        <v>500</v>
      </c>
      <c r="T21" s="119">
        <f>IF(Q21&lt;&gt;"",Q21*R21*S21,"")</f>
        <v>1000</v>
      </c>
      <c r="U21" s="120">
        <f>IF(Q21&lt;&gt;"",K21-T21,"")</f>
        <v>500</v>
      </c>
      <c r="V21" s="121">
        <f>IF(Q21&lt;&gt;"",0%,"")</f>
        <v>0</v>
      </c>
      <c r="W21" s="122">
        <f>IF(Q21&lt;&gt;"",V21*U21,"")</f>
        <v>0</v>
      </c>
      <c r="X21" s="122">
        <f>IF(Q21&lt;&gt;"",W21+T21,"")</f>
        <v>1000</v>
      </c>
      <c r="Y21" s="123">
        <f>IF(Q21&lt;&gt;"",X21+M21,"")</f>
        <v>1391.3523673418667</v>
      </c>
      <c r="Z21" s="124">
        <f>IF(Q21&lt;&gt;"", IFERROR(U21/K21, 0), 0)</f>
        <v>0.33333333333333331</v>
      </c>
      <c r="AA21" s="125"/>
      <c r="AM21" s="147">
        <f t="shared" ref="AM21:AM22" si="0">X21-AN21</f>
        <v>0</v>
      </c>
      <c r="AN21" s="148">
        <v>1000</v>
      </c>
      <c r="AO21" s="170" t="s">
        <v>165</v>
      </c>
    </row>
    <row r="22" spans="1:41" ht="99.9" customHeight="1" thickBot="1" x14ac:dyDescent="0.5">
      <c r="A22" s="54">
        <v>8</v>
      </c>
      <c r="B22" s="79" t="s">
        <v>154</v>
      </c>
      <c r="C22" s="86" t="s">
        <v>119</v>
      </c>
      <c r="D22" s="87" t="s">
        <v>121</v>
      </c>
      <c r="E22" s="87" t="s">
        <v>124</v>
      </c>
      <c r="F22" s="88" t="s">
        <v>151</v>
      </c>
      <c r="G22" s="89" t="s">
        <v>153</v>
      </c>
      <c r="H22" s="90">
        <v>1</v>
      </c>
      <c r="I22" s="90">
        <v>1</v>
      </c>
      <c r="J22" s="91">
        <v>213.3</v>
      </c>
      <c r="K22" s="92">
        <f>IF(F22&lt;&gt;"",H22*I22*J22,"")</f>
        <v>213.3</v>
      </c>
      <c r="L22" s="93">
        <f>IF(K22&lt;&gt;"",IF(D22="INTERNO",0,K22*$L$14),"")</f>
        <v>15.9975</v>
      </c>
      <c r="M22" s="93">
        <f>IF(K22&lt;&gt;"",IF(E22="FAT.OGGI",SUM(K22:L22)*(1/(1-$M$14)-1),L22*(1/(1-$M$14)-1)),0)</f>
        <v>55.65030663601344</v>
      </c>
      <c r="N22" s="93">
        <f>SUM(K22:M22)</f>
        <v>284.94780663601347</v>
      </c>
      <c r="Q22" s="118">
        <f t="shared" ref="Q22:R22" si="1">IF(H22&lt;&gt;"",H22,"")</f>
        <v>1</v>
      </c>
      <c r="R22" s="118">
        <f t="shared" si="1"/>
        <v>1</v>
      </c>
      <c r="S22" s="119">
        <f>50+73.9+10.49</f>
        <v>134.39000000000001</v>
      </c>
      <c r="T22" s="119">
        <v>145.9</v>
      </c>
      <c r="U22" s="120">
        <f>IF(Q22&lt;&gt;"",K22-T22,"")</f>
        <v>67.400000000000006</v>
      </c>
      <c r="V22" s="121">
        <f>IF(Q22&lt;&gt;"",0%,"")</f>
        <v>0</v>
      </c>
      <c r="W22" s="122">
        <f>IF(Q22&lt;&gt;"",V22*U22,"")</f>
        <v>0</v>
      </c>
      <c r="X22" s="122">
        <f>IF(Q22&lt;&gt;"",W22+T22,"")</f>
        <v>145.9</v>
      </c>
      <c r="Y22" s="123">
        <f>IF(Q22&lt;&gt;"",X22+M22,"")</f>
        <v>201.55030663601343</v>
      </c>
      <c r="Z22" s="126">
        <f>IF(Q22&lt;&gt;"", IFERROR(U22/K22, 0), 0)</f>
        <v>0.31598687294889827</v>
      </c>
      <c r="AA22" s="127"/>
      <c r="AM22" s="147">
        <f t="shared" si="0"/>
        <v>0</v>
      </c>
      <c r="AN22" s="148">
        <v>145.9</v>
      </c>
      <c r="AO22" s="170" t="s">
        <v>166</v>
      </c>
    </row>
    <row r="23" spans="1:41" ht="35.1" customHeight="1" thickBot="1" x14ac:dyDescent="0.5">
      <c r="A23" s="54">
        <v>9</v>
      </c>
      <c r="B23" s="79"/>
      <c r="C23" s="80" t="s">
        <v>136</v>
      </c>
      <c r="D23" s="54"/>
      <c r="E23" s="54"/>
      <c r="F23" s="204" t="s">
        <v>142</v>
      </c>
      <c r="G23" s="205"/>
      <c r="H23" s="205"/>
      <c r="I23" s="205"/>
      <c r="J23" s="205"/>
      <c r="K23" s="128">
        <f>SUM(K21:K22)</f>
        <v>1713.3</v>
      </c>
      <c r="L23" s="128">
        <f>SUM(L21:L22)</f>
        <v>128.4975</v>
      </c>
      <c r="M23" s="128">
        <f>SUM(M21:M22)</f>
        <v>447.00267397788014</v>
      </c>
      <c r="N23" s="129">
        <f>SUM(N21:N22)</f>
        <v>2288.8001739778801</v>
      </c>
      <c r="Q23" s="206" t="s">
        <v>138</v>
      </c>
      <c r="R23" s="207"/>
      <c r="S23" s="207"/>
      <c r="T23" s="130">
        <f>SUM(T21:T22)</f>
        <v>1145.9000000000001</v>
      </c>
      <c r="U23" s="131">
        <f>SUM(U21:U22)</f>
        <v>567.4</v>
      </c>
      <c r="V23" s="132"/>
      <c r="W23" s="133"/>
      <c r="X23" s="134">
        <f>SUM(X21:X22)</f>
        <v>1145.9000000000001</v>
      </c>
      <c r="Y23" s="134">
        <f>IF(Q23&lt;&gt;"",X23+M23,"")</f>
        <v>1592.9026739778801</v>
      </c>
      <c r="Z23" s="135" t="s">
        <v>123</v>
      </c>
      <c r="AA23" s="136" t="s">
        <v>139</v>
      </c>
      <c r="AM23" s="147"/>
      <c r="AN23" s="148"/>
    </row>
    <row r="24" spans="1:41" ht="35.1" customHeight="1" thickBot="1" x14ac:dyDescent="0.5">
      <c r="A24" s="54">
        <v>11</v>
      </c>
      <c r="B24" s="137"/>
      <c r="C24" s="86" t="s">
        <v>122</v>
      </c>
      <c r="D24" s="87"/>
      <c r="E24" s="87"/>
      <c r="F24" s="138" t="s">
        <v>148</v>
      </c>
      <c r="G24" s="139"/>
      <c r="H24" s="140"/>
      <c r="I24" s="140"/>
      <c r="J24" s="139"/>
      <c r="K24" s="141">
        <f>SUM(K17:K17)+SUM(K21:K22)</f>
        <v>2563.3000000000002</v>
      </c>
      <c r="L24" s="141">
        <f>SUM(L17:L17)+SUM(L21:L22)</f>
        <v>128.4975</v>
      </c>
      <c r="M24" s="141">
        <f>SUM(M17:M17)+SUM(M21:M22)</f>
        <v>653.29694513483309</v>
      </c>
      <c r="N24" s="142">
        <f>SUM(N17:N17)+SUM(N21:N22)</f>
        <v>3345.0944451348332</v>
      </c>
      <c r="Q24" s="143" t="s">
        <v>42</v>
      </c>
      <c r="R24" s="140"/>
      <c r="S24" s="139"/>
      <c r="T24" s="141">
        <f>SUM(T17:T17)+SUM(T21:T22)</f>
        <v>1145.9000000000001</v>
      </c>
      <c r="U24" s="141">
        <f>SUM(U17:U17)+SUM(U21:U22)</f>
        <v>1417.4</v>
      </c>
      <c r="V24" s="139"/>
      <c r="W24" s="139"/>
      <c r="X24" s="141">
        <f>SUM(X17:X17)+SUM(X21:X22)</f>
        <v>1145.9000000000001</v>
      </c>
      <c r="Y24" s="142">
        <f>SUM(Y17:Y17)+SUM(Y21:Y22)</f>
        <v>1799.1969451348332</v>
      </c>
      <c r="Z24" s="144">
        <f>IF(Q24&lt;&gt;"",(N24-Y24)/N24,"")</f>
        <v>0.462138670628084</v>
      </c>
      <c r="AA24" s="145">
        <f>IF(Z24&lt;&gt;"",(N24-Y24),"")</f>
        <v>1545.8975</v>
      </c>
      <c r="AM24" s="147">
        <f>SUM(AM17:AM22)</f>
        <v>0</v>
      </c>
      <c r="AN24" s="148">
        <f>SUM(AN17:AN22)</f>
        <v>1145.9000000000001</v>
      </c>
    </row>
    <row r="25" spans="1:41" x14ac:dyDescent="0.45">
      <c r="F25" s="146"/>
    </row>
    <row r="27" spans="1:41" x14ac:dyDescent="0.45">
      <c r="K27" s="271"/>
      <c r="AM27" s="182">
        <f>N24*0.15</f>
        <v>501.76416677022496</v>
      </c>
      <c r="AN27" s="171" t="s">
        <v>163</v>
      </c>
    </row>
    <row r="28" spans="1:41" x14ac:dyDescent="0.45">
      <c r="AM28" s="182">
        <f>AN24+AM27</f>
        <v>1647.6641667702252</v>
      </c>
      <c r="AN28" s="171" t="s">
        <v>164</v>
      </c>
    </row>
    <row r="29" spans="1:41" x14ac:dyDescent="0.45">
      <c r="AM29" s="182">
        <f>N24-AM28</f>
        <v>1697.4302783646081</v>
      </c>
      <c r="AN29" s="171" t="s">
        <v>161</v>
      </c>
    </row>
    <row r="30" spans="1:41" x14ac:dyDescent="0.45">
      <c r="AM30" s="172">
        <f>AM29*100%/N24</f>
        <v>0.50743867062808401</v>
      </c>
      <c r="AN30" s="173"/>
    </row>
    <row r="39" spans="6:6" x14ac:dyDescent="0.45">
      <c r="F39" s="146"/>
    </row>
  </sheetData>
  <mergeCells count="21">
    <mergeCell ref="AM15:AN15"/>
    <mergeCell ref="AM16:AN16"/>
    <mergeCell ref="F23:J23"/>
    <mergeCell ref="Q23:S23"/>
    <mergeCell ref="F15:N15"/>
    <mergeCell ref="Q15:Y15"/>
    <mergeCell ref="F16:K16"/>
    <mergeCell ref="Q16:Y16"/>
    <mergeCell ref="F19:N19"/>
    <mergeCell ref="Q19:Y19"/>
    <mergeCell ref="F20:K20"/>
    <mergeCell ref="Q20:Y20"/>
    <mergeCell ref="F18:J18"/>
    <mergeCell ref="Q18:S18"/>
    <mergeCell ref="AK12:AL12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17:D18 D21:D24" xr:uid="{3EFE53A9-6730-4F75-830F-74A58BE49321}">
      <formula1>"INTERNO,OPERACIONAL"</formula1>
    </dataValidation>
    <dataValidation type="list" allowBlank="1" showInputMessage="1" showErrorMessage="1" sqref="E17:E18 E21:E23" xr:uid="{CD75B295-2527-4911-908C-60EF7E809F77}">
      <formula1>"FAT.OGGI,FAT.CLIENTE"</formula1>
    </dataValidation>
    <dataValidation type="list" allowBlank="1" showInputMessage="1" showErrorMessage="1" sqref="E24" xr:uid="{9D9187C7-6FC8-4ADE-80CD-97A1A57A9C8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4" t="s">
        <v>10</v>
      </c>
      <c r="B1" s="224"/>
      <c r="C1" s="224"/>
      <c r="D1" s="226" t="s">
        <v>53</v>
      </c>
      <c r="E1" s="226"/>
      <c r="F1" s="226"/>
      <c r="G1" s="226"/>
      <c r="H1" s="226"/>
      <c r="I1" s="226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225"/>
      <c r="B2" s="225"/>
      <c r="C2" s="225"/>
      <c r="D2" s="224" t="s">
        <v>54</v>
      </c>
      <c r="E2" s="224"/>
      <c r="F2" s="224"/>
      <c r="G2" s="224"/>
      <c r="H2" s="224"/>
      <c r="I2" s="224"/>
      <c r="J2" s="24"/>
      <c r="K2" s="24"/>
      <c r="L2" s="24"/>
      <c r="M2" s="24"/>
      <c r="N2" s="24"/>
      <c r="O2" s="227" t="s">
        <v>55</v>
      </c>
    </row>
    <row r="3" spans="1:15" x14ac:dyDescent="0.3">
      <c r="A3" s="225"/>
      <c r="B3" s="225"/>
      <c r="C3" s="225"/>
      <c r="D3" s="224" t="s">
        <v>56</v>
      </c>
      <c r="E3" s="224"/>
      <c r="F3" s="224"/>
      <c r="G3" s="224"/>
      <c r="H3" s="224"/>
      <c r="I3" s="224"/>
      <c r="J3" s="24"/>
      <c r="K3" s="24"/>
      <c r="L3" s="24"/>
      <c r="M3" s="24"/>
      <c r="N3" s="24"/>
      <c r="O3" s="228"/>
    </row>
    <row r="4" spans="1:15" x14ac:dyDescent="0.3">
      <c r="A4" s="225"/>
      <c r="B4" s="225"/>
      <c r="C4" s="225"/>
      <c r="D4" s="224" t="s">
        <v>57</v>
      </c>
      <c r="E4" s="224"/>
      <c r="F4" s="224"/>
      <c r="G4" s="224"/>
      <c r="H4" s="224"/>
      <c r="I4" s="224"/>
      <c r="J4" s="24"/>
      <c r="K4" s="24"/>
      <c r="L4" s="24"/>
      <c r="M4" s="24"/>
      <c r="N4" s="24"/>
      <c r="O4" s="228"/>
    </row>
    <row r="5" spans="1:15" x14ac:dyDescent="0.3">
      <c r="A5" s="225"/>
      <c r="B5" s="225"/>
      <c r="C5" s="225"/>
      <c r="D5" s="224" t="s">
        <v>58</v>
      </c>
      <c r="E5" s="224"/>
      <c r="F5" s="224"/>
      <c r="G5" s="224"/>
      <c r="H5" s="224"/>
      <c r="I5" s="224"/>
      <c r="J5" s="24"/>
      <c r="K5" s="24"/>
      <c r="L5" s="24"/>
      <c r="M5" s="24"/>
      <c r="N5" s="24"/>
      <c r="O5" s="228"/>
    </row>
    <row r="6" spans="1:15" x14ac:dyDescent="0.3">
      <c r="A6" s="225"/>
      <c r="B6" s="225"/>
      <c r="C6" s="225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28"/>
    </row>
    <row r="7" spans="1:15" x14ac:dyDescent="0.3">
      <c r="A7" s="225"/>
      <c r="B7" s="225"/>
      <c r="C7" s="225"/>
      <c r="D7" s="224" t="s">
        <v>59</v>
      </c>
      <c r="E7" s="224"/>
      <c r="F7" s="224"/>
      <c r="G7" s="224"/>
      <c r="H7" s="224"/>
      <c r="I7" s="224"/>
      <c r="J7" s="24"/>
      <c r="K7" s="24"/>
      <c r="L7" s="24"/>
      <c r="M7" s="24"/>
      <c r="N7" s="24"/>
      <c r="O7" s="26">
        <v>45264.482613275461</v>
      </c>
    </row>
    <row r="8" spans="1:15" x14ac:dyDescent="0.3">
      <c r="A8" s="223" t="s">
        <v>60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</row>
    <row r="9" spans="1:15" ht="27.6" x14ac:dyDescent="0.3">
      <c r="A9" s="27" t="s">
        <v>61</v>
      </c>
      <c r="B9" s="27" t="s">
        <v>62</v>
      </c>
      <c r="C9" s="27" t="s">
        <v>63</v>
      </c>
      <c r="D9" s="27" t="s">
        <v>47</v>
      </c>
      <c r="E9" s="27" t="s">
        <v>64</v>
      </c>
      <c r="F9" s="27" t="s">
        <v>65</v>
      </c>
      <c r="G9" s="27" t="s">
        <v>33</v>
      </c>
      <c r="H9" s="27" t="s">
        <v>66</v>
      </c>
      <c r="I9" s="27" t="s">
        <v>67</v>
      </c>
      <c r="J9" s="27" t="s">
        <v>65</v>
      </c>
      <c r="K9" s="27" t="s">
        <v>68</v>
      </c>
      <c r="L9" s="27" t="s">
        <v>69</v>
      </c>
      <c r="M9" s="27" t="s">
        <v>70</v>
      </c>
      <c r="N9" s="27" t="s">
        <v>71</v>
      </c>
      <c r="O9" s="28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62" t="s">
        <v>3</v>
      </c>
      <c r="C2" s="263"/>
      <c r="D2" s="263"/>
      <c r="E2" s="263"/>
      <c r="F2" s="263"/>
      <c r="G2" s="263"/>
      <c r="H2" s="263"/>
      <c r="I2" s="263"/>
      <c r="J2" s="263"/>
      <c r="K2" s="263"/>
      <c r="L2" s="264"/>
    </row>
    <row r="3" spans="2:12" ht="47.4" customHeight="1" thickBot="1" x14ac:dyDescent="0.35">
      <c r="B3" s="265" t="s">
        <v>11</v>
      </c>
      <c r="C3" s="266"/>
      <c r="D3" s="266"/>
      <c r="E3" s="266"/>
      <c r="F3" s="266"/>
      <c r="G3" s="266"/>
      <c r="H3" s="266"/>
      <c r="I3" s="266"/>
      <c r="J3" s="266"/>
      <c r="K3" s="266"/>
      <c r="L3" s="267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34" t="s">
        <v>12</v>
      </c>
      <c r="D6" s="234"/>
      <c r="E6" s="234"/>
      <c r="F6" s="234"/>
      <c r="G6" s="234"/>
      <c r="H6" s="234"/>
      <c r="I6" s="234"/>
      <c r="J6" s="234"/>
      <c r="K6" s="234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268" t="s">
        <v>98</v>
      </c>
      <c r="E8" s="269"/>
      <c r="F8" s="269"/>
      <c r="G8" s="269"/>
      <c r="H8" s="269"/>
      <c r="I8" s="269"/>
      <c r="J8" s="269"/>
      <c r="K8" s="270"/>
      <c r="L8" s="5"/>
    </row>
    <row r="9" spans="2:12" x14ac:dyDescent="0.3">
      <c r="B9" s="4"/>
      <c r="C9" s="7" t="s">
        <v>14</v>
      </c>
      <c r="D9" s="255" t="s">
        <v>15</v>
      </c>
      <c r="E9" s="256"/>
      <c r="F9" s="256"/>
      <c r="G9" s="256"/>
      <c r="H9" s="256"/>
      <c r="I9" s="256"/>
      <c r="J9" s="256"/>
      <c r="K9" s="257"/>
      <c r="L9" s="5"/>
    </row>
    <row r="10" spans="2:12" x14ac:dyDescent="0.3">
      <c r="B10" s="4"/>
      <c r="C10" s="7" t="s">
        <v>16</v>
      </c>
      <c r="D10" s="255" t="s">
        <v>10</v>
      </c>
      <c r="E10" s="256"/>
      <c r="F10" s="256"/>
      <c r="G10" s="256"/>
      <c r="H10" s="256"/>
      <c r="I10" s="256"/>
      <c r="J10" s="256"/>
      <c r="K10" s="257"/>
      <c r="L10" s="5"/>
    </row>
    <row r="11" spans="2:12" x14ac:dyDescent="0.3">
      <c r="B11" s="4"/>
      <c r="C11" s="7" t="s">
        <v>17</v>
      </c>
      <c r="D11" s="255" t="s">
        <v>99</v>
      </c>
      <c r="E11" s="256"/>
      <c r="F11" s="256"/>
      <c r="G11" s="256"/>
      <c r="H11" s="256"/>
      <c r="I11" s="256"/>
      <c r="J11" s="256"/>
      <c r="K11" s="257"/>
      <c r="L11" s="5"/>
    </row>
    <row r="12" spans="2:12" x14ac:dyDescent="0.3">
      <c r="B12" s="4"/>
      <c r="C12" s="10" t="s">
        <v>18</v>
      </c>
      <c r="D12" s="252" t="s">
        <v>100</v>
      </c>
      <c r="E12" s="253"/>
      <c r="F12" s="253"/>
      <c r="G12" s="253"/>
      <c r="H12" s="254"/>
      <c r="I12" s="11" t="s">
        <v>19</v>
      </c>
      <c r="J12" s="252" t="s">
        <v>97</v>
      </c>
      <c r="K12" s="254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34" t="s">
        <v>20</v>
      </c>
      <c r="D16" s="234"/>
      <c r="E16" s="234"/>
      <c r="F16" s="234"/>
      <c r="G16" s="234"/>
      <c r="H16" s="234"/>
      <c r="I16" s="234"/>
      <c r="J16" s="234"/>
      <c r="K16" s="234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58" t="s">
        <v>73</v>
      </c>
      <c r="E18" s="258"/>
      <c r="F18" s="258"/>
      <c r="G18" s="249"/>
      <c r="H18" s="258" t="s">
        <v>21</v>
      </c>
      <c r="I18" s="258"/>
      <c r="J18" s="258"/>
      <c r="K18" s="249"/>
      <c r="L18" s="5"/>
    </row>
    <row r="19" spans="2:12" x14ac:dyDescent="0.3">
      <c r="B19" s="4"/>
      <c r="C19" s="15" t="s">
        <v>22</v>
      </c>
      <c r="D19" s="259" t="s">
        <v>102</v>
      </c>
      <c r="E19" s="260"/>
      <c r="F19" s="260"/>
      <c r="G19" s="260"/>
      <c r="H19" s="260"/>
      <c r="I19" s="260"/>
      <c r="J19" s="260"/>
      <c r="K19" s="261"/>
      <c r="L19" s="5"/>
    </row>
    <row r="20" spans="2:12" x14ac:dyDescent="0.3">
      <c r="B20" s="4"/>
      <c r="C20" s="7" t="s">
        <v>23</v>
      </c>
      <c r="D20" s="255"/>
      <c r="E20" s="256"/>
      <c r="F20" s="256"/>
      <c r="G20" s="256"/>
      <c r="H20" s="256"/>
      <c r="I20" s="256"/>
      <c r="J20" s="256"/>
      <c r="K20" s="257"/>
      <c r="L20" s="5"/>
    </row>
    <row r="21" spans="2:12" x14ac:dyDescent="0.3">
      <c r="B21" s="4"/>
      <c r="C21" s="7" t="s">
        <v>24</v>
      </c>
      <c r="D21" s="255" t="s">
        <v>106</v>
      </c>
      <c r="E21" s="257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255" t="s">
        <v>101</v>
      </c>
      <c r="E22" s="256"/>
      <c r="F22" s="256"/>
      <c r="G22" s="257"/>
      <c r="H22" s="7" t="s">
        <v>28</v>
      </c>
      <c r="I22" s="255"/>
      <c r="J22" s="256"/>
      <c r="K22" s="257"/>
      <c r="L22" s="5"/>
    </row>
    <row r="23" spans="2:12" x14ac:dyDescent="0.3">
      <c r="B23" s="4"/>
      <c r="C23" s="10" t="s">
        <v>29</v>
      </c>
      <c r="D23" s="252" t="s">
        <v>103</v>
      </c>
      <c r="E23" s="253"/>
      <c r="F23" s="253"/>
      <c r="G23" s="254"/>
      <c r="H23" s="10" t="s">
        <v>30</v>
      </c>
      <c r="I23" s="252" t="s">
        <v>10</v>
      </c>
      <c r="J23" s="253"/>
      <c r="K23" s="254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34" t="s">
        <v>20</v>
      </c>
      <c r="D27" s="234"/>
      <c r="E27" s="234"/>
      <c r="F27" s="234"/>
      <c r="G27" s="234"/>
      <c r="H27" s="234"/>
      <c r="I27" s="234"/>
      <c r="J27" s="234"/>
      <c r="K27" s="234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248" t="s">
        <v>32</v>
      </c>
      <c r="E29" s="249"/>
      <c r="F29" s="248" t="s">
        <v>33</v>
      </c>
      <c r="G29" s="249"/>
      <c r="H29" s="250" t="s">
        <v>34</v>
      </c>
      <c r="I29" s="250"/>
      <c r="J29" s="250"/>
      <c r="K29" s="251"/>
      <c r="L29" s="5"/>
    </row>
    <row r="30" spans="2:12" x14ac:dyDescent="0.3">
      <c r="B30" s="4"/>
      <c r="C30" s="17" t="s">
        <v>35</v>
      </c>
      <c r="D30" s="235" t="s">
        <v>104</v>
      </c>
      <c r="E30" s="236"/>
      <c r="F30" s="237" t="s">
        <v>109</v>
      </c>
      <c r="G30" s="238"/>
      <c r="H30" s="18" t="s">
        <v>105</v>
      </c>
      <c r="I30" s="248" t="s">
        <v>39</v>
      </c>
      <c r="J30" s="249"/>
      <c r="K30" s="6" t="s">
        <v>37</v>
      </c>
      <c r="L30" s="5"/>
    </row>
    <row r="31" spans="2:12" x14ac:dyDescent="0.3">
      <c r="B31" s="4"/>
      <c r="C31" s="17" t="s">
        <v>38</v>
      </c>
      <c r="D31" s="235" t="s">
        <v>10</v>
      </c>
      <c r="E31" s="236"/>
      <c r="F31" s="237" t="s">
        <v>10</v>
      </c>
      <c r="G31" s="238"/>
      <c r="H31" s="17" t="s">
        <v>36</v>
      </c>
      <c r="I31" s="239" t="s">
        <v>39</v>
      </c>
      <c r="J31" s="240"/>
      <c r="K31" s="7" t="s">
        <v>37</v>
      </c>
      <c r="L31" s="5"/>
    </row>
    <row r="32" spans="2:12" x14ac:dyDescent="0.3">
      <c r="B32" s="4"/>
      <c r="C32" s="17" t="s">
        <v>40</v>
      </c>
      <c r="D32" s="235" t="s">
        <v>10</v>
      </c>
      <c r="E32" s="236"/>
      <c r="F32" s="237" t="s">
        <v>10</v>
      </c>
      <c r="G32" s="238"/>
      <c r="H32" s="17" t="s">
        <v>36</v>
      </c>
      <c r="I32" s="239" t="s">
        <v>39</v>
      </c>
      <c r="J32" s="240"/>
      <c r="K32" s="7" t="s">
        <v>37</v>
      </c>
      <c r="L32" s="5"/>
    </row>
    <row r="33" spans="2:12" x14ac:dyDescent="0.3">
      <c r="B33" s="4"/>
      <c r="C33" s="19" t="s">
        <v>41</v>
      </c>
      <c r="D33" s="235" t="s">
        <v>10</v>
      </c>
      <c r="E33" s="236"/>
      <c r="F33" s="241" t="s">
        <v>10</v>
      </c>
      <c r="G33" s="242"/>
      <c r="H33" s="17" t="s">
        <v>36</v>
      </c>
      <c r="I33" s="239" t="s">
        <v>39</v>
      </c>
      <c r="J33" s="240"/>
      <c r="K33" s="7" t="s">
        <v>37</v>
      </c>
      <c r="L33" s="5"/>
    </row>
    <row r="34" spans="2:12" x14ac:dyDescent="0.3">
      <c r="B34" s="4"/>
      <c r="C34" s="243" t="s">
        <v>42</v>
      </c>
      <c r="D34" s="244"/>
      <c r="E34" s="245"/>
      <c r="F34" s="246" t="s">
        <v>109</v>
      </c>
      <c r="G34" s="247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34" t="s">
        <v>43</v>
      </c>
      <c r="D38" s="234"/>
      <c r="E38" s="234"/>
      <c r="F38" s="234"/>
      <c r="G38" s="234"/>
      <c r="H38" s="234"/>
      <c r="I38" s="234"/>
      <c r="J38" s="234"/>
      <c r="K38" s="234"/>
      <c r="L38" s="5"/>
    </row>
    <row r="39" spans="2:12" x14ac:dyDescent="0.3">
      <c r="B39" s="4"/>
      <c r="C39" s="232" t="s">
        <v>110</v>
      </c>
      <c r="D39" s="232"/>
      <c r="E39" s="232"/>
      <c r="F39" s="232"/>
      <c r="G39" s="232"/>
      <c r="H39" s="232"/>
      <c r="I39" s="232"/>
      <c r="J39" s="232"/>
      <c r="K39" s="232"/>
      <c r="L39" s="5"/>
    </row>
    <row r="40" spans="2:12" x14ac:dyDescent="0.3">
      <c r="B40" s="4"/>
      <c r="C40" s="232"/>
      <c r="D40" s="232"/>
      <c r="E40" s="232"/>
      <c r="F40" s="232"/>
      <c r="G40" s="232"/>
      <c r="H40" s="232"/>
      <c r="I40" s="232"/>
      <c r="J40" s="232"/>
      <c r="K40" s="232"/>
      <c r="L40" s="5"/>
    </row>
    <row r="41" spans="2:12" x14ac:dyDescent="0.3">
      <c r="B41" s="4"/>
      <c r="C41" s="232"/>
      <c r="D41" s="232"/>
      <c r="E41" s="232"/>
      <c r="F41" s="232"/>
      <c r="G41" s="232"/>
      <c r="H41" s="232"/>
      <c r="I41" s="232"/>
      <c r="J41" s="232"/>
      <c r="K41" s="232"/>
      <c r="L41" s="5"/>
    </row>
    <row r="42" spans="2:12" x14ac:dyDescent="0.3">
      <c r="B42" s="4"/>
      <c r="C42" s="232"/>
      <c r="D42" s="232"/>
      <c r="E42" s="232"/>
      <c r="F42" s="232"/>
      <c r="G42" s="232"/>
      <c r="H42" s="232"/>
      <c r="I42" s="232"/>
      <c r="J42" s="232"/>
      <c r="K42" s="232"/>
      <c r="L42" s="5"/>
    </row>
    <row r="43" spans="2:12" x14ac:dyDescent="0.3">
      <c r="B43" s="4"/>
      <c r="C43" s="232"/>
      <c r="D43" s="232"/>
      <c r="E43" s="232"/>
      <c r="F43" s="232"/>
      <c r="G43" s="232"/>
      <c r="H43" s="232"/>
      <c r="I43" s="232"/>
      <c r="J43" s="232"/>
      <c r="K43" s="232"/>
      <c r="L43" s="5"/>
    </row>
    <row r="44" spans="2:12" x14ac:dyDescent="0.3">
      <c r="B44" s="4"/>
      <c r="C44" s="232"/>
      <c r="D44" s="232"/>
      <c r="E44" s="232"/>
      <c r="F44" s="232"/>
      <c r="G44" s="232"/>
      <c r="H44" s="232"/>
      <c r="I44" s="232"/>
      <c r="J44" s="232"/>
      <c r="K44" s="232"/>
      <c r="L44" s="5"/>
    </row>
    <row r="45" spans="2:12" x14ac:dyDescent="0.3">
      <c r="B45" s="4"/>
      <c r="C45" s="233"/>
      <c r="D45" s="233"/>
      <c r="E45" s="233"/>
      <c r="F45" s="233"/>
      <c r="G45" s="233"/>
      <c r="H45" s="233"/>
      <c r="I45" s="233"/>
      <c r="J45" s="233"/>
      <c r="K45" s="233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29" t="s">
        <v>44</v>
      </c>
      <c r="C48" s="230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31" t="s">
        <v>45</v>
      </c>
      <c r="D51" s="231"/>
      <c r="E51" s="231"/>
      <c r="F51" s="231"/>
      <c r="H51" s="231" t="s">
        <v>46</v>
      </c>
      <c r="I51" s="231"/>
      <c r="J51" s="231"/>
      <c r="K51" s="231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Planilha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2026-07-15T14:06:50Z</cp:lastPrinted>
  <dcterms:created xsi:type="dcterms:W3CDTF">2023-09-21T21:02:20Z</dcterms:created>
  <dcterms:modified xsi:type="dcterms:W3CDTF">2026-07-29T13:13:32Z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