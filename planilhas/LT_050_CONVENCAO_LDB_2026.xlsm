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"/>
    </mc:Choice>
  </mc:AlternateContent>
  <xr:revisionPtr revIDLastSave="0" documentId="13_ncr:1_{3CE64334-4332-4166-B204-6F583E57DDE8}" xr6:coauthVersionLast="47" xr6:coauthVersionMax="47" xr10:uidLastSave="{00000000-0000-0000-0000-000000000000}"/>
  <bookViews>
    <workbookView xWindow="28692" yWindow="-108" windowWidth="29016" windowHeight="15696" tabRatio="822" xr2:uid="{83D4A4F0-59AC-45D6-BDA2-9A1B100CD857}"/>
  </bookViews>
  <sheets>
    <sheet name="RESUMO" sheetId="99" r:id="rId1"/>
    <sheet name="PRINCIPAL" sheetId="91" r:id="rId2"/>
    <sheet name="Batavo" sheetId="92" r:id="rId3"/>
    <sheet name="Parmalat Fit" sheetId="96" r:id="rId4"/>
    <sheet name="Cozinha Show President" sheetId="95" r:id="rId5"/>
    <sheet name="CUSTOS OPERACIONAIS" sheetId="100" r:id="rId6"/>
    <sheet name="TOTAL" sheetId="98" r:id="rId7"/>
    <sheet name="Solicitações de Pagamento" sheetId="4" r:id="rId8"/>
    <sheet name="Principal (2)" sheetId="102" r:id="rId9"/>
    <sheet name="Itens Novos" sheetId="103" r:id="rId10"/>
    <sheet name="Itens Banda" sheetId="104" r:id="rId11"/>
    <sheet name="Atração" sheetId="105" r:id="rId12"/>
    <sheet name="Bourbon Atibaia " sheetId="101" r:id="rId13"/>
    <sheet name="Itens Extras Hotel " sheetId="106" r:id="rId14"/>
    <sheet name="ItensOrc" sheetId="76" state="hidden" r:id="rId15"/>
    <sheet name="Template SP" sheetId="3" state="hidden" r:id="rId16"/>
  </sheets>
  <externalReferences>
    <externalReference r:id="rId17"/>
    <externalReference r:id="rId18"/>
    <externalReference r:id="rId19"/>
  </externalReferences>
  <definedNames>
    <definedName name="_xlnm._FilterDatabase" localSheetId="11" hidden="1">Atração!#REF!</definedName>
    <definedName name="_xlnm._FilterDatabase" localSheetId="2" hidden="1">Batavo!$A$1:$AL$14</definedName>
    <definedName name="_xlnm._FilterDatabase" localSheetId="12" hidden="1">'Bourbon Atibaia '!#REF!</definedName>
    <definedName name="_xlnm._FilterDatabase" localSheetId="4" hidden="1">'Cozinha Show President'!$A$1:$AL$14</definedName>
    <definedName name="_xlnm._FilterDatabase" localSheetId="10" hidden="1">'Itens Banda'!#REF!</definedName>
    <definedName name="_xlnm._FilterDatabase" localSheetId="13" hidden="1">'Itens Extras Hotel '!#REF!</definedName>
    <definedName name="_xlnm._FilterDatabase" localSheetId="9" hidden="1">'Itens Novos'!#REF!</definedName>
    <definedName name="_xlnm._FilterDatabase" localSheetId="3" hidden="1">'Parmalat Fit'!$A$1:$AL$14</definedName>
    <definedName name="_xlnm._FilterDatabase" localSheetId="1" hidden="1">PRINCIPAL!$A$1:$AL$14</definedName>
    <definedName name="_xlnm._FilterDatabase" localSheetId="8" hidden="1">'Principal (2)'!#REF!</definedName>
    <definedName name="_xlnm._FilterDatabase" localSheetId="0" hidden="1">RESUMO!$B$38:$F$38</definedName>
    <definedName name="_xlnm._FilterDatabase" localSheetId="6" hidden="1">TOTAL!#REF!</definedName>
    <definedName name="_xleta.AND" hidden="1" xlm="1">#NAME?</definedName>
    <definedName name="_xleta.N" hidden="1" xlm="1">#NAME?</definedName>
    <definedName name="_xleta.SUM" hidden="1" xlm="1">#NAME?</definedName>
    <definedName name="_xleta.T" hidden="1" xlm="1">#NAME?</definedName>
    <definedName name="itensorc_desconto" localSheetId="14">ItensOrc!$M:$M</definedName>
    <definedName name="itensorc_desconto">#REF!</definedName>
    <definedName name="itensorc_descricao" localSheetId="14">ItensOrc!$D:$D</definedName>
    <definedName name="itensorc_descricao">#REF!</definedName>
    <definedName name="itensorc_encargos" localSheetId="14">ItensOrc!$N:$N</definedName>
    <definedName name="itensorc_encargos">#REF!</definedName>
    <definedName name="itensorc_especifica" localSheetId="14">ItensOrc!$O:$O</definedName>
    <definedName name="itensorc_especifica">#REF!</definedName>
    <definedName name="itensorc_item" localSheetId="14">ItensOrc!$C:$C</definedName>
    <definedName name="itensorc_item">#REF!</definedName>
    <definedName name="itensorc_lancamento" localSheetId="14">ItensOrc!$B:$B</definedName>
    <definedName name="itensorc_lancamento">#REF!</definedName>
    <definedName name="itensorc_percentualhonorarios" localSheetId="14">ItensOrc!$L:$L</definedName>
    <definedName name="itensorc_percentualhonorarios">#REF!</definedName>
    <definedName name="itensorc_quantidade" localSheetId="14">ItensOrc!$E:$E</definedName>
    <definedName name="itensorc_quantidade">#REF!</definedName>
    <definedName name="itensorc_situacao" localSheetId="14">ItensOrc!$H:$H</definedName>
    <definedName name="itensorc_situacao">#REF!</definedName>
    <definedName name="itensorc_subtipo" localSheetId="14">ItensOrc!$K:$K</definedName>
    <definedName name="itensorc_subtipo">#REF!</definedName>
    <definedName name="itensorc_tiporeceita" localSheetId="14">ItensOrc!$A:$A</definedName>
    <definedName name="itensorc_tiporeceita">#REF!</definedName>
    <definedName name="itensorc_valor" localSheetId="14">ItensOrc!$G:$G</definedName>
    <definedName name="itensorc_valor">#REF!</definedName>
    <definedName name="itensorc_valorfornecedor" localSheetId="14">ItensOrc!$I:$I</definedName>
    <definedName name="itensorc_valorfornecedor">#REF!</definedName>
    <definedName name="itensorc_valorfornecedorunitario" localSheetId="14">ItensOrc!$J:$J</definedName>
    <definedName name="itensorc_valorfornecedorunitario">#REF!</definedName>
    <definedName name="itensorc_valorunitario" localSheetId="14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" i="99" l="1"/>
  <c r="E39" i="99"/>
  <c r="D39" i="99"/>
  <c r="C53" i="99"/>
  <c r="D53" i="99"/>
  <c r="E53" i="99"/>
  <c r="D52" i="99"/>
  <c r="D51" i="99"/>
  <c r="D50" i="99"/>
  <c r="E50" i="99" s="1"/>
  <c r="F50" i="99" s="1"/>
  <c r="D49" i="99"/>
  <c r="D48" i="99"/>
  <c r="D47" i="99"/>
  <c r="D46" i="99"/>
  <c r="D45" i="99"/>
  <c r="D44" i="99"/>
  <c r="E52" i="99"/>
  <c r="E51" i="99"/>
  <c r="F51" i="99" s="1"/>
  <c r="E49" i="99"/>
  <c r="F49" i="99" s="1"/>
  <c r="E48" i="99"/>
  <c r="F48" i="99" s="1"/>
  <c r="E47" i="99"/>
  <c r="F47" i="99" s="1"/>
  <c r="E46" i="99"/>
  <c r="F46" i="99" s="1"/>
  <c r="E45" i="99"/>
  <c r="F45" i="99" s="1"/>
  <c r="E44" i="99"/>
  <c r="F44" i="99" s="1"/>
  <c r="E32" i="99"/>
  <c r="D32" i="99"/>
  <c r="C32" i="99"/>
  <c r="F52" i="99"/>
  <c r="C54" i="99"/>
  <c r="E26" i="99"/>
  <c r="F26" i="99" s="1"/>
  <c r="E27" i="99"/>
  <c r="F27" i="99" s="1"/>
  <c r="E28" i="99"/>
  <c r="F28" i="99" s="1"/>
  <c r="E29" i="99"/>
  <c r="F29" i="99" s="1"/>
  <c r="E30" i="99"/>
  <c r="F30" i="99"/>
  <c r="E31" i="99"/>
  <c r="F31" i="99" s="1"/>
  <c r="K56" i="106"/>
  <c r="Y44" i="106"/>
  <c r="R43" i="106"/>
  <c r="Q43" i="106"/>
  <c r="K43" i="106"/>
  <c r="R42" i="106"/>
  <c r="Q42" i="106"/>
  <c r="K42" i="106"/>
  <c r="J42" i="106"/>
  <c r="R41" i="106"/>
  <c r="Q41" i="106"/>
  <c r="K41" i="106"/>
  <c r="R40" i="106"/>
  <c r="Q40" i="106"/>
  <c r="K40" i="106"/>
  <c r="J40" i="106"/>
  <c r="R39" i="106"/>
  <c r="Q39" i="106"/>
  <c r="K39" i="106"/>
  <c r="R38" i="106"/>
  <c r="Q38" i="106"/>
  <c r="K38" i="106"/>
  <c r="L38" i="106" s="1"/>
  <c r="R37" i="106"/>
  <c r="Q37" i="106"/>
  <c r="K37" i="106"/>
  <c r="R36" i="106"/>
  <c r="Q36" i="106"/>
  <c r="K36" i="106"/>
  <c r="R35" i="106"/>
  <c r="Q35" i="106"/>
  <c r="K35" i="106"/>
  <c r="R34" i="106"/>
  <c r="Q34" i="106"/>
  <c r="K34" i="106"/>
  <c r="R33" i="106"/>
  <c r="Q33" i="106"/>
  <c r="K33" i="106"/>
  <c r="R32" i="106"/>
  <c r="Q32" i="106"/>
  <c r="K32" i="106"/>
  <c r="R31" i="106"/>
  <c r="Q31" i="106"/>
  <c r="K31" i="106"/>
  <c r="V30" i="106"/>
  <c r="T30" i="106"/>
  <c r="U30" i="106" s="1"/>
  <c r="Z30" i="106" s="1"/>
  <c r="R30" i="106"/>
  <c r="Q30" i="106"/>
  <c r="K30" i="106"/>
  <c r="R29" i="106"/>
  <c r="Q29" i="106"/>
  <c r="K29" i="106"/>
  <c r="R28" i="106"/>
  <c r="Q28" i="106"/>
  <c r="K28" i="106"/>
  <c r="R27" i="106"/>
  <c r="Q27" i="106"/>
  <c r="K27" i="106"/>
  <c r="R26" i="106"/>
  <c r="Q26" i="106"/>
  <c r="K26" i="106"/>
  <c r="R25" i="106"/>
  <c r="Q25" i="106"/>
  <c r="K25" i="106"/>
  <c r="R24" i="106"/>
  <c r="Q24" i="106"/>
  <c r="K24" i="106"/>
  <c r="R23" i="106"/>
  <c r="Q23" i="106"/>
  <c r="K23" i="106"/>
  <c r="R22" i="106"/>
  <c r="Q22" i="106"/>
  <c r="K22" i="106"/>
  <c r="R21" i="106"/>
  <c r="Q21" i="106"/>
  <c r="K21" i="106"/>
  <c r="R20" i="106"/>
  <c r="Q20" i="106"/>
  <c r="K20" i="106"/>
  <c r="S19" i="106"/>
  <c r="R19" i="106"/>
  <c r="Q19" i="106"/>
  <c r="J19" i="106"/>
  <c r="K19" i="106" s="1"/>
  <c r="R18" i="106"/>
  <c r="Q18" i="106"/>
  <c r="K18" i="106"/>
  <c r="R17" i="106"/>
  <c r="Q17" i="106"/>
  <c r="K17" i="106"/>
  <c r="Q16" i="106"/>
  <c r="Q15" i="106"/>
  <c r="M14" i="106"/>
  <c r="Z12" i="106"/>
  <c r="M10" i="106"/>
  <c r="S17" i="105"/>
  <c r="Q17" i="105"/>
  <c r="K17" i="105"/>
  <c r="Q16" i="105"/>
  <c r="Q15" i="105"/>
  <c r="M14" i="105"/>
  <c r="Z12" i="105"/>
  <c r="M10" i="105"/>
  <c r="Y23" i="104"/>
  <c r="R22" i="104"/>
  <c r="Q22" i="104"/>
  <c r="K22" i="104"/>
  <c r="Q21" i="104"/>
  <c r="M21" i="104"/>
  <c r="K21" i="104"/>
  <c r="N21" i="104" s="1"/>
  <c r="R20" i="104"/>
  <c r="Q20" i="104"/>
  <c r="K20" i="104"/>
  <c r="R19" i="104"/>
  <c r="Q19" i="104"/>
  <c r="K19" i="104"/>
  <c r="R18" i="104"/>
  <c r="Q18" i="104"/>
  <c r="K18" i="104"/>
  <c r="Q17" i="104"/>
  <c r="K17" i="104"/>
  <c r="Q16" i="104"/>
  <c r="Q15" i="104"/>
  <c r="M14" i="104"/>
  <c r="Z12" i="104"/>
  <c r="M10" i="104"/>
  <c r="Y46" i="103"/>
  <c r="R45" i="103"/>
  <c r="Q45" i="103"/>
  <c r="K45" i="103"/>
  <c r="R44" i="103"/>
  <c r="Q44" i="103"/>
  <c r="K44" i="103"/>
  <c r="R43" i="103"/>
  <c r="Q43" i="103"/>
  <c r="K43" i="103"/>
  <c r="V42" i="103"/>
  <c r="S42" i="103"/>
  <c r="T42" i="103" s="1"/>
  <c r="K42" i="103"/>
  <c r="R41" i="103"/>
  <c r="Q41" i="103"/>
  <c r="K41" i="103"/>
  <c r="Q40" i="103"/>
  <c r="R38" i="103"/>
  <c r="Q38" i="103"/>
  <c r="K38" i="103"/>
  <c r="R37" i="103"/>
  <c r="Q37" i="103"/>
  <c r="K37" i="103"/>
  <c r="V36" i="103"/>
  <c r="R36" i="103"/>
  <c r="T36" i="103" s="1"/>
  <c r="K36" i="103"/>
  <c r="R35" i="103"/>
  <c r="Q35" i="103"/>
  <c r="K35" i="103"/>
  <c r="R34" i="103"/>
  <c r="Q34" i="103"/>
  <c r="K34" i="103"/>
  <c r="R33" i="103"/>
  <c r="Q33" i="103"/>
  <c r="K33" i="103"/>
  <c r="R32" i="103"/>
  <c r="Q32" i="103"/>
  <c r="K32" i="103"/>
  <c r="R31" i="103"/>
  <c r="Q31" i="103"/>
  <c r="K31" i="103"/>
  <c r="R30" i="103"/>
  <c r="Q30" i="103"/>
  <c r="K30" i="103"/>
  <c r="V29" i="103"/>
  <c r="R29" i="103"/>
  <c r="K29" i="103"/>
  <c r="R28" i="103"/>
  <c r="Q28" i="103"/>
  <c r="K28" i="103"/>
  <c r="R27" i="103"/>
  <c r="Q27" i="103"/>
  <c r="K27" i="103"/>
  <c r="V26" i="103"/>
  <c r="Q26" i="103"/>
  <c r="K26" i="103"/>
  <c r="R25" i="103"/>
  <c r="Q25" i="103"/>
  <c r="K25" i="103"/>
  <c r="R24" i="103"/>
  <c r="Q24" i="103"/>
  <c r="K24" i="103"/>
  <c r="R23" i="103"/>
  <c r="Q23" i="103"/>
  <c r="K23" i="103"/>
  <c r="R22" i="103"/>
  <c r="Q22" i="103"/>
  <c r="K22" i="103"/>
  <c r="R21" i="103"/>
  <c r="Q21" i="103"/>
  <c r="K21" i="103"/>
  <c r="R20" i="103"/>
  <c r="Q20" i="103"/>
  <c r="K20" i="103"/>
  <c r="Q19" i="103"/>
  <c r="K19" i="103"/>
  <c r="Q18" i="103"/>
  <c r="K18" i="103"/>
  <c r="R17" i="103"/>
  <c r="Q17" i="103"/>
  <c r="K17" i="103"/>
  <c r="Q16" i="103"/>
  <c r="Q15" i="103"/>
  <c r="M14" i="103"/>
  <c r="Z12" i="103"/>
  <c r="M10" i="103"/>
  <c r="AC84" i="102"/>
  <c r="S84" i="102"/>
  <c r="R84" i="102"/>
  <c r="Q84" i="102"/>
  <c r="K84" i="102"/>
  <c r="S83" i="102"/>
  <c r="R83" i="102"/>
  <c r="Q83" i="102"/>
  <c r="K83" i="102"/>
  <c r="Q82" i="102"/>
  <c r="K82" i="102"/>
  <c r="Q81" i="102"/>
  <c r="K81" i="102"/>
  <c r="V80" i="102"/>
  <c r="S80" i="102"/>
  <c r="T80" i="102" s="1"/>
  <c r="K80" i="102"/>
  <c r="Q79" i="102"/>
  <c r="K79" i="102"/>
  <c r="Q78" i="102"/>
  <c r="K78" i="102"/>
  <c r="Q77" i="102"/>
  <c r="Q76" i="102"/>
  <c r="Y75" i="102"/>
  <c r="S74" i="102"/>
  <c r="R74" i="102"/>
  <c r="Q74" i="102"/>
  <c r="K74" i="102"/>
  <c r="Q73" i="102"/>
  <c r="K73" i="102"/>
  <c r="R72" i="102"/>
  <c r="Q72" i="102"/>
  <c r="K72" i="102"/>
  <c r="V71" i="102"/>
  <c r="T71" i="102"/>
  <c r="K71" i="102"/>
  <c r="R70" i="102"/>
  <c r="Q70" i="102"/>
  <c r="K70" i="102"/>
  <c r="R69" i="102"/>
  <c r="Q69" i="102"/>
  <c r="K69" i="102"/>
  <c r="R68" i="102"/>
  <c r="Q68" i="102"/>
  <c r="K68" i="102"/>
  <c r="R67" i="102"/>
  <c r="Q67" i="102"/>
  <c r="K67" i="102"/>
  <c r="V66" i="102"/>
  <c r="R66" i="102"/>
  <c r="T66" i="102" s="1"/>
  <c r="K66" i="102"/>
  <c r="V65" i="102"/>
  <c r="R65" i="102"/>
  <c r="T65" i="102" s="1"/>
  <c r="K65" i="102"/>
  <c r="Q64" i="102"/>
  <c r="Q63" i="102"/>
  <c r="Y62" i="102"/>
  <c r="Q61" i="102"/>
  <c r="K61" i="102"/>
  <c r="Q60" i="102"/>
  <c r="K60" i="102"/>
  <c r="R59" i="102"/>
  <c r="Q59" i="102"/>
  <c r="K59" i="102"/>
  <c r="R58" i="102"/>
  <c r="Q58" i="102"/>
  <c r="K58" i="102"/>
  <c r="Q57" i="102"/>
  <c r="Q56" i="102"/>
  <c r="Y55" i="102"/>
  <c r="R54" i="102"/>
  <c r="Q54" i="102"/>
  <c r="K54" i="102"/>
  <c r="Q53" i="102"/>
  <c r="K53" i="102"/>
  <c r="Q52" i="102"/>
  <c r="Q51" i="102"/>
  <c r="Y50" i="102"/>
  <c r="V49" i="102"/>
  <c r="T49" i="102"/>
  <c r="K49" i="102"/>
  <c r="V48" i="102"/>
  <c r="T48" i="102"/>
  <c r="K48" i="102"/>
  <c r="V47" i="102"/>
  <c r="T47" i="102"/>
  <c r="K47" i="102"/>
  <c r="V46" i="102"/>
  <c r="T46" i="102"/>
  <c r="K46" i="102"/>
  <c r="Q45" i="102"/>
  <c r="AB44" i="102"/>
  <c r="Q44" i="102"/>
  <c r="AM43" i="102"/>
  <c r="AN43" i="102" s="1"/>
  <c r="Y43" i="102"/>
  <c r="K43" i="102"/>
  <c r="AM42" i="102"/>
  <c r="AN42" i="102" s="1"/>
  <c r="Q42" i="102"/>
  <c r="K42" i="102"/>
  <c r="AM41" i="102"/>
  <c r="AN41" i="102" s="1"/>
  <c r="AN44" i="102" s="1"/>
  <c r="S41" i="102"/>
  <c r="Q41" i="102"/>
  <c r="K41" i="102"/>
  <c r="Q40" i="102"/>
  <c r="K40" i="102"/>
  <c r="R39" i="102"/>
  <c r="Q39" i="102"/>
  <c r="K39" i="102"/>
  <c r="Q38" i="102"/>
  <c r="K38" i="102"/>
  <c r="Q37" i="102"/>
  <c r="K37" i="102"/>
  <c r="R36" i="102"/>
  <c r="Q36" i="102"/>
  <c r="K36" i="102"/>
  <c r="V35" i="102"/>
  <c r="T35" i="102"/>
  <c r="K35" i="102"/>
  <c r="R34" i="102"/>
  <c r="Q34" i="102"/>
  <c r="K34" i="102"/>
  <c r="Q33" i="102"/>
  <c r="K33" i="102"/>
  <c r="Q32" i="102"/>
  <c r="L32" i="102"/>
  <c r="K32" i="102"/>
  <c r="Q31" i="102"/>
  <c r="K31" i="102"/>
  <c r="Q30" i="102"/>
  <c r="K30" i="102"/>
  <c r="Q29" i="102"/>
  <c r="K29" i="102"/>
  <c r="S28" i="102"/>
  <c r="Q28" i="102"/>
  <c r="K28" i="102"/>
  <c r="Q27" i="102"/>
  <c r="Q26" i="102"/>
  <c r="Y25" i="102"/>
  <c r="R24" i="102"/>
  <c r="Q24" i="102"/>
  <c r="K24" i="102"/>
  <c r="R23" i="102"/>
  <c r="Q23" i="102"/>
  <c r="J23" i="102"/>
  <c r="K23" i="102" s="1"/>
  <c r="R22" i="102"/>
  <c r="Q22" i="102"/>
  <c r="J22" i="102"/>
  <c r="K22" i="102" s="1"/>
  <c r="S21" i="102"/>
  <c r="R21" i="102"/>
  <c r="Q21" i="102"/>
  <c r="K21" i="102"/>
  <c r="R20" i="102"/>
  <c r="Q20" i="102"/>
  <c r="K20" i="102"/>
  <c r="R19" i="102"/>
  <c r="Q19" i="102"/>
  <c r="K19" i="102"/>
  <c r="R18" i="102"/>
  <c r="Q18" i="102"/>
  <c r="K18" i="102"/>
  <c r="R17" i="102"/>
  <c r="Q17" i="102"/>
  <c r="K17" i="102"/>
  <c r="Q16" i="102"/>
  <c r="Q15" i="102"/>
  <c r="M14" i="102"/>
  <c r="Z12" i="102"/>
  <c r="M10" i="102"/>
  <c r="G23" i="100"/>
  <c r="AL27" i="91" s="1"/>
  <c r="AL44" i="101"/>
  <c r="AL17" i="101"/>
  <c r="AK21" i="101"/>
  <c r="AK22" i="101"/>
  <c r="S42" i="101"/>
  <c r="R42" i="101"/>
  <c r="Q42" i="101"/>
  <c r="K42" i="101"/>
  <c r="S41" i="101"/>
  <c r="R41" i="101"/>
  <c r="Q41" i="101"/>
  <c r="K41" i="101"/>
  <c r="Q40" i="101"/>
  <c r="R38" i="101"/>
  <c r="Q38" i="101"/>
  <c r="K38" i="101"/>
  <c r="Q37" i="101"/>
  <c r="K37" i="101"/>
  <c r="Q36" i="101"/>
  <c r="K36" i="101"/>
  <c r="R35" i="101"/>
  <c r="Q35" i="101"/>
  <c r="K35" i="101"/>
  <c r="R34" i="101"/>
  <c r="Q34" i="101"/>
  <c r="K34" i="101"/>
  <c r="Q33" i="101"/>
  <c r="K33" i="101"/>
  <c r="Q32" i="101"/>
  <c r="K32" i="101"/>
  <c r="R31" i="101"/>
  <c r="Q31" i="101"/>
  <c r="K31" i="101"/>
  <c r="R30" i="101"/>
  <c r="Q30" i="101"/>
  <c r="K30" i="101"/>
  <c r="R29" i="101"/>
  <c r="Q29" i="101"/>
  <c r="K29" i="101"/>
  <c r="R28" i="101"/>
  <c r="Q28" i="101"/>
  <c r="K28" i="101"/>
  <c r="R27" i="101"/>
  <c r="Q27" i="101"/>
  <c r="K27" i="101"/>
  <c r="R26" i="101"/>
  <c r="Q26" i="101"/>
  <c r="K26" i="101"/>
  <c r="R25" i="101"/>
  <c r="Q25" i="101"/>
  <c r="K25" i="101"/>
  <c r="Q24" i="101"/>
  <c r="K24" i="101"/>
  <c r="R23" i="101"/>
  <c r="Q23" i="101"/>
  <c r="K23" i="101"/>
  <c r="AA22" i="101"/>
  <c r="Q22" i="101"/>
  <c r="K22" i="101"/>
  <c r="AA21" i="101"/>
  <c r="Q21" i="101"/>
  <c r="K21" i="101"/>
  <c r="R20" i="101"/>
  <c r="Q20" i="101"/>
  <c r="K20" i="101"/>
  <c r="AA19" i="101"/>
  <c r="R19" i="101"/>
  <c r="Q19" i="101"/>
  <c r="K19" i="101"/>
  <c r="R18" i="101"/>
  <c r="Q18" i="101"/>
  <c r="K18" i="101"/>
  <c r="R17" i="101"/>
  <c r="Q17" i="101"/>
  <c r="K17" i="101"/>
  <c r="Q16" i="101"/>
  <c r="Q15" i="101"/>
  <c r="M14" i="101"/>
  <c r="Z12" i="101"/>
  <c r="M10" i="101"/>
  <c r="T29" i="91"/>
  <c r="AL26" i="91"/>
  <c r="AL31" i="92"/>
  <c r="AL25" i="92"/>
  <c r="T40" i="92"/>
  <c r="AL34" i="92"/>
  <c r="AL43" i="92"/>
  <c r="AL18" i="91"/>
  <c r="Q27" i="91"/>
  <c r="AL21" i="95"/>
  <c r="AL23" i="96"/>
  <c r="C25" i="99"/>
  <c r="C24" i="99"/>
  <c r="E3" i="99"/>
  <c r="AK18" i="96"/>
  <c r="AK20" i="96"/>
  <c r="AK18" i="95"/>
  <c r="AK19" i="95"/>
  <c r="AK18" i="92"/>
  <c r="AK19" i="92"/>
  <c r="AK20" i="92"/>
  <c r="AK27" i="92"/>
  <c r="AK32" i="92"/>
  <c r="AK33" i="92"/>
  <c r="AK37" i="92"/>
  <c r="AK39" i="92"/>
  <c r="AK41" i="92"/>
  <c r="AK17" i="92"/>
  <c r="F32" i="99" l="1"/>
  <c r="V43" i="106"/>
  <c r="T43" i="106"/>
  <c r="AA43" i="106" s="1"/>
  <c r="U43" i="106"/>
  <c r="L43" i="106"/>
  <c r="V42" i="106"/>
  <c r="T42" i="106"/>
  <c r="U42" i="106"/>
  <c r="L42" i="106"/>
  <c r="M42" i="106"/>
  <c r="N42" i="106" s="1"/>
  <c r="V41" i="106"/>
  <c r="T41" i="106"/>
  <c r="U41" i="106" s="1"/>
  <c r="Z41" i="106" s="1"/>
  <c r="L41" i="106"/>
  <c r="M41" i="106"/>
  <c r="N41" i="106" s="1"/>
  <c r="V40" i="106"/>
  <c r="T40" i="106"/>
  <c r="U40" i="106" s="1"/>
  <c r="L40" i="106"/>
  <c r="V39" i="106"/>
  <c r="T39" i="106"/>
  <c r="U39" i="106"/>
  <c r="L39" i="106"/>
  <c r="M39" i="106"/>
  <c r="N39" i="106" s="1"/>
  <c r="V38" i="106"/>
  <c r="T38" i="106"/>
  <c r="U38" i="106"/>
  <c r="M38" i="106"/>
  <c r="N38" i="106" s="1"/>
  <c r="V37" i="106"/>
  <c r="W37" i="106" s="1"/>
  <c r="X37" i="106" s="1"/>
  <c r="T37" i="106"/>
  <c r="U37" i="106" s="1"/>
  <c r="Z37" i="106" s="1"/>
  <c r="L37" i="106"/>
  <c r="T36" i="106"/>
  <c r="U36" i="106"/>
  <c r="Z36" i="106" s="1"/>
  <c r="V36" i="106"/>
  <c r="W36" i="106" s="1"/>
  <c r="X36" i="106" s="1"/>
  <c r="L36" i="106"/>
  <c r="T35" i="106"/>
  <c r="U35" i="106" s="1"/>
  <c r="V35" i="106"/>
  <c r="L35" i="106"/>
  <c r="N35" i="106" s="1"/>
  <c r="M35" i="106"/>
  <c r="T34" i="106"/>
  <c r="U34" i="106"/>
  <c r="Z34" i="106" s="1"/>
  <c r="V34" i="106"/>
  <c r="W34" i="106" s="1"/>
  <c r="X34" i="106" s="1"/>
  <c r="Y34" i="106" s="1"/>
  <c r="L34" i="106"/>
  <c r="M34" i="106"/>
  <c r="N34" i="106" s="1"/>
  <c r="V33" i="106"/>
  <c r="T33" i="106"/>
  <c r="U33" i="106" s="1"/>
  <c r="Z33" i="106" s="1"/>
  <c r="L33" i="106"/>
  <c r="T32" i="106"/>
  <c r="U32" i="106" s="1"/>
  <c r="Z32" i="106" s="1"/>
  <c r="V32" i="106"/>
  <c r="L32" i="106"/>
  <c r="T31" i="106"/>
  <c r="U31" i="106"/>
  <c r="Z31" i="106" s="1"/>
  <c r="V31" i="106"/>
  <c r="W31" i="106" s="1"/>
  <c r="X31" i="106" s="1"/>
  <c r="Y31" i="106" s="1"/>
  <c r="L31" i="106"/>
  <c r="N31" i="106" s="1"/>
  <c r="M31" i="106"/>
  <c r="L30" i="106"/>
  <c r="T29" i="106"/>
  <c r="U29" i="106"/>
  <c r="Z29" i="106" s="1"/>
  <c r="V29" i="106"/>
  <c r="W29" i="106" s="1"/>
  <c r="X29" i="106" s="1"/>
  <c r="L29" i="106"/>
  <c r="M29" i="106" s="1"/>
  <c r="N29" i="106" s="1"/>
  <c r="V28" i="106"/>
  <c r="W28" i="106" s="1"/>
  <c r="X28" i="106" s="1"/>
  <c r="Y28" i="106" s="1"/>
  <c r="T28" i="106"/>
  <c r="U28" i="106" s="1"/>
  <c r="Z28" i="106" s="1"/>
  <c r="L28" i="106"/>
  <c r="M28" i="106"/>
  <c r="N28" i="106" s="1"/>
  <c r="T27" i="106"/>
  <c r="V27" i="106"/>
  <c r="W27" i="106" s="1"/>
  <c r="X27" i="106" s="1"/>
  <c r="Y27" i="106" s="1"/>
  <c r="U27" i="106"/>
  <c r="Z27" i="106"/>
  <c r="L27" i="106"/>
  <c r="N27" i="106" s="1"/>
  <c r="M27" i="106"/>
  <c r="T26" i="106"/>
  <c r="U26" i="106" s="1"/>
  <c r="Z26" i="106" s="1"/>
  <c r="V26" i="106"/>
  <c r="W26" i="106" s="1"/>
  <c r="X26" i="106" s="1"/>
  <c r="Y26" i="106" s="1"/>
  <c r="L26" i="106"/>
  <c r="N26" i="106" s="1"/>
  <c r="M26" i="106"/>
  <c r="T25" i="106"/>
  <c r="V25" i="106"/>
  <c r="U25" i="106"/>
  <c r="L25" i="106"/>
  <c r="N25" i="106" s="1"/>
  <c r="M25" i="106"/>
  <c r="V24" i="106"/>
  <c r="W24" i="106" s="1"/>
  <c r="X24" i="106" s="1"/>
  <c r="Y24" i="106" s="1"/>
  <c r="T24" i="106"/>
  <c r="U24" i="106"/>
  <c r="Z24" i="106"/>
  <c r="L24" i="106"/>
  <c r="M24" i="106"/>
  <c r="N24" i="106"/>
  <c r="V23" i="106"/>
  <c r="T23" i="106"/>
  <c r="U23" i="106" s="1"/>
  <c r="L23" i="106"/>
  <c r="V22" i="106"/>
  <c r="T22" i="106"/>
  <c r="U22" i="106"/>
  <c r="Z22" i="106" s="1"/>
  <c r="W22" i="106"/>
  <c r="X22" i="106" s="1"/>
  <c r="L22" i="106"/>
  <c r="T21" i="106"/>
  <c r="U21" i="106"/>
  <c r="V21" i="106"/>
  <c r="W21" i="106" s="1"/>
  <c r="X21" i="106" s="1"/>
  <c r="Z21" i="106"/>
  <c r="L21" i="106"/>
  <c r="T20" i="106"/>
  <c r="U20" i="106"/>
  <c r="Z20" i="106" s="1"/>
  <c r="V20" i="106"/>
  <c r="W20" i="106" s="1"/>
  <c r="X20" i="106" s="1"/>
  <c r="Y20" i="106" s="1"/>
  <c r="L20" i="106"/>
  <c r="M20" i="106"/>
  <c r="N20" i="106"/>
  <c r="V19" i="106"/>
  <c r="T19" i="106"/>
  <c r="U19" i="106" s="1"/>
  <c r="Z19" i="106" s="1"/>
  <c r="L19" i="106"/>
  <c r="M19" i="106"/>
  <c r="N19" i="106"/>
  <c r="V18" i="106"/>
  <c r="T18" i="106"/>
  <c r="U18" i="106" s="1"/>
  <c r="Z18" i="106" s="1"/>
  <c r="L18" i="106"/>
  <c r="M18" i="106" s="1"/>
  <c r="N18" i="106" s="1"/>
  <c r="V17" i="106"/>
  <c r="T17" i="106"/>
  <c r="U17" i="106" s="1"/>
  <c r="Z17" i="106" s="1"/>
  <c r="K44" i="106"/>
  <c r="K49" i="106" s="1"/>
  <c r="K58" i="106" s="1"/>
  <c r="L17" i="106"/>
  <c r="K45" i="106"/>
  <c r="W30" i="106"/>
  <c r="X30" i="106" s="1"/>
  <c r="T17" i="105"/>
  <c r="V17" i="105"/>
  <c r="W17" i="105" s="1"/>
  <c r="X17" i="105" s="1"/>
  <c r="U17" i="105"/>
  <c r="Z17" i="105" s="1"/>
  <c r="K18" i="105"/>
  <c r="K19" i="105"/>
  <c r="L17" i="105"/>
  <c r="V22" i="104"/>
  <c r="T22" i="104"/>
  <c r="U22" i="104" s="1"/>
  <c r="L22" i="104"/>
  <c r="M22" i="104"/>
  <c r="N22" i="104" s="1"/>
  <c r="T21" i="104"/>
  <c r="V21" i="104"/>
  <c r="T20" i="104"/>
  <c r="V20" i="104"/>
  <c r="L20" i="104"/>
  <c r="V19" i="104"/>
  <c r="T19" i="104"/>
  <c r="L19" i="104"/>
  <c r="T18" i="104"/>
  <c r="U18" i="104"/>
  <c r="Z18" i="104" s="1"/>
  <c r="V18" i="104"/>
  <c r="W18" i="104" s="1"/>
  <c r="X18" i="104" s="1"/>
  <c r="Y18" i="104" s="1"/>
  <c r="L18" i="104"/>
  <c r="N18" i="104" s="1"/>
  <c r="M18" i="104"/>
  <c r="V17" i="104"/>
  <c r="T17" i="104"/>
  <c r="U17" i="104" s="1"/>
  <c r="K23" i="104"/>
  <c r="K24" i="104"/>
  <c r="L17" i="104"/>
  <c r="T45" i="103"/>
  <c r="V45" i="103"/>
  <c r="W45" i="103" s="1"/>
  <c r="X45" i="103" s="1"/>
  <c r="Y45" i="103" s="1"/>
  <c r="U45" i="103"/>
  <c r="Z45" i="103" s="1"/>
  <c r="L45" i="103"/>
  <c r="M45" i="103"/>
  <c r="N45" i="103" s="1"/>
  <c r="V44" i="103"/>
  <c r="T44" i="103"/>
  <c r="U44" i="103" s="1"/>
  <c r="L44" i="103"/>
  <c r="T43" i="103"/>
  <c r="U43" i="103" s="1"/>
  <c r="Z43" i="103" s="1"/>
  <c r="V43" i="103"/>
  <c r="W43" i="103" s="1"/>
  <c r="X43" i="103" s="1"/>
  <c r="Y43" i="103" s="1"/>
  <c r="L43" i="103"/>
  <c r="N43" i="103" s="1"/>
  <c r="M43" i="103"/>
  <c r="U42" i="103"/>
  <c r="L42" i="103"/>
  <c r="M42" i="103"/>
  <c r="N42" i="103" s="1"/>
  <c r="V41" i="103"/>
  <c r="T41" i="103"/>
  <c r="T46" i="103" s="1"/>
  <c r="U41" i="103"/>
  <c r="K46" i="103"/>
  <c r="L41" i="103"/>
  <c r="V38" i="103"/>
  <c r="T38" i="103"/>
  <c r="U38" i="103" s="1"/>
  <c r="L38" i="103"/>
  <c r="N38" i="103" s="1"/>
  <c r="M38" i="103"/>
  <c r="V37" i="103"/>
  <c r="T37" i="103"/>
  <c r="U37" i="103" s="1"/>
  <c r="Z37" i="103" s="1"/>
  <c r="M37" i="103"/>
  <c r="L37" i="103"/>
  <c r="N37" i="103" s="1"/>
  <c r="U36" i="103"/>
  <c r="L36" i="103"/>
  <c r="V35" i="103"/>
  <c r="T35" i="103"/>
  <c r="U35" i="103" s="1"/>
  <c r="L35" i="103"/>
  <c r="V34" i="103"/>
  <c r="T34" i="103"/>
  <c r="U34" i="103"/>
  <c r="L34" i="103"/>
  <c r="T33" i="103"/>
  <c r="V33" i="103"/>
  <c r="U33" i="103"/>
  <c r="L33" i="103"/>
  <c r="N33" i="103" s="1"/>
  <c r="M33" i="103"/>
  <c r="V32" i="103"/>
  <c r="T32" i="103"/>
  <c r="U32" i="103" s="1"/>
  <c r="Z32" i="103" s="1"/>
  <c r="L32" i="103"/>
  <c r="T31" i="103"/>
  <c r="U31" i="103" s="1"/>
  <c r="Z31" i="103" s="1"/>
  <c r="V31" i="103"/>
  <c r="W31" i="103" s="1"/>
  <c r="X31" i="103" s="1"/>
  <c r="L31" i="103"/>
  <c r="V30" i="103"/>
  <c r="W30" i="103" s="1"/>
  <c r="X30" i="103" s="1"/>
  <c r="Y30" i="103" s="1"/>
  <c r="U30" i="103"/>
  <c r="Z30" i="103" s="1"/>
  <c r="T30" i="103"/>
  <c r="L30" i="103"/>
  <c r="N30" i="103" s="1"/>
  <c r="M30" i="103"/>
  <c r="U29" i="103"/>
  <c r="M29" i="103"/>
  <c r="L29" i="103"/>
  <c r="N29" i="103" s="1"/>
  <c r="T28" i="103"/>
  <c r="U28" i="103" s="1"/>
  <c r="Z28" i="103" s="1"/>
  <c r="V28" i="103"/>
  <c r="W28" i="103" s="1"/>
  <c r="X28" i="103" s="1"/>
  <c r="L28" i="103"/>
  <c r="T27" i="103"/>
  <c r="U27" i="103"/>
  <c r="V27" i="103"/>
  <c r="W27" i="103"/>
  <c r="X27" i="103" s="1"/>
  <c r="Z27" i="103"/>
  <c r="L27" i="103"/>
  <c r="T26" i="103"/>
  <c r="U26" i="103" s="1"/>
  <c r="M26" i="103"/>
  <c r="L26" i="103"/>
  <c r="N26" i="103" s="1"/>
  <c r="V25" i="103"/>
  <c r="T25" i="103"/>
  <c r="U25" i="103" s="1"/>
  <c r="Z25" i="103" s="1"/>
  <c r="L25" i="103"/>
  <c r="V24" i="103"/>
  <c r="T24" i="103"/>
  <c r="U24" i="103" s="1"/>
  <c r="Z24" i="103" s="1"/>
  <c r="L24" i="103"/>
  <c r="V23" i="103"/>
  <c r="T23" i="103"/>
  <c r="U23" i="103" s="1"/>
  <c r="Z23" i="103" s="1"/>
  <c r="L23" i="103"/>
  <c r="V22" i="103"/>
  <c r="T22" i="103"/>
  <c r="U22" i="103" s="1"/>
  <c r="Z22" i="103" s="1"/>
  <c r="L22" i="103"/>
  <c r="V21" i="103"/>
  <c r="T21" i="103"/>
  <c r="U21" i="103" s="1"/>
  <c r="Z21" i="103" s="1"/>
  <c r="L21" i="103"/>
  <c r="V20" i="103"/>
  <c r="T20" i="103"/>
  <c r="U20" i="103" s="1"/>
  <c r="Z20" i="103" s="1"/>
  <c r="L20" i="103"/>
  <c r="N20" i="103" s="1"/>
  <c r="M20" i="103"/>
  <c r="V19" i="103"/>
  <c r="T19" i="103"/>
  <c r="U19" i="103"/>
  <c r="W19" i="103" s="1"/>
  <c r="X19" i="103" s="1"/>
  <c r="Z19" i="103"/>
  <c r="L19" i="103"/>
  <c r="V18" i="103"/>
  <c r="W18" i="103" s="1"/>
  <c r="X18" i="103" s="1"/>
  <c r="Y18" i="103" s="1"/>
  <c r="T18" i="103"/>
  <c r="U18" i="103"/>
  <c r="Z18" i="103" s="1"/>
  <c r="L18" i="103"/>
  <c r="M18" i="103"/>
  <c r="N18" i="103" s="1"/>
  <c r="V17" i="103"/>
  <c r="T17" i="103"/>
  <c r="U17" i="103" s="1"/>
  <c r="K47" i="103"/>
  <c r="K39" i="103"/>
  <c r="L17" i="103"/>
  <c r="N17" i="103" s="1"/>
  <c r="M17" i="103"/>
  <c r="T84" i="102"/>
  <c r="U84" i="102" s="1"/>
  <c r="Z84" i="102" s="1"/>
  <c r="V84" i="102"/>
  <c r="W84" i="102" s="1"/>
  <c r="X84" i="102" s="1"/>
  <c r="L84" i="102"/>
  <c r="M84" i="102" s="1"/>
  <c r="N84" i="102" s="1"/>
  <c r="V83" i="102"/>
  <c r="T83" i="102"/>
  <c r="L83" i="102"/>
  <c r="V82" i="102"/>
  <c r="T82" i="102"/>
  <c r="L82" i="102"/>
  <c r="M82" i="102" s="1"/>
  <c r="N82" i="102" s="1"/>
  <c r="T81" i="102"/>
  <c r="U81" i="102" s="1"/>
  <c r="Z81" i="102" s="1"/>
  <c r="V81" i="102"/>
  <c r="W81" i="102" s="1"/>
  <c r="X81" i="102" s="1"/>
  <c r="Y81" i="102" s="1"/>
  <c r="L81" i="102"/>
  <c r="M81" i="102"/>
  <c r="N81" i="102" s="1"/>
  <c r="AA80" i="102"/>
  <c r="AD80" i="102"/>
  <c r="U80" i="102"/>
  <c r="L80" i="102"/>
  <c r="V79" i="102"/>
  <c r="T79" i="102"/>
  <c r="U79" i="102" s="1"/>
  <c r="Z79" i="102" s="1"/>
  <c r="L79" i="102"/>
  <c r="M79" i="102"/>
  <c r="N79" i="102" s="1"/>
  <c r="T78" i="102"/>
  <c r="U78" i="102" s="1"/>
  <c r="V78" i="102"/>
  <c r="W78" i="102" s="1"/>
  <c r="X78" i="102" s="1"/>
  <c r="L78" i="102"/>
  <c r="K85" i="102"/>
  <c r="V74" i="102"/>
  <c r="W74" i="102" s="1"/>
  <c r="X74" i="102" s="1"/>
  <c r="Y74" i="102" s="1"/>
  <c r="T74" i="102"/>
  <c r="U74" i="102"/>
  <c r="Z74" i="102" s="1"/>
  <c r="L74" i="102"/>
  <c r="N74" i="102" s="1"/>
  <c r="M74" i="102"/>
  <c r="V73" i="102"/>
  <c r="W73" i="102" s="1"/>
  <c r="X73" i="102" s="1"/>
  <c r="Y73" i="102" s="1"/>
  <c r="T73" i="102"/>
  <c r="U73" i="102"/>
  <c r="Z73" i="102"/>
  <c r="L73" i="102"/>
  <c r="N73" i="102" s="1"/>
  <c r="M73" i="102"/>
  <c r="T72" i="102"/>
  <c r="V72" i="102"/>
  <c r="U72" i="102"/>
  <c r="L72" i="102"/>
  <c r="N72" i="102" s="1"/>
  <c r="M72" i="102"/>
  <c r="U71" i="102"/>
  <c r="L71" i="102"/>
  <c r="T70" i="102"/>
  <c r="U70" i="102" s="1"/>
  <c r="Z70" i="102" s="1"/>
  <c r="V70" i="102"/>
  <c r="W70" i="102" s="1"/>
  <c r="X70" i="102" s="1"/>
  <c r="Y70" i="102" s="1"/>
  <c r="L70" i="102"/>
  <c r="N70" i="102" s="1"/>
  <c r="M70" i="102"/>
  <c r="T69" i="102"/>
  <c r="V69" i="102"/>
  <c r="K75" i="102"/>
  <c r="L69" i="102"/>
  <c r="T68" i="102"/>
  <c r="AA68" i="102" s="1"/>
  <c r="V68" i="102"/>
  <c r="U68" i="102"/>
  <c r="L68" i="102"/>
  <c r="M68" i="102" s="1"/>
  <c r="N68" i="102" s="1"/>
  <c r="V67" i="102"/>
  <c r="T67" i="102"/>
  <c r="L67" i="102"/>
  <c r="N67" i="102" s="1"/>
  <c r="M67" i="102"/>
  <c r="U66" i="102"/>
  <c r="L66" i="102"/>
  <c r="U65" i="102"/>
  <c r="L65" i="102"/>
  <c r="V61" i="102"/>
  <c r="T61" i="102"/>
  <c r="U61" i="102" s="1"/>
  <c r="Z61" i="102" s="1"/>
  <c r="L61" i="102"/>
  <c r="V60" i="102"/>
  <c r="T60" i="102"/>
  <c r="U60" i="102" s="1"/>
  <c r="L60" i="102"/>
  <c r="M60" i="102" s="1"/>
  <c r="V59" i="102"/>
  <c r="T59" i="102"/>
  <c r="U59" i="102"/>
  <c r="L59" i="102"/>
  <c r="N59" i="102" s="1"/>
  <c r="M59" i="102"/>
  <c r="T58" i="102"/>
  <c r="U58" i="102"/>
  <c r="Z58" i="102" s="1"/>
  <c r="V58" i="102"/>
  <c r="W58" i="102" s="1"/>
  <c r="X58" i="102" s="1"/>
  <c r="K62" i="102"/>
  <c r="L58" i="102"/>
  <c r="M58" i="102"/>
  <c r="V54" i="102"/>
  <c r="T54" i="102"/>
  <c r="U54" i="102" s="1"/>
  <c r="Z54" i="102" s="1"/>
  <c r="L54" i="102"/>
  <c r="M54" i="102" s="1"/>
  <c r="N54" i="102" s="1"/>
  <c r="V53" i="102"/>
  <c r="T53" i="102"/>
  <c r="U53" i="102" s="1"/>
  <c r="L53" i="102"/>
  <c r="K55" i="102"/>
  <c r="U49" i="102"/>
  <c r="L49" i="102"/>
  <c r="M49" i="102"/>
  <c r="N49" i="102" s="1"/>
  <c r="L48" i="102"/>
  <c r="M48" i="102"/>
  <c r="N48" i="102"/>
  <c r="U48" i="102"/>
  <c r="L47" i="102"/>
  <c r="U47" i="102"/>
  <c r="M47" i="102"/>
  <c r="N47" i="102" s="1"/>
  <c r="T50" i="102"/>
  <c r="AA46" i="102" s="1"/>
  <c r="K50" i="102"/>
  <c r="U46" i="102"/>
  <c r="L46" i="102"/>
  <c r="T42" i="102"/>
  <c r="U42" i="102"/>
  <c r="Z42" i="102" s="1"/>
  <c r="V42" i="102"/>
  <c r="W42" i="102" s="1"/>
  <c r="X42" i="102" s="1"/>
  <c r="L42" i="102"/>
  <c r="M42" i="102"/>
  <c r="N42" i="102" s="1"/>
  <c r="V41" i="102"/>
  <c r="T41" i="102"/>
  <c r="U41" i="102" s="1"/>
  <c r="L41" i="102"/>
  <c r="V40" i="102"/>
  <c r="T40" i="102"/>
  <c r="U40" i="102" s="1"/>
  <c r="Z40" i="102" s="1"/>
  <c r="L40" i="102"/>
  <c r="N40" i="102" s="1"/>
  <c r="M40" i="102"/>
  <c r="T39" i="102"/>
  <c r="U39" i="102" s="1"/>
  <c r="Z39" i="102" s="1"/>
  <c r="V39" i="102"/>
  <c r="W39" i="102" s="1"/>
  <c r="X39" i="102" s="1"/>
  <c r="Y39" i="102" s="1"/>
  <c r="L39" i="102"/>
  <c r="N39" i="102" s="1"/>
  <c r="M39" i="102"/>
  <c r="T38" i="102"/>
  <c r="U38" i="102" s="1"/>
  <c r="Z38" i="102" s="1"/>
  <c r="V38" i="102"/>
  <c r="W38" i="102" s="1"/>
  <c r="X38" i="102" s="1"/>
  <c r="L38" i="102"/>
  <c r="Z37" i="102"/>
  <c r="T37" i="102"/>
  <c r="U37" i="102"/>
  <c r="V37" i="102"/>
  <c r="W37" i="102" s="1"/>
  <c r="X37" i="102" s="1"/>
  <c r="L37" i="102"/>
  <c r="V36" i="102"/>
  <c r="T36" i="102"/>
  <c r="U36" i="102" s="1"/>
  <c r="L36" i="102"/>
  <c r="U35" i="102"/>
  <c r="L35" i="102"/>
  <c r="N35" i="102" s="1"/>
  <c r="M35" i="102"/>
  <c r="V34" i="102"/>
  <c r="T34" i="102"/>
  <c r="U34" i="102" s="1"/>
  <c r="Z34" i="102" s="1"/>
  <c r="L34" i="102"/>
  <c r="M34" i="102"/>
  <c r="T33" i="102"/>
  <c r="V33" i="102"/>
  <c r="W33" i="102" s="1"/>
  <c r="X33" i="102" s="1"/>
  <c r="Y33" i="102" s="1"/>
  <c r="U33" i="102"/>
  <c r="Z33" i="102" s="1"/>
  <c r="L33" i="102"/>
  <c r="M33" i="102"/>
  <c r="N33" i="102" s="1"/>
  <c r="T32" i="102"/>
  <c r="V32" i="102"/>
  <c r="W32" i="102" s="1"/>
  <c r="X32" i="102" s="1"/>
  <c r="Y32" i="102" s="1"/>
  <c r="U32" i="102"/>
  <c r="Z32" i="102" s="1"/>
  <c r="M32" i="102"/>
  <c r="N32" i="102" s="1"/>
  <c r="V31" i="102"/>
  <c r="T31" i="102"/>
  <c r="U31" i="102" s="1"/>
  <c r="L31" i="102"/>
  <c r="T30" i="102"/>
  <c r="U30" i="102" s="1"/>
  <c r="Z30" i="102" s="1"/>
  <c r="V30" i="102"/>
  <c r="W30" i="102" s="1"/>
  <c r="X30" i="102" s="1"/>
  <c r="Y30" i="102" s="1"/>
  <c r="M30" i="102"/>
  <c r="L30" i="102"/>
  <c r="N30" i="102" s="1"/>
  <c r="Z29" i="102"/>
  <c r="T29" i="102"/>
  <c r="U29" i="102"/>
  <c r="V29" i="102"/>
  <c r="W29" i="102" s="1"/>
  <c r="X29" i="102" s="1"/>
  <c r="Y29" i="102" s="1"/>
  <c r="L29" i="102"/>
  <c r="M29" i="102"/>
  <c r="N29" i="102" s="1"/>
  <c r="V28" i="102"/>
  <c r="T28" i="102"/>
  <c r="U28" i="102" s="1"/>
  <c r="L28" i="102"/>
  <c r="V24" i="102"/>
  <c r="T24" i="102"/>
  <c r="U24" i="102" s="1"/>
  <c r="L24" i="102"/>
  <c r="M24" i="102" s="1"/>
  <c r="N24" i="102" s="1"/>
  <c r="V23" i="102"/>
  <c r="T23" i="102"/>
  <c r="U23" i="102" s="1"/>
  <c r="Z23" i="102" s="1"/>
  <c r="L23" i="102"/>
  <c r="M23" i="102"/>
  <c r="N23" i="102"/>
  <c r="V22" i="102"/>
  <c r="T22" i="102"/>
  <c r="U22" i="102" s="1"/>
  <c r="Z22" i="102" s="1"/>
  <c r="L22" i="102"/>
  <c r="M22" i="102"/>
  <c r="N22" i="102"/>
  <c r="K25" i="102"/>
  <c r="V21" i="102"/>
  <c r="T21" i="102"/>
  <c r="U21" i="102" s="1"/>
  <c r="Z21" i="102" s="1"/>
  <c r="L21" i="102"/>
  <c r="T20" i="102"/>
  <c r="V20" i="102"/>
  <c r="W20" i="102" s="1"/>
  <c r="X20" i="102" s="1"/>
  <c r="Y20" i="102" s="1"/>
  <c r="U20" i="102"/>
  <c r="Z20" i="102" s="1"/>
  <c r="L20" i="102"/>
  <c r="M20" i="102"/>
  <c r="N20" i="102" s="1"/>
  <c r="V19" i="102"/>
  <c r="T19" i="102"/>
  <c r="U19" i="102" s="1"/>
  <c r="Z19" i="102" s="1"/>
  <c r="L19" i="102"/>
  <c r="V18" i="102"/>
  <c r="T18" i="102"/>
  <c r="U18" i="102" s="1"/>
  <c r="Z18" i="102" s="1"/>
  <c r="L18" i="102"/>
  <c r="V17" i="102"/>
  <c r="T17" i="102"/>
  <c r="U17" i="102" s="1"/>
  <c r="Z17" i="102" s="1"/>
  <c r="K86" i="102"/>
  <c r="L17" i="102"/>
  <c r="N17" i="102" s="1"/>
  <c r="M17" i="102"/>
  <c r="V42" i="101"/>
  <c r="L42" i="101"/>
  <c r="M42" i="101"/>
  <c r="N42" i="101"/>
  <c r="U41" i="101"/>
  <c r="V41" i="101"/>
  <c r="Z41" i="101"/>
  <c r="K43" i="101"/>
  <c r="L41" i="101"/>
  <c r="M41" i="101"/>
  <c r="M43" i="101" s="1"/>
  <c r="V38" i="101"/>
  <c r="M38" i="101"/>
  <c r="N38" i="101" s="1"/>
  <c r="L38" i="101"/>
  <c r="V37" i="101"/>
  <c r="AA37" i="101"/>
  <c r="U37" i="101"/>
  <c r="W37" i="101"/>
  <c r="X37" i="101" s="1"/>
  <c r="AK37" i="101" s="1"/>
  <c r="Z37" i="101"/>
  <c r="L37" i="101"/>
  <c r="V36" i="101"/>
  <c r="L36" i="101"/>
  <c r="M36" i="101" s="1"/>
  <c r="N36" i="101" s="1"/>
  <c r="V35" i="101"/>
  <c r="L35" i="101"/>
  <c r="V34" i="101"/>
  <c r="L34" i="101"/>
  <c r="M34" i="101"/>
  <c r="N34" i="101" s="1"/>
  <c r="V33" i="101"/>
  <c r="L33" i="101"/>
  <c r="V32" i="101"/>
  <c r="L32" i="101"/>
  <c r="N32" i="101" s="1"/>
  <c r="M32" i="101"/>
  <c r="V31" i="101"/>
  <c r="L31" i="101"/>
  <c r="N31" i="101" s="1"/>
  <c r="M31" i="101"/>
  <c r="V30" i="101"/>
  <c r="L30" i="101"/>
  <c r="V29" i="101"/>
  <c r="L29" i="101"/>
  <c r="V28" i="101"/>
  <c r="L28" i="101"/>
  <c r="U27" i="101"/>
  <c r="V27" i="101"/>
  <c r="AA27" i="101"/>
  <c r="L27" i="101"/>
  <c r="M27" i="101"/>
  <c r="N27" i="101" s="1"/>
  <c r="V26" i="101"/>
  <c r="L26" i="101"/>
  <c r="V25" i="101"/>
  <c r="L25" i="101"/>
  <c r="V24" i="101"/>
  <c r="L24" i="101"/>
  <c r="V23" i="101"/>
  <c r="U23" i="101"/>
  <c r="L23" i="101"/>
  <c r="M23" i="101"/>
  <c r="N23" i="101"/>
  <c r="U22" i="101"/>
  <c r="Z22" i="101"/>
  <c r="V22" i="101"/>
  <c r="W22" i="101" s="1"/>
  <c r="X22" i="101" s="1"/>
  <c r="L22" i="101"/>
  <c r="U21" i="101"/>
  <c r="Z21" i="101"/>
  <c r="V21" i="101"/>
  <c r="W21" i="101" s="1"/>
  <c r="X21" i="101" s="1"/>
  <c r="L21" i="101"/>
  <c r="V20" i="101"/>
  <c r="L20" i="101"/>
  <c r="V19" i="101"/>
  <c r="U19" i="101"/>
  <c r="L19" i="101"/>
  <c r="V18" i="101"/>
  <c r="L18" i="101"/>
  <c r="N18" i="101" s="1"/>
  <c r="M18" i="101"/>
  <c r="V17" i="101"/>
  <c r="U17" i="101"/>
  <c r="K39" i="101"/>
  <c r="K44" i="101"/>
  <c r="L17" i="101"/>
  <c r="L27" i="91"/>
  <c r="M27" i="91"/>
  <c r="N27" i="91" s="1"/>
  <c r="V27" i="91"/>
  <c r="U27" i="91"/>
  <c r="AL29" i="91"/>
  <c r="N42" i="92"/>
  <c r="M42" i="92"/>
  <c r="L42" i="92"/>
  <c r="K42" i="92"/>
  <c r="N35" i="92"/>
  <c r="M35" i="92"/>
  <c r="L35" i="92"/>
  <c r="K35" i="92"/>
  <c r="X20" i="92"/>
  <c r="U20" i="92"/>
  <c r="T20" i="92"/>
  <c r="N20" i="92"/>
  <c r="M20" i="92"/>
  <c r="L20" i="92"/>
  <c r="K20" i="92"/>
  <c r="R41" i="92"/>
  <c r="Q41" i="92"/>
  <c r="K41" i="92"/>
  <c r="Q40" i="92"/>
  <c r="K40" i="92"/>
  <c r="R18" i="95"/>
  <c r="Q18" i="95"/>
  <c r="K18" i="95"/>
  <c r="F39" i="99" l="1"/>
  <c r="F53" i="99"/>
  <c r="U45" i="106"/>
  <c r="U44" i="106"/>
  <c r="T45" i="106"/>
  <c r="T44" i="106"/>
  <c r="L45" i="106"/>
  <c r="L44" i="106"/>
  <c r="W43" i="106"/>
  <c r="X43" i="106" s="1"/>
  <c r="Z43" i="106"/>
  <c r="M43" i="106"/>
  <c r="N43" i="106" s="1"/>
  <c r="Z42" i="106"/>
  <c r="W42" i="106"/>
  <c r="X42" i="106" s="1"/>
  <c r="Y42" i="106" s="1"/>
  <c r="Z40" i="106"/>
  <c r="W40" i="106"/>
  <c r="X40" i="106" s="1"/>
  <c r="Y40" i="106" s="1"/>
  <c r="M40" i="106"/>
  <c r="N40" i="106" s="1"/>
  <c r="Z39" i="106"/>
  <c r="W39" i="106"/>
  <c r="X39" i="106" s="1"/>
  <c r="Y39" i="106" s="1"/>
  <c r="Z38" i="106"/>
  <c r="W38" i="106"/>
  <c r="X38" i="106" s="1"/>
  <c r="Y38" i="106" s="1"/>
  <c r="M37" i="106"/>
  <c r="Y37" i="106" s="1"/>
  <c r="N37" i="106"/>
  <c r="M36" i="106"/>
  <c r="Y36" i="106" s="1"/>
  <c r="N36" i="106"/>
  <c r="W35" i="106"/>
  <c r="X35" i="106" s="1"/>
  <c r="Y35" i="106" s="1"/>
  <c r="Z35" i="106"/>
  <c r="M33" i="106"/>
  <c r="N33" i="106" s="1"/>
  <c r="M32" i="106"/>
  <c r="N32" i="106" s="1"/>
  <c r="M30" i="106"/>
  <c r="Z25" i="106"/>
  <c r="W25" i="106"/>
  <c r="X25" i="106" s="1"/>
  <c r="Y25" i="106" s="1"/>
  <c r="Z23" i="106"/>
  <c r="W23" i="106"/>
  <c r="X23" i="106" s="1"/>
  <c r="Y23" i="106" s="1"/>
  <c r="M23" i="106"/>
  <c r="N23" i="106"/>
  <c r="M22" i="106"/>
  <c r="M21" i="106"/>
  <c r="M17" i="106"/>
  <c r="N17" i="106" s="1"/>
  <c r="W19" i="106"/>
  <c r="X19" i="106" s="1"/>
  <c r="Y19" i="106" s="1"/>
  <c r="W18" i="106"/>
  <c r="X18" i="106" s="1"/>
  <c r="Y18" i="106" s="1"/>
  <c r="W17" i="106"/>
  <c r="X17" i="106" s="1"/>
  <c r="W41" i="106"/>
  <c r="X41" i="106" s="1"/>
  <c r="Y41" i="106" s="1"/>
  <c r="W33" i="106"/>
  <c r="X33" i="106" s="1"/>
  <c r="Y29" i="106"/>
  <c r="W32" i="106"/>
  <c r="X32" i="106" s="1"/>
  <c r="X18" i="105"/>
  <c r="X19" i="105"/>
  <c r="AA17" i="105"/>
  <c r="AD17" i="105"/>
  <c r="T19" i="105"/>
  <c r="T18" i="105"/>
  <c r="U19" i="105"/>
  <c r="U18" i="105"/>
  <c r="L18" i="105"/>
  <c r="L19" i="105"/>
  <c r="M17" i="105"/>
  <c r="N17" i="105" s="1"/>
  <c r="AA17" i="104"/>
  <c r="T23" i="104"/>
  <c r="AA18" i="104" s="1"/>
  <c r="T24" i="104"/>
  <c r="L23" i="104"/>
  <c r="L24" i="104"/>
  <c r="Z22" i="104"/>
  <c r="W22" i="104"/>
  <c r="X22" i="104" s="1"/>
  <c r="Y22" i="104" s="1"/>
  <c r="AA21" i="104"/>
  <c r="U21" i="104"/>
  <c r="AA20" i="104"/>
  <c r="U20" i="104"/>
  <c r="M20" i="104"/>
  <c r="N20" i="104"/>
  <c r="AA19" i="104"/>
  <c r="U19" i="104"/>
  <c r="M19" i="104"/>
  <c r="N19" i="104" s="1"/>
  <c r="Z17" i="104"/>
  <c r="W17" i="104"/>
  <c r="X17" i="104" s="1"/>
  <c r="M17" i="104"/>
  <c r="N17" i="104" s="1"/>
  <c r="W42" i="103"/>
  <c r="X42" i="103" s="1"/>
  <c r="Y42" i="103" s="1"/>
  <c r="Z42" i="103"/>
  <c r="W36" i="103"/>
  <c r="X36" i="103" s="1"/>
  <c r="Z36" i="103"/>
  <c r="AD31" i="103"/>
  <c r="W29" i="103"/>
  <c r="X29" i="103" s="1"/>
  <c r="Y29" i="103" s="1"/>
  <c r="Z29" i="103"/>
  <c r="W26" i="103"/>
  <c r="X26" i="103" s="1"/>
  <c r="Y26" i="103" s="1"/>
  <c r="Z26" i="103"/>
  <c r="AD25" i="103"/>
  <c r="AD24" i="103"/>
  <c r="AD22" i="103"/>
  <c r="U39" i="103"/>
  <c r="U47" i="103"/>
  <c r="T39" i="103"/>
  <c r="T47" i="103"/>
  <c r="L39" i="103"/>
  <c r="L47" i="103"/>
  <c r="U46" i="103"/>
  <c r="W44" i="103"/>
  <c r="X44" i="103" s="1"/>
  <c r="Z44" i="103"/>
  <c r="M44" i="103"/>
  <c r="N44" i="103" s="1"/>
  <c r="W41" i="103"/>
  <c r="X41" i="103" s="1"/>
  <c r="Z41" i="103"/>
  <c r="L46" i="103"/>
  <c r="N41" i="103"/>
  <c r="M41" i="103"/>
  <c r="M46" i="103" s="1"/>
  <c r="W38" i="103"/>
  <c r="X38" i="103" s="1"/>
  <c r="Y38" i="103" s="1"/>
  <c r="Z38" i="103"/>
  <c r="M36" i="103"/>
  <c r="N36" i="103" s="1"/>
  <c r="W35" i="103"/>
  <c r="X35" i="103" s="1"/>
  <c r="Y35" i="103" s="1"/>
  <c r="Z35" i="103"/>
  <c r="N35" i="103"/>
  <c r="M35" i="103"/>
  <c r="W34" i="103"/>
  <c r="X34" i="103" s="1"/>
  <c r="Z34" i="103"/>
  <c r="M34" i="103"/>
  <c r="N34" i="103"/>
  <c r="W33" i="103"/>
  <c r="X33" i="103" s="1"/>
  <c r="Y33" i="103" s="1"/>
  <c r="Z33" i="103"/>
  <c r="M32" i="103"/>
  <c r="N32" i="103"/>
  <c r="M31" i="103"/>
  <c r="Y31" i="103" s="1"/>
  <c r="N31" i="103"/>
  <c r="M28" i="103"/>
  <c r="Y28" i="103" s="1"/>
  <c r="N28" i="103"/>
  <c r="M27" i="103"/>
  <c r="M25" i="103"/>
  <c r="N25" i="103"/>
  <c r="M24" i="103"/>
  <c r="N24" i="103"/>
  <c r="M23" i="103"/>
  <c r="N23" i="103"/>
  <c r="M22" i="103"/>
  <c r="N22" i="103" s="1"/>
  <c r="M21" i="103"/>
  <c r="N21" i="103" s="1"/>
  <c r="M19" i="103"/>
  <c r="W17" i="103"/>
  <c r="X17" i="103" s="1"/>
  <c r="Z17" i="103"/>
  <c r="W37" i="103"/>
  <c r="X37" i="103" s="1"/>
  <c r="Y37" i="103" s="1"/>
  <c r="W32" i="103"/>
  <c r="X32" i="103" s="1"/>
  <c r="Y32" i="103" s="1"/>
  <c r="W25" i="103"/>
  <c r="X25" i="103" s="1"/>
  <c r="Y25" i="103" s="1"/>
  <c r="W23" i="103"/>
  <c r="X23" i="103" s="1"/>
  <c r="Y23" i="103" s="1"/>
  <c r="W24" i="103"/>
  <c r="X24" i="103" s="1"/>
  <c r="Y24" i="103" s="1"/>
  <c r="W22" i="103"/>
  <c r="X22" i="103" s="1"/>
  <c r="Y22" i="103" s="1"/>
  <c r="W21" i="103"/>
  <c r="X21" i="103" s="1"/>
  <c r="Y21" i="103" s="1"/>
  <c r="W20" i="103"/>
  <c r="X20" i="103" s="1"/>
  <c r="Y20" i="103" s="1"/>
  <c r="AA84" i="102"/>
  <c r="AD84" i="102"/>
  <c r="AD81" i="102"/>
  <c r="AA81" i="102"/>
  <c r="W80" i="102"/>
  <c r="X80" i="102" s="1"/>
  <c r="Y80" i="102" s="1"/>
  <c r="Z80" i="102"/>
  <c r="AD79" i="102"/>
  <c r="AA79" i="102"/>
  <c r="AA78" i="102"/>
  <c r="AD78" i="102"/>
  <c r="T85" i="102"/>
  <c r="AA74" i="102"/>
  <c r="AD74" i="102"/>
  <c r="AA73" i="102"/>
  <c r="AD73" i="102"/>
  <c r="W71" i="102"/>
  <c r="X71" i="102" s="1"/>
  <c r="Y71" i="102" s="1"/>
  <c r="Z71" i="102"/>
  <c r="W66" i="102"/>
  <c r="X66" i="102" s="1"/>
  <c r="Y66" i="102" s="1"/>
  <c r="Z66" i="102"/>
  <c r="W65" i="102"/>
  <c r="X65" i="102" s="1"/>
  <c r="Z65" i="102"/>
  <c r="U75" i="102"/>
  <c r="T62" i="102"/>
  <c r="AA58" i="102" s="1"/>
  <c r="AD54" i="102"/>
  <c r="AD53" i="102"/>
  <c r="T55" i="102"/>
  <c r="W49" i="102"/>
  <c r="X49" i="102" s="1"/>
  <c r="Y49" i="102" s="1"/>
  <c r="Z49" i="102"/>
  <c r="W48" i="102"/>
  <c r="X48" i="102" s="1"/>
  <c r="Y48" i="102" s="1"/>
  <c r="Z48" i="102"/>
  <c r="W47" i="102"/>
  <c r="X47" i="102" s="1"/>
  <c r="Y47" i="102" s="1"/>
  <c r="Z47" i="102"/>
  <c r="AA47" i="102"/>
  <c r="AA48" i="102"/>
  <c r="AA49" i="102"/>
  <c r="W46" i="102"/>
  <c r="X46" i="102" s="1"/>
  <c r="Z46" i="102"/>
  <c r="U50" i="102"/>
  <c r="AD40" i="102"/>
  <c r="W35" i="102"/>
  <c r="X35" i="102" s="1"/>
  <c r="Y35" i="102" s="1"/>
  <c r="Z35" i="102"/>
  <c r="AD28" i="102"/>
  <c r="T43" i="102"/>
  <c r="AD23" i="102"/>
  <c r="U25" i="102"/>
  <c r="T86" i="102"/>
  <c r="T25" i="102"/>
  <c r="L86" i="102"/>
  <c r="L25" i="102"/>
  <c r="U62" i="102"/>
  <c r="L75" i="102"/>
  <c r="Y42" i="102"/>
  <c r="L43" i="102"/>
  <c r="W23" i="102"/>
  <c r="X23" i="102" s="1"/>
  <c r="Y23" i="102" s="1"/>
  <c r="N34" i="102"/>
  <c r="AA83" i="102"/>
  <c r="U83" i="102"/>
  <c r="M83" i="102"/>
  <c r="N83" i="102"/>
  <c r="AA82" i="102"/>
  <c r="U82" i="102"/>
  <c r="M80" i="102"/>
  <c r="N80" i="102" s="1"/>
  <c r="Z78" i="102"/>
  <c r="U85" i="102"/>
  <c r="L85" i="102"/>
  <c r="M78" i="102"/>
  <c r="Y78" i="102" s="1"/>
  <c r="W72" i="102"/>
  <c r="X72" i="102" s="1"/>
  <c r="Y72" i="102" s="1"/>
  <c r="Z72" i="102"/>
  <c r="M71" i="102"/>
  <c r="N71" i="102"/>
  <c r="AA69" i="102"/>
  <c r="U69" i="102"/>
  <c r="M69" i="102"/>
  <c r="N69" i="102" s="1"/>
  <c r="Z68" i="102"/>
  <c r="W68" i="102"/>
  <c r="X68" i="102" s="1"/>
  <c r="Y68" i="102" s="1"/>
  <c r="AA67" i="102"/>
  <c r="U67" i="102"/>
  <c r="U86" i="102" s="1"/>
  <c r="T75" i="102"/>
  <c r="M66" i="102"/>
  <c r="N66" i="102" s="1"/>
  <c r="N75" i="102" s="1"/>
  <c r="M65" i="102"/>
  <c r="M75" i="102" s="1"/>
  <c r="N65" i="102"/>
  <c r="M61" i="102"/>
  <c r="N61" i="102"/>
  <c r="W60" i="102"/>
  <c r="X60" i="102" s="1"/>
  <c r="Y60" i="102" s="1"/>
  <c r="Z60" i="102"/>
  <c r="M62" i="102"/>
  <c r="N60" i="102"/>
  <c r="Z59" i="102"/>
  <c r="W59" i="102"/>
  <c r="X59" i="102" s="1"/>
  <c r="Y59" i="102" s="1"/>
  <c r="Y58" i="102"/>
  <c r="L62" i="102"/>
  <c r="N58" i="102"/>
  <c r="N62" i="102" s="1"/>
  <c r="Z53" i="102"/>
  <c r="U55" i="102"/>
  <c r="L55" i="102"/>
  <c r="M53" i="102"/>
  <c r="M55" i="102" s="1"/>
  <c r="N53" i="102"/>
  <c r="N55" i="102" s="1"/>
  <c r="L50" i="102"/>
  <c r="M46" i="102"/>
  <c r="M50" i="102" s="1"/>
  <c r="N46" i="102"/>
  <c r="N50" i="102" s="1"/>
  <c r="W41" i="102"/>
  <c r="X41" i="102" s="1"/>
  <c r="Z41" i="102"/>
  <c r="M41" i="102"/>
  <c r="N41" i="102"/>
  <c r="M38" i="102"/>
  <c r="Y38" i="102" s="1"/>
  <c r="N38" i="102"/>
  <c r="M37" i="102"/>
  <c r="Y37" i="102" s="1"/>
  <c r="N37" i="102"/>
  <c r="Z36" i="102"/>
  <c r="W36" i="102"/>
  <c r="X36" i="102" s="1"/>
  <c r="M36" i="102"/>
  <c r="N36" i="102"/>
  <c r="W31" i="102"/>
  <c r="X31" i="102" s="1"/>
  <c r="Z31" i="102"/>
  <c r="M31" i="102"/>
  <c r="N31" i="102" s="1"/>
  <c r="N43" i="102" s="1"/>
  <c r="W28" i="102"/>
  <c r="X28" i="102" s="1"/>
  <c r="Z28" i="102"/>
  <c r="U43" i="102"/>
  <c r="M28" i="102"/>
  <c r="M43" i="102" s="1"/>
  <c r="N28" i="102"/>
  <c r="Z24" i="102"/>
  <c r="W24" i="102"/>
  <c r="X24" i="102" s="1"/>
  <c r="Y24" i="102" s="1"/>
  <c r="M21" i="102"/>
  <c r="N21" i="102"/>
  <c r="M19" i="102"/>
  <c r="N19" i="102" s="1"/>
  <c r="M18" i="102"/>
  <c r="N18" i="102"/>
  <c r="W61" i="102"/>
  <c r="X61" i="102" s="1"/>
  <c r="W54" i="102"/>
  <c r="X54" i="102" s="1"/>
  <c r="Y54" i="102" s="1"/>
  <c r="W53" i="102"/>
  <c r="X53" i="102" s="1"/>
  <c r="W17" i="102"/>
  <c r="X17" i="102" s="1"/>
  <c r="W40" i="102"/>
  <c r="X40" i="102" s="1"/>
  <c r="Y40" i="102" s="1"/>
  <c r="W34" i="102"/>
  <c r="X34" i="102" s="1"/>
  <c r="Y34" i="102" s="1"/>
  <c r="W22" i="102"/>
  <c r="X22" i="102" s="1"/>
  <c r="Y22" i="102" s="1"/>
  <c r="W21" i="102"/>
  <c r="X21" i="102" s="1"/>
  <c r="Y21" i="102" s="1"/>
  <c r="W19" i="102"/>
  <c r="X19" i="102" s="1"/>
  <c r="Y19" i="102" s="1"/>
  <c r="W18" i="102"/>
  <c r="X18" i="102" s="1"/>
  <c r="Y18" i="102" s="1"/>
  <c r="Y84" i="102"/>
  <c r="W79" i="102"/>
  <c r="X79" i="102" s="1"/>
  <c r="W41" i="101"/>
  <c r="X41" i="101" s="1"/>
  <c r="AA41" i="101"/>
  <c r="T43" i="101"/>
  <c r="AA23" i="101"/>
  <c r="S31" i="101"/>
  <c r="T31" i="101" s="1"/>
  <c r="AA17" i="101"/>
  <c r="S30" i="101"/>
  <c r="L44" i="101"/>
  <c r="L39" i="101"/>
  <c r="AA42" i="101"/>
  <c r="U42" i="101"/>
  <c r="L43" i="101"/>
  <c r="N41" i="101"/>
  <c r="N43" i="101" s="1"/>
  <c r="AA38" i="101"/>
  <c r="U38" i="101"/>
  <c r="M37" i="101"/>
  <c r="AA36" i="101"/>
  <c r="U36" i="101"/>
  <c r="AA35" i="101"/>
  <c r="U35" i="101"/>
  <c r="M35" i="101"/>
  <c r="N35" i="101" s="1"/>
  <c r="AA34" i="101"/>
  <c r="U34" i="101"/>
  <c r="AA33" i="101"/>
  <c r="U33" i="101"/>
  <c r="M33" i="101"/>
  <c r="N33" i="101"/>
  <c r="AA32" i="101"/>
  <c r="U32" i="101"/>
  <c r="M30" i="101"/>
  <c r="N30" i="101" s="1"/>
  <c r="AA29" i="101"/>
  <c r="U29" i="101"/>
  <c r="M29" i="101"/>
  <c r="N29" i="101" s="1"/>
  <c r="AA28" i="101"/>
  <c r="U28" i="101"/>
  <c r="M28" i="101"/>
  <c r="N28" i="101" s="1"/>
  <c r="Z27" i="101"/>
  <c r="W27" i="101"/>
  <c r="X27" i="101" s="1"/>
  <c r="AA26" i="101"/>
  <c r="U26" i="101"/>
  <c r="M26" i="101"/>
  <c r="N26" i="101" s="1"/>
  <c r="AA25" i="101"/>
  <c r="U25" i="101"/>
  <c r="M25" i="101"/>
  <c r="N25" i="101"/>
  <c r="AA24" i="101"/>
  <c r="U24" i="101"/>
  <c r="M24" i="101"/>
  <c r="N24" i="101" s="1"/>
  <c r="W23" i="101"/>
  <c r="X23" i="101" s="1"/>
  <c r="Z23" i="101"/>
  <c r="M22" i="101"/>
  <c r="M21" i="101"/>
  <c r="Y21" i="101" s="1"/>
  <c r="N21" i="101"/>
  <c r="AA20" i="101"/>
  <c r="U20" i="101"/>
  <c r="M20" i="101"/>
  <c r="N20" i="101" s="1"/>
  <c r="Z19" i="101"/>
  <c r="W19" i="101"/>
  <c r="X19" i="101" s="1"/>
  <c r="M19" i="101"/>
  <c r="N19" i="101"/>
  <c r="AA18" i="101"/>
  <c r="U18" i="101"/>
  <c r="Z17" i="101"/>
  <c r="W17" i="101"/>
  <c r="X17" i="101" s="1"/>
  <c r="AK17" i="101" s="1"/>
  <c r="M17" i="101"/>
  <c r="N17" i="101" s="1"/>
  <c r="W27" i="91"/>
  <c r="X27" i="91" s="1"/>
  <c r="L41" i="92"/>
  <c r="M41" i="92" s="1"/>
  <c r="N41" i="92" s="1"/>
  <c r="V41" i="92"/>
  <c r="T41" i="92"/>
  <c r="U41" i="92" s="1"/>
  <c r="Z41" i="92" s="1"/>
  <c r="U40" i="92"/>
  <c r="V40" i="92"/>
  <c r="L40" i="92"/>
  <c r="L18" i="95"/>
  <c r="T18" i="95"/>
  <c r="U18" i="95" s="1"/>
  <c r="Z18" i="95" s="1"/>
  <c r="V18" i="95"/>
  <c r="K39" i="92"/>
  <c r="K38" i="92"/>
  <c r="K37" i="92"/>
  <c r="R39" i="92"/>
  <c r="Q39" i="92"/>
  <c r="Q38" i="92"/>
  <c r="R37" i="92"/>
  <c r="Q37" i="92"/>
  <c r="Q36" i="92"/>
  <c r="Q27" i="92"/>
  <c r="K27" i="92"/>
  <c r="Q34" i="92"/>
  <c r="K34" i="92"/>
  <c r="Q33" i="92"/>
  <c r="K33" i="92"/>
  <c r="R32" i="92"/>
  <c r="Q32" i="92"/>
  <c r="V32" i="92" s="1"/>
  <c r="K32" i="92"/>
  <c r="R31" i="92"/>
  <c r="V31" i="92"/>
  <c r="K31" i="92"/>
  <c r="L31" i="92" s="1"/>
  <c r="Q30" i="92"/>
  <c r="Q29" i="92"/>
  <c r="R26" i="92"/>
  <c r="Q26" i="92"/>
  <c r="K26" i="92"/>
  <c r="R25" i="92"/>
  <c r="Q25" i="92"/>
  <c r="K25" i="92"/>
  <c r="L25" i="92" s="1"/>
  <c r="R24" i="92"/>
  <c r="Q24" i="92"/>
  <c r="K24" i="92"/>
  <c r="Q23" i="92"/>
  <c r="Q22" i="92"/>
  <c r="M44" i="106" l="1"/>
  <c r="M45" i="106"/>
  <c r="X44" i="106"/>
  <c r="X45" i="106"/>
  <c r="Y17" i="106"/>
  <c r="Y43" i="106"/>
  <c r="Y33" i="106"/>
  <c r="Y32" i="106"/>
  <c r="Y30" i="106"/>
  <c r="N30" i="106"/>
  <c r="Y22" i="106"/>
  <c r="N22" i="106"/>
  <c r="Y21" i="106"/>
  <c r="N21" i="106"/>
  <c r="N19" i="105"/>
  <c r="N18" i="105"/>
  <c r="M18" i="105"/>
  <c r="Y18" i="105" s="1"/>
  <c r="M19" i="105"/>
  <c r="Y17" i="105"/>
  <c r="Y19" i="105" s="1"/>
  <c r="W21" i="104"/>
  <c r="X21" i="104" s="1"/>
  <c r="Y21" i="104" s="1"/>
  <c r="Z21" i="104"/>
  <c r="W20" i="104"/>
  <c r="X20" i="104" s="1"/>
  <c r="Z20" i="104"/>
  <c r="W19" i="104"/>
  <c r="X19" i="104" s="1"/>
  <c r="Y19" i="104" s="1"/>
  <c r="Z19" i="104"/>
  <c r="Y17" i="104"/>
  <c r="M24" i="104"/>
  <c r="M23" i="104"/>
  <c r="N24" i="104"/>
  <c r="N23" i="104"/>
  <c r="U24" i="104"/>
  <c r="U23" i="104"/>
  <c r="AA19" i="103"/>
  <c r="AA28" i="103"/>
  <c r="AA30" i="103"/>
  <c r="AA33" i="103"/>
  <c r="AA35" i="103"/>
  <c r="AA34" i="103"/>
  <c r="AA27" i="103"/>
  <c r="AA32" i="103"/>
  <c r="AA20" i="103"/>
  <c r="AA21" i="103"/>
  <c r="AA23" i="103"/>
  <c r="AA18" i="103"/>
  <c r="AA26" i="103"/>
  <c r="AA37" i="103"/>
  <c r="AA36" i="103"/>
  <c r="AA29" i="103"/>
  <c r="Y41" i="103"/>
  <c r="X46" i="103"/>
  <c r="X39" i="103"/>
  <c r="X47" i="103"/>
  <c r="Y17" i="103"/>
  <c r="N46" i="103"/>
  <c r="Y34" i="103"/>
  <c r="Y44" i="103"/>
  <c r="Y36" i="103"/>
  <c r="AA31" i="103"/>
  <c r="AA22" i="103"/>
  <c r="AA25" i="103"/>
  <c r="AA24" i="103"/>
  <c r="AA17" i="103"/>
  <c r="Y27" i="103"/>
  <c r="N27" i="103"/>
  <c r="Y19" i="103"/>
  <c r="M39" i="103"/>
  <c r="N19" i="103"/>
  <c r="M47" i="103"/>
  <c r="Y65" i="102"/>
  <c r="AA59" i="102"/>
  <c r="AA60" i="102"/>
  <c r="AA61" i="102"/>
  <c r="X50" i="102"/>
  <c r="Y46" i="102"/>
  <c r="AA31" i="102"/>
  <c r="AA29" i="102"/>
  <c r="AA30" i="102"/>
  <c r="AA33" i="102"/>
  <c r="AA37" i="102"/>
  <c r="AA32" i="102"/>
  <c r="AA41" i="102"/>
  <c r="AA42" i="102"/>
  <c r="AA38" i="102"/>
  <c r="AA35" i="102"/>
  <c r="AA18" i="102"/>
  <c r="AA19" i="102"/>
  <c r="AA20" i="102"/>
  <c r="AA21" i="102"/>
  <c r="AA22" i="102"/>
  <c r="AA24" i="102"/>
  <c r="Z83" i="102"/>
  <c r="W83" i="102"/>
  <c r="X83" i="102" s="1"/>
  <c r="Y83" i="102" s="1"/>
  <c r="W82" i="102"/>
  <c r="X82" i="102" s="1"/>
  <c r="Y82" i="102" s="1"/>
  <c r="Z82" i="102"/>
  <c r="N78" i="102"/>
  <c r="N85" i="102" s="1"/>
  <c r="M85" i="102"/>
  <c r="Z69" i="102"/>
  <c r="W69" i="102"/>
  <c r="X69" i="102" s="1"/>
  <c r="Y69" i="102" s="1"/>
  <c r="W67" i="102"/>
  <c r="X67" i="102" s="1"/>
  <c r="Z67" i="102"/>
  <c r="AA70" i="102"/>
  <c r="AA72" i="102"/>
  <c r="AA71" i="102"/>
  <c r="AA66" i="102"/>
  <c r="AA65" i="102"/>
  <c r="Y28" i="102"/>
  <c r="X43" i="102"/>
  <c r="X55" i="102"/>
  <c r="Y53" i="102"/>
  <c r="X86" i="102"/>
  <c r="X25" i="102"/>
  <c r="Y17" i="102"/>
  <c r="Y41" i="102"/>
  <c r="Y36" i="102"/>
  <c r="Y31" i="102"/>
  <c r="AA53" i="102"/>
  <c r="AA54" i="102"/>
  <c r="AA40" i="102"/>
  <c r="AA28" i="102"/>
  <c r="AA23" i="102"/>
  <c r="AA17" i="102"/>
  <c r="M25" i="102"/>
  <c r="M86" i="102"/>
  <c r="N25" i="102"/>
  <c r="N86" i="102"/>
  <c r="Y61" i="102"/>
  <c r="X62" i="102"/>
  <c r="Y79" i="102"/>
  <c r="X85" i="102"/>
  <c r="Y85" i="102" s="1"/>
  <c r="X29" i="91"/>
  <c r="AK27" i="91"/>
  <c r="AK41" i="101"/>
  <c r="Y41" i="101"/>
  <c r="Y27" i="101"/>
  <c r="AK27" i="101"/>
  <c r="Y23" i="101"/>
  <c r="AK23" i="101"/>
  <c r="Y19" i="101"/>
  <c r="AK19" i="101"/>
  <c r="T39" i="101"/>
  <c r="AA39" i="101" s="1"/>
  <c r="T44" i="101"/>
  <c r="U31" i="101"/>
  <c r="AA31" i="101"/>
  <c r="U30" i="101"/>
  <c r="AA30" i="101"/>
  <c r="W42" i="101"/>
  <c r="X42" i="101" s="1"/>
  <c r="AK42" i="101" s="1"/>
  <c r="U43" i="101"/>
  <c r="Z42" i="101"/>
  <c r="W38" i="101"/>
  <c r="X38" i="101" s="1"/>
  <c r="Z38" i="101"/>
  <c r="W36" i="101"/>
  <c r="X36" i="101" s="1"/>
  <c r="Z36" i="101"/>
  <c r="W35" i="101"/>
  <c r="X35" i="101" s="1"/>
  <c r="Z35" i="101"/>
  <c r="Z34" i="101"/>
  <c r="W34" i="101"/>
  <c r="X34" i="101" s="1"/>
  <c r="W33" i="101"/>
  <c r="X33" i="101" s="1"/>
  <c r="Z33" i="101"/>
  <c r="W32" i="101"/>
  <c r="X32" i="101" s="1"/>
  <c r="Z32" i="101"/>
  <c r="W29" i="101"/>
  <c r="X29" i="101" s="1"/>
  <c r="Z29" i="101"/>
  <c r="W28" i="101"/>
  <c r="X28" i="101" s="1"/>
  <c r="Z28" i="101"/>
  <c r="Z26" i="101"/>
  <c r="W26" i="101"/>
  <c r="X26" i="101" s="1"/>
  <c r="W25" i="101"/>
  <c r="X25" i="101" s="1"/>
  <c r="Z25" i="101"/>
  <c r="W24" i="101"/>
  <c r="X24" i="101" s="1"/>
  <c r="Z24" i="101"/>
  <c r="W20" i="101"/>
  <c r="X20" i="101" s="1"/>
  <c r="Z20" i="101"/>
  <c r="W18" i="101"/>
  <c r="X18" i="101" s="1"/>
  <c r="AK18" i="101" s="1"/>
  <c r="Z18" i="101"/>
  <c r="Y17" i="101"/>
  <c r="M44" i="101"/>
  <c r="M39" i="101"/>
  <c r="Y37" i="101"/>
  <c r="N37" i="101"/>
  <c r="Y22" i="101"/>
  <c r="N22" i="101"/>
  <c r="K43" i="92"/>
  <c r="K28" i="92"/>
  <c r="W41" i="92"/>
  <c r="X41" i="92" s="1"/>
  <c r="Y41" i="92" s="1"/>
  <c r="W40" i="92"/>
  <c r="X40" i="92" s="1"/>
  <c r="AK40" i="92" s="1"/>
  <c r="Z40" i="92"/>
  <c r="W18" i="95"/>
  <c r="X18" i="95" s="1"/>
  <c r="L39" i="92"/>
  <c r="L38" i="92"/>
  <c r="L37" i="92"/>
  <c r="V39" i="92"/>
  <c r="T39" i="92"/>
  <c r="V37" i="92"/>
  <c r="T37" i="92"/>
  <c r="U37" i="92" s="1"/>
  <c r="Z37" i="92" s="1"/>
  <c r="V38" i="92"/>
  <c r="T42" i="92"/>
  <c r="L27" i="92"/>
  <c r="T27" i="92"/>
  <c r="V27" i="92"/>
  <c r="V34" i="92"/>
  <c r="T32" i="92"/>
  <c r="U32" i="92" s="1"/>
  <c r="L34" i="92"/>
  <c r="L32" i="92"/>
  <c r="L33" i="92"/>
  <c r="U34" i="92"/>
  <c r="V33" i="92"/>
  <c r="T33" i="92"/>
  <c r="U26" i="92"/>
  <c r="Z26" i="92" s="1"/>
  <c r="V26" i="92"/>
  <c r="L26" i="92"/>
  <c r="V24" i="92"/>
  <c r="L24" i="92"/>
  <c r="U25" i="92"/>
  <c r="V25" i="92"/>
  <c r="Y45" i="106" l="1"/>
  <c r="N45" i="106"/>
  <c r="Z45" i="106" s="1"/>
  <c r="AA45" i="106" s="1"/>
  <c r="N44" i="106"/>
  <c r="Z19" i="105"/>
  <c r="AA19" i="105" s="1"/>
  <c r="Y20" i="104"/>
  <c r="Y24" i="104" s="1"/>
  <c r="Z24" i="104" s="1"/>
  <c r="AA24" i="104" s="1"/>
  <c r="X23" i="104"/>
  <c r="X24" i="104"/>
  <c r="N39" i="103"/>
  <c r="N47" i="103"/>
  <c r="Z47" i="103" s="1"/>
  <c r="AA47" i="103" s="1"/>
  <c r="Y47" i="103"/>
  <c r="Y39" i="103"/>
  <c r="Y86" i="102"/>
  <c r="Z86" i="102" s="1"/>
  <c r="AA86" i="102" s="1"/>
  <c r="Y67" i="102"/>
  <c r="X75" i="102"/>
  <c r="Y38" i="101"/>
  <c r="AK38" i="101"/>
  <c r="Y36" i="101"/>
  <c r="AK36" i="101"/>
  <c r="Y35" i="101"/>
  <c r="AK35" i="101"/>
  <c r="Y34" i="101"/>
  <c r="AK34" i="101"/>
  <c r="Y33" i="101"/>
  <c r="AK33" i="101"/>
  <c r="Y32" i="101"/>
  <c r="AK32" i="101"/>
  <c r="Y29" i="101"/>
  <c r="AK29" i="101"/>
  <c r="Y28" i="101"/>
  <c r="AK28" i="101"/>
  <c r="Y26" i="101"/>
  <c r="AK26" i="101"/>
  <c r="Y25" i="101"/>
  <c r="AK25" i="101"/>
  <c r="Y24" i="101"/>
  <c r="AK24" i="101"/>
  <c r="Y20" i="101"/>
  <c r="AK20" i="101"/>
  <c r="U44" i="101"/>
  <c r="U39" i="101"/>
  <c r="W31" i="101"/>
  <c r="X31" i="101" s="1"/>
  <c r="X44" i="101" s="1"/>
  <c r="Z31" i="101"/>
  <c r="W30" i="101"/>
  <c r="X30" i="101" s="1"/>
  <c r="Z30" i="101"/>
  <c r="X43" i="101"/>
  <c r="Y43" i="101" s="1"/>
  <c r="Y42" i="101"/>
  <c r="Y18" i="101"/>
  <c r="N39" i="101"/>
  <c r="N44" i="101"/>
  <c r="T35" i="92"/>
  <c r="AA33" i="92" s="1"/>
  <c r="T43" i="92"/>
  <c r="T28" i="92"/>
  <c r="L43" i="92"/>
  <c r="L28" i="92"/>
  <c r="W37" i="92"/>
  <c r="X37" i="92" s="1"/>
  <c r="U27" i="92"/>
  <c r="W27" i="92" s="1"/>
  <c r="X27" i="92" s="1"/>
  <c r="AA38" i="92"/>
  <c r="U39" i="92"/>
  <c r="U38" i="92"/>
  <c r="U42" i="92" s="1"/>
  <c r="W39" i="92"/>
  <c r="X39" i="92" s="1"/>
  <c r="U33" i="92"/>
  <c r="U31" i="92"/>
  <c r="U24" i="92"/>
  <c r="Z34" i="92"/>
  <c r="W34" i="92"/>
  <c r="X34" i="92" s="1"/>
  <c r="AK34" i="92" s="1"/>
  <c r="Z32" i="92"/>
  <c r="W32" i="92"/>
  <c r="X32" i="92" s="1"/>
  <c r="Z25" i="92"/>
  <c r="W26" i="92"/>
  <c r="X26" i="92" s="1"/>
  <c r="AK26" i="92" s="1"/>
  <c r="W25" i="92"/>
  <c r="X25" i="92" s="1"/>
  <c r="AK25" i="92" s="1"/>
  <c r="AL47" i="101" l="1"/>
  <c r="AL48" i="101" s="1"/>
  <c r="AL46" i="101"/>
  <c r="Y31" i="101"/>
  <c r="X39" i="101"/>
  <c r="Y39" i="101" s="1"/>
  <c r="AK31" i="101"/>
  <c r="Y30" i="101"/>
  <c r="Y44" i="101" s="1"/>
  <c r="Z44" i="101" s="1"/>
  <c r="AA44" i="101" s="1"/>
  <c r="AK30" i="101"/>
  <c r="Z33" i="92"/>
  <c r="U35" i="92"/>
  <c r="W24" i="92"/>
  <c r="X24" i="92" s="1"/>
  <c r="AK24" i="92" s="1"/>
  <c r="U28" i="92"/>
  <c r="U43" i="92"/>
  <c r="Z27" i="92"/>
  <c r="Z39" i="92"/>
  <c r="W38" i="92"/>
  <c r="X38" i="92" s="1"/>
  <c r="Z38" i="92"/>
  <c r="AA39" i="92"/>
  <c r="AA37" i="92"/>
  <c r="W31" i="92"/>
  <c r="X31" i="92" s="1"/>
  <c r="Z31" i="92"/>
  <c r="AA34" i="92"/>
  <c r="W33" i="92"/>
  <c r="X33" i="92" s="1"/>
  <c r="Z24" i="92"/>
  <c r="AA32" i="92"/>
  <c r="AA31" i="92"/>
  <c r="AA25" i="92"/>
  <c r="AA24" i="92"/>
  <c r="AA26" i="92"/>
  <c r="R21" i="96"/>
  <c r="Q21" i="96"/>
  <c r="K21" i="96"/>
  <c r="L21" i="96" s="1"/>
  <c r="Q20" i="96"/>
  <c r="V20" i="96" s="1"/>
  <c r="K20" i="96"/>
  <c r="V19" i="96"/>
  <c r="K19" i="96"/>
  <c r="L19" i="96" s="1"/>
  <c r="M19" i="96" s="1"/>
  <c r="R18" i="96"/>
  <c r="Q18" i="96"/>
  <c r="V18" i="96" s="1"/>
  <c r="K18" i="96"/>
  <c r="Q17" i="96"/>
  <c r="K17" i="96"/>
  <c r="Q16" i="96"/>
  <c r="Q15" i="96"/>
  <c r="M14" i="96"/>
  <c r="R19" i="95"/>
  <c r="Q19" i="95"/>
  <c r="K19" i="95"/>
  <c r="L19" i="95" s="1"/>
  <c r="R17" i="95"/>
  <c r="Q17" i="95"/>
  <c r="K17" i="95"/>
  <c r="Q16" i="95"/>
  <c r="Q15" i="95"/>
  <c r="M14" i="95"/>
  <c r="R19" i="92"/>
  <c r="Q19" i="92"/>
  <c r="K19" i="92"/>
  <c r="R18" i="92"/>
  <c r="Q18" i="92"/>
  <c r="V18" i="92" s="1"/>
  <c r="K18" i="92"/>
  <c r="R17" i="92"/>
  <c r="Q17" i="92"/>
  <c r="K17" i="92"/>
  <c r="Q26" i="91"/>
  <c r="K26" i="91"/>
  <c r="R25" i="91"/>
  <c r="Q25" i="91"/>
  <c r="V25" i="91" s="1"/>
  <c r="K25" i="91"/>
  <c r="L25" i="91" s="1"/>
  <c r="Q24" i="91"/>
  <c r="V24" i="91" s="1"/>
  <c r="K24" i="91"/>
  <c r="L24" i="91" s="1"/>
  <c r="R23" i="91"/>
  <c r="Q23" i="91"/>
  <c r="K23" i="91"/>
  <c r="L23" i="91" s="1"/>
  <c r="Q22" i="91"/>
  <c r="V22" i="91" s="1"/>
  <c r="K22" i="91"/>
  <c r="Q21" i="91"/>
  <c r="X42" i="92" l="1"/>
  <c r="AK38" i="92"/>
  <c r="X35" i="92"/>
  <c r="AK31" i="92"/>
  <c r="U26" i="91"/>
  <c r="Z26" i="91" s="1"/>
  <c r="V26" i="91"/>
  <c r="L22" i="91"/>
  <c r="K28" i="91"/>
  <c r="X43" i="92"/>
  <c r="X28" i="92"/>
  <c r="K23" i="96"/>
  <c r="K22" i="96"/>
  <c r="Z12" i="96"/>
  <c r="Z12" i="95"/>
  <c r="M18" i="95"/>
  <c r="M19" i="95"/>
  <c r="N19" i="95" s="1"/>
  <c r="T19" i="95"/>
  <c r="U19" i="95" s="1"/>
  <c r="Z19" i="95" s="1"/>
  <c r="U19" i="96"/>
  <c r="Z19" i="96" s="1"/>
  <c r="T18" i="96"/>
  <c r="U18" i="96" s="1"/>
  <c r="L17" i="96"/>
  <c r="L19" i="92"/>
  <c r="K21" i="95"/>
  <c r="K20" i="95"/>
  <c r="V21" i="96"/>
  <c r="M21" i="96"/>
  <c r="N21" i="96" s="1"/>
  <c r="T20" i="96"/>
  <c r="N19" i="96"/>
  <c r="L18" i="96"/>
  <c r="M18" i="96" s="1"/>
  <c r="L20" i="96"/>
  <c r="L23" i="96" s="1"/>
  <c r="V17" i="96"/>
  <c r="V19" i="95"/>
  <c r="V17" i="95"/>
  <c r="L17" i="95"/>
  <c r="K21" i="92"/>
  <c r="T18" i="92"/>
  <c r="U18" i="92" s="1"/>
  <c r="W18" i="92" s="1"/>
  <c r="X18" i="92" s="1"/>
  <c r="T19" i="92"/>
  <c r="V19" i="92"/>
  <c r="L18" i="92"/>
  <c r="T17" i="92"/>
  <c r="V17" i="92"/>
  <c r="L17" i="92"/>
  <c r="U25" i="91"/>
  <c r="T24" i="91"/>
  <c r="U24" i="91" s="1"/>
  <c r="W24" i="91" s="1"/>
  <c r="X24" i="91" s="1"/>
  <c r="AK24" i="91" s="1"/>
  <c r="U22" i="91"/>
  <c r="Z22" i="91" s="1"/>
  <c r="L26" i="91"/>
  <c r="T23" i="91"/>
  <c r="V23" i="91"/>
  <c r="AK43" i="92" l="1"/>
  <c r="D23" i="99"/>
  <c r="AL45" i="92"/>
  <c r="L28" i="91"/>
  <c r="T22" i="96"/>
  <c r="T23" i="96"/>
  <c r="U23" i="91"/>
  <c r="T28" i="91"/>
  <c r="AA23" i="91" s="1"/>
  <c r="M17" i="96"/>
  <c r="N17" i="96" s="1"/>
  <c r="L22" i="96"/>
  <c r="N18" i="95"/>
  <c r="Y18" i="95"/>
  <c r="W18" i="96"/>
  <c r="X18" i="96" s="1"/>
  <c r="Y18" i="96" s="1"/>
  <c r="Z18" i="96"/>
  <c r="U21" i="96"/>
  <c r="U20" i="96"/>
  <c r="U17" i="96"/>
  <c r="U19" i="92"/>
  <c r="AA17" i="92"/>
  <c r="L20" i="95"/>
  <c r="L21" i="95"/>
  <c r="T20" i="95"/>
  <c r="T21" i="95"/>
  <c r="M17" i="95"/>
  <c r="W19" i="95"/>
  <c r="X19" i="95" s="1"/>
  <c r="Y19" i="95" s="1"/>
  <c r="U17" i="95"/>
  <c r="W19" i="96"/>
  <c r="X19" i="96" s="1"/>
  <c r="M20" i="96"/>
  <c r="N18" i="96"/>
  <c r="U17" i="92"/>
  <c r="T21" i="92"/>
  <c r="L21" i="92"/>
  <c r="Z18" i="92"/>
  <c r="W19" i="92"/>
  <c r="X19" i="92" s="1"/>
  <c r="W26" i="91"/>
  <c r="X26" i="91" s="1"/>
  <c r="AK26" i="91" s="1"/>
  <c r="W22" i="91"/>
  <c r="X22" i="91" s="1"/>
  <c r="W25" i="91"/>
  <c r="X25" i="91" s="1"/>
  <c r="AK25" i="91" s="1"/>
  <c r="Z25" i="91"/>
  <c r="Z24" i="91"/>
  <c r="Y19" i="96" l="1"/>
  <c r="AK19" i="96"/>
  <c r="W23" i="91"/>
  <c r="X23" i="91" s="1"/>
  <c r="AK23" i="91" s="1"/>
  <c r="Z23" i="91"/>
  <c r="AK22" i="91"/>
  <c r="U23" i="96"/>
  <c r="M23" i="96"/>
  <c r="U28" i="91"/>
  <c r="AA26" i="91"/>
  <c r="AA25" i="91"/>
  <c r="AA22" i="91"/>
  <c r="AA24" i="91"/>
  <c r="X28" i="91"/>
  <c r="M22" i="96"/>
  <c r="W17" i="96"/>
  <c r="X17" i="96" s="1"/>
  <c r="U22" i="96"/>
  <c r="W17" i="92"/>
  <c r="X17" i="92" s="1"/>
  <c r="Z17" i="92"/>
  <c r="Z21" i="96"/>
  <c r="W21" i="96"/>
  <c r="X21" i="96" s="1"/>
  <c r="AK21" i="96" s="1"/>
  <c r="Z20" i="96"/>
  <c r="W20" i="96"/>
  <c r="X20" i="96" s="1"/>
  <c r="Z17" i="96"/>
  <c r="AA18" i="96"/>
  <c r="AA19" i="96"/>
  <c r="AA21" i="96"/>
  <c r="AA17" i="96"/>
  <c r="AA20" i="96"/>
  <c r="N20" i="96"/>
  <c r="Z19" i="92"/>
  <c r="M21" i="95"/>
  <c r="M20" i="95"/>
  <c r="W17" i="95"/>
  <c r="X17" i="95" s="1"/>
  <c r="U21" i="95"/>
  <c r="U20" i="95"/>
  <c r="Z17" i="95"/>
  <c r="N17" i="95"/>
  <c r="AA19" i="95"/>
  <c r="AA17" i="95"/>
  <c r="U21" i="92"/>
  <c r="AA18" i="92"/>
  <c r="AA19" i="92"/>
  <c r="X21" i="92"/>
  <c r="Y17" i="96" l="1"/>
  <c r="AK17" i="96"/>
  <c r="AK23" i="96" s="1"/>
  <c r="Y17" i="95"/>
  <c r="Y21" i="95" s="1"/>
  <c r="AK17" i="95"/>
  <c r="AK21" i="95" s="1"/>
  <c r="Y20" i="96"/>
  <c r="X23" i="96"/>
  <c r="AL26" i="96" s="1"/>
  <c r="N22" i="96"/>
  <c r="N23" i="96"/>
  <c r="X22" i="96"/>
  <c r="Y22" i="96" s="1"/>
  <c r="Y21" i="96"/>
  <c r="N21" i="95"/>
  <c r="B19" i="98" s="1"/>
  <c r="N20" i="95"/>
  <c r="X20" i="95"/>
  <c r="Y20" i="95" s="1"/>
  <c r="X21" i="95"/>
  <c r="C19" i="98"/>
  <c r="Q16" i="92"/>
  <c r="Q15" i="92"/>
  <c r="M14" i="92"/>
  <c r="M40" i="92" s="1"/>
  <c r="Q20" i="91"/>
  <c r="R18" i="91"/>
  <c r="Q18" i="91"/>
  <c r="K18" i="91"/>
  <c r="R17" i="91"/>
  <c r="Q17" i="91"/>
  <c r="K17" i="91"/>
  <c r="Q16" i="91"/>
  <c r="Q15" i="91"/>
  <c r="M14" i="91"/>
  <c r="AL27" i="96" l="1"/>
  <c r="AL25" i="96"/>
  <c r="D25" i="99"/>
  <c r="E25" i="99" s="1"/>
  <c r="F25" i="99" s="1"/>
  <c r="AL24" i="95"/>
  <c r="AL25" i="95" s="1"/>
  <c r="AL23" i="95"/>
  <c r="D24" i="99"/>
  <c r="E24" i="99" s="1"/>
  <c r="F24" i="99" s="1"/>
  <c r="K29" i="91"/>
  <c r="K19" i="91"/>
  <c r="Z12" i="91"/>
  <c r="M25" i="91"/>
  <c r="M24" i="91"/>
  <c r="M22" i="91"/>
  <c r="M23" i="91"/>
  <c r="M26" i="91"/>
  <c r="Y23" i="96"/>
  <c r="C20" i="98" s="1"/>
  <c r="Y40" i="92"/>
  <c r="N40" i="92"/>
  <c r="B20" i="98"/>
  <c r="M27" i="92"/>
  <c r="M37" i="92"/>
  <c r="M39" i="92"/>
  <c r="M38" i="92"/>
  <c r="D19" i="98"/>
  <c r="E19" i="98" s="1"/>
  <c r="Z12" i="92"/>
  <c r="M31" i="92"/>
  <c r="M25" i="92"/>
  <c r="M26" i="92"/>
  <c r="M34" i="92"/>
  <c r="M32" i="92"/>
  <c r="M24" i="92"/>
  <c r="M33" i="92"/>
  <c r="M19" i="92"/>
  <c r="M18" i="92"/>
  <c r="M17" i="92"/>
  <c r="T17" i="91"/>
  <c r="U17" i="91" s="1"/>
  <c r="V18" i="91"/>
  <c r="V17" i="91"/>
  <c r="L17" i="91"/>
  <c r="L18" i="91"/>
  <c r="M18" i="91" s="1"/>
  <c r="Y25" i="91" l="1"/>
  <c r="N25" i="91"/>
  <c r="Y24" i="91"/>
  <c r="N24" i="91"/>
  <c r="Y22" i="91"/>
  <c r="M28" i="91"/>
  <c r="Y28" i="91" s="1"/>
  <c r="N22" i="91"/>
  <c r="Y23" i="91"/>
  <c r="N23" i="91"/>
  <c r="N26" i="91"/>
  <c r="Y26" i="91"/>
  <c r="L29" i="91"/>
  <c r="L19" i="91"/>
  <c r="Z23" i="96"/>
  <c r="AA23" i="96" s="1"/>
  <c r="D20" i="98"/>
  <c r="E20" i="98" s="1"/>
  <c r="T19" i="91"/>
  <c r="AA17" i="91" s="1"/>
  <c r="M43" i="92"/>
  <c r="M28" i="92"/>
  <c r="N27" i="92"/>
  <c r="Y27" i="92"/>
  <c r="N38" i="92"/>
  <c r="Y38" i="92"/>
  <c r="N39" i="92"/>
  <c r="Y39" i="92"/>
  <c r="Y37" i="92"/>
  <c r="Y42" i="92"/>
  <c r="N37" i="92"/>
  <c r="Y20" i="92"/>
  <c r="N34" i="92"/>
  <c r="Y34" i="92"/>
  <c r="Y18" i="92"/>
  <c r="N18" i="92"/>
  <c r="Y28" i="92"/>
  <c r="N24" i="92"/>
  <c r="Y24" i="92"/>
  <c r="N26" i="92"/>
  <c r="Y26" i="92"/>
  <c r="N17" i="92"/>
  <c r="M21" i="92"/>
  <c r="Y17" i="92"/>
  <c r="N31" i="92"/>
  <c r="Y31" i="92"/>
  <c r="N32" i="92"/>
  <c r="Y32" i="92"/>
  <c r="N25" i="92"/>
  <c r="Y25" i="92"/>
  <c r="N19" i="92"/>
  <c r="Y19" i="92"/>
  <c r="N33" i="92"/>
  <c r="Y33" i="92"/>
  <c r="W17" i="91"/>
  <c r="X17" i="91" s="1"/>
  <c r="AK17" i="91" s="1"/>
  <c r="M17" i="91"/>
  <c r="U18" i="91"/>
  <c r="W18" i="91" s="1"/>
  <c r="X18" i="91" s="1"/>
  <c r="AK18" i="91" s="1"/>
  <c r="Z17" i="91"/>
  <c r="N18" i="91"/>
  <c r="N28" i="91" l="1"/>
  <c r="M29" i="91"/>
  <c r="M19" i="91"/>
  <c r="AK29" i="91"/>
  <c r="Y43" i="92"/>
  <c r="C18" i="98" s="1"/>
  <c r="X19" i="91"/>
  <c r="AL31" i="91"/>
  <c r="U19" i="91"/>
  <c r="U29" i="91"/>
  <c r="N43" i="92"/>
  <c r="N28" i="92"/>
  <c r="Z18" i="91"/>
  <c r="Y18" i="91"/>
  <c r="N21" i="92"/>
  <c r="Y21" i="92"/>
  <c r="Y35" i="92"/>
  <c r="N17" i="91"/>
  <c r="AA18" i="91"/>
  <c r="Y17" i="91"/>
  <c r="AL32" i="91" l="1"/>
  <c r="C23" i="99"/>
  <c r="E23" i="99" s="1"/>
  <c r="F23" i="99" s="1"/>
  <c r="AL46" i="92"/>
  <c r="AL47" i="92" s="1"/>
  <c r="Y19" i="91"/>
  <c r="Y29" i="91"/>
  <c r="C17" i="98" s="1"/>
  <c r="N29" i="91"/>
  <c r="N19" i="91"/>
  <c r="D22" i="99"/>
  <c r="B18" i="98"/>
  <c r="Z21" i="92"/>
  <c r="AA21" i="92" s="1"/>
  <c r="Z29" i="91" l="1"/>
  <c r="AA29" i="91" s="1"/>
  <c r="AL33" i="91"/>
  <c r="B17" i="98"/>
  <c r="C22" i="99"/>
  <c r="C21" i="98"/>
  <c r="D18" i="98"/>
  <c r="E18" i="98" s="1"/>
  <c r="E22" i="99" l="1"/>
  <c r="B21" i="98"/>
  <c r="D21" i="98" s="1"/>
  <c r="E21" i="98" s="1"/>
  <c r="D17" i="98"/>
  <c r="E17" i="98" s="1"/>
  <c r="F22" i="9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tc={03232A61-22D4-4AB1-A558-0E1B0CD0A45C}</author>
    <author>Aline Sanches</author>
  </authors>
  <commentList>
    <comment ref="T24" authorId="0" shapeId="0" xr:uid="{03232A61-22D4-4AB1-A558-0E1B0CD0A45C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Valor referente ao salario Gabriela Goulart
</t>
      </text>
    </comment>
    <comment ref="S84" authorId="1" shapeId="0" xr:uid="{94CEBCD8-D286-49E8-AF6C-96AA82712AE0}">
      <text>
        <r>
          <rPr>
            <b/>
            <sz val="9"/>
            <color indexed="81"/>
            <rFont val="Segoe UI"/>
            <family val="2"/>
          </rPr>
          <t>Aline Sanches:</t>
        </r>
        <r>
          <rPr>
            <sz val="9"/>
            <color indexed="81"/>
            <rFont val="Segoe UI"/>
            <family val="2"/>
          </rPr>
          <t xml:space="preserve">
Prestação de contas Aline, + Uber Gabriela + reembolso Silvia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tc={1A2D194D-C16E-4D88-8FAE-666C38DB115B}</author>
  </authors>
  <commentList>
    <comment ref="S18" authorId="0" shapeId="0" xr:uid="{1A2D194D-C16E-4D88-8FAE-666C38DB115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Alimentação SAMBO no restaurante do hotel dia14/01 - o valor irá chegar junto aos extras de Hotel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tc={E73596F2-E03C-4681-B1F7-0D6C6E619809}</author>
    <author>Aline Sanches</author>
  </authors>
  <commentList>
    <comment ref="I32" authorId="0" shapeId="0" xr:uid="{E73596F2-E03C-4681-B1F7-0D6C6E61980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Eram 03</t>
      </text>
    </comment>
    <comment ref="S41" authorId="1" shapeId="0" xr:uid="{DBA57D76-27D5-400E-BA61-08D17C963AE7}">
      <text>
        <r>
          <rPr>
            <b/>
            <sz val="9"/>
            <color indexed="81"/>
            <rFont val="Segoe UI"/>
            <family val="2"/>
          </rPr>
          <t>Aline Sanches:</t>
        </r>
        <r>
          <rPr>
            <sz val="9"/>
            <color indexed="81"/>
            <rFont val="Segoe UI"/>
            <family val="2"/>
          </rPr>
          <t xml:space="preserve">
Alimentação Staff - Extras de Hotel
</t>
        </r>
      </text>
    </comment>
  </commentList>
</comments>
</file>

<file path=xl/sharedStrings.xml><?xml version="1.0" encoding="utf-8"?>
<sst xmlns="http://schemas.openxmlformats.org/spreadsheetml/2006/main" count="2132" uniqueCount="709">
  <si>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</si>
  <si>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</si>
  <si>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</si>
  <si>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</si>
  <si>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</si>
  <si>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</si>
  <si>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</si>
  <si>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</si>
  <si>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</si>
  <si>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</si>
  <si>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</si>
  <si>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</si>
  <si>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</si>
  <si>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</si>
  <si>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</si>
  <si>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</si>
  <si>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</si>
  <si>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</si>
  <si>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</si>
  <si>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</si>
  <si>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</si>
  <si>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</si>
  <si>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</si>
  <si>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</si>
  <si>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</si>
  <si>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</si>
  <si>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</si>
  <si>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</si>
  <si>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</si>
  <si>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</si>
  <si>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</si>
  <si>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</si>
  <si>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</si>
  <si>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</si>
  <si>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</si>
  <si>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</si>
  <si>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</si>
  <si>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</si>
  <si>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</si>
  <si>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</si>
  <si>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</si>
  <si>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</si>
  <si>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</si>
  <si>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</si>
  <si>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</si>
  <si>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</si>
  <si>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</si>
  <si>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</si>
  <si>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</si>
  <si>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</si>
  <si>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</si>
  <si>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</si>
  <si>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</si>
  <si>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</si>
  <si>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</si>
  <si>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</si>
  <si>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</si>
  <si>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</si>
  <si>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</si>
  <si>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</si>
  <si>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</si>
  <si>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</si>
  <si>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</si>
  <si>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</si>
  <si>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</si>
  <si>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</si>
  <si>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</si>
  <si>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</si>
  <si>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</si>
  <si>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</si>
  <si>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</si>
  <si>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</si>
  <si>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</si>
  <si>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</si>
  <si>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</si>
  <si>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</si>
  <si>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</si>
  <si>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</si>
  <si>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</si>
  <si>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</si>
  <si>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</si>
  <si>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 X ) Pessoa Jurídica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</si>
  <si>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</si>
  <si>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</si>
  <si>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</si>
  <si>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</si>
  <si>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</si>
  <si>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</si>
  <si>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</si>
  <si>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</si>
  <si>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</si>
  <si>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</si>
  <si>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</si>
  <si>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</si>
  <si>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</si>
  <si>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</si>
  <si>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</si>
  <si>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</si>
  <si>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</si>
  <si>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</si>
  <si>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</si>
  <si>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</si>
  <si>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</si>
  <si>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</si>
  <si>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</si>
  <si>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</si>
  <si>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 xml:space="preserve"> 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</si>
  <si>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</si>
  <si>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</si>
  <si>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</si>
  <si>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</si>
  <si>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</si>
  <si>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</si>
  <si>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</si>
  <si>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</si>
  <si>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</si>
  <si>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1.1.1</t>
  </si>
  <si>
    <t>FAT.OGGI</t>
  </si>
  <si>
    <t>INTERNO</t>
  </si>
  <si>
    <t xml:space="preserve">CRIAÇÃO </t>
  </si>
  <si>
    <t>Criação e desenvolvimento de ativações imersivas e interativas com cenografia personalizada, jogos, brindes e experiências sensoriais que reforçam o propósito e o engajamento das marcas.</t>
  </si>
  <si>
    <t>3D</t>
  </si>
  <si>
    <t>Layout 3d com implementação das ativações</t>
  </si>
  <si>
    <t>SUBTOTAL SUBGRUPO</t>
  </si>
  <si>
    <t>Subtotal INTERNO</t>
  </si>
  <si>
    <t>2.1</t>
  </si>
  <si>
    <t>2.1.1</t>
  </si>
  <si>
    <t>OPERACIONAL</t>
  </si>
  <si>
    <t>CARRINHO BATAVO</t>
  </si>
  <si>
    <t>2.1.2</t>
  </si>
  <si>
    <t>2.1.3</t>
  </si>
  <si>
    <t>UNIFORME PROMOTORA</t>
  </si>
  <si>
    <t>PROMOTORA</t>
  </si>
  <si>
    <t>1 promotora para distribuição dos produtos</t>
  </si>
  <si>
    <t>3.1</t>
  </si>
  <si>
    <t>ATIVAÇÕES</t>
  </si>
  <si>
    <t>IOGURTEIRA BATAVO</t>
  </si>
  <si>
    <t>BATAVINHO BOB ESPONJA</t>
  </si>
  <si>
    <t>3.1.1</t>
  </si>
  <si>
    <t>3.1.2</t>
  </si>
  <si>
    <t>CENOGRAFIA - BACKDROP</t>
  </si>
  <si>
    <t>Painel de madeira com lona impressa aplicada, pesos para sustentação e fechamentos 
laterais em bagum preto - medidas 4,00 x 2,5</t>
  </si>
  <si>
    <t>Subtotal BATAVINHO BOB ESPONJA</t>
  </si>
  <si>
    <t>Máquina de garra com 200 bolinhas, 190 tags personalizadas (de acordo com os brindes enviados), montagem, técnico, adesivação personalizada. Para os dias 12 e 13/01</t>
  </si>
  <si>
    <t>BRINDES</t>
  </si>
  <si>
    <t>Promotora para auxiliar na ativação</t>
  </si>
  <si>
    <t>UNIFORME</t>
  </si>
  <si>
    <t xml:space="preserve">Camiseta com logo </t>
  </si>
  <si>
    <t>COZINHA SHOW</t>
  </si>
  <si>
    <t>CENOGRAFIA - BALCÃO</t>
  </si>
  <si>
    <t>INSUMOS</t>
  </si>
  <si>
    <t>Subtotal COZINHA SHOW</t>
  </si>
  <si>
    <t>PARMALAT FIT</t>
  </si>
  <si>
    <t>MÁQUINA BASQUETE</t>
  </si>
  <si>
    <t>2 máquinas de basquete eletrônica personalizadas  para dia 12 e 13 de janeiro para ativação - acompanha técnico
750 watts - 0,75 KVA  altura: 2,30 m largura: 0,91 m
comprimento: 2,13 m</t>
  </si>
  <si>
    <t>Subtotal PARMALAT FIT</t>
  </si>
  <si>
    <t>LOGÍSTICA</t>
  </si>
  <si>
    <t>EQUIPE</t>
  </si>
  <si>
    <t>Todas as despesas com equipe para 01 dia de montagem e 01 dia de desmontagem + fretes + encargos</t>
  </si>
  <si>
    <t xml:space="preserve">HOSPEDAGEM / ALIMENTAÇÃO </t>
  </si>
  <si>
    <t xml:space="preserve">Hospedagem e alimentação do produtor montagem - 
R$994,50 x 2 </t>
  </si>
  <si>
    <t>CARREGADORES</t>
  </si>
  <si>
    <t>Carregadores para montagem, evento e desmontagem</t>
  </si>
  <si>
    <t>MONTAGEM</t>
  </si>
  <si>
    <t>Salas Arujá, Embu, Tuiuti e Poá - 11/01</t>
  </si>
  <si>
    <t>PRODUTOR MONTAGEM</t>
  </si>
  <si>
    <t>Produtor full time acompanhando montagem e desmontagem das ativações e durante evento. 11 a 13/01</t>
  </si>
  <si>
    <t>Subtotal LOGÍSTICA</t>
  </si>
  <si>
    <t>SUBTOTAL PLANILHA</t>
  </si>
  <si>
    <t xml:space="preserve">TOTAL </t>
  </si>
  <si>
    <t>Marg. Lucro</t>
  </si>
  <si>
    <t>Lucro</t>
  </si>
  <si>
    <t>INFLÁVEL RÉPLICA BATAVINHO
MEDIDA: 1.5 METROS DE ALTURA. S/ MOTOR ACOPLADO.
IMPRESSÃO DE ALTA QUALIDADE.
ATRAQUES PARA FIXAÇÃO E EQUILÍBRIO.</t>
  </si>
  <si>
    <t>3.1.3</t>
  </si>
  <si>
    <t>CABINE DE FOTOS</t>
  </si>
  <si>
    <t>1.1.3</t>
  </si>
  <si>
    <t>2.1.4</t>
  </si>
  <si>
    <t>2.1.5</t>
  </si>
  <si>
    <t>Subtotal IOGURTEIRA BATAVO</t>
  </si>
  <si>
    <t>1.1.4</t>
  </si>
  <si>
    <t>Painel de madeira com lona impressa aplicada, pesos para sustentação e fechamentos laterais em bagum preto.</t>
  </si>
  <si>
    <t>1.1.5</t>
  </si>
  <si>
    <t>Fotos Impressas na hora (10 x 15, tirinhas ou polaroid). Benefício Fotos ilimitadas, papel qualidade profissional ,Impressões em 12 segundos Adereços cortesia,
Molduras personalizadas,
Monitores especializados,
Pen drive ou arquivo com as fotos incluso. Medidas- 2,0 altura x 2,45 largura x 1,5 profundidade</t>
  </si>
  <si>
    <t>ORÇAMENTO 5.1</t>
  </si>
  <si>
    <t>CÓDIGO DO JOB: LT_049</t>
  </si>
  <si>
    <t>CLIENTE:  LACTALIS</t>
  </si>
  <si>
    <t>EVENTO: CONVENÇÃO DE VENDAS 2026</t>
  </si>
  <si>
    <t>LOCAL: À DEFINIR</t>
  </si>
  <si>
    <t>DATA: JANEIRO DE 2026</t>
  </si>
  <si>
    <t>ATENDIMENTO: NILSON MIGUEL</t>
  </si>
  <si>
    <t>CONVENÇÃO ITAMBÉ 2026</t>
  </si>
  <si>
    <t>PRINCIPAL</t>
  </si>
  <si>
    <t>Cozinha Show</t>
  </si>
  <si>
    <t>Parmalat Fit</t>
  </si>
  <si>
    <t>TOTAL PRINCIPAL + ATIVAÇÕES</t>
  </si>
  <si>
    <t>CENOGRAFIA - POTE</t>
  </si>
  <si>
    <t>Pote de Iogurte em MDF recorte especial acabamento interno e adesivo externo- Medidas: 1M de diâmetro</t>
  </si>
  <si>
    <t>BATAVINHO PATRULHA CANINA</t>
  </si>
  <si>
    <t>3.1.4</t>
  </si>
  <si>
    <t>Subtotal BATAVINHO PATRULHA CANINA</t>
  </si>
  <si>
    <t>ACESSÓRIOS</t>
  </si>
  <si>
    <t>Batavo</t>
  </si>
  <si>
    <t>PERSONAGENS INFLÁVEIS</t>
  </si>
  <si>
    <t>Balcão construido em madeira com adesivo imitando Madeira Ripada com aplicação
Logomarca recorte - Medidas 2,00 x 0,70 e cooktop 2 bocas de indução</t>
  </si>
  <si>
    <t>3.2</t>
  </si>
  <si>
    <t>3.2.1</t>
  </si>
  <si>
    <t>3.2.2</t>
  </si>
  <si>
    <t>3.2.3</t>
  </si>
  <si>
    <t xml:space="preserve">Subtotal </t>
  </si>
  <si>
    <t xml:space="preserve">ITENS NOVOS </t>
  </si>
  <si>
    <t>Subtotal ITENS NOVOS</t>
  </si>
  <si>
    <t>PLACAS DE MESA</t>
  </si>
  <si>
    <t>Table tent formato aberto 20 x 10 cm + dobras + montagem</t>
  </si>
  <si>
    <t xml:space="preserve">BICICLETA </t>
  </si>
  <si>
    <t>Bicicleta aro 24, na cor azul, 
67cm L × 1.7m A × 1.18m - Locação + transporte</t>
  </si>
  <si>
    <t xml:space="preserve">FLORES </t>
  </si>
  <si>
    <t>MÁQUINA DE GARRA</t>
  </si>
  <si>
    <t>TRANSMISSÃO AO VIVO</t>
  </si>
  <si>
    <t>Link, Operador de Camera e locação de equipamento para transmissão ao vivo - Ativação do cheff Claud - 13/01</t>
  </si>
  <si>
    <t>PROMOTORA EXTRA</t>
  </si>
  <si>
    <t xml:space="preserve">Verba alocada para compra de Flores </t>
  </si>
  <si>
    <t>3.2.4</t>
  </si>
  <si>
    <t xml:space="preserve">Promotora para auxiliar na ativação Batavinho Surpresa </t>
  </si>
  <si>
    <t>20/01/2026</t>
  </si>
  <si>
    <t>LT_50 Convenção de Vendas 2026_ATIVAÇÕES Rev04.xlsm</t>
  </si>
  <si>
    <t xml:space="preserve">Aline Sanches </t>
  </si>
  <si>
    <t>7.1.2</t>
  </si>
  <si>
    <t>30.340.256/0001-09</t>
  </si>
  <si>
    <t>RODRIGO MASSARI SANTOS SILVA EVENTOS</t>
  </si>
  <si>
    <t xml:space="preserve">CAIXA ECONOMICA FEDERAL </t>
  </si>
  <si>
    <t>0255</t>
  </si>
  <si>
    <t xml:space="preserve"> 578527777-4</t>
  </si>
  <si>
    <t xml:space="preserve"> massariproducao@gmail.com </t>
  </si>
  <si>
    <t>(11) 9443-9259</t>
  </si>
  <si>
    <t>11 99443-9259</t>
  </si>
  <si>
    <t>27/01/26</t>
  </si>
  <si>
    <t>R$ 4.900,00</t>
  </si>
  <si>
    <t>( X ) Pix</t>
  </si>
  <si>
    <t xml:space="preserve">Valor dividido em 3 planilhas LT_049 - R$1.950 linha 7.1.2, LT_050 - R$1.950 linha 7.1.2 e LT_050 ATIVAÇÕES aba Ativações linha 2.1.15  - R$1.000 </t>
  </si>
  <si>
    <t xml:space="preserve">MASSARI </t>
  </si>
  <si>
    <t>PRODUTOR: GABI GOULART</t>
  </si>
  <si>
    <t>NOME PLANILHA: :LT_050_CONVENÇÃO ATIVAÇÕES LDB 2026</t>
  </si>
  <si>
    <t>3.2.5</t>
  </si>
  <si>
    <t>BICICLETA EXTRA</t>
  </si>
  <si>
    <t>Bicicleta na cor preta locação extra</t>
  </si>
  <si>
    <r>
      <t xml:space="preserve">CÓDIGO DO JOB: </t>
    </r>
    <r>
      <rPr>
        <b/>
        <sz val="18"/>
        <color theme="1"/>
        <rFont val="Trebuchet MS"/>
        <family val="2"/>
      </rPr>
      <t>LT_050</t>
    </r>
  </si>
  <si>
    <r>
      <t>CLIENTE:</t>
    </r>
    <r>
      <rPr>
        <b/>
        <sz val="18"/>
        <color theme="1"/>
        <rFont val="Trebuchet MS"/>
        <family val="2"/>
      </rPr>
      <t>LACTALIS</t>
    </r>
  </si>
  <si>
    <r>
      <t>EVENTO:</t>
    </r>
    <r>
      <rPr>
        <b/>
        <sz val="18"/>
        <color theme="1"/>
        <rFont val="Trebuchet MS"/>
        <family val="2"/>
      </rPr>
      <t>CONVENÇÃO DE VENDAS 2026</t>
    </r>
  </si>
  <si>
    <r>
      <t>LOCAL:</t>
    </r>
    <r>
      <rPr>
        <b/>
        <sz val="18"/>
        <color theme="1"/>
        <rFont val="Trebuchet MS"/>
        <family val="2"/>
      </rPr>
      <t>HOTEL BOURBON ATIBAIA</t>
    </r>
  </si>
  <si>
    <r>
      <t>DATA:</t>
    </r>
    <r>
      <rPr>
        <b/>
        <sz val="18"/>
        <color theme="1"/>
        <rFont val="Trebuchet MS"/>
        <family val="2"/>
      </rPr>
      <t>12 E 13 DE JANEIRO</t>
    </r>
  </si>
  <si>
    <r>
      <t>ATENDIMENTO:</t>
    </r>
    <r>
      <rPr>
        <b/>
        <sz val="18"/>
        <color theme="1"/>
        <rFont val="Trebuchet MS"/>
        <family val="2"/>
      </rPr>
      <t>NILSON MIGUEL</t>
    </r>
  </si>
  <si>
    <r>
      <t>PRODUTOR:</t>
    </r>
    <r>
      <rPr>
        <b/>
        <sz val="18"/>
        <color theme="1"/>
        <rFont val="Trebuchet MS"/>
        <family val="2"/>
      </rPr>
      <t>GABI GOULART</t>
    </r>
  </si>
  <si>
    <r>
      <t>NOME PLANILHA:</t>
    </r>
    <r>
      <rPr>
        <b/>
        <sz val="18"/>
        <color theme="1"/>
        <rFont val="Trebuchet MS"/>
        <family val="2"/>
      </rPr>
      <t>:LT_050_CONVENÇÃO ATIVAÇÕES LDB 2026</t>
    </r>
  </si>
  <si>
    <r>
      <t xml:space="preserve">CÓDIGO DO JOB: </t>
    </r>
    <r>
      <rPr>
        <b/>
        <sz val="16"/>
        <color theme="1"/>
        <rFont val="Trebuchet MS"/>
        <family val="2"/>
      </rPr>
      <t>LT_050</t>
    </r>
  </si>
  <si>
    <r>
      <t>CLIENTE:</t>
    </r>
    <r>
      <rPr>
        <b/>
        <sz val="16"/>
        <color theme="1"/>
        <rFont val="Trebuchet MS"/>
        <family val="2"/>
      </rPr>
      <t>LACTALIS</t>
    </r>
  </si>
  <si>
    <r>
      <t>EVENTO:</t>
    </r>
    <r>
      <rPr>
        <b/>
        <sz val="16"/>
        <color theme="1"/>
        <rFont val="Trebuchet MS"/>
        <family val="2"/>
      </rPr>
      <t>CONVENÇÃO DE VENDAS 2026</t>
    </r>
  </si>
  <si>
    <r>
      <t>LOCAL:</t>
    </r>
    <r>
      <rPr>
        <b/>
        <sz val="16"/>
        <color theme="1"/>
        <rFont val="Trebuchet MS"/>
        <family val="2"/>
      </rPr>
      <t>HOTEL BOURBON ATIBAIA</t>
    </r>
  </si>
  <si>
    <r>
      <t>DATA:</t>
    </r>
    <r>
      <rPr>
        <b/>
        <sz val="16"/>
        <color theme="1"/>
        <rFont val="Trebuchet MS"/>
        <family val="2"/>
      </rPr>
      <t>12 E 13 DE JANEIRO</t>
    </r>
  </si>
  <si>
    <r>
      <t>ATENDIMENTO:</t>
    </r>
    <r>
      <rPr>
        <b/>
        <sz val="16"/>
        <color theme="1"/>
        <rFont val="Trebuchet MS"/>
        <family val="2"/>
      </rPr>
      <t>NILSON MIGUEL</t>
    </r>
  </si>
  <si>
    <r>
      <t>PRODUTOR:</t>
    </r>
    <r>
      <rPr>
        <b/>
        <sz val="16"/>
        <color theme="1"/>
        <rFont val="Trebuchet MS"/>
        <family val="2"/>
      </rPr>
      <t>GABI GOULART</t>
    </r>
  </si>
  <si>
    <r>
      <t>NOME PLANILHA:</t>
    </r>
    <r>
      <rPr>
        <b/>
        <sz val="16"/>
        <color theme="1"/>
        <rFont val="Trebuchet MS"/>
        <family val="2"/>
      </rPr>
      <t>:LT_050_CONVENÇÃO ATIVAÇÕES LDB 2026</t>
    </r>
  </si>
  <si>
    <r>
      <t xml:space="preserve">Carrinho com Máquina para Frozen e Milk Shake - Yogoberry </t>
    </r>
    <r>
      <rPr>
        <sz val="16"/>
        <color rgb="FFFF0000"/>
        <rFont val="Trebuchet MS"/>
        <family val="2"/>
      </rPr>
      <t>(por conta do cliente)</t>
    </r>
  </si>
  <si>
    <r>
      <t>Uniforme holandesa</t>
    </r>
    <r>
      <rPr>
        <sz val="16"/>
        <color rgb="FFFF0000"/>
        <rFont val="Trebuchet MS"/>
        <family val="2"/>
      </rPr>
      <t xml:space="preserve"> (por conta do cliente)</t>
    </r>
  </si>
  <si>
    <r>
      <t xml:space="preserve">Acessórios para fotos </t>
    </r>
    <r>
      <rPr>
        <b/>
        <sz val="16"/>
        <color rgb="FFFF0000"/>
        <rFont val="Trebuchet MS"/>
        <family val="2"/>
      </rPr>
      <t>(sujeito a alteração de valor)</t>
    </r>
  </si>
  <si>
    <r>
      <t xml:space="preserve">Brindes para máquina </t>
    </r>
    <r>
      <rPr>
        <sz val="16"/>
        <color rgb="FFFF0000"/>
        <rFont val="Trebuchet MS"/>
        <family val="2"/>
      </rPr>
      <t>(por conta do cliente)</t>
    </r>
  </si>
  <si>
    <r>
      <t xml:space="preserve">CÓDIGO DO JOB: </t>
    </r>
    <r>
      <rPr>
        <b/>
        <sz val="12"/>
        <color theme="1"/>
        <rFont val="Trebuchet MS"/>
        <family val="2"/>
      </rPr>
      <t>LT_050</t>
    </r>
  </si>
  <si>
    <r>
      <t>CLIENTE:</t>
    </r>
    <r>
      <rPr>
        <b/>
        <sz val="12"/>
        <color theme="1"/>
        <rFont val="Trebuchet MS"/>
        <family val="2"/>
      </rPr>
      <t>LACTALIS</t>
    </r>
  </si>
  <si>
    <r>
      <t>EVENTO:</t>
    </r>
    <r>
      <rPr>
        <b/>
        <sz val="12"/>
        <color theme="1"/>
        <rFont val="Trebuchet MS"/>
        <family val="2"/>
      </rPr>
      <t>CONVENÇÃO DE VENDAS 2026</t>
    </r>
  </si>
  <si>
    <r>
      <t>LOCAL:</t>
    </r>
    <r>
      <rPr>
        <b/>
        <sz val="12"/>
        <color theme="1"/>
        <rFont val="Trebuchet MS"/>
        <family val="2"/>
      </rPr>
      <t>HOTEL BOURBON ATIBAIA</t>
    </r>
  </si>
  <si>
    <r>
      <t>DATA:</t>
    </r>
    <r>
      <rPr>
        <b/>
        <sz val="12"/>
        <color theme="1"/>
        <rFont val="Trebuchet MS"/>
        <family val="2"/>
      </rPr>
      <t>12 E 13 DE JANEIRO</t>
    </r>
  </si>
  <si>
    <r>
      <t>ATENDIMENTO:</t>
    </r>
    <r>
      <rPr>
        <b/>
        <sz val="12"/>
        <color theme="1"/>
        <rFont val="Trebuchet MS"/>
        <family val="2"/>
      </rPr>
      <t>NILSON MIGUEL</t>
    </r>
  </si>
  <si>
    <r>
      <t>PRODUTOR:</t>
    </r>
    <r>
      <rPr>
        <b/>
        <sz val="16"/>
        <color theme="1"/>
        <rFont val="Trebuchet MS"/>
        <family val="2"/>
      </rPr>
      <t xml:space="preserve">GABI GOULART </t>
    </r>
  </si>
  <si>
    <r>
      <t>NOME PLANILHA:</t>
    </r>
    <r>
      <rPr>
        <b/>
        <sz val="16"/>
        <color theme="1"/>
        <rFont val="Trebuchet MS"/>
        <family val="2"/>
      </rPr>
      <t>LT_050_CONVENÇÃO ATIVAÇÕES LDB 2026</t>
    </r>
  </si>
  <si>
    <r>
      <t xml:space="preserve">Verba para compra de utensílios </t>
    </r>
    <r>
      <rPr>
        <sz val="16"/>
        <color rgb="FFFF0000"/>
        <rFont val="Trebuchet MS"/>
        <family val="2"/>
      </rPr>
      <t>(valor pode sofrer alterações)</t>
    </r>
  </si>
  <si>
    <t>VÍDEO</t>
  </si>
  <si>
    <t>STUDIO ROCA</t>
  </si>
  <si>
    <t>VENDA</t>
  </si>
  <si>
    <t xml:space="preserve">CUSTO </t>
  </si>
  <si>
    <t>LUCRO</t>
  </si>
  <si>
    <t>NOTAS EMITIDAS</t>
  </si>
  <si>
    <t>IMPOSTO</t>
  </si>
  <si>
    <t>CUSTO TOTAL</t>
  </si>
  <si>
    <r>
      <t>PRODUTOR:</t>
    </r>
    <r>
      <rPr>
        <b/>
        <sz val="12"/>
        <color theme="1"/>
        <rFont val="Trebuchet MS"/>
        <family val="2"/>
      </rPr>
      <t>GABI GOULART</t>
    </r>
  </si>
  <si>
    <r>
      <t>NOME PLANILHA:</t>
    </r>
    <r>
      <rPr>
        <b/>
        <sz val="12"/>
        <color theme="1"/>
        <rFont val="Trebuchet MS"/>
        <family val="2"/>
      </rPr>
      <t>:LT_050_CONVENÇÃO ATIVAÇÕES LDB 2026</t>
    </r>
  </si>
  <si>
    <t>BATAVO</t>
  </si>
  <si>
    <t>COZINHA SHOW PRESIDENT</t>
  </si>
  <si>
    <t>PARMALAT</t>
  </si>
  <si>
    <t>NOME</t>
  </si>
  <si>
    <t>SILVA BRITO</t>
  </si>
  <si>
    <t>GABRIELA GOULART</t>
  </si>
  <si>
    <t>MARCELO BAYEUX</t>
  </si>
  <si>
    <t>ALBERTO LIRA</t>
  </si>
  <si>
    <t>NATALIA NOBESCHI</t>
  </si>
  <si>
    <t>BRUNO VILLATORRO</t>
  </si>
  <si>
    <t>CAROL IGLEZIAS</t>
  </si>
  <si>
    <t>PATRICK BAYEUX</t>
  </si>
  <si>
    <t>CARTÃO ISABELA</t>
  </si>
  <si>
    <t>NILSON MIGUEL</t>
  </si>
  <si>
    <t>ALINE SANCHES</t>
  </si>
  <si>
    <t>CARTÃO PRODUÇÃO 7712</t>
  </si>
  <si>
    <t>CUSTOS OPERACIONAIS</t>
  </si>
  <si>
    <t>CUSTOS OPERACIONAIL</t>
  </si>
  <si>
    <t>LUPA RETRO</t>
  </si>
  <si>
    <t>MC GAMES</t>
  </si>
  <si>
    <t>KAIZEN VISUAL</t>
  </si>
  <si>
    <t xml:space="preserve">NOVIDADES ARTIGOS </t>
  </si>
  <si>
    <t>STEPHANIE SUELLEN</t>
  </si>
  <si>
    <t>LEONARDO TERRA</t>
  </si>
  <si>
    <t xml:space="preserve">ALESSANDRO SANTOS - LAVANDERIA TEMPOS MODERNOS </t>
  </si>
  <si>
    <t>RONALDO TRIGUEIRO</t>
  </si>
  <si>
    <t>CLN PRODUÇÕES</t>
  </si>
  <si>
    <t>SUAVA PRODUTORA</t>
  </si>
  <si>
    <t>MARCELO BAYEUX - RODRIGO MASSARI</t>
  </si>
  <si>
    <t>HUMBERTO DE CAMPOS - ponto brindes</t>
  </si>
  <si>
    <t>TOZZINI</t>
  </si>
  <si>
    <t>CABRIELA GOULART</t>
  </si>
  <si>
    <t>CÓDIGO DO JOB: LT_050</t>
  </si>
  <si>
    <t>DATA: 12 e 13 de JANEIRO DE 2026</t>
  </si>
  <si>
    <t>PRODUTOR: CAROL IGLEZIAS/ALINE SANCHES</t>
  </si>
  <si>
    <t>NOME PLANILHA: LT_050_CONVENÇÃO LDB 2026</t>
  </si>
  <si>
    <t>Vazio</t>
  </si>
  <si>
    <t>HOTEL</t>
  </si>
  <si>
    <t>BOURBON ATIBAIA - PERÍODO DE 12 A 13 DE JANEIRO</t>
  </si>
  <si>
    <t>FAT.CLIENTE</t>
  </si>
  <si>
    <t>Hospedagem</t>
  </si>
  <si>
    <t>Taxas ISS</t>
  </si>
  <si>
    <t>Serviços do Hotel</t>
  </si>
  <si>
    <t>1.1.6</t>
  </si>
  <si>
    <t>1.1.7</t>
  </si>
  <si>
    <t>Locação de Sala</t>
  </si>
  <si>
    <t>1.1.8</t>
  </si>
  <si>
    <t>Sala de apoio -  Piracicaba (Montagem dia 11/01, evento dia 12/01 e dia 13/01)</t>
  </si>
  <si>
    <t>1.1.9</t>
  </si>
  <si>
    <t>Salas para apoio (Dia 01 | Dia 12/01)
Salas Arujá, Embu, Tuiuti, Poa</t>
  </si>
  <si>
    <t>1.1.10</t>
  </si>
  <si>
    <t>Salas para reunião (Dia 02 | Dia 13/01)
Salas Arujá (15 pax - BH), Embu (35 pax - RJ/ES), Tuiuti (25 pax - Inspet.), Poa</t>
  </si>
  <si>
    <t>1.1.11</t>
  </si>
  <si>
    <t>Salas para reunião (Dia 02 | Dia 13/01)
Itatiba e Mauá</t>
  </si>
  <si>
    <t>1.1.12</t>
  </si>
  <si>
    <t>Espaço Coquetel  (Dia 01 | 12/01) - Praça das Palmeiras</t>
  </si>
  <si>
    <t>1.1.13</t>
  </si>
  <si>
    <t>Espaço Coquetel  (Dia 02 | 13/01) - Virada de sala</t>
  </si>
  <si>
    <t>1.1.14</t>
  </si>
  <si>
    <t>Alimentação</t>
  </si>
  <si>
    <t>1.1.15</t>
  </si>
  <si>
    <t>1.1.16</t>
  </si>
  <si>
    <t>1.1.17</t>
  </si>
  <si>
    <t>1.1.18</t>
  </si>
  <si>
    <t>1.1.19</t>
  </si>
  <si>
    <t>Bebidas</t>
  </si>
  <si>
    <t>1.1.20</t>
  </si>
  <si>
    <t>1.1.21</t>
  </si>
  <si>
    <t>1.1.22</t>
  </si>
  <si>
    <t>Subtotal HOTEL</t>
  </si>
  <si>
    <t>Subtotal HOTEL - PERÍODO DE 13 A 14 DE JANEIRO</t>
  </si>
  <si>
    <t>1.2</t>
  </si>
  <si>
    <t>ALIMENTAÇÃO E HOSPEDAGEM EQUIPE</t>
  </si>
  <si>
    <t>1.2.1</t>
  </si>
  <si>
    <t xml:space="preserve">ALIMENTAÇÃO EQUIPE
</t>
  </si>
  <si>
    <t>Alimentação 10 refeições por pessoa total x 27 pessoas (10 pessoas equipe House mix, 10 equipe de produção, 02 promotoras, 02 ambulância, 01 fotografo, 01 video maker e 01 manutenção cenografia)</t>
  </si>
  <si>
    <t>1.2.2</t>
  </si>
  <si>
    <t>HOSPEDAGEM EQUIPE</t>
  </si>
  <si>
    <t>Hospedagem para produtores Operacionais Bourbon</t>
  </si>
  <si>
    <r>
      <t xml:space="preserve">Quarto Single - Incluso Café da manhã
Check-in: </t>
    </r>
    <r>
      <rPr>
        <b/>
        <sz val="18"/>
        <color rgb="FFFF0000"/>
        <rFont val="Trebuchet MS"/>
        <family val="2"/>
      </rPr>
      <t>12/01</t>
    </r>
    <r>
      <rPr>
        <sz val="18"/>
        <color theme="1"/>
        <rFont val="Trebuchet MS"/>
        <family val="2"/>
      </rPr>
      <t xml:space="preserve"> a partir das 16h00 || Check-out: </t>
    </r>
    <r>
      <rPr>
        <b/>
        <sz val="18"/>
        <color rgb="FFFF0000"/>
        <rFont val="Trebuchet MS"/>
        <family val="2"/>
      </rPr>
      <t>14/01</t>
    </r>
    <r>
      <rPr>
        <sz val="18"/>
        <color theme="1"/>
        <rFont val="Trebuchet MS"/>
        <family val="2"/>
      </rPr>
      <t xml:space="preserve"> até às 12h00</t>
    </r>
  </si>
  <si>
    <r>
      <t xml:space="preserve">Quarto Duplo - Incluso Café da manhã
Check-in: </t>
    </r>
    <r>
      <rPr>
        <b/>
        <sz val="18"/>
        <color rgb="FFFF0000"/>
        <rFont val="Trebuchet MS"/>
        <family val="2"/>
      </rPr>
      <t>12/01</t>
    </r>
    <r>
      <rPr>
        <sz val="18"/>
        <color theme="1"/>
        <rFont val="Trebuchet MS"/>
        <family val="2"/>
      </rPr>
      <t xml:space="preserve"> a partir das 16h00 || Check-out: </t>
    </r>
    <r>
      <rPr>
        <b/>
        <sz val="18"/>
        <color rgb="FFFF0000"/>
        <rFont val="Trebuchet MS"/>
        <family val="2"/>
      </rPr>
      <t>14/01</t>
    </r>
    <r>
      <rPr>
        <sz val="18"/>
        <color theme="1"/>
        <rFont val="Trebuchet MS"/>
        <family val="2"/>
      </rPr>
      <t xml:space="preserve"> até às 12h00</t>
    </r>
  </si>
  <si>
    <r>
      <t xml:space="preserve">Abertura de porta </t>
    </r>
    <r>
      <rPr>
        <sz val="18"/>
        <color rgb="FFFF0000"/>
        <rFont val="Trebuchet MS"/>
        <family val="2"/>
      </rPr>
      <t xml:space="preserve"> (Cobrado conforme necessidade em extras)</t>
    </r>
  </si>
  <si>
    <r>
      <t xml:space="preserve">Personalização de Frigobar </t>
    </r>
    <r>
      <rPr>
        <sz val="18"/>
        <color rgb="FFFF0000"/>
        <rFont val="Trebuchet MS"/>
        <family val="2"/>
      </rPr>
      <t>(Cobrado conforme necessidade em extras)</t>
    </r>
  </si>
  <si>
    <r>
      <t xml:space="preserve">Estacionamento com seguro </t>
    </r>
    <r>
      <rPr>
        <sz val="18"/>
        <color rgb="FFFF0000"/>
        <rFont val="Trebuchet MS"/>
        <family val="2"/>
      </rPr>
      <t>(Cobrado conforme necessidade em extras)</t>
    </r>
  </si>
  <si>
    <r>
      <t xml:space="preserve">Plenária - Ballroom C  - Metragem 758,9m², 6,4m pé direito
(01 dia de montagem | Dia 11/01 + 02 dias de evento | Dia 12 e 13/01)
</t>
    </r>
    <r>
      <rPr>
        <b/>
        <u/>
        <sz val="18"/>
        <color theme="1"/>
        <rFont val="Trebuchet MS"/>
        <family val="2"/>
      </rPr>
      <t xml:space="preserve">Agenda </t>
    </r>
    <r>
      <rPr>
        <b/>
        <sz val="18"/>
        <color theme="1"/>
        <rFont val="Trebuchet MS"/>
        <family val="2"/>
      </rPr>
      <t xml:space="preserve">
Dia 01 (Dia 12/01) - </t>
    </r>
    <r>
      <rPr>
        <sz val="18"/>
        <color theme="1"/>
        <rFont val="Trebuchet MS"/>
        <family val="2"/>
      </rPr>
      <t xml:space="preserve">Almoço | Coffee tarde | Jantar/happy hour com pacote de bebidas por 3h de cerveja Heineken
</t>
    </r>
    <r>
      <rPr>
        <b/>
        <sz val="18"/>
        <color theme="1"/>
        <rFont val="Trebuchet MS"/>
        <family val="2"/>
      </rPr>
      <t xml:space="preserve">Dia 02 (Dia 13/01) - </t>
    </r>
    <r>
      <rPr>
        <sz val="18"/>
        <color theme="1"/>
        <rFont val="Trebuchet MS"/>
        <family val="2"/>
      </rPr>
      <t xml:space="preserve">Coffee break manhã | Almoço | Coffee tarde | festa de confraternização com pacote de bebidas alcoólicas com cerveja, drinks e espumante. Serviço de bebida por 5hs
</t>
    </r>
    <r>
      <rPr>
        <b/>
        <sz val="18"/>
        <color theme="1"/>
        <rFont val="Trebuchet MS"/>
        <family val="2"/>
      </rPr>
      <t xml:space="preserve">Dia 03 (Dia 14/01) - </t>
    </r>
    <r>
      <rPr>
        <sz val="18"/>
        <color theme="1"/>
        <rFont val="Trebuchet MS"/>
        <family val="2"/>
      </rPr>
      <t>Almoço | Checkout</t>
    </r>
  </si>
  <si>
    <r>
      <t xml:space="preserve">Consumo de água e café na plenária </t>
    </r>
    <r>
      <rPr>
        <sz val="18"/>
        <color rgb="FFED0000"/>
        <rFont val="Trebuchet MS"/>
        <family val="2"/>
      </rPr>
      <t>(Cobrado conforme consumo em extras)</t>
    </r>
  </si>
  <si>
    <r>
      <t xml:space="preserve">Almoço (Dias 01, 02 e 03)
</t>
    </r>
    <r>
      <rPr>
        <sz val="18"/>
        <color theme="1"/>
        <rFont val="Trebuchet MS"/>
        <family val="2"/>
      </rPr>
      <t>Buffet do Chef -  inclui bebidas não alcoólicas servidas durante a refeição (água, refrigerante e suco)</t>
    </r>
  </si>
  <si>
    <r>
      <rPr>
        <b/>
        <sz val="18"/>
        <color theme="1"/>
        <rFont val="Trebuchet MS"/>
        <family val="2"/>
      </rPr>
      <t xml:space="preserve">Coffee Break (Dia 01 tarde, Dia 02 manhã e tarde ) </t>
    </r>
    <r>
      <rPr>
        <sz val="18"/>
        <color theme="1"/>
        <rFont val="Trebuchet MS"/>
        <family val="2"/>
      </rPr>
      <t xml:space="preserve">
Opcao 1 - Café, Chá, Leite, Chocolate, Suco de Laranja, Pão de Queijo, Coxinha de frango e Cuca de Abacaxi</t>
    </r>
  </si>
  <si>
    <r>
      <t xml:space="preserve">Jantar Dia 01 - Happy Hour -  2 horas de duração
Churrasco I
</t>
    </r>
    <r>
      <rPr>
        <sz val="18"/>
        <color theme="1"/>
        <rFont val="Trebuchet MS"/>
        <family val="2"/>
      </rPr>
      <t>Buffet de Saladas: Pães (3 tipos), Variedade de Folhas Verdes, Variedade de Crudités, Salada de Tomate, Salada de Abóbora com Carne Seca | Guarnições: Farofa, Batata Bolinha com Alho e Salsinha, Brócolis Alho e Óleo, Arroz Branco | Buffet Quente: Maminha, Alcatra, Cupim, Lombo de Porco, Linguiça, Coxa e Sobrecoxa de Frango, Fraldinha | Molhos para Carne: Vinagrete, Chimichurri, Molho de Pimenta | Buffet de Sobremesas: Pudim de Leite, Cocada, Mousse de Chocolate, Frutas Laminadas, Salada de Frutas</t>
    </r>
  </si>
  <si>
    <r>
      <rPr>
        <b/>
        <sz val="18"/>
        <color theme="1"/>
        <rFont val="Trebuchet MS"/>
        <family val="2"/>
      </rPr>
      <t>Jantar Dia 01 - Happy Hour - Pacote de bebidas - 3h de duração</t>
    </r>
    <r>
      <rPr>
        <sz val="18"/>
        <color theme="1"/>
        <rFont val="Trebuchet MS"/>
        <family val="2"/>
      </rPr>
      <t xml:space="preserve">
Open Bar II - Água Mineral, Refrigerante, Suco de Frutas, Cerveja Heineken</t>
    </r>
  </si>
  <si>
    <r>
      <t xml:space="preserve">Jantar Dia 02
</t>
    </r>
    <r>
      <rPr>
        <sz val="18"/>
        <color theme="1"/>
        <rFont val="Trebuchet MS"/>
        <family val="2"/>
      </rPr>
      <t>Buffet do Chef -  inclui bebidas não alcoólicas servidas durante a refeição (água, refrigerante e suco)</t>
    </r>
  </si>
  <si>
    <r>
      <t xml:space="preserve">Jantar Dia 02 -  Festa de Confraternização 
Mesa de queijos
</t>
    </r>
    <r>
      <rPr>
        <sz val="18"/>
        <color theme="1"/>
        <rFont val="Trebuchet MS"/>
        <family val="2"/>
      </rPr>
      <t>12 cestas de pães; 6 geleia de pimenta; 6 geleia frutas vermelhas; 6 cesta frutas frescas; 12 patê de ricota com tomate seco; 12 patê ervas finas; 12 antepasto de berinjela; 12 porções frutas secas; 13 focaccia sal grosso</t>
    </r>
  </si>
  <si>
    <r>
      <rPr>
        <b/>
        <sz val="18"/>
        <color theme="1"/>
        <rFont val="Trebuchet MS"/>
        <family val="2"/>
      </rPr>
      <t>Jantar  (Dia 03 | Dia 16/01) - Festa de Confraternização - Pacote de bebidas alcoólicas por 5h</t>
    </r>
    <r>
      <rPr>
        <sz val="18"/>
        <color theme="1"/>
        <rFont val="Trebuchet MS"/>
        <family val="2"/>
      </rPr>
      <t xml:space="preserve">
Open Bar VI - Água Mineral, Refrigerante, Suco de Frutas, Cerveja Heineken, Caipirinha, Caipiroska, Sakeroska </t>
    </r>
  </si>
  <si>
    <t>BOURBON ATIBAIA</t>
  </si>
  <si>
    <t>ESSC EVENTOS</t>
  </si>
  <si>
    <t>MOLINA</t>
  </si>
  <si>
    <t>NF PG 60 DIAS - Emissão da Nf após o evento</t>
  </si>
  <si>
    <t>INTERNOS</t>
  </si>
  <si>
    <t>PLANEJAMENTO</t>
  </si>
  <si>
    <t>Custo para o planejamento do projeto</t>
  </si>
  <si>
    <t>CRIAÇÃO DE  KV 
50% LDB/50% Itambé</t>
  </si>
  <si>
    <t xml:space="preserve">Custo para criação de KV </t>
  </si>
  <si>
    <t>DESDOBRAMENTO DE PEÇAS</t>
  </si>
  <si>
    <t xml:space="preserve">Crachás, Backdrop, Totem, Cartas de Boas vindas, Agenda QR Code, Template PPT, Ficha de Palco. </t>
  </si>
  <si>
    <t>Carol subiu DA - 3.000</t>
  </si>
  <si>
    <t>PLANTA BAIXA</t>
  </si>
  <si>
    <t xml:space="preserve">Planta baixa </t>
  </si>
  <si>
    <t>Layout 3d da sala com a implantação do KV + festa</t>
  </si>
  <si>
    <t>ATENDIMENTO</t>
  </si>
  <si>
    <t>Atendimento ao cliente, reuniões, alinhamento e fluxo interno
Ajustado de 2 meses para 1 mês e meio</t>
  </si>
  <si>
    <t>PRODUTOR</t>
  </si>
  <si>
    <t>Produtor executivo dedicado, responsável pela pré-produção, implementação do projeto e pós produção
Ajustado de 2 meses para 1 mês e meio</t>
  </si>
  <si>
    <t>_x000D_
AS CASTING E EVENTOS LTDA</t>
  </si>
  <si>
    <t>_x000D_
31.861.514/0001-65</t>
  </si>
  <si>
    <t>ASSIST. DE PRODUÇÃO</t>
  </si>
  <si>
    <t>Suporte e acompanhamento junto ao produtor executivo;
Ajustado de 2 meses para 1 mês e meio</t>
  </si>
  <si>
    <t>ESTRUTURA</t>
  </si>
  <si>
    <t>CENOGRAFIA - PALCO
50% LDB/50% Itambé</t>
  </si>
  <si>
    <t>Palco de praticáveis revestido com piso carpete forração azul. 04 escadas sendo 2 laterais
2,30m x 0,60m 2 degraus + cobled azul borda de palco e degraus c/ dimmer</t>
  </si>
  <si>
    <t>_x000D_
B. S. TOZZINI CENOGRAFIA E LOCACAO</t>
  </si>
  <si>
    <t>_x000D_
62.868.420/0001-41</t>
  </si>
  <si>
    <t>CENOGRAFIA - FUNDO DE PALCO
50% LDB/50% Itambé</t>
  </si>
  <si>
    <t xml:space="preserve">Lona Impressa Laterais - medidas 2,00m x 3,40m + Lona base LED Laterais </t>
  </si>
  <si>
    <t>CENOGRAFIA -  ESTRUTURA PARA PAINEIS DE LED
50% LDB/50% Itambé</t>
  </si>
  <si>
    <t>Praticáveis para sustentação dos Paineis Led laterais - medidas  4,00 x 1,00 x 1,50m
Praticáveis para sustentação dos Paineis Led Central - medidas  10,00 x 1,00 x 60,00</t>
  </si>
  <si>
    <t>CENOGRAFIA -  FECHAMENTO HOUSE MIX
50% LDB/50% Itambé</t>
  </si>
  <si>
    <t>Trainel de madeira com acabamento em napa preta, frente e laterais. - medidas  10,00 x 1,50 x 1,00m</t>
  </si>
  <si>
    <t>CENOGRAFIA - CREDENCIAMENTO - BACKDROP
50% LDB/50% Itambé</t>
  </si>
  <si>
    <t>Painel de madeira com lona impressa aplicada, pesos para sustentação e fechamentos  laterais em bagum preto - medidas  5,00 x 2,50m</t>
  </si>
  <si>
    <t>2.1.6</t>
  </si>
  <si>
    <t>CENOGRAFIA - CREDENCIAMENTO - BALCÃO 50% LDB/50% Itambé</t>
  </si>
  <si>
    <t>Balcão em Madeira construído revestido adesivo com Logomarca em recorte MDF tamanho proporcional sanca com led RGB - medidas  2,70 x 1,10m</t>
  </si>
  <si>
    <t>2.1.7</t>
  </si>
  <si>
    <t>CENOGRAFIA BALCÃO OPCIONAL - 50% LDB/50% Itambé</t>
  </si>
  <si>
    <t xml:space="preserve">Balcão de Credenciamento construído em madeira personalizado com 2 grades laterais
em formato de cestas para bolas de futebol </t>
  </si>
  <si>
    <t>2.1.8</t>
  </si>
  <si>
    <t>CENOGRAFIA - TOTENS INFORMATIVOS
50% LDB/50% Itambé</t>
  </si>
  <si>
    <t>Totem de madeira adesivado autoportante, comunicação dos dois lados. - medidas  0,60 x 1,60m</t>
  </si>
  <si>
    <t>2.1.9</t>
  </si>
  <si>
    <t>HALL HOTEL (MALAS) - PAINEL COMUNICAÇÃO - 50% LDB/50% Itambé</t>
  </si>
  <si>
    <r>
      <t xml:space="preserve">Painel de madeira com lona impressa aplicada, pesos para sustentação e fechamentos
laterais em bagum preto - </t>
    </r>
    <r>
      <rPr>
        <sz val="12"/>
        <color rgb="FFFF0000"/>
        <rFont val="Trebuchet MS"/>
        <family val="2"/>
      </rPr>
      <t>aguardando retorno do Hotel</t>
    </r>
  </si>
  <si>
    <t>2.1.10</t>
  </si>
  <si>
    <t>CENOGRAFIA - EQUIPE DE MANUTENÇÃO DURANTE O EVENTO
50% LDB/50% Itambé</t>
  </si>
  <si>
    <t>Equipe de 1 funcionário para manutenção durante o evento</t>
  </si>
  <si>
    <t>2.1.11</t>
  </si>
  <si>
    <t>CENOGRAFIA - DOCUMENTAÇÃO + LOGISTICA
50% LDB/50% Itambé</t>
  </si>
  <si>
    <t>RRT, Plantas, Documentação para hotel 
Despesas com equipe para 01 dia de montagem e 01 dia de desmontagem + fretes</t>
  </si>
  <si>
    <t>2.1.12</t>
  </si>
  <si>
    <t>CENOGRAFIA - TROCA DE COMUNICAÇÃO</t>
  </si>
  <si>
    <t>Troca de comunicação de marcas Lactalis/Itambé</t>
  </si>
  <si>
    <t>2.1.13</t>
  </si>
  <si>
    <t>PAINEL LED
50% LDB/50% Itambé</t>
  </si>
  <si>
    <t xml:space="preserve">01 Painel 10x3m P2 
02 paineis 4x2.5m P2 
02 Tvs de retorno 
Gerenciamento completo </t>
  </si>
  <si>
    <t>_x000D_
MWLED PRODUCOES, LOCACOES, COMERCIO, IMPORTACAO E EXPORTACAO DE EQUIPAMENTOS AUDIOVISUAIS LTDA</t>
  </si>
  <si>
    <t>_x000D_
31.158.166/0001-64</t>
  </si>
  <si>
    <t>2.1.14</t>
  </si>
  <si>
    <t>TÉCNICA PLENÁRIA 
50% LDB/50% Itambé</t>
  </si>
  <si>
    <t>Equipamentos Sonorização Plenária
Equipamentos De Iluminação De Palco 
Equipamentos De Luz Cénica 
Art | Estadia | Logística
Equipe Técnica | Plenária 
Equipamentos De Sonorização E Iluminação Foyer</t>
  </si>
  <si>
    <t>2.1.15</t>
  </si>
  <si>
    <r>
      <t xml:space="preserve">GERADOR
</t>
    </r>
    <r>
      <rPr>
        <i/>
        <sz val="12"/>
        <color theme="1"/>
        <rFont val="Trebuchet MS"/>
        <family val="2"/>
      </rPr>
      <t>Custo pode variar de acordo com as necessidades do evento</t>
    </r>
  </si>
  <si>
    <t>Divido para os 03 eventos Gerador em Uso + Backup Standby - 400 KVA
11/nov MONTAGEM 3 horas MONTAGEM
12/nov EVENTO 12 horas 7:00 às 19:00 12 horas 7:00 às 19:00
13/nov EVENTO 18 horas 7:00 às 1:00 18 horas 7:00 às 1:00
14/nov EVENTO 16 horas 7:00 às 23:00 16 horas 7:00 às 23:00
15/nov EVENTO 18 horas 7:00 às 1:00 18 horas 7:00 às 1:00
Total 67 horas</t>
  </si>
  <si>
    <t>Subtotal ESTRUTURA</t>
  </si>
  <si>
    <t>MATERIAL GRÁFICO</t>
  </si>
  <si>
    <t>CREDENCIAL</t>
  </si>
  <si>
    <t xml:space="preserve">Crachá 10x15cm 4x0 plastificação rigida </t>
  </si>
  <si>
    <t>CARTA DE BOAS VINDAS</t>
  </si>
  <si>
    <t xml:space="preserve">Cartas de boas vindas A5 CF170G </t>
  </si>
  <si>
    <t>CORDÃO</t>
  </si>
  <si>
    <t>Cordão</t>
  </si>
  <si>
    <t>FICHA DE PALCO</t>
  </si>
  <si>
    <t>Fichas de palco A5 4x0 CF350G</t>
  </si>
  <si>
    <t>Subtotal MATERIAL GRÁFICO</t>
  </si>
  <si>
    <t>TAXAS</t>
  </si>
  <si>
    <t>4.1</t>
  </si>
  <si>
    <t xml:space="preserve">TAXAS </t>
  </si>
  <si>
    <t>4.1.1</t>
  </si>
  <si>
    <t>SEGURO RC AP
30% LDB/30% Itambé/40%DPA</t>
  </si>
  <si>
    <t xml:space="preserve">Cobre os danos corporais ou materiais causados a terceiros em razão de acidentes relacionados à realização do evento. </t>
  </si>
  <si>
    <t>_x000D_
CHUBB SEGUROS BRASIL S.A.</t>
  </si>
  <si>
    <t>_x000D_
03.502.099/0001-18</t>
  </si>
  <si>
    <t>4.1.2</t>
  </si>
  <si>
    <t>ECAD</t>
  </si>
  <si>
    <t>Taxa obrigatória (sujeito a alteração de valor)</t>
  </si>
  <si>
    <t>_x000D_
ESCRITORIO CENTRAL DE ARRECADACAO E DISTRIBUICAO ECAD</t>
  </si>
  <si>
    <t>_x000D_
00.474.973/0001-62</t>
  </si>
  <si>
    <t>FESTA</t>
  </si>
  <si>
    <t>5.1</t>
  </si>
  <si>
    <t>5.1.1</t>
  </si>
  <si>
    <t>ATRAÇÃO HH</t>
  </si>
  <si>
    <t>Roda de samba - Grupo eterna amizade</t>
  </si>
  <si>
    <t>5.1.2</t>
  </si>
  <si>
    <t>DJ FESTAS</t>
  </si>
  <si>
    <t>DJ para as festas - Redução de 1 diária</t>
  </si>
  <si>
    <t>5.1.3</t>
  </si>
  <si>
    <t>TÉCNICA HH
50% LDB/50% Itambé</t>
  </si>
  <si>
    <t>EQUIPAMENTOS DE SONORIZAÇÃO E ILUMINAÇÃO PRAÇA DAS PALMEIRAS</t>
  </si>
  <si>
    <t>5.1.4</t>
  </si>
  <si>
    <t>MOBILIÁRIO FESTA
50% LDB/50% Itambé</t>
  </si>
  <si>
    <t xml:space="preserve">Mobiliário para a montagem do lounge da festa </t>
  </si>
  <si>
    <t>Subtotal FESTA</t>
  </si>
  <si>
    <t>SERVIÇOS</t>
  </si>
  <si>
    <t>6.1</t>
  </si>
  <si>
    <t>6.1.1</t>
  </si>
  <si>
    <t>PROMOTORAS</t>
  </si>
  <si>
    <t>Assistente de Produção/Promotoras Plenária - Redução de 1 diária</t>
  </si>
  <si>
    <t>6.1.2</t>
  </si>
  <si>
    <t xml:space="preserve">UNIFORME ASSIS. </t>
  </si>
  <si>
    <t>Camiseta com logo - Lactalis ou tema do evento</t>
  </si>
  <si>
    <t>6.1.3</t>
  </si>
  <si>
    <t>AMBULÂNCIA
50% LDB/50% DPA</t>
  </si>
  <si>
    <t>Evento 12 e 13 | Unid. Básica | - alimentação não inclusa</t>
  </si>
  <si>
    <t>6.1.4</t>
  </si>
  <si>
    <t>AMBULÂNCIA</t>
  </si>
  <si>
    <t>Happy Hour 12/03 - Ambulância - 19h às 23h - alimentação não inclusa</t>
  </si>
  <si>
    <t>6.1.5</t>
  </si>
  <si>
    <t>Festa de confraternização 13/03 - Ambulância UTI - 20h às 24h - alimentação não inclusa</t>
  </si>
  <si>
    <t>6.1.6</t>
  </si>
  <si>
    <t>RADIO HT</t>
  </si>
  <si>
    <t>Locação de rádio + frete ( 20 rádios)
Valor negociado de 2750,00 para 2350,00 devido quantidade de diárias para as convenções</t>
  </si>
  <si>
    <t>6.1.7</t>
  </si>
  <si>
    <t>CARREGADOR</t>
  </si>
  <si>
    <t xml:space="preserve">Carregadores para montagem, evento e desmontagem </t>
  </si>
  <si>
    <t>6.1.8</t>
  </si>
  <si>
    <t>UNIFILAS
50% LDB/50% Itambé</t>
  </si>
  <si>
    <t>Unifilas + cabeças unifilas</t>
  </si>
  <si>
    <t>6.1.9</t>
  </si>
  <si>
    <t>FOTÓGRAFO</t>
  </si>
  <si>
    <t>Fotográfo para capatação de imagens no plenária + happy + festa de confraternização - Ajustado de 2.200,00 para 2.000,00</t>
  </si>
  <si>
    <t>_x000D_
MARIO ANDERSON NAKASE</t>
  </si>
  <si>
    <t>_x000D_
20.596.439/0001-36</t>
  </si>
  <si>
    <t>6.1.10</t>
  </si>
  <si>
    <t>VIDEO MAKER</t>
  </si>
  <si>
    <t xml:space="preserve">Edição de vídeo com os melhores momentos, com entrega de 1 clipe de até 5 min, inlcuindo: 
- Trilha sonora inclusa (c/ direito de utilização na internet
- até 3 versões inclusas à partir do 1º corte (V1)
- Correção de cor básica </t>
  </si>
  <si>
    <t>_x000D_
L.T. CRAVO PRODUCAO DE VIDEO</t>
  </si>
  <si>
    <t>_x000D_
10.913.954/0001-49</t>
  </si>
  <si>
    <t>Subtotal SERVIÇOS</t>
  </si>
  <si>
    <t>7.1</t>
  </si>
  <si>
    <t>7.1.1</t>
  </si>
  <si>
    <t>PRODUTOR DE A&amp;B</t>
  </si>
  <si>
    <t xml:space="preserve">Produtor de A&amp;B cuidando de todas demandas </t>
  </si>
  <si>
    <t>_x000D_
LUIZA TAVORA COMUNICACAO LTDA</t>
  </si>
  <si>
    <t>_x000D_
55.055.071/0001-83</t>
  </si>
  <si>
    <t xml:space="preserve">Responsável pelo montagem | evento </t>
  </si>
  <si>
    <t>_x000D_
RODRIGO MASSARI SANTOS SILVA EVENTOS</t>
  </si>
  <si>
    <t>_x000D_
30.340.256/0001-09</t>
  </si>
  <si>
    <t>7.1.3</t>
  </si>
  <si>
    <t>PRODUTOR OPERACIONAL</t>
  </si>
  <si>
    <t>Serviços | Logistica/Demandas Hotel | Credenciamento e Salas/Plenária | Ativações</t>
  </si>
  <si>
    <t xml:space="preserve">_x000D_
</t>
  </si>
  <si>
    <t>7.1.4</t>
  </si>
  <si>
    <t>PRODUTOR RUNNING</t>
  </si>
  <si>
    <t>Produtor com carro para atender as demandas extras e emergenciais.</t>
  </si>
  <si>
    <t>_x000D_
64.342.028 MARCELO BAYEUX DA SILVA</t>
  </si>
  <si>
    <t>_x000D_
64.342.028/0001-90</t>
  </si>
  <si>
    <t>7.1.5</t>
  </si>
  <si>
    <t>DIRETOR ARTÍSTICO
50% LDB/50% Itambé</t>
  </si>
  <si>
    <t>Responsável pela house, palco, ensaios e garantir que todos os elementos do evento estejam em sintonia, de forma a criar uma experiência inesquecível para os participantes (05 diárias)</t>
  </si>
  <si>
    <t>7.1.6</t>
  </si>
  <si>
    <t>CUSTOS DE VT
33% LDB/33% Itambé/33%DPA</t>
  </si>
  <si>
    <t>Verba para reuniões e VT 
Valor negociado de 3.500,00 para 2.500,00</t>
  </si>
  <si>
    <t>Varella R$2.196</t>
  </si>
  <si>
    <t>7.1.7</t>
  </si>
  <si>
    <t>Verba para custos não provisionados</t>
  </si>
  <si>
    <t>_x000D_
335.743.568-38</t>
  </si>
  <si>
    <t>SUBTOTAL GRUPO</t>
  </si>
  <si>
    <t>Subtotal OPERACIONAL</t>
  </si>
  <si>
    <t>ITENS NOVOS</t>
  </si>
  <si>
    <t>Montagem 11/01| Unid. Básica | - alimentação não inclusa</t>
  </si>
  <si>
    <t>SONOPLASTA</t>
  </si>
  <si>
    <t>Sonoplasta para plenária (05 diárias)</t>
  </si>
  <si>
    <t>WIND BANNER</t>
  </si>
  <si>
    <t>Bandeiras windbanner - Somente flamula</t>
  </si>
  <si>
    <t>reembolso Nath</t>
  </si>
  <si>
    <t xml:space="preserve">MATERIAL GRAFICO </t>
  </si>
  <si>
    <t>Termo de compromisso - considerando o mesmo  valor de 2025 + 5%</t>
  </si>
  <si>
    <t>JOGO AMERICANO</t>
  </si>
  <si>
    <t>Jogo americano com KV do Evento para as Refeições  - considerando o mesmo  valor de 2025 + 5% (pode sofrer alteração)</t>
  </si>
  <si>
    <t>_x000D_
GRAFICA E EDITORA VIP LTDA</t>
  </si>
  <si>
    <t>_x000D_
60.650.603/0001-60</t>
  </si>
  <si>
    <t>ALIMENTAÇÃO CELÍACA</t>
  </si>
  <si>
    <t>Dieta de participante celíaca + transporte - considerando o mesmo  valor de 2025 + 5% (pode sofrer alteração)</t>
  </si>
  <si>
    <t xml:space="preserve">PROJEÇÃO SALAS </t>
  </si>
  <si>
    <t>Salas de Reuniões - 1 PROJEÇÃO - SALAS - ARUJÁ - TUIUTÍ - EMBU - MAUÁ 
ITATIBA - CAMPINAS
Projetor - EPSON  4.5K LASER - L250F
(HA17A)
Tela - TES/OUTRAS TELA C/ TRIPE - 120</t>
  </si>
  <si>
    <t>_x000D_
JPZ TELECOM LTDA</t>
  </si>
  <si>
    <t>_x000D_
06.979.236/0001-06</t>
  </si>
  <si>
    <t>MIC e SONORIZAÇÃO SALAS</t>
  </si>
  <si>
    <t>SONORIZAÇÃO - SALAS - TUIUTÍ - EMBU - MAUÁ - ITATIBA  - CAMPINAS                    Microfone -  SENNHEISER BASTAO
Caixa de Som - VARIAS CAIXA ATIVA
Mesa de Som - VARIAS Mesa de som 
Analogica - 1 Técnico AudiovisuaL exclusivo para atender todas as salas</t>
  </si>
  <si>
    <t>PRODUTOR A&amp;B</t>
  </si>
  <si>
    <t>Produtor para auxiliar nas Ativações e Refeições  - considerando o mesmo  valor de 2025 + 5% (pode sofrer alteração)</t>
  </si>
  <si>
    <t>TABLE TENT</t>
  </si>
  <si>
    <t>Table tent formato aberto 10,5 x 38 cm + dobras + montagem</t>
  </si>
  <si>
    <t>INTERVENÇÃO PIPOQUEIROS</t>
  </si>
  <si>
    <t>1 promotora com bandeja de pipoca</t>
  </si>
  <si>
    <t>SAQUINHOS DE PIPOCA</t>
  </si>
  <si>
    <t>Saquinhos de pipoca personalizados</t>
  </si>
  <si>
    <t>PIPOQUEIRA</t>
  </si>
  <si>
    <t xml:space="preserve">01 carrinho de pipoca salgada por até 4horas com operador e insumos - </t>
  </si>
  <si>
    <t>PALESTRA ERISON SANTOS</t>
  </si>
  <si>
    <t xml:space="preserve">Palestra Erison Santos - 1:00 a 1:30 de apresentação </t>
  </si>
  <si>
    <t>_x000D_
ESSC EVENTOS LTDA</t>
  </si>
  <si>
    <t>_x000D_
27.744.904/0001-88</t>
  </si>
  <si>
    <t>Logistica e alimentação - Verba de contigência ( Passagem áerea pode sofre alteração de valor)</t>
  </si>
  <si>
    <t>MESA DE PEBOLIM FESTA</t>
  </si>
  <si>
    <t>2 Mesas de jogo de pebolim</t>
  </si>
  <si>
    <t>TAG DE MALA</t>
  </si>
  <si>
    <t xml:space="preserve">Cartão 54x86cms I pvc 030  I  4x4 I  sem dados variáveis </t>
  </si>
  <si>
    <t>ADEREÇOS FESTA</t>
  </si>
  <si>
    <t>Adereços diversos</t>
  </si>
  <si>
    <t>Carol subiu</t>
  </si>
  <si>
    <t xml:space="preserve">PUFF BOLA - FESTA </t>
  </si>
  <si>
    <t xml:space="preserve">Puff Bola Super em Branco &amp; Preto Phoenix </t>
  </si>
  <si>
    <t>Maquiadora - R$1237</t>
  </si>
  <si>
    <t>Amanda subiu</t>
  </si>
  <si>
    <t>PROJEÇÃO SALA 12/01</t>
  </si>
  <si>
    <t xml:space="preserve">Projeção para Sala de Reunião Tuiuti - Samuel </t>
  </si>
  <si>
    <t>CREDENCIAL EXTRAS</t>
  </si>
  <si>
    <t>EXTRAS EVENTO</t>
  </si>
  <si>
    <t>COPOS PARA BATATA FRITA</t>
  </si>
  <si>
    <t>Copo Papel Biodegradável 200ml - 400 unid</t>
  </si>
  <si>
    <t>COMPRA DE ENERGETICOS</t>
  </si>
  <si>
    <t xml:space="preserve">Energeticos - Redbull normal e zero para Plenária </t>
  </si>
  <si>
    <t>Lavanderia R$428,66 + R$1000 Meteoro, Carol subiu</t>
  </si>
  <si>
    <t>1.2.3</t>
  </si>
  <si>
    <t xml:space="preserve">PRODUTOR PARA AFTER </t>
  </si>
  <si>
    <t xml:space="preserve">Produtora para acompanhar After após festa 19:00 a 6:00 am </t>
  </si>
  <si>
    <t>Thayna - Nath subiu</t>
  </si>
  <si>
    <t>1.2.4</t>
  </si>
  <si>
    <t>HOSPEDAGEM HOTEL</t>
  </si>
  <si>
    <t>Custos com hospedagem de time operacional Oggi para acomodação externa do Bourbon</t>
  </si>
  <si>
    <t>1.2.5</t>
  </si>
  <si>
    <t>LOGISTICA FARO HOTEL</t>
  </si>
  <si>
    <t>Custos de logistica para time operacional do Evento - Hospedagem/ Bourbon (50% LDB/50% Itambé)</t>
  </si>
  <si>
    <t>Subtotal EXTRAS EVENTO</t>
  </si>
  <si>
    <t>RIDER TECNICO
50% LDB/50% Itambé</t>
  </si>
  <si>
    <t>RIDER GRUPO SAMBÔ</t>
  </si>
  <si>
    <t>TG pró</t>
  </si>
  <si>
    <t>ALIMENTAÇÃO EQUIPE
50% LDB/50% Itambé</t>
  </si>
  <si>
    <t xml:space="preserve">Alimentação 6 refeições por pessoa total x 18 pessoas </t>
  </si>
  <si>
    <t>Valor de alimentação no Bourbon dia 14/01</t>
  </si>
  <si>
    <t>NECESSIDADES ARTÍSTICAS</t>
  </si>
  <si>
    <t>Necessidades da banda com o camarim - Ajustado, sujeito a alteração conforme solicitações durante o evento</t>
  </si>
  <si>
    <t>NECESSIDADES ARTÍSTICAS
50% LDB/50% Itambé</t>
  </si>
  <si>
    <t>Deslocamento - 02 Sprinters sendo 01 com carretinha e 01 carro executivo SUV com motorista para o artista + carro a disposição para o DAY OFF</t>
  </si>
  <si>
    <t>Hospedagem - 12 quartos (6 dbl e 6 sgl - 3 diárias - Check-in 13/01 e check-out 16/01</t>
  </si>
  <si>
    <t xml:space="preserve">Hospedagem DAY OFF -14/01- Hospedagem de equipe Sambô - Hotel Faro Atibaia com café da manhã incluso - (6 quartos duplos e 6 quartos single) </t>
  </si>
  <si>
    <t>ATRAÇÃO</t>
  </si>
  <si>
    <t>BANDA FESTA DE CONFRATERNIZAÇÃO</t>
  </si>
  <si>
    <t>Grupo Sambô</t>
  </si>
  <si>
    <t>_x000D_
Ricardo Bertani Gama</t>
  </si>
  <si>
    <t>EXTRAS HOTEL</t>
  </si>
  <si>
    <t xml:space="preserve">INTERNET </t>
  </si>
  <si>
    <t xml:space="preserve">Internet 15gigas para dias 12 e 13 </t>
  </si>
  <si>
    <t>ALIMENTAÇÃO EXTRAS</t>
  </si>
  <si>
    <t>Alimentação dia 10 e 11 para o Staff - Almoço e Jantar</t>
  </si>
  <si>
    <t xml:space="preserve">EXTRAS DE SALA </t>
  </si>
  <si>
    <r>
      <t xml:space="preserve">Espaço para after bourbon club + sala Campinas e Valinhos - </t>
    </r>
    <r>
      <rPr>
        <b/>
        <sz val="12"/>
        <rFont val="Trebuchet MS"/>
        <family val="2"/>
      </rPr>
      <t>Locação de Sala Valinhos para armazenamento - Solicitação chef Kamilla</t>
    </r>
  </si>
  <si>
    <t>ÁGUA E CAFÉ MONTAGEM</t>
  </si>
  <si>
    <r>
      <t xml:space="preserve">Água e café ao consuma para montagem Balrroom C - dias 10 e 11 </t>
    </r>
    <r>
      <rPr>
        <b/>
        <sz val="12"/>
        <color rgb="FFFF0000"/>
        <rFont val="Trebuchet MS"/>
        <family val="2"/>
      </rPr>
      <t xml:space="preserve">- </t>
    </r>
  </si>
  <si>
    <t>Almoço/Jantar LDB dia 11</t>
  </si>
  <si>
    <t xml:space="preserve">A&amp;B - HOUSE MIX/ ENSAIO </t>
  </si>
  <si>
    <t>Alimentos e Bebidas para Ensaio dia 11</t>
  </si>
  <si>
    <t>A&amp;B - CAFÉ DA MANHÃ</t>
  </si>
  <si>
    <t xml:space="preserve">Café da manhã clientes </t>
  </si>
  <si>
    <t>A&amp;B - ATIVAÇÃO HAMBURGUER</t>
  </si>
  <si>
    <t>Contratação Ativação Hamburguer milk break dia 12 - Hamburguer, bata frita e Refrigerantes</t>
  </si>
  <si>
    <t xml:space="preserve">A&amp;B - HOUSE MIX </t>
  </si>
  <si>
    <t>Alimentos e bebidas para House Mix dia 12</t>
  </si>
  <si>
    <t>A&amp;B - BANDEJA DE PÃO DE Q</t>
  </si>
  <si>
    <t>Bandeija de Pão de Queijo para Credenciamento piso C para o dia 12</t>
  </si>
  <si>
    <t xml:space="preserve">A&amp;B - PIPAS DE AGUA </t>
  </si>
  <si>
    <t xml:space="preserve">Pipa de Água saborizada </t>
  </si>
  <si>
    <t>A&amp;B - CONSUMO BOURBON CLUB dia 12</t>
  </si>
  <si>
    <t xml:space="preserve">115 heineken - 55 stella lata - 162  água copo - 63 água com gás - 11 sucos - 11 refrigerantes - 7 Heineken zero  </t>
  </si>
  <si>
    <t xml:space="preserve">A&amp;B - TAXA ROLHA </t>
  </si>
  <si>
    <t xml:space="preserve">Taxa rolha Red Bull dia 13 </t>
  </si>
  <si>
    <t>A&amp;B - ÁGUA E CAFÉ AO CONSUMO dia 12</t>
  </si>
  <si>
    <t xml:space="preserve">Consumo de água e café plenaria dia 12 - 19 termicas de café - 1258 águas - 36 água com gás </t>
  </si>
  <si>
    <t>A&amp;B - ÁGUA E CAFÉ AO CONSUMO dia 13</t>
  </si>
  <si>
    <t xml:space="preserve">Consumo de água e café plenaria dia 13 - 28 termicas de café - 1788 águas - 12 água com gás </t>
  </si>
  <si>
    <t xml:space="preserve">SACO DE GELO </t>
  </si>
  <si>
    <t>Saco de gelo para Energéticos</t>
  </si>
  <si>
    <t>Alimentos de Bebidas - House MIX manhã dia 13</t>
  </si>
  <si>
    <t>A&amp;B - PERSONAGENS</t>
  </si>
  <si>
    <t>A&amp;B para sala camarim Personagens e Jogadores</t>
  </si>
  <si>
    <t>VINHOS E ESPUMANTE FESTA</t>
  </si>
  <si>
    <t>10 vinhos brancos, 10 vinhos tintos e 5 espumantes - 14 Heineken zero</t>
  </si>
  <si>
    <t>A&amp;B - CONSUMO BOURBON CLUB</t>
  </si>
  <si>
    <t xml:space="preserve">181 heineken - 73 stella lata - 295  água copo - 63 - 9 refrigerantes - 6 Heineken zero  </t>
  </si>
  <si>
    <t>A&amp;B - ALMOÇO EXTRA DIA 14</t>
  </si>
  <si>
    <t>Extra de Alimentação - almoço dia 14</t>
  </si>
  <si>
    <t>CONSUMO DE ÁGUA QUARTO</t>
  </si>
  <si>
    <t xml:space="preserve">Consumo de agua </t>
  </si>
  <si>
    <t>1.1.23</t>
  </si>
  <si>
    <t>CONSUMO DE QUARTO</t>
  </si>
  <si>
    <t>Extras autorizados (Alimentos e bebidas)</t>
  </si>
  <si>
    <t>1.1.24</t>
  </si>
  <si>
    <t>ESTACIONAMENTO</t>
  </si>
  <si>
    <t xml:space="preserve">Todos hospedados </t>
  </si>
  <si>
    <t>1.1.25</t>
  </si>
  <si>
    <t xml:space="preserve">MASSAGEM </t>
  </si>
  <si>
    <t>(SPA - Massagem - Roosevelt Roque)</t>
  </si>
  <si>
    <t>1.1.26</t>
  </si>
  <si>
    <t>A&amp;B - ALMOÇO E JANTAR SAMBO DIA 13</t>
  </si>
  <si>
    <t>Extra de Alimentação - almoço dia 13</t>
  </si>
  <si>
    <t>1.1.27</t>
  </si>
  <si>
    <t>HOSPEDAGEM EXTRA</t>
  </si>
  <si>
    <t>Subtotal EXTRAS HOTEL</t>
  </si>
  <si>
    <t>enviado</t>
  </si>
  <si>
    <t>hotel</t>
  </si>
  <si>
    <t>ITENS BANDA</t>
  </si>
  <si>
    <t>NOTA DE DÉBITO 19</t>
  </si>
  <si>
    <t>NOTA DE DÉBITO 20</t>
  </si>
  <si>
    <t>NOTA FISCAL 2688</t>
  </si>
  <si>
    <t>NOTA FISCAL 2689</t>
  </si>
  <si>
    <t>NOTA FISCAL 2686</t>
  </si>
  <si>
    <t>NOTA DE DÉBITO 21</t>
  </si>
  <si>
    <t>NOTA FISCAL 2693</t>
  </si>
  <si>
    <t>NOTA DE DÉBITO 18</t>
  </si>
  <si>
    <t>NOTA FISCAL 2722</t>
  </si>
  <si>
    <t>NOTA FISCAL 2764</t>
  </si>
  <si>
    <t>NOTA FISCAL 2765</t>
  </si>
  <si>
    <t>NOTA FISCAL 2766</t>
  </si>
  <si>
    <t>NOTA FISCAL 2782</t>
  </si>
  <si>
    <t>NOTA DE DÉBITO 28</t>
  </si>
  <si>
    <t>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</si>
</sst>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6" formatCode="&quot;R$&quot;\ #,##0;[Red]\-&quot;R$&quot;\ #,##0"/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  <numFmt numFmtId="171" formatCode="0.0%"/>
    <numFmt numFmtId="172" formatCode="_(&quot;$&quot;* #,##0.00_);_(&quot;$&quot;* \(#,##0.00\);_(&quot;$&quot;* &quot;-&quot;??_);_(@_)"/>
  </numFmts>
  <fonts count="10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b/>
      <sz val="13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6"/>
      <color theme="0"/>
      <name val="Trebuchet MS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ED0000"/>
      <name val="Calibri"/>
      <family val="2"/>
      <scheme val="minor"/>
    </font>
    <font>
      <b/>
      <sz val="12"/>
      <color theme="0"/>
      <name val="Trebuchet MS"/>
      <family val="2"/>
    </font>
    <font>
      <sz val="18"/>
      <color theme="1"/>
      <name val="Calibri"/>
      <family val="2"/>
      <scheme val="minor"/>
    </font>
    <font>
      <b/>
      <sz val="18"/>
      <name val="Trebuchet MS"/>
      <family val="2"/>
    </font>
    <font>
      <b/>
      <sz val="18"/>
      <color theme="1"/>
      <name val="Gadugi"/>
      <family val="2"/>
    </font>
    <font>
      <b/>
      <sz val="18"/>
      <color theme="1"/>
      <name val="Trebuchet MS"/>
      <family val="2"/>
    </font>
    <font>
      <b/>
      <sz val="18"/>
      <color indexed="63"/>
      <name val="Trebuchet MS"/>
      <family val="2"/>
    </font>
    <font>
      <b/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Trebuchet MS"/>
      <family val="2"/>
    </font>
    <font>
      <b/>
      <sz val="18"/>
      <color rgb="FFFF0000"/>
      <name val="Trebuchet MS"/>
      <family val="2"/>
    </font>
    <font>
      <b/>
      <sz val="18"/>
      <color rgb="FF00B050"/>
      <name val="Trebuchet MS"/>
      <family val="2"/>
    </font>
    <font>
      <b/>
      <sz val="18"/>
      <color theme="0"/>
      <name val="Trebuchet MS"/>
      <family val="2"/>
    </font>
    <font>
      <b/>
      <sz val="18"/>
      <color rgb="FFFF0000"/>
      <name val="Calibri"/>
      <family val="2"/>
      <scheme val="minor"/>
    </font>
    <font>
      <b/>
      <sz val="18"/>
      <color rgb="FF00B050"/>
      <name val="Calibri"/>
      <family val="2"/>
      <scheme val="minor"/>
    </font>
    <font>
      <sz val="18"/>
      <color theme="4"/>
      <name val="Trebuchet MS"/>
      <family val="2"/>
    </font>
    <font>
      <sz val="16"/>
      <color theme="1"/>
      <name val="Calibri"/>
      <family val="2"/>
      <scheme val="minor"/>
    </font>
    <font>
      <b/>
      <sz val="16"/>
      <name val="Trebuchet MS"/>
      <family val="2"/>
    </font>
    <font>
      <b/>
      <sz val="16"/>
      <color theme="1"/>
      <name val="Gadugi"/>
      <family val="2"/>
    </font>
    <font>
      <b/>
      <sz val="16"/>
      <color theme="1"/>
      <name val="Trebuchet MS"/>
      <family val="2"/>
    </font>
    <font>
      <b/>
      <sz val="16"/>
      <color indexed="63"/>
      <name val="Trebuchet MS"/>
      <family val="2"/>
    </font>
    <font>
      <b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Trebuchet MS"/>
      <family val="2"/>
    </font>
    <font>
      <b/>
      <sz val="16"/>
      <color rgb="FFFF0000"/>
      <name val="Trebuchet MS"/>
      <family val="2"/>
    </font>
    <font>
      <b/>
      <sz val="16"/>
      <color rgb="FF00B050"/>
      <name val="Trebuchet MS"/>
      <family val="2"/>
    </font>
    <font>
      <sz val="16"/>
      <color rgb="FFFF0000"/>
      <name val="Trebuchet MS"/>
      <family val="2"/>
    </font>
    <font>
      <b/>
      <sz val="16"/>
      <color rgb="FFFF000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sz val="16"/>
      <color theme="4"/>
      <name val="Trebuchet MS"/>
      <family val="2"/>
    </font>
    <font>
      <sz val="16"/>
      <color theme="1"/>
      <name val="Arial"/>
      <family val="2"/>
    </font>
    <font>
      <b/>
      <sz val="16"/>
      <color theme="4"/>
      <name val="Trebuchet MS"/>
      <family val="2"/>
    </font>
    <font>
      <b/>
      <sz val="16"/>
      <color rgb="FF000000"/>
      <name val="Trebuchet MS"/>
      <family val="2"/>
    </font>
    <font>
      <sz val="16"/>
      <color rgb="FF000000"/>
      <name val="Trebuchet MS"/>
      <family val="2"/>
    </font>
    <font>
      <sz val="18"/>
      <color theme="1"/>
      <name val="Arial"/>
      <family val="2"/>
    </font>
    <font>
      <sz val="20"/>
      <color theme="1"/>
      <name val="Calibri"/>
      <family val="2"/>
      <scheme val="minor"/>
    </font>
    <font>
      <b/>
      <sz val="24"/>
      <color rgb="FFFF0000"/>
      <name val="Trebuchet MS"/>
      <family val="2"/>
    </font>
    <font>
      <b/>
      <sz val="22"/>
      <color rgb="FFFF0000"/>
      <name val="Trebuchet MS"/>
      <family val="2"/>
    </font>
    <font>
      <b/>
      <sz val="24"/>
      <color theme="1"/>
      <name val="Trebuchet MS"/>
      <family val="2"/>
    </font>
    <font>
      <b/>
      <sz val="22"/>
      <color theme="1"/>
      <name val="Trebuchet MS"/>
      <family val="2"/>
    </font>
    <font>
      <b/>
      <sz val="24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8"/>
      <name val="Calibri"/>
      <family val="2"/>
      <scheme val="minor"/>
    </font>
    <font>
      <sz val="18"/>
      <color theme="5"/>
      <name val="Trebuchet MS"/>
      <family val="2"/>
    </font>
    <font>
      <sz val="18"/>
      <name val="Trebuchet MS"/>
      <family val="2"/>
    </font>
    <font>
      <sz val="18"/>
      <color rgb="FFC00000"/>
      <name val="Trebuchet MS"/>
      <family val="2"/>
    </font>
    <font>
      <sz val="18"/>
      <color rgb="FFFF0000"/>
      <name val="Trebuchet MS"/>
      <family val="2"/>
    </font>
    <font>
      <b/>
      <u/>
      <sz val="18"/>
      <color theme="1"/>
      <name val="Trebuchet MS"/>
      <family val="2"/>
    </font>
    <font>
      <sz val="18"/>
      <color rgb="FFED0000"/>
      <name val="Trebuchet MS"/>
      <family val="2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name val="Trebuchet MS"/>
      <family val="2"/>
    </font>
    <font>
      <b/>
      <sz val="8"/>
      <color theme="1"/>
      <name val="Gadugi"/>
      <family val="2"/>
    </font>
    <font>
      <b/>
      <sz val="14"/>
      <color theme="1"/>
      <name val="Trebuchet MS"/>
      <family val="2"/>
    </font>
    <font>
      <b/>
      <sz val="12"/>
      <color indexed="63"/>
      <name val="Trebuchet MS"/>
      <family val="2"/>
    </font>
    <font>
      <b/>
      <sz val="8"/>
      <color theme="1"/>
      <name val="Trebuchet MS"/>
      <family val="2"/>
    </font>
    <font>
      <sz val="8"/>
      <color theme="1"/>
      <name val="Trebuchet MS"/>
      <family val="2"/>
    </font>
    <font>
      <b/>
      <sz val="12"/>
      <color rgb="FFFF0000"/>
      <name val="Trebuchet MS"/>
      <family val="2"/>
    </font>
    <font>
      <b/>
      <sz val="12"/>
      <color rgb="FF00B050"/>
      <name val="Trebuchet MS"/>
      <family val="2"/>
    </font>
    <font>
      <b/>
      <sz val="14"/>
      <color theme="0"/>
      <name val="Trebuchet MS"/>
      <family val="2"/>
    </font>
    <font>
      <sz val="12"/>
      <color theme="4"/>
      <name val="Trebuchet MS"/>
      <family val="2"/>
    </font>
    <font>
      <sz val="12"/>
      <color rgb="FFFF0000"/>
      <name val="Trebuchet MS"/>
      <family val="2"/>
    </font>
    <font>
      <i/>
      <sz val="12"/>
      <color theme="1"/>
      <name val="Trebuchet MS"/>
      <family val="2"/>
    </font>
    <font>
      <b/>
      <sz val="12"/>
      <color rgb="FF000000"/>
      <name val="Trebuchet MS"/>
      <family val="2"/>
    </font>
    <font>
      <sz val="12"/>
      <color rgb="FF000000"/>
      <name val="Trebuchet MS"/>
      <family val="2"/>
    </font>
    <font>
      <sz val="12"/>
      <name val="Trebuchet MS"/>
      <family val="2"/>
    </font>
    <font>
      <b/>
      <sz val="10"/>
      <color theme="0"/>
      <name val="Trebuchet MS"/>
      <family val="2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sz val="11"/>
      <color rgb="FFFF0000"/>
      <name val="Trebuchet MS"/>
      <family val="2"/>
    </font>
    <font>
      <sz val="12"/>
      <color theme="5"/>
      <name val="Trebuchet MS"/>
      <family val="2"/>
    </font>
    <font>
      <sz val="12"/>
      <color rgb="FFC00000"/>
      <name val="Trebuchet MS"/>
      <family val="2"/>
    </font>
  </fonts>
  <fills count="3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FFCC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7" tint="0.79998168889431442"/>
        <bgColor indexed="64"/>
      </patternFill>
    </fill>
  </fills>
  <borders count="162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auto="1"/>
      </top>
      <bottom style="hair">
        <color indexed="64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0691854609822"/>
      </left>
      <right/>
      <top style="thin">
        <color theme="2"/>
      </top>
      <bottom style="thin">
        <color theme="2"/>
      </bottom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auto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theme="1"/>
      </right>
      <top style="medium">
        <color auto="1"/>
      </top>
      <bottom/>
      <diagonal/>
    </border>
    <border>
      <left style="thin">
        <color theme="1"/>
      </left>
      <right/>
      <top style="medium">
        <color indexed="64"/>
      </top>
      <bottom/>
      <diagonal/>
    </border>
    <border>
      <left/>
      <right style="thin">
        <color theme="1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/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medium">
        <color indexed="64"/>
      </bottom>
      <diagonal/>
    </border>
    <border>
      <left/>
      <right style="thin">
        <color theme="1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2" tint="-9.9978637043366805E-2"/>
      </left>
      <right/>
      <top/>
      <bottom/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indexed="64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 style="thin">
        <color theme="1"/>
      </left>
      <right style="thin">
        <color indexed="64"/>
      </right>
      <top/>
      <bottom style="medium">
        <color theme="2" tint="-9.9978637043366805E-2"/>
      </bottom>
      <diagonal/>
    </border>
    <border>
      <left style="thin">
        <color indexed="64"/>
      </left>
      <right style="thin">
        <color indexed="64"/>
      </right>
      <top/>
      <bottom style="medium">
        <color theme="2" tint="-9.9978637043366805E-2"/>
      </bottom>
      <diagonal/>
    </border>
    <border>
      <left style="thin">
        <color indexed="64"/>
      </left>
      <right style="thin">
        <color theme="1"/>
      </right>
      <top/>
      <bottom style="medium">
        <color theme="2" tint="-9.9978637043366805E-2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9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8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13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9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224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11" fillId="4" borderId="35" xfId="0" applyFont="1" applyFill="1" applyBorder="1"/>
    <xf numFmtId="0" fontId="11" fillId="4" borderId="36" xfId="0" applyFont="1" applyFill="1" applyBorder="1"/>
    <xf numFmtId="164" fontId="6" fillId="0" borderId="0" xfId="2" applyNumberFormat="1" applyFont="1" applyAlignment="1">
      <alignment horizontal="left" vertical="center"/>
    </xf>
    <xf numFmtId="0" fontId="14" fillId="8" borderId="41" xfId="0" applyFont="1" applyFill="1" applyBorder="1" applyAlignment="1">
      <alignment vertical="center"/>
    </xf>
    <xf numFmtId="0" fontId="16" fillId="8" borderId="41" xfId="0" applyFont="1" applyFill="1" applyBorder="1" applyAlignment="1">
      <alignment horizontal="center" vertical="center"/>
    </xf>
    <xf numFmtId="22" fontId="14" fillId="8" borderId="41" xfId="0" applyNumberFormat="1" applyFont="1" applyFill="1" applyBorder="1" applyAlignment="1">
      <alignment horizontal="center" vertical="center"/>
    </xf>
    <xf numFmtId="0" fontId="18" fillId="8" borderId="42" xfId="0" applyFont="1" applyFill="1" applyBorder="1" applyAlignment="1">
      <alignment horizontal="center" vertical="center" wrapText="1"/>
    </xf>
    <xf numFmtId="0" fontId="18" fillId="8" borderId="4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2" fillId="16" borderId="6" xfId="0" applyFont="1" applyFill="1" applyBorder="1"/>
    <xf numFmtId="0" fontId="22" fillId="16" borderId="37" xfId="0" applyFont="1" applyFill="1" applyBorder="1"/>
    <xf numFmtId="44" fontId="22" fillId="16" borderId="37" xfId="0" applyNumberFormat="1" applyFont="1" applyFill="1" applyBorder="1"/>
    <xf numFmtId="44" fontId="0" fillId="0" borderId="0" xfId="0" applyNumberFormat="1"/>
    <xf numFmtId="44" fontId="22" fillId="16" borderId="12" xfId="0" applyNumberFormat="1" applyFont="1" applyFill="1" applyBorder="1"/>
    <xf numFmtId="44" fontId="22" fillId="16" borderId="75" xfId="8" applyFont="1" applyFill="1" applyBorder="1"/>
    <xf numFmtId="164" fontId="6" fillId="0" borderId="76" xfId="2" applyNumberFormat="1" applyFont="1" applyBorder="1" applyAlignment="1" applyProtection="1">
      <alignment horizontal="left" vertical="center"/>
      <protection locked="0"/>
    </xf>
    <xf numFmtId="164" fontId="6" fillId="0" borderId="77" xfId="2" applyNumberFormat="1" applyFont="1" applyBorder="1" applyAlignment="1" applyProtection="1">
      <alignment horizontal="left" vertical="center"/>
      <protection locked="0"/>
    </xf>
    <xf numFmtId="164" fontId="6" fillId="0" borderId="78" xfId="2" applyNumberFormat="1" applyFont="1" applyBorder="1" applyAlignment="1" applyProtection="1">
      <alignment horizontal="left" vertical="center"/>
      <protection locked="0"/>
    </xf>
    <xf numFmtId="164" fontId="6" fillId="0" borderId="79" xfId="2" applyNumberFormat="1" applyFont="1" applyBorder="1" applyAlignment="1" applyProtection="1">
      <alignment horizontal="left" vertical="center"/>
      <protection locked="0"/>
    </xf>
    <xf numFmtId="0" fontId="7" fillId="0" borderId="80" xfId="2" applyFont="1" applyBorder="1" applyAlignment="1" applyProtection="1">
      <alignment horizontal="left" vertical="center"/>
      <protection locked="0"/>
    </xf>
    <xf numFmtId="0" fontId="6" fillId="0" borderId="80" xfId="2" applyFont="1" applyBorder="1" applyAlignment="1" applyProtection="1">
      <alignment horizontal="left" vertical="center"/>
      <protection locked="0"/>
    </xf>
    <xf numFmtId="14" fontId="7" fillId="0" borderId="79" xfId="2" applyNumberFormat="1" applyFont="1" applyBorder="1" applyAlignment="1" applyProtection="1">
      <alignment horizontal="left" vertical="center"/>
      <protection locked="0"/>
    </xf>
    <xf numFmtId="164" fontId="6" fillId="0" borderId="14" xfId="2" applyNumberFormat="1" applyFont="1" applyBorder="1" applyAlignment="1" applyProtection="1">
      <alignment horizontal="left" vertical="center"/>
      <protection locked="0"/>
    </xf>
    <xf numFmtId="0" fontId="6" fillId="0" borderId="81" xfId="2" applyFont="1" applyBorder="1" applyAlignment="1" applyProtection="1">
      <alignment horizontal="left" vertical="center"/>
      <protection locked="0"/>
    </xf>
    <xf numFmtId="0" fontId="2" fillId="0" borderId="0" xfId="0" applyFont="1" applyAlignment="1">
      <alignment horizontal="left" vertical="center"/>
    </xf>
    <xf numFmtId="170" fontId="2" fillId="0" borderId="0" xfId="0" applyNumberFormat="1" applyFont="1" applyAlignment="1">
      <alignment horizontal="right" vertical="center"/>
    </xf>
    <xf numFmtId="0" fontId="2" fillId="0" borderId="82" xfId="0" applyFont="1" applyBorder="1" applyAlignment="1">
      <alignment horizontal="left" vertical="center"/>
    </xf>
    <xf numFmtId="170" fontId="0" fillId="0" borderId="83" xfId="0" applyNumberFormat="1" applyBorder="1" applyAlignment="1">
      <alignment horizontal="right" vertical="center"/>
    </xf>
    <xf numFmtId="44" fontId="26" fillId="18" borderId="58" xfId="0" applyNumberFormat="1" applyFont="1" applyFill="1" applyBorder="1" applyAlignment="1">
      <alignment horizontal="left"/>
    </xf>
    <xf numFmtId="170" fontId="27" fillId="0" borderId="0" xfId="0" applyNumberFormat="1" applyFont="1"/>
    <xf numFmtId="0" fontId="2" fillId="0" borderId="72" xfId="0" applyFont="1" applyBorder="1" applyAlignment="1">
      <alignment horizontal="left" vertical="center"/>
    </xf>
    <xf numFmtId="170" fontId="0" fillId="0" borderId="59" xfId="0" applyNumberFormat="1" applyBorder="1" applyAlignment="1">
      <alignment horizontal="right" vertical="center"/>
    </xf>
    <xf numFmtId="0" fontId="24" fillId="17" borderId="84" xfId="0" applyFont="1" applyFill="1" applyBorder="1" applyAlignment="1">
      <alignment horizontal="left" vertical="center"/>
    </xf>
    <xf numFmtId="170" fontId="24" fillId="17" borderId="85" xfId="0" applyNumberFormat="1" applyFont="1" applyFill="1" applyBorder="1" applyAlignment="1">
      <alignment horizontal="right" vertical="center"/>
    </xf>
    <xf numFmtId="44" fontId="24" fillId="17" borderId="85" xfId="0" applyNumberFormat="1" applyFont="1" applyFill="1" applyBorder="1" applyAlignment="1">
      <alignment horizontal="right" vertical="center"/>
    </xf>
    <xf numFmtId="0" fontId="2" fillId="0" borderId="58" xfId="0" applyFont="1" applyBorder="1" applyAlignment="1">
      <alignment horizontal="left" vertical="center"/>
    </xf>
    <xf numFmtId="170" fontId="0" fillId="0" borderId="58" xfId="0" applyNumberFormat="1" applyBorder="1" applyAlignment="1">
      <alignment horizontal="right" vertical="center"/>
    </xf>
    <xf numFmtId="44" fontId="22" fillId="16" borderId="100" xfId="0" applyNumberFormat="1" applyFont="1" applyFill="1" applyBorder="1"/>
    <xf numFmtId="170" fontId="25" fillId="0" borderId="0" xfId="0" applyNumberFormat="1" applyFont="1"/>
    <xf numFmtId="9" fontId="25" fillId="0" borderId="0" xfId="1" applyFont="1" applyAlignment="1">
      <alignment horizontal="center"/>
    </xf>
    <xf numFmtId="9" fontId="22" fillId="16" borderId="15" xfId="1" applyFont="1" applyFill="1" applyBorder="1"/>
    <xf numFmtId="0" fontId="22" fillId="16" borderId="14" xfId="0" applyFont="1" applyFill="1" applyBorder="1"/>
    <xf numFmtId="0" fontId="22" fillId="16" borderId="15" xfId="0" applyFont="1" applyFill="1" applyBorder="1"/>
    <xf numFmtId="44" fontId="22" fillId="16" borderId="15" xfId="0" applyNumberFormat="1" applyFont="1" applyFill="1" applyBorder="1"/>
    <xf numFmtId="44" fontId="22" fillId="16" borderId="102" xfId="0" applyNumberFormat="1" applyFont="1" applyFill="1" applyBorder="1"/>
    <xf numFmtId="0" fontId="22" fillId="16" borderId="6" xfId="0" applyFont="1" applyFill="1" applyBorder="1" applyAlignment="1">
      <alignment horizontal="center"/>
    </xf>
    <xf numFmtId="0" fontId="22" fillId="16" borderId="37" xfId="0" applyFont="1" applyFill="1" applyBorder="1" applyAlignment="1">
      <alignment horizontal="center"/>
    </xf>
    <xf numFmtId="0" fontId="22" fillId="16" borderId="14" xfId="0" applyFont="1" applyFill="1" applyBorder="1" applyAlignment="1">
      <alignment horizontal="center"/>
    </xf>
    <xf numFmtId="0" fontId="22" fillId="16" borderId="15" xfId="0" applyFont="1" applyFill="1" applyBorder="1" applyAlignment="1">
      <alignment horizontal="center"/>
    </xf>
    <xf numFmtId="0" fontId="29" fillId="0" borderId="0" xfId="0" applyFont="1"/>
    <xf numFmtId="49" fontId="30" fillId="0" borderId="0" xfId="2" applyNumberFormat="1" applyFont="1" applyAlignment="1">
      <alignment horizontal="left" vertical="center" wrapText="1"/>
    </xf>
    <xf numFmtId="0" fontId="30" fillId="0" borderId="0" xfId="2" applyFont="1" applyAlignment="1">
      <alignment horizontal="left" vertical="center" wrapText="1"/>
    </xf>
    <xf numFmtId="0" fontId="29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164" fontId="30" fillId="0" borderId="0" xfId="2" applyNumberFormat="1" applyFont="1" applyAlignment="1">
      <alignment horizontal="left" vertical="center"/>
    </xf>
    <xf numFmtId="164" fontId="30" fillId="0" borderId="19" xfId="2" applyNumberFormat="1" applyFont="1" applyBorder="1" applyAlignment="1" applyProtection="1">
      <alignment horizontal="left" vertical="center"/>
      <protection locked="0"/>
    </xf>
    <xf numFmtId="164" fontId="30" fillId="0" borderId="0" xfId="2" applyNumberFormat="1" applyFont="1" applyAlignment="1" applyProtection="1">
      <alignment horizontal="left" vertical="center"/>
      <protection locked="0"/>
    </xf>
    <xf numFmtId="164" fontId="30" fillId="0" borderId="30" xfId="2" applyNumberFormat="1" applyFont="1" applyBorder="1" applyAlignment="1" applyProtection="1">
      <alignment horizontal="left" vertical="center"/>
      <protection locked="0"/>
    </xf>
    <xf numFmtId="0" fontId="30" fillId="0" borderId="0" xfId="2" applyFont="1" applyAlignment="1" applyProtection="1">
      <alignment horizontal="left" vertical="center"/>
      <protection locked="0"/>
    </xf>
    <xf numFmtId="14" fontId="30" fillId="0" borderId="0" xfId="2" applyNumberFormat="1" applyFont="1" applyAlignment="1" applyProtection="1">
      <alignment horizontal="left" vertical="center"/>
      <protection locked="0"/>
    </xf>
    <xf numFmtId="164" fontId="30" fillId="0" borderId="59" xfId="2" applyNumberFormat="1" applyFont="1" applyBorder="1" applyAlignment="1" applyProtection="1">
      <alignment horizontal="left" vertical="center"/>
      <protection locked="0"/>
    </xf>
    <xf numFmtId="49" fontId="29" fillId="0" borderId="0" xfId="0" applyNumberFormat="1" applyFont="1"/>
    <xf numFmtId="0" fontId="29" fillId="0" borderId="0" xfId="1" applyNumberFormat="1" applyFont="1"/>
    <xf numFmtId="165" fontId="33" fillId="6" borderId="38" xfId="4" applyFont="1" applyFill="1" applyBorder="1" applyAlignment="1">
      <alignment horizontal="center" vertical="center" wrapText="1"/>
    </xf>
    <xf numFmtId="168" fontId="34" fillId="0" borderId="5" xfId="1" applyNumberFormat="1" applyFont="1" applyBorder="1"/>
    <xf numFmtId="166" fontId="33" fillId="0" borderId="39" xfId="4" applyNumberFormat="1" applyFont="1" applyBorder="1" applyAlignment="1">
      <alignment horizontal="center" vertical="center" wrapText="1"/>
    </xf>
    <xf numFmtId="0" fontId="32" fillId="5" borderId="0" xfId="0" applyFont="1" applyFill="1"/>
    <xf numFmtId="49" fontId="32" fillId="5" borderId="0" xfId="0" applyNumberFormat="1" applyFont="1" applyFill="1"/>
    <xf numFmtId="0" fontId="35" fillId="0" borderId="0" xfId="0" applyFont="1"/>
    <xf numFmtId="0" fontId="36" fillId="0" borderId="44" xfId="0" applyFont="1" applyBorder="1" applyAlignment="1">
      <alignment horizontal="left" vertical="center"/>
    </xf>
    <xf numFmtId="49" fontId="36" fillId="0" borderId="45" xfId="0" applyNumberFormat="1" applyFont="1" applyBorder="1" applyAlignment="1">
      <alignment horizontal="left" vertical="center"/>
    </xf>
    <xf numFmtId="0" fontId="36" fillId="0" borderId="46" xfId="0" applyFont="1" applyBorder="1" applyAlignment="1">
      <alignment horizontal="left" vertical="center"/>
    </xf>
    <xf numFmtId="0" fontId="36" fillId="0" borderId="44" xfId="0" applyFont="1" applyBorder="1" applyAlignment="1">
      <alignment horizontal="left" vertical="center" wrapText="1"/>
    </xf>
    <xf numFmtId="0" fontId="30" fillId="6" borderId="38" xfId="3" applyFont="1" applyFill="1" applyBorder="1" applyAlignment="1">
      <alignment horizontal="left" vertical="center"/>
    </xf>
    <xf numFmtId="0" fontId="30" fillId="6" borderId="57" xfId="3" applyFont="1" applyFill="1" applyBorder="1" applyAlignment="1">
      <alignment horizontal="center" vertical="center"/>
    </xf>
    <xf numFmtId="0" fontId="32" fillId="6" borderId="54" xfId="3" applyFont="1" applyFill="1" applyBorder="1" applyAlignment="1">
      <alignment horizontal="center" vertical="center"/>
    </xf>
    <xf numFmtId="169" fontId="32" fillId="6" borderId="54" xfId="3" applyNumberFormat="1" applyFont="1" applyFill="1" applyBorder="1" applyAlignment="1">
      <alignment horizontal="center" vertical="center" wrapText="1"/>
    </xf>
    <xf numFmtId="0" fontId="32" fillId="6" borderId="55" xfId="3" applyFont="1" applyFill="1" applyBorder="1" applyAlignment="1">
      <alignment horizontal="center" vertical="center" wrapText="1"/>
    </xf>
    <xf numFmtId="9" fontId="32" fillId="6" borderId="53" xfId="1" applyFont="1" applyFill="1" applyBorder="1" applyAlignment="1">
      <alignment horizontal="center" vertical="center" wrapText="1"/>
    </xf>
    <xf numFmtId="10" fontId="32" fillId="6" borderId="54" xfId="1" applyNumberFormat="1" applyFont="1" applyFill="1" applyBorder="1" applyAlignment="1">
      <alignment horizontal="center" vertical="center" wrapText="1"/>
    </xf>
    <xf numFmtId="0" fontId="32" fillId="6" borderId="56" xfId="3" applyFont="1" applyFill="1" applyBorder="1" applyAlignment="1">
      <alignment horizontal="center" vertical="center" wrapText="1"/>
    </xf>
    <xf numFmtId="37" fontId="33" fillId="6" borderId="53" xfId="3" applyNumberFormat="1" applyFont="1" applyFill="1" applyBorder="1" applyAlignment="1">
      <alignment horizontal="center" vertical="center"/>
    </xf>
    <xf numFmtId="37" fontId="33" fillId="6" borderId="54" xfId="3" applyNumberFormat="1" applyFont="1" applyFill="1" applyBorder="1" applyAlignment="1">
      <alignment horizontal="center" vertical="center"/>
    </xf>
    <xf numFmtId="40" fontId="33" fillId="6" borderId="54" xfId="4" applyNumberFormat="1" applyFont="1" applyFill="1" applyBorder="1" applyAlignment="1">
      <alignment horizontal="center" vertical="center"/>
    </xf>
    <xf numFmtId="165" fontId="33" fillId="6" borderId="54" xfId="4" applyFont="1" applyFill="1" applyBorder="1" applyAlignment="1">
      <alignment horizontal="right" vertical="center"/>
    </xf>
    <xf numFmtId="40" fontId="33" fillId="6" borderId="54" xfId="4" applyNumberFormat="1" applyFont="1" applyFill="1" applyBorder="1" applyAlignment="1">
      <alignment horizontal="center" vertical="center" wrapText="1"/>
    </xf>
    <xf numFmtId="10" fontId="33" fillId="6" borderId="54" xfId="5" applyNumberFormat="1" applyFont="1" applyFill="1" applyBorder="1" applyAlignment="1">
      <alignment horizontal="center" vertical="center" wrapText="1"/>
    </xf>
    <xf numFmtId="165" fontId="33" fillId="6" borderId="54" xfId="4" applyFont="1" applyFill="1" applyBorder="1" applyAlignment="1">
      <alignment horizontal="center" vertical="center" wrapText="1"/>
    </xf>
    <xf numFmtId="165" fontId="33" fillId="6" borderId="56" xfId="4" applyFont="1" applyFill="1" applyBorder="1" applyAlignment="1">
      <alignment horizontal="center" vertical="center" wrapText="1"/>
    </xf>
    <xf numFmtId="10" fontId="33" fillId="6" borderId="47" xfId="5" applyNumberFormat="1" applyFont="1" applyFill="1" applyBorder="1" applyAlignment="1">
      <alignment horizontal="center" vertical="center" wrapText="1"/>
    </xf>
    <xf numFmtId="10" fontId="33" fillId="6" borderId="48" xfId="5" applyNumberFormat="1" applyFont="1" applyFill="1" applyBorder="1" applyAlignment="1">
      <alignment horizontal="center" vertical="center" wrapText="1"/>
    </xf>
    <xf numFmtId="165" fontId="33" fillId="6" borderId="49" xfId="4" applyFont="1" applyFill="1" applyBorder="1" applyAlignment="1">
      <alignment horizontal="center" vertical="center" wrapText="1"/>
    </xf>
    <xf numFmtId="165" fontId="33" fillId="6" borderId="48" xfId="4" applyFont="1" applyFill="1" applyBorder="1" applyAlignment="1">
      <alignment horizontal="center" vertical="center" wrapText="1"/>
    </xf>
    <xf numFmtId="37" fontId="33" fillId="6" borderId="3" xfId="3" applyNumberFormat="1" applyFont="1" applyFill="1" applyBorder="1" applyAlignment="1">
      <alignment horizontal="center" vertical="center"/>
    </xf>
    <xf numFmtId="40" fontId="33" fillId="6" borderId="50" xfId="4" applyNumberFormat="1" applyFont="1" applyFill="1" applyBorder="1" applyAlignment="1">
      <alignment horizontal="center" vertical="center"/>
    </xf>
    <xf numFmtId="166" fontId="37" fillId="6" borderId="51" xfId="4" applyNumberFormat="1" applyFont="1" applyFill="1" applyBorder="1" applyAlignment="1">
      <alignment horizontal="center" vertical="center" wrapText="1"/>
    </xf>
    <xf numFmtId="49" fontId="36" fillId="0" borderId="45" xfId="0" applyNumberFormat="1" applyFont="1" applyBorder="1" applyAlignment="1">
      <alignment horizontal="left" vertical="center" wrapText="1"/>
    </xf>
    <xf numFmtId="0" fontId="36" fillId="0" borderId="46" xfId="0" applyFont="1" applyBorder="1" applyAlignment="1">
      <alignment horizontal="left" vertical="center" wrapText="1"/>
    </xf>
    <xf numFmtId="0" fontId="39" fillId="9" borderId="17" xfId="0" applyFont="1" applyFill="1" applyBorder="1" applyAlignment="1">
      <alignment horizontal="center"/>
    </xf>
    <xf numFmtId="0" fontId="39" fillId="10" borderId="11" xfId="0" applyFont="1" applyFill="1" applyBorder="1" applyAlignment="1">
      <alignment horizontal="left"/>
    </xf>
    <xf numFmtId="0" fontId="32" fillId="12" borderId="55" xfId="0" applyFont="1" applyFill="1" applyBorder="1" applyAlignment="1">
      <alignment horizontal="center" vertical="center"/>
    </xf>
    <xf numFmtId="0" fontId="32" fillId="12" borderId="54" xfId="0" applyFont="1" applyFill="1" applyBorder="1" applyAlignment="1">
      <alignment horizontal="center" vertical="center"/>
    </xf>
    <xf numFmtId="0" fontId="32" fillId="12" borderId="101" xfId="0" applyFont="1" applyFill="1" applyBorder="1" applyAlignment="1">
      <alignment horizontal="center" vertical="center"/>
    </xf>
    <xf numFmtId="0" fontId="34" fillId="12" borderId="10" xfId="0" applyFont="1" applyFill="1" applyBorder="1" applyAlignment="1">
      <alignment horizontal="center" vertical="center"/>
    </xf>
    <xf numFmtId="0" fontId="34" fillId="12" borderId="58" xfId="0" applyFont="1" applyFill="1" applyBorder="1" applyAlignment="1">
      <alignment horizontal="center" vertical="center"/>
    </xf>
    <xf numFmtId="0" fontId="32" fillId="0" borderId="66" xfId="0" applyFont="1" applyBorder="1" applyAlignment="1">
      <alignment horizontal="left" vertical="center" wrapText="1"/>
    </xf>
    <xf numFmtId="0" fontId="36" fillId="0" borderId="58" xfId="0" applyFont="1" applyBorder="1" applyAlignment="1">
      <alignment horizontal="left" vertical="center" wrapText="1"/>
    </xf>
    <xf numFmtId="0" fontId="36" fillId="0" borderId="65" xfId="0" applyFont="1" applyBorder="1" applyAlignment="1">
      <alignment horizontal="center" vertical="center"/>
    </xf>
    <xf numFmtId="44" fontId="36" fillId="0" borderId="65" xfId="8" applyFont="1" applyBorder="1" applyAlignment="1">
      <alignment vertical="center"/>
    </xf>
    <xf numFmtId="44" fontId="36" fillId="0" borderId="52" xfId="8" applyFont="1" applyBorder="1" applyAlignment="1">
      <alignment vertical="center"/>
    </xf>
    <xf numFmtId="1" fontId="36" fillId="13" borderId="67" xfId="0" applyNumberFormat="1" applyFont="1" applyFill="1" applyBorder="1" applyAlignment="1">
      <alignment horizontal="center" vertical="center"/>
    </xf>
    <xf numFmtId="1" fontId="36" fillId="13" borderId="64" xfId="0" applyNumberFormat="1" applyFont="1" applyFill="1" applyBorder="1" applyAlignment="1">
      <alignment horizontal="center" vertical="center"/>
    </xf>
    <xf numFmtId="44" fontId="36" fillId="13" borderId="64" xfId="8" applyFont="1" applyFill="1" applyBorder="1" applyAlignment="1">
      <alignment vertical="center"/>
    </xf>
    <xf numFmtId="44" fontId="36" fillId="15" borderId="64" xfId="8" applyFont="1" applyFill="1" applyBorder="1" applyAlignment="1">
      <alignment vertical="center"/>
    </xf>
    <xf numFmtId="9" fontId="36" fillId="14" borderId="64" xfId="1" applyFont="1" applyFill="1" applyBorder="1" applyAlignment="1">
      <alignment vertical="center"/>
    </xf>
    <xf numFmtId="44" fontId="36" fillId="14" borderId="64" xfId="8" applyFont="1" applyFill="1" applyBorder="1" applyAlignment="1">
      <alignment vertical="center"/>
    </xf>
    <xf numFmtId="44" fontId="36" fillId="14" borderId="52" xfId="8" applyFont="1" applyFill="1" applyBorder="1" applyAlignment="1">
      <alignment vertical="center"/>
    </xf>
    <xf numFmtId="10" fontId="36" fillId="15" borderId="10" xfId="0" applyNumberFormat="1" applyFont="1" applyFill="1" applyBorder="1" applyAlignment="1">
      <alignment horizontal="center" vertical="center"/>
    </xf>
    <xf numFmtId="10" fontId="36" fillId="15" borderId="58" xfId="0" applyNumberFormat="1" applyFont="1" applyFill="1" applyBorder="1" applyAlignment="1">
      <alignment horizontal="center" vertical="center"/>
    </xf>
    <xf numFmtId="44" fontId="40" fillId="0" borderId="58" xfId="0" applyNumberFormat="1" applyFont="1" applyBorder="1"/>
    <xf numFmtId="0" fontId="36" fillId="0" borderId="58" xfId="0" applyFont="1" applyBorder="1" applyAlignment="1">
      <alignment horizontal="center" vertical="center"/>
    </xf>
    <xf numFmtId="44" fontId="36" fillId="0" borderId="58" xfId="8" applyFont="1" applyBorder="1" applyAlignment="1">
      <alignment vertical="center"/>
    </xf>
    <xf numFmtId="44" fontId="36" fillId="0" borderId="71" xfId="8" applyFont="1" applyBorder="1" applyAlignment="1">
      <alignment vertical="center"/>
    </xf>
    <xf numFmtId="1" fontId="36" fillId="13" borderId="68" xfId="0" applyNumberFormat="1" applyFont="1" applyFill="1" applyBorder="1" applyAlignment="1">
      <alignment horizontal="center" vertical="center"/>
    </xf>
    <xf numFmtId="1" fontId="36" fillId="13" borderId="7" xfId="0" applyNumberFormat="1" applyFont="1" applyFill="1" applyBorder="1" applyAlignment="1">
      <alignment horizontal="center" vertical="center"/>
    </xf>
    <xf numFmtId="44" fontId="36" fillId="13" borderId="7" xfId="8" applyFont="1" applyFill="1" applyBorder="1" applyAlignment="1">
      <alignment vertical="center"/>
    </xf>
    <xf numFmtId="44" fontId="36" fillId="15" borderId="7" xfId="8" applyFont="1" applyFill="1" applyBorder="1" applyAlignment="1">
      <alignment vertical="center"/>
    </xf>
    <xf numFmtId="9" fontId="36" fillId="14" borderId="7" xfId="1" applyFont="1" applyFill="1" applyBorder="1" applyAlignment="1">
      <alignment vertical="center"/>
    </xf>
    <xf numFmtId="44" fontId="36" fillId="14" borderId="7" xfId="8" applyFont="1" applyFill="1" applyBorder="1" applyAlignment="1">
      <alignment vertical="center"/>
    </xf>
    <xf numFmtId="44" fontId="36" fillId="14" borderId="71" xfId="8" applyFont="1" applyFill="1" applyBorder="1" applyAlignment="1">
      <alignment vertical="center"/>
    </xf>
    <xf numFmtId="170" fontId="39" fillId="10" borderId="15" xfId="0" applyNumberFormat="1" applyFont="1" applyFill="1" applyBorder="1" applyAlignment="1">
      <alignment horizontal="right"/>
    </xf>
    <xf numFmtId="170" fontId="39" fillId="10" borderId="0" xfId="0" applyNumberFormat="1" applyFont="1" applyFill="1" applyAlignment="1">
      <alignment horizontal="right"/>
    </xf>
    <xf numFmtId="170" fontId="39" fillId="10" borderId="102" xfId="0" applyNumberFormat="1" applyFont="1" applyFill="1" applyBorder="1" applyAlignment="1">
      <alignment horizontal="right"/>
    </xf>
    <xf numFmtId="44" fontId="39" fillId="10" borderId="15" xfId="0" applyNumberFormat="1" applyFont="1" applyFill="1" applyBorder="1" applyAlignment="1">
      <alignment horizontal="right"/>
    </xf>
    <xf numFmtId="44" fontId="32" fillId="15" borderId="15" xfId="0" applyNumberFormat="1" applyFont="1" applyFill="1" applyBorder="1"/>
    <xf numFmtId="0" fontId="29" fillId="14" borderId="15" xfId="0" applyFont="1" applyFill="1" applyBorder="1"/>
    <xf numFmtId="44" fontId="32" fillId="14" borderId="15" xfId="0" applyNumberFormat="1" applyFont="1" applyFill="1" applyBorder="1"/>
    <xf numFmtId="44" fontId="32" fillId="14" borderId="102" xfId="8" applyFont="1" applyFill="1" applyBorder="1"/>
    <xf numFmtId="44" fontId="42" fillId="13" borderId="64" xfId="8" applyFont="1" applyFill="1" applyBorder="1" applyAlignment="1">
      <alignment vertical="center"/>
    </xf>
    <xf numFmtId="10" fontId="36" fillId="15" borderId="33" xfId="0" applyNumberFormat="1" applyFont="1" applyFill="1" applyBorder="1" applyAlignment="1">
      <alignment horizontal="center" vertical="center"/>
    </xf>
    <xf numFmtId="10" fontId="36" fillId="15" borderId="65" xfId="0" applyNumberFormat="1" applyFont="1" applyFill="1" applyBorder="1" applyAlignment="1">
      <alignment horizontal="center" vertical="center"/>
    </xf>
    <xf numFmtId="170" fontId="39" fillId="10" borderId="18" xfId="0" applyNumberFormat="1" applyFont="1" applyFill="1" applyBorder="1" applyAlignment="1">
      <alignment horizontal="right"/>
    </xf>
    <xf numFmtId="44" fontId="39" fillId="10" borderId="0" xfId="0" applyNumberFormat="1" applyFont="1" applyFill="1" applyAlignment="1">
      <alignment horizontal="right"/>
    </xf>
    <xf numFmtId="44" fontId="32" fillId="15" borderId="0" xfId="0" applyNumberFormat="1" applyFont="1" applyFill="1"/>
    <xf numFmtId="0" fontId="29" fillId="14" borderId="0" xfId="0" applyFont="1" applyFill="1"/>
    <xf numFmtId="44" fontId="32" fillId="14" borderId="0" xfId="0" applyNumberFormat="1" applyFont="1" applyFill="1"/>
    <xf numFmtId="44" fontId="32" fillId="14" borderId="18" xfId="8" applyFont="1" applyFill="1" applyBorder="1"/>
    <xf numFmtId="44" fontId="39" fillId="16" borderId="12" xfId="8" applyFont="1" applyFill="1" applyBorder="1" applyAlignment="1">
      <alignment horizontal="center"/>
    </xf>
    <xf numFmtId="44" fontId="39" fillId="16" borderId="74" xfId="8" applyFont="1" applyFill="1" applyBorder="1" applyAlignment="1">
      <alignment horizontal="center"/>
    </xf>
    <xf numFmtId="0" fontId="36" fillId="0" borderId="61" xfId="0" applyFont="1" applyBorder="1" applyAlignment="1">
      <alignment horizontal="left" vertical="center" wrapText="1"/>
    </xf>
    <xf numFmtId="49" fontId="36" fillId="0" borderId="62" xfId="0" applyNumberFormat="1" applyFont="1" applyBorder="1" applyAlignment="1">
      <alignment horizontal="left" vertical="center" wrapText="1"/>
    </xf>
    <xf numFmtId="0" fontId="36" fillId="0" borderId="63" xfId="0" applyFont="1" applyBorder="1" applyAlignment="1">
      <alignment horizontal="left" vertical="center" wrapText="1"/>
    </xf>
    <xf numFmtId="0" fontId="39" fillId="16" borderId="6" xfId="0" applyFont="1" applyFill="1" applyBorder="1"/>
    <xf numFmtId="0" fontId="39" fillId="16" borderId="37" xfId="0" applyFont="1" applyFill="1" applyBorder="1"/>
    <xf numFmtId="44" fontId="39" fillId="16" borderId="37" xfId="0" applyNumberFormat="1" applyFont="1" applyFill="1" applyBorder="1"/>
    <xf numFmtId="44" fontId="39" fillId="16" borderId="100" xfId="0" applyNumberFormat="1" applyFont="1" applyFill="1" applyBorder="1"/>
    <xf numFmtId="9" fontId="39" fillId="16" borderId="15" xfId="1" applyFont="1" applyFill="1" applyBorder="1"/>
    <xf numFmtId="44" fontId="39" fillId="16" borderId="75" xfId="8" applyFont="1" applyFill="1" applyBorder="1"/>
    <xf numFmtId="8" fontId="36" fillId="13" borderId="7" xfId="0" applyNumberFormat="1" applyFont="1" applyFill="1" applyBorder="1"/>
    <xf numFmtId="8" fontId="36" fillId="13" borderId="9" xfId="0" applyNumberFormat="1" applyFont="1" applyFill="1" applyBorder="1"/>
    <xf numFmtId="14" fontId="36" fillId="13" borderId="10" xfId="0" applyNumberFormat="1" applyFont="1" applyFill="1" applyBorder="1"/>
    <xf numFmtId="0" fontId="36" fillId="13" borderId="7" xfId="0" applyFont="1" applyFill="1" applyBorder="1" applyAlignment="1">
      <alignment wrapText="1"/>
    </xf>
    <xf numFmtId="0" fontId="36" fillId="13" borderId="10" xfId="0" applyFont="1" applyFill="1" applyBorder="1" applyAlignment="1">
      <alignment wrapText="1"/>
    </xf>
    <xf numFmtId="0" fontId="43" fillId="0" borderId="0" xfId="0" applyFont="1"/>
    <xf numFmtId="49" fontId="44" fillId="0" borderId="0" xfId="2" applyNumberFormat="1" applyFont="1" applyAlignment="1">
      <alignment horizontal="left" vertical="center" wrapText="1"/>
    </xf>
    <xf numFmtId="0" fontId="44" fillId="0" borderId="0" xfId="2" applyFont="1" applyAlignment="1">
      <alignment horizontal="left" vertical="center" wrapText="1"/>
    </xf>
    <xf numFmtId="0" fontId="43" fillId="0" borderId="0" xfId="0" applyFont="1" applyAlignment="1">
      <alignment horizontal="center"/>
    </xf>
    <xf numFmtId="0" fontId="45" fillId="0" borderId="0" xfId="0" applyFont="1" applyAlignment="1">
      <alignment horizontal="center"/>
    </xf>
    <xf numFmtId="164" fontId="44" fillId="0" borderId="0" xfId="2" applyNumberFormat="1" applyFont="1" applyAlignment="1">
      <alignment horizontal="left" vertical="center"/>
    </xf>
    <xf numFmtId="164" fontId="44" fillId="0" borderId="19" xfId="2" applyNumberFormat="1" applyFont="1" applyBorder="1" applyAlignment="1" applyProtection="1">
      <alignment horizontal="left" vertical="center"/>
      <protection locked="0"/>
    </xf>
    <xf numFmtId="164" fontId="44" fillId="0" borderId="0" xfId="2" applyNumberFormat="1" applyFont="1" applyAlignment="1" applyProtection="1">
      <alignment horizontal="left" vertical="center"/>
      <protection locked="0"/>
    </xf>
    <xf numFmtId="164" fontId="44" fillId="0" borderId="30" xfId="2" applyNumberFormat="1" applyFont="1" applyBorder="1" applyAlignment="1" applyProtection="1">
      <alignment horizontal="left" vertical="center"/>
      <protection locked="0"/>
    </xf>
    <xf numFmtId="0" fontId="44" fillId="0" borderId="0" xfId="2" applyFont="1" applyAlignment="1" applyProtection="1">
      <alignment horizontal="left" vertical="center"/>
      <protection locked="0"/>
    </xf>
    <xf numFmtId="14" fontId="44" fillId="0" borderId="0" xfId="2" applyNumberFormat="1" applyFont="1" applyAlignment="1" applyProtection="1">
      <alignment horizontal="left" vertical="center"/>
      <protection locked="0"/>
    </xf>
    <xf numFmtId="164" fontId="44" fillId="0" borderId="59" xfId="2" applyNumberFormat="1" applyFont="1" applyBorder="1" applyAlignment="1" applyProtection="1">
      <alignment horizontal="left" vertical="center"/>
      <protection locked="0"/>
    </xf>
    <xf numFmtId="49" fontId="43" fillId="0" borderId="0" xfId="0" applyNumberFormat="1" applyFont="1"/>
    <xf numFmtId="0" fontId="43" fillId="0" borderId="0" xfId="1" applyNumberFormat="1" applyFont="1"/>
    <xf numFmtId="165" fontId="47" fillId="6" borderId="38" xfId="4" applyFont="1" applyFill="1" applyBorder="1" applyAlignment="1">
      <alignment horizontal="center" vertical="center" wrapText="1"/>
    </xf>
    <xf numFmtId="168" fontId="48" fillId="0" borderId="5" xfId="1" applyNumberFormat="1" applyFont="1" applyBorder="1"/>
    <xf numFmtId="166" fontId="47" fillId="0" borderId="39" xfId="4" applyNumberFormat="1" applyFont="1" applyBorder="1" applyAlignment="1">
      <alignment horizontal="center" vertical="center" wrapText="1"/>
    </xf>
    <xf numFmtId="0" fontId="46" fillId="5" borderId="0" xfId="0" applyFont="1" applyFill="1"/>
    <xf numFmtId="49" fontId="46" fillId="5" borderId="0" xfId="0" applyNumberFormat="1" applyFont="1" applyFill="1"/>
    <xf numFmtId="0" fontId="49" fillId="0" borderId="0" xfId="0" applyFont="1"/>
    <xf numFmtId="0" fontId="50" fillId="0" borderId="44" xfId="0" applyFont="1" applyBorder="1" applyAlignment="1">
      <alignment horizontal="left" vertical="center"/>
    </xf>
    <xf numFmtId="49" fontId="50" fillId="0" borderId="45" xfId="0" applyNumberFormat="1" applyFont="1" applyBorder="1" applyAlignment="1">
      <alignment horizontal="left" vertical="center"/>
    </xf>
    <xf numFmtId="0" fontId="50" fillId="0" borderId="46" xfId="0" applyFont="1" applyBorder="1" applyAlignment="1">
      <alignment horizontal="left" vertical="center"/>
    </xf>
    <xf numFmtId="0" fontId="50" fillId="0" borderId="44" xfId="0" applyFont="1" applyBorder="1" applyAlignment="1">
      <alignment horizontal="left" vertical="center" wrapText="1"/>
    </xf>
    <xf numFmtId="0" fontId="44" fillId="6" borderId="38" xfId="3" applyFont="1" applyFill="1" applyBorder="1" applyAlignment="1">
      <alignment horizontal="left" vertical="center"/>
    </xf>
    <xf numFmtId="0" fontId="44" fillId="6" borderId="57" xfId="3" applyFont="1" applyFill="1" applyBorder="1" applyAlignment="1">
      <alignment horizontal="center" vertical="center"/>
    </xf>
    <xf numFmtId="0" fontId="46" fillId="6" borderId="54" xfId="3" applyFont="1" applyFill="1" applyBorder="1" applyAlignment="1">
      <alignment horizontal="center" vertical="center"/>
    </xf>
    <xf numFmtId="169" fontId="46" fillId="6" borderId="54" xfId="3" applyNumberFormat="1" applyFont="1" applyFill="1" applyBorder="1" applyAlignment="1">
      <alignment horizontal="center" vertical="center" wrapText="1"/>
    </xf>
    <xf numFmtId="0" fontId="46" fillId="6" borderId="55" xfId="3" applyFont="1" applyFill="1" applyBorder="1" applyAlignment="1">
      <alignment horizontal="center" vertical="center" wrapText="1"/>
    </xf>
    <xf numFmtId="9" fontId="46" fillId="6" borderId="53" xfId="1" applyFont="1" applyFill="1" applyBorder="1" applyAlignment="1">
      <alignment horizontal="center" vertical="center" wrapText="1"/>
    </xf>
    <xf numFmtId="10" fontId="46" fillId="6" borderId="54" xfId="1" applyNumberFormat="1" applyFont="1" applyFill="1" applyBorder="1" applyAlignment="1">
      <alignment horizontal="center" vertical="center" wrapText="1"/>
    </xf>
    <xf numFmtId="0" fontId="46" fillId="6" borderId="56" xfId="3" applyFont="1" applyFill="1" applyBorder="1" applyAlignment="1">
      <alignment horizontal="center" vertical="center" wrapText="1"/>
    </xf>
    <xf numFmtId="37" fontId="47" fillId="6" borderId="53" xfId="3" applyNumberFormat="1" applyFont="1" applyFill="1" applyBorder="1" applyAlignment="1">
      <alignment horizontal="center" vertical="center"/>
    </xf>
    <xf numFmtId="37" fontId="47" fillId="6" borderId="54" xfId="3" applyNumberFormat="1" applyFont="1" applyFill="1" applyBorder="1" applyAlignment="1">
      <alignment horizontal="center" vertical="center"/>
    </xf>
    <xf numFmtId="40" fontId="47" fillId="6" borderId="54" xfId="4" applyNumberFormat="1" applyFont="1" applyFill="1" applyBorder="1" applyAlignment="1">
      <alignment horizontal="center" vertical="center"/>
    </xf>
    <xf numFmtId="165" fontId="47" fillId="6" borderId="54" xfId="4" applyFont="1" applyFill="1" applyBorder="1" applyAlignment="1">
      <alignment horizontal="right" vertical="center"/>
    </xf>
    <xf numFmtId="40" fontId="47" fillId="6" borderId="54" xfId="4" applyNumberFormat="1" applyFont="1" applyFill="1" applyBorder="1" applyAlignment="1">
      <alignment horizontal="center" vertical="center" wrapText="1"/>
    </xf>
    <xf numFmtId="10" fontId="47" fillId="6" borderId="54" xfId="5" applyNumberFormat="1" applyFont="1" applyFill="1" applyBorder="1" applyAlignment="1">
      <alignment horizontal="center" vertical="center" wrapText="1"/>
    </xf>
    <xf numFmtId="165" fontId="47" fillId="6" borderId="54" xfId="4" applyFont="1" applyFill="1" applyBorder="1" applyAlignment="1">
      <alignment horizontal="center" vertical="center" wrapText="1"/>
    </xf>
    <xf numFmtId="165" fontId="47" fillId="6" borderId="56" xfId="4" applyFont="1" applyFill="1" applyBorder="1" applyAlignment="1">
      <alignment horizontal="center" vertical="center" wrapText="1"/>
    </xf>
    <xf numFmtId="10" fontId="47" fillId="6" borderId="47" xfId="5" applyNumberFormat="1" applyFont="1" applyFill="1" applyBorder="1" applyAlignment="1">
      <alignment horizontal="center" vertical="center" wrapText="1"/>
    </xf>
    <xf numFmtId="10" fontId="47" fillId="6" borderId="48" xfId="5" applyNumberFormat="1" applyFont="1" applyFill="1" applyBorder="1" applyAlignment="1">
      <alignment horizontal="center" vertical="center" wrapText="1"/>
    </xf>
    <xf numFmtId="165" fontId="47" fillId="6" borderId="49" xfId="4" applyFont="1" applyFill="1" applyBorder="1" applyAlignment="1">
      <alignment horizontal="center" vertical="center" wrapText="1"/>
    </xf>
    <xf numFmtId="165" fontId="47" fillId="6" borderId="48" xfId="4" applyFont="1" applyFill="1" applyBorder="1" applyAlignment="1">
      <alignment horizontal="center" vertical="center" wrapText="1"/>
    </xf>
    <xf numFmtId="37" fontId="47" fillId="6" borderId="3" xfId="3" applyNumberFormat="1" applyFont="1" applyFill="1" applyBorder="1" applyAlignment="1">
      <alignment horizontal="center" vertical="center"/>
    </xf>
    <xf numFmtId="40" fontId="47" fillId="6" borderId="50" xfId="4" applyNumberFormat="1" applyFont="1" applyFill="1" applyBorder="1" applyAlignment="1">
      <alignment horizontal="center" vertical="center"/>
    </xf>
    <xf numFmtId="166" fontId="51" fillId="6" borderId="51" xfId="4" applyNumberFormat="1" applyFont="1" applyFill="1" applyBorder="1" applyAlignment="1">
      <alignment horizontal="center" vertical="center" wrapText="1"/>
    </xf>
    <xf numFmtId="49" fontId="50" fillId="0" borderId="45" xfId="0" applyNumberFormat="1" applyFont="1" applyBorder="1" applyAlignment="1">
      <alignment horizontal="left" vertical="center" wrapText="1"/>
    </xf>
    <xf numFmtId="0" fontId="50" fillId="0" borderId="46" xfId="0" applyFont="1" applyBorder="1" applyAlignment="1">
      <alignment horizontal="left" vertical="center" wrapText="1"/>
    </xf>
    <xf numFmtId="0" fontId="22" fillId="9" borderId="17" xfId="0" applyFont="1" applyFill="1" applyBorder="1" applyAlignment="1">
      <alignment horizontal="center"/>
    </xf>
    <xf numFmtId="0" fontId="22" fillId="10" borderId="11" xfId="0" applyFont="1" applyFill="1" applyBorder="1" applyAlignment="1">
      <alignment horizontal="left"/>
    </xf>
    <xf numFmtId="0" fontId="46" fillId="12" borderId="55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2" borderId="101" xfId="0" applyFont="1" applyFill="1" applyBorder="1" applyAlignment="1">
      <alignment horizontal="center" vertical="center"/>
    </xf>
    <xf numFmtId="0" fontId="48" fillId="12" borderId="10" xfId="0" applyFont="1" applyFill="1" applyBorder="1" applyAlignment="1">
      <alignment horizontal="center" vertical="center"/>
    </xf>
    <xf numFmtId="0" fontId="48" fillId="12" borderId="58" xfId="0" applyFont="1" applyFill="1" applyBorder="1" applyAlignment="1">
      <alignment horizontal="center" vertical="center"/>
    </xf>
    <xf numFmtId="0" fontId="46" fillId="0" borderId="51" xfId="0" applyFont="1" applyBorder="1" applyAlignment="1">
      <alignment horizontal="left" vertical="center" wrapText="1"/>
    </xf>
    <xf numFmtId="0" fontId="50" fillId="0" borderId="65" xfId="0" applyFont="1" applyBorder="1" applyAlignment="1">
      <alignment horizontal="left" vertical="center" wrapText="1"/>
    </xf>
    <xf numFmtId="0" fontId="50" fillId="0" borderId="65" xfId="0" applyFont="1" applyBorder="1" applyAlignment="1">
      <alignment horizontal="center" vertical="center"/>
    </xf>
    <xf numFmtId="44" fontId="50" fillId="0" borderId="65" xfId="8" applyFont="1" applyBorder="1" applyAlignment="1">
      <alignment vertical="center"/>
    </xf>
    <xf numFmtId="44" fontId="50" fillId="0" borderId="52" xfId="8" applyFont="1" applyBorder="1" applyAlignment="1">
      <alignment vertical="center"/>
    </xf>
    <xf numFmtId="1" fontId="50" fillId="13" borderId="67" xfId="0" applyNumberFormat="1" applyFont="1" applyFill="1" applyBorder="1" applyAlignment="1">
      <alignment horizontal="center" vertical="center"/>
    </xf>
    <xf numFmtId="1" fontId="50" fillId="13" borderId="64" xfId="0" applyNumberFormat="1" applyFont="1" applyFill="1" applyBorder="1" applyAlignment="1">
      <alignment horizontal="center" vertical="center"/>
    </xf>
    <xf numFmtId="44" fontId="50" fillId="13" borderId="64" xfId="8" applyFont="1" applyFill="1" applyBorder="1" applyAlignment="1">
      <alignment vertical="center"/>
    </xf>
    <xf numFmtId="44" fontId="50" fillId="15" borderId="64" xfId="8" applyFont="1" applyFill="1" applyBorder="1" applyAlignment="1">
      <alignment vertical="center"/>
    </xf>
    <xf numFmtId="9" fontId="50" fillId="14" borderId="64" xfId="1" applyFont="1" applyFill="1" applyBorder="1" applyAlignment="1">
      <alignment vertical="center"/>
    </xf>
    <xf numFmtId="44" fontId="50" fillId="14" borderId="64" xfId="8" applyFont="1" applyFill="1" applyBorder="1" applyAlignment="1">
      <alignment vertical="center"/>
    </xf>
    <xf numFmtId="44" fontId="50" fillId="14" borderId="52" xfId="8" applyFont="1" applyFill="1" applyBorder="1" applyAlignment="1">
      <alignment vertical="center"/>
    </xf>
    <xf numFmtId="10" fontId="50" fillId="15" borderId="10" xfId="0" applyNumberFormat="1" applyFont="1" applyFill="1" applyBorder="1" applyAlignment="1">
      <alignment horizontal="center" vertical="center"/>
    </xf>
    <xf numFmtId="10" fontId="50" fillId="15" borderId="58" xfId="0" applyNumberFormat="1" applyFont="1" applyFill="1" applyBorder="1" applyAlignment="1">
      <alignment horizontal="center" vertical="center"/>
    </xf>
    <xf numFmtId="44" fontId="54" fillId="0" borderId="58" xfId="0" applyNumberFormat="1" applyFont="1" applyBorder="1"/>
    <xf numFmtId="0" fontId="50" fillId="0" borderId="58" xfId="0" applyFont="1" applyBorder="1" applyAlignment="1">
      <alignment horizontal="center" vertical="center"/>
    </xf>
    <xf numFmtId="44" fontId="50" fillId="0" borderId="58" xfId="8" applyFont="1" applyBorder="1" applyAlignment="1">
      <alignment vertical="center"/>
    </xf>
    <xf numFmtId="44" fontId="50" fillId="0" borderId="71" xfId="8" applyFont="1" applyBorder="1" applyAlignment="1">
      <alignment vertical="center"/>
    </xf>
    <xf numFmtId="1" fontId="50" fillId="13" borderId="68" xfId="0" applyNumberFormat="1" applyFont="1" applyFill="1" applyBorder="1" applyAlignment="1">
      <alignment horizontal="center" vertical="center"/>
    </xf>
    <xf numFmtId="1" fontId="50" fillId="13" borderId="7" xfId="0" applyNumberFormat="1" applyFont="1" applyFill="1" applyBorder="1" applyAlignment="1">
      <alignment horizontal="center" vertical="center"/>
    </xf>
    <xf numFmtId="44" fontId="50" fillId="13" borderId="7" xfId="8" applyFont="1" applyFill="1" applyBorder="1" applyAlignment="1">
      <alignment vertical="center"/>
    </xf>
    <xf numFmtId="44" fontId="50" fillId="15" borderId="7" xfId="8" applyFont="1" applyFill="1" applyBorder="1" applyAlignment="1">
      <alignment vertical="center"/>
    </xf>
    <xf numFmtId="9" fontId="50" fillId="14" borderId="7" xfId="1" applyFont="1" applyFill="1" applyBorder="1" applyAlignment="1">
      <alignment vertical="center"/>
    </xf>
    <xf numFmtId="44" fontId="50" fillId="14" borderId="7" xfId="8" applyFont="1" applyFill="1" applyBorder="1" applyAlignment="1">
      <alignment vertical="center"/>
    </xf>
    <xf numFmtId="44" fontId="50" fillId="14" borderId="71" xfId="8" applyFont="1" applyFill="1" applyBorder="1" applyAlignment="1">
      <alignment vertical="center"/>
    </xf>
    <xf numFmtId="10" fontId="50" fillId="15" borderId="33" xfId="0" applyNumberFormat="1" applyFont="1" applyFill="1" applyBorder="1" applyAlignment="1">
      <alignment horizontal="center" vertical="center"/>
    </xf>
    <xf numFmtId="10" fontId="50" fillId="15" borderId="65" xfId="0" applyNumberFormat="1" applyFont="1" applyFill="1" applyBorder="1" applyAlignment="1">
      <alignment horizontal="center" vertical="center"/>
    </xf>
    <xf numFmtId="170" fontId="22" fillId="10" borderId="0" xfId="0" applyNumberFormat="1" applyFont="1" applyFill="1" applyAlignment="1">
      <alignment horizontal="right"/>
    </xf>
    <xf numFmtId="170" fontId="22" fillId="10" borderId="18" xfId="0" applyNumberFormat="1" applyFont="1" applyFill="1" applyBorder="1" applyAlignment="1">
      <alignment horizontal="right"/>
    </xf>
    <xf numFmtId="44" fontId="22" fillId="10" borderId="0" xfId="0" applyNumberFormat="1" applyFont="1" applyFill="1" applyAlignment="1">
      <alignment horizontal="right"/>
    </xf>
    <xf numFmtId="44" fontId="46" fillId="15" borderId="0" xfId="0" applyNumberFormat="1" applyFont="1" applyFill="1"/>
    <xf numFmtId="0" fontId="43" fillId="14" borderId="0" xfId="0" applyFont="1" applyFill="1"/>
    <xf numFmtId="44" fontId="46" fillId="14" borderId="0" xfId="0" applyNumberFormat="1" applyFont="1" applyFill="1"/>
    <xf numFmtId="44" fontId="46" fillId="14" borderId="18" xfId="8" applyFont="1" applyFill="1" applyBorder="1"/>
    <xf numFmtId="44" fontId="22" fillId="16" borderId="12" xfId="8" applyFont="1" applyFill="1" applyBorder="1" applyAlignment="1">
      <alignment horizontal="center"/>
    </xf>
    <xf numFmtId="44" fontId="22" fillId="16" borderId="74" xfId="8" applyFont="1" applyFill="1" applyBorder="1" applyAlignment="1">
      <alignment horizontal="center"/>
    </xf>
    <xf numFmtId="0" fontId="46" fillId="0" borderId="66" xfId="0" applyFont="1" applyBorder="1" applyAlignment="1">
      <alignment horizontal="left" vertical="center" wrapText="1"/>
    </xf>
    <xf numFmtId="0" fontId="50" fillId="0" borderId="58" xfId="0" applyFont="1" applyBorder="1" applyAlignment="1">
      <alignment horizontal="left" vertical="center" wrapText="1"/>
    </xf>
    <xf numFmtId="44" fontId="56" fillId="13" borderId="64" xfId="8" applyFont="1" applyFill="1" applyBorder="1" applyAlignment="1">
      <alignment vertical="center"/>
    </xf>
    <xf numFmtId="0" fontId="50" fillId="0" borderId="61" xfId="0" applyFont="1" applyBorder="1" applyAlignment="1">
      <alignment horizontal="left" vertical="center" wrapText="1"/>
    </xf>
    <xf numFmtId="0" fontId="50" fillId="0" borderId="63" xfId="0" applyFont="1" applyBorder="1" applyAlignment="1">
      <alignment horizontal="left" vertical="center" wrapText="1"/>
    </xf>
    <xf numFmtId="6" fontId="50" fillId="0" borderId="58" xfId="8" applyNumberFormat="1" applyFont="1" applyBorder="1" applyAlignment="1">
      <alignment vertical="center"/>
    </xf>
    <xf numFmtId="44" fontId="56" fillId="13" borderId="7" xfId="8" applyFont="1" applyFill="1" applyBorder="1" applyAlignment="1">
      <alignment vertical="center"/>
    </xf>
    <xf numFmtId="10" fontId="50" fillId="15" borderId="0" xfId="0" applyNumberFormat="1" applyFont="1" applyFill="1" applyAlignment="1">
      <alignment horizontal="center" vertical="center"/>
    </xf>
    <xf numFmtId="0" fontId="50" fillId="0" borderId="60" xfId="0" applyFont="1" applyBorder="1" applyAlignment="1">
      <alignment horizontal="left" vertical="center" wrapText="1"/>
    </xf>
    <xf numFmtId="0" fontId="50" fillId="0" borderId="0" xfId="0" applyFont="1" applyAlignment="1">
      <alignment horizontal="left" vertical="center" wrapText="1"/>
    </xf>
    <xf numFmtId="170" fontId="22" fillId="10" borderId="15" xfId="0" applyNumberFormat="1" applyFont="1" applyFill="1" applyBorder="1" applyAlignment="1">
      <alignment horizontal="right"/>
    </xf>
    <xf numFmtId="170" fontId="22" fillId="10" borderId="102" xfId="0" applyNumberFormat="1" applyFont="1" applyFill="1" applyBorder="1" applyAlignment="1">
      <alignment horizontal="right"/>
    </xf>
    <xf numFmtId="44" fontId="22" fillId="10" borderId="15" xfId="0" applyNumberFormat="1" applyFont="1" applyFill="1" applyBorder="1" applyAlignment="1">
      <alignment horizontal="right"/>
    </xf>
    <xf numFmtId="44" fontId="46" fillId="15" borderId="15" xfId="0" applyNumberFormat="1" applyFont="1" applyFill="1" applyBorder="1"/>
    <xf numFmtId="0" fontId="43" fillId="14" borderId="15" xfId="0" applyFont="1" applyFill="1" applyBorder="1"/>
    <xf numFmtId="44" fontId="46" fillId="14" borderId="15" xfId="0" applyNumberFormat="1" applyFont="1" applyFill="1" applyBorder="1"/>
    <xf numFmtId="44" fontId="46" fillId="14" borderId="102" xfId="8" applyFont="1" applyFill="1" applyBorder="1"/>
    <xf numFmtId="0" fontId="57" fillId="0" borderId="65" xfId="0" applyFont="1" applyBorder="1" applyAlignment="1">
      <alignment vertical="center" wrapText="1"/>
    </xf>
    <xf numFmtId="44" fontId="22" fillId="16" borderId="0" xfId="8" applyFont="1" applyFill="1" applyBorder="1" applyAlignment="1">
      <alignment horizontal="center"/>
    </xf>
    <xf numFmtId="170" fontId="46" fillId="12" borderId="55" xfId="0" applyNumberFormat="1" applyFont="1" applyFill="1" applyBorder="1" applyAlignment="1">
      <alignment horizontal="center" vertical="center"/>
    </xf>
    <xf numFmtId="170" fontId="46" fillId="12" borderId="54" xfId="0" applyNumberFormat="1" applyFont="1" applyFill="1" applyBorder="1" applyAlignment="1">
      <alignment horizontal="center" vertical="center"/>
    </xf>
    <xf numFmtId="170" fontId="22" fillId="12" borderId="101" xfId="0" applyNumberFormat="1" applyFont="1" applyFill="1" applyBorder="1" applyAlignment="1">
      <alignment horizontal="center" vertical="center"/>
    </xf>
    <xf numFmtId="44" fontId="22" fillId="12" borderId="10" xfId="8" applyFont="1" applyFill="1" applyBorder="1" applyAlignment="1">
      <alignment horizontal="center" vertical="center"/>
    </xf>
    <xf numFmtId="44" fontId="22" fillId="12" borderId="58" xfId="8" applyFont="1" applyFill="1" applyBorder="1" applyAlignment="1">
      <alignment horizontal="center" vertical="center"/>
    </xf>
    <xf numFmtId="0" fontId="46" fillId="11" borderId="51" xfId="0" applyFont="1" applyFill="1" applyBorder="1" applyAlignment="1">
      <alignment horizontal="left" vertical="center" wrapText="1"/>
    </xf>
    <xf numFmtId="0" fontId="50" fillId="11" borderId="65" xfId="0" applyFont="1" applyFill="1" applyBorder="1" applyAlignment="1">
      <alignment horizontal="left" vertical="center" wrapText="1"/>
    </xf>
    <xf numFmtId="1" fontId="46" fillId="13" borderId="67" xfId="0" applyNumberFormat="1" applyFont="1" applyFill="1" applyBorder="1" applyAlignment="1">
      <alignment horizontal="center" vertical="center"/>
    </xf>
    <xf numFmtId="1" fontId="46" fillId="13" borderId="64" xfId="0" applyNumberFormat="1" applyFont="1" applyFill="1" applyBorder="1" applyAlignment="1">
      <alignment horizontal="center" vertical="center"/>
    </xf>
    <xf numFmtId="44" fontId="46" fillId="13" borderId="64" xfId="8" applyFont="1" applyFill="1" applyBorder="1" applyAlignment="1">
      <alignment vertical="center"/>
    </xf>
    <xf numFmtId="44" fontId="46" fillId="15" borderId="64" xfId="8" applyFont="1" applyFill="1" applyBorder="1" applyAlignment="1">
      <alignment vertical="center"/>
    </xf>
    <xf numFmtId="9" fontId="46" fillId="14" borderId="64" xfId="1" applyFont="1" applyFill="1" applyBorder="1" applyAlignment="1">
      <alignment vertical="center"/>
    </xf>
    <xf numFmtId="44" fontId="46" fillId="14" borderId="64" xfId="8" applyFont="1" applyFill="1" applyBorder="1" applyAlignment="1">
      <alignment vertical="center"/>
    </xf>
    <xf numFmtId="44" fontId="46" fillId="14" borderId="52" xfId="8" applyFont="1" applyFill="1" applyBorder="1" applyAlignment="1">
      <alignment vertical="center"/>
    </xf>
    <xf numFmtId="10" fontId="22" fillId="15" borderId="10" xfId="8" applyNumberFormat="1" applyFont="1" applyFill="1" applyBorder="1" applyAlignment="1">
      <alignment horizontal="center" vertical="center"/>
    </xf>
    <xf numFmtId="10" fontId="22" fillId="15" borderId="58" xfId="8" applyNumberFormat="1" applyFont="1" applyFill="1" applyBorder="1" applyAlignment="1">
      <alignment horizontal="center" vertical="center"/>
    </xf>
    <xf numFmtId="10" fontId="22" fillId="15" borderId="0" xfId="8" applyNumberFormat="1" applyFont="1" applyFill="1" applyBorder="1" applyAlignment="1">
      <alignment horizontal="center" vertical="center"/>
    </xf>
    <xf numFmtId="0" fontId="46" fillId="11" borderId="66" xfId="0" applyFont="1" applyFill="1" applyBorder="1" applyAlignment="1">
      <alignment horizontal="left" vertical="center" wrapText="1"/>
    </xf>
    <xf numFmtId="0" fontId="50" fillId="11" borderId="58" xfId="0" applyFont="1" applyFill="1" applyBorder="1" applyAlignment="1">
      <alignment horizontal="left" vertical="center" wrapText="1"/>
    </xf>
    <xf numFmtId="1" fontId="46" fillId="13" borderId="68" xfId="0" applyNumberFormat="1" applyFont="1" applyFill="1" applyBorder="1" applyAlignment="1">
      <alignment horizontal="center" vertical="center"/>
    </xf>
    <xf numFmtId="1" fontId="46" fillId="13" borderId="7" xfId="0" applyNumberFormat="1" applyFont="1" applyFill="1" applyBorder="1" applyAlignment="1">
      <alignment horizontal="center" vertical="center"/>
    </xf>
    <xf numFmtId="44" fontId="58" fillId="13" borderId="7" xfId="8" applyFont="1" applyFill="1" applyBorder="1" applyAlignment="1">
      <alignment vertical="center"/>
    </xf>
    <xf numFmtId="44" fontId="46" fillId="15" borderId="7" xfId="8" applyFont="1" applyFill="1" applyBorder="1" applyAlignment="1">
      <alignment vertical="center"/>
    </xf>
    <xf numFmtId="9" fontId="46" fillId="14" borderId="7" xfId="1" applyFont="1" applyFill="1" applyBorder="1" applyAlignment="1">
      <alignment vertical="center"/>
    </xf>
    <xf numFmtId="44" fontId="46" fillId="14" borderId="7" xfId="8" applyFont="1" applyFill="1" applyBorder="1" applyAlignment="1">
      <alignment vertical="center"/>
    </xf>
    <xf numFmtId="44" fontId="46" fillId="14" borderId="71" xfId="8" applyFont="1" applyFill="1" applyBorder="1" applyAlignment="1">
      <alignment vertical="center"/>
    </xf>
    <xf numFmtId="0" fontId="50" fillId="0" borderId="98" xfId="0" applyFont="1" applyBorder="1" applyAlignment="1">
      <alignment horizontal="left" vertical="center" wrapText="1"/>
    </xf>
    <xf numFmtId="0" fontId="50" fillId="0" borderId="99" xfId="0" applyFont="1" applyBorder="1" applyAlignment="1">
      <alignment horizontal="left" vertical="center" wrapText="1"/>
    </xf>
    <xf numFmtId="170" fontId="22" fillId="10" borderId="15" xfId="8" applyNumberFormat="1" applyFont="1" applyFill="1" applyBorder="1" applyAlignment="1">
      <alignment horizontal="right"/>
    </xf>
    <xf numFmtId="170" fontId="22" fillId="10" borderId="102" xfId="8" applyNumberFormat="1" applyFont="1" applyFill="1" applyBorder="1" applyAlignment="1">
      <alignment horizontal="right"/>
    </xf>
    <xf numFmtId="44" fontId="22" fillId="10" borderId="15" xfId="8" applyFont="1" applyFill="1" applyBorder="1" applyAlignment="1">
      <alignment horizontal="right"/>
    </xf>
    <xf numFmtId="44" fontId="46" fillId="15" borderId="15" xfId="8" applyFont="1" applyFill="1" applyBorder="1" applyAlignment="1">
      <alignment vertical="center"/>
    </xf>
    <xf numFmtId="9" fontId="46" fillId="14" borderId="15" xfId="1" applyFont="1" applyFill="1" applyBorder="1" applyAlignment="1">
      <alignment vertical="center"/>
    </xf>
    <xf numFmtId="44" fontId="46" fillId="14" borderId="15" xfId="8" applyFont="1" applyFill="1" applyBorder="1" applyAlignment="1">
      <alignment vertical="center"/>
    </xf>
    <xf numFmtId="44" fontId="46" fillId="14" borderId="102" xfId="8" applyFont="1" applyFill="1" applyBorder="1" applyAlignment="1">
      <alignment vertical="center"/>
    </xf>
    <xf numFmtId="44" fontId="22" fillId="12" borderId="0" xfId="8" applyFont="1" applyFill="1" applyBorder="1" applyAlignment="1">
      <alignment horizontal="center" vertical="center"/>
    </xf>
    <xf numFmtId="49" fontId="50" fillId="0" borderId="62" xfId="0" applyNumberFormat="1" applyFont="1" applyBorder="1" applyAlignment="1">
      <alignment horizontal="left" vertical="center" wrapText="1"/>
    </xf>
    <xf numFmtId="44" fontId="22" fillId="16" borderId="37" xfId="8" applyFont="1" applyFill="1" applyBorder="1" applyAlignment="1">
      <alignment horizontal="center"/>
    </xf>
    <xf numFmtId="44" fontId="22" fillId="16" borderId="97" xfId="8" applyFont="1" applyFill="1" applyBorder="1" applyAlignment="1">
      <alignment horizontal="center"/>
    </xf>
    <xf numFmtId="164" fontId="4" fillId="0" borderId="19" xfId="2" applyNumberFormat="1" applyFont="1" applyBorder="1" applyAlignment="1" applyProtection="1">
      <alignment horizontal="left" vertical="center"/>
      <protection locked="0"/>
    </xf>
    <xf numFmtId="164" fontId="4" fillId="0" borderId="30" xfId="2" applyNumberFormat="1" applyFont="1" applyBorder="1" applyAlignment="1" applyProtection="1">
      <alignment horizontal="left" vertical="center"/>
      <protection locked="0"/>
    </xf>
    <xf numFmtId="164" fontId="4" fillId="0" borderId="59" xfId="2" applyNumberFormat="1" applyFont="1" applyBorder="1" applyAlignment="1" applyProtection="1">
      <alignment horizontal="left" vertical="center"/>
      <protection locked="0"/>
    </xf>
    <xf numFmtId="0" fontId="50" fillId="0" borderId="103" xfId="0" applyFont="1" applyBorder="1" applyAlignment="1">
      <alignment horizontal="left" vertical="center" wrapText="1"/>
    </xf>
    <xf numFmtId="0" fontId="46" fillId="0" borderId="104" xfId="0" applyFont="1" applyBorder="1" applyAlignment="1">
      <alignment horizontal="left" vertical="center" wrapText="1"/>
    </xf>
    <xf numFmtId="0" fontId="50" fillId="0" borderId="33" xfId="0" applyFont="1" applyBorder="1" applyAlignment="1">
      <alignment horizontal="left" vertical="center" wrapText="1"/>
    </xf>
    <xf numFmtId="49" fontId="46" fillId="0" borderId="45" xfId="0" applyNumberFormat="1" applyFont="1" applyBorder="1" applyAlignment="1">
      <alignment horizontal="left" vertical="center" wrapText="1"/>
    </xf>
    <xf numFmtId="0" fontId="46" fillId="0" borderId="96" xfId="0" applyFont="1" applyBorder="1" applyAlignment="1">
      <alignment horizontal="left" vertical="center" wrapText="1"/>
    </xf>
    <xf numFmtId="0" fontId="46" fillId="0" borderId="89" xfId="0" applyFont="1" applyBorder="1" applyAlignment="1">
      <alignment horizontal="left" vertical="center" wrapText="1"/>
    </xf>
    <xf numFmtId="0" fontId="46" fillId="0" borderId="94" xfId="0" applyFont="1" applyBorder="1" applyAlignment="1">
      <alignment horizontal="left" vertical="center" wrapText="1"/>
    </xf>
    <xf numFmtId="0" fontId="59" fillId="19" borderId="105" xfId="0" applyFont="1" applyFill="1" applyBorder="1" applyAlignment="1">
      <alignment horizontal="left" vertical="center" wrapText="1"/>
    </xf>
    <xf numFmtId="0" fontId="59" fillId="19" borderId="92" xfId="0" applyFont="1" applyFill="1" applyBorder="1" applyAlignment="1">
      <alignment horizontal="left" vertical="center" wrapText="1"/>
    </xf>
    <xf numFmtId="0" fontId="59" fillId="0" borderId="90" xfId="0" applyFont="1" applyBorder="1" applyAlignment="1">
      <alignment horizontal="center" vertical="center"/>
    </xf>
    <xf numFmtId="8" fontId="60" fillId="0" borderId="91" xfId="0" applyNumberFormat="1" applyFont="1" applyBorder="1" applyAlignment="1">
      <alignment vertical="center"/>
    </xf>
    <xf numFmtId="44" fontId="50" fillId="0" borderId="10" xfId="8" applyFont="1" applyBorder="1" applyAlignment="1">
      <alignment vertical="center"/>
    </xf>
    <xf numFmtId="0" fontId="50" fillId="0" borderId="94" xfId="0" applyFont="1" applyBorder="1" applyAlignment="1">
      <alignment horizontal="left" vertical="center" wrapText="1"/>
    </xf>
    <xf numFmtId="0" fontId="46" fillId="0" borderId="95" xfId="0" applyFont="1" applyBorder="1" applyAlignment="1">
      <alignment horizontal="left" vertical="center" wrapText="1"/>
    </xf>
    <xf numFmtId="0" fontId="50" fillId="0" borderId="93" xfId="0" applyFont="1" applyBorder="1" applyAlignment="1">
      <alignment horizontal="left" vertical="center" wrapText="1"/>
    </xf>
    <xf numFmtId="0" fontId="50" fillId="0" borderId="59" xfId="0" applyFont="1" applyBorder="1" applyAlignment="1">
      <alignment horizontal="center" vertical="center"/>
    </xf>
    <xf numFmtId="44" fontId="50" fillId="0" borderId="59" xfId="8" applyFont="1" applyBorder="1" applyAlignment="1">
      <alignment vertical="center"/>
    </xf>
    <xf numFmtId="44" fontId="50" fillId="0" borderId="86" xfId="8" applyFont="1" applyBorder="1" applyAlignment="1">
      <alignment vertical="center"/>
    </xf>
    <xf numFmtId="1" fontId="50" fillId="13" borderId="87" xfId="0" applyNumberFormat="1" applyFont="1" applyFill="1" applyBorder="1" applyAlignment="1">
      <alignment horizontal="center" vertical="center"/>
    </xf>
    <xf numFmtId="1" fontId="50" fillId="13" borderId="88" xfId="0" applyNumberFormat="1" applyFont="1" applyFill="1" applyBorder="1" applyAlignment="1">
      <alignment horizontal="center" vertical="center"/>
    </xf>
    <xf numFmtId="44" fontId="50" fillId="13" borderId="88" xfId="8" applyFont="1" applyFill="1" applyBorder="1" applyAlignment="1">
      <alignment vertical="center"/>
    </xf>
    <xf numFmtId="44" fontId="50" fillId="15" borderId="88" xfId="8" applyFont="1" applyFill="1" applyBorder="1" applyAlignment="1">
      <alignment vertical="center"/>
    </xf>
    <xf numFmtId="9" fontId="50" fillId="14" borderId="88" xfId="1" applyFont="1" applyFill="1" applyBorder="1" applyAlignment="1">
      <alignment vertical="center"/>
    </xf>
    <xf numFmtId="44" fontId="50" fillId="14" borderId="88" xfId="8" applyFont="1" applyFill="1" applyBorder="1" applyAlignment="1">
      <alignment vertical="center"/>
    </xf>
    <xf numFmtId="44" fontId="50" fillId="14" borderId="86" xfId="8" applyFont="1" applyFill="1" applyBorder="1" applyAlignment="1">
      <alignment vertical="center"/>
    </xf>
    <xf numFmtId="0" fontId="36" fillId="0" borderId="45" xfId="0" applyFont="1" applyBorder="1" applyAlignment="1">
      <alignment horizontal="left" vertical="center" wrapText="1"/>
    </xf>
    <xf numFmtId="0" fontId="32" fillId="12" borderId="73" xfId="0" applyFont="1" applyFill="1" applyBorder="1" applyAlignment="1">
      <alignment horizontal="center" vertical="center"/>
    </xf>
    <xf numFmtId="0" fontId="32" fillId="0" borderId="51" xfId="0" applyFont="1" applyBorder="1" applyAlignment="1">
      <alignment horizontal="left" vertical="center" wrapText="1"/>
    </xf>
    <xf numFmtId="0" fontId="36" fillId="0" borderId="65" xfId="0" applyFont="1" applyBorder="1" applyAlignment="1">
      <alignment horizontal="left" vertical="center" wrapText="1"/>
    </xf>
    <xf numFmtId="0" fontId="61" fillId="0" borderId="65" xfId="0" applyFont="1" applyBorder="1" applyAlignment="1">
      <alignment vertical="center" wrapText="1"/>
    </xf>
    <xf numFmtId="44" fontId="42" fillId="13" borderId="7" xfId="8" applyFont="1" applyFill="1" applyBorder="1" applyAlignment="1">
      <alignment vertical="center"/>
    </xf>
    <xf numFmtId="44" fontId="32" fillId="14" borderId="0" xfId="8" applyFont="1" applyFill="1" applyBorder="1"/>
    <xf numFmtId="44" fontId="39" fillId="16" borderId="11" xfId="8" applyFont="1" applyFill="1" applyBorder="1" applyAlignment="1">
      <alignment horizontal="center"/>
    </xf>
    <xf numFmtId="44" fontId="39" fillId="16" borderId="101" xfId="8" applyFont="1" applyFill="1" applyBorder="1" applyAlignment="1">
      <alignment horizontal="center"/>
    </xf>
    <xf numFmtId="0" fontId="36" fillId="0" borderId="62" xfId="0" applyFont="1" applyBorder="1" applyAlignment="1">
      <alignment horizontal="left" vertical="center" wrapText="1"/>
    </xf>
    <xf numFmtId="0" fontId="39" fillId="16" borderId="37" xfId="0" applyFont="1" applyFill="1" applyBorder="1" applyAlignment="1">
      <alignment horizontal="center"/>
    </xf>
    <xf numFmtId="0" fontId="39" fillId="16" borderId="6" xfId="0" applyFont="1" applyFill="1" applyBorder="1" applyAlignment="1">
      <alignment horizontal="center"/>
    </xf>
    <xf numFmtId="9" fontId="39" fillId="16" borderId="14" xfId="1" applyFont="1" applyFill="1" applyBorder="1"/>
    <xf numFmtId="44" fontId="39" fillId="16" borderId="102" xfId="8" applyFont="1" applyFill="1" applyBorder="1"/>
    <xf numFmtId="44" fontId="29" fillId="0" borderId="0" xfId="0" applyNumberFormat="1" applyFont="1"/>
    <xf numFmtId="0" fontId="20" fillId="0" borderId="0" xfId="0" applyFont="1"/>
    <xf numFmtId="0" fontId="20" fillId="0" borderId="0" xfId="0" applyFont="1" applyAlignment="1">
      <alignment horizontal="center"/>
    </xf>
    <xf numFmtId="16" fontId="20" fillId="20" borderId="11" xfId="0" applyNumberFormat="1" applyFont="1" applyFill="1" applyBorder="1"/>
    <xf numFmtId="16" fontId="20" fillId="20" borderId="12" xfId="0" applyNumberFormat="1" applyFont="1" applyFill="1" applyBorder="1"/>
    <xf numFmtId="16" fontId="20" fillId="21" borderId="14" xfId="0" applyNumberFormat="1" applyFont="1" applyFill="1" applyBorder="1"/>
    <xf numFmtId="16" fontId="20" fillId="21" borderId="15" xfId="0" applyNumberFormat="1" applyFont="1" applyFill="1" applyBorder="1"/>
    <xf numFmtId="0" fontId="20" fillId="22" borderId="17" xfId="0" applyFont="1" applyFill="1" applyBorder="1" applyAlignment="1">
      <alignment horizontal="right"/>
    </xf>
    <xf numFmtId="0" fontId="20" fillId="22" borderId="0" xfId="0" applyFont="1" applyFill="1" applyAlignment="1">
      <alignment horizontal="right"/>
    </xf>
    <xf numFmtId="0" fontId="28" fillId="17" borderId="14" xfId="0" applyFont="1" applyFill="1" applyBorder="1"/>
    <xf numFmtId="0" fontId="28" fillId="17" borderId="15" xfId="0" applyFont="1" applyFill="1" applyBorder="1"/>
    <xf numFmtId="0" fontId="21" fillId="23" borderId="58" xfId="0" applyFont="1" applyFill="1" applyBorder="1" applyAlignment="1">
      <alignment horizontal="center"/>
    </xf>
    <xf numFmtId="164" fontId="4" fillId="0" borderId="58" xfId="2" applyNumberFormat="1" applyFont="1" applyBorder="1" applyAlignment="1" applyProtection="1">
      <alignment horizontal="left" vertical="center"/>
      <protection locked="0"/>
    </xf>
    <xf numFmtId="44" fontId="21" fillId="0" borderId="58" xfId="0" applyNumberFormat="1" applyFont="1" applyBorder="1"/>
    <xf numFmtId="9" fontId="21" fillId="0" borderId="58" xfId="1" applyFont="1" applyBorder="1" applyAlignment="1">
      <alignment horizontal="center"/>
    </xf>
    <xf numFmtId="44" fontId="21" fillId="23" borderId="58" xfId="0" applyNumberFormat="1" applyFont="1" applyFill="1" applyBorder="1" applyAlignment="1">
      <alignment horizontal="center"/>
    </xf>
    <xf numFmtId="0" fontId="21" fillId="0" borderId="49" xfId="0" applyFont="1" applyBorder="1"/>
    <xf numFmtId="170" fontId="21" fillId="0" borderId="106" xfId="0" applyNumberFormat="1" applyFont="1" applyBorder="1" applyAlignment="1">
      <alignment horizontal="center"/>
    </xf>
    <xf numFmtId="44" fontId="21" fillId="0" borderId="106" xfId="0" applyNumberFormat="1" applyFont="1" applyBorder="1"/>
    <xf numFmtId="170" fontId="21" fillId="0" borderId="106" xfId="0" applyNumberFormat="1" applyFont="1" applyBorder="1"/>
    <xf numFmtId="9" fontId="21" fillId="0" borderId="48" xfId="1" applyFont="1" applyBorder="1" applyAlignment="1">
      <alignment horizontal="center"/>
    </xf>
    <xf numFmtId="0" fontId="21" fillId="0" borderId="107" xfId="0" applyFont="1" applyBorder="1"/>
    <xf numFmtId="170" fontId="21" fillId="0" borderId="108" xfId="0" applyNumberFormat="1" applyFont="1" applyBorder="1" applyAlignment="1">
      <alignment horizontal="center"/>
    </xf>
    <xf numFmtId="0" fontId="21" fillId="0" borderId="0" xfId="0" applyFont="1"/>
    <xf numFmtId="170" fontId="21" fillId="23" borderId="59" xfId="0" applyNumberFormat="1" applyFont="1" applyFill="1" applyBorder="1" applyAlignment="1">
      <alignment horizontal="center"/>
    </xf>
    <xf numFmtId="44" fontId="21" fillId="23" borderId="58" xfId="0" applyNumberFormat="1" applyFont="1" applyFill="1" applyBorder="1"/>
    <xf numFmtId="170" fontId="21" fillId="23" borderId="58" xfId="0" applyNumberFormat="1" applyFont="1" applyFill="1" applyBorder="1"/>
    <xf numFmtId="0" fontId="62" fillId="0" borderId="0" xfId="0" applyFont="1"/>
    <xf numFmtId="0" fontId="63" fillId="0" borderId="0" xfId="0" applyFont="1" applyAlignment="1">
      <alignment horizontal="left"/>
    </xf>
    <xf numFmtId="0" fontId="64" fillId="0" borderId="0" xfId="0" applyFont="1" applyAlignment="1">
      <alignment horizontal="left"/>
    </xf>
    <xf numFmtId="0" fontId="65" fillId="0" borderId="0" xfId="0" applyFont="1" applyAlignment="1">
      <alignment horizontal="left"/>
    </xf>
    <xf numFmtId="0" fontId="66" fillId="0" borderId="0" xfId="0" applyFont="1" applyAlignment="1">
      <alignment horizontal="left"/>
    </xf>
    <xf numFmtId="9" fontId="67" fillId="0" borderId="0" xfId="1" applyFont="1"/>
    <xf numFmtId="0" fontId="67" fillId="0" borderId="0" xfId="0" applyFont="1"/>
    <xf numFmtId="164" fontId="4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0" fontId="34" fillId="0" borderId="0" xfId="0" applyFont="1"/>
    <xf numFmtId="0" fontId="51" fillId="0" borderId="0" xfId="0" applyFont="1" applyAlignment="1">
      <alignment horizontal="left"/>
    </xf>
    <xf numFmtId="0" fontId="46" fillId="0" borderId="0" xfId="0" applyFont="1" applyAlignment="1">
      <alignment horizontal="left"/>
    </xf>
    <xf numFmtId="0" fontId="48" fillId="0" borderId="0" xfId="0" applyFont="1"/>
    <xf numFmtId="0" fontId="2" fillId="23" borderId="0" xfId="0" applyFont="1" applyFill="1"/>
    <xf numFmtId="44" fontId="2" fillId="23" borderId="0" xfId="8" applyFont="1" applyFill="1"/>
    <xf numFmtId="44" fontId="0" fillId="0" borderId="0" xfId="8" applyFont="1"/>
    <xf numFmtId="44" fontId="2" fillId="0" borderId="0" xfId="8" applyFont="1"/>
    <xf numFmtId="44" fontId="36" fillId="14" borderId="18" xfId="8" applyFont="1" applyFill="1" applyBorder="1" applyAlignment="1">
      <alignment vertical="center"/>
    </xf>
    <xf numFmtId="10" fontId="36" fillId="15" borderId="0" xfId="0" applyNumberFormat="1" applyFont="1" applyFill="1" applyAlignment="1">
      <alignment horizontal="center" vertical="center"/>
    </xf>
    <xf numFmtId="44" fontId="43" fillId="0" borderId="0" xfId="8" applyFont="1"/>
    <xf numFmtId="44" fontId="52" fillId="6" borderId="52" xfId="8" applyFont="1" applyFill="1" applyBorder="1" applyAlignment="1">
      <alignment horizontal="center" vertical="center" wrapText="1"/>
    </xf>
    <xf numFmtId="44" fontId="22" fillId="9" borderId="17" xfId="8" applyFont="1" applyFill="1" applyBorder="1" applyAlignment="1">
      <alignment horizontal="center"/>
    </xf>
    <xf numFmtId="44" fontId="22" fillId="10" borderId="11" xfId="8" applyFont="1" applyFill="1" applyBorder="1" applyAlignment="1">
      <alignment horizontal="left"/>
    </xf>
    <xf numFmtId="44" fontId="55" fillId="0" borderId="58" xfId="8" applyFont="1" applyBorder="1"/>
    <xf numFmtId="44" fontId="62" fillId="0" borderId="0" xfId="8" applyFont="1"/>
    <xf numFmtId="44" fontId="29" fillId="0" borderId="0" xfId="8" applyFont="1"/>
    <xf numFmtId="44" fontId="38" fillId="6" borderId="52" xfId="8" applyFont="1" applyFill="1" applyBorder="1" applyAlignment="1">
      <alignment horizontal="center" vertical="center" wrapText="1"/>
    </xf>
    <xf numFmtId="44" fontId="39" fillId="9" borderId="17" xfId="8" applyFont="1" applyFill="1" applyBorder="1" applyAlignment="1">
      <alignment horizontal="center"/>
    </xf>
    <xf numFmtId="44" fontId="39" fillId="10" borderId="11" xfId="8" applyFont="1" applyFill="1" applyBorder="1" applyAlignment="1">
      <alignment horizontal="left"/>
    </xf>
    <xf numFmtId="44" fontId="41" fillId="0" borderId="58" xfId="8" applyFont="1" applyBorder="1"/>
    <xf numFmtId="0" fontId="48" fillId="0" borderId="0" xfId="0" applyFont="1" applyAlignment="1">
      <alignment horizontal="left"/>
    </xf>
    <xf numFmtId="9" fontId="48" fillId="0" borderId="0" xfId="1" applyFont="1"/>
    <xf numFmtId="49" fontId="70" fillId="0" borderId="0" xfId="2" applyNumberFormat="1" applyFont="1" applyAlignment="1">
      <alignment horizontal="left" vertical="center" wrapText="1"/>
    </xf>
    <xf numFmtId="0" fontId="70" fillId="0" borderId="0" xfId="2" applyFont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0" fontId="34" fillId="0" borderId="0" xfId="0" applyFont="1" applyAlignment="1">
      <alignment horizontal="center"/>
    </xf>
    <xf numFmtId="164" fontId="30" fillId="0" borderId="20" xfId="2" applyNumberFormat="1" applyFont="1" applyBorder="1" applyAlignment="1" applyProtection="1">
      <alignment horizontal="left" vertical="center"/>
      <protection locked="0"/>
    </xf>
    <xf numFmtId="164" fontId="30" fillId="0" borderId="22" xfId="2" applyNumberFormat="1" applyFont="1" applyBorder="1" applyAlignment="1" applyProtection="1">
      <alignment horizontal="left" vertical="center"/>
      <protection locked="0"/>
    </xf>
    <xf numFmtId="164" fontId="30" fillId="0" borderId="31" xfId="2" applyNumberFormat="1" applyFont="1" applyBorder="1" applyAlignment="1" applyProtection="1">
      <alignment horizontal="left" vertical="center"/>
      <protection locked="0"/>
    </xf>
    <xf numFmtId="164" fontId="30" fillId="0" borderId="32" xfId="2" applyNumberFormat="1" applyFont="1" applyBorder="1" applyAlignment="1" applyProtection="1">
      <alignment horizontal="left" vertical="center"/>
      <protection locked="0"/>
    </xf>
    <xf numFmtId="0" fontId="30" fillId="0" borderId="25" xfId="2" applyFont="1" applyBorder="1" applyAlignment="1" applyProtection="1">
      <alignment horizontal="left" vertical="center"/>
      <protection locked="0"/>
    </xf>
    <xf numFmtId="164" fontId="32" fillId="0" borderId="31" xfId="2" applyNumberFormat="1" applyFont="1" applyBorder="1" applyAlignment="1" applyProtection="1">
      <alignment horizontal="left" vertical="center"/>
      <protection locked="0"/>
    </xf>
    <xf numFmtId="14" fontId="30" fillId="0" borderId="32" xfId="2" applyNumberFormat="1" applyFont="1" applyBorder="1" applyAlignment="1" applyProtection="1">
      <alignment horizontal="left" vertical="center"/>
      <protection locked="0"/>
    </xf>
    <xf numFmtId="164" fontId="30" fillId="0" borderId="88" xfId="2" applyNumberFormat="1" applyFont="1" applyBorder="1" applyAlignment="1" applyProtection="1">
      <alignment horizontal="left" vertical="center"/>
      <protection locked="0"/>
    </xf>
    <xf numFmtId="0" fontId="30" fillId="0" borderId="29" xfId="2" applyFont="1" applyBorder="1" applyAlignment="1" applyProtection="1">
      <alignment horizontal="left" vertical="center"/>
      <protection locked="0"/>
    </xf>
    <xf numFmtId="168" fontId="34" fillId="0" borderId="100" xfId="1" applyNumberFormat="1" applyFont="1" applyBorder="1"/>
    <xf numFmtId="0" fontId="34" fillId="5" borderId="0" xfId="0" applyFont="1" applyFill="1"/>
    <xf numFmtId="49" fontId="34" fillId="5" borderId="0" xfId="0" applyNumberFormat="1" applyFont="1" applyFill="1"/>
    <xf numFmtId="0" fontId="29" fillId="0" borderId="44" xfId="0" applyFont="1" applyBorder="1" applyAlignment="1">
      <alignment horizontal="left" vertical="center"/>
    </xf>
    <xf numFmtId="49" fontId="29" fillId="0" borderId="45" xfId="0" applyNumberFormat="1" applyFont="1" applyBorder="1" applyAlignment="1">
      <alignment horizontal="left" vertical="center"/>
    </xf>
    <xf numFmtId="0" fontId="29" fillId="0" borderId="46" xfId="0" applyFont="1" applyBorder="1" applyAlignment="1">
      <alignment horizontal="left" vertical="center"/>
    </xf>
    <xf numFmtId="0" fontId="29" fillId="0" borderId="44" xfId="0" applyFont="1" applyBorder="1" applyAlignment="1">
      <alignment horizontal="left" vertical="center" wrapText="1"/>
    </xf>
    <xf numFmtId="0" fontId="30" fillId="6" borderId="53" xfId="3" applyFont="1" applyFill="1" applyBorder="1" applyAlignment="1">
      <alignment horizontal="left" vertical="center"/>
    </xf>
    <xf numFmtId="0" fontId="30" fillId="6" borderId="54" xfId="3" applyFont="1" applyFill="1" applyBorder="1" applyAlignment="1">
      <alignment horizontal="center" vertical="center"/>
    </xf>
    <xf numFmtId="10" fontId="33" fillId="6" borderId="57" xfId="5" applyNumberFormat="1" applyFont="1" applyFill="1" applyBorder="1" applyAlignment="1">
      <alignment horizontal="center" vertical="center" wrapText="1"/>
    </xf>
    <xf numFmtId="10" fontId="33" fillId="6" borderId="56" xfId="5" applyNumberFormat="1" applyFont="1" applyFill="1" applyBorder="1" applyAlignment="1">
      <alignment horizontal="center" vertical="center" wrapText="1"/>
    </xf>
    <xf numFmtId="0" fontId="29" fillId="0" borderId="60" xfId="0" applyFont="1" applyBorder="1" applyAlignment="1">
      <alignment horizontal="left" vertical="center" wrapText="1"/>
    </xf>
    <xf numFmtId="0" fontId="29" fillId="0" borderId="0" xfId="0" applyFont="1" applyAlignment="1">
      <alignment horizontal="left" vertical="center" wrapText="1"/>
    </xf>
    <xf numFmtId="0" fontId="29" fillId="0" borderId="46" xfId="0" applyFont="1" applyBorder="1" applyAlignment="1">
      <alignment horizontal="left" vertical="center" wrapText="1"/>
    </xf>
    <xf numFmtId="0" fontId="36" fillId="0" borderId="53" xfId="0" applyFont="1" applyBorder="1" applyAlignment="1">
      <alignment horizontal="left" vertical="center" wrapText="1"/>
    </xf>
    <xf numFmtId="0" fontId="36" fillId="0" borderId="54" xfId="0" applyFont="1" applyBorder="1" applyAlignment="1">
      <alignment horizontal="left" vertical="center" wrapText="1"/>
    </xf>
    <xf numFmtId="0" fontId="36" fillId="0" borderId="54" xfId="0" applyFont="1" applyBorder="1" applyAlignment="1">
      <alignment horizontal="center" vertical="center"/>
    </xf>
    <xf numFmtId="44" fontId="36" fillId="0" borderId="54" xfId="8" applyFont="1" applyBorder="1" applyAlignment="1">
      <alignment vertical="center"/>
    </xf>
    <xf numFmtId="44" fontId="71" fillId="0" borderId="54" xfId="8" applyFont="1" applyBorder="1" applyAlignment="1">
      <alignment vertical="center"/>
    </xf>
    <xf numFmtId="44" fontId="36" fillId="0" borderId="56" xfId="8" applyFont="1" applyBorder="1" applyAlignment="1">
      <alignment vertical="center"/>
    </xf>
    <xf numFmtId="1" fontId="36" fillId="13" borderId="66" xfId="0" applyNumberFormat="1" applyFont="1" applyFill="1" applyBorder="1" applyAlignment="1">
      <alignment horizontal="center" vertical="center"/>
    </xf>
    <xf numFmtId="1" fontId="36" fillId="13" borderId="58" xfId="0" applyNumberFormat="1" applyFont="1" applyFill="1" applyBorder="1" applyAlignment="1">
      <alignment horizontal="center" vertical="center"/>
    </xf>
    <xf numFmtId="44" fontId="72" fillId="13" borderId="58" xfId="8" applyFont="1" applyFill="1" applyBorder="1" applyAlignment="1">
      <alignment vertical="center"/>
    </xf>
    <xf numFmtId="44" fontId="73" fillId="13" borderId="58" xfId="8" applyFont="1" applyFill="1" applyBorder="1" applyAlignment="1">
      <alignment vertical="center"/>
    </xf>
    <xf numFmtId="44" fontId="36" fillId="15" borderId="58" xfId="8" applyFont="1" applyFill="1" applyBorder="1" applyAlignment="1">
      <alignment vertical="center"/>
    </xf>
    <xf numFmtId="9" fontId="36" fillId="14" borderId="58" xfId="1" applyFont="1" applyFill="1" applyBorder="1" applyAlignment="1">
      <alignment vertical="center"/>
    </xf>
    <xf numFmtId="44" fontId="36" fillId="14" borderId="58" xfId="8" applyFont="1" applyFill="1" applyBorder="1" applyAlignment="1">
      <alignment vertical="center"/>
    </xf>
    <xf numFmtId="0" fontId="36" fillId="0" borderId="51" xfId="0" applyFont="1" applyBorder="1" applyAlignment="1">
      <alignment horizontal="left" vertical="center" wrapText="1"/>
    </xf>
    <xf numFmtId="44" fontId="71" fillId="0" borderId="65" xfId="8" applyFont="1" applyBorder="1" applyAlignment="1">
      <alignment vertical="center"/>
    </xf>
    <xf numFmtId="0" fontId="36" fillId="11" borderId="66" xfId="0" applyFont="1" applyFill="1" applyBorder="1" applyAlignment="1">
      <alignment horizontal="left" vertical="center" wrapText="1"/>
    </xf>
    <xf numFmtId="0" fontId="36" fillId="11" borderId="58" xfId="0" applyFont="1" applyFill="1" applyBorder="1" applyAlignment="1">
      <alignment horizontal="left" vertical="center" wrapText="1"/>
    </xf>
    <xf numFmtId="0" fontId="36" fillId="11" borderId="58" xfId="0" applyFont="1" applyFill="1" applyBorder="1" applyAlignment="1">
      <alignment horizontal="center" vertical="center"/>
    </xf>
    <xf numFmtId="44" fontId="36" fillId="11" borderId="58" xfId="8" applyFont="1" applyFill="1" applyBorder="1" applyAlignment="1">
      <alignment vertical="center"/>
    </xf>
    <xf numFmtId="44" fontId="71" fillId="11" borderId="58" xfId="8" applyFont="1" applyFill="1" applyBorder="1" applyAlignment="1">
      <alignment vertical="center"/>
    </xf>
    <xf numFmtId="44" fontId="36" fillId="11" borderId="71" xfId="8" applyFont="1" applyFill="1" applyBorder="1" applyAlignment="1">
      <alignment vertical="center"/>
    </xf>
    <xf numFmtId="0" fontId="36" fillId="0" borderId="66" xfId="0" applyFont="1" applyBorder="1" applyAlignment="1">
      <alignment horizontal="left" vertical="center" wrapText="1"/>
    </xf>
    <xf numFmtId="44" fontId="42" fillId="13" borderId="58" xfId="8" applyFont="1" applyFill="1" applyBorder="1" applyAlignment="1">
      <alignment vertical="center"/>
    </xf>
    <xf numFmtId="10" fontId="36" fillId="15" borderId="93" xfId="0" applyNumberFormat="1" applyFont="1" applyFill="1" applyBorder="1" applyAlignment="1">
      <alignment horizontal="center" vertical="center"/>
    </xf>
    <xf numFmtId="0" fontId="29" fillId="0" borderId="99" xfId="0" applyFont="1" applyBorder="1" applyAlignment="1">
      <alignment horizontal="left" vertical="center" wrapText="1"/>
    </xf>
    <xf numFmtId="0" fontId="29" fillId="0" borderId="98" xfId="0" applyFont="1" applyBorder="1" applyAlignment="1">
      <alignment horizontal="left" vertical="center" wrapText="1"/>
    </xf>
    <xf numFmtId="0" fontId="36" fillId="0" borderId="112" xfId="0" applyFont="1" applyBorder="1" applyAlignment="1">
      <alignment horizontal="left" vertical="center" wrapText="1"/>
    </xf>
    <xf numFmtId="0" fontId="36" fillId="0" borderId="109" xfId="0" applyFont="1" applyBorder="1" applyAlignment="1">
      <alignment horizontal="left" vertical="center" wrapText="1"/>
    </xf>
    <xf numFmtId="0" fontId="36" fillId="0" borderId="109" xfId="0" applyFont="1" applyBorder="1" applyAlignment="1">
      <alignment horizontal="center" vertical="center"/>
    </xf>
    <xf numFmtId="44" fontId="36" fillId="0" borderId="109" xfId="8" applyFont="1" applyBorder="1" applyAlignment="1">
      <alignment vertical="center"/>
    </xf>
    <xf numFmtId="44" fontId="36" fillId="0" borderId="59" xfId="8" applyFont="1" applyBorder="1" applyAlignment="1">
      <alignment vertical="center"/>
    </xf>
    <xf numFmtId="44" fontId="36" fillId="0" borderId="86" xfId="8" applyFont="1" applyBorder="1" applyAlignment="1">
      <alignment vertical="center"/>
    </xf>
    <xf numFmtId="44" fontId="72" fillId="11" borderId="65" xfId="8" applyFont="1" applyFill="1" applyBorder="1" applyAlignment="1">
      <alignment vertical="center"/>
    </xf>
    <xf numFmtId="44" fontId="72" fillId="11" borderId="52" xfId="8" applyFont="1" applyFill="1" applyBorder="1" applyAlignment="1">
      <alignment vertical="center"/>
    </xf>
    <xf numFmtId="44" fontId="32" fillId="14" borderId="58" xfId="8" applyFont="1" applyFill="1" applyBorder="1" applyAlignment="1">
      <alignment vertical="center"/>
    </xf>
    <xf numFmtId="44" fontId="32" fillId="14" borderId="71" xfId="8" applyFont="1" applyFill="1" applyBorder="1" applyAlignment="1">
      <alignment vertical="center"/>
    </xf>
    <xf numFmtId="0" fontId="29" fillId="0" borderId="61" xfId="0" applyFont="1" applyBorder="1" applyAlignment="1">
      <alignment horizontal="left" vertical="center" wrapText="1"/>
    </xf>
    <xf numFmtId="0" fontId="29" fillId="0" borderId="63" xfId="0" applyFont="1" applyBorder="1" applyAlignment="1">
      <alignment horizontal="left" vertical="center" wrapText="1"/>
    </xf>
    <xf numFmtId="44" fontId="71" fillId="0" borderId="58" xfId="8" applyFont="1" applyBorder="1" applyAlignment="1">
      <alignment vertical="center"/>
    </xf>
    <xf numFmtId="44" fontId="72" fillId="11" borderId="71" xfId="8" applyFont="1" applyFill="1" applyBorder="1" applyAlignment="1">
      <alignment vertical="center"/>
    </xf>
    <xf numFmtId="44" fontId="36" fillId="13" borderId="58" xfId="8" applyFont="1" applyFill="1" applyBorder="1" applyAlignment="1">
      <alignment vertical="center"/>
    </xf>
    <xf numFmtId="0" fontId="36" fillId="11" borderId="72" xfId="0" applyFont="1" applyFill="1" applyBorder="1" applyAlignment="1">
      <alignment horizontal="left" vertical="center" wrapText="1"/>
    </xf>
    <xf numFmtId="0" fontId="72" fillId="11" borderId="59" xfId="0" applyFont="1" applyFill="1" applyBorder="1" applyAlignment="1">
      <alignment horizontal="left" vertical="center" wrapText="1"/>
    </xf>
    <xf numFmtId="0" fontId="36" fillId="11" borderId="59" xfId="0" applyFont="1" applyFill="1" applyBorder="1" applyAlignment="1">
      <alignment horizontal="center" vertical="center"/>
    </xf>
    <xf numFmtId="44" fontId="36" fillId="11" borderId="59" xfId="8" applyFont="1" applyFill="1" applyBorder="1" applyAlignment="1">
      <alignment vertical="center"/>
    </xf>
    <xf numFmtId="44" fontId="71" fillId="11" borderId="59" xfId="8" applyFont="1" applyFill="1" applyBorder="1" applyAlignment="1">
      <alignment vertical="center"/>
    </xf>
    <xf numFmtId="44" fontId="72" fillId="11" borderId="86" xfId="8" applyFont="1" applyFill="1" applyBorder="1" applyAlignment="1">
      <alignment vertical="center"/>
    </xf>
    <xf numFmtId="44" fontId="74" fillId="13" borderId="58" xfId="8" applyFont="1" applyFill="1" applyBorder="1" applyAlignment="1">
      <alignment vertical="center"/>
    </xf>
    <xf numFmtId="0" fontId="32" fillId="11" borderId="59" xfId="0" applyFont="1" applyFill="1" applyBorder="1" applyAlignment="1">
      <alignment horizontal="left" vertical="center" wrapText="1"/>
    </xf>
    <xf numFmtId="0" fontId="36" fillId="0" borderId="59" xfId="0" applyFont="1" applyBorder="1" applyAlignment="1">
      <alignment horizontal="center" vertical="center"/>
    </xf>
    <xf numFmtId="44" fontId="71" fillId="0" borderId="59" xfId="8" applyFont="1" applyBorder="1" applyAlignment="1">
      <alignment vertical="center"/>
    </xf>
    <xf numFmtId="44" fontId="71" fillId="0" borderId="109" xfId="8" applyFont="1" applyBorder="1" applyAlignment="1">
      <alignment vertical="center"/>
    </xf>
    <xf numFmtId="44" fontId="72" fillId="11" borderId="59" xfId="8" applyFont="1" applyFill="1" applyBorder="1" applyAlignment="1">
      <alignment vertical="center"/>
    </xf>
    <xf numFmtId="44" fontId="72" fillId="11" borderId="113" xfId="8" applyFont="1" applyFill="1" applyBorder="1" applyAlignment="1">
      <alignment vertical="center"/>
    </xf>
    <xf numFmtId="0" fontId="32" fillId="11" borderId="58" xfId="0" applyFont="1" applyFill="1" applyBorder="1" applyAlignment="1">
      <alignment horizontal="left" vertical="center" wrapText="1"/>
    </xf>
    <xf numFmtId="0" fontId="36" fillId="0" borderId="59" xfId="0" applyFont="1" applyBorder="1" applyAlignment="1">
      <alignment horizontal="left" vertical="center" wrapText="1"/>
    </xf>
    <xf numFmtId="44" fontId="36" fillId="0" borderId="113" xfId="8" applyFont="1" applyBorder="1" applyAlignment="1">
      <alignment vertical="center"/>
    </xf>
    <xf numFmtId="44" fontId="36" fillId="11" borderId="65" xfId="8" applyFont="1" applyFill="1" applyBorder="1" applyAlignment="1">
      <alignment vertical="center"/>
    </xf>
    <xf numFmtId="44" fontId="36" fillId="11" borderId="52" xfId="8" applyFont="1" applyFill="1" applyBorder="1" applyAlignment="1">
      <alignment vertical="center"/>
    </xf>
    <xf numFmtId="44" fontId="72" fillId="11" borderId="58" xfId="8" applyFont="1" applyFill="1" applyBorder="1" applyAlignment="1">
      <alignment vertical="center"/>
    </xf>
    <xf numFmtId="44" fontId="39" fillId="10" borderId="65" xfId="0" applyNumberFormat="1" applyFont="1" applyFill="1" applyBorder="1" applyAlignment="1">
      <alignment horizontal="right"/>
    </xf>
    <xf numFmtId="44" fontId="32" fillId="15" borderId="65" xfId="0" applyNumberFormat="1" applyFont="1" applyFill="1" applyBorder="1"/>
    <xf numFmtId="0" fontId="29" fillId="14" borderId="65" xfId="0" applyFont="1" applyFill="1" applyBorder="1"/>
    <xf numFmtId="44" fontId="32" fillId="14" borderId="65" xfId="0" applyNumberFormat="1" applyFont="1" applyFill="1" applyBorder="1"/>
    <xf numFmtId="44" fontId="32" fillId="14" borderId="52" xfId="8" applyFont="1" applyFill="1" applyBorder="1"/>
    <xf numFmtId="10" fontId="39" fillId="15" borderId="58" xfId="8" applyNumberFormat="1" applyFont="1" applyFill="1" applyBorder="1" applyAlignment="1">
      <alignment horizontal="center" vertical="center"/>
    </xf>
    <xf numFmtId="170" fontId="32" fillId="12" borderId="55" xfId="0" applyNumberFormat="1" applyFont="1" applyFill="1" applyBorder="1" applyAlignment="1">
      <alignment horizontal="center" vertical="center"/>
    </xf>
    <xf numFmtId="170" fontId="32" fillId="12" borderId="54" xfId="0" applyNumberFormat="1" applyFont="1" applyFill="1" applyBorder="1" applyAlignment="1">
      <alignment horizontal="center" vertical="center"/>
    </xf>
    <xf numFmtId="170" fontId="39" fillId="12" borderId="101" xfId="0" applyNumberFormat="1" applyFont="1" applyFill="1" applyBorder="1" applyAlignment="1">
      <alignment horizontal="center" vertical="center"/>
    </xf>
    <xf numFmtId="44" fontId="39" fillId="12" borderId="10" xfId="8" applyFont="1" applyFill="1" applyBorder="1" applyAlignment="1">
      <alignment horizontal="center" vertical="center"/>
    </xf>
    <xf numFmtId="10" fontId="39" fillId="12" borderId="58" xfId="8" applyNumberFormat="1" applyFont="1" applyFill="1" applyBorder="1" applyAlignment="1">
      <alignment horizontal="center" vertical="center"/>
    </xf>
    <xf numFmtId="0" fontId="36" fillId="0" borderId="60" xfId="0" applyFont="1" applyBorder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44" fontId="72" fillId="0" borderId="71" xfId="8" applyFont="1" applyBorder="1" applyAlignment="1">
      <alignment vertical="center"/>
    </xf>
    <xf numFmtId="44" fontId="74" fillId="13" borderId="7" xfId="8" applyFont="1" applyFill="1" applyBorder="1" applyAlignment="1">
      <alignment vertical="center"/>
    </xf>
    <xf numFmtId="0" fontId="32" fillId="11" borderId="66" xfId="0" applyFont="1" applyFill="1" applyBorder="1" applyAlignment="1">
      <alignment horizontal="left" vertical="center" wrapText="1"/>
    </xf>
    <xf numFmtId="44" fontId="72" fillId="0" borderId="52" xfId="8" applyFont="1" applyBorder="1" applyAlignment="1">
      <alignment vertical="center"/>
    </xf>
    <xf numFmtId="44" fontId="39" fillId="15" borderId="0" xfId="0" applyNumberFormat="1" applyFont="1" applyFill="1" applyAlignment="1">
      <alignment horizontal="left"/>
    </xf>
    <xf numFmtId="0" fontId="39" fillId="14" borderId="0" xfId="0" applyFont="1" applyFill="1" applyAlignment="1">
      <alignment horizontal="left"/>
    </xf>
    <xf numFmtId="44" fontId="39" fillId="14" borderId="0" xfId="0" applyNumberFormat="1" applyFont="1" applyFill="1" applyAlignment="1">
      <alignment horizontal="left"/>
    </xf>
    <xf numFmtId="44" fontId="39" fillId="14" borderId="0" xfId="8" applyFont="1" applyFill="1" applyBorder="1" applyAlignment="1">
      <alignment horizontal="left"/>
    </xf>
    <xf numFmtId="44" fontId="39" fillId="16" borderId="56" xfId="8" applyFont="1" applyFill="1" applyBorder="1" applyAlignment="1">
      <alignment horizontal="center"/>
    </xf>
    <xf numFmtId="0" fontId="39" fillId="16" borderId="6" xfId="0" applyFont="1" applyFill="1" applyBorder="1" applyAlignment="1">
      <alignment horizontal="center" vertical="center"/>
    </xf>
    <xf numFmtId="0" fontId="39" fillId="16" borderId="37" xfId="0" applyFont="1" applyFill="1" applyBorder="1" applyAlignment="1">
      <alignment horizontal="center" vertical="center"/>
    </xf>
    <xf numFmtId="0" fontId="78" fillId="0" borderId="0" xfId="0" applyFont="1"/>
    <xf numFmtId="49" fontId="79" fillId="0" borderId="0" xfId="2" applyNumberFormat="1" applyFont="1" applyAlignment="1">
      <alignment horizontal="left" vertical="center" wrapText="1"/>
    </xf>
    <xf numFmtId="0" fontId="79" fillId="0" borderId="0" xfId="2" applyFont="1" applyAlignment="1">
      <alignment horizontal="left" vertical="center" wrapText="1"/>
    </xf>
    <xf numFmtId="0" fontId="78" fillId="0" borderId="0" xfId="0" applyFont="1" applyAlignment="1">
      <alignment horizontal="center"/>
    </xf>
    <xf numFmtId="0" fontId="80" fillId="0" borderId="0" xfId="0" applyFont="1" applyAlignment="1">
      <alignment horizontal="center"/>
    </xf>
    <xf numFmtId="164" fontId="6" fillId="0" borderId="20" xfId="2" applyNumberFormat="1" applyFont="1" applyBorder="1" applyAlignment="1" applyProtection="1">
      <alignment horizontal="left" vertical="center"/>
      <protection locked="0"/>
    </xf>
    <xf numFmtId="164" fontId="6" fillId="0" borderId="22" xfId="2" applyNumberFormat="1" applyFont="1" applyBorder="1" applyAlignment="1" applyProtection="1">
      <alignment horizontal="left" vertical="center"/>
      <protection locked="0"/>
    </xf>
    <xf numFmtId="164" fontId="6" fillId="0" borderId="31" xfId="2" applyNumberFormat="1" applyFont="1" applyBorder="1" applyAlignment="1" applyProtection="1">
      <alignment horizontal="left" vertical="center"/>
      <protection locked="0"/>
    </xf>
    <xf numFmtId="164" fontId="6" fillId="0" borderId="32" xfId="2" applyNumberFormat="1" applyFont="1" applyBorder="1" applyAlignment="1" applyProtection="1">
      <alignment horizontal="left" vertical="center"/>
      <protection locked="0"/>
    </xf>
    <xf numFmtId="0" fontId="7" fillId="0" borderId="25" xfId="2" applyFont="1" applyBorder="1" applyAlignment="1" applyProtection="1">
      <alignment horizontal="left" vertical="center"/>
      <protection locked="0"/>
    </xf>
    <xf numFmtId="0" fontId="6" fillId="0" borderId="25" xfId="2" applyFont="1" applyBorder="1" applyAlignment="1" applyProtection="1">
      <alignment horizontal="left" vertical="center"/>
      <protection locked="0"/>
    </xf>
    <xf numFmtId="164" fontId="81" fillId="0" borderId="31" xfId="2" applyNumberFormat="1" applyFont="1" applyBorder="1" applyAlignment="1" applyProtection="1">
      <alignment horizontal="left" vertical="center"/>
      <protection locked="0"/>
    </xf>
    <xf numFmtId="14" fontId="7" fillId="0" borderId="32" xfId="2" applyNumberFormat="1" applyFont="1" applyBorder="1" applyAlignment="1" applyProtection="1">
      <alignment horizontal="left" vertical="center"/>
      <protection locked="0"/>
    </xf>
    <xf numFmtId="164" fontId="6" fillId="0" borderId="88" xfId="2" applyNumberFormat="1" applyFont="1" applyBorder="1" applyAlignment="1" applyProtection="1">
      <alignment horizontal="left" vertical="center"/>
      <protection locked="0"/>
    </xf>
    <xf numFmtId="0" fontId="6" fillId="0" borderId="29" xfId="2" applyFont="1" applyBorder="1" applyAlignment="1" applyProtection="1">
      <alignment horizontal="left" vertical="center"/>
      <protection locked="0"/>
    </xf>
    <xf numFmtId="0" fontId="2" fillId="24" borderId="0" xfId="0" applyFont="1" applyFill="1" applyAlignment="1">
      <alignment horizontal="left"/>
    </xf>
    <xf numFmtId="0" fontId="0" fillId="24" borderId="0" xfId="0" applyFill="1" applyAlignment="1">
      <alignment horizontal="center"/>
    </xf>
    <xf numFmtId="0" fontId="0" fillId="24" borderId="0" xfId="0" applyFill="1"/>
    <xf numFmtId="49" fontId="78" fillId="0" borderId="0" xfId="0" applyNumberFormat="1" applyFont="1"/>
    <xf numFmtId="0" fontId="0" fillId="0" borderId="0" xfId="1" applyNumberFormat="1" applyFont="1"/>
    <xf numFmtId="165" fontId="82" fillId="6" borderId="38" xfId="4" applyFont="1" applyFill="1" applyBorder="1" applyAlignment="1">
      <alignment horizontal="center" vertical="center" wrapText="1"/>
    </xf>
    <xf numFmtId="168" fontId="2" fillId="0" borderId="100" xfId="1" applyNumberFormat="1" applyFont="1" applyBorder="1"/>
    <xf numFmtId="166" fontId="82" fillId="4" borderId="37" xfId="4" applyNumberFormat="1" applyFont="1" applyFill="1" applyBorder="1" applyAlignment="1">
      <alignment vertical="center" wrapText="1"/>
    </xf>
    <xf numFmtId="166" fontId="82" fillId="0" borderId="39" xfId="4" applyNumberFormat="1" applyFont="1" applyBorder="1" applyAlignment="1">
      <alignment horizontal="center" vertical="center" wrapText="1"/>
    </xf>
    <xf numFmtId="0" fontId="83" fillId="5" borderId="0" xfId="0" applyFont="1" applyFill="1"/>
    <xf numFmtId="49" fontId="83" fillId="5" borderId="0" xfId="0" applyNumberFormat="1" applyFont="1" applyFill="1"/>
    <xf numFmtId="0" fontId="0" fillId="0" borderId="114" xfId="0" applyBorder="1"/>
    <xf numFmtId="0" fontId="0" fillId="0" borderId="115" xfId="0" applyBorder="1"/>
    <xf numFmtId="0" fontId="0" fillId="0" borderId="115" xfId="0" applyBorder="1" applyAlignment="1">
      <alignment horizontal="center"/>
    </xf>
    <xf numFmtId="0" fontId="25" fillId="0" borderId="115" xfId="0" applyFont="1" applyBorder="1"/>
    <xf numFmtId="0" fontId="0" fillId="0" borderId="116" xfId="0" applyBorder="1"/>
    <xf numFmtId="0" fontId="84" fillId="0" borderId="44" xfId="0" applyFont="1" applyBorder="1" applyAlignment="1">
      <alignment horizontal="left" vertical="center"/>
    </xf>
    <xf numFmtId="49" fontId="84" fillId="0" borderId="45" xfId="0" applyNumberFormat="1" applyFont="1" applyBorder="1" applyAlignment="1">
      <alignment horizontal="left" vertical="center"/>
    </xf>
    <xf numFmtId="0" fontId="84" fillId="0" borderId="46" xfId="0" applyFont="1" applyBorder="1" applyAlignment="1">
      <alignment horizontal="left" vertical="center"/>
    </xf>
    <xf numFmtId="0" fontId="84" fillId="0" borderId="44" xfId="0" applyFont="1" applyBorder="1" applyAlignment="1">
      <alignment horizontal="left" vertical="center" wrapText="1"/>
    </xf>
    <xf numFmtId="0" fontId="4" fillId="6" borderId="117" xfId="3" applyFont="1" applyFill="1" applyBorder="1" applyAlignment="1">
      <alignment horizontal="left" vertical="center"/>
    </xf>
    <xf numFmtId="0" fontId="4" fillId="6" borderId="54" xfId="3" applyFont="1" applyFill="1" applyBorder="1" applyAlignment="1">
      <alignment horizontal="center" vertical="center"/>
    </xf>
    <xf numFmtId="0" fontId="21" fillId="6" borderId="54" xfId="3" applyFont="1" applyFill="1" applyBorder="1" applyAlignment="1">
      <alignment horizontal="center" vertical="center"/>
    </xf>
    <xf numFmtId="169" fontId="21" fillId="6" borderId="54" xfId="3" applyNumberFormat="1" applyFont="1" applyFill="1" applyBorder="1" applyAlignment="1">
      <alignment horizontal="center" vertical="center" wrapText="1"/>
    </xf>
    <xf numFmtId="0" fontId="21" fillId="6" borderId="106" xfId="3" applyFont="1" applyFill="1" applyBorder="1" applyAlignment="1">
      <alignment horizontal="center" vertical="center" wrapText="1"/>
    </xf>
    <xf numFmtId="171" fontId="21" fillId="6" borderId="57" xfId="1" applyNumberFormat="1" applyFont="1" applyFill="1" applyBorder="1" applyAlignment="1">
      <alignment horizontal="center" vertical="center" wrapText="1"/>
    </xf>
    <xf numFmtId="10" fontId="21" fillId="6" borderId="54" xfId="1" applyNumberFormat="1" applyFont="1" applyFill="1" applyBorder="1" applyAlignment="1">
      <alignment horizontal="center" vertical="center" wrapText="1"/>
    </xf>
    <xf numFmtId="0" fontId="21" fillId="6" borderId="118" xfId="3" applyFont="1" applyFill="1" applyBorder="1" applyAlignment="1">
      <alignment horizontal="center" vertical="center" wrapText="1"/>
    </xf>
    <xf numFmtId="37" fontId="82" fillId="6" borderId="53" xfId="3" applyNumberFormat="1" applyFont="1" applyFill="1" applyBorder="1" applyAlignment="1">
      <alignment horizontal="center" vertical="center"/>
    </xf>
    <xf numFmtId="37" fontId="82" fillId="6" borderId="54" xfId="3" applyNumberFormat="1" applyFont="1" applyFill="1" applyBorder="1" applyAlignment="1">
      <alignment horizontal="center" vertical="center"/>
    </xf>
    <xf numFmtId="40" fontId="82" fillId="6" borderId="54" xfId="4" applyNumberFormat="1" applyFont="1" applyFill="1" applyBorder="1" applyAlignment="1">
      <alignment horizontal="center" vertical="center"/>
    </xf>
    <xf numFmtId="165" fontId="82" fillId="6" borderId="54" xfId="4" applyFont="1" applyFill="1" applyBorder="1" applyAlignment="1">
      <alignment horizontal="right" vertical="center"/>
    </xf>
    <xf numFmtId="40" fontId="82" fillId="6" borderId="54" xfId="4" applyNumberFormat="1" applyFont="1" applyFill="1" applyBorder="1" applyAlignment="1">
      <alignment horizontal="center" vertical="center" wrapText="1"/>
    </xf>
    <xf numFmtId="10" fontId="82" fillId="6" borderId="54" xfId="5" applyNumberFormat="1" applyFont="1" applyFill="1" applyBorder="1" applyAlignment="1">
      <alignment horizontal="center" vertical="center" wrapText="1"/>
    </xf>
    <xf numFmtId="165" fontId="82" fillId="6" borderId="54" xfId="4" applyFont="1" applyFill="1" applyBorder="1" applyAlignment="1">
      <alignment horizontal="center" vertical="center" wrapText="1"/>
    </xf>
    <xf numFmtId="165" fontId="82" fillId="6" borderId="56" xfId="4" applyFont="1" applyFill="1" applyBorder="1" applyAlignment="1">
      <alignment horizontal="center" vertical="center" wrapText="1"/>
    </xf>
    <xf numFmtId="10" fontId="82" fillId="6" borderId="82" xfId="5" applyNumberFormat="1" applyFont="1" applyFill="1" applyBorder="1" applyAlignment="1">
      <alignment horizontal="center" vertical="center" wrapText="1"/>
    </xf>
    <xf numFmtId="10" fontId="82" fillId="6" borderId="111" xfId="5" applyNumberFormat="1" applyFont="1" applyFill="1" applyBorder="1" applyAlignment="1">
      <alignment horizontal="center" vertical="center" wrapText="1"/>
    </xf>
    <xf numFmtId="165" fontId="82" fillId="6" borderId="49" xfId="4" applyFont="1" applyFill="1" applyBorder="1" applyAlignment="1">
      <alignment horizontal="center" vertical="center" wrapText="1"/>
    </xf>
    <xf numFmtId="165" fontId="82" fillId="6" borderId="48" xfId="4" applyFont="1" applyFill="1" applyBorder="1" applyAlignment="1">
      <alignment horizontal="center" vertical="center" wrapText="1"/>
    </xf>
    <xf numFmtId="37" fontId="82" fillId="6" borderId="3" xfId="3" applyNumberFormat="1" applyFont="1" applyFill="1" applyBorder="1" applyAlignment="1">
      <alignment horizontal="center" vertical="center"/>
    </xf>
    <xf numFmtId="40" fontId="82" fillId="6" borderId="50" xfId="4" applyNumberFormat="1" applyFont="1" applyFill="1" applyBorder="1" applyAlignment="1">
      <alignment horizontal="center" vertical="center"/>
    </xf>
    <xf numFmtId="166" fontId="85" fillId="6" borderId="51" xfId="4" applyNumberFormat="1" applyFont="1" applyFill="1" applyBorder="1" applyAlignment="1">
      <alignment horizontal="center" vertical="center" wrapText="1"/>
    </xf>
    <xf numFmtId="166" fontId="86" fillId="6" borderId="52" xfId="4" applyNumberFormat="1" applyFont="1" applyFill="1" applyBorder="1" applyAlignment="1">
      <alignment horizontal="center" vertical="center" wrapText="1"/>
    </xf>
    <xf numFmtId="0" fontId="84" fillId="0" borderId="61" xfId="0" applyFont="1" applyBorder="1" applyAlignment="1">
      <alignment horizontal="left" vertical="center" wrapText="1"/>
    </xf>
    <xf numFmtId="49" fontId="20" fillId="0" borderId="45" xfId="0" applyNumberFormat="1" applyFont="1" applyBorder="1" applyAlignment="1">
      <alignment horizontal="left" vertical="center" wrapText="1"/>
    </xf>
    <xf numFmtId="0" fontId="84" fillId="0" borderId="63" xfId="0" applyFont="1" applyBorder="1" applyAlignment="1">
      <alignment horizontal="left" vertical="center" wrapText="1"/>
    </xf>
    <xf numFmtId="10" fontId="82" fillId="6" borderId="121" xfId="5" applyNumberFormat="1" applyFont="1" applyFill="1" applyBorder="1" applyAlignment="1">
      <alignment horizontal="center" vertical="center" wrapText="1"/>
    </xf>
    <xf numFmtId="10" fontId="82" fillId="6" borderId="122" xfId="5" applyNumberFormat="1" applyFont="1" applyFill="1" applyBorder="1" applyAlignment="1">
      <alignment horizontal="center" vertical="center" wrapText="1"/>
    </xf>
    <xf numFmtId="165" fontId="82" fillId="6" borderId="0" xfId="4" applyFont="1" applyFill="1" applyBorder="1" applyAlignment="1">
      <alignment horizontal="center" vertical="center" wrapText="1"/>
    </xf>
    <xf numFmtId="37" fontId="82" fillId="6" borderId="0" xfId="3" applyNumberFormat="1" applyFont="1" applyFill="1" applyAlignment="1">
      <alignment horizontal="center" vertical="center"/>
    </xf>
    <xf numFmtId="40" fontId="82" fillId="6" borderId="0" xfId="4" applyNumberFormat="1" applyFont="1" applyFill="1" applyBorder="1" applyAlignment="1">
      <alignment horizontal="center" vertical="center"/>
    </xf>
    <xf numFmtId="166" fontId="85" fillId="6" borderId="0" xfId="4" applyNumberFormat="1" applyFont="1" applyFill="1" applyBorder="1" applyAlignment="1">
      <alignment horizontal="center" vertical="center" wrapText="1"/>
    </xf>
    <xf numFmtId="166" fontId="86" fillId="6" borderId="0" xfId="4" applyNumberFormat="1" applyFont="1" applyFill="1" applyBorder="1" applyAlignment="1">
      <alignment horizontal="center" vertical="center" wrapText="1"/>
    </xf>
    <xf numFmtId="0" fontId="78" fillId="0" borderId="60" xfId="0" applyFont="1" applyBorder="1" applyAlignment="1">
      <alignment horizontal="left" vertical="center" wrapText="1"/>
    </xf>
    <xf numFmtId="0" fontId="78" fillId="0" borderId="0" xfId="0" applyFont="1" applyAlignment="1">
      <alignment horizontal="left" vertical="center" wrapText="1"/>
    </xf>
    <xf numFmtId="0" fontId="21" fillId="12" borderId="55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120" xfId="0" applyFont="1" applyFill="1" applyBorder="1" applyAlignment="1">
      <alignment horizontal="center" vertical="center"/>
    </xf>
    <xf numFmtId="0" fontId="2" fillId="12" borderId="10" xfId="0" applyFont="1" applyFill="1" applyBorder="1" applyAlignment="1">
      <alignment horizontal="center" vertical="center"/>
    </xf>
    <xf numFmtId="0" fontId="2" fillId="12" borderId="58" xfId="0" applyFont="1" applyFill="1" applyBorder="1" applyAlignment="1">
      <alignment horizontal="center" vertical="center"/>
    </xf>
    <xf numFmtId="0" fontId="78" fillId="0" borderId="44" xfId="0" applyFont="1" applyBorder="1" applyAlignment="1">
      <alignment horizontal="left" vertical="center" wrapText="1"/>
    </xf>
    <xf numFmtId="0" fontId="78" fillId="0" borderId="46" xfId="0" applyFont="1" applyBorder="1" applyAlignment="1">
      <alignment horizontal="left" vertical="center" wrapText="1"/>
    </xf>
    <xf numFmtId="0" fontId="21" fillId="0" borderId="124" xfId="0" applyFont="1" applyBorder="1" applyAlignment="1">
      <alignment horizontal="left" vertical="center" wrapText="1"/>
    </xf>
    <xf numFmtId="0" fontId="20" fillId="0" borderId="58" xfId="0" applyFont="1" applyBorder="1" applyAlignment="1">
      <alignment horizontal="left" vertical="center" wrapText="1"/>
    </xf>
    <xf numFmtId="0" fontId="20" fillId="0" borderId="58" xfId="0" applyFont="1" applyBorder="1" applyAlignment="1">
      <alignment horizontal="center" vertical="center"/>
    </xf>
    <xf numFmtId="44" fontId="20" fillId="0" borderId="58" xfId="8" applyFont="1" applyFill="1" applyBorder="1" applyAlignment="1">
      <alignment vertical="center"/>
    </xf>
    <xf numFmtId="44" fontId="20" fillId="0" borderId="58" xfId="8" applyFont="1" applyBorder="1" applyAlignment="1">
      <alignment vertical="center"/>
    </xf>
    <xf numFmtId="44" fontId="20" fillId="0" borderId="65" xfId="8" applyFont="1" applyBorder="1" applyAlignment="1">
      <alignment vertical="center"/>
    </xf>
    <xf numFmtId="44" fontId="20" fillId="0" borderId="125" xfId="8" applyFont="1" applyBorder="1" applyAlignment="1">
      <alignment vertical="center"/>
    </xf>
    <xf numFmtId="1" fontId="20" fillId="13" borderId="66" xfId="0" applyNumberFormat="1" applyFont="1" applyFill="1" applyBorder="1" applyAlignment="1">
      <alignment horizontal="center" vertical="center"/>
    </xf>
    <xf numFmtId="0" fontId="20" fillId="13" borderId="58" xfId="0" applyFont="1" applyFill="1" applyBorder="1" applyAlignment="1">
      <alignment horizontal="center" vertical="center"/>
    </xf>
    <xf numFmtId="44" fontId="20" fillId="25" borderId="58" xfId="8" applyFont="1" applyFill="1" applyBorder="1" applyAlignment="1">
      <alignment vertical="center"/>
    </xf>
    <xf numFmtId="44" fontId="20" fillId="13" borderId="58" xfId="8" applyFont="1" applyFill="1" applyBorder="1" applyAlignment="1">
      <alignment vertical="center"/>
    </xf>
    <xf numFmtId="44" fontId="20" fillId="15" borderId="58" xfId="8" applyFont="1" applyFill="1" applyBorder="1" applyAlignment="1">
      <alignment vertical="center"/>
    </xf>
    <xf numFmtId="9" fontId="20" fillId="14" borderId="58" xfId="1" applyFont="1" applyFill="1" applyBorder="1" applyAlignment="1">
      <alignment vertical="center"/>
    </xf>
    <xf numFmtId="44" fontId="20" fillId="14" borderId="58" xfId="8" applyFont="1" applyFill="1" applyBorder="1" applyAlignment="1">
      <alignment vertical="center"/>
    </xf>
    <xf numFmtId="44" fontId="20" fillId="14" borderId="71" xfId="8" applyFont="1" applyFill="1" applyBorder="1" applyAlignment="1">
      <alignment vertical="center"/>
    </xf>
    <xf numFmtId="10" fontId="20" fillId="15" borderId="10" xfId="0" applyNumberFormat="1" applyFont="1" applyFill="1" applyBorder="1" applyAlignment="1">
      <alignment horizontal="center" vertical="center"/>
    </xf>
    <xf numFmtId="10" fontId="20" fillId="15" borderId="58" xfId="0" applyNumberFormat="1" applyFont="1" applyFill="1" applyBorder="1" applyAlignment="1">
      <alignment horizontal="center" vertical="center"/>
    </xf>
    <xf numFmtId="0" fontId="0" fillId="26" borderId="0" xfId="0" applyFill="1"/>
    <xf numFmtId="44" fontId="88" fillId="25" borderId="58" xfId="8" applyFont="1" applyFill="1" applyBorder="1" applyAlignment="1">
      <alignment vertical="center"/>
    </xf>
    <xf numFmtId="44" fontId="88" fillId="13" borderId="58" xfId="8" applyFont="1" applyFill="1" applyBorder="1" applyAlignment="1">
      <alignment vertical="center"/>
    </xf>
    <xf numFmtId="0" fontId="20" fillId="11" borderId="58" xfId="0" applyFont="1" applyFill="1" applyBorder="1" applyAlignment="1">
      <alignment horizontal="center" vertical="center"/>
    </xf>
    <xf numFmtId="44" fontId="20" fillId="0" borderId="58" xfId="8" applyFont="1" applyFill="1" applyBorder="1" applyAlignment="1">
      <alignment vertical="center" wrapText="1"/>
    </xf>
    <xf numFmtId="44" fontId="20" fillId="0" borderId="126" xfId="8" applyFont="1" applyBorder="1" applyAlignment="1">
      <alignment vertical="center"/>
    </xf>
    <xf numFmtId="0" fontId="20" fillId="13" borderId="59" xfId="0" applyFont="1" applyFill="1" applyBorder="1" applyAlignment="1">
      <alignment horizontal="center" vertical="center"/>
    </xf>
    <xf numFmtId="44" fontId="20" fillId="13" borderId="59" xfId="8" applyFont="1" applyFill="1" applyBorder="1" applyAlignment="1">
      <alignment vertical="center"/>
    </xf>
    <xf numFmtId="8" fontId="20" fillId="13" borderId="7" xfId="0" applyNumberFormat="1" applyFont="1" applyFill="1" applyBorder="1"/>
    <xf numFmtId="44" fontId="20" fillId="13" borderId="9" xfId="0" applyNumberFormat="1" applyFont="1" applyFill="1" applyBorder="1"/>
    <xf numFmtId="14" fontId="20" fillId="13" borderId="10" xfId="0" applyNumberFormat="1" applyFont="1" applyFill="1" applyBorder="1"/>
    <xf numFmtId="0" fontId="20" fillId="13" borderId="7" xfId="0" applyFont="1" applyFill="1" applyBorder="1" applyAlignment="1">
      <alignment wrapText="1"/>
    </xf>
    <xf numFmtId="0" fontId="20" fillId="13" borderId="10" xfId="0" applyFont="1" applyFill="1" applyBorder="1" applyAlignment="1">
      <alignment wrapText="1"/>
    </xf>
    <xf numFmtId="0" fontId="21" fillId="0" borderId="127" xfId="0" applyFont="1" applyBorder="1" applyAlignment="1">
      <alignment horizontal="left" vertical="center" wrapText="1"/>
    </xf>
    <xf numFmtId="0" fontId="20" fillId="11" borderId="59" xfId="2" applyFont="1" applyFill="1" applyBorder="1" applyAlignment="1">
      <alignment horizontal="left" vertical="center" wrapText="1"/>
    </xf>
    <xf numFmtId="0" fontId="20" fillId="0" borderId="59" xfId="0" applyFont="1" applyBorder="1" applyAlignment="1">
      <alignment horizontal="center" vertical="center"/>
    </xf>
    <xf numFmtId="44" fontId="20" fillId="0" borderId="59" xfId="8" applyFont="1" applyFill="1" applyBorder="1" applyAlignment="1">
      <alignment vertical="center"/>
    </xf>
    <xf numFmtId="44" fontId="20" fillId="0" borderId="59" xfId="8" applyFont="1" applyBorder="1" applyAlignment="1">
      <alignment vertical="center"/>
    </xf>
    <xf numFmtId="44" fontId="20" fillId="0" borderId="128" xfId="8" applyFont="1" applyBorder="1" applyAlignment="1">
      <alignment vertical="center"/>
    </xf>
    <xf numFmtId="1" fontId="20" fillId="13" borderId="68" xfId="0" applyNumberFormat="1" applyFont="1" applyFill="1" applyBorder="1" applyAlignment="1">
      <alignment horizontal="center" vertical="center"/>
    </xf>
    <xf numFmtId="0" fontId="20" fillId="13" borderId="88" xfId="0" applyFont="1" applyFill="1" applyBorder="1" applyAlignment="1">
      <alignment horizontal="center" vertical="center"/>
    </xf>
    <xf numFmtId="44" fontId="20" fillId="25" borderId="88" xfId="8" applyFont="1" applyFill="1" applyBorder="1" applyAlignment="1">
      <alignment vertical="center"/>
    </xf>
    <xf numFmtId="44" fontId="20" fillId="13" borderId="7" xfId="8" applyFont="1" applyFill="1" applyBorder="1" applyAlignment="1">
      <alignment vertical="center"/>
    </xf>
    <xf numFmtId="44" fontId="20" fillId="15" borderId="7" xfId="8" applyFont="1" applyFill="1" applyBorder="1" applyAlignment="1">
      <alignment vertical="center"/>
    </xf>
    <xf numFmtId="9" fontId="20" fillId="14" borderId="7" xfId="1" applyFont="1" applyFill="1" applyBorder="1" applyAlignment="1">
      <alignment vertical="center"/>
    </xf>
    <xf numFmtId="44" fontId="20" fillId="14" borderId="7" xfId="8" applyFont="1" applyFill="1" applyBorder="1" applyAlignment="1">
      <alignment vertical="center"/>
    </xf>
    <xf numFmtId="0" fontId="78" fillId="0" borderId="61" xfId="0" applyFont="1" applyBorder="1" applyAlignment="1">
      <alignment horizontal="left" vertical="center" wrapText="1"/>
    </xf>
    <xf numFmtId="0" fontId="78" fillId="0" borderId="63" xfId="0" applyFont="1" applyBorder="1" applyAlignment="1">
      <alignment horizontal="left" vertical="center" wrapText="1"/>
    </xf>
    <xf numFmtId="170" fontId="87" fillId="10" borderId="15" xfId="8" applyNumberFormat="1" applyFont="1" applyFill="1" applyBorder="1" applyAlignment="1">
      <alignment horizontal="right"/>
    </xf>
    <xf numFmtId="170" fontId="87" fillId="10" borderId="130" xfId="8" applyNumberFormat="1" applyFont="1" applyFill="1" applyBorder="1" applyAlignment="1">
      <alignment horizontal="right"/>
    </xf>
    <xf numFmtId="44" fontId="87" fillId="10" borderId="85" xfId="8" applyFont="1" applyFill="1" applyBorder="1" applyAlignment="1">
      <alignment horizontal="right"/>
    </xf>
    <xf numFmtId="44" fontId="81" fillId="15" borderId="85" xfId="8" applyFont="1" applyFill="1" applyBorder="1" applyAlignment="1">
      <alignment vertical="center"/>
    </xf>
    <xf numFmtId="9" fontId="20" fillId="14" borderId="85" xfId="1" applyFont="1" applyFill="1" applyBorder="1" applyAlignment="1">
      <alignment vertical="center"/>
    </xf>
    <xf numFmtId="44" fontId="20" fillId="14" borderId="85" xfId="8" applyFont="1" applyFill="1" applyBorder="1" applyAlignment="1">
      <alignment vertical="center"/>
    </xf>
    <xf numFmtId="44" fontId="81" fillId="14" borderId="85" xfId="8" applyFont="1" applyFill="1" applyBorder="1" applyAlignment="1">
      <alignment vertical="center"/>
    </xf>
    <xf numFmtId="44" fontId="81" fillId="14" borderId="132" xfId="8" applyFont="1" applyFill="1" applyBorder="1" applyAlignment="1">
      <alignment vertical="center"/>
    </xf>
    <xf numFmtId="0" fontId="21" fillId="0" borderId="135" xfId="0" applyFont="1" applyBorder="1" applyAlignment="1">
      <alignment horizontal="left" vertical="center" wrapText="1"/>
    </xf>
    <xf numFmtId="0" fontId="20" fillId="0" borderId="65" xfId="0" applyFont="1" applyBorder="1" applyAlignment="1">
      <alignment horizontal="left" vertical="center" wrapText="1"/>
    </xf>
    <xf numFmtId="0" fontId="20" fillId="0" borderId="65" xfId="0" applyFont="1" applyBorder="1" applyAlignment="1">
      <alignment horizontal="center" vertical="center"/>
    </xf>
    <xf numFmtId="1" fontId="20" fillId="13" borderId="67" xfId="0" applyNumberFormat="1" applyFont="1" applyFill="1" applyBorder="1" applyAlignment="1">
      <alignment horizontal="center" vertical="center"/>
    </xf>
    <xf numFmtId="0" fontId="20" fillId="13" borderId="64" xfId="18" applyNumberFormat="1" applyFont="1" applyFill="1" applyBorder="1" applyAlignment="1">
      <alignment horizontal="center" vertical="center"/>
    </xf>
    <xf numFmtId="44" fontId="88" fillId="13" borderId="64" xfId="8" applyFont="1" applyFill="1" applyBorder="1" applyAlignment="1">
      <alignment vertical="center"/>
    </xf>
    <xf numFmtId="44" fontId="20" fillId="15" borderId="64" xfId="8" applyFont="1" applyFill="1" applyBorder="1" applyAlignment="1">
      <alignment vertical="center"/>
    </xf>
    <xf numFmtId="9" fontId="20" fillId="14" borderId="64" xfId="1" applyFont="1" applyFill="1" applyBorder="1" applyAlignment="1">
      <alignment vertical="center"/>
    </xf>
    <xf numFmtId="44" fontId="20" fillId="14" borderId="64" xfId="8" applyFont="1" applyFill="1" applyBorder="1" applyAlignment="1">
      <alignment vertical="center"/>
    </xf>
    <xf numFmtId="44" fontId="20" fillId="14" borderId="52" xfId="8" applyFont="1" applyFill="1" applyBorder="1" applyAlignment="1">
      <alignment vertical="center"/>
    </xf>
    <xf numFmtId="0" fontId="20" fillId="11" borderId="65" xfId="0" applyFont="1" applyFill="1" applyBorder="1" applyAlignment="1">
      <alignment horizontal="left" vertical="center" wrapText="1"/>
    </xf>
    <xf numFmtId="0" fontId="20" fillId="11" borderId="65" xfId="0" applyFont="1" applyFill="1" applyBorder="1" applyAlignment="1">
      <alignment horizontal="center" vertical="center"/>
    </xf>
    <xf numFmtId="44" fontId="20" fillId="11" borderId="65" xfId="8" applyFont="1" applyFill="1" applyBorder="1" applyAlignment="1">
      <alignment vertical="center"/>
    </xf>
    <xf numFmtId="44" fontId="20" fillId="13" borderId="64" xfId="8" applyFont="1" applyFill="1" applyBorder="1" applyAlignment="1">
      <alignment vertical="center"/>
    </xf>
    <xf numFmtId="44" fontId="20" fillId="11" borderId="125" xfId="8" applyFont="1" applyFill="1" applyBorder="1" applyAlignment="1">
      <alignment vertical="center"/>
    </xf>
    <xf numFmtId="0" fontId="21" fillId="0" borderId="58" xfId="0" applyFont="1" applyBorder="1" applyAlignment="1">
      <alignment horizontal="left" vertical="center" wrapText="1"/>
    </xf>
    <xf numFmtId="0" fontId="20" fillId="0" borderId="61" xfId="0" applyFont="1" applyBorder="1" applyAlignment="1">
      <alignment horizontal="left" vertical="center" wrapText="1"/>
    </xf>
    <xf numFmtId="0" fontId="20" fillId="0" borderId="63" xfId="0" applyFont="1" applyBorder="1" applyAlignment="1">
      <alignment horizontal="left" vertical="center" wrapText="1"/>
    </xf>
    <xf numFmtId="1" fontId="20" fillId="13" borderId="7" xfId="0" applyNumberFormat="1" applyFont="1" applyFill="1" applyBorder="1" applyAlignment="1">
      <alignment horizontal="center" vertical="center"/>
    </xf>
    <xf numFmtId="1" fontId="20" fillId="13" borderId="7" xfId="18" applyNumberFormat="1" applyFont="1" applyFill="1" applyBorder="1" applyAlignment="1">
      <alignment horizontal="center" vertical="center"/>
    </xf>
    <xf numFmtId="0" fontId="21" fillId="0" borderId="136" xfId="0" applyFont="1" applyBorder="1" applyAlignment="1">
      <alignment horizontal="left" vertical="center" wrapText="1"/>
    </xf>
    <xf numFmtId="0" fontId="20" fillId="11" borderId="109" xfId="0" applyFont="1" applyFill="1" applyBorder="1" applyAlignment="1">
      <alignment horizontal="left" vertical="center" wrapText="1"/>
    </xf>
    <xf numFmtId="0" fontId="20" fillId="11" borderId="109" xfId="0" applyFont="1" applyFill="1" applyBorder="1" applyAlignment="1">
      <alignment horizontal="center" vertical="center"/>
    </xf>
    <xf numFmtId="44" fontId="20" fillId="11" borderId="109" xfId="8" applyFont="1" applyFill="1" applyBorder="1" applyAlignment="1">
      <alignment vertical="center"/>
    </xf>
    <xf numFmtId="44" fontId="20" fillId="0" borderId="109" xfId="8" applyFont="1" applyBorder="1" applyAlignment="1">
      <alignment vertical="center"/>
    </xf>
    <xf numFmtId="44" fontId="20" fillId="0" borderId="137" xfId="8" applyFont="1" applyBorder="1" applyAlignment="1">
      <alignment vertical="center"/>
    </xf>
    <xf numFmtId="1" fontId="20" fillId="13" borderId="17" xfId="0" applyNumberFormat="1" applyFont="1" applyFill="1" applyBorder="1" applyAlignment="1">
      <alignment horizontal="center" vertical="center"/>
    </xf>
    <xf numFmtId="0" fontId="20" fillId="13" borderId="122" xfId="18" applyNumberFormat="1" applyFont="1" applyFill="1" applyBorder="1" applyAlignment="1">
      <alignment horizontal="center" vertical="center"/>
    </xf>
    <xf numFmtId="44" fontId="20" fillId="13" borderId="122" xfId="8" applyFont="1" applyFill="1" applyBorder="1" applyAlignment="1">
      <alignment vertical="center"/>
    </xf>
    <xf numFmtId="44" fontId="20" fillId="15" borderId="122" xfId="8" applyFont="1" applyFill="1" applyBorder="1" applyAlignment="1">
      <alignment vertical="center"/>
    </xf>
    <xf numFmtId="9" fontId="20" fillId="14" borderId="122" xfId="1" applyFont="1" applyFill="1" applyBorder="1" applyAlignment="1">
      <alignment vertical="center"/>
    </xf>
    <xf numFmtId="44" fontId="20" fillId="14" borderId="122" xfId="8" applyFont="1" applyFill="1" applyBorder="1" applyAlignment="1">
      <alignment vertical="center"/>
    </xf>
    <xf numFmtId="44" fontId="20" fillId="14" borderId="113" xfId="8" applyFont="1" applyFill="1" applyBorder="1" applyAlignment="1">
      <alignment vertical="center"/>
    </xf>
    <xf numFmtId="0" fontId="20" fillId="0" borderId="109" xfId="0" applyFont="1" applyBorder="1" applyAlignment="1">
      <alignment horizontal="left" vertical="center" wrapText="1"/>
    </xf>
    <xf numFmtId="0" fontId="20" fillId="0" borderId="109" xfId="0" applyFont="1" applyBorder="1" applyAlignment="1">
      <alignment horizontal="center" vertical="center"/>
    </xf>
    <xf numFmtId="44" fontId="20" fillId="11" borderId="137" xfId="8" applyFont="1" applyFill="1" applyBorder="1" applyAlignment="1">
      <alignment vertical="center"/>
    </xf>
    <xf numFmtId="10" fontId="20" fillId="15" borderId="33" xfId="0" applyNumberFormat="1" applyFont="1" applyFill="1" applyBorder="1" applyAlignment="1">
      <alignment horizontal="center" vertical="center"/>
    </xf>
    <xf numFmtId="0" fontId="20" fillId="0" borderId="44" xfId="0" applyFont="1" applyBorder="1" applyAlignment="1">
      <alignment horizontal="left" vertical="center" wrapText="1"/>
    </xf>
    <xf numFmtId="0" fontId="20" fillId="0" borderId="138" xfId="0" applyFont="1" applyBorder="1" applyAlignment="1">
      <alignment horizontal="left" vertical="center" wrapText="1"/>
    </xf>
    <xf numFmtId="0" fontId="78" fillId="0" borderId="139" xfId="0" applyFont="1" applyBorder="1" applyAlignment="1">
      <alignment horizontal="left" vertical="center" wrapText="1"/>
    </xf>
    <xf numFmtId="0" fontId="78" fillId="0" borderId="140" xfId="0" applyFont="1" applyBorder="1" applyAlignment="1">
      <alignment horizontal="left" vertical="center" wrapText="1"/>
    </xf>
    <xf numFmtId="0" fontId="21" fillId="0" borderId="141" xfId="0" applyFont="1" applyBorder="1" applyAlignment="1">
      <alignment horizontal="left" vertical="center" wrapText="1"/>
    </xf>
    <xf numFmtId="0" fontId="20" fillId="11" borderId="141" xfId="0" applyFont="1" applyFill="1" applyBorder="1" applyAlignment="1">
      <alignment horizontal="left" vertical="center" wrapText="1"/>
    </xf>
    <xf numFmtId="0" fontId="20" fillId="11" borderId="141" xfId="0" applyFont="1" applyFill="1" applyBorder="1" applyAlignment="1">
      <alignment horizontal="center" vertical="center"/>
    </xf>
    <xf numFmtId="44" fontId="20" fillId="11" borderId="141" xfId="8" applyFont="1" applyFill="1" applyBorder="1" applyAlignment="1">
      <alignment vertical="center"/>
    </xf>
    <xf numFmtId="44" fontId="20" fillId="0" borderId="141" xfId="8" applyFont="1" applyBorder="1" applyAlignment="1">
      <alignment vertical="center"/>
    </xf>
    <xf numFmtId="1" fontId="20" fillId="13" borderId="141" xfId="0" applyNumberFormat="1" applyFont="1" applyFill="1" applyBorder="1" applyAlignment="1">
      <alignment horizontal="center" vertical="center"/>
    </xf>
    <xf numFmtId="1" fontId="20" fillId="13" borderId="141" xfId="18" applyNumberFormat="1" applyFont="1" applyFill="1" applyBorder="1" applyAlignment="1">
      <alignment horizontal="center" vertical="center"/>
    </xf>
    <xf numFmtId="44" fontId="20" fillId="13" borderId="141" xfId="8" applyFont="1" applyFill="1" applyBorder="1" applyAlignment="1">
      <alignment vertical="center"/>
    </xf>
    <xf numFmtId="44" fontId="20" fillId="15" borderId="141" xfId="8" applyFont="1" applyFill="1" applyBorder="1" applyAlignment="1">
      <alignment vertical="center"/>
    </xf>
    <xf numFmtId="9" fontId="20" fillId="14" borderId="141" xfId="1" applyFont="1" applyFill="1" applyBorder="1" applyAlignment="1">
      <alignment vertical="center"/>
    </xf>
    <xf numFmtId="44" fontId="20" fillId="14" borderId="141" xfId="8" applyFont="1" applyFill="1" applyBorder="1" applyAlignment="1">
      <alignment vertical="center"/>
    </xf>
    <xf numFmtId="10" fontId="20" fillId="15" borderId="141" xfId="0" applyNumberFormat="1" applyFont="1" applyFill="1" applyBorder="1" applyAlignment="1">
      <alignment horizontal="center" vertical="center"/>
    </xf>
    <xf numFmtId="0" fontId="78" fillId="0" borderId="142" xfId="0" applyFont="1" applyBorder="1" applyAlignment="1">
      <alignment horizontal="left" vertical="center" wrapText="1"/>
    </xf>
    <xf numFmtId="0" fontId="78" fillId="0" borderId="138" xfId="0" applyFont="1" applyBorder="1" applyAlignment="1">
      <alignment horizontal="left" vertical="center" wrapText="1"/>
    </xf>
    <xf numFmtId="0" fontId="20" fillId="0" borderId="141" xfId="0" applyFont="1" applyBorder="1" applyAlignment="1">
      <alignment horizontal="left" vertical="center" wrapText="1"/>
    </xf>
    <xf numFmtId="0" fontId="20" fillId="0" borderId="141" xfId="0" applyFont="1" applyBorder="1" applyAlignment="1">
      <alignment horizontal="center" vertical="center"/>
    </xf>
    <xf numFmtId="0" fontId="20" fillId="13" borderId="141" xfId="18" applyNumberFormat="1" applyFont="1" applyFill="1" applyBorder="1" applyAlignment="1">
      <alignment horizontal="center" vertical="center"/>
    </xf>
    <xf numFmtId="44" fontId="88" fillId="25" borderId="141" xfId="8" applyFont="1" applyFill="1" applyBorder="1" applyAlignment="1">
      <alignment vertical="center"/>
    </xf>
    <xf numFmtId="8" fontId="20" fillId="13" borderId="9" xfId="0" applyNumberFormat="1" applyFont="1" applyFill="1" applyBorder="1"/>
    <xf numFmtId="0" fontId="78" fillId="0" borderId="143" xfId="0" applyFont="1" applyBorder="1" applyAlignment="1">
      <alignment horizontal="left" vertical="center" wrapText="1"/>
    </xf>
    <xf numFmtId="0" fontId="78" fillId="0" borderId="144" xfId="0" applyFont="1" applyBorder="1" applyAlignment="1">
      <alignment horizontal="left" vertical="center" wrapText="1"/>
    </xf>
    <xf numFmtId="0" fontId="78" fillId="0" borderId="145" xfId="0" applyFont="1" applyBorder="1" applyAlignment="1">
      <alignment horizontal="left" vertical="center" wrapText="1"/>
    </xf>
    <xf numFmtId="0" fontId="21" fillId="0" borderId="59" xfId="0" applyFont="1" applyBorder="1" applyAlignment="1">
      <alignment horizontal="left" vertical="center" wrapText="1"/>
    </xf>
    <xf numFmtId="0" fontId="20" fillId="0" borderId="59" xfId="0" applyFont="1" applyBorder="1" applyAlignment="1">
      <alignment horizontal="left" vertical="center" wrapText="1"/>
    </xf>
    <xf numFmtId="44" fontId="20" fillId="11" borderId="59" xfId="8" applyFont="1" applyFill="1" applyBorder="1" applyAlignment="1">
      <alignment vertical="center"/>
    </xf>
    <xf numFmtId="1" fontId="20" fillId="13" borderId="59" xfId="0" applyNumberFormat="1" applyFont="1" applyFill="1" applyBorder="1" applyAlignment="1">
      <alignment horizontal="center" vertical="center"/>
    </xf>
    <xf numFmtId="0" fontId="20" fillId="13" borderId="59" xfId="18" applyNumberFormat="1" applyFont="1" applyFill="1" applyBorder="1" applyAlignment="1">
      <alignment horizontal="center" vertical="center"/>
    </xf>
    <xf numFmtId="44" fontId="88" fillId="25" borderId="59" xfId="8" applyFont="1" applyFill="1" applyBorder="1" applyAlignment="1">
      <alignment vertical="center"/>
    </xf>
    <xf numFmtId="44" fontId="88" fillId="13" borderId="59" xfId="8" applyFont="1" applyFill="1" applyBorder="1" applyAlignment="1">
      <alignment vertical="center"/>
    </xf>
    <xf numFmtId="44" fontId="20" fillId="15" borderId="59" xfId="8" applyFont="1" applyFill="1" applyBorder="1" applyAlignment="1">
      <alignment vertical="center"/>
    </xf>
    <xf numFmtId="9" fontId="20" fillId="14" borderId="59" xfId="1" applyFont="1" applyFill="1" applyBorder="1" applyAlignment="1">
      <alignment vertical="center"/>
    </xf>
    <xf numFmtId="44" fontId="20" fillId="14" borderId="59" xfId="8" applyFont="1" applyFill="1" applyBorder="1" applyAlignment="1">
      <alignment vertical="center"/>
    </xf>
    <xf numFmtId="10" fontId="20" fillId="15" borderId="59" xfId="0" applyNumberFormat="1" applyFont="1" applyFill="1" applyBorder="1" applyAlignment="1">
      <alignment horizontal="center" vertical="center"/>
    </xf>
    <xf numFmtId="0" fontId="78" fillId="0" borderId="146" xfId="0" applyFont="1" applyBorder="1" applyAlignment="1">
      <alignment horizontal="left" vertical="center" wrapText="1"/>
    </xf>
    <xf numFmtId="0" fontId="21" fillId="0" borderId="147" xfId="0" applyFont="1" applyBorder="1" applyAlignment="1">
      <alignment horizontal="left" vertical="center" wrapText="1"/>
    </xf>
    <xf numFmtId="0" fontId="20" fillId="0" borderId="148" xfId="0" applyFont="1" applyBorder="1" applyAlignment="1">
      <alignment horizontal="left" vertical="center" wrapText="1"/>
    </xf>
    <xf numFmtId="0" fontId="20" fillId="0" borderId="148" xfId="0" applyFont="1" applyBorder="1" applyAlignment="1">
      <alignment horizontal="center" vertical="center"/>
    </xf>
    <xf numFmtId="44" fontId="20" fillId="0" borderId="148" xfId="8" applyFont="1" applyBorder="1" applyAlignment="1">
      <alignment vertical="center"/>
    </xf>
    <xf numFmtId="44" fontId="20" fillId="0" borderId="149" xfId="8" applyFont="1" applyBorder="1" applyAlignment="1">
      <alignment vertical="center"/>
    </xf>
    <xf numFmtId="0" fontId="20" fillId="13" borderId="7" xfId="18" applyNumberFormat="1" applyFont="1" applyFill="1" applyBorder="1" applyAlignment="1">
      <alignment horizontal="center" vertical="center"/>
    </xf>
    <xf numFmtId="44" fontId="88" fillId="25" borderId="7" xfId="8" applyFont="1" applyFill="1" applyBorder="1" applyAlignment="1">
      <alignment vertical="center"/>
    </xf>
    <xf numFmtId="170" fontId="87" fillId="10" borderId="150" xfId="0" applyNumberFormat="1" applyFont="1" applyFill="1" applyBorder="1" applyAlignment="1">
      <alignment horizontal="right"/>
    </xf>
    <xf numFmtId="170" fontId="87" fillId="10" borderId="151" xfId="0" applyNumberFormat="1" applyFont="1" applyFill="1" applyBorder="1" applyAlignment="1">
      <alignment horizontal="right"/>
    </xf>
    <xf numFmtId="44" fontId="87" fillId="10" borderId="15" xfId="0" applyNumberFormat="1" applyFont="1" applyFill="1" applyBorder="1" applyAlignment="1">
      <alignment horizontal="right"/>
    </xf>
    <xf numFmtId="44" fontId="81" fillId="15" borderId="15" xfId="0" applyNumberFormat="1" applyFont="1" applyFill="1" applyBorder="1"/>
    <xf numFmtId="0" fontId="0" fillId="14" borderId="15" xfId="0" applyFill="1" applyBorder="1"/>
    <xf numFmtId="44" fontId="81" fillId="14" borderId="15" xfId="0" applyNumberFormat="1" applyFont="1" applyFill="1" applyBorder="1"/>
    <xf numFmtId="44" fontId="81" fillId="14" borderId="102" xfId="8" applyFont="1" applyFill="1" applyBorder="1"/>
    <xf numFmtId="0" fontId="21" fillId="12" borderId="101" xfId="0" applyFont="1" applyFill="1" applyBorder="1" applyAlignment="1">
      <alignment horizontal="center" vertical="center"/>
    </xf>
    <xf numFmtId="0" fontId="91" fillId="0" borderId="66" xfId="0" applyFont="1" applyBorder="1" applyAlignment="1">
      <alignment horizontal="left" vertical="center" wrapText="1"/>
    </xf>
    <xf numFmtId="0" fontId="92" fillId="0" borderId="58" xfId="0" applyFont="1" applyBorder="1" applyAlignment="1">
      <alignment horizontal="left" vertical="center" wrapText="1"/>
    </xf>
    <xf numFmtId="0" fontId="92" fillId="0" borderId="58" xfId="0" applyFont="1" applyBorder="1" applyAlignment="1">
      <alignment horizontal="center" vertical="center"/>
    </xf>
    <xf numFmtId="44" fontId="92" fillId="27" borderId="58" xfId="0" applyNumberFormat="1" applyFont="1" applyFill="1" applyBorder="1" applyAlignment="1">
      <alignment vertical="center"/>
    </xf>
    <xf numFmtId="44" fontId="20" fillId="0" borderId="71" xfId="8" applyFont="1" applyBorder="1" applyAlignment="1">
      <alignment vertical="center"/>
    </xf>
    <xf numFmtId="0" fontId="92" fillId="28" borderId="58" xfId="0" applyFont="1" applyFill="1" applyBorder="1" applyAlignment="1">
      <alignment horizontal="center" vertical="center"/>
    </xf>
    <xf numFmtId="44" fontId="92" fillId="29" borderId="58" xfId="0" applyNumberFormat="1" applyFont="1" applyFill="1" applyBorder="1" applyAlignment="1">
      <alignment vertical="center"/>
    </xf>
    <xf numFmtId="0" fontId="92" fillId="28" borderId="66" xfId="0" applyFont="1" applyFill="1" applyBorder="1" applyAlignment="1">
      <alignment horizontal="center" vertical="center"/>
    </xf>
    <xf numFmtId="170" fontId="87" fillId="10" borderId="131" xfId="8" applyNumberFormat="1" applyFont="1" applyFill="1" applyBorder="1" applyAlignment="1">
      <alignment horizontal="right"/>
    </xf>
    <xf numFmtId="170" fontId="87" fillId="10" borderId="85" xfId="8" applyNumberFormat="1" applyFont="1" applyFill="1" applyBorder="1" applyAlignment="1">
      <alignment horizontal="right"/>
    </xf>
    <xf numFmtId="170" fontId="87" fillId="10" borderId="102" xfId="8" applyNumberFormat="1" applyFont="1" applyFill="1" applyBorder="1" applyAlignment="1">
      <alignment horizontal="right"/>
    </xf>
    <xf numFmtId="44" fontId="87" fillId="10" borderId="153" xfId="8" applyFont="1" applyFill="1" applyBorder="1" applyAlignment="1">
      <alignment horizontal="right"/>
    </xf>
    <xf numFmtId="44" fontId="81" fillId="15" borderId="153" xfId="8" applyFont="1" applyFill="1" applyBorder="1" applyAlignment="1">
      <alignment vertical="center"/>
    </xf>
    <xf numFmtId="9" fontId="20" fillId="14" borderId="153" xfId="1" applyFont="1" applyFill="1" applyBorder="1" applyAlignment="1">
      <alignment vertical="center"/>
    </xf>
    <xf numFmtId="44" fontId="20" fillId="14" borderId="153" xfId="8" applyFont="1" applyFill="1" applyBorder="1" applyAlignment="1">
      <alignment vertical="center"/>
    </xf>
    <xf numFmtId="44" fontId="81" fillId="14" borderId="153" xfId="8" applyFont="1" applyFill="1" applyBorder="1" applyAlignment="1">
      <alignment vertical="center"/>
    </xf>
    <xf numFmtId="44" fontId="81" fillId="14" borderId="110" xfId="8" applyFont="1" applyFill="1" applyBorder="1" applyAlignment="1">
      <alignment vertical="center"/>
    </xf>
    <xf numFmtId="10" fontId="20" fillId="15" borderId="0" xfId="0" applyNumberFormat="1" applyFont="1" applyFill="1" applyAlignment="1">
      <alignment horizontal="center" vertical="center"/>
    </xf>
    <xf numFmtId="170" fontId="21" fillId="12" borderId="55" xfId="8" applyNumberFormat="1" applyFont="1" applyFill="1" applyBorder="1" applyAlignment="1">
      <alignment horizontal="center" vertical="center"/>
    </xf>
    <xf numFmtId="170" fontId="21" fillId="12" borderId="54" xfId="8" applyNumberFormat="1" applyFont="1" applyFill="1" applyBorder="1" applyAlignment="1">
      <alignment horizontal="center" vertical="center"/>
    </xf>
    <xf numFmtId="170" fontId="28" fillId="12" borderId="101" xfId="8" applyNumberFormat="1" applyFont="1" applyFill="1" applyBorder="1" applyAlignment="1">
      <alignment horizontal="center" vertical="center"/>
    </xf>
    <xf numFmtId="10" fontId="21" fillId="12" borderId="10" xfId="0" applyNumberFormat="1" applyFont="1" applyFill="1" applyBorder="1" applyAlignment="1">
      <alignment horizontal="center" vertical="center"/>
    </xf>
    <xf numFmtId="0" fontId="21" fillId="11" borderId="66" xfId="0" applyFont="1" applyFill="1" applyBorder="1" applyAlignment="1">
      <alignment horizontal="left" vertical="center" wrapText="1"/>
    </xf>
    <xf numFmtId="0" fontId="20" fillId="11" borderId="58" xfId="0" applyFont="1" applyFill="1" applyBorder="1" applyAlignment="1">
      <alignment horizontal="left" vertical="center" wrapText="1"/>
    </xf>
    <xf numFmtId="44" fontId="20" fillId="11" borderId="58" xfId="8" applyFont="1" applyFill="1" applyBorder="1" applyAlignment="1">
      <alignment vertical="center"/>
    </xf>
    <xf numFmtId="44" fontId="93" fillId="11" borderId="65" xfId="8" applyFont="1" applyFill="1" applyBorder="1" applyAlignment="1">
      <alignment vertical="center"/>
    </xf>
    <xf numFmtId="44" fontId="20" fillId="11" borderId="52" xfId="8" applyFont="1" applyFill="1" applyBorder="1" applyAlignment="1">
      <alignment vertical="center"/>
    </xf>
    <xf numFmtId="44" fontId="20" fillId="25" borderId="64" xfId="8" applyFont="1" applyFill="1" applyBorder="1" applyAlignment="1">
      <alignment vertical="center"/>
    </xf>
    <xf numFmtId="44" fontId="21" fillId="14" borderId="64" xfId="8" applyFont="1" applyFill="1" applyBorder="1" applyAlignment="1">
      <alignment vertical="center"/>
    </xf>
    <xf numFmtId="44" fontId="21" fillId="14" borderId="52" xfId="8" applyFont="1" applyFill="1" applyBorder="1" applyAlignment="1">
      <alignment vertical="center"/>
    </xf>
    <xf numFmtId="0" fontId="93" fillId="11" borderId="58" xfId="0" applyFont="1" applyFill="1" applyBorder="1" applyAlignment="1">
      <alignment horizontal="left" vertical="center" wrapText="1"/>
    </xf>
    <xf numFmtId="44" fontId="93" fillId="11" borderId="58" xfId="8" applyFont="1" applyFill="1" applyBorder="1" applyAlignment="1">
      <alignment vertical="center"/>
    </xf>
    <xf numFmtId="44" fontId="20" fillId="11" borderId="71" xfId="8" applyFont="1" applyFill="1" applyBorder="1" applyAlignment="1">
      <alignment vertical="center"/>
    </xf>
    <xf numFmtId="0" fontId="20" fillId="13" borderId="7" xfId="0" applyFont="1" applyFill="1" applyBorder="1" applyAlignment="1">
      <alignment horizontal="center" vertical="center"/>
    </xf>
    <xf numFmtId="44" fontId="20" fillId="25" borderId="7" xfId="8" applyFont="1" applyFill="1" applyBorder="1" applyAlignment="1">
      <alignment vertical="center"/>
    </xf>
    <xf numFmtId="44" fontId="21" fillId="14" borderId="7" xfId="8" applyFont="1" applyFill="1" applyBorder="1" applyAlignment="1">
      <alignment vertical="center"/>
    </xf>
    <xf numFmtId="44" fontId="21" fillId="14" borderId="71" xfId="8" applyFont="1" applyFill="1" applyBorder="1" applyAlignment="1">
      <alignment vertical="center"/>
    </xf>
    <xf numFmtId="0" fontId="21" fillId="11" borderId="72" xfId="2" applyFont="1" applyFill="1" applyBorder="1" applyAlignment="1">
      <alignment horizontal="left" vertical="center" wrapText="1"/>
    </xf>
    <xf numFmtId="0" fontId="20" fillId="11" borderId="58" xfId="2" applyFont="1" applyFill="1" applyBorder="1" applyAlignment="1">
      <alignment horizontal="left" vertical="center" wrapText="1"/>
    </xf>
    <xf numFmtId="0" fontId="20" fillId="11" borderId="58" xfId="2" quotePrefix="1" applyFont="1" applyFill="1" applyBorder="1" applyAlignment="1">
      <alignment horizontal="center" vertical="center"/>
    </xf>
    <xf numFmtId="3" fontId="20" fillId="11" borderId="58" xfId="2" quotePrefix="1" applyNumberFormat="1" applyFont="1" applyFill="1" applyBorder="1" applyAlignment="1">
      <alignment horizontal="center" vertical="center"/>
    </xf>
    <xf numFmtId="44" fontId="20" fillId="11" borderId="58" xfId="8" quotePrefix="1" applyFont="1" applyFill="1" applyBorder="1" applyAlignment="1">
      <alignment vertical="center"/>
    </xf>
    <xf numFmtId="44" fontId="88" fillId="13" borderId="7" xfId="8" applyFont="1" applyFill="1" applyBorder="1" applyAlignment="1">
      <alignment vertical="center"/>
    </xf>
    <xf numFmtId="0" fontId="21" fillId="11" borderId="66" xfId="2" applyFont="1" applyFill="1" applyBorder="1" applyAlignment="1">
      <alignment horizontal="left" vertical="center" wrapText="1"/>
    </xf>
    <xf numFmtId="0" fontId="93" fillId="0" borderId="58" xfId="2" applyFont="1" applyBorder="1" applyAlignment="1">
      <alignment horizontal="left" vertical="center" wrapText="1"/>
    </xf>
    <xf numFmtId="44" fontId="20" fillId="0" borderId="52" xfId="8" applyFont="1" applyBorder="1" applyAlignment="1">
      <alignment vertical="center"/>
    </xf>
    <xf numFmtId="0" fontId="0" fillId="0" borderId="158" xfId="0" applyBorder="1"/>
    <xf numFmtId="0" fontId="0" fillId="0" borderId="158" xfId="0" applyBorder="1" applyAlignment="1">
      <alignment horizontal="center"/>
    </xf>
    <xf numFmtId="0" fontId="20" fillId="13" borderId="58" xfId="18" applyNumberFormat="1" applyFont="1" applyFill="1" applyBorder="1" applyAlignment="1">
      <alignment horizontal="center" vertical="center"/>
    </xf>
    <xf numFmtId="44" fontId="93" fillId="25" borderId="58" xfId="8" applyFont="1" applyFill="1" applyBorder="1" applyAlignment="1">
      <alignment vertical="center"/>
    </xf>
    <xf numFmtId="170" fontId="87" fillId="10" borderId="15" xfId="0" applyNumberFormat="1" applyFont="1" applyFill="1" applyBorder="1" applyAlignment="1">
      <alignment horizontal="right"/>
    </xf>
    <xf numFmtId="170" fontId="87" fillId="10" borderId="102" xfId="0" applyNumberFormat="1" applyFont="1" applyFill="1" applyBorder="1" applyAlignment="1">
      <alignment horizontal="right"/>
    </xf>
    <xf numFmtId="44" fontId="87" fillId="10" borderId="58" xfId="0" applyNumberFormat="1" applyFont="1" applyFill="1" applyBorder="1" applyAlignment="1">
      <alignment horizontal="right"/>
    </xf>
    <xf numFmtId="44" fontId="81" fillId="15" borderId="58" xfId="0" applyNumberFormat="1" applyFont="1" applyFill="1" applyBorder="1"/>
    <xf numFmtId="0" fontId="0" fillId="14" borderId="58" xfId="0" applyFill="1" applyBorder="1"/>
    <xf numFmtId="44" fontId="81" fillId="14" borderId="58" xfId="0" applyNumberFormat="1" applyFont="1" applyFill="1" applyBorder="1"/>
    <xf numFmtId="44" fontId="81" fillId="14" borderId="71" xfId="8" applyFont="1" applyFill="1" applyBorder="1"/>
    <xf numFmtId="0" fontId="20" fillId="13" borderId="64" xfId="0" applyFont="1" applyFill="1" applyBorder="1" applyAlignment="1">
      <alignment horizontal="center" vertical="center"/>
    </xf>
    <xf numFmtId="44" fontId="88" fillId="25" borderId="64" xfId="8" applyFont="1" applyFill="1" applyBorder="1" applyAlignment="1">
      <alignment vertical="center"/>
    </xf>
    <xf numFmtId="0" fontId="84" fillId="0" borderId="46" xfId="0" applyFont="1" applyBorder="1" applyAlignment="1">
      <alignment horizontal="left" vertical="center" wrapText="1"/>
    </xf>
    <xf numFmtId="44" fontId="20" fillId="11" borderId="58" xfId="8" applyFont="1" applyFill="1" applyBorder="1" applyAlignment="1">
      <alignment vertical="center" wrapText="1"/>
    </xf>
    <xf numFmtId="0" fontId="21" fillId="0" borderId="66" xfId="0" applyFont="1" applyBorder="1" applyAlignment="1">
      <alignment horizontal="left" vertical="center" wrapText="1"/>
    </xf>
    <xf numFmtId="170" fontId="87" fillId="10" borderId="0" xfId="0" applyNumberFormat="1" applyFont="1" applyFill="1" applyAlignment="1">
      <alignment horizontal="right"/>
    </xf>
    <xf numFmtId="170" fontId="87" fillId="10" borderId="18" xfId="0" applyNumberFormat="1" applyFont="1" applyFill="1" applyBorder="1" applyAlignment="1">
      <alignment horizontal="right"/>
    </xf>
    <xf numFmtId="44" fontId="87" fillId="10" borderId="0" xfId="0" applyNumberFormat="1" applyFont="1" applyFill="1" applyAlignment="1">
      <alignment horizontal="right"/>
    </xf>
    <xf numFmtId="44" fontId="81" fillId="15" borderId="0" xfId="0" applyNumberFormat="1" applyFont="1" applyFill="1"/>
    <xf numFmtId="0" fontId="0" fillId="14" borderId="0" xfId="0" applyFill="1"/>
    <xf numFmtId="44" fontId="81" fillId="14" borderId="0" xfId="0" applyNumberFormat="1" applyFont="1" applyFill="1"/>
    <xf numFmtId="44" fontId="81" fillId="14" borderId="18" xfId="8" applyFont="1" applyFill="1" applyBorder="1"/>
    <xf numFmtId="8" fontId="0" fillId="30" borderId="0" xfId="0" applyNumberFormat="1" applyFill="1"/>
    <xf numFmtId="44" fontId="0" fillId="30" borderId="0" xfId="0" applyNumberFormat="1" applyFill="1"/>
    <xf numFmtId="14" fontId="0" fillId="30" borderId="0" xfId="0" applyNumberFormat="1" applyFill="1"/>
    <xf numFmtId="0" fontId="0" fillId="30" borderId="0" xfId="0" applyFill="1"/>
    <xf numFmtId="0" fontId="21" fillId="11" borderId="51" xfId="0" applyFont="1" applyFill="1" applyBorder="1" applyAlignment="1">
      <alignment horizontal="left" vertical="center" wrapText="1"/>
    </xf>
    <xf numFmtId="0" fontId="92" fillId="0" borderId="65" xfId="0" applyFont="1" applyBorder="1" applyAlignment="1">
      <alignment vertical="center" wrapText="1"/>
    </xf>
    <xf numFmtId="10" fontId="20" fillId="15" borderId="65" xfId="0" applyNumberFormat="1" applyFont="1" applyFill="1" applyBorder="1" applyAlignment="1">
      <alignment horizontal="center" vertical="center"/>
    </xf>
    <xf numFmtId="44" fontId="87" fillId="9" borderId="0" xfId="0" applyNumberFormat="1" applyFont="1" applyFill="1" applyAlignment="1">
      <alignment horizontal="right"/>
    </xf>
    <xf numFmtId="44" fontId="87" fillId="9" borderId="18" xfId="0" applyNumberFormat="1" applyFont="1" applyFill="1" applyBorder="1" applyAlignment="1">
      <alignment horizontal="right"/>
    </xf>
    <xf numFmtId="44" fontId="87" fillId="9" borderId="65" xfId="0" applyNumberFormat="1" applyFont="1" applyFill="1" applyBorder="1" applyAlignment="1">
      <alignment horizontal="right"/>
    </xf>
    <xf numFmtId="44" fontId="81" fillId="15" borderId="65" xfId="0" applyNumberFormat="1" applyFont="1" applyFill="1" applyBorder="1"/>
    <xf numFmtId="0" fontId="0" fillId="14" borderId="65" xfId="0" applyFill="1" applyBorder="1"/>
    <xf numFmtId="44" fontId="81" fillId="14" borderId="65" xfId="0" applyNumberFormat="1" applyFont="1" applyFill="1" applyBorder="1"/>
    <xf numFmtId="44" fontId="81" fillId="14" borderId="64" xfId="8" applyFont="1" applyFill="1" applyBorder="1"/>
    <xf numFmtId="44" fontId="94" fillId="16" borderId="11" xfId="8" applyFont="1" applyFill="1" applyBorder="1" applyAlignment="1">
      <alignment horizontal="center"/>
    </xf>
    <xf numFmtId="44" fontId="94" fillId="16" borderId="101" xfId="8" applyFont="1" applyFill="1" applyBorder="1" applyAlignment="1">
      <alignment horizontal="center"/>
    </xf>
    <xf numFmtId="49" fontId="20" fillId="0" borderId="62" xfId="0" applyNumberFormat="1" applyFont="1" applyBorder="1" applyAlignment="1">
      <alignment horizontal="left" vertical="center" wrapText="1"/>
    </xf>
    <xf numFmtId="9" fontId="22" fillId="16" borderId="14" xfId="1" applyFont="1" applyFill="1" applyBorder="1"/>
    <xf numFmtId="44" fontId="22" fillId="16" borderId="102" xfId="8" applyFont="1" applyFill="1" applyBorder="1"/>
    <xf numFmtId="0" fontId="84" fillId="0" borderId="0" xfId="0" applyFont="1"/>
    <xf numFmtId="0" fontId="95" fillId="0" borderId="0" xfId="0" applyFont="1" applyAlignment="1">
      <alignment horizontal="center"/>
    </xf>
    <xf numFmtId="0" fontId="95" fillId="0" borderId="0" xfId="0" applyFont="1"/>
    <xf numFmtId="0" fontId="84" fillId="0" borderId="0" xfId="0" applyFont="1" applyAlignment="1">
      <alignment horizontal="center"/>
    </xf>
    <xf numFmtId="0" fontId="83" fillId="0" borderId="0" xfId="0" applyFont="1" applyAlignment="1">
      <alignment horizontal="center"/>
    </xf>
    <xf numFmtId="0" fontId="96" fillId="24" borderId="0" xfId="0" applyFont="1" applyFill="1" applyAlignment="1">
      <alignment horizontal="left"/>
    </xf>
    <xf numFmtId="0" fontId="95" fillId="24" borderId="0" xfId="0" applyFont="1" applyFill="1" applyAlignment="1">
      <alignment horizontal="center"/>
    </xf>
    <xf numFmtId="0" fontId="95" fillId="24" borderId="0" xfId="0" applyFont="1" applyFill="1"/>
    <xf numFmtId="49" fontId="84" fillId="0" borderId="0" xfId="0" applyNumberFormat="1" applyFont="1"/>
    <xf numFmtId="0" fontId="95" fillId="0" borderId="0" xfId="1" applyNumberFormat="1" applyFont="1"/>
    <xf numFmtId="168" fontId="96" fillId="0" borderId="100" xfId="1" applyNumberFormat="1" applyFont="1" applyBorder="1"/>
    <xf numFmtId="0" fontId="97" fillId="0" borderId="0" xfId="0" applyFont="1"/>
    <xf numFmtId="0" fontId="4" fillId="6" borderId="53" xfId="3" applyFont="1" applyFill="1" applyBorder="1" applyAlignment="1">
      <alignment horizontal="left" vertical="center"/>
    </xf>
    <xf numFmtId="0" fontId="21" fillId="6" borderId="56" xfId="3" applyFont="1" applyFill="1" applyBorder="1" applyAlignment="1">
      <alignment horizontal="center" vertical="center" wrapText="1"/>
    </xf>
    <xf numFmtId="0" fontId="96" fillId="12" borderId="10" xfId="0" applyFont="1" applyFill="1" applyBorder="1" applyAlignment="1">
      <alignment horizontal="center" vertical="center"/>
    </xf>
    <xf numFmtId="0" fontId="96" fillId="12" borderId="58" xfId="0" applyFont="1" applyFill="1" applyBorder="1" applyAlignment="1">
      <alignment horizontal="center" vertical="center"/>
    </xf>
    <xf numFmtId="44" fontId="20" fillId="30" borderId="64" xfId="8" applyFont="1" applyFill="1" applyBorder="1" applyAlignment="1">
      <alignment vertical="center"/>
    </xf>
    <xf numFmtId="0" fontId="84" fillId="0" borderId="60" xfId="0" applyFont="1" applyBorder="1" applyAlignment="1">
      <alignment horizontal="left" vertical="center" wrapText="1"/>
    </xf>
    <xf numFmtId="0" fontId="84" fillId="0" borderId="0" xfId="0" applyFont="1" applyAlignment="1">
      <alignment horizontal="left" vertical="center" wrapText="1"/>
    </xf>
    <xf numFmtId="0" fontId="21" fillId="11" borderId="112" xfId="0" applyFont="1" applyFill="1" applyBorder="1" applyAlignment="1">
      <alignment horizontal="left" vertical="center" wrapText="1"/>
    </xf>
    <xf numFmtId="44" fontId="20" fillId="0" borderId="113" xfId="8" applyFont="1" applyBorder="1" applyAlignment="1">
      <alignment vertical="center"/>
    </xf>
    <xf numFmtId="0" fontId="20" fillId="13" borderId="122" xfId="0" applyFont="1" applyFill="1" applyBorder="1" applyAlignment="1">
      <alignment horizontal="center" vertical="center"/>
    </xf>
    <xf numFmtId="44" fontId="20" fillId="25" borderId="122" xfId="8" applyFont="1" applyFill="1" applyBorder="1" applyAlignment="1">
      <alignment vertical="center"/>
    </xf>
    <xf numFmtId="0" fontId="20" fillId="0" borderId="46" xfId="0" applyFont="1" applyBorder="1" applyAlignment="1">
      <alignment horizontal="left" vertical="center" wrapText="1"/>
    </xf>
    <xf numFmtId="1" fontId="20" fillId="13" borderId="64" xfId="0" applyNumberFormat="1" applyFont="1" applyFill="1" applyBorder="1" applyAlignment="1">
      <alignment horizontal="center" vertical="center"/>
    </xf>
    <xf numFmtId="0" fontId="21" fillId="0" borderId="51" xfId="0" applyFont="1" applyBorder="1" applyAlignment="1">
      <alignment horizontal="left" vertical="center" wrapText="1"/>
    </xf>
    <xf numFmtId="0" fontId="20" fillId="0" borderId="60" xfId="0" applyFont="1" applyBorder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21" fillId="0" borderId="112" xfId="0" applyFont="1" applyBorder="1" applyAlignment="1">
      <alignment horizontal="left" vertical="center" wrapText="1"/>
    </xf>
    <xf numFmtId="1" fontId="20" fillId="13" borderId="122" xfId="0" applyNumberFormat="1" applyFont="1" applyFill="1" applyBorder="1" applyAlignment="1">
      <alignment horizontal="center" vertical="center"/>
    </xf>
    <xf numFmtId="44" fontId="88" fillId="13" borderId="122" xfId="8" applyFont="1" applyFill="1" applyBorder="1" applyAlignment="1">
      <alignment vertical="center"/>
    </xf>
    <xf numFmtId="44" fontId="88" fillId="25" borderId="122" xfId="8" applyFont="1" applyFill="1" applyBorder="1" applyAlignment="1">
      <alignment vertical="center"/>
    </xf>
    <xf numFmtId="0" fontId="95" fillId="26" borderId="0" xfId="0" applyFont="1" applyFill="1"/>
    <xf numFmtId="44" fontId="20" fillId="30" borderId="7" xfId="8" applyFont="1" applyFill="1" applyBorder="1" applyAlignment="1">
      <alignment vertical="center"/>
    </xf>
    <xf numFmtId="170" fontId="87" fillId="10" borderId="109" xfId="8" applyNumberFormat="1" applyFont="1" applyFill="1" applyBorder="1" applyAlignment="1">
      <alignment horizontal="right"/>
    </xf>
    <xf numFmtId="170" fontId="87" fillId="10" borderId="113" xfId="8" applyNumberFormat="1" applyFont="1" applyFill="1" applyBorder="1" applyAlignment="1">
      <alignment horizontal="right"/>
    </xf>
    <xf numFmtId="170" fontId="21" fillId="12" borderId="160" xfId="8" applyNumberFormat="1" applyFont="1" applyFill="1" applyBorder="1" applyAlignment="1">
      <alignment horizontal="center" vertical="center"/>
    </xf>
    <xf numFmtId="170" fontId="21" fillId="12" borderId="83" xfId="8" applyNumberFormat="1" applyFont="1" applyFill="1" applyBorder="1" applyAlignment="1">
      <alignment horizontal="center" vertical="center"/>
    </xf>
    <xf numFmtId="10" fontId="21" fillId="12" borderId="58" xfId="0" applyNumberFormat="1" applyFont="1" applyFill="1" applyBorder="1" applyAlignment="1">
      <alignment horizontal="center" vertical="center"/>
    </xf>
    <xf numFmtId="44" fontId="20" fillId="25" borderId="59" xfId="8" applyFont="1" applyFill="1" applyBorder="1" applyAlignment="1">
      <alignment vertical="center"/>
    </xf>
    <xf numFmtId="44" fontId="20" fillId="14" borderId="109" xfId="8" applyFont="1" applyFill="1" applyBorder="1" applyAlignment="1">
      <alignment vertical="center"/>
    </xf>
    <xf numFmtId="44" fontId="20" fillId="14" borderId="65" xfId="8" applyFont="1" applyFill="1" applyBorder="1" applyAlignment="1">
      <alignment vertical="center"/>
    </xf>
    <xf numFmtId="0" fontId="95" fillId="26" borderId="0" xfId="0" applyFont="1" applyFill="1" applyAlignment="1">
      <alignment wrapText="1"/>
    </xf>
    <xf numFmtId="172" fontId="20" fillId="0" borderId="65" xfId="8" applyNumberFormat="1" applyFont="1" applyBorder="1" applyAlignment="1">
      <alignment vertical="center"/>
    </xf>
    <xf numFmtId="1" fontId="95" fillId="13" borderId="64" xfId="0" applyNumberFormat="1" applyFont="1" applyFill="1" applyBorder="1" applyAlignment="1">
      <alignment horizontal="center" vertical="center"/>
    </xf>
    <xf numFmtId="44" fontId="95" fillId="13" borderId="64" xfId="8" applyFont="1" applyFill="1" applyBorder="1" applyAlignment="1">
      <alignment vertical="center"/>
    </xf>
    <xf numFmtId="44" fontId="95" fillId="25" borderId="64" xfId="8" applyFont="1" applyFill="1" applyBorder="1" applyAlignment="1">
      <alignment vertical="center"/>
    </xf>
    <xf numFmtId="172" fontId="95" fillId="15" borderId="64" xfId="8" applyNumberFormat="1" applyFont="1" applyFill="1" applyBorder="1" applyAlignment="1">
      <alignment vertical="center"/>
    </xf>
    <xf numFmtId="9" fontId="95" fillId="14" borderId="64" xfId="1" applyFont="1" applyFill="1" applyBorder="1" applyAlignment="1">
      <alignment vertical="center"/>
    </xf>
    <xf numFmtId="172" fontId="95" fillId="14" borderId="64" xfId="8" applyNumberFormat="1" applyFont="1" applyFill="1" applyBorder="1" applyAlignment="1">
      <alignment vertical="center"/>
    </xf>
    <xf numFmtId="0" fontId="95" fillId="14" borderId="0" xfId="0" applyFont="1" applyFill="1"/>
    <xf numFmtId="44" fontId="81" fillId="14" borderId="0" xfId="8" applyFont="1" applyFill="1" applyBorder="1"/>
    <xf numFmtId="44" fontId="94" fillId="16" borderId="17" xfId="8" applyFont="1" applyFill="1" applyBorder="1" applyAlignment="1">
      <alignment horizontal="center"/>
    </xf>
    <xf numFmtId="44" fontId="95" fillId="0" borderId="0" xfId="0" applyNumberFormat="1" applyFont="1"/>
    <xf numFmtId="0" fontId="25" fillId="0" borderId="0" xfId="0" applyFont="1"/>
    <xf numFmtId="0" fontId="21" fillId="12" borderId="160" xfId="0" applyFont="1" applyFill="1" applyBorder="1" applyAlignment="1">
      <alignment horizontal="center" vertical="center"/>
    </xf>
    <xf numFmtId="0" fontId="21" fillId="12" borderId="83" xfId="0" applyFont="1" applyFill="1" applyBorder="1" applyAlignment="1">
      <alignment horizontal="center" vertical="center"/>
    </xf>
    <xf numFmtId="0" fontId="21" fillId="12" borderId="161" xfId="0" applyFont="1" applyFill="1" applyBorder="1" applyAlignment="1">
      <alignment horizontal="center" vertical="center"/>
    </xf>
    <xf numFmtId="0" fontId="20" fillId="11" borderId="59" xfId="2" quotePrefix="1" applyFont="1" applyFill="1" applyBorder="1" applyAlignment="1">
      <alignment horizontal="center" vertical="center"/>
    </xf>
    <xf numFmtId="44" fontId="20" fillId="11" borderId="59" xfId="8" quotePrefix="1" applyFont="1" applyFill="1" applyBorder="1" applyAlignment="1">
      <alignment vertical="center"/>
    </xf>
    <xf numFmtId="1" fontId="20" fillId="13" borderId="72" xfId="0" applyNumberFormat="1" applyFont="1" applyFill="1" applyBorder="1" applyAlignment="1">
      <alignment horizontal="center" vertical="center"/>
    </xf>
    <xf numFmtId="44" fontId="20" fillId="14" borderId="86" xfId="8" applyFont="1" applyFill="1" applyBorder="1" applyAlignment="1">
      <alignment vertical="center"/>
    </xf>
    <xf numFmtId="0" fontId="20" fillId="0" borderId="58" xfId="0" applyFont="1" applyBorder="1" applyAlignment="1">
      <alignment horizontal="center" vertical="center" wrapText="1"/>
    </xf>
    <xf numFmtId="44" fontId="89" fillId="0" borderId="58" xfId="8" applyFont="1" applyBorder="1" applyAlignment="1">
      <alignment vertical="center" wrapText="1"/>
    </xf>
    <xf numFmtId="44" fontId="89" fillId="13" borderId="7" xfId="8" applyFont="1" applyFill="1" applyBorder="1" applyAlignment="1">
      <alignment vertical="center"/>
    </xf>
    <xf numFmtId="0" fontId="20" fillId="0" borderId="58" xfId="2" applyFont="1" applyBorder="1" applyAlignment="1">
      <alignment horizontal="left" vertical="center" wrapText="1"/>
    </xf>
    <xf numFmtId="0" fontId="21" fillId="11" borderId="51" xfId="2" applyFont="1" applyFill="1" applyBorder="1" applyAlignment="1">
      <alignment horizontal="left" vertical="center" wrapText="1"/>
    </xf>
    <xf numFmtId="0" fontId="20" fillId="0" borderId="65" xfId="2" applyFont="1" applyBorder="1" applyAlignment="1">
      <alignment horizontal="left" vertical="center" wrapText="1"/>
    </xf>
    <xf numFmtId="0" fontId="20" fillId="11" borderId="65" xfId="2" quotePrefix="1" applyFont="1" applyFill="1" applyBorder="1" applyAlignment="1">
      <alignment horizontal="center" vertical="center"/>
    </xf>
    <xf numFmtId="3" fontId="20" fillId="11" borderId="65" xfId="2" quotePrefix="1" applyNumberFormat="1" applyFont="1" applyFill="1" applyBorder="1" applyAlignment="1">
      <alignment horizontal="center" vertical="center"/>
    </xf>
    <xf numFmtId="44" fontId="20" fillId="11" borderId="65" xfId="8" quotePrefix="1" applyFont="1" applyFill="1" applyBorder="1" applyAlignment="1">
      <alignment vertical="center"/>
    </xf>
    <xf numFmtId="1" fontId="20" fillId="13" borderId="51" xfId="0" applyNumberFormat="1" applyFont="1" applyFill="1" applyBorder="1" applyAlignment="1">
      <alignment horizontal="center" vertical="center"/>
    </xf>
    <xf numFmtId="0" fontId="20" fillId="13" borderId="65" xfId="0" applyFont="1" applyFill="1" applyBorder="1" applyAlignment="1">
      <alignment horizontal="center" vertical="center"/>
    </xf>
    <xf numFmtId="44" fontId="20" fillId="13" borderId="65" xfId="8" applyFont="1" applyFill="1" applyBorder="1" applyAlignment="1">
      <alignment vertical="center"/>
    </xf>
    <xf numFmtId="0" fontId="21" fillId="11" borderId="84" xfId="2" applyFont="1" applyFill="1" applyBorder="1" applyAlignment="1">
      <alignment horizontal="left" vertical="center" wrapText="1"/>
    </xf>
    <xf numFmtId="0" fontId="20" fillId="0" borderId="85" xfId="2" applyFont="1" applyBorder="1" applyAlignment="1">
      <alignment horizontal="left" vertical="center" wrapText="1"/>
    </xf>
    <xf numFmtId="0" fontId="20" fillId="11" borderId="85" xfId="2" quotePrefix="1" applyFont="1" applyFill="1" applyBorder="1" applyAlignment="1">
      <alignment horizontal="center" vertical="center"/>
    </xf>
    <xf numFmtId="3" fontId="20" fillId="11" borderId="85" xfId="2" quotePrefix="1" applyNumberFormat="1" applyFont="1" applyFill="1" applyBorder="1" applyAlignment="1">
      <alignment horizontal="center" vertical="center"/>
    </xf>
    <xf numFmtId="44" fontId="20" fillId="11" borderId="85" xfId="8" quotePrefix="1" applyFont="1" applyFill="1" applyBorder="1" applyAlignment="1">
      <alignment vertical="center"/>
    </xf>
    <xf numFmtId="44" fontId="20" fillId="0" borderId="85" xfId="8" applyFont="1" applyBorder="1" applyAlignment="1">
      <alignment vertical="center"/>
    </xf>
    <xf numFmtId="44" fontId="20" fillId="11" borderId="85" xfId="8" applyFont="1" applyFill="1" applyBorder="1" applyAlignment="1">
      <alignment vertical="center"/>
    </xf>
    <xf numFmtId="44" fontId="20" fillId="0" borderId="132" xfId="8" applyFont="1" applyBorder="1" applyAlignment="1">
      <alignment vertical="center"/>
    </xf>
    <xf numFmtId="44" fontId="87" fillId="10" borderId="109" xfId="0" applyNumberFormat="1" applyFont="1" applyFill="1" applyBorder="1" applyAlignment="1">
      <alignment horizontal="right"/>
    </xf>
    <xf numFmtId="44" fontId="81" fillId="15" borderId="109" xfId="0" applyNumberFormat="1" applyFont="1" applyFill="1" applyBorder="1"/>
    <xf numFmtId="0" fontId="0" fillId="14" borderId="109" xfId="0" applyFill="1" applyBorder="1"/>
    <xf numFmtId="44" fontId="81" fillId="14" borderId="109" xfId="0" applyNumberFormat="1" applyFont="1" applyFill="1" applyBorder="1"/>
    <xf numFmtId="44" fontId="81" fillId="14" borderId="122" xfId="8" applyFont="1" applyFill="1" applyBorder="1"/>
    <xf numFmtId="0" fontId="0" fillId="0" borderId="0" xfId="0" applyAlignment="1">
      <alignment horizontal="center" vertical="center"/>
    </xf>
    <xf numFmtId="0" fontId="77" fillId="0" borderId="0" xfId="0" applyFont="1"/>
    <xf numFmtId="0" fontId="21" fillId="6" borderId="55" xfId="3" applyFont="1" applyFill="1" applyBorder="1" applyAlignment="1">
      <alignment horizontal="center" vertical="center" wrapText="1"/>
    </xf>
    <xf numFmtId="9" fontId="21" fillId="6" borderId="53" xfId="1" applyFont="1" applyFill="1" applyBorder="1" applyAlignment="1">
      <alignment horizontal="center" vertical="center" wrapText="1"/>
    </xf>
    <xf numFmtId="10" fontId="82" fillId="6" borderId="57" xfId="5" applyNumberFormat="1" applyFont="1" applyFill="1" applyBorder="1" applyAlignment="1">
      <alignment horizontal="center" vertical="center" wrapText="1"/>
    </xf>
    <xf numFmtId="10" fontId="82" fillId="6" borderId="56" xfId="5" applyNumberFormat="1" applyFont="1" applyFill="1" applyBorder="1" applyAlignment="1">
      <alignment horizontal="center" vertical="center" wrapText="1"/>
    </xf>
    <xf numFmtId="44" fontId="20" fillId="0" borderId="86" xfId="8" applyFont="1" applyBorder="1" applyAlignment="1">
      <alignment vertical="center"/>
    </xf>
    <xf numFmtId="1" fontId="20" fillId="13" borderId="87" xfId="0" applyNumberFormat="1" applyFont="1" applyFill="1" applyBorder="1" applyAlignment="1">
      <alignment horizontal="center" vertical="center"/>
    </xf>
    <xf numFmtId="1" fontId="20" fillId="13" borderId="88" xfId="0" applyNumberFormat="1" applyFont="1" applyFill="1" applyBorder="1" applyAlignment="1">
      <alignment horizontal="center" vertical="center"/>
    </xf>
    <xf numFmtId="44" fontId="88" fillId="13" borderId="88" xfId="8" applyFont="1" applyFill="1" applyBorder="1" applyAlignment="1">
      <alignment vertical="center"/>
    </xf>
    <xf numFmtId="44" fontId="20" fillId="13" borderId="88" xfId="8" applyFont="1" applyFill="1" applyBorder="1" applyAlignment="1">
      <alignment vertical="center"/>
    </xf>
    <xf numFmtId="44" fontId="20" fillId="15" borderId="88" xfId="8" applyFont="1" applyFill="1" applyBorder="1" applyAlignment="1">
      <alignment vertical="center"/>
    </xf>
    <xf numFmtId="9" fontId="20" fillId="14" borderId="88" xfId="1" applyFont="1" applyFill="1" applyBorder="1" applyAlignment="1">
      <alignment vertical="center"/>
    </xf>
    <xf numFmtId="44" fontId="20" fillId="14" borderId="88" xfId="8" applyFont="1" applyFill="1" applyBorder="1" applyAlignment="1">
      <alignment vertical="center"/>
    </xf>
    <xf numFmtId="10" fontId="20" fillId="15" borderId="93" xfId="0" applyNumberFormat="1" applyFont="1" applyFill="1" applyBorder="1" applyAlignment="1">
      <alignment horizontal="center" vertical="center"/>
    </xf>
    <xf numFmtId="44" fontId="94" fillId="16" borderId="0" xfId="8" applyFont="1" applyFill="1" applyBorder="1" applyAlignment="1">
      <alignment horizontal="center"/>
    </xf>
    <xf numFmtId="44" fontId="94" fillId="16" borderId="18" xfId="8" applyFont="1" applyFill="1" applyBorder="1" applyAlignment="1">
      <alignment horizontal="center"/>
    </xf>
    <xf numFmtId="0" fontId="89" fillId="0" borderId="60" xfId="0" applyFont="1" applyBorder="1" applyAlignment="1">
      <alignment horizontal="left" vertical="center" wrapText="1"/>
    </xf>
    <xf numFmtId="44" fontId="98" fillId="11" borderId="58" xfId="8" applyFont="1" applyFill="1" applyBorder="1" applyAlignment="1">
      <alignment vertical="center"/>
    </xf>
    <xf numFmtId="44" fontId="98" fillId="0" borderId="58" xfId="8" applyFont="1" applyBorder="1" applyAlignment="1">
      <alignment vertical="center"/>
    </xf>
    <xf numFmtId="0" fontId="20" fillId="26" borderId="61" xfId="0" applyFont="1" applyFill="1" applyBorder="1" applyAlignment="1">
      <alignment horizontal="left" vertical="center" wrapText="1"/>
    </xf>
    <xf numFmtId="43" fontId="98" fillId="11" borderId="58" xfId="18" applyFont="1" applyFill="1" applyBorder="1" applyAlignment="1">
      <alignment vertical="center"/>
    </xf>
    <xf numFmtId="0" fontId="89" fillId="11" borderId="60" xfId="0" applyFont="1" applyFill="1" applyBorder="1" applyAlignment="1">
      <alignment horizontal="left" vertical="center" wrapText="1"/>
    </xf>
    <xf numFmtId="44" fontId="98" fillId="11" borderId="109" xfId="8" applyFont="1" applyFill="1" applyBorder="1" applyAlignment="1">
      <alignment vertical="center"/>
    </xf>
    <xf numFmtId="44" fontId="98" fillId="0" borderId="109" xfId="8" applyFont="1" applyBorder="1" applyAlignment="1">
      <alignment vertical="center"/>
    </xf>
    <xf numFmtId="0" fontId="89" fillId="0" borderId="44" xfId="0" applyFont="1" applyBorder="1" applyAlignment="1">
      <alignment horizontal="left" vertical="center" wrapText="1"/>
    </xf>
    <xf numFmtId="44" fontId="98" fillId="11" borderId="65" xfId="8" applyFont="1" applyFill="1" applyBorder="1" applyAlignment="1">
      <alignment vertical="center"/>
    </xf>
    <xf numFmtId="44" fontId="98" fillId="0" borderId="65" xfId="8" applyFont="1" applyBorder="1" applyAlignment="1">
      <alignment vertical="center"/>
    </xf>
    <xf numFmtId="0" fontId="89" fillId="0" borderId="61" xfId="0" applyFont="1" applyBorder="1" applyAlignment="1">
      <alignment horizontal="left" vertical="center" wrapText="1"/>
    </xf>
    <xf numFmtId="0" fontId="89" fillId="0" borderId="98" xfId="0" applyFont="1" applyBorder="1" applyAlignment="1">
      <alignment horizontal="left" vertical="center" wrapText="1"/>
    </xf>
    <xf numFmtId="0" fontId="20" fillId="0" borderId="99" xfId="0" applyFont="1" applyBorder="1" applyAlignment="1">
      <alignment horizontal="left" vertical="center" wrapText="1"/>
    </xf>
    <xf numFmtId="0" fontId="21" fillId="11" borderId="72" xfId="0" applyFont="1" applyFill="1" applyBorder="1" applyAlignment="1">
      <alignment horizontal="left" vertical="center" wrapText="1"/>
    </xf>
    <xf numFmtId="0" fontId="20" fillId="11" borderId="59" xfId="0" applyFont="1" applyFill="1" applyBorder="1" applyAlignment="1">
      <alignment horizontal="left" vertical="center" wrapText="1"/>
    </xf>
    <xf numFmtId="44" fontId="98" fillId="11" borderId="59" xfId="8" applyFont="1" applyFill="1" applyBorder="1" applyAlignment="1">
      <alignment vertical="center"/>
    </xf>
    <xf numFmtId="44" fontId="98" fillId="0" borderId="59" xfId="8" applyFont="1" applyBorder="1" applyAlignment="1">
      <alignment vertical="center"/>
    </xf>
    <xf numFmtId="1" fontId="20" fillId="13" borderId="58" xfId="0" applyNumberFormat="1" applyFont="1" applyFill="1" applyBorder="1" applyAlignment="1">
      <alignment horizontal="center" vertical="center"/>
    </xf>
    <xf numFmtId="1" fontId="20" fillId="13" borderId="109" xfId="0" applyNumberFormat="1" applyFont="1" applyFill="1" applyBorder="1" applyAlignment="1">
      <alignment horizontal="center" vertical="center"/>
    </xf>
    <xf numFmtId="44" fontId="20" fillId="13" borderId="109" xfId="8" applyFont="1" applyFill="1" applyBorder="1" applyAlignment="1">
      <alignment vertical="center"/>
    </xf>
    <xf numFmtId="44" fontId="20" fillId="15" borderId="109" xfId="8" applyFont="1" applyFill="1" applyBorder="1" applyAlignment="1">
      <alignment vertical="center"/>
    </xf>
    <xf numFmtId="9" fontId="20" fillId="14" borderId="109" xfId="1" applyFont="1" applyFill="1" applyBorder="1" applyAlignment="1">
      <alignment vertical="center"/>
    </xf>
    <xf numFmtId="44" fontId="93" fillId="13" borderId="58" xfId="8" applyFont="1" applyFill="1" applyBorder="1" applyAlignment="1">
      <alignment vertical="center"/>
    </xf>
    <xf numFmtId="44" fontId="99" fillId="13" borderId="58" xfId="8" applyFont="1" applyFill="1" applyBorder="1" applyAlignment="1">
      <alignment vertical="center"/>
    </xf>
    <xf numFmtId="170" fontId="0" fillId="0" borderId="0" xfId="0" applyNumberFormat="1"/>
    <xf numFmtId="4" fontId="0" fillId="0" borderId="0" xfId="0" applyNumberFormat="1"/>
    <xf numFmtId="0" fontId="85" fillId="0" borderId="0" xfId="0" applyFont="1" applyAlignment="1">
      <alignment horizontal="right"/>
    </xf>
    <xf numFmtId="170" fontId="89" fillId="0" borderId="0" xfId="8" applyNumberFormat="1" applyFont="1"/>
    <xf numFmtId="44" fontId="89" fillId="0" borderId="0" xfId="0" applyNumberFormat="1" applyFont="1"/>
    <xf numFmtId="9" fontId="21" fillId="0" borderId="0" xfId="1" applyFont="1" applyAlignment="1">
      <alignment horizontal="center"/>
    </xf>
    <xf numFmtId="44" fontId="20" fillId="0" borderId="101" xfId="0" applyNumberFormat="1" applyFont="1" applyBorder="1" applyAlignment="1">
      <alignment horizontal="center" vertical="center"/>
    </xf>
    <xf numFmtId="0" fontId="20" fillId="0" borderId="102" xfId="0" applyFont="1" applyBorder="1" applyAlignment="1">
      <alignment horizontal="center" vertical="center"/>
    </xf>
    <xf numFmtId="44" fontId="21" fillId="0" borderId="54" xfId="0" applyNumberFormat="1" applyFont="1" applyBorder="1" applyAlignment="1">
      <alignment horizontal="center" vertical="center"/>
    </xf>
    <xf numFmtId="44" fontId="21" fillId="0" borderId="109" xfId="0" applyNumberFormat="1" applyFont="1" applyBorder="1" applyAlignment="1">
      <alignment horizontal="center" vertical="center"/>
    </xf>
    <xf numFmtId="44" fontId="21" fillId="0" borderId="108" xfId="0" applyNumberFormat="1" applyFont="1" applyBorder="1" applyAlignment="1">
      <alignment horizontal="center" vertical="center"/>
    </xf>
    <xf numFmtId="170" fontId="21" fillId="0" borderId="54" xfId="0" applyNumberFormat="1" applyFont="1" applyBorder="1" applyAlignment="1">
      <alignment horizontal="center" vertical="center"/>
    </xf>
    <xf numFmtId="170" fontId="21" fillId="0" borderId="109" xfId="0" applyNumberFormat="1" applyFont="1" applyBorder="1" applyAlignment="1">
      <alignment horizontal="center" vertical="center"/>
    </xf>
    <xf numFmtId="170" fontId="21" fillId="0" borderId="108" xfId="0" applyNumberFormat="1" applyFont="1" applyBorder="1" applyAlignment="1">
      <alignment horizontal="center" vertical="center"/>
    </xf>
    <xf numFmtId="0" fontId="21" fillId="23" borderId="6" xfId="0" applyFont="1" applyFill="1" applyBorder="1" applyAlignment="1">
      <alignment horizontal="center" vertical="center"/>
    </xf>
    <xf numFmtId="0" fontId="21" fillId="23" borderId="37" xfId="0" applyFont="1" applyFill="1" applyBorder="1" applyAlignment="1">
      <alignment horizontal="center" vertical="center"/>
    </xf>
    <xf numFmtId="0" fontId="21" fillId="23" borderId="100" xfId="0" applyFont="1" applyFill="1" applyBorder="1" applyAlignment="1">
      <alignment horizontal="center" vertical="center"/>
    </xf>
    <xf numFmtId="9" fontId="21" fillId="0" borderId="56" xfId="1" applyFont="1" applyBorder="1" applyAlignment="1">
      <alignment horizontal="center" vertical="center"/>
    </xf>
    <xf numFmtId="9" fontId="21" fillId="0" borderId="113" xfId="1" applyFont="1" applyBorder="1" applyAlignment="1">
      <alignment horizontal="center" vertical="center"/>
    </xf>
    <xf numFmtId="9" fontId="21" fillId="0" borderId="110" xfId="1" applyFont="1" applyBorder="1" applyAlignment="1">
      <alignment horizontal="center" vertical="center"/>
    </xf>
    <xf numFmtId="166" fontId="33" fillId="0" borderId="39" xfId="4" applyNumberFormat="1" applyFont="1" applyBorder="1" applyAlignment="1">
      <alignment horizontal="center" vertical="center" wrapText="1"/>
    </xf>
    <xf numFmtId="166" fontId="33" fillId="0" borderId="40" xfId="4" applyNumberFormat="1" applyFont="1" applyBorder="1" applyAlignment="1">
      <alignment horizontal="center" vertical="center" wrapText="1"/>
    </xf>
    <xf numFmtId="0" fontId="30" fillId="0" borderId="0" xfId="2" applyFont="1" applyAlignment="1">
      <alignment horizontal="left" vertical="center" wrapText="1"/>
    </xf>
    <xf numFmtId="0" fontId="30" fillId="0" borderId="0" xfId="2" applyFont="1" applyAlignment="1">
      <alignment horizontal="left" vertical="top"/>
    </xf>
    <xf numFmtId="0" fontId="33" fillId="2" borderId="3" xfId="3" applyFont="1" applyFill="1" applyBorder="1" applyAlignment="1">
      <alignment horizontal="center" vertical="center"/>
    </xf>
    <xf numFmtId="0" fontId="33" fillId="2" borderId="4" xfId="3" applyFont="1" applyFill="1" applyBorder="1" applyAlignment="1">
      <alignment horizontal="center" vertical="center"/>
    </xf>
    <xf numFmtId="0" fontId="33" fillId="2" borderId="5" xfId="3" applyFont="1" applyFill="1" applyBorder="1" applyAlignment="1">
      <alignment horizontal="center" vertical="center"/>
    </xf>
    <xf numFmtId="0" fontId="33" fillId="3" borderId="6" xfId="0" applyFont="1" applyFill="1" applyBorder="1" applyAlignment="1">
      <alignment horizontal="center" vertical="center" wrapText="1"/>
    </xf>
    <xf numFmtId="0" fontId="33" fillId="3" borderId="37" xfId="0" applyFont="1" applyFill="1" applyBorder="1" applyAlignment="1">
      <alignment horizontal="center" vertical="center" wrapText="1"/>
    </xf>
    <xf numFmtId="0" fontId="33" fillId="3" borderId="5" xfId="0" applyFont="1" applyFill="1" applyBorder="1" applyAlignment="1">
      <alignment horizontal="center" vertical="center" wrapText="1"/>
    </xf>
    <xf numFmtId="166" fontId="33" fillId="4" borderId="6" xfId="4" applyNumberFormat="1" applyFont="1" applyFill="1" applyBorder="1" applyAlignment="1">
      <alignment horizontal="center" vertical="center" wrapText="1"/>
    </xf>
    <xf numFmtId="166" fontId="33" fillId="4" borderId="37" xfId="4" applyNumberFormat="1" applyFont="1" applyFill="1" applyBorder="1" applyAlignment="1">
      <alignment horizontal="center" vertical="center" wrapText="1"/>
    </xf>
    <xf numFmtId="166" fontId="33" fillId="4" borderId="5" xfId="4" applyNumberFormat="1" applyFont="1" applyFill="1" applyBorder="1" applyAlignment="1">
      <alignment horizontal="center" vertical="center" wrapText="1"/>
    </xf>
    <xf numFmtId="166" fontId="33" fillId="4" borderId="17" xfId="4" applyNumberFormat="1" applyFont="1" applyFill="1" applyBorder="1" applyAlignment="1">
      <alignment horizontal="center" vertical="center" wrapText="1"/>
    </xf>
    <xf numFmtId="166" fontId="33" fillId="4" borderId="0" xfId="4" applyNumberFormat="1" applyFont="1" applyFill="1" applyBorder="1" applyAlignment="1">
      <alignment horizontal="center" vertical="center" wrapText="1"/>
    </xf>
    <xf numFmtId="0" fontId="39" fillId="9" borderId="17" xfId="0" applyFont="1" applyFill="1" applyBorder="1" applyAlignment="1">
      <alignment horizontal="center"/>
    </xf>
    <xf numFmtId="0" fontId="39" fillId="9" borderId="0" xfId="0" applyFont="1" applyFill="1" applyAlignment="1">
      <alignment horizontal="center"/>
    </xf>
    <xf numFmtId="0" fontId="39" fillId="9" borderId="18" xfId="0" applyFont="1" applyFill="1" applyBorder="1" applyAlignment="1">
      <alignment horizontal="center"/>
    </xf>
    <xf numFmtId="0" fontId="39" fillId="10" borderId="11" xfId="0" applyFont="1" applyFill="1" applyBorder="1" applyAlignment="1">
      <alignment horizontal="left"/>
    </xf>
    <xf numFmtId="0" fontId="39" fillId="10" borderId="12" xfId="0" applyFont="1" applyFill="1" applyBorder="1" applyAlignment="1">
      <alignment horizontal="left"/>
    </xf>
    <xf numFmtId="0" fontId="39" fillId="10" borderId="57" xfId="0" applyFont="1" applyFill="1" applyBorder="1" applyAlignment="1">
      <alignment horizontal="left"/>
    </xf>
    <xf numFmtId="0" fontId="39" fillId="10" borderId="101" xfId="0" applyFont="1" applyFill="1" applyBorder="1" applyAlignment="1">
      <alignment horizontal="left"/>
    </xf>
    <xf numFmtId="0" fontId="39" fillId="10" borderId="69" xfId="0" applyFont="1" applyFill="1" applyBorder="1" applyAlignment="1">
      <alignment horizontal="left"/>
    </xf>
    <xf numFmtId="0" fontId="39" fillId="10" borderId="70" xfId="0" applyFont="1" applyFill="1" applyBorder="1" applyAlignment="1">
      <alignment horizontal="left"/>
    </xf>
    <xf numFmtId="0" fontId="39" fillId="10" borderId="67" xfId="0" applyFont="1" applyFill="1" applyBorder="1" applyAlignment="1">
      <alignment horizontal="left"/>
    </xf>
    <xf numFmtId="0" fontId="39" fillId="10" borderId="8" xfId="0" applyFont="1" applyFill="1" applyBorder="1" applyAlignment="1">
      <alignment horizontal="left"/>
    </xf>
    <xf numFmtId="0" fontId="39" fillId="9" borderId="11" xfId="0" applyFont="1" applyFill="1" applyBorder="1" applyAlignment="1">
      <alignment horizontal="center"/>
    </xf>
    <xf numFmtId="0" fontId="39" fillId="9" borderId="12" xfId="0" applyFont="1" applyFill="1" applyBorder="1" applyAlignment="1">
      <alignment horizontal="center"/>
    </xf>
    <xf numFmtId="0" fontId="39" fillId="9" borderId="101" xfId="0" applyFont="1" applyFill="1" applyBorder="1" applyAlignment="1">
      <alignment horizontal="center"/>
    </xf>
    <xf numFmtId="0" fontId="44" fillId="0" borderId="0" xfId="2" applyFont="1" applyAlignment="1">
      <alignment horizontal="left" vertical="center" wrapText="1"/>
    </xf>
    <xf numFmtId="0" fontId="44" fillId="0" borderId="0" xfId="2" applyFont="1" applyAlignment="1">
      <alignment horizontal="left" vertical="top"/>
    </xf>
    <xf numFmtId="0" fontId="47" fillId="2" borderId="3" xfId="3" applyFont="1" applyFill="1" applyBorder="1" applyAlignment="1">
      <alignment horizontal="center" vertical="center"/>
    </xf>
    <xf numFmtId="0" fontId="47" fillId="2" borderId="4" xfId="3" applyFont="1" applyFill="1" applyBorder="1" applyAlignment="1">
      <alignment horizontal="center" vertical="center"/>
    </xf>
    <xf numFmtId="0" fontId="47" fillId="2" borderId="5" xfId="3" applyFont="1" applyFill="1" applyBorder="1" applyAlignment="1">
      <alignment horizontal="center" vertical="center"/>
    </xf>
    <xf numFmtId="0" fontId="47" fillId="3" borderId="6" xfId="0" applyFont="1" applyFill="1" applyBorder="1" applyAlignment="1">
      <alignment horizontal="center" vertical="center" wrapText="1"/>
    </xf>
    <xf numFmtId="0" fontId="47" fillId="3" borderId="37" xfId="0" applyFont="1" applyFill="1" applyBorder="1" applyAlignment="1">
      <alignment horizontal="center" vertical="center" wrapText="1"/>
    </xf>
    <xf numFmtId="0" fontId="47" fillId="3" borderId="5" xfId="0" applyFont="1" applyFill="1" applyBorder="1" applyAlignment="1">
      <alignment horizontal="center" vertical="center" wrapText="1"/>
    </xf>
    <xf numFmtId="166" fontId="47" fillId="4" borderId="6" xfId="4" applyNumberFormat="1" applyFont="1" applyFill="1" applyBorder="1" applyAlignment="1">
      <alignment horizontal="center" vertical="center" wrapText="1"/>
    </xf>
    <xf numFmtId="166" fontId="47" fillId="4" borderId="37" xfId="4" applyNumberFormat="1" applyFont="1" applyFill="1" applyBorder="1" applyAlignment="1">
      <alignment horizontal="center" vertical="center" wrapText="1"/>
    </xf>
    <xf numFmtId="166" fontId="47" fillId="4" borderId="5" xfId="4" applyNumberFormat="1" applyFont="1" applyFill="1" applyBorder="1" applyAlignment="1">
      <alignment horizontal="center" vertical="center" wrapText="1"/>
    </xf>
    <xf numFmtId="0" fontId="22" fillId="9" borderId="17" xfId="0" applyFont="1" applyFill="1" applyBorder="1" applyAlignment="1">
      <alignment horizontal="center"/>
    </xf>
    <xf numFmtId="0" fontId="22" fillId="9" borderId="0" xfId="0" applyFont="1" applyFill="1" applyAlignment="1">
      <alignment horizontal="center"/>
    </xf>
    <xf numFmtId="0" fontId="22" fillId="9" borderId="18" xfId="0" applyFont="1" applyFill="1" applyBorder="1" applyAlignment="1">
      <alignment horizontal="center"/>
    </xf>
    <xf numFmtId="0" fontId="22" fillId="9" borderId="11" xfId="0" applyFont="1" applyFill="1" applyBorder="1" applyAlignment="1">
      <alignment horizontal="center"/>
    </xf>
    <xf numFmtId="0" fontId="22" fillId="9" borderId="12" xfId="0" applyFont="1" applyFill="1" applyBorder="1" applyAlignment="1">
      <alignment horizontal="center"/>
    </xf>
    <xf numFmtId="0" fontId="22" fillId="9" borderId="101" xfId="0" applyFont="1" applyFill="1" applyBorder="1" applyAlignment="1">
      <alignment horizontal="center"/>
    </xf>
    <xf numFmtId="166" fontId="47" fillId="0" borderId="39" xfId="4" applyNumberFormat="1" applyFont="1" applyBorder="1" applyAlignment="1">
      <alignment horizontal="center" vertical="center" wrapText="1"/>
    </xf>
    <xf numFmtId="166" fontId="47" fillId="0" borderId="40" xfId="4" applyNumberFormat="1" applyFont="1" applyBorder="1" applyAlignment="1">
      <alignment horizontal="center" vertical="center" wrapText="1"/>
    </xf>
    <xf numFmtId="166" fontId="47" fillId="4" borderId="17" xfId="4" applyNumberFormat="1" applyFont="1" applyFill="1" applyBorder="1" applyAlignment="1">
      <alignment horizontal="center" vertical="center" wrapText="1"/>
    </xf>
    <xf numFmtId="166" fontId="47" fillId="4" borderId="0" xfId="4" applyNumberFormat="1" applyFont="1" applyFill="1" applyBorder="1" applyAlignment="1">
      <alignment horizontal="center" vertical="center" wrapText="1"/>
    </xf>
    <xf numFmtId="0" fontId="22" fillId="10" borderId="11" xfId="0" applyFont="1" applyFill="1" applyBorder="1" applyAlignment="1">
      <alignment horizontal="left"/>
    </xf>
    <xf numFmtId="0" fontId="22" fillId="10" borderId="12" xfId="0" applyFont="1" applyFill="1" applyBorder="1" applyAlignment="1">
      <alignment horizontal="left"/>
    </xf>
    <xf numFmtId="0" fontId="22" fillId="10" borderId="57" xfId="0" applyFont="1" applyFill="1" applyBorder="1" applyAlignment="1">
      <alignment horizontal="left"/>
    </xf>
    <xf numFmtId="0" fontId="22" fillId="10" borderId="101" xfId="0" applyFont="1" applyFill="1" applyBorder="1" applyAlignment="1">
      <alignment horizontal="left"/>
    </xf>
    <xf numFmtId="0" fontId="22" fillId="10" borderId="17" xfId="0" applyFont="1" applyFill="1" applyBorder="1" applyAlignment="1">
      <alignment horizontal="left"/>
    </xf>
    <xf numFmtId="0" fontId="22" fillId="10" borderId="0" xfId="0" applyFont="1" applyFill="1" applyAlignment="1">
      <alignment horizontal="left"/>
    </xf>
    <xf numFmtId="0" fontId="22" fillId="10" borderId="67" xfId="0" applyFont="1" applyFill="1" applyBorder="1" applyAlignment="1">
      <alignment horizontal="left"/>
    </xf>
    <xf numFmtId="0" fontId="22" fillId="10" borderId="8" xfId="0" applyFont="1" applyFill="1" applyBorder="1" applyAlignment="1">
      <alignment horizontal="left"/>
    </xf>
    <xf numFmtId="0" fontId="22" fillId="10" borderId="14" xfId="0" applyFont="1" applyFill="1" applyBorder="1" applyAlignment="1">
      <alignment horizontal="left"/>
    </xf>
    <xf numFmtId="0" fontId="22" fillId="10" borderId="15" xfId="0" applyFont="1" applyFill="1" applyBorder="1" applyAlignment="1">
      <alignment horizontal="left"/>
    </xf>
    <xf numFmtId="1" fontId="22" fillId="10" borderId="14" xfId="0" applyNumberFormat="1" applyFont="1" applyFill="1" applyBorder="1" applyAlignment="1">
      <alignment horizontal="left"/>
    </xf>
    <xf numFmtId="1" fontId="22" fillId="10" borderId="15" xfId="0" applyNumberFormat="1" applyFont="1" applyFill="1" applyBorder="1" applyAlignment="1">
      <alignment horizontal="left"/>
    </xf>
    <xf numFmtId="0" fontId="39" fillId="9" borderId="60" xfId="0" applyFont="1" applyFill="1" applyBorder="1" applyAlignment="1">
      <alignment horizontal="center"/>
    </xf>
    <xf numFmtId="0" fontId="39" fillId="10" borderId="73" xfId="0" applyFont="1" applyFill="1" applyBorder="1" applyAlignment="1">
      <alignment horizontal="left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24" fillId="17" borderId="17" xfId="0" applyFont="1" applyFill="1" applyBorder="1" applyAlignment="1">
      <alignment horizontal="center" vertical="center"/>
    </xf>
    <xf numFmtId="0" fontId="24" fillId="17" borderId="0" xfId="0" applyFont="1" applyFill="1" applyAlignment="1">
      <alignment horizontal="center" vertical="center"/>
    </xf>
    <xf numFmtId="0" fontId="28" fillId="10" borderId="123" xfId="0" applyFont="1" applyFill="1" applyBorder="1" applyAlignment="1">
      <alignment horizontal="left"/>
    </xf>
    <xf numFmtId="0" fontId="28" fillId="10" borderId="83" xfId="0" applyFont="1" applyFill="1" applyBorder="1" applyAlignment="1">
      <alignment horizontal="left"/>
    </xf>
    <xf numFmtId="0" fontId="87" fillId="10" borderId="82" xfId="0" applyFont="1" applyFill="1" applyBorder="1" applyAlignment="1">
      <alignment horizontal="left"/>
    </xf>
    <xf numFmtId="0" fontId="87" fillId="10" borderId="83" xfId="0" applyFont="1" applyFill="1" applyBorder="1" applyAlignment="1">
      <alignment horizontal="left"/>
    </xf>
    <xf numFmtId="0" fontId="87" fillId="10" borderId="111" xfId="0" applyFont="1" applyFill="1" applyBorder="1" applyAlignment="1">
      <alignment horizontal="left"/>
    </xf>
    <xf numFmtId="0" fontId="82" fillId="2" borderId="3" xfId="3" applyFont="1" applyFill="1" applyBorder="1" applyAlignment="1">
      <alignment horizontal="center" vertical="center"/>
    </xf>
    <xf numFmtId="0" fontId="82" fillId="2" borderId="4" xfId="3" applyFont="1" applyFill="1" applyBorder="1" applyAlignment="1">
      <alignment horizontal="center" vertical="center"/>
    </xf>
    <xf numFmtId="0" fontId="82" fillId="2" borderId="100" xfId="3" applyFont="1" applyFill="1" applyBorder="1" applyAlignment="1">
      <alignment horizontal="center" vertical="center"/>
    </xf>
    <xf numFmtId="0" fontId="82" fillId="3" borderId="6" xfId="0" applyFont="1" applyFill="1" applyBorder="1" applyAlignment="1">
      <alignment horizontal="center" vertical="center" wrapText="1"/>
    </xf>
    <xf numFmtId="0" fontId="82" fillId="3" borderId="37" xfId="0" applyFont="1" applyFill="1" applyBorder="1" applyAlignment="1">
      <alignment horizontal="center" vertical="center" wrapText="1"/>
    </xf>
    <xf numFmtId="0" fontId="82" fillId="3" borderId="100" xfId="0" applyFont="1" applyFill="1" applyBorder="1" applyAlignment="1">
      <alignment horizontal="center" vertical="center" wrapText="1"/>
    </xf>
    <xf numFmtId="166" fontId="82" fillId="0" borderId="39" xfId="4" applyNumberFormat="1" applyFont="1" applyBorder="1" applyAlignment="1">
      <alignment horizontal="center" vertical="center" wrapText="1"/>
    </xf>
    <xf numFmtId="166" fontId="82" fillId="0" borderId="40" xfId="4" applyNumberFormat="1" applyFont="1" applyBorder="1" applyAlignment="1">
      <alignment horizontal="center" vertical="center" wrapText="1"/>
    </xf>
    <xf numFmtId="166" fontId="82" fillId="4" borderId="17" xfId="4" applyNumberFormat="1" applyFont="1" applyFill="1" applyBorder="1" applyAlignment="1">
      <alignment horizontal="center" vertical="center" wrapText="1"/>
    </xf>
    <xf numFmtId="166" fontId="82" fillId="4" borderId="0" xfId="4" applyNumberFormat="1" applyFont="1" applyFill="1" applyBorder="1" applyAlignment="1">
      <alignment horizontal="center" vertical="center" wrapText="1"/>
    </xf>
    <xf numFmtId="0" fontId="87" fillId="9" borderId="119" xfId="3" applyFont="1" applyFill="1" applyBorder="1" applyAlignment="1">
      <alignment horizontal="center"/>
    </xf>
    <xf numFmtId="0" fontId="87" fillId="9" borderId="12" xfId="3" applyFont="1" applyFill="1" applyBorder="1" applyAlignment="1">
      <alignment horizontal="center"/>
    </xf>
    <xf numFmtId="0" fontId="87" fillId="9" borderId="120" xfId="3" applyFont="1" applyFill="1" applyBorder="1" applyAlignment="1">
      <alignment horizontal="center"/>
    </xf>
    <xf numFmtId="37" fontId="87" fillId="9" borderId="53" xfId="3" applyNumberFormat="1" applyFont="1" applyFill="1" applyBorder="1" applyAlignment="1">
      <alignment horizontal="center"/>
    </xf>
    <xf numFmtId="37" fontId="87" fillId="9" borderId="54" xfId="3" applyNumberFormat="1" applyFont="1" applyFill="1" applyBorder="1" applyAlignment="1">
      <alignment horizontal="center"/>
    </xf>
    <xf numFmtId="37" fontId="87" fillId="9" borderId="56" xfId="3" applyNumberFormat="1" applyFont="1" applyFill="1" applyBorder="1" applyAlignment="1">
      <alignment horizontal="center"/>
    </xf>
    <xf numFmtId="166" fontId="82" fillId="4" borderId="6" xfId="4" applyNumberFormat="1" applyFont="1" applyFill="1" applyBorder="1" applyAlignment="1">
      <alignment horizontal="center" vertical="center" wrapText="1"/>
    </xf>
    <xf numFmtId="166" fontId="82" fillId="4" borderId="37" xfId="4" applyNumberFormat="1" applyFont="1" applyFill="1" applyBorder="1" applyAlignment="1">
      <alignment horizontal="center" vertical="center" wrapText="1"/>
    </xf>
    <xf numFmtId="166" fontId="82" fillId="4" borderId="100" xfId="4" applyNumberFormat="1" applyFont="1" applyFill="1" applyBorder="1" applyAlignment="1">
      <alignment horizontal="center" vertical="center" wrapText="1"/>
    </xf>
    <xf numFmtId="0" fontId="87" fillId="10" borderId="129" xfId="0" applyFont="1" applyFill="1" applyBorder="1" applyAlignment="1">
      <alignment horizontal="left"/>
    </xf>
    <xf numFmtId="0" fontId="87" fillId="10" borderId="15" xfId="0" applyFont="1" applyFill="1" applyBorder="1" applyAlignment="1">
      <alignment horizontal="left"/>
    </xf>
    <xf numFmtId="1" fontId="87" fillId="10" borderId="69" xfId="0" applyNumberFormat="1" applyFont="1" applyFill="1" applyBorder="1" applyAlignment="1">
      <alignment horizontal="left"/>
    </xf>
    <xf numFmtId="1" fontId="87" fillId="10" borderId="70" xfId="0" applyNumberFormat="1" applyFont="1" applyFill="1" applyBorder="1" applyAlignment="1">
      <alignment horizontal="left"/>
    </xf>
    <xf numFmtId="1" fontId="87" fillId="10" borderId="131" xfId="0" applyNumberFormat="1" applyFont="1" applyFill="1" applyBorder="1" applyAlignment="1">
      <alignment horizontal="left"/>
    </xf>
    <xf numFmtId="0" fontId="87" fillId="9" borderId="133" xfId="0" applyFont="1" applyFill="1" applyBorder="1" applyAlignment="1">
      <alignment horizontal="center"/>
    </xf>
    <xf numFmtId="0" fontId="87" fillId="9" borderId="0" xfId="0" applyFont="1" applyFill="1" applyAlignment="1">
      <alignment horizontal="center"/>
    </xf>
    <xf numFmtId="0" fontId="87" fillId="9" borderId="134" xfId="0" applyFont="1" applyFill="1" applyBorder="1" applyAlignment="1">
      <alignment horizontal="center"/>
    </xf>
    <xf numFmtId="0" fontId="87" fillId="9" borderId="17" xfId="0" applyFont="1" applyFill="1" applyBorder="1" applyAlignment="1">
      <alignment horizontal="center"/>
    </xf>
    <xf numFmtId="0" fontId="87" fillId="9" borderId="18" xfId="0" applyFont="1" applyFill="1" applyBorder="1" applyAlignment="1">
      <alignment horizontal="center"/>
    </xf>
    <xf numFmtId="0" fontId="87" fillId="10" borderId="119" xfId="0" applyFont="1" applyFill="1" applyBorder="1" applyAlignment="1">
      <alignment horizontal="left"/>
    </xf>
    <xf numFmtId="0" fontId="87" fillId="10" borderId="12" xfId="0" applyFont="1" applyFill="1" applyBorder="1" applyAlignment="1">
      <alignment horizontal="left"/>
    </xf>
    <xf numFmtId="0" fontId="87" fillId="10" borderId="57" xfId="0" applyFont="1" applyFill="1" applyBorder="1" applyAlignment="1">
      <alignment horizontal="left"/>
    </xf>
    <xf numFmtId="0" fontId="87" fillId="10" borderId="11" xfId="0" applyFont="1" applyFill="1" applyBorder="1" applyAlignment="1">
      <alignment horizontal="left"/>
    </xf>
    <xf numFmtId="0" fontId="87" fillId="10" borderId="101" xfId="0" applyFont="1" applyFill="1" applyBorder="1" applyAlignment="1">
      <alignment horizontal="left"/>
    </xf>
    <xf numFmtId="0" fontId="87" fillId="10" borderId="94" xfId="0" applyFont="1" applyFill="1" applyBorder="1" applyAlignment="1">
      <alignment horizontal="left"/>
    </xf>
    <xf numFmtId="0" fontId="87" fillId="10" borderId="150" xfId="0" applyFont="1" applyFill="1" applyBorder="1" applyAlignment="1">
      <alignment horizontal="left"/>
    </xf>
    <xf numFmtId="1" fontId="87" fillId="10" borderId="14" xfId="0" applyNumberFormat="1" applyFont="1" applyFill="1" applyBorder="1" applyAlignment="1">
      <alignment horizontal="left"/>
    </xf>
    <xf numFmtId="0" fontId="87" fillId="9" borderId="11" xfId="0" applyFont="1" applyFill="1" applyBorder="1" applyAlignment="1">
      <alignment horizontal="center"/>
    </xf>
    <xf numFmtId="0" fontId="87" fillId="9" borderId="12" xfId="0" applyFont="1" applyFill="1" applyBorder="1" applyAlignment="1">
      <alignment horizontal="center"/>
    </xf>
    <xf numFmtId="0" fontId="87" fillId="9" borderId="101" xfId="0" applyFont="1" applyFill="1" applyBorder="1" applyAlignment="1">
      <alignment horizontal="center"/>
    </xf>
    <xf numFmtId="0" fontId="87" fillId="10" borderId="14" xfId="0" applyFont="1" applyFill="1" applyBorder="1" applyAlignment="1">
      <alignment horizontal="left"/>
    </xf>
    <xf numFmtId="1" fontId="87" fillId="10" borderId="15" xfId="0" applyNumberFormat="1" applyFont="1" applyFill="1" applyBorder="1" applyAlignment="1">
      <alignment horizontal="left"/>
    </xf>
    <xf numFmtId="1" fontId="87" fillId="10" borderId="152" xfId="0" applyNumberFormat="1" applyFont="1" applyFill="1" applyBorder="1" applyAlignment="1">
      <alignment horizontal="left"/>
    </xf>
    <xf numFmtId="1" fontId="87" fillId="9" borderId="11" xfId="0" applyNumberFormat="1" applyFont="1" applyFill="1" applyBorder="1" applyAlignment="1">
      <alignment horizontal="center"/>
    </xf>
    <xf numFmtId="1" fontId="87" fillId="9" borderId="12" xfId="0" applyNumberFormat="1" applyFont="1" applyFill="1" applyBorder="1" applyAlignment="1">
      <alignment horizontal="center"/>
    </xf>
    <xf numFmtId="1" fontId="87" fillId="9" borderId="101" xfId="0" applyNumberFormat="1" applyFont="1" applyFill="1" applyBorder="1" applyAlignment="1">
      <alignment horizontal="center"/>
    </xf>
    <xf numFmtId="1" fontId="87" fillId="10" borderId="11" xfId="0" applyNumberFormat="1" applyFont="1" applyFill="1" applyBorder="1" applyAlignment="1">
      <alignment horizontal="left"/>
    </xf>
    <xf numFmtId="1" fontId="87" fillId="10" borderId="12" xfId="0" applyNumberFormat="1" applyFont="1" applyFill="1" applyBorder="1" applyAlignment="1">
      <alignment horizontal="left"/>
    </xf>
    <xf numFmtId="1" fontId="87" fillId="10" borderId="101" xfId="0" applyNumberFormat="1" applyFont="1" applyFill="1" applyBorder="1" applyAlignment="1">
      <alignment horizontal="left"/>
    </xf>
    <xf numFmtId="0" fontId="87" fillId="10" borderId="69" xfId="0" applyFont="1" applyFill="1" applyBorder="1" applyAlignment="1">
      <alignment horizontal="left"/>
    </xf>
    <xf numFmtId="0" fontId="87" fillId="10" borderId="70" xfId="0" applyFont="1" applyFill="1" applyBorder="1" applyAlignment="1">
      <alignment horizontal="left"/>
    </xf>
    <xf numFmtId="0" fontId="87" fillId="9" borderId="72" xfId="0" applyFont="1" applyFill="1" applyBorder="1" applyAlignment="1">
      <alignment horizontal="center"/>
    </xf>
    <xf numFmtId="0" fontId="87" fillId="9" borderId="59" xfId="0" applyFont="1" applyFill="1" applyBorder="1" applyAlignment="1">
      <alignment horizontal="center"/>
    </xf>
    <xf numFmtId="0" fontId="87" fillId="9" borderId="86" xfId="0" applyFont="1" applyFill="1" applyBorder="1" applyAlignment="1">
      <alignment horizontal="center"/>
    </xf>
    <xf numFmtId="0" fontId="87" fillId="10" borderId="154" xfId="0" applyFont="1" applyFill="1" applyBorder="1" applyAlignment="1">
      <alignment horizontal="left"/>
    </xf>
    <xf numFmtId="0" fontId="87" fillId="10" borderId="155" xfId="0" applyFont="1" applyFill="1" applyBorder="1" applyAlignment="1">
      <alignment horizontal="left"/>
    </xf>
    <xf numFmtId="0" fontId="87" fillId="10" borderId="156" xfId="0" applyFont="1" applyFill="1" applyBorder="1" applyAlignment="1">
      <alignment horizontal="left"/>
    </xf>
    <xf numFmtId="0" fontId="87" fillId="10" borderId="68" xfId="0" applyFont="1" applyFill="1" applyBorder="1" applyAlignment="1">
      <alignment horizontal="left"/>
    </xf>
    <xf numFmtId="0" fontId="87" fillId="10" borderId="9" xfId="0" applyFont="1" applyFill="1" applyBorder="1" applyAlignment="1">
      <alignment horizontal="left"/>
    </xf>
    <xf numFmtId="0" fontId="87" fillId="10" borderId="157" xfId="0" applyFont="1" applyFill="1" applyBorder="1" applyAlignment="1">
      <alignment horizontal="left"/>
    </xf>
    <xf numFmtId="1" fontId="87" fillId="10" borderId="66" xfId="0" applyNumberFormat="1" applyFont="1" applyFill="1" applyBorder="1" applyAlignment="1">
      <alignment horizontal="left"/>
    </xf>
    <xf numFmtId="0" fontId="87" fillId="10" borderId="58" xfId="0" applyFont="1" applyFill="1" applyBorder="1" applyAlignment="1">
      <alignment horizontal="left"/>
    </xf>
    <xf numFmtId="0" fontId="87" fillId="9" borderId="11" xfId="0" applyFont="1" applyFill="1" applyBorder="1" applyAlignment="1">
      <alignment horizontal="left"/>
    </xf>
    <xf numFmtId="0" fontId="87" fillId="9" borderId="12" xfId="0" applyFont="1" applyFill="1" applyBorder="1" applyAlignment="1">
      <alignment horizontal="left"/>
    </xf>
    <xf numFmtId="0" fontId="87" fillId="9" borderId="51" xfId="0" applyFont="1" applyFill="1" applyBorder="1" applyAlignment="1">
      <alignment horizontal="left"/>
    </xf>
    <xf numFmtId="0" fontId="87" fillId="9" borderId="65" xfId="0" applyFont="1" applyFill="1" applyBorder="1" applyAlignment="1">
      <alignment horizontal="left"/>
    </xf>
    <xf numFmtId="0" fontId="87" fillId="10" borderId="67" xfId="0" applyFont="1" applyFill="1" applyBorder="1" applyAlignment="1">
      <alignment horizontal="left"/>
    </xf>
    <xf numFmtId="0" fontId="87" fillId="10" borderId="8" xfId="0" applyFont="1" applyFill="1" applyBorder="1" applyAlignment="1">
      <alignment horizontal="left"/>
    </xf>
    <xf numFmtId="1" fontId="87" fillId="10" borderId="67" xfId="0" applyNumberFormat="1" applyFont="1" applyFill="1" applyBorder="1" applyAlignment="1">
      <alignment horizontal="left"/>
    </xf>
    <xf numFmtId="0" fontId="87" fillId="9" borderId="82" xfId="0" applyFont="1" applyFill="1" applyBorder="1" applyAlignment="1">
      <alignment horizontal="center"/>
    </xf>
    <xf numFmtId="0" fontId="87" fillId="9" borderId="83" xfId="0" applyFont="1" applyFill="1" applyBorder="1" applyAlignment="1">
      <alignment horizontal="center"/>
    </xf>
    <xf numFmtId="0" fontId="87" fillId="9" borderId="111" xfId="0" applyFont="1" applyFill="1" applyBorder="1" applyAlignment="1">
      <alignment horizontal="center"/>
    </xf>
    <xf numFmtId="0" fontId="87" fillId="10" borderId="66" xfId="0" applyFont="1" applyFill="1" applyBorder="1" applyAlignment="1">
      <alignment horizontal="left"/>
    </xf>
    <xf numFmtId="0" fontId="87" fillId="10" borderId="71" xfId="0" applyFont="1" applyFill="1" applyBorder="1" applyAlignment="1">
      <alignment horizontal="left"/>
    </xf>
    <xf numFmtId="0" fontId="87" fillId="10" borderId="159" xfId="0" applyFont="1" applyFill="1" applyBorder="1" applyAlignment="1">
      <alignment horizontal="left"/>
    </xf>
    <xf numFmtId="0" fontId="87" fillId="10" borderId="17" xfId="0" applyFont="1" applyFill="1" applyBorder="1" applyAlignment="1">
      <alignment horizontal="left"/>
    </xf>
    <xf numFmtId="0" fontId="87" fillId="10" borderId="0" xfId="0" applyFont="1" applyFill="1" applyAlignment="1">
      <alignment horizontal="left"/>
    </xf>
    <xf numFmtId="0" fontId="87" fillId="10" borderId="121" xfId="0" applyFont="1" applyFill="1" applyBorder="1" applyAlignment="1">
      <alignment horizontal="left"/>
    </xf>
    <xf numFmtId="1" fontId="87" fillId="10" borderId="17" xfId="0" applyNumberFormat="1" applyFont="1" applyFill="1" applyBorder="1" applyAlignment="1">
      <alignment horizontal="left"/>
    </xf>
    <xf numFmtId="1" fontId="87" fillId="10" borderId="112" xfId="0" applyNumberFormat="1" applyFont="1" applyFill="1" applyBorder="1" applyAlignment="1">
      <alignment horizontal="left"/>
    </xf>
    <xf numFmtId="0" fontId="87" fillId="10" borderId="109" xfId="0" applyFont="1" applyFill="1" applyBorder="1" applyAlignment="1">
      <alignment horizontal="left"/>
    </xf>
    <xf numFmtId="0" fontId="87" fillId="10" borderId="161" xfId="0" applyFont="1" applyFill="1" applyBorder="1" applyAlignment="1">
      <alignment horizontal="left"/>
    </xf>
    <xf numFmtId="0" fontId="39" fillId="10" borderId="17" xfId="0" applyFont="1" applyFill="1" applyBorder="1" applyAlignment="1">
      <alignment horizontal="left"/>
    </xf>
    <xf numFmtId="0" fontId="39" fillId="10" borderId="0" xfId="0" applyFont="1" applyFill="1" applyAlignment="1">
      <alignment horizontal="left"/>
    </xf>
    <xf numFmtId="0" fontId="39" fillId="9" borderId="82" xfId="0" applyFont="1" applyFill="1" applyBorder="1" applyAlignment="1">
      <alignment horizontal="center"/>
    </xf>
    <xf numFmtId="0" fontId="39" fillId="9" borderId="83" xfId="0" applyFont="1" applyFill="1" applyBorder="1" applyAlignment="1">
      <alignment horizontal="center"/>
    </xf>
    <xf numFmtId="0" fontId="39" fillId="9" borderId="111" xfId="0" applyFont="1" applyFill="1" applyBorder="1" applyAlignment="1">
      <alignment horizontal="center"/>
    </xf>
    <xf numFmtId="0" fontId="39" fillId="10" borderId="66" xfId="0" applyFont="1" applyFill="1" applyBorder="1" applyAlignment="1">
      <alignment horizontal="left"/>
    </xf>
    <xf numFmtId="0" fontId="39" fillId="10" borderId="58" xfId="0" applyFont="1" applyFill="1" applyBorder="1" applyAlignment="1">
      <alignment horizontal="left"/>
    </xf>
    <xf numFmtId="0" fontId="39" fillId="10" borderId="71" xfId="0" applyFont="1" applyFill="1" applyBorder="1" applyAlignment="1">
      <alignment horizontal="left"/>
    </xf>
    <xf numFmtId="0" fontId="39" fillId="10" borderId="51" xfId="0" applyFont="1" applyFill="1" applyBorder="1" applyAlignment="1">
      <alignment horizontal="left"/>
    </xf>
    <xf numFmtId="0" fontId="39" fillId="10" borderId="65" xfId="0" applyFont="1" applyFill="1" applyBorder="1" applyAlignment="1">
      <alignment horizontal="left"/>
    </xf>
    <xf numFmtId="0" fontId="33" fillId="2" borderId="100" xfId="3" applyFont="1" applyFill="1" applyBorder="1" applyAlignment="1">
      <alignment horizontal="center" vertical="center"/>
    </xf>
    <xf numFmtId="0" fontId="33" fillId="3" borderId="100" xfId="0" applyFont="1" applyFill="1" applyBorder="1" applyAlignment="1">
      <alignment horizontal="center" vertical="center" wrapText="1"/>
    </xf>
    <xf numFmtId="166" fontId="33" fillId="4" borderId="100" xfId="4" applyNumberFormat="1" applyFont="1" applyFill="1" applyBorder="1" applyAlignment="1">
      <alignment horizontal="center" vertical="center" wrapText="1"/>
    </xf>
    <xf numFmtId="0" fontId="14" fillId="8" borderId="41" xfId="0" applyFont="1" applyFill="1" applyBorder="1" applyAlignment="1">
      <alignment horizontal="left" vertical="center"/>
    </xf>
    <xf numFmtId="0" fontId="14" fillId="8" borderId="41" xfId="0" applyFont="1" applyFill="1" applyBorder="1" applyAlignment="1">
      <alignment vertical="center"/>
    </xf>
    <xf numFmtId="0" fontId="14" fillId="8" borderId="0" xfId="0" applyFont="1" applyFill="1" applyAlignment="1">
      <alignment vertical="center"/>
    </xf>
    <xf numFmtId="0" fontId="15" fillId="8" borderId="41" xfId="0" applyFont="1" applyFill="1" applyBorder="1" applyAlignment="1">
      <alignment horizontal="left" vertical="top"/>
    </xf>
    <xf numFmtId="0" fontId="17" fillId="8" borderId="41" xfId="0" applyFont="1" applyFill="1" applyBorder="1" applyAlignment="1">
      <alignment horizontal="center" vertical="center" wrapText="1"/>
    </xf>
    <xf numFmtId="0" fontId="17" fillId="8" borderId="0" xfId="0" applyFont="1" applyFill="1" applyAlignment="1">
      <alignment horizontal="center" vertical="center" wrapText="1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9" fillId="0" borderId="11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</cellXfs>
  <cellStyles count="19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  <cellStyle name="Vírgula" xfId="18" builtinId="3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4" Type="http://schemas.openxmlformats.org/officeDocument/2006/relationships/image" Target="../media/image7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4" Type="http://schemas.openxmlformats.org/officeDocument/2006/relationships/image" Target="../media/image9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4" Type="http://schemas.openxmlformats.org/officeDocument/2006/relationships/image" Target="../media/image9.emf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4" Type="http://schemas.openxmlformats.org/officeDocument/2006/relationships/image" Target="../media/image3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4" Type="http://schemas.openxmlformats.org/officeDocument/2006/relationships/image" Target="../media/image3.emf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4" Type="http://schemas.openxmlformats.org/officeDocument/2006/relationships/image" Target="../media/image9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670701</xdr:colOff>
      <xdr:row>0</xdr:row>
      <xdr:rowOff>152400</xdr:rowOff>
    </xdr:from>
    <xdr:to>
      <xdr:col>5</xdr:col>
      <xdr:colOff>777864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CB1F43E9-E50D-4C37-894D-9D2B9A7861D6}"/>
            </a:ext>
          </a:extLst>
        </xdr:cNvPr>
        <xdr:cNvSpPr/>
      </xdr:nvSpPr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247043</xdr:colOff>
      <xdr:row>0</xdr:row>
      <xdr:rowOff>130971</xdr:rowOff>
    </xdr:from>
    <xdr:to>
      <xdr:col>1</xdr:col>
      <xdr:colOff>607282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CAD9771-8352-4CE6-8D77-DBB296305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43</xdr:col>
      <xdr:colOff>378689</xdr:colOff>
      <xdr:row>0</xdr:row>
      <xdr:rowOff>190500</xdr:rowOff>
    </xdr:from>
    <xdr:to>
      <xdr:col>45</xdr:col>
      <xdr:colOff>149550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6324A32B-F725-47EB-A47D-0C01D7C2A961}"/>
            </a:ext>
          </a:extLst>
        </xdr:cNvPr>
        <xdr:cNvSpPr/>
      </xdr:nvSpPr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42</xdr:col>
      <xdr:colOff>493471</xdr:colOff>
      <xdr:row>0</xdr:row>
      <xdr:rowOff>185741</xdr:rowOff>
    </xdr:from>
    <xdr:to>
      <xdr:col>43</xdr:col>
      <xdr:colOff>302486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B093F04-D6FF-41CD-AAD0-45FB985AC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99740" y="179391"/>
          <a:ext cx="353217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670701</xdr:colOff>
      <xdr:row>0</xdr:row>
      <xdr:rowOff>152400</xdr:rowOff>
    </xdr:from>
    <xdr:to>
      <xdr:col>5</xdr:col>
      <xdr:colOff>777864</xdr:colOff>
      <xdr:row>1</xdr:row>
      <xdr:rowOff>73025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6ABA7E1C-E3A7-4A40-A94D-86E5F2BD72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43</xdr:col>
      <xdr:colOff>378689</xdr:colOff>
      <xdr:row>0</xdr:row>
      <xdr:rowOff>190500</xdr:rowOff>
    </xdr:from>
    <xdr:to>
      <xdr:col>45</xdr:col>
      <xdr:colOff>149550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0B3F352-0E54-457D-BA4A-E5B3FA4220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665031</xdr:colOff>
      <xdr:row>0</xdr:row>
      <xdr:rowOff>152400</xdr:rowOff>
    </xdr:from>
    <xdr:to>
      <xdr:col>5</xdr:col>
      <xdr:colOff>719240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B8B08151-3A20-4290-AB28-A94A0DF25F02}"/>
            </a:ext>
          </a:extLst>
        </xdr:cNvPr>
        <xdr:cNvSpPr/>
      </xdr:nvSpPr>
      <xdr:spPr bwMode="auto">
        <a:xfrm>
          <a:off x="692019" y="152400"/>
          <a:ext cx="883678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232756</xdr:colOff>
      <xdr:row>0</xdr:row>
      <xdr:rowOff>130971</xdr:rowOff>
    </xdr:from>
    <xdr:to>
      <xdr:col>1</xdr:col>
      <xdr:colOff>606375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C6245809-AAD8-4781-8927-3CBF554C0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043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43</xdr:col>
      <xdr:colOff>549119</xdr:colOff>
      <xdr:row>0</xdr:row>
      <xdr:rowOff>190500</xdr:rowOff>
    </xdr:from>
    <xdr:to>
      <xdr:col>45</xdr:col>
      <xdr:colOff>397994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D82251F1-194C-4ED4-9829-5CDF494ECBF2}"/>
            </a:ext>
          </a:extLst>
        </xdr:cNvPr>
        <xdr:cNvSpPr/>
      </xdr:nvSpPr>
      <xdr:spPr bwMode="auto">
        <a:xfrm>
          <a:off x="29659900" y="190500"/>
          <a:ext cx="104267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43</xdr:col>
      <xdr:colOff>175631</xdr:colOff>
      <xdr:row>0</xdr:row>
      <xdr:rowOff>185741</xdr:rowOff>
    </xdr:from>
    <xdr:to>
      <xdr:col>43</xdr:col>
      <xdr:colOff>472916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F0C3317-7C7D-4EBD-BDC0-3E676BA81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95925" y="179391"/>
          <a:ext cx="390947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665031</xdr:colOff>
      <xdr:row>0</xdr:row>
      <xdr:rowOff>152400</xdr:rowOff>
    </xdr:from>
    <xdr:to>
      <xdr:col>5</xdr:col>
      <xdr:colOff>719240</xdr:colOff>
      <xdr:row>1</xdr:row>
      <xdr:rowOff>73025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39521350-BBB2-4E32-BB85-4B89479D67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019" y="152400"/>
          <a:ext cx="883678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43</xdr:col>
      <xdr:colOff>549119</xdr:colOff>
      <xdr:row>0</xdr:row>
      <xdr:rowOff>190500</xdr:rowOff>
    </xdr:from>
    <xdr:to>
      <xdr:col>45</xdr:col>
      <xdr:colOff>397994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5F93DA2F-689C-4934-BBDD-26E7A878680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59900" y="190500"/>
          <a:ext cx="104267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668433</xdr:colOff>
      <xdr:row>0</xdr:row>
      <xdr:rowOff>152400</xdr:rowOff>
    </xdr:from>
    <xdr:to>
      <xdr:col>5</xdr:col>
      <xdr:colOff>664019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2313C263-F919-4D69-AE46-5B35798743C2}"/>
            </a:ext>
          </a:extLst>
        </xdr:cNvPr>
        <xdr:cNvSpPr/>
      </xdr:nvSpPr>
      <xdr:spPr bwMode="auto">
        <a:xfrm>
          <a:off x="692019" y="152400"/>
          <a:ext cx="883678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245682</xdr:colOff>
      <xdr:row>0</xdr:row>
      <xdr:rowOff>130971</xdr:rowOff>
    </xdr:from>
    <xdr:to>
      <xdr:col>1</xdr:col>
      <xdr:colOff>626332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6D692235-A3F7-4C23-A80E-BBE77BCEF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043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46</xdr:col>
      <xdr:colOff>19915</xdr:colOff>
      <xdr:row>0</xdr:row>
      <xdr:rowOff>190500</xdr:rowOff>
    </xdr:from>
    <xdr:to>
      <xdr:col>47</xdr:col>
      <xdr:colOff>435300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3B4A7A5A-47AC-4C42-A8B3-A57B7219312F}"/>
            </a:ext>
          </a:extLst>
        </xdr:cNvPr>
        <xdr:cNvSpPr/>
      </xdr:nvSpPr>
      <xdr:spPr bwMode="auto">
        <a:xfrm>
          <a:off x="29659900" y="190500"/>
          <a:ext cx="104267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45</xdr:col>
      <xdr:colOff>134697</xdr:colOff>
      <xdr:row>0</xdr:row>
      <xdr:rowOff>185741</xdr:rowOff>
    </xdr:from>
    <xdr:to>
      <xdr:col>45</xdr:col>
      <xdr:colOff>531087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0F6FA17-53D9-4063-99FE-97B181B2B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95925" y="179391"/>
          <a:ext cx="390947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668433</xdr:colOff>
      <xdr:row>0</xdr:row>
      <xdr:rowOff>152400</xdr:rowOff>
    </xdr:from>
    <xdr:to>
      <xdr:col>5</xdr:col>
      <xdr:colOff>664019</xdr:colOff>
      <xdr:row>1</xdr:row>
      <xdr:rowOff>73025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5BA588D4-A386-4771-817E-B3D8426111B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019" y="152400"/>
          <a:ext cx="883678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46</xdr:col>
      <xdr:colOff>19915</xdr:colOff>
      <xdr:row>0</xdr:row>
      <xdr:rowOff>190500</xdr:rowOff>
    </xdr:from>
    <xdr:to>
      <xdr:col>47</xdr:col>
      <xdr:colOff>435300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A37BBDCB-4B12-490E-8437-262E73F9FB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59900" y="190500"/>
          <a:ext cx="104267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668433</xdr:colOff>
      <xdr:row>0</xdr:row>
      <xdr:rowOff>152400</xdr:rowOff>
    </xdr:from>
    <xdr:to>
      <xdr:col>5</xdr:col>
      <xdr:colOff>794194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4C5E00E5-E142-4857-99FE-11038EDD0DD4}"/>
            </a:ext>
          </a:extLst>
        </xdr:cNvPr>
        <xdr:cNvSpPr/>
      </xdr:nvSpPr>
      <xdr:spPr bwMode="auto">
        <a:xfrm>
          <a:off x="692019" y="152400"/>
          <a:ext cx="883678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239332</xdr:colOff>
      <xdr:row>0</xdr:row>
      <xdr:rowOff>130971</xdr:rowOff>
    </xdr:from>
    <xdr:to>
      <xdr:col>1</xdr:col>
      <xdr:colOff>619982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CD49BD24-B06D-4282-A090-4155F4F89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043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47</xdr:col>
      <xdr:colOff>264389</xdr:colOff>
      <xdr:row>0</xdr:row>
      <xdr:rowOff>190500</xdr:rowOff>
    </xdr:from>
    <xdr:to>
      <xdr:col>49</xdr:col>
      <xdr:colOff>48857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260D2300-4A91-4C69-82B8-F36846E4AFFA}"/>
            </a:ext>
          </a:extLst>
        </xdr:cNvPr>
        <xdr:cNvSpPr/>
      </xdr:nvSpPr>
      <xdr:spPr bwMode="auto">
        <a:xfrm>
          <a:off x="29659900" y="190500"/>
          <a:ext cx="104267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46</xdr:col>
      <xdr:colOff>394139</xdr:colOff>
      <xdr:row>0</xdr:row>
      <xdr:rowOff>182566</xdr:rowOff>
    </xdr:from>
    <xdr:to>
      <xdr:col>47</xdr:col>
      <xdr:colOff>194536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9872A5A9-1E43-4DE6-BBDC-6366861D9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95925" y="179391"/>
          <a:ext cx="390947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668433</xdr:colOff>
      <xdr:row>0</xdr:row>
      <xdr:rowOff>152400</xdr:rowOff>
    </xdr:from>
    <xdr:to>
      <xdr:col>5</xdr:col>
      <xdr:colOff>794194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91EFE045-A220-404A-B4ED-1A301D4D71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019" y="152400"/>
          <a:ext cx="883678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47</xdr:col>
      <xdr:colOff>264389</xdr:colOff>
      <xdr:row>0</xdr:row>
      <xdr:rowOff>190500</xdr:rowOff>
    </xdr:from>
    <xdr:to>
      <xdr:col>49</xdr:col>
      <xdr:colOff>48857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70D1FE79-7AF7-477E-8716-706B7D783CA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59900" y="190500"/>
          <a:ext cx="104267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673100</xdr:colOff>
      <xdr:row>0</xdr:row>
      <xdr:rowOff>152400</xdr:rowOff>
    </xdr:from>
    <xdr:to>
      <xdr:col>0</xdr:col>
      <xdr:colOff>1625600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19E2C3B9-0B61-4834-A691-9F7431F2FA8F}"/>
            </a:ext>
          </a:extLst>
        </xdr:cNvPr>
        <xdr:cNvSpPr/>
      </xdr:nvSpPr>
      <xdr:spPr bwMode="auto">
        <a:xfrm>
          <a:off x="676275" y="152400"/>
          <a:ext cx="9525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39</xdr:col>
      <xdr:colOff>297922</xdr:colOff>
      <xdr:row>0</xdr:row>
      <xdr:rowOff>215900</xdr:rowOff>
    </xdr:from>
    <xdr:to>
      <xdr:col>41</xdr:col>
      <xdr:colOff>50270</xdr:colOff>
      <xdr:row>1</xdr:row>
      <xdr:rowOff>120650</xdr:rowOff>
    </xdr:to>
    <xdr:sp macro="" textlink="">
      <xdr:nvSpPr>
        <xdr:cNvPr id="3" name="Label2" hidden="1">
          <a:extLst>
            <a:ext uri="{63B3BB69-23CF-44E3-9099-C40C66FF867C}">
              <a14:compatExt xmlns:a14="http://schemas.microsoft.com/office/drawing/2010/main" spid="_x0000_s5122"/>
            </a:ext>
            <a:ext uri="{FF2B5EF4-FFF2-40B4-BE49-F238E27FC236}">
              <a16:creationId xmlns:a16="http://schemas.microsoft.com/office/drawing/2014/main" id="{DAED0875-53AD-42E5-96C6-CD237EBBB536}"/>
            </a:ext>
          </a:extLst>
        </xdr:cNvPr>
        <xdr:cNvSpPr/>
      </xdr:nvSpPr>
      <xdr:spPr bwMode="auto">
        <a:xfrm>
          <a:off x="29519034" y="219075"/>
          <a:ext cx="971549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absoluteAnchor>
    <xdr:pos x="29290847" y="182566"/>
    <xdr:ext cx="362742" cy="362742"/>
    <xdr:pic macro="[1]!ChamaForm_Menu">
      <xdr:nvPicPr>
        <xdr:cNvPr id="4" name="Imagem 3">
          <a:extLst>
            <a:ext uri="{FF2B5EF4-FFF2-40B4-BE49-F238E27FC236}">
              <a16:creationId xmlns:a16="http://schemas.microsoft.com/office/drawing/2014/main" id="{4F650FA0-8781-46D4-978D-6D28B1FD6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0847" y="182566"/>
          <a:ext cx="362742" cy="362742"/>
        </a:xfrm>
        <a:prstGeom prst="rect">
          <a:avLst/>
        </a:prstGeom>
      </xdr:spPr>
    </xdr:pic>
    <xdr:clientData/>
  </xdr:absoluteAnchor>
  <xdr:oneCellAnchor>
    <xdr:from>
      <xdr:col>2</xdr:col>
      <xdr:colOff>169334</xdr:colOff>
      <xdr:row>4</xdr:row>
      <xdr:rowOff>120705</xdr:rowOff>
    </xdr:from>
    <xdr:ext cx="1949038" cy="1399706"/>
    <xdr:pic>
      <xdr:nvPicPr>
        <xdr:cNvPr id="5" name="Imagem 4">
          <a:extLst>
            <a:ext uri="{FF2B5EF4-FFF2-40B4-BE49-F238E27FC236}">
              <a16:creationId xmlns:a16="http://schemas.microsoft.com/office/drawing/2014/main" id="{7DC9BCDC-9AE7-4CAA-8ACB-AF0714D4C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7084" y="1549455"/>
          <a:ext cx="1949038" cy="1399706"/>
        </a:xfrm>
        <a:prstGeom prst="rect">
          <a:avLst/>
        </a:prstGeom>
      </xdr:spPr>
    </xdr:pic>
    <xdr:clientData/>
  </xdr:oneCellAnchor>
  <xdr:twoCellAnchor editAs="absolute">
    <xdr:from>
      <xdr:col>39</xdr:col>
      <xdr:colOff>302155</xdr:colOff>
      <xdr:row>0</xdr:row>
      <xdr:rowOff>215900</xdr:rowOff>
    </xdr:from>
    <xdr:to>
      <xdr:col>41</xdr:col>
      <xdr:colOff>37570</xdr:colOff>
      <xdr:row>1</xdr:row>
      <xdr:rowOff>120650</xdr:rowOff>
    </xdr:to>
    <xdr:pic>
      <xdr:nvPicPr>
        <xdr:cNvPr id="6" name="Label2">
          <a:extLst>
            <a:ext uri="{FF2B5EF4-FFF2-40B4-BE49-F238E27FC236}">
              <a16:creationId xmlns:a16="http://schemas.microsoft.com/office/drawing/2014/main" id="{3DA7830E-7043-4348-86F3-718CA4A67D2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0092" y="219075"/>
          <a:ext cx="967316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92075</xdr:colOff>
      <xdr:row>0</xdr:row>
      <xdr:rowOff>152400</xdr:rowOff>
    </xdr:from>
    <xdr:to>
      <xdr:col>2</xdr:col>
      <xdr:colOff>492125</xdr:colOff>
      <xdr:row>1</xdr:row>
      <xdr:rowOff>73025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18433"/>
            </a:ext>
            <a:ext uri="{FF2B5EF4-FFF2-40B4-BE49-F238E27FC236}">
              <a16:creationId xmlns:a16="http://schemas.microsoft.com/office/drawing/2014/main" id="{6AE133B0-070A-41DC-B4EA-3FCD4E0FF2A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250031</xdr:colOff>
      <xdr:row>0</xdr:row>
      <xdr:rowOff>130971</xdr:rowOff>
    </xdr:from>
    <xdr:to>
      <xdr:col>1</xdr:col>
      <xdr:colOff>74610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85C44834-4BFD-4CBC-AFA4-CF4AB6E558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7029" cy="375442"/>
        </a:xfrm>
        <a:prstGeom prst="rect">
          <a:avLst/>
        </a:prstGeom>
      </xdr:spPr>
    </xdr:pic>
    <xdr:clientData/>
  </xdr:twoCellAnchor>
  <xdr:twoCellAnchor editAs="absolute">
    <xdr:from>
      <xdr:col>22</xdr:col>
      <xdr:colOff>266700</xdr:colOff>
      <xdr:row>0</xdr:row>
      <xdr:rowOff>190500</xdr:rowOff>
    </xdr:from>
    <xdr:to>
      <xdr:col>22</xdr:col>
      <xdr:colOff>1238250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18434"/>
            </a:ext>
            <a:ext uri="{FF2B5EF4-FFF2-40B4-BE49-F238E27FC236}">
              <a16:creationId xmlns:a16="http://schemas.microsoft.com/office/drawing/2014/main" id="{F921059E-8159-43A9-AA17-07EDBB14F09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21</xdr:col>
      <xdr:colOff>1711437</xdr:colOff>
      <xdr:row>0</xdr:row>
      <xdr:rowOff>185741</xdr:rowOff>
    </xdr:from>
    <xdr:to>
      <xdr:col>22</xdr:col>
      <xdr:colOff>245228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1E6DD696-EA1D-4D3B-A8E9-F7E3FCFA2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067112" y="182566"/>
          <a:ext cx="238766" cy="362742"/>
        </a:xfrm>
        <a:prstGeom prst="rect">
          <a:avLst/>
        </a:prstGeom>
      </xdr:spPr>
    </xdr:pic>
    <xdr:clientData/>
  </xdr:twoCellAnchor>
  <xdr:oneCellAnchor>
    <xdr:from>
      <xdr:col>12</xdr:col>
      <xdr:colOff>784112</xdr:colOff>
      <xdr:row>5</xdr:row>
      <xdr:rowOff>27213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420C2ECC-4DFA-469F-A3F0-1F4016C36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652762" y="1684563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1</xdr:col>
      <xdr:colOff>85725</xdr:colOff>
      <xdr:row>0</xdr:row>
      <xdr:rowOff>152400</xdr:rowOff>
    </xdr:from>
    <xdr:to>
      <xdr:col>2</xdr:col>
      <xdr:colOff>485775</xdr:colOff>
      <xdr:row>1</xdr:row>
      <xdr:rowOff>66675</xdr:rowOff>
    </xdr:to>
    <xdr:pic>
      <xdr:nvPicPr>
        <xdr:cNvPr id="18433" name="Label1">
          <a:extLst>
            <a:ext uri="{FF2B5EF4-FFF2-40B4-BE49-F238E27FC236}">
              <a16:creationId xmlns:a16="http://schemas.microsoft.com/office/drawing/2014/main" id="{7C624F88-9640-E65E-0E26-D48F593AA36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175" y="152400"/>
          <a:ext cx="952500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22</xdr:col>
      <xdr:colOff>257175</xdr:colOff>
      <xdr:row>0</xdr:row>
      <xdr:rowOff>190500</xdr:rowOff>
    </xdr:from>
    <xdr:to>
      <xdr:col>22</xdr:col>
      <xdr:colOff>1247775</xdr:colOff>
      <xdr:row>1</xdr:row>
      <xdr:rowOff>123825</xdr:rowOff>
    </xdr:to>
    <xdr:pic>
      <xdr:nvPicPr>
        <xdr:cNvPr id="18434" name="Label2">
          <a:extLst>
            <a:ext uri="{FF2B5EF4-FFF2-40B4-BE49-F238E27FC236}">
              <a16:creationId xmlns:a16="http://schemas.microsoft.com/office/drawing/2014/main" id="{D4C7D717-62E8-B6DA-8B9F-2AF4D2B0B4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7350" y="190500"/>
          <a:ext cx="990600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92075</xdr:colOff>
      <xdr:row>0</xdr:row>
      <xdr:rowOff>152400</xdr:rowOff>
    </xdr:from>
    <xdr:to>
      <xdr:col>2</xdr:col>
      <xdr:colOff>492125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31745"/>
            </a:ext>
            <a:ext uri="{FF2B5EF4-FFF2-40B4-BE49-F238E27FC236}">
              <a16:creationId xmlns:a16="http://schemas.microsoft.com/office/drawing/2014/main" id="{8B9ABBA6-AD4F-4BB7-80A6-0EFB565F876A}"/>
            </a:ext>
          </a:extLst>
        </xdr:cNvPr>
        <xdr:cNvSpPr/>
      </xdr:nvSpPr>
      <xdr:spPr bwMode="auto">
        <a:xfrm>
          <a:off x="638175" y="152400"/>
          <a:ext cx="9525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250031</xdr:colOff>
      <xdr:row>0</xdr:row>
      <xdr:rowOff>130971</xdr:rowOff>
    </xdr:from>
    <xdr:to>
      <xdr:col>1</xdr:col>
      <xdr:colOff>74610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FEFADDB5-4D4F-423F-9C39-3408FC922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7029" cy="372267"/>
        </a:xfrm>
        <a:prstGeom prst="rect">
          <a:avLst/>
        </a:prstGeom>
      </xdr:spPr>
    </xdr:pic>
    <xdr:clientData/>
  </xdr:twoCellAnchor>
  <xdr:twoCellAnchor editAs="absolute">
    <xdr:from>
      <xdr:col>22</xdr:col>
      <xdr:colOff>1274535</xdr:colOff>
      <xdr:row>0</xdr:row>
      <xdr:rowOff>190500</xdr:rowOff>
    </xdr:from>
    <xdr:to>
      <xdr:col>23</xdr:col>
      <xdr:colOff>854376</xdr:colOff>
      <xdr:row>1</xdr:row>
      <xdr:rowOff>130175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31746"/>
            </a:ext>
            <a:ext uri="{FF2B5EF4-FFF2-40B4-BE49-F238E27FC236}">
              <a16:creationId xmlns:a16="http://schemas.microsoft.com/office/drawing/2014/main" id="{515466C1-3A94-412D-A436-7F6C87BA8968}"/>
            </a:ext>
          </a:extLst>
        </xdr:cNvPr>
        <xdr:cNvSpPr/>
      </xdr:nvSpPr>
      <xdr:spPr bwMode="auto">
        <a:xfrm>
          <a:off x="28366810" y="190500"/>
          <a:ext cx="891116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22</xdr:col>
      <xdr:colOff>911639</xdr:colOff>
      <xdr:row>0</xdr:row>
      <xdr:rowOff>185741</xdr:rowOff>
    </xdr:from>
    <xdr:to>
      <xdr:col>22</xdr:col>
      <xdr:colOff>1274532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A2B56978-A228-4B46-A107-AE48F6B06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010264" y="179391"/>
          <a:ext cx="356543" cy="362742"/>
        </a:xfrm>
        <a:prstGeom prst="rect">
          <a:avLst/>
        </a:prstGeom>
      </xdr:spPr>
    </xdr:pic>
    <xdr:clientData/>
  </xdr:twoCellAnchor>
  <xdr:oneCellAnchor>
    <xdr:from>
      <xdr:col>12</xdr:col>
      <xdr:colOff>784112</xdr:colOff>
      <xdr:row>5</xdr:row>
      <xdr:rowOff>27213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CE5DF061-5A1D-464E-8682-C02DEB721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614537" y="1684563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1</xdr:col>
      <xdr:colOff>92075</xdr:colOff>
      <xdr:row>0</xdr:row>
      <xdr:rowOff>152400</xdr:rowOff>
    </xdr:from>
    <xdr:to>
      <xdr:col>2</xdr:col>
      <xdr:colOff>492125</xdr:colOff>
      <xdr:row>1</xdr:row>
      <xdr:rowOff>57150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60FBB9E4-340F-4600-8ADE-014483FD1B0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175" y="152400"/>
          <a:ext cx="9525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22</xdr:col>
      <xdr:colOff>1290864</xdr:colOff>
      <xdr:row>0</xdr:row>
      <xdr:rowOff>190500</xdr:rowOff>
    </xdr:from>
    <xdr:to>
      <xdr:col>23</xdr:col>
      <xdr:colOff>873880</xdr:colOff>
      <xdr:row>1</xdr:row>
      <xdr:rowOff>130175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152D59CD-BCD6-488B-914E-2128EEC9D59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83139" y="190500"/>
          <a:ext cx="897466" cy="561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92075</xdr:colOff>
      <xdr:row>0</xdr:row>
      <xdr:rowOff>152400</xdr:rowOff>
    </xdr:from>
    <xdr:to>
      <xdr:col>2</xdr:col>
      <xdr:colOff>492125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32769"/>
            </a:ext>
            <a:ext uri="{FF2B5EF4-FFF2-40B4-BE49-F238E27FC236}">
              <a16:creationId xmlns:a16="http://schemas.microsoft.com/office/drawing/2014/main" id="{BE7B4B00-904F-4F5E-ADBB-5255E0563374}"/>
            </a:ext>
          </a:extLst>
        </xdr:cNvPr>
        <xdr:cNvSpPr/>
      </xdr:nvSpPr>
      <xdr:spPr bwMode="auto">
        <a:xfrm>
          <a:off x="635000" y="152400"/>
          <a:ext cx="9525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250031</xdr:colOff>
      <xdr:row>0</xdr:row>
      <xdr:rowOff>130971</xdr:rowOff>
    </xdr:from>
    <xdr:to>
      <xdr:col>1</xdr:col>
      <xdr:colOff>74610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46023789-ADF3-4D1C-B480-8DDE9FD9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7029" cy="375442"/>
        </a:xfrm>
        <a:prstGeom prst="rect">
          <a:avLst/>
        </a:prstGeom>
      </xdr:spPr>
    </xdr:pic>
    <xdr:clientData/>
  </xdr:twoCellAnchor>
  <xdr:twoCellAnchor editAs="absolute">
    <xdr:from>
      <xdr:col>23</xdr:col>
      <xdr:colOff>134257</xdr:colOff>
      <xdr:row>0</xdr:row>
      <xdr:rowOff>190500</xdr:rowOff>
    </xdr:from>
    <xdr:to>
      <xdr:col>23</xdr:col>
      <xdr:colOff>1086757</xdr:colOff>
      <xdr:row>1</xdr:row>
      <xdr:rowOff>130175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32770"/>
            </a:ext>
            <a:ext uri="{FF2B5EF4-FFF2-40B4-BE49-F238E27FC236}">
              <a16:creationId xmlns:a16="http://schemas.microsoft.com/office/drawing/2014/main" id="{3C35388D-9EB5-4DD0-B56E-F888C9C908F6}"/>
            </a:ext>
          </a:extLst>
        </xdr:cNvPr>
        <xdr:cNvSpPr/>
      </xdr:nvSpPr>
      <xdr:spPr bwMode="auto">
        <a:xfrm>
          <a:off x="28309207" y="190500"/>
          <a:ext cx="952500" cy="558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22</xdr:col>
      <xdr:colOff>1159894</xdr:colOff>
      <xdr:row>0</xdr:row>
      <xdr:rowOff>185741</xdr:rowOff>
    </xdr:from>
    <xdr:to>
      <xdr:col>23</xdr:col>
      <xdr:colOff>131079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825485B2-DDF7-4832-A595-877C4D1AC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010869" y="182566"/>
          <a:ext cx="288810" cy="362742"/>
        </a:xfrm>
        <a:prstGeom prst="rect">
          <a:avLst/>
        </a:prstGeom>
      </xdr:spPr>
    </xdr:pic>
    <xdr:clientData/>
  </xdr:twoCellAnchor>
  <xdr:oneCellAnchor>
    <xdr:from>
      <xdr:col>12</xdr:col>
      <xdr:colOff>784112</xdr:colOff>
      <xdr:row>5</xdr:row>
      <xdr:rowOff>27213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FA403631-5184-47C1-B499-AE7FADE3D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43087" y="1684563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1</xdr:col>
      <xdr:colOff>92075</xdr:colOff>
      <xdr:row>0</xdr:row>
      <xdr:rowOff>152400</xdr:rowOff>
    </xdr:from>
    <xdr:to>
      <xdr:col>2</xdr:col>
      <xdr:colOff>492125</xdr:colOff>
      <xdr:row>1</xdr:row>
      <xdr:rowOff>57150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539BC875-A495-4E3C-90C2-546CFBF4744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000" y="152400"/>
          <a:ext cx="9525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23</xdr:col>
      <xdr:colOff>130175</xdr:colOff>
      <xdr:row>0</xdr:row>
      <xdr:rowOff>190500</xdr:rowOff>
    </xdr:from>
    <xdr:to>
      <xdr:col>23</xdr:col>
      <xdr:colOff>1082675</xdr:colOff>
      <xdr:row>1</xdr:row>
      <xdr:rowOff>130175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D54CEEDD-06B7-494D-B951-1B96D571375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05125" y="190500"/>
          <a:ext cx="952500" cy="558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92868</xdr:colOff>
      <xdr:row>0</xdr:row>
      <xdr:rowOff>149225</xdr:rowOff>
    </xdr:from>
    <xdr:to>
      <xdr:col>2</xdr:col>
      <xdr:colOff>510381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EA1B07E7-F375-47BF-8F33-A991B3F250DB}"/>
            </a:ext>
          </a:extLst>
        </xdr:cNvPr>
        <xdr:cNvSpPr/>
      </xdr:nvSpPr>
      <xdr:spPr bwMode="auto">
        <a:xfrm>
          <a:off x="645318" y="142875"/>
          <a:ext cx="966788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250031</xdr:colOff>
      <xdr:row>0</xdr:row>
      <xdr:rowOff>130971</xdr:rowOff>
    </xdr:from>
    <xdr:to>
      <xdr:col>1</xdr:col>
      <xdr:colOff>74610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B023468F-BD2B-4263-B17A-BE40FA9E2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7029" cy="372267"/>
        </a:xfrm>
        <a:prstGeom prst="rect">
          <a:avLst/>
        </a:prstGeom>
      </xdr:spPr>
    </xdr:pic>
    <xdr:clientData/>
  </xdr:twoCellAnchor>
  <xdr:twoCellAnchor editAs="absolute">
    <xdr:from>
      <xdr:col>22</xdr:col>
      <xdr:colOff>283936</xdr:colOff>
      <xdr:row>0</xdr:row>
      <xdr:rowOff>190500</xdr:rowOff>
    </xdr:from>
    <xdr:to>
      <xdr:col>22</xdr:col>
      <xdr:colOff>1273652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8674"/>
            </a:ext>
            <a:ext uri="{FF2B5EF4-FFF2-40B4-BE49-F238E27FC236}">
              <a16:creationId xmlns:a16="http://schemas.microsoft.com/office/drawing/2014/main" id="{8226D549-33DC-4DE7-BF80-F6DAFC8DDD0B}"/>
            </a:ext>
          </a:extLst>
        </xdr:cNvPr>
        <xdr:cNvSpPr/>
      </xdr:nvSpPr>
      <xdr:spPr bwMode="auto">
        <a:xfrm>
          <a:off x="28366811" y="190500"/>
          <a:ext cx="989716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21</xdr:col>
      <xdr:colOff>1369785</xdr:colOff>
      <xdr:row>0</xdr:row>
      <xdr:rowOff>185741</xdr:rowOff>
    </xdr:from>
    <xdr:to>
      <xdr:col>22</xdr:col>
      <xdr:colOff>207733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A95F0F82-9DA5-4DBA-AA78-A482AF148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35010" y="179391"/>
          <a:ext cx="361948" cy="362742"/>
        </a:xfrm>
        <a:prstGeom prst="rect">
          <a:avLst/>
        </a:prstGeom>
      </xdr:spPr>
    </xdr:pic>
    <xdr:clientData/>
  </xdr:twoCellAnchor>
  <xdr:oneCellAnchor>
    <xdr:from>
      <xdr:col>12</xdr:col>
      <xdr:colOff>714375</xdr:colOff>
      <xdr:row>4</xdr:row>
      <xdr:rowOff>71437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318D9964-9565-4CEE-BED3-AB8BC1330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049750" y="1490662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1</xdr:col>
      <xdr:colOff>76200</xdr:colOff>
      <xdr:row>0</xdr:row>
      <xdr:rowOff>114300</xdr:rowOff>
    </xdr:from>
    <xdr:to>
      <xdr:col>2</xdr:col>
      <xdr:colOff>416560</xdr:colOff>
      <xdr:row>1</xdr:row>
      <xdr:rowOff>55245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BE8FB5D1-98B8-4D26-BDCB-E0392374CE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14300"/>
          <a:ext cx="886460" cy="56007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22</xdr:col>
      <xdr:colOff>167096</xdr:colOff>
      <xdr:row>0</xdr:row>
      <xdr:rowOff>152400</xdr:rowOff>
    </xdr:from>
    <xdr:to>
      <xdr:col>22</xdr:col>
      <xdr:colOff>1253490</xdr:colOff>
      <xdr:row>1</xdr:row>
      <xdr:rowOff>111760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C2494758-8523-40D8-A8B4-FBA42C44B29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9971" y="152400"/>
          <a:ext cx="1086394" cy="5816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643731</xdr:colOff>
      <xdr:row>0</xdr:row>
      <xdr:rowOff>149225</xdr:rowOff>
    </xdr:from>
    <xdr:to>
      <xdr:col>5</xdr:col>
      <xdr:colOff>683418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7F7441DD-3C25-41C4-B1BC-DF9B486D7CF4}"/>
            </a:ext>
          </a:extLst>
        </xdr:cNvPr>
        <xdr:cNvSpPr/>
      </xdr:nvSpPr>
      <xdr:spPr bwMode="auto">
        <a:xfrm>
          <a:off x="645318" y="146050"/>
          <a:ext cx="969963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625473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5A09CA01-1300-4A8E-AD50-4E5A3088F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7029" cy="375442"/>
        </a:xfrm>
        <a:prstGeom prst="rect">
          <a:avLst/>
        </a:prstGeom>
      </xdr:spPr>
    </xdr:pic>
    <xdr:clientData/>
  </xdr:twoCellAnchor>
  <xdr:twoCellAnchor editAs="absolute">
    <xdr:from>
      <xdr:col>42</xdr:col>
      <xdr:colOff>394381</xdr:colOff>
      <xdr:row>0</xdr:row>
      <xdr:rowOff>190500</xdr:rowOff>
    </xdr:from>
    <xdr:to>
      <xdr:col>44</xdr:col>
      <xdr:colOff>91872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8674"/>
            </a:ext>
            <a:ext uri="{FF2B5EF4-FFF2-40B4-BE49-F238E27FC236}">
              <a16:creationId xmlns:a16="http://schemas.microsoft.com/office/drawing/2014/main" id="{859D71CA-2C0A-479B-9AD2-71282208422F}"/>
            </a:ext>
          </a:extLst>
        </xdr:cNvPr>
        <xdr:cNvSpPr/>
      </xdr:nvSpPr>
      <xdr:spPr bwMode="auto">
        <a:xfrm>
          <a:off x="28434393" y="190500"/>
          <a:ext cx="923041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41</xdr:col>
      <xdr:colOff>509473</xdr:colOff>
      <xdr:row>0</xdr:row>
      <xdr:rowOff>185741</xdr:rowOff>
    </xdr:from>
    <xdr:to>
      <xdr:col>42</xdr:col>
      <xdr:colOff>337228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DC49CE48-4F0C-4541-B55A-B24874B8D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42267" y="182566"/>
          <a:ext cx="431798" cy="362742"/>
        </a:xfrm>
        <a:prstGeom prst="rect">
          <a:avLst/>
        </a:prstGeom>
      </xdr:spPr>
    </xdr:pic>
    <xdr:clientData/>
  </xdr:twoCellAnchor>
  <xdr:oneCellAnchor>
    <xdr:from>
      <xdr:col>12</xdr:col>
      <xdr:colOff>714375</xdr:colOff>
      <xdr:row>4</xdr:row>
      <xdr:rowOff>71437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959C8D34-1D29-4C1D-91CD-D0EA80338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748250" y="1503362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1</xdr:col>
      <xdr:colOff>623888</xdr:colOff>
      <xdr:row>0</xdr:row>
      <xdr:rowOff>114300</xdr:rowOff>
    </xdr:from>
    <xdr:to>
      <xdr:col>5</xdr:col>
      <xdr:colOff>586422</xdr:colOff>
      <xdr:row>1</xdr:row>
      <xdr:rowOff>55245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A930EDCC-CCB3-4664-9CD8-3D45CDE46DE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14300"/>
          <a:ext cx="889635" cy="5632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42</xdr:col>
      <xdr:colOff>278334</xdr:colOff>
      <xdr:row>0</xdr:row>
      <xdr:rowOff>152400</xdr:rowOff>
    </xdr:from>
    <xdr:to>
      <xdr:col>44</xdr:col>
      <xdr:colOff>71710</xdr:colOff>
      <xdr:row>1</xdr:row>
      <xdr:rowOff>111760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5FF17ECD-EADD-4C8F-A7F4-6E28922E349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3903" y="152400"/>
          <a:ext cx="1016544" cy="58483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92075</xdr:colOff>
      <xdr:row>0</xdr:row>
      <xdr:rowOff>152400</xdr:rowOff>
    </xdr:from>
    <xdr:to>
      <xdr:col>2</xdr:col>
      <xdr:colOff>492125</xdr:colOff>
      <xdr:row>1</xdr:row>
      <xdr:rowOff>57150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31745"/>
            </a:ext>
            <a:ext uri="{FF2B5EF4-FFF2-40B4-BE49-F238E27FC236}">
              <a16:creationId xmlns:a16="http://schemas.microsoft.com/office/drawing/2014/main" id="{79072F52-7FA9-429C-83AE-7E8BC27B36C7}"/>
            </a:ext>
          </a:extLst>
        </xdr:cNvPr>
        <xdr:cNvSpPr/>
      </xdr:nvSpPr>
      <xdr:spPr bwMode="auto">
        <a:xfrm>
          <a:off x="635000" y="152400"/>
          <a:ext cx="9525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250031</xdr:colOff>
      <xdr:row>0</xdr:row>
      <xdr:rowOff>130971</xdr:rowOff>
    </xdr:from>
    <xdr:to>
      <xdr:col>1</xdr:col>
      <xdr:colOff>74610</xdr:colOff>
      <xdr:row>0</xdr:row>
      <xdr:rowOff>509588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BAB87A70-A417-4235-87A3-C7578CAF02D2}"/>
            </a:ext>
            <a:ext uri="{147F2762-F138-4A5C-976F-8EAC2B608ADB}">
              <a16:predDERef xmlns:a16="http://schemas.microsoft.com/office/drawing/2014/main" pred="{75477A1C-D5E4-4F07-AB0B-21CE2D3B0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7029" cy="375442"/>
        </a:xfrm>
        <a:prstGeom prst="rect">
          <a:avLst/>
        </a:prstGeom>
      </xdr:spPr>
    </xdr:pic>
    <xdr:clientData/>
  </xdr:twoCellAnchor>
  <xdr:twoCellAnchor editAs="absolute">
    <xdr:from>
      <xdr:col>22</xdr:col>
      <xdr:colOff>1292526</xdr:colOff>
      <xdr:row>0</xdr:row>
      <xdr:rowOff>190500</xdr:rowOff>
    </xdr:from>
    <xdr:to>
      <xdr:col>23</xdr:col>
      <xdr:colOff>872368</xdr:colOff>
      <xdr:row>1</xdr:row>
      <xdr:rowOff>130175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31746"/>
            </a:ext>
            <a:ext uri="{FF2B5EF4-FFF2-40B4-BE49-F238E27FC236}">
              <a16:creationId xmlns:a16="http://schemas.microsoft.com/office/drawing/2014/main" id="{949E0226-1EAF-4514-9038-7D555572E4FC}"/>
            </a:ext>
            <a:ext uri="{147F2762-F138-4A5C-976F-8EAC2B608ADB}">
              <a16:predDERef xmlns:a16="http://schemas.microsoft.com/office/drawing/2014/main" pred="{621BA5AE-7CED-4D2F-A391-1B3E5CA09D1A}"/>
            </a:ext>
          </a:extLst>
        </xdr:cNvPr>
        <xdr:cNvSpPr/>
      </xdr:nvSpPr>
      <xdr:spPr bwMode="auto">
        <a:xfrm>
          <a:off x="28346701" y="190500"/>
          <a:ext cx="897467" cy="558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22</xdr:col>
      <xdr:colOff>932805</xdr:colOff>
      <xdr:row>0</xdr:row>
      <xdr:rowOff>185741</xdr:rowOff>
    </xdr:from>
    <xdr:to>
      <xdr:col>22</xdr:col>
      <xdr:colOff>1292523</xdr:colOff>
      <xdr:row>0</xdr:row>
      <xdr:rowOff>548483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53EC30DD-E629-47F4-B37E-05F4213EDA7C}"/>
            </a:ext>
            <a:ext uri="{147F2762-F138-4A5C-976F-8EAC2B608ADB}">
              <a16:predDERef xmlns:a16="http://schemas.microsoft.com/office/drawing/2014/main" pred="{30611C02-69B9-46A8-B4F5-C32E08909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93330" y="182566"/>
          <a:ext cx="353368" cy="362742"/>
        </a:xfrm>
        <a:prstGeom prst="rect">
          <a:avLst/>
        </a:prstGeom>
      </xdr:spPr>
    </xdr:pic>
    <xdr:clientData/>
  </xdr:twoCellAnchor>
  <xdr:oneCellAnchor>
    <xdr:from>
      <xdr:col>12</xdr:col>
      <xdr:colOff>879362</xdr:colOff>
      <xdr:row>4</xdr:row>
      <xdr:rowOff>217713</xdr:rowOff>
    </xdr:from>
    <xdr:ext cx="2776118" cy="1993675"/>
    <xdr:pic>
      <xdr:nvPicPr>
        <xdr:cNvPr id="6" name="Imagem 5">
          <a:extLst>
            <a:ext uri="{FF2B5EF4-FFF2-40B4-BE49-F238E27FC236}">
              <a16:creationId xmlns:a16="http://schemas.microsoft.com/office/drawing/2014/main" id="{0FFD4890-9868-43C7-9D44-A52EDE1549D8}"/>
            </a:ext>
            <a:ext uri="{147F2762-F138-4A5C-976F-8EAC2B608ADB}">
              <a16:predDERef xmlns:a16="http://schemas.microsoft.com/office/drawing/2014/main" pred="{E16844D1-B858-46F4-8A28-0A4EA9760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671687" y="1636938"/>
          <a:ext cx="2776118" cy="1993675"/>
        </a:xfrm>
        <a:prstGeom prst="rect">
          <a:avLst/>
        </a:prstGeom>
      </xdr:spPr>
    </xdr:pic>
    <xdr:clientData/>
  </xdr:oneCellAnchor>
  <xdr:twoCellAnchor editAs="absolute">
    <xdr:from>
      <xdr:col>1</xdr:col>
      <xdr:colOff>92075</xdr:colOff>
      <xdr:row>0</xdr:row>
      <xdr:rowOff>152400</xdr:rowOff>
    </xdr:from>
    <xdr:to>
      <xdr:col>2</xdr:col>
      <xdr:colOff>492125</xdr:colOff>
      <xdr:row>1</xdr:row>
      <xdr:rowOff>57150</xdr:rowOff>
    </xdr:to>
    <xdr:pic>
      <xdr:nvPicPr>
        <xdr:cNvPr id="7" name="Label1">
          <a:extLst>
            <a:ext uri="{FF2B5EF4-FFF2-40B4-BE49-F238E27FC236}">
              <a16:creationId xmlns:a16="http://schemas.microsoft.com/office/drawing/2014/main" id="{4A13277E-BF31-4AF6-BC0B-9CCAD344C6BA}"/>
            </a:ext>
            <a:ext uri="{147F2762-F138-4A5C-976F-8EAC2B608ADB}">
              <a16:predDERef xmlns:a16="http://schemas.microsoft.com/office/drawing/2014/main" pred="{FE93ABC1-CFF9-4F63-B9BA-0A705D7ACF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000" y="152400"/>
          <a:ext cx="9525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22</xdr:col>
      <xdr:colOff>1312030</xdr:colOff>
      <xdr:row>0</xdr:row>
      <xdr:rowOff>190500</xdr:rowOff>
    </xdr:from>
    <xdr:to>
      <xdr:col>23</xdr:col>
      <xdr:colOff>891872</xdr:colOff>
      <xdr:row>1</xdr:row>
      <xdr:rowOff>130175</xdr:rowOff>
    </xdr:to>
    <xdr:pic>
      <xdr:nvPicPr>
        <xdr:cNvPr id="8" name="Label2">
          <a:extLst>
            <a:ext uri="{FF2B5EF4-FFF2-40B4-BE49-F238E27FC236}">
              <a16:creationId xmlns:a16="http://schemas.microsoft.com/office/drawing/2014/main" id="{FC9FF2BD-2085-4074-B04B-382FC5589AD4}"/>
            </a:ext>
            <a:ext uri="{147F2762-F138-4A5C-976F-8EAC2B608ADB}">
              <a16:predDERef xmlns:a16="http://schemas.microsoft.com/office/drawing/2014/main" pred="{6DEAF8ED-2602-4D89-9E8E-7B00A6643C5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63030" y="190500"/>
          <a:ext cx="897467" cy="558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\OneDrive\&#193;rea%20de%20Trabalho\Oggi\Lactalis\05.%20L_047_Ciclo%20DPA_Regional%20Sul\Planilhas\L_47.48_Ciclo%20DPA_Regional%20Sul%20e%20Nordeste.xlsm" TargetMode="External"/><Relationship Id="rId1" Type="http://schemas.openxmlformats.org/officeDocument/2006/relationships/externalLinkPath" Target="https://d.docs.live.net/f45c0a971cf22b75/&#193;rea%20de%20Trabalho/Oggi/Lactalis/01.%20Ciclo%20DPA/L_047_Ciclo%20DPA_Regional%20Sul/Planilhas/Hist&#243;rico/L_47.48_Ciclo%20DPA_Regional%20Sul%20e%20Nordeste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oggigrouplive.sharepoint.com/sites/OggiLive/Documentos%20Compartilhados/PROJETOS%202026/LACTALIS%2026/L_050_Conven&#231;&#227;o%20Lactalis/PLANILHAS/CLIENTE/LT_050_Conven&#231;&#227;o%20LDB%202026_MKT_FECHAMENTO.xlsx" TargetMode="External"/><Relationship Id="rId1" Type="http://schemas.openxmlformats.org/officeDocument/2006/relationships/externalLinkPath" Target="https://oggigrouplive-my.sharepoint.com/sites/OggiLive/Documentos%20Compartilhados/PROJETOS%202026/LACTALIS%2026/L_050_Conven&#231;&#227;o%20Lactalis/PLANILHAS/CLIENTE/LT_050_Conven&#231;&#227;o%20LDB%202026_MKT_FECHAMENTO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oggigrouplive-my.sharepoint.com/personal/financeiro_oggigroup_com_br/Documents/&#193;rea%20de%20Trabalho/LACTALIS/LT_050_Conven&#231;&#227;o%20LDB%202026_Fechamento_V1.xlsm" TargetMode="External"/><Relationship Id="rId1" Type="http://schemas.openxmlformats.org/officeDocument/2006/relationships/externalLinkPath" Target="https://oggigrouplive-my.sharepoint.com/personal/financeiro_oggigroup_com_br/Documents/&#193;rea%20de%20Trabalho/LACTALIS/LT_050_Conven&#231;&#227;o%20LDB%202026_Fechamento_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INCIPAL"/>
      <sheetName val="Vale Suiço"/>
      <sheetName val="Resort Catussaba"/>
      <sheetName val="TOTAL"/>
      <sheetName val="TIVOLI"/>
      <sheetName val="GRAND MERCURE VILA OLIMPIA"/>
      <sheetName val="RENAISSANCE"/>
      <sheetName val="WTC SHERATON"/>
      <sheetName val="Solicitações de Pagamento"/>
      <sheetName val="Help"/>
      <sheetName val="ItensOrc"/>
      <sheetName val="Template SP"/>
      <sheetName val="L_47"/>
    </sheetNames>
    <definedNames>
      <definedName name="ChamaForm_Menu"/>
    </definedNames>
    <sheetDataSet>
      <sheetData sheetId="0">
        <row r="23">
          <cell r="N23">
            <v>57164.160556729228</v>
          </cell>
        </row>
      </sheetData>
      <sheetData sheetId="1">
        <row r="50">
          <cell r="N50">
            <v>333543.64421052625</v>
          </cell>
        </row>
      </sheetData>
      <sheetData sheetId="2">
        <row r="51">
          <cell r="N51">
            <v>177068.27368421055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incipal"/>
      <sheetName val="Itens Novos"/>
      <sheetName val="Itens Banda"/>
      <sheetName val="Atração"/>
      <sheetName val="Bourbon Atibaia "/>
      <sheetName val="Itens Extras Hotel "/>
      <sheetName val="TOTAL"/>
    </sheetNames>
    <sheetDataSet>
      <sheetData sheetId="0"/>
      <sheetData sheetId="1"/>
      <sheetData sheetId="2">
        <row r="21">
          <cell r="H21">
            <v>231.93252317633906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incipal"/>
      <sheetName val="Itens Novos"/>
      <sheetName val="Itens Banda"/>
      <sheetName val="Atração"/>
      <sheetName val="Bourbon Atibaia "/>
      <sheetName val="Itens Extras Hotel "/>
      <sheetName val="TOTAL"/>
      <sheetName val="Negociação"/>
      <sheetName val="Solicitações de Pagamento"/>
      <sheetName val="ItensOrc"/>
      <sheetName val="Template SP"/>
    </sheetNames>
    <sheetDataSet>
      <sheetData sheetId="0"/>
      <sheetData sheetId="1">
        <row r="14">
          <cell r="M14">
            <v>0.19530000000000003</v>
          </cell>
        </row>
      </sheetData>
      <sheetData sheetId="2"/>
      <sheetData sheetId="3"/>
      <sheetData sheetId="4">
        <row r="14">
          <cell r="L14">
            <v>0.05</v>
          </cell>
          <cell r="M14">
            <v>0.19530000000000003</v>
          </cell>
        </row>
        <row r="44">
          <cell r="K44">
            <v>910926.2</v>
          </cell>
        </row>
      </sheetData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line Sanches Lioni" id="{913EAAAB-39F1-4124-9E38-3D0655B1E166}" userId="S::aline.sanches@oggilive.com.br::bbd3622b-cd75-4c3d-9bc0-2d5c1643041b" providerId="AD"/>
  <person displayName="Carol Iglezias" id="{B3590D90-6260-4DBC-8EFF-2E4E15F84B94}" userId="S::carol.iglezias@oggilive.com.br::e3599335-7fad-48c9-a3a1-f8827cdc78a0" providerId="AD"/>
</personList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T24" dT="2026-01-27T18:44:11.00" personId="{913EAAAB-39F1-4124-9E38-3D0655B1E166}" id="{03232A61-22D4-4AB1-A558-0E1B0CD0A45C}">
    <text xml:space="preserve">Valor referente ao salario Gabriela Goulart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S18" dT="2026-01-27T18:54:46.20" personId="{913EAAAB-39F1-4124-9E38-3D0655B1E166}" id="{1A2D194D-C16E-4D88-8FAE-666C38DB115B}">
    <text>Alimentação SAMBO no restaurante do hotel dia14/01 - o valor irá chegar junto aos extras de Hotel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I32" dT="2026-02-23T20:59:35.73" personId="{B3590D90-6260-4DBC-8EFF-2E4E15F84B94}" id="{E73596F2-E03C-4681-B1F7-0D6C6E619809}">
    <text>Eram 03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8BEBF-59CE-4501-A0E9-D3B44E975984}">
  <dimension ref="A1:F54"/>
  <sheetViews>
    <sheetView showGridLines="0" tabSelected="1" topLeftCell="A33" zoomScaleNormal="100" workbookViewId="0">
      <selection activeCell="K43" sqref="K43"/>
    </sheetView>
  </sheetViews>
  <sheetFormatPr defaultColWidth="8.6640625" defaultRowHeight="16.2" x14ac:dyDescent="0.35"/>
  <cols>
    <col min="1" max="1" width="8.6640625" style="380"/>
    <col min="2" max="2" width="41.109375" style="380" customWidth="1"/>
    <col min="3" max="3" width="22.88671875" style="380" customWidth="1"/>
    <col min="4" max="4" width="20.44140625" style="380" customWidth="1"/>
    <col min="5" max="5" width="21" style="380" bestFit="1" customWidth="1"/>
    <col min="6" max="6" width="11.88671875" style="381" bestFit="1" customWidth="1"/>
    <col min="7" max="7" width="12.88671875" style="380" bestFit="1" customWidth="1"/>
    <col min="8" max="8" width="12.5546875" style="380" bestFit="1" customWidth="1"/>
    <col min="9" max="16384" width="8.6640625" style="380"/>
  </cols>
  <sheetData>
    <row r="1" spans="1:5" s="381" customFormat="1" hidden="1" x14ac:dyDescent="0.35">
      <c r="A1" s="380"/>
      <c r="B1" s="380"/>
      <c r="C1" s="380"/>
      <c r="D1" s="380"/>
      <c r="E1" s="380"/>
    </row>
    <row r="2" spans="1:5" s="381" customFormat="1" hidden="1" x14ac:dyDescent="0.35">
      <c r="A2" s="380"/>
      <c r="B2" s="380"/>
      <c r="C2" s="380"/>
      <c r="D2" s="380"/>
      <c r="E2" s="380"/>
    </row>
    <row r="3" spans="1:5" s="381" customFormat="1" hidden="1" x14ac:dyDescent="0.35">
      <c r="A3" s="380"/>
      <c r="B3" s="380"/>
      <c r="C3" s="382">
        <v>45866</v>
      </c>
      <c r="D3" s="383"/>
      <c r="E3" s="994" t="e">
        <f>SUM(#REF!)</f>
        <v>#REF!</v>
      </c>
    </row>
    <row r="4" spans="1:5" s="381" customFormat="1" ht="15.6" hidden="1" customHeight="1" thickBot="1" x14ac:dyDescent="0.4">
      <c r="A4" s="380"/>
      <c r="B4" s="380"/>
      <c r="C4" s="384">
        <v>45867</v>
      </c>
      <c r="D4" s="385"/>
      <c r="E4" s="995"/>
    </row>
    <row r="5" spans="1:5" s="381" customFormat="1" hidden="1" x14ac:dyDescent="0.35">
      <c r="A5" s="380"/>
      <c r="B5" s="380"/>
      <c r="C5" s="386" t="s">
        <v>274</v>
      </c>
      <c r="D5" s="387"/>
      <c r="E5" s="380"/>
    </row>
    <row r="6" spans="1:5" s="381" customFormat="1" hidden="1" x14ac:dyDescent="0.35">
      <c r="A6" s="380"/>
      <c r="B6" s="380"/>
      <c r="C6" s="386" t="s">
        <v>275</v>
      </c>
      <c r="D6" s="387"/>
      <c r="E6" s="380"/>
    </row>
    <row r="7" spans="1:5" s="381" customFormat="1" ht="16.8" hidden="1" thickBot="1" x14ac:dyDescent="0.4">
      <c r="A7" s="380"/>
      <c r="B7" s="380"/>
      <c r="C7" s="388" t="s">
        <v>43</v>
      </c>
      <c r="D7" s="389"/>
      <c r="E7" s="380"/>
    </row>
    <row r="9" spans="1:5" s="381" customFormat="1" x14ac:dyDescent="0.35">
      <c r="A9" s="380" t="s">
        <v>106</v>
      </c>
      <c r="B9" s="380"/>
      <c r="C9" s="380"/>
      <c r="D9" s="380"/>
      <c r="E9" s="380"/>
    </row>
    <row r="10" spans="1:5" s="381" customFormat="1" ht="24" customHeight="1" x14ac:dyDescent="0.35">
      <c r="A10" s="380"/>
      <c r="B10" s="380"/>
      <c r="C10" s="380"/>
      <c r="D10" s="380"/>
      <c r="E10" s="380"/>
    </row>
    <row r="12" spans="1:5" s="381" customFormat="1" ht="15" customHeight="1" x14ac:dyDescent="0.35">
      <c r="A12" s="380"/>
      <c r="B12" s="337" t="s">
        <v>265</v>
      </c>
      <c r="C12" s="413"/>
      <c r="D12" s="413"/>
      <c r="E12" s="380"/>
    </row>
    <row r="13" spans="1:5" s="381" customFormat="1" ht="15" customHeight="1" x14ac:dyDescent="0.35">
      <c r="A13" s="380"/>
      <c r="B13" s="338" t="s">
        <v>266</v>
      </c>
      <c r="C13" s="413"/>
      <c r="D13" s="413"/>
      <c r="E13" s="380"/>
    </row>
    <row r="14" spans="1:5" s="381" customFormat="1" ht="15" customHeight="1" x14ac:dyDescent="0.35">
      <c r="A14" s="380"/>
      <c r="B14" s="338" t="s">
        <v>267</v>
      </c>
      <c r="C14" s="414"/>
      <c r="D14" s="414"/>
      <c r="E14" s="380"/>
    </row>
    <row r="15" spans="1:5" s="381" customFormat="1" ht="15" customHeight="1" x14ac:dyDescent="0.35">
      <c r="A15" s="380"/>
      <c r="B15" s="338" t="s">
        <v>268</v>
      </c>
      <c r="C15" s="414"/>
      <c r="D15" s="414"/>
      <c r="E15" s="380"/>
    </row>
    <row r="16" spans="1:5" s="381" customFormat="1" ht="15" customHeight="1" x14ac:dyDescent="0.35">
      <c r="A16" s="380"/>
      <c r="B16" s="338" t="s">
        <v>269</v>
      </c>
      <c r="C16" s="415"/>
      <c r="D16" s="415"/>
      <c r="E16" s="380"/>
    </row>
    <row r="17" spans="2:6" ht="15" customHeight="1" x14ac:dyDescent="0.35">
      <c r="B17" s="338" t="s">
        <v>270</v>
      </c>
      <c r="C17" s="414"/>
      <c r="D17" s="414"/>
    </row>
    <row r="18" spans="2:6" ht="15" customHeight="1" x14ac:dyDescent="0.35">
      <c r="B18" s="338" t="s">
        <v>282</v>
      </c>
      <c r="C18" s="414"/>
      <c r="D18" s="414"/>
    </row>
    <row r="19" spans="2:6" ht="15" customHeight="1" x14ac:dyDescent="0.35">
      <c r="B19" s="339" t="s">
        <v>283</v>
      </c>
      <c r="C19" s="414"/>
      <c r="D19" s="414"/>
    </row>
    <row r="21" spans="2:6" ht="15.6" customHeight="1" x14ac:dyDescent="0.35">
      <c r="B21" s="390"/>
      <c r="C21" s="390" t="s">
        <v>276</v>
      </c>
      <c r="D21" s="390" t="s">
        <v>277</v>
      </c>
      <c r="E21" s="390" t="s">
        <v>278</v>
      </c>
    </row>
    <row r="22" spans="2:6" x14ac:dyDescent="0.35">
      <c r="B22" s="391" t="s">
        <v>191</v>
      </c>
      <c r="C22" s="392">
        <f>PRINCIPAL!N29</f>
        <v>38501.449981359518</v>
      </c>
      <c r="D22" s="392">
        <f>PRINCIPAL!X29</f>
        <v>43521.279999999999</v>
      </c>
      <c r="E22" s="392">
        <f>C22-D22</f>
        <v>-5019.8300186404813</v>
      </c>
      <c r="F22" s="393">
        <f>E22*100%/C22</f>
        <v>-0.13038028492617376</v>
      </c>
    </row>
    <row r="23" spans="2:6" x14ac:dyDescent="0.35">
      <c r="B23" s="391" t="s">
        <v>284</v>
      </c>
      <c r="C23" s="392">
        <f>Batavo!N43</f>
        <v>41823.258357151732</v>
      </c>
      <c r="D23" s="392">
        <f>Batavo!X43</f>
        <v>50309</v>
      </c>
      <c r="E23" s="392">
        <f t="shared" ref="E23:E24" si="0">C23-D23</f>
        <v>-8485.7416428482684</v>
      </c>
      <c r="F23" s="393">
        <f t="shared" ref="F23:F24" si="1">E23*100%/C23</f>
        <v>-0.20289527827755238</v>
      </c>
    </row>
    <row r="24" spans="2:6" x14ac:dyDescent="0.35">
      <c r="B24" s="391" t="s">
        <v>285</v>
      </c>
      <c r="C24" s="392">
        <f>'Cozinha Show President'!N21</f>
        <v>10438.971045109978</v>
      </c>
      <c r="D24" s="392">
        <f>'Cozinha Show President'!X21</f>
        <v>2000</v>
      </c>
      <c r="E24" s="392">
        <f t="shared" si="0"/>
        <v>8438.9710451099781</v>
      </c>
      <c r="F24" s="393">
        <f t="shared" si="1"/>
        <v>0.80841023589802197</v>
      </c>
    </row>
    <row r="25" spans="2:6" x14ac:dyDescent="0.35">
      <c r="B25" s="391" t="s">
        <v>286</v>
      </c>
      <c r="C25" s="392">
        <f>'Parmalat Fit'!N23</f>
        <v>18990.928296259477</v>
      </c>
      <c r="D25" s="392">
        <f>'Parmalat Fit'!X23</f>
        <v>14760</v>
      </c>
      <c r="E25" s="392">
        <f>C25-D25</f>
        <v>4230.9282962594771</v>
      </c>
      <c r="F25" s="393">
        <f>E25*100%/C25</f>
        <v>0.22278680800942291</v>
      </c>
    </row>
    <row r="26" spans="2:6" x14ac:dyDescent="0.35">
      <c r="B26" s="391" t="s">
        <v>191</v>
      </c>
      <c r="C26" s="392">
        <v>431139.12</v>
      </c>
      <c r="D26" s="392">
        <v>0</v>
      </c>
      <c r="E26" s="392">
        <f t="shared" ref="E26:E31" si="2">C26-D26</f>
        <v>431139.12</v>
      </c>
      <c r="F26" s="393">
        <f t="shared" ref="F26:F31" si="3">E26*100%/C26</f>
        <v>1</v>
      </c>
    </row>
    <row r="27" spans="2:6" x14ac:dyDescent="0.35">
      <c r="B27" s="391" t="s">
        <v>550</v>
      </c>
      <c r="C27" s="392">
        <v>90040.19</v>
      </c>
      <c r="D27" s="392">
        <v>0</v>
      </c>
      <c r="E27" s="392">
        <f t="shared" si="2"/>
        <v>90040.19</v>
      </c>
      <c r="F27" s="393">
        <f t="shared" si="3"/>
        <v>1</v>
      </c>
    </row>
    <row r="28" spans="2:6" x14ac:dyDescent="0.35">
      <c r="B28" s="391" t="s">
        <v>693</v>
      </c>
      <c r="C28" s="392">
        <v>62236.34</v>
      </c>
      <c r="D28" s="392">
        <v>0</v>
      </c>
      <c r="E28" s="392">
        <f t="shared" si="2"/>
        <v>62236.34</v>
      </c>
      <c r="F28" s="393">
        <f t="shared" si="3"/>
        <v>1</v>
      </c>
    </row>
    <row r="29" spans="2:6" x14ac:dyDescent="0.35">
      <c r="B29" s="391" t="s">
        <v>629</v>
      </c>
      <c r="C29" s="392">
        <v>100902.82</v>
      </c>
      <c r="D29" s="392">
        <v>0</v>
      </c>
      <c r="E29" s="392">
        <f t="shared" si="2"/>
        <v>100902.82</v>
      </c>
      <c r="F29" s="393">
        <f t="shared" si="3"/>
        <v>1</v>
      </c>
    </row>
    <row r="30" spans="2:6" x14ac:dyDescent="0.35">
      <c r="B30" s="391" t="s">
        <v>377</v>
      </c>
      <c r="C30" s="392">
        <v>967526.56</v>
      </c>
      <c r="D30" s="392">
        <v>683236.64</v>
      </c>
      <c r="E30" s="392">
        <f t="shared" si="2"/>
        <v>284289.92000000004</v>
      </c>
      <c r="F30" s="393">
        <f t="shared" si="3"/>
        <v>0.29383164427031339</v>
      </c>
    </row>
    <row r="31" spans="2:6" x14ac:dyDescent="0.35">
      <c r="B31" s="391" t="s">
        <v>633</v>
      </c>
      <c r="C31" s="392">
        <v>166574.44</v>
      </c>
      <c r="D31" s="392">
        <v>0</v>
      </c>
      <c r="E31" s="392">
        <f t="shared" si="2"/>
        <v>166574.44</v>
      </c>
      <c r="F31" s="393">
        <f t="shared" si="3"/>
        <v>1</v>
      </c>
    </row>
    <row r="32" spans="2:6" x14ac:dyDescent="0.35">
      <c r="B32" s="390" t="s">
        <v>43</v>
      </c>
      <c r="C32" s="394">
        <f>SUM(C22:C31)</f>
        <v>1928174.0776798807</v>
      </c>
      <c r="D32" s="394">
        <f>SUM(D22:D31)</f>
        <v>793826.92</v>
      </c>
      <c r="E32" s="394">
        <f>SUM(E22:E31)</f>
        <v>1134347.1576798807</v>
      </c>
      <c r="F32" s="393">
        <f>E32*100%/C32</f>
        <v>0.58830121761869647</v>
      </c>
    </row>
    <row r="34" spans="2:6" ht="200.1" hidden="1" customHeight="1" x14ac:dyDescent="0.35"/>
    <row r="35" spans="2:6" ht="30" customHeight="1" x14ac:dyDescent="0.35"/>
    <row r="37" spans="2:6" ht="16.8" thickBot="1" x14ac:dyDescent="0.4">
      <c r="C37" s="990" t="s">
        <v>708</v>
      </c>
      <c r="D37" s="991">
        <f>SUM(C39:C43)</f>
        <v>1135496.6600000001</v>
      </c>
    </row>
    <row r="38" spans="2:6" ht="21.9" customHeight="1" thickBot="1" x14ac:dyDescent="0.4">
      <c r="B38" s="1002" t="s">
        <v>279</v>
      </c>
      <c r="C38" s="1003"/>
      <c r="D38" s="1003"/>
      <c r="E38" s="1003"/>
      <c r="F38" s="1004"/>
    </row>
    <row r="39" spans="2:6" ht="24.9" customHeight="1" thickBot="1" x14ac:dyDescent="0.4">
      <c r="B39" s="395" t="s">
        <v>701</v>
      </c>
      <c r="C39" s="396">
        <v>95000</v>
      </c>
      <c r="D39" s="996">
        <f>D32</f>
        <v>793826.92</v>
      </c>
      <c r="E39" s="999">
        <f>D37-D39</f>
        <v>341669.74000000011</v>
      </c>
      <c r="F39" s="1005">
        <f>E39*100%/D37</f>
        <v>0.30089893879564567</v>
      </c>
    </row>
    <row r="40" spans="2:6" ht="24.9" customHeight="1" thickBot="1" x14ac:dyDescent="0.4">
      <c r="B40" s="400" t="s">
        <v>694</v>
      </c>
      <c r="C40" s="401">
        <v>212310.51</v>
      </c>
      <c r="D40" s="997"/>
      <c r="E40" s="1000"/>
      <c r="F40" s="1006"/>
    </row>
    <row r="41" spans="2:6" ht="24.9" customHeight="1" thickBot="1" x14ac:dyDescent="0.4">
      <c r="B41" s="400" t="s">
        <v>695</v>
      </c>
      <c r="C41" s="401">
        <v>212310.51</v>
      </c>
      <c r="D41" s="997"/>
      <c r="E41" s="1000"/>
      <c r="F41" s="1006"/>
    </row>
    <row r="42" spans="2:6" ht="24.9" customHeight="1" thickBot="1" x14ac:dyDescent="0.4">
      <c r="B42" s="400" t="s">
        <v>699</v>
      </c>
      <c r="C42" s="401">
        <v>212310.51</v>
      </c>
      <c r="D42" s="997"/>
      <c r="E42" s="1000"/>
      <c r="F42" s="1006"/>
    </row>
    <row r="43" spans="2:6" ht="24.9" customHeight="1" thickBot="1" x14ac:dyDescent="0.4">
      <c r="B43" s="400" t="s">
        <v>707</v>
      </c>
      <c r="C43" s="401">
        <v>403565.13</v>
      </c>
      <c r="D43" s="998"/>
      <c r="E43" s="1001"/>
      <c r="F43" s="1007"/>
    </row>
    <row r="44" spans="2:6" ht="24.9" customHeight="1" thickBot="1" x14ac:dyDescent="0.4">
      <c r="B44" s="400" t="s">
        <v>698</v>
      </c>
      <c r="C44" s="401">
        <v>10438.969999999999</v>
      </c>
      <c r="D44" s="397">
        <f>C44*0.15</f>
        <v>1565.8454999999999</v>
      </c>
      <c r="E44" s="398">
        <f>C44-D44</f>
        <v>8873.1244999999999</v>
      </c>
      <c r="F44" s="399">
        <f>E44*100%/C44</f>
        <v>0.85000000000000009</v>
      </c>
    </row>
    <row r="45" spans="2:6" ht="24.9" customHeight="1" thickBot="1" x14ac:dyDescent="0.4">
      <c r="B45" s="400" t="s">
        <v>696</v>
      </c>
      <c r="C45" s="401">
        <v>566718.06999999995</v>
      </c>
      <c r="D45" s="397">
        <f>C45*0.15</f>
        <v>85007.710499999986</v>
      </c>
      <c r="E45" s="398">
        <f>C45-D45</f>
        <v>481710.35949999996</v>
      </c>
      <c r="F45" s="399">
        <f t="shared" ref="F45:F51" si="4">E45*100%/C45</f>
        <v>0.85</v>
      </c>
    </row>
    <row r="46" spans="2:6" ht="24.9" customHeight="1" thickBot="1" x14ac:dyDescent="0.4">
      <c r="B46" s="400" t="s">
        <v>697</v>
      </c>
      <c r="C46" s="401">
        <v>5902.82</v>
      </c>
      <c r="D46" s="397">
        <f>C46*0.15</f>
        <v>885.42299999999989</v>
      </c>
      <c r="E46" s="398">
        <f>C46-D46</f>
        <v>5017.3969999999999</v>
      </c>
      <c r="F46" s="399">
        <f t="shared" si="4"/>
        <v>0.85</v>
      </c>
    </row>
    <row r="47" spans="2:6" ht="24.9" customHeight="1" thickBot="1" x14ac:dyDescent="0.4">
      <c r="B47" s="400" t="s">
        <v>700</v>
      </c>
      <c r="C47" s="401">
        <v>61220.43</v>
      </c>
      <c r="D47" s="397">
        <f>C47*0.15</f>
        <v>9183.0645000000004</v>
      </c>
      <c r="E47" s="398">
        <f>C47-D47</f>
        <v>52037.3655</v>
      </c>
      <c r="F47" s="399">
        <f t="shared" si="4"/>
        <v>0.85</v>
      </c>
    </row>
    <row r="48" spans="2:6" ht="24.9" customHeight="1" thickBot="1" x14ac:dyDescent="0.4">
      <c r="B48" s="400" t="s">
        <v>702</v>
      </c>
      <c r="C48" s="401">
        <v>41823.26</v>
      </c>
      <c r="D48" s="397">
        <f>C48*0.15</f>
        <v>6273.4890000000005</v>
      </c>
      <c r="E48" s="398">
        <f>C48-D48</f>
        <v>35549.771000000001</v>
      </c>
      <c r="F48" s="399">
        <f>E48*100%/C48</f>
        <v>0.85</v>
      </c>
    </row>
    <row r="49" spans="2:6" ht="24.9" customHeight="1" thickBot="1" x14ac:dyDescent="0.4">
      <c r="B49" s="400" t="s">
        <v>703</v>
      </c>
      <c r="C49" s="401">
        <v>12833.81</v>
      </c>
      <c r="D49" s="397">
        <f>C49*0.15</f>
        <v>1925.0714999999998</v>
      </c>
      <c r="E49" s="398">
        <f>C49-D49</f>
        <v>10908.738499999999</v>
      </c>
      <c r="F49" s="399">
        <f>E49*100%/C49</f>
        <v>0.85</v>
      </c>
    </row>
    <row r="50" spans="2:6" ht="24.9" customHeight="1" thickBot="1" x14ac:dyDescent="0.4">
      <c r="B50" s="400" t="s">
        <v>704</v>
      </c>
      <c r="C50" s="401">
        <v>12833.81</v>
      </c>
      <c r="D50" s="397">
        <f>C50*0.15</f>
        <v>1925.0714999999998</v>
      </c>
      <c r="E50" s="398">
        <f>C50-D50</f>
        <v>10908.738499999999</v>
      </c>
      <c r="F50" s="399">
        <f t="shared" si="4"/>
        <v>0.85</v>
      </c>
    </row>
    <row r="51" spans="2:6" ht="24.9" customHeight="1" thickBot="1" x14ac:dyDescent="0.4">
      <c r="B51" s="400" t="s">
        <v>705</v>
      </c>
      <c r="C51" s="401">
        <v>12833.81</v>
      </c>
      <c r="D51" s="397">
        <f>C51*0.15</f>
        <v>1925.0714999999998</v>
      </c>
      <c r="E51" s="398">
        <f>C51-D51</f>
        <v>10908.738499999999</v>
      </c>
      <c r="F51" s="399">
        <f t="shared" si="4"/>
        <v>0.85</v>
      </c>
    </row>
    <row r="52" spans="2:6" ht="24.9" customHeight="1" thickBot="1" x14ac:dyDescent="0.4">
      <c r="B52" s="400" t="s">
        <v>706</v>
      </c>
      <c r="C52" s="401">
        <v>49592.38</v>
      </c>
      <c r="D52" s="397">
        <f>C52*0.15</f>
        <v>7438.8569999999991</v>
      </c>
      <c r="E52" s="398">
        <f>C52-D52</f>
        <v>42153.523000000001</v>
      </c>
      <c r="F52" s="399">
        <f>E52*100%/C52</f>
        <v>0.85000000000000009</v>
      </c>
    </row>
    <row r="53" spans="2:6" ht="20.25" customHeight="1" x14ac:dyDescent="0.35">
      <c r="B53" s="402"/>
      <c r="C53" s="403">
        <f>SUM(C39:C52)</f>
        <v>1909694.0200000003</v>
      </c>
      <c r="D53" s="404">
        <f>SUM(D44:D52,D39)</f>
        <v>909956.52399999998</v>
      </c>
      <c r="E53" s="405">
        <f>SUM(E44:E52,E39)</f>
        <v>999737.49599999993</v>
      </c>
      <c r="F53" s="993">
        <f>E53*100%/C53</f>
        <v>0.52350663799010055</v>
      </c>
    </row>
    <row r="54" spans="2:6" x14ac:dyDescent="0.35">
      <c r="C54" s="992">
        <f>C32-C53</f>
        <v>18480.05767988041</v>
      </c>
    </row>
  </sheetData>
  <mergeCells count="5">
    <mergeCell ref="E3:E4"/>
    <mergeCell ref="D39:D43"/>
    <mergeCell ref="E39:E43"/>
    <mergeCell ref="B38:F38"/>
    <mergeCell ref="F39:F43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35F7-15A5-405C-ABF9-C7FFAB2A5A71}">
  <sheetPr codeName="Planilha11">
    <pageSetUpPr autoPageBreaks="0"/>
  </sheetPr>
  <dimension ref="A1:AQ80"/>
  <sheetViews>
    <sheetView showGridLines="0" topLeftCell="B1" zoomScale="50" zoomScaleNormal="50" workbookViewId="0">
      <pane ySplit="1" topLeftCell="A25" activePane="bottomLeft" state="frozen"/>
      <selection pane="bottomLeft" activeCell="T28" sqref="T28"/>
    </sheetView>
  </sheetViews>
  <sheetFormatPr defaultColWidth="8.88671875" defaultRowHeight="23.4" x14ac:dyDescent="0.45"/>
  <cols>
    <col min="1" max="1" width="4.5546875" style="73" hidden="1" customWidth="1"/>
    <col min="2" max="2" width="10.6640625" style="73" customWidth="1"/>
    <col min="3" max="3" width="11.5546875" style="73" hidden="1" customWidth="1"/>
    <col min="4" max="4" width="11.6640625" style="73" hidden="1" customWidth="1"/>
    <col min="5" max="5" width="14.88671875" style="73" hidden="1" customWidth="1"/>
    <col min="6" max="6" width="48.6640625" style="73" customWidth="1"/>
    <col min="7" max="7" width="51.6640625" style="73" customWidth="1"/>
    <col min="8" max="8" width="7.109375" style="73" hidden="1" customWidth="1"/>
    <col min="9" max="9" width="7.6640625" style="73" hidden="1" customWidth="1"/>
    <col min="10" max="10" width="16.44140625" style="73" hidden="1" customWidth="1"/>
    <col min="11" max="11" width="26.44140625" style="73" bestFit="1" customWidth="1"/>
    <col min="12" max="12" width="25.33203125" style="73" customWidth="1"/>
    <col min="13" max="13" width="25" style="73" customWidth="1"/>
    <col min="14" max="14" width="29.33203125" style="73" customWidth="1"/>
    <col min="15" max="15" width="3.33203125" style="73" hidden="1" customWidth="1"/>
    <col min="16" max="16" width="1.88671875" style="73" hidden="1" customWidth="1"/>
    <col min="17" max="17" width="11.109375" style="73" bestFit="1" customWidth="1"/>
    <col min="18" max="18" width="8.44140625" style="73" hidden="1" customWidth="1"/>
    <col min="19" max="19" width="16.44140625" style="73" hidden="1" customWidth="1"/>
    <col min="20" max="20" width="26.6640625" style="73" bestFit="1" customWidth="1"/>
    <col min="21" max="21" width="24.6640625" style="73" hidden="1" customWidth="1"/>
    <col min="22" max="22" width="9.6640625" style="73" hidden="1" customWidth="1"/>
    <col min="23" max="23" width="16.109375" style="73" hidden="1" customWidth="1"/>
    <col min="24" max="24" width="27.109375" style="73" bestFit="1" customWidth="1"/>
    <col min="25" max="25" width="26.6640625" style="73" hidden="1" customWidth="1"/>
    <col min="26" max="26" width="14.6640625" style="73" hidden="1" customWidth="1"/>
    <col min="27" max="27" width="24.6640625" style="73" hidden="1" customWidth="1"/>
    <col min="28" max="28" width="38.109375" style="73" hidden="1" customWidth="1"/>
    <col min="29" max="29" width="15.88671875" style="73" hidden="1" customWidth="1"/>
    <col min="30" max="30" width="7.6640625" style="73" hidden="1" customWidth="1"/>
    <col min="31" max="31" width="6.88671875" style="73" hidden="1" customWidth="1"/>
    <col min="32" max="32" width="1.33203125" style="73" hidden="1" customWidth="1"/>
    <col min="33" max="33" width="14" style="73" hidden="1" customWidth="1"/>
    <col min="34" max="34" width="11.6640625" style="73" hidden="1" customWidth="1"/>
    <col min="35" max="35" width="6.33203125" style="73" hidden="1" customWidth="1"/>
    <col min="36" max="36" width="12.6640625" style="73" hidden="1" customWidth="1"/>
    <col min="37" max="37" width="26.109375" style="73" customWidth="1"/>
    <col min="38" max="38" width="26.6640625" style="432" customWidth="1"/>
    <col min="39" max="39" width="37.5546875" style="416" bestFit="1" customWidth="1"/>
    <col min="40" max="40" width="21.33203125" style="73" customWidth="1"/>
    <col min="41" max="16384" width="8.88671875" style="73"/>
  </cols>
  <sheetData>
    <row r="1" spans="1:38" ht="49.5" customHeight="1" x14ac:dyDescent="0.45">
      <c r="B1" s="74"/>
      <c r="C1" s="75"/>
      <c r="D1" s="75"/>
      <c r="F1" s="1010" t="s">
        <v>108</v>
      </c>
      <c r="G1" s="1010"/>
    </row>
    <row r="2" spans="1:38" ht="24.75" customHeight="1" x14ac:dyDescent="0.45">
      <c r="B2" s="76"/>
      <c r="D2" s="75"/>
      <c r="F2" s="1011" t="s">
        <v>0</v>
      </c>
      <c r="G2" s="1011"/>
    </row>
    <row r="3" spans="1:38" x14ac:dyDescent="0.45">
      <c r="B3" s="77"/>
      <c r="F3" s="78"/>
      <c r="G3" s="78"/>
    </row>
    <row r="4" spans="1:38" x14ac:dyDescent="0.45">
      <c r="F4" s="79" t="s">
        <v>245</v>
      </c>
      <c r="G4" s="80"/>
    </row>
    <row r="5" spans="1:38" x14ac:dyDescent="0.45">
      <c r="F5" s="81" t="s">
        <v>246</v>
      </c>
      <c r="G5" s="80"/>
    </row>
    <row r="6" spans="1:38" x14ac:dyDescent="0.45">
      <c r="D6" s="73" t="s">
        <v>106</v>
      </c>
      <c r="F6" s="81" t="s">
        <v>247</v>
      </c>
      <c r="G6" s="82"/>
    </row>
    <row r="7" spans="1:38" ht="21.75" customHeight="1" x14ac:dyDescent="0.45">
      <c r="F7" s="81" t="s">
        <v>248</v>
      </c>
      <c r="G7" s="82"/>
      <c r="J7" s="73" t="s">
        <v>107</v>
      </c>
    </row>
    <row r="8" spans="1:38" x14ac:dyDescent="0.45">
      <c r="F8" s="81" t="s">
        <v>249</v>
      </c>
      <c r="G8" s="83"/>
    </row>
    <row r="9" spans="1:38" x14ac:dyDescent="0.45">
      <c r="F9" s="81" t="s">
        <v>250</v>
      </c>
      <c r="G9" s="82"/>
      <c r="J9" s="73" t="s">
        <v>106</v>
      </c>
    </row>
    <row r="10" spans="1:38" ht="27" customHeight="1" x14ac:dyDescent="0.45">
      <c r="F10" s="81" t="s">
        <v>251</v>
      </c>
      <c r="G10" s="82"/>
    </row>
    <row r="11" spans="1:38" x14ac:dyDescent="0.45">
      <c r="F11" s="84" t="s">
        <v>252</v>
      </c>
      <c r="G11" s="82"/>
    </row>
    <row r="12" spans="1:38" ht="70.8" hidden="1" thickBot="1" x14ac:dyDescent="0.5">
      <c r="B12" s="85"/>
      <c r="M12" s="86"/>
      <c r="Q12" s="1012" t="s">
        <v>1</v>
      </c>
      <c r="R12" s="1013"/>
      <c r="S12" s="1013"/>
      <c r="T12" s="1014"/>
      <c r="U12" s="1015" t="s">
        <v>2</v>
      </c>
      <c r="V12" s="1016"/>
      <c r="W12" s="1016"/>
      <c r="X12" s="1017"/>
      <c r="Y12" s="87" t="s">
        <v>56</v>
      </c>
      <c r="Z12" s="88">
        <f>(1/(1-M14))-1</f>
        <v>0.24269914253759173</v>
      </c>
      <c r="AC12" s="1018" t="s">
        <v>3</v>
      </c>
      <c r="AD12" s="1019"/>
      <c r="AE12" s="1020"/>
      <c r="AG12" s="1021" t="s">
        <v>58</v>
      </c>
      <c r="AH12" s="1022"/>
      <c r="AJ12" s="89" t="s">
        <v>60</v>
      </c>
      <c r="AK12" s="1008" t="s">
        <v>59</v>
      </c>
      <c r="AL12" s="1009"/>
    </row>
    <row r="13" spans="1:38" ht="24" thickBot="1" x14ac:dyDescent="0.5">
      <c r="A13" s="90" t="s">
        <v>4</v>
      </c>
      <c r="B13" s="91" t="s">
        <v>5</v>
      </c>
      <c r="C13" s="90" t="s">
        <v>6</v>
      </c>
      <c r="D13" s="90" t="s">
        <v>7</v>
      </c>
      <c r="E13" s="90" t="s">
        <v>8</v>
      </c>
      <c r="M13" s="92">
        <v>0.80469999999999997</v>
      </c>
    </row>
    <row r="14" spans="1:38" ht="39.9" customHeight="1" thickBot="1" x14ac:dyDescent="0.5">
      <c r="A14" s="93">
        <v>0</v>
      </c>
      <c r="B14" s="94"/>
      <c r="C14" s="95"/>
      <c r="D14" s="96"/>
      <c r="E14" s="96"/>
      <c r="F14" s="97" t="s">
        <v>84</v>
      </c>
      <c r="G14" s="98" t="s">
        <v>85</v>
      </c>
      <c r="H14" s="99" t="s">
        <v>86</v>
      </c>
      <c r="I14" s="99" t="s">
        <v>87</v>
      </c>
      <c r="J14" s="100" t="s">
        <v>88</v>
      </c>
      <c r="K14" s="101" t="s">
        <v>9</v>
      </c>
      <c r="L14" s="102">
        <v>0.08</v>
      </c>
      <c r="M14" s="103">
        <f>1-M13</f>
        <v>0.19530000000000003</v>
      </c>
      <c r="N14" s="104" t="s">
        <v>82</v>
      </c>
      <c r="Q14" s="105" t="s">
        <v>89</v>
      </c>
      <c r="R14" s="106" t="s">
        <v>90</v>
      </c>
      <c r="S14" s="107" t="s">
        <v>91</v>
      </c>
      <c r="T14" s="108" t="s">
        <v>92</v>
      </c>
      <c r="U14" s="109" t="s">
        <v>93</v>
      </c>
      <c r="V14" s="110" t="s">
        <v>94</v>
      </c>
      <c r="W14" s="111" t="s">
        <v>95</v>
      </c>
      <c r="X14" s="111" t="s">
        <v>96</v>
      </c>
      <c r="Y14" s="112" t="s">
        <v>97</v>
      </c>
      <c r="Z14" s="113" t="s">
        <v>98</v>
      </c>
      <c r="AA14" s="114" t="s">
        <v>83</v>
      </c>
      <c r="AC14" s="115" t="s">
        <v>99</v>
      </c>
      <c r="AD14" s="116" t="s">
        <v>100</v>
      </c>
      <c r="AE14" s="116" t="s">
        <v>33</v>
      </c>
      <c r="AG14" s="117" t="s">
        <v>101</v>
      </c>
      <c r="AH14" s="118" t="s">
        <v>102</v>
      </c>
      <c r="AK14" s="119" t="s">
        <v>103</v>
      </c>
      <c r="AL14" s="433" t="s">
        <v>104</v>
      </c>
    </row>
    <row r="15" spans="1:38" ht="39.9" customHeight="1" thickBot="1" x14ac:dyDescent="0.5">
      <c r="A15" s="96">
        <v>1</v>
      </c>
      <c r="B15" s="120">
        <v>1</v>
      </c>
      <c r="C15" s="121" t="s">
        <v>109</v>
      </c>
      <c r="D15" s="96"/>
      <c r="E15" s="96"/>
      <c r="F15" s="1023" t="s">
        <v>118</v>
      </c>
      <c r="G15" s="1024"/>
      <c r="H15" s="1024"/>
      <c r="I15" s="1024"/>
      <c r="J15" s="1024"/>
      <c r="K15" s="1024"/>
      <c r="L15" s="1024"/>
      <c r="M15" s="1024"/>
      <c r="N15" s="1025"/>
      <c r="Q15" s="1023" t="str">
        <f>IF(F15&lt;&gt;"",F15,"")</f>
        <v>INTERNO</v>
      </c>
      <c r="R15" s="1024"/>
      <c r="S15" s="1024"/>
      <c r="T15" s="1024"/>
      <c r="U15" s="1024"/>
      <c r="V15" s="1024"/>
      <c r="W15" s="1024"/>
      <c r="X15" s="1024"/>
      <c r="Y15" s="1025"/>
      <c r="AK15" s="122"/>
      <c r="AL15" s="434"/>
    </row>
    <row r="16" spans="1:38" ht="39.9" customHeight="1" x14ac:dyDescent="0.45">
      <c r="A16" s="96">
        <v>2</v>
      </c>
      <c r="B16" s="120" t="s">
        <v>111</v>
      </c>
      <c r="C16" s="121" t="s">
        <v>110</v>
      </c>
      <c r="D16" s="96"/>
      <c r="E16" s="96"/>
      <c r="F16" s="1026" t="s">
        <v>118</v>
      </c>
      <c r="G16" s="1027"/>
      <c r="H16" s="1027"/>
      <c r="I16" s="1027"/>
      <c r="J16" s="1027"/>
      <c r="K16" s="1028"/>
      <c r="L16" s="124" t="s">
        <v>112</v>
      </c>
      <c r="M16" s="125" t="s">
        <v>113</v>
      </c>
      <c r="N16" s="126" t="s">
        <v>82</v>
      </c>
      <c r="Q16" s="1026" t="str">
        <f>IF(F16&lt;&gt;"",F16,"")</f>
        <v>INTERNO</v>
      </c>
      <c r="R16" s="1027"/>
      <c r="S16" s="1027"/>
      <c r="T16" s="1027"/>
      <c r="U16" s="1027"/>
      <c r="V16" s="1027"/>
      <c r="W16" s="1027"/>
      <c r="X16" s="1027"/>
      <c r="Y16" s="1029"/>
      <c r="Z16" s="127" t="s">
        <v>114</v>
      </c>
      <c r="AA16" s="128" t="s">
        <v>83</v>
      </c>
      <c r="AK16" s="123"/>
      <c r="AL16" s="435"/>
    </row>
    <row r="17" spans="1:43" ht="129.9" customHeight="1" x14ac:dyDescent="0.45">
      <c r="A17" s="96">
        <v>3</v>
      </c>
      <c r="B17" s="120" t="s">
        <v>116</v>
      </c>
      <c r="C17" s="121" t="s">
        <v>115</v>
      </c>
      <c r="D17" s="96" t="s">
        <v>118</v>
      </c>
      <c r="E17" s="96" t="s">
        <v>117</v>
      </c>
      <c r="F17" s="129" t="s">
        <v>119</v>
      </c>
      <c r="G17" s="130" t="s">
        <v>120</v>
      </c>
      <c r="H17" s="131">
        <v>1</v>
      </c>
      <c r="I17" s="131">
        <v>1</v>
      </c>
      <c r="J17" s="132">
        <v>6500</v>
      </c>
      <c r="K17" s="132">
        <f>IF(F17&lt;&gt;"",H17*I17*J17,"")</f>
        <v>6500</v>
      </c>
      <c r="L17" s="132">
        <f>IF(K17&lt;&gt;"",IF(D17="INTERNO",0,K17*$L$14),"")</f>
        <v>0</v>
      </c>
      <c r="M17" s="132">
        <f>IF(K17&lt;&gt;"",IF(E17="FAT.OGGI",SUM(K17:L17)*(1/(1-$M$14)-1),L17*(1/(1-$M$14)-1)),0)</f>
        <v>1577.5444264943462</v>
      </c>
      <c r="N17" s="133">
        <f>SUM(K17:M17)</f>
        <v>8077.5444264943462</v>
      </c>
      <c r="Q17" s="134">
        <f>IF(H17&lt;&gt;"",H17,"")</f>
        <v>1</v>
      </c>
      <c r="R17" s="135">
        <f>IF(I17&lt;&gt;"",I17,"")</f>
        <v>1</v>
      </c>
      <c r="S17" s="136">
        <v>0</v>
      </c>
      <c r="T17" s="136">
        <f>IF(Q17&lt;&gt;"",Q17*R17*S17,"")</f>
        <v>0</v>
      </c>
      <c r="U17" s="137">
        <f>IF(Q17&lt;&gt;"",K17-T17,"")</f>
        <v>6500</v>
      </c>
      <c r="V17" s="138">
        <f>IF(Q17&lt;&gt;"",0%,"")</f>
        <v>0</v>
      </c>
      <c r="W17" s="139">
        <f>IF(Q17&lt;&gt;"",V17*U17,"")</f>
        <v>0</v>
      </c>
      <c r="X17" s="139">
        <f>IF(Q17&lt;&gt;"",W17+T17,"")</f>
        <v>0</v>
      </c>
      <c r="Y17" s="140">
        <f>IF(Q17&lt;&gt;"",X17+M17,"")</f>
        <v>1577.5444264943462</v>
      </c>
      <c r="Z17" s="141">
        <f>IF(Q17&lt;&gt;"", IFERROR(U17/K17, 0), 0)</f>
        <v>1</v>
      </c>
      <c r="AA17" s="142">
        <f>IFERROR(T17/$T$19, "")</f>
        <v>0</v>
      </c>
      <c r="AK17" s="143">
        <f>X17-AL17</f>
        <v>0</v>
      </c>
      <c r="AL17" s="436"/>
    </row>
    <row r="18" spans="1:43" ht="129.9" customHeight="1" x14ac:dyDescent="0.45">
      <c r="A18" s="96">
        <v>4</v>
      </c>
      <c r="B18" s="120" t="s">
        <v>105</v>
      </c>
      <c r="C18" s="121" t="s">
        <v>115</v>
      </c>
      <c r="D18" s="96" t="s">
        <v>118</v>
      </c>
      <c r="E18" s="96" t="s">
        <v>117</v>
      </c>
      <c r="F18" s="129" t="s">
        <v>121</v>
      </c>
      <c r="G18" s="130" t="s">
        <v>122</v>
      </c>
      <c r="H18" s="144">
        <v>1</v>
      </c>
      <c r="I18" s="144">
        <v>1</v>
      </c>
      <c r="J18" s="145">
        <v>4500</v>
      </c>
      <c r="K18" s="145">
        <f>IF(F18&lt;&gt;"",H18*I18*J18,"")</f>
        <v>4500</v>
      </c>
      <c r="L18" s="145">
        <f>IF(K18&lt;&gt;"",IF(D18="INTERNO",0,K18*$L$14),"")</f>
        <v>0</v>
      </c>
      <c r="M18" s="145">
        <f>IF(K18&lt;&gt;"",IF(E18="FAT.OGGI",SUM(K18:L18)*(1/(1-$M$14)-1),L18*(1/(1-$M$14)-1)),0)</f>
        <v>1092.1461414191629</v>
      </c>
      <c r="N18" s="146">
        <f>SUM(K18:M18)</f>
        <v>5592.1461414191626</v>
      </c>
      <c r="Q18" s="147">
        <f>IF(H18&lt;&gt;"",H18,"")</f>
        <v>1</v>
      </c>
      <c r="R18" s="148">
        <f>IF(I18&lt;&gt;"",I18,"")</f>
        <v>1</v>
      </c>
      <c r="S18" s="149">
        <v>0</v>
      </c>
      <c r="T18" s="149">
        <v>1883.33</v>
      </c>
      <c r="U18" s="150">
        <f>IF(Q18&lt;&gt;"",K18-T18,"")</f>
        <v>2616.67</v>
      </c>
      <c r="V18" s="151">
        <f>IF(Q18&lt;&gt;"",0%,"")</f>
        <v>0</v>
      </c>
      <c r="W18" s="152">
        <f>IF(Q18&lt;&gt;"",V18*U18,"")</f>
        <v>0</v>
      </c>
      <c r="X18" s="152">
        <f>IF(Q18&lt;&gt;"",W18+T18,"")</f>
        <v>1883.33</v>
      </c>
      <c r="Y18" s="153">
        <f>IF(Q18&lt;&gt;"",X18+M18,"")</f>
        <v>2975.4761414191626</v>
      </c>
      <c r="Z18" s="141">
        <f>IF(Q18&lt;&gt;"", IFERROR(U18/K18, 0), 0)</f>
        <v>0.58148222222222223</v>
      </c>
      <c r="AA18" s="142">
        <f>IFERROR(T18/$T$19, "")</f>
        <v>1</v>
      </c>
      <c r="AK18" s="143">
        <f t="shared" ref="AK18:AK27" si="0">X18-AL18</f>
        <v>0</v>
      </c>
      <c r="AL18" s="436">
        <f>550+1333.33</f>
        <v>1883.33</v>
      </c>
      <c r="AM18" s="416" t="s">
        <v>306</v>
      </c>
    </row>
    <row r="19" spans="1:43" ht="39.9" customHeight="1" thickBot="1" x14ac:dyDescent="0.5">
      <c r="A19" s="96">
        <v>5</v>
      </c>
      <c r="B19" s="120"/>
      <c r="C19" s="121" t="s">
        <v>123</v>
      </c>
      <c r="D19" s="96"/>
      <c r="E19" s="96"/>
      <c r="F19" s="1030" t="s">
        <v>124</v>
      </c>
      <c r="G19" s="1031"/>
      <c r="H19" s="1031"/>
      <c r="I19" s="1031"/>
      <c r="J19" s="1031"/>
      <c r="K19" s="154">
        <f>SUM(K17:K18)</f>
        <v>11000</v>
      </c>
      <c r="L19" s="155">
        <f>SUM(L17:L18)</f>
        <v>0</v>
      </c>
      <c r="M19" s="155">
        <f>SUM(M17:M18)</f>
        <v>2669.6905679135089</v>
      </c>
      <c r="N19" s="156">
        <f>SUM(N17:N18)</f>
        <v>13669.690567913509</v>
      </c>
      <c r="Q19" s="1030" t="s">
        <v>124</v>
      </c>
      <c r="R19" s="1031"/>
      <c r="S19" s="1031"/>
      <c r="T19" s="157">
        <f>SUM(T17:T18)</f>
        <v>1883.33</v>
      </c>
      <c r="U19" s="158">
        <f>SUM(U17:U18)</f>
        <v>9116.67</v>
      </c>
      <c r="V19" s="159"/>
      <c r="W19" s="159"/>
      <c r="X19" s="160">
        <f>SUM(X17:X18)</f>
        <v>1883.33</v>
      </c>
      <c r="Y19" s="161">
        <f>IF(Q19&lt;&gt;"",X19+M19,"")</f>
        <v>4553.0205679135088</v>
      </c>
      <c r="AK19" s="143"/>
      <c r="AL19" s="436"/>
    </row>
    <row r="20" spans="1:43" ht="39.9" customHeight="1" thickBot="1" x14ac:dyDescent="0.5">
      <c r="A20" s="96">
        <v>6</v>
      </c>
      <c r="B20" s="120">
        <v>2</v>
      </c>
      <c r="C20" s="121" t="s">
        <v>109</v>
      </c>
      <c r="D20" s="96"/>
      <c r="E20" s="96"/>
      <c r="F20" s="1023" t="s">
        <v>156</v>
      </c>
      <c r="G20" s="1024"/>
      <c r="H20" s="1024"/>
      <c r="I20" s="1024"/>
      <c r="J20" s="1024"/>
      <c r="K20" s="1024"/>
      <c r="L20" s="1024"/>
      <c r="M20" s="1024"/>
      <c r="N20" s="1025"/>
      <c r="Q20" s="1034" t="str">
        <f>IF(F20&lt;&gt;"",F20,"")</f>
        <v>LOGÍSTICA</v>
      </c>
      <c r="R20" s="1035"/>
      <c r="S20" s="1035"/>
      <c r="T20" s="1035"/>
      <c r="U20" s="1035"/>
      <c r="V20" s="1035"/>
      <c r="W20" s="1035"/>
      <c r="X20" s="1035"/>
      <c r="Y20" s="1036"/>
      <c r="AK20" s="143"/>
      <c r="AL20" s="436"/>
    </row>
    <row r="21" spans="1:43" ht="39.9" customHeight="1" x14ac:dyDescent="0.45">
      <c r="A21" s="96">
        <v>7</v>
      </c>
      <c r="B21" s="120" t="s">
        <v>125</v>
      </c>
      <c r="C21" s="121" t="s">
        <v>110</v>
      </c>
      <c r="D21" s="96"/>
      <c r="E21" s="96"/>
      <c r="F21" s="1026" t="s">
        <v>156</v>
      </c>
      <c r="G21" s="1027"/>
      <c r="H21" s="1027"/>
      <c r="I21" s="1027"/>
      <c r="J21" s="1027"/>
      <c r="K21" s="1028"/>
      <c r="L21" s="124" t="s">
        <v>112</v>
      </c>
      <c r="M21" s="125" t="s">
        <v>113</v>
      </c>
      <c r="N21" s="126" t="s">
        <v>82</v>
      </c>
      <c r="Q21" s="1026" t="str">
        <f>IF(F21&lt;&gt;"",F21,"")</f>
        <v>LOGÍSTICA</v>
      </c>
      <c r="R21" s="1027"/>
      <c r="S21" s="1027"/>
      <c r="T21" s="1027"/>
      <c r="U21" s="1027"/>
      <c r="V21" s="1027"/>
      <c r="W21" s="1027"/>
      <c r="X21" s="1027"/>
      <c r="Y21" s="1029"/>
      <c r="Z21" s="127" t="s">
        <v>114</v>
      </c>
      <c r="AA21" s="128" t="s">
        <v>83</v>
      </c>
      <c r="AK21" s="143"/>
      <c r="AL21" s="436"/>
    </row>
    <row r="22" spans="1:43" ht="129.9" customHeight="1" x14ac:dyDescent="0.45">
      <c r="A22" s="96">
        <v>8</v>
      </c>
      <c r="B22" s="120" t="s">
        <v>126</v>
      </c>
      <c r="C22" s="121" t="s">
        <v>115</v>
      </c>
      <c r="D22" s="96" t="s">
        <v>127</v>
      </c>
      <c r="E22" s="96" t="s">
        <v>117</v>
      </c>
      <c r="F22" s="129" t="s">
        <v>157</v>
      </c>
      <c r="G22" s="130" t="s">
        <v>158</v>
      </c>
      <c r="H22" s="131">
        <v>1</v>
      </c>
      <c r="I22" s="131">
        <v>1</v>
      </c>
      <c r="J22" s="132">
        <v>8100</v>
      </c>
      <c r="K22" s="132">
        <f>IF(F22&lt;&gt;"",H22*I22*J22,"")</f>
        <v>8100</v>
      </c>
      <c r="L22" s="132">
        <f t="shared" ref="L22:L27" si="1">IF(K22&lt;&gt;"",IF(D22="INTERNO",0,K22*$L$14),"")</f>
        <v>648</v>
      </c>
      <c r="M22" s="132">
        <f t="shared" ref="M22:M27" si="2">IF(K22&lt;&gt;"",IF(E22="FAT.OGGI",SUM(K22:L22)*(1/(1-$M$14)-1),L22*(1/(1-$M$14)-1)),0)</f>
        <v>2123.1320989188525</v>
      </c>
      <c r="N22" s="133">
        <f t="shared" ref="N22:N27" si="3">SUM(K22:M22)</f>
        <v>10871.132098918853</v>
      </c>
      <c r="Q22" s="134">
        <f t="shared" ref="Q22:R26" si="4">IF(H22&lt;&gt;"",H22,"")</f>
        <v>1</v>
      </c>
      <c r="R22" s="135">
        <v>0</v>
      </c>
      <c r="S22" s="136">
        <v>6750</v>
      </c>
      <c r="T22" s="136">
        <v>3000</v>
      </c>
      <c r="U22" s="137">
        <f t="shared" ref="U22:U27" si="5">IF(Q22&lt;&gt;"",K22-T22,"")</f>
        <v>5100</v>
      </c>
      <c r="V22" s="138">
        <f t="shared" ref="V22:V27" si="6">IF(Q22&lt;&gt;"",0%,"")</f>
        <v>0</v>
      </c>
      <c r="W22" s="139">
        <f t="shared" ref="W22:W27" si="7">IF(Q22&lt;&gt;"",V22*U22,"")</f>
        <v>0</v>
      </c>
      <c r="X22" s="139">
        <f t="shared" ref="X22:X26" si="8">IF(Q22&lt;&gt;"",W22+T22,"")</f>
        <v>3000</v>
      </c>
      <c r="Y22" s="140">
        <f t="shared" ref="Y22:Y28" si="9">IF(Q22&lt;&gt;"",X22+M22,"")</f>
        <v>5123.1320989188525</v>
      </c>
      <c r="Z22" s="141">
        <f>IF(Q22&lt;&gt;"", IFERROR(U22/K22, 0), 0)</f>
        <v>0.62962962962962965</v>
      </c>
      <c r="AA22" s="142">
        <f>IFERROR(T22/$T$28, "")</f>
        <v>0.2726529128419522</v>
      </c>
      <c r="AK22" s="143">
        <f t="shared" si="0"/>
        <v>0</v>
      </c>
      <c r="AL22" s="436">
        <v>3000</v>
      </c>
      <c r="AM22" s="416" t="s">
        <v>315</v>
      </c>
    </row>
    <row r="23" spans="1:43" ht="129.9" customHeight="1" x14ac:dyDescent="0.45">
      <c r="A23" s="96">
        <v>9</v>
      </c>
      <c r="B23" s="120" t="s">
        <v>129</v>
      </c>
      <c r="C23" s="121" t="s">
        <v>115</v>
      </c>
      <c r="D23" s="96" t="s">
        <v>127</v>
      </c>
      <c r="E23" s="96" t="s">
        <v>117</v>
      </c>
      <c r="F23" s="129" t="s">
        <v>159</v>
      </c>
      <c r="G23" s="130" t="s">
        <v>160</v>
      </c>
      <c r="H23" s="131">
        <v>1</v>
      </c>
      <c r="I23" s="131">
        <v>1</v>
      </c>
      <c r="J23" s="132">
        <v>1989</v>
      </c>
      <c r="K23" s="132">
        <f>IF(F23&lt;&gt;"",H23*I23*J23,"")</f>
        <v>1989</v>
      </c>
      <c r="L23" s="132">
        <f t="shared" si="1"/>
        <v>159.12</v>
      </c>
      <c r="M23" s="132">
        <f t="shared" si="2"/>
        <v>521.34688206785154</v>
      </c>
      <c r="N23" s="133">
        <f t="shared" si="3"/>
        <v>2669.4668820678517</v>
      </c>
      <c r="Q23" s="134">
        <f t="shared" si="4"/>
        <v>1</v>
      </c>
      <c r="R23" s="135">
        <f t="shared" si="4"/>
        <v>1</v>
      </c>
      <c r="S23" s="136">
        <v>0</v>
      </c>
      <c r="T23" s="136">
        <f>IF(Q23&lt;&gt;"",Q23*R23*S23,"")</f>
        <v>0</v>
      </c>
      <c r="U23" s="137">
        <f t="shared" si="5"/>
        <v>1989</v>
      </c>
      <c r="V23" s="138">
        <f t="shared" si="6"/>
        <v>0</v>
      </c>
      <c r="W23" s="139">
        <f t="shared" si="7"/>
        <v>0</v>
      </c>
      <c r="X23" s="139">
        <f t="shared" si="8"/>
        <v>0</v>
      </c>
      <c r="Y23" s="140">
        <f t="shared" si="9"/>
        <v>521.34688206785154</v>
      </c>
      <c r="Z23" s="141">
        <f>IF(Q23&lt;&gt;"", IFERROR(U23/K23, 0), 0)</f>
        <v>1</v>
      </c>
      <c r="AA23" s="142">
        <f>IFERROR(T23/$T$28, "")</f>
        <v>0</v>
      </c>
      <c r="AK23" s="143">
        <f t="shared" si="0"/>
        <v>0</v>
      </c>
      <c r="AL23" s="436"/>
    </row>
    <row r="24" spans="1:43" ht="129.9" customHeight="1" x14ac:dyDescent="0.45">
      <c r="A24" s="96">
        <v>10</v>
      </c>
      <c r="B24" s="120" t="s">
        <v>130</v>
      </c>
      <c r="C24" s="121" t="s">
        <v>115</v>
      </c>
      <c r="D24" s="96" t="s">
        <v>127</v>
      </c>
      <c r="E24" s="96" t="s">
        <v>117</v>
      </c>
      <c r="F24" s="129" t="s">
        <v>161</v>
      </c>
      <c r="G24" s="130" t="s">
        <v>162</v>
      </c>
      <c r="H24" s="131">
        <v>3</v>
      </c>
      <c r="I24" s="131">
        <v>3</v>
      </c>
      <c r="J24" s="132">
        <v>340</v>
      </c>
      <c r="K24" s="132">
        <f>IF(F24&lt;&gt;"",H24*I24*J24,"")</f>
        <v>3060</v>
      </c>
      <c r="L24" s="132">
        <f t="shared" si="1"/>
        <v>244.8</v>
      </c>
      <c r="M24" s="132">
        <f t="shared" si="2"/>
        <v>802.0721262582332</v>
      </c>
      <c r="N24" s="133">
        <f t="shared" si="3"/>
        <v>4106.872126258233</v>
      </c>
      <c r="Q24" s="134">
        <f t="shared" si="4"/>
        <v>3</v>
      </c>
      <c r="R24" s="135">
        <v>0</v>
      </c>
      <c r="S24" s="136">
        <v>220</v>
      </c>
      <c r="T24" s="136">
        <f>IF(Q24&lt;&gt;"",Q24*R24*S24,"")</f>
        <v>0</v>
      </c>
      <c r="U24" s="137">
        <f t="shared" si="5"/>
        <v>3060</v>
      </c>
      <c r="V24" s="138">
        <f t="shared" si="6"/>
        <v>0</v>
      </c>
      <c r="W24" s="139">
        <f t="shared" si="7"/>
        <v>0</v>
      </c>
      <c r="X24" s="139">
        <f t="shared" si="8"/>
        <v>0</v>
      </c>
      <c r="Y24" s="140">
        <f t="shared" si="9"/>
        <v>802.0721262582332</v>
      </c>
      <c r="Z24" s="141">
        <f>IF(Q24&lt;&gt;"", IFERROR(U24/K24, 0), 0)</f>
        <v>1</v>
      </c>
      <c r="AA24" s="142">
        <f>IFERROR(T24/$T$28, "")</f>
        <v>0</v>
      </c>
      <c r="AK24" s="143">
        <f t="shared" si="0"/>
        <v>0</v>
      </c>
      <c r="AL24" s="436"/>
    </row>
    <row r="25" spans="1:43" ht="129.9" customHeight="1" x14ac:dyDescent="0.45">
      <c r="A25" s="96">
        <v>11</v>
      </c>
      <c r="B25" s="120" t="s">
        <v>176</v>
      </c>
      <c r="C25" s="121" t="s">
        <v>115</v>
      </c>
      <c r="D25" s="96" t="s">
        <v>127</v>
      </c>
      <c r="E25" s="96" t="s">
        <v>117</v>
      </c>
      <c r="F25" s="129" t="s">
        <v>163</v>
      </c>
      <c r="G25" s="130" t="s">
        <v>164</v>
      </c>
      <c r="H25" s="131">
        <v>1</v>
      </c>
      <c r="I25" s="131">
        <v>1</v>
      </c>
      <c r="J25" s="132">
        <v>2802.96</v>
      </c>
      <c r="K25" s="132">
        <f>IF(F25&lt;&gt;"",H25*I25*J25,"")</f>
        <v>2802.96</v>
      </c>
      <c r="L25" s="132">
        <f t="shared" si="1"/>
        <v>224.23680000000002</v>
      </c>
      <c r="M25" s="132">
        <f t="shared" si="2"/>
        <v>734.69806765254157</v>
      </c>
      <c r="N25" s="133">
        <f t="shared" si="3"/>
        <v>3761.8948676525415</v>
      </c>
      <c r="Q25" s="134">
        <f t="shared" si="4"/>
        <v>1</v>
      </c>
      <c r="R25" s="135">
        <f t="shared" si="4"/>
        <v>1</v>
      </c>
      <c r="S25" s="162">
        <v>2268</v>
      </c>
      <c r="T25" s="162">
        <v>0</v>
      </c>
      <c r="U25" s="137">
        <f t="shared" si="5"/>
        <v>2802.96</v>
      </c>
      <c r="V25" s="138">
        <f t="shared" si="6"/>
        <v>0</v>
      </c>
      <c r="W25" s="139">
        <f t="shared" si="7"/>
        <v>0</v>
      </c>
      <c r="X25" s="139">
        <f t="shared" si="8"/>
        <v>0</v>
      </c>
      <c r="Y25" s="140">
        <f t="shared" si="9"/>
        <v>734.69806765254157</v>
      </c>
      <c r="Z25" s="141">
        <f>IF(Q25&lt;&gt;"", IFERROR(U25/K25, 0), 0)</f>
        <v>1</v>
      </c>
      <c r="AA25" s="142">
        <f>IFERROR(T25/$T$28, "")</f>
        <v>0</v>
      </c>
      <c r="AK25" s="143">
        <f t="shared" si="0"/>
        <v>0</v>
      </c>
      <c r="AL25" s="436"/>
    </row>
    <row r="26" spans="1:43" ht="129.9" customHeight="1" x14ac:dyDescent="0.45">
      <c r="A26" s="96">
        <v>12</v>
      </c>
      <c r="B26" s="120" t="s">
        <v>177</v>
      </c>
      <c r="C26" s="121" t="s">
        <v>115</v>
      </c>
      <c r="D26" s="96" t="s">
        <v>127</v>
      </c>
      <c r="E26" s="96" t="s">
        <v>117</v>
      </c>
      <c r="F26" s="129" t="s">
        <v>165</v>
      </c>
      <c r="G26" s="130" t="s">
        <v>166</v>
      </c>
      <c r="H26" s="144">
        <v>1</v>
      </c>
      <c r="I26" s="144">
        <v>3</v>
      </c>
      <c r="J26" s="145">
        <v>850</v>
      </c>
      <c r="K26" s="145">
        <f>IF(F26&lt;&gt;"",H26*I26*J26,"")</f>
        <v>2550</v>
      </c>
      <c r="L26" s="145">
        <f t="shared" si="1"/>
        <v>204</v>
      </c>
      <c r="M26" s="145">
        <f t="shared" si="2"/>
        <v>668.39343854852757</v>
      </c>
      <c r="N26" s="146">
        <f t="shared" si="3"/>
        <v>3422.3934385485277</v>
      </c>
      <c r="Q26" s="147">
        <f t="shared" si="4"/>
        <v>1</v>
      </c>
      <c r="R26" s="148">
        <v>0</v>
      </c>
      <c r="S26" s="149">
        <v>650</v>
      </c>
      <c r="T26" s="149">
        <v>8003</v>
      </c>
      <c r="U26" s="150">
        <f t="shared" si="5"/>
        <v>-5453</v>
      </c>
      <c r="V26" s="151">
        <f t="shared" si="6"/>
        <v>0</v>
      </c>
      <c r="W26" s="152">
        <f t="shared" si="7"/>
        <v>0</v>
      </c>
      <c r="X26" s="152">
        <f t="shared" si="8"/>
        <v>8003</v>
      </c>
      <c r="Y26" s="153">
        <f t="shared" si="9"/>
        <v>8671.3934385485281</v>
      </c>
      <c r="Z26" s="163">
        <f>IF(Q26&lt;&gt;"", IFERROR(U26/K26, 0), 0)</f>
        <v>-2.1384313725490198</v>
      </c>
      <c r="AA26" s="164">
        <f>IFERROR(T26/$T$28, "")</f>
        <v>0.72734708715804786</v>
      </c>
      <c r="AC26" s="73" t="s">
        <v>239</v>
      </c>
      <c r="AD26" s="73">
        <v>1950</v>
      </c>
      <c r="AK26" s="143">
        <f t="shared" si="0"/>
        <v>0</v>
      </c>
      <c r="AL26" s="436">
        <f>3250+4753</f>
        <v>8003</v>
      </c>
      <c r="AM26" s="416" t="s">
        <v>312</v>
      </c>
    </row>
    <row r="27" spans="1:43" ht="129.9" customHeight="1" thickBot="1" x14ac:dyDescent="0.5">
      <c r="A27" s="96"/>
      <c r="B27" s="120"/>
      <c r="C27" s="121"/>
      <c r="D27" s="96"/>
      <c r="E27" s="96"/>
      <c r="F27" s="129" t="s">
        <v>301</v>
      </c>
      <c r="G27" s="130"/>
      <c r="H27" s="144">
        <v>1</v>
      </c>
      <c r="I27" s="144">
        <v>3</v>
      </c>
      <c r="J27" s="145">
        <v>850</v>
      </c>
      <c r="K27" s="145"/>
      <c r="L27" s="145" t="str">
        <f t="shared" si="1"/>
        <v/>
      </c>
      <c r="M27" s="145">
        <f t="shared" si="2"/>
        <v>0</v>
      </c>
      <c r="N27" s="146">
        <f t="shared" si="3"/>
        <v>0</v>
      </c>
      <c r="Q27" s="147">
        <f t="shared" ref="Q27" si="10">IF(H27&lt;&gt;"",H27,"")</f>
        <v>1</v>
      </c>
      <c r="R27" s="148">
        <v>0</v>
      </c>
      <c r="S27" s="149">
        <v>650</v>
      </c>
      <c r="T27" s="149">
        <v>30634.95</v>
      </c>
      <c r="U27" s="150">
        <f t="shared" si="5"/>
        <v>-30634.95</v>
      </c>
      <c r="V27" s="151">
        <f t="shared" si="6"/>
        <v>0</v>
      </c>
      <c r="W27" s="152">
        <f t="shared" si="7"/>
        <v>0</v>
      </c>
      <c r="X27" s="152">
        <f>IF(Q27&lt;&gt;"",W27+T27,"")</f>
        <v>30634.95</v>
      </c>
      <c r="Y27" s="424"/>
      <c r="Z27" s="425"/>
      <c r="AA27" s="425"/>
      <c r="AK27" s="143">
        <f t="shared" si="0"/>
        <v>0</v>
      </c>
      <c r="AL27" s="436">
        <f>'CUSTOS OPERACIONAIS'!G23</f>
        <v>30634.949999999997</v>
      </c>
      <c r="AM27" s="416" t="s">
        <v>300</v>
      </c>
    </row>
    <row r="28" spans="1:43" ht="39.9" customHeight="1" thickBot="1" x14ac:dyDescent="0.5">
      <c r="A28" s="96">
        <v>13</v>
      </c>
      <c r="B28" s="120"/>
      <c r="C28" s="121" t="s">
        <v>123</v>
      </c>
      <c r="D28" s="96"/>
      <c r="E28" s="96"/>
      <c r="F28" s="1032" t="s">
        <v>167</v>
      </c>
      <c r="G28" s="1033"/>
      <c r="H28" s="1033"/>
      <c r="I28" s="1033"/>
      <c r="J28" s="1033"/>
      <c r="K28" s="155">
        <f>SUM(K22:K26)</f>
        <v>18501.96</v>
      </c>
      <c r="L28" s="155">
        <f>SUM(L22:L26)</f>
        <v>1480.1568000000002</v>
      </c>
      <c r="M28" s="155">
        <f>SUM(M22:M26)</f>
        <v>4849.6426134460062</v>
      </c>
      <c r="N28" s="165">
        <f>SUM(N22:N26)</f>
        <v>24831.759413446009</v>
      </c>
      <c r="Q28" s="1032" t="s">
        <v>167</v>
      </c>
      <c r="R28" s="1033"/>
      <c r="S28" s="1033"/>
      <c r="T28" s="166">
        <f>SUM(T22:T26)</f>
        <v>11003</v>
      </c>
      <c r="U28" s="167">
        <f>SUM(U22:U26)</f>
        <v>7498.9599999999991</v>
      </c>
      <c r="V28" s="168"/>
      <c r="W28" s="168"/>
      <c r="X28" s="169">
        <f>SUM(X22:X26)</f>
        <v>11003</v>
      </c>
      <c r="Y28" s="170">
        <f t="shared" si="9"/>
        <v>15852.642613446005</v>
      </c>
      <c r="Z28" s="171" t="s">
        <v>170</v>
      </c>
      <c r="AA28" s="172" t="s">
        <v>171</v>
      </c>
      <c r="AK28" s="143"/>
      <c r="AL28" s="436"/>
    </row>
    <row r="29" spans="1:43" ht="39.9" customHeight="1" thickBot="1" x14ac:dyDescent="0.5">
      <c r="A29" s="173">
        <v>14</v>
      </c>
      <c r="B29" s="174"/>
      <c r="C29" s="175" t="s">
        <v>168</v>
      </c>
      <c r="D29" s="173"/>
      <c r="E29" s="173"/>
      <c r="F29" s="176" t="s">
        <v>169</v>
      </c>
      <c r="G29" s="177"/>
      <c r="H29" s="177"/>
      <c r="I29" s="177"/>
      <c r="J29" s="177"/>
      <c r="K29" s="178">
        <f>SUM(K17:K18)+SUM(K22:K26)</f>
        <v>29501.96</v>
      </c>
      <c r="L29" s="178">
        <f>SUM(L17:L18)+SUM(L22:L26)</f>
        <v>1480.1568000000002</v>
      </c>
      <c r="M29" s="178">
        <f>SUM(M17:M18)+SUM(M22:M26)</f>
        <v>7519.333181359515</v>
      </c>
      <c r="N29" s="179">
        <f>SUM(N17:N18)+SUM(N22:N26)</f>
        <v>38501.449981359518</v>
      </c>
      <c r="Q29" s="176" t="s">
        <v>43</v>
      </c>
      <c r="R29" s="177"/>
      <c r="S29" s="177"/>
      <c r="T29" s="178">
        <f>SUM(T22:T27,T17:T18)</f>
        <v>43521.279999999999</v>
      </c>
      <c r="U29" s="178">
        <f>SUM(U17:U18)+SUM(U22:U26)</f>
        <v>16615.629999999997</v>
      </c>
      <c r="V29" s="177"/>
      <c r="W29" s="177"/>
      <c r="X29" s="178">
        <f>SUM(X22:X27,X17:X18)</f>
        <v>43521.279999999999</v>
      </c>
      <c r="Y29" s="179">
        <f>SUM(Y17:Y18)+SUM(Y22:Y26)</f>
        <v>20405.663181359516</v>
      </c>
      <c r="Z29" s="180">
        <f>IF(Q29&lt;&gt;"",(N29-Y29)/N29,"")</f>
        <v>0.47000273518948193</v>
      </c>
      <c r="AA29" s="181">
        <f>IF(Z29&lt;&gt;"",(N29-Y29),"")</f>
        <v>18095.786800000002</v>
      </c>
      <c r="AK29" s="143">
        <f>SUM(AK17:AK28)</f>
        <v>0</v>
      </c>
      <c r="AL29" s="436">
        <f>SUM(AL17:AL28)</f>
        <v>43521.279999999999</v>
      </c>
    </row>
    <row r="30" spans="1:43" ht="38.25" customHeight="1" x14ac:dyDescent="0.55000000000000004">
      <c r="AL30" s="431"/>
      <c r="AM30" s="407" t="s">
        <v>280</v>
      </c>
      <c r="AN30" s="406"/>
      <c r="AO30" s="406"/>
      <c r="AP30" s="406"/>
      <c r="AQ30" s="408"/>
    </row>
    <row r="31" spans="1:43" ht="30.6" x14ac:dyDescent="0.55000000000000004">
      <c r="AL31" s="431">
        <f>X29</f>
        <v>43521.279999999999</v>
      </c>
      <c r="AM31" s="407" t="s">
        <v>281</v>
      </c>
      <c r="AN31" s="406"/>
      <c r="AO31" s="406"/>
      <c r="AP31" s="406"/>
      <c r="AQ31" s="408"/>
    </row>
    <row r="32" spans="1:43" ht="30.6" x14ac:dyDescent="0.55000000000000004">
      <c r="AL32" s="431">
        <f>N29-X29</f>
        <v>-5019.8300186404813</v>
      </c>
      <c r="AM32" s="409" t="s">
        <v>278</v>
      </c>
      <c r="AN32" s="406"/>
      <c r="AO32" s="406"/>
      <c r="AP32" s="406"/>
      <c r="AQ32" s="410"/>
    </row>
    <row r="33" spans="29:43" ht="31.2" x14ac:dyDescent="0.6">
      <c r="AL33" s="411">
        <f>AL32*100%/N29</f>
        <v>-0.13038028492617376</v>
      </c>
      <c r="AM33" s="412"/>
      <c r="AN33" s="406"/>
      <c r="AO33" s="406"/>
      <c r="AP33" s="406"/>
      <c r="AQ33" s="406"/>
    </row>
    <row r="41" spans="29:43" x14ac:dyDescent="0.45">
      <c r="AC41" s="182"/>
      <c r="AD41" s="183"/>
      <c r="AE41" s="184"/>
      <c r="AG41" s="185"/>
      <c r="AH41" s="186"/>
    </row>
    <row r="80" spans="29:34" x14ac:dyDescent="0.45">
      <c r="AC80" s="182"/>
      <c r="AD80" s="183"/>
      <c r="AE80" s="184"/>
      <c r="AG80" s="185"/>
      <c r="AH80" s="186"/>
    </row>
  </sheetData>
  <autoFilter ref="A1:AL14" xr:uid="{107B9E09-8154-459A-AE62-6A4242823A27}">
    <filterColumn colId="5" showButton="0"/>
  </autoFilter>
  <mergeCells count="19">
    <mergeCell ref="F28:J28"/>
    <mergeCell ref="Q28:S28"/>
    <mergeCell ref="F20:N20"/>
    <mergeCell ref="Q20:Y20"/>
    <mergeCell ref="F21:K21"/>
    <mergeCell ref="Q21:Y21"/>
    <mergeCell ref="F15:N15"/>
    <mergeCell ref="Q15:Y15"/>
    <mergeCell ref="F16:K16"/>
    <mergeCell ref="Q16:Y16"/>
    <mergeCell ref="F19:J19"/>
    <mergeCell ref="Q19:S19"/>
    <mergeCell ref="AK12:AL12"/>
    <mergeCell ref="F1:G1"/>
    <mergeCell ref="F2:G2"/>
    <mergeCell ref="Q12:T12"/>
    <mergeCell ref="U12:X12"/>
    <mergeCell ref="AC12:AE12"/>
    <mergeCell ref="AG12:AH12"/>
  </mergeCells>
  <phoneticPr fontId="23" type="noConversion"/>
  <dataValidations count="3">
    <dataValidation type="list" allowBlank="1" showInputMessage="1" showErrorMessage="1" sqref="D17:D18 D22:D27 D29" xr:uid="{B152FB62-0EF8-40B6-B832-A583FAFCAA17}">
      <formula1>"INTERNO,OPERACIONAL"</formula1>
    </dataValidation>
    <dataValidation type="list" allowBlank="1" showInputMessage="1" showErrorMessage="1" sqref="E17:E18 E22:E27" xr:uid="{B7981B5E-BA01-4C64-B951-219EBD310177}">
      <formula1>"FAT.OGGI,FAT.CLIENTE"</formula1>
    </dataValidation>
    <dataValidation type="list" allowBlank="1" showInputMessage="1" showErrorMessage="1" sqref="E29" xr:uid="{1CE3B9C6-ABFC-465C-B118-A29F817E829A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F7365-585D-411F-A2AA-B8AF7AA7D4E9}">
  <sheetPr codeName="Planilha12">
    <pageSetUpPr autoPageBreaks="0"/>
  </sheetPr>
  <dimension ref="A1:AN47"/>
  <sheetViews>
    <sheetView showGridLines="0" topLeftCell="F1" zoomScale="50" zoomScaleNormal="50" workbookViewId="0">
      <pane ySplit="1" topLeftCell="A40" activePane="bottomLeft" state="frozen"/>
      <selection pane="bottomLeft" activeCell="T27" sqref="T27"/>
    </sheetView>
  </sheetViews>
  <sheetFormatPr defaultColWidth="8.88671875" defaultRowHeight="21" x14ac:dyDescent="0.4"/>
  <cols>
    <col min="1" max="1" width="3.33203125" style="187" hidden="1" customWidth="1"/>
    <col min="2" max="2" width="12" style="187" customWidth="1"/>
    <col min="3" max="3" width="11.5546875" style="187" hidden="1" customWidth="1"/>
    <col min="4" max="4" width="11.6640625" style="187" hidden="1" customWidth="1"/>
    <col min="5" max="5" width="14.88671875" style="187" hidden="1" customWidth="1"/>
    <col min="6" max="6" width="45.109375" style="187" customWidth="1"/>
    <col min="7" max="7" width="49.5546875" style="187" customWidth="1"/>
    <col min="8" max="9" width="7.6640625" style="190" hidden="1" customWidth="1"/>
    <col min="10" max="10" width="16.44140625" style="187" hidden="1" customWidth="1"/>
    <col min="11" max="11" width="24.6640625" style="187" customWidth="1"/>
    <col min="12" max="12" width="25.33203125" style="187" customWidth="1"/>
    <col min="13" max="13" width="25" style="187" customWidth="1"/>
    <col min="14" max="14" width="29.33203125" style="187" customWidth="1"/>
    <col min="15" max="15" width="3.33203125" style="187" hidden="1" customWidth="1"/>
    <col min="16" max="16" width="1.88671875" style="187" hidden="1" customWidth="1"/>
    <col min="17" max="17" width="7.88671875" style="190" customWidth="1"/>
    <col min="18" max="18" width="7.88671875" style="190" hidden="1" customWidth="1"/>
    <col min="19" max="19" width="16.44140625" style="187" hidden="1" customWidth="1"/>
    <col min="20" max="20" width="26.88671875" style="187" bestFit="1" customWidth="1"/>
    <col min="21" max="21" width="24.6640625" style="187" hidden="1" customWidth="1"/>
    <col min="22" max="22" width="9.6640625" style="187" hidden="1" customWidth="1"/>
    <col min="23" max="23" width="16.109375" style="187" hidden="1" customWidth="1"/>
    <col min="24" max="24" width="27.33203125" style="187" bestFit="1" customWidth="1"/>
    <col min="25" max="25" width="26.6640625" style="187" hidden="1" customWidth="1"/>
    <col min="26" max="26" width="14.6640625" style="187" hidden="1" customWidth="1"/>
    <col min="27" max="27" width="24.6640625" style="187" hidden="1" customWidth="1"/>
    <col min="28" max="28" width="38.109375" style="187" hidden="1" customWidth="1"/>
    <col min="29" max="29" width="14.109375" style="187" hidden="1" customWidth="1"/>
    <col min="30" max="30" width="7.6640625" style="187" hidden="1" customWidth="1"/>
    <col min="31" max="31" width="6.88671875" style="187" hidden="1" customWidth="1"/>
    <col min="32" max="32" width="1.33203125" style="187" hidden="1" customWidth="1"/>
    <col min="33" max="33" width="14" style="187" hidden="1" customWidth="1"/>
    <col min="34" max="34" width="11.6640625" style="187" hidden="1" customWidth="1"/>
    <col min="35" max="35" width="6.33203125" style="187" hidden="1" customWidth="1"/>
    <col min="36" max="36" width="12.6640625" style="187" hidden="1" customWidth="1"/>
    <col min="37" max="37" width="25.5546875" style="187" customWidth="1"/>
    <col min="38" max="38" width="35" style="426" customWidth="1"/>
    <col min="39" max="39" width="33.88671875" style="419" bestFit="1" customWidth="1"/>
    <col min="40" max="40" width="21.33203125" style="187" customWidth="1"/>
    <col min="41" max="16384" width="8.88671875" style="187"/>
  </cols>
  <sheetData>
    <row r="1" spans="1:38" ht="49.5" customHeight="1" x14ac:dyDescent="0.4">
      <c r="B1" s="188"/>
      <c r="C1" s="189"/>
      <c r="D1" s="189"/>
      <c r="F1" s="1037" t="s">
        <v>108</v>
      </c>
      <c r="G1" s="1037"/>
    </row>
    <row r="2" spans="1:38" ht="24.75" customHeight="1" x14ac:dyDescent="0.4">
      <c r="B2" s="190"/>
      <c r="D2" s="189"/>
      <c r="F2" s="1038" t="s">
        <v>0</v>
      </c>
      <c r="G2" s="1038"/>
    </row>
    <row r="3" spans="1:38" ht="22.2" x14ac:dyDescent="0.4">
      <c r="B3" s="191"/>
      <c r="F3" s="192"/>
      <c r="G3" s="192"/>
    </row>
    <row r="4" spans="1:38" ht="22.2" x14ac:dyDescent="0.4">
      <c r="F4" s="193" t="s">
        <v>253</v>
      </c>
      <c r="G4" s="194"/>
    </row>
    <row r="5" spans="1:38" ht="22.2" x14ac:dyDescent="0.4">
      <c r="F5" s="195" t="s">
        <v>254</v>
      </c>
      <c r="G5" s="194"/>
    </row>
    <row r="6" spans="1:38" ht="22.2" x14ac:dyDescent="0.4">
      <c r="D6" s="187" t="s">
        <v>106</v>
      </c>
      <c r="F6" s="195" t="s">
        <v>255</v>
      </c>
      <c r="G6" s="196"/>
    </row>
    <row r="7" spans="1:38" ht="21.75" customHeight="1" x14ac:dyDescent="0.4">
      <c r="F7" s="195" t="s">
        <v>256</v>
      </c>
      <c r="G7" s="196"/>
      <c r="J7" s="187" t="s">
        <v>107</v>
      </c>
    </row>
    <row r="8" spans="1:38" ht="22.2" x14ac:dyDescent="0.4">
      <c r="F8" s="195" t="s">
        <v>257</v>
      </c>
      <c r="G8" s="197"/>
    </row>
    <row r="9" spans="1:38" ht="22.2" x14ac:dyDescent="0.4">
      <c r="F9" s="195" t="s">
        <v>258</v>
      </c>
      <c r="G9" s="196"/>
      <c r="J9" s="187" t="s">
        <v>106</v>
      </c>
    </row>
    <row r="10" spans="1:38" ht="27" customHeight="1" x14ac:dyDescent="0.4">
      <c r="F10" s="195" t="s">
        <v>259</v>
      </c>
      <c r="G10" s="196"/>
    </row>
    <row r="11" spans="1:38" ht="22.2" x14ac:dyDescent="0.4">
      <c r="F11" s="198" t="s">
        <v>260</v>
      </c>
      <c r="G11" s="196"/>
    </row>
    <row r="12" spans="1:38" ht="67.2" hidden="1" thickBot="1" x14ac:dyDescent="0.45">
      <c r="B12" s="199"/>
      <c r="M12" s="200"/>
      <c r="Q12" s="1039" t="s">
        <v>1</v>
      </c>
      <c r="R12" s="1040"/>
      <c r="S12" s="1040"/>
      <c r="T12" s="1041"/>
      <c r="U12" s="1042" t="s">
        <v>2</v>
      </c>
      <c r="V12" s="1043"/>
      <c r="W12" s="1043"/>
      <c r="X12" s="1044"/>
      <c r="Y12" s="201" t="s">
        <v>56</v>
      </c>
      <c r="Z12" s="202">
        <f>(1/(1-M14))-1</f>
        <v>0.24269914253759173</v>
      </c>
      <c r="AC12" s="1045" t="s">
        <v>3</v>
      </c>
      <c r="AD12" s="1046"/>
      <c r="AE12" s="1047"/>
      <c r="AG12" s="1056" t="s">
        <v>58</v>
      </c>
      <c r="AH12" s="1057"/>
      <c r="AJ12" s="203" t="s">
        <v>60</v>
      </c>
      <c r="AK12" s="1054" t="s">
        <v>59</v>
      </c>
      <c r="AL12" s="1055"/>
    </row>
    <row r="13" spans="1:38" ht="22.8" thickBot="1" x14ac:dyDescent="0.5">
      <c r="A13" s="204" t="s">
        <v>4</v>
      </c>
      <c r="B13" s="205" t="s">
        <v>5</v>
      </c>
      <c r="C13" s="204" t="s">
        <v>6</v>
      </c>
      <c r="D13" s="204" t="s">
        <v>7</v>
      </c>
      <c r="E13" s="204" t="s">
        <v>8</v>
      </c>
      <c r="M13" s="206">
        <v>0.80469999999999997</v>
      </c>
    </row>
    <row r="14" spans="1:38" ht="39.9" customHeight="1" thickBot="1" x14ac:dyDescent="0.45">
      <c r="A14" s="207">
        <v>0</v>
      </c>
      <c r="B14" s="208"/>
      <c r="C14" s="209"/>
      <c r="D14" s="210"/>
      <c r="E14" s="210"/>
      <c r="F14" s="211" t="s">
        <v>84</v>
      </c>
      <c r="G14" s="212" t="s">
        <v>85</v>
      </c>
      <c r="H14" s="213" t="s">
        <v>86</v>
      </c>
      <c r="I14" s="213" t="s">
        <v>87</v>
      </c>
      <c r="J14" s="214" t="s">
        <v>88</v>
      </c>
      <c r="K14" s="215" t="s">
        <v>9</v>
      </c>
      <c r="L14" s="216">
        <v>0.08</v>
      </c>
      <c r="M14" s="217">
        <f>1-M13</f>
        <v>0.19530000000000003</v>
      </c>
      <c r="N14" s="218" t="s">
        <v>82</v>
      </c>
      <c r="Q14" s="219" t="s">
        <v>89</v>
      </c>
      <c r="R14" s="220" t="s">
        <v>90</v>
      </c>
      <c r="S14" s="221" t="s">
        <v>91</v>
      </c>
      <c r="T14" s="222" t="s">
        <v>92</v>
      </c>
      <c r="U14" s="223" t="s">
        <v>93</v>
      </c>
      <c r="V14" s="224" t="s">
        <v>94</v>
      </c>
      <c r="W14" s="225" t="s">
        <v>95</v>
      </c>
      <c r="X14" s="225" t="s">
        <v>96</v>
      </c>
      <c r="Y14" s="226" t="s">
        <v>97</v>
      </c>
      <c r="Z14" s="227" t="s">
        <v>98</v>
      </c>
      <c r="AA14" s="228" t="s">
        <v>83</v>
      </c>
      <c r="AC14" s="229" t="s">
        <v>99</v>
      </c>
      <c r="AD14" s="230" t="s">
        <v>100</v>
      </c>
      <c r="AE14" s="230" t="s">
        <v>33</v>
      </c>
      <c r="AG14" s="231" t="s">
        <v>101</v>
      </c>
      <c r="AH14" s="232" t="s">
        <v>102</v>
      </c>
      <c r="AK14" s="233" t="s">
        <v>103</v>
      </c>
      <c r="AL14" s="427" t="s">
        <v>104</v>
      </c>
    </row>
    <row r="15" spans="1:38" ht="39.9" customHeight="1" thickBot="1" x14ac:dyDescent="0.5">
      <c r="A15" s="210">
        <v>1</v>
      </c>
      <c r="B15" s="234">
        <v>1</v>
      </c>
      <c r="C15" s="235" t="s">
        <v>109</v>
      </c>
      <c r="D15" s="210"/>
      <c r="E15" s="210"/>
      <c r="F15" s="1048" t="s">
        <v>135</v>
      </c>
      <c r="G15" s="1049"/>
      <c r="H15" s="1049"/>
      <c r="I15" s="1049"/>
      <c r="J15" s="1049"/>
      <c r="K15" s="1049"/>
      <c r="L15" s="1049"/>
      <c r="M15" s="1049"/>
      <c r="N15" s="1050"/>
      <c r="Q15" s="1051" t="str">
        <f>IF(F15&lt;&gt;"",F15,"")</f>
        <v>ATIVAÇÕES</v>
      </c>
      <c r="R15" s="1052"/>
      <c r="S15" s="1052"/>
      <c r="T15" s="1052"/>
      <c r="U15" s="1052"/>
      <c r="V15" s="1052"/>
      <c r="W15" s="1052"/>
      <c r="X15" s="1052"/>
      <c r="Y15" s="1053"/>
      <c r="AK15" s="236"/>
      <c r="AL15" s="428"/>
    </row>
    <row r="16" spans="1:38" ht="39.9" customHeight="1" x14ac:dyDescent="0.45">
      <c r="A16" s="210">
        <v>2</v>
      </c>
      <c r="B16" s="234" t="s">
        <v>111</v>
      </c>
      <c r="C16" s="235" t="s">
        <v>110</v>
      </c>
      <c r="D16" s="210"/>
      <c r="E16" s="210"/>
      <c r="F16" s="1058" t="s">
        <v>136</v>
      </c>
      <c r="G16" s="1059"/>
      <c r="H16" s="1059"/>
      <c r="I16" s="1059"/>
      <c r="J16" s="1059"/>
      <c r="K16" s="1060"/>
      <c r="L16" s="238" t="s">
        <v>112</v>
      </c>
      <c r="M16" s="239" t="s">
        <v>113</v>
      </c>
      <c r="N16" s="240" t="s">
        <v>82</v>
      </c>
      <c r="Q16" s="1058" t="str">
        <f>IF(F16&lt;&gt;"",F16,"")</f>
        <v>IOGURTEIRA BATAVO</v>
      </c>
      <c r="R16" s="1059"/>
      <c r="S16" s="1059"/>
      <c r="T16" s="1059"/>
      <c r="U16" s="1059"/>
      <c r="V16" s="1059"/>
      <c r="W16" s="1059"/>
      <c r="X16" s="1059"/>
      <c r="Y16" s="1061"/>
      <c r="Z16" s="241" t="s">
        <v>114</v>
      </c>
      <c r="AA16" s="242" t="s">
        <v>83</v>
      </c>
      <c r="AK16" s="237"/>
      <c r="AL16" s="429"/>
    </row>
    <row r="17" spans="1:39" ht="129.9" customHeight="1" x14ac:dyDescent="0.4">
      <c r="A17" s="210">
        <v>3</v>
      </c>
      <c r="B17" s="234" t="s">
        <v>116</v>
      </c>
      <c r="C17" s="235" t="s">
        <v>115</v>
      </c>
      <c r="D17" s="210" t="s">
        <v>127</v>
      </c>
      <c r="E17" s="210" t="s">
        <v>117</v>
      </c>
      <c r="F17" s="243" t="s">
        <v>128</v>
      </c>
      <c r="G17" s="244" t="s">
        <v>261</v>
      </c>
      <c r="H17" s="245">
        <v>1</v>
      </c>
      <c r="I17" s="245">
        <v>0</v>
      </c>
      <c r="J17" s="246">
        <v>0</v>
      </c>
      <c r="K17" s="246">
        <f>IF(F17&lt;&gt;"",H17*I17*J17,"")</f>
        <v>0</v>
      </c>
      <c r="L17" s="246">
        <f>IF(K17&lt;&gt;"",IF(D17="INTERNO",0,K17*$L$14),"")</f>
        <v>0</v>
      </c>
      <c r="M17" s="246">
        <f>IF(K17&lt;&gt;"",IF(E17="FAT.OGGI",SUM(K17:L17)*(1/(1-$M$14)-1),L17*(1/(1-$M$14)-1)),0)</f>
        <v>0</v>
      </c>
      <c r="N17" s="247">
        <f>SUM(K17:M17)</f>
        <v>0</v>
      </c>
      <c r="Q17" s="248">
        <f t="shared" ref="Q17:R19" si="0">IF(H17&lt;&gt;"",H17,"")</f>
        <v>1</v>
      </c>
      <c r="R17" s="249">
        <f t="shared" si="0"/>
        <v>0</v>
      </c>
      <c r="S17" s="250">
        <v>0</v>
      </c>
      <c r="T17" s="250">
        <f>IF(Q17&lt;&gt;"",Q17*R17*S17,"")</f>
        <v>0</v>
      </c>
      <c r="U17" s="251">
        <f>IF(Q17&lt;&gt;"",K17-T17,"")</f>
        <v>0</v>
      </c>
      <c r="V17" s="252">
        <f>IF(Q17&lt;&gt;"",0%,"")</f>
        <v>0</v>
      </c>
      <c r="W17" s="253">
        <f>IF(Q17&lt;&gt;"",V17*U17,"")</f>
        <v>0</v>
      </c>
      <c r="X17" s="253">
        <f>IF(Q17&lt;&gt;"",W17+T17,"")</f>
        <v>0</v>
      </c>
      <c r="Y17" s="254">
        <f>IF(Q17&lt;&gt;"",X17+M17,"")</f>
        <v>0</v>
      </c>
      <c r="Z17" s="255">
        <f>IF(Q17&lt;&gt;"", IFERROR(U17/K17, 0), 0)</f>
        <v>0</v>
      </c>
      <c r="AA17" s="256" t="str">
        <f>IFERROR(T17/$T$20, "")</f>
        <v/>
      </c>
      <c r="AK17" s="257">
        <f>X17-AL17</f>
        <v>0</v>
      </c>
      <c r="AL17" s="430"/>
    </row>
    <row r="18" spans="1:39" ht="129.9" customHeight="1" x14ac:dyDescent="0.4">
      <c r="A18" s="210">
        <v>4</v>
      </c>
      <c r="B18" s="234" t="s">
        <v>105</v>
      </c>
      <c r="C18" s="235" t="s">
        <v>115</v>
      </c>
      <c r="D18" s="210" t="s">
        <v>127</v>
      </c>
      <c r="E18" s="210" t="s">
        <v>117</v>
      </c>
      <c r="F18" s="243" t="s">
        <v>131</v>
      </c>
      <c r="G18" s="244" t="s">
        <v>262</v>
      </c>
      <c r="H18" s="245">
        <v>1</v>
      </c>
      <c r="I18" s="245">
        <v>0</v>
      </c>
      <c r="J18" s="246">
        <v>0</v>
      </c>
      <c r="K18" s="246">
        <f>IF(F18&lt;&gt;"",H18*I18*J18,"")</f>
        <v>0</v>
      </c>
      <c r="L18" s="246">
        <f>IF(K18&lt;&gt;"",IF(D18="INTERNO",0,K18*$L$14),"")</f>
        <v>0</v>
      </c>
      <c r="M18" s="246">
        <f>IF(K18&lt;&gt;"",IF(E18="FAT.OGGI",SUM(K18:L18)*(1/(1-$M$14)-1),L18*(1/(1-$M$14)-1)),0)</f>
        <v>0</v>
      </c>
      <c r="N18" s="247">
        <f>SUM(K18:M18)</f>
        <v>0</v>
      </c>
      <c r="Q18" s="248">
        <f t="shared" si="0"/>
        <v>1</v>
      </c>
      <c r="R18" s="249">
        <f t="shared" si="0"/>
        <v>0</v>
      </c>
      <c r="S18" s="250">
        <v>0</v>
      </c>
      <c r="T18" s="250">
        <f>IF(Q18&lt;&gt;"",Q18*R18*S18,"")</f>
        <v>0</v>
      </c>
      <c r="U18" s="251">
        <f>IF(Q18&lt;&gt;"",K18-T18,"")</f>
        <v>0</v>
      </c>
      <c r="V18" s="252">
        <f>IF(Q18&lt;&gt;"",0%,"")</f>
        <v>0</v>
      </c>
      <c r="W18" s="253">
        <f>IF(Q18&lt;&gt;"",V18*U18,"")</f>
        <v>0</v>
      </c>
      <c r="X18" s="253">
        <f>IF(Q18&lt;&gt;"",W18+T18,"")</f>
        <v>0</v>
      </c>
      <c r="Y18" s="254">
        <f>IF(Q18&lt;&gt;"",X18+M18,"")</f>
        <v>0</v>
      </c>
      <c r="Z18" s="255">
        <f>IF(Q18&lt;&gt;"", IFERROR(U18/K18, 0), 0)</f>
        <v>0</v>
      </c>
      <c r="AA18" s="256" t="str">
        <f>IFERROR(T18/$T$20, "")</f>
        <v/>
      </c>
      <c r="AK18" s="257">
        <f t="shared" ref="AK18:AK41" si="1">X18-AL18</f>
        <v>0</v>
      </c>
      <c r="AL18" s="430"/>
    </row>
    <row r="19" spans="1:39" ht="129.9" customHeight="1" thickBot="1" x14ac:dyDescent="0.45">
      <c r="A19" s="210">
        <v>5</v>
      </c>
      <c r="B19" s="234" t="s">
        <v>175</v>
      </c>
      <c r="C19" s="235" t="s">
        <v>115</v>
      </c>
      <c r="D19" s="210" t="s">
        <v>127</v>
      </c>
      <c r="E19" s="210" t="s">
        <v>117</v>
      </c>
      <c r="F19" s="243" t="s">
        <v>132</v>
      </c>
      <c r="G19" s="244" t="s">
        <v>133</v>
      </c>
      <c r="H19" s="258">
        <v>1</v>
      </c>
      <c r="I19" s="258">
        <v>0</v>
      </c>
      <c r="J19" s="259">
        <v>750</v>
      </c>
      <c r="K19" s="259">
        <f>IF(F19&lt;&gt;"",H19*I19*J19,"")</f>
        <v>0</v>
      </c>
      <c r="L19" s="259">
        <f>IF(K19&lt;&gt;"",IF(D19="INTERNO",0,K19*$L$14),"")</f>
        <v>0</v>
      </c>
      <c r="M19" s="259">
        <f>IF(K19&lt;&gt;"",IF(E19="FAT.OGGI",SUM(K19:L19)*(1/(1-$M$14)-1),L19*(1/(1-$M$14)-1)),0)</f>
        <v>0</v>
      </c>
      <c r="N19" s="260">
        <f>SUM(K19:M19)</f>
        <v>0</v>
      </c>
      <c r="Q19" s="261">
        <f t="shared" si="0"/>
        <v>1</v>
      </c>
      <c r="R19" s="262">
        <f t="shared" si="0"/>
        <v>0</v>
      </c>
      <c r="S19" s="263">
        <v>500</v>
      </c>
      <c r="T19" s="263">
        <f>IF(Q19&lt;&gt;"",Q19*R19*S19,"")</f>
        <v>0</v>
      </c>
      <c r="U19" s="264">
        <f>IF(Q19&lt;&gt;"",K19-T19,"")</f>
        <v>0</v>
      </c>
      <c r="V19" s="265">
        <f>IF(Q19&lt;&gt;"",0%,"")</f>
        <v>0</v>
      </c>
      <c r="W19" s="266">
        <f>IF(Q19&lt;&gt;"",V19*U19,"")</f>
        <v>0</v>
      </c>
      <c r="X19" s="266">
        <f>IF(Q19&lt;&gt;"",W19+T19,"")</f>
        <v>0</v>
      </c>
      <c r="Y19" s="267">
        <f>IF(Q19&lt;&gt;"",X19+M19,"")</f>
        <v>0</v>
      </c>
      <c r="Z19" s="268">
        <f>IF(Q19&lt;&gt;"", IFERROR(U19/K19, 0), 0)</f>
        <v>0</v>
      </c>
      <c r="AA19" s="269" t="str">
        <f>IFERROR(T19/$T$20, "")</f>
        <v/>
      </c>
      <c r="AK19" s="257">
        <f t="shared" si="1"/>
        <v>0</v>
      </c>
      <c r="AL19" s="430"/>
    </row>
    <row r="20" spans="1:39" ht="39.9" customHeight="1" thickBot="1" x14ac:dyDescent="0.5">
      <c r="A20" s="210">
        <v>6</v>
      </c>
      <c r="B20" s="234"/>
      <c r="C20" s="235" t="s">
        <v>123</v>
      </c>
      <c r="D20" s="210"/>
      <c r="E20" s="210"/>
      <c r="F20" s="1062" t="s">
        <v>178</v>
      </c>
      <c r="G20" s="1063"/>
      <c r="H20" s="1063"/>
      <c r="I20" s="1063"/>
      <c r="J20" s="1063"/>
      <c r="K20" s="270">
        <f>SUM(K17:K19)</f>
        <v>0</v>
      </c>
      <c r="L20" s="270">
        <f>SUM(L17:L19)</f>
        <v>0</v>
      </c>
      <c r="M20" s="270">
        <f>SUM(M17:M19)</f>
        <v>0</v>
      </c>
      <c r="N20" s="271">
        <f>SUM(N17:N19)</f>
        <v>0</v>
      </c>
      <c r="Q20" s="1064" t="s">
        <v>178</v>
      </c>
      <c r="R20" s="1065"/>
      <c r="S20" s="1065"/>
      <c r="T20" s="272">
        <f>SUM(T17:T19)</f>
        <v>0</v>
      </c>
      <c r="U20" s="273">
        <f>SUM(U17:U19)</f>
        <v>0</v>
      </c>
      <c r="V20" s="274"/>
      <c r="W20" s="274"/>
      <c r="X20" s="275">
        <f>SUM(X17:X19)</f>
        <v>0</v>
      </c>
      <c r="Y20" s="276">
        <f>IF(Q20&lt;&gt;"",X20+M20,"")</f>
        <v>0</v>
      </c>
      <c r="Z20" s="277" t="s">
        <v>170</v>
      </c>
      <c r="AA20" s="278" t="s">
        <v>171</v>
      </c>
      <c r="AK20" s="257">
        <f t="shared" si="1"/>
        <v>0</v>
      </c>
      <c r="AL20" s="430"/>
    </row>
    <row r="21" spans="1:39" ht="39.9" customHeight="1" thickBot="1" x14ac:dyDescent="0.5">
      <c r="A21" s="210">
        <v>7</v>
      </c>
      <c r="B21" s="234"/>
      <c r="C21" s="235" t="s">
        <v>168</v>
      </c>
      <c r="D21" s="210"/>
      <c r="E21" s="210"/>
      <c r="F21" s="33" t="s">
        <v>169</v>
      </c>
      <c r="G21" s="34"/>
      <c r="H21" s="70"/>
      <c r="I21" s="70"/>
      <c r="J21" s="34"/>
      <c r="K21" s="35">
        <f>SUM(K17:K19)</f>
        <v>0</v>
      </c>
      <c r="L21" s="37">
        <f>SUM(L17:L19)</f>
        <v>0</v>
      </c>
      <c r="M21" s="37">
        <f>SUM(M17:M19)</f>
        <v>0</v>
      </c>
      <c r="N21" s="61">
        <f>SUM(N17:N19)</f>
        <v>0</v>
      </c>
      <c r="Q21" s="69" t="s">
        <v>43</v>
      </c>
      <c r="R21" s="70"/>
      <c r="S21" s="34"/>
      <c r="T21" s="35">
        <f>SUM(T17:T19)</f>
        <v>0</v>
      </c>
      <c r="U21" s="35">
        <f>SUM(U17:U19)</f>
        <v>0</v>
      </c>
      <c r="V21" s="34"/>
      <c r="W21" s="34"/>
      <c r="X21" s="35">
        <f>SUM(X17:X19)</f>
        <v>0</v>
      </c>
      <c r="Y21" s="61">
        <f>SUM(Y17:Y19)</f>
        <v>0</v>
      </c>
      <c r="Z21" s="64" t="e">
        <f>IF(Q21&lt;&gt;"",(N21-Y21)/N21,"")</f>
        <v>#DIV/0!</v>
      </c>
      <c r="AA21" s="38" t="e">
        <f>IF(Z21&lt;&gt;"",(N21-Y21),"")</f>
        <v>#DIV/0!</v>
      </c>
      <c r="AK21" s="257"/>
      <c r="AL21" s="430"/>
    </row>
    <row r="22" spans="1:39" ht="39.9" customHeight="1" thickBot="1" x14ac:dyDescent="0.5">
      <c r="A22" s="210">
        <v>8</v>
      </c>
      <c r="B22" s="234">
        <v>2</v>
      </c>
      <c r="C22" s="235" t="s">
        <v>109</v>
      </c>
      <c r="D22" s="210"/>
      <c r="E22" s="210"/>
      <c r="F22" s="1048"/>
      <c r="G22" s="1049"/>
      <c r="H22" s="1049"/>
      <c r="I22" s="1049"/>
      <c r="J22" s="1049"/>
      <c r="K22" s="1049"/>
      <c r="L22" s="1049"/>
      <c r="M22" s="1049"/>
      <c r="N22" s="1050"/>
      <c r="Q22" s="1051" t="str">
        <f>IF(F22&lt;&gt;"",F22,"")</f>
        <v/>
      </c>
      <c r="R22" s="1052"/>
      <c r="S22" s="1052"/>
      <c r="T22" s="1052"/>
      <c r="U22" s="1052"/>
      <c r="V22" s="1052"/>
      <c r="W22" s="1052"/>
      <c r="X22" s="1052"/>
      <c r="Y22" s="1053"/>
      <c r="AK22" s="257"/>
      <c r="AL22" s="430"/>
    </row>
    <row r="23" spans="1:39" ht="39.9" customHeight="1" x14ac:dyDescent="0.45">
      <c r="A23" s="210">
        <v>9</v>
      </c>
      <c r="B23" s="234" t="s">
        <v>125</v>
      </c>
      <c r="C23" s="235" t="s">
        <v>110</v>
      </c>
      <c r="D23" s="210"/>
      <c r="E23" s="210"/>
      <c r="F23" s="1058" t="s">
        <v>137</v>
      </c>
      <c r="G23" s="1059"/>
      <c r="H23" s="1059"/>
      <c r="I23" s="1059"/>
      <c r="J23" s="1059"/>
      <c r="K23" s="1060"/>
      <c r="L23" s="238" t="s">
        <v>112</v>
      </c>
      <c r="M23" s="239" t="s">
        <v>113</v>
      </c>
      <c r="N23" s="240" t="s">
        <v>82</v>
      </c>
      <c r="Q23" s="1058" t="str">
        <f>IF(F23&lt;&gt;"",F23,"")</f>
        <v>BATAVINHO BOB ESPONJA</v>
      </c>
      <c r="R23" s="1059"/>
      <c r="S23" s="1059"/>
      <c r="T23" s="1059"/>
      <c r="U23" s="1059"/>
      <c r="V23" s="1059"/>
      <c r="W23" s="1059"/>
      <c r="X23" s="1059"/>
      <c r="Y23" s="1061"/>
      <c r="Z23" s="241" t="s">
        <v>114</v>
      </c>
      <c r="AA23" s="242" t="s">
        <v>83</v>
      </c>
      <c r="AK23" s="257"/>
      <c r="AL23" s="430"/>
    </row>
    <row r="24" spans="1:39" ht="129.9" customHeight="1" x14ac:dyDescent="0.4">
      <c r="A24" s="210">
        <v>10</v>
      </c>
      <c r="B24" s="234" t="s">
        <v>126</v>
      </c>
      <c r="C24" s="235" t="s">
        <v>115</v>
      </c>
      <c r="D24" s="210" t="s">
        <v>127</v>
      </c>
      <c r="E24" s="210" t="s">
        <v>117</v>
      </c>
      <c r="F24" s="279" t="s">
        <v>140</v>
      </c>
      <c r="G24" s="280" t="s">
        <v>141</v>
      </c>
      <c r="H24" s="245">
        <v>2</v>
      </c>
      <c r="I24" s="245">
        <v>1</v>
      </c>
      <c r="J24" s="246">
        <v>5280</v>
      </c>
      <c r="K24" s="246">
        <f>IF(F24&lt;&gt;"",H24*I24*J24,"")</f>
        <v>10560</v>
      </c>
      <c r="L24" s="246">
        <f>IF(K24&lt;&gt;"",IF(D24="INTERNO",0,K24*$L$14),"")</f>
        <v>844.80000000000007</v>
      </c>
      <c r="M24" s="246">
        <f>IF(K24&lt;&gt;"",IF(E24="FAT.OGGI",SUM(K24:L24)*(1/(1-$M$14)-1),L24*(1/(1-$M$14)-1)),0)</f>
        <v>2767.9351808127258</v>
      </c>
      <c r="N24" s="247">
        <f>SUM(K24:M24)</f>
        <v>14172.735180812724</v>
      </c>
      <c r="Q24" s="248">
        <f t="shared" ref="Q24:R27" si="2">IF(H24&lt;&gt;"",H24,"")</f>
        <v>2</v>
      </c>
      <c r="R24" s="249">
        <f t="shared" si="2"/>
        <v>1</v>
      </c>
      <c r="S24" s="281">
        <v>5280</v>
      </c>
      <c r="T24" s="281">
        <v>20950</v>
      </c>
      <c r="U24" s="251">
        <f>IF(Q24&lt;&gt;"",K24-T24,"")</f>
        <v>-10390</v>
      </c>
      <c r="V24" s="252">
        <f>IF(Q24&lt;&gt;"",0%,"")</f>
        <v>0</v>
      </c>
      <c r="W24" s="253">
        <f>IF(Q24&lt;&gt;"",V24*U24,"")</f>
        <v>0</v>
      </c>
      <c r="X24" s="253">
        <f>IF(Q24&lt;&gt;"",W24+T24,"")</f>
        <v>20950</v>
      </c>
      <c r="Y24" s="254">
        <f t="shared" ref="Y24:Y28" si="3">IF(Q24&lt;&gt;"",X24+M24,"")</f>
        <v>23717.935180812725</v>
      </c>
      <c r="Z24" s="255">
        <f>IF(Q24&lt;&gt;"", IFERROR(U24/K24, 0), 0)</f>
        <v>-0.98390151515151514</v>
      </c>
      <c r="AA24" s="256">
        <f>IFERROR(T24/$T$28, "")</f>
        <v>0.81356063842180881</v>
      </c>
      <c r="AK24" s="257">
        <f t="shared" si="1"/>
        <v>0</v>
      </c>
      <c r="AL24" s="430">
        <v>20950</v>
      </c>
      <c r="AM24" s="419" t="s">
        <v>314</v>
      </c>
    </row>
    <row r="25" spans="1:39" ht="129.9" customHeight="1" x14ac:dyDescent="0.4">
      <c r="A25" s="210">
        <v>11</v>
      </c>
      <c r="B25" s="234" t="s">
        <v>129</v>
      </c>
      <c r="C25" s="235" t="s">
        <v>115</v>
      </c>
      <c r="D25" s="210" t="s">
        <v>127</v>
      </c>
      <c r="E25" s="210" t="s">
        <v>117</v>
      </c>
      <c r="F25" s="279" t="s">
        <v>202</v>
      </c>
      <c r="G25" s="280" t="s">
        <v>172</v>
      </c>
      <c r="H25" s="245">
        <v>1</v>
      </c>
      <c r="I25" s="245">
        <v>1</v>
      </c>
      <c r="J25" s="246">
        <v>2365</v>
      </c>
      <c r="K25" s="246">
        <f>IF(F25&lt;&gt;"",H25*I25*J25,"")</f>
        <v>2365</v>
      </c>
      <c r="L25" s="246">
        <f>IF(K25&lt;&gt;"",IF(D25="INTERNO",0,K25*$L$14),"")</f>
        <v>189.20000000000002</v>
      </c>
      <c r="M25" s="246">
        <f>IF(K25&lt;&gt;"",IF(E25="FAT.OGGI",SUM(K25:L25)*(1/(1-$M$14)-1),L25*(1/(1-$M$14)-1)),0)</f>
        <v>619.90214986951673</v>
      </c>
      <c r="N25" s="247">
        <f>SUM(K25:M25)</f>
        <v>3174.1021498695163</v>
      </c>
      <c r="Q25" s="248">
        <f t="shared" si="2"/>
        <v>1</v>
      </c>
      <c r="R25" s="249">
        <f t="shared" si="2"/>
        <v>1</v>
      </c>
      <c r="S25" s="281">
        <v>1791</v>
      </c>
      <c r="T25" s="281">
        <v>4391</v>
      </c>
      <c r="U25" s="251">
        <f>IF(Q25&lt;&gt;"",K25-T25,"")</f>
        <v>-2026</v>
      </c>
      <c r="V25" s="252">
        <f>IF(Q25&lt;&gt;"",0%,"")</f>
        <v>0</v>
      </c>
      <c r="W25" s="253">
        <f>IF(Q25&lt;&gt;"",V25*U25,"")</f>
        <v>0</v>
      </c>
      <c r="X25" s="253">
        <f>IF(Q25&lt;&gt;"",W25+T25,"")</f>
        <v>4391</v>
      </c>
      <c r="Y25" s="254">
        <f t="shared" si="3"/>
        <v>5010.9021498695165</v>
      </c>
      <c r="Z25" s="255">
        <f>IF(Q25&lt;&gt;"", IFERROR(U25/K25, 0), 0)</f>
        <v>-0.8566596194503171</v>
      </c>
      <c r="AA25" s="256">
        <f>IFERROR(T25/$T$28, "")</f>
        <v>0.17051764980000778</v>
      </c>
      <c r="AK25" s="257">
        <f t="shared" si="1"/>
        <v>0</v>
      </c>
      <c r="AL25" s="430">
        <f>2600+1791</f>
        <v>4391</v>
      </c>
      <c r="AM25" s="419" t="s">
        <v>305</v>
      </c>
    </row>
    <row r="26" spans="1:39" ht="129.9" customHeight="1" x14ac:dyDescent="0.4">
      <c r="A26" s="210">
        <v>12</v>
      </c>
      <c r="B26" s="234" t="s">
        <v>130</v>
      </c>
      <c r="C26" s="235" t="s">
        <v>115</v>
      </c>
      <c r="D26" s="210" t="s">
        <v>127</v>
      </c>
      <c r="E26" s="210" t="s">
        <v>117</v>
      </c>
      <c r="F26" s="243" t="s">
        <v>195</v>
      </c>
      <c r="G26" s="244" t="s">
        <v>196</v>
      </c>
      <c r="H26" s="245">
        <v>1</v>
      </c>
      <c r="I26" s="245">
        <v>1</v>
      </c>
      <c r="J26" s="246">
        <v>6000</v>
      </c>
      <c r="K26" s="246">
        <f>IF(F26&lt;&gt;"",H26*I26*J26,"")</f>
        <v>6000</v>
      </c>
      <c r="L26" s="246">
        <f>IF(K26&lt;&gt;"",IF(D26="INTERNO",0,K26*$L$14),"")</f>
        <v>480</v>
      </c>
      <c r="M26" s="246">
        <f>IF(K26&lt;&gt;"",IF(E26="FAT.OGGI",SUM(K26:L26)*(1/(1-$M$14)-1),L26*(1/(1-$M$14)-1)),0)</f>
        <v>1572.6904436435943</v>
      </c>
      <c r="N26" s="247">
        <f>SUM(K26:M26)</f>
        <v>8052.6904436435943</v>
      </c>
      <c r="Q26" s="248">
        <f t="shared" si="2"/>
        <v>1</v>
      </c>
      <c r="R26" s="249">
        <f t="shared" si="2"/>
        <v>1</v>
      </c>
      <c r="S26" s="281">
        <v>5890</v>
      </c>
      <c r="T26" s="281">
        <v>0</v>
      </c>
      <c r="U26" s="251">
        <f>IF(Q26&lt;&gt;"",K26-T26,"")</f>
        <v>6000</v>
      </c>
      <c r="V26" s="252">
        <f>IF(Q26&lt;&gt;"",0%,"")</f>
        <v>0</v>
      </c>
      <c r="W26" s="253">
        <f>IF(Q26&lt;&gt;"",V26*U26,"")</f>
        <v>0</v>
      </c>
      <c r="X26" s="253">
        <f>IF(Q26&lt;&gt;"",W26+T26,"")</f>
        <v>0</v>
      </c>
      <c r="Y26" s="254">
        <f t="shared" si="3"/>
        <v>1572.6904436435943</v>
      </c>
      <c r="Z26" s="255">
        <f>IF(Q26&lt;&gt;"", IFERROR(U26/K26, 0), 0)</f>
        <v>1</v>
      </c>
      <c r="AA26" s="256">
        <f>IFERROR(T26/$T$28, "")</f>
        <v>0</v>
      </c>
      <c r="AK26" s="257">
        <f t="shared" si="1"/>
        <v>0</v>
      </c>
      <c r="AL26" s="430"/>
    </row>
    <row r="27" spans="1:39" ht="129.9" customHeight="1" x14ac:dyDescent="0.4">
      <c r="A27" s="282">
        <v>13</v>
      </c>
      <c r="B27" s="234" t="s">
        <v>176</v>
      </c>
      <c r="C27" s="283" t="s">
        <v>115</v>
      </c>
      <c r="D27" s="210" t="s">
        <v>127</v>
      </c>
      <c r="E27" s="210" t="s">
        <v>117</v>
      </c>
      <c r="F27" s="279" t="s">
        <v>200</v>
      </c>
      <c r="G27" s="280" t="s">
        <v>263</v>
      </c>
      <c r="H27" s="258">
        <v>1</v>
      </c>
      <c r="I27" s="258">
        <v>1</v>
      </c>
      <c r="J27" s="284">
        <v>1500</v>
      </c>
      <c r="K27" s="259">
        <f>IF(F27&lt;&gt;"",H27*I27*J27,"")</f>
        <v>1500</v>
      </c>
      <c r="L27" s="259">
        <f>IF(K27&lt;&gt;"",IF(D27="INTERNO",0,K27*$L$14),"")</f>
        <v>120</v>
      </c>
      <c r="M27" s="259">
        <f>IF(K27&lt;&gt;"",IF(E27="FAT.OGGI",SUM(K27:L27)*(1/(1-$M$14)-1),L27*(1/(1-$M$14)-1)),0)</f>
        <v>393.17261091089858</v>
      </c>
      <c r="N27" s="260">
        <f>SUM(K27:M27)</f>
        <v>2013.1726109108986</v>
      </c>
      <c r="Q27" s="261">
        <f t="shared" si="2"/>
        <v>1</v>
      </c>
      <c r="R27" s="262">
        <v>1</v>
      </c>
      <c r="S27" s="285">
        <v>410</v>
      </c>
      <c r="T27" s="285">
        <f>IF(Q27&lt;&gt;"",Q27*R27*S27,"")</f>
        <v>410</v>
      </c>
      <c r="U27" s="264">
        <f>IF(Q27&lt;&gt;"",K27-T27,"")</f>
        <v>1090</v>
      </c>
      <c r="V27" s="265">
        <f>IF(Q27&lt;&gt;"",0%,"")</f>
        <v>0</v>
      </c>
      <c r="W27" s="266">
        <f>IF(Q27&lt;&gt;"",V27*U27,"")</f>
        <v>0</v>
      </c>
      <c r="X27" s="266">
        <f>IF(Q27&lt;&gt;"",W27+T27,"")</f>
        <v>410</v>
      </c>
      <c r="Y27" s="267">
        <f t="shared" si="3"/>
        <v>803.17261091089858</v>
      </c>
      <c r="Z27" s="255">
        <f>IF(Q27&lt;&gt;"", IFERROR(U27/K27, 0), 0)</f>
        <v>0.72666666666666668</v>
      </c>
      <c r="AA27" s="286"/>
      <c r="AK27" s="257">
        <f t="shared" si="1"/>
        <v>0</v>
      </c>
      <c r="AL27" s="430">
        <v>410</v>
      </c>
      <c r="AM27" s="437" t="s">
        <v>304</v>
      </c>
    </row>
    <row r="28" spans="1:39" ht="39.9" customHeight="1" thickBot="1" x14ac:dyDescent="0.5">
      <c r="A28" s="287">
        <v>14</v>
      </c>
      <c r="B28" s="234"/>
      <c r="C28" s="288" t="s">
        <v>123</v>
      </c>
      <c r="D28" s="287"/>
      <c r="E28" s="287"/>
      <c r="F28" s="1066" t="s">
        <v>142</v>
      </c>
      <c r="G28" s="1067"/>
      <c r="H28" s="1067"/>
      <c r="I28" s="1067"/>
      <c r="J28" s="1067"/>
      <c r="K28" s="289">
        <f>SUM(K24:K27)</f>
        <v>20425</v>
      </c>
      <c r="L28" s="270">
        <f>SUM(L24:L27)</f>
        <v>1634</v>
      </c>
      <c r="M28" s="270">
        <f>SUM(M24:M27)</f>
        <v>5353.7003852367352</v>
      </c>
      <c r="N28" s="290">
        <f>SUM(N24:N27)</f>
        <v>27412.700385236734</v>
      </c>
      <c r="Q28" s="1066" t="s">
        <v>142</v>
      </c>
      <c r="R28" s="1067"/>
      <c r="S28" s="1067"/>
      <c r="T28" s="291">
        <f>SUM(T24:T27)</f>
        <v>25751</v>
      </c>
      <c r="U28" s="292">
        <f>SUM(U24:U27)</f>
        <v>-5326</v>
      </c>
      <c r="V28" s="293"/>
      <c r="W28" s="293"/>
      <c r="X28" s="294">
        <f>SUM(X24:X27)</f>
        <v>25751</v>
      </c>
      <c r="Y28" s="295">
        <f t="shared" si="3"/>
        <v>31104.700385236734</v>
      </c>
      <c r="AK28" s="257"/>
      <c r="AL28" s="430"/>
    </row>
    <row r="29" spans="1:39" ht="39.9" customHeight="1" thickBot="1" x14ac:dyDescent="0.5">
      <c r="A29" s="210">
        <v>15</v>
      </c>
      <c r="B29" s="234">
        <v>3</v>
      </c>
      <c r="C29" s="235" t="s">
        <v>109</v>
      </c>
      <c r="D29" s="210"/>
      <c r="E29" s="210"/>
      <c r="F29" s="1048"/>
      <c r="G29" s="1049"/>
      <c r="H29" s="1049"/>
      <c r="I29" s="1049"/>
      <c r="J29" s="1049"/>
      <c r="K29" s="1049"/>
      <c r="L29" s="1049"/>
      <c r="M29" s="1049"/>
      <c r="N29" s="1050"/>
      <c r="Q29" s="1051" t="str">
        <f>IF(F29&lt;&gt;"",F29,"")</f>
        <v/>
      </c>
      <c r="R29" s="1052"/>
      <c r="S29" s="1052"/>
      <c r="T29" s="1052"/>
      <c r="U29" s="1052"/>
      <c r="V29" s="1052"/>
      <c r="W29" s="1052"/>
      <c r="X29" s="1052"/>
      <c r="Y29" s="1053"/>
      <c r="AK29" s="257"/>
      <c r="AL29" s="430"/>
    </row>
    <row r="30" spans="1:39" ht="39.9" customHeight="1" x14ac:dyDescent="0.45">
      <c r="A30" s="210">
        <v>16</v>
      </c>
      <c r="B30" s="234" t="s">
        <v>134</v>
      </c>
      <c r="C30" s="235" t="s">
        <v>110</v>
      </c>
      <c r="D30" s="210"/>
      <c r="E30" s="210"/>
      <c r="F30" s="1058" t="s">
        <v>197</v>
      </c>
      <c r="G30" s="1059"/>
      <c r="H30" s="1059"/>
      <c r="I30" s="1059"/>
      <c r="J30" s="1059"/>
      <c r="K30" s="1060"/>
      <c r="L30" s="238" t="s">
        <v>112</v>
      </c>
      <c r="M30" s="239" t="s">
        <v>113</v>
      </c>
      <c r="N30" s="240" t="s">
        <v>82</v>
      </c>
      <c r="Q30" s="1058" t="str">
        <f>IF(F30&lt;&gt;"",F30,"")</f>
        <v>BATAVINHO PATRULHA CANINA</v>
      </c>
      <c r="R30" s="1059"/>
      <c r="S30" s="1059"/>
      <c r="T30" s="1059"/>
      <c r="U30" s="1059"/>
      <c r="V30" s="1059"/>
      <c r="W30" s="1059"/>
      <c r="X30" s="1059"/>
      <c r="Y30" s="1061"/>
      <c r="Z30" s="241" t="s">
        <v>114</v>
      </c>
      <c r="AA30" s="242" t="s">
        <v>83</v>
      </c>
      <c r="AK30" s="257"/>
      <c r="AL30" s="430"/>
    </row>
    <row r="31" spans="1:39" ht="129.9" customHeight="1" x14ac:dyDescent="0.4">
      <c r="A31" s="210">
        <v>17</v>
      </c>
      <c r="B31" s="234" t="s">
        <v>138</v>
      </c>
      <c r="C31" s="235" t="s">
        <v>115</v>
      </c>
      <c r="D31" s="210" t="s">
        <v>127</v>
      </c>
      <c r="E31" s="210" t="s">
        <v>117</v>
      </c>
      <c r="F31" s="279" t="s">
        <v>216</v>
      </c>
      <c r="G31" s="280" t="s">
        <v>143</v>
      </c>
      <c r="H31" s="245">
        <v>1</v>
      </c>
      <c r="I31" s="245">
        <v>1</v>
      </c>
      <c r="J31" s="246">
        <v>4950</v>
      </c>
      <c r="K31" s="246">
        <f>IF(F31&lt;&gt;"",H31*I31*J31,"")</f>
        <v>4950</v>
      </c>
      <c r="L31" s="246">
        <f>IF(K31&lt;&gt;"",IF(D31="INTERNO",0,K31*$L$14),"")</f>
        <v>396</v>
      </c>
      <c r="M31" s="246">
        <f>IF(K31&lt;&gt;"",IF(E31="FAT.OGGI",SUM(K31:L31)*(1/(1-$M$14)-1),L31*(1/(1-$M$14)-1)),0)</f>
        <v>1297.4696160059655</v>
      </c>
      <c r="N31" s="247">
        <f>SUM(K31:M31)</f>
        <v>6643.4696160059657</v>
      </c>
      <c r="Q31" s="248">
        <v>1</v>
      </c>
      <c r="R31" s="249">
        <f t="shared" ref="Q31:R34" si="4">IF(I31&lt;&gt;"",I31,"")</f>
        <v>1</v>
      </c>
      <c r="S31" s="281">
        <v>3980</v>
      </c>
      <c r="T31" s="281">
        <v>6920</v>
      </c>
      <c r="U31" s="251">
        <f>IF(Q31&lt;&gt;"",K31-T31,"")</f>
        <v>-1970</v>
      </c>
      <c r="V31" s="252">
        <f>IF(Q31&lt;&gt;"",0%,"")</f>
        <v>0</v>
      </c>
      <c r="W31" s="253">
        <f>IF(Q31&lt;&gt;"",V31*U31,"")</f>
        <v>0</v>
      </c>
      <c r="X31" s="253">
        <f>IF(Q31&lt;&gt;"",W31+T31,"")</f>
        <v>6920</v>
      </c>
      <c r="Y31" s="254">
        <f>IF(Q31&lt;&gt;"",X31+M31,"")</f>
        <v>8217.4696160059648</v>
      </c>
      <c r="Z31" s="255">
        <f>IF(Q31&lt;&gt;"", IFERROR(U31/K31, 0), 0)</f>
        <v>-0.39797979797979799</v>
      </c>
      <c r="AA31" s="256">
        <f>IFERROR(T31/$T$35, "")</f>
        <v>0.83595071273254407</v>
      </c>
      <c r="AK31" s="257">
        <f t="shared" si="1"/>
        <v>0</v>
      </c>
      <c r="AL31" s="430">
        <f>2*1990+2940</f>
        <v>6920</v>
      </c>
      <c r="AM31" s="419" t="s">
        <v>313</v>
      </c>
    </row>
    <row r="32" spans="1:39" ht="129.9" customHeight="1" x14ac:dyDescent="0.4">
      <c r="A32" s="210">
        <v>18</v>
      </c>
      <c r="B32" s="234" t="s">
        <v>139</v>
      </c>
      <c r="C32" s="235" t="s">
        <v>115</v>
      </c>
      <c r="D32" s="210" t="s">
        <v>127</v>
      </c>
      <c r="E32" s="210" t="s">
        <v>117</v>
      </c>
      <c r="F32" s="279" t="s">
        <v>144</v>
      </c>
      <c r="G32" s="280" t="s">
        <v>264</v>
      </c>
      <c r="H32" s="245">
        <v>1</v>
      </c>
      <c r="I32" s="245">
        <v>0</v>
      </c>
      <c r="J32" s="246">
        <v>0</v>
      </c>
      <c r="K32" s="246">
        <f>IF(F32&lt;&gt;"",H32*I32*J32,"")</f>
        <v>0</v>
      </c>
      <c r="L32" s="246">
        <f>IF(K32&lt;&gt;"",IF(D32="INTERNO",0,K32*$L$14),"")</f>
        <v>0</v>
      </c>
      <c r="M32" s="246">
        <f>IF(K32&lt;&gt;"",IF(E32="FAT.OGGI",SUM(K32:L32)*(1/(1-$M$14)-1),L32*(1/(1-$M$14)-1)),0)</f>
        <v>0</v>
      </c>
      <c r="N32" s="247">
        <f>SUM(K32:M32)</f>
        <v>0</v>
      </c>
      <c r="Q32" s="248">
        <f t="shared" si="4"/>
        <v>1</v>
      </c>
      <c r="R32" s="249">
        <f t="shared" si="4"/>
        <v>0</v>
      </c>
      <c r="S32" s="250">
        <v>0</v>
      </c>
      <c r="T32" s="250">
        <f>IF(Q32&lt;&gt;"",Q32*R32*S32,"")</f>
        <v>0</v>
      </c>
      <c r="U32" s="251">
        <f>IF(Q32&lt;&gt;"",K32-T32,"")</f>
        <v>0</v>
      </c>
      <c r="V32" s="252">
        <f>IF(Q32&lt;&gt;"",0%,"")</f>
        <v>0</v>
      </c>
      <c r="W32" s="253">
        <f>IF(Q32&lt;&gt;"",V32*U32,"")</f>
        <v>0</v>
      </c>
      <c r="X32" s="253">
        <f>IF(Q32&lt;&gt;"",W32+T32,"")</f>
        <v>0</v>
      </c>
      <c r="Y32" s="254">
        <f>IF(Q32&lt;&gt;"",X32+M32,"")</f>
        <v>0</v>
      </c>
      <c r="Z32" s="255">
        <f>IF(Q32&lt;&gt;"", IFERROR(U32/K32, 0), 0)</f>
        <v>0</v>
      </c>
      <c r="AA32" s="256">
        <f>IFERROR(T32/$T$35, "")</f>
        <v>0</v>
      </c>
      <c r="AK32" s="257">
        <f t="shared" si="1"/>
        <v>0</v>
      </c>
      <c r="AL32" s="430"/>
    </row>
    <row r="33" spans="1:40" ht="129.9" customHeight="1" x14ac:dyDescent="0.4">
      <c r="A33" s="210">
        <v>19</v>
      </c>
      <c r="B33" s="234" t="s">
        <v>173</v>
      </c>
      <c r="C33" s="235" t="s">
        <v>115</v>
      </c>
      <c r="D33" s="210" t="s">
        <v>127</v>
      </c>
      <c r="E33" s="210" t="s">
        <v>117</v>
      </c>
      <c r="F33" s="279" t="s">
        <v>132</v>
      </c>
      <c r="G33" s="280" t="s">
        <v>145</v>
      </c>
      <c r="H33" s="245">
        <v>1</v>
      </c>
      <c r="I33" s="245">
        <v>2</v>
      </c>
      <c r="J33" s="246">
        <v>750</v>
      </c>
      <c r="K33" s="246">
        <f>IF(F33&lt;&gt;"",H33*I33*J33,"")</f>
        <v>1500</v>
      </c>
      <c r="L33" s="246">
        <f>IF(K33&lt;&gt;"",IF(D33="INTERNO",0,K33*$L$14),"")</f>
        <v>120</v>
      </c>
      <c r="M33" s="246">
        <f>IF(K33&lt;&gt;"",IF(E33="FAT.OGGI",SUM(K33:L33)*(1/(1-$M$14)-1),L33*(1/(1-$M$14)-1)),0)</f>
        <v>393.17261091089858</v>
      </c>
      <c r="N33" s="247">
        <f>SUM(K33:M33)</f>
        <v>2013.1726109108986</v>
      </c>
      <c r="Q33" s="248">
        <f t="shared" si="4"/>
        <v>1</v>
      </c>
      <c r="R33" s="249">
        <v>0</v>
      </c>
      <c r="S33" s="250">
        <v>500</v>
      </c>
      <c r="T33" s="250">
        <f>IF(Q33&lt;&gt;"",Q33*R33*S33,"")</f>
        <v>0</v>
      </c>
      <c r="U33" s="251">
        <f>IF(Q33&lt;&gt;"",K33-T33,"")</f>
        <v>1500</v>
      </c>
      <c r="V33" s="252">
        <f>IF(Q33&lt;&gt;"",0%,"")</f>
        <v>0</v>
      </c>
      <c r="W33" s="253">
        <f>IF(Q33&lt;&gt;"",V33*U33,"")</f>
        <v>0</v>
      </c>
      <c r="X33" s="253">
        <f>IF(Q33&lt;&gt;"",W33+T33,"")</f>
        <v>0</v>
      </c>
      <c r="Y33" s="254">
        <f>IF(Q33&lt;&gt;"",X33+M33,"")</f>
        <v>393.17261091089858</v>
      </c>
      <c r="Z33" s="255">
        <f>IF(Q33&lt;&gt;"", IFERROR(U33/K33, 0), 0)</f>
        <v>1</v>
      </c>
      <c r="AA33" s="256">
        <f>IFERROR(T33/$T$35, "")</f>
        <v>0</v>
      </c>
      <c r="AK33" s="257">
        <f t="shared" si="1"/>
        <v>0</v>
      </c>
      <c r="AL33" s="430"/>
    </row>
    <row r="34" spans="1:40" ht="129.9" customHeight="1" thickBot="1" x14ac:dyDescent="0.45">
      <c r="A34" s="210">
        <v>20</v>
      </c>
      <c r="B34" s="234" t="s">
        <v>198</v>
      </c>
      <c r="C34" s="235" t="s">
        <v>115</v>
      </c>
      <c r="D34" s="210" t="s">
        <v>127</v>
      </c>
      <c r="E34" s="210" t="s">
        <v>117</v>
      </c>
      <c r="F34" s="243" t="s">
        <v>146</v>
      </c>
      <c r="G34" s="296" t="s">
        <v>147</v>
      </c>
      <c r="H34" s="245">
        <v>2</v>
      </c>
      <c r="I34" s="245">
        <v>1</v>
      </c>
      <c r="J34" s="246">
        <v>75</v>
      </c>
      <c r="K34" s="246">
        <f>IF(F34&lt;&gt;"",H34*I34*J34,"")</f>
        <v>150</v>
      </c>
      <c r="L34" s="246">
        <f>IF(K34&lt;&gt;"",IF(D34="INTERNO",0,K34*$L$14),"")</f>
        <v>12</v>
      </c>
      <c r="M34" s="246">
        <f>IF(K34&lt;&gt;"",IF(E34="FAT.OGGI",SUM(K34:L34)*(1/(1-$M$14)-1),L34*(1/(1-$M$14)-1)),0)</f>
        <v>39.317261091089861</v>
      </c>
      <c r="N34" s="247">
        <f>SUM(K34:M34)</f>
        <v>201.31726109108985</v>
      </c>
      <c r="Q34" s="261">
        <f t="shared" si="4"/>
        <v>2</v>
      </c>
      <c r="R34" s="262">
        <v>0</v>
      </c>
      <c r="S34" s="263">
        <v>60</v>
      </c>
      <c r="T34" s="263">
        <v>1358</v>
      </c>
      <c r="U34" s="264">
        <f>IF(Q34&lt;&gt;"",K34-T34,"")</f>
        <v>-1208</v>
      </c>
      <c r="V34" s="265">
        <f>IF(Q34&lt;&gt;"",0%,"")</f>
        <v>0</v>
      </c>
      <c r="W34" s="266">
        <f>IF(Q34&lt;&gt;"",V34*U34,"")</f>
        <v>0</v>
      </c>
      <c r="X34" s="266">
        <f>IF(Q34&lt;&gt;"",W34+T34,"")</f>
        <v>1358</v>
      </c>
      <c r="Y34" s="267">
        <f>IF(Q34&lt;&gt;"",X34+M34,"")</f>
        <v>1397.3172610910899</v>
      </c>
      <c r="Z34" s="268">
        <f>IF(Q34&lt;&gt;"", IFERROR(U34/K34, 0), 0)</f>
        <v>-8.0533333333333328</v>
      </c>
      <c r="AA34" s="269">
        <f>IFERROR(T34/$T$35, "")</f>
        <v>0.16404928726745591</v>
      </c>
      <c r="AK34" s="257">
        <f t="shared" si="1"/>
        <v>0</v>
      </c>
      <c r="AL34" s="430">
        <f>240+1118</f>
        <v>1358</v>
      </c>
      <c r="AM34" s="419" t="s">
        <v>308</v>
      </c>
    </row>
    <row r="35" spans="1:40" ht="39.9" customHeight="1" thickBot="1" x14ac:dyDescent="0.5">
      <c r="A35" s="287">
        <v>21</v>
      </c>
      <c r="B35" s="234"/>
      <c r="C35" s="288" t="s">
        <v>123</v>
      </c>
      <c r="D35" s="287"/>
      <c r="E35" s="287"/>
      <c r="F35" s="1062" t="s">
        <v>199</v>
      </c>
      <c r="G35" s="1063"/>
      <c r="H35" s="1063"/>
      <c r="I35" s="1063"/>
      <c r="J35" s="1063"/>
      <c r="K35" s="270">
        <f>SUM(K31:K34)</f>
        <v>6600</v>
      </c>
      <c r="L35" s="270">
        <f>SUM(L31:L34)</f>
        <v>528</v>
      </c>
      <c r="M35" s="270">
        <f>SUM(M31:M34)</f>
        <v>1729.959488007954</v>
      </c>
      <c r="N35" s="271">
        <f>SUM(N31:N34)</f>
        <v>8857.9594880079549</v>
      </c>
      <c r="Q35" s="1062" t="s">
        <v>199</v>
      </c>
      <c r="R35" s="1063"/>
      <c r="S35" s="1063"/>
      <c r="T35" s="272">
        <f>SUM(T31:T34)</f>
        <v>8278</v>
      </c>
      <c r="U35" s="273">
        <f>SUM(U31:U34)</f>
        <v>-1678</v>
      </c>
      <c r="V35" s="274"/>
      <c r="W35" s="274"/>
      <c r="X35" s="275">
        <f>SUM(X31:X34)</f>
        <v>8278</v>
      </c>
      <c r="Y35" s="276">
        <f>SUM(Y17:Y19)+SUM(Y24:Y26)+SUM(Y31:Y34)</f>
        <v>40309.487262333787</v>
      </c>
      <c r="Z35" s="297" t="s">
        <v>170</v>
      </c>
      <c r="AA35" s="278" t="s">
        <v>171</v>
      </c>
      <c r="AK35" s="257"/>
      <c r="AL35" s="430"/>
    </row>
    <row r="36" spans="1:40" ht="39.9" customHeight="1" x14ac:dyDescent="0.45">
      <c r="A36" s="210">
        <v>22</v>
      </c>
      <c r="B36" s="234" t="s">
        <v>204</v>
      </c>
      <c r="C36" s="235" t="s">
        <v>110</v>
      </c>
      <c r="D36" s="210"/>
      <c r="E36" s="210"/>
      <c r="F36" s="1058" t="s">
        <v>209</v>
      </c>
      <c r="G36" s="1059"/>
      <c r="H36" s="1059"/>
      <c r="I36" s="1059"/>
      <c r="J36" s="1059"/>
      <c r="K36" s="1060"/>
      <c r="L36" s="298" t="s">
        <v>112</v>
      </c>
      <c r="M36" s="299" t="s">
        <v>113</v>
      </c>
      <c r="N36" s="300" t="s">
        <v>82</v>
      </c>
      <c r="Q36" s="1058" t="str">
        <f>IF(F36&lt;&gt;"",F36,"")</f>
        <v xml:space="preserve">ITENS NOVOS </v>
      </c>
      <c r="R36" s="1059"/>
      <c r="S36" s="1059"/>
      <c r="T36" s="1059"/>
      <c r="U36" s="1059"/>
      <c r="V36" s="1059"/>
      <c r="W36" s="1059"/>
      <c r="X36" s="1059"/>
      <c r="Y36" s="1061"/>
      <c r="Z36" s="301" t="s">
        <v>114</v>
      </c>
      <c r="AA36" s="302" t="s">
        <v>83</v>
      </c>
      <c r="AK36" s="257"/>
      <c r="AL36" s="430"/>
    </row>
    <row r="37" spans="1:40" ht="129.9" customHeight="1" x14ac:dyDescent="0.4">
      <c r="A37" s="210">
        <v>23</v>
      </c>
      <c r="B37" s="234" t="s">
        <v>205</v>
      </c>
      <c r="C37" s="235" t="s">
        <v>115</v>
      </c>
      <c r="D37" s="210" t="s">
        <v>127</v>
      </c>
      <c r="E37" s="210" t="s">
        <v>117</v>
      </c>
      <c r="F37" s="303" t="s">
        <v>211</v>
      </c>
      <c r="G37" s="304" t="s">
        <v>212</v>
      </c>
      <c r="H37" s="245">
        <v>8</v>
      </c>
      <c r="I37" s="245">
        <v>1</v>
      </c>
      <c r="J37" s="246">
        <v>10.9</v>
      </c>
      <c r="K37" s="246">
        <f>IF(F37&lt;&gt;"",H37*I37*J37,"")</f>
        <v>87.2</v>
      </c>
      <c r="L37" s="246">
        <f>IF(K37&lt;&gt;"",IF(D37="INTERNO",0,K37*$L$14),"")</f>
        <v>6.976</v>
      </c>
      <c r="M37" s="246">
        <f>IF(K37&lt;&gt;"",IF(E37="FAT.OGGI",SUM(K37:L37)*(1/(1-$M$14)-1),L37*(1/(1-$M$14)-1)),"")</f>
        <v>22.856434447620238</v>
      </c>
      <c r="N37" s="247">
        <f>SUM(K37:M37)</f>
        <v>117.03243444762023</v>
      </c>
      <c r="Q37" s="305">
        <f t="shared" ref="Q37:R39" si="5">IF(H37&lt;&gt;"",H37,"")</f>
        <v>8</v>
      </c>
      <c r="R37" s="306">
        <f t="shared" si="5"/>
        <v>1</v>
      </c>
      <c r="S37" s="307"/>
      <c r="T37" s="307">
        <f>IF(Q37&lt;&gt;"",Q37*R37*S37,"")</f>
        <v>0</v>
      </c>
      <c r="U37" s="308">
        <f>IF(Q37&lt;&gt;"",K37-T37,"")</f>
        <v>87.2</v>
      </c>
      <c r="V37" s="309">
        <f>IF(Q37&lt;&gt;"",0%,"")</f>
        <v>0</v>
      </c>
      <c r="W37" s="310">
        <f>IF(Q37&lt;&gt;"",V37*U37,"")</f>
        <v>0</v>
      </c>
      <c r="X37" s="310">
        <f>IF(Q37&lt;&gt;"",W37+T37,"")</f>
        <v>0</v>
      </c>
      <c r="Y37" s="311">
        <f t="shared" ref="Y37:Y42" si="6">IF(Q37&lt;&gt;"",X37+M37,"")</f>
        <v>22.856434447620238</v>
      </c>
      <c r="Z37" s="312">
        <f>IF(Q37&lt;&gt;"", IFERROR(U37/K37, 0), 0)</f>
        <v>1</v>
      </c>
      <c r="AA37" s="313">
        <f>IFERROR(T37/$T$42, "")</f>
        <v>0</v>
      </c>
      <c r="AK37" s="257">
        <f t="shared" si="1"/>
        <v>0</v>
      </c>
      <c r="AL37" s="430"/>
    </row>
    <row r="38" spans="1:40" ht="129.9" customHeight="1" x14ac:dyDescent="0.4">
      <c r="A38" s="210">
        <v>24</v>
      </c>
      <c r="B38" s="234" t="s">
        <v>206</v>
      </c>
      <c r="C38" s="235" t="s">
        <v>115</v>
      </c>
      <c r="D38" s="210" t="s">
        <v>127</v>
      </c>
      <c r="E38" s="210" t="s">
        <v>117</v>
      </c>
      <c r="F38" s="303" t="s">
        <v>213</v>
      </c>
      <c r="G38" s="304" t="s">
        <v>214</v>
      </c>
      <c r="H38" s="245">
        <v>1</v>
      </c>
      <c r="I38" s="245">
        <v>1</v>
      </c>
      <c r="J38" s="246">
        <v>890</v>
      </c>
      <c r="K38" s="246">
        <f>IF(F38&lt;&gt;"",H38*I38*J38,"")</f>
        <v>890</v>
      </c>
      <c r="L38" s="246">
        <f>IF(K38&lt;&gt;"",IF(D38="INTERNO",0,K38*$L$14),"")</f>
        <v>71.2</v>
      </c>
      <c r="M38" s="246">
        <f>IF(K38&lt;&gt;"",IF(E38="FAT.OGGI",SUM(K38:L38)*(1/(1-$M$14)-1),L38*(1/(1-$M$14)-1)),"")</f>
        <v>233.28241580713319</v>
      </c>
      <c r="N38" s="247">
        <f>SUM(K38:M38)</f>
        <v>1194.4824158071333</v>
      </c>
      <c r="Q38" s="305">
        <f t="shared" si="5"/>
        <v>1</v>
      </c>
      <c r="R38" s="306">
        <v>0</v>
      </c>
      <c r="S38" s="307">
        <v>385.05</v>
      </c>
      <c r="T38" s="307">
        <v>15000</v>
      </c>
      <c r="U38" s="308">
        <f>IF(Q38&lt;&gt;"",K38-T38,"")</f>
        <v>-14110</v>
      </c>
      <c r="V38" s="309">
        <f>IF(Q38&lt;&gt;"",0%,"")</f>
        <v>0</v>
      </c>
      <c r="W38" s="310">
        <f>IF(Q38&lt;&gt;"",V38*U38,"")</f>
        <v>0</v>
      </c>
      <c r="X38" s="310">
        <f>IF(Q38&lt;&gt;"",W38+T38,"")</f>
        <v>15000</v>
      </c>
      <c r="Y38" s="311">
        <f t="shared" si="6"/>
        <v>15233.282415807133</v>
      </c>
      <c r="Z38" s="312">
        <f>IF(Q38&lt;&gt;"", IFERROR(U38/K38, 0), 0)</f>
        <v>-15.853932584269662</v>
      </c>
      <c r="AA38" s="313">
        <f>IFERROR(T38/$T$42, "")</f>
        <v>0.92137592137592139</v>
      </c>
      <c r="AK38" s="257">
        <f t="shared" si="1"/>
        <v>0</v>
      </c>
      <c r="AL38" s="430">
        <v>15000</v>
      </c>
      <c r="AM38" s="419" t="s">
        <v>311</v>
      </c>
    </row>
    <row r="39" spans="1:40" ht="129.9" customHeight="1" x14ac:dyDescent="0.4">
      <c r="A39" s="210">
        <v>25</v>
      </c>
      <c r="B39" s="234" t="s">
        <v>207</v>
      </c>
      <c r="C39" s="235" t="s">
        <v>115</v>
      </c>
      <c r="D39" s="210" t="s">
        <v>127</v>
      </c>
      <c r="E39" s="210" t="s">
        <v>117</v>
      </c>
      <c r="F39" s="303" t="s">
        <v>215</v>
      </c>
      <c r="G39" s="304" t="s">
        <v>220</v>
      </c>
      <c r="H39" s="245">
        <v>1</v>
      </c>
      <c r="I39" s="245">
        <v>1</v>
      </c>
      <c r="J39" s="246">
        <v>380</v>
      </c>
      <c r="K39" s="246">
        <f>IF(F39&lt;&gt;"",H39*I39*J39,"")</f>
        <v>380</v>
      </c>
      <c r="L39" s="246">
        <f>IF(K39&lt;&gt;"",IF(D39="INTERNO",0,K39*$L$14),"")</f>
        <v>30.400000000000002</v>
      </c>
      <c r="M39" s="246">
        <f>IF(K39&lt;&gt;"",IF(E39="FAT.OGGI",SUM(K39:L39)*(1/(1-$M$14)-1),L39*(1/(1-$M$14)-1)),"")</f>
        <v>99.603728097427634</v>
      </c>
      <c r="N39" s="247">
        <f>SUM(K39:M39)</f>
        <v>510.0037280974276</v>
      </c>
      <c r="Q39" s="305">
        <f t="shared" si="5"/>
        <v>1</v>
      </c>
      <c r="R39" s="306">
        <f t="shared" si="5"/>
        <v>1</v>
      </c>
      <c r="S39" s="307">
        <v>0</v>
      </c>
      <c r="T39" s="307">
        <f>IF(Q39&lt;&gt;"",Q39*R39*S39,"")</f>
        <v>0</v>
      </c>
      <c r="U39" s="308">
        <f>IF(Q39&lt;&gt;"",K39-T39,"")</f>
        <v>380</v>
      </c>
      <c r="V39" s="309">
        <f>IF(Q39&lt;&gt;"",0%,"")</f>
        <v>0</v>
      </c>
      <c r="W39" s="310">
        <f>IF(Q39&lt;&gt;"",V39*U39,"")</f>
        <v>0</v>
      </c>
      <c r="X39" s="310">
        <f>IF(Q39&lt;&gt;"",W39+T39,"")</f>
        <v>0</v>
      </c>
      <c r="Y39" s="311">
        <f t="shared" si="6"/>
        <v>99.603728097427634</v>
      </c>
      <c r="Z39" s="312">
        <f>IF(Q39&lt;&gt;"", IFERROR(U39/K39, 0), 0)</f>
        <v>1</v>
      </c>
      <c r="AA39" s="313">
        <f>IFERROR(T39/$T$42, "")</f>
        <v>0</v>
      </c>
      <c r="AK39" s="257">
        <f t="shared" si="1"/>
        <v>0</v>
      </c>
      <c r="AL39" s="430"/>
    </row>
    <row r="40" spans="1:40" ht="129.9" customHeight="1" x14ac:dyDescent="0.4">
      <c r="A40" s="210">
        <v>26</v>
      </c>
      <c r="B40" s="234" t="s">
        <v>221</v>
      </c>
      <c r="C40" s="235" t="s">
        <v>115</v>
      </c>
      <c r="D40" s="210" t="s">
        <v>127</v>
      </c>
      <c r="E40" s="210" t="s">
        <v>117</v>
      </c>
      <c r="F40" s="303" t="s">
        <v>219</v>
      </c>
      <c r="G40" s="304" t="s">
        <v>222</v>
      </c>
      <c r="H40" s="245">
        <v>1</v>
      </c>
      <c r="I40" s="245">
        <v>2</v>
      </c>
      <c r="J40" s="246">
        <v>750</v>
      </c>
      <c r="K40" s="246">
        <f>IF(F40&lt;&gt;"",H40*I40*J40,"")</f>
        <v>1500</v>
      </c>
      <c r="L40" s="246">
        <f>IF(K40&lt;&gt;"",IF(D40="INTERNO",0,K40*$L$14),"")</f>
        <v>120</v>
      </c>
      <c r="M40" s="246">
        <f>IF(K40&lt;&gt;"",IF(E40="FAT.OGGI",SUM(K40:L40)*(1/(1-$M$14)-1),L40*(1/(1-$M$14)-1)),0)</f>
        <v>393.17261091089858</v>
      </c>
      <c r="N40" s="247">
        <f>SUM(K40:M40)</f>
        <v>2013.1726109108986</v>
      </c>
      <c r="Q40" s="305">
        <f>IF(H40&lt;&gt;"",H40,"")</f>
        <v>1</v>
      </c>
      <c r="R40" s="306">
        <v>0</v>
      </c>
      <c r="S40" s="307">
        <v>400</v>
      </c>
      <c r="T40" s="307">
        <f>IF(Q40&lt;&gt;"",Q40*R40*S40,"")</f>
        <v>0</v>
      </c>
      <c r="U40" s="308">
        <f>IF(Q40&lt;&gt;"",K40-T40,"")</f>
        <v>1500</v>
      </c>
      <c r="V40" s="309">
        <f>IF(Q40&lt;&gt;"",0%,"")</f>
        <v>0</v>
      </c>
      <c r="W40" s="310">
        <f>IF(Q40&lt;&gt;"",V40*U40,"")</f>
        <v>0</v>
      </c>
      <c r="X40" s="310">
        <f>IF(Q40&lt;&gt;"",W40+T40,"")</f>
        <v>0</v>
      </c>
      <c r="Y40" s="311">
        <f t="shared" si="6"/>
        <v>393.17261091089858</v>
      </c>
      <c r="Z40" s="312">
        <f>IF(Q40&lt;&gt;"", IFERROR(U40/K40, 0), 0)</f>
        <v>1</v>
      </c>
      <c r="AA40" s="314"/>
      <c r="AK40" s="257">
        <f t="shared" si="1"/>
        <v>0</v>
      </c>
      <c r="AL40" s="430"/>
    </row>
    <row r="41" spans="1:40" ht="129.9" customHeight="1" x14ac:dyDescent="0.4">
      <c r="A41" s="282">
        <v>27</v>
      </c>
      <c r="B41" s="234" t="s">
        <v>242</v>
      </c>
      <c r="C41" s="283" t="s">
        <v>115</v>
      </c>
      <c r="D41" s="210" t="s">
        <v>127</v>
      </c>
      <c r="E41" s="210" t="s">
        <v>117</v>
      </c>
      <c r="F41" s="315" t="s">
        <v>243</v>
      </c>
      <c r="G41" s="316" t="s">
        <v>244</v>
      </c>
      <c r="H41" s="258">
        <v>1</v>
      </c>
      <c r="I41" s="258">
        <v>1</v>
      </c>
      <c r="J41" s="259">
        <v>1280</v>
      </c>
      <c r="K41" s="259">
        <f>IF(F41&lt;&gt;"",H41*I41*J41,"")</f>
        <v>1280</v>
      </c>
      <c r="L41" s="259">
        <f>IF(K41&lt;&gt;"",IF(D41="INTERNO",0,K41*$L$14),"")</f>
        <v>102.4</v>
      </c>
      <c r="M41" s="259">
        <f>IF(K41&lt;&gt;"",IF(E41="FAT.OGGI",SUM(K41:L41)*(1/(1-$M$14)-1),L41*(1/(1-$M$14)-1)),0)</f>
        <v>335.50729464396682</v>
      </c>
      <c r="N41" s="260">
        <f>SUM(K41:M41)</f>
        <v>1717.9072946439669</v>
      </c>
      <c r="Q41" s="317">
        <f>IF(H41&lt;&gt;"",H41,"")</f>
        <v>1</v>
      </c>
      <c r="R41" s="318">
        <f>IF(I41&lt;&gt;"",I41,"")</f>
        <v>1</v>
      </c>
      <c r="S41" s="319">
        <v>1280</v>
      </c>
      <c r="T41" s="319">
        <f>IF(Q41&lt;&gt;"",Q41*R41*S41,"")</f>
        <v>1280</v>
      </c>
      <c r="U41" s="320">
        <f>IF(Q41&lt;&gt;"",K41-T41,"")</f>
        <v>0</v>
      </c>
      <c r="V41" s="321">
        <f>IF(Q41&lt;&gt;"",0%,"")</f>
        <v>0</v>
      </c>
      <c r="W41" s="322">
        <f>IF(Q41&lt;&gt;"",V41*U41,"")</f>
        <v>0</v>
      </c>
      <c r="X41" s="322">
        <f>IF(Q41&lt;&gt;"",W41+T41,"")</f>
        <v>1280</v>
      </c>
      <c r="Y41" s="323">
        <f t="shared" si="6"/>
        <v>1615.5072946439668</v>
      </c>
      <c r="Z41" s="312">
        <f>IF(Q41&lt;&gt;"", IFERROR(U41/K41, 0), 0)</f>
        <v>0</v>
      </c>
      <c r="AA41" s="314"/>
      <c r="AK41" s="257">
        <f t="shared" si="1"/>
        <v>0</v>
      </c>
      <c r="AL41" s="430">
        <v>1280</v>
      </c>
      <c r="AM41" s="419" t="s">
        <v>302</v>
      </c>
    </row>
    <row r="42" spans="1:40" ht="39.9" customHeight="1" thickBot="1" x14ac:dyDescent="0.5">
      <c r="A42" s="324">
        <v>28</v>
      </c>
      <c r="B42" s="234"/>
      <c r="C42" s="325" t="s">
        <v>123</v>
      </c>
      <c r="D42" s="324"/>
      <c r="E42" s="324"/>
      <c r="F42" s="1066" t="s">
        <v>210</v>
      </c>
      <c r="G42" s="1067"/>
      <c r="H42" s="1067"/>
      <c r="I42" s="1067"/>
      <c r="J42" s="1067"/>
      <c r="K42" s="326">
        <f>SUM(K37:K41)</f>
        <v>4137.2</v>
      </c>
      <c r="L42" s="326">
        <f>SUM(L37:L41)</f>
        <v>330.976</v>
      </c>
      <c r="M42" s="326">
        <f>SUM(M37:M41)</f>
        <v>1084.4224839070464</v>
      </c>
      <c r="N42" s="327">
        <f>SUM(N37:N41)</f>
        <v>5552.5984839070461</v>
      </c>
      <c r="Q42" s="1068" t="s">
        <v>208</v>
      </c>
      <c r="R42" s="1069"/>
      <c r="S42" s="1069"/>
      <c r="T42" s="328">
        <f>SUM(T37:T41)</f>
        <v>16280</v>
      </c>
      <c r="U42" s="329">
        <f>SUM(U37:U41)</f>
        <v>-12142.8</v>
      </c>
      <c r="V42" s="330"/>
      <c r="W42" s="331"/>
      <c r="X42" s="331">
        <f>SUM(X37:X41)</f>
        <v>16280</v>
      </c>
      <c r="Y42" s="332">
        <f t="shared" si="6"/>
        <v>17364.422483907045</v>
      </c>
      <c r="Z42" s="314"/>
      <c r="AA42" s="333"/>
      <c r="AK42" s="257"/>
      <c r="AL42" s="430"/>
    </row>
    <row r="43" spans="1:40" ht="39.9" customHeight="1" thickBot="1" x14ac:dyDescent="0.5">
      <c r="A43" s="287">
        <v>29</v>
      </c>
      <c r="B43" s="334"/>
      <c r="C43" s="288" t="s">
        <v>168</v>
      </c>
      <c r="D43" s="287"/>
      <c r="E43" s="287"/>
      <c r="F43" s="65" t="s">
        <v>169</v>
      </c>
      <c r="G43" s="66"/>
      <c r="H43" s="72"/>
      <c r="I43" s="72"/>
      <c r="J43" s="66"/>
      <c r="K43" s="67">
        <f>SUM(K17:K19)+SUM(K24:K27)+SUM(K31:K34)+SUM(K37:K41)</f>
        <v>31162.2</v>
      </c>
      <c r="L43" s="67">
        <f>SUM(L17:L19)+SUM(L24:L27)+SUM(L31:L34)+SUM(L37:L41)</f>
        <v>2492.9760000000001</v>
      </c>
      <c r="M43" s="67">
        <f>SUM(M17:M19)+SUM(M24:M27)+SUM(M31:M34)+SUM(M37:M41)</f>
        <v>8168.0823571517358</v>
      </c>
      <c r="N43" s="68">
        <f>SUM(N17:N19)+SUM(N24:N27)+SUM(N31:N34)+SUM(N37:N41)</f>
        <v>41823.258357151732</v>
      </c>
      <c r="Q43" s="71" t="s">
        <v>43</v>
      </c>
      <c r="R43" s="72"/>
      <c r="S43" s="66"/>
      <c r="T43" s="67">
        <f>SUM(T17:T19)+SUM(T24:T27)+SUM(T31:T34)+SUM(T37:T41)</f>
        <v>50309</v>
      </c>
      <c r="U43" s="67">
        <f>SUM(U17:U19)+SUM(U24:U27)+SUM(U31:U34)+SUM(U37:U41)</f>
        <v>-19146.8</v>
      </c>
      <c r="V43" s="66"/>
      <c r="W43" s="66"/>
      <c r="X43" s="67">
        <f>SUM(X17:X19)+SUM(X24:X27)+SUM(X31:X34)+SUM(X37:X41)</f>
        <v>50309</v>
      </c>
      <c r="Y43" s="68">
        <f>SUM(Y17:Y19)+SUM(Y24:Y27)+SUM(Y31:Y34)+SUM(Y37:Y41)</f>
        <v>58477.082357151732</v>
      </c>
      <c r="Z43" s="335" t="s">
        <v>170</v>
      </c>
      <c r="AA43" s="336" t="s">
        <v>171</v>
      </c>
      <c r="AK43" s="257">
        <f>SUM(AK17:AK42)</f>
        <v>0</v>
      </c>
      <c r="AL43" s="430">
        <f>SUM(AL17:AL42)</f>
        <v>50309</v>
      </c>
    </row>
    <row r="44" spans="1:40" ht="30.6" x14ac:dyDescent="0.55000000000000004">
      <c r="AL44" s="431"/>
      <c r="AM44" s="407" t="s">
        <v>280</v>
      </c>
      <c r="AN44" s="406"/>
    </row>
    <row r="45" spans="1:40" ht="30.6" x14ac:dyDescent="0.55000000000000004">
      <c r="AL45" s="431">
        <f>X43</f>
        <v>50309</v>
      </c>
      <c r="AM45" s="407" t="s">
        <v>281</v>
      </c>
      <c r="AN45" s="406"/>
    </row>
    <row r="46" spans="1:40" ht="30.6" x14ac:dyDescent="0.55000000000000004">
      <c r="AL46" s="431">
        <f>N43-X43</f>
        <v>-8485.7416428482684</v>
      </c>
      <c r="AM46" s="409" t="s">
        <v>278</v>
      </c>
      <c r="AN46" s="406"/>
    </row>
    <row r="47" spans="1:40" ht="31.2" x14ac:dyDescent="0.6">
      <c r="AL47" s="411">
        <f>AL46*100%/N43</f>
        <v>-0.20289527827755238</v>
      </c>
      <c r="AM47" s="412"/>
      <c r="AN47" s="406"/>
    </row>
  </sheetData>
  <autoFilter ref="A1:AL14" xr:uid="{107B9E09-8154-459A-AE62-6A4242823A27}">
    <filterColumn colId="5" showButton="0"/>
  </autoFilter>
  <mergeCells count="29">
    <mergeCell ref="F30:K30"/>
    <mergeCell ref="Q30:Y30"/>
    <mergeCell ref="F28:J28"/>
    <mergeCell ref="Q28:S28"/>
    <mergeCell ref="F29:N29"/>
    <mergeCell ref="Q29:Y29"/>
    <mergeCell ref="F36:K36"/>
    <mergeCell ref="Q36:Y36"/>
    <mergeCell ref="F42:J42"/>
    <mergeCell ref="Q42:S42"/>
    <mergeCell ref="F35:J35"/>
    <mergeCell ref="Q35:S35"/>
    <mergeCell ref="F15:N15"/>
    <mergeCell ref="Q15:Y15"/>
    <mergeCell ref="AK12:AL12"/>
    <mergeCell ref="AG12:AH12"/>
    <mergeCell ref="F23:K23"/>
    <mergeCell ref="Q23:Y23"/>
    <mergeCell ref="F16:K16"/>
    <mergeCell ref="Q16:Y16"/>
    <mergeCell ref="F20:J20"/>
    <mergeCell ref="Q20:S20"/>
    <mergeCell ref="F22:N22"/>
    <mergeCell ref="Q22:Y22"/>
    <mergeCell ref="F1:G1"/>
    <mergeCell ref="F2:G2"/>
    <mergeCell ref="Q12:T12"/>
    <mergeCell ref="U12:X12"/>
    <mergeCell ref="AC12:AE12"/>
  </mergeCells>
  <dataValidations disablePrompts="1" count="3">
    <dataValidation type="list" allowBlank="1" showInputMessage="1" showErrorMessage="1" sqref="E17:E19 E31:E34 E24:E27 E37:E42" xr:uid="{3F5F3CA9-DDB0-4E7C-A9DC-ED66F00EB7BE}">
      <formula1>"FAT.OGGI,FAT.CLIENTE"</formula1>
    </dataValidation>
    <dataValidation type="list" allowBlank="1" showInputMessage="1" showErrorMessage="1" sqref="D17:D19 D21 D31:D34 D24:D27 D37:D43" xr:uid="{32C7D473-8F5C-4B02-95D6-4ABDF144B8C1}">
      <formula1>"INTERNO,OPERACIONAL"</formula1>
    </dataValidation>
    <dataValidation type="list" allowBlank="1" showInputMessage="1" showErrorMessage="1" sqref="E21 E43" xr:uid="{06E11F33-59CA-4656-92C4-0099E750C1E2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798D9-BE9F-446A-88DB-399F23EC18A3}">
  <sheetPr codeName="Planilha16">
    <pageSetUpPr autoPageBreaks="0"/>
  </sheetPr>
  <dimension ref="A1:AM28"/>
  <sheetViews>
    <sheetView showGridLines="0" topLeftCell="B1" zoomScale="50" zoomScaleNormal="50" workbookViewId="0">
      <pane ySplit="1" topLeftCell="A20" activePane="bottomLeft" state="frozen"/>
      <selection pane="bottomLeft" activeCell="AM21" sqref="AM21"/>
    </sheetView>
  </sheetViews>
  <sheetFormatPr defaultColWidth="8.88671875" defaultRowHeight="23.4" x14ac:dyDescent="0.45"/>
  <cols>
    <col min="1" max="1" width="3.33203125" style="73" hidden="1" customWidth="1"/>
    <col min="2" max="2" width="12.88671875" style="73" customWidth="1"/>
    <col min="3" max="3" width="11.5546875" style="73" hidden="1" customWidth="1"/>
    <col min="4" max="4" width="11.6640625" style="73" hidden="1" customWidth="1"/>
    <col min="5" max="5" width="14.88671875" style="73" hidden="1" customWidth="1"/>
    <col min="6" max="6" width="48.88671875" style="73" customWidth="1"/>
    <col min="7" max="7" width="37.88671875" style="73" customWidth="1"/>
    <col min="8" max="8" width="5" style="76" hidden="1" customWidth="1"/>
    <col min="9" max="9" width="7.6640625" style="76" hidden="1" customWidth="1"/>
    <col min="10" max="10" width="16.44140625" style="73" hidden="1" customWidth="1"/>
    <col min="11" max="11" width="26.44140625" style="73" bestFit="1" customWidth="1"/>
    <col min="12" max="12" width="25.33203125" style="73" customWidth="1"/>
    <col min="13" max="13" width="25" style="73" customWidth="1"/>
    <col min="14" max="14" width="29.33203125" style="73" customWidth="1"/>
    <col min="15" max="15" width="3.33203125" style="73" hidden="1" customWidth="1"/>
    <col min="16" max="16" width="1.88671875" style="73" hidden="1" customWidth="1"/>
    <col min="17" max="17" width="11.109375" style="76" bestFit="1" customWidth="1"/>
    <col min="18" max="18" width="8.44140625" style="76" hidden="1" customWidth="1"/>
    <col min="19" max="19" width="16.44140625" style="73" hidden="1" customWidth="1"/>
    <col min="20" max="20" width="26.6640625" style="73" bestFit="1" customWidth="1"/>
    <col min="21" max="21" width="24.6640625" style="73" hidden="1" customWidth="1"/>
    <col min="22" max="22" width="9.6640625" style="73" hidden="1" customWidth="1"/>
    <col min="23" max="23" width="16.109375" style="73" hidden="1" customWidth="1"/>
    <col min="24" max="24" width="27.109375" style="73" bestFit="1" customWidth="1"/>
    <col min="25" max="25" width="26.6640625" style="73" hidden="1" customWidth="1"/>
    <col min="26" max="26" width="14.6640625" style="73" hidden="1" customWidth="1"/>
    <col min="27" max="27" width="24.6640625" style="73" hidden="1" customWidth="1"/>
    <col min="28" max="28" width="38.109375" style="73" hidden="1" customWidth="1"/>
    <col min="29" max="29" width="14.109375" style="73" hidden="1" customWidth="1"/>
    <col min="30" max="30" width="7.6640625" style="73" hidden="1" customWidth="1"/>
    <col min="31" max="31" width="6.88671875" style="73" hidden="1" customWidth="1"/>
    <col min="32" max="32" width="1.33203125" style="73" hidden="1" customWidth="1"/>
    <col min="33" max="33" width="14" style="73" hidden="1" customWidth="1"/>
    <col min="34" max="34" width="11.6640625" style="73" hidden="1" customWidth="1"/>
    <col min="35" max="35" width="6.33203125" style="73" hidden="1" customWidth="1"/>
    <col min="36" max="36" width="12.6640625" style="73" hidden="1" customWidth="1"/>
    <col min="37" max="37" width="27.88671875" style="73" customWidth="1"/>
    <col min="38" max="38" width="29.33203125" style="432" customWidth="1"/>
    <col min="39" max="39" width="23.5546875" style="416" bestFit="1" customWidth="1"/>
    <col min="40" max="40" width="21.33203125" style="73" customWidth="1"/>
    <col min="41" max="16384" width="8.88671875" style="73"/>
  </cols>
  <sheetData>
    <row r="1" spans="1:38" ht="49.5" customHeight="1" x14ac:dyDescent="0.45">
      <c r="B1" s="74"/>
      <c r="C1" s="75"/>
      <c r="D1" s="75"/>
      <c r="F1" s="1010" t="s">
        <v>108</v>
      </c>
      <c r="G1" s="1010"/>
    </row>
    <row r="2" spans="1:38" ht="24.75" customHeight="1" x14ac:dyDescent="0.45">
      <c r="B2" s="76"/>
      <c r="D2" s="75"/>
      <c r="F2" s="1011" t="s">
        <v>0</v>
      </c>
      <c r="G2" s="1011"/>
    </row>
    <row r="3" spans="1:38" x14ac:dyDescent="0.45">
      <c r="B3" s="77"/>
      <c r="F3" s="78"/>
      <c r="G3" s="78"/>
    </row>
    <row r="4" spans="1:38" x14ac:dyDescent="0.45">
      <c r="F4" s="79" t="s">
        <v>245</v>
      </c>
      <c r="G4" s="80"/>
    </row>
    <row r="5" spans="1:38" x14ac:dyDescent="0.45">
      <c r="F5" s="81" t="s">
        <v>246</v>
      </c>
      <c r="G5" s="80"/>
    </row>
    <row r="6" spans="1:38" x14ac:dyDescent="0.45">
      <c r="D6" s="73" t="s">
        <v>106</v>
      </c>
      <c r="F6" s="81" t="s">
        <v>247</v>
      </c>
      <c r="G6" s="82"/>
    </row>
    <row r="7" spans="1:38" ht="21.75" customHeight="1" x14ac:dyDescent="0.45">
      <c r="F7" s="81" t="s">
        <v>248</v>
      </c>
      <c r="G7" s="82"/>
      <c r="J7" s="73" t="s">
        <v>107</v>
      </c>
    </row>
    <row r="8" spans="1:38" x14ac:dyDescent="0.45">
      <c r="F8" s="81" t="s">
        <v>249</v>
      </c>
      <c r="G8" s="83"/>
    </row>
    <row r="9" spans="1:38" x14ac:dyDescent="0.45">
      <c r="F9" s="81" t="s">
        <v>250</v>
      </c>
      <c r="G9" s="82"/>
      <c r="J9" s="73" t="s">
        <v>106</v>
      </c>
    </row>
    <row r="10" spans="1:38" ht="27" customHeight="1" x14ac:dyDescent="0.45">
      <c r="F10" s="81" t="s">
        <v>251</v>
      </c>
      <c r="G10" s="82"/>
    </row>
    <row r="11" spans="1:38" x14ac:dyDescent="0.45">
      <c r="F11" s="84" t="s">
        <v>252</v>
      </c>
      <c r="G11" s="82"/>
    </row>
    <row r="12" spans="1:38" ht="70.8" hidden="1" thickBot="1" x14ac:dyDescent="0.5">
      <c r="B12" s="85"/>
      <c r="M12" s="86"/>
      <c r="Q12" s="1012" t="s">
        <v>1</v>
      </c>
      <c r="R12" s="1013"/>
      <c r="S12" s="1013"/>
      <c r="T12" s="1014"/>
      <c r="U12" s="1015" t="s">
        <v>2</v>
      </c>
      <c r="V12" s="1016"/>
      <c r="W12" s="1016"/>
      <c r="X12" s="1017"/>
      <c r="Y12" s="87" t="s">
        <v>56</v>
      </c>
      <c r="Z12" s="88">
        <f>(1/(1-M14))-1</f>
        <v>0.24269914253759173</v>
      </c>
      <c r="AC12" s="1018" t="s">
        <v>3</v>
      </c>
      <c r="AD12" s="1019"/>
      <c r="AE12" s="1020"/>
      <c r="AG12" s="1021" t="s">
        <v>58</v>
      </c>
      <c r="AH12" s="1022"/>
      <c r="AJ12" s="89" t="s">
        <v>60</v>
      </c>
      <c r="AK12" s="1008" t="s">
        <v>59</v>
      </c>
      <c r="AL12" s="1009"/>
    </row>
    <row r="13" spans="1:38" ht="24" thickBot="1" x14ac:dyDescent="0.5">
      <c r="A13" s="90" t="s">
        <v>4</v>
      </c>
      <c r="B13" s="91" t="s">
        <v>5</v>
      </c>
      <c r="C13" s="90" t="s">
        <v>6</v>
      </c>
      <c r="D13" s="90" t="s">
        <v>7</v>
      </c>
      <c r="E13" s="90" t="s">
        <v>8</v>
      </c>
      <c r="M13" s="92">
        <v>0.80469999999999997</v>
      </c>
    </row>
    <row r="14" spans="1:38" ht="39.9" customHeight="1" thickBot="1" x14ac:dyDescent="0.5">
      <c r="A14" s="93">
        <v>0</v>
      </c>
      <c r="B14" s="94"/>
      <c r="C14" s="95"/>
      <c r="D14" s="96"/>
      <c r="E14" s="96"/>
      <c r="F14" s="97" t="s">
        <v>84</v>
      </c>
      <c r="G14" s="98" t="s">
        <v>85</v>
      </c>
      <c r="H14" s="99" t="s">
        <v>86</v>
      </c>
      <c r="I14" s="99" t="s">
        <v>87</v>
      </c>
      <c r="J14" s="100" t="s">
        <v>88</v>
      </c>
      <c r="K14" s="101" t="s">
        <v>9</v>
      </c>
      <c r="L14" s="102">
        <v>0.08</v>
      </c>
      <c r="M14" s="103">
        <f>1-M13</f>
        <v>0.19530000000000003</v>
      </c>
      <c r="N14" s="104" t="s">
        <v>82</v>
      </c>
      <c r="Q14" s="105" t="s">
        <v>89</v>
      </c>
      <c r="R14" s="106" t="s">
        <v>90</v>
      </c>
      <c r="S14" s="107" t="s">
        <v>91</v>
      </c>
      <c r="T14" s="108" t="s">
        <v>92</v>
      </c>
      <c r="U14" s="109" t="s">
        <v>93</v>
      </c>
      <c r="V14" s="110" t="s">
        <v>94</v>
      </c>
      <c r="W14" s="111" t="s">
        <v>95</v>
      </c>
      <c r="X14" s="111" t="s">
        <v>96</v>
      </c>
      <c r="Y14" s="112" t="s">
        <v>97</v>
      </c>
      <c r="Z14" s="113" t="s">
        <v>98</v>
      </c>
      <c r="AA14" s="114" t="s">
        <v>83</v>
      </c>
      <c r="AC14" s="115" t="s">
        <v>99</v>
      </c>
      <c r="AD14" s="116" t="s">
        <v>100</v>
      </c>
      <c r="AE14" s="116" t="s">
        <v>33</v>
      </c>
      <c r="AG14" s="117" t="s">
        <v>101</v>
      </c>
      <c r="AH14" s="118" t="s">
        <v>102</v>
      </c>
      <c r="AK14" s="119" t="s">
        <v>103</v>
      </c>
      <c r="AL14" s="433" t="s">
        <v>104</v>
      </c>
    </row>
    <row r="15" spans="1:38" ht="39.9" customHeight="1" thickBot="1" x14ac:dyDescent="0.5">
      <c r="A15" s="96">
        <v>1</v>
      </c>
      <c r="B15" s="120">
        <v>1</v>
      </c>
      <c r="C15" s="121" t="s">
        <v>109</v>
      </c>
      <c r="D15" s="96"/>
      <c r="E15" s="365"/>
      <c r="F15" s="1070" t="s">
        <v>135</v>
      </c>
      <c r="G15" s="1024"/>
      <c r="H15" s="1024"/>
      <c r="I15" s="1024"/>
      <c r="J15" s="1024"/>
      <c r="K15" s="1024"/>
      <c r="L15" s="1024"/>
      <c r="M15" s="1024"/>
      <c r="N15" s="1024"/>
      <c r="Q15" s="1035" t="str">
        <f>IF(F15&lt;&gt;"",F15,"")</f>
        <v>ATIVAÇÕES</v>
      </c>
      <c r="R15" s="1035"/>
      <c r="S15" s="1035"/>
      <c r="T15" s="1035"/>
      <c r="U15" s="1035"/>
      <c r="V15" s="1035"/>
      <c r="W15" s="1035"/>
      <c r="X15" s="1035"/>
      <c r="Y15" s="1035"/>
      <c r="AK15" s="122"/>
      <c r="AL15" s="434"/>
    </row>
    <row r="16" spans="1:38" ht="39.9" customHeight="1" x14ac:dyDescent="0.45">
      <c r="A16" s="96">
        <v>2</v>
      </c>
      <c r="B16" s="120" t="s">
        <v>111</v>
      </c>
      <c r="C16" s="121" t="s">
        <v>110</v>
      </c>
      <c r="D16" s="96"/>
      <c r="E16" s="96"/>
      <c r="F16" s="1026" t="s">
        <v>152</v>
      </c>
      <c r="G16" s="1027"/>
      <c r="H16" s="1027"/>
      <c r="I16" s="1027"/>
      <c r="J16" s="1027"/>
      <c r="K16" s="1028"/>
      <c r="L16" s="124" t="s">
        <v>112</v>
      </c>
      <c r="M16" s="125" t="s">
        <v>113</v>
      </c>
      <c r="N16" s="366" t="s">
        <v>82</v>
      </c>
      <c r="Q16" s="1026" t="str">
        <f>IF(F16&lt;&gt;"",F16,"")</f>
        <v>PARMALAT FIT</v>
      </c>
      <c r="R16" s="1027"/>
      <c r="S16" s="1027"/>
      <c r="T16" s="1027"/>
      <c r="U16" s="1027"/>
      <c r="V16" s="1027"/>
      <c r="W16" s="1027"/>
      <c r="X16" s="1027"/>
      <c r="Y16" s="1071"/>
      <c r="Z16" s="127" t="s">
        <v>114</v>
      </c>
      <c r="AA16" s="128" t="s">
        <v>83</v>
      </c>
      <c r="AK16" s="123"/>
      <c r="AL16" s="435"/>
    </row>
    <row r="17" spans="1:39" ht="129.9" customHeight="1" x14ac:dyDescent="0.45">
      <c r="A17" s="96">
        <v>3</v>
      </c>
      <c r="B17" s="120" t="s">
        <v>116</v>
      </c>
      <c r="C17" s="121" t="s">
        <v>115</v>
      </c>
      <c r="D17" s="96" t="s">
        <v>127</v>
      </c>
      <c r="E17" s="96" t="s">
        <v>117</v>
      </c>
      <c r="F17" s="367" t="s">
        <v>140</v>
      </c>
      <c r="G17" s="368" t="s">
        <v>180</v>
      </c>
      <c r="H17" s="131">
        <v>1</v>
      </c>
      <c r="I17" s="131">
        <v>0</v>
      </c>
      <c r="J17" s="132">
        <v>5280</v>
      </c>
      <c r="K17" s="132">
        <f>IF(F17&lt;&gt;"",H17*I17*J17,"")</f>
        <v>0</v>
      </c>
      <c r="L17" s="132">
        <f>IF(K17&lt;&gt;"",IF(D17="INTERNO",0,K17*$L$14),"")</f>
        <v>0</v>
      </c>
      <c r="M17" s="132">
        <f>IF(K17&lt;&gt;"",IF(E17="FAT.OGGI",SUM(K17:L17)*(1/(1-$M$14)-1),L17*(1/(1-$M$14)-1)),0)</f>
        <v>0</v>
      </c>
      <c r="N17" s="133">
        <f>SUM(K17:M17)</f>
        <v>0</v>
      </c>
      <c r="Q17" s="134">
        <f t="shared" ref="Q17:R21" si="0">IF(H17&lt;&gt;"",H17,"")</f>
        <v>1</v>
      </c>
      <c r="R17" s="135">
        <v>1</v>
      </c>
      <c r="S17" s="162">
        <v>4500</v>
      </c>
      <c r="T17" s="162">
        <v>0</v>
      </c>
      <c r="U17" s="137">
        <f>IF(Q17&lt;&gt;"",K17-T17,"")</f>
        <v>0</v>
      </c>
      <c r="V17" s="138">
        <f>IF(Q17&lt;&gt;"",0%,"")</f>
        <v>0</v>
      </c>
      <c r="W17" s="139">
        <f>IF(Q17&lt;&gt;"",V17*U17,"")</f>
        <v>0</v>
      </c>
      <c r="X17" s="139">
        <f>IF(Q17&lt;&gt;"",W17+T17,"")</f>
        <v>0</v>
      </c>
      <c r="Y17" s="140">
        <f t="shared" ref="Y17:Y22" si="1">IF(Q17&lt;&gt;"",X17+M17,"")</f>
        <v>0</v>
      </c>
      <c r="Z17" s="141">
        <f>IF(Q17&lt;&gt;"", IFERROR(U17/K17, 0), 0)</f>
        <v>0</v>
      </c>
      <c r="AA17" s="142">
        <f>IFERROR(T17/$T$22, "")</f>
        <v>0</v>
      </c>
      <c r="AK17" s="143">
        <f>X17-AL17</f>
        <v>0</v>
      </c>
      <c r="AL17" s="436"/>
    </row>
    <row r="18" spans="1:39" ht="129.9" customHeight="1" x14ac:dyDescent="0.45">
      <c r="A18" s="96">
        <v>4</v>
      </c>
      <c r="B18" s="120" t="s">
        <v>105</v>
      </c>
      <c r="C18" s="121" t="s">
        <v>115</v>
      </c>
      <c r="D18" s="96" t="s">
        <v>127</v>
      </c>
      <c r="E18" s="96" t="s">
        <v>117</v>
      </c>
      <c r="F18" s="129" t="s">
        <v>153</v>
      </c>
      <c r="G18" s="130" t="s">
        <v>154</v>
      </c>
      <c r="H18" s="131">
        <v>1</v>
      </c>
      <c r="I18" s="131">
        <v>1</v>
      </c>
      <c r="J18" s="132">
        <v>9000</v>
      </c>
      <c r="K18" s="132">
        <f>IF(F18&lt;&gt;"",H18*I18*J18,"")</f>
        <v>9000</v>
      </c>
      <c r="L18" s="132">
        <f>IF(K18&lt;&gt;"",IF(D18="INTERNO",0,K18*$L$14),"")</f>
        <v>720</v>
      </c>
      <c r="M18" s="132">
        <f>IF(K18&lt;&gt;"",IF(E18="FAT.OGGI",SUM(K18:L18)*(1/(1-$M$14)-1),L18*(1/(1-$M$14)-1)),0)</f>
        <v>2359.0356654653915</v>
      </c>
      <c r="N18" s="133">
        <f>SUM(K18:M18)</f>
        <v>12079.035665465392</v>
      </c>
      <c r="Q18" s="134">
        <f t="shared" si="0"/>
        <v>1</v>
      </c>
      <c r="R18" s="135">
        <f t="shared" si="0"/>
        <v>1</v>
      </c>
      <c r="S18" s="162">
        <v>8860</v>
      </c>
      <c r="T18" s="162">
        <f>IF(Q18&lt;&gt;"",Q18*R18*S18,"")</f>
        <v>8860</v>
      </c>
      <c r="U18" s="137">
        <f>IF(Q18&lt;&gt;"",K18-T18,"")</f>
        <v>140</v>
      </c>
      <c r="V18" s="138">
        <f>IF(Q18&lt;&gt;"",0%,"")</f>
        <v>0</v>
      </c>
      <c r="W18" s="139">
        <f>IF(Q18&lt;&gt;"",V18*U18,"")</f>
        <v>0</v>
      </c>
      <c r="X18" s="139">
        <f>IF(Q18&lt;&gt;"",W18+T18,"")</f>
        <v>8860</v>
      </c>
      <c r="Y18" s="140">
        <f t="shared" si="1"/>
        <v>11219.035665465392</v>
      </c>
      <c r="Z18" s="141">
        <f>IF(Q18&lt;&gt;"", IFERROR(U18/K18, 0), 0)</f>
        <v>1.5555555555555555E-2</v>
      </c>
      <c r="AA18" s="142">
        <f>IFERROR(T18/$T$22, "")</f>
        <v>0.60027100271002709</v>
      </c>
      <c r="AK18" s="143">
        <f t="shared" ref="AK18:AK21" si="2">X18-AL18</f>
        <v>0</v>
      </c>
      <c r="AL18" s="436">
        <v>8860</v>
      </c>
      <c r="AM18" s="416" t="s">
        <v>303</v>
      </c>
    </row>
    <row r="19" spans="1:39" ht="129.9" customHeight="1" x14ac:dyDescent="0.45">
      <c r="A19" s="96">
        <v>5</v>
      </c>
      <c r="B19" s="120" t="s">
        <v>175</v>
      </c>
      <c r="C19" s="121" t="s">
        <v>115</v>
      </c>
      <c r="D19" s="96" t="s">
        <v>127</v>
      </c>
      <c r="E19" s="96" t="s">
        <v>117</v>
      </c>
      <c r="F19" s="129" t="s">
        <v>132</v>
      </c>
      <c r="G19" s="130" t="s">
        <v>145</v>
      </c>
      <c r="H19" s="131">
        <v>1</v>
      </c>
      <c r="I19" s="131">
        <v>2</v>
      </c>
      <c r="J19" s="132">
        <v>750</v>
      </c>
      <c r="K19" s="132">
        <f>IF(F19&lt;&gt;"",H19*I19*J19,"")</f>
        <v>1500</v>
      </c>
      <c r="L19" s="132">
        <f>IF(K19&lt;&gt;"",IF(D19="INTERNO",0,K19*$L$14),"")</f>
        <v>120</v>
      </c>
      <c r="M19" s="132">
        <f>IF(K19&lt;&gt;"",IF(E19="FAT.OGGI",SUM(K19:L19)*(1/(1-$M$14)-1),L19*(1/(1-$M$14)-1)),0)</f>
        <v>393.17261091089858</v>
      </c>
      <c r="N19" s="133">
        <f>SUM(K19:M19)</f>
        <v>2013.1726109108986</v>
      </c>
      <c r="Q19" s="134">
        <v>1</v>
      </c>
      <c r="R19" s="135">
        <v>0</v>
      </c>
      <c r="S19" s="136">
        <v>500</v>
      </c>
      <c r="T19" s="136">
        <v>5900</v>
      </c>
      <c r="U19" s="137">
        <f>IF(Q19&lt;&gt;"",K19-T19,"")</f>
        <v>-4400</v>
      </c>
      <c r="V19" s="138">
        <f>IF(Q19&lt;&gt;"",0%,"")</f>
        <v>0</v>
      </c>
      <c r="W19" s="139">
        <f>IF(Q19&lt;&gt;"",V19*U19,"")</f>
        <v>0</v>
      </c>
      <c r="X19" s="139">
        <f>IF(Q19&lt;&gt;"",W19+T19,"")</f>
        <v>5900</v>
      </c>
      <c r="Y19" s="140">
        <f t="shared" si="1"/>
        <v>6293.1726109108986</v>
      </c>
      <c r="Z19" s="141">
        <f>IF(Q19&lt;&gt;"", IFERROR(U19/K19, 0), 0)</f>
        <v>-2.9333333333333331</v>
      </c>
      <c r="AA19" s="142">
        <f>IFERROR(T19/$T$22, "")</f>
        <v>0.39972899728997291</v>
      </c>
      <c r="AK19" s="143">
        <f t="shared" si="2"/>
        <v>0</v>
      </c>
      <c r="AL19" s="436">
        <v>5900</v>
      </c>
      <c r="AM19" s="416" t="s">
        <v>292</v>
      </c>
    </row>
    <row r="20" spans="1:39" ht="129.9" customHeight="1" x14ac:dyDescent="0.45">
      <c r="A20" s="96">
        <v>6</v>
      </c>
      <c r="B20" s="120" t="s">
        <v>179</v>
      </c>
      <c r="C20" s="121" t="s">
        <v>115</v>
      </c>
      <c r="D20" s="96" t="s">
        <v>127</v>
      </c>
      <c r="E20" s="96" t="s">
        <v>117</v>
      </c>
      <c r="F20" s="367" t="s">
        <v>146</v>
      </c>
      <c r="G20" s="369" t="s">
        <v>147</v>
      </c>
      <c r="H20" s="131">
        <v>1</v>
      </c>
      <c r="I20" s="131">
        <v>2</v>
      </c>
      <c r="J20" s="132">
        <v>75</v>
      </c>
      <c r="K20" s="132">
        <f>IF(F20&lt;&gt;"",H20*I20*J20,"")</f>
        <v>150</v>
      </c>
      <c r="L20" s="132">
        <f>IF(K20&lt;&gt;"",IF(D20="INTERNO",0,K20*$L$14),"")</f>
        <v>12</v>
      </c>
      <c r="M20" s="132">
        <f>IF(K20&lt;&gt;"",IF(E20="FAT.OGGI",SUM(K20:L20)*(1/(1-$M$14)-1),L20*(1/(1-$M$14)-1)),0)</f>
        <v>39.317261091089861</v>
      </c>
      <c r="N20" s="133">
        <f>SUM(K20:M20)</f>
        <v>201.31726109108985</v>
      </c>
      <c r="Q20" s="134">
        <f t="shared" si="0"/>
        <v>1</v>
      </c>
      <c r="R20" s="135">
        <v>0</v>
      </c>
      <c r="S20" s="136">
        <v>60</v>
      </c>
      <c r="T20" s="136">
        <f>IF(Q20&lt;&gt;"",Q20*R20*S20,"")</f>
        <v>0</v>
      </c>
      <c r="U20" s="137">
        <f>IF(Q20&lt;&gt;"",K20-T20,"")</f>
        <v>150</v>
      </c>
      <c r="V20" s="138">
        <f>IF(Q20&lt;&gt;"",0%,"")</f>
        <v>0</v>
      </c>
      <c r="W20" s="139">
        <f>IF(Q20&lt;&gt;"",V20*U20,"")</f>
        <v>0</v>
      </c>
      <c r="X20" s="139">
        <f>IF(Q20&lt;&gt;"",W20+T20,"")</f>
        <v>0</v>
      </c>
      <c r="Y20" s="140">
        <f t="shared" si="1"/>
        <v>39.317261091089861</v>
      </c>
      <c r="Z20" s="141">
        <f>IF(Q20&lt;&gt;"", IFERROR(U20/K20, 0), 0)</f>
        <v>1</v>
      </c>
      <c r="AA20" s="142">
        <f>IFERROR(T20/$T$22, "")</f>
        <v>0</v>
      </c>
      <c r="AK20" s="143">
        <f t="shared" si="2"/>
        <v>0</v>
      </c>
      <c r="AL20" s="436"/>
    </row>
    <row r="21" spans="1:39" ht="129.9" customHeight="1" thickBot="1" x14ac:dyDescent="0.5">
      <c r="A21" s="96">
        <v>7</v>
      </c>
      <c r="B21" s="120" t="s">
        <v>181</v>
      </c>
      <c r="C21" s="121" t="s">
        <v>115</v>
      </c>
      <c r="D21" s="96" t="s">
        <v>127</v>
      </c>
      <c r="E21" s="96" t="s">
        <v>117</v>
      </c>
      <c r="F21" s="129" t="s">
        <v>174</v>
      </c>
      <c r="G21" s="130" t="s">
        <v>182</v>
      </c>
      <c r="H21" s="144">
        <v>1</v>
      </c>
      <c r="I21" s="144">
        <v>1</v>
      </c>
      <c r="J21" s="145">
        <v>3500</v>
      </c>
      <c r="K21" s="145">
        <f>IF(F21&lt;&gt;"",H21*I21*J21,"")</f>
        <v>3500</v>
      </c>
      <c r="L21" s="145">
        <f>IF(K21&lt;&gt;"",IF(D21="INTERNO",0,K21*$L$14),"")</f>
        <v>280</v>
      </c>
      <c r="M21" s="145">
        <f>IF(K21&lt;&gt;"",IF(E21="FAT.OGGI",SUM(K21:L21)*(1/(1-$M$14)-1),L21*(1/(1-$M$14)-1)),0)</f>
        <v>917.40275879209673</v>
      </c>
      <c r="N21" s="146">
        <f>SUM(K21:M21)</f>
        <v>4697.4027587920964</v>
      </c>
      <c r="Q21" s="147">
        <f t="shared" si="0"/>
        <v>1</v>
      </c>
      <c r="R21" s="148">
        <f t="shared" si="0"/>
        <v>1</v>
      </c>
      <c r="S21" s="370">
        <v>3500</v>
      </c>
      <c r="T21" s="370">
        <v>0</v>
      </c>
      <c r="U21" s="150">
        <f>IF(Q21&lt;&gt;"",K21-T21,"")</f>
        <v>3500</v>
      </c>
      <c r="V21" s="151">
        <f>IF(Q21&lt;&gt;"",0%,"")</f>
        <v>0</v>
      </c>
      <c r="W21" s="152">
        <f>IF(Q21&lt;&gt;"",V21*U21,"")</f>
        <v>0</v>
      </c>
      <c r="X21" s="152">
        <f>IF(Q21&lt;&gt;"",W21+T21,"")</f>
        <v>0</v>
      </c>
      <c r="Y21" s="153">
        <f t="shared" si="1"/>
        <v>917.40275879209673</v>
      </c>
      <c r="Z21" s="163">
        <f>IF(Q21&lt;&gt;"", IFERROR(U21/K21, 0), 0)</f>
        <v>1</v>
      </c>
      <c r="AA21" s="164">
        <f>IFERROR(T21/$T$22, "")</f>
        <v>0</v>
      </c>
      <c r="AK21" s="143">
        <f t="shared" si="2"/>
        <v>0</v>
      </c>
      <c r="AL21" s="436"/>
    </row>
    <row r="22" spans="1:39" ht="39.9" customHeight="1" thickBot="1" x14ac:dyDescent="0.5">
      <c r="A22" s="96">
        <v>8</v>
      </c>
      <c r="B22" s="120"/>
      <c r="C22" s="121" t="s">
        <v>123</v>
      </c>
      <c r="D22" s="96"/>
      <c r="E22" s="96"/>
      <c r="F22" s="1032" t="s">
        <v>155</v>
      </c>
      <c r="G22" s="1033"/>
      <c r="H22" s="1033"/>
      <c r="I22" s="1033"/>
      <c r="J22" s="1033"/>
      <c r="K22" s="155">
        <f>SUM(K17:K21)</f>
        <v>14150</v>
      </c>
      <c r="L22" s="155">
        <f>SUM(L17:L21)</f>
        <v>1132</v>
      </c>
      <c r="M22" s="155">
        <f>SUM(M17:M21)</f>
        <v>3708.9282962594766</v>
      </c>
      <c r="N22" s="165">
        <f>SUM(N17:N21)</f>
        <v>18990.928296259477</v>
      </c>
      <c r="Q22" s="1032" t="s">
        <v>155</v>
      </c>
      <c r="R22" s="1033"/>
      <c r="S22" s="1033"/>
      <c r="T22" s="166">
        <f>SUM(T17:T21)</f>
        <v>14760</v>
      </c>
      <c r="U22" s="167">
        <f>SUM(U17:U21)</f>
        <v>-610</v>
      </c>
      <c r="V22" s="168"/>
      <c r="W22" s="168"/>
      <c r="X22" s="169">
        <f>SUM(X17:X21)</f>
        <v>14760</v>
      </c>
      <c r="Y22" s="371">
        <f t="shared" si="1"/>
        <v>18468.928296259477</v>
      </c>
      <c r="Z22" s="372" t="s">
        <v>170</v>
      </c>
      <c r="AA22" s="373" t="s">
        <v>171</v>
      </c>
      <c r="AK22" s="143"/>
      <c r="AL22" s="436"/>
    </row>
    <row r="23" spans="1:39" ht="39.9" customHeight="1" thickBot="1" x14ac:dyDescent="0.5">
      <c r="A23" s="374">
        <v>9</v>
      </c>
      <c r="C23" s="173" t="s">
        <v>168</v>
      </c>
      <c r="D23" s="173"/>
      <c r="E23" s="173"/>
      <c r="F23" s="176" t="s">
        <v>169</v>
      </c>
      <c r="G23" s="177"/>
      <c r="H23" s="375"/>
      <c r="I23" s="375"/>
      <c r="J23" s="177"/>
      <c r="K23" s="178">
        <f>SUM(K17:K21)</f>
        <v>14150</v>
      </c>
      <c r="L23" s="178">
        <f>SUM(L17:L21)</f>
        <v>1132</v>
      </c>
      <c r="M23" s="178">
        <f>SUM(M17:M21)</f>
        <v>3708.9282962594766</v>
      </c>
      <c r="N23" s="179">
        <f>SUM(N17:N21)</f>
        <v>18990.928296259477</v>
      </c>
      <c r="Q23" s="376" t="s">
        <v>43</v>
      </c>
      <c r="R23" s="375"/>
      <c r="S23" s="177"/>
      <c r="T23" s="178">
        <f>SUM(T17:T21)</f>
        <v>14760</v>
      </c>
      <c r="U23" s="178">
        <f>SUM(U17:U21)</f>
        <v>-610</v>
      </c>
      <c r="V23" s="177"/>
      <c r="W23" s="177"/>
      <c r="X23" s="178">
        <f>SUM(X17:X21)</f>
        <v>14760</v>
      </c>
      <c r="Y23" s="179">
        <f>SUM(Y17:Y21)</f>
        <v>18468.928296259477</v>
      </c>
      <c r="Z23" s="377">
        <f>IF(Q23&lt;&gt;"",(N23-Y23)/N23,"")</f>
        <v>2.7486808009422849E-2</v>
      </c>
      <c r="AA23" s="378">
        <f>IF(Z23&lt;&gt;"",(N23-Y23),"")</f>
        <v>522</v>
      </c>
      <c r="AK23" s="143">
        <f>SUM(AK17:AK22)</f>
        <v>0</v>
      </c>
      <c r="AL23" s="436">
        <f>SUM(AL17:AL22)</f>
        <v>14760</v>
      </c>
    </row>
    <row r="24" spans="1:39" x14ac:dyDescent="0.45">
      <c r="AL24" s="426"/>
      <c r="AM24" s="417" t="s">
        <v>280</v>
      </c>
    </row>
    <row r="25" spans="1:39" x14ac:dyDescent="0.45">
      <c r="AL25" s="426">
        <f>X23</f>
        <v>14760</v>
      </c>
      <c r="AM25" s="417" t="s">
        <v>281</v>
      </c>
    </row>
    <row r="26" spans="1:39" x14ac:dyDescent="0.45">
      <c r="AL26" s="426">
        <f>N23-X23</f>
        <v>4230.9282962594771</v>
      </c>
      <c r="AM26" s="418" t="s">
        <v>278</v>
      </c>
    </row>
    <row r="27" spans="1:39" x14ac:dyDescent="0.45">
      <c r="AL27" s="438">
        <f>AL26*100%/N23</f>
        <v>0.22278680800942291</v>
      </c>
      <c r="AM27" s="419"/>
    </row>
    <row r="28" spans="1:39" x14ac:dyDescent="0.45">
      <c r="T28" s="379"/>
    </row>
  </sheetData>
  <autoFilter ref="A1:AL14" xr:uid="{107B9E09-8154-459A-AE62-6A4242823A27}">
    <filterColumn colId="5" showButton="0"/>
  </autoFilter>
  <mergeCells count="13">
    <mergeCell ref="F22:J22"/>
    <mergeCell ref="Q22:S22"/>
    <mergeCell ref="AK12:AL12"/>
    <mergeCell ref="F15:N15"/>
    <mergeCell ref="Q15:Y15"/>
    <mergeCell ref="F16:K16"/>
    <mergeCell ref="Q16:Y16"/>
    <mergeCell ref="AG12:AH12"/>
    <mergeCell ref="F1:G1"/>
    <mergeCell ref="F2:G2"/>
    <mergeCell ref="Q12:T12"/>
    <mergeCell ref="U12:X12"/>
    <mergeCell ref="AC12:AE12"/>
  </mergeCells>
  <dataValidations count="3">
    <dataValidation type="list" allowBlank="1" showInputMessage="1" showErrorMessage="1" sqref="E17:E22" xr:uid="{902F2025-24FA-4FA8-A028-B78D316CC6FB}">
      <formula1>"FAT.OGGI,FAT.CLIENTE"</formula1>
    </dataValidation>
    <dataValidation type="list" allowBlank="1" showInputMessage="1" showErrorMessage="1" sqref="D17:D21 D23" xr:uid="{B396E866-E286-4BB9-893A-B4EE128B061C}">
      <formula1>"INTERNO,OPERACIONAL"</formula1>
    </dataValidation>
    <dataValidation type="list" allowBlank="1" showInputMessage="1" showErrorMessage="1" sqref="E23" xr:uid="{E721028D-D30B-4E84-AA40-6F2089A0E604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2899F-BD43-46AE-A8A6-1A5F9F3E0A04}">
  <sheetPr codeName="Planilha15">
    <pageSetUpPr autoPageBreaks="0"/>
  </sheetPr>
  <dimension ref="A1:AM25"/>
  <sheetViews>
    <sheetView showGridLines="0" topLeftCell="B1" zoomScale="50" zoomScaleNormal="50" workbookViewId="0">
      <pane ySplit="1" topLeftCell="A18" activePane="bottomLeft" state="frozen"/>
      <selection pane="bottomLeft" activeCell="T18" sqref="T18"/>
    </sheetView>
  </sheetViews>
  <sheetFormatPr defaultColWidth="8.88671875" defaultRowHeight="21" x14ac:dyDescent="0.4"/>
  <cols>
    <col min="1" max="1" width="3.33203125" style="187" hidden="1" customWidth="1"/>
    <col min="2" max="2" width="10.88671875" style="187" customWidth="1"/>
    <col min="3" max="3" width="11.5546875" style="187" hidden="1" customWidth="1"/>
    <col min="4" max="4" width="11.6640625" style="187" hidden="1" customWidth="1"/>
    <col min="5" max="5" width="14.88671875" style="187" hidden="1" customWidth="1"/>
    <col min="6" max="6" width="48.88671875" style="187" customWidth="1"/>
    <col min="7" max="7" width="37.88671875" style="187" customWidth="1"/>
    <col min="8" max="8" width="5" style="190" hidden="1" customWidth="1"/>
    <col min="9" max="9" width="7.6640625" style="190" hidden="1" customWidth="1"/>
    <col min="10" max="10" width="16.44140625" style="187" hidden="1" customWidth="1"/>
    <col min="11" max="11" width="24.6640625" style="187" customWidth="1"/>
    <col min="12" max="12" width="25.33203125" style="187" customWidth="1"/>
    <col min="13" max="13" width="25" style="187" customWidth="1"/>
    <col min="14" max="14" width="29.33203125" style="187" customWidth="1"/>
    <col min="15" max="15" width="3.33203125" style="187" hidden="1" customWidth="1"/>
    <col min="16" max="16" width="1.88671875" style="187" hidden="1" customWidth="1"/>
    <col min="17" max="17" width="8.5546875" style="190" customWidth="1"/>
    <col min="18" max="18" width="8.5546875" style="190" hidden="1" customWidth="1"/>
    <col min="19" max="19" width="16.44140625" style="187" hidden="1" customWidth="1"/>
    <col min="20" max="20" width="26.6640625" style="187" bestFit="1" customWidth="1"/>
    <col min="21" max="21" width="24.6640625" style="187" hidden="1" customWidth="1"/>
    <col min="22" max="22" width="9.6640625" style="187" hidden="1" customWidth="1"/>
    <col min="23" max="23" width="16.109375" style="187" hidden="1" customWidth="1"/>
    <col min="24" max="24" width="27.109375" style="187" bestFit="1" customWidth="1"/>
    <col min="25" max="25" width="26.6640625" style="187" hidden="1" customWidth="1"/>
    <col min="26" max="26" width="14.6640625" style="187" hidden="1" customWidth="1"/>
    <col min="27" max="27" width="24.6640625" style="187" hidden="1" customWidth="1"/>
    <col min="28" max="28" width="38.109375" style="187" hidden="1" customWidth="1"/>
    <col min="29" max="29" width="14.109375" style="187" hidden="1" customWidth="1"/>
    <col min="30" max="30" width="7.6640625" style="187" hidden="1" customWidth="1"/>
    <col min="31" max="31" width="6.88671875" style="187" hidden="1" customWidth="1"/>
    <col min="32" max="32" width="1.33203125" style="187" hidden="1" customWidth="1"/>
    <col min="33" max="33" width="14" style="187" hidden="1" customWidth="1"/>
    <col min="34" max="34" width="11.6640625" style="187" hidden="1" customWidth="1"/>
    <col min="35" max="35" width="6.33203125" style="187" hidden="1" customWidth="1"/>
    <col min="36" max="36" width="12.6640625" style="187" hidden="1" customWidth="1"/>
    <col min="37" max="37" width="23.109375" style="187" customWidth="1"/>
    <col min="38" max="38" width="25.88671875" style="426" customWidth="1"/>
    <col min="39" max="39" width="25.5546875" style="419" bestFit="1" customWidth="1"/>
    <col min="40" max="40" width="21.33203125" style="187" customWidth="1"/>
    <col min="41" max="16384" width="8.88671875" style="187"/>
  </cols>
  <sheetData>
    <row r="1" spans="1:38" ht="49.5" customHeight="1" x14ac:dyDescent="0.4">
      <c r="B1" s="188"/>
      <c r="C1" s="189"/>
      <c r="D1" s="189"/>
      <c r="F1" s="1037" t="s">
        <v>108</v>
      </c>
      <c r="G1" s="1037"/>
    </row>
    <row r="2" spans="1:38" ht="24.75" customHeight="1" x14ac:dyDescent="0.4">
      <c r="B2" s="190"/>
      <c r="D2" s="189"/>
      <c r="F2" s="1038" t="s">
        <v>0</v>
      </c>
      <c r="G2" s="1038"/>
    </row>
    <row r="3" spans="1:38" ht="22.2" x14ac:dyDescent="0.4">
      <c r="B3" s="191"/>
      <c r="F3" s="192"/>
      <c r="G3" s="192"/>
    </row>
    <row r="4" spans="1:38" ht="22.2" x14ac:dyDescent="0.4">
      <c r="F4" s="193" t="s">
        <v>253</v>
      </c>
      <c r="G4" s="194"/>
    </row>
    <row r="5" spans="1:38" ht="22.2" x14ac:dyDescent="0.4">
      <c r="F5" s="195" t="s">
        <v>254</v>
      </c>
      <c r="G5" s="194"/>
    </row>
    <row r="6" spans="1:38" ht="22.2" x14ac:dyDescent="0.4">
      <c r="D6" s="187" t="s">
        <v>106</v>
      </c>
      <c r="F6" s="195" t="s">
        <v>255</v>
      </c>
      <c r="G6" s="196"/>
    </row>
    <row r="7" spans="1:38" ht="21.75" customHeight="1" x14ac:dyDescent="0.4">
      <c r="F7" s="195" t="s">
        <v>256</v>
      </c>
      <c r="G7" s="196"/>
      <c r="J7" s="187" t="s">
        <v>107</v>
      </c>
    </row>
    <row r="8" spans="1:38" ht="22.2" x14ac:dyDescent="0.4">
      <c r="F8" s="195" t="s">
        <v>257</v>
      </c>
      <c r="G8" s="197"/>
    </row>
    <row r="9" spans="1:38" ht="22.2" x14ac:dyDescent="0.4">
      <c r="F9" s="195" t="s">
        <v>258</v>
      </c>
      <c r="G9" s="196"/>
      <c r="J9" s="187" t="s">
        <v>106</v>
      </c>
    </row>
    <row r="10" spans="1:38" ht="27" customHeight="1" x14ac:dyDescent="0.4">
      <c r="F10" s="195" t="s">
        <v>271</v>
      </c>
      <c r="G10" s="196"/>
    </row>
    <row r="11" spans="1:38" ht="22.2" x14ac:dyDescent="0.4">
      <c r="F11" s="198" t="s">
        <v>272</v>
      </c>
      <c r="G11" s="196"/>
    </row>
    <row r="12" spans="1:38" ht="67.2" hidden="1" thickBot="1" x14ac:dyDescent="0.45">
      <c r="B12" s="199"/>
      <c r="M12" s="200"/>
      <c r="Q12" s="1039" t="s">
        <v>1</v>
      </c>
      <c r="R12" s="1040"/>
      <c r="S12" s="1040"/>
      <c r="T12" s="1041"/>
      <c r="U12" s="1042" t="s">
        <v>2</v>
      </c>
      <c r="V12" s="1043"/>
      <c r="W12" s="1043"/>
      <c r="X12" s="1044"/>
      <c r="Y12" s="201" t="s">
        <v>56</v>
      </c>
      <c r="Z12" s="202">
        <f>(1/(1-M14))-1</f>
        <v>0.24269914253759173</v>
      </c>
      <c r="AC12" s="1045" t="s">
        <v>3</v>
      </c>
      <c r="AD12" s="1046"/>
      <c r="AE12" s="1047"/>
      <c r="AG12" s="1056" t="s">
        <v>58</v>
      </c>
      <c r="AH12" s="1057"/>
      <c r="AJ12" s="203" t="s">
        <v>60</v>
      </c>
      <c r="AK12" s="1054" t="s">
        <v>59</v>
      </c>
      <c r="AL12" s="1055"/>
    </row>
    <row r="13" spans="1:38" ht="22.8" thickBot="1" x14ac:dyDescent="0.5">
      <c r="A13" s="204" t="s">
        <v>4</v>
      </c>
      <c r="B13" s="205" t="s">
        <v>5</v>
      </c>
      <c r="C13" s="204" t="s">
        <v>6</v>
      </c>
      <c r="D13" s="204" t="s">
        <v>7</v>
      </c>
      <c r="E13" s="204" t="s">
        <v>8</v>
      </c>
      <c r="M13" s="206">
        <v>0.80469999999999997</v>
      </c>
    </row>
    <row r="14" spans="1:38" ht="39.9" customHeight="1" thickBot="1" x14ac:dyDescent="0.45">
      <c r="A14" s="207">
        <v>0</v>
      </c>
      <c r="B14" s="208"/>
      <c r="C14" s="209"/>
      <c r="D14" s="210"/>
      <c r="E14" s="210"/>
      <c r="F14" s="211" t="s">
        <v>84</v>
      </c>
      <c r="G14" s="212" t="s">
        <v>85</v>
      </c>
      <c r="H14" s="213" t="s">
        <v>86</v>
      </c>
      <c r="I14" s="213" t="s">
        <v>87</v>
      </c>
      <c r="J14" s="214" t="s">
        <v>88</v>
      </c>
      <c r="K14" s="215" t="s">
        <v>9</v>
      </c>
      <c r="L14" s="216">
        <v>0.08</v>
      </c>
      <c r="M14" s="217">
        <f>1-M13</f>
        <v>0.19530000000000003</v>
      </c>
      <c r="N14" s="218" t="s">
        <v>82</v>
      </c>
      <c r="Q14" s="219" t="s">
        <v>89</v>
      </c>
      <c r="R14" s="220" t="s">
        <v>90</v>
      </c>
      <c r="S14" s="221" t="s">
        <v>91</v>
      </c>
      <c r="T14" s="222" t="s">
        <v>92</v>
      </c>
      <c r="U14" s="223" t="s">
        <v>93</v>
      </c>
      <c r="V14" s="224" t="s">
        <v>94</v>
      </c>
      <c r="W14" s="225" t="s">
        <v>95</v>
      </c>
      <c r="X14" s="225" t="s">
        <v>96</v>
      </c>
      <c r="Y14" s="226" t="s">
        <v>97</v>
      </c>
      <c r="Z14" s="227" t="s">
        <v>98</v>
      </c>
      <c r="AA14" s="228" t="s">
        <v>83</v>
      </c>
      <c r="AC14" s="229" t="s">
        <v>99</v>
      </c>
      <c r="AD14" s="230" t="s">
        <v>100</v>
      </c>
      <c r="AE14" s="230" t="s">
        <v>33</v>
      </c>
      <c r="AG14" s="231" t="s">
        <v>101</v>
      </c>
      <c r="AH14" s="232" t="s">
        <v>102</v>
      </c>
      <c r="AK14" s="233" t="s">
        <v>103</v>
      </c>
      <c r="AL14" s="427" t="s">
        <v>104</v>
      </c>
    </row>
    <row r="15" spans="1:38" ht="39.9" customHeight="1" thickBot="1" x14ac:dyDescent="0.5">
      <c r="A15" s="210">
        <v>1</v>
      </c>
      <c r="B15" s="234">
        <v>1</v>
      </c>
      <c r="C15" s="235" t="s">
        <v>109</v>
      </c>
      <c r="D15" s="210"/>
      <c r="E15" s="210"/>
      <c r="F15" s="1048" t="s">
        <v>135</v>
      </c>
      <c r="G15" s="1049"/>
      <c r="H15" s="1049"/>
      <c r="I15" s="1049"/>
      <c r="J15" s="1049"/>
      <c r="K15" s="1049"/>
      <c r="L15" s="1049"/>
      <c r="M15" s="1049"/>
      <c r="N15" s="1050"/>
      <c r="Q15" s="1051" t="str">
        <f>IF(F15&lt;&gt;"",F15,"")</f>
        <v>ATIVAÇÕES</v>
      </c>
      <c r="R15" s="1052"/>
      <c r="S15" s="1052"/>
      <c r="T15" s="1052"/>
      <c r="U15" s="1052"/>
      <c r="V15" s="1052"/>
      <c r="W15" s="1052"/>
      <c r="X15" s="1052"/>
      <c r="Y15" s="1053"/>
      <c r="AK15" s="236"/>
      <c r="AL15" s="428"/>
    </row>
    <row r="16" spans="1:38" ht="39.9" customHeight="1" x14ac:dyDescent="0.45">
      <c r="A16" s="210">
        <v>2</v>
      </c>
      <c r="B16" s="234" t="s">
        <v>111</v>
      </c>
      <c r="C16" s="235" t="s">
        <v>110</v>
      </c>
      <c r="D16" s="210"/>
      <c r="E16" s="210"/>
      <c r="F16" s="1058" t="s">
        <v>148</v>
      </c>
      <c r="G16" s="1059"/>
      <c r="H16" s="1059"/>
      <c r="I16" s="1059"/>
      <c r="J16" s="1059"/>
      <c r="K16" s="1060"/>
      <c r="L16" s="238" t="s">
        <v>112</v>
      </c>
      <c r="M16" s="239" t="s">
        <v>113</v>
      </c>
      <c r="N16" s="240" t="s">
        <v>82</v>
      </c>
      <c r="Q16" s="1058" t="str">
        <f>IF(F16&lt;&gt;"",F16,"")</f>
        <v>COZINHA SHOW</v>
      </c>
      <c r="R16" s="1059"/>
      <c r="S16" s="1059"/>
      <c r="T16" s="1059"/>
      <c r="U16" s="1059"/>
      <c r="V16" s="1059"/>
      <c r="W16" s="1059"/>
      <c r="X16" s="1059"/>
      <c r="Y16" s="1061"/>
      <c r="Z16" s="241" t="s">
        <v>114</v>
      </c>
      <c r="AA16" s="242" t="s">
        <v>83</v>
      </c>
      <c r="AK16" s="237"/>
      <c r="AL16" s="429"/>
    </row>
    <row r="17" spans="1:39" ht="129.9" customHeight="1" x14ac:dyDescent="0.4">
      <c r="A17" s="210">
        <v>3</v>
      </c>
      <c r="B17" s="234" t="s">
        <v>116</v>
      </c>
      <c r="C17" s="235" t="s">
        <v>115</v>
      </c>
      <c r="D17" s="210" t="s">
        <v>127</v>
      </c>
      <c r="E17" s="340" t="s">
        <v>117</v>
      </c>
      <c r="F17" s="341" t="s">
        <v>149</v>
      </c>
      <c r="G17" s="342" t="s">
        <v>203</v>
      </c>
      <c r="H17" s="245">
        <v>1</v>
      </c>
      <c r="I17" s="245">
        <v>1</v>
      </c>
      <c r="J17" s="246">
        <v>4500</v>
      </c>
      <c r="K17" s="246">
        <f>IF(F17&lt;&gt;"",H17*I17*J17,"")</f>
        <v>4500</v>
      </c>
      <c r="L17" s="246">
        <f>IF(K17&lt;&gt;"",IF(D17="INTERNO",0,K17*$L$14),"")</f>
        <v>360</v>
      </c>
      <c r="M17" s="246">
        <f>IF(K17&lt;&gt;"",IF(E17="FAT.OGGI",SUM(K17:L17)*(1/(1-$M$14)-1),L17*(1/(1-$M$14)-1)),0)</f>
        <v>1179.5178327326958</v>
      </c>
      <c r="N17" s="247">
        <f>SUM(K17:M17)</f>
        <v>6039.5178327326958</v>
      </c>
      <c r="Q17" s="248">
        <f t="shared" ref="Q17:R19" si="0">IF(H17&lt;&gt;"",H17,"")</f>
        <v>1</v>
      </c>
      <c r="R17" s="249">
        <f t="shared" si="0"/>
        <v>1</v>
      </c>
      <c r="S17" s="281">
        <v>4500</v>
      </c>
      <c r="T17" s="281">
        <v>0</v>
      </c>
      <c r="U17" s="251">
        <f>IF(Q17&lt;&gt;"",K17-T17,"")</f>
        <v>4500</v>
      </c>
      <c r="V17" s="252">
        <f>IF(Q17&lt;&gt;"",0%,"")</f>
        <v>0</v>
      </c>
      <c r="W17" s="253">
        <f>IF(Q17&lt;&gt;"",V17*U17,"")</f>
        <v>0</v>
      </c>
      <c r="X17" s="253">
        <f>IF(Q17&lt;&gt;"",W17+T17,"")</f>
        <v>0</v>
      </c>
      <c r="Y17" s="254">
        <f>IF(Q17&lt;&gt;"",X17+M17,"")</f>
        <v>1179.5178327326958</v>
      </c>
      <c r="Z17" s="255">
        <f>IF(Q17&lt;&gt;"", IFERROR(U17/K17, 0), 0)</f>
        <v>1</v>
      </c>
      <c r="AA17" s="256">
        <f>IFERROR(T17/$T$20, "")</f>
        <v>0</v>
      </c>
      <c r="AK17" s="257">
        <f>X17-AL17</f>
        <v>0</v>
      </c>
      <c r="AL17" s="430"/>
    </row>
    <row r="18" spans="1:39" ht="129.9" customHeight="1" x14ac:dyDescent="0.4">
      <c r="A18" s="282">
        <v>4</v>
      </c>
      <c r="B18" s="343" t="s">
        <v>105</v>
      </c>
      <c r="C18" s="344" t="s">
        <v>115</v>
      </c>
      <c r="D18" s="345" t="s">
        <v>127</v>
      </c>
      <c r="E18" s="346" t="s">
        <v>117</v>
      </c>
      <c r="F18" s="347" t="s">
        <v>217</v>
      </c>
      <c r="G18" s="348" t="s">
        <v>218</v>
      </c>
      <c r="H18" s="349">
        <v>1</v>
      </c>
      <c r="I18" s="349">
        <v>1</v>
      </c>
      <c r="J18" s="350">
        <v>3278</v>
      </c>
      <c r="K18" s="351">
        <f>IF(F18&lt;&gt;"",H18*I18*J18,"")</f>
        <v>3278</v>
      </c>
      <c r="L18" s="259">
        <f>IF(K18&lt;&gt;"",IF(D18="INTERNO",0,K18*$L$14),"")</f>
        <v>262.24</v>
      </c>
      <c r="M18" s="259">
        <f>IF(K18&lt;&gt;"",IF(E18="FAT.OGGI",SUM(K18:L18)*(1/(1-$M$14)-1),L18*(1/(1-$M$14)-1)),0)</f>
        <v>859.21321237728364</v>
      </c>
      <c r="N18" s="260">
        <f>SUM(K18:M18)</f>
        <v>4399.4532123772833</v>
      </c>
      <c r="Q18" s="261">
        <f>IF(H18&lt;&gt;"",H18,"")</f>
        <v>1</v>
      </c>
      <c r="R18" s="262">
        <f>IF(I18&lt;&gt;"",I18,"")</f>
        <v>1</v>
      </c>
      <c r="S18" s="285">
        <v>2000</v>
      </c>
      <c r="T18" s="285">
        <f>IF(Q18&lt;&gt;"",Q18*R18*S18,"")</f>
        <v>2000</v>
      </c>
      <c r="U18" s="264">
        <f>IF(Q18&lt;&gt;"",K18-T18,"")</f>
        <v>1278</v>
      </c>
      <c r="V18" s="265">
        <f>IF(Q18&lt;&gt;"",0%,"")</f>
        <v>0</v>
      </c>
      <c r="W18" s="266">
        <f>IF(Q18&lt;&gt;"",V18*U18,"")</f>
        <v>0</v>
      </c>
      <c r="X18" s="266">
        <f>IF(Q18&lt;&gt;"",W18+T18,"")</f>
        <v>2000</v>
      </c>
      <c r="Y18" s="267">
        <f>IF(Q18&lt;&gt;"",X18+M18,"")</f>
        <v>2859.2132123772835</v>
      </c>
      <c r="Z18" s="255">
        <f>IF(Q18&lt;&gt;"", IFERROR(U18/K18, 0), 0)</f>
        <v>0.38987187309334959</v>
      </c>
      <c r="AA18" s="269"/>
      <c r="AK18" s="257">
        <f t="shared" ref="AK18:AK19" si="1">X18-AL18</f>
        <v>0</v>
      </c>
      <c r="AL18" s="430">
        <v>2000</v>
      </c>
      <c r="AM18" s="419" t="s">
        <v>307</v>
      </c>
    </row>
    <row r="19" spans="1:39" ht="129.9" customHeight="1" thickBot="1" x14ac:dyDescent="0.45">
      <c r="A19" s="287">
        <v>5</v>
      </c>
      <c r="B19" s="234" t="s">
        <v>175</v>
      </c>
      <c r="C19" s="288" t="s">
        <v>115</v>
      </c>
      <c r="D19" s="287" t="s">
        <v>127</v>
      </c>
      <c r="E19" s="352" t="s">
        <v>117</v>
      </c>
      <c r="F19" s="353" t="s">
        <v>150</v>
      </c>
      <c r="G19" s="354" t="s">
        <v>273</v>
      </c>
      <c r="H19" s="355">
        <v>1</v>
      </c>
      <c r="I19" s="355">
        <v>1</v>
      </c>
      <c r="J19" s="356">
        <v>0</v>
      </c>
      <c r="K19" s="356">
        <f>IF(F19&lt;&gt;"",H19*I19*J19,"")</f>
        <v>0</v>
      </c>
      <c r="L19" s="356">
        <f>IF(K19&lt;&gt;"",IF(D19="INTERNO",0,K19*$L$14),"")</f>
        <v>0</v>
      </c>
      <c r="M19" s="356">
        <f>IF(K19&lt;&gt;"",IF(E19="FAT.OGGI",SUM(K19:L19)*(1/(1-$M$14)-1),L19*(1/(1-$M$14)-1)),0)</f>
        <v>0</v>
      </c>
      <c r="N19" s="357">
        <f>SUM(K19:M19)</f>
        <v>0</v>
      </c>
      <c r="Q19" s="358">
        <f t="shared" si="0"/>
        <v>1</v>
      </c>
      <c r="R19" s="359">
        <f t="shared" si="0"/>
        <v>1</v>
      </c>
      <c r="S19" s="360">
        <v>0</v>
      </c>
      <c r="T19" s="360">
        <f>IF(Q19&lt;&gt;"",Q19*R19*S19,"")</f>
        <v>0</v>
      </c>
      <c r="U19" s="361">
        <f>IF(Q19&lt;&gt;"",K19-T19,"")</f>
        <v>0</v>
      </c>
      <c r="V19" s="362">
        <f>IF(Q19&lt;&gt;"",0%,"")</f>
        <v>0</v>
      </c>
      <c r="W19" s="363">
        <f>IF(Q19&lt;&gt;"",V19*U19,"")</f>
        <v>0</v>
      </c>
      <c r="X19" s="363">
        <f>IF(Q19&lt;&gt;"",W19+T19,"")</f>
        <v>0</v>
      </c>
      <c r="Y19" s="364">
        <f>IF(Q19&lt;&gt;"",X19+M19,"")</f>
        <v>0</v>
      </c>
      <c r="Z19" s="268">
        <f>IF(Q19&lt;&gt;"", IFERROR(U19/K19, 0), 0)</f>
        <v>0</v>
      </c>
      <c r="AA19" s="269">
        <f>IFERROR(T19/$T$20, "")</f>
        <v>0</v>
      </c>
      <c r="AK19" s="257">
        <f t="shared" si="1"/>
        <v>0</v>
      </c>
      <c r="AL19" s="430"/>
    </row>
    <row r="20" spans="1:39" ht="39.9" customHeight="1" thickBot="1" x14ac:dyDescent="0.5">
      <c r="A20" s="210">
        <v>6</v>
      </c>
      <c r="B20" s="234"/>
      <c r="C20" s="235" t="s">
        <v>123</v>
      </c>
      <c r="D20" s="210"/>
      <c r="E20" s="287"/>
      <c r="F20" s="1062" t="s">
        <v>151</v>
      </c>
      <c r="G20" s="1065"/>
      <c r="H20" s="1065"/>
      <c r="I20" s="1065"/>
      <c r="J20" s="1065"/>
      <c r="K20" s="270">
        <f>SUM(K17:K19)</f>
        <v>7778</v>
      </c>
      <c r="L20" s="270">
        <f>SUM(L17:L19)</f>
        <v>622.24</v>
      </c>
      <c r="M20" s="270">
        <f>SUM(M17:M19)</f>
        <v>2038.7310451099793</v>
      </c>
      <c r="N20" s="271">
        <f>SUM(N17:N19)</f>
        <v>10438.971045109978</v>
      </c>
      <c r="Q20" s="1064" t="s">
        <v>151</v>
      </c>
      <c r="R20" s="1065"/>
      <c r="S20" s="1065"/>
      <c r="T20" s="272">
        <f>SUM(T17:T19)</f>
        <v>2000</v>
      </c>
      <c r="U20" s="273">
        <f>SUM(U17:U19)</f>
        <v>5778</v>
      </c>
      <c r="V20" s="274"/>
      <c r="W20" s="274"/>
      <c r="X20" s="275">
        <f>SUM(X17:X19)</f>
        <v>2000</v>
      </c>
      <c r="Y20" s="276">
        <f>IF(Q20&lt;&gt;"",X20+M20,"")</f>
        <v>4038.7310451099793</v>
      </c>
      <c r="Z20" s="277" t="s">
        <v>170</v>
      </c>
      <c r="AA20" s="278" t="s">
        <v>171</v>
      </c>
      <c r="AK20" s="257"/>
      <c r="AL20" s="430"/>
    </row>
    <row r="21" spans="1:39" ht="39.9" customHeight="1" thickBot="1" x14ac:dyDescent="0.5">
      <c r="A21" s="210">
        <v>7</v>
      </c>
      <c r="B21" s="334"/>
      <c r="C21" s="235" t="s">
        <v>168</v>
      </c>
      <c r="D21" s="210"/>
      <c r="E21" s="210"/>
      <c r="F21" s="33" t="s">
        <v>169</v>
      </c>
      <c r="G21" s="34"/>
      <c r="H21" s="70"/>
      <c r="I21" s="70"/>
      <c r="J21" s="34"/>
      <c r="K21" s="35">
        <f>SUM(K17:K19)</f>
        <v>7778</v>
      </c>
      <c r="L21" s="35">
        <f>SUM(L17:L19)</f>
        <v>622.24</v>
      </c>
      <c r="M21" s="35">
        <f>SUM(M17:M19)</f>
        <v>2038.7310451099793</v>
      </c>
      <c r="N21" s="61">
        <f>SUM(N17:N19)</f>
        <v>10438.971045109978</v>
      </c>
      <c r="Q21" s="69" t="s">
        <v>43</v>
      </c>
      <c r="R21" s="70"/>
      <c r="S21" s="34"/>
      <c r="T21" s="35">
        <f>SUM(T17:T19)</f>
        <v>2000</v>
      </c>
      <c r="U21" s="35">
        <f>SUM(U17:U19)</f>
        <v>5778</v>
      </c>
      <c r="V21" s="34"/>
      <c r="W21" s="34"/>
      <c r="X21" s="35">
        <f>SUM(X17:X19)</f>
        <v>2000</v>
      </c>
      <c r="Y21" s="61">
        <f>SUM(Y17:Y19)</f>
        <v>4038.7310451099793</v>
      </c>
      <c r="Z21" s="277" t="s">
        <v>170</v>
      </c>
      <c r="AA21" s="336" t="s">
        <v>171</v>
      </c>
      <c r="AK21" s="257">
        <f>SUM(AK17:AK20)</f>
        <v>0</v>
      </c>
      <c r="AL21" s="430">
        <f>SUM(AL17:AL20)</f>
        <v>2000</v>
      </c>
    </row>
    <row r="22" spans="1:39" ht="22.2" x14ac:dyDescent="0.45">
      <c r="AM22" s="417" t="s">
        <v>280</v>
      </c>
    </row>
    <row r="23" spans="1:39" ht="22.2" x14ac:dyDescent="0.45">
      <c r="AL23" s="426">
        <f>X21</f>
        <v>2000</v>
      </c>
      <c r="AM23" s="417" t="s">
        <v>281</v>
      </c>
    </row>
    <row r="24" spans="1:39" ht="22.2" x14ac:dyDescent="0.45">
      <c r="AL24" s="426">
        <f>N21-X21</f>
        <v>8438.9710451099781</v>
      </c>
      <c r="AM24" s="418" t="s">
        <v>278</v>
      </c>
    </row>
    <row r="25" spans="1:39" x14ac:dyDescent="0.4">
      <c r="AL25" s="438">
        <f>AL24*100%/N21</f>
        <v>0.80841023589802197</v>
      </c>
    </row>
  </sheetData>
  <autoFilter ref="A1:AL14" xr:uid="{107B9E09-8154-459A-AE62-6A4242823A27}">
    <filterColumn colId="5" showButton="0"/>
  </autoFilter>
  <mergeCells count="13">
    <mergeCell ref="AK12:AL12"/>
    <mergeCell ref="F15:N15"/>
    <mergeCell ref="Q15:Y15"/>
    <mergeCell ref="F16:K16"/>
    <mergeCell ref="Q16:Y16"/>
    <mergeCell ref="U12:X12"/>
    <mergeCell ref="AC12:AE12"/>
    <mergeCell ref="AG12:AH12"/>
    <mergeCell ref="F20:J20"/>
    <mergeCell ref="Q20:S20"/>
    <mergeCell ref="F1:G1"/>
    <mergeCell ref="F2:G2"/>
    <mergeCell ref="Q12:T12"/>
  </mergeCells>
  <dataValidations count="3">
    <dataValidation type="list" allowBlank="1" showInputMessage="1" showErrorMessage="1" sqref="E21" xr:uid="{2E99D033-08D4-4188-A05D-7D9E576F4F49}">
      <formula1>"FAT.OGGI,FAT.CLIENTE "</formula1>
    </dataValidation>
    <dataValidation type="list" allowBlank="1" showInputMessage="1" showErrorMessage="1" sqref="D21 D17:D19" xr:uid="{BD0D6C7F-02D8-46A8-9F11-EE8255CBD157}">
      <formula1>"INTERNO,OPERACIONAL"</formula1>
    </dataValidation>
    <dataValidation type="list" allowBlank="1" showInputMessage="1" showErrorMessage="1" sqref="E17:E19" xr:uid="{60F17612-D170-4D1C-A068-A416E2294E16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7D22-6ED0-470D-9318-2C11C0D4EADC}">
  <dimension ref="F4:G23"/>
  <sheetViews>
    <sheetView topLeftCell="A16" workbookViewId="0">
      <selection activeCell="G22" sqref="G22"/>
    </sheetView>
  </sheetViews>
  <sheetFormatPr defaultRowHeight="14.4" x14ac:dyDescent="0.3"/>
  <cols>
    <col min="6" max="6" width="24" customWidth="1"/>
    <col min="7" max="7" width="14" style="422" customWidth="1"/>
  </cols>
  <sheetData>
    <row r="4" spans="6:7" x14ac:dyDescent="0.3">
      <c r="F4" s="420" t="s">
        <v>287</v>
      </c>
      <c r="G4" s="421" t="s">
        <v>9</v>
      </c>
    </row>
    <row r="5" spans="6:7" x14ac:dyDescent="0.3">
      <c r="F5" t="s">
        <v>288</v>
      </c>
      <c r="G5" s="422">
        <v>1604.65</v>
      </c>
    </row>
    <row r="6" spans="6:7" x14ac:dyDescent="0.3">
      <c r="F6" t="s">
        <v>289</v>
      </c>
      <c r="G6" s="422">
        <v>444.1</v>
      </c>
    </row>
    <row r="7" spans="6:7" x14ac:dyDescent="0.3">
      <c r="F7" t="s">
        <v>290</v>
      </c>
      <c r="G7" s="422">
        <v>3757.2</v>
      </c>
    </row>
    <row r="8" spans="6:7" x14ac:dyDescent="0.3">
      <c r="F8" t="s">
        <v>291</v>
      </c>
      <c r="G8" s="422">
        <v>3500</v>
      </c>
    </row>
    <row r="9" spans="6:7" x14ac:dyDescent="0.3">
      <c r="F9" t="s">
        <v>292</v>
      </c>
      <c r="G9" s="422">
        <v>533.95000000000005</v>
      </c>
    </row>
    <row r="10" spans="6:7" x14ac:dyDescent="0.3">
      <c r="F10" t="s">
        <v>293</v>
      </c>
      <c r="G10" s="422">
        <v>476.96</v>
      </c>
    </row>
    <row r="11" spans="6:7" x14ac:dyDescent="0.3">
      <c r="F11" t="s">
        <v>294</v>
      </c>
      <c r="G11" s="422">
        <v>458.75</v>
      </c>
    </row>
    <row r="12" spans="6:7" x14ac:dyDescent="0.3">
      <c r="F12" t="s">
        <v>295</v>
      </c>
      <c r="G12" s="422">
        <v>272.83</v>
      </c>
    </row>
    <row r="13" spans="6:7" x14ac:dyDescent="0.3">
      <c r="F13" t="s">
        <v>295</v>
      </c>
      <c r="G13" s="422">
        <v>35.380000000000003</v>
      </c>
    </row>
    <row r="14" spans="6:7" x14ac:dyDescent="0.3">
      <c r="F14" t="s">
        <v>296</v>
      </c>
      <c r="G14" s="422">
        <v>2349</v>
      </c>
    </row>
    <row r="15" spans="6:7" x14ac:dyDescent="0.3">
      <c r="F15" t="s">
        <v>297</v>
      </c>
      <c r="G15" s="422">
        <v>970.31</v>
      </c>
    </row>
    <row r="16" spans="6:7" x14ac:dyDescent="0.3">
      <c r="F16" t="s">
        <v>299</v>
      </c>
      <c r="G16" s="422">
        <v>1081.82</v>
      </c>
    </row>
    <row r="17" spans="6:7" x14ac:dyDescent="0.3">
      <c r="F17" t="s">
        <v>298</v>
      </c>
      <c r="G17" s="422">
        <v>4000</v>
      </c>
    </row>
    <row r="18" spans="6:7" x14ac:dyDescent="0.3">
      <c r="F18" t="s">
        <v>309</v>
      </c>
      <c r="G18" s="422">
        <v>150</v>
      </c>
    </row>
    <row r="19" spans="6:7" x14ac:dyDescent="0.3">
      <c r="F19" t="s">
        <v>310</v>
      </c>
      <c r="G19" s="422">
        <v>1300</v>
      </c>
    </row>
    <row r="20" spans="6:7" x14ac:dyDescent="0.3">
      <c r="F20" t="s">
        <v>378</v>
      </c>
      <c r="G20" s="422">
        <v>8000</v>
      </c>
    </row>
    <row r="21" spans="6:7" x14ac:dyDescent="0.3">
      <c r="F21" t="s">
        <v>379</v>
      </c>
      <c r="G21" s="422">
        <v>1700</v>
      </c>
    </row>
    <row r="23" spans="6:7" x14ac:dyDescent="0.3">
      <c r="G23" s="423">
        <f>SUM(G5:G21)</f>
        <v>30634.949999999997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5C3B1-DBB9-402A-BBE8-D4E3800AF3C4}">
  <sheetPr codeName="Planilha1">
    <tabColor theme="0"/>
    <pageSetUpPr autoPageBreaks="0"/>
  </sheetPr>
  <dimension ref="A1:E21"/>
  <sheetViews>
    <sheetView showGridLines="0" zoomScale="80" zoomScaleNormal="80" workbookViewId="0">
      <pane ySplit="1" topLeftCell="A18" activePane="bottomLeft" state="frozen"/>
      <selection activeCell="AC1" sqref="AC1"/>
      <selection pane="bottomLeft" activeCell="E21" sqref="E21"/>
    </sheetView>
  </sheetViews>
  <sheetFormatPr defaultRowHeight="14.4" x14ac:dyDescent="0.3"/>
  <cols>
    <col min="1" max="1" width="44.33203125" customWidth="1"/>
    <col min="2" max="2" width="25.33203125" customWidth="1"/>
    <col min="3" max="3" width="25.33203125" style="36" customWidth="1"/>
    <col min="4" max="4" width="17.109375" customWidth="1"/>
    <col min="5" max="5" width="9.88671875" style="32" customWidth="1"/>
  </cols>
  <sheetData>
    <row r="1" spans="1:3" ht="49.5" customHeight="1" x14ac:dyDescent="0.3">
      <c r="A1" s="1072" t="s">
        <v>183</v>
      </c>
      <c r="B1" s="1072"/>
    </row>
    <row r="2" spans="1:3" ht="24.75" customHeight="1" x14ac:dyDescent="0.3">
      <c r="A2" s="1073" t="s">
        <v>0</v>
      </c>
      <c r="B2" s="1073"/>
    </row>
    <row r="3" spans="1:3" ht="18.600000000000001" thickBot="1" x14ac:dyDescent="0.35">
      <c r="A3" s="26"/>
      <c r="B3" s="26"/>
    </row>
    <row r="4" spans="1:3" ht="18" x14ac:dyDescent="0.3">
      <c r="A4" s="39" t="s">
        <v>184</v>
      </c>
      <c r="B4" s="40"/>
    </row>
    <row r="5" spans="1:3" ht="18" x14ac:dyDescent="0.3">
      <c r="A5" s="41" t="s">
        <v>185</v>
      </c>
      <c r="B5" s="42"/>
    </row>
    <row r="6" spans="1:3" ht="18" x14ac:dyDescent="0.3">
      <c r="A6" s="41" t="s">
        <v>186</v>
      </c>
      <c r="B6" s="43"/>
    </row>
    <row r="7" spans="1:3" ht="21.75" customHeight="1" x14ac:dyDescent="0.3">
      <c r="A7" s="41" t="s">
        <v>187</v>
      </c>
      <c r="B7" s="44"/>
    </row>
    <row r="8" spans="1:3" ht="18" x14ac:dyDescent="0.3">
      <c r="A8" s="41" t="s">
        <v>188</v>
      </c>
      <c r="B8" s="45"/>
    </row>
    <row r="9" spans="1:3" ht="18" x14ac:dyDescent="0.3">
      <c r="A9" s="41" t="s">
        <v>189</v>
      </c>
      <c r="B9" s="44"/>
    </row>
    <row r="10" spans="1:3" ht="18" x14ac:dyDescent="0.3">
      <c r="A10" s="41" t="s">
        <v>240</v>
      </c>
      <c r="B10" s="44"/>
    </row>
    <row r="11" spans="1:3" ht="18.600000000000001" thickBot="1" x14ac:dyDescent="0.35">
      <c r="A11" s="46" t="s">
        <v>241</v>
      </c>
      <c r="B11" s="47"/>
    </row>
    <row r="14" spans="1:3" ht="15" customHeight="1" x14ac:dyDescent="0.3"/>
    <row r="15" spans="1:3" ht="17.25" customHeight="1" x14ac:dyDescent="0.3">
      <c r="A15" s="48"/>
      <c r="B15" s="49"/>
    </row>
    <row r="16" spans="1:3" ht="23.25" customHeight="1" thickBot="1" x14ac:dyDescent="0.35">
      <c r="A16" s="1074" t="s">
        <v>190</v>
      </c>
      <c r="B16" s="1075"/>
      <c r="C16" s="1075"/>
    </row>
    <row r="17" spans="1:5" ht="18.75" customHeight="1" x14ac:dyDescent="0.3">
      <c r="A17" s="50" t="s">
        <v>191</v>
      </c>
      <c r="B17" s="51">
        <f>PRINCIPAL!N29</f>
        <v>38501.449981359518</v>
      </c>
      <c r="C17" s="52">
        <f>PRINCIPAL!Y29</f>
        <v>20405.663181359516</v>
      </c>
      <c r="D17" s="53">
        <f t="shared" ref="D17:D20" si="0">B17-C17</f>
        <v>18095.786800000002</v>
      </c>
      <c r="E17" s="63">
        <f>(D17/B17)*100%</f>
        <v>0.47000273518948193</v>
      </c>
    </row>
    <row r="18" spans="1:5" ht="18.75" customHeight="1" x14ac:dyDescent="0.3">
      <c r="A18" s="54" t="s">
        <v>201</v>
      </c>
      <c r="B18" s="55">
        <f>Batavo!N43</f>
        <v>41823.258357151732</v>
      </c>
      <c r="C18" s="52">
        <f>Batavo!Y43</f>
        <v>58477.082357151732</v>
      </c>
      <c r="D18" s="53">
        <f t="shared" si="0"/>
        <v>-16653.824000000001</v>
      </c>
      <c r="E18" s="63">
        <f t="shared" ref="E18:E21" si="1">(D18/B18)*100%</f>
        <v>-0.39819527827755236</v>
      </c>
    </row>
    <row r="19" spans="1:5" ht="18.75" customHeight="1" x14ac:dyDescent="0.3">
      <c r="A19" s="59" t="s">
        <v>192</v>
      </c>
      <c r="B19" s="60">
        <f>'Cozinha Show President'!N21</f>
        <v>10438.971045109978</v>
      </c>
      <c r="C19" s="52">
        <f>'Cozinha Show President'!Y21</f>
        <v>4038.7310451099793</v>
      </c>
      <c r="D19" s="53">
        <f t="shared" si="0"/>
        <v>6400.2399999999989</v>
      </c>
      <c r="E19" s="63">
        <f t="shared" si="1"/>
        <v>0.61311023589802194</v>
      </c>
    </row>
    <row r="20" spans="1:5" ht="17.25" customHeight="1" x14ac:dyDescent="0.3">
      <c r="A20" s="59" t="s">
        <v>193</v>
      </c>
      <c r="B20" s="60">
        <f>'Parmalat Fit'!N23</f>
        <v>18990.928296259477</v>
      </c>
      <c r="C20" s="52">
        <f>'Parmalat Fit'!Y23</f>
        <v>18468.928296259477</v>
      </c>
      <c r="D20" s="53">
        <f t="shared" si="0"/>
        <v>522</v>
      </c>
      <c r="E20" s="63">
        <f t="shared" si="1"/>
        <v>2.7486808009422849E-2</v>
      </c>
    </row>
    <row r="21" spans="1:5" ht="15" thickBot="1" x14ac:dyDescent="0.35">
      <c r="A21" s="56" t="s">
        <v>194</v>
      </c>
      <c r="B21" s="57">
        <f>SUM(B17:B20)</f>
        <v>109754.6076798807</v>
      </c>
      <c r="C21" s="58">
        <f>SUM(C17:C20)</f>
        <v>101390.40487988071</v>
      </c>
      <c r="D21" s="62">
        <f>B21-C21</f>
        <v>8364.2027999999991</v>
      </c>
      <c r="E21" s="63">
        <f t="shared" si="1"/>
        <v>7.6208215552969943E-2</v>
      </c>
    </row>
  </sheetData>
  <mergeCells count="3">
    <mergeCell ref="A1:B1"/>
    <mergeCell ref="A2:B2"/>
    <mergeCell ref="A16:C16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9"/>
  <sheetViews>
    <sheetView zoomScale="70" zoomScaleNormal="70" workbookViewId="0">
      <selection activeCell="A8" sqref="A8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  <row r="9" spans="1:12" x14ac:dyDescent="0.3">
      <c r="B9" t="s">
        <v>156</v>
      </c>
      <c r="C9" t="s">
        <v>156</v>
      </c>
      <c r="F9" t="s">
        <v>223</v>
      </c>
      <c r="G9" t="s">
        <v>225</v>
      </c>
      <c r="H9" t="s">
        <v>11</v>
      </c>
      <c r="I9" t="s">
        <v>236</v>
      </c>
      <c r="J9" t="s">
        <v>227</v>
      </c>
      <c r="K9" t="s">
        <v>228</v>
      </c>
      <c r="L9" t="s">
        <v>233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D39E-C4B0-4C0C-83EA-938D83F48F35}">
  <sheetPr codeName="Planilha10">
    <tabColor theme="9" tint="0.79998168889431442"/>
    <pageSetUpPr autoPageBreaks="0"/>
  </sheetPr>
  <dimension ref="A1:AU90"/>
  <sheetViews>
    <sheetView showGridLines="0" topLeftCell="G1" zoomScale="70" zoomScaleNormal="70" workbookViewId="0">
      <pane ySplit="1" topLeftCell="A82" activePane="bottomLeft" state="frozen"/>
      <selection activeCell="S17" activeCellId="1" sqref="F10 S17"/>
      <selection pane="bottomLeft" activeCell="M69" sqref="M69"/>
    </sheetView>
  </sheetViews>
  <sheetFormatPr defaultRowHeight="14.4" x14ac:dyDescent="0.3"/>
  <cols>
    <col min="1" max="2" width="8.33203125" style="550" customWidth="1"/>
    <col min="3" max="3" width="10.44140625" style="550" customWidth="1"/>
    <col min="4" max="4" width="12.88671875" style="550" customWidth="1"/>
    <col min="5" max="5" width="10.33203125" style="550" customWidth="1"/>
    <col min="6" max="6" width="35.5546875" customWidth="1"/>
    <col min="7" max="7" width="65.109375" customWidth="1"/>
    <col min="8" max="9" width="7.6640625" style="32" customWidth="1"/>
    <col min="10" max="10" width="20.6640625" customWidth="1"/>
    <col min="11" max="11" width="26.44140625" bestFit="1" customWidth="1"/>
    <col min="12" max="12" width="24.5546875" bestFit="1" customWidth="1"/>
    <col min="13" max="13" width="25.6640625" customWidth="1"/>
    <col min="14" max="14" width="28.6640625" customWidth="1"/>
    <col min="15" max="15" width="3.109375" customWidth="1"/>
    <col min="16" max="16" width="3.6640625" customWidth="1"/>
    <col min="17" max="18" width="10.5546875" customWidth="1"/>
    <col min="19" max="19" width="22.6640625" customWidth="1"/>
    <col min="20" max="20" width="26.44140625" bestFit="1" customWidth="1"/>
    <col min="21" max="22" width="25.6640625" customWidth="1"/>
    <col min="23" max="23" width="19.6640625" customWidth="1"/>
    <col min="24" max="24" width="26.44140625" bestFit="1" customWidth="1"/>
    <col min="25" max="25" width="38.109375" customWidth="1"/>
    <col min="26" max="27" width="33" customWidth="1"/>
    <col min="28" max="28" width="31.88671875" customWidth="1"/>
    <col min="29" max="30" width="33" customWidth="1"/>
    <col min="31" max="31" width="28" customWidth="1"/>
    <col min="32" max="32" width="1.33203125" customWidth="1"/>
    <col min="33" max="33" width="81.5546875" customWidth="1"/>
    <col min="34" max="34" width="36.6640625" customWidth="1"/>
    <col min="35" max="35" width="1.5546875" customWidth="1"/>
    <col min="36" max="36" width="20.33203125" customWidth="1"/>
    <col min="37" max="37" width="25.33203125" bestFit="1" customWidth="1"/>
    <col min="38" max="38" width="24.88671875" bestFit="1" customWidth="1"/>
    <col min="39" max="39" width="81.5546875" customWidth="1"/>
    <col min="40" max="40" width="36.6640625" customWidth="1"/>
    <col min="41" max="41" width="1.5546875" customWidth="1"/>
    <col min="42" max="42" width="20.33203125" customWidth="1"/>
    <col min="43" max="43" width="25.33203125" bestFit="1" customWidth="1"/>
    <col min="44" max="44" width="24.88671875" bestFit="1" customWidth="1"/>
    <col min="46" max="46" width="21.33203125" customWidth="1"/>
  </cols>
  <sheetData>
    <row r="1" spans="1:47" ht="49.5" customHeight="1" x14ac:dyDescent="0.3">
      <c r="B1" s="551"/>
      <c r="C1" s="552"/>
      <c r="D1" s="552"/>
      <c r="F1" s="1072" t="s">
        <v>183</v>
      </c>
      <c r="G1" s="1072"/>
    </row>
    <row r="2" spans="1:47" ht="24.75" customHeight="1" x14ac:dyDescent="0.3">
      <c r="B2" s="553"/>
      <c r="D2" s="552"/>
      <c r="F2" s="1073" t="s">
        <v>0</v>
      </c>
      <c r="G2" s="1073"/>
    </row>
    <row r="3" spans="1:47" ht="18" x14ac:dyDescent="0.3">
      <c r="B3" s="554"/>
      <c r="F3" s="26"/>
      <c r="G3" s="26"/>
    </row>
    <row r="4" spans="1:47" ht="18" x14ac:dyDescent="0.3">
      <c r="F4" s="555" t="s">
        <v>316</v>
      </c>
      <c r="G4" s="556"/>
    </row>
    <row r="5" spans="1:47" ht="18" x14ac:dyDescent="0.3">
      <c r="F5" s="557" t="s">
        <v>185</v>
      </c>
      <c r="G5" s="558"/>
    </row>
    <row r="6" spans="1:47" ht="18" x14ac:dyDescent="0.3">
      <c r="F6" s="557" t="s">
        <v>186</v>
      </c>
      <c r="G6" s="559"/>
    </row>
    <row r="7" spans="1:47" ht="21.75" customHeight="1" x14ac:dyDescent="0.3">
      <c r="F7" s="557" t="s">
        <v>187</v>
      </c>
      <c r="G7" s="560"/>
    </row>
    <row r="8" spans="1:47" ht="18" x14ac:dyDescent="0.3">
      <c r="F8" s="561" t="s">
        <v>317</v>
      </c>
      <c r="G8" s="562"/>
    </row>
    <row r="9" spans="1:47" ht="18" x14ac:dyDescent="0.3">
      <c r="F9" s="557" t="s">
        <v>189</v>
      </c>
      <c r="G9" s="560"/>
      <c r="M9">
        <v>0.80469999999999997</v>
      </c>
    </row>
    <row r="10" spans="1:47" ht="27" customHeight="1" x14ac:dyDescent="0.3">
      <c r="F10" s="557" t="s">
        <v>318</v>
      </c>
      <c r="G10" s="560"/>
      <c r="M10">
        <f>1-M9</f>
        <v>0.19530000000000003</v>
      </c>
      <c r="P10" s="32"/>
      <c r="Q10" s="32"/>
      <c r="R10" s="32"/>
      <c r="S10" s="32"/>
      <c r="T10" s="32"/>
      <c r="U10" s="32"/>
      <c r="V10" s="32"/>
      <c r="W10" s="32"/>
    </row>
    <row r="11" spans="1:47" ht="19.5" customHeight="1" thickBot="1" x14ac:dyDescent="0.35">
      <c r="F11" s="563" t="s">
        <v>319</v>
      </c>
      <c r="G11" s="564"/>
      <c r="H11" s="565" t="s">
        <v>380</v>
      </c>
      <c r="I11" s="566"/>
      <c r="J11" s="567"/>
      <c r="K11" s="567"/>
      <c r="P11" s="32"/>
      <c r="Q11" s="32"/>
      <c r="R11" s="32"/>
      <c r="S11" s="32"/>
      <c r="T11" s="32"/>
      <c r="U11" s="32"/>
      <c r="V11" s="32"/>
      <c r="W11" s="32"/>
    </row>
    <row r="12" spans="1:47" ht="18.75" customHeight="1" thickBot="1" x14ac:dyDescent="0.35">
      <c r="B12" s="568"/>
      <c r="M12" s="569"/>
      <c r="Q12" s="1081" t="s">
        <v>1</v>
      </c>
      <c r="R12" s="1082"/>
      <c r="S12" s="1082"/>
      <c r="T12" s="1083"/>
      <c r="U12" s="1084" t="s">
        <v>2</v>
      </c>
      <c r="V12" s="1085"/>
      <c r="W12" s="1085"/>
      <c r="X12" s="1086"/>
      <c r="Y12" s="570" t="s">
        <v>56</v>
      </c>
      <c r="Z12" s="571" t="e">
        <f>(1/(1-#REF!))-1</f>
        <v>#REF!</v>
      </c>
      <c r="AA12" s="572"/>
      <c r="AC12" s="1097" t="s">
        <v>3</v>
      </c>
      <c r="AD12" s="1098"/>
      <c r="AE12" s="1099"/>
      <c r="AG12" s="1089" t="s">
        <v>58</v>
      </c>
      <c r="AH12" s="1090"/>
      <c r="AJ12" s="573" t="s">
        <v>60</v>
      </c>
      <c r="AK12" s="1087" t="s">
        <v>59</v>
      </c>
      <c r="AL12" s="1088"/>
      <c r="AM12" s="1089" t="s">
        <v>58</v>
      </c>
      <c r="AN12" s="1090"/>
      <c r="AP12" s="573" t="s">
        <v>60</v>
      </c>
      <c r="AQ12" s="1087" t="s">
        <v>59</v>
      </c>
      <c r="AR12" s="1088"/>
    </row>
    <row r="13" spans="1:47" ht="15" thickBot="1" x14ac:dyDescent="0.35">
      <c r="A13" s="574" t="s">
        <v>4</v>
      </c>
      <c r="B13" s="575" t="s">
        <v>5</v>
      </c>
      <c r="C13" s="574" t="s">
        <v>6</v>
      </c>
      <c r="D13" s="574" t="s">
        <v>7</v>
      </c>
      <c r="E13" s="574" t="s">
        <v>8</v>
      </c>
      <c r="F13" s="576"/>
      <c r="G13" s="577"/>
      <c r="H13" s="578"/>
      <c r="I13" s="578"/>
      <c r="J13" s="577"/>
      <c r="K13" s="577"/>
      <c r="L13" s="577"/>
      <c r="M13" s="579">
        <v>0.80469999999999997</v>
      </c>
      <c r="N13" s="580"/>
    </row>
    <row r="14" spans="1:47" ht="33" thickBot="1" x14ac:dyDescent="0.35">
      <c r="A14" s="581">
        <v>0</v>
      </c>
      <c r="B14" s="582"/>
      <c r="C14" s="583"/>
      <c r="D14" s="584"/>
      <c r="E14" s="584"/>
      <c r="F14" s="585" t="s">
        <v>84</v>
      </c>
      <c r="G14" s="586" t="s">
        <v>85</v>
      </c>
      <c r="H14" s="587" t="s">
        <v>86</v>
      </c>
      <c r="I14" s="587" t="s">
        <v>87</v>
      </c>
      <c r="J14" s="588" t="s">
        <v>88</v>
      </c>
      <c r="K14" s="589" t="s">
        <v>9</v>
      </c>
      <c r="L14" s="590">
        <v>7.4999999999999997E-2</v>
      </c>
      <c r="M14" s="591">
        <f>1-M13</f>
        <v>0.19530000000000003</v>
      </c>
      <c r="N14" s="592" t="s">
        <v>82</v>
      </c>
      <c r="Q14" s="593" t="s">
        <v>89</v>
      </c>
      <c r="R14" s="594" t="s">
        <v>90</v>
      </c>
      <c r="S14" s="595" t="s">
        <v>91</v>
      </c>
      <c r="T14" s="596" t="s">
        <v>92</v>
      </c>
      <c r="U14" s="597" t="s">
        <v>93</v>
      </c>
      <c r="V14" s="598" t="s">
        <v>94</v>
      </c>
      <c r="W14" s="599" t="s">
        <v>95</v>
      </c>
      <c r="X14" s="599" t="s">
        <v>96</v>
      </c>
      <c r="Y14" s="600" t="s">
        <v>97</v>
      </c>
      <c r="Z14" s="601" t="s">
        <v>98</v>
      </c>
      <c r="AA14" s="602" t="s">
        <v>83</v>
      </c>
      <c r="AC14" s="603" t="s">
        <v>99</v>
      </c>
      <c r="AD14" s="604" t="s">
        <v>100</v>
      </c>
      <c r="AE14" s="604" t="s">
        <v>33</v>
      </c>
      <c r="AG14" s="605" t="s">
        <v>101</v>
      </c>
      <c r="AH14" s="606" t="s">
        <v>102</v>
      </c>
      <c r="AI14" t="s">
        <v>320</v>
      </c>
      <c r="AJ14" t="s">
        <v>320</v>
      </c>
      <c r="AK14" s="607" t="s">
        <v>103</v>
      </c>
      <c r="AL14" s="608" t="s">
        <v>104</v>
      </c>
      <c r="AM14" s="605" t="s">
        <v>101</v>
      </c>
      <c r="AN14" s="606" t="s">
        <v>102</v>
      </c>
      <c r="AO14" t="s">
        <v>320</v>
      </c>
      <c r="AP14" t="s">
        <v>320</v>
      </c>
      <c r="AQ14" s="607" t="s">
        <v>103</v>
      </c>
      <c r="AR14" s="608" t="s">
        <v>104</v>
      </c>
    </row>
    <row r="15" spans="1:47" ht="36.75" customHeight="1" thickBot="1" x14ac:dyDescent="0.4">
      <c r="A15" s="609">
        <v>1</v>
      </c>
      <c r="B15" s="610">
        <v>1</v>
      </c>
      <c r="C15" s="611" t="s">
        <v>109</v>
      </c>
      <c r="D15" s="609"/>
      <c r="E15" s="609"/>
      <c r="F15" s="1091" t="s">
        <v>381</v>
      </c>
      <c r="G15" s="1092"/>
      <c r="H15" s="1092"/>
      <c r="I15" s="1092"/>
      <c r="J15" s="1092"/>
      <c r="K15" s="1092"/>
      <c r="L15" s="1092"/>
      <c r="M15" s="1092"/>
      <c r="N15" s="1093"/>
      <c r="P15" s="32"/>
      <c r="Q15" s="1094" t="str">
        <f>IF(F15&lt;&gt;"",F15,"")</f>
        <v>INTERNOS</v>
      </c>
      <c r="R15" s="1095"/>
      <c r="S15" s="1095"/>
      <c r="T15" s="1095"/>
      <c r="U15" s="1095"/>
      <c r="V15" s="1095"/>
      <c r="W15" s="1095"/>
      <c r="X15" s="1095"/>
      <c r="Y15" s="1096"/>
      <c r="Z15" s="612"/>
      <c r="AA15" s="613"/>
      <c r="AM15" s="614"/>
      <c r="AN15" s="614"/>
      <c r="AP15" s="615"/>
      <c r="AQ15" s="616"/>
      <c r="AT15" s="617"/>
      <c r="AU15" s="618"/>
    </row>
    <row r="16" spans="1:47" ht="30" customHeight="1" x14ac:dyDescent="0.35">
      <c r="A16" s="619">
        <v>2</v>
      </c>
      <c r="B16" s="610" t="s">
        <v>111</v>
      </c>
      <c r="C16" s="620" t="s">
        <v>110</v>
      </c>
      <c r="D16" s="619"/>
      <c r="E16" s="619"/>
      <c r="F16" s="1076" t="s">
        <v>118</v>
      </c>
      <c r="G16" s="1077"/>
      <c r="H16" s="1077"/>
      <c r="I16" s="1077"/>
      <c r="J16" s="1077"/>
      <c r="K16" s="1077"/>
      <c r="L16" s="621" t="s">
        <v>112</v>
      </c>
      <c r="M16" s="622" t="s">
        <v>113</v>
      </c>
      <c r="N16" s="623" t="s">
        <v>82</v>
      </c>
      <c r="P16" s="32"/>
      <c r="Q16" s="1078" t="str">
        <f>IF(F16&lt;&gt;"",F16,"")</f>
        <v>INTERNO</v>
      </c>
      <c r="R16" s="1079"/>
      <c r="S16" s="1079"/>
      <c r="T16" s="1079"/>
      <c r="U16" s="1079"/>
      <c r="V16" s="1079"/>
      <c r="W16" s="1079"/>
      <c r="X16" s="1079"/>
      <c r="Y16" s="1080"/>
      <c r="Z16" s="624" t="s">
        <v>114</v>
      </c>
      <c r="AA16" s="625" t="s">
        <v>83</v>
      </c>
    </row>
    <row r="17" spans="1:34" ht="16.2" x14ac:dyDescent="0.3">
      <c r="A17" s="626">
        <v>3</v>
      </c>
      <c r="B17" s="610" t="s">
        <v>116</v>
      </c>
      <c r="C17" s="627" t="s">
        <v>115</v>
      </c>
      <c r="D17" s="626" t="s">
        <v>118</v>
      </c>
      <c r="E17" s="626" t="s">
        <v>117</v>
      </c>
      <c r="F17" s="628" t="s">
        <v>382</v>
      </c>
      <c r="G17" s="629" t="s">
        <v>383</v>
      </c>
      <c r="H17" s="630">
        <v>1</v>
      </c>
      <c r="I17" s="630">
        <v>1</v>
      </c>
      <c r="J17" s="631">
        <v>10200</v>
      </c>
      <c r="K17" s="632">
        <f t="shared" ref="K17:K24" si="0">IF(F17&lt;&gt;"",H17*I17*J17,"")</f>
        <v>10200</v>
      </c>
      <c r="L17" s="633">
        <f t="shared" ref="L17:L23" si="1">IF(K17&lt;&gt;"",IF(D17="INTERNO",0,K17*$L$14),"")</f>
        <v>0</v>
      </c>
      <c r="M17" s="633">
        <f t="shared" ref="M17:M23" si="2">IF(K17&lt;&gt;"",IF(E17="FAT.OGGI",SUM(K17:L17)*(1/(1-$M$14)-1),L17*(1/(1-$M$14)-1)),"")</f>
        <v>2475.5312538834355</v>
      </c>
      <c r="N17" s="634">
        <f t="shared" ref="N17:N23" si="3">SUM(K17:M17)</f>
        <v>12675.531253883435</v>
      </c>
      <c r="P17" s="32"/>
      <c r="Q17" s="635">
        <f t="shared" ref="Q17:R24" si="4">IF(H17&lt;&gt;"",H17,"")</f>
        <v>1</v>
      </c>
      <c r="R17" s="636">
        <f t="shared" si="4"/>
        <v>1</v>
      </c>
      <c r="S17" s="637">
        <v>13800</v>
      </c>
      <c r="T17" s="638">
        <f t="shared" ref="T17:T23" si="5">IF(Q17&lt;&gt;"",Q17*R17*S17,"")</f>
        <v>13800</v>
      </c>
      <c r="U17" s="639">
        <f t="shared" ref="U17:U24" si="6">IF(Q17&lt;&gt;"",K17-T17,"")</f>
        <v>-3600</v>
      </c>
      <c r="V17" s="640">
        <f t="shared" ref="V17:V23" si="7">IF(Q17&lt;&gt;"",0%,"")</f>
        <v>0</v>
      </c>
      <c r="W17" s="641">
        <f t="shared" ref="W17:W23" si="8">IF(Q17&lt;&gt;"",V17*U17,"")</f>
        <v>0</v>
      </c>
      <c r="X17" s="641">
        <f t="shared" ref="X17:X23" si="9">IF(Q17&lt;&gt;"",W17+T17,"")</f>
        <v>13800</v>
      </c>
      <c r="Y17" s="642">
        <f t="shared" ref="Y17:Y25" si="10">IF(Q17&lt;&gt;"",X17+M17,"")</f>
        <v>16275.531253883435</v>
      </c>
      <c r="Z17" s="643">
        <f t="shared" ref="Z17:Z24" si="11">IF(Q17&lt;&gt;"",U17/K17,"")</f>
        <v>-0.35294117647058826</v>
      </c>
      <c r="AA17" s="644">
        <f t="shared" ref="AA17:AA23" si="12">T17/$T$25</f>
        <v>0.54798154175798031</v>
      </c>
    </row>
    <row r="18" spans="1:34" ht="32.4" x14ac:dyDescent="0.3">
      <c r="A18" s="626">
        <v>4</v>
      </c>
      <c r="B18" s="610" t="s">
        <v>105</v>
      </c>
      <c r="C18" s="627" t="s">
        <v>115</v>
      </c>
      <c r="D18" s="626" t="s">
        <v>118</v>
      </c>
      <c r="E18" s="626" t="s">
        <v>117</v>
      </c>
      <c r="F18" s="628" t="s">
        <v>384</v>
      </c>
      <c r="G18" s="629" t="s">
        <v>385</v>
      </c>
      <c r="H18" s="630">
        <v>1</v>
      </c>
      <c r="I18" s="630">
        <v>1</v>
      </c>
      <c r="J18" s="631">
        <v>2300</v>
      </c>
      <c r="K18" s="632">
        <f t="shared" si="0"/>
        <v>2300</v>
      </c>
      <c r="L18" s="633">
        <f t="shared" si="1"/>
        <v>0</v>
      </c>
      <c r="M18" s="633">
        <f t="shared" si="2"/>
        <v>558.20802783646093</v>
      </c>
      <c r="N18" s="634">
        <f t="shared" si="3"/>
        <v>2858.208027836461</v>
      </c>
      <c r="P18" s="32"/>
      <c r="Q18" s="635">
        <f t="shared" si="4"/>
        <v>1</v>
      </c>
      <c r="R18" s="636">
        <f t="shared" si="4"/>
        <v>1</v>
      </c>
      <c r="S18" s="638">
        <v>0</v>
      </c>
      <c r="T18" s="638">
        <f t="shared" si="5"/>
        <v>0</v>
      </c>
      <c r="U18" s="639">
        <f t="shared" si="6"/>
        <v>2300</v>
      </c>
      <c r="V18" s="640">
        <f t="shared" si="7"/>
        <v>0</v>
      </c>
      <c r="W18" s="641">
        <f t="shared" si="8"/>
        <v>0</v>
      </c>
      <c r="X18" s="641">
        <f t="shared" si="9"/>
        <v>0</v>
      </c>
      <c r="Y18" s="642">
        <f t="shared" si="10"/>
        <v>558.20802783646093</v>
      </c>
      <c r="Z18" s="643">
        <f t="shared" si="11"/>
        <v>1</v>
      </c>
      <c r="AA18" s="644">
        <f t="shared" si="12"/>
        <v>0</v>
      </c>
    </row>
    <row r="19" spans="1:34" ht="32.4" x14ac:dyDescent="0.3">
      <c r="A19" s="626">
        <v>5</v>
      </c>
      <c r="B19" s="610" t="s">
        <v>175</v>
      </c>
      <c r="C19" s="627" t="s">
        <v>115</v>
      </c>
      <c r="D19" s="626" t="s">
        <v>118</v>
      </c>
      <c r="E19" s="626" t="s">
        <v>117</v>
      </c>
      <c r="F19" s="628" t="s">
        <v>386</v>
      </c>
      <c r="G19" s="629" t="s">
        <v>387</v>
      </c>
      <c r="H19" s="630">
        <v>1</v>
      </c>
      <c r="I19" s="630">
        <v>1</v>
      </c>
      <c r="J19" s="631">
        <v>8000</v>
      </c>
      <c r="K19" s="632">
        <f>IF(F19&lt;&gt;"",H19*I19*J19,"")</f>
        <v>8000</v>
      </c>
      <c r="L19" s="633">
        <f t="shared" si="1"/>
        <v>0</v>
      </c>
      <c r="M19" s="633">
        <f t="shared" si="2"/>
        <v>1941.5931403007339</v>
      </c>
      <c r="N19" s="634">
        <f t="shared" si="3"/>
        <v>9941.5931403007344</v>
      </c>
      <c r="P19" s="32"/>
      <c r="Q19" s="635">
        <f t="shared" si="4"/>
        <v>1</v>
      </c>
      <c r="R19" s="636">
        <f t="shared" si="4"/>
        <v>1</v>
      </c>
      <c r="S19" s="637">
        <v>3000</v>
      </c>
      <c r="T19" s="638">
        <f t="shared" si="5"/>
        <v>3000</v>
      </c>
      <c r="U19" s="639">
        <f t="shared" si="6"/>
        <v>5000</v>
      </c>
      <c r="V19" s="640">
        <f t="shared" si="7"/>
        <v>0</v>
      </c>
      <c r="W19" s="641">
        <f t="shared" si="8"/>
        <v>0</v>
      </c>
      <c r="X19" s="641">
        <f t="shared" si="9"/>
        <v>3000</v>
      </c>
      <c r="Y19" s="642">
        <f t="shared" si="10"/>
        <v>4941.5931403007344</v>
      </c>
      <c r="Z19" s="643">
        <f t="shared" si="11"/>
        <v>0.625</v>
      </c>
      <c r="AA19" s="644">
        <f t="shared" si="12"/>
        <v>0.11912642212130008</v>
      </c>
      <c r="AC19" s="645" t="s">
        <v>388</v>
      </c>
    </row>
    <row r="20" spans="1:34" ht="16.2" x14ac:dyDescent="0.3">
      <c r="A20" s="626">
        <v>6</v>
      </c>
      <c r="B20" s="610" t="s">
        <v>179</v>
      </c>
      <c r="C20" s="627" t="s">
        <v>115</v>
      </c>
      <c r="D20" s="626" t="s">
        <v>118</v>
      </c>
      <c r="E20" s="626" t="s">
        <v>117</v>
      </c>
      <c r="F20" s="628" t="s">
        <v>389</v>
      </c>
      <c r="G20" s="629" t="s">
        <v>390</v>
      </c>
      <c r="H20" s="630">
        <v>1</v>
      </c>
      <c r="I20" s="630">
        <v>1</v>
      </c>
      <c r="J20" s="631">
        <v>1800</v>
      </c>
      <c r="K20" s="632">
        <f t="shared" si="0"/>
        <v>1800</v>
      </c>
      <c r="L20" s="633">
        <f t="shared" si="1"/>
        <v>0</v>
      </c>
      <c r="M20" s="633">
        <f t="shared" si="2"/>
        <v>436.85845656766509</v>
      </c>
      <c r="N20" s="634">
        <f t="shared" si="3"/>
        <v>2236.8584565676651</v>
      </c>
      <c r="P20" s="32"/>
      <c r="Q20" s="635">
        <f t="shared" si="4"/>
        <v>1</v>
      </c>
      <c r="R20" s="636">
        <f t="shared" si="4"/>
        <v>1</v>
      </c>
      <c r="S20" s="638">
        <v>0</v>
      </c>
      <c r="T20" s="638">
        <f t="shared" si="5"/>
        <v>0</v>
      </c>
      <c r="U20" s="639">
        <f t="shared" si="6"/>
        <v>1800</v>
      </c>
      <c r="V20" s="640">
        <f t="shared" si="7"/>
        <v>0</v>
      </c>
      <c r="W20" s="641">
        <f t="shared" si="8"/>
        <v>0</v>
      </c>
      <c r="X20" s="641">
        <f t="shared" si="9"/>
        <v>0</v>
      </c>
      <c r="Y20" s="642">
        <f t="shared" si="10"/>
        <v>436.85845656766509</v>
      </c>
      <c r="Z20" s="643">
        <f t="shared" si="11"/>
        <v>1</v>
      </c>
      <c r="AA20" s="644">
        <f t="shared" si="12"/>
        <v>0</v>
      </c>
    </row>
    <row r="21" spans="1:34" ht="16.2" x14ac:dyDescent="0.3">
      <c r="A21" s="626">
        <v>7</v>
      </c>
      <c r="B21" s="610" t="s">
        <v>181</v>
      </c>
      <c r="C21" s="627" t="s">
        <v>115</v>
      </c>
      <c r="D21" s="626" t="s">
        <v>118</v>
      </c>
      <c r="E21" s="626" t="s">
        <v>117</v>
      </c>
      <c r="F21" s="628" t="s">
        <v>121</v>
      </c>
      <c r="G21" s="629" t="s">
        <v>391</v>
      </c>
      <c r="H21" s="630">
        <v>1</v>
      </c>
      <c r="I21" s="630">
        <v>1</v>
      </c>
      <c r="J21" s="631">
        <v>5400</v>
      </c>
      <c r="K21" s="632">
        <f t="shared" si="0"/>
        <v>5400</v>
      </c>
      <c r="L21" s="633">
        <f t="shared" si="1"/>
        <v>0</v>
      </c>
      <c r="M21" s="633">
        <f t="shared" si="2"/>
        <v>1310.5753697029954</v>
      </c>
      <c r="N21" s="634">
        <f t="shared" si="3"/>
        <v>6710.5753697029959</v>
      </c>
      <c r="P21" s="32"/>
      <c r="Q21" s="635">
        <f t="shared" si="4"/>
        <v>1</v>
      </c>
      <c r="R21" s="636">
        <f t="shared" si="4"/>
        <v>1</v>
      </c>
      <c r="S21" s="646">
        <f>1333.33+550</f>
        <v>1883.33</v>
      </c>
      <c r="T21" s="647">
        <f t="shared" si="5"/>
        <v>1883.33</v>
      </c>
      <c r="U21" s="639">
        <f t="shared" si="6"/>
        <v>3516.67</v>
      </c>
      <c r="V21" s="640">
        <f t="shared" si="7"/>
        <v>0</v>
      </c>
      <c r="W21" s="641">
        <f t="shared" si="8"/>
        <v>0</v>
      </c>
      <c r="X21" s="641">
        <f t="shared" si="9"/>
        <v>1883.33</v>
      </c>
      <c r="Y21" s="642">
        <f t="shared" si="10"/>
        <v>3193.9053697029954</v>
      </c>
      <c r="Z21" s="643">
        <f t="shared" si="11"/>
        <v>0.65123518518518519</v>
      </c>
      <c r="AA21" s="644">
        <f t="shared" si="12"/>
        <v>7.4784788191236018E-2</v>
      </c>
    </row>
    <row r="22" spans="1:34" ht="48.6" x14ac:dyDescent="0.3">
      <c r="A22" s="626">
        <v>8</v>
      </c>
      <c r="B22" s="610" t="s">
        <v>327</v>
      </c>
      <c r="C22" s="627" t="s">
        <v>115</v>
      </c>
      <c r="D22" s="626" t="s">
        <v>118</v>
      </c>
      <c r="E22" s="626" t="s">
        <v>117</v>
      </c>
      <c r="F22" s="628" t="s">
        <v>392</v>
      </c>
      <c r="G22" s="629" t="s">
        <v>393</v>
      </c>
      <c r="H22" s="630">
        <v>1</v>
      </c>
      <c r="I22" s="648">
        <v>1.5</v>
      </c>
      <c r="J22" s="649">
        <f>7500+750</f>
        <v>8250</v>
      </c>
      <c r="K22" s="632">
        <f t="shared" si="0"/>
        <v>12375</v>
      </c>
      <c r="L22" s="633">
        <f t="shared" si="1"/>
        <v>0</v>
      </c>
      <c r="M22" s="633">
        <f t="shared" si="2"/>
        <v>3003.4018889026975</v>
      </c>
      <c r="N22" s="634">
        <f t="shared" si="3"/>
        <v>15378.401888902697</v>
      </c>
      <c r="P22" s="32"/>
      <c r="Q22" s="635">
        <f t="shared" si="4"/>
        <v>1</v>
      </c>
      <c r="R22" s="636">
        <f t="shared" si="4"/>
        <v>1.5</v>
      </c>
      <c r="S22" s="638">
        <v>0</v>
      </c>
      <c r="T22" s="638">
        <f t="shared" si="5"/>
        <v>0</v>
      </c>
      <c r="U22" s="639">
        <f t="shared" si="6"/>
        <v>12375</v>
      </c>
      <c r="V22" s="640">
        <f t="shared" si="7"/>
        <v>0</v>
      </c>
      <c r="W22" s="641">
        <f t="shared" si="8"/>
        <v>0</v>
      </c>
      <c r="X22" s="641">
        <f t="shared" si="9"/>
        <v>0</v>
      </c>
      <c r="Y22" s="642">
        <f t="shared" si="10"/>
        <v>3003.4018889026975</v>
      </c>
      <c r="Z22" s="643">
        <f t="shared" si="11"/>
        <v>1</v>
      </c>
      <c r="AA22" s="644">
        <f t="shared" si="12"/>
        <v>0</v>
      </c>
    </row>
    <row r="23" spans="1:34" ht="48.6" x14ac:dyDescent="0.35">
      <c r="A23" s="626">
        <v>9</v>
      </c>
      <c r="B23" s="610" t="s">
        <v>328</v>
      </c>
      <c r="C23" s="627" t="s">
        <v>115</v>
      </c>
      <c r="D23" s="626" t="s">
        <v>118</v>
      </c>
      <c r="E23" s="626" t="s">
        <v>117</v>
      </c>
      <c r="F23" s="628" t="s">
        <v>394</v>
      </c>
      <c r="G23" s="629" t="s">
        <v>395</v>
      </c>
      <c r="H23" s="630">
        <v>1</v>
      </c>
      <c r="I23" s="648">
        <v>1.5</v>
      </c>
      <c r="J23" s="649">
        <f>7500+750</f>
        <v>8250</v>
      </c>
      <c r="K23" s="632">
        <f t="shared" si="0"/>
        <v>12375</v>
      </c>
      <c r="L23" s="632">
        <f t="shared" si="1"/>
        <v>0</v>
      </c>
      <c r="M23" s="632">
        <f t="shared" si="2"/>
        <v>3003.4018889026975</v>
      </c>
      <c r="N23" s="650">
        <f t="shared" si="3"/>
        <v>15378.401888902697</v>
      </c>
      <c r="P23" s="32"/>
      <c r="Q23" s="635">
        <f t="shared" si="4"/>
        <v>1</v>
      </c>
      <c r="R23" s="651">
        <f t="shared" si="4"/>
        <v>1.5</v>
      </c>
      <c r="S23" s="652">
        <v>0</v>
      </c>
      <c r="T23" s="638">
        <f t="shared" si="5"/>
        <v>0</v>
      </c>
      <c r="U23" s="639">
        <f t="shared" si="6"/>
        <v>12375</v>
      </c>
      <c r="V23" s="640">
        <f t="shared" si="7"/>
        <v>0</v>
      </c>
      <c r="W23" s="641">
        <f t="shared" si="8"/>
        <v>0</v>
      </c>
      <c r="X23" s="641">
        <f t="shared" si="9"/>
        <v>0</v>
      </c>
      <c r="Y23" s="642">
        <f t="shared" si="10"/>
        <v>3003.4018889026975</v>
      </c>
      <c r="Z23" s="643">
        <f t="shared" si="11"/>
        <v>1</v>
      </c>
      <c r="AA23" s="644">
        <f t="shared" si="12"/>
        <v>0</v>
      </c>
      <c r="AC23" s="653">
        <v>12000</v>
      </c>
      <c r="AD23" s="654">
        <f>T23-AC23</f>
        <v>-12000</v>
      </c>
      <c r="AE23" s="655">
        <v>45999</v>
      </c>
      <c r="AG23" s="656" t="s">
        <v>396</v>
      </c>
      <c r="AH23" s="657" t="s">
        <v>397</v>
      </c>
    </row>
    <row r="24" spans="1:34" ht="32.4" x14ac:dyDescent="0.3">
      <c r="A24" s="609">
        <v>10</v>
      </c>
      <c r="B24" s="610" t="s">
        <v>330</v>
      </c>
      <c r="C24" s="611" t="s">
        <v>115</v>
      </c>
      <c r="D24" s="609" t="s">
        <v>118</v>
      </c>
      <c r="E24" s="609" t="s">
        <v>117</v>
      </c>
      <c r="F24" s="658" t="s">
        <v>398</v>
      </c>
      <c r="G24" s="659" t="s">
        <v>399</v>
      </c>
      <c r="H24" s="660">
        <v>1</v>
      </c>
      <c r="I24" s="648">
        <v>1</v>
      </c>
      <c r="J24" s="661">
        <v>6500</v>
      </c>
      <c r="K24" s="632">
        <f t="shared" si="0"/>
        <v>6500</v>
      </c>
      <c r="L24" s="662">
        <f>IF(K24&lt;&gt;"",IF(D24="INTERNO",0,K24*$L$14),"")</f>
        <v>0</v>
      </c>
      <c r="M24" s="662">
        <f>IF(K24&lt;&gt;"",IF(E24="FAT.OGGI",SUM(K24:L24)*(1/(1-$M$14)-1),L24*(1/(1-$M$14)-1)),"")</f>
        <v>1577.5444264943462</v>
      </c>
      <c r="N24" s="663">
        <f>SUM(K24:M24)</f>
        <v>8077.5444264943462</v>
      </c>
      <c r="P24" s="32"/>
      <c r="Q24" s="664">
        <f t="shared" si="4"/>
        <v>1</v>
      </c>
      <c r="R24" s="665">
        <f t="shared" si="4"/>
        <v>1</v>
      </c>
      <c r="S24" s="666">
        <v>6500</v>
      </c>
      <c r="T24" s="667">
        <f>IF(Q24&lt;&gt;"",Q24*R24*S24,"")</f>
        <v>6500</v>
      </c>
      <c r="U24" s="668">
        <f t="shared" si="6"/>
        <v>0</v>
      </c>
      <c r="V24" s="669">
        <f>IF(Q24&lt;&gt;"",0%,"")</f>
        <v>0</v>
      </c>
      <c r="W24" s="670">
        <f>IF(Q24&lt;&gt;"",V24*U24,"")</f>
        <v>0</v>
      </c>
      <c r="X24" s="670">
        <f>IF(Q24&lt;&gt;"",W24+T24,"")</f>
        <v>6500</v>
      </c>
      <c r="Y24" s="642">
        <f t="shared" si="10"/>
        <v>8077.5444264943462</v>
      </c>
      <c r="Z24" s="643">
        <f t="shared" si="11"/>
        <v>0</v>
      </c>
      <c r="AA24" s="644">
        <f>T24/$T$25</f>
        <v>0.25810724792948347</v>
      </c>
    </row>
    <row r="25" spans="1:34" ht="30" customHeight="1" thickBot="1" x14ac:dyDescent="0.4">
      <c r="A25" s="671">
        <v>11</v>
      </c>
      <c r="B25" s="610"/>
      <c r="C25" s="672" t="s">
        <v>123</v>
      </c>
      <c r="D25" s="671"/>
      <c r="E25" s="671"/>
      <c r="F25" s="1100" t="s">
        <v>124</v>
      </c>
      <c r="G25" s="1101"/>
      <c r="H25" s="1101"/>
      <c r="I25" s="1101"/>
      <c r="J25" s="1101"/>
      <c r="K25" s="673">
        <f>SUM(K17:K24)</f>
        <v>58950</v>
      </c>
      <c r="L25" s="673">
        <f>SUM(L17:L24)</f>
        <v>0</v>
      </c>
      <c r="M25" s="673">
        <f>SUM(M17:M24)</f>
        <v>14307.114452591031</v>
      </c>
      <c r="N25" s="674">
        <f>SUM(N17:N24)</f>
        <v>73257.114452591035</v>
      </c>
      <c r="P25" s="32"/>
      <c r="Q25" s="1102"/>
      <c r="R25" s="1103"/>
      <c r="S25" s="1104"/>
      <c r="T25" s="675">
        <f>SUM(T17:T24)</f>
        <v>25183.33</v>
      </c>
      <c r="U25" s="676">
        <f>SUM(U17:U24)</f>
        <v>33766.67</v>
      </c>
      <c r="V25" s="677"/>
      <c r="W25" s="678"/>
      <c r="X25" s="679">
        <f>SUM(X17:X24)</f>
        <v>25183.33</v>
      </c>
      <c r="Y25" s="680" t="str">
        <f t="shared" si="10"/>
        <v/>
      </c>
    </row>
    <row r="26" spans="1:34" ht="36.75" customHeight="1" thickBot="1" x14ac:dyDescent="0.4">
      <c r="A26" s="619">
        <v>12</v>
      </c>
      <c r="B26" s="610">
        <v>2</v>
      </c>
      <c r="C26" s="620" t="s">
        <v>109</v>
      </c>
      <c r="D26" s="619"/>
      <c r="E26" s="619"/>
      <c r="F26" s="1105" t="s">
        <v>400</v>
      </c>
      <c r="G26" s="1106"/>
      <c r="H26" s="1106"/>
      <c r="I26" s="1106"/>
      <c r="J26" s="1106"/>
      <c r="K26" s="1106"/>
      <c r="L26" s="1106"/>
      <c r="M26" s="1106"/>
      <c r="N26" s="1107"/>
      <c r="P26" s="32"/>
      <c r="Q26" s="1108" t="str">
        <f>IF(F26&lt;&gt;"",F26,"")</f>
        <v>ESTRUTURA</v>
      </c>
      <c r="R26" s="1106"/>
      <c r="S26" s="1106"/>
      <c r="T26" s="1106"/>
      <c r="U26" s="1106"/>
      <c r="V26" s="1106"/>
      <c r="W26" s="1106"/>
      <c r="X26" s="1106"/>
      <c r="Y26" s="1109"/>
    </row>
    <row r="27" spans="1:34" ht="30" customHeight="1" x14ac:dyDescent="0.35">
      <c r="A27" s="626">
        <v>13</v>
      </c>
      <c r="B27" s="610" t="s">
        <v>125</v>
      </c>
      <c r="C27" s="627" t="s">
        <v>110</v>
      </c>
      <c r="D27" s="626"/>
      <c r="E27" s="626"/>
      <c r="F27" s="1110" t="s">
        <v>400</v>
      </c>
      <c r="G27" s="1111"/>
      <c r="H27" s="1111"/>
      <c r="I27" s="1111"/>
      <c r="J27" s="1111"/>
      <c r="K27" s="1112"/>
      <c r="L27" s="621" t="s">
        <v>112</v>
      </c>
      <c r="M27" s="622" t="s">
        <v>113</v>
      </c>
      <c r="N27" s="623" t="s">
        <v>82</v>
      </c>
      <c r="P27" s="32"/>
      <c r="Q27" s="1113" t="str">
        <f>IF(F27&lt;&gt;"",F27,"")</f>
        <v>ESTRUTURA</v>
      </c>
      <c r="R27" s="1111"/>
      <c r="S27" s="1111"/>
      <c r="T27" s="1111"/>
      <c r="U27" s="1111"/>
      <c r="V27" s="1111"/>
      <c r="W27" s="1111"/>
      <c r="X27" s="1111"/>
      <c r="Y27" s="1114"/>
      <c r="Z27" s="624" t="s">
        <v>114</v>
      </c>
      <c r="AA27" s="625" t="s">
        <v>83</v>
      </c>
    </row>
    <row r="28" spans="1:34" ht="64.8" x14ac:dyDescent="0.35">
      <c r="A28" s="626">
        <v>14</v>
      </c>
      <c r="B28" s="610" t="s">
        <v>126</v>
      </c>
      <c r="C28" s="627" t="s">
        <v>115</v>
      </c>
      <c r="D28" s="626" t="s">
        <v>127</v>
      </c>
      <c r="E28" s="626" t="s">
        <v>117</v>
      </c>
      <c r="F28" s="681" t="s">
        <v>401</v>
      </c>
      <c r="G28" s="682" t="s">
        <v>402</v>
      </c>
      <c r="H28" s="683">
        <v>1</v>
      </c>
      <c r="I28" s="683">
        <v>1</v>
      </c>
      <c r="J28" s="633">
        <v>15841</v>
      </c>
      <c r="K28" s="633">
        <f>IF(F28&lt;&gt;"",H28*I28*J28,"")</f>
        <v>15841</v>
      </c>
      <c r="L28" s="633">
        <f>IF(K28&lt;&gt;"",IF(D28="INTERNO",0,K28*$L$14),"")</f>
        <v>1188.075</v>
      </c>
      <c r="M28" s="633">
        <f>IF(K28&lt;&gt;"",IF(E28="FAT.OGGI",SUM(K28:L28)*(1/(1-$M$14)-1),L28*(1/(1-$M$14)-1)),"")</f>
        <v>4132.9419007083397</v>
      </c>
      <c r="N28" s="634">
        <f>SUM(K28:M28)</f>
        <v>21162.016900708339</v>
      </c>
      <c r="P28" s="32"/>
      <c r="Q28" s="684">
        <f t="shared" ref="Q28:Q42" si="13">IF(H28&lt;&gt;"",H28,"")</f>
        <v>1</v>
      </c>
      <c r="R28" s="685">
        <v>1</v>
      </c>
      <c r="S28" s="686">
        <f>42241</f>
        <v>42241</v>
      </c>
      <c r="T28" s="686">
        <f>IF(Q28&lt;&gt;"",Q28*R28*S28,"")</f>
        <v>42241</v>
      </c>
      <c r="U28" s="687">
        <f t="shared" ref="U28:U42" si="14">IF(Q28&lt;&gt;"",K28-T28,"")</f>
        <v>-26400</v>
      </c>
      <c r="V28" s="688">
        <f>IF(Q28&lt;&gt;"",0%,"")</f>
        <v>0</v>
      </c>
      <c r="W28" s="689">
        <f>IF(Q28&lt;&gt;"",V28*U28,"")</f>
        <v>0</v>
      </c>
      <c r="X28" s="689">
        <f>IF(Q28&lt;&gt;"",W28+T28,"")</f>
        <v>42241</v>
      </c>
      <c r="Y28" s="690">
        <f t="shared" ref="Y28:Y43" si="15">IF(Q28&lt;&gt;"",X28+M28,"")</f>
        <v>46373.941900708342</v>
      </c>
      <c r="Z28" s="643">
        <f t="shared" ref="Z28:Z42" si="16">IF(Q28&lt;&gt;"",U28/K28,"")</f>
        <v>-1.6665614544536329</v>
      </c>
      <c r="AA28" s="644">
        <f t="shared" ref="AA28:AA33" si="17">T28/$T$43</f>
        <v>0.1248942976931765</v>
      </c>
      <c r="AC28" s="653">
        <v>42241</v>
      </c>
      <c r="AD28" s="654">
        <f>T28-AC28</f>
        <v>0</v>
      </c>
      <c r="AE28" s="655">
        <v>46028</v>
      </c>
      <c r="AG28" s="656" t="s">
        <v>403</v>
      </c>
      <c r="AH28" s="657" t="s">
        <v>404</v>
      </c>
    </row>
    <row r="29" spans="1:34" ht="32.4" x14ac:dyDescent="0.3">
      <c r="A29" s="626">
        <v>15</v>
      </c>
      <c r="B29" s="610" t="s">
        <v>129</v>
      </c>
      <c r="C29" s="627" t="s">
        <v>115</v>
      </c>
      <c r="D29" s="626" t="s">
        <v>127</v>
      </c>
      <c r="E29" s="626" t="s">
        <v>117</v>
      </c>
      <c r="F29" s="681" t="s">
        <v>405</v>
      </c>
      <c r="G29" s="691" t="s">
        <v>406</v>
      </c>
      <c r="H29" s="692">
        <v>1</v>
      </c>
      <c r="I29" s="692">
        <v>1</v>
      </c>
      <c r="J29" s="693">
        <v>6325</v>
      </c>
      <c r="K29" s="633">
        <f t="shared" ref="K29:K38" si="18">IF(F29&lt;&gt;"",H29*I29*J29,"")</f>
        <v>6325</v>
      </c>
      <c r="L29" s="633">
        <f t="shared" ref="L29:L38" si="19">IF(K29&lt;&gt;"",IF(D29="INTERNO",0,K29*$L$14),"")</f>
        <v>474.375</v>
      </c>
      <c r="M29" s="633">
        <f t="shared" ref="M29:M38" si="20">IF(K29&lt;&gt;"",IF(E29="FAT.OGGI",SUM(K29:L29)*(1/(1-$M$14)-1),L29*(1/(1-$M$14)-1)),"")</f>
        <v>1650.2024822915378</v>
      </c>
      <c r="N29" s="634">
        <f t="shared" ref="N29:N38" si="21">SUM(K29:M29)</f>
        <v>8449.5774822915373</v>
      </c>
      <c r="P29" s="32"/>
      <c r="Q29" s="684">
        <f t="shared" si="13"/>
        <v>1</v>
      </c>
      <c r="R29" s="685">
        <v>1</v>
      </c>
      <c r="S29" s="694">
        <v>6325</v>
      </c>
      <c r="T29" s="694">
        <f t="shared" ref="T29:T38" si="22">IF(Q29&lt;&gt;"",Q29*R29*S29,"")</f>
        <v>6325</v>
      </c>
      <c r="U29" s="687">
        <f t="shared" si="14"/>
        <v>0</v>
      </c>
      <c r="V29" s="688">
        <f t="shared" ref="V29:V38" si="23">IF(Q29&lt;&gt;"",0%,"")</f>
        <v>0</v>
      </c>
      <c r="W29" s="689">
        <f t="shared" ref="W29:W38" si="24">IF(Q29&lt;&gt;"",V29*U29,"")</f>
        <v>0</v>
      </c>
      <c r="X29" s="689">
        <f t="shared" ref="X29:X38" si="25">IF(Q29&lt;&gt;"",W29+T29,"")</f>
        <v>6325</v>
      </c>
      <c r="Y29" s="690">
        <f t="shared" si="15"/>
        <v>7975.2024822915373</v>
      </c>
      <c r="Z29" s="643">
        <f t="shared" si="16"/>
        <v>0</v>
      </c>
      <c r="AA29" s="644">
        <f t="shared" si="17"/>
        <v>1.8701177361079079E-2</v>
      </c>
    </row>
    <row r="30" spans="1:34" ht="64.8" x14ac:dyDescent="0.3">
      <c r="A30" s="626">
        <v>16</v>
      </c>
      <c r="B30" s="610" t="s">
        <v>130</v>
      </c>
      <c r="C30" s="627" t="s">
        <v>115</v>
      </c>
      <c r="D30" s="626" t="s">
        <v>127</v>
      </c>
      <c r="E30" s="626" t="s">
        <v>117</v>
      </c>
      <c r="F30" s="681" t="s">
        <v>407</v>
      </c>
      <c r="G30" s="682" t="s">
        <v>408</v>
      </c>
      <c r="H30" s="683">
        <v>1</v>
      </c>
      <c r="I30" s="683">
        <v>1</v>
      </c>
      <c r="J30" s="633">
        <v>2242.5</v>
      </c>
      <c r="K30" s="633">
        <f t="shared" si="18"/>
        <v>2242.5</v>
      </c>
      <c r="L30" s="633">
        <f t="shared" si="19"/>
        <v>168.1875</v>
      </c>
      <c r="M30" s="633">
        <f t="shared" si="20"/>
        <v>585.07178917609065</v>
      </c>
      <c r="N30" s="695">
        <f t="shared" si="21"/>
        <v>2995.7592891760905</v>
      </c>
      <c r="P30" s="32"/>
      <c r="Q30" s="684">
        <f t="shared" si="13"/>
        <v>1</v>
      </c>
      <c r="R30" s="685">
        <v>1</v>
      </c>
      <c r="S30" s="694">
        <v>2000</v>
      </c>
      <c r="T30" s="694">
        <f t="shared" si="22"/>
        <v>2000</v>
      </c>
      <c r="U30" s="687">
        <f t="shared" si="14"/>
        <v>242.5</v>
      </c>
      <c r="V30" s="688">
        <f t="shared" si="23"/>
        <v>0</v>
      </c>
      <c r="W30" s="689">
        <f t="shared" si="24"/>
        <v>0</v>
      </c>
      <c r="X30" s="689">
        <f t="shared" si="25"/>
        <v>2000</v>
      </c>
      <c r="Y30" s="690">
        <f t="shared" si="15"/>
        <v>2585.0717891760905</v>
      </c>
      <c r="Z30" s="643">
        <f t="shared" si="16"/>
        <v>0.10813823857302118</v>
      </c>
      <c r="AA30" s="644">
        <f t="shared" si="17"/>
        <v>5.9134157663491161E-3</v>
      </c>
    </row>
    <row r="31" spans="1:34" ht="48.6" x14ac:dyDescent="0.3">
      <c r="A31" s="626">
        <v>17</v>
      </c>
      <c r="B31" s="610" t="s">
        <v>176</v>
      </c>
      <c r="C31" s="627" t="s">
        <v>115</v>
      </c>
      <c r="D31" s="626" t="s">
        <v>127</v>
      </c>
      <c r="E31" s="626" t="s">
        <v>117</v>
      </c>
      <c r="F31" s="681" t="s">
        <v>409</v>
      </c>
      <c r="G31" s="682" t="s">
        <v>410</v>
      </c>
      <c r="H31" s="683">
        <v>1</v>
      </c>
      <c r="I31" s="683">
        <v>1</v>
      </c>
      <c r="J31" s="633">
        <v>1437.5</v>
      </c>
      <c r="K31" s="633">
        <f t="shared" si="18"/>
        <v>1437.5</v>
      </c>
      <c r="L31" s="633">
        <f t="shared" si="19"/>
        <v>107.8125</v>
      </c>
      <c r="M31" s="633">
        <f t="shared" si="20"/>
        <v>375.04601870262223</v>
      </c>
      <c r="N31" s="634">
        <f t="shared" si="21"/>
        <v>1920.3585187026222</v>
      </c>
      <c r="P31" s="32"/>
      <c r="Q31" s="684">
        <f t="shared" si="13"/>
        <v>1</v>
      </c>
      <c r="R31" s="685">
        <v>1</v>
      </c>
      <c r="S31" s="694">
        <v>1250</v>
      </c>
      <c r="T31" s="694">
        <f t="shared" si="22"/>
        <v>1250</v>
      </c>
      <c r="U31" s="687">
        <f t="shared" si="14"/>
        <v>187.5</v>
      </c>
      <c r="V31" s="688">
        <f t="shared" si="23"/>
        <v>0</v>
      </c>
      <c r="W31" s="689">
        <f t="shared" si="24"/>
        <v>0</v>
      </c>
      <c r="X31" s="689">
        <f t="shared" si="25"/>
        <v>1250</v>
      </c>
      <c r="Y31" s="690">
        <f t="shared" si="15"/>
        <v>1625.0460187026222</v>
      </c>
      <c r="Z31" s="643">
        <f t="shared" si="16"/>
        <v>0.13043478260869565</v>
      </c>
      <c r="AA31" s="644">
        <f t="shared" si="17"/>
        <v>3.6958848539681978E-3</v>
      </c>
    </row>
    <row r="32" spans="1:34" ht="48.6" x14ac:dyDescent="0.3">
      <c r="A32" s="626">
        <v>18</v>
      </c>
      <c r="B32" s="610" t="s">
        <v>177</v>
      </c>
      <c r="C32" s="627" t="s">
        <v>115</v>
      </c>
      <c r="D32" s="626" t="s">
        <v>127</v>
      </c>
      <c r="E32" s="626" t="s">
        <v>117</v>
      </c>
      <c r="F32" s="681" t="s">
        <v>411</v>
      </c>
      <c r="G32" s="682" t="s">
        <v>412</v>
      </c>
      <c r="H32" s="683">
        <v>1</v>
      </c>
      <c r="I32" s="683">
        <v>1</v>
      </c>
      <c r="J32" s="633">
        <v>2472.5</v>
      </c>
      <c r="K32" s="633">
        <f t="shared" si="18"/>
        <v>2472.5</v>
      </c>
      <c r="L32" s="633">
        <f t="shared" si="19"/>
        <v>185.4375</v>
      </c>
      <c r="M32" s="633">
        <f t="shared" si="20"/>
        <v>645.07915216851018</v>
      </c>
      <c r="N32" s="634">
        <f t="shared" si="21"/>
        <v>3303.0166521685101</v>
      </c>
      <c r="P32" s="32"/>
      <c r="Q32" s="684">
        <f t="shared" si="13"/>
        <v>1</v>
      </c>
      <c r="R32" s="685">
        <v>1</v>
      </c>
      <c r="S32" s="694">
        <v>2150</v>
      </c>
      <c r="T32" s="694">
        <f t="shared" si="22"/>
        <v>2150</v>
      </c>
      <c r="U32" s="687">
        <f t="shared" si="14"/>
        <v>322.5</v>
      </c>
      <c r="V32" s="688">
        <f t="shared" si="23"/>
        <v>0</v>
      </c>
      <c r="W32" s="689">
        <f t="shared" si="24"/>
        <v>0</v>
      </c>
      <c r="X32" s="689">
        <f t="shared" si="25"/>
        <v>2150</v>
      </c>
      <c r="Y32" s="690">
        <f t="shared" si="15"/>
        <v>2795.0791521685101</v>
      </c>
      <c r="Z32" s="643">
        <f t="shared" si="16"/>
        <v>0.13043478260869565</v>
      </c>
      <c r="AA32" s="644">
        <f t="shared" si="17"/>
        <v>6.3569219488253002E-3</v>
      </c>
    </row>
    <row r="33" spans="1:40" ht="48.6" x14ac:dyDescent="0.3">
      <c r="A33" s="626">
        <v>19</v>
      </c>
      <c r="B33" s="610" t="s">
        <v>413</v>
      </c>
      <c r="C33" s="627" t="s">
        <v>115</v>
      </c>
      <c r="D33" s="626" t="s">
        <v>127</v>
      </c>
      <c r="E33" s="626" t="s">
        <v>117</v>
      </c>
      <c r="F33" s="696" t="s">
        <v>414</v>
      </c>
      <c r="G33" s="629" t="s">
        <v>415</v>
      </c>
      <c r="H33" s="630">
        <v>1</v>
      </c>
      <c r="I33" s="630">
        <v>1</v>
      </c>
      <c r="J33" s="632">
        <v>2185</v>
      </c>
      <c r="K33" s="633">
        <f t="shared" si="18"/>
        <v>2185</v>
      </c>
      <c r="L33" s="633">
        <f t="shared" si="19"/>
        <v>163.875</v>
      </c>
      <c r="M33" s="633">
        <f t="shared" si="20"/>
        <v>570.06994842798576</v>
      </c>
      <c r="N33" s="634">
        <f t="shared" si="21"/>
        <v>2918.9449484279858</v>
      </c>
      <c r="P33" s="32"/>
      <c r="Q33" s="684">
        <f t="shared" si="13"/>
        <v>1</v>
      </c>
      <c r="R33" s="685">
        <v>1</v>
      </c>
      <c r="S33" s="694">
        <v>2000</v>
      </c>
      <c r="T33" s="694">
        <f t="shared" si="22"/>
        <v>2000</v>
      </c>
      <c r="U33" s="687">
        <f t="shared" si="14"/>
        <v>185</v>
      </c>
      <c r="V33" s="688">
        <f t="shared" si="23"/>
        <v>0</v>
      </c>
      <c r="W33" s="689">
        <f t="shared" si="24"/>
        <v>0</v>
      </c>
      <c r="X33" s="689">
        <f t="shared" si="25"/>
        <v>2000</v>
      </c>
      <c r="Y33" s="690">
        <f t="shared" si="15"/>
        <v>2570.0699484279858</v>
      </c>
      <c r="Z33" s="643">
        <f t="shared" si="16"/>
        <v>8.4668192219679639E-2</v>
      </c>
      <c r="AA33" s="644">
        <f t="shared" si="17"/>
        <v>5.9134157663491161E-3</v>
      </c>
    </row>
    <row r="34" spans="1:40" ht="48.6" x14ac:dyDescent="0.3">
      <c r="A34" s="697">
        <v>20</v>
      </c>
      <c r="B34" s="610" t="s">
        <v>416</v>
      </c>
      <c r="C34" s="698" t="s">
        <v>115</v>
      </c>
      <c r="D34" s="626" t="s">
        <v>127</v>
      </c>
      <c r="E34" s="626" t="s">
        <v>117</v>
      </c>
      <c r="F34" s="696" t="s">
        <v>417</v>
      </c>
      <c r="G34" s="629" t="s">
        <v>418</v>
      </c>
      <c r="H34" s="630">
        <v>1</v>
      </c>
      <c r="I34" s="630">
        <v>0</v>
      </c>
      <c r="J34" s="632">
        <v>3450</v>
      </c>
      <c r="K34" s="632">
        <f>IF(F34&lt;&gt;"",H34*I34*J34,"")</f>
        <v>0</v>
      </c>
      <c r="L34" s="632">
        <f>IF(K34&lt;&gt;"",IF(D34="INTERNO",0,K34*$L$14),"")</f>
        <v>0</v>
      </c>
      <c r="M34" s="632">
        <f>IF(K34&lt;&gt;"",IF(E34="FAT.OGGI",SUM(K34:L34)*(1/(1-$M$14)-1),L34*(1/(1-$M$14)-1)),"")</f>
        <v>0</v>
      </c>
      <c r="N34" s="632">
        <f>SUM(K34:M34)</f>
        <v>0</v>
      </c>
      <c r="P34" s="32"/>
      <c r="Q34" s="699">
        <f>IF(H34&lt;&gt;"",H34,"")</f>
        <v>1</v>
      </c>
      <c r="R34" s="700">
        <f>IF(I34&lt;&gt;"",I34,"")</f>
        <v>0</v>
      </c>
      <c r="S34" s="667">
        <v>3000</v>
      </c>
      <c r="T34" s="667">
        <f>IF(Q34&lt;&gt;"",Q34*R34*S34,"")</f>
        <v>0</v>
      </c>
      <c r="U34" s="668">
        <f>IF(Q34&lt;&gt;"",K34-T34,"")</f>
        <v>0</v>
      </c>
      <c r="V34" s="669">
        <f>IF(Q34&lt;&gt;"",0%,"")</f>
        <v>0</v>
      </c>
      <c r="W34" s="670">
        <f>IF(Q34&lt;&gt;"",V34*U34,"")</f>
        <v>0</v>
      </c>
      <c r="X34" s="670">
        <f>IF(Q34&lt;&gt;"",W34+T34,"")</f>
        <v>0</v>
      </c>
      <c r="Y34" s="641">
        <f>IF(Q34&lt;&gt;"",X34+M34,"")</f>
        <v>0</v>
      </c>
      <c r="Z34" s="644" t="e">
        <f>IF(Q34&lt;&gt;"",U34/K34,"")</f>
        <v>#DIV/0!</v>
      </c>
      <c r="AA34" s="644"/>
    </row>
    <row r="35" spans="1:40" ht="48.6" x14ac:dyDescent="0.3">
      <c r="A35" s="619">
        <v>21</v>
      </c>
      <c r="B35" s="610" t="s">
        <v>419</v>
      </c>
      <c r="C35" s="620" t="s">
        <v>115</v>
      </c>
      <c r="D35" s="619" t="s">
        <v>127</v>
      </c>
      <c r="E35" s="619" t="s">
        <v>117</v>
      </c>
      <c r="F35" s="701" t="s">
        <v>420</v>
      </c>
      <c r="G35" s="702" t="s">
        <v>421</v>
      </c>
      <c r="H35" s="703">
        <v>3</v>
      </c>
      <c r="I35" s="703">
        <v>1</v>
      </c>
      <c r="J35" s="704">
        <v>1725</v>
      </c>
      <c r="K35" s="705">
        <f t="shared" si="18"/>
        <v>5175</v>
      </c>
      <c r="L35" s="705">
        <f t="shared" si="19"/>
        <v>388.125</v>
      </c>
      <c r="M35" s="705">
        <f t="shared" si="20"/>
        <v>1350.1656673294399</v>
      </c>
      <c r="N35" s="706">
        <f t="shared" si="21"/>
        <v>6913.2906673294401</v>
      </c>
      <c r="P35" s="32"/>
      <c r="Q35" s="707">
        <v>1</v>
      </c>
      <c r="R35" s="708">
        <v>1</v>
      </c>
      <c r="S35" s="709">
        <v>4500</v>
      </c>
      <c r="T35" s="709">
        <f t="shared" si="22"/>
        <v>4500</v>
      </c>
      <c r="U35" s="710">
        <f t="shared" si="14"/>
        <v>675</v>
      </c>
      <c r="V35" s="711">
        <f t="shared" si="23"/>
        <v>0</v>
      </c>
      <c r="W35" s="712">
        <f t="shared" si="24"/>
        <v>0</v>
      </c>
      <c r="X35" s="712">
        <f t="shared" si="25"/>
        <v>4500</v>
      </c>
      <c r="Y35" s="713">
        <f t="shared" si="15"/>
        <v>5850.1656673294401</v>
      </c>
      <c r="Z35" s="643">
        <f t="shared" si="16"/>
        <v>0.13043478260869565</v>
      </c>
      <c r="AA35" s="644">
        <f>T35/$T$43</f>
        <v>1.3305185474285511E-2</v>
      </c>
    </row>
    <row r="36" spans="1:40" ht="48.6" x14ac:dyDescent="0.3">
      <c r="A36" s="697">
        <v>22</v>
      </c>
      <c r="B36" s="610" t="s">
        <v>422</v>
      </c>
      <c r="C36" s="698" t="s">
        <v>115</v>
      </c>
      <c r="D36" s="626" t="s">
        <v>127</v>
      </c>
      <c r="E36" s="626" t="s">
        <v>117</v>
      </c>
      <c r="F36" s="696" t="s">
        <v>423</v>
      </c>
      <c r="G36" s="629" t="s">
        <v>424</v>
      </c>
      <c r="H36" s="630">
        <v>1</v>
      </c>
      <c r="I36" s="630">
        <v>0</v>
      </c>
      <c r="J36" s="632">
        <v>920</v>
      </c>
      <c r="K36" s="632">
        <f>IF(F36&lt;&gt;"",H36*I36*J36,"")</f>
        <v>0</v>
      </c>
      <c r="L36" s="632">
        <f>IF(K36&lt;&gt;"",IF(D36="INTERNO",0,K36*$L$14),"")</f>
        <v>0</v>
      </c>
      <c r="M36" s="632">
        <f>IF(K36&lt;&gt;"",IF(E36="FAT.OGGI",SUM(K36:L36)*(1/(1-$M$14)-1),L36*(1/(1-$M$14)-1)),"")</f>
        <v>0</v>
      </c>
      <c r="N36" s="632">
        <f>SUM(K36:M36)</f>
        <v>0</v>
      </c>
      <c r="P36" s="32"/>
      <c r="Q36" s="699">
        <f>IF(H36&lt;&gt;"",H36,"")</f>
        <v>1</v>
      </c>
      <c r="R36" s="700">
        <f>IF(I36&lt;&gt;"",I36,"")</f>
        <v>0</v>
      </c>
      <c r="S36" s="667">
        <v>800</v>
      </c>
      <c r="T36" s="667">
        <f>IF(Q36&lt;&gt;"",Q36*R36*S36,"")</f>
        <v>0</v>
      </c>
      <c r="U36" s="668">
        <f>IF(Q36&lt;&gt;"",K36-T36,"")</f>
        <v>0</v>
      </c>
      <c r="V36" s="669">
        <f>IF(Q36&lt;&gt;"",0%,"")</f>
        <v>0</v>
      </c>
      <c r="W36" s="670">
        <f>IF(Q36&lt;&gt;"",V36*U36,"")</f>
        <v>0</v>
      </c>
      <c r="X36" s="670">
        <f>IF(Q36&lt;&gt;"",W36+T36,"")</f>
        <v>0</v>
      </c>
      <c r="Y36" s="641">
        <f>IF(Q36&lt;&gt;"",X36+M36,"")</f>
        <v>0</v>
      </c>
      <c r="Z36" s="644" t="e">
        <f>IF(Q36&lt;&gt;"",U36/K36,"")</f>
        <v>#DIV/0!</v>
      </c>
      <c r="AA36" s="644"/>
    </row>
    <row r="37" spans="1:40" ht="64.8" x14ac:dyDescent="0.3">
      <c r="A37" s="619">
        <v>23</v>
      </c>
      <c r="B37" s="610" t="s">
        <v>425</v>
      </c>
      <c r="C37" s="620" t="s">
        <v>115</v>
      </c>
      <c r="D37" s="619" t="s">
        <v>127</v>
      </c>
      <c r="E37" s="619" t="s">
        <v>117</v>
      </c>
      <c r="F37" s="701" t="s">
        <v>426</v>
      </c>
      <c r="G37" s="714" t="s">
        <v>427</v>
      </c>
      <c r="H37" s="715">
        <v>1</v>
      </c>
      <c r="I37" s="715">
        <v>1</v>
      </c>
      <c r="J37" s="705">
        <v>1725</v>
      </c>
      <c r="K37" s="705">
        <f t="shared" si="18"/>
        <v>1725</v>
      </c>
      <c r="L37" s="705">
        <f t="shared" si="19"/>
        <v>129.375</v>
      </c>
      <c r="M37" s="705">
        <f t="shared" si="20"/>
        <v>450.05522244314665</v>
      </c>
      <c r="N37" s="716">
        <f t="shared" si="21"/>
        <v>2304.4302224431467</v>
      </c>
      <c r="P37" s="32"/>
      <c r="Q37" s="707">
        <f t="shared" si="13"/>
        <v>1</v>
      </c>
      <c r="R37" s="708">
        <v>1</v>
      </c>
      <c r="S37" s="709">
        <v>1500</v>
      </c>
      <c r="T37" s="709">
        <f t="shared" si="22"/>
        <v>1500</v>
      </c>
      <c r="U37" s="710">
        <f t="shared" si="14"/>
        <v>225</v>
      </c>
      <c r="V37" s="711">
        <f t="shared" si="23"/>
        <v>0</v>
      </c>
      <c r="W37" s="712">
        <f t="shared" si="24"/>
        <v>0</v>
      </c>
      <c r="X37" s="712">
        <f t="shared" si="25"/>
        <v>1500</v>
      </c>
      <c r="Y37" s="713">
        <f t="shared" si="15"/>
        <v>1950.0552224431467</v>
      </c>
      <c r="Z37" s="643">
        <f t="shared" si="16"/>
        <v>0.13043478260869565</v>
      </c>
      <c r="AA37" s="644">
        <f>T37/$T$43</f>
        <v>4.4350618247618375E-3</v>
      </c>
    </row>
    <row r="38" spans="1:40" ht="48.6" x14ac:dyDescent="0.3">
      <c r="A38" s="626">
        <v>24</v>
      </c>
      <c r="B38" s="610" t="s">
        <v>428</v>
      </c>
      <c r="C38" s="627" t="s">
        <v>115</v>
      </c>
      <c r="D38" s="626" t="s">
        <v>127</v>
      </c>
      <c r="E38" s="626" t="s">
        <v>117</v>
      </c>
      <c r="F38" s="681" t="s">
        <v>429</v>
      </c>
      <c r="G38" s="682" t="s">
        <v>430</v>
      </c>
      <c r="H38" s="683">
        <v>1</v>
      </c>
      <c r="I38" s="683">
        <v>1</v>
      </c>
      <c r="J38" s="633">
        <v>8050</v>
      </c>
      <c r="K38" s="633">
        <f t="shared" si="18"/>
        <v>8050</v>
      </c>
      <c r="L38" s="633">
        <f t="shared" si="19"/>
        <v>603.75</v>
      </c>
      <c r="M38" s="633">
        <f t="shared" si="20"/>
        <v>2100.2577047346845</v>
      </c>
      <c r="N38" s="634">
        <f t="shared" si="21"/>
        <v>10754.007704734684</v>
      </c>
      <c r="P38" s="32"/>
      <c r="Q38" s="684">
        <f t="shared" si="13"/>
        <v>1</v>
      </c>
      <c r="R38" s="685">
        <v>1</v>
      </c>
      <c r="S38" s="694">
        <v>7681</v>
      </c>
      <c r="T38" s="694">
        <f t="shared" si="22"/>
        <v>7681</v>
      </c>
      <c r="U38" s="687">
        <f t="shared" si="14"/>
        <v>369</v>
      </c>
      <c r="V38" s="688">
        <f t="shared" si="23"/>
        <v>0</v>
      </c>
      <c r="W38" s="689">
        <f t="shared" si="24"/>
        <v>0</v>
      </c>
      <c r="X38" s="689">
        <f t="shared" si="25"/>
        <v>7681</v>
      </c>
      <c r="Y38" s="690">
        <f t="shared" si="15"/>
        <v>9781.257704734684</v>
      </c>
      <c r="Z38" s="717">
        <f t="shared" si="16"/>
        <v>4.5838509316770186E-2</v>
      </c>
      <c r="AA38" s="644">
        <f>T38/$T$43</f>
        <v>2.271047325066378E-2</v>
      </c>
    </row>
    <row r="39" spans="1:40" ht="32.1" customHeight="1" x14ac:dyDescent="0.3">
      <c r="A39" s="718">
        <v>25</v>
      </c>
      <c r="B39" s="610" t="s">
        <v>431</v>
      </c>
      <c r="C39" s="719" t="s">
        <v>115</v>
      </c>
      <c r="D39" s="720" t="s">
        <v>127</v>
      </c>
      <c r="E39" s="721" t="s">
        <v>117</v>
      </c>
      <c r="F39" s="722" t="s">
        <v>432</v>
      </c>
      <c r="G39" s="723" t="s">
        <v>433</v>
      </c>
      <c r="H39" s="724">
        <v>1</v>
      </c>
      <c r="I39" s="724">
        <v>0</v>
      </c>
      <c r="J39" s="725">
        <v>11800</v>
      </c>
      <c r="K39" s="726">
        <f>IF(F39&lt;&gt;"",H39*I39*J39,"")</f>
        <v>0</v>
      </c>
      <c r="L39" s="726">
        <f>IF(K39&lt;&gt;"",IF(D39="INTERNO",0,K39*$L$14),"")</f>
        <v>0</v>
      </c>
      <c r="M39" s="726">
        <f>IF(K39&lt;&gt;"",IF(E39="FAT.OGGI",SUM(K39:L39)*(1/(1-$M$14)-1),L39*(1/(1-$M$14)-1)),"")</f>
        <v>0</v>
      </c>
      <c r="N39" s="726">
        <f>SUM(K39:M39)</f>
        <v>0</v>
      </c>
      <c r="P39" s="32"/>
      <c r="Q39" s="727">
        <f>IF(H39&lt;&gt;"",H39,"")</f>
        <v>1</v>
      </c>
      <c r="R39" s="728">
        <f>IF(I39&lt;&gt;"",I39,"")</f>
        <v>0</v>
      </c>
      <c r="S39" s="729"/>
      <c r="T39" s="729">
        <f>IF(Q39&lt;&gt;"",Q39*R39*S39,"")</f>
        <v>0</v>
      </c>
      <c r="U39" s="730">
        <f>IF(Q39&lt;&gt;"",K39-T39,"")</f>
        <v>0</v>
      </c>
      <c r="V39" s="731">
        <f>IF(Q39&lt;&gt;"",0%,"")</f>
        <v>0</v>
      </c>
      <c r="W39" s="732">
        <f>IF(Q39&lt;&gt;"",V39*U39,"")</f>
        <v>0</v>
      </c>
      <c r="X39" s="732">
        <f>IF(Q39&lt;&gt;"",W39+T39,"")</f>
        <v>0</v>
      </c>
      <c r="Y39" s="732">
        <f>IF(Q39&lt;&gt;"",X39+M39,"")</f>
        <v>0</v>
      </c>
      <c r="Z39" s="733" t="e">
        <f>IF(Q39&lt;&gt;"",U39/K39,"")</f>
        <v>#DIV/0!</v>
      </c>
      <c r="AA39" s="643"/>
    </row>
    <row r="40" spans="1:40" ht="64.8" x14ac:dyDescent="0.35">
      <c r="A40" s="734">
        <v>26</v>
      </c>
      <c r="B40" s="610" t="s">
        <v>434</v>
      </c>
      <c r="C40" s="735" t="s">
        <v>115</v>
      </c>
      <c r="D40" s="720" t="s">
        <v>127</v>
      </c>
      <c r="E40" s="721" t="s">
        <v>117</v>
      </c>
      <c r="F40" s="722" t="s">
        <v>435</v>
      </c>
      <c r="G40" s="736" t="s">
        <v>436</v>
      </c>
      <c r="H40" s="737">
        <v>1</v>
      </c>
      <c r="I40" s="737">
        <v>1</v>
      </c>
      <c r="J40" s="726">
        <v>41850</v>
      </c>
      <c r="K40" s="726">
        <f>IF(F40&lt;&gt;"",H40*I40*J40,"")</f>
        <v>41850</v>
      </c>
      <c r="L40" s="726">
        <f>IF(K40&lt;&gt;"",IF(D40="INTERNO",0,K40*$L$14),"")</f>
        <v>3138.75</v>
      </c>
      <c r="M40" s="726">
        <f>IF(K40&lt;&gt;"",IF(E40="FAT.OGGI",SUM(K40:L40)*(1/(1-$M$14)-1),L40*(1/(1-$M$14)-1)),"")</f>
        <v>10918.731048838079</v>
      </c>
      <c r="N40" s="726">
        <f>SUM(K40:M40)</f>
        <v>55907.481048838075</v>
      </c>
      <c r="P40" s="32"/>
      <c r="Q40" s="727">
        <f t="shared" si="13"/>
        <v>1</v>
      </c>
      <c r="R40" s="738">
        <v>1</v>
      </c>
      <c r="S40" s="739">
        <v>49700</v>
      </c>
      <c r="T40" s="729">
        <f>IF(Q40&lt;&gt;"",Q40*R40*S40,"")</f>
        <v>49700</v>
      </c>
      <c r="U40" s="730">
        <f t="shared" si="14"/>
        <v>-7850</v>
      </c>
      <c r="V40" s="731">
        <f>IF(Q40&lt;&gt;"",0%,"")</f>
        <v>0</v>
      </c>
      <c r="W40" s="732">
        <f>IF(Q40&lt;&gt;"",V40*U40,"")</f>
        <v>0</v>
      </c>
      <c r="X40" s="732">
        <f>IF(Q40&lt;&gt;"",W40+T40,"")</f>
        <v>49700</v>
      </c>
      <c r="Y40" s="732">
        <f t="shared" si="15"/>
        <v>60618.731048838075</v>
      </c>
      <c r="Z40" s="733">
        <f t="shared" si="16"/>
        <v>-0.18757467144563919</v>
      </c>
      <c r="AA40" s="643">
        <f>T40/$T$43</f>
        <v>0.14694838179377553</v>
      </c>
      <c r="AC40" s="653">
        <v>24850</v>
      </c>
      <c r="AD40" s="740">
        <f>T40-AC40</f>
        <v>24850</v>
      </c>
      <c r="AE40" s="655">
        <v>46042</v>
      </c>
      <c r="AG40" s="656" t="s">
        <v>437</v>
      </c>
      <c r="AH40" s="657" t="s">
        <v>438</v>
      </c>
    </row>
    <row r="41" spans="1:40" ht="153" customHeight="1" x14ac:dyDescent="0.3">
      <c r="A41" s="721">
        <v>27</v>
      </c>
      <c r="B41" s="610" t="s">
        <v>439</v>
      </c>
      <c r="C41" s="741" t="s">
        <v>115</v>
      </c>
      <c r="D41" s="742" t="s">
        <v>127</v>
      </c>
      <c r="E41" s="743" t="s">
        <v>117</v>
      </c>
      <c r="F41" s="744" t="s">
        <v>440</v>
      </c>
      <c r="G41" s="745" t="s">
        <v>441</v>
      </c>
      <c r="H41" s="660">
        <v>1</v>
      </c>
      <c r="I41" s="660">
        <v>1</v>
      </c>
      <c r="J41" s="746">
        <v>58000</v>
      </c>
      <c r="K41" s="662">
        <f>IF(F41&lt;&gt;"",H41*I41*J41,"")</f>
        <v>58000</v>
      </c>
      <c r="L41" s="662">
        <f>IF(K41&lt;&gt;"",IF(D41="INTERNO",0,K41*$L$14),"")</f>
        <v>4350</v>
      </c>
      <c r="M41" s="662">
        <f>IF(K41&lt;&gt;"",IF(E41="FAT.OGGI",SUM(K41:L41)*(1/(1-$M$14)-1),L41*(1/(1-$M$14)-1)),"")</f>
        <v>15132.291537218844</v>
      </c>
      <c r="N41" s="662">
        <f>SUM(K41:M41)</f>
        <v>77482.291537218844</v>
      </c>
      <c r="P41" s="32"/>
      <c r="Q41" s="747">
        <f t="shared" si="13"/>
        <v>1</v>
      </c>
      <c r="R41" s="748">
        <v>1</v>
      </c>
      <c r="S41" s="749">
        <f>62800+84477+62800</f>
        <v>210077</v>
      </c>
      <c r="T41" s="750">
        <f>IF(Q41&lt;&gt;"",Q41*R41*S41,"")</f>
        <v>210077</v>
      </c>
      <c r="U41" s="751">
        <f t="shared" si="14"/>
        <v>-152077</v>
      </c>
      <c r="V41" s="752">
        <f>IF(Q41&lt;&gt;"",0%,"")</f>
        <v>0</v>
      </c>
      <c r="W41" s="753">
        <f>IF(Q41&lt;&gt;"",V41*U41,"")</f>
        <v>0</v>
      </c>
      <c r="X41" s="753">
        <f>IF(Q41&lt;&gt;"",W41+T41,"")</f>
        <v>210077</v>
      </c>
      <c r="Y41" s="753">
        <f t="shared" si="15"/>
        <v>225209.29153721884</v>
      </c>
      <c r="Z41" s="754">
        <f t="shared" si="16"/>
        <v>-2.6220172413793104</v>
      </c>
      <c r="AA41" s="644">
        <f>T41/$T$43</f>
        <v>0.62113632197366164</v>
      </c>
      <c r="AB41" s="686">
        <v>46200</v>
      </c>
      <c r="AM41" s="36">
        <f>AB41*10%</f>
        <v>4620</v>
      </c>
      <c r="AN41" s="36">
        <f>AB41-AM41</f>
        <v>41580</v>
      </c>
    </row>
    <row r="42" spans="1:40" ht="130.19999999999999" thickBot="1" x14ac:dyDescent="0.35">
      <c r="A42" s="755">
        <v>28</v>
      </c>
      <c r="B42" s="610" t="s">
        <v>442</v>
      </c>
      <c r="C42" s="735" t="s">
        <v>115</v>
      </c>
      <c r="D42" s="720" t="s">
        <v>127</v>
      </c>
      <c r="E42" s="721" t="s">
        <v>117</v>
      </c>
      <c r="F42" s="756" t="s">
        <v>443</v>
      </c>
      <c r="G42" s="757" t="s">
        <v>444</v>
      </c>
      <c r="H42" s="758">
        <v>1</v>
      </c>
      <c r="I42" s="758">
        <v>1</v>
      </c>
      <c r="J42" s="759">
        <v>16927.2</v>
      </c>
      <c r="K42" s="759">
        <f>IF(F42&lt;&gt;"",H42*I42*J42,"")</f>
        <v>16927.2</v>
      </c>
      <c r="L42" s="759">
        <f>IF(K42&lt;&gt;"",IF(D42="INTERNO",0,K42*$L$14),"")</f>
        <v>1269.54</v>
      </c>
      <c r="M42" s="759">
        <f>IF(K42&lt;&gt;"",IF(E42="FAT.OGGI",SUM(K42:L42)*(1/(1-$M$14)-1),L42*(1/(1-$M$14)-1)),"")</f>
        <v>4416.3331949794974</v>
      </c>
      <c r="N42" s="760">
        <f>SUM(K42:M42)</f>
        <v>22613.073194979501</v>
      </c>
      <c r="P42" s="32"/>
      <c r="Q42" s="664">
        <f t="shared" si="13"/>
        <v>1</v>
      </c>
      <c r="R42" s="761">
        <v>1</v>
      </c>
      <c r="S42" s="762">
        <v>8790</v>
      </c>
      <c r="T42" s="667">
        <f>IF(Q42&lt;&gt;"",Q42*R42*S42,"")</f>
        <v>8790</v>
      </c>
      <c r="U42" s="668">
        <f t="shared" si="14"/>
        <v>8137.2000000000007</v>
      </c>
      <c r="V42" s="669">
        <f>IF(Q42&lt;&gt;"",0%,"")</f>
        <v>0</v>
      </c>
      <c r="W42" s="670">
        <f>IF(Q42&lt;&gt;"",V42*U42,"")</f>
        <v>0</v>
      </c>
      <c r="X42" s="670">
        <f>IF(Q42&lt;&gt;"",W42+T42,"")</f>
        <v>8790</v>
      </c>
      <c r="Y42" s="642">
        <f t="shared" si="15"/>
        <v>13206.333194979497</v>
      </c>
      <c r="Z42" s="643">
        <f t="shared" si="16"/>
        <v>0.48071742520913091</v>
      </c>
      <c r="AA42" s="644">
        <f>T42/$T$43</f>
        <v>2.5989462293104365E-2</v>
      </c>
      <c r="AB42" s="647">
        <v>11020</v>
      </c>
      <c r="AM42" s="36">
        <f t="shared" ref="AM42:AM43" si="26">AB42*9%</f>
        <v>991.8</v>
      </c>
      <c r="AN42" s="36">
        <f t="shared" ref="AN42:AN43" si="27">AB42-AM42</f>
        <v>10028.200000000001</v>
      </c>
    </row>
    <row r="43" spans="1:40" ht="30" customHeight="1" thickBot="1" x14ac:dyDescent="0.4">
      <c r="A43" s="619">
        <v>29</v>
      </c>
      <c r="B43" s="610"/>
      <c r="C43" s="620" t="s">
        <v>123</v>
      </c>
      <c r="D43" s="619"/>
      <c r="E43" s="619"/>
      <c r="F43" s="1115" t="s">
        <v>445</v>
      </c>
      <c r="G43" s="1116"/>
      <c r="H43" s="1116"/>
      <c r="I43" s="1116"/>
      <c r="J43" s="1116"/>
      <c r="K43" s="763">
        <f>SUM(K28:K42)</f>
        <v>162230.70000000001</v>
      </c>
      <c r="L43" s="763">
        <f>SUM(L28:L42)</f>
        <v>12167.302500000002</v>
      </c>
      <c r="M43" s="763">
        <f>SUM(M28:M42)</f>
        <v>42326.245667018775</v>
      </c>
      <c r="N43" s="764">
        <f>SUM(N28:N42)</f>
        <v>216724.24816701876</v>
      </c>
      <c r="P43" s="32"/>
      <c r="Q43" s="1117"/>
      <c r="R43" s="1101"/>
      <c r="S43" s="1101"/>
      <c r="T43" s="765">
        <f>SUM(T28:T42)</f>
        <v>338214</v>
      </c>
      <c r="U43" s="766">
        <f>SUM(U28:U42)</f>
        <v>-175983.3</v>
      </c>
      <c r="V43" s="767"/>
      <c r="W43" s="767"/>
      <c r="X43" s="768">
        <f>SUM(X28:X42)</f>
        <v>338214</v>
      </c>
      <c r="Y43" s="769" t="str">
        <f t="shared" si="15"/>
        <v/>
      </c>
      <c r="AB43" s="750">
        <v>37300</v>
      </c>
      <c r="AM43" s="36">
        <f t="shared" si="26"/>
        <v>3357</v>
      </c>
      <c r="AN43" s="36">
        <f t="shared" si="27"/>
        <v>33943</v>
      </c>
    </row>
    <row r="44" spans="1:40" ht="36.75" customHeight="1" thickBot="1" x14ac:dyDescent="0.4">
      <c r="A44" s="626">
        <v>30</v>
      </c>
      <c r="B44" s="610">
        <v>3</v>
      </c>
      <c r="C44" s="627" t="s">
        <v>109</v>
      </c>
      <c r="D44" s="626"/>
      <c r="E44" s="626"/>
      <c r="F44" s="1108" t="s">
        <v>446</v>
      </c>
      <c r="G44" s="1106"/>
      <c r="H44" s="1106"/>
      <c r="I44" s="1106"/>
      <c r="J44" s="1106"/>
      <c r="K44" s="1106"/>
      <c r="L44" s="1106"/>
      <c r="M44" s="1106"/>
      <c r="N44" s="1109"/>
      <c r="P44" s="32"/>
      <c r="Q44" s="1118" t="str">
        <f>IF(F44&lt;&gt;"",F44,"")</f>
        <v>MATERIAL GRÁFICO</v>
      </c>
      <c r="R44" s="1119"/>
      <c r="S44" s="1119"/>
      <c r="T44" s="1119"/>
      <c r="U44" s="1119"/>
      <c r="V44" s="1119"/>
      <c r="W44" s="1119"/>
      <c r="X44" s="1119"/>
      <c r="Y44" s="1120"/>
      <c r="AB44" s="36">
        <f>SUM(AB41:AB43)</f>
        <v>94520</v>
      </c>
      <c r="AN44" s="36">
        <f>SUM(AN41:AN43)</f>
        <v>85551.2</v>
      </c>
    </row>
    <row r="45" spans="1:40" ht="30" customHeight="1" x14ac:dyDescent="0.35">
      <c r="A45" s="626">
        <v>31</v>
      </c>
      <c r="B45" s="610" t="s">
        <v>134</v>
      </c>
      <c r="C45" s="627" t="s">
        <v>110</v>
      </c>
      <c r="D45" s="626"/>
      <c r="E45" s="626"/>
      <c r="F45" s="1113" t="s">
        <v>446</v>
      </c>
      <c r="G45" s="1111"/>
      <c r="H45" s="1111"/>
      <c r="I45" s="1111"/>
      <c r="J45" s="1111"/>
      <c r="K45" s="1112"/>
      <c r="L45" s="621" t="s">
        <v>112</v>
      </c>
      <c r="M45" s="622" t="s">
        <v>113</v>
      </c>
      <c r="N45" s="770" t="s">
        <v>82</v>
      </c>
      <c r="P45" s="32"/>
      <c r="Q45" s="1113" t="str">
        <f>IF(F45&lt;&gt;"",F45,"")</f>
        <v>MATERIAL GRÁFICO</v>
      </c>
      <c r="R45" s="1111"/>
      <c r="S45" s="1111"/>
      <c r="T45" s="1111"/>
      <c r="U45" s="1111"/>
      <c r="V45" s="1111"/>
      <c r="W45" s="1111"/>
      <c r="X45" s="1111"/>
      <c r="Y45" s="1114"/>
      <c r="Z45" s="624" t="s">
        <v>114</v>
      </c>
      <c r="AA45" s="625" t="s">
        <v>83</v>
      </c>
    </row>
    <row r="46" spans="1:40" ht="16.2" x14ac:dyDescent="0.3">
      <c r="A46" s="626">
        <v>32</v>
      </c>
      <c r="B46" s="610" t="s">
        <v>138</v>
      </c>
      <c r="C46" s="627" t="s">
        <v>115</v>
      </c>
      <c r="D46" s="626" t="s">
        <v>127</v>
      </c>
      <c r="E46" s="626" t="s">
        <v>117</v>
      </c>
      <c r="F46" s="771" t="s">
        <v>447</v>
      </c>
      <c r="G46" s="772" t="s">
        <v>448</v>
      </c>
      <c r="H46" s="773">
        <v>350</v>
      </c>
      <c r="I46" s="773">
        <v>1</v>
      </c>
      <c r="J46" s="774">
        <v>4.8</v>
      </c>
      <c r="K46" s="632">
        <f>IF(F46&lt;&gt;"",H46*I46*J46,"")</f>
        <v>1680</v>
      </c>
      <c r="L46" s="632">
        <f>IF(K46&lt;&gt;"",IF(D46="INTERNO",0,K46*$L$14),"")</f>
        <v>126</v>
      </c>
      <c r="M46" s="632">
        <f>IF(K46&lt;&gt;"",IF(E46="FAT.OGGI",SUM(K46:L46)*(1/(1-$M$14)-1),L46*(1/(1-$M$14)-1)),"")</f>
        <v>438.31465142289068</v>
      </c>
      <c r="N46" s="775">
        <f>SUM(K46:M46)</f>
        <v>2244.3146514228906</v>
      </c>
      <c r="P46" s="32"/>
      <c r="Q46" s="776">
        <v>350</v>
      </c>
      <c r="R46" s="776">
        <v>1</v>
      </c>
      <c r="S46" s="777">
        <v>5.2</v>
      </c>
      <c r="T46" s="694">
        <f>IF(Q46&lt;&gt;"",Q46*R46*S46,"")</f>
        <v>1820</v>
      </c>
      <c r="U46" s="687">
        <f>IF(Q46&lt;&gt;"",K46-T46,"")</f>
        <v>-140</v>
      </c>
      <c r="V46" s="688">
        <f>IF(Q46&lt;&gt;"",0%,"")</f>
        <v>0</v>
      </c>
      <c r="W46" s="689">
        <f>IF(Q46&lt;&gt;"",V46*U46,"")</f>
        <v>0</v>
      </c>
      <c r="X46" s="689">
        <f>IF(Q46&lt;&gt;"",W46+T46,"")</f>
        <v>1820</v>
      </c>
      <c r="Y46" s="690">
        <f>IF(Q46&lt;&gt;"",X46+M46,"")</f>
        <v>2258.3146514228906</v>
      </c>
      <c r="Z46" s="643">
        <f>IF(Q46&lt;&gt;"",U46/K46,"")</f>
        <v>-8.3333333333333329E-2</v>
      </c>
      <c r="AA46" s="644">
        <f>T46/$T$50</f>
        <v>0.36143381987886009</v>
      </c>
    </row>
    <row r="47" spans="1:40" ht="16.2" x14ac:dyDescent="0.3">
      <c r="A47" s="626">
        <v>33</v>
      </c>
      <c r="B47" s="610" t="s">
        <v>139</v>
      </c>
      <c r="C47" s="627" t="s">
        <v>115</v>
      </c>
      <c r="D47" s="626" t="s">
        <v>127</v>
      </c>
      <c r="E47" s="626" t="s">
        <v>117</v>
      </c>
      <c r="F47" s="771" t="s">
        <v>449</v>
      </c>
      <c r="G47" s="772" t="s">
        <v>450</v>
      </c>
      <c r="H47" s="773">
        <v>350</v>
      </c>
      <c r="I47" s="773">
        <v>1</v>
      </c>
      <c r="J47" s="774">
        <v>5.1150000000000002</v>
      </c>
      <c r="K47" s="632">
        <f t="shared" ref="K47:K49" si="28">IF(F47&lt;&gt;"",H47*I47*J47,"")</f>
        <v>1790.25</v>
      </c>
      <c r="L47" s="632">
        <f t="shared" ref="L47:L49" si="29">IF(K47&lt;&gt;"",IF(D47="INTERNO",0,K47*$L$14),"")</f>
        <v>134.26874999999998</v>
      </c>
      <c r="M47" s="632">
        <f t="shared" ref="M47:M49" si="30">IF(K47&lt;&gt;"",IF(E47="FAT.OGGI",SUM(K47:L47)*(1/(1-$M$14)-1),L47*(1/(1-$M$14)-1)),"")</f>
        <v>467.07905042251787</v>
      </c>
      <c r="N47" s="775">
        <f t="shared" ref="N47:N49" si="31">SUM(K47:M47)</f>
        <v>2391.597800422518</v>
      </c>
      <c r="P47" s="32"/>
      <c r="Q47" s="778">
        <v>350</v>
      </c>
      <c r="R47" s="776">
        <v>1</v>
      </c>
      <c r="S47" s="777">
        <v>4.7</v>
      </c>
      <c r="T47" s="694">
        <f t="shared" ref="T47:T49" si="32">IF(Q47&lt;&gt;"",Q47*R47*S47,"")</f>
        <v>1645</v>
      </c>
      <c r="U47" s="687">
        <f>IF(Q47&lt;&gt;"",K47-T47,"")</f>
        <v>145.25</v>
      </c>
      <c r="V47" s="688">
        <f t="shared" ref="V47:V49" si="33">IF(Q47&lt;&gt;"",0%,"")</f>
        <v>0</v>
      </c>
      <c r="W47" s="689">
        <f t="shared" ref="W47:W49" si="34">IF(Q47&lt;&gt;"",V47*U47,"")</f>
        <v>0</v>
      </c>
      <c r="X47" s="689">
        <f t="shared" ref="X47:X49" si="35">IF(Q47&lt;&gt;"",W47+T47,"")</f>
        <v>1645</v>
      </c>
      <c r="Y47" s="690">
        <f>IF(Q47&lt;&gt;"",X47+M47,"")</f>
        <v>2112.0790504225179</v>
      </c>
      <c r="Z47" s="643">
        <f>IF(Q47&lt;&gt;"",U47/K47,"")</f>
        <v>8.113391984359726E-2</v>
      </c>
      <c r="AA47" s="644">
        <f>T47/$T$50</f>
        <v>0.32668056796743122</v>
      </c>
    </row>
    <row r="48" spans="1:40" ht="16.2" x14ac:dyDescent="0.3">
      <c r="A48" s="626">
        <v>34</v>
      </c>
      <c r="B48" s="610" t="s">
        <v>173</v>
      </c>
      <c r="C48" s="627" t="s">
        <v>115</v>
      </c>
      <c r="D48" s="626" t="s">
        <v>127</v>
      </c>
      <c r="E48" s="626" t="s">
        <v>117</v>
      </c>
      <c r="F48" s="771" t="s">
        <v>451</v>
      </c>
      <c r="G48" s="772" t="s">
        <v>452</v>
      </c>
      <c r="H48" s="773">
        <v>350</v>
      </c>
      <c r="I48" s="773">
        <v>1</v>
      </c>
      <c r="J48" s="774">
        <v>6.27</v>
      </c>
      <c r="K48" s="632">
        <f t="shared" si="28"/>
        <v>2194.5</v>
      </c>
      <c r="L48" s="632">
        <f t="shared" si="29"/>
        <v>164.58750000000001</v>
      </c>
      <c r="M48" s="632">
        <f t="shared" si="30"/>
        <v>572.54851342115091</v>
      </c>
      <c r="N48" s="775">
        <f t="shared" si="31"/>
        <v>2931.6360134211509</v>
      </c>
      <c r="P48" s="32"/>
      <c r="Q48" s="778">
        <v>350</v>
      </c>
      <c r="R48" s="776">
        <v>1</v>
      </c>
      <c r="S48" s="777">
        <v>3.99</v>
      </c>
      <c r="T48" s="694">
        <f t="shared" si="32"/>
        <v>1396.5</v>
      </c>
      <c r="U48" s="687">
        <f>IF(Q48&lt;&gt;"",K48-T48,"")</f>
        <v>798</v>
      </c>
      <c r="V48" s="688">
        <f t="shared" si="33"/>
        <v>0</v>
      </c>
      <c r="W48" s="689">
        <f t="shared" si="34"/>
        <v>0</v>
      </c>
      <c r="X48" s="689">
        <f t="shared" si="35"/>
        <v>1396.5</v>
      </c>
      <c r="Y48" s="690">
        <f>IF(Q48&lt;&gt;"",X48+M48,"")</f>
        <v>1969.0485134211508</v>
      </c>
      <c r="Z48" s="643">
        <f>IF(Q48&lt;&gt;"",U48/K48,"")</f>
        <v>0.36363636363636365</v>
      </c>
      <c r="AA48" s="644">
        <f>T48/$T$50</f>
        <v>0.27733095025320226</v>
      </c>
    </row>
    <row r="49" spans="1:34" ht="16.2" x14ac:dyDescent="0.3">
      <c r="A49" s="626">
        <v>35</v>
      </c>
      <c r="B49" s="610" t="s">
        <v>198</v>
      </c>
      <c r="C49" s="627" t="s">
        <v>115</v>
      </c>
      <c r="D49" s="626" t="s">
        <v>127</v>
      </c>
      <c r="E49" s="626" t="s">
        <v>117</v>
      </c>
      <c r="F49" s="771" t="s">
        <v>453</v>
      </c>
      <c r="G49" s="772" t="s">
        <v>454</v>
      </c>
      <c r="H49" s="773">
        <v>80</v>
      </c>
      <c r="I49" s="773">
        <v>1</v>
      </c>
      <c r="J49" s="774">
        <v>8.4</v>
      </c>
      <c r="K49" s="632">
        <f t="shared" si="28"/>
        <v>672</v>
      </c>
      <c r="L49" s="632">
        <f t="shared" si="29"/>
        <v>50.4</v>
      </c>
      <c r="M49" s="632">
        <f t="shared" si="30"/>
        <v>175.32586056915625</v>
      </c>
      <c r="N49" s="775">
        <f t="shared" si="31"/>
        <v>897.72586056915623</v>
      </c>
      <c r="P49" s="32"/>
      <c r="Q49" s="778">
        <v>30</v>
      </c>
      <c r="R49" s="776">
        <v>1</v>
      </c>
      <c r="S49" s="777">
        <v>5.8</v>
      </c>
      <c r="T49" s="667">
        <f t="shared" si="32"/>
        <v>174</v>
      </c>
      <c r="U49" s="668">
        <f>IF(Q49&lt;&gt;"",K49-T49,"")</f>
        <v>498</v>
      </c>
      <c r="V49" s="669">
        <f t="shared" si="33"/>
        <v>0</v>
      </c>
      <c r="W49" s="670">
        <f t="shared" si="34"/>
        <v>0</v>
      </c>
      <c r="X49" s="670">
        <f t="shared" si="35"/>
        <v>174</v>
      </c>
      <c r="Y49" s="642">
        <f>IF(Q49&lt;&gt;"",X49+M49,"")</f>
        <v>349.32586056915625</v>
      </c>
      <c r="Z49" s="643">
        <f>IF(Q49&lt;&gt;"",U49/K49,"")</f>
        <v>0.7410714285714286</v>
      </c>
      <c r="AA49" s="644">
        <f>T49/$T$50</f>
        <v>3.4554661900506406E-2</v>
      </c>
    </row>
    <row r="50" spans="1:34" ht="30" customHeight="1" thickBot="1" x14ac:dyDescent="0.4">
      <c r="A50" s="619">
        <v>36</v>
      </c>
      <c r="B50" s="610"/>
      <c r="C50" s="620" t="s">
        <v>123</v>
      </c>
      <c r="D50" s="619"/>
      <c r="E50" s="619"/>
      <c r="F50" s="1121" t="s">
        <v>455</v>
      </c>
      <c r="G50" s="1101"/>
      <c r="H50" s="1101"/>
      <c r="I50" s="1101"/>
      <c r="J50" s="1101"/>
      <c r="K50" s="779">
        <f>SUM(K46:K49)</f>
        <v>6336.75</v>
      </c>
      <c r="L50" s="780">
        <f>SUM(L46:L49)</f>
        <v>475.25624999999991</v>
      </c>
      <c r="M50" s="780">
        <f>SUM(M46:M49)</f>
        <v>1653.2680758357155</v>
      </c>
      <c r="N50" s="781">
        <f>SUM(N46:N49)</f>
        <v>8465.274325835715</v>
      </c>
      <c r="P50" s="32"/>
      <c r="Q50" s="1117"/>
      <c r="R50" s="1122"/>
      <c r="S50" s="1123"/>
      <c r="T50" s="782">
        <f>SUM(T46:T49)</f>
        <v>5035.5</v>
      </c>
      <c r="U50" s="783">
        <f>SUM(U46:U49)</f>
        <v>1301.25</v>
      </c>
      <c r="V50" s="784"/>
      <c r="W50" s="785"/>
      <c r="X50" s="786">
        <f>SUM(X46:X49)</f>
        <v>5035.5</v>
      </c>
      <c r="Y50" s="787" t="str">
        <f>IF(Q50&lt;&gt;"",X50+M50,"")</f>
        <v/>
      </c>
      <c r="Z50" s="788"/>
    </row>
    <row r="51" spans="1:34" ht="36.75" customHeight="1" thickBot="1" x14ac:dyDescent="0.4">
      <c r="A51" s="626">
        <v>37</v>
      </c>
      <c r="B51" s="610">
        <v>4</v>
      </c>
      <c r="C51" s="627" t="s">
        <v>109</v>
      </c>
      <c r="D51" s="626"/>
      <c r="E51" s="626"/>
      <c r="F51" s="1108" t="s">
        <v>456</v>
      </c>
      <c r="G51" s="1106"/>
      <c r="H51" s="1106"/>
      <c r="I51" s="1106"/>
      <c r="J51" s="1106"/>
      <c r="K51" s="1106"/>
      <c r="L51" s="1106"/>
      <c r="M51" s="1106"/>
      <c r="N51" s="1109"/>
      <c r="P51" s="32"/>
      <c r="Q51" s="1124" t="str">
        <f>IF(F51&lt;&gt;"",F51,"")</f>
        <v>TAXAS</v>
      </c>
      <c r="R51" s="1125"/>
      <c r="S51" s="1125"/>
      <c r="T51" s="1125"/>
      <c r="U51" s="1125"/>
      <c r="V51" s="1125"/>
      <c r="W51" s="1125"/>
      <c r="X51" s="1125"/>
      <c r="Y51" s="1126"/>
      <c r="Z51" s="788"/>
    </row>
    <row r="52" spans="1:34" ht="30" customHeight="1" x14ac:dyDescent="0.35">
      <c r="A52" s="626">
        <v>38</v>
      </c>
      <c r="B52" s="610" t="s">
        <v>457</v>
      </c>
      <c r="C52" s="627" t="s">
        <v>110</v>
      </c>
      <c r="D52" s="626"/>
      <c r="E52" s="626"/>
      <c r="F52" s="1113" t="s">
        <v>458</v>
      </c>
      <c r="G52" s="1111"/>
      <c r="H52" s="1111"/>
      <c r="I52" s="1111"/>
      <c r="J52" s="1111"/>
      <c r="K52" s="1112"/>
      <c r="L52" s="789" t="s">
        <v>112</v>
      </c>
      <c r="M52" s="790" t="s">
        <v>113</v>
      </c>
      <c r="N52" s="791" t="s">
        <v>82</v>
      </c>
      <c r="P52" s="32"/>
      <c r="Q52" s="1127" t="str">
        <f>IF(F52&lt;&gt;"",F52,"")</f>
        <v xml:space="preserve">TAXAS </v>
      </c>
      <c r="R52" s="1128"/>
      <c r="S52" s="1128"/>
      <c r="T52" s="1128"/>
      <c r="U52" s="1128"/>
      <c r="V52" s="1128"/>
      <c r="W52" s="1128"/>
      <c r="X52" s="1128"/>
      <c r="Y52" s="1129"/>
      <c r="Z52" s="792" t="s">
        <v>114</v>
      </c>
      <c r="AA52" s="625" t="s">
        <v>83</v>
      </c>
    </row>
    <row r="53" spans="1:34" ht="32.4" x14ac:dyDescent="0.35">
      <c r="A53" s="626">
        <v>39</v>
      </c>
      <c r="B53" s="610" t="s">
        <v>459</v>
      </c>
      <c r="C53" s="627" t="s">
        <v>115</v>
      </c>
      <c r="D53" s="626" t="s">
        <v>127</v>
      </c>
      <c r="E53" s="626" t="s">
        <v>117</v>
      </c>
      <c r="F53" s="793" t="s">
        <v>460</v>
      </c>
      <c r="G53" s="794" t="s">
        <v>461</v>
      </c>
      <c r="H53" s="648">
        <v>1</v>
      </c>
      <c r="I53" s="648">
        <v>1</v>
      </c>
      <c r="J53" s="795">
        <v>1076.0340000000001</v>
      </c>
      <c r="K53" s="633">
        <f>IF(F53&lt;&gt;"",H53*I53*J53,"")</f>
        <v>1076.0340000000001</v>
      </c>
      <c r="L53" s="796">
        <f>IF(K53&lt;&gt;"",IF(D53="INTERNO",0,K53*$L$14),"")</f>
        <v>80.702550000000002</v>
      </c>
      <c r="M53" s="796">
        <f>IF(K53&lt;&gt;"",IF(E53="FAT.OGGI",SUM(K53:L53)*(1/(1-$M$14)-1),L53*(1/(1-$M$14)-1)),"")</f>
        <v>280.73896882689212</v>
      </c>
      <c r="N53" s="797">
        <f>SUM(K53:M53)</f>
        <v>1437.4755188268923</v>
      </c>
      <c r="P53" s="32"/>
      <c r="Q53" s="684">
        <f>IF(H53&lt;&gt;"",H53,"")</f>
        <v>1</v>
      </c>
      <c r="R53" s="685">
        <v>1</v>
      </c>
      <c r="S53" s="798">
        <v>814.28</v>
      </c>
      <c r="T53" s="694">
        <f>IF(Q53&lt;&gt;"",Q53*R53*S53,"")</f>
        <v>814.28</v>
      </c>
      <c r="U53" s="687">
        <f>IF(Q53&lt;&gt;"",K53-T53,"")</f>
        <v>261.75400000000013</v>
      </c>
      <c r="V53" s="688">
        <f>IF(Q53&lt;&gt;"",0%,"")</f>
        <v>0</v>
      </c>
      <c r="W53" s="689">
        <f>IF(Q53&lt;&gt;"",V53*U53,"")</f>
        <v>0</v>
      </c>
      <c r="X53" s="799">
        <f>IF(Q53&lt;&gt;"",W53+T53,"")</f>
        <v>814.28</v>
      </c>
      <c r="Y53" s="800">
        <f>IF(Q53&lt;&gt;"",X53+M53,"")</f>
        <v>1095.018968826892</v>
      </c>
      <c r="Z53" s="643">
        <f>IF(Q53&lt;&gt;"",U53/K53,"")</f>
        <v>0.24325811266186767</v>
      </c>
      <c r="AA53" s="644">
        <f>T53/$T$55</f>
        <v>0.19324446511760365</v>
      </c>
      <c r="AC53" s="653">
        <v>1628.53</v>
      </c>
      <c r="AD53" s="654">
        <f>T53-AC53</f>
        <v>-814.25</v>
      </c>
      <c r="AE53" s="655">
        <v>46027</v>
      </c>
      <c r="AG53" s="656" t="s">
        <v>462</v>
      </c>
      <c r="AH53" s="657" t="s">
        <v>463</v>
      </c>
    </row>
    <row r="54" spans="1:34" ht="30.75" customHeight="1" x14ac:dyDescent="0.35">
      <c r="A54" s="626">
        <v>40</v>
      </c>
      <c r="B54" s="610" t="s">
        <v>464</v>
      </c>
      <c r="C54" s="627" t="s">
        <v>115</v>
      </c>
      <c r="D54" s="626" t="s">
        <v>127</v>
      </c>
      <c r="E54" s="626" t="s">
        <v>117</v>
      </c>
      <c r="F54" s="793" t="s">
        <v>465</v>
      </c>
      <c r="G54" s="801" t="s">
        <v>466</v>
      </c>
      <c r="H54" s="648">
        <v>1</v>
      </c>
      <c r="I54" s="648">
        <v>1</v>
      </c>
      <c r="J54" s="795">
        <v>4500</v>
      </c>
      <c r="K54" s="632">
        <f>IF(F54&lt;&gt;"",H54*I54*J54,"")</f>
        <v>4500</v>
      </c>
      <c r="L54" s="802">
        <f>IF(K54&lt;&gt;"",IF(D54="INTERNO",0,K54*$L$14),"")</f>
        <v>337.5</v>
      </c>
      <c r="M54" s="802">
        <f>IF(K54&lt;&gt;"",IF(E54="FAT.OGGI",SUM(K54:L54)*(1/(1-$M$14)-1),L54*(1/(1-$M$14)-1)),"")</f>
        <v>1174.0571020256</v>
      </c>
      <c r="N54" s="803">
        <f>SUM(K54:M54)</f>
        <v>6011.5571020256002</v>
      </c>
      <c r="P54" s="32"/>
      <c r="Q54" s="664">
        <f>IF(H54&lt;&gt;"",H54,"")</f>
        <v>1</v>
      </c>
      <c r="R54" s="804">
        <f>IF(I54&lt;&gt;"",I54,"")</f>
        <v>1</v>
      </c>
      <c r="S54" s="805">
        <v>3399.45</v>
      </c>
      <c r="T54" s="667">
        <f>IF(Q54&lt;&gt;"",Q54*R54*S54,"")</f>
        <v>3399.45</v>
      </c>
      <c r="U54" s="668">
        <f>IF(Q54&lt;&gt;"",K54-T54,"")</f>
        <v>1100.5500000000002</v>
      </c>
      <c r="V54" s="669">
        <f>IF(Q54&lt;&gt;"",0%,"")</f>
        <v>0</v>
      </c>
      <c r="W54" s="670">
        <f>IF(Q54&lt;&gt;"",V54*U54,"")</f>
        <v>0</v>
      </c>
      <c r="X54" s="806">
        <f>IF(Q54&lt;&gt;"",W54+T54,"")</f>
        <v>3399.45</v>
      </c>
      <c r="Y54" s="807">
        <f>IF(Q54&lt;&gt;"",X54+M54,"")</f>
        <v>4573.5071020256</v>
      </c>
      <c r="Z54" s="643">
        <f>IF(Q54&lt;&gt;"",U54/K54,"")</f>
        <v>0.24456666666666671</v>
      </c>
      <c r="AA54" s="644">
        <f>T54/$T$55</f>
        <v>0.80675553488239637</v>
      </c>
      <c r="AC54" s="653">
        <v>0</v>
      </c>
      <c r="AD54" s="654">
        <f>T54-AC54</f>
        <v>3399.45</v>
      </c>
      <c r="AE54" s="655">
        <v>46027</v>
      </c>
      <c r="AG54" s="656" t="s">
        <v>467</v>
      </c>
      <c r="AH54" s="657" t="s">
        <v>468</v>
      </c>
    </row>
    <row r="55" spans="1:34" ht="30" customHeight="1" thickBot="1" x14ac:dyDescent="0.4">
      <c r="A55" s="671">
        <v>41</v>
      </c>
      <c r="B55" s="610"/>
      <c r="C55" s="672" t="s">
        <v>123</v>
      </c>
      <c r="D55" s="671"/>
      <c r="E55" s="671"/>
      <c r="F55" s="1130" t="s">
        <v>208</v>
      </c>
      <c r="G55" s="1131"/>
      <c r="H55" s="1131"/>
      <c r="I55" s="1131"/>
      <c r="J55" s="1131"/>
      <c r="K55" s="673">
        <f>SUM(K53:K54)</f>
        <v>5576.0339999999997</v>
      </c>
      <c r="L55" s="673">
        <f>SUM(L53:L54)</f>
        <v>418.20254999999997</v>
      </c>
      <c r="M55" s="673">
        <f>SUM(M53:M54)</f>
        <v>1454.796070852492</v>
      </c>
      <c r="N55" s="781">
        <f>SUM(N53:N54)</f>
        <v>7449.032620852493</v>
      </c>
      <c r="P55" s="32"/>
      <c r="Q55" s="1102"/>
      <c r="R55" s="1103"/>
      <c r="S55" s="1104"/>
      <c r="T55" s="782">
        <f>SUM(T53:T54)</f>
        <v>4213.7299999999996</v>
      </c>
      <c r="U55" s="783">
        <f>SUM(U53:U54)</f>
        <v>1362.3040000000003</v>
      </c>
      <c r="V55" s="784"/>
      <c r="W55" s="785"/>
      <c r="X55" s="786">
        <f>SUM(X53:X54)</f>
        <v>4213.7299999999996</v>
      </c>
      <c r="Y55" s="787" t="str">
        <f>IF(Q55&lt;&gt;"",X55+M55,"")</f>
        <v/>
      </c>
      <c r="Z55" s="788"/>
    </row>
    <row r="56" spans="1:34" ht="36.75" customHeight="1" thickBot="1" x14ac:dyDescent="0.4">
      <c r="A56" s="619">
        <v>42</v>
      </c>
      <c r="B56" s="610">
        <v>5</v>
      </c>
      <c r="C56" s="620" t="s">
        <v>109</v>
      </c>
      <c r="D56" s="619"/>
      <c r="E56" s="619"/>
      <c r="F56" s="1118" t="s">
        <v>469</v>
      </c>
      <c r="G56" s="1119"/>
      <c r="H56" s="1119"/>
      <c r="I56" s="1119"/>
      <c r="J56" s="1119"/>
      <c r="K56" s="1119"/>
      <c r="L56" s="1119"/>
      <c r="M56" s="1119"/>
      <c r="N56" s="1120"/>
      <c r="P56" s="32"/>
      <c r="Q56" s="1132" t="str">
        <f>IF(F56&lt;&gt;"",F56,"")</f>
        <v>FESTA</v>
      </c>
      <c r="R56" s="1133"/>
      <c r="S56" s="1133"/>
      <c r="T56" s="1133"/>
      <c r="U56" s="1133"/>
      <c r="V56" s="1133"/>
      <c r="W56" s="1133"/>
      <c r="X56" s="1133"/>
      <c r="Y56" s="1134"/>
    </row>
    <row r="57" spans="1:34" ht="30" customHeight="1" x14ac:dyDescent="0.35">
      <c r="A57" s="626">
        <v>43</v>
      </c>
      <c r="B57" s="610" t="s">
        <v>470</v>
      </c>
      <c r="C57" s="627" t="s">
        <v>110</v>
      </c>
      <c r="D57" s="626"/>
      <c r="E57" s="626"/>
      <c r="F57" s="1135" t="s">
        <v>469</v>
      </c>
      <c r="G57" s="1136"/>
      <c r="H57" s="1136"/>
      <c r="I57" s="1136"/>
      <c r="J57" s="1136"/>
      <c r="K57" s="1137"/>
      <c r="L57" s="621" t="s">
        <v>112</v>
      </c>
      <c r="M57" s="622" t="s">
        <v>113</v>
      </c>
      <c r="N57" s="770" t="s">
        <v>82</v>
      </c>
      <c r="P57" s="32"/>
      <c r="Q57" s="1138" t="str">
        <f>IF(F57&lt;&gt;"",F57,"")</f>
        <v>FESTA</v>
      </c>
      <c r="R57" s="1139"/>
      <c r="S57" s="1139"/>
      <c r="T57" s="1139"/>
      <c r="U57" s="1139"/>
      <c r="V57" s="1139"/>
      <c r="W57" s="1139"/>
      <c r="X57" s="1139"/>
      <c r="Y57" s="1140"/>
      <c r="Z57" s="624" t="s">
        <v>114</v>
      </c>
      <c r="AA57" s="625" t="s">
        <v>83</v>
      </c>
    </row>
    <row r="58" spans="1:34" ht="16.2" x14ac:dyDescent="0.3">
      <c r="A58" s="671">
        <v>44</v>
      </c>
      <c r="B58" s="610" t="s">
        <v>471</v>
      </c>
      <c r="C58" s="672" t="s">
        <v>115</v>
      </c>
      <c r="D58" s="671" t="s">
        <v>127</v>
      </c>
      <c r="E58" s="671" t="s">
        <v>117</v>
      </c>
      <c r="F58" s="808" t="s">
        <v>472</v>
      </c>
      <c r="G58" s="809" t="s">
        <v>473</v>
      </c>
      <c r="H58" s="810">
        <v>1</v>
      </c>
      <c r="I58" s="811">
        <v>1</v>
      </c>
      <c r="J58" s="812">
        <v>3500</v>
      </c>
      <c r="K58" s="632">
        <f t="shared" ref="K58:K61" si="36">IF(F58&lt;&gt;"",H58*I58*J58,"")</f>
        <v>3500</v>
      </c>
      <c r="L58" s="632">
        <f t="shared" ref="L58:L61" si="37">IF(K58&lt;&gt;"",IF(D58="INTERNO",0,K58*$L$14),"")</f>
        <v>262.5</v>
      </c>
      <c r="M58" s="632">
        <f t="shared" ref="M58:M61" si="38">IF(K58&lt;&gt;"",IF(E58="FAT.OGGI",SUM(K58:L58)*(1/(1-$M$14)-1),L58*(1/(1-$M$14)-1)),"")</f>
        <v>913.15552379768883</v>
      </c>
      <c r="N58" s="632">
        <f t="shared" ref="N58:N61" si="39">SUM(K58:M58)</f>
        <v>4675.6555237976891</v>
      </c>
      <c r="P58" s="32"/>
      <c r="Q58" s="699">
        <f>IF(H58&lt;&gt;"",H58,"")</f>
        <v>1</v>
      </c>
      <c r="R58" s="804">
        <f>IF(I58&lt;&gt;"",I58,"")</f>
        <v>1</v>
      </c>
      <c r="S58" s="762">
        <v>2500</v>
      </c>
      <c r="T58" s="813">
        <f t="shared" ref="T58:T61" si="40">IF(Q58&lt;&gt;"",Q58*R58*S58,"")</f>
        <v>2500</v>
      </c>
      <c r="U58" s="668">
        <f>IF(Q58&lt;&gt;"",K58-T58,"")</f>
        <v>1000</v>
      </c>
      <c r="V58" s="669">
        <f t="shared" ref="V58:V61" si="41">IF(Q58&lt;&gt;"",0%,"")</f>
        <v>0</v>
      </c>
      <c r="W58" s="670">
        <f t="shared" ref="W58:W61" si="42">IF(Q58&lt;&gt;"",V58*U58,"")</f>
        <v>0</v>
      </c>
      <c r="X58" s="670">
        <f t="shared" ref="X58:X61" si="43">IF(Q58&lt;&gt;"",W58+T58,"")</f>
        <v>2500</v>
      </c>
      <c r="Y58" s="641">
        <f>IF(Q58&lt;&gt;"",X58+M58,"")</f>
        <v>3413.1555237976891</v>
      </c>
      <c r="Z58" s="644">
        <f>IF(Q58&lt;&gt;"",U58/K58,"")</f>
        <v>0.2857142857142857</v>
      </c>
      <c r="AA58" s="644">
        <f>T58/$T$62</f>
        <v>0.20776198786669992</v>
      </c>
    </row>
    <row r="59" spans="1:34" ht="16.2" x14ac:dyDescent="0.3">
      <c r="A59" s="626">
        <v>45</v>
      </c>
      <c r="B59" s="610" t="s">
        <v>474</v>
      </c>
      <c r="C59" s="627" t="s">
        <v>115</v>
      </c>
      <c r="D59" s="626" t="s">
        <v>127</v>
      </c>
      <c r="E59" s="626" t="s">
        <v>117</v>
      </c>
      <c r="F59" s="814" t="s">
        <v>475</v>
      </c>
      <c r="G59" s="815" t="s">
        <v>476</v>
      </c>
      <c r="H59" s="810">
        <v>1</v>
      </c>
      <c r="I59" s="811">
        <v>1</v>
      </c>
      <c r="J59" s="812">
        <v>3300</v>
      </c>
      <c r="K59" s="633">
        <f>IF(F59&lt;&gt;"",H59*I59*J59,"")</f>
        <v>3300</v>
      </c>
      <c r="L59" s="633">
        <f>IF(K59&lt;&gt;"",IF(D59="INTERNO",0,K59*$L$14),"")</f>
        <v>247.5</v>
      </c>
      <c r="M59" s="633">
        <f>IF(K59&lt;&gt;"",IF(E59="FAT.OGGI",SUM(K59:L59)*(1/(1-$M$14)-1),L59*(1/(1-$M$14)-1)),"")</f>
        <v>860.97520815210669</v>
      </c>
      <c r="N59" s="816">
        <f>SUM(K59:M59)</f>
        <v>4408.4752081521065</v>
      </c>
      <c r="P59" s="32"/>
      <c r="Q59" s="635">
        <f>IF(H59&lt;&gt;"",H59,"")</f>
        <v>1</v>
      </c>
      <c r="R59" s="636">
        <f>IF(I59&lt;&gt;"",I59,"")</f>
        <v>1</v>
      </c>
      <c r="S59" s="646">
        <v>1158</v>
      </c>
      <c r="T59" s="647">
        <f>IF(Q59&lt;&gt;"",Q59*R59*S59,"")</f>
        <v>1158</v>
      </c>
      <c r="U59" s="639">
        <f>IF(Q59&lt;&gt;"",K59-T59,"")</f>
        <v>2142</v>
      </c>
      <c r="V59" s="640">
        <f>IF(Q59&lt;&gt;"",0%,"")</f>
        <v>0</v>
      </c>
      <c r="W59" s="641">
        <f>IF(Q59&lt;&gt;"",V59*U59,"")</f>
        <v>0</v>
      </c>
      <c r="X59" s="641">
        <f>IF(Q59&lt;&gt;"",W59+T59,"")</f>
        <v>1158</v>
      </c>
      <c r="Y59" s="642">
        <f>IF(Q59&lt;&gt;"",X59+M59,"")</f>
        <v>2018.9752081521067</v>
      </c>
      <c r="Z59" s="643">
        <f>IF(Q59&lt;&gt;"",U59/K59,"")</f>
        <v>0.64909090909090905</v>
      </c>
      <c r="AA59" s="644">
        <f>T59/$T$62</f>
        <v>9.6235352779855399E-2</v>
      </c>
    </row>
    <row r="60" spans="1:34" ht="32.4" x14ac:dyDescent="0.3">
      <c r="A60" s="626">
        <v>46</v>
      </c>
      <c r="B60" s="610" t="s">
        <v>477</v>
      </c>
      <c r="C60" s="627" t="s">
        <v>115</v>
      </c>
      <c r="D60" s="626" t="s">
        <v>127</v>
      </c>
      <c r="E60" s="626" t="s">
        <v>117</v>
      </c>
      <c r="F60" s="814" t="s">
        <v>478</v>
      </c>
      <c r="G60" s="629" t="s">
        <v>479</v>
      </c>
      <c r="H60" s="810">
        <v>1</v>
      </c>
      <c r="I60" s="683">
        <v>1</v>
      </c>
      <c r="J60" s="812">
        <v>6612</v>
      </c>
      <c r="K60" s="632">
        <f>IF(F60&lt;&gt;"",H60*I60*J60,"")</f>
        <v>6612</v>
      </c>
      <c r="L60" s="632">
        <f>IF(K60&lt;&gt;"",IF(D60="INTERNO",0,K60*$L$14),"")</f>
        <v>495.9</v>
      </c>
      <c r="M60" s="632">
        <f>IF(K60&lt;&gt;"",IF(E60="FAT.OGGI",SUM(K60:L60)*(1/(1-$M$14)-1),L60*(1/(1-$M$14)-1)),"")</f>
        <v>1725.0812352429482</v>
      </c>
      <c r="N60" s="775">
        <f>SUM(K60:M60)</f>
        <v>8832.9812352429472</v>
      </c>
      <c r="O60" s="817"/>
      <c r="P60" s="818"/>
      <c r="Q60" s="635">
        <f>IF(H60&lt;&gt;"",H60,"")</f>
        <v>1</v>
      </c>
      <c r="R60" s="819">
        <v>1</v>
      </c>
      <c r="S60" s="820">
        <v>2875</v>
      </c>
      <c r="T60" s="638">
        <f>IF(Q60&lt;&gt;"",Q60*R60*S60,"")</f>
        <v>2875</v>
      </c>
      <c r="U60" s="639">
        <f>IF(Q60&lt;&gt;"",K60-T60,"")</f>
        <v>3737</v>
      </c>
      <c r="V60" s="640">
        <f>IF(Q60&lt;&gt;"",0%,"")</f>
        <v>0</v>
      </c>
      <c r="W60" s="641">
        <f>IF(Q60&lt;&gt;"",V60*U60,"")</f>
        <v>0</v>
      </c>
      <c r="X60" s="641">
        <f>IF(Q60&lt;&gt;"",W60+T60,"")</f>
        <v>2875</v>
      </c>
      <c r="Y60" s="642">
        <f>IF(Q60&lt;&gt;"",X60+M60,"")</f>
        <v>4600.0812352429484</v>
      </c>
      <c r="Z60" s="643">
        <f>IF(Q60&lt;&gt;"",U60/K60,"")</f>
        <v>0.56518451300665462</v>
      </c>
      <c r="AA60" s="644">
        <f>T60/$T$62</f>
        <v>0.23892628604670491</v>
      </c>
    </row>
    <row r="61" spans="1:34" ht="32.4" x14ac:dyDescent="0.3">
      <c r="A61" s="626">
        <v>47</v>
      </c>
      <c r="B61" s="610" t="s">
        <v>480</v>
      </c>
      <c r="C61" s="627" t="s">
        <v>115</v>
      </c>
      <c r="D61" s="626" t="s">
        <v>127</v>
      </c>
      <c r="E61" s="626" t="s">
        <v>117</v>
      </c>
      <c r="F61" s="814" t="s">
        <v>481</v>
      </c>
      <c r="G61" s="809" t="s">
        <v>482</v>
      </c>
      <c r="H61" s="810">
        <v>1</v>
      </c>
      <c r="I61" s="630">
        <v>1</v>
      </c>
      <c r="J61" s="812">
        <v>7250</v>
      </c>
      <c r="K61" s="632">
        <f t="shared" si="36"/>
        <v>7250</v>
      </c>
      <c r="L61" s="632">
        <f t="shared" si="37"/>
        <v>543.75</v>
      </c>
      <c r="M61" s="632">
        <f t="shared" si="38"/>
        <v>1891.5364421523554</v>
      </c>
      <c r="N61" s="775">
        <f t="shared" si="39"/>
        <v>9685.2864421523554</v>
      </c>
      <c r="P61" s="32"/>
      <c r="Q61" s="635">
        <f>IF(H61&lt;&gt;"",H61,"")</f>
        <v>1</v>
      </c>
      <c r="R61" s="819">
        <v>1</v>
      </c>
      <c r="S61" s="637">
        <v>5500</v>
      </c>
      <c r="T61" s="638">
        <f t="shared" si="40"/>
        <v>5500</v>
      </c>
      <c r="U61" s="639">
        <f>IF(Q61&lt;&gt;"",K61-T61,"")</f>
        <v>1750</v>
      </c>
      <c r="V61" s="640">
        <f t="shared" si="41"/>
        <v>0</v>
      </c>
      <c r="W61" s="641">
        <f t="shared" si="42"/>
        <v>0</v>
      </c>
      <c r="X61" s="641">
        <f t="shared" si="43"/>
        <v>5500</v>
      </c>
      <c r="Y61" s="642">
        <f>IF(Q61&lt;&gt;"",X61+M61,"")</f>
        <v>7391.5364421523554</v>
      </c>
      <c r="Z61" s="643">
        <f>IF(Q61&lt;&gt;"",U61/K61,"")</f>
        <v>0.2413793103448276</v>
      </c>
      <c r="AA61" s="644">
        <f>T61/$T$62</f>
        <v>0.45707637330673978</v>
      </c>
    </row>
    <row r="62" spans="1:34" ht="30" customHeight="1" thickBot="1" x14ac:dyDescent="0.4">
      <c r="A62" s="626">
        <v>48</v>
      </c>
      <c r="B62" s="610"/>
      <c r="C62" s="627" t="s">
        <v>123</v>
      </c>
      <c r="D62" s="626"/>
      <c r="E62" s="626"/>
      <c r="F62" s="1121" t="s">
        <v>483</v>
      </c>
      <c r="G62" s="1101"/>
      <c r="H62" s="1101"/>
      <c r="I62" s="1101"/>
      <c r="J62" s="1101"/>
      <c r="K62" s="821">
        <f>SUM(K58:K61)</f>
        <v>20662</v>
      </c>
      <c r="L62" s="821">
        <f>SUM(L58:L61)</f>
        <v>1549.65</v>
      </c>
      <c r="M62" s="821">
        <f>SUM(M58:M61)</f>
        <v>5390.7484093450994</v>
      </c>
      <c r="N62" s="822">
        <f>SUM(N58:N61)</f>
        <v>27602.3984093451</v>
      </c>
      <c r="P62" s="32"/>
      <c r="Q62" s="1141"/>
      <c r="R62" s="1142"/>
      <c r="S62" s="1142"/>
      <c r="T62" s="823">
        <f>SUM(T58:T61)</f>
        <v>12033</v>
      </c>
      <c r="U62" s="824">
        <f>SUM(U58:U61)</f>
        <v>8629</v>
      </c>
      <c r="V62" s="825"/>
      <c r="W62" s="825"/>
      <c r="X62" s="826">
        <f>SUM(X58:X61)</f>
        <v>12033</v>
      </c>
      <c r="Y62" s="827" t="str">
        <f>IF(Q62&lt;&gt;"",X62+M62,"")</f>
        <v/>
      </c>
    </row>
    <row r="63" spans="1:34" ht="36.75" customHeight="1" thickBot="1" x14ac:dyDescent="0.4">
      <c r="A63" s="626">
        <v>49</v>
      </c>
      <c r="B63" s="610">
        <v>6</v>
      </c>
      <c r="C63" s="627" t="s">
        <v>109</v>
      </c>
      <c r="D63" s="626"/>
      <c r="E63" s="626"/>
      <c r="F63" s="1108" t="s">
        <v>484</v>
      </c>
      <c r="G63" s="1106"/>
      <c r="H63" s="1106"/>
      <c r="I63" s="1106"/>
      <c r="J63" s="1106"/>
      <c r="K63" s="1106"/>
      <c r="L63" s="1106"/>
      <c r="M63" s="1106"/>
      <c r="N63" s="1109"/>
      <c r="P63" s="32"/>
      <c r="Q63" s="1118" t="str">
        <f>IF(F63&lt;&gt;"",F63,"")</f>
        <v>SERVIÇOS</v>
      </c>
      <c r="R63" s="1119"/>
      <c r="S63" s="1119"/>
      <c r="T63" s="1119"/>
      <c r="U63" s="1119"/>
      <c r="V63" s="1119"/>
      <c r="W63" s="1119"/>
      <c r="X63" s="1119"/>
      <c r="Y63" s="1120"/>
    </row>
    <row r="64" spans="1:34" ht="30" customHeight="1" x14ac:dyDescent="0.35">
      <c r="A64" s="626">
        <v>50</v>
      </c>
      <c r="B64" s="610" t="s">
        <v>485</v>
      </c>
      <c r="C64" s="627" t="s">
        <v>110</v>
      </c>
      <c r="D64" s="626"/>
      <c r="E64" s="626"/>
      <c r="F64" s="1113" t="s">
        <v>484</v>
      </c>
      <c r="G64" s="1111"/>
      <c r="H64" s="1111"/>
      <c r="I64" s="1111"/>
      <c r="J64" s="1111"/>
      <c r="K64" s="1112"/>
      <c r="L64" s="621" t="s">
        <v>112</v>
      </c>
      <c r="M64" s="622" t="s">
        <v>113</v>
      </c>
      <c r="N64" s="770" t="s">
        <v>82</v>
      </c>
      <c r="P64" s="32"/>
      <c r="Q64" s="1113" t="str">
        <f>IF(F64&lt;&gt;"",F64,"")</f>
        <v>SERVIÇOS</v>
      </c>
      <c r="R64" s="1111"/>
      <c r="S64" s="1111"/>
      <c r="T64" s="1111"/>
      <c r="U64" s="1111"/>
      <c r="V64" s="1111"/>
      <c r="W64" s="1111"/>
      <c r="X64" s="1111"/>
      <c r="Y64" s="1114"/>
      <c r="Z64" s="624" t="s">
        <v>114</v>
      </c>
      <c r="AA64" s="625" t="s">
        <v>83</v>
      </c>
    </row>
    <row r="65" spans="1:34" ht="32.4" x14ac:dyDescent="0.3">
      <c r="A65" s="626">
        <v>51</v>
      </c>
      <c r="B65" s="610" t="s">
        <v>486</v>
      </c>
      <c r="C65" s="627" t="s">
        <v>115</v>
      </c>
      <c r="D65" s="626" t="s">
        <v>127</v>
      </c>
      <c r="E65" s="626" t="s">
        <v>117</v>
      </c>
      <c r="F65" s="793" t="s">
        <v>487</v>
      </c>
      <c r="G65" s="794" t="s">
        <v>488</v>
      </c>
      <c r="H65" s="630">
        <v>3</v>
      </c>
      <c r="I65" s="648">
        <v>1</v>
      </c>
      <c r="J65" s="795">
        <v>850</v>
      </c>
      <c r="K65" s="633">
        <f t="shared" ref="K65:K74" si="44">IF(F65&lt;&gt;"",H65*I65*J65,"")</f>
        <v>2550</v>
      </c>
      <c r="L65" s="633">
        <f t="shared" ref="L65:L74" si="45">IF(K65&lt;&gt;"",IF(D65="INTERNO",0,K65*$L$14),"")</f>
        <v>191.25</v>
      </c>
      <c r="M65" s="633">
        <f t="shared" ref="M65:M74" si="46">IF(K65&lt;&gt;"",IF(E65="FAT.OGGI",SUM(K65:L65)*(1/(1-$M$14)-1),L65*(1/(1-$M$14)-1)),"")</f>
        <v>665.29902448117332</v>
      </c>
      <c r="N65" s="816">
        <f t="shared" ref="N65:N74" si="47">SUM(K65:M65)</f>
        <v>3406.5490244811735</v>
      </c>
      <c r="P65" s="32"/>
      <c r="Q65" s="684">
        <v>1</v>
      </c>
      <c r="R65" s="828">
        <f t="shared" ref="R65:R74" si="48">IF(I65&lt;&gt;"",I65,"")</f>
        <v>1</v>
      </c>
      <c r="S65" s="829">
        <v>5900</v>
      </c>
      <c r="T65" s="686">
        <f t="shared" ref="T65:T74" si="49">IF(Q65&lt;&gt;"",Q65*R65*S65,"")</f>
        <v>5900</v>
      </c>
      <c r="U65" s="687">
        <f t="shared" ref="U65:U74" si="50">IF(Q65&lt;&gt;"",K65-T65,"")</f>
        <v>-3350</v>
      </c>
      <c r="V65" s="688">
        <f t="shared" ref="V65:V74" si="51">IF(Q65&lt;&gt;"",0%,"")</f>
        <v>0</v>
      </c>
      <c r="W65" s="689">
        <f t="shared" ref="W65:W74" si="52">IF(Q65&lt;&gt;"",V65*U65,"")</f>
        <v>0</v>
      </c>
      <c r="X65" s="689">
        <f t="shared" ref="X65:X74" si="53">IF(Q65&lt;&gt;"",W65+T65,"")</f>
        <v>5900</v>
      </c>
      <c r="Y65" s="690">
        <f t="shared" ref="Y65:Y75" si="54">IF(Q65&lt;&gt;"",X65+M65,"")</f>
        <v>6565.2990244811735</v>
      </c>
      <c r="Z65" s="643">
        <f t="shared" ref="Z65:Z74" si="55">IF(Q65&lt;&gt;"",U65/K65,"")</f>
        <v>-1.3137254901960784</v>
      </c>
      <c r="AA65" s="644">
        <f>T65/$T$75</f>
        <v>9.8594609047308698E-2</v>
      </c>
    </row>
    <row r="66" spans="1:34" ht="16.2" x14ac:dyDescent="0.3">
      <c r="A66" s="626">
        <v>52</v>
      </c>
      <c r="B66" s="610" t="s">
        <v>489</v>
      </c>
      <c r="C66" s="627" t="s">
        <v>115</v>
      </c>
      <c r="D66" s="626" t="s">
        <v>127</v>
      </c>
      <c r="E66" s="626" t="s">
        <v>117</v>
      </c>
      <c r="F66" s="793" t="s">
        <v>490</v>
      </c>
      <c r="G66" s="794" t="s">
        <v>491</v>
      </c>
      <c r="H66" s="630">
        <v>3</v>
      </c>
      <c r="I66" s="648">
        <v>1</v>
      </c>
      <c r="J66" s="795">
        <v>75</v>
      </c>
      <c r="K66" s="633">
        <f t="shared" si="44"/>
        <v>225</v>
      </c>
      <c r="L66" s="633">
        <f t="shared" si="45"/>
        <v>16.875</v>
      </c>
      <c r="M66" s="633">
        <f t="shared" si="46"/>
        <v>58.702855101280001</v>
      </c>
      <c r="N66" s="816">
        <f t="shared" si="47"/>
        <v>300.57785510128002</v>
      </c>
      <c r="P66" s="32"/>
      <c r="Q66" s="684">
        <v>1</v>
      </c>
      <c r="R66" s="828">
        <f t="shared" si="48"/>
        <v>1</v>
      </c>
      <c r="S66" s="829">
        <v>240</v>
      </c>
      <c r="T66" s="686">
        <f t="shared" si="49"/>
        <v>240</v>
      </c>
      <c r="U66" s="687">
        <f t="shared" si="50"/>
        <v>-15</v>
      </c>
      <c r="V66" s="688">
        <f t="shared" si="51"/>
        <v>0</v>
      </c>
      <c r="W66" s="689">
        <f t="shared" si="52"/>
        <v>0</v>
      </c>
      <c r="X66" s="689">
        <f t="shared" si="53"/>
        <v>240</v>
      </c>
      <c r="Y66" s="690">
        <f t="shared" si="54"/>
        <v>298.70285510128002</v>
      </c>
      <c r="Z66" s="643">
        <f t="shared" si="55"/>
        <v>-6.6666666666666666E-2</v>
      </c>
      <c r="AA66" s="644">
        <f>T66/$T$75</f>
        <v>4.010628164636286E-3</v>
      </c>
    </row>
    <row r="67" spans="1:34" ht="38.25" customHeight="1" x14ac:dyDescent="0.3">
      <c r="A67" s="584">
        <v>53</v>
      </c>
      <c r="B67" s="610" t="s">
        <v>492</v>
      </c>
      <c r="C67" s="830" t="s">
        <v>115</v>
      </c>
      <c r="D67" s="584" t="s">
        <v>127</v>
      </c>
      <c r="E67" s="584" t="s">
        <v>117</v>
      </c>
      <c r="F67" s="793" t="s">
        <v>493</v>
      </c>
      <c r="G67" s="794" t="s">
        <v>494</v>
      </c>
      <c r="H67" s="630">
        <v>1</v>
      </c>
      <c r="I67" s="630">
        <v>1</v>
      </c>
      <c r="J67" s="795">
        <v>1850</v>
      </c>
      <c r="K67" s="633">
        <f t="shared" si="44"/>
        <v>1850</v>
      </c>
      <c r="L67" s="633">
        <f t="shared" si="45"/>
        <v>138.75</v>
      </c>
      <c r="M67" s="633">
        <f t="shared" si="46"/>
        <v>482.66791972163554</v>
      </c>
      <c r="N67" s="816">
        <f t="shared" si="47"/>
        <v>2471.4179197216354</v>
      </c>
      <c r="P67" s="32"/>
      <c r="Q67" s="684">
        <f t="shared" ref="Q67:Q74" si="56">IF(H67&lt;&gt;"",H67,"")</f>
        <v>1</v>
      </c>
      <c r="R67" s="828">
        <f t="shared" si="48"/>
        <v>1</v>
      </c>
      <c r="S67" s="798">
        <v>1200</v>
      </c>
      <c r="T67" s="694">
        <f t="shared" si="49"/>
        <v>1200</v>
      </c>
      <c r="U67" s="687">
        <f t="shared" si="50"/>
        <v>650</v>
      </c>
      <c r="V67" s="688">
        <f t="shared" si="51"/>
        <v>0</v>
      </c>
      <c r="W67" s="689">
        <f t="shared" si="52"/>
        <v>0</v>
      </c>
      <c r="X67" s="689">
        <f t="shared" si="53"/>
        <v>1200</v>
      </c>
      <c r="Y67" s="690">
        <f t="shared" si="54"/>
        <v>1682.6679197216356</v>
      </c>
      <c r="Z67" s="643">
        <f t="shared" si="55"/>
        <v>0.35135135135135137</v>
      </c>
      <c r="AA67" s="644" t="e">
        <f>T67/$T$76</f>
        <v>#DIV/0!</v>
      </c>
    </row>
    <row r="68" spans="1:34" ht="32.4" x14ac:dyDescent="0.3">
      <c r="A68" s="584">
        <v>54</v>
      </c>
      <c r="B68" s="610" t="s">
        <v>495</v>
      </c>
      <c r="C68" s="830" t="s">
        <v>115</v>
      </c>
      <c r="D68" s="584" t="s">
        <v>127</v>
      </c>
      <c r="E68" s="584" t="s">
        <v>117</v>
      </c>
      <c r="F68" s="793" t="s">
        <v>496</v>
      </c>
      <c r="G68" s="794" t="s">
        <v>497</v>
      </c>
      <c r="H68" s="630">
        <v>1</v>
      </c>
      <c r="I68" s="630">
        <v>1</v>
      </c>
      <c r="J68" s="831">
        <v>1850</v>
      </c>
      <c r="K68" s="633">
        <f t="shared" si="44"/>
        <v>1850</v>
      </c>
      <c r="L68" s="633">
        <f t="shared" si="45"/>
        <v>138.75</v>
      </c>
      <c r="M68" s="633">
        <f t="shared" si="46"/>
        <v>482.66791972163554</v>
      </c>
      <c r="N68" s="816">
        <f t="shared" si="47"/>
        <v>2471.4179197216354</v>
      </c>
      <c r="P68" s="32"/>
      <c r="Q68" s="684">
        <f t="shared" si="56"/>
        <v>1</v>
      </c>
      <c r="R68" s="828">
        <f t="shared" si="48"/>
        <v>1</v>
      </c>
      <c r="S68" s="798">
        <v>1833</v>
      </c>
      <c r="T68" s="694">
        <f t="shared" si="49"/>
        <v>1833</v>
      </c>
      <c r="U68" s="687">
        <f t="shared" si="50"/>
        <v>17</v>
      </c>
      <c r="V68" s="688">
        <f t="shared" si="51"/>
        <v>0</v>
      </c>
      <c r="W68" s="689">
        <f t="shared" si="52"/>
        <v>0</v>
      </c>
      <c r="X68" s="689">
        <f t="shared" si="53"/>
        <v>1833</v>
      </c>
      <c r="Y68" s="690">
        <f t="shared" si="54"/>
        <v>2315.6679197216354</v>
      </c>
      <c r="Z68" s="643">
        <f t="shared" si="55"/>
        <v>9.189189189189189E-3</v>
      </c>
      <c r="AA68" s="644" t="e">
        <f>T68/$T$76</f>
        <v>#DIV/0!</v>
      </c>
    </row>
    <row r="69" spans="1:34" ht="32.4" x14ac:dyDescent="0.3">
      <c r="A69" s="584">
        <v>55</v>
      </c>
      <c r="B69" s="610" t="s">
        <v>498</v>
      </c>
      <c r="C69" s="830" t="s">
        <v>115</v>
      </c>
      <c r="D69" s="584" t="s">
        <v>127</v>
      </c>
      <c r="E69" s="584" t="s">
        <v>117</v>
      </c>
      <c r="F69" s="793" t="s">
        <v>493</v>
      </c>
      <c r="G69" s="794" t="s">
        <v>499</v>
      </c>
      <c r="H69" s="630">
        <v>1</v>
      </c>
      <c r="I69" s="630">
        <v>1</v>
      </c>
      <c r="J69" s="795">
        <v>1850</v>
      </c>
      <c r="K69" s="633">
        <f t="shared" si="44"/>
        <v>1850</v>
      </c>
      <c r="L69" s="633">
        <f t="shared" si="45"/>
        <v>138.75</v>
      </c>
      <c r="M69" s="633">
        <f t="shared" si="46"/>
        <v>482.66791972163554</v>
      </c>
      <c r="N69" s="816">
        <f t="shared" si="47"/>
        <v>2471.4179197216354</v>
      </c>
      <c r="P69" s="32"/>
      <c r="Q69" s="684">
        <f t="shared" si="56"/>
        <v>1</v>
      </c>
      <c r="R69" s="828">
        <f t="shared" si="48"/>
        <v>1</v>
      </c>
      <c r="S69" s="798">
        <v>1833</v>
      </c>
      <c r="T69" s="694">
        <f t="shared" si="49"/>
        <v>1833</v>
      </c>
      <c r="U69" s="687">
        <f t="shared" si="50"/>
        <v>17</v>
      </c>
      <c r="V69" s="688">
        <f t="shared" si="51"/>
        <v>0</v>
      </c>
      <c r="W69" s="689">
        <f t="shared" si="52"/>
        <v>0</v>
      </c>
      <c r="X69" s="689">
        <f t="shared" si="53"/>
        <v>1833</v>
      </c>
      <c r="Y69" s="690">
        <f t="shared" si="54"/>
        <v>2315.6679197216354</v>
      </c>
      <c r="Z69" s="643">
        <f t="shared" si="55"/>
        <v>9.189189189189189E-3</v>
      </c>
      <c r="AA69" s="644" t="e">
        <f>T69/$T$76</f>
        <v>#DIV/0!</v>
      </c>
    </row>
    <row r="70" spans="1:34" ht="48.6" x14ac:dyDescent="0.3">
      <c r="A70" s="626">
        <v>56</v>
      </c>
      <c r="B70" s="610" t="s">
        <v>500</v>
      </c>
      <c r="C70" s="627" t="s">
        <v>115</v>
      </c>
      <c r="D70" s="626" t="s">
        <v>127</v>
      </c>
      <c r="E70" s="626" t="s">
        <v>117</v>
      </c>
      <c r="F70" s="832" t="s">
        <v>501</v>
      </c>
      <c r="G70" s="794" t="s">
        <v>502</v>
      </c>
      <c r="H70" s="630">
        <v>1</v>
      </c>
      <c r="I70" s="648">
        <v>1</v>
      </c>
      <c r="J70" s="795">
        <v>2350</v>
      </c>
      <c r="K70" s="633">
        <f t="shared" si="44"/>
        <v>2350</v>
      </c>
      <c r="L70" s="633">
        <f t="shared" si="45"/>
        <v>176.25</v>
      </c>
      <c r="M70" s="633">
        <f t="shared" si="46"/>
        <v>613.11870883559106</v>
      </c>
      <c r="N70" s="816">
        <f t="shared" si="47"/>
        <v>3139.368708835591</v>
      </c>
      <c r="P70" s="32"/>
      <c r="Q70" s="684">
        <f t="shared" si="56"/>
        <v>1</v>
      </c>
      <c r="R70" s="828">
        <f t="shared" si="48"/>
        <v>1</v>
      </c>
      <c r="S70" s="798">
        <v>1200</v>
      </c>
      <c r="T70" s="694">
        <f t="shared" si="49"/>
        <v>1200</v>
      </c>
      <c r="U70" s="687">
        <f t="shared" si="50"/>
        <v>1150</v>
      </c>
      <c r="V70" s="688">
        <f t="shared" si="51"/>
        <v>0</v>
      </c>
      <c r="W70" s="689">
        <f t="shared" si="52"/>
        <v>0</v>
      </c>
      <c r="X70" s="689">
        <f t="shared" si="53"/>
        <v>1200</v>
      </c>
      <c r="Y70" s="690">
        <f t="shared" si="54"/>
        <v>1813.118708835591</v>
      </c>
      <c r="Z70" s="643">
        <f t="shared" si="55"/>
        <v>0.48936170212765956</v>
      </c>
      <c r="AA70" s="644">
        <f>T70/$T$75</f>
        <v>2.005314082318143E-2</v>
      </c>
    </row>
    <row r="71" spans="1:34" ht="16.2" x14ac:dyDescent="0.3">
      <c r="A71" s="626">
        <v>57</v>
      </c>
      <c r="B71" s="610" t="s">
        <v>503</v>
      </c>
      <c r="C71" s="627" t="s">
        <v>115</v>
      </c>
      <c r="D71" s="626" t="s">
        <v>127</v>
      </c>
      <c r="E71" s="626" t="s">
        <v>117</v>
      </c>
      <c r="F71" s="832" t="s">
        <v>504</v>
      </c>
      <c r="G71" s="691" t="s">
        <v>505</v>
      </c>
      <c r="H71" s="648">
        <v>6</v>
      </c>
      <c r="I71" s="630">
        <v>3</v>
      </c>
      <c r="J71" s="795">
        <v>340</v>
      </c>
      <c r="K71" s="633">
        <f t="shared" si="44"/>
        <v>6120</v>
      </c>
      <c r="L71" s="633">
        <f t="shared" si="45"/>
        <v>459</v>
      </c>
      <c r="M71" s="633">
        <f t="shared" si="46"/>
        <v>1596.7176587548161</v>
      </c>
      <c r="N71" s="816">
        <f t="shared" si="47"/>
        <v>8175.7176587548165</v>
      </c>
      <c r="P71" s="32"/>
      <c r="Q71" s="684">
        <v>1</v>
      </c>
      <c r="R71" s="828">
        <v>1</v>
      </c>
      <c r="S71" s="798">
        <v>5535</v>
      </c>
      <c r="T71" s="694">
        <f t="shared" si="49"/>
        <v>5535</v>
      </c>
      <c r="U71" s="687">
        <f t="shared" si="50"/>
        <v>585</v>
      </c>
      <c r="V71" s="688">
        <f t="shared" si="51"/>
        <v>0</v>
      </c>
      <c r="W71" s="689">
        <f t="shared" si="52"/>
        <v>0</v>
      </c>
      <c r="X71" s="689">
        <f t="shared" si="53"/>
        <v>5535</v>
      </c>
      <c r="Y71" s="690">
        <f t="shared" si="54"/>
        <v>7131.7176587548165</v>
      </c>
      <c r="Z71" s="643">
        <f t="shared" si="55"/>
        <v>9.5588235294117641E-2</v>
      </c>
      <c r="AA71" s="644">
        <f>T71/$T$75</f>
        <v>9.2495112046924344E-2</v>
      </c>
    </row>
    <row r="72" spans="1:34" ht="32.4" x14ac:dyDescent="0.3">
      <c r="A72" s="626">
        <v>58</v>
      </c>
      <c r="B72" s="610" t="s">
        <v>506</v>
      </c>
      <c r="C72" s="627" t="s">
        <v>115</v>
      </c>
      <c r="D72" s="626" t="s">
        <v>127</v>
      </c>
      <c r="E72" s="626" t="s">
        <v>117</v>
      </c>
      <c r="F72" s="832" t="s">
        <v>507</v>
      </c>
      <c r="G72" s="794" t="s">
        <v>508</v>
      </c>
      <c r="H72" s="630">
        <v>1</v>
      </c>
      <c r="I72" s="630">
        <v>1</v>
      </c>
      <c r="J72" s="795">
        <v>1145</v>
      </c>
      <c r="K72" s="633">
        <f t="shared" si="44"/>
        <v>1145</v>
      </c>
      <c r="L72" s="633">
        <f t="shared" si="45"/>
        <v>85.875</v>
      </c>
      <c r="M72" s="633">
        <f t="shared" si="46"/>
        <v>298.7323070709582</v>
      </c>
      <c r="N72" s="816">
        <f t="shared" si="47"/>
        <v>1529.6073070709581</v>
      </c>
      <c r="P72" s="32"/>
      <c r="Q72" s="684">
        <f t="shared" si="56"/>
        <v>1</v>
      </c>
      <c r="R72" s="828">
        <f t="shared" si="48"/>
        <v>1</v>
      </c>
      <c r="S72" s="798">
        <v>600</v>
      </c>
      <c r="T72" s="694">
        <f t="shared" si="49"/>
        <v>600</v>
      </c>
      <c r="U72" s="687">
        <f t="shared" si="50"/>
        <v>545</v>
      </c>
      <c r="V72" s="688">
        <f t="shared" si="51"/>
        <v>0</v>
      </c>
      <c r="W72" s="689">
        <f t="shared" si="52"/>
        <v>0</v>
      </c>
      <c r="X72" s="689">
        <f t="shared" si="53"/>
        <v>600</v>
      </c>
      <c r="Y72" s="690">
        <f t="shared" si="54"/>
        <v>898.7323070709582</v>
      </c>
      <c r="Z72" s="643">
        <f t="shared" si="55"/>
        <v>0.4759825327510917</v>
      </c>
      <c r="AA72" s="644">
        <f>T72/$T$75</f>
        <v>1.0026570411590715E-2</v>
      </c>
    </row>
    <row r="73" spans="1:34" ht="48.6" x14ac:dyDescent="0.35">
      <c r="A73" s="626">
        <v>59</v>
      </c>
      <c r="B73" s="610" t="s">
        <v>509</v>
      </c>
      <c r="C73" s="627" t="s">
        <v>115</v>
      </c>
      <c r="D73" s="626" t="s">
        <v>127</v>
      </c>
      <c r="E73" s="626" t="s">
        <v>117</v>
      </c>
      <c r="F73" s="793" t="s">
        <v>510</v>
      </c>
      <c r="G73" s="629" t="s">
        <v>511</v>
      </c>
      <c r="H73" s="630">
        <v>1</v>
      </c>
      <c r="I73" s="630">
        <v>2</v>
      </c>
      <c r="J73" s="795">
        <v>2000</v>
      </c>
      <c r="K73" s="633">
        <f t="shared" si="44"/>
        <v>4000</v>
      </c>
      <c r="L73" s="633">
        <f t="shared" si="45"/>
        <v>300</v>
      </c>
      <c r="M73" s="633">
        <f t="shared" si="46"/>
        <v>1043.6063129116444</v>
      </c>
      <c r="N73" s="816">
        <f t="shared" si="47"/>
        <v>5343.6063129116446</v>
      </c>
      <c r="P73" s="32"/>
      <c r="Q73" s="684">
        <f t="shared" si="56"/>
        <v>1</v>
      </c>
      <c r="R73" s="828">
        <v>1</v>
      </c>
      <c r="S73" s="829">
        <v>2500</v>
      </c>
      <c r="T73" s="686">
        <f t="shared" si="49"/>
        <v>2500</v>
      </c>
      <c r="U73" s="687">
        <f t="shared" si="50"/>
        <v>1500</v>
      </c>
      <c r="V73" s="688">
        <f t="shared" si="51"/>
        <v>0</v>
      </c>
      <c r="W73" s="689">
        <f t="shared" si="52"/>
        <v>0</v>
      </c>
      <c r="X73" s="689">
        <f t="shared" si="53"/>
        <v>2500</v>
      </c>
      <c r="Y73" s="690">
        <f t="shared" si="54"/>
        <v>3543.6063129116446</v>
      </c>
      <c r="Z73" s="643">
        <f t="shared" si="55"/>
        <v>0.375</v>
      </c>
      <c r="AA73" s="644">
        <f>T73/$T$75</f>
        <v>4.1777376714961317E-2</v>
      </c>
      <c r="AC73" s="653">
        <v>2500</v>
      </c>
      <c r="AD73" s="654">
        <f>T73-AC73</f>
        <v>0</v>
      </c>
      <c r="AE73" s="655">
        <v>46027</v>
      </c>
      <c r="AG73" s="656" t="s">
        <v>512</v>
      </c>
      <c r="AH73" s="657" t="s">
        <v>513</v>
      </c>
    </row>
    <row r="74" spans="1:34" ht="87.9" customHeight="1" x14ac:dyDescent="0.35">
      <c r="A74" s="626">
        <v>60</v>
      </c>
      <c r="B74" s="610" t="s">
        <v>514</v>
      </c>
      <c r="C74" s="627" t="s">
        <v>115</v>
      </c>
      <c r="D74" s="626" t="s">
        <v>127</v>
      </c>
      <c r="E74" s="626" t="s">
        <v>117</v>
      </c>
      <c r="F74" s="793" t="s">
        <v>515</v>
      </c>
      <c r="G74" s="629" t="s">
        <v>516</v>
      </c>
      <c r="H74" s="630">
        <v>1</v>
      </c>
      <c r="I74" s="630">
        <v>1</v>
      </c>
      <c r="J74" s="795">
        <v>14200</v>
      </c>
      <c r="K74" s="632">
        <f t="shared" si="44"/>
        <v>14200</v>
      </c>
      <c r="L74" s="632">
        <f t="shared" si="45"/>
        <v>1065</v>
      </c>
      <c r="M74" s="632">
        <f t="shared" si="46"/>
        <v>3704.8024108363379</v>
      </c>
      <c r="N74" s="775">
        <f t="shared" si="47"/>
        <v>18969.802410836339</v>
      </c>
      <c r="P74" s="32"/>
      <c r="Q74" s="664">
        <f t="shared" si="56"/>
        <v>1</v>
      </c>
      <c r="R74" s="804">
        <f t="shared" si="48"/>
        <v>1</v>
      </c>
      <c r="S74" s="762">
        <f>19500+19500</f>
        <v>39000</v>
      </c>
      <c r="T74" s="813">
        <f t="shared" si="49"/>
        <v>39000</v>
      </c>
      <c r="U74" s="668">
        <f t="shared" si="50"/>
        <v>-24800</v>
      </c>
      <c r="V74" s="669">
        <f t="shared" si="51"/>
        <v>0</v>
      </c>
      <c r="W74" s="670">
        <f t="shared" si="52"/>
        <v>0</v>
      </c>
      <c r="X74" s="670">
        <f t="shared" si="53"/>
        <v>39000</v>
      </c>
      <c r="Y74" s="642">
        <f t="shared" si="54"/>
        <v>42704.802410836339</v>
      </c>
      <c r="Z74" s="643">
        <f t="shared" si="55"/>
        <v>-1.7464788732394365</v>
      </c>
      <c r="AA74" s="644">
        <f>T74/$T$75</f>
        <v>0.65172707675339647</v>
      </c>
      <c r="AC74" s="653">
        <v>10500</v>
      </c>
      <c r="AD74" s="740">
        <f>T74-AC74</f>
        <v>28500</v>
      </c>
      <c r="AE74" s="655">
        <v>46000</v>
      </c>
      <c r="AG74" s="656" t="s">
        <v>517</v>
      </c>
      <c r="AH74" s="657" t="s">
        <v>518</v>
      </c>
    </row>
    <row r="75" spans="1:34" ht="30" customHeight="1" thickBot="1" x14ac:dyDescent="0.4">
      <c r="A75" s="626">
        <v>61</v>
      </c>
      <c r="B75" s="610"/>
      <c r="C75" s="627" t="s">
        <v>123</v>
      </c>
      <c r="D75" s="626"/>
      <c r="E75" s="626"/>
      <c r="F75" s="1147" t="s">
        <v>519</v>
      </c>
      <c r="G75" s="1148"/>
      <c r="H75" s="1148"/>
      <c r="I75" s="1148"/>
      <c r="J75" s="1148"/>
      <c r="K75" s="833">
        <f>SUM(K65:K74)</f>
        <v>36140</v>
      </c>
      <c r="L75" s="833">
        <f>SUM(L65:L74)</f>
        <v>2710.5</v>
      </c>
      <c r="M75" s="833">
        <f>SUM(M65:M74)</f>
        <v>9428.9830371567077</v>
      </c>
      <c r="N75" s="834">
        <f>SUM(N65:N74)</f>
        <v>48279.483037156708</v>
      </c>
      <c r="P75" s="32"/>
      <c r="Q75" s="1149"/>
      <c r="R75" s="1148"/>
      <c r="S75" s="1148"/>
      <c r="T75" s="835">
        <f>SUM(T65:T74)</f>
        <v>59841</v>
      </c>
      <c r="U75" s="836">
        <f>SUM(U65:U74)</f>
        <v>-23701</v>
      </c>
      <c r="V75" s="837"/>
      <c r="W75" s="837"/>
      <c r="X75" s="838">
        <f>SUM(X65:X74)</f>
        <v>59841</v>
      </c>
      <c r="Y75" s="839" t="str">
        <f t="shared" si="54"/>
        <v/>
      </c>
    </row>
    <row r="76" spans="1:34" ht="36.75" customHeight="1" thickBot="1" x14ac:dyDescent="0.4">
      <c r="A76" s="626">
        <v>62</v>
      </c>
      <c r="B76" s="610">
        <v>7</v>
      </c>
      <c r="C76" s="627" t="s">
        <v>109</v>
      </c>
      <c r="D76" s="626"/>
      <c r="E76" s="626"/>
      <c r="F76" s="1118" t="s">
        <v>127</v>
      </c>
      <c r="G76" s="1119"/>
      <c r="H76" s="1119"/>
      <c r="I76" s="1119"/>
      <c r="J76" s="1119"/>
      <c r="K76" s="1119"/>
      <c r="L76" s="1119"/>
      <c r="M76" s="1119"/>
      <c r="N76" s="1120"/>
      <c r="P76" s="32"/>
      <c r="Q76" s="1150" t="str">
        <f>IF(F76&lt;&gt;"",F76,"")</f>
        <v>OPERACIONAL</v>
      </c>
      <c r="R76" s="1151"/>
      <c r="S76" s="1151"/>
      <c r="T76" s="1151"/>
      <c r="U76" s="1151"/>
      <c r="V76" s="1151"/>
      <c r="W76" s="1151"/>
      <c r="X76" s="1151"/>
      <c r="Y76" s="1152"/>
    </row>
    <row r="77" spans="1:34" ht="30" customHeight="1" x14ac:dyDescent="0.35">
      <c r="A77" s="626">
        <v>63</v>
      </c>
      <c r="B77" s="610" t="s">
        <v>520</v>
      </c>
      <c r="C77" s="627" t="s">
        <v>110</v>
      </c>
      <c r="D77" s="626"/>
      <c r="E77" s="626"/>
      <c r="F77" s="1135" t="s">
        <v>127</v>
      </c>
      <c r="G77" s="1136"/>
      <c r="H77" s="1136"/>
      <c r="I77" s="1136"/>
      <c r="J77" s="1136"/>
      <c r="K77" s="1137"/>
      <c r="L77" s="621" t="s">
        <v>112</v>
      </c>
      <c r="M77" s="622" t="s">
        <v>113</v>
      </c>
      <c r="N77" s="770" t="s">
        <v>82</v>
      </c>
      <c r="P77" s="32"/>
      <c r="Q77" s="1153" t="str">
        <f>IF(F77&lt;&gt;"",F77,"")</f>
        <v>OPERACIONAL</v>
      </c>
      <c r="R77" s="1142"/>
      <c r="S77" s="1142"/>
      <c r="T77" s="1142"/>
      <c r="U77" s="1142"/>
      <c r="V77" s="1142"/>
      <c r="W77" s="1142"/>
      <c r="X77" s="1142"/>
      <c r="Y77" s="1154"/>
      <c r="Z77" s="624" t="s">
        <v>114</v>
      </c>
      <c r="AA77" s="625" t="s">
        <v>83</v>
      </c>
    </row>
    <row r="78" spans="1:34" ht="16.2" x14ac:dyDescent="0.3">
      <c r="A78" s="626">
        <v>64</v>
      </c>
      <c r="B78" s="610" t="s">
        <v>521</v>
      </c>
      <c r="C78" s="627" t="s">
        <v>115</v>
      </c>
      <c r="D78" s="626" t="s">
        <v>127</v>
      </c>
      <c r="E78" s="626" t="s">
        <v>117</v>
      </c>
      <c r="F78" s="793" t="s">
        <v>522</v>
      </c>
      <c r="G78" s="629" t="s">
        <v>523</v>
      </c>
      <c r="H78" s="648">
        <v>1</v>
      </c>
      <c r="I78" s="648">
        <v>2</v>
      </c>
      <c r="J78" s="795">
        <v>950</v>
      </c>
      <c r="K78" s="633">
        <f t="shared" ref="K78:K84" si="57">IF(F78&lt;&gt;"",H78*I78*J78,"")</f>
        <v>1900</v>
      </c>
      <c r="L78" s="633">
        <f t="shared" ref="L78:L84" si="58">IF(K78&lt;&gt;"",IF(D78="INTERNO",0,K78*$L$14),"")</f>
        <v>142.5</v>
      </c>
      <c r="M78" s="633">
        <f t="shared" ref="M78:M84" si="59">IF(K78&lt;&gt;"",IF(E78="FAT.OGGI",SUM(K78:L78)*(1/(1-$M$14)-1),L78*(1/(1-$M$14)-1)),"")</f>
        <v>495.71299863303108</v>
      </c>
      <c r="N78" s="816">
        <f t="shared" ref="N78:N82" si="60">SUM(K78:M78)</f>
        <v>2538.212998633031</v>
      </c>
      <c r="P78" s="32"/>
      <c r="Q78" s="635">
        <f t="shared" ref="Q78:Q81" si="61">IF(H78&lt;&gt;"",H78,"")</f>
        <v>1</v>
      </c>
      <c r="R78" s="636">
        <v>5</v>
      </c>
      <c r="S78" s="646">
        <v>750</v>
      </c>
      <c r="T78" s="647">
        <f t="shared" ref="T78:T84" si="62">IF(Q78&lt;&gt;"",Q78*R78*S78,"")</f>
        <v>3750</v>
      </c>
      <c r="U78" s="639">
        <f t="shared" ref="U78:U84" si="63">IF(Q78&lt;&gt;"",K78-T78,"")</f>
        <v>-1850</v>
      </c>
      <c r="V78" s="640">
        <f t="shared" ref="V78:V84" si="64">IF(Q78&lt;&gt;"",0%,"")</f>
        <v>0</v>
      </c>
      <c r="W78" s="641">
        <f t="shared" ref="W78:W84" si="65">IF(Q78&lt;&gt;"",V78*U78,"")</f>
        <v>0</v>
      </c>
      <c r="X78" s="641">
        <f t="shared" ref="X78:X84" si="66">IF(Q78&lt;&gt;"",W78+T78,"")</f>
        <v>3750</v>
      </c>
      <c r="Y78" s="642">
        <f t="shared" ref="Y78:Y84" si="67">IF(Q78&lt;&gt;"",X78+M78,"")</f>
        <v>4245.712998633031</v>
      </c>
      <c r="Z78" s="643">
        <f t="shared" ref="Z78:Z84" si="68">IF(Q78&lt;&gt;"",U78/K78,"")</f>
        <v>-0.97368421052631582</v>
      </c>
      <c r="AA78" s="644" t="e">
        <f>T78/#REF!</f>
        <v>#REF!</v>
      </c>
      <c r="AC78" s="840">
        <v>3750</v>
      </c>
      <c r="AD78" s="841">
        <f>T78-AC78</f>
        <v>0</v>
      </c>
      <c r="AE78" s="842">
        <v>46042</v>
      </c>
      <c r="AG78" s="843" t="s">
        <v>524</v>
      </c>
      <c r="AH78" s="843" t="s">
        <v>525</v>
      </c>
    </row>
    <row r="79" spans="1:34" ht="32.4" x14ac:dyDescent="0.35">
      <c r="A79" s="626">
        <v>65</v>
      </c>
      <c r="B79" s="610" t="s">
        <v>226</v>
      </c>
      <c r="C79" s="627" t="s">
        <v>115</v>
      </c>
      <c r="D79" s="626" t="s">
        <v>127</v>
      </c>
      <c r="E79" s="626" t="s">
        <v>117</v>
      </c>
      <c r="F79" s="793" t="s">
        <v>165</v>
      </c>
      <c r="G79" s="794" t="s">
        <v>526</v>
      </c>
      <c r="H79" s="648">
        <v>1</v>
      </c>
      <c r="I79" s="648">
        <v>3</v>
      </c>
      <c r="J79" s="795">
        <v>850</v>
      </c>
      <c r="K79" s="633">
        <f t="shared" si="57"/>
        <v>2550</v>
      </c>
      <c r="L79" s="633">
        <f t="shared" si="58"/>
        <v>191.25</v>
      </c>
      <c r="M79" s="633">
        <f t="shared" si="59"/>
        <v>665.29902448117332</v>
      </c>
      <c r="N79" s="816">
        <f t="shared" si="60"/>
        <v>3406.5490244811735</v>
      </c>
      <c r="P79" s="32"/>
      <c r="Q79" s="635">
        <f t="shared" si="61"/>
        <v>1</v>
      </c>
      <c r="R79" s="636">
        <v>6</v>
      </c>
      <c r="S79" s="646">
        <v>792.16666659999999</v>
      </c>
      <c r="T79" s="647">
        <f t="shared" si="62"/>
        <v>4752.9999995999997</v>
      </c>
      <c r="U79" s="639">
        <f t="shared" si="63"/>
        <v>-2202.9999995999997</v>
      </c>
      <c r="V79" s="640">
        <f t="shared" si="64"/>
        <v>0</v>
      </c>
      <c r="W79" s="641">
        <f t="shared" si="65"/>
        <v>0</v>
      </c>
      <c r="X79" s="641">
        <f t="shared" si="66"/>
        <v>4752.9999995999997</v>
      </c>
      <c r="Y79" s="642">
        <f t="shared" si="67"/>
        <v>5418.2990240811732</v>
      </c>
      <c r="Z79" s="643">
        <f t="shared" si="68"/>
        <v>-0.8639215684705881</v>
      </c>
      <c r="AA79" s="644" t="e">
        <f>T79/#REF!</f>
        <v>#REF!</v>
      </c>
      <c r="AC79" s="653">
        <v>1950</v>
      </c>
      <c r="AD79" s="740">
        <f>T79-AC79</f>
        <v>2802.9999995999997</v>
      </c>
      <c r="AE79" s="655">
        <v>46042</v>
      </c>
      <c r="AG79" s="656" t="s">
        <v>527</v>
      </c>
      <c r="AH79" s="657" t="s">
        <v>528</v>
      </c>
    </row>
    <row r="80" spans="1:34" ht="32.4" x14ac:dyDescent="0.35">
      <c r="A80" s="626">
        <v>66</v>
      </c>
      <c r="B80" s="610" t="s">
        <v>529</v>
      </c>
      <c r="C80" s="627" t="s">
        <v>115</v>
      </c>
      <c r="D80" s="626" t="s">
        <v>127</v>
      </c>
      <c r="E80" s="626" t="s">
        <v>117</v>
      </c>
      <c r="F80" s="793" t="s">
        <v>530</v>
      </c>
      <c r="G80" s="794" t="s">
        <v>531</v>
      </c>
      <c r="H80" s="648">
        <v>3</v>
      </c>
      <c r="I80" s="648">
        <v>2</v>
      </c>
      <c r="J80" s="795">
        <v>850</v>
      </c>
      <c r="K80" s="633">
        <f t="shared" si="57"/>
        <v>5100</v>
      </c>
      <c r="L80" s="633">
        <f t="shared" si="58"/>
        <v>382.5</v>
      </c>
      <c r="M80" s="633">
        <f t="shared" si="59"/>
        <v>1330.5980489623466</v>
      </c>
      <c r="N80" s="816">
        <f t="shared" si="60"/>
        <v>6813.0980489623471</v>
      </c>
      <c r="P80" s="32"/>
      <c r="Q80" s="635">
        <v>1</v>
      </c>
      <c r="R80" s="636">
        <v>1</v>
      </c>
      <c r="S80" s="646">
        <f>2600+3150+3250+1875</f>
        <v>10875</v>
      </c>
      <c r="T80" s="647">
        <f t="shared" si="62"/>
        <v>10875</v>
      </c>
      <c r="U80" s="639">
        <f t="shared" si="63"/>
        <v>-5775</v>
      </c>
      <c r="V80" s="640">
        <f t="shared" si="64"/>
        <v>0</v>
      </c>
      <c r="W80" s="641">
        <f t="shared" si="65"/>
        <v>0</v>
      </c>
      <c r="X80" s="641">
        <f t="shared" si="66"/>
        <v>10875</v>
      </c>
      <c r="Y80" s="642">
        <f t="shared" si="67"/>
        <v>12205.598048962347</v>
      </c>
      <c r="Z80" s="643">
        <f t="shared" si="68"/>
        <v>-1.1323529411764706</v>
      </c>
      <c r="AA80" s="644" t="e">
        <f>T80/#REF!</f>
        <v>#REF!</v>
      </c>
      <c r="AC80" s="653">
        <v>2600</v>
      </c>
      <c r="AD80" s="654">
        <f>T80-AC80</f>
        <v>8275</v>
      </c>
      <c r="AE80" s="655">
        <v>46042</v>
      </c>
      <c r="AG80" s="656" t="s">
        <v>532</v>
      </c>
      <c r="AH80" s="657" t="s">
        <v>532</v>
      </c>
    </row>
    <row r="81" spans="1:34" ht="32.4" x14ac:dyDescent="0.35">
      <c r="A81" s="626">
        <v>67</v>
      </c>
      <c r="B81" s="610" t="s">
        <v>533</v>
      </c>
      <c r="C81" s="627" t="s">
        <v>115</v>
      </c>
      <c r="D81" s="626" t="s">
        <v>127</v>
      </c>
      <c r="E81" s="626" t="s">
        <v>117</v>
      </c>
      <c r="F81" s="793" t="s">
        <v>534</v>
      </c>
      <c r="G81" s="794" t="s">
        <v>535</v>
      </c>
      <c r="H81" s="648">
        <v>1</v>
      </c>
      <c r="I81" s="648">
        <v>2</v>
      </c>
      <c r="J81" s="795">
        <v>750</v>
      </c>
      <c r="K81" s="633">
        <f t="shared" si="57"/>
        <v>1500</v>
      </c>
      <c r="L81" s="633">
        <f t="shared" si="58"/>
        <v>112.5</v>
      </c>
      <c r="M81" s="633">
        <f t="shared" si="59"/>
        <v>391.35236734186668</v>
      </c>
      <c r="N81" s="816">
        <f t="shared" si="60"/>
        <v>2003.8523673418667</v>
      </c>
      <c r="P81" s="32"/>
      <c r="Q81" s="635">
        <f t="shared" si="61"/>
        <v>1</v>
      </c>
      <c r="R81" s="636">
        <v>5</v>
      </c>
      <c r="S81" s="646">
        <v>650</v>
      </c>
      <c r="T81" s="647">
        <f t="shared" si="62"/>
        <v>3250</v>
      </c>
      <c r="U81" s="639">
        <f t="shared" si="63"/>
        <v>-1750</v>
      </c>
      <c r="V81" s="640">
        <f t="shared" si="64"/>
        <v>0</v>
      </c>
      <c r="W81" s="641">
        <f t="shared" si="65"/>
        <v>0</v>
      </c>
      <c r="X81" s="641">
        <f t="shared" si="66"/>
        <v>3250</v>
      </c>
      <c r="Y81" s="642">
        <f t="shared" si="67"/>
        <v>3641.3523673418667</v>
      </c>
      <c r="Z81" s="643">
        <f t="shared" si="68"/>
        <v>-1.1666666666666667</v>
      </c>
      <c r="AA81" s="644" t="e">
        <f>T81/#REF!</f>
        <v>#REF!</v>
      </c>
      <c r="AC81" s="653">
        <v>3250</v>
      </c>
      <c r="AD81" s="654">
        <f>T81-AC81</f>
        <v>0</v>
      </c>
      <c r="AE81" s="655">
        <v>46042</v>
      </c>
      <c r="AG81" s="656" t="s">
        <v>536</v>
      </c>
      <c r="AH81" s="657" t="s">
        <v>537</v>
      </c>
    </row>
    <row r="82" spans="1:34" ht="64.8" x14ac:dyDescent="0.3">
      <c r="A82" s="626">
        <v>68</v>
      </c>
      <c r="B82" s="610" t="s">
        <v>538</v>
      </c>
      <c r="C82" s="627" t="s">
        <v>115</v>
      </c>
      <c r="D82" s="626" t="s">
        <v>127</v>
      </c>
      <c r="E82" s="626" t="s">
        <v>117</v>
      </c>
      <c r="F82" s="844" t="s">
        <v>539</v>
      </c>
      <c r="G82" s="845" t="s">
        <v>540</v>
      </c>
      <c r="H82" s="683">
        <v>1</v>
      </c>
      <c r="I82" s="683">
        <v>2.5</v>
      </c>
      <c r="J82" s="693">
        <v>7000</v>
      </c>
      <c r="K82" s="633">
        <f t="shared" si="57"/>
        <v>17500</v>
      </c>
      <c r="L82" s="633">
        <f t="shared" si="58"/>
        <v>1312.5</v>
      </c>
      <c r="M82" s="633">
        <f t="shared" si="59"/>
        <v>4565.7776189884444</v>
      </c>
      <c r="N82" s="816">
        <f t="shared" si="60"/>
        <v>23378.277618988446</v>
      </c>
      <c r="P82" s="32"/>
      <c r="Q82" s="635">
        <f>IF(H82&lt;&gt;"",H82,"")</f>
        <v>1</v>
      </c>
      <c r="R82" s="636">
        <v>2.5</v>
      </c>
      <c r="S82" s="646">
        <v>6000</v>
      </c>
      <c r="T82" s="647">
        <f t="shared" si="62"/>
        <v>15000</v>
      </c>
      <c r="U82" s="639">
        <f t="shared" si="63"/>
        <v>2500</v>
      </c>
      <c r="V82" s="640">
        <f t="shared" si="64"/>
        <v>0</v>
      </c>
      <c r="W82" s="641">
        <f t="shared" si="65"/>
        <v>0</v>
      </c>
      <c r="X82" s="641">
        <f t="shared" si="66"/>
        <v>15000</v>
      </c>
      <c r="Y82" s="642">
        <f t="shared" si="67"/>
        <v>19565.777618988446</v>
      </c>
      <c r="Z82" s="643">
        <f t="shared" si="68"/>
        <v>0.14285714285714285</v>
      </c>
      <c r="AA82" s="644" t="e">
        <f>T82/#REF!</f>
        <v>#REF!</v>
      </c>
    </row>
    <row r="83" spans="1:34" ht="32.4" x14ac:dyDescent="0.3">
      <c r="A83" s="626">
        <v>69</v>
      </c>
      <c r="B83" s="610" t="s">
        <v>541</v>
      </c>
      <c r="C83" s="627" t="s">
        <v>115</v>
      </c>
      <c r="D83" s="626" t="s">
        <v>127</v>
      </c>
      <c r="E83" s="626" t="s">
        <v>117</v>
      </c>
      <c r="F83" s="832" t="s">
        <v>542</v>
      </c>
      <c r="G83" s="794" t="s">
        <v>543</v>
      </c>
      <c r="H83" s="630">
        <v>1</v>
      </c>
      <c r="I83" s="630">
        <v>1</v>
      </c>
      <c r="J83" s="795">
        <v>2500</v>
      </c>
      <c r="K83" s="633">
        <f t="shared" si="57"/>
        <v>2500</v>
      </c>
      <c r="L83" s="633">
        <f t="shared" si="58"/>
        <v>187.5</v>
      </c>
      <c r="M83" s="633">
        <f t="shared" si="59"/>
        <v>652.25394556977778</v>
      </c>
      <c r="N83" s="816">
        <f>SUM(K83:M83)</f>
        <v>3339.7539455697779</v>
      </c>
      <c r="P83" s="32"/>
      <c r="Q83" s="635">
        <f>IF(H83&lt;&gt;"",H83,"")</f>
        <v>1</v>
      </c>
      <c r="R83" s="636">
        <f>IF(I83&lt;&gt;"",I83,"")</f>
        <v>1</v>
      </c>
      <c r="S83" s="647">
        <f>1700+900</f>
        <v>2600</v>
      </c>
      <c r="T83" s="647">
        <f t="shared" si="62"/>
        <v>2600</v>
      </c>
      <c r="U83" s="639">
        <f t="shared" si="63"/>
        <v>-100</v>
      </c>
      <c r="V83" s="640">
        <f t="shared" si="64"/>
        <v>0</v>
      </c>
      <c r="W83" s="641">
        <f t="shared" si="65"/>
        <v>0</v>
      </c>
      <c r="X83" s="641">
        <f t="shared" si="66"/>
        <v>2600</v>
      </c>
      <c r="Y83" s="642">
        <f t="shared" si="67"/>
        <v>3252.2539455697779</v>
      </c>
      <c r="Z83" s="643">
        <f t="shared" si="68"/>
        <v>-0.04</v>
      </c>
      <c r="AA83" s="644" t="e">
        <f>T83/#REF!</f>
        <v>#REF!</v>
      </c>
      <c r="AC83" s="645" t="s">
        <v>544</v>
      </c>
    </row>
    <row r="84" spans="1:34" ht="33" thickBot="1" x14ac:dyDescent="0.4">
      <c r="A84" s="626">
        <v>70</v>
      </c>
      <c r="B84" s="610" t="s">
        <v>545</v>
      </c>
      <c r="C84" s="627" t="s">
        <v>115</v>
      </c>
      <c r="D84" s="626" t="s">
        <v>127</v>
      </c>
      <c r="E84" s="626" t="s">
        <v>117</v>
      </c>
      <c r="F84" s="832" t="s">
        <v>300</v>
      </c>
      <c r="G84" s="794" t="s">
        <v>546</v>
      </c>
      <c r="H84" s="630">
        <v>1</v>
      </c>
      <c r="I84" s="630">
        <v>1</v>
      </c>
      <c r="J84" s="795">
        <v>6500</v>
      </c>
      <c r="K84" s="632">
        <f t="shared" si="57"/>
        <v>6500</v>
      </c>
      <c r="L84" s="632">
        <f t="shared" si="58"/>
        <v>487.5</v>
      </c>
      <c r="M84" s="632">
        <f t="shared" si="59"/>
        <v>1695.8602584814223</v>
      </c>
      <c r="N84" s="775">
        <f>SUM(K84:M84)-801.54</f>
        <v>7881.8202584814217</v>
      </c>
      <c r="P84" s="32"/>
      <c r="Q84" s="635">
        <f>IF(H84&lt;&gt;"",H84,"")</f>
        <v>1</v>
      </c>
      <c r="R84" s="636">
        <f>IF(I84&lt;&gt;"",I84,"")</f>
        <v>1</v>
      </c>
      <c r="S84" s="646">
        <f>1300+308.21+438.75+1604.65+594.1+1118+970.31+810+1081.82+2349</f>
        <v>10574.84</v>
      </c>
      <c r="T84" s="647">
        <f t="shared" si="62"/>
        <v>10574.84</v>
      </c>
      <c r="U84" s="639">
        <f t="shared" si="63"/>
        <v>-4074.84</v>
      </c>
      <c r="V84" s="640">
        <f t="shared" si="64"/>
        <v>0</v>
      </c>
      <c r="W84" s="641">
        <f t="shared" si="65"/>
        <v>0</v>
      </c>
      <c r="X84" s="641">
        <f t="shared" si="66"/>
        <v>10574.84</v>
      </c>
      <c r="Y84" s="642">
        <f t="shared" si="67"/>
        <v>12270.700258481422</v>
      </c>
      <c r="Z84" s="717">
        <f t="shared" si="68"/>
        <v>-0.62689846153846152</v>
      </c>
      <c r="AA84" s="846" t="e">
        <f>T84/#REF!</f>
        <v>#REF!</v>
      </c>
      <c r="AC84" s="653">
        <f>3402.21+86.34</f>
        <v>3488.55</v>
      </c>
      <c r="AD84" s="654">
        <f>T84-AC84</f>
        <v>7086.29</v>
      </c>
      <c r="AE84" s="655">
        <v>46027</v>
      </c>
      <c r="AG84" s="656" t="s">
        <v>532</v>
      </c>
      <c r="AH84" s="657" t="s">
        <v>547</v>
      </c>
    </row>
    <row r="85" spans="1:34" ht="24.6" thickBot="1" x14ac:dyDescent="0.4">
      <c r="A85" s="584">
        <v>71</v>
      </c>
      <c r="B85" s="610"/>
      <c r="C85" s="830" t="s">
        <v>548</v>
      </c>
      <c r="D85" s="584"/>
      <c r="E85" s="584"/>
      <c r="F85" s="1143" t="s">
        <v>549</v>
      </c>
      <c r="G85" s="1144"/>
      <c r="H85" s="1144"/>
      <c r="I85" s="1144"/>
      <c r="J85" s="1144"/>
      <c r="K85" s="847">
        <f>SUM(K78:K84)</f>
        <v>37550</v>
      </c>
      <c r="L85" s="847">
        <f>SUM(L78:L84)</f>
        <v>2816.25</v>
      </c>
      <c r="M85" s="847">
        <f>SUM(M78:M84)</f>
        <v>9796.8542624580623</v>
      </c>
      <c r="N85" s="848">
        <f>SUM(N78:N84)</f>
        <v>49361.564262458065</v>
      </c>
      <c r="Q85" s="1145" t="s">
        <v>549</v>
      </c>
      <c r="R85" s="1146"/>
      <c r="S85" s="1146"/>
      <c r="T85" s="849">
        <f>SUM(T78:T84)</f>
        <v>50802.839999599993</v>
      </c>
      <c r="U85" s="850">
        <f>SUM(U78:U84)</f>
        <v>-13252.839999600001</v>
      </c>
      <c r="V85" s="851"/>
      <c r="W85" s="851"/>
      <c r="X85" s="852">
        <f>SUM(X78:X84)</f>
        <v>50802.839999599993</v>
      </c>
      <c r="Y85" s="853">
        <f>IF(Q85&lt;&gt;"",X85+M85,"")</f>
        <v>60599.694262058052</v>
      </c>
      <c r="Z85" s="854" t="s">
        <v>170</v>
      </c>
      <c r="AA85" s="855" t="s">
        <v>171</v>
      </c>
    </row>
    <row r="86" spans="1:34" ht="24.6" thickBot="1" x14ac:dyDescent="0.5">
      <c r="A86" s="609">
        <v>72</v>
      </c>
      <c r="B86" s="856"/>
      <c r="C86" s="611" t="s">
        <v>168</v>
      </c>
      <c r="D86" s="609"/>
      <c r="E86" s="609"/>
      <c r="F86" s="33" t="s">
        <v>169</v>
      </c>
      <c r="G86" s="34"/>
      <c r="H86" s="70"/>
      <c r="I86" s="70"/>
      <c r="J86" s="34"/>
      <c r="K86" s="35">
        <f>SUM(K17:K24)+SUM(K28:K42)+SUM(K46:K49)+SUM(K53:K54)+SUM(K58:K61)+SUM(K65:K74)+SUM(K78:K84)</f>
        <v>327445.484</v>
      </c>
      <c r="L86" s="35">
        <f>SUM(L17:L24)+SUM(L28:L42)+SUM(L46:L49)+SUM(L53:L54)+SUM(L58:L61)+SUM(L65:L74)+SUM(L78:L84)</f>
        <v>20137.1613</v>
      </c>
      <c r="M86" s="35">
        <f>SUM(M17:M24)+SUM(M28:M42)+SUM(M46:M49)+SUM(M53:M54)+SUM(M58:M61)+SUM(M65:M74)+SUM(M78:M84)</f>
        <v>84358.009975257868</v>
      </c>
      <c r="N86" s="61">
        <f>SUM(N17:N24)+SUM(N28:N42)+SUM(N46:N49)+SUM(N53:N54)+SUM(N58:N61)+SUM(N65:N74)+SUM(N78:N84)</f>
        <v>431139.11527525785</v>
      </c>
      <c r="Q86" s="33" t="s">
        <v>43</v>
      </c>
      <c r="R86" s="34"/>
      <c r="S86" s="34"/>
      <c r="T86" s="35">
        <f>SUM(T17:T24)+SUM(T28:T42)+SUM(T46:T49)+SUM(T53:T54)+SUM(T58:T61)+SUM(T65:T74)+SUM(T78:T84)</f>
        <v>495323.39999960002</v>
      </c>
      <c r="U86" s="35">
        <f>SUM(U17:U24)+SUM(U28:U42)+SUM(U46:U49)+SUM(U53:U54)+SUM(U58:U61)+SUM(U65:U74)+SUM(U78:U84)</f>
        <v>-167877.91599959999</v>
      </c>
      <c r="V86" s="34"/>
      <c r="W86" s="34"/>
      <c r="X86" s="35">
        <f>SUM(X17:X24)+SUM(X28:X42)+SUM(X46:X49)+SUM(X53:X54)+SUM(X58:X61)+SUM(X65:X74)+SUM(X78:X84)</f>
        <v>495323.39999960002</v>
      </c>
      <c r="Y86" s="61">
        <f>SUM(Y17:Y24)+SUM(Y28:Y42)+SUM(Y46:Y49)+SUM(Y53:Y54)+SUM(Y58:Y61)+SUM(Y65:Y74)+SUM(Y78:Y84)</f>
        <v>579681.40997485793</v>
      </c>
      <c r="Z86" s="857">
        <f>IF(Q86&lt;&gt;"",(N86-Y86)/N86,"")</f>
        <v>-0.34453448883839793</v>
      </c>
      <c r="AA86" s="858">
        <f>IF(Z86&lt;&gt;"",(N86-Y86),"")</f>
        <v>-148542.29469960008</v>
      </c>
    </row>
    <row r="87" spans="1:34" x14ac:dyDescent="0.3">
      <c r="N87" s="36"/>
    </row>
    <row r="90" spans="1:34" ht="70.5" customHeight="1" x14ac:dyDescent="0.3">
      <c r="N90" s="36"/>
    </row>
  </sheetData>
  <mergeCells count="51">
    <mergeCell ref="F85:J85"/>
    <mergeCell ref="Q85:S85"/>
    <mergeCell ref="F75:J75"/>
    <mergeCell ref="Q75:S75"/>
    <mergeCell ref="F76:N76"/>
    <mergeCell ref="Q76:Y76"/>
    <mergeCell ref="F77:K77"/>
    <mergeCell ref="Q77:Y77"/>
    <mergeCell ref="F62:J62"/>
    <mergeCell ref="Q62:S62"/>
    <mergeCell ref="F63:N63"/>
    <mergeCell ref="Q63:Y63"/>
    <mergeCell ref="F64:K64"/>
    <mergeCell ref="Q64:Y64"/>
    <mergeCell ref="F55:J55"/>
    <mergeCell ref="Q55:S55"/>
    <mergeCell ref="F56:N56"/>
    <mergeCell ref="Q56:Y56"/>
    <mergeCell ref="F57:K57"/>
    <mergeCell ref="Q57:Y57"/>
    <mergeCell ref="F50:J50"/>
    <mergeCell ref="Q50:S50"/>
    <mergeCell ref="F51:N51"/>
    <mergeCell ref="Q51:Y51"/>
    <mergeCell ref="F52:K52"/>
    <mergeCell ref="Q52:Y52"/>
    <mergeCell ref="F43:J43"/>
    <mergeCell ref="Q43:S43"/>
    <mergeCell ref="F44:N44"/>
    <mergeCell ref="Q44:Y44"/>
    <mergeCell ref="F45:K45"/>
    <mergeCell ref="Q45:Y45"/>
    <mergeCell ref="F25:J25"/>
    <mergeCell ref="Q25:S25"/>
    <mergeCell ref="F26:N26"/>
    <mergeCell ref="Q26:Y26"/>
    <mergeCell ref="F27:K27"/>
    <mergeCell ref="Q27:Y27"/>
    <mergeCell ref="AK12:AL12"/>
    <mergeCell ref="AM12:AN12"/>
    <mergeCell ref="AQ12:AR12"/>
    <mergeCell ref="F15:N15"/>
    <mergeCell ref="Q15:Y15"/>
    <mergeCell ref="AC12:AE12"/>
    <mergeCell ref="AG12:AH12"/>
    <mergeCell ref="F16:K16"/>
    <mergeCell ref="Q16:Y16"/>
    <mergeCell ref="F1:G1"/>
    <mergeCell ref="F2:G2"/>
    <mergeCell ref="Q12:T12"/>
    <mergeCell ref="U12:X12"/>
  </mergeCells>
  <dataValidations count="3">
    <dataValidation type="list" allowBlank="1" showInputMessage="1" showErrorMessage="1" sqref="E86" xr:uid="{EAB1935A-96F9-473B-9283-47900F7AF0E9}">
      <formula1>"FAT.OGGI,FAT.CLIENTE "</formula1>
    </dataValidation>
    <dataValidation type="list" allowBlank="1" showInputMessage="1" showErrorMessage="1" sqref="E46:E55 E17:E25 E78:E84 E58:E61 E65:E74 E28:E42" xr:uid="{A22012FE-FF55-450C-A32C-1CD2F75EA6AC}">
      <formula1>"FAT.OGGI,FAT.CLIENTE"</formula1>
    </dataValidation>
    <dataValidation type="list" allowBlank="1" showInputMessage="1" showErrorMessage="1" sqref="D46:D55 D17:D25 D86 D58:D61 D65:D74 D78:D84 D28:D42" xr:uid="{6A138CEF-F2C5-4207-A60B-488DD1A949CE}">
      <formula1>"INTERNO,OPERACIONAL"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0E77E-DFFF-4E0E-A2F7-7FBDA2F466D1}">
  <sheetPr codeName="Planilha14">
    <tabColor theme="9" tint="0.79998168889431442"/>
    <pageSetUpPr autoPageBreaks="0"/>
  </sheetPr>
  <dimension ref="A1:AR48"/>
  <sheetViews>
    <sheetView showGridLines="0" zoomScale="70" zoomScaleNormal="70" workbookViewId="0">
      <pane ySplit="1" topLeftCell="A30" activePane="bottomLeft" state="frozen"/>
      <selection activeCell="N83" sqref="N83"/>
      <selection pane="bottomLeft" activeCell="M32" sqref="M32"/>
    </sheetView>
  </sheetViews>
  <sheetFormatPr defaultColWidth="8.6640625" defaultRowHeight="14.4" x14ac:dyDescent="0.3"/>
  <cols>
    <col min="1" max="2" width="8.33203125" style="859" customWidth="1"/>
    <col min="3" max="3" width="14.33203125" style="859" customWidth="1"/>
    <col min="4" max="4" width="13.6640625" style="859" customWidth="1"/>
    <col min="5" max="5" width="10.33203125" style="859" customWidth="1"/>
    <col min="6" max="6" width="34.5546875" style="861" customWidth="1"/>
    <col min="7" max="7" width="45.88671875" style="861" customWidth="1"/>
    <col min="8" max="9" width="7.6640625" style="860" customWidth="1"/>
    <col min="10" max="10" width="20.6640625" style="861" customWidth="1"/>
    <col min="11" max="11" width="26.44140625" style="861" bestFit="1" customWidth="1"/>
    <col min="12" max="12" width="24.5546875" style="861" bestFit="1" customWidth="1"/>
    <col min="13" max="13" width="25.6640625" style="861" customWidth="1"/>
    <col min="14" max="14" width="28.6640625" style="861" customWidth="1"/>
    <col min="15" max="15" width="3.109375" style="861" customWidth="1"/>
    <col min="16" max="16" width="4.6640625" style="861" customWidth="1"/>
    <col min="17" max="18" width="10.5546875" style="861" customWidth="1"/>
    <col min="19" max="19" width="22.6640625" style="861" customWidth="1"/>
    <col min="20" max="20" width="26.44140625" style="861" bestFit="1" customWidth="1"/>
    <col min="21" max="22" width="25.6640625" style="861" customWidth="1"/>
    <col min="23" max="23" width="19.6640625" style="861" customWidth="1"/>
    <col min="24" max="24" width="26.44140625" style="861" bestFit="1" customWidth="1"/>
    <col min="25" max="25" width="38.109375" style="861" customWidth="1"/>
    <col min="26" max="27" width="33" style="861" customWidth="1"/>
    <col min="28" max="28" width="5.33203125" style="861" customWidth="1"/>
    <col min="29" max="29" width="35" style="861" customWidth="1"/>
    <col min="30" max="30" width="33" style="861" customWidth="1"/>
    <col min="31" max="31" width="28" style="861" customWidth="1"/>
    <col min="32" max="32" width="1.33203125" style="861" customWidth="1"/>
    <col min="33" max="33" width="81.5546875" style="861" customWidth="1"/>
    <col min="34" max="34" width="36.6640625" style="861" customWidth="1"/>
    <col min="35" max="35" width="1.5546875" style="861" customWidth="1"/>
    <col min="36" max="36" width="20.33203125" style="861" customWidth="1"/>
    <col min="37" max="37" width="25.33203125" style="861" bestFit="1" customWidth="1"/>
    <col min="38" max="38" width="24.88671875" style="861" bestFit="1" customWidth="1"/>
    <col min="39" max="39" width="81.5546875" style="861" customWidth="1"/>
    <col min="40" max="40" width="36.6640625" style="861" customWidth="1"/>
    <col min="41" max="41" width="1.5546875" style="861" customWidth="1"/>
    <col min="42" max="42" width="20.33203125" style="861" customWidth="1"/>
    <col min="43" max="43" width="25.33203125" style="861" bestFit="1" customWidth="1"/>
    <col min="44" max="44" width="24.88671875" style="861" bestFit="1" customWidth="1"/>
    <col min="45" max="45" width="8.6640625" style="861"/>
    <col min="46" max="46" width="21.33203125" style="861" customWidth="1"/>
    <col min="47" max="16384" width="8.6640625" style="861"/>
  </cols>
  <sheetData>
    <row r="1" spans="1:44" ht="49.5" customHeight="1" x14ac:dyDescent="0.3">
      <c r="B1" s="551"/>
      <c r="C1" s="552"/>
      <c r="D1" s="552"/>
      <c r="F1" s="1072" t="s">
        <v>183</v>
      </c>
      <c r="G1" s="1072"/>
    </row>
    <row r="2" spans="1:44" ht="24.75" customHeight="1" x14ac:dyDescent="0.3">
      <c r="B2" s="862"/>
      <c r="D2" s="552"/>
      <c r="F2" s="1073" t="s">
        <v>0</v>
      </c>
      <c r="G2" s="1073"/>
    </row>
    <row r="3" spans="1:44" ht="18" x14ac:dyDescent="0.3">
      <c r="B3" s="863"/>
      <c r="F3" s="26"/>
      <c r="G3" s="26"/>
    </row>
    <row r="4" spans="1:44" ht="18" x14ac:dyDescent="0.3">
      <c r="F4" s="555" t="s">
        <v>316</v>
      </c>
      <c r="G4" s="556"/>
    </row>
    <row r="5" spans="1:44" ht="18" x14ac:dyDescent="0.3">
      <c r="F5" s="557" t="s">
        <v>185</v>
      </c>
      <c r="G5" s="558"/>
    </row>
    <row r="6" spans="1:44" ht="18" x14ac:dyDescent="0.3">
      <c r="F6" s="557" t="s">
        <v>186</v>
      </c>
      <c r="G6" s="559"/>
    </row>
    <row r="7" spans="1:44" ht="21.75" customHeight="1" x14ac:dyDescent="0.3">
      <c r="F7" s="557" t="s">
        <v>187</v>
      </c>
      <c r="G7" s="560"/>
    </row>
    <row r="8" spans="1:44" ht="18" x14ac:dyDescent="0.3">
      <c r="F8" s="561" t="s">
        <v>317</v>
      </c>
      <c r="G8" s="562"/>
    </row>
    <row r="9" spans="1:44" ht="18" x14ac:dyDescent="0.3">
      <c r="F9" s="557" t="s">
        <v>189</v>
      </c>
      <c r="G9" s="560"/>
      <c r="M9" s="861">
        <v>0.80469999999999997</v>
      </c>
    </row>
    <row r="10" spans="1:44" ht="27" customHeight="1" x14ac:dyDescent="0.3">
      <c r="F10" s="557" t="s">
        <v>318</v>
      </c>
      <c r="G10" s="560"/>
      <c r="M10" s="861">
        <f>1-M9</f>
        <v>0.19530000000000003</v>
      </c>
      <c r="P10" s="860"/>
      <c r="Q10" s="860"/>
      <c r="R10" s="860"/>
      <c r="S10" s="860"/>
      <c r="T10" s="860"/>
      <c r="U10" s="860"/>
      <c r="V10" s="860"/>
      <c r="W10" s="860"/>
    </row>
    <row r="11" spans="1:44" ht="19.5" customHeight="1" thickBot="1" x14ac:dyDescent="0.35">
      <c r="F11" s="563" t="s">
        <v>319</v>
      </c>
      <c r="G11" s="564"/>
      <c r="H11" s="864" t="s">
        <v>380</v>
      </c>
      <c r="I11" s="865"/>
      <c r="J11" s="866"/>
      <c r="K11" s="866"/>
      <c r="P11" s="860"/>
      <c r="Q11" s="860"/>
      <c r="R11" s="860"/>
      <c r="S11" s="860"/>
      <c r="T11" s="860"/>
      <c r="U11" s="860"/>
      <c r="V11" s="860"/>
      <c r="W11" s="860"/>
    </row>
    <row r="12" spans="1:44" ht="18.75" customHeight="1" thickBot="1" x14ac:dyDescent="0.35">
      <c r="B12" s="867"/>
      <c r="M12" s="868"/>
      <c r="Q12" s="1081" t="s">
        <v>1</v>
      </c>
      <c r="R12" s="1081"/>
      <c r="S12" s="1081"/>
      <c r="T12" s="1081"/>
      <c r="U12" s="1084" t="s">
        <v>2</v>
      </c>
      <c r="V12" s="1084"/>
      <c r="W12" s="1084"/>
      <c r="X12" s="1084"/>
      <c r="Y12" s="570" t="s">
        <v>56</v>
      </c>
      <c r="Z12" s="869" t="e">
        <f>(1/(1-#REF!))-1</f>
        <v>#REF!</v>
      </c>
      <c r="AA12" s="572"/>
      <c r="AC12" s="1097" t="s">
        <v>3</v>
      </c>
      <c r="AD12" s="1097"/>
      <c r="AE12" s="1097"/>
      <c r="AG12" s="1089" t="s">
        <v>58</v>
      </c>
      <c r="AH12" s="1089"/>
      <c r="AJ12" s="573" t="s">
        <v>60</v>
      </c>
      <c r="AK12" s="1087" t="s">
        <v>59</v>
      </c>
      <c r="AL12" s="1087"/>
      <c r="AM12" s="1089" t="s">
        <v>58</v>
      </c>
      <c r="AN12" s="1089"/>
      <c r="AP12" s="573" t="s">
        <v>60</v>
      </c>
      <c r="AQ12" s="1087" t="s">
        <v>59</v>
      </c>
      <c r="AR12" s="1087"/>
    </row>
    <row r="13" spans="1:44" ht="15" thickBot="1" x14ac:dyDescent="0.35">
      <c r="A13" s="574" t="s">
        <v>4</v>
      </c>
      <c r="B13" s="575" t="s">
        <v>5</v>
      </c>
      <c r="C13" s="574" t="s">
        <v>6</v>
      </c>
      <c r="D13" s="574" t="s">
        <v>7</v>
      </c>
      <c r="E13" s="574" t="s">
        <v>8</v>
      </c>
      <c r="M13" s="870">
        <v>0.80469999999999997</v>
      </c>
    </row>
    <row r="14" spans="1:44" ht="33" thickBot="1" x14ac:dyDescent="0.35">
      <c r="A14" s="581">
        <v>0</v>
      </c>
      <c r="B14" s="582"/>
      <c r="C14" s="583"/>
      <c r="D14" s="584"/>
      <c r="E14" s="584"/>
      <c r="F14" s="871" t="s">
        <v>84</v>
      </c>
      <c r="G14" s="586" t="s">
        <v>85</v>
      </c>
      <c r="H14" s="587" t="s">
        <v>86</v>
      </c>
      <c r="I14" s="587" t="s">
        <v>87</v>
      </c>
      <c r="J14" s="588" t="s">
        <v>88</v>
      </c>
      <c r="K14" s="589" t="s">
        <v>9</v>
      </c>
      <c r="L14" s="590">
        <v>7.4999999999999997E-2</v>
      </c>
      <c r="M14" s="591">
        <f>1-M13</f>
        <v>0.19530000000000003</v>
      </c>
      <c r="N14" s="872" t="s">
        <v>82</v>
      </c>
      <c r="Q14" s="593" t="s">
        <v>89</v>
      </c>
      <c r="R14" s="594" t="s">
        <v>90</v>
      </c>
      <c r="S14" s="595" t="s">
        <v>91</v>
      </c>
      <c r="T14" s="596" t="s">
        <v>92</v>
      </c>
      <c r="U14" s="597" t="s">
        <v>93</v>
      </c>
      <c r="V14" s="598" t="s">
        <v>94</v>
      </c>
      <c r="W14" s="599" t="s">
        <v>95</v>
      </c>
      <c r="X14" s="599" t="s">
        <v>96</v>
      </c>
      <c r="Y14" s="600" t="s">
        <v>97</v>
      </c>
      <c r="Z14" s="601" t="s">
        <v>98</v>
      </c>
      <c r="AA14" s="602" t="s">
        <v>83</v>
      </c>
      <c r="AC14" s="603" t="s">
        <v>99</v>
      </c>
      <c r="AD14" s="604" t="s">
        <v>100</v>
      </c>
      <c r="AE14" s="604" t="s">
        <v>33</v>
      </c>
      <c r="AG14" s="605" t="s">
        <v>101</v>
      </c>
      <c r="AH14" s="606" t="s">
        <v>102</v>
      </c>
      <c r="AI14" s="861" t="s">
        <v>320</v>
      </c>
      <c r="AJ14" s="861" t="s">
        <v>320</v>
      </c>
      <c r="AK14" s="607" t="s">
        <v>103</v>
      </c>
      <c r="AL14" s="608" t="s">
        <v>104</v>
      </c>
      <c r="AM14" s="605" t="s">
        <v>101</v>
      </c>
      <c r="AN14" s="606" t="s">
        <v>102</v>
      </c>
      <c r="AO14" s="861" t="s">
        <v>320</v>
      </c>
      <c r="AP14" s="861" t="s">
        <v>320</v>
      </c>
      <c r="AQ14" s="607" t="s">
        <v>103</v>
      </c>
      <c r="AR14" s="608" t="s">
        <v>104</v>
      </c>
    </row>
    <row r="15" spans="1:44" ht="36.75" customHeight="1" thickBot="1" x14ac:dyDescent="0.4">
      <c r="A15" s="584">
        <v>1</v>
      </c>
      <c r="B15" s="610">
        <v>1</v>
      </c>
      <c r="C15" s="830" t="s">
        <v>109</v>
      </c>
      <c r="D15" s="584"/>
      <c r="E15" s="584"/>
      <c r="F15" s="1108" t="s">
        <v>484</v>
      </c>
      <c r="G15" s="1108"/>
      <c r="H15" s="1108"/>
      <c r="I15" s="1108"/>
      <c r="J15" s="1108"/>
      <c r="K15" s="1108"/>
      <c r="L15" s="1108"/>
      <c r="M15" s="1108"/>
      <c r="N15" s="1108"/>
      <c r="P15" s="860"/>
      <c r="Q15" s="1118" t="str">
        <f>IF(F15&lt;&gt;"",F15,"")</f>
        <v>SERVIÇOS</v>
      </c>
      <c r="R15" s="1118"/>
      <c r="S15" s="1118"/>
      <c r="T15" s="1118"/>
      <c r="U15" s="1118"/>
      <c r="V15" s="1118"/>
      <c r="W15" s="1118"/>
      <c r="X15" s="1118"/>
      <c r="Y15" s="1118"/>
    </row>
    <row r="16" spans="1:44" ht="30" customHeight="1" x14ac:dyDescent="0.35">
      <c r="A16" s="584">
        <v>2</v>
      </c>
      <c r="B16" s="610" t="s">
        <v>111</v>
      </c>
      <c r="C16" s="830" t="s">
        <v>110</v>
      </c>
      <c r="D16" s="584"/>
      <c r="E16" s="584"/>
      <c r="F16" s="1113" t="s">
        <v>550</v>
      </c>
      <c r="G16" s="1113"/>
      <c r="H16" s="1113"/>
      <c r="I16" s="1113"/>
      <c r="J16" s="1113"/>
      <c r="K16" s="1113"/>
      <c r="L16" s="621" t="s">
        <v>112</v>
      </c>
      <c r="M16" s="622" t="s">
        <v>113</v>
      </c>
      <c r="N16" s="770" t="s">
        <v>82</v>
      </c>
      <c r="P16" s="860"/>
      <c r="Q16" s="1113" t="str">
        <f>IF(F16&lt;&gt;"",F16,"")</f>
        <v>ITENS NOVOS</v>
      </c>
      <c r="R16" s="1113"/>
      <c r="S16" s="1113"/>
      <c r="T16" s="1113"/>
      <c r="U16" s="1113"/>
      <c r="V16" s="1113"/>
      <c r="W16" s="1113"/>
      <c r="X16" s="1113"/>
      <c r="Y16" s="1155"/>
      <c r="Z16" s="873" t="s">
        <v>114</v>
      </c>
      <c r="AA16" s="874" t="s">
        <v>83</v>
      </c>
    </row>
    <row r="17" spans="1:34" ht="38.25" customHeight="1" x14ac:dyDescent="0.3">
      <c r="A17" s="584">
        <v>3</v>
      </c>
      <c r="B17" s="610" t="s">
        <v>116</v>
      </c>
      <c r="C17" s="830" t="s">
        <v>115</v>
      </c>
      <c r="D17" s="584" t="s">
        <v>127</v>
      </c>
      <c r="E17" s="584" t="s">
        <v>117</v>
      </c>
      <c r="F17" s="793" t="s">
        <v>493</v>
      </c>
      <c r="G17" s="794" t="s">
        <v>551</v>
      </c>
      <c r="H17" s="630">
        <v>1</v>
      </c>
      <c r="I17" s="630">
        <v>1</v>
      </c>
      <c r="J17" s="795">
        <v>925</v>
      </c>
      <c r="K17" s="633">
        <f t="shared" ref="K17:K36" si="0">IF(F17&lt;&gt;"",H17*I17*J17,"")</f>
        <v>925</v>
      </c>
      <c r="L17" s="633">
        <f t="shared" ref="L17:L36" si="1">IF(K17&lt;&gt;"",IF(D17="INTERNO",0,K17*$L$14),"")</f>
        <v>69.375</v>
      </c>
      <c r="M17" s="633">
        <f t="shared" ref="M17:M36" si="2">IF(K17&lt;&gt;"",IF(E17="FAT.OGGI",SUM(K17:L17)*(1/(1-$M$14)-1),L17*(1/(1-$M$14)-1)),"")</f>
        <v>241.33395986081777</v>
      </c>
      <c r="N17" s="816">
        <f t="shared" ref="N17:N36" si="3">SUM(K17:M17)</f>
        <v>1235.7089598608177</v>
      </c>
      <c r="P17" s="860"/>
      <c r="Q17" s="684">
        <f t="shared" ref="Q17:R32" si="4">IF(H17&lt;&gt;"",H17,"")</f>
        <v>1</v>
      </c>
      <c r="R17" s="828">
        <f t="shared" si="4"/>
        <v>1</v>
      </c>
      <c r="S17" s="798">
        <v>1000</v>
      </c>
      <c r="T17" s="694">
        <f t="shared" ref="T17:T36" si="5">IF(Q17&lt;&gt;"",Q17*R17*S17,"")</f>
        <v>1000</v>
      </c>
      <c r="U17" s="687">
        <f t="shared" ref="U17:U36" si="6">IF(Q17&lt;&gt;"",K17-T17,"")</f>
        <v>-75</v>
      </c>
      <c r="V17" s="688">
        <f t="shared" ref="V17:V36" si="7">IF(Q17&lt;&gt;"",0%,"")</f>
        <v>0</v>
      </c>
      <c r="W17" s="689">
        <f t="shared" ref="W17:W36" si="8">IF(Q17&lt;&gt;"",V17*U17,"")</f>
        <v>0</v>
      </c>
      <c r="X17" s="689">
        <f t="shared" ref="X17:X36" si="9">IF(Q17&lt;&gt;"",W17+T17,"")</f>
        <v>1000</v>
      </c>
      <c r="Y17" s="690">
        <f t="shared" ref="Y17:Y46" si="10">IF(Q17&lt;&gt;"",X17+M17,"")</f>
        <v>1241.3339598608177</v>
      </c>
      <c r="Z17" s="643">
        <f t="shared" ref="Z17:Z36" si="11">IF(Q17&lt;&gt;"",U17/K17,"")</f>
        <v>-8.1081081081081086E-2</v>
      </c>
      <c r="AA17" s="644">
        <f t="shared" ref="AA17:AA37" si="12">T17/$T$39</f>
        <v>2.9110412008394284E-2</v>
      </c>
    </row>
    <row r="18" spans="1:34" ht="32.4" x14ac:dyDescent="0.3">
      <c r="A18" s="584">
        <v>4</v>
      </c>
      <c r="B18" s="610" t="s">
        <v>105</v>
      </c>
      <c r="C18" s="830" t="s">
        <v>115</v>
      </c>
      <c r="D18" s="584" t="s">
        <v>127</v>
      </c>
      <c r="E18" s="584" t="s">
        <v>117</v>
      </c>
      <c r="F18" s="793" t="s">
        <v>496</v>
      </c>
      <c r="G18" s="794" t="s">
        <v>497</v>
      </c>
      <c r="H18" s="630">
        <v>1</v>
      </c>
      <c r="I18" s="630">
        <v>0</v>
      </c>
      <c r="J18" s="831">
        <v>3100</v>
      </c>
      <c r="K18" s="633">
        <f t="shared" si="0"/>
        <v>0</v>
      </c>
      <c r="L18" s="633">
        <f t="shared" si="1"/>
        <v>0</v>
      </c>
      <c r="M18" s="633">
        <f t="shared" si="2"/>
        <v>0</v>
      </c>
      <c r="N18" s="816">
        <f t="shared" si="3"/>
        <v>0</v>
      </c>
      <c r="P18" s="860"/>
      <c r="Q18" s="684">
        <f t="shared" si="4"/>
        <v>1</v>
      </c>
      <c r="R18" s="828">
        <v>0</v>
      </c>
      <c r="S18" s="694">
        <v>0</v>
      </c>
      <c r="T18" s="694">
        <f t="shared" si="5"/>
        <v>0</v>
      </c>
      <c r="U18" s="687">
        <f t="shared" si="6"/>
        <v>0</v>
      </c>
      <c r="V18" s="688">
        <f t="shared" si="7"/>
        <v>0</v>
      </c>
      <c r="W18" s="689">
        <f t="shared" si="8"/>
        <v>0</v>
      </c>
      <c r="X18" s="689">
        <f t="shared" si="9"/>
        <v>0</v>
      </c>
      <c r="Y18" s="690">
        <f t="shared" si="10"/>
        <v>0</v>
      </c>
      <c r="Z18" s="643" t="e">
        <f t="shared" si="11"/>
        <v>#DIV/0!</v>
      </c>
      <c r="AA18" s="644">
        <f t="shared" si="12"/>
        <v>0</v>
      </c>
    </row>
    <row r="19" spans="1:34" ht="16.2" x14ac:dyDescent="0.3">
      <c r="A19" s="609">
        <v>5</v>
      </c>
      <c r="B19" s="610" t="s">
        <v>175</v>
      </c>
      <c r="C19" s="611" t="s">
        <v>115</v>
      </c>
      <c r="D19" s="609" t="s">
        <v>127</v>
      </c>
      <c r="E19" s="609" t="s">
        <v>117</v>
      </c>
      <c r="F19" s="793" t="s">
        <v>552</v>
      </c>
      <c r="G19" s="629" t="s">
        <v>553</v>
      </c>
      <c r="H19" s="630">
        <v>1</v>
      </c>
      <c r="I19" s="630">
        <v>2.5</v>
      </c>
      <c r="J19" s="795">
        <v>2500</v>
      </c>
      <c r="K19" s="632">
        <f t="shared" si="0"/>
        <v>6250</v>
      </c>
      <c r="L19" s="632">
        <f t="shared" si="1"/>
        <v>468.75</v>
      </c>
      <c r="M19" s="632">
        <f t="shared" si="2"/>
        <v>1630.6348639244445</v>
      </c>
      <c r="N19" s="775">
        <f t="shared" si="3"/>
        <v>8349.3848639244443</v>
      </c>
      <c r="P19" s="860"/>
      <c r="Q19" s="664">
        <f t="shared" si="4"/>
        <v>1</v>
      </c>
      <c r="R19" s="804">
        <v>2.5</v>
      </c>
      <c r="S19" s="805">
        <v>2000</v>
      </c>
      <c r="T19" s="667">
        <f t="shared" si="5"/>
        <v>5000</v>
      </c>
      <c r="U19" s="668">
        <f t="shared" si="6"/>
        <v>1250</v>
      </c>
      <c r="V19" s="669">
        <f t="shared" si="7"/>
        <v>0</v>
      </c>
      <c r="W19" s="670">
        <f t="shared" si="8"/>
        <v>0</v>
      </c>
      <c r="X19" s="670">
        <f t="shared" si="9"/>
        <v>5000</v>
      </c>
      <c r="Y19" s="642">
        <f t="shared" si="10"/>
        <v>6630.6348639244443</v>
      </c>
      <c r="Z19" s="643">
        <f t="shared" si="11"/>
        <v>0.2</v>
      </c>
      <c r="AA19" s="644">
        <f t="shared" si="12"/>
        <v>0.14555206004197141</v>
      </c>
    </row>
    <row r="20" spans="1:34" ht="38.25" customHeight="1" x14ac:dyDescent="0.3">
      <c r="A20" s="584">
        <v>6</v>
      </c>
      <c r="B20" s="610" t="s">
        <v>179</v>
      </c>
      <c r="C20" s="830" t="s">
        <v>115</v>
      </c>
      <c r="D20" s="584" t="s">
        <v>127</v>
      </c>
      <c r="E20" s="584" t="s">
        <v>117</v>
      </c>
      <c r="F20" s="844" t="s">
        <v>554</v>
      </c>
      <c r="G20" s="691" t="s">
        <v>555</v>
      </c>
      <c r="H20" s="683">
        <v>8</v>
      </c>
      <c r="I20" s="683">
        <v>1</v>
      </c>
      <c r="J20" s="633">
        <v>129.9</v>
      </c>
      <c r="K20" s="633">
        <f t="shared" si="0"/>
        <v>1039.2</v>
      </c>
      <c r="L20" s="633">
        <f t="shared" si="1"/>
        <v>77.94</v>
      </c>
      <c r="M20" s="633">
        <f t="shared" si="2"/>
        <v>271.12892009444522</v>
      </c>
      <c r="N20" s="816">
        <f t="shared" si="3"/>
        <v>1388.2689200944453</v>
      </c>
      <c r="P20" s="860"/>
      <c r="Q20" s="684">
        <f t="shared" si="4"/>
        <v>8</v>
      </c>
      <c r="R20" s="828">
        <f t="shared" si="4"/>
        <v>1</v>
      </c>
      <c r="S20" s="798">
        <v>59.62</v>
      </c>
      <c r="T20" s="686">
        <f t="shared" si="5"/>
        <v>476.96</v>
      </c>
      <c r="U20" s="687">
        <f t="shared" si="6"/>
        <v>562.24</v>
      </c>
      <c r="V20" s="688">
        <f t="shared" si="7"/>
        <v>0</v>
      </c>
      <c r="W20" s="689">
        <f t="shared" si="8"/>
        <v>0</v>
      </c>
      <c r="X20" s="689">
        <f t="shared" si="9"/>
        <v>476.96</v>
      </c>
      <c r="Y20" s="690">
        <f t="shared" si="10"/>
        <v>748.08892009444526</v>
      </c>
      <c r="Z20" s="643">
        <f t="shared" si="11"/>
        <v>0.54103156274056963</v>
      </c>
      <c r="AA20" s="644">
        <f t="shared" si="12"/>
        <v>1.3884502111523736E-2</v>
      </c>
      <c r="AG20" s="861" t="s">
        <v>556</v>
      </c>
    </row>
    <row r="21" spans="1:34" ht="32.4" x14ac:dyDescent="0.3">
      <c r="A21" s="584">
        <v>7</v>
      </c>
      <c r="B21" s="610" t="s">
        <v>181</v>
      </c>
      <c r="C21" s="830" t="s">
        <v>115</v>
      </c>
      <c r="D21" s="584" t="s">
        <v>127</v>
      </c>
      <c r="E21" s="584" t="s">
        <v>117</v>
      </c>
      <c r="F21" s="844" t="s">
        <v>557</v>
      </c>
      <c r="G21" s="691" t="s">
        <v>558</v>
      </c>
      <c r="H21" s="683">
        <v>15</v>
      </c>
      <c r="I21" s="683">
        <v>1</v>
      </c>
      <c r="J21" s="633">
        <v>11.99</v>
      </c>
      <c r="K21" s="633">
        <f t="shared" si="0"/>
        <v>179.85</v>
      </c>
      <c r="L21" s="633">
        <f t="shared" si="1"/>
        <v>13.48875</v>
      </c>
      <c r="M21" s="633">
        <f t="shared" si="2"/>
        <v>46.923148844289813</v>
      </c>
      <c r="N21" s="816">
        <f t="shared" si="3"/>
        <v>240.26189884428982</v>
      </c>
      <c r="P21" s="860"/>
      <c r="Q21" s="684">
        <f t="shared" si="4"/>
        <v>15</v>
      </c>
      <c r="R21" s="828">
        <f t="shared" si="4"/>
        <v>1</v>
      </c>
      <c r="S21" s="798">
        <v>9.5</v>
      </c>
      <c r="T21" s="875">
        <f t="shared" si="5"/>
        <v>142.5</v>
      </c>
      <c r="U21" s="687">
        <f t="shared" si="6"/>
        <v>37.349999999999994</v>
      </c>
      <c r="V21" s="688">
        <f t="shared" si="7"/>
        <v>0</v>
      </c>
      <c r="W21" s="689">
        <f t="shared" si="8"/>
        <v>0</v>
      </c>
      <c r="X21" s="689">
        <f t="shared" si="9"/>
        <v>142.5</v>
      </c>
      <c r="Y21" s="690">
        <f t="shared" si="10"/>
        <v>189.42314884428981</v>
      </c>
      <c r="Z21" s="643">
        <f t="shared" si="11"/>
        <v>0.20767306088407003</v>
      </c>
      <c r="AA21" s="644">
        <f t="shared" si="12"/>
        <v>4.1482337111961856E-3</v>
      </c>
    </row>
    <row r="22" spans="1:34" ht="66" customHeight="1" x14ac:dyDescent="0.35">
      <c r="A22" s="584">
        <v>8</v>
      </c>
      <c r="B22" s="610" t="s">
        <v>327</v>
      </c>
      <c r="C22" s="830" t="s">
        <v>115</v>
      </c>
      <c r="D22" s="584" t="s">
        <v>127</v>
      </c>
      <c r="E22" s="584" t="s">
        <v>117</v>
      </c>
      <c r="F22" s="844" t="s">
        <v>559</v>
      </c>
      <c r="G22" s="691" t="s">
        <v>560</v>
      </c>
      <c r="H22" s="683">
        <v>1</v>
      </c>
      <c r="I22" s="683">
        <v>1</v>
      </c>
      <c r="J22" s="633">
        <v>2608.1999999999998</v>
      </c>
      <c r="K22" s="633">
        <f t="shared" si="0"/>
        <v>2608.1999999999998</v>
      </c>
      <c r="L22" s="633">
        <f t="shared" si="1"/>
        <v>195.61499999999998</v>
      </c>
      <c r="M22" s="633">
        <f t="shared" si="2"/>
        <v>680.48349633403768</v>
      </c>
      <c r="N22" s="816">
        <f t="shared" si="3"/>
        <v>3484.2984963340373</v>
      </c>
      <c r="P22" s="860"/>
      <c r="Q22" s="684">
        <f t="shared" si="4"/>
        <v>1</v>
      </c>
      <c r="R22" s="828">
        <f t="shared" si="4"/>
        <v>1</v>
      </c>
      <c r="S22" s="829">
        <v>1584</v>
      </c>
      <c r="T22" s="686">
        <f t="shared" si="5"/>
        <v>1584</v>
      </c>
      <c r="U22" s="687">
        <f t="shared" si="6"/>
        <v>1024.1999999999998</v>
      </c>
      <c r="V22" s="688">
        <f t="shared" si="7"/>
        <v>0</v>
      </c>
      <c r="W22" s="689">
        <f t="shared" si="8"/>
        <v>0</v>
      </c>
      <c r="X22" s="689">
        <f t="shared" si="9"/>
        <v>1584</v>
      </c>
      <c r="Y22" s="690">
        <f t="shared" si="10"/>
        <v>2264.4834963340377</v>
      </c>
      <c r="Z22" s="643">
        <f t="shared" si="11"/>
        <v>0.39268461007591438</v>
      </c>
      <c r="AA22" s="644">
        <f t="shared" si="12"/>
        <v>4.6110892621296543E-2</v>
      </c>
      <c r="AC22" s="653">
        <v>1584</v>
      </c>
      <c r="AD22" s="654">
        <f>T22-AC22</f>
        <v>0</v>
      </c>
      <c r="AE22" s="655">
        <v>46042</v>
      </c>
      <c r="AG22" s="656" t="s">
        <v>561</v>
      </c>
      <c r="AH22" s="657" t="s">
        <v>562</v>
      </c>
    </row>
    <row r="23" spans="1:34" ht="48.6" x14ac:dyDescent="0.3">
      <c r="A23" s="584">
        <v>9</v>
      </c>
      <c r="B23" s="610" t="s">
        <v>328</v>
      </c>
      <c r="C23" s="830" t="s">
        <v>115</v>
      </c>
      <c r="D23" s="584" t="s">
        <v>127</v>
      </c>
      <c r="E23" s="584" t="s">
        <v>117</v>
      </c>
      <c r="F23" s="844" t="s">
        <v>563</v>
      </c>
      <c r="G23" s="691" t="s">
        <v>564</v>
      </c>
      <c r="H23" s="683">
        <v>1</v>
      </c>
      <c r="I23" s="683">
        <v>1</v>
      </c>
      <c r="J23" s="633">
        <v>1624.87</v>
      </c>
      <c r="K23" s="633">
        <f t="shared" si="0"/>
        <v>1624.87</v>
      </c>
      <c r="L23" s="633">
        <f t="shared" si="1"/>
        <v>121.86524999999999</v>
      </c>
      <c r="M23" s="633">
        <f t="shared" si="2"/>
        <v>423.93114741518593</v>
      </c>
      <c r="N23" s="816">
        <f t="shared" si="3"/>
        <v>2170.6663974151861</v>
      </c>
      <c r="P23" s="860"/>
      <c r="Q23" s="684">
        <f t="shared" si="4"/>
        <v>1</v>
      </c>
      <c r="R23" s="828">
        <f t="shared" si="4"/>
        <v>1</v>
      </c>
      <c r="S23" s="798">
        <v>353.96</v>
      </c>
      <c r="T23" s="694">
        <f t="shared" si="5"/>
        <v>353.96</v>
      </c>
      <c r="U23" s="687">
        <f t="shared" si="6"/>
        <v>1270.9099999999999</v>
      </c>
      <c r="V23" s="688">
        <f t="shared" si="7"/>
        <v>0</v>
      </c>
      <c r="W23" s="689">
        <f t="shared" si="8"/>
        <v>0</v>
      </c>
      <c r="X23" s="689">
        <f t="shared" si="9"/>
        <v>353.96</v>
      </c>
      <c r="Y23" s="690">
        <f t="shared" si="10"/>
        <v>777.89114741518597</v>
      </c>
      <c r="Z23" s="643">
        <f t="shared" si="11"/>
        <v>0.78216103442121521</v>
      </c>
      <c r="AA23" s="644">
        <f t="shared" si="12"/>
        <v>1.030392143449124E-2</v>
      </c>
    </row>
    <row r="24" spans="1:34" ht="97.2" x14ac:dyDescent="0.35">
      <c r="A24" s="584">
        <v>10</v>
      </c>
      <c r="B24" s="610" t="s">
        <v>330</v>
      </c>
      <c r="C24" s="830" t="s">
        <v>115</v>
      </c>
      <c r="D24" s="584" t="s">
        <v>127</v>
      </c>
      <c r="E24" s="584" t="s">
        <v>117</v>
      </c>
      <c r="F24" s="844" t="s">
        <v>565</v>
      </c>
      <c r="G24" s="691" t="s">
        <v>566</v>
      </c>
      <c r="H24" s="683">
        <v>1</v>
      </c>
      <c r="I24" s="683">
        <v>1</v>
      </c>
      <c r="J24" s="633">
        <v>5520</v>
      </c>
      <c r="K24" s="633">
        <f t="shared" si="0"/>
        <v>5520</v>
      </c>
      <c r="L24" s="633">
        <f t="shared" si="1"/>
        <v>414</v>
      </c>
      <c r="M24" s="633">
        <f t="shared" si="2"/>
        <v>1440.1767118180694</v>
      </c>
      <c r="N24" s="816">
        <f t="shared" si="3"/>
        <v>7374.1767118180696</v>
      </c>
      <c r="P24" s="860"/>
      <c r="Q24" s="684">
        <f t="shared" si="4"/>
        <v>1</v>
      </c>
      <c r="R24" s="828">
        <f t="shared" si="4"/>
        <v>1</v>
      </c>
      <c r="S24" s="829">
        <v>3800</v>
      </c>
      <c r="T24" s="686">
        <f t="shared" si="5"/>
        <v>3800</v>
      </c>
      <c r="U24" s="687">
        <f t="shared" si="6"/>
        <v>1720</v>
      </c>
      <c r="V24" s="688">
        <f t="shared" si="7"/>
        <v>0</v>
      </c>
      <c r="W24" s="689">
        <f t="shared" si="8"/>
        <v>0</v>
      </c>
      <c r="X24" s="689">
        <f t="shared" si="9"/>
        <v>3800</v>
      </c>
      <c r="Y24" s="690">
        <f t="shared" si="10"/>
        <v>5240.1767118180696</v>
      </c>
      <c r="Z24" s="643">
        <f t="shared" si="11"/>
        <v>0.31159420289855072</v>
      </c>
      <c r="AA24" s="644">
        <f t="shared" si="12"/>
        <v>0.11061956563189827</v>
      </c>
      <c r="AC24" s="653">
        <v>7515</v>
      </c>
      <c r="AD24" s="654">
        <f>T24-AC24</f>
        <v>-3715</v>
      </c>
      <c r="AE24" s="655">
        <v>46031</v>
      </c>
      <c r="AG24" s="656" t="s">
        <v>567</v>
      </c>
      <c r="AH24" s="657" t="s">
        <v>568</v>
      </c>
    </row>
    <row r="25" spans="1:34" ht="120" customHeight="1" x14ac:dyDescent="0.35">
      <c r="A25" s="697">
        <v>11</v>
      </c>
      <c r="B25" s="610" t="s">
        <v>332</v>
      </c>
      <c r="C25" s="698" t="s">
        <v>115</v>
      </c>
      <c r="D25" s="584" t="s">
        <v>127</v>
      </c>
      <c r="E25" s="584" t="s">
        <v>117</v>
      </c>
      <c r="F25" s="793" t="s">
        <v>569</v>
      </c>
      <c r="G25" s="794" t="s">
        <v>570</v>
      </c>
      <c r="H25" s="630">
        <v>1</v>
      </c>
      <c r="I25" s="630">
        <v>1</v>
      </c>
      <c r="J25" s="632">
        <v>4090</v>
      </c>
      <c r="K25" s="632">
        <f>IF(F25&lt;&gt;"",H25*I25*J25,"")</f>
        <v>4090</v>
      </c>
      <c r="L25" s="632">
        <f>IF(K25&lt;&gt;"",IF(D25="INTERNO",0,K25*$L$14),"")</f>
        <v>306.75</v>
      </c>
      <c r="M25" s="632">
        <f>IF(K25&lt;&gt;"",IF(E25="FAT.OGGI",SUM(K25:L25)*(1/(1-$M$14)-1),L25*(1/(1-$M$14)-1)),"")</f>
        <v>1067.0874549521563</v>
      </c>
      <c r="N25" s="775">
        <f>SUM(K25:M25)</f>
        <v>5463.8374549521559</v>
      </c>
      <c r="P25" s="860"/>
      <c r="Q25" s="664">
        <f>IF(H25&lt;&gt;"",H25,"")</f>
        <v>1</v>
      </c>
      <c r="R25" s="699">
        <f>IF(I25&lt;&gt;"",I25,"")</f>
        <v>1</v>
      </c>
      <c r="S25" s="762">
        <v>3950</v>
      </c>
      <c r="T25" s="813">
        <f>IF(Q25&lt;&gt;"",Q25*R25*S25,"")</f>
        <v>3950</v>
      </c>
      <c r="U25" s="668">
        <f>IF(Q25&lt;&gt;"",K25-T25,"")</f>
        <v>140</v>
      </c>
      <c r="V25" s="669">
        <f>IF(Q25&lt;&gt;"",0%,"")</f>
        <v>0</v>
      </c>
      <c r="W25" s="670">
        <f>IF(Q25&lt;&gt;"",V25*U25,"")</f>
        <v>0</v>
      </c>
      <c r="X25" s="670">
        <f>IF(Q25&lt;&gt;"",W25+T25,"")</f>
        <v>3950</v>
      </c>
      <c r="Y25" s="642">
        <f>IF(Q25&lt;&gt;"",X25+M25,"")</f>
        <v>5017.0874549521559</v>
      </c>
      <c r="Z25" s="643">
        <f>IF(Q25&lt;&gt;"",U25/K25,"")</f>
        <v>3.4229828850855744E-2</v>
      </c>
      <c r="AA25" s="644">
        <f t="shared" si="12"/>
        <v>0.11498612743315742</v>
      </c>
      <c r="AC25" s="653"/>
      <c r="AD25" s="654">
        <f>T25-AC25</f>
        <v>3950</v>
      </c>
      <c r="AE25" s="655">
        <v>46031</v>
      </c>
      <c r="AG25" s="656" t="s">
        <v>567</v>
      </c>
      <c r="AH25" s="657" t="s">
        <v>568</v>
      </c>
    </row>
    <row r="26" spans="1:34" ht="48.6" x14ac:dyDescent="0.3">
      <c r="A26" s="876">
        <v>12</v>
      </c>
      <c r="B26" s="610" t="s">
        <v>334</v>
      </c>
      <c r="C26" s="877" t="s">
        <v>115</v>
      </c>
      <c r="D26" s="876" t="s">
        <v>127</v>
      </c>
      <c r="E26" s="876" t="s">
        <v>117</v>
      </c>
      <c r="F26" s="878" t="s">
        <v>571</v>
      </c>
      <c r="G26" s="702" t="s">
        <v>572</v>
      </c>
      <c r="H26" s="715">
        <v>1</v>
      </c>
      <c r="I26" s="715">
        <v>2</v>
      </c>
      <c r="J26" s="705">
        <v>950</v>
      </c>
      <c r="K26" s="705">
        <f t="shared" si="0"/>
        <v>1900</v>
      </c>
      <c r="L26" s="705">
        <f t="shared" si="1"/>
        <v>142.5</v>
      </c>
      <c r="M26" s="705">
        <f t="shared" si="2"/>
        <v>495.71299863303108</v>
      </c>
      <c r="N26" s="879">
        <f t="shared" si="3"/>
        <v>2538.212998633031</v>
      </c>
      <c r="P26" s="860"/>
      <c r="Q26" s="707">
        <f t="shared" si="4"/>
        <v>1</v>
      </c>
      <c r="R26" s="880">
        <v>1</v>
      </c>
      <c r="S26" s="881">
        <v>1837</v>
      </c>
      <c r="T26" s="709">
        <f t="shared" si="5"/>
        <v>1837</v>
      </c>
      <c r="U26" s="710">
        <f t="shared" si="6"/>
        <v>63</v>
      </c>
      <c r="V26" s="711">
        <f t="shared" si="7"/>
        <v>0</v>
      </c>
      <c r="W26" s="712">
        <f t="shared" si="8"/>
        <v>0</v>
      </c>
      <c r="X26" s="712">
        <f t="shared" si="9"/>
        <v>1837</v>
      </c>
      <c r="Y26" s="713">
        <f t="shared" si="10"/>
        <v>2332.712998633031</v>
      </c>
      <c r="Z26" s="643">
        <f t="shared" si="11"/>
        <v>3.3157894736842108E-2</v>
      </c>
      <c r="AA26" s="644">
        <f t="shared" si="12"/>
        <v>5.3475826859420296E-2</v>
      </c>
    </row>
    <row r="27" spans="1:34" ht="42" customHeight="1" x14ac:dyDescent="0.3">
      <c r="A27" s="718">
        <v>13</v>
      </c>
      <c r="B27" s="610" t="s">
        <v>336</v>
      </c>
      <c r="C27" s="882" t="s">
        <v>115</v>
      </c>
      <c r="D27" s="584" t="s">
        <v>127</v>
      </c>
      <c r="E27" s="584" t="s">
        <v>117</v>
      </c>
      <c r="F27" s="844" t="s">
        <v>573</v>
      </c>
      <c r="G27" s="691" t="s">
        <v>574</v>
      </c>
      <c r="H27" s="692">
        <v>50</v>
      </c>
      <c r="I27" s="692">
        <v>1</v>
      </c>
      <c r="J27" s="693">
        <v>4.9000000000000004</v>
      </c>
      <c r="K27" s="633">
        <f t="shared" si="0"/>
        <v>245.00000000000003</v>
      </c>
      <c r="L27" s="633">
        <f t="shared" si="1"/>
        <v>18.375</v>
      </c>
      <c r="M27" s="633">
        <f t="shared" si="2"/>
        <v>63.920886665838218</v>
      </c>
      <c r="N27" s="816">
        <f t="shared" si="3"/>
        <v>327.29588666583822</v>
      </c>
      <c r="P27" s="860"/>
      <c r="Q27" s="684">
        <f t="shared" si="4"/>
        <v>50</v>
      </c>
      <c r="R27" s="883">
        <f t="shared" si="4"/>
        <v>1</v>
      </c>
      <c r="S27" s="694">
        <v>4.8</v>
      </c>
      <c r="T27" s="798">
        <f t="shared" si="5"/>
        <v>240</v>
      </c>
      <c r="U27" s="687">
        <f t="shared" si="6"/>
        <v>5.0000000000000284</v>
      </c>
      <c r="V27" s="688">
        <f t="shared" si="7"/>
        <v>0</v>
      </c>
      <c r="W27" s="689">
        <f t="shared" si="8"/>
        <v>0</v>
      </c>
      <c r="X27" s="689">
        <f t="shared" si="9"/>
        <v>240</v>
      </c>
      <c r="Y27" s="690">
        <f t="shared" si="10"/>
        <v>303.92088666583822</v>
      </c>
      <c r="Z27" s="717">
        <f t="shared" si="11"/>
        <v>2.0408163265306235E-2</v>
      </c>
      <c r="AA27" s="644">
        <f t="shared" si="12"/>
        <v>6.9864988820146278E-3</v>
      </c>
    </row>
    <row r="28" spans="1:34" ht="42" customHeight="1" x14ac:dyDescent="0.3">
      <c r="A28" s="718">
        <v>14</v>
      </c>
      <c r="B28" s="610" t="s">
        <v>338</v>
      </c>
      <c r="C28" s="882" t="s">
        <v>115</v>
      </c>
      <c r="D28" s="584" t="s">
        <v>127</v>
      </c>
      <c r="E28" s="584" t="s">
        <v>117</v>
      </c>
      <c r="F28" s="884" t="s">
        <v>575</v>
      </c>
      <c r="G28" s="682" t="s">
        <v>576</v>
      </c>
      <c r="H28" s="692">
        <v>1</v>
      </c>
      <c r="I28" s="692">
        <v>1</v>
      </c>
      <c r="J28" s="693">
        <v>750</v>
      </c>
      <c r="K28" s="633">
        <f t="shared" si="0"/>
        <v>750</v>
      </c>
      <c r="L28" s="633">
        <f t="shared" si="1"/>
        <v>56.25</v>
      </c>
      <c r="M28" s="633">
        <f t="shared" si="2"/>
        <v>195.67618367093334</v>
      </c>
      <c r="N28" s="816">
        <f t="shared" si="3"/>
        <v>1001.9261836709334</v>
      </c>
      <c r="P28" s="860"/>
      <c r="Q28" s="684">
        <f t="shared" si="4"/>
        <v>1</v>
      </c>
      <c r="R28" s="883">
        <f t="shared" si="4"/>
        <v>1</v>
      </c>
      <c r="S28" s="694">
        <v>500</v>
      </c>
      <c r="T28" s="798">
        <f t="shared" si="5"/>
        <v>500</v>
      </c>
      <c r="U28" s="687">
        <f t="shared" si="6"/>
        <v>250</v>
      </c>
      <c r="V28" s="688">
        <f t="shared" si="7"/>
        <v>0</v>
      </c>
      <c r="W28" s="689">
        <f t="shared" si="8"/>
        <v>0</v>
      </c>
      <c r="X28" s="689">
        <f t="shared" si="9"/>
        <v>500</v>
      </c>
      <c r="Y28" s="690">
        <f t="shared" si="10"/>
        <v>695.67618367093337</v>
      </c>
      <c r="Z28" s="643">
        <f t="shared" si="11"/>
        <v>0.33333333333333331</v>
      </c>
      <c r="AA28" s="644">
        <f t="shared" si="12"/>
        <v>1.4555206004197142E-2</v>
      </c>
    </row>
    <row r="29" spans="1:34" ht="42" customHeight="1" x14ac:dyDescent="0.3">
      <c r="A29" s="697">
        <v>15</v>
      </c>
      <c r="B29" s="610" t="s">
        <v>340</v>
      </c>
      <c r="C29" s="698" t="s">
        <v>115</v>
      </c>
      <c r="D29" s="584" t="s">
        <v>127</v>
      </c>
      <c r="E29" s="584" t="s">
        <v>117</v>
      </c>
      <c r="F29" s="832" t="s">
        <v>577</v>
      </c>
      <c r="G29" s="629" t="s">
        <v>578</v>
      </c>
      <c r="H29" s="648">
        <v>350</v>
      </c>
      <c r="I29" s="648">
        <v>1</v>
      </c>
      <c r="J29" s="795">
        <v>4.2</v>
      </c>
      <c r="K29" s="632">
        <f t="shared" si="0"/>
        <v>1470</v>
      </c>
      <c r="L29" s="632">
        <f t="shared" si="1"/>
        <v>110.25</v>
      </c>
      <c r="M29" s="632">
        <f t="shared" si="2"/>
        <v>383.52531999502935</v>
      </c>
      <c r="N29" s="775">
        <f t="shared" si="3"/>
        <v>1963.7753199950293</v>
      </c>
      <c r="P29" s="860"/>
      <c r="Q29" s="664">
        <v>1</v>
      </c>
      <c r="R29" s="699">
        <f t="shared" si="4"/>
        <v>1</v>
      </c>
      <c r="S29" s="813">
        <v>3</v>
      </c>
      <c r="T29" s="646">
        <v>533.95000000000005</v>
      </c>
      <c r="U29" s="668">
        <f t="shared" si="6"/>
        <v>936.05</v>
      </c>
      <c r="V29" s="669">
        <f t="shared" si="7"/>
        <v>0</v>
      </c>
      <c r="W29" s="670">
        <f t="shared" si="8"/>
        <v>0</v>
      </c>
      <c r="X29" s="670">
        <f t="shared" si="9"/>
        <v>533.95000000000005</v>
      </c>
      <c r="Y29" s="642">
        <f t="shared" si="10"/>
        <v>917.47531999502939</v>
      </c>
      <c r="Z29" s="643">
        <f t="shared" si="11"/>
        <v>0.63676870748299319</v>
      </c>
      <c r="AA29" s="644">
        <f t="shared" si="12"/>
        <v>1.5543504491882128E-2</v>
      </c>
    </row>
    <row r="30" spans="1:34" ht="42" customHeight="1" x14ac:dyDescent="0.3">
      <c r="A30" s="885">
        <v>16</v>
      </c>
      <c r="B30" s="610" t="s">
        <v>342</v>
      </c>
      <c r="C30" s="886" t="s">
        <v>115</v>
      </c>
      <c r="D30" s="876" t="s">
        <v>127</v>
      </c>
      <c r="E30" s="876" t="s">
        <v>117</v>
      </c>
      <c r="F30" s="887" t="s">
        <v>579</v>
      </c>
      <c r="G30" s="714" t="s">
        <v>580</v>
      </c>
      <c r="H30" s="703">
        <v>1</v>
      </c>
      <c r="I30" s="703">
        <v>1</v>
      </c>
      <c r="J30" s="704">
        <v>1500</v>
      </c>
      <c r="K30" s="705">
        <f t="shared" si="0"/>
        <v>1500</v>
      </c>
      <c r="L30" s="705">
        <f t="shared" si="1"/>
        <v>112.5</v>
      </c>
      <c r="M30" s="705">
        <f t="shared" si="2"/>
        <v>391.35236734186668</v>
      </c>
      <c r="N30" s="879">
        <f t="shared" si="3"/>
        <v>2003.8523673418667</v>
      </c>
      <c r="P30" s="860"/>
      <c r="Q30" s="707">
        <f t="shared" si="4"/>
        <v>1</v>
      </c>
      <c r="R30" s="888">
        <f t="shared" si="4"/>
        <v>1</v>
      </c>
      <c r="S30" s="889">
        <v>1189</v>
      </c>
      <c r="T30" s="890">
        <f t="shared" si="5"/>
        <v>1189</v>
      </c>
      <c r="U30" s="710">
        <f t="shared" si="6"/>
        <v>311</v>
      </c>
      <c r="V30" s="711">
        <f t="shared" si="7"/>
        <v>0</v>
      </c>
      <c r="W30" s="712">
        <f t="shared" si="8"/>
        <v>0</v>
      </c>
      <c r="X30" s="712">
        <f t="shared" si="9"/>
        <v>1189</v>
      </c>
      <c r="Y30" s="713">
        <f t="shared" si="10"/>
        <v>1580.3523673418667</v>
      </c>
      <c r="Z30" s="643">
        <f t="shared" si="11"/>
        <v>0.20733333333333334</v>
      </c>
      <c r="AA30" s="644">
        <f t="shared" si="12"/>
        <v>3.4612279877980802E-2</v>
      </c>
    </row>
    <row r="31" spans="1:34" ht="42" customHeight="1" x14ac:dyDescent="0.35">
      <c r="A31" s="718">
        <v>17</v>
      </c>
      <c r="B31" s="610" t="s">
        <v>344</v>
      </c>
      <c r="C31" s="882" t="s">
        <v>115</v>
      </c>
      <c r="D31" s="876" t="s">
        <v>127</v>
      </c>
      <c r="E31" s="876" t="s">
        <v>117</v>
      </c>
      <c r="F31" s="884" t="s">
        <v>581</v>
      </c>
      <c r="G31" s="682" t="s">
        <v>582</v>
      </c>
      <c r="H31" s="683">
        <v>1</v>
      </c>
      <c r="I31" s="683">
        <v>1</v>
      </c>
      <c r="J31" s="633">
        <v>8000</v>
      </c>
      <c r="K31" s="633">
        <f t="shared" si="0"/>
        <v>8000</v>
      </c>
      <c r="L31" s="633">
        <f t="shared" si="1"/>
        <v>600</v>
      </c>
      <c r="M31" s="633">
        <f t="shared" si="2"/>
        <v>2087.2126258232888</v>
      </c>
      <c r="N31" s="816">
        <f t="shared" si="3"/>
        <v>10687.212625823289</v>
      </c>
      <c r="P31" s="860"/>
      <c r="Q31" s="684">
        <f t="shared" si="4"/>
        <v>1</v>
      </c>
      <c r="R31" s="883">
        <f t="shared" si="4"/>
        <v>1</v>
      </c>
      <c r="S31" s="686">
        <v>8000</v>
      </c>
      <c r="T31" s="829">
        <f t="shared" si="5"/>
        <v>8000</v>
      </c>
      <c r="U31" s="687">
        <f t="shared" si="6"/>
        <v>0</v>
      </c>
      <c r="V31" s="688">
        <f t="shared" si="7"/>
        <v>0</v>
      </c>
      <c r="W31" s="689">
        <f t="shared" si="8"/>
        <v>0</v>
      </c>
      <c r="X31" s="689">
        <f t="shared" si="9"/>
        <v>8000</v>
      </c>
      <c r="Y31" s="690">
        <f t="shared" si="10"/>
        <v>10087.212625823289</v>
      </c>
      <c r="Z31" s="643">
        <f t="shared" si="11"/>
        <v>0</v>
      </c>
      <c r="AA31" s="644">
        <f t="shared" si="12"/>
        <v>0.23288329606715427</v>
      </c>
      <c r="AC31" s="653">
        <v>8000</v>
      </c>
      <c r="AD31" s="654">
        <f>T31-AC31</f>
        <v>0</v>
      </c>
      <c r="AE31" s="655">
        <v>46041</v>
      </c>
      <c r="AG31" s="656" t="s">
        <v>583</v>
      </c>
      <c r="AH31" s="657" t="s">
        <v>584</v>
      </c>
    </row>
    <row r="32" spans="1:34" ht="58.5" customHeight="1" x14ac:dyDescent="0.3">
      <c r="A32" s="697">
        <v>18</v>
      </c>
      <c r="B32" s="610" t="s">
        <v>345</v>
      </c>
      <c r="C32" s="698" t="s">
        <v>115</v>
      </c>
      <c r="D32" s="876" t="s">
        <v>127</v>
      </c>
      <c r="E32" s="876" t="s">
        <v>117</v>
      </c>
      <c r="F32" s="793" t="s">
        <v>581</v>
      </c>
      <c r="G32" s="794" t="s">
        <v>585</v>
      </c>
      <c r="H32" s="648">
        <v>1</v>
      </c>
      <c r="I32" s="630">
        <v>0</v>
      </c>
      <c r="J32" s="632">
        <v>1850</v>
      </c>
      <c r="K32" s="632">
        <f t="shared" si="0"/>
        <v>0</v>
      </c>
      <c r="L32" s="632">
        <f t="shared" si="1"/>
        <v>0</v>
      </c>
      <c r="M32" s="632">
        <f t="shared" si="2"/>
        <v>0</v>
      </c>
      <c r="N32" s="775">
        <f t="shared" si="3"/>
        <v>0</v>
      </c>
      <c r="P32" s="860"/>
      <c r="Q32" s="664">
        <f t="shared" si="4"/>
        <v>1</v>
      </c>
      <c r="R32" s="699">
        <f t="shared" si="4"/>
        <v>0</v>
      </c>
      <c r="S32" s="667"/>
      <c r="T32" s="667">
        <f t="shared" si="5"/>
        <v>0</v>
      </c>
      <c r="U32" s="668">
        <f t="shared" si="6"/>
        <v>0</v>
      </c>
      <c r="V32" s="669">
        <f t="shared" si="7"/>
        <v>0</v>
      </c>
      <c r="W32" s="670">
        <f t="shared" si="8"/>
        <v>0</v>
      </c>
      <c r="X32" s="670">
        <f t="shared" si="9"/>
        <v>0</v>
      </c>
      <c r="Y32" s="642">
        <f t="shared" si="10"/>
        <v>0</v>
      </c>
      <c r="Z32" s="643" t="e">
        <f t="shared" si="11"/>
        <v>#DIV/0!</v>
      </c>
      <c r="AA32" s="644">
        <f t="shared" si="12"/>
        <v>0</v>
      </c>
    </row>
    <row r="33" spans="1:30" ht="42" customHeight="1" x14ac:dyDescent="0.3">
      <c r="A33" s="885">
        <v>19</v>
      </c>
      <c r="B33" s="610" t="s">
        <v>346</v>
      </c>
      <c r="C33" s="886" t="s">
        <v>115</v>
      </c>
      <c r="D33" s="876" t="s">
        <v>127</v>
      </c>
      <c r="E33" s="876" t="s">
        <v>117</v>
      </c>
      <c r="F33" s="878" t="s">
        <v>586</v>
      </c>
      <c r="G33" s="702" t="s">
        <v>587</v>
      </c>
      <c r="H33" s="715">
        <v>1</v>
      </c>
      <c r="I33" s="715">
        <v>1</v>
      </c>
      <c r="J33" s="705">
        <v>1900</v>
      </c>
      <c r="K33" s="705">
        <f t="shared" si="0"/>
        <v>1900</v>
      </c>
      <c r="L33" s="705">
        <f t="shared" si="1"/>
        <v>142.5</v>
      </c>
      <c r="M33" s="705">
        <f t="shared" si="2"/>
        <v>495.71299863303108</v>
      </c>
      <c r="N33" s="879">
        <f t="shared" si="3"/>
        <v>2538.212998633031</v>
      </c>
      <c r="P33" s="860"/>
      <c r="Q33" s="707">
        <f t="shared" ref="Q33:R36" si="13">IF(H33&lt;&gt;"",H33,"")</f>
        <v>1</v>
      </c>
      <c r="R33" s="888">
        <f t="shared" si="13"/>
        <v>1</v>
      </c>
      <c r="S33" s="709">
        <v>0</v>
      </c>
      <c r="T33" s="709">
        <f t="shared" si="5"/>
        <v>0</v>
      </c>
      <c r="U33" s="710">
        <f t="shared" si="6"/>
        <v>1900</v>
      </c>
      <c r="V33" s="711">
        <f t="shared" si="7"/>
        <v>0</v>
      </c>
      <c r="W33" s="712">
        <f t="shared" si="8"/>
        <v>0</v>
      </c>
      <c r="X33" s="712">
        <f t="shared" si="9"/>
        <v>0</v>
      </c>
      <c r="Y33" s="713">
        <f t="shared" si="10"/>
        <v>495.71299863303108</v>
      </c>
      <c r="Z33" s="643">
        <f t="shared" si="11"/>
        <v>1</v>
      </c>
      <c r="AA33" s="644">
        <f t="shared" si="12"/>
        <v>0</v>
      </c>
    </row>
    <row r="34" spans="1:30" ht="42" customHeight="1" x14ac:dyDescent="0.3">
      <c r="A34" s="718">
        <v>20</v>
      </c>
      <c r="B34" s="610" t="s">
        <v>347</v>
      </c>
      <c r="C34" s="882" t="s">
        <v>115</v>
      </c>
      <c r="D34" s="876" t="s">
        <v>127</v>
      </c>
      <c r="E34" s="876" t="s">
        <v>117</v>
      </c>
      <c r="F34" s="793" t="s">
        <v>588</v>
      </c>
      <c r="G34" s="794" t="s">
        <v>589</v>
      </c>
      <c r="H34" s="648">
        <v>350</v>
      </c>
      <c r="I34" s="648">
        <v>1</v>
      </c>
      <c r="J34" s="795">
        <v>8.9</v>
      </c>
      <c r="K34" s="633">
        <f t="shared" si="0"/>
        <v>3115</v>
      </c>
      <c r="L34" s="633">
        <f t="shared" si="1"/>
        <v>233.625</v>
      </c>
      <c r="M34" s="633">
        <f t="shared" si="2"/>
        <v>812.70841617994313</v>
      </c>
      <c r="N34" s="816">
        <f t="shared" si="3"/>
        <v>4161.333416179943</v>
      </c>
      <c r="P34" s="860"/>
      <c r="Q34" s="684">
        <f t="shared" si="13"/>
        <v>350</v>
      </c>
      <c r="R34" s="883">
        <f t="shared" si="13"/>
        <v>1</v>
      </c>
      <c r="S34" s="686">
        <v>8.4</v>
      </c>
      <c r="T34" s="829">
        <f t="shared" si="5"/>
        <v>2940</v>
      </c>
      <c r="U34" s="687">
        <f t="shared" si="6"/>
        <v>175</v>
      </c>
      <c r="V34" s="688">
        <f t="shared" si="7"/>
        <v>0</v>
      </c>
      <c r="W34" s="689">
        <f t="shared" si="8"/>
        <v>0</v>
      </c>
      <c r="X34" s="689">
        <f t="shared" si="9"/>
        <v>2940</v>
      </c>
      <c r="Y34" s="690">
        <f t="shared" si="10"/>
        <v>3752.708416179943</v>
      </c>
      <c r="Z34" s="643">
        <f t="shared" si="11"/>
        <v>5.6179775280898875E-2</v>
      </c>
      <c r="AA34" s="644">
        <f t="shared" si="12"/>
        <v>8.558461130467919E-2</v>
      </c>
    </row>
    <row r="35" spans="1:30" ht="42" customHeight="1" x14ac:dyDescent="0.3">
      <c r="A35" s="718">
        <v>21</v>
      </c>
      <c r="B35" s="610" t="s">
        <v>348</v>
      </c>
      <c r="C35" s="882" t="s">
        <v>115</v>
      </c>
      <c r="D35" s="876" t="s">
        <v>127</v>
      </c>
      <c r="E35" s="876" t="s">
        <v>117</v>
      </c>
      <c r="F35" s="793" t="s">
        <v>590</v>
      </c>
      <c r="G35" s="794" t="s">
        <v>591</v>
      </c>
      <c r="H35" s="648">
        <v>1</v>
      </c>
      <c r="I35" s="630">
        <v>1</v>
      </c>
      <c r="J35" s="632">
        <v>2300</v>
      </c>
      <c r="K35" s="633">
        <f t="shared" si="0"/>
        <v>2300</v>
      </c>
      <c r="L35" s="633">
        <f t="shared" si="1"/>
        <v>172.5</v>
      </c>
      <c r="M35" s="633">
        <f t="shared" si="2"/>
        <v>600.07362992419553</v>
      </c>
      <c r="N35" s="816">
        <f t="shared" si="3"/>
        <v>3072.5736299241953</v>
      </c>
      <c r="P35" s="860"/>
      <c r="Q35" s="684">
        <f t="shared" si="13"/>
        <v>1</v>
      </c>
      <c r="R35" s="883">
        <f t="shared" si="13"/>
        <v>1</v>
      </c>
      <c r="S35" s="694">
        <v>1500</v>
      </c>
      <c r="T35" s="798">
        <f t="shared" si="5"/>
        <v>1500</v>
      </c>
      <c r="U35" s="687">
        <f t="shared" si="6"/>
        <v>800</v>
      </c>
      <c r="V35" s="688">
        <f t="shared" si="7"/>
        <v>0</v>
      </c>
      <c r="W35" s="689">
        <f t="shared" si="8"/>
        <v>0</v>
      </c>
      <c r="X35" s="689">
        <f t="shared" si="9"/>
        <v>1500</v>
      </c>
      <c r="Y35" s="690">
        <f t="shared" si="10"/>
        <v>2100.0736299241953</v>
      </c>
      <c r="Z35" s="643">
        <f t="shared" si="11"/>
        <v>0.34782608695652173</v>
      </c>
      <c r="AA35" s="644">
        <f t="shared" si="12"/>
        <v>4.3665618012591424E-2</v>
      </c>
      <c r="AC35" s="891" t="s">
        <v>592</v>
      </c>
    </row>
    <row r="36" spans="1:30" ht="42" customHeight="1" x14ac:dyDescent="0.3">
      <c r="A36" s="718">
        <v>22</v>
      </c>
      <c r="B36" s="610" t="s">
        <v>350</v>
      </c>
      <c r="C36" s="882" t="s">
        <v>115</v>
      </c>
      <c r="D36" s="876" t="s">
        <v>127</v>
      </c>
      <c r="E36" s="876" t="s">
        <v>117</v>
      </c>
      <c r="F36" s="844" t="s">
        <v>593</v>
      </c>
      <c r="G36" s="691" t="s">
        <v>594</v>
      </c>
      <c r="H36" s="683">
        <v>16</v>
      </c>
      <c r="I36" s="683">
        <v>1</v>
      </c>
      <c r="J36" s="633">
        <v>180</v>
      </c>
      <c r="K36" s="633">
        <f t="shared" si="0"/>
        <v>2880</v>
      </c>
      <c r="L36" s="633">
        <f t="shared" si="1"/>
        <v>216</v>
      </c>
      <c r="M36" s="633">
        <f t="shared" si="2"/>
        <v>751.39654529638403</v>
      </c>
      <c r="N36" s="816">
        <f t="shared" si="3"/>
        <v>3847.3965452963839</v>
      </c>
      <c r="P36" s="860"/>
      <c r="Q36" s="684">
        <v>1</v>
      </c>
      <c r="R36" s="883">
        <f t="shared" si="13"/>
        <v>1</v>
      </c>
      <c r="S36" s="694">
        <v>1237</v>
      </c>
      <c r="T36" s="798">
        <f t="shared" si="5"/>
        <v>1237</v>
      </c>
      <c r="U36" s="687">
        <f t="shared" si="6"/>
        <v>1643</v>
      </c>
      <c r="V36" s="688">
        <f t="shared" si="7"/>
        <v>0</v>
      </c>
      <c r="W36" s="689">
        <f t="shared" si="8"/>
        <v>0</v>
      </c>
      <c r="X36" s="689">
        <f t="shared" si="9"/>
        <v>1237</v>
      </c>
      <c r="Y36" s="690">
        <f t="shared" si="10"/>
        <v>1988.3965452963839</v>
      </c>
      <c r="Z36" s="643">
        <f t="shared" si="11"/>
        <v>0.57048611111111114</v>
      </c>
      <c r="AA36" s="644">
        <f t="shared" si="12"/>
        <v>3.6009579654383728E-2</v>
      </c>
      <c r="AC36" s="891" t="s">
        <v>595</v>
      </c>
      <c r="AD36" s="861" t="s">
        <v>596</v>
      </c>
    </row>
    <row r="37" spans="1:30" ht="42" customHeight="1" x14ac:dyDescent="0.3">
      <c r="A37" s="718">
        <v>23</v>
      </c>
      <c r="B37" s="610" t="s">
        <v>351</v>
      </c>
      <c r="C37" s="882" t="s">
        <v>115</v>
      </c>
      <c r="D37" s="876" t="s">
        <v>127</v>
      </c>
      <c r="E37" s="876" t="s">
        <v>117</v>
      </c>
      <c r="F37" s="844" t="s">
        <v>597</v>
      </c>
      <c r="G37" s="691" t="s">
        <v>598</v>
      </c>
      <c r="H37" s="683">
        <v>1</v>
      </c>
      <c r="I37" s="683">
        <v>1</v>
      </c>
      <c r="J37" s="633">
        <v>920</v>
      </c>
      <c r="K37" s="633">
        <f>IF(F37&lt;&gt;"",H37*I37*J37,"")</f>
        <v>920</v>
      </c>
      <c r="L37" s="633">
        <f>IF(K37&lt;&gt;"",IF(D37="INTERNO",0,K37*$L$14),"")</f>
        <v>69</v>
      </c>
      <c r="M37" s="633">
        <f>IF(K37&lt;&gt;"",IF(E37="FAT.OGGI",SUM(K37:L37)*(1/(1-$M$14)-1),L37*(1/(1-$M$14)-1)),"")</f>
        <v>240.02945196967821</v>
      </c>
      <c r="N37" s="816">
        <f>SUM(K37:M37)</f>
        <v>1229.0294519696781</v>
      </c>
      <c r="P37" s="860"/>
      <c r="Q37" s="684">
        <f t="shared" ref="Q37:R37" si="14">IF(H37&lt;&gt;"",H37,"")</f>
        <v>1</v>
      </c>
      <c r="R37" s="883">
        <f t="shared" si="14"/>
        <v>1</v>
      </c>
      <c r="S37" s="694">
        <v>0</v>
      </c>
      <c r="T37" s="694">
        <f>IF(Q37&lt;&gt;"",Q37*R37*S37,"")</f>
        <v>0</v>
      </c>
      <c r="U37" s="687">
        <f>IF(Q37&lt;&gt;"",K37-T37,"")</f>
        <v>920</v>
      </c>
      <c r="V37" s="688">
        <f>IF(Q37&lt;&gt;"",0%,"")</f>
        <v>0</v>
      </c>
      <c r="W37" s="689">
        <f>IF(Q37&lt;&gt;"",V37*U37,"")</f>
        <v>0</v>
      </c>
      <c r="X37" s="689">
        <f>IF(Q37&lt;&gt;"",W37+T37,"")</f>
        <v>0</v>
      </c>
      <c r="Y37" s="690">
        <f>IF(Q37&lt;&gt;"",X37+M37,"")</f>
        <v>240.02945196967821</v>
      </c>
      <c r="Z37" s="643">
        <f>IF(Q37&lt;&gt;"",U37/K37,"")</f>
        <v>1</v>
      </c>
      <c r="AA37" s="644">
        <f t="shared" si="12"/>
        <v>0</v>
      </c>
    </row>
    <row r="38" spans="1:30" ht="42" customHeight="1" x14ac:dyDescent="0.3">
      <c r="A38" s="697">
        <v>24</v>
      </c>
      <c r="B38" s="610" t="s">
        <v>352</v>
      </c>
      <c r="C38" s="698" t="s">
        <v>115</v>
      </c>
      <c r="D38" s="876" t="s">
        <v>127</v>
      </c>
      <c r="E38" s="876" t="s">
        <v>117</v>
      </c>
      <c r="F38" s="771" t="s">
        <v>599</v>
      </c>
      <c r="G38" s="772" t="s">
        <v>448</v>
      </c>
      <c r="H38" s="630">
        <v>13</v>
      </c>
      <c r="I38" s="630">
        <v>1</v>
      </c>
      <c r="J38" s="632">
        <v>5.2</v>
      </c>
      <c r="K38" s="632">
        <f>IF(F38&lt;&gt;"",H38*I38*J38,"")</f>
        <v>67.600000000000009</v>
      </c>
      <c r="L38" s="632">
        <f>IF(K38&lt;&gt;"",IF(D38="INTERNO",0,K38*$L$14),"")</f>
        <v>5.07</v>
      </c>
      <c r="M38" s="632">
        <f>IF(K38&lt;&gt;"",IF(E38="FAT.OGGI",SUM(K38:L38)*(1/(1-$M$14)-1),L38*(1/(1-$M$14)-1)),"")</f>
        <v>17.636946688206795</v>
      </c>
      <c r="N38" s="632">
        <f>SUM(K38:M38)</f>
        <v>90.306946688206807</v>
      </c>
      <c r="P38" s="860"/>
      <c r="Q38" s="699">
        <f>IF(H38&lt;&gt;"",H38,"")</f>
        <v>13</v>
      </c>
      <c r="R38" s="699">
        <f>IF(I38&lt;&gt;"",I38,"")</f>
        <v>1</v>
      </c>
      <c r="S38" s="892">
        <v>5.2</v>
      </c>
      <c r="T38" s="805">
        <f>IF(Q38&lt;&gt;"",Q38*R38*S38,"")</f>
        <v>67.600000000000009</v>
      </c>
      <c r="U38" s="668">
        <f>IF(Q38&lt;&gt;"",K38-T38,"")</f>
        <v>0</v>
      </c>
      <c r="V38" s="669">
        <f>IF(Q38&lt;&gt;"",0%,"")</f>
        <v>0</v>
      </c>
      <c r="W38" s="670">
        <f>IF(Q38&lt;&gt;"",V38*U38,"")</f>
        <v>0</v>
      </c>
      <c r="X38" s="670">
        <f>IF(Q38&lt;&gt;"",W38+T38,"")</f>
        <v>67.600000000000009</v>
      </c>
      <c r="Y38" s="641">
        <f>IF(Q38&lt;&gt;"",X38+M38,"")</f>
        <v>85.2369466882068</v>
      </c>
      <c r="Z38" s="644">
        <f>IF(Q38&lt;&gt;"",U38/K38,"")</f>
        <v>0</v>
      </c>
      <c r="AA38" s="788"/>
    </row>
    <row r="39" spans="1:30" ht="36" customHeight="1" thickBot="1" x14ac:dyDescent="0.4">
      <c r="A39" s="885">
        <v>25</v>
      </c>
      <c r="B39" s="610"/>
      <c r="C39" s="886" t="s">
        <v>123</v>
      </c>
      <c r="D39" s="885"/>
      <c r="E39" s="885"/>
      <c r="F39" s="1156" t="s">
        <v>210</v>
      </c>
      <c r="G39" s="1157"/>
      <c r="H39" s="1157"/>
      <c r="I39" s="1157"/>
      <c r="J39" s="1158"/>
      <c r="K39" s="893">
        <f>SUM(K17:K38)</f>
        <v>47284.719999999994</v>
      </c>
      <c r="L39" s="893">
        <f>SUM(L17:L38)</f>
        <v>3546.3540000000003</v>
      </c>
      <c r="M39" s="893">
        <f>SUM(M17:M38)</f>
        <v>12336.658074064871</v>
      </c>
      <c r="N39" s="894">
        <f>SUM(N17:N38)</f>
        <v>63167.732074064879</v>
      </c>
      <c r="P39" s="860"/>
      <c r="Q39" s="1117" t="s">
        <v>519</v>
      </c>
      <c r="R39" s="1122"/>
      <c r="S39" s="1123"/>
      <c r="T39" s="782">
        <f>SUM(T17:T38)</f>
        <v>34351.969999999994</v>
      </c>
      <c r="U39" s="783">
        <f>SUM(U17:U38)</f>
        <v>12932.75</v>
      </c>
      <c r="V39" s="784"/>
      <c r="W39" s="785"/>
      <c r="X39" s="786">
        <f>SUM(X17:X38)</f>
        <v>34351.969999999994</v>
      </c>
      <c r="Y39" s="787">
        <f>IF(Q39&lt;&gt;"",X39+M39,"")</f>
        <v>46688.628074064865</v>
      </c>
      <c r="Z39" s="643"/>
      <c r="AA39" s="788"/>
    </row>
    <row r="40" spans="1:30" ht="37.5" customHeight="1" x14ac:dyDescent="0.35">
      <c r="A40" s="697">
        <v>26</v>
      </c>
      <c r="B40" s="610" t="s">
        <v>355</v>
      </c>
      <c r="C40" s="698" t="s">
        <v>110</v>
      </c>
      <c r="D40" s="697"/>
      <c r="E40" s="697"/>
      <c r="F40" s="1113" t="s">
        <v>600</v>
      </c>
      <c r="G40" s="1111"/>
      <c r="H40" s="1111"/>
      <c r="I40" s="1111"/>
      <c r="J40" s="1111"/>
      <c r="K40" s="1112"/>
      <c r="L40" s="895" t="s">
        <v>112</v>
      </c>
      <c r="M40" s="896" t="s">
        <v>113</v>
      </c>
      <c r="N40" s="791" t="s">
        <v>82</v>
      </c>
      <c r="P40" s="860"/>
      <c r="Q40" s="1128" t="str">
        <f>IF(F40&lt;&gt;"",F40,"")</f>
        <v>EXTRAS EVENTO</v>
      </c>
      <c r="R40" s="1128"/>
      <c r="S40" s="1128"/>
      <c r="T40" s="1128"/>
      <c r="U40" s="1128"/>
      <c r="V40" s="1128"/>
      <c r="W40" s="1128"/>
      <c r="X40" s="1128"/>
      <c r="Y40" s="1128"/>
      <c r="Z40" s="897" t="s">
        <v>114</v>
      </c>
      <c r="AA40" s="897" t="s">
        <v>83</v>
      </c>
    </row>
    <row r="41" spans="1:30" ht="57.9" customHeight="1" x14ac:dyDescent="0.3">
      <c r="A41" s="885">
        <v>27</v>
      </c>
      <c r="B41" s="610" t="s">
        <v>357</v>
      </c>
      <c r="C41" s="886" t="s">
        <v>115</v>
      </c>
      <c r="D41" s="876" t="s">
        <v>127</v>
      </c>
      <c r="E41" s="876" t="s">
        <v>117</v>
      </c>
      <c r="F41" s="878" t="s">
        <v>601</v>
      </c>
      <c r="G41" s="702" t="s">
        <v>602</v>
      </c>
      <c r="H41" s="715">
        <v>1</v>
      </c>
      <c r="I41" s="715">
        <v>1</v>
      </c>
      <c r="J41" s="705">
        <v>204</v>
      </c>
      <c r="K41" s="705">
        <f>IF(F41&lt;&gt;"",H41*I41*J41,"")</f>
        <v>204</v>
      </c>
      <c r="L41" s="705">
        <f>IF(K41&lt;&gt;"",IF(D41="INTERNO",0,K41*$L$14),"")</f>
        <v>15.299999999999999</v>
      </c>
      <c r="M41" s="705">
        <f>IF(K41&lt;&gt;"",IF(E41="FAT.OGGI",SUM(K41:L41)*(1/(1-$M$14)-1),L41*(1/(1-$M$14)-1)),"")</f>
        <v>53.223921958493868</v>
      </c>
      <c r="N41" s="879">
        <f>SUM(K41:M41)</f>
        <v>272.52392195849387</v>
      </c>
      <c r="P41" s="860"/>
      <c r="Q41" s="888">
        <f t="shared" ref="Q41:R41" si="15">IF(H41&lt;&gt;"",H41,"")</f>
        <v>1</v>
      </c>
      <c r="R41" s="888">
        <f t="shared" si="15"/>
        <v>1</v>
      </c>
      <c r="S41" s="709">
        <v>169.39</v>
      </c>
      <c r="T41" s="898">
        <f>IF(Q41&lt;&gt;"",Q41*R41*S41,"")</f>
        <v>169.39</v>
      </c>
      <c r="U41" s="710">
        <f>IF(Q41&lt;&gt;"",K41-T41,"")</f>
        <v>34.610000000000014</v>
      </c>
      <c r="V41" s="711">
        <f>IF(Q41&lt;&gt;"",0%,"")</f>
        <v>0</v>
      </c>
      <c r="W41" s="712">
        <f>IF(Q41&lt;&gt;"",V41*U41,"")</f>
        <v>0</v>
      </c>
      <c r="X41" s="712">
        <f>IF(Q41&lt;&gt;"",W41+T41,"")</f>
        <v>169.39</v>
      </c>
      <c r="Y41" s="899">
        <f>IF(Q41&lt;&gt;"",X41+M41,"")</f>
        <v>222.61392195849385</v>
      </c>
      <c r="Z41" s="644">
        <f>IF(Q41&lt;&gt;"",U41/K41,"")</f>
        <v>0.16965686274509811</v>
      </c>
      <c r="AA41" s="788"/>
    </row>
    <row r="42" spans="1:30" ht="41.1" customHeight="1" x14ac:dyDescent="0.3">
      <c r="A42" s="718">
        <v>28</v>
      </c>
      <c r="B42" s="610" t="s">
        <v>360</v>
      </c>
      <c r="C42" s="882" t="s">
        <v>115</v>
      </c>
      <c r="D42" s="876" t="s">
        <v>127</v>
      </c>
      <c r="E42" s="876" t="s">
        <v>117</v>
      </c>
      <c r="F42" s="844" t="s">
        <v>603</v>
      </c>
      <c r="G42" s="691" t="s">
        <v>604</v>
      </c>
      <c r="H42" s="683">
        <v>384</v>
      </c>
      <c r="I42" s="683">
        <v>1</v>
      </c>
      <c r="J42" s="633">
        <v>9.9</v>
      </c>
      <c r="K42" s="633">
        <f>IF(F42&lt;&gt;"",H42*I42*J42,"")</f>
        <v>3801.6000000000004</v>
      </c>
      <c r="L42" s="633">
        <f>IF(K42&lt;&gt;"",IF(D42="INTERNO",0,K42*$L$14),"")</f>
        <v>285.12</v>
      </c>
      <c r="M42" s="633">
        <f>IF(K42&lt;&gt;"",IF(E42="FAT.OGGI",SUM(K42:L42)*(1/(1-$M$14)-1),L42*(1/(1-$M$14)-1)),"")</f>
        <v>991.84343979122696</v>
      </c>
      <c r="N42" s="816">
        <f>SUM(K42:M42)</f>
        <v>5078.5634397912272</v>
      </c>
      <c r="P42" s="860"/>
      <c r="Q42" s="883">
        <v>1</v>
      </c>
      <c r="R42" s="883">
        <v>1</v>
      </c>
      <c r="S42" s="694">
        <f>344.66+84+1000</f>
        <v>1428.66</v>
      </c>
      <c r="T42" s="881">
        <f>IF(Q42&lt;&gt;"",Q42*R42*S42,"")</f>
        <v>1428.66</v>
      </c>
      <c r="U42" s="687">
        <f>IF(Q42&lt;&gt;"",K42-T42,"")</f>
        <v>2372.9400000000005</v>
      </c>
      <c r="V42" s="688">
        <f>IF(Q42&lt;&gt;"",0%,"")</f>
        <v>0</v>
      </c>
      <c r="W42" s="689">
        <f>IF(Q42&lt;&gt;"",V42*U42,"")</f>
        <v>0</v>
      </c>
      <c r="X42" s="689">
        <f>IF(Q42&lt;&gt;"",W42+T42,"")</f>
        <v>1428.66</v>
      </c>
      <c r="Y42" s="900">
        <f>IF(Q42&lt;&gt;"",X42+M42,"")</f>
        <v>2420.5034397912268</v>
      </c>
      <c r="Z42" s="846">
        <f>IF(Q42&lt;&gt;"",U42/K42,"")</f>
        <v>0.62419507575757582</v>
      </c>
      <c r="AA42" s="788"/>
      <c r="AC42" s="901" t="s">
        <v>605</v>
      </c>
    </row>
    <row r="43" spans="1:30" ht="41.1" customHeight="1" x14ac:dyDescent="0.3">
      <c r="A43" s="718">
        <v>29</v>
      </c>
      <c r="B43" s="610" t="s">
        <v>606</v>
      </c>
      <c r="C43" s="882" t="s">
        <v>115</v>
      </c>
      <c r="D43" s="876" t="s">
        <v>127</v>
      </c>
      <c r="E43" s="876" t="s">
        <v>117</v>
      </c>
      <c r="F43" s="884" t="s">
        <v>607</v>
      </c>
      <c r="G43" s="682" t="s">
        <v>608</v>
      </c>
      <c r="H43" s="683">
        <v>1</v>
      </c>
      <c r="I43" s="683">
        <v>1</v>
      </c>
      <c r="J43" s="633">
        <v>850</v>
      </c>
      <c r="K43" s="902">
        <f>IF(F43&lt;&gt;"",H43*I43*J43,"")</f>
        <v>850</v>
      </c>
      <c r="L43" s="633">
        <f>IF(K43&lt;&gt;"",IF(D43="INTERNO",0,K43*$L$14),"")</f>
        <v>63.75</v>
      </c>
      <c r="M43" s="633">
        <f>IF(K43&lt;&gt;"",IF(E43="FAT.OGGI",SUM(K43:L43)*(1/(1-$M$14)-1),L43*(1/(1-$M$14)-1)),"")</f>
        <v>221.76634149372444</v>
      </c>
      <c r="N43" s="816">
        <f>SUM(K43:M43)</f>
        <v>1135.5163414937244</v>
      </c>
      <c r="P43" s="860"/>
      <c r="Q43" s="903">
        <f t="shared" ref="Q43:R45" si="16">IF(H43&lt;&gt;"",H43,"")</f>
        <v>1</v>
      </c>
      <c r="R43" s="903">
        <f t="shared" si="16"/>
        <v>1</v>
      </c>
      <c r="S43" s="904">
        <v>650</v>
      </c>
      <c r="T43" s="905">
        <f>IF(Q43&lt;&gt;"",Q43*R43*S43,"")</f>
        <v>650</v>
      </c>
      <c r="U43" s="906">
        <f>IF(Q43&lt;&gt;"",K43-T43,"")</f>
        <v>200</v>
      </c>
      <c r="V43" s="907">
        <f>IF(Q43&lt;&gt;"",0%,"")</f>
        <v>0</v>
      </c>
      <c r="W43" s="908">
        <f>IF(Q43&lt;&gt;"",V43*U43,"")</f>
        <v>0</v>
      </c>
      <c r="X43" s="908">
        <f>IF(Q43&lt;&gt;"",W43+T43,"")</f>
        <v>650</v>
      </c>
      <c r="Y43" s="908">
        <f>IF(Q43&lt;&gt;"",X43+M43,"")</f>
        <v>871.76634149372444</v>
      </c>
      <c r="Z43" s="644">
        <f>IF(Q43&lt;&gt;"",U43/K43,"")</f>
        <v>0.23529411764705882</v>
      </c>
      <c r="AA43" s="788"/>
      <c r="AC43" s="891" t="s">
        <v>609</v>
      </c>
    </row>
    <row r="44" spans="1:30" ht="63" customHeight="1" x14ac:dyDescent="0.3">
      <c r="A44" s="718">
        <v>30</v>
      </c>
      <c r="B44" s="610" t="s">
        <v>610</v>
      </c>
      <c r="C44" s="882" t="s">
        <v>115</v>
      </c>
      <c r="D44" s="876" t="s">
        <v>127</v>
      </c>
      <c r="E44" s="876" t="s">
        <v>117</v>
      </c>
      <c r="F44" s="884" t="s">
        <v>611</v>
      </c>
      <c r="G44" s="682" t="s">
        <v>612</v>
      </c>
      <c r="H44" s="683">
        <v>1</v>
      </c>
      <c r="I44" s="683">
        <v>1</v>
      </c>
      <c r="J44" s="633">
        <v>12040</v>
      </c>
      <c r="K44" s="633">
        <f>IF(F44&lt;&gt;"",H44*I44*J44,"")</f>
        <v>12040</v>
      </c>
      <c r="L44" s="633">
        <f>IF(K44&lt;&gt;"",IF(D44="INTERNO",0,K44*$L$14),"")</f>
        <v>903</v>
      </c>
      <c r="M44" s="633">
        <f>IF(K44&lt;&gt;"",IF(E44="FAT.OGGI",SUM(K44:L44)*(1/(1-$M$14)-1),L44*(1/(1-$M$14)-1)),"")</f>
        <v>3141.2550018640495</v>
      </c>
      <c r="N44" s="816">
        <f>SUM(K44:M44)</f>
        <v>16084.25500186405</v>
      </c>
      <c r="P44" s="860"/>
      <c r="Q44" s="883">
        <f t="shared" si="16"/>
        <v>1</v>
      </c>
      <c r="R44" s="883">
        <f t="shared" si="16"/>
        <v>1</v>
      </c>
      <c r="S44" s="686">
        <v>35729.699999999997</v>
      </c>
      <c r="T44" s="686">
        <f>IF(Q44&lt;&gt;"",Q44*R44*S44,"")</f>
        <v>35729.699999999997</v>
      </c>
      <c r="U44" s="687">
        <f>IF(Q44&lt;&gt;"",K44-T44,"")</f>
        <v>-23689.699999999997</v>
      </c>
      <c r="V44" s="688">
        <f>IF(Q44&lt;&gt;"",0%,"")</f>
        <v>0</v>
      </c>
      <c r="W44" s="689">
        <f>IF(Q44&lt;&gt;"",V44*U44,"")</f>
        <v>0</v>
      </c>
      <c r="X44" s="689">
        <f>IF(Q44&lt;&gt;"",W44+T44,"")</f>
        <v>35729.699999999997</v>
      </c>
      <c r="Y44" s="900">
        <f>IF(Q44&lt;&gt;"",X44+M44,"")</f>
        <v>38870.955001864044</v>
      </c>
      <c r="Z44" s="644">
        <f>IF(Q44&lt;&gt;"",U44/K44,"")</f>
        <v>-1.9675830564784051</v>
      </c>
      <c r="AA44" s="788"/>
    </row>
    <row r="45" spans="1:30" ht="64.5" customHeight="1" thickBot="1" x14ac:dyDescent="0.35">
      <c r="A45" s="697">
        <v>31</v>
      </c>
      <c r="B45" s="610" t="s">
        <v>613</v>
      </c>
      <c r="C45" s="698" t="s">
        <v>115</v>
      </c>
      <c r="D45" s="876" t="s">
        <v>127</v>
      </c>
      <c r="E45" s="876" t="s">
        <v>117</v>
      </c>
      <c r="F45" s="832" t="s">
        <v>614</v>
      </c>
      <c r="G45" s="629" t="s">
        <v>615</v>
      </c>
      <c r="H45" s="630">
        <v>1</v>
      </c>
      <c r="I45" s="630">
        <v>1</v>
      </c>
      <c r="J45" s="632">
        <v>3220</v>
      </c>
      <c r="K45" s="632">
        <f>IF(F45&lt;&gt;"",H45*I45*J45,"")</f>
        <v>3220</v>
      </c>
      <c r="L45" s="632">
        <f>IF(K45&lt;&gt;"",IF(D45="INTERNO",0,K45*$L$14),"")</f>
        <v>241.5</v>
      </c>
      <c r="M45" s="632">
        <f>IF(K45&lt;&gt;"",IF(E45="FAT.OGGI",SUM(K45:L45)*(1/(1-$M$14)-1),L45*(1/(1-$M$14)-1)),"")</f>
        <v>840.10308189387376</v>
      </c>
      <c r="N45" s="775">
        <f>SUM(K45:M45)</f>
        <v>4301.6030818938734</v>
      </c>
      <c r="P45" s="860"/>
      <c r="Q45" s="699">
        <f t="shared" si="16"/>
        <v>1</v>
      </c>
      <c r="R45" s="699">
        <f t="shared" si="16"/>
        <v>1</v>
      </c>
      <c r="S45" s="667">
        <v>3000</v>
      </c>
      <c r="T45" s="667">
        <f>IF(Q45&lt;&gt;"",Q45*R45*S45,"")</f>
        <v>3000</v>
      </c>
      <c r="U45" s="668">
        <f>IF(Q45&lt;&gt;"",K45-T45,"")</f>
        <v>220</v>
      </c>
      <c r="V45" s="669">
        <f>IF(Q45&lt;&gt;"",0%,"")</f>
        <v>0</v>
      </c>
      <c r="W45" s="670">
        <f>IF(Q45&lt;&gt;"",V45*U45,"")</f>
        <v>0</v>
      </c>
      <c r="X45" s="670">
        <f>IF(Q45&lt;&gt;"",W45+T45,"")</f>
        <v>3000</v>
      </c>
      <c r="Y45" s="641">
        <f>IF(Q45&lt;&gt;"",X45+M45,"")</f>
        <v>3840.1030818938739</v>
      </c>
      <c r="Z45" s="644">
        <f>IF(Q45&lt;&gt;"",U45/K45,"")</f>
        <v>6.8322981366459631E-2</v>
      </c>
      <c r="AA45" s="788"/>
    </row>
    <row r="46" spans="1:30" ht="30" customHeight="1" thickBot="1" x14ac:dyDescent="0.4">
      <c r="A46" s="876">
        <v>32</v>
      </c>
      <c r="B46" s="610"/>
      <c r="C46" s="877" t="s">
        <v>123</v>
      </c>
      <c r="D46" s="876"/>
      <c r="E46" s="876"/>
      <c r="F46" s="1121" t="s">
        <v>616</v>
      </c>
      <c r="G46" s="1101"/>
      <c r="H46" s="1101"/>
      <c r="I46" s="1101"/>
      <c r="J46" s="1101"/>
      <c r="K46" s="821">
        <f>SUM(K41:K45)</f>
        <v>20115.599999999999</v>
      </c>
      <c r="L46" s="821">
        <f>SUM(L41:L45)</f>
        <v>1508.67</v>
      </c>
      <c r="M46" s="821">
        <f>SUM(M41:M45)</f>
        <v>5248.1917870013685</v>
      </c>
      <c r="N46" s="822">
        <f>SUM(N41:N45)</f>
        <v>26872.461787001368</v>
      </c>
      <c r="P46" s="860"/>
      <c r="Q46" s="1159"/>
      <c r="R46" s="1157"/>
      <c r="S46" s="1157"/>
      <c r="T46" s="835">
        <f>SUM(T41:T45)</f>
        <v>40977.75</v>
      </c>
      <c r="U46" s="836">
        <f>SUM(U41:U45)</f>
        <v>-20862.149999999998</v>
      </c>
      <c r="V46" s="909"/>
      <c r="W46" s="909"/>
      <c r="X46" s="838">
        <f>SUM(X41:X45)</f>
        <v>40977.75</v>
      </c>
      <c r="Y46" s="910" t="str">
        <f t="shared" si="10"/>
        <v/>
      </c>
      <c r="Z46" s="911" t="s">
        <v>170</v>
      </c>
      <c r="AA46" s="855" t="s">
        <v>171</v>
      </c>
    </row>
    <row r="47" spans="1:30" ht="33" thickBot="1" x14ac:dyDescent="0.5">
      <c r="A47" s="697">
        <v>33</v>
      </c>
      <c r="B47" s="856"/>
      <c r="C47" s="698" t="s">
        <v>168</v>
      </c>
      <c r="D47" s="697"/>
      <c r="E47" s="697"/>
      <c r="F47" s="65" t="s">
        <v>169</v>
      </c>
      <c r="G47" s="66"/>
      <c r="H47" s="72"/>
      <c r="I47" s="72"/>
      <c r="J47" s="66"/>
      <c r="K47" s="67">
        <f>SUM(K17:K38)+SUM(K41:K45)</f>
        <v>67400.319999999992</v>
      </c>
      <c r="L47" s="67">
        <f>SUM(L17:L38)+SUM(L41:L45)</f>
        <v>5055.0240000000003</v>
      </c>
      <c r="M47" s="67">
        <f>SUM(M17:M38)+SUM(M41:M45)</f>
        <v>17584.849861066239</v>
      </c>
      <c r="N47" s="68">
        <f>SUM(N17:N38)+SUM(N41:N45)</f>
        <v>90040.193861066247</v>
      </c>
      <c r="Q47" s="33" t="s">
        <v>43</v>
      </c>
      <c r="R47" s="34"/>
      <c r="S47" s="34"/>
      <c r="T47" s="35">
        <f>SUM(T17:T38)+SUM(T41:T45)</f>
        <v>75329.72</v>
      </c>
      <c r="U47" s="35">
        <f>SUM(U17:U38)+SUM(U41:U45)</f>
        <v>-7929.3999999999978</v>
      </c>
      <c r="V47" s="34"/>
      <c r="W47" s="34"/>
      <c r="X47" s="35">
        <f>SUM(X17:X38)+SUM(X41:X45)</f>
        <v>75329.72</v>
      </c>
      <c r="Y47" s="61">
        <f>SUM(Y17:Y38)+SUM(Y41:Y45)</f>
        <v>92914.569861066237</v>
      </c>
      <c r="Z47" s="857">
        <f>IF(Q47&lt;&gt;"",(N47-Y47)/N47,"")</f>
        <v>-3.1923254235049811E-2</v>
      </c>
      <c r="AA47" s="858">
        <f>IF(Z47&lt;&gt;"",(N47-Y47),"")</f>
        <v>-2874.3759999999893</v>
      </c>
    </row>
    <row r="48" spans="1:30" x14ac:dyDescent="0.3">
      <c r="N48" s="912"/>
    </row>
  </sheetData>
  <mergeCells count="19">
    <mergeCell ref="F39:J39"/>
    <mergeCell ref="Q39:S39"/>
    <mergeCell ref="F40:K40"/>
    <mergeCell ref="Q40:Y40"/>
    <mergeCell ref="F46:J46"/>
    <mergeCell ref="Q46:S46"/>
    <mergeCell ref="AK12:AL12"/>
    <mergeCell ref="AM12:AN12"/>
    <mergeCell ref="AQ12:AR12"/>
    <mergeCell ref="F15:N15"/>
    <mergeCell ref="Q15:Y15"/>
    <mergeCell ref="AC12:AE12"/>
    <mergeCell ref="AG12:AH12"/>
    <mergeCell ref="F16:K16"/>
    <mergeCell ref="Q16:Y16"/>
    <mergeCell ref="F1:G1"/>
    <mergeCell ref="F2:G2"/>
    <mergeCell ref="Q12:T12"/>
    <mergeCell ref="U12:X12"/>
  </mergeCells>
  <dataValidations count="3">
    <dataValidation type="list" allowBlank="1" showInputMessage="1" showErrorMessage="1" sqref="E17:E45" xr:uid="{2D7633E4-0AC4-45E1-BB46-3220FD2CDAE4}">
      <formula1>"FAT.OGGI,FAT.CLIENTE"</formula1>
    </dataValidation>
    <dataValidation type="list" allowBlank="1" showInputMessage="1" showErrorMessage="1" sqref="E47" xr:uid="{AFE0883F-35A3-4502-9EF8-8660B25ACF1C}">
      <formula1>"FAT.OGGI,FAT.CLIENTE "</formula1>
    </dataValidation>
    <dataValidation type="list" allowBlank="1" showInputMessage="1" showErrorMessage="1" sqref="D47 D17:D45" xr:uid="{E58EB0C0-8D18-4386-8296-ADFEAEE7F626}">
      <formula1>"INTERNO,OPERACIONAL"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06E92-7708-45E6-B99B-DB19850D8DCC}">
  <sheetPr codeName="Planilha17">
    <tabColor theme="0"/>
    <pageSetUpPr autoPageBreaks="0"/>
  </sheetPr>
  <dimension ref="A1:AR25"/>
  <sheetViews>
    <sheetView showGridLines="0" zoomScale="70" zoomScaleNormal="70" workbookViewId="0">
      <pane ySplit="1" topLeftCell="A12" activePane="bottomLeft" state="frozen"/>
      <selection activeCell="G41" sqref="G41"/>
      <selection pane="bottomLeft" activeCell="F20" sqref="F20"/>
    </sheetView>
  </sheetViews>
  <sheetFormatPr defaultRowHeight="14.4" x14ac:dyDescent="0.3"/>
  <cols>
    <col min="1" max="2" width="8.33203125" style="550" customWidth="1"/>
    <col min="3" max="3" width="10.44140625" style="550" customWidth="1"/>
    <col min="4" max="4" width="12.109375" style="550" customWidth="1"/>
    <col min="5" max="5" width="13.109375" style="550" customWidth="1"/>
    <col min="6" max="6" width="34.5546875" customWidth="1"/>
    <col min="7" max="7" width="45.88671875" customWidth="1"/>
    <col min="8" max="9" width="7.6640625" style="32" customWidth="1"/>
    <col min="10" max="10" width="20.6640625" customWidth="1"/>
    <col min="11" max="11" width="26.44140625" bestFit="1" customWidth="1"/>
    <col min="12" max="12" width="24.5546875" bestFit="1" customWidth="1"/>
    <col min="13" max="13" width="25.6640625" customWidth="1"/>
    <col min="14" max="14" width="28.6640625" customWidth="1"/>
    <col min="15" max="15" width="3.109375" customWidth="1"/>
    <col min="16" max="16" width="3.6640625" customWidth="1"/>
    <col min="17" max="18" width="10.5546875" customWidth="1"/>
    <col min="19" max="19" width="22.6640625" customWidth="1"/>
    <col min="20" max="20" width="26.44140625" bestFit="1" customWidth="1"/>
    <col min="21" max="22" width="25.6640625" customWidth="1"/>
    <col min="23" max="23" width="19.6640625" customWidth="1"/>
    <col min="24" max="24" width="26.44140625" bestFit="1" customWidth="1"/>
    <col min="25" max="25" width="38.109375" customWidth="1"/>
    <col min="26" max="27" width="33" customWidth="1"/>
    <col min="28" max="28" width="5.33203125" customWidth="1"/>
    <col min="29" max="29" width="39.109375" customWidth="1"/>
    <col min="30" max="30" width="33" customWidth="1"/>
    <col min="31" max="31" width="28" customWidth="1"/>
    <col min="32" max="32" width="1.33203125" customWidth="1"/>
    <col min="33" max="33" width="81.5546875" customWidth="1"/>
    <col min="34" max="34" width="36.6640625" customWidth="1"/>
    <col min="35" max="35" width="1.5546875" customWidth="1"/>
    <col min="36" max="36" width="20.33203125" customWidth="1"/>
    <col min="37" max="37" width="25.33203125" bestFit="1" customWidth="1"/>
    <col min="38" max="38" width="24.88671875" bestFit="1" customWidth="1"/>
    <col min="39" max="39" width="81.5546875" customWidth="1"/>
    <col min="40" max="40" width="36.6640625" customWidth="1"/>
    <col min="41" max="41" width="1.5546875" customWidth="1"/>
    <col min="42" max="42" width="20.33203125" customWidth="1"/>
    <col min="43" max="43" width="25.33203125" bestFit="1" customWidth="1"/>
    <col min="44" max="44" width="24.88671875" bestFit="1" customWidth="1"/>
    <col min="46" max="46" width="21.33203125" customWidth="1"/>
  </cols>
  <sheetData>
    <row r="1" spans="1:44" ht="49.5" customHeight="1" x14ac:dyDescent="0.3">
      <c r="B1" s="551"/>
      <c r="C1" s="552"/>
      <c r="D1" s="552"/>
      <c r="F1" s="1072" t="s">
        <v>183</v>
      </c>
      <c r="G1" s="1072"/>
    </row>
    <row r="2" spans="1:44" ht="24.75" customHeight="1" x14ac:dyDescent="0.3">
      <c r="B2" s="553"/>
      <c r="D2" s="552"/>
      <c r="F2" s="1073" t="s">
        <v>0</v>
      </c>
      <c r="G2" s="1073"/>
    </row>
    <row r="3" spans="1:44" ht="18" x14ac:dyDescent="0.3">
      <c r="B3" s="554"/>
      <c r="F3" s="26"/>
      <c r="G3" s="26"/>
    </row>
    <row r="4" spans="1:44" ht="18" x14ac:dyDescent="0.3">
      <c r="F4" s="555" t="s">
        <v>316</v>
      </c>
      <c r="G4" s="556"/>
    </row>
    <row r="5" spans="1:44" ht="18" x14ac:dyDescent="0.3">
      <c r="F5" s="557" t="s">
        <v>185</v>
      </c>
      <c r="G5" s="558"/>
    </row>
    <row r="6" spans="1:44" ht="18" x14ac:dyDescent="0.3">
      <c r="F6" s="557" t="s">
        <v>186</v>
      </c>
      <c r="G6" s="559"/>
    </row>
    <row r="7" spans="1:44" ht="21.75" customHeight="1" x14ac:dyDescent="0.3">
      <c r="F7" s="557" t="s">
        <v>187</v>
      </c>
      <c r="G7" s="560"/>
    </row>
    <row r="8" spans="1:44" ht="18" x14ac:dyDescent="0.3">
      <c r="F8" s="561" t="s">
        <v>317</v>
      </c>
      <c r="G8" s="562"/>
    </row>
    <row r="9" spans="1:44" ht="18" x14ac:dyDescent="0.3">
      <c r="F9" s="557" t="s">
        <v>189</v>
      </c>
      <c r="G9" s="560"/>
      <c r="M9">
        <v>0.80469999999999997</v>
      </c>
    </row>
    <row r="10" spans="1:44" ht="27" customHeight="1" x14ac:dyDescent="0.3">
      <c r="F10" s="557" t="s">
        <v>318</v>
      </c>
      <c r="G10" s="560"/>
      <c r="M10">
        <f>1-M9</f>
        <v>0.19530000000000003</v>
      </c>
      <c r="P10" s="32"/>
      <c r="Q10" s="32"/>
      <c r="R10" s="32"/>
      <c r="S10" s="32"/>
      <c r="T10" s="32"/>
      <c r="U10" s="32"/>
      <c r="V10" s="32"/>
      <c r="W10" s="32"/>
    </row>
    <row r="11" spans="1:44" ht="19.5" customHeight="1" thickBot="1" x14ac:dyDescent="0.35">
      <c r="F11" s="563" t="s">
        <v>319</v>
      </c>
      <c r="G11" s="564"/>
      <c r="H11" s="565" t="s">
        <v>380</v>
      </c>
      <c r="I11" s="566"/>
      <c r="J11" s="567"/>
      <c r="K11" s="567"/>
      <c r="P11" s="32"/>
      <c r="Q11" s="32"/>
      <c r="R11" s="32"/>
      <c r="S11" s="32"/>
      <c r="T11" s="32"/>
      <c r="U11" s="32"/>
      <c r="V11" s="32"/>
      <c r="W11" s="32"/>
    </row>
    <row r="12" spans="1:44" ht="18.75" customHeight="1" thickBot="1" x14ac:dyDescent="0.35">
      <c r="B12" s="568"/>
      <c r="M12" s="569"/>
      <c r="Q12" s="1081" t="s">
        <v>1</v>
      </c>
      <c r="R12" s="1082"/>
      <c r="S12" s="1082"/>
      <c r="T12" s="1083"/>
      <c r="U12" s="1084" t="s">
        <v>2</v>
      </c>
      <c r="V12" s="1085"/>
      <c r="W12" s="1085"/>
      <c r="X12" s="1086"/>
      <c r="Y12" s="570" t="s">
        <v>56</v>
      </c>
      <c r="Z12" s="571" t="e">
        <f>(1/(1-#REF!))-1</f>
        <v>#REF!</v>
      </c>
      <c r="AA12" s="572"/>
      <c r="AC12" s="1097" t="s">
        <v>3</v>
      </c>
      <c r="AD12" s="1098"/>
      <c r="AE12" s="1099"/>
      <c r="AG12" s="1089" t="s">
        <v>58</v>
      </c>
      <c r="AH12" s="1090"/>
      <c r="AJ12" s="573" t="s">
        <v>60</v>
      </c>
      <c r="AK12" s="1087" t="s">
        <v>59</v>
      </c>
      <c r="AL12" s="1088"/>
      <c r="AM12" s="1089" t="s">
        <v>58</v>
      </c>
      <c r="AN12" s="1090"/>
      <c r="AP12" s="573" t="s">
        <v>60</v>
      </c>
      <c r="AQ12" s="1087" t="s">
        <v>59</v>
      </c>
      <c r="AR12" s="1088"/>
    </row>
    <row r="13" spans="1:44" ht="15" thickBot="1" x14ac:dyDescent="0.35">
      <c r="A13" s="574" t="s">
        <v>4</v>
      </c>
      <c r="B13" s="575" t="s">
        <v>5</v>
      </c>
      <c r="C13" s="574" t="s">
        <v>6</v>
      </c>
      <c r="D13" s="574" t="s">
        <v>7</v>
      </c>
      <c r="E13" s="574" t="s">
        <v>8</v>
      </c>
      <c r="M13" s="913">
        <v>0.80469999999999997</v>
      </c>
    </row>
    <row r="14" spans="1:44" ht="33" thickBot="1" x14ac:dyDescent="0.35">
      <c r="A14" s="581">
        <v>0</v>
      </c>
      <c r="B14" s="582"/>
      <c r="C14" s="583"/>
      <c r="D14" s="584"/>
      <c r="E14" s="584"/>
      <c r="F14" s="871" t="s">
        <v>84</v>
      </c>
      <c r="G14" s="586" t="s">
        <v>85</v>
      </c>
      <c r="H14" s="587" t="s">
        <v>86</v>
      </c>
      <c r="I14" s="587" t="s">
        <v>87</v>
      </c>
      <c r="J14" s="588" t="s">
        <v>88</v>
      </c>
      <c r="K14" s="589" t="s">
        <v>9</v>
      </c>
      <c r="L14" s="590">
        <v>7.4999999999999997E-2</v>
      </c>
      <c r="M14" s="591">
        <f>1-M13</f>
        <v>0.19530000000000003</v>
      </c>
      <c r="N14" s="872" t="s">
        <v>82</v>
      </c>
      <c r="Q14" s="593" t="s">
        <v>89</v>
      </c>
      <c r="R14" s="594" t="s">
        <v>90</v>
      </c>
      <c r="S14" s="595" t="s">
        <v>91</v>
      </c>
      <c r="T14" s="596" t="s">
        <v>92</v>
      </c>
      <c r="U14" s="597" t="s">
        <v>93</v>
      </c>
      <c r="V14" s="598" t="s">
        <v>94</v>
      </c>
      <c r="W14" s="599" t="s">
        <v>95</v>
      </c>
      <c r="X14" s="599" t="s">
        <v>96</v>
      </c>
      <c r="Y14" s="600" t="s">
        <v>97</v>
      </c>
      <c r="Z14" s="601" t="s">
        <v>98</v>
      </c>
      <c r="AA14" s="602" t="s">
        <v>83</v>
      </c>
      <c r="AC14" s="603" t="s">
        <v>99</v>
      </c>
      <c r="AD14" s="604" t="s">
        <v>100</v>
      </c>
      <c r="AE14" s="604" t="s">
        <v>33</v>
      </c>
      <c r="AG14" s="605" t="s">
        <v>101</v>
      </c>
      <c r="AH14" s="606" t="s">
        <v>102</v>
      </c>
      <c r="AI14" t="s">
        <v>320</v>
      </c>
      <c r="AJ14" t="s">
        <v>320</v>
      </c>
      <c r="AK14" s="607" t="s">
        <v>103</v>
      </c>
      <c r="AL14" s="608" t="s">
        <v>104</v>
      </c>
      <c r="AM14" s="605" t="s">
        <v>101</v>
      </c>
      <c r="AN14" s="606" t="s">
        <v>102</v>
      </c>
      <c r="AO14" t="s">
        <v>320</v>
      </c>
      <c r="AP14" t="s">
        <v>320</v>
      </c>
      <c r="AQ14" s="607" t="s">
        <v>103</v>
      </c>
      <c r="AR14" s="608" t="s">
        <v>104</v>
      </c>
    </row>
    <row r="15" spans="1:44" ht="36.75" customHeight="1" thickBot="1" x14ac:dyDescent="0.4">
      <c r="A15" s="619">
        <v>1</v>
      </c>
      <c r="B15" s="610">
        <v>1</v>
      </c>
      <c r="C15" s="620" t="s">
        <v>109</v>
      </c>
      <c r="D15" s="619"/>
      <c r="E15" s="619"/>
      <c r="F15" s="1118" t="s">
        <v>469</v>
      </c>
      <c r="G15" s="1119"/>
      <c r="H15" s="1119"/>
      <c r="I15" s="1119"/>
      <c r="J15" s="1119"/>
      <c r="K15" s="1119"/>
      <c r="L15" s="1119"/>
      <c r="M15" s="1119"/>
      <c r="N15" s="1120"/>
      <c r="P15" s="32"/>
      <c r="Q15" s="1150" t="str">
        <f>IF(F15&lt;&gt;"",F15,"")</f>
        <v>FESTA</v>
      </c>
      <c r="R15" s="1151"/>
      <c r="S15" s="1151"/>
      <c r="T15" s="1151"/>
      <c r="U15" s="1151"/>
      <c r="V15" s="1151"/>
      <c r="W15" s="1151"/>
      <c r="X15" s="1151"/>
      <c r="Y15" s="1152"/>
    </row>
    <row r="16" spans="1:44" ht="30" customHeight="1" x14ac:dyDescent="0.35">
      <c r="A16" s="626">
        <v>2</v>
      </c>
      <c r="B16" s="610" t="s">
        <v>111</v>
      </c>
      <c r="C16" s="627" t="s">
        <v>110</v>
      </c>
      <c r="D16" s="626"/>
      <c r="E16" s="626"/>
      <c r="F16" s="1135" t="s">
        <v>469</v>
      </c>
      <c r="G16" s="1136"/>
      <c r="H16" s="1136"/>
      <c r="I16" s="1136"/>
      <c r="J16" s="1136"/>
      <c r="K16" s="1137"/>
      <c r="L16" s="914" t="s">
        <v>112</v>
      </c>
      <c r="M16" s="915" t="s">
        <v>113</v>
      </c>
      <c r="N16" s="916" t="s">
        <v>82</v>
      </c>
      <c r="P16" s="32"/>
      <c r="Q16" s="1138" t="str">
        <f>IF(F16&lt;&gt;"",F16,"")</f>
        <v>FESTA</v>
      </c>
      <c r="R16" s="1139"/>
      <c r="S16" s="1139"/>
      <c r="T16" s="1139"/>
      <c r="U16" s="1139"/>
      <c r="V16" s="1139"/>
      <c r="W16" s="1139"/>
      <c r="X16" s="1139"/>
      <c r="Y16" s="1140"/>
      <c r="Z16" s="624" t="s">
        <v>114</v>
      </c>
      <c r="AA16" s="625" t="s">
        <v>83</v>
      </c>
    </row>
    <row r="17" spans="1:29" ht="32.4" x14ac:dyDescent="0.3">
      <c r="A17" s="619">
        <v>3</v>
      </c>
      <c r="B17" s="610" t="s">
        <v>116</v>
      </c>
      <c r="C17" s="620" t="s">
        <v>115</v>
      </c>
      <c r="D17" s="619" t="s">
        <v>127</v>
      </c>
      <c r="E17" s="619" t="s">
        <v>117</v>
      </c>
      <c r="F17" s="808" t="s">
        <v>617</v>
      </c>
      <c r="G17" s="659" t="s">
        <v>618</v>
      </c>
      <c r="H17" s="917">
        <v>1</v>
      </c>
      <c r="I17" s="715">
        <v>1</v>
      </c>
      <c r="J17" s="918">
        <v>22380</v>
      </c>
      <c r="K17" s="705">
        <f t="shared" ref="K17:K21" si="0">IF(F17&lt;&gt;"",H17*I17*J17,"")</f>
        <v>22380</v>
      </c>
      <c r="L17" s="705">
        <f t="shared" ref="L17:L20" si="1">IF(K17&lt;&gt;"",IF(D17="INTERNO",0,K17*$L$14),"")</f>
        <v>1678.5</v>
      </c>
      <c r="M17" s="705">
        <f t="shared" ref="M17:M20" si="2">IF(K17&lt;&gt;"",IF(E17="FAT.OGGI",SUM(K17:L17)*(1/(1-$M$14)-1),L17*(1/(1-$M$14)-1)),"")</f>
        <v>5838.9773207406506</v>
      </c>
      <c r="N17" s="775">
        <f t="shared" ref="N17:N21" si="3">SUM(K17:M17)</f>
        <v>29897.477320740651</v>
      </c>
      <c r="P17" s="32"/>
      <c r="Q17" s="919">
        <f>IF(H17&lt;&gt;"",H17,"")</f>
        <v>1</v>
      </c>
      <c r="R17" s="819">
        <v>1</v>
      </c>
      <c r="S17" s="898">
        <v>14650</v>
      </c>
      <c r="T17" s="652">
        <f t="shared" ref="T17:T21" si="4">IF(Q17&lt;&gt;"",Q17*R17*S17,"")</f>
        <v>14650</v>
      </c>
      <c r="U17" s="751">
        <f t="shared" ref="U17:U22" si="5">IF(Q17&lt;&gt;"",K17-T17,"")</f>
        <v>7730</v>
      </c>
      <c r="V17" s="752">
        <f t="shared" ref="V17:V21" si="6">IF(Q17&lt;&gt;"",0%,"")</f>
        <v>0</v>
      </c>
      <c r="W17" s="753">
        <f t="shared" ref="W17:W21" si="7">IF(Q17&lt;&gt;"",V17*U17,"")</f>
        <v>0</v>
      </c>
      <c r="X17" s="753">
        <f t="shared" ref="X17:X21" si="8">IF(Q17&lt;&gt;"",W17+T17,"")</f>
        <v>14650</v>
      </c>
      <c r="Y17" s="920">
        <f t="shared" ref="Y17:Y23" si="9">IF(Q17&lt;&gt;"",X17+M17,"")</f>
        <v>20488.977320740651</v>
      </c>
      <c r="Z17" s="643">
        <f t="shared" ref="Z17:Z22" si="10">IF(Q17&lt;&gt;"",U17/K17,"")</f>
        <v>0.3453976764968722</v>
      </c>
      <c r="AA17" s="644" t="e">
        <f t="shared" ref="AA17" si="11">T17/$W$63</f>
        <v>#DIV/0!</v>
      </c>
      <c r="AC17" s="645" t="s">
        <v>619</v>
      </c>
    </row>
    <row r="18" spans="1:29" ht="32.4" x14ac:dyDescent="0.3">
      <c r="A18" s="671">
        <v>4</v>
      </c>
      <c r="B18" s="610" t="s">
        <v>105</v>
      </c>
      <c r="C18" s="672" t="s">
        <v>115</v>
      </c>
      <c r="D18" s="671" t="s">
        <v>127</v>
      </c>
      <c r="E18" s="671" t="s">
        <v>117</v>
      </c>
      <c r="F18" s="832" t="s">
        <v>620</v>
      </c>
      <c r="G18" s="794" t="s">
        <v>621</v>
      </c>
      <c r="H18" s="921">
        <v>1</v>
      </c>
      <c r="I18" s="921">
        <v>1</v>
      </c>
      <c r="J18" s="922">
        <v>1496</v>
      </c>
      <c r="K18" s="632">
        <f t="shared" si="0"/>
        <v>1496</v>
      </c>
      <c r="L18" s="632">
        <f t="shared" si="1"/>
        <v>112.2</v>
      </c>
      <c r="M18" s="632">
        <f t="shared" si="2"/>
        <v>390.30876102895502</v>
      </c>
      <c r="N18" s="775">
        <f t="shared" si="3"/>
        <v>1998.5087610289552</v>
      </c>
      <c r="P18" s="32"/>
      <c r="Q18" s="919">
        <f t="shared" ref="Q18:Q19" si="12">IF(H18&lt;&gt;"",H18,"")</f>
        <v>1</v>
      </c>
      <c r="R18" s="804">
        <f>IF(I18&lt;&gt;"",I18,"")</f>
        <v>1</v>
      </c>
      <c r="S18" s="923">
        <v>3850</v>
      </c>
      <c r="T18" s="667">
        <f t="shared" si="4"/>
        <v>3850</v>
      </c>
      <c r="U18" s="668">
        <f t="shared" si="5"/>
        <v>-2354</v>
      </c>
      <c r="V18" s="669">
        <f t="shared" si="6"/>
        <v>0</v>
      </c>
      <c r="W18" s="670">
        <f t="shared" si="7"/>
        <v>0</v>
      </c>
      <c r="X18" s="670">
        <f t="shared" si="8"/>
        <v>3850</v>
      </c>
      <c r="Y18" s="642">
        <f t="shared" si="9"/>
        <v>4240.3087610289549</v>
      </c>
      <c r="Z18" s="643">
        <f t="shared" si="10"/>
        <v>-1.5735294117647058</v>
      </c>
      <c r="AA18" s="644">
        <f>T18/$T$23</f>
        <v>0.11388578291299126</v>
      </c>
      <c r="AC18" s="645" t="s">
        <v>622</v>
      </c>
    </row>
    <row r="19" spans="1:29" ht="48.6" x14ac:dyDescent="0.3">
      <c r="A19" s="626">
        <v>5</v>
      </c>
      <c r="B19" s="610" t="s">
        <v>175</v>
      </c>
      <c r="C19" s="627" t="s">
        <v>115</v>
      </c>
      <c r="D19" s="626" t="s">
        <v>127</v>
      </c>
      <c r="E19" s="626" t="s">
        <v>117</v>
      </c>
      <c r="F19" s="814" t="s">
        <v>623</v>
      </c>
      <c r="G19" s="924" t="s">
        <v>624</v>
      </c>
      <c r="H19" s="810">
        <v>1</v>
      </c>
      <c r="I19" s="811">
        <v>1</v>
      </c>
      <c r="J19" s="812">
        <v>6200</v>
      </c>
      <c r="K19" s="633">
        <f t="shared" si="0"/>
        <v>6200</v>
      </c>
      <c r="L19" s="633">
        <f t="shared" si="1"/>
        <v>465</v>
      </c>
      <c r="M19" s="633">
        <f t="shared" si="2"/>
        <v>1617.5897850130489</v>
      </c>
      <c r="N19" s="879">
        <f t="shared" si="3"/>
        <v>8282.5897850130495</v>
      </c>
      <c r="P19" s="32"/>
      <c r="Q19" s="919">
        <f t="shared" si="12"/>
        <v>1</v>
      </c>
      <c r="R19" s="636">
        <f>IF(I19&lt;&gt;"",I19,"")</f>
        <v>1</v>
      </c>
      <c r="S19" s="638">
        <v>0</v>
      </c>
      <c r="T19" s="638">
        <f t="shared" si="4"/>
        <v>0</v>
      </c>
      <c r="U19" s="639">
        <f t="shared" si="5"/>
        <v>6200</v>
      </c>
      <c r="V19" s="640">
        <f t="shared" si="6"/>
        <v>0</v>
      </c>
      <c r="W19" s="641">
        <f t="shared" si="7"/>
        <v>0</v>
      </c>
      <c r="X19" s="641">
        <f t="shared" si="8"/>
        <v>0</v>
      </c>
      <c r="Y19" s="642">
        <f t="shared" si="9"/>
        <v>1617.5897850130489</v>
      </c>
      <c r="Z19" s="643">
        <f t="shared" si="10"/>
        <v>1</v>
      </c>
      <c r="AA19" s="644" t="e">
        <f>T19/#REF!</f>
        <v>#REF!</v>
      </c>
    </row>
    <row r="20" spans="1:29" ht="64.8" x14ac:dyDescent="0.3">
      <c r="A20" s="626">
        <v>6</v>
      </c>
      <c r="B20" s="610" t="s">
        <v>179</v>
      </c>
      <c r="C20" s="627" t="s">
        <v>115</v>
      </c>
      <c r="D20" s="626" t="s">
        <v>127</v>
      </c>
      <c r="E20" s="626" t="s">
        <v>117</v>
      </c>
      <c r="F20" s="814" t="s">
        <v>625</v>
      </c>
      <c r="G20" s="924" t="s">
        <v>626</v>
      </c>
      <c r="H20" s="810">
        <v>1</v>
      </c>
      <c r="I20" s="811">
        <v>1</v>
      </c>
      <c r="J20" s="632">
        <v>4082.5</v>
      </c>
      <c r="K20" s="633">
        <f t="shared" si="0"/>
        <v>4082.5</v>
      </c>
      <c r="L20" s="633">
        <f t="shared" si="1"/>
        <v>306.1875</v>
      </c>
      <c r="M20" s="633">
        <f t="shared" si="2"/>
        <v>1065.130693115447</v>
      </c>
      <c r="N20" s="816">
        <f t="shared" si="3"/>
        <v>5453.8181931154468</v>
      </c>
      <c r="P20" s="32"/>
      <c r="Q20" s="635">
        <f>IF(H20&lt;&gt;"",H20,"")</f>
        <v>1</v>
      </c>
      <c r="R20" s="636">
        <f>IF(I20&lt;&gt;"",I20,"")</f>
        <v>1</v>
      </c>
      <c r="S20" s="646">
        <v>3550</v>
      </c>
      <c r="T20" s="638">
        <f t="shared" si="4"/>
        <v>3550</v>
      </c>
      <c r="U20" s="639">
        <f t="shared" si="5"/>
        <v>532.5</v>
      </c>
      <c r="V20" s="640">
        <f t="shared" si="6"/>
        <v>0</v>
      </c>
      <c r="W20" s="641">
        <f t="shared" si="7"/>
        <v>0</v>
      </c>
      <c r="X20" s="641">
        <f t="shared" si="8"/>
        <v>3550</v>
      </c>
      <c r="Y20" s="642">
        <f t="shared" si="9"/>
        <v>4615.1306931154468</v>
      </c>
      <c r="Z20" s="643">
        <f t="shared" si="10"/>
        <v>0.13043478260869565</v>
      </c>
      <c r="AA20" s="644" t="e">
        <f>T20/#REF!</f>
        <v>#REF!</v>
      </c>
    </row>
    <row r="21" spans="1:29" ht="32.4" x14ac:dyDescent="0.3">
      <c r="A21" s="626">
        <v>7</v>
      </c>
      <c r="B21" s="610" t="s">
        <v>181</v>
      </c>
      <c r="C21" s="627" t="s">
        <v>115</v>
      </c>
      <c r="D21" s="626" t="s">
        <v>127</v>
      </c>
      <c r="E21" s="626" t="s">
        <v>323</v>
      </c>
      <c r="F21" s="925" t="s">
        <v>625</v>
      </c>
      <c r="G21" s="926" t="s">
        <v>627</v>
      </c>
      <c r="H21" s="927">
        <v>1</v>
      </c>
      <c r="I21" s="928">
        <v>1</v>
      </c>
      <c r="J21" s="929">
        <v>12741.84</v>
      </c>
      <c r="K21" s="633">
        <f t="shared" si="0"/>
        <v>12741.84</v>
      </c>
      <c r="L21" s="693">
        <v>498.15000000000003</v>
      </c>
      <c r="M21" s="693">
        <f>'[2]Itens Banda'!$H$21</f>
        <v>231.93252317633906</v>
      </c>
      <c r="N21" s="816">
        <f t="shared" si="3"/>
        <v>13471.922523176339</v>
      </c>
      <c r="P21" s="32"/>
      <c r="Q21" s="930">
        <f>IF(H21&lt;&gt;"",H21,"")</f>
        <v>1</v>
      </c>
      <c r="R21" s="931">
        <v>1</v>
      </c>
      <c r="S21" s="932">
        <v>9369</v>
      </c>
      <c r="T21" s="932">
        <f t="shared" si="4"/>
        <v>9369</v>
      </c>
      <c r="U21" s="639">
        <f t="shared" si="5"/>
        <v>3372.84</v>
      </c>
      <c r="V21" s="640">
        <f t="shared" si="6"/>
        <v>0</v>
      </c>
      <c r="W21" s="641">
        <f t="shared" si="7"/>
        <v>0</v>
      </c>
      <c r="X21" s="641">
        <f t="shared" si="8"/>
        <v>9369</v>
      </c>
      <c r="Y21" s="641">
        <f t="shared" si="9"/>
        <v>9600.9325231763396</v>
      </c>
      <c r="Z21" s="644">
        <f t="shared" si="10"/>
        <v>0.26470588235294118</v>
      </c>
      <c r="AA21" s="644" t="e">
        <f>T21/#REF!</f>
        <v>#REF!</v>
      </c>
    </row>
    <row r="22" spans="1:29" ht="65.400000000000006" thickBot="1" x14ac:dyDescent="0.35">
      <c r="A22" s="718">
        <v>8</v>
      </c>
      <c r="B22" s="610" t="s">
        <v>327</v>
      </c>
      <c r="C22" s="882" t="s">
        <v>115</v>
      </c>
      <c r="D22" s="626" t="s">
        <v>127</v>
      </c>
      <c r="E22" s="626" t="s">
        <v>323</v>
      </c>
      <c r="F22" s="933" t="s">
        <v>625</v>
      </c>
      <c r="G22" s="934" t="s">
        <v>628</v>
      </c>
      <c r="H22" s="935">
        <v>1</v>
      </c>
      <c r="I22" s="936">
        <v>1</v>
      </c>
      <c r="J22" s="937">
        <v>2865</v>
      </c>
      <c r="K22" s="938">
        <f>IF(F22&lt;&gt;"",H22*I22*J22,"")</f>
        <v>2865</v>
      </c>
      <c r="L22" s="939">
        <f>IF(K22&lt;&gt;"",IF(D22="INTERNO",0,K22*$L$14),"")</f>
        <v>214.875</v>
      </c>
      <c r="M22" s="939">
        <f>IF(K22&lt;&gt;"",IF(E22="FAT.OGGI",SUM(K22:L22)*(1/(1-$M$14)-1),L22*(1/(1-$M$14)-1)),"")</f>
        <v>52.149978252765024</v>
      </c>
      <c r="N22" s="940">
        <f>SUM(K22:M22)</f>
        <v>3132.0249782527649</v>
      </c>
      <c r="P22" s="32"/>
      <c r="Q22" s="883">
        <f>IF(H22&lt;&gt;"",H22,"")</f>
        <v>1</v>
      </c>
      <c r="R22" s="883">
        <f>IF(I22&lt;&gt;"",I22,"")</f>
        <v>1</v>
      </c>
      <c r="S22" s="694">
        <v>2386.8000000000002</v>
      </c>
      <c r="T22" s="694">
        <f>IF(Q22&lt;&gt;"",Q22*R22*S22,"")</f>
        <v>2386.8000000000002</v>
      </c>
      <c r="U22" s="639">
        <f t="shared" si="5"/>
        <v>478.19999999999982</v>
      </c>
      <c r="V22" s="640">
        <f>IF(Q22&lt;&gt;"",0%,"")</f>
        <v>0</v>
      </c>
      <c r="W22" s="641">
        <f>IF(Q22&lt;&gt;"",V22*U22,"")</f>
        <v>0</v>
      </c>
      <c r="X22" s="641">
        <f>IF(Q22&lt;&gt;"",W22+T22,"")</f>
        <v>2386.8000000000002</v>
      </c>
      <c r="Y22" s="641">
        <f>IF(Q22&lt;&gt;"",X22+M22,"")</f>
        <v>2438.949978252765</v>
      </c>
      <c r="Z22" s="846">
        <f t="shared" si="10"/>
        <v>0.16691099476439783</v>
      </c>
      <c r="AA22" s="788"/>
    </row>
    <row r="23" spans="1:29" ht="30" customHeight="1" thickBot="1" x14ac:dyDescent="0.4">
      <c r="A23" s="619">
        <v>9</v>
      </c>
      <c r="B23" s="610"/>
      <c r="C23" s="620" t="s">
        <v>123</v>
      </c>
      <c r="D23" s="619"/>
      <c r="E23" s="619"/>
      <c r="F23" s="1156" t="s">
        <v>483</v>
      </c>
      <c r="G23" s="1157"/>
      <c r="H23" s="1157"/>
      <c r="I23" s="1157"/>
      <c r="J23" s="1157"/>
      <c r="K23" s="833">
        <f>SUM(K17:K22)</f>
        <v>49765.34</v>
      </c>
      <c r="L23" s="833">
        <f>SUM(L17:L22)</f>
        <v>3274.9124999999999</v>
      </c>
      <c r="M23" s="833">
        <f>SUM(M17:M22)</f>
        <v>9196.0890613272059</v>
      </c>
      <c r="N23" s="834">
        <f>SUM(N17:N22)</f>
        <v>62236.341561327215</v>
      </c>
      <c r="P23" s="32"/>
      <c r="Q23" s="1160"/>
      <c r="R23" s="1161"/>
      <c r="S23" s="1161"/>
      <c r="T23" s="941">
        <f>SUM(T17:T22)</f>
        <v>33805.800000000003</v>
      </c>
      <c r="U23" s="942">
        <f>SUM(U17:U22)</f>
        <v>15959.54</v>
      </c>
      <c r="V23" s="943"/>
      <c r="W23" s="943"/>
      <c r="X23" s="944">
        <f>SUM(X17:X22)</f>
        <v>33805.800000000003</v>
      </c>
      <c r="Y23" s="945" t="str">
        <f t="shared" si="9"/>
        <v/>
      </c>
      <c r="Z23" s="854" t="s">
        <v>170</v>
      </c>
      <c r="AA23" s="855" t="s">
        <v>171</v>
      </c>
    </row>
    <row r="24" spans="1:29" ht="37.5" customHeight="1" thickBot="1" x14ac:dyDescent="0.5">
      <c r="A24" s="697">
        <v>10</v>
      </c>
      <c r="B24" s="856"/>
      <c r="C24" s="698" t="s">
        <v>168</v>
      </c>
      <c r="D24" s="697"/>
      <c r="E24" s="697"/>
      <c r="F24" s="33" t="s">
        <v>169</v>
      </c>
      <c r="G24" s="34"/>
      <c r="H24" s="70"/>
      <c r="I24" s="70"/>
      <c r="J24" s="34"/>
      <c r="K24" s="35">
        <f>SUM(K17:K22)</f>
        <v>49765.34</v>
      </c>
      <c r="L24" s="35">
        <f>SUM(L17:L22)</f>
        <v>3274.9124999999999</v>
      </c>
      <c r="M24" s="35">
        <f>SUM(M17:M22)</f>
        <v>9196.0890613272059</v>
      </c>
      <c r="N24" s="61">
        <f>SUM(N17:N22)</f>
        <v>62236.341561327215</v>
      </c>
      <c r="Q24" s="33" t="s">
        <v>43</v>
      </c>
      <c r="R24" s="34"/>
      <c r="S24" s="34"/>
      <c r="T24" s="35">
        <f>SUM(T17:T22)</f>
        <v>33805.800000000003</v>
      </c>
      <c r="U24" s="35">
        <f>SUM(U17:U22)</f>
        <v>15959.54</v>
      </c>
      <c r="V24" s="34"/>
      <c r="W24" s="34"/>
      <c r="X24" s="35">
        <f>SUM(X17:X22)</f>
        <v>33805.800000000003</v>
      </c>
      <c r="Y24" s="61">
        <f>SUM(Y17:Y22)</f>
        <v>43001.889061327201</v>
      </c>
      <c r="Z24" s="857">
        <f>IF(Q24&lt;&gt;"",(N24-Y24)/N24,"")</f>
        <v>0.30905499933742941</v>
      </c>
      <c r="AA24" s="858">
        <f>IF(Z24&lt;&gt;"",(N24-Y24),"")</f>
        <v>19234.452500000014</v>
      </c>
    </row>
    <row r="25" spans="1:29" x14ac:dyDescent="0.3">
      <c r="N25" s="36"/>
    </row>
  </sheetData>
  <mergeCells count="15">
    <mergeCell ref="F23:J23"/>
    <mergeCell ref="Q23:S23"/>
    <mergeCell ref="AK12:AL12"/>
    <mergeCell ref="AM12:AN12"/>
    <mergeCell ref="AQ12:AR12"/>
    <mergeCell ref="F15:N15"/>
    <mergeCell ref="Q15:Y15"/>
    <mergeCell ref="F16:K16"/>
    <mergeCell ref="Q16:Y16"/>
    <mergeCell ref="AG12:AH12"/>
    <mergeCell ref="F1:G1"/>
    <mergeCell ref="F2:G2"/>
    <mergeCell ref="Q12:T12"/>
    <mergeCell ref="U12:X12"/>
    <mergeCell ref="AC12:AE12"/>
  </mergeCells>
  <dataValidations count="3">
    <dataValidation type="list" allowBlank="1" showInputMessage="1" showErrorMessage="1" sqref="E24" xr:uid="{63DF1B5F-FBCB-46E5-9699-46E03D35C742}">
      <formula1>"FAT.OGGI,FAT.CLIENTE "</formula1>
    </dataValidation>
    <dataValidation type="list" allowBlank="1" showInputMessage="1" showErrorMessage="1" sqref="D17:D22 D24" xr:uid="{46586EB5-3D11-446D-80ED-0477230CD5EB}">
      <formula1>"INTERNO,OPERACIONAL"</formula1>
    </dataValidation>
    <dataValidation type="list" allowBlank="1" showInputMessage="1" showErrorMessage="1" sqref="E17:E22" xr:uid="{72B03387-2EBC-472A-A00C-85754E439386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B3B1D-1280-4F8D-BD94-9EE808AF2C70}">
  <sheetPr codeName="Planilha18">
    <tabColor theme="0"/>
    <pageSetUpPr autoPageBreaks="0"/>
  </sheetPr>
  <dimension ref="A1:AL19"/>
  <sheetViews>
    <sheetView showGridLines="0" topLeftCell="D1" zoomScale="70" zoomScaleNormal="70" workbookViewId="0">
      <pane ySplit="1" topLeftCell="A2" activePane="bottomLeft" state="frozen"/>
      <selection activeCell="F8" sqref="F8"/>
      <selection pane="bottomLeft" activeCell="S17" sqref="S17"/>
    </sheetView>
  </sheetViews>
  <sheetFormatPr defaultRowHeight="14.4" x14ac:dyDescent="0.3"/>
  <cols>
    <col min="1" max="2" width="8.33203125" style="550" customWidth="1"/>
    <col min="3" max="4" width="10.44140625" style="550" customWidth="1"/>
    <col min="5" max="5" width="10.33203125" style="550" customWidth="1"/>
    <col min="6" max="6" width="40.6640625" customWidth="1"/>
    <col min="7" max="7" width="70.6640625" customWidth="1"/>
    <col min="8" max="9" width="7.6640625" style="32" customWidth="1"/>
    <col min="10" max="10" width="17.109375" bestFit="1" customWidth="1"/>
    <col min="11" max="11" width="28.109375" bestFit="1" customWidth="1"/>
    <col min="12" max="13" width="25.109375" bestFit="1" customWidth="1"/>
    <col min="14" max="14" width="29.6640625" bestFit="1" customWidth="1"/>
    <col min="15" max="15" width="3.33203125" customWidth="1"/>
    <col min="16" max="16" width="1.88671875" customWidth="1"/>
    <col min="17" max="18" width="7.6640625" style="946" customWidth="1"/>
    <col min="19" max="19" width="17" customWidth="1"/>
    <col min="20" max="20" width="27.88671875" customWidth="1"/>
    <col min="21" max="21" width="33.33203125" customWidth="1"/>
    <col min="22" max="23" width="22.6640625" customWidth="1"/>
    <col min="24" max="25" width="28.109375" bestFit="1" customWidth="1"/>
    <col min="26" max="26" width="19.6640625" customWidth="1"/>
    <col min="27" max="27" width="25.109375" bestFit="1" customWidth="1"/>
    <col min="28" max="28" width="38.109375" customWidth="1"/>
    <col min="29" max="30" width="33" customWidth="1"/>
    <col min="31" max="31" width="28" customWidth="1"/>
    <col min="32" max="32" width="1.33203125" customWidth="1"/>
    <col min="33" max="33" width="81.5546875" customWidth="1"/>
    <col min="34" max="34" width="36.6640625" customWidth="1"/>
    <col min="35" max="35" width="1.5546875" customWidth="1"/>
    <col min="36" max="36" width="20.33203125" customWidth="1"/>
    <col min="37" max="37" width="25.33203125" bestFit="1" customWidth="1"/>
    <col min="38" max="38" width="24.88671875" bestFit="1" customWidth="1"/>
    <col min="40" max="40" width="21.33203125" customWidth="1"/>
  </cols>
  <sheetData>
    <row r="1" spans="1:38" ht="49.5" customHeight="1" x14ac:dyDescent="0.3">
      <c r="B1" s="551"/>
      <c r="C1" s="552"/>
      <c r="D1" s="552"/>
      <c r="F1" s="1072" t="s">
        <v>183</v>
      </c>
      <c r="G1" s="1072"/>
    </row>
    <row r="2" spans="1:38" ht="24.75" customHeight="1" x14ac:dyDescent="0.3">
      <c r="B2" s="553"/>
      <c r="D2" s="552"/>
      <c r="F2" s="1073" t="s">
        <v>0</v>
      </c>
      <c r="G2" s="1073"/>
    </row>
    <row r="3" spans="1:38" ht="18" x14ac:dyDescent="0.3">
      <c r="B3" s="554"/>
      <c r="F3" s="26"/>
      <c r="G3" s="26"/>
    </row>
    <row r="4" spans="1:38" ht="18" x14ac:dyDescent="0.3">
      <c r="F4" s="555" t="s">
        <v>316</v>
      </c>
      <c r="G4" s="556"/>
    </row>
    <row r="5" spans="1:38" ht="18" x14ac:dyDescent="0.3">
      <c r="F5" s="557" t="s">
        <v>185</v>
      </c>
      <c r="G5" s="558"/>
    </row>
    <row r="6" spans="1:38" ht="18" x14ac:dyDescent="0.3">
      <c r="F6" s="557" t="s">
        <v>186</v>
      </c>
      <c r="G6" s="559"/>
    </row>
    <row r="7" spans="1:38" ht="21.75" customHeight="1" x14ac:dyDescent="0.3">
      <c r="F7" s="557" t="s">
        <v>187</v>
      </c>
      <c r="G7" s="560"/>
    </row>
    <row r="8" spans="1:38" ht="18" x14ac:dyDescent="0.3">
      <c r="F8" s="561" t="s">
        <v>317</v>
      </c>
      <c r="G8" s="562"/>
    </row>
    <row r="9" spans="1:38" ht="18" x14ac:dyDescent="0.3">
      <c r="F9" s="557" t="s">
        <v>189</v>
      </c>
      <c r="G9" s="560"/>
      <c r="M9">
        <v>0.80469999999999997</v>
      </c>
    </row>
    <row r="10" spans="1:38" ht="27" customHeight="1" x14ac:dyDescent="0.3">
      <c r="F10" s="557" t="s">
        <v>318</v>
      </c>
      <c r="G10" s="560"/>
      <c r="M10">
        <f>1-M9</f>
        <v>0.19530000000000003</v>
      </c>
    </row>
    <row r="11" spans="1:38" ht="18.600000000000001" thickBot="1" x14ac:dyDescent="0.35">
      <c r="F11" s="563" t="s">
        <v>319</v>
      </c>
      <c r="G11" s="564"/>
    </row>
    <row r="12" spans="1:38" ht="16.8" thickBot="1" x14ac:dyDescent="0.35">
      <c r="B12" s="568"/>
      <c r="M12" s="569"/>
      <c r="Q12" s="1081" t="s">
        <v>1</v>
      </c>
      <c r="R12" s="1082"/>
      <c r="S12" s="1082"/>
      <c r="T12" s="1083"/>
      <c r="U12" s="1084" t="s">
        <v>2</v>
      </c>
      <c r="V12" s="1085"/>
      <c r="W12" s="1085"/>
      <c r="X12" s="1086"/>
      <c r="Y12" s="570" t="s">
        <v>56</v>
      </c>
      <c r="Z12" s="571" t="e">
        <f>(1/(1-#REF!))-1</f>
        <v>#REF!</v>
      </c>
      <c r="AC12" s="1097" t="s">
        <v>3</v>
      </c>
      <c r="AD12" s="1098"/>
      <c r="AE12" s="1099"/>
      <c r="AG12" s="1089" t="s">
        <v>58</v>
      </c>
      <c r="AH12" s="1090"/>
      <c r="AJ12" s="573" t="s">
        <v>60</v>
      </c>
      <c r="AK12" s="1087" t="s">
        <v>59</v>
      </c>
      <c r="AL12" s="1088"/>
    </row>
    <row r="13" spans="1:38" ht="15" thickBot="1" x14ac:dyDescent="0.35">
      <c r="A13" s="574" t="s">
        <v>4</v>
      </c>
      <c r="B13" s="575" t="s">
        <v>5</v>
      </c>
      <c r="C13" s="574" t="s">
        <v>6</v>
      </c>
      <c r="D13" s="574" t="s">
        <v>7</v>
      </c>
      <c r="E13" s="574" t="s">
        <v>8</v>
      </c>
      <c r="M13" s="947">
        <v>0.80469999999999997</v>
      </c>
    </row>
    <row r="14" spans="1:38" ht="33" thickBot="1" x14ac:dyDescent="0.35">
      <c r="A14" s="581">
        <v>0</v>
      </c>
      <c r="B14" s="582"/>
      <c r="C14" s="583"/>
      <c r="D14" s="584"/>
      <c r="E14" s="584"/>
      <c r="F14" s="871" t="s">
        <v>84</v>
      </c>
      <c r="G14" s="586" t="s">
        <v>85</v>
      </c>
      <c r="H14" s="587" t="s">
        <v>86</v>
      </c>
      <c r="I14" s="587" t="s">
        <v>87</v>
      </c>
      <c r="J14" s="588" t="s">
        <v>88</v>
      </c>
      <c r="K14" s="948" t="s">
        <v>9</v>
      </c>
      <c r="L14" s="949">
        <v>0.05</v>
      </c>
      <c r="M14" s="591">
        <f>1-M13</f>
        <v>0.19530000000000003</v>
      </c>
      <c r="N14" s="872" t="s">
        <v>82</v>
      </c>
      <c r="Q14" s="593" t="s">
        <v>89</v>
      </c>
      <c r="R14" s="594" t="s">
        <v>90</v>
      </c>
      <c r="S14" s="595" t="s">
        <v>91</v>
      </c>
      <c r="T14" s="596" t="s">
        <v>92</v>
      </c>
      <c r="U14" s="597" t="s">
        <v>93</v>
      </c>
      <c r="V14" s="598" t="s">
        <v>94</v>
      </c>
      <c r="W14" s="599" t="s">
        <v>95</v>
      </c>
      <c r="X14" s="599" t="s">
        <v>96</v>
      </c>
      <c r="Y14" s="600" t="s">
        <v>97</v>
      </c>
      <c r="Z14" s="950" t="s">
        <v>98</v>
      </c>
      <c r="AA14" s="951" t="s">
        <v>83</v>
      </c>
      <c r="AC14" s="603" t="s">
        <v>99</v>
      </c>
      <c r="AD14" s="604" t="s">
        <v>100</v>
      </c>
      <c r="AE14" s="604" t="s">
        <v>33</v>
      </c>
      <c r="AG14" s="605" t="s">
        <v>101</v>
      </c>
      <c r="AH14" s="606" t="s">
        <v>102</v>
      </c>
      <c r="AI14" t="s">
        <v>320</v>
      </c>
      <c r="AJ14" t="s">
        <v>320</v>
      </c>
      <c r="AK14" s="607" t="s">
        <v>103</v>
      </c>
      <c r="AL14" s="608" t="s">
        <v>104</v>
      </c>
    </row>
    <row r="15" spans="1:38" ht="36.75" customHeight="1" thickBot="1" x14ac:dyDescent="0.4">
      <c r="A15" s="876">
        <v>1</v>
      </c>
      <c r="B15" s="610">
        <v>1</v>
      </c>
      <c r="C15" s="877" t="s">
        <v>109</v>
      </c>
      <c r="D15" s="876"/>
      <c r="E15" s="876"/>
      <c r="F15" s="1108" t="s">
        <v>629</v>
      </c>
      <c r="G15" s="1106"/>
      <c r="H15" s="1106"/>
      <c r="I15" s="1106"/>
      <c r="J15" s="1106"/>
      <c r="K15" s="1106"/>
      <c r="L15" s="1106"/>
      <c r="M15" s="1106"/>
      <c r="N15" s="1109"/>
      <c r="Q15" s="1108" t="str">
        <f>IF(F15&lt;&gt;"",F15,"")</f>
        <v>ATRAÇÃO</v>
      </c>
      <c r="R15" s="1106"/>
      <c r="S15" s="1106"/>
      <c r="T15" s="1106"/>
      <c r="U15" s="1106"/>
      <c r="V15" s="1106"/>
      <c r="W15" s="1106"/>
      <c r="X15" s="1106"/>
      <c r="Y15" s="1109"/>
    </row>
    <row r="16" spans="1:38" ht="36.75" customHeight="1" x14ac:dyDescent="0.35">
      <c r="A16" s="584">
        <v>2</v>
      </c>
      <c r="B16" s="610" t="s">
        <v>111</v>
      </c>
      <c r="C16" s="830" t="s">
        <v>110</v>
      </c>
      <c r="D16" s="584"/>
      <c r="E16" s="584"/>
      <c r="F16" s="1135" t="s">
        <v>629</v>
      </c>
      <c r="G16" s="1136"/>
      <c r="H16" s="1136"/>
      <c r="I16" s="1136"/>
      <c r="J16" s="1136"/>
      <c r="K16" s="1137"/>
      <c r="L16" s="914" t="s">
        <v>112</v>
      </c>
      <c r="M16" s="915" t="s">
        <v>113</v>
      </c>
      <c r="N16" s="916" t="s">
        <v>82</v>
      </c>
      <c r="Q16" s="1135" t="str">
        <f>IF(F16&lt;&gt;"",F16,"")</f>
        <v>ATRAÇÃO</v>
      </c>
      <c r="R16" s="1136"/>
      <c r="S16" s="1136"/>
      <c r="T16" s="1136"/>
      <c r="U16" s="1136"/>
      <c r="V16" s="1136"/>
      <c r="W16" s="1136"/>
      <c r="X16" s="1136"/>
      <c r="Y16" s="1162"/>
      <c r="Z16" s="624" t="s">
        <v>114</v>
      </c>
      <c r="AA16" s="625" t="s">
        <v>83</v>
      </c>
    </row>
    <row r="17" spans="1:34" ht="32.4" x14ac:dyDescent="0.35">
      <c r="A17" s="584">
        <v>3</v>
      </c>
      <c r="B17" s="610" t="s">
        <v>116</v>
      </c>
      <c r="C17" s="830" t="s">
        <v>115</v>
      </c>
      <c r="D17" s="584" t="s">
        <v>127</v>
      </c>
      <c r="E17" s="584" t="s">
        <v>323</v>
      </c>
      <c r="F17" s="808" t="s">
        <v>630</v>
      </c>
      <c r="G17" s="659" t="s">
        <v>631</v>
      </c>
      <c r="H17" s="660">
        <v>1</v>
      </c>
      <c r="I17" s="660">
        <v>1</v>
      </c>
      <c r="J17" s="662">
        <v>95000</v>
      </c>
      <c r="K17" s="662">
        <f t="shared" ref="K17" si="0">IF(F17&lt;&gt;"",H17*I17*J17,"")</f>
        <v>95000</v>
      </c>
      <c r="L17" s="662">
        <f t="shared" ref="L17" si="1">IF(K17&lt;&gt;"",IF(D17="INTERNO",0,K17*$L$14),"")</f>
        <v>4750</v>
      </c>
      <c r="M17" s="662">
        <f t="shared" ref="M17" si="2">IF(K17&lt;&gt;"",IF(E17="FAT.OGGI",SUM(K17:L17)*(1/(1-$M$14)-1),L17*(1/(1-$M$14)-1)),"")</f>
        <v>1152.8209270535608</v>
      </c>
      <c r="N17" s="952">
        <f t="shared" ref="N17" si="3">SUM(K17:M17)</f>
        <v>100902.82092705356</v>
      </c>
      <c r="Q17" s="953">
        <f t="shared" ref="Q17" si="4">IF(H17&lt;&gt;"",H17,"")</f>
        <v>1</v>
      </c>
      <c r="R17" s="954">
        <v>1</v>
      </c>
      <c r="S17" s="955">
        <f>45000+45000+45000</f>
        <v>135000</v>
      </c>
      <c r="T17" s="956">
        <f>IF(Q17&lt;&gt;"",Q17*R17*S17,"")</f>
        <v>135000</v>
      </c>
      <c r="U17" s="957">
        <f t="shared" ref="U17" si="5">IF(Q17&lt;&gt;"",K17-T17,"")</f>
        <v>-40000</v>
      </c>
      <c r="V17" s="958">
        <f t="shared" ref="V17" si="6">IF(Q17&lt;&gt;"",0%,"")</f>
        <v>0</v>
      </c>
      <c r="W17" s="959">
        <f t="shared" ref="W17" si="7">IF(Q17&lt;&gt;"",V17*U17,"")</f>
        <v>0</v>
      </c>
      <c r="X17" s="959">
        <f t="shared" ref="X17" si="8">IF(Q17&lt;&gt;"",W17+T17,"")</f>
        <v>135000</v>
      </c>
      <c r="Y17" s="920">
        <f t="shared" ref="Y17:Y18" si="9">IF(Q17&lt;&gt;"",X17+M17,"")</f>
        <v>136152.82092705357</v>
      </c>
      <c r="Z17" s="960">
        <f t="shared" ref="Z17" si="10">IF(Q17&lt;&gt;"",U17/K17,"")</f>
        <v>-0.42105263157894735</v>
      </c>
      <c r="AA17" s="754">
        <f>T17/$T$17</f>
        <v>1</v>
      </c>
      <c r="AC17" s="653">
        <v>135000</v>
      </c>
      <c r="AD17" s="654">
        <f>T17-AC17</f>
        <v>0</v>
      </c>
      <c r="AE17" s="655">
        <v>45994</v>
      </c>
      <c r="AG17" s="656" t="s">
        <v>632</v>
      </c>
      <c r="AH17" s="657" t="s">
        <v>532</v>
      </c>
    </row>
    <row r="18" spans="1:34" ht="36" customHeight="1" thickBot="1" x14ac:dyDescent="0.4">
      <c r="A18" s="626">
        <v>4</v>
      </c>
      <c r="B18" s="610"/>
      <c r="C18" s="627" t="s">
        <v>123</v>
      </c>
      <c r="D18" s="626"/>
      <c r="E18" s="626"/>
      <c r="F18" s="1156" t="s">
        <v>353</v>
      </c>
      <c r="G18" s="1157"/>
      <c r="H18" s="1157"/>
      <c r="I18" s="1157"/>
      <c r="J18" s="1157"/>
      <c r="K18" s="833">
        <f>SUM(K17:K17)</f>
        <v>95000</v>
      </c>
      <c r="L18" s="833">
        <f>SUM(L17:L17)</f>
        <v>4750</v>
      </c>
      <c r="M18" s="833">
        <f>SUM(M17:M17)</f>
        <v>1152.8209270535608</v>
      </c>
      <c r="N18" s="834">
        <f>SUM(N17:N17)</f>
        <v>100902.82092705356</v>
      </c>
      <c r="Q18" s="1147" t="s">
        <v>354</v>
      </c>
      <c r="R18" s="1148"/>
      <c r="S18" s="1157"/>
      <c r="T18" s="835">
        <f>SUM(T17:T17)</f>
        <v>135000</v>
      </c>
      <c r="U18" s="836">
        <f>SUM(U17:U17)</f>
        <v>-40000</v>
      </c>
      <c r="V18" s="837"/>
      <c r="W18" s="837"/>
      <c r="X18" s="838">
        <f>SUM(X17:X17)</f>
        <v>135000</v>
      </c>
      <c r="Y18" s="839">
        <f t="shared" si="9"/>
        <v>136152.82092705357</v>
      </c>
      <c r="Z18" s="961" t="s">
        <v>170</v>
      </c>
      <c r="AA18" s="962" t="s">
        <v>171</v>
      </c>
    </row>
    <row r="19" spans="1:34" ht="42" customHeight="1" thickBot="1" x14ac:dyDescent="0.5">
      <c r="A19" s="626">
        <v>5</v>
      </c>
      <c r="B19" s="856"/>
      <c r="C19" s="672" t="s">
        <v>168</v>
      </c>
      <c r="D19" s="671"/>
      <c r="E19" s="671"/>
      <c r="F19" s="33" t="s">
        <v>169</v>
      </c>
      <c r="G19" s="34"/>
      <c r="H19" s="70"/>
      <c r="I19" s="70"/>
      <c r="J19" s="34"/>
      <c r="K19" s="35">
        <f>SUM(K17:K17)</f>
        <v>95000</v>
      </c>
      <c r="L19" s="35">
        <f>SUM(L17:L17)</f>
        <v>4750</v>
      </c>
      <c r="M19" s="35">
        <f>SUM(M17:M17)</f>
        <v>1152.8209270535608</v>
      </c>
      <c r="N19" s="61">
        <f>SUM(N17:N17)</f>
        <v>100902.82092705356</v>
      </c>
      <c r="Q19" s="69" t="s">
        <v>43</v>
      </c>
      <c r="R19" s="70"/>
      <c r="S19" s="34"/>
      <c r="T19" s="35">
        <f>SUM(T17:T17)</f>
        <v>135000</v>
      </c>
      <c r="U19" s="35">
        <f>SUM(U17:U17)</f>
        <v>-40000</v>
      </c>
      <c r="V19" s="34"/>
      <c r="W19" s="34"/>
      <c r="X19" s="35">
        <f>SUM(X17:X17)</f>
        <v>135000</v>
      </c>
      <c r="Y19" s="61">
        <f>SUM(Y17:Y17)</f>
        <v>136152.82092705357</v>
      </c>
      <c r="Z19" s="64">
        <f>IF(Q19&lt;&gt;"",(N19-Y19)/N19,"")</f>
        <v>-0.34934603092497846</v>
      </c>
      <c r="AA19" s="858">
        <f>IF(Z19&lt;&gt;"",(N19-Y19),"")</f>
        <v>-35250.000000000015</v>
      </c>
    </row>
  </sheetData>
  <mergeCells count="13">
    <mergeCell ref="AK12:AL12"/>
    <mergeCell ref="F15:N15"/>
    <mergeCell ref="Q15:Y15"/>
    <mergeCell ref="F16:K16"/>
    <mergeCell ref="Q16:Y16"/>
    <mergeCell ref="U12:X12"/>
    <mergeCell ref="AC12:AE12"/>
    <mergeCell ref="AG12:AH12"/>
    <mergeCell ref="F18:J18"/>
    <mergeCell ref="Q18:S18"/>
    <mergeCell ref="F1:G1"/>
    <mergeCell ref="F2:G2"/>
    <mergeCell ref="Q12:T12"/>
  </mergeCells>
  <dataValidations count="3">
    <dataValidation type="list" allowBlank="1" showInputMessage="1" showErrorMessage="1" sqref="D19 D17" xr:uid="{DDEF2DEA-0FBC-4BF2-A0E6-DBEB504D883C}">
      <formula1>"INTERNO,OPERACIONAL"</formula1>
    </dataValidation>
    <dataValidation type="list" allowBlank="1" showInputMessage="1" showErrorMessage="1" sqref="E19" xr:uid="{A38049DA-2C97-4ADC-94AE-E943A35FF347}">
      <formula1>"FAT.OGGI,FAT.CLIENTE "</formula1>
    </dataValidation>
    <dataValidation type="list" allowBlank="1" showInputMessage="1" showErrorMessage="1" sqref="E17" xr:uid="{47E92E54-72B8-4979-B926-90892981D2DE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DC4F3-08D1-4BA0-8F77-0CFBB7D4BA75}">
  <sheetPr codeName="Planilha13">
    <tabColor theme="2" tint="-0.499984740745262"/>
    <pageSetUpPr autoPageBreaks="0"/>
  </sheetPr>
  <dimension ref="A1:AM50"/>
  <sheetViews>
    <sheetView showGridLines="0" topLeftCell="G1" zoomScale="50" zoomScaleNormal="50" workbookViewId="0">
      <pane ySplit="1" topLeftCell="A23" activePane="bottomLeft" state="frozen"/>
      <selection activeCell="F8" sqref="F8"/>
      <selection pane="bottomLeft" activeCell="AL45" sqref="AL45"/>
    </sheetView>
  </sheetViews>
  <sheetFormatPr defaultColWidth="9.109375" defaultRowHeight="23.4" x14ac:dyDescent="0.45"/>
  <cols>
    <col min="1" max="1" width="8.33203125" style="73" hidden="1" customWidth="1"/>
    <col min="2" max="2" width="13.88671875" style="73" customWidth="1"/>
    <col min="3" max="3" width="10.44140625" style="73" hidden="1" customWidth="1"/>
    <col min="4" max="4" width="14.5546875" style="73" hidden="1" customWidth="1"/>
    <col min="5" max="5" width="13.44140625" style="73" hidden="1" customWidth="1"/>
    <col min="6" max="6" width="40.6640625" style="73" customWidth="1"/>
    <col min="7" max="7" width="70.6640625" style="73" customWidth="1"/>
    <col min="8" max="9" width="7.6640625" style="76" hidden="1" customWidth="1"/>
    <col min="10" max="10" width="19.109375" style="73" hidden="1" customWidth="1"/>
    <col min="11" max="11" width="32.109375" style="73" bestFit="1" customWidth="1"/>
    <col min="12" max="13" width="29.6640625" style="73" bestFit="1" customWidth="1"/>
    <col min="14" max="14" width="32.109375" style="73" bestFit="1" customWidth="1"/>
    <col min="15" max="15" width="3.33203125" style="73" hidden="1" customWidth="1"/>
    <col min="16" max="16" width="1.88671875" style="73" hidden="1" customWidth="1"/>
    <col min="17" max="17" width="7.6640625" style="441" customWidth="1"/>
    <col min="18" max="18" width="7.6640625" style="441" hidden="1" customWidth="1"/>
    <col min="19" max="19" width="19.109375" style="73" hidden="1" customWidth="1"/>
    <col min="20" max="20" width="29.44140625" style="73" bestFit="1" customWidth="1"/>
    <col min="21" max="21" width="33.33203125" style="73" hidden="1" customWidth="1"/>
    <col min="22" max="23" width="22.6640625" style="73" hidden="1" customWidth="1"/>
    <col min="24" max="24" width="32.109375" style="73" bestFit="1" customWidth="1"/>
    <col min="25" max="25" width="28.109375" style="73" hidden="1" customWidth="1"/>
    <col min="26" max="26" width="19.6640625" style="73" hidden="1" customWidth="1"/>
    <col min="27" max="27" width="25.109375" style="73" hidden="1" customWidth="1"/>
    <col min="28" max="28" width="38.109375" style="73" hidden="1" customWidth="1"/>
    <col min="29" max="30" width="33" style="73" hidden="1" customWidth="1"/>
    <col min="31" max="31" width="28" style="73" hidden="1" customWidth="1"/>
    <col min="32" max="32" width="1.33203125" style="73" hidden="1" customWidth="1"/>
    <col min="33" max="33" width="81.5546875" style="73" hidden="1" customWidth="1"/>
    <col min="34" max="34" width="36.6640625" style="73" hidden="1" customWidth="1"/>
    <col min="35" max="35" width="1.5546875" style="73" hidden="1" customWidth="1"/>
    <col min="36" max="36" width="20.33203125" style="73" hidden="1" customWidth="1"/>
    <col min="37" max="37" width="25.44140625" style="73" bestFit="1" customWidth="1"/>
    <col min="38" max="38" width="27.5546875" style="73" bestFit="1" customWidth="1"/>
    <col min="39" max="39" width="9.109375" style="73"/>
    <col min="40" max="40" width="21.33203125" style="73" customWidth="1"/>
    <col min="41" max="16384" width="9.109375" style="73"/>
  </cols>
  <sheetData>
    <row r="1" spans="1:38" ht="49.5" customHeight="1" x14ac:dyDescent="0.45">
      <c r="B1" s="439"/>
      <c r="C1" s="440"/>
      <c r="D1" s="440"/>
      <c r="F1" s="1010" t="s">
        <v>183</v>
      </c>
      <c r="G1" s="1010"/>
    </row>
    <row r="2" spans="1:38" ht="24.75" customHeight="1" x14ac:dyDescent="0.45">
      <c r="B2" s="76"/>
      <c r="D2" s="440"/>
      <c r="F2" s="1011" t="s">
        <v>0</v>
      </c>
      <c r="G2" s="1011"/>
    </row>
    <row r="3" spans="1:38" x14ac:dyDescent="0.45">
      <c r="B3" s="442"/>
      <c r="F3" s="78"/>
      <c r="G3" s="78"/>
    </row>
    <row r="4" spans="1:38" x14ac:dyDescent="0.45">
      <c r="F4" s="443" t="s">
        <v>316</v>
      </c>
      <c r="G4" s="444"/>
    </row>
    <row r="5" spans="1:38" x14ac:dyDescent="0.45">
      <c r="F5" s="445" t="s">
        <v>185</v>
      </c>
      <c r="G5" s="446"/>
    </row>
    <row r="6" spans="1:38" x14ac:dyDescent="0.45">
      <c r="F6" s="445" t="s">
        <v>186</v>
      </c>
      <c r="G6" s="447"/>
    </row>
    <row r="7" spans="1:38" ht="21.75" customHeight="1" x14ac:dyDescent="0.45">
      <c r="F7" s="445" t="s">
        <v>187</v>
      </c>
      <c r="G7" s="447"/>
    </row>
    <row r="8" spans="1:38" x14ac:dyDescent="0.45">
      <c r="F8" s="448" t="s">
        <v>317</v>
      </c>
      <c r="G8" s="449"/>
    </row>
    <row r="9" spans="1:38" x14ac:dyDescent="0.45">
      <c r="F9" s="445" t="s">
        <v>189</v>
      </c>
      <c r="G9" s="447"/>
      <c r="M9" s="73">
        <v>0.80469999999999997</v>
      </c>
    </row>
    <row r="10" spans="1:38" ht="27" customHeight="1" x14ac:dyDescent="0.45">
      <c r="F10" s="445" t="s">
        <v>318</v>
      </c>
      <c r="G10" s="447"/>
      <c r="M10" s="73">
        <f>1-M9</f>
        <v>0.19530000000000003</v>
      </c>
    </row>
    <row r="11" spans="1:38" x14ac:dyDescent="0.45">
      <c r="F11" s="450" t="s">
        <v>319</v>
      </c>
      <c r="G11" s="451"/>
    </row>
    <row r="12" spans="1:38" ht="47.4" hidden="1" thickBot="1" x14ac:dyDescent="0.5">
      <c r="B12" s="85"/>
      <c r="M12" s="86"/>
      <c r="Q12" s="1012" t="s">
        <v>1</v>
      </c>
      <c r="R12" s="1013"/>
      <c r="S12" s="1013"/>
      <c r="T12" s="1173"/>
      <c r="U12" s="1015" t="s">
        <v>2</v>
      </c>
      <c r="V12" s="1016"/>
      <c r="W12" s="1016"/>
      <c r="X12" s="1174"/>
      <c r="Y12" s="87" t="s">
        <v>56</v>
      </c>
      <c r="Z12" s="452" t="e">
        <f>(1/(1-#REF!))-1</f>
        <v>#REF!</v>
      </c>
      <c r="AC12" s="1018" t="s">
        <v>3</v>
      </c>
      <c r="AD12" s="1019"/>
      <c r="AE12" s="1175"/>
      <c r="AG12" s="1021" t="s">
        <v>58</v>
      </c>
      <c r="AH12" s="1022"/>
      <c r="AJ12" s="89" t="s">
        <v>60</v>
      </c>
      <c r="AK12" s="1008" t="s">
        <v>59</v>
      </c>
      <c r="AL12" s="1009"/>
    </row>
    <row r="13" spans="1:38" ht="24" thickBot="1" x14ac:dyDescent="0.5">
      <c r="A13" s="453" t="s">
        <v>4</v>
      </c>
      <c r="B13" s="454" t="s">
        <v>5</v>
      </c>
      <c r="C13" s="453" t="s">
        <v>6</v>
      </c>
      <c r="D13" s="453" t="s">
        <v>7</v>
      </c>
      <c r="E13" s="453" t="s">
        <v>8</v>
      </c>
      <c r="M13" s="92">
        <v>0.80469999999999997</v>
      </c>
    </row>
    <row r="14" spans="1:38" ht="39.9" customHeight="1" thickBot="1" x14ac:dyDescent="0.5">
      <c r="A14" s="455">
        <v>0</v>
      </c>
      <c r="B14" s="456"/>
      <c r="C14" s="457"/>
      <c r="D14" s="458"/>
      <c r="E14" s="458"/>
      <c r="F14" s="459" t="s">
        <v>84</v>
      </c>
      <c r="G14" s="460" t="s">
        <v>85</v>
      </c>
      <c r="H14" s="99" t="s">
        <v>86</v>
      </c>
      <c r="I14" s="99" t="s">
        <v>87</v>
      </c>
      <c r="J14" s="100" t="s">
        <v>88</v>
      </c>
      <c r="K14" s="101" t="s">
        <v>9</v>
      </c>
      <c r="L14" s="102">
        <v>0.05</v>
      </c>
      <c r="M14" s="103">
        <f>1-M13</f>
        <v>0.19530000000000003</v>
      </c>
      <c r="N14" s="104" t="s">
        <v>82</v>
      </c>
      <c r="Q14" s="105" t="s">
        <v>89</v>
      </c>
      <c r="R14" s="106" t="s">
        <v>90</v>
      </c>
      <c r="S14" s="107" t="s">
        <v>91</v>
      </c>
      <c r="T14" s="108" t="s">
        <v>92</v>
      </c>
      <c r="U14" s="109" t="s">
        <v>93</v>
      </c>
      <c r="V14" s="110" t="s">
        <v>94</v>
      </c>
      <c r="W14" s="111" t="s">
        <v>95</v>
      </c>
      <c r="X14" s="111" t="s">
        <v>96</v>
      </c>
      <c r="Y14" s="112" t="s">
        <v>97</v>
      </c>
      <c r="Z14" s="461" t="s">
        <v>98</v>
      </c>
      <c r="AA14" s="462" t="s">
        <v>83</v>
      </c>
      <c r="AC14" s="115" t="s">
        <v>99</v>
      </c>
      <c r="AD14" s="116" t="s">
        <v>100</v>
      </c>
      <c r="AE14" s="116" t="s">
        <v>33</v>
      </c>
      <c r="AG14" s="117" t="s">
        <v>101</v>
      </c>
      <c r="AH14" s="118" t="s">
        <v>102</v>
      </c>
      <c r="AI14" s="73" t="s">
        <v>320</v>
      </c>
      <c r="AJ14" s="73" t="s">
        <v>320</v>
      </c>
      <c r="AK14" s="119" t="s">
        <v>103</v>
      </c>
      <c r="AL14" s="433" t="s">
        <v>104</v>
      </c>
    </row>
    <row r="15" spans="1:38" ht="39.9" customHeight="1" thickBot="1" x14ac:dyDescent="0.5">
      <c r="A15" s="463">
        <v>1</v>
      </c>
      <c r="B15" s="120">
        <v>1</v>
      </c>
      <c r="C15" s="464" t="s">
        <v>109</v>
      </c>
      <c r="D15" s="463"/>
      <c r="E15" s="463"/>
      <c r="F15" s="1034" t="s">
        <v>321</v>
      </c>
      <c r="G15" s="1035"/>
      <c r="H15" s="1035"/>
      <c r="I15" s="1035"/>
      <c r="J15" s="1035"/>
      <c r="K15" s="1035"/>
      <c r="L15" s="1035"/>
      <c r="M15" s="1035"/>
      <c r="N15" s="1036"/>
      <c r="Q15" s="1165" t="str">
        <f>IF(F15&lt;&gt;"",F15,"")</f>
        <v>HOTEL</v>
      </c>
      <c r="R15" s="1166"/>
      <c r="S15" s="1166"/>
      <c r="T15" s="1166"/>
      <c r="U15" s="1166"/>
      <c r="V15" s="1166"/>
      <c r="W15" s="1166"/>
      <c r="X15" s="1166"/>
      <c r="Y15" s="1167"/>
      <c r="AK15" s="122"/>
      <c r="AL15" s="434"/>
    </row>
    <row r="16" spans="1:38" ht="39.9" customHeight="1" thickBot="1" x14ac:dyDescent="0.5">
      <c r="A16" s="458">
        <v>2</v>
      </c>
      <c r="B16" s="120" t="s">
        <v>111</v>
      </c>
      <c r="C16" s="465" t="s">
        <v>110</v>
      </c>
      <c r="D16" s="458"/>
      <c r="E16" s="458"/>
      <c r="F16" s="1026" t="s">
        <v>322</v>
      </c>
      <c r="G16" s="1027"/>
      <c r="H16" s="1027"/>
      <c r="I16" s="1027"/>
      <c r="J16" s="1027"/>
      <c r="K16" s="1028"/>
      <c r="L16" s="124" t="s">
        <v>112</v>
      </c>
      <c r="M16" s="125" t="s">
        <v>113</v>
      </c>
      <c r="N16" s="126" t="s">
        <v>82</v>
      </c>
      <c r="Q16" s="1168" t="str">
        <f>IF(F16&lt;&gt;"",F16,"")</f>
        <v>BOURBON ATIBAIA - PERÍODO DE 12 A 13 DE JANEIRO</v>
      </c>
      <c r="R16" s="1169"/>
      <c r="S16" s="1169"/>
      <c r="T16" s="1169"/>
      <c r="U16" s="1169"/>
      <c r="V16" s="1169"/>
      <c r="W16" s="1169"/>
      <c r="X16" s="1169"/>
      <c r="Y16" s="1170"/>
      <c r="Z16" s="127" t="s">
        <v>114</v>
      </c>
      <c r="AA16" s="128" t="s">
        <v>83</v>
      </c>
      <c r="AK16" s="123"/>
      <c r="AL16" s="435"/>
    </row>
    <row r="17" spans="1:38" ht="99.9" customHeight="1" x14ac:dyDescent="0.45">
      <c r="A17" s="458">
        <v>3</v>
      </c>
      <c r="B17" s="120" t="s">
        <v>116</v>
      </c>
      <c r="C17" s="465" t="s">
        <v>115</v>
      </c>
      <c r="D17" s="458" t="s">
        <v>127</v>
      </c>
      <c r="E17" s="458" t="s">
        <v>323</v>
      </c>
      <c r="F17" s="466" t="s">
        <v>324</v>
      </c>
      <c r="G17" s="467" t="s">
        <v>363</v>
      </c>
      <c r="H17" s="468">
        <v>20</v>
      </c>
      <c r="I17" s="468">
        <v>2</v>
      </c>
      <c r="J17" s="469">
        <v>975</v>
      </c>
      <c r="K17" s="470">
        <f>IF(F17&lt;&gt;"",H17*I17*J17,"")</f>
        <v>39000</v>
      </c>
      <c r="L17" s="469">
        <f>IF(K17&lt;&gt;"",IF(D17="INTERNO",0,K17*$L$14),"")</f>
        <v>1950</v>
      </c>
      <c r="M17" s="469">
        <f>IF(K17&lt;&gt;"",IF(E17="FAT.OGGI",SUM(K17:L17)*(1/(1-$M$14)-1),L17*(1/(1-$M$14)-1)),"")</f>
        <v>473.26332794830387</v>
      </c>
      <c r="N17" s="471">
        <f t="shared" ref="N17:N24" si="0">SUM(K17:M17)</f>
        <v>41423.263327948305</v>
      </c>
      <c r="Q17" s="472">
        <f t="shared" ref="Q17:R31" si="1">IF(H17&lt;&gt;"",H17,"")</f>
        <v>20</v>
      </c>
      <c r="R17" s="473">
        <f t="shared" si="1"/>
        <v>2</v>
      </c>
      <c r="S17" s="474">
        <v>975</v>
      </c>
      <c r="T17" s="475">
        <v>683236.65</v>
      </c>
      <c r="U17" s="476">
        <f>IF(Q17&lt;&gt;"",K17-T17,"")</f>
        <v>-644236.65</v>
      </c>
      <c r="V17" s="477">
        <f>IF(Q17&lt;&gt;"",0%,"")</f>
        <v>0</v>
      </c>
      <c r="W17" s="478">
        <f>IF(Q17&lt;&gt;"",V17*U17,"")</f>
        <v>0</v>
      </c>
      <c r="X17" s="478">
        <f>IF(Q17&lt;&gt;"",W17+T17,"")</f>
        <v>683236.65</v>
      </c>
      <c r="Y17" s="153">
        <f>IF(Q17&lt;&gt;"",X17+M17,"")</f>
        <v>683709.91332794831</v>
      </c>
      <c r="Z17" s="141">
        <f>IF(Q17&lt;&gt;"",U17/K17,"")</f>
        <v>-16.518888461538463</v>
      </c>
      <c r="AA17" s="142" t="e">
        <f>T17/#REF!</f>
        <v>#REF!</v>
      </c>
      <c r="AK17" s="143">
        <f>X17-AL17</f>
        <v>0</v>
      </c>
      <c r="AL17" s="436">
        <f>3*227475.55+810</f>
        <v>683236.64999999991</v>
      </c>
    </row>
    <row r="18" spans="1:38" ht="99.9" customHeight="1" x14ac:dyDescent="0.45">
      <c r="A18" s="463">
        <v>4</v>
      </c>
      <c r="B18" s="120" t="s">
        <v>105</v>
      </c>
      <c r="C18" s="465" t="s">
        <v>115</v>
      </c>
      <c r="D18" s="458" t="s">
        <v>127</v>
      </c>
      <c r="E18" s="458" t="s">
        <v>323</v>
      </c>
      <c r="F18" s="479" t="s">
        <v>324</v>
      </c>
      <c r="G18" s="368" t="s">
        <v>364</v>
      </c>
      <c r="H18" s="131">
        <v>150</v>
      </c>
      <c r="I18" s="131">
        <v>2</v>
      </c>
      <c r="J18" s="132">
        <v>1107</v>
      </c>
      <c r="K18" s="480">
        <f>IF(F18&lt;&gt;"",H18*I18*J18,"")</f>
        <v>332100</v>
      </c>
      <c r="L18" s="132">
        <f>IF(K18&lt;&gt;"",IF(D18="INTERNO",0,K18*$L$14),"")</f>
        <v>16605</v>
      </c>
      <c r="M18" s="132">
        <f>IF(K18&lt;&gt;"",IF(E18="FAT.OGGI",SUM(K18:L18)*(1/(1-$M$14)-1),L18*(1/(1-$M$14)-1)),"")</f>
        <v>4030.0192618367105</v>
      </c>
      <c r="N18" s="133">
        <f t="shared" si="0"/>
        <v>352735.01926183671</v>
      </c>
      <c r="Q18" s="472">
        <f t="shared" si="1"/>
        <v>150</v>
      </c>
      <c r="R18" s="473">
        <f t="shared" si="1"/>
        <v>2</v>
      </c>
      <c r="S18" s="474">
        <v>1107</v>
      </c>
      <c r="T18" s="475">
        <v>0</v>
      </c>
      <c r="U18" s="476">
        <f>IF(Q18&lt;&gt;"",K18-T18,"")</f>
        <v>332100</v>
      </c>
      <c r="V18" s="477">
        <f>IF(Q18&lt;&gt;"",0%,"")</f>
        <v>0</v>
      </c>
      <c r="W18" s="478">
        <f>IF(Q18&lt;&gt;"",V18*U18,"")</f>
        <v>0</v>
      </c>
      <c r="X18" s="478">
        <f>IF(Q18&lt;&gt;"",W18+T18,"")</f>
        <v>0</v>
      </c>
      <c r="Y18" s="153">
        <f>IF(Q18&lt;&gt;"",X18+M18,"")</f>
        <v>4030.0192618367105</v>
      </c>
      <c r="Z18" s="141">
        <f>IF(Q18&lt;&gt;"",U18/K18,"")</f>
        <v>1</v>
      </c>
      <c r="AA18" s="142" t="e">
        <f>T18/#REF!</f>
        <v>#REF!</v>
      </c>
      <c r="AK18" s="143">
        <f t="shared" ref="AK18:AK42" si="2">X18-AL18</f>
        <v>0</v>
      </c>
      <c r="AL18" s="436"/>
    </row>
    <row r="19" spans="1:38" ht="99.9" customHeight="1" x14ac:dyDescent="0.45">
      <c r="A19" s="458">
        <v>5</v>
      </c>
      <c r="B19" s="120" t="s">
        <v>175</v>
      </c>
      <c r="C19" s="465" t="s">
        <v>115</v>
      </c>
      <c r="D19" s="458" t="s">
        <v>127</v>
      </c>
      <c r="E19" s="458" t="s">
        <v>323</v>
      </c>
      <c r="F19" s="481" t="s">
        <v>324</v>
      </c>
      <c r="G19" s="482" t="s">
        <v>325</v>
      </c>
      <c r="H19" s="483">
        <v>1</v>
      </c>
      <c r="I19" s="483">
        <v>1</v>
      </c>
      <c r="J19" s="484">
        <v>6979.2</v>
      </c>
      <c r="K19" s="485">
        <f>IF(F19&lt;&gt;"",H19*I19*J19,"")</f>
        <v>6979.2</v>
      </c>
      <c r="L19" s="484">
        <f>IF(K19&lt;&gt;"",IF(D19="INTERNO",0,K19*$L$14),"")</f>
        <v>348.96000000000004</v>
      </c>
      <c r="M19" s="484">
        <f>IF(K19&lt;&gt;"",IF(E19="FAT.OGGI",SUM(K19:L19)*(1/(1-$M$14)-1),L19*(1/(1-$M$14)-1)),"")</f>
        <v>84.69229277991802</v>
      </c>
      <c r="N19" s="486">
        <f t="shared" si="0"/>
        <v>7412.8522927799177</v>
      </c>
      <c r="Q19" s="472">
        <f t="shared" si="1"/>
        <v>1</v>
      </c>
      <c r="R19" s="473">
        <f t="shared" si="1"/>
        <v>1</v>
      </c>
      <c r="S19" s="474">
        <v>6979.2</v>
      </c>
      <c r="T19" s="475">
        <v>0</v>
      </c>
      <c r="U19" s="476">
        <f>IF(Q19&lt;&gt;"",K19-T19,"")</f>
        <v>6979.2</v>
      </c>
      <c r="V19" s="477">
        <f>IF(Q19&lt;&gt;"",0%,"")</f>
        <v>0</v>
      </c>
      <c r="W19" s="478">
        <f>IF(Q19&lt;&gt;"",V19*U19,"")</f>
        <v>0</v>
      </c>
      <c r="X19" s="478">
        <f>IF(Q19&lt;&gt;"",W19+T19,"")</f>
        <v>0</v>
      </c>
      <c r="Y19" s="153">
        <f>IF(Q19&lt;&gt;"",X19+M19,"")</f>
        <v>84.69229277991802</v>
      </c>
      <c r="Z19" s="141">
        <f>IF(Q19&lt;&gt;"",U19/K19,"")</f>
        <v>1</v>
      </c>
      <c r="AA19" s="142" t="e">
        <f>T19/#REF!</f>
        <v>#REF!</v>
      </c>
      <c r="AK19" s="143">
        <f t="shared" si="2"/>
        <v>0</v>
      </c>
      <c r="AL19" s="436"/>
    </row>
    <row r="20" spans="1:38" ht="99.9" customHeight="1" x14ac:dyDescent="0.45">
      <c r="A20" s="458">
        <v>6</v>
      </c>
      <c r="B20" s="120" t="s">
        <v>179</v>
      </c>
      <c r="C20" s="464" t="s">
        <v>115</v>
      </c>
      <c r="D20" s="463" t="s">
        <v>127</v>
      </c>
      <c r="E20" s="458" t="s">
        <v>323</v>
      </c>
      <c r="F20" s="487" t="s">
        <v>326</v>
      </c>
      <c r="G20" s="130" t="s">
        <v>365</v>
      </c>
      <c r="H20" s="144">
        <v>170</v>
      </c>
      <c r="I20" s="144">
        <v>0</v>
      </c>
      <c r="J20" s="145">
        <v>5.508</v>
      </c>
      <c r="K20" s="145">
        <f t="shared" ref="K20:K31" si="3">IF(F20&lt;&gt;"",H20*I20*J20,"")</f>
        <v>0</v>
      </c>
      <c r="L20" s="145">
        <f t="shared" ref="L20:L31" si="4">IF(K20&lt;&gt;"",IF(D20="INTERNO",0,K20*$L$14),"")</f>
        <v>0</v>
      </c>
      <c r="M20" s="145">
        <f t="shared" ref="M20:M31" si="5">IF(K20&lt;&gt;"",IF(E20="FAT.OGGI",SUM(K20:L20)*(1/(1-$M$14)-1),L20*(1/(1-$M$14)-1)),"")</f>
        <v>0</v>
      </c>
      <c r="N20" s="146">
        <f t="shared" si="0"/>
        <v>0</v>
      </c>
      <c r="Q20" s="472">
        <f t="shared" si="1"/>
        <v>170</v>
      </c>
      <c r="R20" s="473">
        <f t="shared" si="1"/>
        <v>0</v>
      </c>
      <c r="S20" s="474">
        <v>5.508</v>
      </c>
      <c r="T20" s="488">
        <v>0</v>
      </c>
      <c r="U20" s="476">
        <f t="shared" ref="U20:U31" si="6">IF(Q20&lt;&gt;"",K20-T20,"")</f>
        <v>0</v>
      </c>
      <c r="V20" s="477">
        <f t="shared" ref="V20:V31" si="7">IF(Q20&lt;&gt;"",0%,"")</f>
        <v>0</v>
      </c>
      <c r="W20" s="478">
        <f t="shared" ref="W20:W31" si="8">IF(Q20&lt;&gt;"",V20*U20,"")</f>
        <v>0</v>
      </c>
      <c r="X20" s="478">
        <f t="shared" ref="X20:X31" si="9">IF(Q20&lt;&gt;"",W20+T20,"")</f>
        <v>0</v>
      </c>
      <c r="Y20" s="153">
        <f t="shared" ref="Y20:Y31" si="10">IF(Q20&lt;&gt;"",X20+M20,"")</f>
        <v>0</v>
      </c>
      <c r="Z20" s="489" t="e">
        <f t="shared" ref="Z20:Z31" si="11">IF(Q20&lt;&gt;"",U20/K20,"")</f>
        <v>#DIV/0!</v>
      </c>
      <c r="AA20" s="142" t="e">
        <f>T20/#REF!</f>
        <v>#REF!</v>
      </c>
      <c r="AK20" s="143">
        <f t="shared" si="2"/>
        <v>0</v>
      </c>
      <c r="AL20" s="436"/>
    </row>
    <row r="21" spans="1:38" ht="99.9" customHeight="1" x14ac:dyDescent="0.45">
      <c r="A21" s="458">
        <v>7</v>
      </c>
      <c r="B21" s="120" t="s">
        <v>181</v>
      </c>
      <c r="C21" s="465" t="s">
        <v>115</v>
      </c>
      <c r="D21" s="458" t="s">
        <v>127</v>
      </c>
      <c r="E21" s="458" t="s">
        <v>323</v>
      </c>
      <c r="F21" s="479" t="s">
        <v>326</v>
      </c>
      <c r="G21" s="368" t="s">
        <v>366</v>
      </c>
      <c r="H21" s="131">
        <v>170</v>
      </c>
      <c r="I21" s="131">
        <v>0</v>
      </c>
      <c r="J21" s="132">
        <v>33.659999999999997</v>
      </c>
      <c r="K21" s="132">
        <f t="shared" si="3"/>
        <v>0</v>
      </c>
      <c r="L21" s="132">
        <f t="shared" si="4"/>
        <v>0</v>
      </c>
      <c r="M21" s="132">
        <f t="shared" si="5"/>
        <v>0</v>
      </c>
      <c r="N21" s="133">
        <f t="shared" si="0"/>
        <v>0</v>
      </c>
      <c r="Q21" s="472">
        <f t="shared" si="1"/>
        <v>170</v>
      </c>
      <c r="R21" s="473">
        <v>2</v>
      </c>
      <c r="S21" s="474">
        <v>33.659999999999997</v>
      </c>
      <c r="T21" s="488">
        <v>0</v>
      </c>
      <c r="U21" s="476">
        <f t="shared" si="6"/>
        <v>0</v>
      </c>
      <c r="V21" s="477">
        <f t="shared" si="7"/>
        <v>0</v>
      </c>
      <c r="W21" s="478">
        <f t="shared" si="8"/>
        <v>0</v>
      </c>
      <c r="X21" s="478">
        <f t="shared" si="9"/>
        <v>0</v>
      </c>
      <c r="Y21" s="153">
        <f t="shared" si="10"/>
        <v>0</v>
      </c>
      <c r="Z21" s="141" t="e">
        <f t="shared" si="11"/>
        <v>#DIV/0!</v>
      </c>
      <c r="AA21" s="142" t="e">
        <f>T21/#REF!</f>
        <v>#REF!</v>
      </c>
      <c r="AK21" s="143">
        <f t="shared" si="2"/>
        <v>0</v>
      </c>
      <c r="AL21" s="436"/>
    </row>
    <row r="22" spans="1:38" ht="99.9" customHeight="1" x14ac:dyDescent="0.45">
      <c r="A22" s="463">
        <v>8</v>
      </c>
      <c r="B22" s="120" t="s">
        <v>327</v>
      </c>
      <c r="C22" s="465" t="s">
        <v>115</v>
      </c>
      <c r="D22" s="458" t="s">
        <v>127</v>
      </c>
      <c r="E22" s="458" t="s">
        <v>323</v>
      </c>
      <c r="F22" s="487" t="s">
        <v>326</v>
      </c>
      <c r="G22" s="130" t="s">
        <v>367</v>
      </c>
      <c r="H22" s="144">
        <v>60</v>
      </c>
      <c r="I22" s="144">
        <v>0</v>
      </c>
      <c r="J22" s="145">
        <v>49.98</v>
      </c>
      <c r="K22" s="145">
        <f t="shared" si="3"/>
        <v>0</v>
      </c>
      <c r="L22" s="145">
        <f t="shared" si="4"/>
        <v>0</v>
      </c>
      <c r="M22" s="145">
        <f t="shared" si="5"/>
        <v>0</v>
      </c>
      <c r="N22" s="146">
        <f t="shared" si="0"/>
        <v>0</v>
      </c>
      <c r="Q22" s="472">
        <f t="shared" si="1"/>
        <v>60</v>
      </c>
      <c r="R22" s="473">
        <v>2</v>
      </c>
      <c r="S22" s="474">
        <v>49.98</v>
      </c>
      <c r="T22" s="488">
        <v>0</v>
      </c>
      <c r="U22" s="476">
        <f t="shared" si="6"/>
        <v>0</v>
      </c>
      <c r="V22" s="477">
        <f t="shared" si="7"/>
        <v>0</v>
      </c>
      <c r="W22" s="478">
        <f t="shared" si="8"/>
        <v>0</v>
      </c>
      <c r="X22" s="478">
        <f t="shared" si="9"/>
        <v>0</v>
      </c>
      <c r="Y22" s="153">
        <f t="shared" si="10"/>
        <v>0</v>
      </c>
      <c r="Z22" s="141" t="e">
        <f t="shared" si="11"/>
        <v>#DIV/0!</v>
      </c>
      <c r="AA22" s="142" t="e">
        <f>T22/#REF!</f>
        <v>#REF!</v>
      </c>
      <c r="AK22" s="143">
        <f t="shared" si="2"/>
        <v>0</v>
      </c>
      <c r="AL22" s="436"/>
    </row>
    <row r="23" spans="1:38" ht="99.9" customHeight="1" x14ac:dyDescent="0.45">
      <c r="A23" s="458">
        <v>9</v>
      </c>
      <c r="B23" s="120" t="s">
        <v>328</v>
      </c>
      <c r="C23" s="490" t="s">
        <v>115</v>
      </c>
      <c r="D23" s="491" t="s">
        <v>127</v>
      </c>
      <c r="E23" s="458" t="s">
        <v>323</v>
      </c>
      <c r="F23" s="492" t="s">
        <v>329</v>
      </c>
      <c r="G23" s="493" t="s">
        <v>368</v>
      </c>
      <c r="H23" s="494">
        <v>1</v>
      </c>
      <c r="I23" s="494">
        <v>1</v>
      </c>
      <c r="J23" s="495">
        <v>52388</v>
      </c>
      <c r="K23" s="480">
        <f t="shared" si="3"/>
        <v>52388</v>
      </c>
      <c r="L23" s="496">
        <f t="shared" si="4"/>
        <v>2619.4</v>
      </c>
      <c r="M23" s="496">
        <f t="shared" si="5"/>
        <v>635.72613396296777</v>
      </c>
      <c r="N23" s="497">
        <f t="shared" si="0"/>
        <v>55643.126133962971</v>
      </c>
      <c r="Q23" s="472">
        <f t="shared" si="1"/>
        <v>1</v>
      </c>
      <c r="R23" s="473">
        <f>IF(I34&lt;&gt;"",I34,"")</f>
        <v>1</v>
      </c>
      <c r="S23" s="474">
        <v>46600</v>
      </c>
      <c r="T23" s="488">
        <v>0</v>
      </c>
      <c r="U23" s="476">
        <f t="shared" si="6"/>
        <v>52388</v>
      </c>
      <c r="V23" s="477">
        <f t="shared" si="7"/>
        <v>0</v>
      </c>
      <c r="W23" s="478">
        <f t="shared" si="8"/>
        <v>0</v>
      </c>
      <c r="X23" s="478">
        <f t="shared" si="9"/>
        <v>0</v>
      </c>
      <c r="Y23" s="153">
        <f t="shared" si="10"/>
        <v>635.72613396296777</v>
      </c>
      <c r="Z23" s="489">
        <f t="shared" si="11"/>
        <v>1</v>
      </c>
      <c r="AA23" s="142" t="e">
        <f>T23/#REF!</f>
        <v>#REF!</v>
      </c>
      <c r="AK23" s="143">
        <f t="shared" si="2"/>
        <v>0</v>
      </c>
      <c r="AL23" s="436"/>
    </row>
    <row r="24" spans="1:38" ht="99.9" customHeight="1" x14ac:dyDescent="0.45">
      <c r="A24" s="458">
        <v>10</v>
      </c>
      <c r="B24" s="120" t="s">
        <v>330</v>
      </c>
      <c r="C24" s="465" t="s">
        <v>115</v>
      </c>
      <c r="D24" s="458" t="s">
        <v>127</v>
      </c>
      <c r="E24" s="458" t="s">
        <v>323</v>
      </c>
      <c r="F24" s="479" t="s">
        <v>329</v>
      </c>
      <c r="G24" s="368" t="s">
        <v>331</v>
      </c>
      <c r="H24" s="131">
        <v>1</v>
      </c>
      <c r="I24" s="131">
        <v>3</v>
      </c>
      <c r="J24" s="132">
        <v>1892</v>
      </c>
      <c r="K24" s="480">
        <f t="shared" si="3"/>
        <v>5676</v>
      </c>
      <c r="L24" s="498">
        <f t="shared" si="4"/>
        <v>283.8</v>
      </c>
      <c r="M24" s="498">
        <f t="shared" si="5"/>
        <v>68.87801665216854</v>
      </c>
      <c r="N24" s="499">
        <f t="shared" si="0"/>
        <v>6028.6780166521685</v>
      </c>
      <c r="Q24" s="472">
        <f t="shared" si="1"/>
        <v>1</v>
      </c>
      <c r="R24" s="473">
        <v>3</v>
      </c>
      <c r="S24" s="474">
        <v>1892</v>
      </c>
      <c r="T24" s="488">
        <v>0</v>
      </c>
      <c r="U24" s="476">
        <f t="shared" si="6"/>
        <v>5676</v>
      </c>
      <c r="V24" s="477">
        <f t="shared" si="7"/>
        <v>0</v>
      </c>
      <c r="W24" s="478">
        <f t="shared" si="8"/>
        <v>0</v>
      </c>
      <c r="X24" s="500">
        <f t="shared" si="9"/>
        <v>0</v>
      </c>
      <c r="Y24" s="501">
        <f t="shared" si="10"/>
        <v>68.87801665216854</v>
      </c>
      <c r="Z24" s="141">
        <f t="shared" si="11"/>
        <v>1</v>
      </c>
      <c r="AA24" s="142" t="e">
        <f>T24/#REF!</f>
        <v>#REF!</v>
      </c>
      <c r="AK24" s="143">
        <f t="shared" si="2"/>
        <v>0</v>
      </c>
      <c r="AL24" s="436"/>
    </row>
    <row r="25" spans="1:38" ht="99.9" customHeight="1" x14ac:dyDescent="0.45">
      <c r="A25" s="502">
        <v>11</v>
      </c>
      <c r="B25" s="120" t="s">
        <v>332</v>
      </c>
      <c r="C25" s="503" t="s">
        <v>115</v>
      </c>
      <c r="D25" s="502" t="s">
        <v>127</v>
      </c>
      <c r="E25" s="458" t="s">
        <v>323</v>
      </c>
      <c r="F25" s="481" t="s">
        <v>329</v>
      </c>
      <c r="G25" s="482" t="s">
        <v>333</v>
      </c>
      <c r="H25" s="483">
        <v>4</v>
      </c>
      <c r="I25" s="483">
        <v>1</v>
      </c>
      <c r="J25" s="145">
        <v>1892</v>
      </c>
      <c r="K25" s="504">
        <f t="shared" si="3"/>
        <v>7568</v>
      </c>
      <c r="L25" s="484">
        <f t="shared" si="4"/>
        <v>378.40000000000003</v>
      </c>
      <c r="M25" s="484">
        <f t="shared" si="5"/>
        <v>91.83735553622472</v>
      </c>
      <c r="N25" s="505">
        <f t="shared" ref="N25:N26" si="12">SUM(K25:M25)</f>
        <v>8038.2373555362246</v>
      </c>
      <c r="Q25" s="472">
        <f t="shared" si="1"/>
        <v>4</v>
      </c>
      <c r="R25" s="473">
        <f t="shared" si="1"/>
        <v>1</v>
      </c>
      <c r="S25" s="506">
        <v>1892</v>
      </c>
      <c r="T25" s="488">
        <v>0</v>
      </c>
      <c r="U25" s="476">
        <f t="shared" si="6"/>
        <v>7568</v>
      </c>
      <c r="V25" s="477">
        <f t="shared" si="7"/>
        <v>0</v>
      </c>
      <c r="W25" s="478">
        <f t="shared" si="8"/>
        <v>0</v>
      </c>
      <c r="X25" s="500">
        <f t="shared" si="9"/>
        <v>0</v>
      </c>
      <c r="Y25" s="501">
        <f t="shared" si="10"/>
        <v>91.83735553622472</v>
      </c>
      <c r="Z25" s="141">
        <f t="shared" si="11"/>
        <v>1</v>
      </c>
      <c r="AA25" s="142" t="e">
        <f>T25/#REF!</f>
        <v>#REF!</v>
      </c>
      <c r="AK25" s="143">
        <f t="shared" si="2"/>
        <v>0</v>
      </c>
      <c r="AL25" s="436"/>
    </row>
    <row r="26" spans="1:38" ht="99.9" customHeight="1" x14ac:dyDescent="0.45">
      <c r="A26" s="502">
        <v>12</v>
      </c>
      <c r="B26" s="120" t="s">
        <v>334</v>
      </c>
      <c r="C26" s="503" t="s">
        <v>115</v>
      </c>
      <c r="D26" s="502" t="s">
        <v>127</v>
      </c>
      <c r="E26" s="458" t="s">
        <v>323</v>
      </c>
      <c r="F26" s="481" t="s">
        <v>329</v>
      </c>
      <c r="G26" s="482" t="s">
        <v>335</v>
      </c>
      <c r="H26" s="483">
        <v>4</v>
      </c>
      <c r="I26" s="483">
        <v>1</v>
      </c>
      <c r="J26" s="145">
        <v>1892</v>
      </c>
      <c r="K26" s="504">
        <f t="shared" si="3"/>
        <v>7568</v>
      </c>
      <c r="L26" s="484">
        <f t="shared" si="4"/>
        <v>378.40000000000003</v>
      </c>
      <c r="M26" s="484">
        <f t="shared" si="5"/>
        <v>91.83735553622472</v>
      </c>
      <c r="N26" s="505">
        <f t="shared" si="12"/>
        <v>8038.2373555362246</v>
      </c>
      <c r="Q26" s="472">
        <f t="shared" si="1"/>
        <v>4</v>
      </c>
      <c r="R26" s="473">
        <f t="shared" si="1"/>
        <v>1</v>
      </c>
      <c r="S26" s="506">
        <v>1892</v>
      </c>
      <c r="T26" s="488">
        <v>0</v>
      </c>
      <c r="U26" s="476">
        <f t="shared" si="6"/>
        <v>7568</v>
      </c>
      <c r="V26" s="477">
        <f t="shared" si="7"/>
        <v>0</v>
      </c>
      <c r="W26" s="478">
        <f t="shared" si="8"/>
        <v>0</v>
      </c>
      <c r="X26" s="500">
        <f t="shared" si="9"/>
        <v>0</v>
      </c>
      <c r="Y26" s="501">
        <f t="shared" si="10"/>
        <v>91.83735553622472</v>
      </c>
      <c r="Z26" s="141">
        <f t="shared" si="11"/>
        <v>1</v>
      </c>
      <c r="AA26" s="142" t="e">
        <f>T26/#REF!</f>
        <v>#REF!</v>
      </c>
      <c r="AK26" s="143">
        <f t="shared" si="2"/>
        <v>0</v>
      </c>
      <c r="AL26" s="436"/>
    </row>
    <row r="27" spans="1:38" ht="99.9" customHeight="1" x14ac:dyDescent="0.45">
      <c r="A27" s="502">
        <v>13</v>
      </c>
      <c r="B27" s="120" t="s">
        <v>336</v>
      </c>
      <c r="C27" s="503" t="s">
        <v>115</v>
      </c>
      <c r="D27" s="502" t="s">
        <v>127</v>
      </c>
      <c r="E27" s="458" t="s">
        <v>323</v>
      </c>
      <c r="F27" s="481" t="s">
        <v>329</v>
      </c>
      <c r="G27" s="482" t="s">
        <v>337</v>
      </c>
      <c r="H27" s="483">
        <v>2</v>
      </c>
      <c r="I27" s="483">
        <v>1</v>
      </c>
      <c r="J27" s="484">
        <v>2281</v>
      </c>
      <c r="K27" s="485">
        <f t="shared" si="3"/>
        <v>4562</v>
      </c>
      <c r="L27" s="484">
        <f t="shared" si="4"/>
        <v>228.10000000000002</v>
      </c>
      <c r="M27" s="484">
        <f t="shared" si="5"/>
        <v>55.359674412824681</v>
      </c>
      <c r="N27" s="505">
        <f>SUM(K27:M27)</f>
        <v>4845.4596744128248</v>
      </c>
      <c r="Q27" s="472">
        <f t="shared" si="1"/>
        <v>2</v>
      </c>
      <c r="R27" s="473">
        <f t="shared" si="1"/>
        <v>1</v>
      </c>
      <c r="S27" s="506">
        <v>2281</v>
      </c>
      <c r="T27" s="488">
        <v>0</v>
      </c>
      <c r="U27" s="476">
        <f t="shared" si="6"/>
        <v>4562</v>
      </c>
      <c r="V27" s="477">
        <f t="shared" si="7"/>
        <v>0</v>
      </c>
      <c r="W27" s="478">
        <f t="shared" si="8"/>
        <v>0</v>
      </c>
      <c r="X27" s="500">
        <f t="shared" si="9"/>
        <v>0</v>
      </c>
      <c r="Y27" s="501">
        <f t="shared" si="10"/>
        <v>55.359674412824681</v>
      </c>
      <c r="Z27" s="141">
        <f t="shared" si="11"/>
        <v>1</v>
      </c>
      <c r="AA27" s="142" t="e">
        <f>T27/#REF!</f>
        <v>#REF!</v>
      </c>
      <c r="AK27" s="143">
        <f t="shared" si="2"/>
        <v>0</v>
      </c>
      <c r="AL27" s="436"/>
    </row>
    <row r="28" spans="1:38" ht="99.9" customHeight="1" x14ac:dyDescent="0.45">
      <c r="A28" s="463">
        <v>14</v>
      </c>
      <c r="B28" s="120" t="s">
        <v>338</v>
      </c>
      <c r="C28" s="464" t="s">
        <v>115</v>
      </c>
      <c r="D28" s="463" t="s">
        <v>127</v>
      </c>
      <c r="E28" s="458" t="s">
        <v>323</v>
      </c>
      <c r="F28" s="507" t="s">
        <v>329</v>
      </c>
      <c r="G28" s="508" t="s">
        <v>339</v>
      </c>
      <c r="H28" s="509">
        <v>1</v>
      </c>
      <c r="I28" s="509">
        <v>1</v>
      </c>
      <c r="J28" s="510">
        <v>8571</v>
      </c>
      <c r="K28" s="511">
        <f t="shared" si="3"/>
        <v>8571</v>
      </c>
      <c r="L28" s="510">
        <f t="shared" si="4"/>
        <v>428.55</v>
      </c>
      <c r="M28" s="510">
        <f t="shared" si="5"/>
        <v>104.00871753448494</v>
      </c>
      <c r="N28" s="505">
        <f>SUM(K28:M28)</f>
        <v>9103.5587175344845</v>
      </c>
      <c r="Q28" s="472">
        <f t="shared" si="1"/>
        <v>1</v>
      </c>
      <c r="R28" s="473">
        <f t="shared" si="1"/>
        <v>1</v>
      </c>
      <c r="S28" s="474">
        <v>8571</v>
      </c>
      <c r="T28" s="488">
        <v>0</v>
      </c>
      <c r="U28" s="476">
        <f t="shared" si="6"/>
        <v>8571</v>
      </c>
      <c r="V28" s="477">
        <f t="shared" si="7"/>
        <v>0</v>
      </c>
      <c r="W28" s="478">
        <f t="shared" si="8"/>
        <v>0</v>
      </c>
      <c r="X28" s="500">
        <f t="shared" si="9"/>
        <v>0</v>
      </c>
      <c r="Y28" s="501">
        <f t="shared" si="10"/>
        <v>104.00871753448494</v>
      </c>
      <c r="Z28" s="141">
        <f t="shared" si="11"/>
        <v>1</v>
      </c>
      <c r="AA28" s="142" t="e">
        <f>T28/#REF!</f>
        <v>#REF!</v>
      </c>
      <c r="AK28" s="143">
        <f t="shared" si="2"/>
        <v>0</v>
      </c>
      <c r="AL28" s="436"/>
    </row>
    <row r="29" spans="1:38" ht="99.9" customHeight="1" x14ac:dyDescent="0.45">
      <c r="A29" s="463">
        <v>15</v>
      </c>
      <c r="B29" s="120" t="s">
        <v>340</v>
      </c>
      <c r="C29" s="464" t="s">
        <v>115</v>
      </c>
      <c r="D29" s="463" t="s">
        <v>127</v>
      </c>
      <c r="E29" s="458" t="s">
        <v>323</v>
      </c>
      <c r="F29" s="507" t="s">
        <v>329</v>
      </c>
      <c r="G29" s="508" t="s">
        <v>341</v>
      </c>
      <c r="H29" s="509">
        <v>1</v>
      </c>
      <c r="I29" s="509">
        <v>1</v>
      </c>
      <c r="J29" s="510">
        <v>4110</v>
      </c>
      <c r="K29" s="511">
        <f t="shared" si="3"/>
        <v>4110</v>
      </c>
      <c r="L29" s="510">
        <f t="shared" si="4"/>
        <v>205.5</v>
      </c>
      <c r="M29" s="510">
        <f t="shared" si="5"/>
        <v>49.874673791475097</v>
      </c>
      <c r="N29" s="512">
        <f>SUM(K29:M29)</f>
        <v>4365.3746737914753</v>
      </c>
      <c r="Q29" s="472">
        <f t="shared" si="1"/>
        <v>1</v>
      </c>
      <c r="R29" s="473">
        <f t="shared" si="1"/>
        <v>1</v>
      </c>
      <c r="S29" s="474">
        <v>4110</v>
      </c>
      <c r="T29" s="488">
        <v>0</v>
      </c>
      <c r="U29" s="476">
        <f t="shared" si="6"/>
        <v>4110</v>
      </c>
      <c r="V29" s="477">
        <f t="shared" si="7"/>
        <v>0</v>
      </c>
      <c r="W29" s="478">
        <f t="shared" si="8"/>
        <v>0</v>
      </c>
      <c r="X29" s="500">
        <f t="shared" si="9"/>
        <v>0</v>
      </c>
      <c r="Y29" s="501">
        <f t="shared" si="10"/>
        <v>49.874673791475097</v>
      </c>
      <c r="Z29" s="141">
        <f t="shared" si="11"/>
        <v>1</v>
      </c>
      <c r="AA29" s="142" t="e">
        <f>T29/#REF!</f>
        <v>#REF!</v>
      </c>
      <c r="AK29" s="143">
        <f t="shared" si="2"/>
        <v>0</v>
      </c>
      <c r="AL29" s="436"/>
    </row>
    <row r="30" spans="1:38" ht="99.9" customHeight="1" x14ac:dyDescent="0.45">
      <c r="A30" s="463">
        <v>16</v>
      </c>
      <c r="B30" s="120" t="s">
        <v>342</v>
      </c>
      <c r="C30" s="464" t="s">
        <v>115</v>
      </c>
      <c r="D30" s="463" t="s">
        <v>127</v>
      </c>
      <c r="E30" s="458" t="s">
        <v>323</v>
      </c>
      <c r="F30" s="487" t="s">
        <v>343</v>
      </c>
      <c r="G30" s="130" t="s">
        <v>369</v>
      </c>
      <c r="H30" s="144">
        <v>1</v>
      </c>
      <c r="I30" s="144">
        <v>1</v>
      </c>
      <c r="J30" s="145">
        <v>0</v>
      </c>
      <c r="K30" s="145">
        <f t="shared" si="3"/>
        <v>0</v>
      </c>
      <c r="L30" s="484">
        <f t="shared" si="4"/>
        <v>0</v>
      </c>
      <c r="M30" s="484">
        <f t="shared" si="5"/>
        <v>0</v>
      </c>
      <c r="N30" s="505">
        <f>SUM(K30:M30)</f>
        <v>0</v>
      </c>
      <c r="Q30" s="472">
        <f t="shared" si="1"/>
        <v>1</v>
      </c>
      <c r="R30" s="473">
        <f t="shared" si="1"/>
        <v>1</v>
      </c>
      <c r="S30" s="513">
        <f>-SUM(T17:T18)*10%</f>
        <v>-68323.665000000008</v>
      </c>
      <c r="T30" s="506">
        <v>0</v>
      </c>
      <c r="U30" s="476">
        <f t="shared" si="6"/>
        <v>0</v>
      </c>
      <c r="V30" s="477">
        <f t="shared" si="7"/>
        <v>0</v>
      </c>
      <c r="W30" s="478">
        <f t="shared" si="8"/>
        <v>0</v>
      </c>
      <c r="X30" s="500">
        <f t="shared" si="9"/>
        <v>0</v>
      </c>
      <c r="Y30" s="501">
        <f t="shared" si="10"/>
        <v>0</v>
      </c>
      <c r="Z30" s="141" t="e">
        <f t="shared" si="11"/>
        <v>#DIV/0!</v>
      </c>
      <c r="AA30" s="142" t="e">
        <f>T30/#REF!</f>
        <v>#REF!</v>
      </c>
      <c r="AK30" s="143">
        <f t="shared" si="2"/>
        <v>0</v>
      </c>
      <c r="AL30" s="436"/>
    </row>
    <row r="31" spans="1:38" ht="99.9" customHeight="1" x14ac:dyDescent="0.45">
      <c r="A31" s="463">
        <v>17</v>
      </c>
      <c r="B31" s="120" t="s">
        <v>344</v>
      </c>
      <c r="C31" s="464" t="s">
        <v>115</v>
      </c>
      <c r="D31" s="463" t="s">
        <v>127</v>
      </c>
      <c r="E31" s="458" t="s">
        <v>323</v>
      </c>
      <c r="F31" s="487" t="s">
        <v>343</v>
      </c>
      <c r="G31" s="130" t="s">
        <v>369</v>
      </c>
      <c r="H31" s="144">
        <v>1</v>
      </c>
      <c r="I31" s="144">
        <v>1</v>
      </c>
      <c r="J31" s="145">
        <v>0</v>
      </c>
      <c r="K31" s="145">
        <f t="shared" si="3"/>
        <v>0</v>
      </c>
      <c r="L31" s="484">
        <f t="shared" si="4"/>
        <v>0</v>
      </c>
      <c r="M31" s="484">
        <f t="shared" si="5"/>
        <v>0</v>
      </c>
      <c r="N31" s="505">
        <f t="shared" ref="N31" si="13">SUM(K31:M31)</f>
        <v>0</v>
      </c>
      <c r="Q31" s="472">
        <f t="shared" si="1"/>
        <v>1</v>
      </c>
      <c r="R31" s="473">
        <f t="shared" si="1"/>
        <v>1</v>
      </c>
      <c r="S31" s="513">
        <f>-SUM(T23:T29)*5%</f>
        <v>0</v>
      </c>
      <c r="T31" s="506">
        <f t="shared" ref="T31" si="14">IF(Q31&lt;&gt;"",Q31*R31*S31,"")</f>
        <v>0</v>
      </c>
      <c r="U31" s="476">
        <f t="shared" si="6"/>
        <v>0</v>
      </c>
      <c r="V31" s="477">
        <f t="shared" si="7"/>
        <v>0</v>
      </c>
      <c r="W31" s="478">
        <f t="shared" si="8"/>
        <v>0</v>
      </c>
      <c r="X31" s="500">
        <f t="shared" si="9"/>
        <v>0</v>
      </c>
      <c r="Y31" s="501">
        <f t="shared" si="10"/>
        <v>0</v>
      </c>
      <c r="Z31" s="141" t="e">
        <f t="shared" si="11"/>
        <v>#DIV/0!</v>
      </c>
      <c r="AA31" s="142" t="e">
        <f>T31/#REF!</f>
        <v>#REF!</v>
      </c>
      <c r="AK31" s="143">
        <f t="shared" si="2"/>
        <v>0</v>
      </c>
      <c r="AL31" s="436"/>
    </row>
    <row r="32" spans="1:38" ht="99.9" customHeight="1" x14ac:dyDescent="0.45">
      <c r="A32" s="463">
        <v>18</v>
      </c>
      <c r="B32" s="120" t="s">
        <v>345</v>
      </c>
      <c r="C32" s="490" t="s">
        <v>115</v>
      </c>
      <c r="D32" s="491" t="s">
        <v>127</v>
      </c>
      <c r="E32" s="458" t="s">
        <v>323</v>
      </c>
      <c r="F32" s="507" t="s">
        <v>343</v>
      </c>
      <c r="G32" s="514" t="s">
        <v>370</v>
      </c>
      <c r="H32" s="515">
        <v>320</v>
      </c>
      <c r="I32" s="515">
        <v>2</v>
      </c>
      <c r="J32" s="496">
        <v>175</v>
      </c>
      <c r="K32" s="516">
        <f>IF(F32&lt;&gt;"",H32*I32*J32,"")</f>
        <v>112000</v>
      </c>
      <c r="L32" s="510">
        <f>IF(K32&lt;&gt;"",IF(D32="INTERNO",0,K32*$L$14),"")</f>
        <v>5600</v>
      </c>
      <c r="M32" s="510">
        <f>IF(K32&lt;&gt;"",IF(E32="FAT.OGGI",SUM(K32:L32)*(1/(1-$M$14)-1),L32*(1/(1-$M$14)-1)),"")</f>
        <v>1359.1151982105137</v>
      </c>
      <c r="N32" s="512">
        <f>SUM(K32:M32)</f>
        <v>118959.11519821051</v>
      </c>
      <c r="Q32" s="472">
        <f>IF(H32&lt;&gt;"",H32,"")</f>
        <v>320</v>
      </c>
      <c r="R32" s="473">
        <v>2</v>
      </c>
      <c r="S32" s="474">
        <v>175</v>
      </c>
      <c r="T32" s="488">
        <v>0</v>
      </c>
      <c r="U32" s="476">
        <f>IF(Q32&lt;&gt;"",K32-T32,"")</f>
        <v>112000</v>
      </c>
      <c r="V32" s="477">
        <f>IF(Q32&lt;&gt;"",0%,"")</f>
        <v>0</v>
      </c>
      <c r="W32" s="478">
        <f>IF(Q32&lt;&gt;"",V32*U32,"")</f>
        <v>0</v>
      </c>
      <c r="X32" s="500">
        <f>IF(Q32&lt;&gt;"",W32+T32,"")</f>
        <v>0</v>
      </c>
      <c r="Y32" s="501">
        <f>IF(Q32&lt;&gt;"",X32+M32,"")</f>
        <v>1359.1151982105137</v>
      </c>
      <c r="Z32" s="489">
        <f>IF(Q32&lt;&gt;"",U32/K32,"")</f>
        <v>1</v>
      </c>
      <c r="AA32" s="142" t="e">
        <f>T32/#REF!</f>
        <v>#REF!</v>
      </c>
      <c r="AK32" s="143">
        <f t="shared" si="2"/>
        <v>0</v>
      </c>
      <c r="AL32" s="436"/>
    </row>
    <row r="33" spans="1:39" ht="99.9" customHeight="1" x14ac:dyDescent="0.45">
      <c r="A33" s="458">
        <v>19</v>
      </c>
      <c r="B33" s="120" t="s">
        <v>346</v>
      </c>
      <c r="C33" s="464" t="s">
        <v>115</v>
      </c>
      <c r="D33" s="463" t="s">
        <v>127</v>
      </c>
      <c r="E33" s="458" t="s">
        <v>323</v>
      </c>
      <c r="F33" s="492" t="s">
        <v>343</v>
      </c>
      <c r="G33" s="493" t="s">
        <v>371</v>
      </c>
      <c r="H33" s="144">
        <v>300</v>
      </c>
      <c r="I33" s="494">
        <v>3</v>
      </c>
      <c r="J33" s="495">
        <v>46</v>
      </c>
      <c r="K33" s="517">
        <f>IF(F33&lt;&gt;"",H33*I33*J33,"")</f>
        <v>41400</v>
      </c>
      <c r="L33" s="518">
        <f>IF(K33&lt;&gt;"",IF(D33="INTERNO",0,K33*$L$14),"")</f>
        <v>2070</v>
      </c>
      <c r="M33" s="518">
        <f>IF(K33&lt;&gt;"",IF(E33="FAT.OGGI",SUM(K33:L33)*(1/(1-$M$14)-1),L33*(1/(1-$M$14)-1)),"")</f>
        <v>502.38722505281487</v>
      </c>
      <c r="N33" s="519">
        <f>SUM(K33:M33)</f>
        <v>43972.387225052815</v>
      </c>
      <c r="Q33" s="472">
        <f>IF(H33&lt;&gt;"",H33,"")</f>
        <v>300</v>
      </c>
      <c r="R33" s="473">
        <v>3</v>
      </c>
      <c r="S33" s="474">
        <v>46</v>
      </c>
      <c r="T33" s="488">
        <v>0</v>
      </c>
      <c r="U33" s="476">
        <f>IF(Q33&lt;&gt;"",K33-T33,"")</f>
        <v>41400</v>
      </c>
      <c r="V33" s="477">
        <f>IF(Q33&lt;&gt;"",0%,"")</f>
        <v>0</v>
      </c>
      <c r="W33" s="478">
        <f>IF(Q33&lt;&gt;"",V33*U33,"")</f>
        <v>0</v>
      </c>
      <c r="X33" s="500">
        <f>IF(Q33&lt;&gt;"",W33+T33,"")</f>
        <v>0</v>
      </c>
      <c r="Y33" s="501">
        <f>IF(Q33&lt;&gt;"",X33+M33,"")</f>
        <v>502.38722505281487</v>
      </c>
      <c r="Z33" s="141">
        <f>IF(Q33&lt;&gt;"",U33/K33,"")</f>
        <v>1</v>
      </c>
      <c r="AA33" s="142" t="e">
        <f>T33/#REF!</f>
        <v>#REF!</v>
      </c>
      <c r="AK33" s="143">
        <f t="shared" si="2"/>
        <v>0</v>
      </c>
      <c r="AL33" s="436"/>
    </row>
    <row r="34" spans="1:39" ht="99.9" customHeight="1" x14ac:dyDescent="0.45">
      <c r="A34" s="458">
        <v>20</v>
      </c>
      <c r="B34" s="120" t="s">
        <v>347</v>
      </c>
      <c r="C34" s="465" t="s">
        <v>115</v>
      </c>
      <c r="D34" s="458" t="s">
        <v>127</v>
      </c>
      <c r="E34" s="458" t="s">
        <v>323</v>
      </c>
      <c r="F34" s="481" t="s">
        <v>343</v>
      </c>
      <c r="G34" s="520" t="s">
        <v>372</v>
      </c>
      <c r="H34" s="144">
        <v>320</v>
      </c>
      <c r="I34" s="483">
        <v>1</v>
      </c>
      <c r="J34" s="484">
        <v>203</v>
      </c>
      <c r="K34" s="485">
        <f>IF(F34&lt;&gt;"",H34*I34*J34,"")</f>
        <v>64960</v>
      </c>
      <c r="L34" s="484">
        <f>IF(K34&lt;&gt;"",IF(D34="INTERNO",0,K34*$L$14),"")</f>
        <v>3248</v>
      </c>
      <c r="M34" s="484">
        <f>IF(K34&lt;&gt;"",IF(E34="FAT.OGGI",SUM(K34:L34)*(1/(1-$M$14)-1),L34*(1/(1-$M$14)-1)),"")</f>
        <v>788.28681496209788</v>
      </c>
      <c r="N34" s="486">
        <f>SUM(K34:M34)</f>
        <v>68996.286814962092</v>
      </c>
      <c r="Q34" s="472">
        <f>IF(H34&lt;&gt;"",H34,"")</f>
        <v>320</v>
      </c>
      <c r="R34" s="473">
        <f>IF(I34&lt;&gt;"",I34,"")</f>
        <v>1</v>
      </c>
      <c r="S34" s="474">
        <v>203</v>
      </c>
      <c r="T34" s="488">
        <v>0</v>
      </c>
      <c r="U34" s="476">
        <f>IF(Q34&lt;&gt;"",K34-T34,"")</f>
        <v>64960</v>
      </c>
      <c r="V34" s="477">
        <f>IF(Q34&lt;&gt;"",0%,"")</f>
        <v>0</v>
      </c>
      <c r="W34" s="478">
        <f>IF(Q34&lt;&gt;"",V34*U34,"")</f>
        <v>0</v>
      </c>
      <c r="X34" s="478">
        <f>IF(Q34&lt;&gt;"",W34+T34,"")</f>
        <v>0</v>
      </c>
      <c r="Y34" s="153">
        <f>IF(Q34&lt;&gt;"",X34+M34,"")</f>
        <v>788.28681496209788</v>
      </c>
      <c r="Z34" s="141">
        <f>IF(Q34&lt;&gt;"",U34/K34,"")</f>
        <v>1</v>
      </c>
      <c r="AA34" s="142" t="e">
        <f>T34/#REF!</f>
        <v>#REF!</v>
      </c>
      <c r="AK34" s="143">
        <f t="shared" si="2"/>
        <v>0</v>
      </c>
      <c r="AL34" s="436"/>
    </row>
    <row r="35" spans="1:39" ht="99.9" customHeight="1" x14ac:dyDescent="0.45">
      <c r="A35" s="458">
        <v>21</v>
      </c>
      <c r="B35" s="120" t="s">
        <v>348</v>
      </c>
      <c r="C35" s="465" t="s">
        <v>115</v>
      </c>
      <c r="D35" s="458" t="s">
        <v>127</v>
      </c>
      <c r="E35" s="458" t="s">
        <v>323</v>
      </c>
      <c r="F35" s="492" t="s">
        <v>349</v>
      </c>
      <c r="G35" s="521" t="s">
        <v>373</v>
      </c>
      <c r="H35" s="144">
        <v>320</v>
      </c>
      <c r="I35" s="494">
        <v>1</v>
      </c>
      <c r="J35" s="495">
        <v>146</v>
      </c>
      <c r="K35" s="517">
        <f>IF(F35&lt;&gt;"",H35*I35*J35,"")</f>
        <v>46720</v>
      </c>
      <c r="L35" s="495">
        <f>IF(K35&lt;&gt;"",IF(D35="INTERNO",0,K35*$L$14),"")</f>
        <v>2336</v>
      </c>
      <c r="M35" s="495">
        <f>IF(K35&lt;&gt;"",IF(E35="FAT.OGGI",SUM(K35:L35)*(1/(1-$M$14)-1),L35*(1/(1-$M$14)-1)),"")</f>
        <v>566.94519696781424</v>
      </c>
      <c r="N35" s="522">
        <f>SUM(K35:M35)</f>
        <v>49622.945196967812</v>
      </c>
      <c r="Q35" s="472">
        <f>IF(H35&lt;&gt;"",H35,"")</f>
        <v>320</v>
      </c>
      <c r="R35" s="473">
        <f>IF(I35&lt;&gt;"",I35,"")</f>
        <v>1</v>
      </c>
      <c r="S35" s="474">
        <v>146</v>
      </c>
      <c r="T35" s="488">
        <v>0</v>
      </c>
      <c r="U35" s="476">
        <f>IF(Q35&lt;&gt;"",K35-T35,"")</f>
        <v>46720</v>
      </c>
      <c r="V35" s="477">
        <f>IF(Q35&lt;&gt;"",0%,"")</f>
        <v>0</v>
      </c>
      <c r="W35" s="478">
        <f>IF(Q35&lt;&gt;"",V35*U35,"")</f>
        <v>0</v>
      </c>
      <c r="X35" s="478">
        <f>IF(Q35&lt;&gt;"",W35+T35,"")</f>
        <v>0</v>
      </c>
      <c r="Y35" s="153">
        <f>IF(Q35&lt;&gt;"",X35+M35,"")</f>
        <v>566.94519696781424</v>
      </c>
      <c r="Z35" s="141">
        <f>IF(Q35&lt;&gt;"",U35/K35,"")</f>
        <v>1</v>
      </c>
      <c r="AA35" s="142" t="e">
        <f>T35/#REF!</f>
        <v>#REF!</v>
      </c>
      <c r="AK35" s="143">
        <f t="shared" si="2"/>
        <v>0</v>
      </c>
      <c r="AL35" s="436"/>
    </row>
    <row r="36" spans="1:39" ht="99.9" customHeight="1" x14ac:dyDescent="0.45">
      <c r="A36" s="458">
        <v>22</v>
      </c>
      <c r="B36" s="120" t="s">
        <v>350</v>
      </c>
      <c r="C36" s="465" t="s">
        <v>115</v>
      </c>
      <c r="D36" s="458" t="s">
        <v>127</v>
      </c>
      <c r="E36" s="458" t="s">
        <v>323</v>
      </c>
      <c r="F36" s="481" t="s">
        <v>343</v>
      </c>
      <c r="G36" s="520" t="s">
        <v>374</v>
      </c>
      <c r="H36" s="144">
        <v>320</v>
      </c>
      <c r="I36" s="483">
        <v>1</v>
      </c>
      <c r="J36" s="484">
        <v>175</v>
      </c>
      <c r="K36" s="485">
        <f>IF(F36&lt;&gt;"",H36*I36*J36,"")</f>
        <v>56000</v>
      </c>
      <c r="L36" s="523">
        <f>IF(K36&lt;&gt;"",IF(D36="INTERNO",0,K36*$L$14),"")</f>
        <v>2800</v>
      </c>
      <c r="M36" s="523">
        <f>IF(K36&lt;&gt;"",IF(E36="FAT.OGGI",SUM(K36:L36)*(1/(1-$M$14)-1),L36*(1/(1-$M$14)-1)),"")</f>
        <v>679.55759910525683</v>
      </c>
      <c r="N36" s="524">
        <f>SUM(K36:M36)</f>
        <v>59479.557599105254</v>
      </c>
      <c r="Q36" s="472">
        <f>IF(H36&lt;&gt;"",H36,"")</f>
        <v>320</v>
      </c>
      <c r="R36" s="473">
        <v>1</v>
      </c>
      <c r="S36" s="474">
        <v>175</v>
      </c>
      <c r="T36" s="506">
        <v>0</v>
      </c>
      <c r="U36" s="476">
        <f>IF(Q36&lt;&gt;"",K36-T36,"")</f>
        <v>56000</v>
      </c>
      <c r="V36" s="477">
        <f>IF(Q36&lt;&gt;"",0%,"")</f>
        <v>0</v>
      </c>
      <c r="W36" s="478">
        <f>IF(Q36&lt;&gt;"",V36*U36,"")</f>
        <v>0</v>
      </c>
      <c r="X36" s="478">
        <f>IF(Q36&lt;&gt;"",W36+T36,"")</f>
        <v>0</v>
      </c>
      <c r="Y36" s="153">
        <f>IF(Q36&lt;&gt;"",X36+M36,"")</f>
        <v>679.55759910525683</v>
      </c>
      <c r="Z36" s="141">
        <f>IF(Q36&lt;&gt;"",U36/K36,"")</f>
        <v>1</v>
      </c>
      <c r="AA36" s="142" t="e">
        <f>T36/#REF!</f>
        <v>#REF!</v>
      </c>
      <c r="AK36" s="143">
        <f t="shared" si="2"/>
        <v>0</v>
      </c>
      <c r="AL36" s="436"/>
    </row>
    <row r="37" spans="1:39" ht="99.9" customHeight="1" x14ac:dyDescent="0.45">
      <c r="A37" s="458">
        <v>23</v>
      </c>
      <c r="B37" s="120" t="s">
        <v>351</v>
      </c>
      <c r="C37" s="465" t="s">
        <v>115</v>
      </c>
      <c r="D37" s="458" t="s">
        <v>127</v>
      </c>
      <c r="E37" s="458" t="s">
        <v>323</v>
      </c>
      <c r="F37" s="481" t="s">
        <v>343</v>
      </c>
      <c r="G37" s="520" t="s">
        <v>375</v>
      </c>
      <c r="H37" s="483">
        <v>1</v>
      </c>
      <c r="I37" s="483">
        <v>1</v>
      </c>
      <c r="J37" s="525">
        <v>5465</v>
      </c>
      <c r="K37" s="485">
        <f t="shared" ref="K37" si="15">IF(F37&lt;&gt;"",H37*I37*J37,"")</f>
        <v>5465</v>
      </c>
      <c r="L37" s="484">
        <f t="shared" ref="L37" si="16">IF(K37&lt;&gt;"",IF(D37="INTERNO",0,K37*$L$14),"")</f>
        <v>273.25</v>
      </c>
      <c r="M37" s="484">
        <f t="shared" ref="M37" si="17">IF(K37&lt;&gt;"",IF(E37="FAT.OGGI",SUM(K37:L37)*(1/(1-$M$14)-1),L37*(1/(1-$M$14)-1)),"")</f>
        <v>66.31754069839694</v>
      </c>
      <c r="N37" s="486">
        <f t="shared" ref="N37" si="18">SUM(K37:M37)</f>
        <v>5804.5675406983974</v>
      </c>
      <c r="Q37" s="472">
        <f t="shared" ref="Q37" si="19">IF(H37&lt;&gt;"",H37,"")</f>
        <v>1</v>
      </c>
      <c r="R37" s="473">
        <v>1</v>
      </c>
      <c r="S37" s="474">
        <v>5465</v>
      </c>
      <c r="T37" s="506">
        <v>0</v>
      </c>
      <c r="U37" s="476">
        <f t="shared" ref="U37" si="20">IF(Q37&lt;&gt;"",K37-T37,"")</f>
        <v>5465</v>
      </c>
      <c r="V37" s="477">
        <f t="shared" ref="V37" si="21">IF(Q37&lt;&gt;"",0%,"")</f>
        <v>0</v>
      </c>
      <c r="W37" s="478">
        <f t="shared" ref="W37" si="22">IF(Q37&lt;&gt;"",V37*U37,"")</f>
        <v>0</v>
      </c>
      <c r="X37" s="478">
        <f t="shared" ref="X37" si="23">IF(Q37&lt;&gt;"",W37+T37,"")</f>
        <v>0</v>
      </c>
      <c r="Y37" s="153">
        <f t="shared" ref="Y37" si="24">IF(Q37&lt;&gt;"",X37+M37,"")</f>
        <v>66.31754069839694</v>
      </c>
      <c r="Z37" s="141">
        <f t="shared" ref="Z37" si="25">IF(Q37&lt;&gt;"",U37/K37,"")</f>
        <v>1</v>
      </c>
      <c r="AA37" s="142" t="e">
        <f>T37/#REF!</f>
        <v>#REF!</v>
      </c>
      <c r="AK37" s="143">
        <f t="shared" si="2"/>
        <v>0</v>
      </c>
      <c r="AL37" s="436"/>
    </row>
    <row r="38" spans="1:39" ht="99.9" customHeight="1" thickBot="1" x14ac:dyDescent="0.5">
      <c r="A38" s="463">
        <v>24</v>
      </c>
      <c r="B38" s="120" t="s">
        <v>352</v>
      </c>
      <c r="C38" s="465" t="s">
        <v>115</v>
      </c>
      <c r="D38" s="458" t="s">
        <v>127</v>
      </c>
      <c r="E38" s="458" t="s">
        <v>323</v>
      </c>
      <c r="F38" s="481" t="s">
        <v>349</v>
      </c>
      <c r="G38" s="482" t="s">
        <v>376</v>
      </c>
      <c r="H38" s="483">
        <v>300</v>
      </c>
      <c r="I38" s="483">
        <v>1</v>
      </c>
      <c r="J38" s="484">
        <v>289</v>
      </c>
      <c r="K38" s="485">
        <f>IF(F38&lt;&gt;"",H38*I38*J38,"")</f>
        <v>86700</v>
      </c>
      <c r="L38" s="484">
        <f>IF(K38&lt;&gt;"",IF(D38="INTERNO",0,K38*$L$14),"")</f>
        <v>4335</v>
      </c>
      <c r="M38" s="484">
        <f>IF(K38&lt;&gt;"",IF(E38="FAT.OGGI",SUM(K38:L38)*(1/(1-$M$14)-1),L38*(1/(1-$M$14)-1)),"")</f>
        <v>1052.1007829004602</v>
      </c>
      <c r="N38" s="486">
        <f>SUM(K38:M38)</f>
        <v>92087.100782900467</v>
      </c>
      <c r="Q38" s="472">
        <f>IF(H38&lt;&gt;"",H38,"")</f>
        <v>300</v>
      </c>
      <c r="R38" s="473">
        <f>IF(I38&lt;&gt;"",I38,"")</f>
        <v>1</v>
      </c>
      <c r="S38" s="474">
        <v>289</v>
      </c>
      <c r="T38" s="488">
        <v>0</v>
      </c>
      <c r="U38" s="476">
        <f>IF(Q38&lt;&gt;"",K38-T38,"")</f>
        <v>86700</v>
      </c>
      <c r="V38" s="477">
        <f>IF(Q38&lt;&gt;"",0%,"")</f>
        <v>0</v>
      </c>
      <c r="W38" s="478">
        <f>IF(Q38&lt;&gt;"",V38*U38,"")</f>
        <v>0</v>
      </c>
      <c r="X38" s="478">
        <f>IF(Q38&lt;&gt;"",W38+T38,"")</f>
        <v>0</v>
      </c>
      <c r="Y38" s="153">
        <f>IF(Q38&lt;&gt;"",X38+M38,"")</f>
        <v>1052.1007829004602</v>
      </c>
      <c r="Z38" s="163">
        <f>IF(Q38&lt;&gt;"",U38/K38,"")</f>
        <v>1</v>
      </c>
      <c r="AA38" s="142" t="e">
        <f>T38/#REF!</f>
        <v>#REF!</v>
      </c>
      <c r="AK38" s="143">
        <f t="shared" si="2"/>
        <v>0</v>
      </c>
      <c r="AL38" s="436"/>
    </row>
    <row r="39" spans="1:39" ht="39.9" customHeight="1" thickBot="1" x14ac:dyDescent="0.5">
      <c r="A39" s="458">
        <v>25</v>
      </c>
      <c r="B39" s="120"/>
      <c r="C39" s="465" t="s">
        <v>123</v>
      </c>
      <c r="D39" s="458"/>
      <c r="E39" s="458"/>
      <c r="F39" s="1163" t="s">
        <v>353</v>
      </c>
      <c r="G39" s="1164"/>
      <c r="H39" s="1164"/>
      <c r="I39" s="1164"/>
      <c r="J39" s="1164"/>
      <c r="K39" s="155">
        <f>SUM(K17:K38)</f>
        <v>881767.2</v>
      </c>
      <c r="L39" s="155">
        <f>SUM(L17:L38)</f>
        <v>44088.36</v>
      </c>
      <c r="M39" s="155">
        <f>SUM(M17:M38)</f>
        <v>10700.207167888657</v>
      </c>
      <c r="N39" s="165">
        <f>SUM(N17:N38)</f>
        <v>936555.76716788858</v>
      </c>
      <c r="Q39" s="1171" t="s">
        <v>354</v>
      </c>
      <c r="R39" s="1172"/>
      <c r="S39" s="1172"/>
      <c r="T39" s="526">
        <f>SUM(T17:T38)</f>
        <v>683236.65</v>
      </c>
      <c r="U39" s="527">
        <f>SUM(U17:U38)</f>
        <v>198530.55</v>
      </c>
      <c r="V39" s="528"/>
      <c r="W39" s="528"/>
      <c r="X39" s="529">
        <f>SUM(X17:X38)</f>
        <v>683236.65</v>
      </c>
      <c r="Y39" s="530">
        <f>IF(Q39&lt;&gt;"",X39+M39,"")</f>
        <v>693936.85716788867</v>
      </c>
      <c r="Z39" s="171" t="s">
        <v>170</v>
      </c>
      <c r="AA39" s="531" t="e">
        <f>T39/#REF!</f>
        <v>#REF!</v>
      </c>
      <c r="AK39" s="143"/>
      <c r="AL39" s="436"/>
    </row>
    <row r="40" spans="1:39" ht="39.9" customHeight="1" x14ac:dyDescent="0.45">
      <c r="A40" s="458">
        <v>26</v>
      </c>
      <c r="B40" s="120" t="s">
        <v>355</v>
      </c>
      <c r="C40" s="465" t="s">
        <v>110</v>
      </c>
      <c r="D40" s="458"/>
      <c r="E40" s="458"/>
      <c r="F40" s="1026" t="s">
        <v>356</v>
      </c>
      <c r="G40" s="1027"/>
      <c r="H40" s="1027"/>
      <c r="I40" s="1027"/>
      <c r="J40" s="1027"/>
      <c r="K40" s="1028"/>
      <c r="L40" s="532" t="s">
        <v>112</v>
      </c>
      <c r="M40" s="533" t="s">
        <v>113</v>
      </c>
      <c r="N40" s="534" t="s">
        <v>82</v>
      </c>
      <c r="Q40" s="1026" t="str">
        <f>IF(F40&lt;&gt;"",F40,"")</f>
        <v>ALIMENTAÇÃO E HOSPEDAGEM EQUIPE</v>
      </c>
      <c r="R40" s="1027"/>
      <c r="S40" s="1027"/>
      <c r="T40" s="1027"/>
      <c r="U40" s="1027"/>
      <c r="V40" s="1027"/>
      <c r="W40" s="1027"/>
      <c r="X40" s="1027"/>
      <c r="Y40" s="1029"/>
      <c r="Z40" s="535" t="s">
        <v>114</v>
      </c>
      <c r="AA40" s="536" t="s">
        <v>83</v>
      </c>
      <c r="AK40" s="143"/>
      <c r="AL40" s="436"/>
    </row>
    <row r="41" spans="1:39" ht="99.9" customHeight="1" x14ac:dyDescent="0.45">
      <c r="A41" s="537">
        <v>27</v>
      </c>
      <c r="B41" s="120" t="s">
        <v>357</v>
      </c>
      <c r="C41" s="538" t="s">
        <v>115</v>
      </c>
      <c r="D41" s="537" t="s">
        <v>127</v>
      </c>
      <c r="E41" s="537" t="s">
        <v>323</v>
      </c>
      <c r="F41" s="129" t="s">
        <v>358</v>
      </c>
      <c r="G41" s="482" t="s">
        <v>359</v>
      </c>
      <c r="H41" s="144">
        <v>1</v>
      </c>
      <c r="I41" s="144">
        <v>1</v>
      </c>
      <c r="J41" s="484">
        <v>12950</v>
      </c>
      <c r="K41" s="504">
        <f>IF(F41&lt;&gt;"",H41*I41*J41,"")</f>
        <v>12950</v>
      </c>
      <c r="L41" s="145">
        <f>IF(K41&lt;&gt;"",IF(D41="INTERNO",0,K41*L14),"")</f>
        <v>647.5</v>
      </c>
      <c r="M41" s="145">
        <f>IF(K41&lt;&gt;"",IF(E41="FAT.OGGI",SUM(K41:L41)*(1/(1-'[3]Itens Novos'!$M$14)-1),L41*(1/(1-'[3]Itens Novos'!$M$14)-1)),"")</f>
        <v>157.14769479309064</v>
      </c>
      <c r="N41" s="539">
        <f>SUM(K41:M41)</f>
        <v>13754.647694793091</v>
      </c>
      <c r="P41" s="76"/>
      <c r="Q41" s="147">
        <f t="shared" ref="Q41:R42" si="26">IF(H41&lt;&gt;"",H41,"")</f>
        <v>1</v>
      </c>
      <c r="R41" s="148">
        <f t="shared" si="26"/>
        <v>1</v>
      </c>
      <c r="S41" s="540">
        <f>5600+5600+1750</f>
        <v>12950</v>
      </c>
      <c r="T41" s="149">
        <v>0</v>
      </c>
      <c r="U41" s="150">
        <f>IF(Q41&lt;&gt;"",K41-T41,"")</f>
        <v>12950</v>
      </c>
      <c r="V41" s="151">
        <f>IF(Q41&lt;&gt;"",0%,"")</f>
        <v>0</v>
      </c>
      <c r="W41" s="152">
        <f>IF(Q41&lt;&gt;"",V41*U41,"")</f>
        <v>0</v>
      </c>
      <c r="X41" s="152">
        <f>IF(Q41&lt;&gt;"",W41+T41,"")</f>
        <v>0</v>
      </c>
      <c r="Y41" s="153">
        <f t="shared" ref="Y41:Y43" si="27">IF(Q41&lt;&gt;"",X41+M41,"")</f>
        <v>157.14769479309064</v>
      </c>
      <c r="Z41" s="141">
        <f>IF(Q41&lt;&gt;"",U41/K41,"")</f>
        <v>1</v>
      </c>
      <c r="AA41" s="142" t="e">
        <f>T41/#REF!</f>
        <v>#REF!</v>
      </c>
      <c r="AK41" s="143">
        <f t="shared" si="2"/>
        <v>0</v>
      </c>
      <c r="AL41" s="436"/>
    </row>
    <row r="42" spans="1:39" ht="99.9" customHeight="1" thickBot="1" x14ac:dyDescent="0.5">
      <c r="A42" s="96">
        <v>28</v>
      </c>
      <c r="B42" s="120" t="s">
        <v>360</v>
      </c>
      <c r="C42" s="121" t="s">
        <v>115</v>
      </c>
      <c r="D42" s="96" t="s">
        <v>127</v>
      </c>
      <c r="E42" s="96" t="s">
        <v>323</v>
      </c>
      <c r="F42" s="541" t="s">
        <v>361</v>
      </c>
      <c r="G42" s="482" t="s">
        <v>362</v>
      </c>
      <c r="H42" s="483">
        <v>1</v>
      </c>
      <c r="I42" s="483">
        <v>1</v>
      </c>
      <c r="J42" s="523">
        <v>16209</v>
      </c>
      <c r="K42" s="480">
        <f>IF(F42&lt;&gt;"",H42*I42*J42,"")</f>
        <v>16209</v>
      </c>
      <c r="L42" s="132">
        <f>IF(K42&lt;&gt;"",IF(D42="INTERNO",0,K42*L14),"")</f>
        <v>810.45</v>
      </c>
      <c r="M42" s="132">
        <f>IF(K42&lt;&gt;"",IF(E42="FAT.OGGI",SUM(K42:L42)*(1/(1-'[3]Itens Novos'!$M$14)-1),L42*(1/(1-'[3]Itens Novos'!$M$14)-1)),"")</f>
        <v>196.69552006959123</v>
      </c>
      <c r="N42" s="542">
        <f>SUM(K42:M42)</f>
        <v>17216.145520069593</v>
      </c>
      <c r="P42" s="76"/>
      <c r="Q42" s="134">
        <f t="shared" si="26"/>
        <v>1</v>
      </c>
      <c r="R42" s="135">
        <f t="shared" si="26"/>
        <v>1</v>
      </c>
      <c r="S42" s="136">
        <f>J42</f>
        <v>16209</v>
      </c>
      <c r="T42" s="136">
        <v>0</v>
      </c>
      <c r="U42" s="137">
        <f>IF(Q42&lt;&gt;"",K42-T42,"")</f>
        <v>16209</v>
      </c>
      <c r="V42" s="138">
        <f>IF(Q42&lt;&gt;"",0%,"")</f>
        <v>0</v>
      </c>
      <c r="W42" s="139">
        <f>IF(Q42&lt;&gt;"",V42*U42,"")</f>
        <v>0</v>
      </c>
      <c r="X42" s="139">
        <f>IF(Q42&lt;&gt;"",W42+T42,"")</f>
        <v>0</v>
      </c>
      <c r="Y42" s="140">
        <f t="shared" si="27"/>
        <v>196.69552006959123</v>
      </c>
      <c r="Z42" s="141">
        <f>IF(Q42&lt;&gt;"",U42/K42,"")</f>
        <v>1</v>
      </c>
      <c r="AA42" s="142" t="e">
        <f>T42/#REF!</f>
        <v>#REF!</v>
      </c>
      <c r="AK42" s="143">
        <f t="shared" si="2"/>
        <v>0</v>
      </c>
      <c r="AL42" s="436"/>
    </row>
    <row r="43" spans="1:39" ht="39.9" customHeight="1" thickBot="1" x14ac:dyDescent="0.5">
      <c r="A43" s="458">
        <v>29</v>
      </c>
      <c r="B43" s="120"/>
      <c r="C43" s="465" t="s">
        <v>123</v>
      </c>
      <c r="D43" s="458"/>
      <c r="E43" s="458"/>
      <c r="F43" s="1163" t="s">
        <v>208</v>
      </c>
      <c r="G43" s="1164"/>
      <c r="H43" s="1164"/>
      <c r="I43" s="1164"/>
      <c r="J43" s="1164"/>
      <c r="K43" s="155">
        <f>SUM(K41:K42)</f>
        <v>29159</v>
      </c>
      <c r="L43" s="155">
        <f>SUM(L41:L42)</f>
        <v>1457.95</v>
      </c>
      <c r="M43" s="155">
        <f>SUM(M41:M42)</f>
        <v>353.84321486268186</v>
      </c>
      <c r="N43" s="165">
        <f>SUM(N41:N42)</f>
        <v>30970.793214862686</v>
      </c>
      <c r="Q43" s="1163" t="s">
        <v>208</v>
      </c>
      <c r="R43" s="1164"/>
      <c r="S43" s="1164"/>
      <c r="T43" s="166">
        <f>SUM(T41:T42)</f>
        <v>0</v>
      </c>
      <c r="U43" s="543">
        <f>SUM(U41:U42)</f>
        <v>29159</v>
      </c>
      <c r="V43" s="544"/>
      <c r="W43" s="544"/>
      <c r="X43" s="545">
        <f>SUM(X41:X42)</f>
        <v>0</v>
      </c>
      <c r="Y43" s="546">
        <f t="shared" si="27"/>
        <v>353.84321486268186</v>
      </c>
      <c r="Z43" s="372" t="s">
        <v>170</v>
      </c>
      <c r="AA43" s="547" t="s">
        <v>171</v>
      </c>
      <c r="AK43" s="143"/>
      <c r="AL43" s="436"/>
    </row>
    <row r="44" spans="1:39" ht="39.9" customHeight="1" thickBot="1" x14ac:dyDescent="0.5">
      <c r="A44" s="173">
        <v>30</v>
      </c>
      <c r="B44" s="174"/>
      <c r="C44" s="175" t="s">
        <v>168</v>
      </c>
      <c r="D44" s="173"/>
      <c r="E44" s="173"/>
      <c r="F44" s="176" t="s">
        <v>169</v>
      </c>
      <c r="G44" s="177"/>
      <c r="H44" s="375"/>
      <c r="I44" s="375"/>
      <c r="J44" s="177"/>
      <c r="K44" s="178">
        <f>SUM(K17:K38)+SUM(K41:K42)</f>
        <v>910926.2</v>
      </c>
      <c r="L44" s="178">
        <f>SUM(L17:L38)+SUM(L41:L42)</f>
        <v>45546.31</v>
      </c>
      <c r="M44" s="178">
        <f>SUM(M17:M38)+SUM(M41:M42)</f>
        <v>11054.050382751338</v>
      </c>
      <c r="N44" s="179">
        <f>SUM(N17:N38)+SUM(N41:N42)</f>
        <v>967526.56038275128</v>
      </c>
      <c r="Q44" s="548" t="s">
        <v>43</v>
      </c>
      <c r="R44" s="549"/>
      <c r="S44" s="177"/>
      <c r="T44" s="178">
        <f>SUM(T17:T38)+SUM(T41:T42)</f>
        <v>683236.65</v>
      </c>
      <c r="U44" s="178">
        <f>SUM(U17:U38)+SUM(U41:U42)</f>
        <v>227689.55</v>
      </c>
      <c r="V44" s="177"/>
      <c r="W44" s="177"/>
      <c r="X44" s="178">
        <f>SUM(X17:X38)+SUM(X41:X42)</f>
        <v>683236.65</v>
      </c>
      <c r="Y44" s="179">
        <f>SUM(Y17:Y38)+SUM(Y41:Y42)</f>
        <v>694290.70038275118</v>
      </c>
      <c r="Z44" s="377">
        <f>IF(Q44&lt;&gt;"",(N44-Y44)/N44,"")</f>
        <v>0.28240657278897713</v>
      </c>
      <c r="AA44" s="378">
        <f>IF(Z44&lt;&gt;"",(N44-Y44),"")</f>
        <v>273235.8600000001</v>
      </c>
      <c r="AK44" s="143"/>
      <c r="AL44" s="436">
        <f>SUM(AL17:AL43)</f>
        <v>683236.64999999991</v>
      </c>
    </row>
    <row r="45" spans="1:39" ht="30.6" x14ac:dyDescent="0.55000000000000004">
      <c r="AL45" s="431"/>
      <c r="AM45" s="407" t="s">
        <v>280</v>
      </c>
    </row>
    <row r="46" spans="1:39" ht="30.6" x14ac:dyDescent="0.55000000000000004">
      <c r="K46" s="379"/>
      <c r="AL46" s="431">
        <f>X44</f>
        <v>683236.65</v>
      </c>
      <c r="AM46" s="407" t="s">
        <v>281</v>
      </c>
    </row>
    <row r="47" spans="1:39" ht="30.6" x14ac:dyDescent="0.55000000000000004">
      <c r="AL47" s="431">
        <f>N44-X44</f>
        <v>284289.91038275126</v>
      </c>
      <c r="AM47" s="409" t="s">
        <v>278</v>
      </c>
    </row>
    <row r="48" spans="1:39" ht="31.2" x14ac:dyDescent="0.6">
      <c r="T48" s="379"/>
      <c r="AL48" s="411">
        <f>AL47*100%/N44</f>
        <v>0.29383163421403835</v>
      </c>
      <c r="AM48" s="412"/>
    </row>
    <row r="49" spans="20:20" x14ac:dyDescent="0.45">
      <c r="T49" s="379"/>
    </row>
    <row r="50" spans="20:20" x14ac:dyDescent="0.45">
      <c r="T50" s="379"/>
    </row>
  </sheetData>
  <mergeCells count="17">
    <mergeCell ref="F1:G1"/>
    <mergeCell ref="F2:G2"/>
    <mergeCell ref="Q12:T12"/>
    <mergeCell ref="U12:X12"/>
    <mergeCell ref="AC12:AE12"/>
    <mergeCell ref="F40:K40"/>
    <mergeCell ref="Q40:Y40"/>
    <mergeCell ref="F43:J43"/>
    <mergeCell ref="Q43:S43"/>
    <mergeCell ref="AK12:AL12"/>
    <mergeCell ref="F15:N15"/>
    <mergeCell ref="Q15:Y15"/>
    <mergeCell ref="F16:K16"/>
    <mergeCell ref="Q16:Y16"/>
    <mergeCell ref="F39:J39"/>
    <mergeCell ref="Q39:S39"/>
    <mergeCell ref="AG12:AH12"/>
  </mergeCells>
  <dataValidations count="3">
    <dataValidation type="list" allowBlank="1" showInputMessage="1" showErrorMessage="1" sqref="E44" xr:uid="{6D4691CE-4483-4302-84D9-8C1D508AAE5C}">
      <formula1>"FAT.OGGI,FAT.CLIENTE "</formula1>
    </dataValidation>
    <dataValidation type="list" allowBlank="1" showInputMessage="1" showErrorMessage="1" sqref="D44 D41:D42 D17:D38" xr:uid="{0670EEE7-3857-4633-8402-6E8E93285789}">
      <formula1>"INTERNO,OPERACIONAL"</formula1>
    </dataValidation>
    <dataValidation type="list" allowBlank="1" showInputMessage="1" showErrorMessage="1" sqref="E41:E42 E17:E38" xr:uid="{DE98E469-9346-4298-A6A8-F60588F5C271}">
      <formula1>"FAT.OGGI,FAT.CLIENTE"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80BC0-66BA-4671-BF75-7EBA3A53114D}">
  <sheetPr codeName="Planilha19">
    <tabColor theme="2" tint="-0.499984740745262"/>
    <pageSetUpPr autoPageBreaks="0"/>
  </sheetPr>
  <dimension ref="A1:AR58"/>
  <sheetViews>
    <sheetView showGridLines="0" zoomScale="80" zoomScaleNormal="80" workbookViewId="0">
      <pane ySplit="1" topLeftCell="A24" activePane="bottomLeft" state="frozen"/>
      <selection activeCell="N83" sqref="N83"/>
      <selection pane="bottomLeft" activeCell="L58" sqref="L58"/>
    </sheetView>
  </sheetViews>
  <sheetFormatPr defaultRowHeight="14.4" x14ac:dyDescent="0.3"/>
  <cols>
    <col min="1" max="2" width="8.33203125" style="550" customWidth="1"/>
    <col min="3" max="3" width="10.44140625" style="550" customWidth="1"/>
    <col min="4" max="4" width="13.6640625" style="550" customWidth="1"/>
    <col min="5" max="5" width="10.33203125" style="550" customWidth="1"/>
    <col min="6" max="6" width="34.5546875" customWidth="1"/>
    <col min="7" max="7" width="49.109375" customWidth="1"/>
    <col min="8" max="9" width="7.6640625" style="32" customWidth="1"/>
    <col min="10" max="10" width="20.6640625" customWidth="1"/>
    <col min="11" max="11" width="26.44140625" bestFit="1" customWidth="1"/>
    <col min="12" max="12" width="24.5546875" bestFit="1" customWidth="1"/>
    <col min="13" max="13" width="25.6640625" customWidth="1"/>
    <col min="14" max="14" width="28.6640625" customWidth="1"/>
    <col min="15" max="15" width="3.109375" customWidth="1"/>
    <col min="16" max="16" width="4.6640625" customWidth="1"/>
    <col min="17" max="18" width="10.5546875" style="32" customWidth="1"/>
    <col min="19" max="19" width="22.6640625" customWidth="1"/>
    <col min="20" max="20" width="26.44140625" bestFit="1" customWidth="1"/>
    <col min="21" max="22" width="25.6640625" customWidth="1"/>
    <col min="23" max="23" width="19.6640625" customWidth="1"/>
    <col min="24" max="24" width="26.44140625" bestFit="1" customWidth="1"/>
    <col min="25" max="25" width="38.109375" customWidth="1"/>
    <col min="26" max="27" width="33" customWidth="1"/>
    <col min="28" max="28" width="5.33203125" customWidth="1"/>
    <col min="29" max="30" width="33" customWidth="1"/>
    <col min="31" max="31" width="28" customWidth="1"/>
    <col min="32" max="32" width="1.33203125" customWidth="1"/>
    <col min="33" max="33" width="81.5546875" customWidth="1"/>
    <col min="34" max="34" width="36.6640625" customWidth="1"/>
    <col min="35" max="35" width="1.5546875" customWidth="1"/>
    <col min="36" max="36" width="20.33203125" customWidth="1"/>
    <col min="37" max="37" width="25.33203125" bestFit="1" customWidth="1"/>
    <col min="38" max="38" width="24.88671875" bestFit="1" customWidth="1"/>
    <col min="39" max="39" width="81.5546875" customWidth="1"/>
    <col min="40" max="40" width="36.6640625" customWidth="1"/>
    <col min="41" max="41" width="1.5546875" customWidth="1"/>
    <col min="42" max="42" width="20.33203125" customWidth="1"/>
    <col min="43" max="43" width="25.33203125" bestFit="1" customWidth="1"/>
    <col min="44" max="44" width="24.88671875" bestFit="1" customWidth="1"/>
    <col min="46" max="46" width="21.33203125" customWidth="1"/>
  </cols>
  <sheetData>
    <row r="1" spans="1:44" ht="49.5" customHeight="1" x14ac:dyDescent="0.3">
      <c r="B1" s="551"/>
      <c r="C1" s="552"/>
      <c r="D1" s="552"/>
      <c r="F1" s="1072" t="s">
        <v>183</v>
      </c>
      <c r="G1" s="1072"/>
    </row>
    <row r="2" spans="1:44" ht="24.75" customHeight="1" x14ac:dyDescent="0.3">
      <c r="B2" s="553"/>
      <c r="D2" s="552"/>
      <c r="F2" s="1073" t="s">
        <v>0</v>
      </c>
      <c r="G2" s="1073"/>
    </row>
    <row r="3" spans="1:44" ht="18" x14ac:dyDescent="0.3">
      <c r="B3" s="554"/>
      <c r="F3" s="26"/>
      <c r="G3" s="26"/>
    </row>
    <row r="4" spans="1:44" ht="18" x14ac:dyDescent="0.3">
      <c r="F4" s="555" t="s">
        <v>316</v>
      </c>
      <c r="G4" s="556"/>
    </row>
    <row r="5" spans="1:44" ht="18" x14ac:dyDescent="0.3">
      <c r="F5" s="557" t="s">
        <v>185</v>
      </c>
      <c r="G5" s="558"/>
    </row>
    <row r="6" spans="1:44" ht="18" x14ac:dyDescent="0.3">
      <c r="F6" s="557" t="s">
        <v>186</v>
      </c>
      <c r="G6" s="559"/>
    </row>
    <row r="7" spans="1:44" ht="21.75" customHeight="1" x14ac:dyDescent="0.3">
      <c r="F7" s="557" t="s">
        <v>187</v>
      </c>
      <c r="G7" s="560"/>
    </row>
    <row r="8" spans="1:44" ht="18" x14ac:dyDescent="0.3">
      <c r="F8" s="561" t="s">
        <v>317</v>
      </c>
      <c r="G8" s="562"/>
    </row>
    <row r="9" spans="1:44" ht="18" x14ac:dyDescent="0.3">
      <c r="F9" s="557" t="s">
        <v>189</v>
      </c>
      <c r="G9" s="560"/>
      <c r="M9">
        <v>0.80469999999999997</v>
      </c>
    </row>
    <row r="10" spans="1:44" ht="27" customHeight="1" x14ac:dyDescent="0.3">
      <c r="F10" s="557" t="s">
        <v>318</v>
      </c>
      <c r="G10" s="560"/>
      <c r="M10">
        <f>1-M9</f>
        <v>0.19530000000000003</v>
      </c>
      <c r="P10" s="32"/>
      <c r="S10" s="32"/>
      <c r="T10" s="32"/>
      <c r="U10" s="32"/>
      <c r="V10" s="32"/>
      <c r="W10" s="32"/>
    </row>
    <row r="11" spans="1:44" ht="19.5" customHeight="1" thickBot="1" x14ac:dyDescent="0.35">
      <c r="F11" s="563" t="s">
        <v>319</v>
      </c>
      <c r="G11" s="564"/>
      <c r="H11" s="565" t="s">
        <v>380</v>
      </c>
      <c r="I11" s="566"/>
      <c r="J11" s="567"/>
      <c r="K11" s="567"/>
      <c r="P11" s="32"/>
      <c r="S11" s="32"/>
      <c r="T11" s="32"/>
      <c r="U11" s="32"/>
      <c r="V11" s="32"/>
      <c r="W11" s="32"/>
    </row>
    <row r="12" spans="1:44" ht="18.75" customHeight="1" thickBot="1" x14ac:dyDescent="0.35">
      <c r="B12" s="568"/>
      <c r="M12" s="569"/>
      <c r="Q12" s="1081" t="s">
        <v>1</v>
      </c>
      <c r="R12" s="1082"/>
      <c r="S12" s="1082"/>
      <c r="T12" s="1083"/>
      <c r="U12" s="1084" t="s">
        <v>2</v>
      </c>
      <c r="V12" s="1085"/>
      <c r="W12" s="1085"/>
      <c r="X12" s="1086"/>
      <c r="Y12" s="570" t="s">
        <v>56</v>
      </c>
      <c r="Z12" s="571" t="e">
        <f>(1/(1-#REF!))-1</f>
        <v>#REF!</v>
      </c>
      <c r="AA12" s="572"/>
      <c r="AC12" s="1097" t="s">
        <v>3</v>
      </c>
      <c r="AD12" s="1098"/>
      <c r="AE12" s="1099"/>
      <c r="AG12" s="1089" t="s">
        <v>58</v>
      </c>
      <c r="AH12" s="1090"/>
      <c r="AJ12" s="573" t="s">
        <v>60</v>
      </c>
      <c r="AK12" s="1087" t="s">
        <v>59</v>
      </c>
      <c r="AL12" s="1088"/>
      <c r="AM12" s="1089" t="s">
        <v>58</v>
      </c>
      <c r="AN12" s="1090"/>
      <c r="AP12" s="573" t="s">
        <v>60</v>
      </c>
      <c r="AQ12" s="1087" t="s">
        <v>59</v>
      </c>
      <c r="AR12" s="1088"/>
    </row>
    <row r="13" spans="1:44" ht="15" thickBot="1" x14ac:dyDescent="0.35">
      <c r="A13" s="574" t="s">
        <v>4</v>
      </c>
      <c r="B13" s="575" t="s">
        <v>5</v>
      </c>
      <c r="C13" s="574" t="s">
        <v>6</v>
      </c>
      <c r="D13" s="574" t="s">
        <v>7</v>
      </c>
      <c r="E13" s="574" t="s">
        <v>8</v>
      </c>
      <c r="M13" s="913">
        <v>0.80469999999999997</v>
      </c>
    </row>
    <row r="14" spans="1:44" ht="33" thickBot="1" x14ac:dyDescent="0.35">
      <c r="A14" s="581">
        <v>0</v>
      </c>
      <c r="B14" s="582"/>
      <c r="C14" s="583"/>
      <c r="D14" s="584"/>
      <c r="E14" s="584"/>
      <c r="F14" s="871" t="s">
        <v>84</v>
      </c>
      <c r="G14" s="586" t="s">
        <v>85</v>
      </c>
      <c r="H14" s="587" t="s">
        <v>86</v>
      </c>
      <c r="I14" s="587" t="s">
        <v>87</v>
      </c>
      <c r="J14" s="588" t="s">
        <v>88</v>
      </c>
      <c r="K14" s="589" t="s">
        <v>9</v>
      </c>
      <c r="L14" s="590">
        <v>0.05</v>
      </c>
      <c r="M14" s="591">
        <f>1-M13</f>
        <v>0.19530000000000003</v>
      </c>
      <c r="N14" s="872" t="s">
        <v>82</v>
      </c>
      <c r="Q14" s="593" t="s">
        <v>89</v>
      </c>
      <c r="R14" s="594" t="s">
        <v>90</v>
      </c>
      <c r="S14" s="595" t="s">
        <v>91</v>
      </c>
      <c r="T14" s="596" t="s">
        <v>92</v>
      </c>
      <c r="U14" s="597" t="s">
        <v>93</v>
      </c>
      <c r="V14" s="598" t="s">
        <v>94</v>
      </c>
      <c r="W14" s="599" t="s">
        <v>95</v>
      </c>
      <c r="X14" s="599" t="s">
        <v>96</v>
      </c>
      <c r="Y14" s="600" t="s">
        <v>97</v>
      </c>
      <c r="Z14" s="601" t="s">
        <v>98</v>
      </c>
      <c r="AA14" s="602" t="s">
        <v>83</v>
      </c>
      <c r="AC14" s="603" t="s">
        <v>99</v>
      </c>
      <c r="AD14" s="604" t="s">
        <v>100</v>
      </c>
      <c r="AE14" s="604" t="s">
        <v>33</v>
      </c>
      <c r="AG14" s="605" t="s">
        <v>101</v>
      </c>
      <c r="AH14" s="606" t="s">
        <v>102</v>
      </c>
      <c r="AI14" t="s">
        <v>320</v>
      </c>
      <c r="AJ14" t="s">
        <v>320</v>
      </c>
      <c r="AK14" s="607" t="s">
        <v>103</v>
      </c>
      <c r="AL14" s="608" t="s">
        <v>104</v>
      </c>
      <c r="AM14" s="605" t="s">
        <v>101</v>
      </c>
      <c r="AN14" s="606" t="s">
        <v>102</v>
      </c>
      <c r="AO14" t="s">
        <v>320</v>
      </c>
      <c r="AP14" t="s">
        <v>320</v>
      </c>
      <c r="AQ14" s="607" t="s">
        <v>103</v>
      </c>
      <c r="AR14" s="608" t="s">
        <v>104</v>
      </c>
    </row>
    <row r="15" spans="1:44" ht="36.75" customHeight="1" thickBot="1" x14ac:dyDescent="0.4">
      <c r="A15" s="626">
        <v>1</v>
      </c>
      <c r="B15" s="610">
        <v>1</v>
      </c>
      <c r="C15" s="627" t="s">
        <v>109</v>
      </c>
      <c r="D15" s="626"/>
      <c r="E15" s="626"/>
      <c r="F15" s="1108"/>
      <c r="G15" s="1106"/>
      <c r="H15" s="1106"/>
      <c r="I15" s="1106"/>
      <c r="J15" s="1106"/>
      <c r="K15" s="1106"/>
      <c r="L15" s="1106"/>
      <c r="M15" s="1106"/>
      <c r="N15" s="1109"/>
      <c r="P15" s="32"/>
      <c r="Q15" s="1118" t="str">
        <f>IF(F15&lt;&gt;"",F15,"")</f>
        <v/>
      </c>
      <c r="R15" s="1119"/>
      <c r="S15" s="1119"/>
      <c r="T15" s="1119"/>
      <c r="U15" s="1119"/>
      <c r="V15" s="1119"/>
      <c r="W15" s="1119"/>
      <c r="X15" s="1119"/>
      <c r="Y15" s="1120"/>
    </row>
    <row r="16" spans="1:44" ht="30" customHeight="1" x14ac:dyDescent="0.35">
      <c r="A16" s="626">
        <v>2</v>
      </c>
      <c r="B16" s="610" t="s">
        <v>111</v>
      </c>
      <c r="C16" s="627" t="s">
        <v>110</v>
      </c>
      <c r="D16" s="626"/>
      <c r="E16" s="626"/>
      <c r="F16" s="1113" t="s">
        <v>633</v>
      </c>
      <c r="G16" s="1111"/>
      <c r="H16" s="1111"/>
      <c r="I16" s="1111"/>
      <c r="J16" s="1111"/>
      <c r="K16" s="1112"/>
      <c r="L16" s="621" t="s">
        <v>112</v>
      </c>
      <c r="M16" s="622" t="s">
        <v>113</v>
      </c>
      <c r="N16" s="770" t="s">
        <v>82</v>
      </c>
      <c r="P16" s="32"/>
      <c r="Q16" s="1113" t="str">
        <f>IF(F16&lt;&gt;"",F16,"")</f>
        <v>EXTRAS HOTEL</v>
      </c>
      <c r="R16" s="1111"/>
      <c r="S16" s="1111"/>
      <c r="T16" s="1111"/>
      <c r="U16" s="1111"/>
      <c r="V16" s="1111"/>
      <c r="W16" s="1111"/>
      <c r="X16" s="1111"/>
      <c r="Y16" s="1114"/>
      <c r="Z16" s="624" t="s">
        <v>114</v>
      </c>
      <c r="AA16" s="625" t="s">
        <v>83</v>
      </c>
    </row>
    <row r="17" spans="1:27" ht="16.2" x14ac:dyDescent="0.3">
      <c r="A17" s="963">
        <v>3</v>
      </c>
      <c r="B17" s="610" t="s">
        <v>116</v>
      </c>
      <c r="C17" s="886" t="s">
        <v>115</v>
      </c>
      <c r="D17" s="876" t="s">
        <v>127</v>
      </c>
      <c r="E17" s="876" t="s">
        <v>117</v>
      </c>
      <c r="F17" s="793" t="s">
        <v>634</v>
      </c>
      <c r="G17" s="794" t="s">
        <v>635</v>
      </c>
      <c r="H17" s="630">
        <v>2</v>
      </c>
      <c r="I17" s="630">
        <v>1</v>
      </c>
      <c r="J17" s="964">
        <v>841.5</v>
      </c>
      <c r="K17" s="965">
        <f t="shared" ref="K17:K38" si="0">IF(F17&lt;&gt;"",H17*I17*J17,"")</f>
        <v>1683</v>
      </c>
      <c r="L17" s="632">
        <f t="shared" ref="L17:L38" si="1">IF(K17&lt;&gt;"",IF(D17="INTERNO",0,K17*$L$14),"")</f>
        <v>84.15</v>
      </c>
      <c r="M17" s="632">
        <f t="shared" ref="M17:M38" si="2">IF(K17&lt;&gt;"",IF(E17="FAT.OGGI",SUM(K17:L17)*(1/(1-$M$14)-1),L17*(1/(1-$M$14)-1)),"")</f>
        <v>428.88578973530525</v>
      </c>
      <c r="N17" s="775">
        <f t="shared" ref="N17:N38" si="3">SUM(K17:M17)</f>
        <v>2196.0357897353051</v>
      </c>
      <c r="P17" s="32"/>
      <c r="Q17" s="888">
        <f t="shared" ref="Q17:R28" si="4">IF(H17&lt;&gt;"",H17,"")</f>
        <v>2</v>
      </c>
      <c r="R17" s="888">
        <f t="shared" si="4"/>
        <v>1</v>
      </c>
      <c r="S17" s="709">
        <v>841.5</v>
      </c>
      <c r="T17" s="709">
        <f t="shared" ref="T17:T33" si="5">IF(Q17&lt;&gt;"",Q17*R17*S17,"")</f>
        <v>1683</v>
      </c>
      <c r="U17" s="710">
        <f t="shared" ref="U17:U38" si="6">IF(Q17&lt;&gt;"",K17-T17,"")</f>
        <v>0</v>
      </c>
      <c r="V17" s="711">
        <f t="shared" ref="V17:V38" si="7">IF(Q17&lt;&gt;"",0%,"")</f>
        <v>0</v>
      </c>
      <c r="W17" s="712">
        <f t="shared" ref="W17:W38" si="8">IF(Q17&lt;&gt;"",V17*U17,"")</f>
        <v>0</v>
      </c>
      <c r="X17" s="712">
        <f t="shared" ref="X17:X38" si="9">IF(Q17&lt;&gt;"",W17+T17,"")</f>
        <v>1683</v>
      </c>
      <c r="Y17" s="899">
        <f t="shared" ref="Y17:Y38" si="10">IF(Q17&lt;&gt;"",X17+M17,"")</f>
        <v>2111.8857897353055</v>
      </c>
      <c r="Z17" s="644">
        <f t="shared" ref="Z17:Z38" si="11">IF(Q17&lt;&gt;"",U17/K17,"")</f>
        <v>0</v>
      </c>
      <c r="AA17" s="788"/>
    </row>
    <row r="18" spans="1:27" ht="32.4" x14ac:dyDescent="0.3">
      <c r="A18" s="966">
        <v>4</v>
      </c>
      <c r="B18" s="610" t="s">
        <v>105</v>
      </c>
      <c r="C18" s="698" t="s">
        <v>115</v>
      </c>
      <c r="D18" s="876" t="s">
        <v>127</v>
      </c>
      <c r="E18" s="876" t="s">
        <v>117</v>
      </c>
      <c r="F18" s="793" t="s">
        <v>636</v>
      </c>
      <c r="G18" s="794" t="s">
        <v>637</v>
      </c>
      <c r="H18" s="630">
        <v>1</v>
      </c>
      <c r="I18" s="630">
        <v>1</v>
      </c>
      <c r="J18" s="964">
        <v>4375</v>
      </c>
      <c r="K18" s="965">
        <f t="shared" si="0"/>
        <v>4375</v>
      </c>
      <c r="L18" s="632">
        <f>IF(K18&lt;&gt;"",IF(D18="INTERNO",0,K18*$L$14),"")</f>
        <v>218.75</v>
      </c>
      <c r="M18" s="632">
        <f>IF(K18&lt;&gt;"",IF(E18="FAT.OGGI",SUM(K18:L18)*(1/(1-$M$14)-1),L18*(1/(1-$M$14)-1)),"")</f>
        <v>1114.8991860320621</v>
      </c>
      <c r="N18" s="775">
        <f>SUM(K18:M18)</f>
        <v>5708.6491860320621</v>
      </c>
      <c r="P18" s="32"/>
      <c r="Q18" s="699">
        <f>IF(H18&lt;&gt;"",H18,"")</f>
        <v>1</v>
      </c>
      <c r="R18" s="699">
        <f>IF(I18&lt;&gt;"",I18,"")</f>
        <v>1</v>
      </c>
      <c r="S18" s="667">
        <v>4375</v>
      </c>
      <c r="T18" s="667">
        <f>IF(Q18&lt;&gt;"",Q18*R18*S18,"")</f>
        <v>4375</v>
      </c>
      <c r="U18" s="668">
        <f>IF(Q18&lt;&gt;"",K18-T18,"")</f>
        <v>0</v>
      </c>
      <c r="V18" s="669">
        <f>IF(Q18&lt;&gt;"",0%,"")</f>
        <v>0</v>
      </c>
      <c r="W18" s="670">
        <f>IF(Q18&lt;&gt;"",V18*U18,"")</f>
        <v>0</v>
      </c>
      <c r="X18" s="670">
        <f>IF(Q18&lt;&gt;"",W18+T18,"")</f>
        <v>4375</v>
      </c>
      <c r="Y18" s="641">
        <f>IF(Q18&lt;&gt;"",X18+M18,"")</f>
        <v>5489.8991860320621</v>
      </c>
      <c r="Z18" s="644">
        <f>IF(Q18&lt;&gt;"",U18/K18,"")</f>
        <v>0</v>
      </c>
      <c r="AA18" s="788"/>
    </row>
    <row r="19" spans="1:27" ht="64.8" x14ac:dyDescent="0.3">
      <c r="A19" s="963">
        <v>5</v>
      </c>
      <c r="B19" s="610" t="s">
        <v>175</v>
      </c>
      <c r="C19" s="886" t="s">
        <v>115</v>
      </c>
      <c r="D19" s="876" t="s">
        <v>127</v>
      </c>
      <c r="E19" s="876" t="s">
        <v>117</v>
      </c>
      <c r="F19" s="793" t="s">
        <v>638</v>
      </c>
      <c r="G19" s="794" t="s">
        <v>639</v>
      </c>
      <c r="H19" s="630">
        <v>1</v>
      </c>
      <c r="I19" s="630">
        <v>1</v>
      </c>
      <c r="J19" s="967">
        <f>(567*4)+5176+(1892*3)-2802</f>
        <v>10318</v>
      </c>
      <c r="K19" s="965">
        <f t="shared" si="0"/>
        <v>10318</v>
      </c>
      <c r="L19" s="632">
        <f t="shared" si="1"/>
        <v>515.9</v>
      </c>
      <c r="M19" s="632">
        <f t="shared" si="2"/>
        <v>2629.3782403380151</v>
      </c>
      <c r="N19" s="775">
        <f t="shared" si="3"/>
        <v>13463.278240338015</v>
      </c>
      <c r="P19" s="32"/>
      <c r="Q19" s="699">
        <f t="shared" ref="Q19:R24" si="12">IF(H19&lt;&gt;"",H19,"")</f>
        <v>1</v>
      </c>
      <c r="R19" s="699">
        <f t="shared" si="12"/>
        <v>1</v>
      </c>
      <c r="S19" s="667">
        <f>13120-2802</f>
        <v>10318</v>
      </c>
      <c r="T19" s="667">
        <f t="shared" si="5"/>
        <v>10318</v>
      </c>
      <c r="U19" s="668">
        <f t="shared" si="6"/>
        <v>0</v>
      </c>
      <c r="V19" s="669">
        <f t="shared" si="7"/>
        <v>0</v>
      </c>
      <c r="W19" s="670">
        <f t="shared" si="8"/>
        <v>0</v>
      </c>
      <c r="X19" s="670">
        <f t="shared" si="9"/>
        <v>10318</v>
      </c>
      <c r="Y19" s="641">
        <f t="shared" si="10"/>
        <v>12947.378240338016</v>
      </c>
      <c r="Z19" s="644">
        <f t="shared" si="11"/>
        <v>0</v>
      </c>
      <c r="AA19" s="788"/>
    </row>
    <row r="20" spans="1:27" ht="32.4" x14ac:dyDescent="0.3">
      <c r="A20" s="968">
        <v>6</v>
      </c>
      <c r="B20" s="610" t="s">
        <v>179</v>
      </c>
      <c r="C20" s="886" t="s">
        <v>115</v>
      </c>
      <c r="D20" s="876" t="s">
        <v>127</v>
      </c>
      <c r="E20" s="876" t="s">
        <v>117</v>
      </c>
      <c r="F20" s="878" t="s">
        <v>640</v>
      </c>
      <c r="G20" s="702" t="s">
        <v>641</v>
      </c>
      <c r="H20" s="715">
        <v>1</v>
      </c>
      <c r="I20" s="715">
        <v>1</v>
      </c>
      <c r="J20" s="969">
        <v>873</v>
      </c>
      <c r="K20" s="970">
        <f t="shared" si="0"/>
        <v>873</v>
      </c>
      <c r="L20" s="705">
        <f t="shared" si="1"/>
        <v>43.650000000000006</v>
      </c>
      <c r="M20" s="705">
        <f t="shared" si="2"/>
        <v>222.47016900708346</v>
      </c>
      <c r="N20" s="879">
        <f t="shared" si="3"/>
        <v>1139.1201690070834</v>
      </c>
      <c r="P20" s="32"/>
      <c r="Q20" s="699">
        <f t="shared" si="12"/>
        <v>1</v>
      </c>
      <c r="R20" s="699">
        <f t="shared" si="12"/>
        <v>1</v>
      </c>
      <c r="S20" s="709">
        <v>873</v>
      </c>
      <c r="T20" s="709">
        <f t="shared" si="5"/>
        <v>873</v>
      </c>
      <c r="U20" s="710">
        <f t="shared" si="6"/>
        <v>0</v>
      </c>
      <c r="V20" s="711">
        <f t="shared" si="7"/>
        <v>0</v>
      </c>
      <c r="W20" s="712">
        <f t="shared" si="8"/>
        <v>0</v>
      </c>
      <c r="X20" s="712">
        <f t="shared" si="9"/>
        <v>873</v>
      </c>
      <c r="Y20" s="899">
        <f t="shared" si="10"/>
        <v>1095.4701690070835</v>
      </c>
      <c r="Z20" s="754">
        <f t="shared" si="11"/>
        <v>0</v>
      </c>
      <c r="AA20" s="788"/>
    </row>
    <row r="21" spans="1:27" ht="16.2" x14ac:dyDescent="0.3">
      <c r="A21" s="971">
        <v>7</v>
      </c>
      <c r="B21" s="610" t="s">
        <v>181</v>
      </c>
      <c r="C21" s="882" t="s">
        <v>115</v>
      </c>
      <c r="D21" s="584" t="s">
        <v>127</v>
      </c>
      <c r="E21" s="584" t="s">
        <v>117</v>
      </c>
      <c r="F21" s="844" t="s">
        <v>636</v>
      </c>
      <c r="G21" s="691" t="s">
        <v>642</v>
      </c>
      <c r="H21" s="683">
        <v>1</v>
      </c>
      <c r="I21" s="683">
        <v>1</v>
      </c>
      <c r="J21" s="972">
        <v>3150</v>
      </c>
      <c r="K21" s="973">
        <f t="shared" si="0"/>
        <v>3150</v>
      </c>
      <c r="L21" s="633">
        <f t="shared" si="1"/>
        <v>157.5</v>
      </c>
      <c r="M21" s="633">
        <f t="shared" si="2"/>
        <v>802.72741394308468</v>
      </c>
      <c r="N21" s="816">
        <f t="shared" si="3"/>
        <v>4110.2274139430847</v>
      </c>
      <c r="P21" s="32"/>
      <c r="Q21" s="699">
        <f t="shared" si="12"/>
        <v>1</v>
      </c>
      <c r="R21" s="699">
        <f t="shared" si="12"/>
        <v>1</v>
      </c>
      <c r="S21" s="694">
        <v>3150</v>
      </c>
      <c r="T21" s="694">
        <f t="shared" si="5"/>
        <v>3150</v>
      </c>
      <c r="U21" s="687">
        <f t="shared" si="6"/>
        <v>0</v>
      </c>
      <c r="V21" s="688">
        <f t="shared" si="7"/>
        <v>0</v>
      </c>
      <c r="W21" s="689">
        <f t="shared" si="8"/>
        <v>0</v>
      </c>
      <c r="X21" s="689">
        <f t="shared" si="9"/>
        <v>3150</v>
      </c>
      <c r="Y21" s="900">
        <f t="shared" si="10"/>
        <v>3952.7274139430847</v>
      </c>
      <c r="Z21" s="644">
        <f t="shared" si="11"/>
        <v>0</v>
      </c>
      <c r="AA21" s="788"/>
    </row>
    <row r="22" spans="1:27" ht="16.2" x14ac:dyDescent="0.3">
      <c r="A22" s="971">
        <v>8</v>
      </c>
      <c r="B22" s="610" t="s">
        <v>327</v>
      </c>
      <c r="C22" s="882" t="s">
        <v>115</v>
      </c>
      <c r="D22" s="584" t="s">
        <v>127</v>
      </c>
      <c r="E22" s="584" t="s">
        <v>117</v>
      </c>
      <c r="F22" s="844" t="s">
        <v>643</v>
      </c>
      <c r="G22" s="691" t="s">
        <v>644</v>
      </c>
      <c r="H22" s="683">
        <v>1</v>
      </c>
      <c r="I22" s="683">
        <v>1</v>
      </c>
      <c r="J22" s="972">
        <v>299</v>
      </c>
      <c r="K22" s="973">
        <f t="shared" si="0"/>
        <v>299</v>
      </c>
      <c r="L22" s="633">
        <f t="shared" si="1"/>
        <v>14.950000000000001</v>
      </c>
      <c r="M22" s="633">
        <f t="shared" si="2"/>
        <v>76.195395799676916</v>
      </c>
      <c r="N22" s="816">
        <f t="shared" si="3"/>
        <v>390.14539579967692</v>
      </c>
      <c r="P22" s="32"/>
      <c r="Q22" s="699">
        <f t="shared" si="12"/>
        <v>1</v>
      </c>
      <c r="R22" s="699">
        <f t="shared" si="12"/>
        <v>1</v>
      </c>
      <c r="S22" s="694">
        <v>299</v>
      </c>
      <c r="T22" s="694">
        <f t="shared" si="5"/>
        <v>299</v>
      </c>
      <c r="U22" s="687">
        <f t="shared" si="6"/>
        <v>0</v>
      </c>
      <c r="V22" s="688">
        <f t="shared" si="7"/>
        <v>0</v>
      </c>
      <c r="W22" s="689">
        <f t="shared" si="8"/>
        <v>0</v>
      </c>
      <c r="X22" s="689">
        <f t="shared" si="9"/>
        <v>299</v>
      </c>
      <c r="Y22" s="900">
        <f t="shared" si="10"/>
        <v>375.19539579967693</v>
      </c>
      <c r="Z22" s="644">
        <f t="shared" si="11"/>
        <v>0</v>
      </c>
      <c r="AA22" s="788"/>
    </row>
    <row r="23" spans="1:27" ht="16.2" x14ac:dyDescent="0.3">
      <c r="A23" s="974">
        <v>9</v>
      </c>
      <c r="B23" s="610" t="s">
        <v>328</v>
      </c>
      <c r="C23" s="698" t="s">
        <v>115</v>
      </c>
      <c r="D23" s="584" t="s">
        <v>127</v>
      </c>
      <c r="E23" s="584" t="s">
        <v>117</v>
      </c>
      <c r="F23" s="793" t="s">
        <v>645</v>
      </c>
      <c r="G23" s="794" t="s">
        <v>646</v>
      </c>
      <c r="H23" s="630">
        <v>35</v>
      </c>
      <c r="I23" s="630">
        <v>1</v>
      </c>
      <c r="J23" s="964">
        <v>92</v>
      </c>
      <c r="K23" s="965">
        <f>IF(F23&lt;&gt;"",H23*I23*J23,"")</f>
        <v>3220</v>
      </c>
      <c r="L23" s="632">
        <f>IF(K23&lt;&gt;"",IF(D23="INTERNO",0,K23*$L$14),"")</f>
        <v>161</v>
      </c>
      <c r="M23" s="632">
        <f>IF(K23&lt;&gt;"",IF(E23="FAT.OGGI",SUM(K23:L23)*(1/(1-$M$14)-1),L23*(1/(1-$M$14)-1)),"")</f>
        <v>820.56580091959768</v>
      </c>
      <c r="N23" s="775">
        <f>SUM(K23:M23)</f>
        <v>4201.5658009195977</v>
      </c>
      <c r="P23" s="32"/>
      <c r="Q23" s="699">
        <f t="shared" si="12"/>
        <v>35</v>
      </c>
      <c r="R23" s="699">
        <f t="shared" si="12"/>
        <v>1</v>
      </c>
      <c r="S23" s="667">
        <v>92</v>
      </c>
      <c r="T23" s="667">
        <f>IF(Q23&lt;&gt;"",Q23*R23*S23,"")</f>
        <v>3220</v>
      </c>
      <c r="U23" s="668">
        <f>IF(Q23&lt;&gt;"",K23-T23,"")</f>
        <v>0</v>
      </c>
      <c r="V23" s="669">
        <f>IF(Q23&lt;&gt;"",0%,"")</f>
        <v>0</v>
      </c>
      <c r="W23" s="670">
        <f>IF(Q23&lt;&gt;"",V23*U23,"")</f>
        <v>0</v>
      </c>
      <c r="X23" s="670">
        <f>IF(Q23&lt;&gt;"",W23+T23,"")</f>
        <v>3220</v>
      </c>
      <c r="Y23" s="641">
        <f>IF(Q23&lt;&gt;"",X23+M23,"")</f>
        <v>4040.5658009195977</v>
      </c>
      <c r="Z23" s="644">
        <f>IF(Q23&lt;&gt;"",U23/K23,"")</f>
        <v>0</v>
      </c>
      <c r="AA23" s="788"/>
    </row>
    <row r="24" spans="1:27" ht="48.6" x14ac:dyDescent="0.3">
      <c r="A24" s="975">
        <v>10</v>
      </c>
      <c r="B24" s="610" t="s">
        <v>330</v>
      </c>
      <c r="C24" s="976" t="s">
        <v>115</v>
      </c>
      <c r="D24" s="876" t="s">
        <v>127</v>
      </c>
      <c r="E24" s="584" t="s">
        <v>117</v>
      </c>
      <c r="F24" s="977" t="s">
        <v>647</v>
      </c>
      <c r="G24" s="978" t="s">
        <v>648</v>
      </c>
      <c r="H24" s="660">
        <v>1</v>
      </c>
      <c r="I24" s="660">
        <v>1</v>
      </c>
      <c r="J24" s="979">
        <v>7400</v>
      </c>
      <c r="K24" s="980">
        <f t="shared" si="0"/>
        <v>7400</v>
      </c>
      <c r="L24" s="662">
        <f t="shared" si="1"/>
        <v>370</v>
      </c>
      <c r="M24" s="662">
        <f t="shared" si="2"/>
        <v>1885.7723375170876</v>
      </c>
      <c r="N24" s="952">
        <f t="shared" si="3"/>
        <v>9655.7723375170881</v>
      </c>
      <c r="P24" s="32"/>
      <c r="Q24" s="699">
        <f t="shared" si="12"/>
        <v>1</v>
      </c>
      <c r="R24" s="699">
        <f t="shared" si="12"/>
        <v>1</v>
      </c>
      <c r="S24" s="956">
        <v>7400</v>
      </c>
      <c r="T24" s="956">
        <f t="shared" si="5"/>
        <v>7400</v>
      </c>
      <c r="U24" s="957">
        <f t="shared" si="6"/>
        <v>0</v>
      </c>
      <c r="V24" s="958">
        <f t="shared" si="7"/>
        <v>0</v>
      </c>
      <c r="W24" s="959">
        <f t="shared" si="8"/>
        <v>0</v>
      </c>
      <c r="X24" s="959">
        <f t="shared" si="9"/>
        <v>7400</v>
      </c>
      <c r="Y24" s="753">
        <f t="shared" si="10"/>
        <v>9285.7723375170881</v>
      </c>
      <c r="Z24" s="644">
        <f t="shared" si="11"/>
        <v>0</v>
      </c>
      <c r="AA24" s="788"/>
    </row>
    <row r="25" spans="1:27" ht="16.2" x14ac:dyDescent="0.3">
      <c r="A25" s="971">
        <v>11</v>
      </c>
      <c r="B25" s="610" t="s">
        <v>332</v>
      </c>
      <c r="C25" s="882" t="s">
        <v>115</v>
      </c>
      <c r="D25" s="584" t="s">
        <v>127</v>
      </c>
      <c r="E25" s="584" t="s">
        <v>117</v>
      </c>
      <c r="F25" s="844" t="s">
        <v>649</v>
      </c>
      <c r="G25" s="691" t="s">
        <v>650</v>
      </c>
      <c r="H25" s="683">
        <v>1</v>
      </c>
      <c r="I25" s="683">
        <v>1</v>
      </c>
      <c r="J25" s="972">
        <v>321</v>
      </c>
      <c r="K25" s="973">
        <f t="shared" si="0"/>
        <v>321</v>
      </c>
      <c r="L25" s="633">
        <f t="shared" si="1"/>
        <v>16.05</v>
      </c>
      <c r="M25" s="633">
        <f t="shared" si="2"/>
        <v>81.801745992295295</v>
      </c>
      <c r="N25" s="816">
        <f t="shared" si="3"/>
        <v>418.85174599229532</v>
      </c>
      <c r="P25" s="32"/>
      <c r="Q25" s="883">
        <f t="shared" si="4"/>
        <v>1</v>
      </c>
      <c r="R25" s="883">
        <f t="shared" si="4"/>
        <v>1</v>
      </c>
      <c r="S25" s="694">
        <v>321</v>
      </c>
      <c r="T25" s="694">
        <f t="shared" si="5"/>
        <v>321</v>
      </c>
      <c r="U25" s="687">
        <f t="shared" si="6"/>
        <v>0</v>
      </c>
      <c r="V25" s="688">
        <f t="shared" si="7"/>
        <v>0</v>
      </c>
      <c r="W25" s="689">
        <f t="shared" si="8"/>
        <v>0</v>
      </c>
      <c r="X25" s="689">
        <f t="shared" si="9"/>
        <v>321</v>
      </c>
      <c r="Y25" s="900">
        <f t="shared" si="10"/>
        <v>402.80174599229531</v>
      </c>
      <c r="Z25" s="644">
        <f t="shared" si="11"/>
        <v>0</v>
      </c>
      <c r="AA25" s="788"/>
    </row>
    <row r="26" spans="1:27" ht="32.4" x14ac:dyDescent="0.3">
      <c r="A26" s="971">
        <v>12</v>
      </c>
      <c r="B26" s="610" t="s">
        <v>334</v>
      </c>
      <c r="C26" s="882" t="s">
        <v>115</v>
      </c>
      <c r="D26" s="584" t="s">
        <v>127</v>
      </c>
      <c r="E26" s="584" t="s">
        <v>117</v>
      </c>
      <c r="F26" s="844" t="s">
        <v>651</v>
      </c>
      <c r="G26" s="691" t="s">
        <v>652</v>
      </c>
      <c r="H26" s="683">
        <v>1</v>
      </c>
      <c r="I26" s="683">
        <v>1</v>
      </c>
      <c r="J26" s="972">
        <v>528</v>
      </c>
      <c r="K26" s="973">
        <f>IF(F26&lt;&gt;"",H26*I26*J26,"")</f>
        <v>528</v>
      </c>
      <c r="L26" s="633">
        <f t="shared" si="1"/>
        <v>26.400000000000002</v>
      </c>
      <c r="M26" s="633">
        <f t="shared" si="2"/>
        <v>134.55240462284084</v>
      </c>
      <c r="N26" s="816">
        <f t="shared" si="3"/>
        <v>688.95240462284085</v>
      </c>
      <c r="P26" s="32"/>
      <c r="Q26" s="883">
        <f t="shared" si="4"/>
        <v>1</v>
      </c>
      <c r="R26" s="883">
        <f t="shared" si="4"/>
        <v>1</v>
      </c>
      <c r="S26" s="694">
        <v>528</v>
      </c>
      <c r="T26" s="694">
        <f t="shared" si="5"/>
        <v>528</v>
      </c>
      <c r="U26" s="687">
        <f t="shared" si="6"/>
        <v>0</v>
      </c>
      <c r="V26" s="688">
        <f t="shared" si="7"/>
        <v>0</v>
      </c>
      <c r="W26" s="689">
        <f t="shared" si="8"/>
        <v>0</v>
      </c>
      <c r="X26" s="689">
        <f t="shared" si="9"/>
        <v>528</v>
      </c>
      <c r="Y26" s="900">
        <f t="shared" si="10"/>
        <v>662.55240462284087</v>
      </c>
      <c r="Z26" s="644">
        <f t="shared" si="11"/>
        <v>0</v>
      </c>
      <c r="AA26" s="788"/>
    </row>
    <row r="27" spans="1:27" ht="16.2" x14ac:dyDescent="0.3">
      <c r="A27" s="971">
        <v>13</v>
      </c>
      <c r="B27" s="610" t="s">
        <v>336</v>
      </c>
      <c r="C27" s="882" t="s">
        <v>115</v>
      </c>
      <c r="D27" s="584" t="s">
        <v>127</v>
      </c>
      <c r="E27" s="584" t="s">
        <v>117</v>
      </c>
      <c r="F27" s="844" t="s">
        <v>653</v>
      </c>
      <c r="G27" s="691" t="s">
        <v>654</v>
      </c>
      <c r="H27" s="683">
        <v>1</v>
      </c>
      <c r="I27" s="683">
        <v>1</v>
      </c>
      <c r="J27" s="972">
        <v>464</v>
      </c>
      <c r="K27" s="973">
        <f t="shared" si="0"/>
        <v>464</v>
      </c>
      <c r="L27" s="633">
        <f t="shared" si="1"/>
        <v>23.200000000000003</v>
      </c>
      <c r="M27" s="633">
        <f t="shared" si="2"/>
        <v>118.24302224431469</v>
      </c>
      <c r="N27" s="816">
        <f t="shared" si="3"/>
        <v>605.44302224431465</v>
      </c>
      <c r="P27" s="32"/>
      <c r="Q27" s="883">
        <f t="shared" si="4"/>
        <v>1</v>
      </c>
      <c r="R27" s="883">
        <f t="shared" si="4"/>
        <v>1</v>
      </c>
      <c r="S27" s="694">
        <v>464</v>
      </c>
      <c r="T27" s="694">
        <f t="shared" si="5"/>
        <v>464</v>
      </c>
      <c r="U27" s="687">
        <f t="shared" si="6"/>
        <v>0</v>
      </c>
      <c r="V27" s="688">
        <f t="shared" si="7"/>
        <v>0</v>
      </c>
      <c r="W27" s="689">
        <f t="shared" si="8"/>
        <v>0</v>
      </c>
      <c r="X27" s="689">
        <f t="shared" si="9"/>
        <v>464</v>
      </c>
      <c r="Y27" s="900">
        <f t="shared" si="10"/>
        <v>582.24302224431472</v>
      </c>
      <c r="Z27" s="644">
        <f t="shared" si="11"/>
        <v>0</v>
      </c>
      <c r="AA27" s="788"/>
    </row>
    <row r="28" spans="1:27" ht="48.6" x14ac:dyDescent="0.3">
      <c r="A28" s="971">
        <v>14</v>
      </c>
      <c r="B28" s="610" t="s">
        <v>338</v>
      </c>
      <c r="C28" s="882" t="s">
        <v>115</v>
      </c>
      <c r="D28" s="584" t="s">
        <v>127</v>
      </c>
      <c r="E28" s="584" t="s">
        <v>117</v>
      </c>
      <c r="F28" s="793" t="s">
        <v>655</v>
      </c>
      <c r="G28" s="794" t="s">
        <v>656</v>
      </c>
      <c r="H28" s="630">
        <v>1</v>
      </c>
      <c r="I28" s="630">
        <v>1</v>
      </c>
      <c r="J28" s="964">
        <v>7063.5</v>
      </c>
      <c r="K28" s="965">
        <f t="shared" si="0"/>
        <v>7063.5</v>
      </c>
      <c r="L28" s="632">
        <f t="shared" si="1"/>
        <v>353.17500000000001</v>
      </c>
      <c r="M28" s="632">
        <f t="shared" si="2"/>
        <v>1800.0206629799932</v>
      </c>
      <c r="N28" s="775">
        <f t="shared" si="3"/>
        <v>9216.6956629799934</v>
      </c>
      <c r="P28" s="32"/>
      <c r="Q28" s="981">
        <f t="shared" si="4"/>
        <v>1</v>
      </c>
      <c r="R28" s="981">
        <f t="shared" si="4"/>
        <v>1</v>
      </c>
      <c r="S28" s="638">
        <v>7063.5</v>
      </c>
      <c r="T28" s="638">
        <f t="shared" si="5"/>
        <v>7063.5</v>
      </c>
      <c r="U28" s="639">
        <f t="shared" si="6"/>
        <v>0</v>
      </c>
      <c r="V28" s="640">
        <f t="shared" si="7"/>
        <v>0</v>
      </c>
      <c r="W28" s="641">
        <f t="shared" si="8"/>
        <v>0</v>
      </c>
      <c r="X28" s="641">
        <f t="shared" si="9"/>
        <v>7063.5</v>
      </c>
      <c r="Y28" s="641">
        <f t="shared" si="10"/>
        <v>8863.5206629799941</v>
      </c>
      <c r="Z28" s="644">
        <f t="shared" si="11"/>
        <v>0</v>
      </c>
      <c r="AA28" s="788"/>
    </row>
    <row r="29" spans="1:27" ht="16.2" x14ac:dyDescent="0.3">
      <c r="A29" s="963">
        <v>15</v>
      </c>
      <c r="B29" s="610" t="s">
        <v>340</v>
      </c>
      <c r="C29" s="886" t="s">
        <v>115</v>
      </c>
      <c r="D29" s="584" t="s">
        <v>127</v>
      </c>
      <c r="E29" s="584" t="s">
        <v>117</v>
      </c>
      <c r="F29" s="793" t="s">
        <v>657</v>
      </c>
      <c r="G29" s="794" t="s">
        <v>658</v>
      </c>
      <c r="H29" s="630">
        <v>240</v>
      </c>
      <c r="I29" s="630">
        <v>1</v>
      </c>
      <c r="J29" s="964">
        <v>12</v>
      </c>
      <c r="K29" s="965">
        <f t="shared" si="0"/>
        <v>2880</v>
      </c>
      <c r="L29" s="632">
        <f t="shared" si="1"/>
        <v>144</v>
      </c>
      <c r="M29" s="632">
        <f t="shared" si="2"/>
        <v>733.92220703367741</v>
      </c>
      <c r="N29" s="775">
        <f t="shared" si="3"/>
        <v>3757.9222070336773</v>
      </c>
      <c r="P29" s="32"/>
      <c r="Q29" s="981">
        <f>IF(H29&lt;&gt;"",H29,"")</f>
        <v>240</v>
      </c>
      <c r="R29" s="981">
        <f>IF(I29&lt;&gt;"",I29,"")</f>
        <v>1</v>
      </c>
      <c r="S29" s="638">
        <v>12</v>
      </c>
      <c r="T29" s="638">
        <f t="shared" si="5"/>
        <v>2880</v>
      </c>
      <c r="U29" s="639">
        <f t="shared" si="6"/>
        <v>0</v>
      </c>
      <c r="V29" s="640">
        <f t="shared" si="7"/>
        <v>0</v>
      </c>
      <c r="W29" s="641">
        <f t="shared" si="8"/>
        <v>0</v>
      </c>
      <c r="X29" s="641">
        <f t="shared" si="9"/>
        <v>2880</v>
      </c>
      <c r="Y29" s="641">
        <f t="shared" si="10"/>
        <v>3613.9222070336773</v>
      </c>
      <c r="Z29" s="644">
        <f t="shared" si="11"/>
        <v>0</v>
      </c>
      <c r="AA29" s="788"/>
    </row>
    <row r="30" spans="1:27" ht="48.6" x14ac:dyDescent="0.3">
      <c r="A30" s="971">
        <v>16</v>
      </c>
      <c r="B30" s="610" t="s">
        <v>342</v>
      </c>
      <c r="C30" s="882" t="s">
        <v>115</v>
      </c>
      <c r="D30" s="584" t="s">
        <v>127</v>
      </c>
      <c r="E30" s="584" t="s">
        <v>117</v>
      </c>
      <c r="F30" s="844" t="s">
        <v>659</v>
      </c>
      <c r="G30" s="691" t="s">
        <v>660</v>
      </c>
      <c r="H30" s="683">
        <v>1</v>
      </c>
      <c r="I30" s="683">
        <v>1</v>
      </c>
      <c r="J30" s="972">
        <v>7527</v>
      </c>
      <c r="K30" s="973">
        <f t="shared" si="0"/>
        <v>7527</v>
      </c>
      <c r="L30" s="633">
        <f t="shared" si="1"/>
        <v>376.35</v>
      </c>
      <c r="M30" s="633">
        <f t="shared" si="2"/>
        <v>1918.1362681744756</v>
      </c>
      <c r="N30" s="816">
        <f t="shared" si="3"/>
        <v>9821.4862681744762</v>
      </c>
      <c r="P30" s="32"/>
      <c r="Q30" s="883">
        <f t="shared" ref="Q30:R42" si="13">IF(H30&lt;&gt;"",H30,"")</f>
        <v>1</v>
      </c>
      <c r="R30" s="883">
        <f t="shared" si="13"/>
        <v>1</v>
      </c>
      <c r="S30" s="694">
        <v>7527</v>
      </c>
      <c r="T30" s="694">
        <f t="shared" si="5"/>
        <v>7527</v>
      </c>
      <c r="U30" s="687">
        <f t="shared" si="6"/>
        <v>0</v>
      </c>
      <c r="V30" s="688">
        <f t="shared" si="7"/>
        <v>0</v>
      </c>
      <c r="W30" s="689">
        <f t="shared" si="8"/>
        <v>0</v>
      </c>
      <c r="X30" s="689">
        <f t="shared" si="9"/>
        <v>7527</v>
      </c>
      <c r="Y30" s="900">
        <f t="shared" si="10"/>
        <v>9445.1362681744758</v>
      </c>
      <c r="Z30" s="644">
        <f t="shared" si="11"/>
        <v>0</v>
      </c>
      <c r="AA30" s="788"/>
    </row>
    <row r="31" spans="1:27" ht="48.6" x14ac:dyDescent="0.3">
      <c r="A31" s="971">
        <v>17</v>
      </c>
      <c r="B31" s="610" t="s">
        <v>344</v>
      </c>
      <c r="C31" s="882" t="s">
        <v>115</v>
      </c>
      <c r="D31" s="584" t="s">
        <v>127</v>
      </c>
      <c r="E31" s="584" t="s">
        <v>117</v>
      </c>
      <c r="F31" s="844" t="s">
        <v>661</v>
      </c>
      <c r="G31" s="691" t="s">
        <v>662</v>
      </c>
      <c r="H31" s="683">
        <v>1</v>
      </c>
      <c r="I31" s="683">
        <v>1</v>
      </c>
      <c r="J31" s="972">
        <v>10514</v>
      </c>
      <c r="K31" s="973">
        <f t="shared" si="0"/>
        <v>10514</v>
      </c>
      <c r="L31" s="633">
        <f t="shared" si="1"/>
        <v>525.70000000000005</v>
      </c>
      <c r="M31" s="633">
        <f t="shared" si="2"/>
        <v>2679.3257238722517</v>
      </c>
      <c r="N31" s="816">
        <f t="shared" si="3"/>
        <v>13719.025723872252</v>
      </c>
      <c r="P31" s="32"/>
      <c r="Q31" s="883">
        <f t="shared" si="13"/>
        <v>1</v>
      </c>
      <c r="R31" s="883">
        <f t="shared" si="13"/>
        <v>1</v>
      </c>
      <c r="S31" s="694">
        <v>10514</v>
      </c>
      <c r="T31" s="694">
        <f t="shared" si="5"/>
        <v>10514</v>
      </c>
      <c r="U31" s="687">
        <f t="shared" si="6"/>
        <v>0</v>
      </c>
      <c r="V31" s="688">
        <f t="shared" si="7"/>
        <v>0</v>
      </c>
      <c r="W31" s="689">
        <f t="shared" si="8"/>
        <v>0</v>
      </c>
      <c r="X31" s="689">
        <f t="shared" si="9"/>
        <v>10514</v>
      </c>
      <c r="Y31" s="900">
        <f t="shared" si="10"/>
        <v>13193.325723872251</v>
      </c>
      <c r="Z31" s="644">
        <f t="shared" si="11"/>
        <v>0</v>
      </c>
      <c r="AA31" s="788"/>
    </row>
    <row r="32" spans="1:27" ht="16.2" x14ac:dyDescent="0.3">
      <c r="A32" s="974">
        <v>18</v>
      </c>
      <c r="B32" s="610" t="s">
        <v>345</v>
      </c>
      <c r="C32" s="698" t="s">
        <v>115</v>
      </c>
      <c r="D32" s="584" t="s">
        <v>127</v>
      </c>
      <c r="E32" s="584" t="s">
        <v>117</v>
      </c>
      <c r="F32" s="793" t="s">
        <v>663</v>
      </c>
      <c r="G32" s="794" t="s">
        <v>664</v>
      </c>
      <c r="H32" s="630">
        <v>1</v>
      </c>
      <c r="I32" s="630">
        <v>1</v>
      </c>
      <c r="J32" s="964">
        <v>35</v>
      </c>
      <c r="K32" s="965">
        <f>IF(F32&lt;&gt;"",H32*I32*J32,"")</f>
        <v>35</v>
      </c>
      <c r="L32" s="632">
        <f>IF(K32&lt;&gt;"",IF(D32="INTERNO",0,K32*$L$14),"")</f>
        <v>1.75</v>
      </c>
      <c r="M32" s="632">
        <f>IF(K32&lt;&gt;"",IF(E32="FAT.OGGI",SUM(K32:L32)*(1/(1-$M$14)-1),L32*(1/(1-$M$14)-1)),"")</f>
        <v>8.9191934882564965</v>
      </c>
      <c r="N32" s="775">
        <f>SUM(K32:M32)</f>
        <v>45.669193488256496</v>
      </c>
      <c r="P32" s="32"/>
      <c r="Q32" s="699">
        <f>IF(H32&lt;&gt;"",H32,"")</f>
        <v>1</v>
      </c>
      <c r="R32" s="699">
        <f>IF(I32&lt;&gt;"",I32,"")</f>
        <v>1</v>
      </c>
      <c r="S32" s="667">
        <v>35</v>
      </c>
      <c r="T32" s="667">
        <f>IF(Q32&lt;&gt;"",Q32*R32*S32,"")</f>
        <v>35</v>
      </c>
      <c r="U32" s="668">
        <f>IF(Q32&lt;&gt;"",K32-T32,"")</f>
        <v>0</v>
      </c>
      <c r="V32" s="669">
        <f>IF(Q32&lt;&gt;"",0%,"")</f>
        <v>0</v>
      </c>
      <c r="W32" s="670">
        <f>IF(Q32&lt;&gt;"",V32*U32,"")</f>
        <v>0</v>
      </c>
      <c r="X32" s="670">
        <f>IF(Q32&lt;&gt;"",W32+T32,"")</f>
        <v>35</v>
      </c>
      <c r="Y32" s="641">
        <f>IF(Q32&lt;&gt;"",X32+M32,"")</f>
        <v>43.919193488256496</v>
      </c>
      <c r="Z32" s="644">
        <f>IF(Q32&lt;&gt;"",U32/K32,"")</f>
        <v>0</v>
      </c>
      <c r="AA32" s="788"/>
    </row>
    <row r="33" spans="1:27" ht="32.4" x14ac:dyDescent="0.3">
      <c r="A33" s="963">
        <v>19</v>
      </c>
      <c r="B33" s="610" t="s">
        <v>346</v>
      </c>
      <c r="C33" s="886" t="s">
        <v>115</v>
      </c>
      <c r="D33" s="584" t="s">
        <v>127</v>
      </c>
      <c r="E33" s="876" t="s">
        <v>117</v>
      </c>
      <c r="F33" s="878" t="s">
        <v>649</v>
      </c>
      <c r="G33" s="702" t="s">
        <v>665</v>
      </c>
      <c r="H33" s="715">
        <v>1</v>
      </c>
      <c r="I33" s="715">
        <v>1</v>
      </c>
      <c r="J33" s="969">
        <v>321</v>
      </c>
      <c r="K33" s="970">
        <f t="shared" si="0"/>
        <v>321</v>
      </c>
      <c r="L33" s="705">
        <f t="shared" si="1"/>
        <v>16.05</v>
      </c>
      <c r="M33" s="705">
        <f t="shared" si="2"/>
        <v>81.801745992295295</v>
      </c>
      <c r="N33" s="879">
        <f t="shared" si="3"/>
        <v>418.85174599229532</v>
      </c>
      <c r="P33" s="32"/>
      <c r="Q33" s="982">
        <f t="shared" si="13"/>
        <v>1</v>
      </c>
      <c r="R33" s="982">
        <f t="shared" si="13"/>
        <v>1</v>
      </c>
      <c r="S33" s="983">
        <v>321</v>
      </c>
      <c r="T33" s="983">
        <f t="shared" si="5"/>
        <v>321</v>
      </c>
      <c r="U33" s="984">
        <f t="shared" si="6"/>
        <v>0</v>
      </c>
      <c r="V33" s="985">
        <f t="shared" si="7"/>
        <v>0</v>
      </c>
      <c r="W33" s="899">
        <f t="shared" si="8"/>
        <v>0</v>
      </c>
      <c r="X33" s="899">
        <f t="shared" si="9"/>
        <v>321</v>
      </c>
      <c r="Y33" s="899">
        <f t="shared" si="10"/>
        <v>402.80174599229531</v>
      </c>
      <c r="Z33" s="644">
        <f t="shared" si="11"/>
        <v>0</v>
      </c>
      <c r="AA33" s="788"/>
    </row>
    <row r="34" spans="1:27" ht="32.4" x14ac:dyDescent="0.3">
      <c r="A34" s="974">
        <v>20</v>
      </c>
      <c r="B34" s="610" t="s">
        <v>347</v>
      </c>
      <c r="C34" s="698" t="s">
        <v>115</v>
      </c>
      <c r="D34" s="584" t="s">
        <v>127</v>
      </c>
      <c r="E34" s="876" t="s">
        <v>117</v>
      </c>
      <c r="F34" s="793" t="s">
        <v>666</v>
      </c>
      <c r="G34" s="794" t="s">
        <v>667</v>
      </c>
      <c r="H34" s="630">
        <v>1</v>
      </c>
      <c r="I34" s="630">
        <v>1</v>
      </c>
      <c r="J34" s="964">
        <v>328</v>
      </c>
      <c r="K34" s="965">
        <f>IF(F34&lt;&gt;"",H34*I34*J34,"")</f>
        <v>328</v>
      </c>
      <c r="L34" s="632">
        <f>IF(K34&lt;&gt;"",IF(D34="INTERNO",0,K34*$L$14),"")</f>
        <v>16.400000000000002</v>
      </c>
      <c r="M34" s="632">
        <f>IF(K34&lt;&gt;"",IF(E34="FAT.OGGI",SUM(K34:L34)*(1/(1-$M$14)-1),L34*(1/(1-$M$14)-1)),"")</f>
        <v>83.585584689946586</v>
      </c>
      <c r="N34" s="775">
        <f>SUM(K34:M34)</f>
        <v>427.98558468994656</v>
      </c>
      <c r="P34" s="32"/>
      <c r="Q34" s="699">
        <f>IF(H34&lt;&gt;"",H34,"")</f>
        <v>1</v>
      </c>
      <c r="R34" s="699">
        <f>IF(I34&lt;&gt;"",I34,"")</f>
        <v>1</v>
      </c>
      <c r="S34" s="667">
        <v>328</v>
      </c>
      <c r="T34" s="667">
        <f>IF(Q34&lt;&gt;"",Q34*R34*S34,"")</f>
        <v>328</v>
      </c>
      <c r="U34" s="668">
        <f>IF(Q34&lt;&gt;"",K34-T34,"")</f>
        <v>0</v>
      </c>
      <c r="V34" s="669">
        <f>IF(Q34&lt;&gt;"",0%,"")</f>
        <v>0</v>
      </c>
      <c r="W34" s="670">
        <f>IF(Q34&lt;&gt;"",V34*U34,"")</f>
        <v>0</v>
      </c>
      <c r="X34" s="670">
        <f>IF(Q34&lt;&gt;"",W34+T34,"")</f>
        <v>328</v>
      </c>
      <c r="Y34" s="641">
        <f>IF(Q34&lt;&gt;"",X34+M34,"")</f>
        <v>411.58558468994659</v>
      </c>
      <c r="Z34" s="644">
        <f>IF(Q34&lt;&gt;"",U34/K34,"")</f>
        <v>0</v>
      </c>
      <c r="AA34" s="788"/>
    </row>
    <row r="35" spans="1:27" ht="36" customHeight="1" x14ac:dyDescent="0.3">
      <c r="A35" s="963">
        <v>21</v>
      </c>
      <c r="B35" s="610" t="s">
        <v>348</v>
      </c>
      <c r="C35" s="886" t="s">
        <v>115</v>
      </c>
      <c r="D35" s="584" t="s">
        <v>127</v>
      </c>
      <c r="E35" s="876" t="s">
        <v>117</v>
      </c>
      <c r="F35" s="977" t="s">
        <v>668</v>
      </c>
      <c r="G35" s="978" t="s">
        <v>669</v>
      </c>
      <c r="H35" s="660">
        <v>1</v>
      </c>
      <c r="I35" s="660">
        <v>1</v>
      </c>
      <c r="J35" s="979">
        <v>3176</v>
      </c>
      <c r="K35" s="980">
        <f t="shared" si="0"/>
        <v>3176</v>
      </c>
      <c r="L35" s="662">
        <f t="shared" si="1"/>
        <v>158.80000000000001</v>
      </c>
      <c r="M35" s="662">
        <f t="shared" si="2"/>
        <v>809.35310053436092</v>
      </c>
      <c r="N35" s="952">
        <f t="shared" si="3"/>
        <v>4144.1531005343613</v>
      </c>
      <c r="P35" s="32"/>
      <c r="Q35" s="747">
        <f t="shared" si="13"/>
        <v>1</v>
      </c>
      <c r="R35" s="747">
        <f t="shared" si="13"/>
        <v>1</v>
      </c>
      <c r="S35" s="652">
        <v>3176</v>
      </c>
      <c r="T35" s="652">
        <f t="shared" ref="T35:T38" si="14">IF(Q35&lt;&gt;"",Q35*R35*S35,"")</f>
        <v>3176</v>
      </c>
      <c r="U35" s="751">
        <f t="shared" si="6"/>
        <v>0</v>
      </c>
      <c r="V35" s="752">
        <f t="shared" si="7"/>
        <v>0</v>
      </c>
      <c r="W35" s="753">
        <f t="shared" si="8"/>
        <v>0</v>
      </c>
      <c r="X35" s="753">
        <f t="shared" si="9"/>
        <v>3176</v>
      </c>
      <c r="Y35" s="753">
        <f t="shared" si="10"/>
        <v>3985.3531005343611</v>
      </c>
      <c r="Z35" s="644">
        <f t="shared" si="11"/>
        <v>0</v>
      </c>
      <c r="AA35" s="788"/>
    </row>
    <row r="36" spans="1:27" ht="32.4" x14ac:dyDescent="0.3">
      <c r="A36" s="971">
        <v>22</v>
      </c>
      <c r="B36" s="610" t="s">
        <v>350</v>
      </c>
      <c r="C36" s="882" t="s">
        <v>115</v>
      </c>
      <c r="D36" s="584" t="s">
        <v>127</v>
      </c>
      <c r="E36" s="584" t="s">
        <v>117</v>
      </c>
      <c r="F36" s="844" t="s">
        <v>670</v>
      </c>
      <c r="G36" s="691" t="s">
        <v>671</v>
      </c>
      <c r="H36" s="683">
        <v>1</v>
      </c>
      <c r="I36" s="683">
        <v>1</v>
      </c>
      <c r="J36" s="972">
        <v>6414</v>
      </c>
      <c r="K36" s="973">
        <f t="shared" si="0"/>
        <v>6414</v>
      </c>
      <c r="L36" s="633">
        <f t="shared" si="1"/>
        <v>320.70000000000005</v>
      </c>
      <c r="M36" s="633">
        <f t="shared" si="2"/>
        <v>1634.5059152479189</v>
      </c>
      <c r="N36" s="816">
        <f t="shared" si="3"/>
        <v>8369.2059152479196</v>
      </c>
      <c r="P36" s="32"/>
      <c r="Q36" s="981">
        <f t="shared" si="13"/>
        <v>1</v>
      </c>
      <c r="R36" s="981">
        <f t="shared" si="13"/>
        <v>1</v>
      </c>
      <c r="S36" s="638">
        <v>6414</v>
      </c>
      <c r="T36" s="638">
        <f t="shared" si="14"/>
        <v>6414</v>
      </c>
      <c r="U36" s="639">
        <f t="shared" si="6"/>
        <v>0</v>
      </c>
      <c r="V36" s="640">
        <f t="shared" si="7"/>
        <v>0</v>
      </c>
      <c r="W36" s="641">
        <f t="shared" si="8"/>
        <v>0</v>
      </c>
      <c r="X36" s="641">
        <f t="shared" si="9"/>
        <v>6414</v>
      </c>
      <c r="Y36" s="641">
        <f t="shared" si="10"/>
        <v>8048.5059152479189</v>
      </c>
      <c r="Z36" s="644">
        <f t="shared" si="11"/>
        <v>0</v>
      </c>
      <c r="AA36" s="788"/>
    </row>
    <row r="37" spans="1:27" ht="28.5" customHeight="1" x14ac:dyDescent="0.3">
      <c r="A37" s="974">
        <v>23</v>
      </c>
      <c r="B37" s="610" t="s">
        <v>351</v>
      </c>
      <c r="C37" s="698" t="s">
        <v>115</v>
      </c>
      <c r="D37" s="584" t="s">
        <v>127</v>
      </c>
      <c r="E37" s="584" t="s">
        <v>117</v>
      </c>
      <c r="F37" s="793" t="s">
        <v>672</v>
      </c>
      <c r="G37" s="794" t="s">
        <v>673</v>
      </c>
      <c r="H37" s="630">
        <v>161</v>
      </c>
      <c r="I37" s="630">
        <v>1</v>
      </c>
      <c r="J37" s="965">
        <v>175</v>
      </c>
      <c r="K37" s="964">
        <f t="shared" si="0"/>
        <v>28175</v>
      </c>
      <c r="L37" s="632">
        <f t="shared" si="1"/>
        <v>1408.75</v>
      </c>
      <c r="M37" s="632">
        <f t="shared" si="2"/>
        <v>7179.9507580464797</v>
      </c>
      <c r="N37" s="775">
        <f t="shared" si="3"/>
        <v>36763.700758046478</v>
      </c>
      <c r="P37" s="32"/>
      <c r="Q37" s="699">
        <f t="shared" si="13"/>
        <v>161</v>
      </c>
      <c r="R37" s="699">
        <f t="shared" si="13"/>
        <v>1</v>
      </c>
      <c r="S37" s="667">
        <v>175</v>
      </c>
      <c r="T37" s="667">
        <f t="shared" si="14"/>
        <v>28175</v>
      </c>
      <c r="U37" s="668">
        <f t="shared" si="6"/>
        <v>0</v>
      </c>
      <c r="V37" s="669">
        <f t="shared" si="7"/>
        <v>0</v>
      </c>
      <c r="W37" s="670">
        <f t="shared" si="8"/>
        <v>0</v>
      </c>
      <c r="X37" s="670">
        <f t="shared" si="9"/>
        <v>28175</v>
      </c>
      <c r="Y37" s="641">
        <f t="shared" si="10"/>
        <v>35354.950758046478</v>
      </c>
      <c r="Z37" s="644">
        <f t="shared" si="11"/>
        <v>0</v>
      </c>
      <c r="AA37" s="788"/>
    </row>
    <row r="38" spans="1:27" ht="16.2" x14ac:dyDescent="0.3">
      <c r="A38" s="963">
        <v>24</v>
      </c>
      <c r="B38" s="610" t="s">
        <v>352</v>
      </c>
      <c r="C38" s="886" t="s">
        <v>115</v>
      </c>
      <c r="D38" s="584" t="s">
        <v>127</v>
      </c>
      <c r="E38" s="584" t="s">
        <v>117</v>
      </c>
      <c r="F38" s="878" t="s">
        <v>674</v>
      </c>
      <c r="G38" s="702" t="s">
        <v>675</v>
      </c>
      <c r="H38" s="715">
        <v>1</v>
      </c>
      <c r="I38" s="715">
        <v>1</v>
      </c>
      <c r="J38" s="970">
        <v>2488.5</v>
      </c>
      <c r="K38" s="970">
        <f t="shared" si="0"/>
        <v>2488.5</v>
      </c>
      <c r="L38" s="705">
        <f t="shared" si="1"/>
        <v>124.42500000000001</v>
      </c>
      <c r="M38" s="705">
        <f t="shared" si="2"/>
        <v>634.15465701503695</v>
      </c>
      <c r="N38" s="879">
        <f t="shared" si="3"/>
        <v>3247.0796570150369</v>
      </c>
      <c r="P38" s="32"/>
      <c r="Q38" s="888">
        <f t="shared" si="13"/>
        <v>1</v>
      </c>
      <c r="R38" s="888">
        <f t="shared" si="13"/>
        <v>1</v>
      </c>
      <c r="S38" s="709">
        <v>2488.5</v>
      </c>
      <c r="T38" s="709">
        <f t="shared" si="14"/>
        <v>2488.5</v>
      </c>
      <c r="U38" s="710">
        <f t="shared" si="6"/>
        <v>0</v>
      </c>
      <c r="V38" s="711">
        <f t="shared" si="7"/>
        <v>0</v>
      </c>
      <c r="W38" s="712">
        <f t="shared" si="8"/>
        <v>0</v>
      </c>
      <c r="X38" s="712">
        <f t="shared" si="9"/>
        <v>2488.5</v>
      </c>
      <c r="Y38" s="899">
        <f t="shared" si="10"/>
        <v>3122.6546570150367</v>
      </c>
      <c r="Z38" s="846">
        <f t="shared" si="11"/>
        <v>0</v>
      </c>
      <c r="AA38" s="788"/>
    </row>
    <row r="39" spans="1:27" ht="16.2" x14ac:dyDescent="0.3">
      <c r="A39" s="971">
        <v>25</v>
      </c>
      <c r="B39" s="610" t="s">
        <v>676</v>
      </c>
      <c r="C39" s="882" t="s">
        <v>115</v>
      </c>
      <c r="D39" s="584" t="s">
        <v>127</v>
      </c>
      <c r="E39" s="584" t="s">
        <v>117</v>
      </c>
      <c r="F39" s="844" t="s">
        <v>677</v>
      </c>
      <c r="G39" s="691" t="s">
        <v>678</v>
      </c>
      <c r="H39" s="683">
        <v>1</v>
      </c>
      <c r="I39" s="683">
        <v>1</v>
      </c>
      <c r="J39" s="973">
        <v>3444.5</v>
      </c>
      <c r="K39" s="973">
        <f>IF(F39&lt;&gt;"",H39*I39*J39,"")</f>
        <v>3444.5</v>
      </c>
      <c r="L39" s="633">
        <f>IF(K39&lt;&gt;"",IF(D39="INTERNO",0,K39*$L$14),"")</f>
        <v>172.22500000000002</v>
      </c>
      <c r="M39" s="633">
        <f>IF(K39&lt;&gt;"",IF(E39="FAT.OGGI",SUM(K39:L39)*(1/(1-$M$14)-1),L39*(1/(1-$M$14)-1)),"")</f>
        <v>877.77605629427137</v>
      </c>
      <c r="N39" s="816">
        <f>SUM(K39:M39)</f>
        <v>4494.5010562942716</v>
      </c>
      <c r="P39" s="32"/>
      <c r="Q39" s="883">
        <f t="shared" si="13"/>
        <v>1</v>
      </c>
      <c r="R39" s="883">
        <f t="shared" si="13"/>
        <v>1</v>
      </c>
      <c r="S39" s="694">
        <v>3444.5</v>
      </c>
      <c r="T39" s="694">
        <f>IF(Q39&lt;&gt;"",Q39*R39*S39,"")</f>
        <v>3444.5</v>
      </c>
      <c r="U39" s="687">
        <f>IF(Q39&lt;&gt;"",K39-T39,"")</f>
        <v>0</v>
      </c>
      <c r="V39" s="688">
        <f>IF(Q39&lt;&gt;"",0%,"")</f>
        <v>0</v>
      </c>
      <c r="W39" s="689">
        <f>IF(Q39&lt;&gt;"",V39*U39,"")</f>
        <v>0</v>
      </c>
      <c r="X39" s="689">
        <f>IF(Q39&lt;&gt;"",W39+T39,"")</f>
        <v>3444.5</v>
      </c>
      <c r="Y39" s="900">
        <f>IF(Q39&lt;&gt;"",X39+M39,"")</f>
        <v>4322.2760562942713</v>
      </c>
      <c r="Z39" s="644">
        <f>IF(Q39&lt;&gt;"",U39/K39,"")</f>
        <v>0</v>
      </c>
      <c r="AA39" s="788"/>
    </row>
    <row r="40" spans="1:27" ht="16.2" x14ac:dyDescent="0.3">
      <c r="A40" s="971">
        <v>26</v>
      </c>
      <c r="B40" s="610" t="s">
        <v>679</v>
      </c>
      <c r="C40" s="882" t="s">
        <v>115</v>
      </c>
      <c r="D40" s="584" t="s">
        <v>127</v>
      </c>
      <c r="E40" s="584" t="s">
        <v>117</v>
      </c>
      <c r="F40" s="844" t="s">
        <v>680</v>
      </c>
      <c r="G40" s="691" t="s">
        <v>681</v>
      </c>
      <c r="H40" s="683">
        <v>1</v>
      </c>
      <c r="I40" s="683">
        <v>1</v>
      </c>
      <c r="J40" s="973">
        <f>10289.76+159.12</f>
        <v>10448.880000000001</v>
      </c>
      <c r="K40" s="973">
        <f>IF(F40&lt;&gt;"",H40*I40*J40,"")</f>
        <v>10448.880000000001</v>
      </c>
      <c r="L40" s="633">
        <f>IF(K40&lt;&gt;"",IF(D40="INTERNO",0,K40*$L$14),"")</f>
        <v>522.44400000000007</v>
      </c>
      <c r="M40" s="633">
        <f>IF(K40&lt;&gt;"",IF(E40="FAT.OGGI",SUM(K40:L40)*(1/(1-$M$14)-1),L40*(1/(1-$M$14)-1)),"")</f>
        <v>2662.730927302101</v>
      </c>
      <c r="N40" s="816">
        <f>SUM(K40:M40)</f>
        <v>13634.054927302102</v>
      </c>
      <c r="P40" s="32"/>
      <c r="Q40" s="883">
        <f t="shared" si="13"/>
        <v>1</v>
      </c>
      <c r="R40" s="883">
        <f t="shared" si="13"/>
        <v>1</v>
      </c>
      <c r="S40" s="694">
        <v>10448.880000000001</v>
      </c>
      <c r="T40" s="694">
        <f>IF(Q40&lt;&gt;"",Q40*R40*S40,"")</f>
        <v>10448.880000000001</v>
      </c>
      <c r="U40" s="687">
        <f>IF(Q40&lt;&gt;"",K40-T40,"")</f>
        <v>0</v>
      </c>
      <c r="V40" s="688">
        <f>IF(Q40&lt;&gt;"",0%,"")</f>
        <v>0</v>
      </c>
      <c r="W40" s="689">
        <f>IF(Q40&lt;&gt;"",V40*U40,"")</f>
        <v>0</v>
      </c>
      <c r="X40" s="689">
        <f>IF(Q40&lt;&gt;"",W40+T40,"")</f>
        <v>10448.880000000001</v>
      </c>
      <c r="Y40" s="900">
        <f>IF(Q40&lt;&gt;"",X40+M40,"")</f>
        <v>13111.610927302103</v>
      </c>
      <c r="Z40" s="644">
        <f>IF(Q40&lt;&gt;"",U40/K40,"")</f>
        <v>0</v>
      </c>
      <c r="AA40" s="788"/>
    </row>
    <row r="41" spans="1:27" ht="16.2" x14ac:dyDescent="0.3">
      <c r="A41" s="974">
        <v>27</v>
      </c>
      <c r="B41" s="610" t="s">
        <v>682</v>
      </c>
      <c r="C41" s="698" t="s">
        <v>115</v>
      </c>
      <c r="D41" s="697"/>
      <c r="E41" s="697"/>
      <c r="F41" s="793" t="s">
        <v>683</v>
      </c>
      <c r="G41" s="794" t="s">
        <v>684</v>
      </c>
      <c r="H41" s="630">
        <v>1</v>
      </c>
      <c r="I41" s="630">
        <v>1</v>
      </c>
      <c r="J41" s="965">
        <v>220</v>
      </c>
      <c r="K41" s="965">
        <f>IF(F41&lt;&gt;"",H41*I41*J41,"")</f>
        <v>220</v>
      </c>
      <c r="L41" s="632">
        <f>IF(K41&lt;&gt;"",IF(D41="INTERNO",0,K41*$L$14),"")</f>
        <v>11</v>
      </c>
      <c r="M41" s="632">
        <f>IF(K41&lt;&gt;"",IF(E41="FAT.OGGI",SUM(K41:L41)*(1/(1-$M$14)-1),L41*(1/(1-$M$14)-1)),"")</f>
        <v>2.6696905679135092</v>
      </c>
      <c r="N41" s="775">
        <f>SUM(K41:M41)</f>
        <v>233.66969056791351</v>
      </c>
      <c r="P41" s="32"/>
      <c r="Q41" s="699">
        <f t="shared" si="13"/>
        <v>1</v>
      </c>
      <c r="R41" s="699">
        <f t="shared" si="13"/>
        <v>1</v>
      </c>
      <c r="S41" s="667">
        <v>220</v>
      </c>
      <c r="T41" s="667">
        <f>IF(Q41&lt;&gt;"",Q41*R41*S41,"")</f>
        <v>220</v>
      </c>
      <c r="U41" s="668">
        <f>IF(Q41&lt;&gt;"",K41-T41,"")</f>
        <v>0</v>
      </c>
      <c r="V41" s="669">
        <f>IF(Q41&lt;&gt;"",0%,"")</f>
        <v>0</v>
      </c>
      <c r="W41" s="670">
        <f>IF(Q41&lt;&gt;"",V41*U41,"")</f>
        <v>0</v>
      </c>
      <c r="X41" s="670">
        <f>IF(Q41&lt;&gt;"",W41+T41,"")</f>
        <v>220</v>
      </c>
      <c r="Y41" s="641">
        <f>IF(Q41&lt;&gt;"",X41+M41,"")</f>
        <v>222.66969056791351</v>
      </c>
      <c r="Z41" s="644">
        <f>IF(Q41&lt;&gt;"",U41/K41,"")</f>
        <v>0</v>
      </c>
      <c r="AA41" s="788"/>
    </row>
    <row r="42" spans="1:27" ht="32.4" x14ac:dyDescent="0.3">
      <c r="A42" s="974">
        <v>28</v>
      </c>
      <c r="B42" s="610" t="s">
        <v>685</v>
      </c>
      <c r="C42" s="698" t="s">
        <v>115</v>
      </c>
      <c r="D42" s="584" t="s">
        <v>127</v>
      </c>
      <c r="E42" s="584" t="s">
        <v>117</v>
      </c>
      <c r="F42" s="793" t="s">
        <v>686</v>
      </c>
      <c r="G42" s="794" t="s">
        <v>687</v>
      </c>
      <c r="H42" s="630">
        <v>1</v>
      </c>
      <c r="I42" s="630">
        <v>1</v>
      </c>
      <c r="J42" s="965">
        <f>2100+1750</f>
        <v>3850</v>
      </c>
      <c r="K42" s="964">
        <f t="shared" ref="K42" si="15">IF(F42&lt;&gt;"",H42*I42*J42,"")</f>
        <v>3850</v>
      </c>
      <c r="L42" s="632">
        <f t="shared" ref="L42" si="16">IF(K42&lt;&gt;"",IF(D42="INTERNO",0,K42*$L$14),"")</f>
        <v>192.5</v>
      </c>
      <c r="M42" s="632">
        <f t="shared" ref="M42" si="17">IF(K42&lt;&gt;"",IF(E42="FAT.OGGI",SUM(K42:L42)*(1/(1-$M$14)-1),L42*(1/(1-$M$14)-1)),"")</f>
        <v>981.11128370821461</v>
      </c>
      <c r="N42" s="775">
        <f t="shared" ref="N42" si="18">SUM(K42:M42)</f>
        <v>5023.6112837082146</v>
      </c>
      <c r="P42" s="32"/>
      <c r="Q42" s="699">
        <f t="shared" si="13"/>
        <v>1</v>
      </c>
      <c r="R42" s="699">
        <f t="shared" si="13"/>
        <v>1</v>
      </c>
      <c r="S42" s="667">
        <v>3850</v>
      </c>
      <c r="T42" s="667">
        <f t="shared" ref="T42" si="19">IF(Q42&lt;&gt;"",Q42*R42*S42,"")</f>
        <v>3850</v>
      </c>
      <c r="U42" s="668">
        <f t="shared" ref="U42" si="20">IF(Q42&lt;&gt;"",K42-T42,"")</f>
        <v>0</v>
      </c>
      <c r="V42" s="669">
        <f t="shared" ref="V42" si="21">IF(Q42&lt;&gt;"",0%,"")</f>
        <v>0</v>
      </c>
      <c r="W42" s="670">
        <f t="shared" ref="W42" si="22">IF(Q42&lt;&gt;"",V42*U42,"")</f>
        <v>0</v>
      </c>
      <c r="X42" s="670">
        <f t="shared" ref="X42" si="23">IF(Q42&lt;&gt;"",W42+T42,"")</f>
        <v>3850</v>
      </c>
      <c r="Y42" s="641">
        <f t="shared" ref="Y42" si="24">IF(Q42&lt;&gt;"",X42+M42,"")</f>
        <v>4831.1112837082146</v>
      </c>
      <c r="Z42" s="644">
        <f t="shared" ref="Z42" si="25">IF(Q42&lt;&gt;"",U42/K42,"")</f>
        <v>0</v>
      </c>
      <c r="AA42" s="788"/>
    </row>
    <row r="43" spans="1:27" ht="16.8" thickBot="1" x14ac:dyDescent="0.35">
      <c r="A43" s="619">
        <v>29</v>
      </c>
      <c r="B43" s="610" t="s">
        <v>688</v>
      </c>
      <c r="C43" s="627" t="s">
        <v>115</v>
      </c>
      <c r="D43" s="626" t="s">
        <v>127</v>
      </c>
      <c r="E43" s="626" t="s">
        <v>323</v>
      </c>
      <c r="F43" s="884" t="s">
        <v>689</v>
      </c>
      <c r="G43" s="682"/>
      <c r="H43" s="683">
        <v>1</v>
      </c>
      <c r="I43" s="683">
        <v>1</v>
      </c>
      <c r="J43" s="973">
        <v>10054.080000000016</v>
      </c>
      <c r="K43" s="973">
        <f>IF(F43&lt;&gt;"",H43*I43*J43,"")</f>
        <v>10054.080000000016</v>
      </c>
      <c r="L43" s="633">
        <f>IF(K43&lt;&gt;"",IF(D43="INTERNO",0,K43*'[3]Bourbon Atibaia '!$L$14),"")</f>
        <v>502.70400000000086</v>
      </c>
      <c r="M43" s="633">
        <f>IF(K43&lt;&gt;"",IF(E43="FAT.OGGI",SUM(K43:L43)*(1/(1-'[3]Bourbon Atibaia '!$M$14)-1),L43*(1/(1-'[3]Bourbon Atibaia '!$M$14)-1)),"")</f>
        <v>122.00582975021771</v>
      </c>
      <c r="N43" s="816">
        <f>SUM(K43:M43)</f>
        <v>10678.789829750236</v>
      </c>
      <c r="Q43" s="635">
        <f>IF(H43&lt;&gt;"",H43,"")</f>
        <v>1</v>
      </c>
      <c r="R43" s="981">
        <f>IF(I43&lt;&gt;"",I43,"")</f>
        <v>1</v>
      </c>
      <c r="S43" s="986">
        <v>10054.080000000016</v>
      </c>
      <c r="T43" s="987">
        <f>IF(Q43&lt;&gt;"",Q43*R43*S43,"")</f>
        <v>10054.080000000016</v>
      </c>
      <c r="U43" s="639">
        <f>IF(Q43&lt;&gt;"",K43-T43,"")</f>
        <v>0</v>
      </c>
      <c r="V43" s="640">
        <f>IF(Q43&lt;&gt;"",0%,"")</f>
        <v>0</v>
      </c>
      <c r="W43" s="641">
        <f>IF(Q43&lt;&gt;"",V43*U43,"")</f>
        <v>0</v>
      </c>
      <c r="X43" s="641">
        <f>IF(Q43&lt;&gt;"",W43+T43,"")</f>
        <v>10054.080000000016</v>
      </c>
      <c r="Y43" s="642">
        <f>IF(Q43&lt;&gt;"",X43+M43,"")</f>
        <v>10176.085829750235</v>
      </c>
      <c r="Z43" s="643">
        <f>IF(Q43&lt;&gt;"",U43/K43,"")</f>
        <v>0</v>
      </c>
      <c r="AA43" s="644" t="e">
        <f>T43/#REF!</f>
        <v>#REF!</v>
      </c>
    </row>
    <row r="44" spans="1:27" ht="30" customHeight="1" thickBot="1" x14ac:dyDescent="0.4">
      <c r="A44" s="619">
        <v>30</v>
      </c>
      <c r="B44" s="610"/>
      <c r="C44" s="620" t="s">
        <v>123</v>
      </c>
      <c r="D44" s="619"/>
      <c r="E44" s="619"/>
      <c r="F44" s="1156" t="s">
        <v>690</v>
      </c>
      <c r="G44" s="1157"/>
      <c r="H44" s="1157"/>
      <c r="I44" s="1157"/>
      <c r="J44" s="1157"/>
      <c r="K44" s="833">
        <f>SUM(K17:K43)</f>
        <v>129570.46000000002</v>
      </c>
      <c r="L44" s="833">
        <f>SUM(L17:L43)</f>
        <v>6478.523000000002</v>
      </c>
      <c r="M44" s="833">
        <f>SUM(M17:M43)</f>
        <v>30525.461110848777</v>
      </c>
      <c r="N44" s="834">
        <f>SUM(N17:N43)</f>
        <v>166574.4441108488</v>
      </c>
      <c r="P44" s="32"/>
      <c r="Q44" s="1159"/>
      <c r="R44" s="1157"/>
      <c r="S44" s="1157"/>
      <c r="T44" s="835">
        <f>SUM(T17:T43)</f>
        <v>129570.46000000002</v>
      </c>
      <c r="U44" s="836">
        <f>SUM(U17:U43)</f>
        <v>0</v>
      </c>
      <c r="V44" s="837"/>
      <c r="W44" s="837"/>
      <c r="X44" s="838">
        <f>SUM(X17:X43)</f>
        <v>129570.46000000002</v>
      </c>
      <c r="Y44" s="910" t="str">
        <f t="shared" ref="Y44" si="26">IF(Q44&lt;&gt;"",X44+M44,"")</f>
        <v/>
      </c>
      <c r="Z44" s="911" t="s">
        <v>170</v>
      </c>
      <c r="AA44" s="855" t="s">
        <v>171</v>
      </c>
    </row>
    <row r="45" spans="1:27" ht="27" customHeight="1" thickBot="1" x14ac:dyDescent="0.5">
      <c r="A45" s="697">
        <v>31</v>
      </c>
      <c r="B45" s="856"/>
      <c r="C45" s="698" t="s">
        <v>168</v>
      </c>
      <c r="D45" s="697"/>
      <c r="E45" s="697"/>
      <c r="F45" s="33" t="s">
        <v>169</v>
      </c>
      <c r="G45" s="34"/>
      <c r="H45" s="70"/>
      <c r="I45" s="70"/>
      <c r="J45" s="34"/>
      <c r="K45" s="35">
        <f>SUM(K17:K43)</f>
        <v>129570.46000000002</v>
      </c>
      <c r="L45" s="35">
        <f>SUM(L17:L43)</f>
        <v>6478.523000000002</v>
      </c>
      <c r="M45" s="35">
        <f>SUM(M17:M43)</f>
        <v>30525.461110848777</v>
      </c>
      <c r="N45" s="61">
        <f>SUM(N17:N43)</f>
        <v>166574.4441108488</v>
      </c>
      <c r="Q45" s="69" t="s">
        <v>43</v>
      </c>
      <c r="R45" s="70"/>
      <c r="S45" s="34"/>
      <c r="T45" s="35">
        <f>SUM(T17:T43)</f>
        <v>129570.46000000002</v>
      </c>
      <c r="U45" s="35">
        <f>SUM(U17:U43)</f>
        <v>0</v>
      </c>
      <c r="V45" s="34"/>
      <c r="W45" s="34"/>
      <c r="X45" s="35">
        <f>SUM(X17:X43)</f>
        <v>129570.46000000002</v>
      </c>
      <c r="Y45" s="61">
        <f>SUM(Y17:Y43)</f>
        <v>160095.92111084878</v>
      </c>
      <c r="Z45" s="857">
        <f>IF(Q45&lt;&gt;"",(N45-Y45)/N45,"")</f>
        <v>3.8892658682317505E-2</v>
      </c>
      <c r="AA45" s="858">
        <f>IF(Z45&lt;&gt;"",(N45-Y45),"")</f>
        <v>6478.5230000000156</v>
      </c>
    </row>
    <row r="48" spans="1:27" x14ac:dyDescent="0.3">
      <c r="K48" s="36"/>
    </row>
    <row r="49" spans="11:12" x14ac:dyDescent="0.3">
      <c r="K49" s="988">
        <f>K44+'[3]Bourbon Atibaia '!K44</f>
        <v>1040496.6599999999</v>
      </c>
      <c r="L49" t="s">
        <v>691</v>
      </c>
    </row>
    <row r="51" spans="11:12" x14ac:dyDescent="0.3">
      <c r="K51" s="36"/>
    </row>
    <row r="53" spans="11:12" x14ac:dyDescent="0.3">
      <c r="K53" s="989">
        <v>523041.5</v>
      </c>
    </row>
    <row r="54" spans="11:12" x14ac:dyDescent="0.3">
      <c r="K54" s="989">
        <v>420584.16</v>
      </c>
    </row>
    <row r="55" spans="11:12" x14ac:dyDescent="0.3">
      <c r="K55" s="989">
        <v>97185</v>
      </c>
    </row>
    <row r="56" spans="11:12" x14ac:dyDescent="0.3">
      <c r="K56" s="989">
        <f>SUM(K52:K55)</f>
        <v>1040810.6599999999</v>
      </c>
      <c r="L56" t="s">
        <v>692</v>
      </c>
    </row>
    <row r="58" spans="11:12" x14ac:dyDescent="0.3">
      <c r="K58" s="988">
        <f>K49-K56</f>
        <v>-314</v>
      </c>
    </row>
  </sheetData>
  <mergeCells count="15">
    <mergeCell ref="F44:J44"/>
    <mergeCell ref="Q44:S44"/>
    <mergeCell ref="AK12:AL12"/>
    <mergeCell ref="AM12:AN12"/>
    <mergeCell ref="AQ12:AR12"/>
    <mergeCell ref="F15:N15"/>
    <mergeCell ref="Q15:Y15"/>
    <mergeCell ref="F16:K16"/>
    <mergeCell ref="Q16:Y16"/>
    <mergeCell ref="AG12:AH12"/>
    <mergeCell ref="F1:G1"/>
    <mergeCell ref="F2:G2"/>
    <mergeCell ref="Q12:T12"/>
    <mergeCell ref="U12:X12"/>
    <mergeCell ref="AC12:AE12"/>
  </mergeCells>
  <dataValidations count="3">
    <dataValidation type="list" allowBlank="1" showInputMessage="1" showErrorMessage="1" sqref="E17:E43" xr:uid="{4699B099-BE46-4DD7-81AA-F3FA5FEF1804}">
      <formula1>"FAT.OGGI,FAT.CLIENTE"</formula1>
    </dataValidation>
    <dataValidation type="list" allowBlank="1" showInputMessage="1" showErrorMessage="1" sqref="E45" xr:uid="{55769298-CE20-40F9-83B8-B3DF41F66A9B}">
      <formula1>"FAT.OGGI,FAT.CLIENTE "</formula1>
    </dataValidation>
    <dataValidation type="list" allowBlank="1" showInputMessage="1" showErrorMessage="1" sqref="D45 D17:D43" xr:uid="{D24F0B2F-F028-4BAC-8E71-6C3B57BF7318}">
      <formula1>"INTERNO,OPERACIONAL"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1177" t="s">
        <v>11</v>
      </c>
      <c r="B1" s="1177"/>
      <c r="C1" s="1177"/>
      <c r="D1" s="1179" t="s">
        <v>61</v>
      </c>
      <c r="E1" s="1179"/>
      <c r="F1" s="1179"/>
      <c r="G1" s="1179"/>
      <c r="H1" s="1179"/>
      <c r="I1" s="1179"/>
      <c r="J1" s="27" t="s">
        <v>11</v>
      </c>
      <c r="K1" s="27" t="s">
        <v>11</v>
      </c>
      <c r="L1" s="27" t="s">
        <v>11</v>
      </c>
      <c r="M1" s="27" t="s">
        <v>11</v>
      </c>
      <c r="N1" s="27" t="s">
        <v>11</v>
      </c>
      <c r="O1" s="28" t="s">
        <v>11</v>
      </c>
    </row>
    <row r="2" spans="1:15" x14ac:dyDescent="0.3">
      <c r="A2" s="1178"/>
      <c r="B2" s="1178"/>
      <c r="C2" s="1178"/>
      <c r="D2" s="1177" t="s">
        <v>62</v>
      </c>
      <c r="E2" s="1177"/>
      <c r="F2" s="1177"/>
      <c r="G2" s="1177"/>
      <c r="H2" s="1177"/>
      <c r="I2" s="1177"/>
      <c r="J2" s="27"/>
      <c r="K2" s="27"/>
      <c r="L2" s="27"/>
      <c r="M2" s="27"/>
      <c r="N2" s="27"/>
      <c r="O2" s="1180" t="s">
        <v>63</v>
      </c>
    </row>
    <row r="3" spans="1:15" x14ac:dyDescent="0.3">
      <c r="A3" s="1178"/>
      <c r="B3" s="1178"/>
      <c r="C3" s="1178"/>
      <c r="D3" s="1177" t="s">
        <v>64</v>
      </c>
      <c r="E3" s="1177"/>
      <c r="F3" s="1177"/>
      <c r="G3" s="1177"/>
      <c r="H3" s="1177"/>
      <c r="I3" s="1177"/>
      <c r="J3" s="27"/>
      <c r="K3" s="27"/>
      <c r="L3" s="27"/>
      <c r="M3" s="27"/>
      <c r="N3" s="27"/>
      <c r="O3" s="1181"/>
    </row>
    <row r="4" spans="1:15" x14ac:dyDescent="0.3">
      <c r="A4" s="1178"/>
      <c r="B4" s="1178"/>
      <c r="C4" s="1178"/>
      <c r="D4" s="1177" t="s">
        <v>65</v>
      </c>
      <c r="E4" s="1177"/>
      <c r="F4" s="1177"/>
      <c r="G4" s="1177"/>
      <c r="H4" s="1177"/>
      <c r="I4" s="1177"/>
      <c r="J4" s="27"/>
      <c r="K4" s="27"/>
      <c r="L4" s="27"/>
      <c r="M4" s="27"/>
      <c r="N4" s="27"/>
      <c r="O4" s="1181"/>
    </row>
    <row r="5" spans="1:15" x14ac:dyDescent="0.3">
      <c r="A5" s="1178"/>
      <c r="B5" s="1178"/>
      <c r="C5" s="1178"/>
      <c r="D5" s="1177" t="s">
        <v>66</v>
      </c>
      <c r="E5" s="1177"/>
      <c r="F5" s="1177"/>
      <c r="G5" s="1177"/>
      <c r="H5" s="1177"/>
      <c r="I5" s="1177"/>
      <c r="J5" s="27"/>
      <c r="K5" s="27"/>
      <c r="L5" s="27"/>
      <c r="M5" s="27"/>
      <c r="N5" s="27"/>
      <c r="O5" s="1181"/>
    </row>
    <row r="6" spans="1:15" x14ac:dyDescent="0.3">
      <c r="A6" s="1178"/>
      <c r="B6" s="1178"/>
      <c r="C6" s="1178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1181"/>
    </row>
    <row r="7" spans="1:15" x14ac:dyDescent="0.3">
      <c r="A7" s="1178"/>
      <c r="B7" s="1178"/>
      <c r="C7" s="1178"/>
      <c r="D7" s="1177" t="s">
        <v>67</v>
      </c>
      <c r="E7" s="1177"/>
      <c r="F7" s="1177"/>
      <c r="G7" s="1177"/>
      <c r="H7" s="1177"/>
      <c r="I7" s="1177"/>
      <c r="J7" s="27"/>
      <c r="K7" s="27"/>
      <c r="L7" s="27"/>
      <c r="M7" s="27"/>
      <c r="N7" s="27"/>
      <c r="O7" s="29">
        <v>45264.482613275461</v>
      </c>
    </row>
    <row r="8" spans="1:15" x14ac:dyDescent="0.3">
      <c r="A8" s="1176" t="s">
        <v>68</v>
      </c>
      <c r="B8" s="1176"/>
      <c r="C8" s="1176"/>
      <c r="D8" s="1176"/>
      <c r="E8" s="1176"/>
      <c r="F8" s="1176"/>
      <c r="G8" s="1176"/>
      <c r="H8" s="1176"/>
      <c r="I8" s="1176"/>
      <c r="J8" s="1176"/>
      <c r="K8" s="1176"/>
      <c r="L8" s="1176"/>
      <c r="M8" s="1176"/>
      <c r="N8" s="1176"/>
      <c r="O8" s="1176"/>
    </row>
    <row r="9" spans="1:15" ht="27.6" x14ac:dyDescent="0.3">
      <c r="A9" s="30" t="s">
        <v>69</v>
      </c>
      <c r="B9" s="30" t="s">
        <v>70</v>
      </c>
      <c r="C9" s="30" t="s">
        <v>71</v>
      </c>
      <c r="D9" s="30" t="s">
        <v>52</v>
      </c>
      <c r="E9" s="30" t="s">
        <v>72</v>
      </c>
      <c r="F9" s="30" t="s">
        <v>73</v>
      </c>
      <c r="G9" s="30" t="s">
        <v>34</v>
      </c>
      <c r="H9" s="30" t="s">
        <v>74</v>
      </c>
      <c r="I9" s="30" t="s">
        <v>75</v>
      </c>
      <c r="J9" s="30" t="s">
        <v>73</v>
      </c>
      <c r="K9" s="30" t="s">
        <v>76</v>
      </c>
      <c r="L9" s="30" t="s">
        <v>77</v>
      </c>
      <c r="M9" s="30" t="s">
        <v>78</v>
      </c>
      <c r="N9" s="30" t="s">
        <v>79</v>
      </c>
      <c r="O9" s="31" t="s">
        <v>80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1215" t="s">
        <v>3</v>
      </c>
      <c r="C2" s="1216"/>
      <c r="D2" s="1216"/>
      <c r="E2" s="1216"/>
      <c r="F2" s="1216"/>
      <c r="G2" s="1216"/>
      <c r="H2" s="1216"/>
      <c r="I2" s="1216"/>
      <c r="J2" s="1216"/>
      <c r="K2" s="1216"/>
      <c r="L2" s="1217"/>
    </row>
    <row r="3" spans="2:12" ht="47.4" customHeight="1" thickBot="1" x14ac:dyDescent="0.35">
      <c r="B3" s="1218" t="s">
        <v>12</v>
      </c>
      <c r="C3" s="1219"/>
      <c r="D3" s="1219"/>
      <c r="E3" s="1219"/>
      <c r="F3" s="1219"/>
      <c r="G3" s="1219"/>
      <c r="H3" s="1219"/>
      <c r="I3" s="1219"/>
      <c r="J3" s="1219"/>
      <c r="K3" s="1219"/>
      <c r="L3" s="1220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1187" t="s">
        <v>13</v>
      </c>
      <c r="D6" s="1187"/>
      <c r="E6" s="1187"/>
      <c r="F6" s="1187"/>
      <c r="G6" s="1187"/>
      <c r="H6" s="1187"/>
      <c r="I6" s="1187"/>
      <c r="J6" s="1187"/>
      <c r="K6" s="1187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1221" t="s">
        <v>223</v>
      </c>
      <c r="E8" s="1222"/>
      <c r="F8" s="1222"/>
      <c r="G8" s="1222"/>
      <c r="H8" s="1222"/>
      <c r="I8" s="1222"/>
      <c r="J8" s="1222"/>
      <c r="K8" s="1223"/>
      <c r="L8" s="5"/>
    </row>
    <row r="9" spans="2:12" x14ac:dyDescent="0.3">
      <c r="B9" s="4"/>
      <c r="C9" s="7" t="s">
        <v>15</v>
      </c>
      <c r="D9" s="1208" t="s">
        <v>16</v>
      </c>
      <c r="E9" s="1209"/>
      <c r="F9" s="1209"/>
      <c r="G9" s="1209"/>
      <c r="H9" s="1209"/>
      <c r="I9" s="1209"/>
      <c r="J9" s="1209"/>
      <c r="K9" s="1210"/>
      <c r="L9" s="5"/>
    </row>
    <row r="10" spans="2:12" x14ac:dyDescent="0.3">
      <c r="B10" s="4"/>
      <c r="C10" s="7" t="s">
        <v>17</v>
      </c>
      <c r="D10" s="1208" t="s">
        <v>11</v>
      </c>
      <c r="E10" s="1209"/>
      <c r="F10" s="1209"/>
      <c r="G10" s="1209"/>
      <c r="H10" s="1209"/>
      <c r="I10" s="1209"/>
      <c r="J10" s="1209"/>
      <c r="K10" s="1210"/>
      <c r="L10" s="5"/>
    </row>
    <row r="11" spans="2:12" x14ac:dyDescent="0.3">
      <c r="B11" s="4"/>
      <c r="C11" s="7" t="s">
        <v>18</v>
      </c>
      <c r="D11" s="1208" t="s">
        <v>106</v>
      </c>
      <c r="E11" s="1209"/>
      <c r="F11" s="1209"/>
      <c r="G11" s="1209"/>
      <c r="H11" s="1209"/>
      <c r="I11" s="1209"/>
      <c r="J11" s="1209"/>
      <c r="K11" s="1210"/>
      <c r="L11" s="5"/>
    </row>
    <row r="12" spans="2:12" x14ac:dyDescent="0.3">
      <c r="B12" s="4"/>
      <c r="C12" s="10" t="s">
        <v>19</v>
      </c>
      <c r="D12" s="1205" t="s">
        <v>224</v>
      </c>
      <c r="E12" s="1206"/>
      <c r="F12" s="1206"/>
      <c r="G12" s="1206"/>
      <c r="H12" s="1207"/>
      <c r="I12" s="11" t="s">
        <v>20</v>
      </c>
      <c r="J12" s="1205" t="s">
        <v>226</v>
      </c>
      <c r="K12" s="1207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1187" t="s">
        <v>21</v>
      </c>
      <c r="D16" s="1187"/>
      <c r="E16" s="1187"/>
      <c r="F16" s="1187"/>
      <c r="G16" s="1187"/>
      <c r="H16" s="1187"/>
      <c r="I16" s="1187"/>
      <c r="J16" s="1187"/>
      <c r="K16" s="1187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1211" t="s">
        <v>81</v>
      </c>
      <c r="E18" s="1211"/>
      <c r="F18" s="1211"/>
      <c r="G18" s="1202"/>
      <c r="H18" s="1211" t="s">
        <v>22</v>
      </c>
      <c r="I18" s="1211"/>
      <c r="J18" s="1211"/>
      <c r="K18" s="1202"/>
      <c r="L18" s="5"/>
    </row>
    <row r="19" spans="2:12" x14ac:dyDescent="0.3">
      <c r="B19" s="4"/>
      <c r="C19" s="15" t="s">
        <v>23</v>
      </c>
      <c r="D19" s="1212" t="s">
        <v>228</v>
      </c>
      <c r="E19" s="1213"/>
      <c r="F19" s="1213"/>
      <c r="G19" s="1213"/>
      <c r="H19" s="1213"/>
      <c r="I19" s="1213"/>
      <c r="J19" s="1213"/>
      <c r="K19" s="1214"/>
      <c r="L19" s="5"/>
    </row>
    <row r="20" spans="2:12" x14ac:dyDescent="0.3">
      <c r="B20" s="4"/>
      <c r="C20" s="7" t="s">
        <v>24</v>
      </c>
      <c r="D20" s="1208"/>
      <c r="E20" s="1209"/>
      <c r="F20" s="1209"/>
      <c r="G20" s="1209"/>
      <c r="H20" s="1209"/>
      <c r="I20" s="1209"/>
      <c r="J20" s="1209"/>
      <c r="K20" s="1210"/>
      <c r="L20" s="5"/>
    </row>
    <row r="21" spans="2:12" x14ac:dyDescent="0.3">
      <c r="B21" s="4"/>
      <c r="C21" s="7" t="s">
        <v>25</v>
      </c>
      <c r="D21" s="1208" t="s">
        <v>229</v>
      </c>
      <c r="E21" s="1210"/>
      <c r="F21" s="7" t="s">
        <v>57</v>
      </c>
      <c r="G21" s="16" t="s">
        <v>230</v>
      </c>
      <c r="H21" s="7" t="s">
        <v>26</v>
      </c>
      <c r="I21" s="8" t="s">
        <v>231</v>
      </c>
      <c r="J21" s="7" t="s">
        <v>27</v>
      </c>
      <c r="K21" s="9" t="s">
        <v>232</v>
      </c>
      <c r="L21" s="5"/>
    </row>
    <row r="22" spans="2:12" x14ac:dyDescent="0.3">
      <c r="B22" s="4"/>
      <c r="C22" s="7" t="s">
        <v>28</v>
      </c>
      <c r="D22" s="1208" t="s">
        <v>227</v>
      </c>
      <c r="E22" s="1209"/>
      <c r="F22" s="1209"/>
      <c r="G22" s="1210"/>
      <c r="H22" s="7" t="s">
        <v>29</v>
      </c>
      <c r="I22" s="1208"/>
      <c r="J22" s="1209"/>
      <c r="K22" s="1210"/>
      <c r="L22" s="5"/>
    </row>
    <row r="23" spans="2:12" x14ac:dyDescent="0.3">
      <c r="B23" s="4"/>
      <c r="C23" s="10" t="s">
        <v>30</v>
      </c>
      <c r="D23" s="1205" t="s">
        <v>233</v>
      </c>
      <c r="E23" s="1206"/>
      <c r="F23" s="1206"/>
      <c r="G23" s="1207"/>
      <c r="H23" s="10" t="s">
        <v>31</v>
      </c>
      <c r="I23" s="1205" t="s">
        <v>234</v>
      </c>
      <c r="J23" s="1206"/>
      <c r="K23" s="1207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1187" t="s">
        <v>21</v>
      </c>
      <c r="D27" s="1187"/>
      <c r="E27" s="1187"/>
      <c r="F27" s="1187"/>
      <c r="G27" s="1187"/>
      <c r="H27" s="1187"/>
      <c r="I27" s="1187"/>
      <c r="J27" s="1187"/>
      <c r="K27" s="1187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1201" t="s">
        <v>33</v>
      </c>
      <c r="E29" s="1202"/>
      <c r="F29" s="1201" t="s">
        <v>34</v>
      </c>
      <c r="G29" s="1202"/>
      <c r="H29" s="1203" t="s">
        <v>35</v>
      </c>
      <c r="I29" s="1203"/>
      <c r="J29" s="1203"/>
      <c r="K29" s="1204"/>
      <c r="L29" s="5"/>
    </row>
    <row r="30" spans="2:12" x14ac:dyDescent="0.3">
      <c r="B30" s="4"/>
      <c r="C30" s="17" t="s">
        <v>36</v>
      </c>
      <c r="D30" s="1188" t="s">
        <v>235</v>
      </c>
      <c r="E30" s="1189"/>
      <c r="F30" s="1190" t="s">
        <v>236</v>
      </c>
      <c r="G30" s="1191"/>
      <c r="H30" s="18" t="s">
        <v>37</v>
      </c>
      <c r="I30" s="1201" t="s">
        <v>40</v>
      </c>
      <c r="J30" s="1202"/>
      <c r="K30" s="6" t="s">
        <v>237</v>
      </c>
      <c r="L30" s="5"/>
    </row>
    <row r="31" spans="2:12" x14ac:dyDescent="0.3">
      <c r="B31" s="4"/>
      <c r="C31" s="17" t="s">
        <v>39</v>
      </c>
      <c r="D31" s="1188" t="s">
        <v>11</v>
      </c>
      <c r="E31" s="1189"/>
      <c r="F31" s="1190" t="s">
        <v>11</v>
      </c>
      <c r="G31" s="1191"/>
      <c r="H31" s="17" t="s">
        <v>37</v>
      </c>
      <c r="I31" s="1192" t="s">
        <v>40</v>
      </c>
      <c r="J31" s="1193"/>
      <c r="K31" s="7" t="s">
        <v>38</v>
      </c>
      <c r="L31" s="5"/>
    </row>
    <row r="32" spans="2:12" x14ac:dyDescent="0.3">
      <c r="B32" s="4"/>
      <c r="C32" s="17" t="s">
        <v>41</v>
      </c>
      <c r="D32" s="1188" t="s">
        <v>11</v>
      </c>
      <c r="E32" s="1189"/>
      <c r="F32" s="1190" t="s">
        <v>11</v>
      </c>
      <c r="G32" s="1191"/>
      <c r="H32" s="17" t="s">
        <v>37</v>
      </c>
      <c r="I32" s="1192" t="s">
        <v>40</v>
      </c>
      <c r="J32" s="1193"/>
      <c r="K32" s="7" t="s">
        <v>38</v>
      </c>
      <c r="L32" s="5"/>
    </row>
    <row r="33" spans="2:12" x14ac:dyDescent="0.3">
      <c r="B33" s="4"/>
      <c r="C33" s="19" t="s">
        <v>42</v>
      </c>
      <c r="D33" s="1188" t="s">
        <v>11</v>
      </c>
      <c r="E33" s="1189"/>
      <c r="F33" s="1194" t="s">
        <v>11</v>
      </c>
      <c r="G33" s="1195"/>
      <c r="H33" s="17" t="s">
        <v>37</v>
      </c>
      <c r="I33" s="1192" t="s">
        <v>40</v>
      </c>
      <c r="J33" s="1193"/>
      <c r="K33" s="7" t="s">
        <v>38</v>
      </c>
      <c r="L33" s="5"/>
    </row>
    <row r="34" spans="2:12" x14ac:dyDescent="0.3">
      <c r="B34" s="4"/>
      <c r="C34" s="1196" t="s">
        <v>43</v>
      </c>
      <c r="D34" s="1197"/>
      <c r="E34" s="1198"/>
      <c r="F34" s="1199" t="s">
        <v>236</v>
      </c>
      <c r="G34" s="1200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1187" t="s">
        <v>44</v>
      </c>
      <c r="D38" s="1187"/>
      <c r="E38" s="1187"/>
      <c r="F38" s="1187"/>
      <c r="G38" s="1187"/>
      <c r="H38" s="1187"/>
      <c r="I38" s="1187"/>
      <c r="J38" s="1187"/>
      <c r="K38" s="1187"/>
      <c r="L38" s="5"/>
    </row>
    <row r="39" spans="2:12" x14ac:dyDescent="0.3">
      <c r="B39" s="4"/>
      <c r="C39" s="1185" t="s">
        <v>238</v>
      </c>
      <c r="D39" s="1185"/>
      <c r="E39" s="1185"/>
      <c r="F39" s="1185"/>
      <c r="G39" s="1185"/>
      <c r="H39" s="1185"/>
      <c r="I39" s="1185"/>
      <c r="J39" s="1185"/>
      <c r="K39" s="1185"/>
      <c r="L39" s="5"/>
    </row>
    <row r="40" spans="2:12" x14ac:dyDescent="0.3">
      <c r="B40" s="4"/>
      <c r="C40" s="1185"/>
      <c r="D40" s="1185"/>
      <c r="E40" s="1185"/>
      <c r="F40" s="1185"/>
      <c r="G40" s="1185"/>
      <c r="H40" s="1185"/>
      <c r="I40" s="1185"/>
      <c r="J40" s="1185"/>
      <c r="K40" s="1185"/>
      <c r="L40" s="5"/>
    </row>
    <row r="41" spans="2:12" x14ac:dyDescent="0.3">
      <c r="B41" s="4"/>
      <c r="C41" s="1185"/>
      <c r="D41" s="1185"/>
      <c r="E41" s="1185"/>
      <c r="F41" s="1185"/>
      <c r="G41" s="1185"/>
      <c r="H41" s="1185"/>
      <c r="I41" s="1185"/>
      <c r="J41" s="1185"/>
      <c r="K41" s="1185"/>
      <c r="L41" s="5"/>
    </row>
    <row r="42" spans="2:12" x14ac:dyDescent="0.3">
      <c r="B42" s="4"/>
      <c r="C42" s="1185"/>
      <c r="D42" s="1185"/>
      <c r="E42" s="1185"/>
      <c r="F42" s="1185"/>
      <c r="G42" s="1185"/>
      <c r="H42" s="1185"/>
      <c r="I42" s="1185"/>
      <c r="J42" s="1185"/>
      <c r="K42" s="1185"/>
      <c r="L42" s="5"/>
    </row>
    <row r="43" spans="2:12" x14ac:dyDescent="0.3">
      <c r="B43" s="4"/>
      <c r="C43" s="1185"/>
      <c r="D43" s="1185"/>
      <c r="E43" s="1185"/>
      <c r="F43" s="1185"/>
      <c r="G43" s="1185"/>
      <c r="H43" s="1185"/>
      <c r="I43" s="1185"/>
      <c r="J43" s="1185"/>
      <c r="K43" s="1185"/>
      <c r="L43" s="5"/>
    </row>
    <row r="44" spans="2:12" x14ac:dyDescent="0.3">
      <c r="B44" s="4"/>
      <c r="C44" s="1185"/>
      <c r="D44" s="1185"/>
      <c r="E44" s="1185"/>
      <c r="F44" s="1185"/>
      <c r="G44" s="1185"/>
      <c r="H44" s="1185"/>
      <c r="I44" s="1185"/>
      <c r="J44" s="1185"/>
      <c r="K44" s="1185"/>
      <c r="L44" s="5"/>
    </row>
    <row r="45" spans="2:12" x14ac:dyDescent="0.3">
      <c r="B45" s="4"/>
      <c r="C45" s="1186"/>
      <c r="D45" s="1186"/>
      <c r="E45" s="1186"/>
      <c r="F45" s="1186"/>
      <c r="G45" s="1186"/>
      <c r="H45" s="1186"/>
      <c r="I45" s="1186"/>
      <c r="J45" s="1186"/>
      <c r="K45" s="1186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1182" t="s">
        <v>45</v>
      </c>
      <c r="C48" s="1183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1184" t="s">
        <v>46</v>
      </c>
      <c r="D51" s="1184"/>
      <c r="E51" s="1184"/>
      <c r="F51" s="1184"/>
      <c r="H51" s="1184" t="s">
        <v>47</v>
      </c>
      <c r="I51" s="1184"/>
      <c r="J51" s="1184"/>
      <c r="K51" s="1184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a79990-ee87-4241-abc6-9e01ab9b2464">
      <Terms xmlns="http://schemas.microsoft.com/office/infopath/2007/PartnerControls"/>
    </lcf76f155ced4ddcb4097134ff3c332f>
    <TaxCatchAll xmlns="8f4bf414-7d56-47ef-876f-a064b613912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  <ds:schemaRef ds:uri="29a79990-ee87-4241-abc6-9e01ab9b2464"/>
    <ds:schemaRef ds:uri="8f4bf414-7d56-47ef-876f-a064b6139123"/>
  </ds:schemaRefs>
</ds:datastoreItem>
</file>

<file path=customXml/itemProps3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56808E8F-7E15-4774-8812-0EF40072AF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15</vt:i4>
      </vt:variant>
    </vt:vector>
  </HeadingPairs>
  <TitlesOfParts>
    <vt:vector size="31" baseType="lpstr">
      <vt:lpstr>RESUMO</vt:lpstr>
      <vt:lpstr>PRINCIPAL</vt:lpstr>
      <vt:lpstr>Batavo</vt:lpstr>
      <vt:lpstr>Parmalat Fit</vt:lpstr>
      <vt:lpstr>Cozinha Show President</vt:lpstr>
      <vt:lpstr>CUSTOS OPERACIONAIS</vt:lpstr>
      <vt:lpstr>TOTAL</vt:lpstr>
      <vt:lpstr>Solicitações de Pagamento</vt:lpstr>
      <vt:lpstr>Principal (2)</vt:lpstr>
      <vt:lpstr>Itens Novos</vt:lpstr>
      <vt:lpstr>Itens Banda</vt:lpstr>
      <vt:lpstr>Atração</vt:lpstr>
      <vt:lpstr>Bourbon Atibaia </vt:lpstr>
      <vt:lpstr>Itens Extras Hotel 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2026-03-23T14:19:35Z</cp:lastPrinted>
  <dcterms:created xsi:type="dcterms:W3CDTF">2023-09-21T21:02:20Z</dcterms:created>
  <dcterms:modified xsi:type="dcterms:W3CDTF">2026-03-26T14:12:31Z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