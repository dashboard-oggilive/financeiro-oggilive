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GGI LIVE\Fechamentos\2026\JOBS\OGGI\02 fevereiro\"/>
    </mc:Choice>
  </mc:AlternateContent>
  <xr:revisionPtr revIDLastSave="0" documentId="13_ncr:1_{8B23BD8A-937C-4203-B0E6-D176E4B5CE07}" xr6:coauthVersionLast="47" xr6:coauthVersionMax="47" xr10:uidLastSave="{00000000-0000-0000-0000-000000000000}"/>
  <bookViews>
    <workbookView xWindow="-108" yWindow="-108" windowWidth="23256" windowHeight="12456" xr2:uid="{14C93EFC-7125-428D-AEEB-E89F5E6C4847}"/>
  </bookViews>
  <sheets>
    <sheet name="RESUMO" sheetId="7" r:id="rId1"/>
    <sheet name="Fogo y Fuego" sheetId="1" r:id="rId2"/>
    <sheet name="Fogo y Fuego (2)" sheetId="6" state="hidden" r:id="rId3"/>
    <sheet name="Planilha1" sheetId="5" state="hidden" r:id="rId4"/>
    <sheet name="A Casa de Antonia (2)" sheetId="4" state="hidden" r:id="rId5"/>
  </sheets>
  <externalReferences>
    <externalReference r:id="rId6"/>
  </externalReferences>
  <definedNames>
    <definedName name="_xlnm._FilterDatabase" localSheetId="4" hidden="1">'A Casa de Antonia (2)'!$A$14:$AN$14</definedName>
    <definedName name="_xlnm._FilterDatabase" localSheetId="1" hidden="1">'Fogo y Fuego'!$A$14:$AO$14</definedName>
    <definedName name="_xlnm._FilterDatabase" localSheetId="2" hidden="1">'Fogo y Fuego (2)'!$A$14:$AO$14</definedName>
    <definedName name="itensorc_desconto">#REF!</definedName>
    <definedName name="itensorc_descricao">#REF!</definedName>
    <definedName name="itensorc_encargos">#REF!</definedName>
    <definedName name="itensorc_especifica">#REF!</definedName>
    <definedName name="itensorc_item">#REF!</definedName>
    <definedName name="itensorc_lancamento">#REF!</definedName>
    <definedName name="itensorc_percentualhonorarios">#REF!</definedName>
    <definedName name="itensorc_quantidade">#REF!</definedName>
    <definedName name="itensorc_situacao">#REF!</definedName>
    <definedName name="itensorc_subtipo">#REF!</definedName>
    <definedName name="itensorc_tiporeceita">#REF!</definedName>
    <definedName name="itensorc_valor">#REF!</definedName>
    <definedName name="itensorc_valorfornecedor">#REF!</definedName>
    <definedName name="itensorc_valorfornecedorunitario">#REF!</definedName>
    <definedName name="itensorc_valorunitari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7" l="1"/>
  <c r="AB42" i="1"/>
  <c r="AB41" i="1"/>
  <c r="AB39" i="1"/>
  <c r="C21" i="7"/>
  <c r="AB40" i="1"/>
  <c r="AC32" i="1"/>
  <c r="AC33" i="1"/>
  <c r="AC23" i="1" l="1"/>
  <c r="AC25" i="6"/>
  <c r="AB25" i="6"/>
  <c r="AB18" i="6"/>
  <c r="AB19" i="6"/>
  <c r="AB20" i="6"/>
  <c r="AB21" i="6"/>
  <c r="AB22" i="6"/>
  <c r="AB23" i="6"/>
  <c r="AB24" i="6"/>
  <c r="AB17" i="6"/>
  <c r="E3" i="7"/>
  <c r="AC35" i="1" l="1"/>
  <c r="AB20" i="1"/>
  <c r="AB21" i="1"/>
  <c r="AB27" i="1"/>
  <c r="AB28" i="1"/>
  <c r="S32" i="1"/>
  <c r="Q24" i="6"/>
  <c r="K24" i="6"/>
  <c r="L24" i="6" s="1"/>
  <c r="R23" i="6"/>
  <c r="Q23" i="6"/>
  <c r="K23" i="6"/>
  <c r="AD22" i="6"/>
  <c r="Q22" i="6"/>
  <c r="K22" i="6"/>
  <c r="L22" i="6" s="1"/>
  <c r="Q21" i="6"/>
  <c r="K21" i="6"/>
  <c r="L21" i="6" s="1"/>
  <c r="Q20" i="6"/>
  <c r="Q19" i="6"/>
  <c r="R17" i="6"/>
  <c r="Q17" i="6"/>
  <c r="V17" i="6" s="1"/>
  <c r="K17" i="6"/>
  <c r="Q16" i="6"/>
  <c r="Q15" i="6"/>
  <c r="M14" i="6"/>
  <c r="Z12" i="6"/>
  <c r="AD23" i="1"/>
  <c r="M22" i="6" l="1"/>
  <c r="N22" i="6" s="1"/>
  <c r="T17" i="6"/>
  <c r="U17" i="6" s="1"/>
  <c r="W17" i="6" s="1"/>
  <c r="X17" i="6" s="1"/>
  <c r="K25" i="6"/>
  <c r="M21" i="6"/>
  <c r="T22" i="6"/>
  <c r="U22" i="6" s="1"/>
  <c r="Z22" i="6" s="1"/>
  <c r="V22" i="6"/>
  <c r="L17" i="6"/>
  <c r="M17" i="6" s="1"/>
  <c r="K18" i="6"/>
  <c r="T21" i="6"/>
  <c r="M24" i="6"/>
  <c r="N24" i="6" s="1"/>
  <c r="U21" i="6"/>
  <c r="T24" i="6"/>
  <c r="U24" i="6" s="1"/>
  <c r="V24" i="6"/>
  <c r="L23" i="6"/>
  <c r="L25" i="6" s="1"/>
  <c r="V23" i="6"/>
  <c r="V21" i="6"/>
  <c r="T23" i="6"/>
  <c r="U23" i="6" s="1"/>
  <c r="W23" i="6" l="1"/>
  <c r="X23" i="6" s="1"/>
  <c r="W21" i="6"/>
  <c r="X21" i="6" s="1"/>
  <c r="W22" i="6"/>
  <c r="X22" i="6" s="1"/>
  <c r="Y22" i="6" s="1"/>
  <c r="N17" i="6"/>
  <c r="Y21" i="6"/>
  <c r="Z24" i="6"/>
  <c r="W24" i="6"/>
  <c r="X24" i="6" s="1"/>
  <c r="Y24" i="6" s="1"/>
  <c r="N18" i="6"/>
  <c r="M18" i="6"/>
  <c r="Y17" i="6"/>
  <c r="Z23" i="6"/>
  <c r="M23" i="6"/>
  <c r="T18" i="6"/>
  <c r="AA17" i="6" s="1"/>
  <c r="Z17" i="6"/>
  <c r="U18" i="6"/>
  <c r="N21" i="6"/>
  <c r="L18" i="6"/>
  <c r="U25" i="6"/>
  <c r="T25" i="6"/>
  <c r="AA21" i="6" s="1"/>
  <c r="Z21" i="6"/>
  <c r="N23" i="6" l="1"/>
  <c r="N25" i="6"/>
  <c r="M25" i="6"/>
  <c r="Y23" i="6"/>
  <c r="X25" i="6"/>
  <c r="Y25" i="6" l="1"/>
  <c r="X18" i="6"/>
  <c r="Y18" i="6" s="1"/>
  <c r="Q25" i="1" l="1"/>
  <c r="T25" i="1" l="1"/>
  <c r="V25" i="1"/>
  <c r="N26" i="4"/>
  <c r="N28" i="4"/>
  <c r="R24" i="1"/>
  <c r="Q24" i="1"/>
  <c r="T24" i="1" l="1"/>
  <c r="V24" i="1"/>
  <c r="R31" i="4" l="1"/>
  <c r="T31" i="4" s="1"/>
  <c r="Q31" i="4"/>
  <c r="V31" i="4" s="1"/>
  <c r="U31" i="4" l="1"/>
  <c r="W31" i="4" s="1"/>
  <c r="X31" i="4" s="1"/>
  <c r="L31" i="4"/>
  <c r="V34" i="4"/>
  <c r="R34" i="4"/>
  <c r="T34" i="4" s="1"/>
  <c r="K34" i="4"/>
  <c r="R33" i="4"/>
  <c r="Q33" i="4"/>
  <c r="K33" i="4"/>
  <c r="V32" i="4"/>
  <c r="R32" i="4"/>
  <c r="Q32" i="4"/>
  <c r="T32" i="4" s="1"/>
  <c r="K32" i="4"/>
  <c r="R30" i="4"/>
  <c r="Q30" i="4"/>
  <c r="K30" i="4"/>
  <c r="R29" i="4"/>
  <c r="Q29" i="4"/>
  <c r="V29" i="4" s="1"/>
  <c r="K29" i="4"/>
  <c r="V28" i="4"/>
  <c r="T28" i="4"/>
  <c r="K28" i="4"/>
  <c r="Q27" i="4"/>
  <c r="R25" i="4"/>
  <c r="Q25" i="4"/>
  <c r="K25" i="4"/>
  <c r="R24" i="4"/>
  <c r="Q24" i="4"/>
  <c r="V24" i="4" s="1"/>
  <c r="K24" i="4"/>
  <c r="V23" i="4"/>
  <c r="R23" i="4"/>
  <c r="T23" i="4" s="1"/>
  <c r="K23" i="4"/>
  <c r="R22" i="4"/>
  <c r="Q22" i="4"/>
  <c r="K22" i="4"/>
  <c r="L22" i="4" s="1"/>
  <c r="Q21" i="4"/>
  <c r="Q20" i="4"/>
  <c r="R18" i="4"/>
  <c r="Q18" i="4"/>
  <c r="K18" i="4"/>
  <c r="L18" i="4" s="1"/>
  <c r="R17" i="4"/>
  <c r="Q17" i="4"/>
  <c r="K17" i="4"/>
  <c r="Q16" i="4"/>
  <c r="Q15" i="4"/>
  <c r="M14" i="4"/>
  <c r="Z12" i="4" s="1"/>
  <c r="R32" i="1"/>
  <c r="K32" i="1"/>
  <c r="L24" i="4" l="1"/>
  <c r="U28" i="4"/>
  <c r="Z28" i="4" s="1"/>
  <c r="T25" i="4"/>
  <c r="U23" i="4"/>
  <c r="W23" i="4" s="1"/>
  <c r="X23" i="4" s="1"/>
  <c r="T24" i="4"/>
  <c r="U24" i="4" s="1"/>
  <c r="Z24" i="4" s="1"/>
  <c r="Z31" i="4"/>
  <c r="M31" i="4"/>
  <c r="N31" i="4" s="1"/>
  <c r="W28" i="4"/>
  <c r="X28" i="4" s="1"/>
  <c r="V25" i="4"/>
  <c r="T29" i="4"/>
  <c r="U29" i="4" s="1"/>
  <c r="W29" i="4" s="1"/>
  <c r="X29" i="4" s="1"/>
  <c r="K35" i="4"/>
  <c r="U25" i="4"/>
  <c r="Z25" i="4" s="1"/>
  <c r="K26" i="4"/>
  <c r="T30" i="4"/>
  <c r="U30" i="4" s="1"/>
  <c r="Z30" i="4" s="1"/>
  <c r="M18" i="4"/>
  <c r="N18" i="4" s="1"/>
  <c r="L23" i="4"/>
  <c r="M23" i="4" s="1"/>
  <c r="V30" i="4"/>
  <c r="W30" i="4" s="1"/>
  <c r="X30" i="4" s="1"/>
  <c r="U32" i="4"/>
  <c r="Z32" i="4" s="1"/>
  <c r="T17" i="4"/>
  <c r="U17" i="4" s="1"/>
  <c r="T33" i="4"/>
  <c r="M22" i="4"/>
  <c r="N22" i="4" s="1"/>
  <c r="M24" i="4"/>
  <c r="L25" i="4"/>
  <c r="K37" i="4"/>
  <c r="K19" i="4"/>
  <c r="V17" i="4"/>
  <c r="T18" i="4"/>
  <c r="U18" i="4" s="1"/>
  <c r="T22" i="4"/>
  <c r="U22" i="4" s="1"/>
  <c r="L28" i="4"/>
  <c r="L29" i="4"/>
  <c r="M29" i="4" s="1"/>
  <c r="N29" i="4" s="1"/>
  <c r="V33" i="4"/>
  <c r="U34" i="4"/>
  <c r="Z34" i="4" s="1"/>
  <c r="V18" i="4"/>
  <c r="V22" i="4"/>
  <c r="L30" i="4"/>
  <c r="M30" i="4" s="1"/>
  <c r="L32" i="4"/>
  <c r="M32" i="4" s="1"/>
  <c r="K36" i="4"/>
  <c r="L33" i="4"/>
  <c r="M33" i="4" s="1"/>
  <c r="L17" i="4"/>
  <c r="L34" i="4"/>
  <c r="M34" i="4" s="1"/>
  <c r="V32" i="1"/>
  <c r="L32" i="1"/>
  <c r="V33" i="1"/>
  <c r="R33" i="1"/>
  <c r="K33" i="1"/>
  <c r="R31" i="1"/>
  <c r="Q31" i="1"/>
  <c r="V31" i="1" s="1"/>
  <c r="K31" i="1"/>
  <c r="L31" i="1" s="1"/>
  <c r="V30" i="1"/>
  <c r="T30" i="1"/>
  <c r="K30" i="1"/>
  <c r="R29" i="1"/>
  <c r="Q29" i="1"/>
  <c r="K29" i="1"/>
  <c r="Q28" i="1"/>
  <c r="Q27" i="1"/>
  <c r="Q23" i="1"/>
  <c r="K23" i="1"/>
  <c r="Q22" i="1"/>
  <c r="K22" i="1"/>
  <c r="Q21" i="1"/>
  <c r="Q20" i="1"/>
  <c r="R18" i="1"/>
  <c r="Q18" i="1"/>
  <c r="K18" i="1"/>
  <c r="R17" i="1"/>
  <c r="Q17" i="1"/>
  <c r="K17" i="1"/>
  <c r="Q16" i="1"/>
  <c r="Q15" i="1"/>
  <c r="M14" i="1"/>
  <c r="K19" i="1" l="1"/>
  <c r="K34" i="1"/>
  <c r="U32" i="1"/>
  <c r="K24" i="1"/>
  <c r="K25" i="1" s="1"/>
  <c r="Z12" i="1"/>
  <c r="N24" i="4"/>
  <c r="L23" i="1"/>
  <c r="Z23" i="4"/>
  <c r="W24" i="4"/>
  <c r="X24" i="4" s="1"/>
  <c r="W25" i="4"/>
  <c r="X25" i="4" s="1"/>
  <c r="T29" i="1"/>
  <c r="T34" i="1" s="1"/>
  <c r="Y31" i="4"/>
  <c r="W34" i="4"/>
  <c r="X34" i="4" s="1"/>
  <c r="Y34" i="4" s="1"/>
  <c r="W32" i="4"/>
  <c r="X32" i="4" s="1"/>
  <c r="N23" i="4"/>
  <c r="Y32" i="4"/>
  <c r="Y23" i="4"/>
  <c r="Y30" i="4"/>
  <c r="W17" i="4"/>
  <c r="X17" i="4" s="1"/>
  <c r="W18" i="4"/>
  <c r="X18" i="4" s="1"/>
  <c r="Y18" i="4" s="1"/>
  <c r="Z18" i="4"/>
  <c r="U26" i="4"/>
  <c r="W22" i="4"/>
  <c r="X22" i="4" s="1"/>
  <c r="Z22" i="4"/>
  <c r="Z17" i="4"/>
  <c r="U19" i="4"/>
  <c r="M25" i="4"/>
  <c r="N25" i="4" s="1"/>
  <c r="L35" i="4"/>
  <c r="L37" i="4"/>
  <c r="L19" i="4"/>
  <c r="Z29" i="4"/>
  <c r="N32" i="4"/>
  <c r="N30" i="4"/>
  <c r="T37" i="4"/>
  <c r="T19" i="4"/>
  <c r="AA17" i="4" s="1"/>
  <c r="N33" i="4"/>
  <c r="L36" i="4"/>
  <c r="U33" i="4"/>
  <c r="Z33" i="4" s="1"/>
  <c r="N34" i="4"/>
  <c r="M17" i="4"/>
  <c r="N17" i="4" s="1"/>
  <c r="T35" i="4"/>
  <c r="AA33" i="4" s="1"/>
  <c r="L26" i="4"/>
  <c r="Y24" i="4"/>
  <c r="T26" i="4"/>
  <c r="AA23" i="4" s="1"/>
  <c r="T36" i="4"/>
  <c r="M28" i="4"/>
  <c r="Y28" i="4" s="1"/>
  <c r="Y29" i="4"/>
  <c r="M32" i="1"/>
  <c r="V29" i="1"/>
  <c r="L30" i="1"/>
  <c r="M30" i="1" s="1"/>
  <c r="N30" i="1" s="1"/>
  <c r="M31" i="1"/>
  <c r="N31" i="1" s="1"/>
  <c r="L17" i="1"/>
  <c r="V23" i="1"/>
  <c r="L18" i="1"/>
  <c r="L22" i="1"/>
  <c r="U30" i="1"/>
  <c r="U33" i="1"/>
  <c r="Z33" i="1" s="1"/>
  <c r="L29" i="1"/>
  <c r="L34" i="1" s="1"/>
  <c r="V17" i="1"/>
  <c r="T22" i="1"/>
  <c r="V18" i="1"/>
  <c r="V22" i="1"/>
  <c r="L33" i="1"/>
  <c r="T19" i="1" l="1"/>
  <c r="L19" i="1"/>
  <c r="K35" i="1"/>
  <c r="K26" i="1"/>
  <c r="T26" i="1"/>
  <c r="T35" i="1"/>
  <c r="Z32" i="1"/>
  <c r="W32" i="1"/>
  <c r="X32" i="1" s="1"/>
  <c r="AB32" i="1" s="1"/>
  <c r="M23" i="1"/>
  <c r="N23" i="1" s="1"/>
  <c r="U23" i="1"/>
  <c r="N32" i="1"/>
  <c r="AA17" i="1"/>
  <c r="L25" i="1"/>
  <c r="M25" i="1" s="1"/>
  <c r="N25" i="1" s="1"/>
  <c r="U25" i="1"/>
  <c r="L24" i="1"/>
  <c r="M24" i="1" s="1"/>
  <c r="U24" i="1"/>
  <c r="U17" i="1"/>
  <c r="N37" i="4"/>
  <c r="M36" i="4"/>
  <c r="Y25" i="4"/>
  <c r="M35" i="4"/>
  <c r="X19" i="4"/>
  <c r="Y19" i="4" s="1"/>
  <c r="U29" i="1"/>
  <c r="M29" i="1"/>
  <c r="M17" i="1"/>
  <c r="AA18" i="4"/>
  <c r="AA22" i="4"/>
  <c r="W33" i="4"/>
  <c r="X33" i="4" s="1"/>
  <c r="X35" i="4" s="1"/>
  <c r="N19" i="4"/>
  <c r="X26" i="4"/>
  <c r="Y22" i="4"/>
  <c r="M37" i="4"/>
  <c r="M19" i="4"/>
  <c r="Y17" i="4"/>
  <c r="U36" i="4"/>
  <c r="U35" i="4"/>
  <c r="U37" i="4"/>
  <c r="M26" i="4"/>
  <c r="AA28" i="4"/>
  <c r="AA29" i="4"/>
  <c r="AA32" i="4"/>
  <c r="AA34" i="4"/>
  <c r="M22" i="1"/>
  <c r="Z30" i="1"/>
  <c r="W30" i="1"/>
  <c r="X30" i="1" s="1"/>
  <c r="U18" i="1"/>
  <c r="M18" i="1"/>
  <c r="U31" i="1"/>
  <c r="W33" i="1"/>
  <c r="X33" i="1" s="1"/>
  <c r="AB33" i="1" s="1"/>
  <c r="M33" i="1"/>
  <c r="N33" i="1" s="1"/>
  <c r="U22" i="1"/>
  <c r="M34" i="1" l="1"/>
  <c r="Y30" i="1"/>
  <c r="AB30" i="1"/>
  <c r="U34" i="1"/>
  <c r="M26" i="1"/>
  <c r="M19" i="1"/>
  <c r="M35" i="1"/>
  <c r="U19" i="1"/>
  <c r="L35" i="1"/>
  <c r="N39" i="1" s="1"/>
  <c r="L26" i="1"/>
  <c r="W23" i="1"/>
  <c r="X23" i="1" s="1"/>
  <c r="AB23" i="1" s="1"/>
  <c r="U35" i="1"/>
  <c r="U26" i="1"/>
  <c r="Z23" i="1"/>
  <c r="Y32" i="1"/>
  <c r="N24" i="1"/>
  <c r="W25" i="1"/>
  <c r="X25" i="1" s="1"/>
  <c r="AB25" i="1" s="1"/>
  <c r="Z25" i="1"/>
  <c r="W24" i="1"/>
  <c r="X24" i="1" s="1"/>
  <c r="Z24" i="1"/>
  <c r="Z17" i="1"/>
  <c r="W17" i="1"/>
  <c r="X17" i="1" s="1"/>
  <c r="AB17" i="1" s="1"/>
  <c r="N17" i="1"/>
  <c r="Y35" i="4"/>
  <c r="X37" i="4"/>
  <c r="N29" i="1"/>
  <c r="N34" i="1" s="1"/>
  <c r="Z29" i="1"/>
  <c r="W29" i="1"/>
  <c r="X29" i="1" s="1"/>
  <c r="AB29" i="1" s="1"/>
  <c r="AA22" i="1"/>
  <c r="Y26" i="4"/>
  <c r="Y33" i="4"/>
  <c r="Y37" i="4" s="1"/>
  <c r="X36" i="4"/>
  <c r="Y36" i="4" s="1"/>
  <c r="N36" i="4"/>
  <c r="N35" i="4"/>
  <c r="AA31" i="1"/>
  <c r="AA33" i="1"/>
  <c r="AA30" i="1"/>
  <c r="AA29" i="1"/>
  <c r="N18" i="1"/>
  <c r="W18" i="1"/>
  <c r="X18" i="1" s="1"/>
  <c r="AB18" i="1" s="1"/>
  <c r="Z18" i="1"/>
  <c r="AA18" i="1"/>
  <c r="Z22" i="1"/>
  <c r="W22" i="1"/>
  <c r="X22" i="1" s="1"/>
  <c r="AB22" i="1" s="1"/>
  <c r="N22" i="1"/>
  <c r="W31" i="1"/>
  <c r="X31" i="1" s="1"/>
  <c r="Z31" i="1"/>
  <c r="Y33" i="1"/>
  <c r="Y24" i="1" l="1"/>
  <c r="AB24" i="1"/>
  <c r="Y31" i="1"/>
  <c r="AB31" i="1"/>
  <c r="Y23" i="1"/>
  <c r="X34" i="1"/>
  <c r="N26" i="1"/>
  <c r="N19" i="1"/>
  <c r="N35" i="1"/>
  <c r="C22" i="7" s="1"/>
  <c r="X19" i="1"/>
  <c r="X35" i="1"/>
  <c r="X26" i="1"/>
  <c r="AB35" i="1" s="1"/>
  <c r="Y25" i="1"/>
  <c r="Y19" i="1"/>
  <c r="Y34" i="1"/>
  <c r="Y17" i="1"/>
  <c r="Y29" i="1"/>
  <c r="Z37" i="4"/>
  <c r="AA37" i="4" s="1"/>
  <c r="Y18" i="1"/>
  <c r="Y22" i="1"/>
  <c r="Y35" i="1" l="1"/>
  <c r="Y26" i="1"/>
  <c r="E21" i="7" l="1"/>
  <c r="F21" i="7" s="1"/>
  <c r="D22" i="7"/>
  <c r="E22" i="7" s="1"/>
  <c r="F22" i="7" s="1"/>
  <c r="N37" i="1"/>
  <c r="Z35" i="1"/>
  <c r="AA35" i="1" s="1"/>
</calcChain>
</file>

<file path=xl/sharedStrings.xml><?xml version="1.0" encoding="utf-8"?>
<sst xmlns="http://schemas.openxmlformats.org/spreadsheetml/2006/main" count="506" uniqueCount="151">
  <si>
    <t>ORÇAMENTO</t>
  </si>
  <si>
    <t>Oggi Comunicação e Eventos</t>
  </si>
  <si>
    <t>CÓDIGO DO JOB:</t>
  </si>
  <si>
    <t>BO_001</t>
  </si>
  <si>
    <t>CLIENTE</t>
  </si>
  <si>
    <t>BOWE</t>
  </si>
  <si>
    <t>EVENTO:</t>
  </si>
  <si>
    <t>EVENTO DE RELACIONAMENTO</t>
  </si>
  <si>
    <t>LOCAL:</t>
  </si>
  <si>
    <t>A CASA DE ANTONIA</t>
  </si>
  <si>
    <t>DATA:</t>
  </si>
  <si>
    <t>29,30 OU 31 DE JULHO</t>
  </si>
  <si>
    <t>ATENDIMENTO:</t>
  </si>
  <si>
    <t>SILVIA BRITO</t>
  </si>
  <si>
    <t>PRODUTOR:</t>
  </si>
  <si>
    <t>GIOVANNI FERREIRA</t>
  </si>
  <si>
    <t>NOME PLANILHA:</t>
  </si>
  <si>
    <t>BO_001_EVENTO DE RELACIONAMENTO</t>
  </si>
  <si>
    <t>CUSTOS (valor de custo c/ NF ou recibo)</t>
  </si>
  <si>
    <t>DIFERENÇA NF (Lucro)</t>
  </si>
  <si>
    <t>ENCARGOS PUBLI</t>
  </si>
  <si>
    <t>SOLICITAÇÃO DE PAGAMENTO</t>
  </si>
  <si>
    <t>FORNECEDOR</t>
  </si>
  <si>
    <t>Solicitado</t>
  </si>
  <si>
    <t>PAGAMENTOS</t>
  </si>
  <si>
    <t>ÍNDICE</t>
  </si>
  <si>
    <t>ÍNDICE PUBLI</t>
  </si>
  <si>
    <t>CATEGORIA</t>
  </si>
  <si>
    <t>TIPO DE CUSTOS</t>
  </si>
  <si>
    <t>TIPO DE FATURAMENTO</t>
  </si>
  <si>
    <t>RESUMO</t>
  </si>
  <si>
    <t>DESCRITIVO</t>
  </si>
  <si>
    <t>Qtd</t>
  </si>
  <si>
    <t>Diária</t>
  </si>
  <si>
    <t>R$ unit</t>
  </si>
  <si>
    <t>VALOR</t>
  </si>
  <si>
    <t>SUBTOTAL</t>
  </si>
  <si>
    <t>QTDE</t>
  </si>
  <si>
    <t>DIÁRIA</t>
  </si>
  <si>
    <t>VL. UNIT.</t>
  </si>
  <si>
    <t>SUB TOTAL</t>
  </si>
  <si>
    <t>DIFERENÇA</t>
  </si>
  <si>
    <t>% NOTA</t>
  </si>
  <si>
    <t>CUSTO NOTA</t>
  </si>
  <si>
    <t>CUSTO TOTAL (custo + dif. NF)</t>
  </si>
  <si>
    <t>CUSTO TOTAL + IMPOSTOS</t>
  </si>
  <si>
    <t>Margem</t>
  </si>
  <si>
    <t>Peso</t>
  </si>
  <si>
    <t>Valor Total</t>
  </si>
  <si>
    <t>Saldo</t>
  </si>
  <si>
    <t>Data</t>
  </si>
  <si>
    <t>Fornecedor</t>
  </si>
  <si>
    <t>CPF/CNPJ</t>
  </si>
  <si>
    <t>Vazio</t>
  </si>
  <si>
    <t>PENDENTE</t>
  </si>
  <si>
    <t>EFETUADO</t>
  </si>
  <si>
    <t>GRUPO</t>
  </si>
  <si>
    <t>INTERNOS</t>
  </si>
  <si>
    <t>1.1</t>
  </si>
  <si>
    <t>SUBGRUPO</t>
  </si>
  <si>
    <t>CUSTOS INTERNOS OGGI</t>
  </si>
  <si>
    <t>AGENCIAMENTO</t>
  </si>
  <si>
    <t>IMPOSTOS</t>
  </si>
  <si>
    <t>Marg.</t>
  </si>
  <si>
    <t>1.1.1</t>
  </si>
  <si>
    <t>ITEM</t>
  </si>
  <si>
    <t>INTERNO</t>
  </si>
  <si>
    <t>FAT.OGGI</t>
  </si>
  <si>
    <t xml:space="preserve">Atendimento/produção </t>
  </si>
  <si>
    <t xml:space="preserve">Atendimento ao cliente e produção do evento </t>
  </si>
  <si>
    <t>1.1.2</t>
  </si>
  <si>
    <t>Criação</t>
  </si>
  <si>
    <t xml:space="preserve">Criação de banner e cardápios </t>
  </si>
  <si>
    <t>SUBTOTAL SUBGRUPO</t>
  </si>
  <si>
    <t>Subtotal CUSTOS INTERNOS OGGI</t>
  </si>
  <si>
    <t>FOGO Y FUEGO</t>
  </si>
  <si>
    <t>2.1</t>
  </si>
  <si>
    <t>2.1.1</t>
  </si>
  <si>
    <t>OPERACIONAL</t>
  </si>
  <si>
    <t>FAT.CLIENTE</t>
  </si>
  <si>
    <t>Locação de Sala do espaço</t>
  </si>
  <si>
    <t xml:space="preserve"> Espaço privativo e exclusivo. </t>
  </si>
  <si>
    <t>2.1.2</t>
  </si>
  <si>
    <t>2.1.3</t>
  </si>
  <si>
    <t>Almoço</t>
  </si>
  <si>
    <t>Cardápio com entrada, prato principal, acompanhamentos e sobremesas.</t>
  </si>
  <si>
    <t>2.1.4</t>
  </si>
  <si>
    <t>Pacote de Bebidas  não alcoolicas</t>
  </si>
  <si>
    <t>Pacote de Bebidas não alcoolicas.Agua com e sem gás,2 sabores de suco natural,refrigerante normal e zero.</t>
  </si>
  <si>
    <t>Subtotal FOGO Y FUEGO</t>
  </si>
  <si>
    <t xml:space="preserve">Subtotal </t>
  </si>
  <si>
    <t xml:space="preserve">OPERACIONAL </t>
  </si>
  <si>
    <t>3.1</t>
  </si>
  <si>
    <t xml:space="preserve">Operacional </t>
  </si>
  <si>
    <t>3.1.1</t>
  </si>
  <si>
    <t xml:space="preserve">Produtor operacional </t>
  </si>
  <si>
    <t>Produtor responsável por acompanhar e suporte durante o jantar.</t>
  </si>
  <si>
    <t>3.1.2</t>
  </si>
  <si>
    <t>Sonorização</t>
  </si>
  <si>
    <t xml:space="preserve">Locação de som e microfone para sala (caso necessário)  </t>
  </si>
  <si>
    <t>3.1.3</t>
  </si>
  <si>
    <t>Banner roll up bem vindos</t>
  </si>
  <si>
    <t>Banner dimensões 2,00x 0,80 m</t>
  </si>
  <si>
    <t>3.1.4</t>
  </si>
  <si>
    <t>Brinde Pertsonalizado</t>
  </si>
  <si>
    <t>Chaveiro personalizado NFC para cartão de visitas virtual.</t>
  </si>
  <si>
    <t>3.1.5</t>
  </si>
  <si>
    <t>Link para cadastro de convidados.</t>
  </si>
  <si>
    <t xml:space="preserve">Domínio do evento-Landing page
1- Cadastro
2 - E-mail de confirmação de Cadastro
</t>
  </si>
  <si>
    <t>3.1.6</t>
  </si>
  <si>
    <t>3.1.7</t>
  </si>
  <si>
    <t xml:space="preserve">Custos operacionais </t>
  </si>
  <si>
    <t xml:space="preserve">Verba prevista para VT, Internet, amostra de brindes, locomoção, alimentação equipe, telefonia e internet </t>
  </si>
  <si>
    <t xml:space="preserve">Subtotal Operacional </t>
  </si>
  <si>
    <t>Marg. Lucro</t>
  </si>
  <si>
    <t>Lucro</t>
  </si>
  <si>
    <t>SUBTOTAL PLANILHA</t>
  </si>
  <si>
    <t>TOTAL BO_001_EVENTO DE RELACIONAMENTO</t>
  </si>
  <si>
    <t>TOTAL</t>
  </si>
  <si>
    <t>TAXA ADM</t>
  </si>
  <si>
    <t> </t>
  </si>
  <si>
    <t xml:space="preserve">Locação Espaço  </t>
  </si>
  <si>
    <t>Locação do espaço.</t>
  </si>
  <si>
    <t>Almoço /Jantar</t>
  </si>
  <si>
    <t>Cardápio na apresentação.</t>
  </si>
  <si>
    <t>Bebidas Alcoolicas</t>
  </si>
  <si>
    <t>Vinho tinto e branco.</t>
  </si>
  <si>
    <t>Subtotal A CASA DE ANTONIA</t>
  </si>
  <si>
    <t>Totem Digital</t>
  </si>
  <si>
    <t>Toten P1.8-Medidas  64x192cm.</t>
  </si>
  <si>
    <t>Chaveiro personalizado NFC</t>
  </si>
  <si>
    <t>Comunicação visual</t>
  </si>
  <si>
    <t>Credenciais, cordão e tabletent.</t>
  </si>
  <si>
    <t>3.1.8</t>
  </si>
  <si>
    <t>SUBTOTAL GRUPO</t>
  </si>
  <si>
    <t xml:space="preserve">Subtotal OPERACIONAL </t>
  </si>
  <si>
    <t xml:space="preserve">Pacote de bebidas alcoólicas </t>
  </si>
  <si>
    <t>Brinde Personalizado</t>
  </si>
  <si>
    <t xml:space="preserve">17 Garrafas de Vinhos da linha Vinye Ocults (branco e tinto) 05 baldes de de cerveja Patagônia . </t>
  </si>
  <si>
    <t>Trio de sais de Parrilla + copo Stanley.</t>
  </si>
  <si>
    <t>VÍDEO</t>
  </si>
  <si>
    <t>STUDIO ROCA</t>
  </si>
  <si>
    <t>VENDA</t>
  </si>
  <si>
    <t xml:space="preserve">CUSTO </t>
  </si>
  <si>
    <t>LUCRO</t>
  </si>
  <si>
    <t>FECHADO</t>
  </si>
  <si>
    <t>CUSTO TOTAL</t>
  </si>
  <si>
    <t xml:space="preserve"> </t>
  </si>
  <si>
    <t>SILVIA BRITO/PATRICK</t>
  </si>
  <si>
    <t>BOWE_001_EVENTO DE RELACIONAMENTO</t>
  </si>
  <si>
    <t>CANTAGALLO PROD -THERMOCUP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</si>
</sst>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0&quot;/&quot;00&quot;/&quot;0000"/>
    <numFmt numFmtId="165" formatCode="_(&quot;R$ &quot;* #,##0.00_);_(&quot;R$ &quot;* \(#,##0.00\);_(&quot;R$ &quot;* &quot;-&quot;??_);_(@_)"/>
    <numFmt numFmtId="166" formatCode="0.000000000%"/>
    <numFmt numFmtId="167" formatCode="_-[$R$-416]\ * #,##0.00_-;\-[$R$-416]\ * #,##0.00_-;_-[$R$-416]\ * &quot;-&quot;??_-;_-@_-"/>
    <numFmt numFmtId="168" formatCode="_-&quot;R$&quot;* #,##0.00_-;\-&quot;R$&quot;* #,##0.00_-;_-&quot;R$&quot;* &quot;-&quot;??_-;_-@_-"/>
    <numFmt numFmtId="169" formatCode="&quot;R$&quot;\ #,##0.00"/>
    <numFmt numFmtId="170" formatCode="_(&quot;$&quot;* #,##0.00_);_(&quot;$&quot;* \(#,##0.00\);_(&quot;$&quot;* &quot;-&quot;??_);_(@_)"/>
  </numFmts>
  <fonts count="4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Trebuchet MS"/>
      <family val="2"/>
    </font>
    <font>
      <sz val="10"/>
      <name val="Arial"/>
      <family val="2"/>
    </font>
    <font>
      <b/>
      <sz val="8"/>
      <name val="Trebuchet MS"/>
      <family val="2"/>
    </font>
    <font>
      <b/>
      <sz val="12"/>
      <name val="Trebuchet MS"/>
      <family val="2"/>
    </font>
    <font>
      <sz val="12"/>
      <color theme="1"/>
      <name val="Trebuchet MS"/>
      <family val="2"/>
    </font>
    <font>
      <b/>
      <sz val="8"/>
      <color theme="1"/>
      <name val="Trebuchet MS"/>
      <family val="2"/>
    </font>
    <font>
      <sz val="11"/>
      <name val="Verdana"/>
      <family val="2"/>
    </font>
    <font>
      <b/>
      <sz val="12"/>
      <color indexed="63"/>
      <name val="Trebuchet MS"/>
      <family val="2"/>
    </font>
    <font>
      <b/>
      <sz val="12"/>
      <color theme="1"/>
      <name val="Trebuchet MS"/>
      <family val="2"/>
    </font>
    <font>
      <sz val="12"/>
      <color theme="0"/>
      <name val="Trebuchet MS"/>
      <family val="2"/>
    </font>
    <font>
      <b/>
      <sz val="12"/>
      <color rgb="FFFF0000"/>
      <name val="Trebuchet MS"/>
      <family val="2"/>
    </font>
    <font>
      <b/>
      <sz val="12"/>
      <color rgb="FF00B050"/>
      <name val="Trebuchet MS"/>
      <family val="2"/>
    </font>
    <font>
      <b/>
      <sz val="14"/>
      <color theme="0"/>
      <name val="Trebuchet MS"/>
      <family val="2"/>
    </font>
    <font>
      <b/>
      <sz val="12"/>
      <color theme="0"/>
      <name val="Trebuchet MS"/>
      <family val="2"/>
    </font>
    <font>
      <b/>
      <sz val="14"/>
      <color theme="1"/>
      <name val="Trebuchet MS"/>
      <family val="2"/>
    </font>
    <font>
      <b/>
      <sz val="10"/>
      <color theme="0"/>
      <name val="Trebuchet MS"/>
      <family val="2"/>
    </font>
    <font>
      <b/>
      <sz val="16"/>
      <color theme="0"/>
      <name val="Trebuchet MS"/>
      <family val="2"/>
    </font>
    <font>
      <sz val="8"/>
      <color theme="1"/>
      <name val="Aptos Narrow"/>
      <family val="2"/>
      <scheme val="minor"/>
    </font>
    <font>
      <sz val="16"/>
      <color rgb="FFFFFFFF"/>
      <name val="Trebuchet MS"/>
      <family val="2"/>
    </font>
    <font>
      <b/>
      <sz val="16"/>
      <color rgb="FFFFFFFF"/>
      <name val="Trebuchet MS"/>
      <family val="2"/>
    </font>
    <font>
      <b/>
      <sz val="20"/>
      <color theme="1"/>
      <name val="Trebuchet MS"/>
      <family val="2"/>
    </font>
    <font>
      <b/>
      <sz val="20"/>
      <color indexed="63"/>
      <name val="Trebuchet MS"/>
      <family val="2"/>
    </font>
    <font>
      <b/>
      <sz val="20"/>
      <color rgb="FFFF0000"/>
      <name val="Trebuchet MS"/>
      <family val="2"/>
    </font>
    <font>
      <b/>
      <sz val="20"/>
      <color rgb="FF00B050"/>
      <name val="Trebuchet MS"/>
      <family val="2"/>
    </font>
    <font>
      <sz val="16"/>
      <color theme="1"/>
      <name val="Trebuchet MS"/>
      <family val="2"/>
    </font>
    <font>
      <b/>
      <sz val="16"/>
      <name val="Trebuchet MS"/>
      <family val="2"/>
    </font>
    <font>
      <b/>
      <sz val="16"/>
      <color theme="1"/>
      <name val="Trebuchet MS"/>
      <family val="2"/>
    </font>
    <font>
      <b/>
      <sz val="16"/>
      <color indexed="63"/>
      <name val="Trebuchet MS"/>
      <family val="2"/>
    </font>
    <font>
      <sz val="16"/>
      <color theme="0"/>
      <name val="Trebuchet MS"/>
      <family val="2"/>
    </font>
    <font>
      <b/>
      <sz val="16"/>
      <color rgb="FFFF0000"/>
      <name val="Trebuchet MS"/>
      <family val="2"/>
    </font>
    <font>
      <b/>
      <sz val="16"/>
      <color rgb="FF00B050"/>
      <name val="Trebuchet MS"/>
      <family val="2"/>
    </font>
    <font>
      <sz val="16"/>
      <color rgb="FFFF0000"/>
      <name val="Trebuchet MS"/>
      <family val="2"/>
    </font>
    <font>
      <sz val="16"/>
      <color theme="1"/>
      <name val="Aptos Narrow"/>
      <family val="2"/>
      <scheme val="minor"/>
    </font>
    <font>
      <b/>
      <sz val="20"/>
      <color rgb="FF00B050"/>
      <name val="Aptos Narrow"/>
      <family val="2"/>
      <scheme val="minor"/>
    </font>
    <font>
      <b/>
      <sz val="18"/>
      <color rgb="FFFF0000"/>
      <name val="Trebuchet MS"/>
      <family val="2"/>
    </font>
    <font>
      <b/>
      <sz val="18"/>
      <color rgb="FF00B050"/>
      <name val="Trebuchet MS"/>
      <family val="2"/>
    </font>
    <font>
      <b/>
      <sz val="18"/>
      <color theme="1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18"/>
      <color rgb="FF00B0F0"/>
      <name val="Aptos Narrow"/>
      <family val="2"/>
      <scheme val="minor"/>
    </font>
    <font>
      <b/>
      <sz val="22"/>
      <color rgb="FFFF0000"/>
      <name val="Aptos Narrow"/>
      <family val="2"/>
      <scheme val="minor"/>
    </font>
    <font>
      <b/>
      <sz val="22"/>
      <color rgb="FF00B0F0"/>
      <name val="Aptos Narrow"/>
      <family val="2"/>
      <scheme val="minor"/>
    </font>
    <font>
      <b/>
      <sz val="22"/>
      <name val="Aptos Narrow"/>
      <family val="2"/>
      <scheme val="minor"/>
    </font>
    <font>
      <sz val="16"/>
      <name val="Trebuchet MS"/>
      <family val="2"/>
    </font>
    <font>
      <sz val="12"/>
      <color theme="1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6132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000000"/>
      </patternFill>
    </fill>
  </fills>
  <borders count="7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auto="1"/>
      </right>
      <top/>
      <bottom style="hair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/>
      <right/>
      <top style="thin">
        <color theme="0" tint="-0.14990691854609822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/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0691854609822"/>
      </left>
      <right/>
      <top/>
      <bottom style="thin">
        <color theme="0" tint="-0.14990691854609822"/>
      </bottom>
      <diagonal/>
    </border>
    <border>
      <left/>
      <right/>
      <top/>
      <bottom style="thin">
        <color theme="0" tint="-0.14990691854609822"/>
      </bottom>
      <diagonal/>
    </border>
    <border>
      <left style="thin">
        <color theme="0" tint="-0.14990691854609822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8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95">
    <xf numFmtId="0" fontId="0" fillId="0" borderId="0" xfId="0"/>
    <xf numFmtId="0" fontId="2" fillId="0" borderId="0" xfId="0" applyFont="1"/>
    <xf numFmtId="49" fontId="4" fillId="0" borderId="0" xfId="3" applyNumberFormat="1" applyFont="1" applyAlignment="1">
      <alignment horizontal="left" vertical="center" wrapText="1"/>
    </xf>
    <xf numFmtId="0" fontId="4" fillId="0" borderId="0" xfId="3" applyFont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5" fillId="0" borderId="0" xfId="3" applyNumberFormat="1" applyFont="1" applyAlignment="1">
      <alignment vertical="center"/>
    </xf>
    <xf numFmtId="164" fontId="5" fillId="0" borderId="0" xfId="3" applyNumberFormat="1" applyFont="1" applyAlignment="1">
      <alignment vertical="center" wrapText="1"/>
    </xf>
    <xf numFmtId="164" fontId="5" fillId="0" borderId="1" xfId="3" applyNumberFormat="1" applyFont="1" applyBorder="1" applyAlignment="1" applyProtection="1">
      <alignment vertical="center"/>
      <protection locked="0"/>
    </xf>
    <xf numFmtId="164" fontId="5" fillId="0" borderId="2" xfId="3" applyNumberFormat="1" applyFont="1" applyBorder="1" applyAlignment="1" applyProtection="1">
      <alignment vertical="center" wrapText="1"/>
      <protection locked="0"/>
    </xf>
    <xf numFmtId="164" fontId="5" fillId="0" borderId="3" xfId="3" applyNumberFormat="1" applyFont="1" applyBorder="1" applyAlignment="1" applyProtection="1">
      <alignment vertical="center"/>
      <protection locked="0"/>
    </xf>
    <xf numFmtId="164" fontId="5" fillId="0" borderId="4" xfId="3" applyNumberFormat="1" applyFont="1" applyBorder="1" applyAlignment="1" applyProtection="1">
      <alignment vertical="center" wrapText="1"/>
      <protection locked="0"/>
    </xf>
    <xf numFmtId="0" fontId="5" fillId="0" borderId="5" xfId="3" applyFont="1" applyBorder="1" applyAlignment="1" applyProtection="1">
      <alignment vertical="center" wrapText="1"/>
      <protection locked="0"/>
    </xf>
    <xf numFmtId="14" fontId="5" fillId="0" borderId="4" xfId="3" applyNumberFormat="1" applyFont="1" applyBorder="1" applyAlignment="1" applyProtection="1">
      <alignment vertical="center" wrapText="1"/>
      <protection locked="0"/>
    </xf>
    <xf numFmtId="164" fontId="5" fillId="0" borderId="6" xfId="3" applyNumberFormat="1" applyFont="1" applyBorder="1" applyAlignment="1" applyProtection="1">
      <alignment vertical="center"/>
      <protection locked="0"/>
    </xf>
    <xf numFmtId="0" fontId="5" fillId="0" borderId="7" xfId="3" applyFont="1" applyBorder="1" applyAlignment="1" applyProtection="1">
      <alignment vertical="center" wrapText="1"/>
      <protection locked="0"/>
    </xf>
    <xf numFmtId="49" fontId="2" fillId="0" borderId="0" xfId="0" applyNumberFormat="1" applyFont="1"/>
    <xf numFmtId="0" fontId="6" fillId="0" borderId="0" xfId="0" applyFont="1" applyAlignment="1">
      <alignment wrapText="1"/>
    </xf>
    <xf numFmtId="0" fontId="6" fillId="0" borderId="0" xfId="2" applyNumberFormat="1" applyFont="1"/>
    <xf numFmtId="165" fontId="9" fillId="4" borderId="12" xfId="5" applyFont="1" applyFill="1" applyBorder="1" applyAlignment="1">
      <alignment horizontal="center" vertical="center" wrapText="1"/>
    </xf>
    <xf numFmtId="0" fontId="7" fillId="6" borderId="0" xfId="0" applyFont="1" applyFill="1"/>
    <xf numFmtId="49" fontId="7" fillId="6" borderId="0" xfId="0" applyNumberFormat="1" applyFont="1" applyFill="1"/>
    <xf numFmtId="0" fontId="11" fillId="0" borderId="0" xfId="0" applyFont="1"/>
    <xf numFmtId="0" fontId="2" fillId="0" borderId="16" xfId="0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5" fillId="4" borderId="19" xfId="4" applyFont="1" applyFill="1" applyBorder="1" applyAlignment="1">
      <alignment vertical="center"/>
    </xf>
    <xf numFmtId="0" fontId="5" fillId="4" borderId="20" xfId="4" applyFont="1" applyFill="1" applyBorder="1" applyAlignment="1">
      <alignment vertical="center" wrapText="1"/>
    </xf>
    <xf numFmtId="0" fontId="10" fillId="4" borderId="20" xfId="4" applyFont="1" applyFill="1" applyBorder="1" applyAlignment="1">
      <alignment horizontal="center" vertical="center"/>
    </xf>
    <xf numFmtId="168" fontId="10" fillId="4" borderId="20" xfId="4" applyNumberFormat="1" applyFont="1" applyFill="1" applyBorder="1" applyAlignment="1">
      <alignment horizontal="center" vertical="center" wrapText="1"/>
    </xf>
    <xf numFmtId="0" fontId="10" fillId="4" borderId="20" xfId="4" applyFont="1" applyFill="1" applyBorder="1" applyAlignment="1">
      <alignment horizontal="center" vertical="center" wrapText="1"/>
    </xf>
    <xf numFmtId="9" fontId="10" fillId="4" borderId="20" xfId="2" applyFont="1" applyFill="1" applyBorder="1" applyAlignment="1">
      <alignment horizontal="center" vertical="center" wrapText="1"/>
    </xf>
    <xf numFmtId="10" fontId="10" fillId="4" borderId="20" xfId="2" applyNumberFormat="1" applyFont="1" applyFill="1" applyBorder="1" applyAlignment="1">
      <alignment horizontal="center" vertical="center" wrapText="1"/>
    </xf>
    <xf numFmtId="0" fontId="10" fillId="4" borderId="21" xfId="4" applyFont="1" applyFill="1" applyBorder="1" applyAlignment="1">
      <alignment horizontal="center" vertical="center" wrapText="1"/>
    </xf>
    <xf numFmtId="37" fontId="9" fillId="4" borderId="22" xfId="4" applyNumberFormat="1" applyFont="1" applyFill="1" applyBorder="1" applyAlignment="1">
      <alignment horizontal="center" vertical="center"/>
    </xf>
    <xf numFmtId="37" fontId="9" fillId="4" borderId="23" xfId="4" applyNumberFormat="1" applyFont="1" applyFill="1" applyBorder="1" applyAlignment="1">
      <alignment horizontal="center" vertical="center"/>
    </xf>
    <xf numFmtId="40" fontId="9" fillId="4" borderId="23" xfId="5" applyNumberFormat="1" applyFont="1" applyFill="1" applyBorder="1" applyAlignment="1">
      <alignment horizontal="center" vertical="center"/>
    </xf>
    <xf numFmtId="165" fontId="9" fillId="4" borderId="24" xfId="5" applyFont="1" applyFill="1" applyBorder="1" applyAlignment="1">
      <alignment horizontal="right" vertical="center"/>
    </xf>
    <xf numFmtId="40" fontId="9" fillId="4" borderId="25" xfId="5" applyNumberFormat="1" applyFont="1" applyFill="1" applyBorder="1" applyAlignment="1">
      <alignment horizontal="center" vertical="center" wrapText="1"/>
    </xf>
    <xf numFmtId="10" fontId="9" fillId="4" borderId="23" xfId="6" applyNumberFormat="1" applyFont="1" applyFill="1" applyBorder="1" applyAlignment="1">
      <alignment horizontal="center" vertical="center" wrapText="1"/>
    </xf>
    <xf numFmtId="165" fontId="9" fillId="4" borderId="26" xfId="5" applyFont="1" applyFill="1" applyBorder="1" applyAlignment="1">
      <alignment horizontal="center" vertical="center" wrapText="1"/>
    </xf>
    <xf numFmtId="165" fontId="9" fillId="4" borderId="27" xfId="5" applyFont="1" applyFill="1" applyBorder="1" applyAlignment="1">
      <alignment horizontal="center" vertical="center" wrapText="1"/>
    </xf>
    <xf numFmtId="10" fontId="9" fillId="4" borderId="28" xfId="6" applyNumberFormat="1" applyFont="1" applyFill="1" applyBorder="1" applyAlignment="1">
      <alignment horizontal="center" vertical="center" wrapText="1"/>
    </xf>
    <xf numFmtId="10" fontId="9" fillId="4" borderId="29" xfId="6" applyNumberFormat="1" applyFont="1" applyFill="1" applyBorder="1" applyAlignment="1">
      <alignment horizontal="center" vertical="center" wrapText="1"/>
    </xf>
    <xf numFmtId="165" fontId="9" fillId="4" borderId="28" xfId="5" applyFont="1" applyFill="1" applyBorder="1" applyAlignment="1">
      <alignment horizontal="center" vertical="center" wrapText="1"/>
    </xf>
    <xf numFmtId="165" fontId="9" fillId="4" borderId="29" xfId="5" applyFont="1" applyFill="1" applyBorder="1" applyAlignment="1">
      <alignment horizontal="center" vertical="center" wrapText="1"/>
    </xf>
    <xf numFmtId="37" fontId="9" fillId="4" borderId="8" xfId="4" applyNumberFormat="1" applyFont="1" applyFill="1" applyBorder="1" applyAlignment="1">
      <alignment horizontal="center" vertical="center"/>
    </xf>
    <xf numFmtId="40" fontId="9" fillId="4" borderId="30" xfId="5" applyNumberFormat="1" applyFont="1" applyFill="1" applyBorder="1" applyAlignment="1">
      <alignment horizontal="center" vertical="center"/>
    </xf>
    <xf numFmtId="167" fontId="12" fillId="4" borderId="31" xfId="5" applyNumberFormat="1" applyFont="1" applyFill="1" applyBorder="1" applyAlignment="1">
      <alignment horizontal="center" vertical="center" wrapText="1"/>
    </xf>
    <xf numFmtId="167" fontId="13" fillId="4" borderId="32" xfId="5" applyNumberFormat="1" applyFont="1" applyFill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10" fillId="9" borderId="39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43" xfId="0" applyFont="1" applyFill="1" applyBorder="1" applyAlignment="1">
      <alignment horizontal="center" vertical="center"/>
    </xf>
    <xf numFmtId="0" fontId="10" fillId="9" borderId="41" xfId="0" applyFont="1" applyFill="1" applyBorder="1" applyAlignment="1">
      <alignment horizontal="center" vertical="center"/>
    </xf>
    <xf numFmtId="0" fontId="6" fillId="0" borderId="40" xfId="0" applyFont="1" applyBorder="1" applyAlignment="1">
      <alignment vertical="center" wrapText="1"/>
    </xf>
    <xf numFmtId="0" fontId="6" fillId="0" borderId="41" xfId="0" applyFont="1" applyBorder="1" applyAlignment="1">
      <alignment vertical="center" wrapText="1"/>
    </xf>
    <xf numFmtId="0" fontId="6" fillId="0" borderId="44" xfId="0" applyFont="1" applyBorder="1" applyAlignment="1">
      <alignment horizontal="center" vertical="center"/>
    </xf>
    <xf numFmtId="44" fontId="6" fillId="0" borderId="44" xfId="1" applyFont="1" applyBorder="1" applyAlignment="1">
      <alignment vertical="center"/>
    </xf>
    <xf numFmtId="44" fontId="6" fillId="0" borderId="32" xfId="1" applyFont="1" applyBorder="1" applyAlignment="1">
      <alignment vertical="center"/>
    </xf>
    <xf numFmtId="1" fontId="6" fillId="10" borderId="40" xfId="0" applyNumberFormat="1" applyFont="1" applyFill="1" applyBorder="1" applyAlignment="1">
      <alignment horizontal="center" vertical="center"/>
    </xf>
    <xf numFmtId="1" fontId="6" fillId="10" borderId="41" xfId="0" applyNumberFormat="1" applyFont="1" applyFill="1" applyBorder="1" applyAlignment="1">
      <alignment horizontal="center" vertical="center"/>
    </xf>
    <xf numFmtId="44" fontId="6" fillId="10" borderId="41" xfId="1" applyFont="1" applyFill="1" applyBorder="1" applyAlignment="1">
      <alignment vertical="center"/>
    </xf>
    <xf numFmtId="44" fontId="6" fillId="11" borderId="41" xfId="1" applyFont="1" applyFill="1" applyBorder="1" applyAlignment="1">
      <alignment vertical="center"/>
    </xf>
    <xf numFmtId="9" fontId="6" fillId="12" borderId="41" xfId="2" applyFont="1" applyFill="1" applyBorder="1" applyAlignment="1">
      <alignment vertical="center"/>
    </xf>
    <xf numFmtId="44" fontId="6" fillId="12" borderId="41" xfId="1" applyFont="1" applyFill="1" applyBorder="1" applyAlignment="1">
      <alignment vertical="center"/>
    </xf>
    <xf numFmtId="44" fontId="6" fillId="12" borderId="42" xfId="1" applyFont="1" applyFill="1" applyBorder="1" applyAlignment="1">
      <alignment vertical="center"/>
    </xf>
    <xf numFmtId="10" fontId="6" fillId="11" borderId="43" xfId="0" applyNumberFormat="1" applyFont="1" applyFill="1" applyBorder="1" applyAlignment="1">
      <alignment horizontal="center" vertical="center"/>
    </xf>
    <xf numFmtId="10" fontId="6" fillId="11" borderId="41" xfId="0" applyNumberFormat="1" applyFont="1" applyFill="1" applyBorder="1" applyAlignment="1">
      <alignment horizontal="center" vertical="center"/>
    </xf>
    <xf numFmtId="0" fontId="6" fillId="13" borderId="31" xfId="0" applyFont="1" applyFill="1" applyBorder="1" applyAlignment="1">
      <alignment vertical="center" wrapText="1"/>
    </xf>
    <xf numFmtId="0" fontId="6" fillId="13" borderId="44" xfId="0" applyFont="1" applyFill="1" applyBorder="1" applyAlignment="1">
      <alignment vertical="center" wrapText="1"/>
    </xf>
    <xf numFmtId="44" fontId="6" fillId="13" borderId="44" xfId="1" applyFont="1" applyFill="1" applyBorder="1" applyAlignment="1">
      <alignment vertical="center"/>
    </xf>
    <xf numFmtId="0" fontId="6" fillId="13" borderId="0" xfId="0" applyFont="1" applyFill="1"/>
    <xf numFmtId="169" fontId="15" fillId="8" borderId="46" xfId="0" applyNumberFormat="1" applyFont="1" applyFill="1" applyBorder="1" applyAlignment="1">
      <alignment horizontal="right"/>
    </xf>
    <xf numFmtId="44" fontId="15" fillId="8" borderId="41" xfId="0" applyNumberFormat="1" applyFont="1" applyFill="1" applyBorder="1" applyAlignment="1">
      <alignment horizontal="right"/>
    </xf>
    <xf numFmtId="44" fontId="10" fillId="11" borderId="41" xfId="0" applyNumberFormat="1" applyFont="1" applyFill="1" applyBorder="1"/>
    <xf numFmtId="0" fontId="6" fillId="12" borderId="41" xfId="0" applyFont="1" applyFill="1" applyBorder="1"/>
    <xf numFmtId="44" fontId="10" fillId="12" borderId="41" xfId="0" applyNumberFormat="1" applyFont="1" applyFill="1" applyBorder="1"/>
    <xf numFmtId="44" fontId="10" fillId="12" borderId="42" xfId="1" applyFont="1" applyFill="1" applyBorder="1"/>
    <xf numFmtId="1" fontId="6" fillId="10" borderId="31" xfId="0" applyNumberFormat="1" applyFont="1" applyFill="1" applyBorder="1" applyAlignment="1">
      <alignment vertical="center"/>
    </xf>
    <xf numFmtId="1" fontId="6" fillId="10" borderId="44" xfId="0" applyNumberFormat="1" applyFont="1" applyFill="1" applyBorder="1" applyAlignment="1">
      <alignment vertical="center"/>
    </xf>
    <xf numFmtId="44" fontId="6" fillId="10" borderId="44" xfId="1" applyFont="1" applyFill="1" applyBorder="1" applyAlignment="1">
      <alignment vertical="center"/>
    </xf>
    <xf numFmtId="44" fontId="6" fillId="11" borderId="44" xfId="1" applyFont="1" applyFill="1" applyBorder="1" applyAlignment="1">
      <alignment vertical="center"/>
    </xf>
    <xf numFmtId="9" fontId="6" fillId="12" borderId="44" xfId="2" applyFont="1" applyFill="1" applyBorder="1" applyAlignment="1">
      <alignment vertical="center"/>
    </xf>
    <xf numFmtId="44" fontId="6" fillId="12" borderId="44" xfId="1" applyFont="1" applyFill="1" applyBorder="1" applyAlignment="1">
      <alignment vertical="center"/>
    </xf>
    <xf numFmtId="44" fontId="6" fillId="12" borderId="32" xfId="1" applyFont="1" applyFill="1" applyBorder="1" applyAlignment="1">
      <alignment vertical="center"/>
    </xf>
    <xf numFmtId="1" fontId="6" fillId="10" borderId="47" xfId="0" applyNumberFormat="1" applyFont="1" applyFill="1" applyBorder="1" applyAlignment="1">
      <alignment vertical="center"/>
    </xf>
    <xf numFmtId="1" fontId="6" fillId="10" borderId="48" xfId="0" applyNumberFormat="1" applyFont="1" applyFill="1" applyBorder="1" applyAlignment="1">
      <alignment vertical="center"/>
    </xf>
    <xf numFmtId="44" fontId="6" fillId="10" borderId="48" xfId="1" applyFont="1" applyFill="1" applyBorder="1" applyAlignment="1">
      <alignment vertical="center"/>
    </xf>
    <xf numFmtId="44" fontId="6" fillId="11" borderId="48" xfId="1" applyFont="1" applyFill="1" applyBorder="1" applyAlignment="1">
      <alignment vertical="center"/>
    </xf>
    <xf numFmtId="9" fontId="6" fillId="12" borderId="48" xfId="2" applyFont="1" applyFill="1" applyBorder="1" applyAlignment="1">
      <alignment vertical="center"/>
    </xf>
    <xf numFmtId="44" fontId="6" fillId="12" borderId="48" xfId="1" applyFont="1" applyFill="1" applyBorder="1" applyAlignment="1">
      <alignment vertical="center"/>
    </xf>
    <xf numFmtId="0" fontId="6" fillId="0" borderId="49" xfId="0" applyFont="1" applyBorder="1" applyAlignment="1">
      <alignment horizontal="left" vertical="center" wrapText="1"/>
    </xf>
    <xf numFmtId="0" fontId="6" fillId="0" borderId="50" xfId="0" applyFont="1" applyBorder="1" applyAlignment="1">
      <alignment horizontal="left" vertical="center" wrapText="1"/>
    </xf>
    <xf numFmtId="0" fontId="6" fillId="13" borderId="41" xfId="0" applyFont="1" applyFill="1" applyBorder="1" applyAlignment="1">
      <alignment horizontal="left" vertical="center" wrapText="1"/>
    </xf>
    <xf numFmtId="0" fontId="6" fillId="0" borderId="41" xfId="0" applyFont="1" applyBorder="1" applyAlignment="1">
      <alignment horizontal="center" vertical="center"/>
    </xf>
    <xf numFmtId="44" fontId="6" fillId="0" borderId="41" xfId="1" applyFont="1" applyBorder="1" applyAlignment="1">
      <alignment vertical="center"/>
    </xf>
    <xf numFmtId="1" fontId="6" fillId="10" borderId="51" xfId="0" applyNumberFormat="1" applyFont="1" applyFill="1" applyBorder="1" applyAlignment="1">
      <alignment vertical="center"/>
    </xf>
    <xf numFmtId="44" fontId="6" fillId="10" borderId="51" xfId="1" applyFont="1" applyFill="1" applyBorder="1" applyAlignment="1">
      <alignment vertical="center"/>
    </xf>
    <xf numFmtId="44" fontId="6" fillId="11" borderId="51" xfId="1" applyFont="1" applyFill="1" applyBorder="1" applyAlignment="1">
      <alignment vertical="center"/>
    </xf>
    <xf numFmtId="9" fontId="6" fillId="12" borderId="51" xfId="2" applyFont="1" applyFill="1" applyBorder="1" applyAlignment="1">
      <alignment vertical="center"/>
    </xf>
    <xf numFmtId="44" fontId="6" fillId="12" borderId="51" xfId="1" applyFont="1" applyFill="1" applyBorder="1" applyAlignment="1">
      <alignment vertical="center"/>
    </xf>
    <xf numFmtId="0" fontId="6" fillId="0" borderId="52" xfId="0" applyFont="1" applyBorder="1" applyAlignment="1">
      <alignment horizontal="left" vertical="center" wrapText="1"/>
    </xf>
    <xf numFmtId="0" fontId="6" fillId="0" borderId="53" xfId="0" applyFont="1" applyBorder="1" applyAlignment="1">
      <alignment horizontal="left" vertical="center" wrapText="1"/>
    </xf>
    <xf numFmtId="0" fontId="2" fillId="0" borderId="54" xfId="0" applyFont="1" applyBorder="1" applyAlignment="1">
      <alignment horizontal="left" vertical="center" wrapText="1"/>
    </xf>
    <xf numFmtId="0" fontId="6" fillId="0" borderId="55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69" fontId="14" fillId="8" borderId="0" xfId="0" applyNumberFormat="1" applyFont="1" applyFill="1" applyAlignment="1">
      <alignment horizontal="right"/>
    </xf>
    <xf numFmtId="169" fontId="14" fillId="8" borderId="56" xfId="0" applyNumberFormat="1" applyFont="1" applyFill="1" applyBorder="1" applyAlignment="1">
      <alignment horizontal="right"/>
    </xf>
    <xf numFmtId="44" fontId="14" fillId="8" borderId="0" xfId="0" applyNumberFormat="1" applyFont="1" applyFill="1" applyAlignment="1">
      <alignment horizontal="right"/>
    </xf>
    <xf numFmtId="44" fontId="16" fillId="11" borderId="0" xfId="0" applyNumberFormat="1" applyFont="1" applyFill="1"/>
    <xf numFmtId="0" fontId="6" fillId="12" borderId="0" xfId="0" applyFont="1" applyFill="1"/>
    <xf numFmtId="44" fontId="16" fillId="12" borderId="0" xfId="0" applyNumberFormat="1" applyFont="1" applyFill="1"/>
    <xf numFmtId="44" fontId="16" fillId="12" borderId="56" xfId="1" applyFont="1" applyFill="1" applyBorder="1"/>
    <xf numFmtId="1" fontId="6" fillId="10" borderId="40" xfId="0" applyNumberFormat="1" applyFont="1" applyFill="1" applyBorder="1" applyAlignment="1">
      <alignment vertical="center"/>
    </xf>
    <xf numFmtId="1" fontId="6" fillId="10" borderId="41" xfId="0" applyNumberFormat="1" applyFont="1" applyFill="1" applyBorder="1" applyAlignment="1">
      <alignment vertical="center"/>
    </xf>
    <xf numFmtId="0" fontId="6" fillId="0" borderId="31" xfId="0" applyFont="1" applyBorder="1" applyAlignment="1">
      <alignment vertical="center" wrapText="1"/>
    </xf>
    <xf numFmtId="0" fontId="6" fillId="0" borderId="44" xfId="0" applyFont="1" applyBorder="1" applyAlignment="1">
      <alignment vertical="center" wrapText="1"/>
    </xf>
    <xf numFmtId="44" fontId="6" fillId="0" borderId="44" xfId="1" applyFont="1" applyBorder="1" applyAlignment="1">
      <alignment horizontal="center" vertical="center"/>
    </xf>
    <xf numFmtId="0" fontId="6" fillId="0" borderId="41" xfId="0" applyFont="1" applyBorder="1" applyAlignment="1">
      <alignment horizontal="left" vertical="center" wrapText="1"/>
    </xf>
    <xf numFmtId="44" fontId="6" fillId="0" borderId="42" xfId="1" applyFont="1" applyBorder="1" applyAlignment="1">
      <alignment vertical="center"/>
    </xf>
    <xf numFmtId="0" fontId="6" fillId="0" borderId="16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44" xfId="0" applyFont="1" applyBorder="1" applyAlignment="1">
      <alignment horizontal="left" vertical="center" wrapText="1"/>
    </xf>
    <xf numFmtId="0" fontId="6" fillId="0" borderId="40" xfId="0" applyFont="1" applyBorder="1" applyAlignment="1">
      <alignment horizontal="left" vertical="center" wrapText="1"/>
    </xf>
    <xf numFmtId="0" fontId="6" fillId="0" borderId="57" xfId="0" applyFont="1" applyBorder="1" applyAlignment="1">
      <alignment vertical="center" wrapText="1"/>
    </xf>
    <xf numFmtId="0" fontId="6" fillId="0" borderId="55" xfId="0" applyFont="1" applyBorder="1" applyAlignment="1">
      <alignment vertical="center" wrapText="1"/>
    </xf>
    <xf numFmtId="44" fontId="6" fillId="0" borderId="55" xfId="1" applyFont="1" applyBorder="1" applyAlignment="1">
      <alignment horizontal="center" vertical="center"/>
    </xf>
    <xf numFmtId="44" fontId="6" fillId="0" borderId="58" xfId="1" applyFont="1" applyBorder="1" applyAlignment="1">
      <alignment horizontal="center" vertical="center"/>
    </xf>
    <xf numFmtId="1" fontId="0" fillId="10" borderId="40" xfId="0" applyNumberFormat="1" applyFill="1" applyBorder="1" applyAlignment="1">
      <alignment vertical="center"/>
    </xf>
    <xf numFmtId="1" fontId="0" fillId="10" borderId="41" xfId="0" applyNumberFormat="1" applyFill="1" applyBorder="1" applyAlignment="1">
      <alignment vertical="center"/>
    </xf>
    <xf numFmtId="170" fontId="0" fillId="10" borderId="41" xfId="1" applyNumberFormat="1" applyFont="1" applyFill="1" applyBorder="1" applyAlignment="1">
      <alignment vertical="center"/>
    </xf>
    <xf numFmtId="170" fontId="0" fillId="11" borderId="41" xfId="1" applyNumberFormat="1" applyFont="1" applyFill="1" applyBorder="1" applyAlignment="1">
      <alignment vertical="center"/>
    </xf>
    <xf numFmtId="9" fontId="0" fillId="12" borderId="41" xfId="2" applyFont="1" applyFill="1" applyBorder="1" applyAlignment="1">
      <alignment vertical="center"/>
    </xf>
    <xf numFmtId="170" fontId="0" fillId="12" borderId="41" xfId="1" applyNumberFormat="1" applyFont="1" applyFill="1" applyBorder="1" applyAlignment="1">
      <alignment vertical="center"/>
    </xf>
    <xf numFmtId="170" fontId="0" fillId="12" borderId="42" xfId="1" applyNumberFormat="1" applyFont="1" applyFill="1" applyBorder="1" applyAlignment="1">
      <alignment vertical="center"/>
    </xf>
    <xf numFmtId="169" fontId="14" fillId="8" borderId="46" xfId="0" applyNumberFormat="1" applyFont="1" applyFill="1" applyBorder="1" applyAlignment="1">
      <alignment horizontal="right"/>
    </xf>
    <xf numFmtId="44" fontId="14" fillId="8" borderId="41" xfId="0" applyNumberFormat="1" applyFont="1" applyFill="1" applyBorder="1" applyAlignment="1">
      <alignment horizontal="right"/>
    </xf>
    <xf numFmtId="44" fontId="16" fillId="11" borderId="41" xfId="0" applyNumberFormat="1" applyFont="1" applyFill="1" applyBorder="1"/>
    <xf numFmtId="0" fontId="0" fillId="12" borderId="41" xfId="0" applyFill="1" applyBorder="1"/>
    <xf numFmtId="44" fontId="16" fillId="12" borderId="41" xfId="0" applyNumberFormat="1" applyFont="1" applyFill="1" applyBorder="1"/>
    <xf numFmtId="44" fontId="16" fillId="12" borderId="42" xfId="1" applyFont="1" applyFill="1" applyBorder="1"/>
    <xf numFmtId="44" fontId="14" fillId="7" borderId="0" xfId="0" applyNumberFormat="1" applyFont="1" applyFill="1" applyAlignment="1">
      <alignment horizontal="right"/>
    </xf>
    <xf numFmtId="44" fontId="14" fillId="7" borderId="56" xfId="0" applyNumberFormat="1" applyFont="1" applyFill="1" applyBorder="1" applyAlignment="1">
      <alignment horizontal="right"/>
    </xf>
    <xf numFmtId="44" fontId="14" fillId="7" borderId="44" xfId="0" applyNumberFormat="1" applyFont="1" applyFill="1" applyBorder="1" applyAlignment="1">
      <alignment horizontal="right"/>
    </xf>
    <xf numFmtId="44" fontId="16" fillId="11" borderId="44" xfId="0" applyNumberFormat="1" applyFont="1" applyFill="1" applyBorder="1"/>
    <xf numFmtId="0" fontId="0" fillId="12" borderId="44" xfId="0" applyFill="1" applyBorder="1"/>
    <xf numFmtId="44" fontId="16" fillId="12" borderId="44" xfId="0" applyNumberFormat="1" applyFont="1" applyFill="1" applyBorder="1"/>
    <xf numFmtId="44" fontId="16" fillId="12" borderId="48" xfId="1" applyFont="1" applyFill="1" applyBorder="1"/>
    <xf numFmtId="44" fontId="17" fillId="14" borderId="33" xfId="1" applyFont="1" applyFill="1" applyBorder="1" applyAlignment="1">
      <alignment horizontal="center"/>
    </xf>
    <xf numFmtId="49" fontId="6" fillId="0" borderId="61" xfId="0" applyNumberFormat="1" applyFont="1" applyBorder="1" applyAlignment="1">
      <alignment horizontal="left" vertical="center" wrapText="1"/>
    </xf>
    <xf numFmtId="0" fontId="18" fillId="14" borderId="10" xfId="0" applyFont="1" applyFill="1" applyBorder="1"/>
    <xf numFmtId="0" fontId="18" fillId="14" borderId="11" xfId="0" applyFont="1" applyFill="1" applyBorder="1"/>
    <xf numFmtId="44" fontId="18" fillId="14" borderId="11" xfId="0" applyNumberFormat="1" applyFont="1" applyFill="1" applyBorder="1"/>
    <xf numFmtId="9" fontId="18" fillId="14" borderId="45" xfId="2" applyFont="1" applyFill="1" applyBorder="1"/>
    <xf numFmtId="0" fontId="19" fillId="0" borderId="0" xfId="0" applyFont="1"/>
    <xf numFmtId="0" fontId="6" fillId="13" borderId="41" xfId="0" applyFont="1" applyFill="1" applyBorder="1" applyAlignment="1">
      <alignment vertical="center" wrapText="1"/>
    </xf>
    <xf numFmtId="167" fontId="9" fillId="0" borderId="14" xfId="5" applyNumberFormat="1" applyFont="1" applyBorder="1" applyAlignment="1">
      <alignment horizontal="center" vertical="center" wrapText="1"/>
    </xf>
    <xf numFmtId="0" fontId="6" fillId="0" borderId="5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63" xfId="0" applyFont="1" applyBorder="1" applyAlignment="1">
      <alignment horizontal="left" vertical="center" wrapText="1"/>
    </xf>
    <xf numFmtId="0" fontId="6" fillId="0" borderId="64" xfId="0" applyFont="1" applyBorder="1" applyAlignment="1">
      <alignment horizontal="left" vertical="center" wrapText="1"/>
    </xf>
    <xf numFmtId="0" fontId="6" fillId="0" borderId="64" xfId="0" applyFont="1" applyBorder="1" applyAlignment="1">
      <alignment horizontal="center" vertical="center"/>
    </xf>
    <xf numFmtId="44" fontId="6" fillId="0" borderId="64" xfId="1" applyFont="1" applyBorder="1" applyAlignment="1">
      <alignment vertical="center"/>
    </xf>
    <xf numFmtId="44" fontId="6" fillId="0" borderId="65" xfId="1" applyFont="1" applyBorder="1" applyAlignment="1">
      <alignment vertical="center"/>
    </xf>
    <xf numFmtId="1" fontId="6" fillId="10" borderId="57" xfId="0" applyNumberFormat="1" applyFont="1" applyFill="1" applyBorder="1" applyAlignment="1">
      <alignment vertical="center"/>
    </xf>
    <xf numFmtId="1" fontId="6" fillId="10" borderId="55" xfId="0" applyNumberFormat="1" applyFont="1" applyFill="1" applyBorder="1" applyAlignment="1">
      <alignment vertical="center"/>
    </xf>
    <xf numFmtId="44" fontId="6" fillId="10" borderId="55" xfId="1" applyFont="1" applyFill="1" applyBorder="1" applyAlignment="1">
      <alignment vertical="center"/>
    </xf>
    <xf numFmtId="44" fontId="6" fillId="11" borderId="55" xfId="1" applyFont="1" applyFill="1" applyBorder="1" applyAlignment="1">
      <alignment vertical="center"/>
    </xf>
    <xf numFmtId="9" fontId="6" fillId="12" borderId="55" xfId="2" applyFont="1" applyFill="1" applyBorder="1" applyAlignment="1">
      <alignment vertical="center"/>
    </xf>
    <xf numFmtId="44" fontId="6" fillId="12" borderId="55" xfId="1" applyFont="1" applyFill="1" applyBorder="1" applyAlignment="1">
      <alignment vertical="center"/>
    </xf>
    <xf numFmtId="44" fontId="6" fillId="12" borderId="58" xfId="1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8" fillId="14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0" applyNumberFormat="1"/>
    <xf numFmtId="44" fontId="18" fillId="14" borderId="66" xfId="0" applyNumberFormat="1" applyFont="1" applyFill="1" applyBorder="1"/>
    <xf numFmtId="44" fontId="17" fillId="14" borderId="67" xfId="1" applyFont="1" applyFill="1" applyBorder="1" applyAlignment="1">
      <alignment horizontal="center"/>
    </xf>
    <xf numFmtId="44" fontId="18" fillId="14" borderId="68" xfId="1" applyFont="1" applyFill="1" applyBorder="1"/>
    <xf numFmtId="0" fontId="20" fillId="15" borderId="11" xfId="0" applyFont="1" applyFill="1" applyBorder="1"/>
    <xf numFmtId="10" fontId="21" fillId="15" borderId="11" xfId="0" applyNumberFormat="1" applyFont="1" applyFill="1" applyBorder="1"/>
    <xf numFmtId="8" fontId="20" fillId="15" borderId="11" xfId="0" applyNumberFormat="1" applyFont="1" applyFill="1" applyBorder="1"/>
    <xf numFmtId="0" fontId="20" fillId="15" borderId="46" xfId="0" applyFont="1" applyFill="1" applyBorder="1"/>
    <xf numFmtId="166" fontId="10" fillId="0" borderId="66" xfId="2" applyNumberFormat="1" applyFont="1" applyBorder="1"/>
    <xf numFmtId="0" fontId="10" fillId="9" borderId="67" xfId="0" applyFont="1" applyFill="1" applyBorder="1" applyAlignment="1">
      <alignment horizontal="center" vertical="center"/>
    </xf>
    <xf numFmtId="169" fontId="15" fillId="8" borderId="68" xfId="0" applyNumberFormat="1" applyFont="1" applyFill="1" applyBorder="1" applyAlignment="1">
      <alignment horizontal="right"/>
    </xf>
    <xf numFmtId="169" fontId="14" fillId="8" borderId="68" xfId="0" applyNumberFormat="1" applyFont="1" applyFill="1" applyBorder="1" applyAlignment="1">
      <alignment horizontal="right"/>
    </xf>
    <xf numFmtId="9" fontId="18" fillId="14" borderId="46" xfId="2" applyFont="1" applyFill="1" applyBorder="1"/>
    <xf numFmtId="0" fontId="26" fillId="0" borderId="0" xfId="0" applyFont="1"/>
    <xf numFmtId="49" fontId="27" fillId="0" borderId="0" xfId="3" applyNumberFormat="1" applyFont="1" applyAlignment="1">
      <alignment horizontal="left" vertical="center" wrapText="1"/>
    </xf>
    <xf numFmtId="0" fontId="27" fillId="0" borderId="0" xfId="3" applyFont="1" applyAlignment="1">
      <alignment horizontal="left" vertical="center" wrapText="1"/>
    </xf>
    <xf numFmtId="0" fontId="26" fillId="0" borderId="0" xfId="0" applyFont="1" applyAlignment="1">
      <alignment horizontal="center" vertical="center"/>
    </xf>
    <xf numFmtId="44" fontId="26" fillId="0" borderId="0" xfId="1" applyFont="1"/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164" fontId="27" fillId="0" borderId="0" xfId="3" applyNumberFormat="1" applyFont="1" applyAlignment="1">
      <alignment vertical="center"/>
    </xf>
    <xf numFmtId="164" fontId="27" fillId="0" borderId="0" xfId="3" applyNumberFormat="1" applyFont="1" applyAlignment="1">
      <alignment vertical="center" wrapText="1"/>
    </xf>
    <xf numFmtId="164" fontId="27" fillId="0" borderId="1" xfId="3" applyNumberFormat="1" applyFont="1" applyBorder="1" applyAlignment="1" applyProtection="1">
      <alignment vertical="center"/>
      <protection locked="0"/>
    </xf>
    <xf numFmtId="164" fontId="27" fillId="0" borderId="2" xfId="3" applyNumberFormat="1" applyFont="1" applyBorder="1" applyAlignment="1" applyProtection="1">
      <alignment vertical="center" wrapText="1"/>
      <protection locked="0"/>
    </xf>
    <xf numFmtId="164" fontId="27" fillId="0" borderId="3" xfId="3" applyNumberFormat="1" applyFont="1" applyBorder="1" applyAlignment="1" applyProtection="1">
      <alignment vertical="center"/>
      <protection locked="0"/>
    </xf>
    <xf numFmtId="164" fontId="27" fillId="0" borderId="4" xfId="3" applyNumberFormat="1" applyFont="1" applyBorder="1" applyAlignment="1" applyProtection="1">
      <alignment vertical="center" wrapText="1"/>
      <protection locked="0"/>
    </xf>
    <xf numFmtId="0" fontId="27" fillId="0" borderId="5" xfId="3" applyFont="1" applyBorder="1" applyAlignment="1" applyProtection="1">
      <alignment vertical="center" wrapText="1"/>
      <protection locked="0"/>
    </xf>
    <xf numFmtId="14" fontId="27" fillId="0" borderId="4" xfId="3" applyNumberFormat="1" applyFont="1" applyBorder="1" applyAlignment="1" applyProtection="1">
      <alignment vertical="center" wrapText="1"/>
      <protection locked="0"/>
    </xf>
    <xf numFmtId="164" fontId="27" fillId="0" borderId="6" xfId="3" applyNumberFormat="1" applyFont="1" applyBorder="1" applyAlignment="1" applyProtection="1">
      <alignment vertical="center"/>
      <protection locked="0"/>
    </xf>
    <xf numFmtId="0" fontId="27" fillId="0" borderId="7" xfId="3" applyFont="1" applyBorder="1" applyAlignment="1" applyProtection="1">
      <alignment vertical="center" wrapText="1"/>
      <protection locked="0"/>
    </xf>
    <xf numFmtId="49" fontId="26" fillId="0" borderId="0" xfId="0" applyNumberFormat="1" applyFont="1"/>
    <xf numFmtId="0" fontId="26" fillId="0" borderId="0" xfId="0" applyFont="1" applyAlignment="1">
      <alignment wrapText="1"/>
    </xf>
    <xf numFmtId="0" fontId="26" fillId="0" borderId="0" xfId="2" applyNumberFormat="1" applyFont="1"/>
    <xf numFmtId="165" fontId="29" fillId="4" borderId="12" xfId="5" applyFont="1" applyFill="1" applyBorder="1" applyAlignment="1">
      <alignment horizontal="center" vertical="center" wrapText="1"/>
    </xf>
    <xf numFmtId="166" fontId="28" fillId="0" borderId="66" xfId="2" applyNumberFormat="1" applyFont="1" applyBorder="1"/>
    <xf numFmtId="167" fontId="29" fillId="0" borderId="14" xfId="5" applyNumberFormat="1" applyFont="1" applyBorder="1" applyAlignment="1">
      <alignment horizontal="center" vertical="center" wrapText="1"/>
    </xf>
    <xf numFmtId="0" fontId="28" fillId="6" borderId="0" xfId="0" applyFont="1" applyFill="1"/>
    <xf numFmtId="49" fontId="28" fillId="6" borderId="0" xfId="0" applyNumberFormat="1" applyFont="1" applyFill="1"/>
    <xf numFmtId="0" fontId="30" fillId="0" borderId="0" xfId="0" applyFont="1"/>
    <xf numFmtId="0" fontId="26" fillId="0" borderId="16" xfId="0" applyFont="1" applyBorder="1" applyAlignment="1">
      <alignment horizontal="left" vertical="center"/>
    </xf>
    <xf numFmtId="49" fontId="26" fillId="0" borderId="17" xfId="0" applyNumberFormat="1" applyFont="1" applyBorder="1" applyAlignment="1">
      <alignment horizontal="left" vertical="center"/>
    </xf>
    <xf numFmtId="0" fontId="26" fillId="0" borderId="18" xfId="0" applyFont="1" applyBorder="1" applyAlignment="1">
      <alignment horizontal="left" vertical="center"/>
    </xf>
    <xf numFmtId="0" fontId="26" fillId="0" borderId="16" xfId="0" applyFont="1" applyBorder="1" applyAlignment="1">
      <alignment horizontal="left" vertical="center" wrapText="1"/>
    </xf>
    <xf numFmtId="0" fontId="26" fillId="0" borderId="17" xfId="0" applyFont="1" applyBorder="1" applyAlignment="1">
      <alignment horizontal="left" vertical="center" wrapText="1"/>
    </xf>
    <xf numFmtId="0" fontId="27" fillId="4" borderId="19" xfId="4" applyFont="1" applyFill="1" applyBorder="1" applyAlignment="1">
      <alignment vertical="center"/>
    </xf>
    <xf numFmtId="0" fontId="27" fillId="4" borderId="20" xfId="4" applyFont="1" applyFill="1" applyBorder="1" applyAlignment="1">
      <alignment vertical="center" wrapText="1"/>
    </xf>
    <xf numFmtId="0" fontId="28" fillId="4" borderId="20" xfId="4" applyFont="1" applyFill="1" applyBorder="1" applyAlignment="1">
      <alignment horizontal="center" vertical="center"/>
    </xf>
    <xf numFmtId="168" fontId="28" fillId="4" borderId="20" xfId="4" applyNumberFormat="1" applyFont="1" applyFill="1" applyBorder="1" applyAlignment="1">
      <alignment horizontal="center" vertical="center" wrapText="1"/>
    </xf>
    <xf numFmtId="0" fontId="28" fillId="4" borderId="20" xfId="4" applyFont="1" applyFill="1" applyBorder="1" applyAlignment="1">
      <alignment horizontal="center" vertical="center" wrapText="1"/>
    </xf>
    <xf numFmtId="9" fontId="28" fillId="4" borderId="20" xfId="2" applyFont="1" applyFill="1" applyBorder="1" applyAlignment="1">
      <alignment horizontal="center" vertical="center" wrapText="1"/>
    </xf>
    <xf numFmtId="10" fontId="28" fillId="4" borderId="20" xfId="2" applyNumberFormat="1" applyFont="1" applyFill="1" applyBorder="1" applyAlignment="1">
      <alignment horizontal="center" vertical="center" wrapText="1"/>
    </xf>
    <xf numFmtId="0" fontId="28" fillId="4" borderId="21" xfId="4" applyFont="1" applyFill="1" applyBorder="1" applyAlignment="1">
      <alignment horizontal="center" vertical="center" wrapText="1"/>
    </xf>
    <xf numFmtId="37" fontId="29" fillId="4" borderId="8" xfId="4" applyNumberFormat="1" applyFont="1" applyFill="1" applyBorder="1" applyAlignment="1">
      <alignment horizontal="center" vertical="center"/>
    </xf>
    <xf numFmtId="37" fontId="29" fillId="4" borderId="30" xfId="4" applyNumberFormat="1" applyFont="1" applyFill="1" applyBorder="1" applyAlignment="1">
      <alignment horizontal="center" vertical="center"/>
    </xf>
    <xf numFmtId="40" fontId="29" fillId="4" borderId="30" xfId="5" applyNumberFormat="1" applyFont="1" applyFill="1" applyBorder="1" applyAlignment="1">
      <alignment horizontal="center" vertical="center"/>
    </xf>
    <xf numFmtId="165" fontId="29" fillId="4" borderId="74" xfId="5" applyFont="1" applyFill="1" applyBorder="1" applyAlignment="1">
      <alignment horizontal="right" vertical="center"/>
    </xf>
    <xf numFmtId="40" fontId="29" fillId="4" borderId="9" xfId="5" applyNumberFormat="1" applyFont="1" applyFill="1" applyBorder="1" applyAlignment="1">
      <alignment horizontal="center" vertical="center" wrapText="1"/>
    </xf>
    <xf numFmtId="10" fontId="29" fillId="4" borderId="30" xfId="6" applyNumberFormat="1" applyFont="1" applyFill="1" applyBorder="1" applyAlignment="1">
      <alignment horizontal="center" vertical="center" wrapText="1"/>
    </xf>
    <xf numFmtId="165" fontId="29" fillId="4" borderId="75" xfId="5" applyFont="1" applyFill="1" applyBorder="1" applyAlignment="1">
      <alignment horizontal="center" vertical="center" wrapText="1"/>
    </xf>
    <xf numFmtId="10" fontId="29" fillId="4" borderId="72" xfId="6" applyNumberFormat="1" applyFont="1" applyFill="1" applyBorder="1" applyAlignment="1">
      <alignment horizontal="center" vertical="center" wrapText="1"/>
    </xf>
    <xf numFmtId="10" fontId="29" fillId="4" borderId="29" xfId="6" applyNumberFormat="1" applyFont="1" applyFill="1" applyBorder="1" applyAlignment="1">
      <alignment horizontal="center" vertical="center" wrapText="1"/>
    </xf>
    <xf numFmtId="44" fontId="29" fillId="4" borderId="28" xfId="1" applyFont="1" applyFill="1" applyBorder="1" applyAlignment="1">
      <alignment horizontal="center" vertical="center" wrapText="1"/>
    </xf>
    <xf numFmtId="165" fontId="29" fillId="4" borderId="29" xfId="5" applyFont="1" applyFill="1" applyBorder="1" applyAlignment="1">
      <alignment horizontal="center" vertical="center" wrapText="1"/>
    </xf>
    <xf numFmtId="167" fontId="31" fillId="4" borderId="31" xfId="5" applyNumberFormat="1" applyFont="1" applyFill="1" applyBorder="1" applyAlignment="1">
      <alignment horizontal="center" vertical="center" wrapText="1"/>
    </xf>
    <xf numFmtId="167" fontId="32" fillId="4" borderId="32" xfId="5" applyNumberFormat="1" applyFont="1" applyFill="1" applyBorder="1" applyAlignment="1">
      <alignment horizontal="center" vertical="center" wrapText="1"/>
    </xf>
    <xf numFmtId="49" fontId="26" fillId="0" borderId="17" xfId="0" applyNumberFormat="1" applyFont="1" applyBorder="1" applyAlignment="1">
      <alignment horizontal="left" vertical="center" wrapText="1"/>
    </xf>
    <xf numFmtId="0" fontId="26" fillId="0" borderId="18" xfId="0" applyFont="1" applyBorder="1" applyAlignment="1">
      <alignment horizontal="left" vertical="center" wrapText="1"/>
    </xf>
    <xf numFmtId="0" fontId="28" fillId="9" borderId="39" xfId="0" applyFont="1" applyFill="1" applyBorder="1" applyAlignment="1">
      <alignment horizontal="center" vertical="center"/>
    </xf>
    <xf numFmtId="0" fontId="28" fillId="9" borderId="20" xfId="0" applyFont="1" applyFill="1" applyBorder="1" applyAlignment="1">
      <alignment horizontal="center" vertical="center"/>
    </xf>
    <xf numFmtId="0" fontId="28" fillId="9" borderId="67" xfId="0" applyFont="1" applyFill="1" applyBorder="1" applyAlignment="1">
      <alignment horizontal="center" vertical="center"/>
    </xf>
    <xf numFmtId="0" fontId="28" fillId="9" borderId="43" xfId="0" applyFont="1" applyFill="1" applyBorder="1" applyAlignment="1">
      <alignment horizontal="center" vertical="center"/>
    </xf>
    <xf numFmtId="0" fontId="26" fillId="0" borderId="40" xfId="0" applyFont="1" applyBorder="1" applyAlignment="1">
      <alignment vertical="center" wrapText="1"/>
    </xf>
    <xf numFmtId="0" fontId="26" fillId="0" borderId="41" xfId="0" applyFont="1" applyBorder="1" applyAlignment="1">
      <alignment vertical="center" wrapText="1"/>
    </xf>
    <xf numFmtId="0" fontId="26" fillId="0" borderId="44" xfId="0" applyFont="1" applyBorder="1" applyAlignment="1">
      <alignment horizontal="center" vertical="center"/>
    </xf>
    <xf numFmtId="44" fontId="26" fillId="0" borderId="44" xfId="1" applyFont="1" applyBorder="1" applyAlignment="1">
      <alignment vertical="center"/>
    </xf>
    <xf numFmtId="44" fontId="26" fillId="0" borderId="32" xfId="1" applyFont="1" applyBorder="1" applyAlignment="1">
      <alignment vertical="center"/>
    </xf>
    <xf numFmtId="1" fontId="26" fillId="10" borderId="40" xfId="0" applyNumberFormat="1" applyFont="1" applyFill="1" applyBorder="1" applyAlignment="1">
      <alignment horizontal="center" vertical="center"/>
    </xf>
    <xf numFmtId="1" fontId="26" fillId="10" borderId="41" xfId="0" applyNumberFormat="1" applyFont="1" applyFill="1" applyBorder="1" applyAlignment="1">
      <alignment horizontal="center" vertical="center"/>
    </xf>
    <xf numFmtId="44" fontId="26" fillId="10" borderId="41" xfId="1" applyFont="1" applyFill="1" applyBorder="1" applyAlignment="1">
      <alignment vertical="center"/>
    </xf>
    <xf numFmtId="44" fontId="26" fillId="11" borderId="41" xfId="1" applyFont="1" applyFill="1" applyBorder="1" applyAlignment="1">
      <alignment vertical="center"/>
    </xf>
    <xf numFmtId="9" fontId="26" fillId="12" borderId="41" xfId="2" applyFont="1" applyFill="1" applyBorder="1" applyAlignment="1">
      <alignment vertical="center"/>
    </xf>
    <xf numFmtId="44" fontId="26" fillId="12" borderId="41" xfId="1" applyFont="1" applyFill="1" applyBorder="1" applyAlignment="1">
      <alignment vertical="center"/>
    </xf>
    <xf numFmtId="44" fontId="26" fillId="12" borderId="42" xfId="1" applyFont="1" applyFill="1" applyBorder="1" applyAlignment="1">
      <alignment vertical="center"/>
    </xf>
    <xf numFmtId="10" fontId="26" fillId="11" borderId="43" xfId="0" applyNumberFormat="1" applyFont="1" applyFill="1" applyBorder="1" applyAlignment="1">
      <alignment horizontal="center" vertical="center"/>
    </xf>
    <xf numFmtId="0" fontId="26" fillId="13" borderId="31" xfId="0" applyFont="1" applyFill="1" applyBorder="1" applyAlignment="1">
      <alignment vertical="center" wrapText="1"/>
    </xf>
    <xf numFmtId="0" fontId="26" fillId="13" borderId="44" xfId="0" applyFont="1" applyFill="1" applyBorder="1" applyAlignment="1">
      <alignment vertical="center" wrapText="1"/>
    </xf>
    <xf numFmtId="44" fontId="26" fillId="13" borderId="44" xfId="1" applyFont="1" applyFill="1" applyBorder="1" applyAlignment="1">
      <alignment vertical="center"/>
    </xf>
    <xf numFmtId="0" fontId="26" fillId="13" borderId="0" xfId="0" applyFont="1" applyFill="1"/>
    <xf numFmtId="169" fontId="18" fillId="8" borderId="46" xfId="0" applyNumberFormat="1" applyFont="1" applyFill="1" applyBorder="1" applyAlignment="1">
      <alignment horizontal="right"/>
    </xf>
    <xf numFmtId="169" fontId="28" fillId="8" borderId="68" xfId="0" applyNumberFormat="1" applyFont="1" applyFill="1" applyBorder="1" applyAlignment="1">
      <alignment horizontal="right"/>
    </xf>
    <xf numFmtId="44" fontId="18" fillId="8" borderId="41" xfId="0" applyNumberFormat="1" applyFont="1" applyFill="1" applyBorder="1" applyAlignment="1">
      <alignment horizontal="right"/>
    </xf>
    <xf numFmtId="44" fontId="28" fillId="11" borderId="41" xfId="0" applyNumberFormat="1" applyFont="1" applyFill="1" applyBorder="1"/>
    <xf numFmtId="0" fontId="26" fillId="12" borderId="41" xfId="0" applyFont="1" applyFill="1" applyBorder="1"/>
    <xf numFmtId="44" fontId="28" fillId="12" borderId="41" xfId="0" applyNumberFormat="1" applyFont="1" applyFill="1" applyBorder="1"/>
    <xf numFmtId="44" fontId="28" fillId="12" borderId="42" xfId="1" applyFont="1" applyFill="1" applyBorder="1"/>
    <xf numFmtId="0" fontId="33" fillId="0" borderId="35" xfId="0" applyFont="1" applyBorder="1" applyAlignment="1">
      <alignment horizontal="left" vertical="center" wrapText="1"/>
    </xf>
    <xf numFmtId="0" fontId="33" fillId="0" borderId="36" xfId="0" applyFont="1" applyBorder="1" applyAlignment="1">
      <alignment horizontal="left" vertical="center" wrapText="1"/>
    </xf>
    <xf numFmtId="0" fontId="26" fillId="0" borderId="36" xfId="0" applyFont="1" applyBorder="1" applyAlignment="1">
      <alignment horizontal="center" vertical="center"/>
    </xf>
    <xf numFmtId="44" fontId="26" fillId="0" borderId="36" xfId="1" applyFont="1" applyBorder="1" applyAlignment="1">
      <alignment vertical="center"/>
    </xf>
    <xf numFmtId="44" fontId="26" fillId="0" borderId="37" xfId="1" applyFont="1" applyBorder="1" applyAlignment="1">
      <alignment vertical="center"/>
    </xf>
    <xf numFmtId="1" fontId="26" fillId="10" borderId="35" xfId="0" applyNumberFormat="1" applyFont="1" applyFill="1" applyBorder="1" applyAlignment="1">
      <alignment horizontal="center" vertical="center"/>
    </xf>
    <xf numFmtId="1" fontId="26" fillId="10" borderId="36" xfId="0" applyNumberFormat="1" applyFont="1" applyFill="1" applyBorder="1" applyAlignment="1">
      <alignment horizontal="center" vertical="center"/>
    </xf>
    <xf numFmtId="44" fontId="26" fillId="10" borderId="36" xfId="1" applyFont="1" applyFill="1" applyBorder="1" applyAlignment="1">
      <alignment vertical="center"/>
    </xf>
    <xf numFmtId="44" fontId="26" fillId="11" borderId="36" xfId="1" applyFont="1" applyFill="1" applyBorder="1" applyAlignment="1">
      <alignment vertical="center"/>
    </xf>
    <xf numFmtId="9" fontId="26" fillId="12" borderId="36" xfId="2" applyFont="1" applyFill="1" applyBorder="1" applyAlignment="1">
      <alignment vertical="center"/>
    </xf>
    <xf numFmtId="44" fontId="26" fillId="12" borderId="36" xfId="1" applyFont="1" applyFill="1" applyBorder="1" applyAlignment="1">
      <alignment vertical="center"/>
    </xf>
    <xf numFmtId="44" fontId="26" fillId="12" borderId="37" xfId="1" applyFont="1" applyFill="1" applyBorder="1" applyAlignment="1">
      <alignment vertical="center"/>
    </xf>
    <xf numFmtId="0" fontId="26" fillId="0" borderId="54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6" fillId="0" borderId="40" xfId="0" applyFont="1" applyBorder="1" applyAlignment="1">
      <alignment horizontal="left" vertical="center" wrapText="1"/>
    </xf>
    <xf numFmtId="0" fontId="26" fillId="0" borderId="41" xfId="0" applyFont="1" applyBorder="1" applyAlignment="1">
      <alignment horizontal="left" vertical="center" wrapText="1"/>
    </xf>
    <xf numFmtId="0" fontId="26" fillId="0" borderId="41" xfId="0" applyFont="1" applyBorder="1" applyAlignment="1">
      <alignment horizontal="center" vertical="center"/>
    </xf>
    <xf numFmtId="44" fontId="26" fillId="0" borderId="41" xfId="1" applyFont="1" applyBorder="1" applyAlignment="1">
      <alignment vertical="center"/>
    </xf>
    <xf numFmtId="44" fontId="26" fillId="0" borderId="42" xfId="1" applyFont="1" applyBorder="1" applyAlignment="1">
      <alignment vertical="center"/>
    </xf>
    <xf numFmtId="0" fontId="26" fillId="13" borderId="41" xfId="3" applyFont="1" applyFill="1" applyBorder="1" applyAlignment="1">
      <alignment horizontal="left" vertical="center" wrapText="1"/>
    </xf>
    <xf numFmtId="169" fontId="26" fillId="0" borderId="0" xfId="0" applyNumberFormat="1" applyFont="1"/>
    <xf numFmtId="0" fontId="26" fillId="0" borderId="49" xfId="0" applyFont="1" applyBorder="1" applyAlignment="1">
      <alignment horizontal="left" vertical="center" wrapText="1"/>
    </xf>
    <xf numFmtId="0" fontId="26" fillId="0" borderId="50" xfId="0" applyFont="1" applyBorder="1" applyAlignment="1">
      <alignment horizontal="left" vertical="center" wrapText="1"/>
    </xf>
    <xf numFmtId="0" fontId="33" fillId="13" borderId="40" xfId="0" applyFont="1" applyFill="1" applyBorder="1" applyAlignment="1">
      <alignment horizontal="left" vertical="center" wrapText="1"/>
    </xf>
    <xf numFmtId="44" fontId="33" fillId="13" borderId="41" xfId="3" applyNumberFormat="1" applyFont="1" applyFill="1" applyBorder="1" applyAlignment="1">
      <alignment horizontal="left" vertical="center" wrapText="1"/>
    </xf>
    <xf numFmtId="0" fontId="33" fillId="13" borderId="41" xfId="0" applyFont="1" applyFill="1" applyBorder="1" applyAlignment="1">
      <alignment horizontal="center" vertical="center"/>
    </xf>
    <xf numFmtId="44" fontId="26" fillId="13" borderId="41" xfId="1" applyFont="1" applyFill="1" applyBorder="1" applyAlignment="1">
      <alignment vertical="center"/>
    </xf>
    <xf numFmtId="44" fontId="26" fillId="13" borderId="42" xfId="1" applyFont="1" applyFill="1" applyBorder="1" applyAlignment="1">
      <alignment vertical="center"/>
    </xf>
    <xf numFmtId="44" fontId="26" fillId="13" borderId="0" xfId="0" applyNumberFormat="1" applyFont="1" applyFill="1"/>
    <xf numFmtId="169" fontId="18" fillId="8" borderId="0" xfId="0" applyNumberFormat="1" applyFont="1" applyFill="1" applyAlignment="1">
      <alignment horizontal="right"/>
    </xf>
    <xf numFmtId="44" fontId="18" fillId="8" borderId="0" xfId="0" applyNumberFormat="1" applyFont="1" applyFill="1" applyAlignment="1">
      <alignment horizontal="right"/>
    </xf>
    <xf numFmtId="44" fontId="28" fillId="11" borderId="0" xfId="0" applyNumberFormat="1" applyFont="1" applyFill="1"/>
    <xf numFmtId="0" fontId="26" fillId="12" borderId="0" xfId="0" applyFont="1" applyFill="1"/>
    <xf numFmtId="44" fontId="28" fillId="12" borderId="0" xfId="0" applyNumberFormat="1" applyFont="1" applyFill="1"/>
    <xf numFmtId="44" fontId="28" fillId="12" borderId="56" xfId="1" applyFont="1" applyFill="1" applyBorder="1"/>
    <xf numFmtId="0" fontId="26" fillId="0" borderId="35" xfId="0" applyFont="1" applyBorder="1" applyAlignment="1">
      <alignment vertical="center" wrapText="1"/>
    </xf>
    <xf numFmtId="0" fontId="26" fillId="0" borderId="36" xfId="0" applyFont="1" applyBorder="1" applyAlignment="1">
      <alignment vertical="center" wrapText="1"/>
    </xf>
    <xf numFmtId="44" fontId="26" fillId="0" borderId="36" xfId="1" applyFont="1" applyBorder="1" applyAlignment="1">
      <alignment horizontal="center" vertical="center"/>
    </xf>
    <xf numFmtId="44" fontId="26" fillId="0" borderId="37" xfId="1" applyFont="1" applyBorder="1" applyAlignment="1">
      <alignment horizontal="center" vertical="center"/>
    </xf>
    <xf numFmtId="44" fontId="26" fillId="0" borderId="41" xfId="1" applyFont="1" applyBorder="1" applyAlignment="1">
      <alignment horizontal="center" vertical="center"/>
    </xf>
    <xf numFmtId="44" fontId="26" fillId="0" borderId="42" xfId="1" applyFont="1" applyBorder="1" applyAlignment="1">
      <alignment horizontal="center" vertical="center"/>
    </xf>
    <xf numFmtId="1" fontId="26" fillId="10" borderId="31" xfId="0" applyNumberFormat="1" applyFont="1" applyFill="1" applyBorder="1" applyAlignment="1">
      <alignment horizontal="center" vertical="center"/>
    </xf>
    <xf numFmtId="1" fontId="26" fillId="10" borderId="44" xfId="0" applyNumberFormat="1" applyFont="1" applyFill="1" applyBorder="1" applyAlignment="1">
      <alignment horizontal="center" vertical="center"/>
    </xf>
    <xf numFmtId="44" fontId="26" fillId="10" borderId="44" xfId="1" applyFont="1" applyFill="1" applyBorder="1" applyAlignment="1">
      <alignment vertical="center"/>
    </xf>
    <xf numFmtId="44" fontId="26" fillId="11" borderId="44" xfId="1" applyFont="1" applyFill="1" applyBorder="1" applyAlignment="1">
      <alignment vertical="center"/>
    </xf>
    <xf numFmtId="9" fontId="26" fillId="12" borderId="44" xfId="2" applyFont="1" applyFill="1" applyBorder="1" applyAlignment="1">
      <alignment vertical="center"/>
    </xf>
    <xf numFmtId="44" fontId="26" fillId="12" borderId="44" xfId="1" applyFont="1" applyFill="1" applyBorder="1" applyAlignment="1">
      <alignment vertical="center"/>
    </xf>
    <xf numFmtId="44" fontId="26" fillId="12" borderId="32" xfId="1" applyFont="1" applyFill="1" applyBorder="1" applyAlignment="1">
      <alignment vertical="center"/>
    </xf>
    <xf numFmtId="1" fontId="26" fillId="10" borderId="73" xfId="0" applyNumberFormat="1" applyFont="1" applyFill="1" applyBorder="1" applyAlignment="1">
      <alignment horizontal="center" vertical="center"/>
    </xf>
    <xf numFmtId="1" fontId="26" fillId="10" borderId="51" xfId="0" applyNumberFormat="1" applyFont="1" applyFill="1" applyBorder="1" applyAlignment="1">
      <alignment horizontal="center" vertical="center"/>
    </xf>
    <xf numFmtId="44" fontId="26" fillId="10" borderId="51" xfId="1" applyFont="1" applyFill="1" applyBorder="1" applyAlignment="1">
      <alignment vertical="center"/>
    </xf>
    <xf numFmtId="44" fontId="26" fillId="11" borderId="51" xfId="1" applyFont="1" applyFill="1" applyBorder="1" applyAlignment="1">
      <alignment vertical="center"/>
    </xf>
    <xf numFmtId="9" fontId="26" fillId="12" borderId="51" xfId="2" applyFont="1" applyFill="1" applyBorder="1" applyAlignment="1">
      <alignment vertical="center"/>
    </xf>
    <xf numFmtId="44" fontId="26" fillId="12" borderId="51" xfId="1" applyFont="1" applyFill="1" applyBorder="1" applyAlignment="1">
      <alignment vertical="center"/>
    </xf>
    <xf numFmtId="0" fontId="26" fillId="0" borderId="69" xfId="0" applyFont="1" applyBorder="1" applyAlignment="1">
      <alignment vertical="center" wrapText="1"/>
    </xf>
    <xf numFmtId="0" fontId="26" fillId="0" borderId="70" xfId="0" applyFont="1" applyBorder="1" applyAlignment="1">
      <alignment vertical="center" wrapText="1"/>
    </xf>
    <xf numFmtId="0" fontId="26" fillId="0" borderId="70" xfId="0" applyFont="1" applyBorder="1" applyAlignment="1">
      <alignment horizontal="center" vertical="center"/>
    </xf>
    <xf numFmtId="44" fontId="26" fillId="0" borderId="70" xfId="1" applyFont="1" applyBorder="1" applyAlignment="1">
      <alignment horizontal="center" vertical="center"/>
    </xf>
    <xf numFmtId="44" fontId="26" fillId="0" borderId="71" xfId="1" applyFont="1" applyBorder="1" applyAlignment="1">
      <alignment vertical="center"/>
    </xf>
    <xf numFmtId="170" fontId="34" fillId="11" borderId="41" xfId="1" applyNumberFormat="1" applyFont="1" applyFill="1" applyBorder="1" applyAlignment="1">
      <alignment vertical="center"/>
    </xf>
    <xf numFmtId="9" fontId="34" fillId="12" borderId="41" xfId="2" applyFont="1" applyFill="1" applyBorder="1" applyAlignment="1">
      <alignment vertical="center"/>
    </xf>
    <xf numFmtId="170" fontId="34" fillId="12" borderId="41" xfId="1" applyNumberFormat="1" applyFont="1" applyFill="1" applyBorder="1" applyAlignment="1">
      <alignment vertical="center"/>
    </xf>
    <xf numFmtId="170" fontId="34" fillId="12" borderId="42" xfId="1" applyNumberFormat="1" applyFont="1" applyFill="1" applyBorder="1" applyAlignment="1">
      <alignment vertical="center"/>
    </xf>
    <xf numFmtId="10" fontId="26" fillId="11" borderId="62" xfId="0" applyNumberFormat="1" applyFont="1" applyFill="1" applyBorder="1" applyAlignment="1">
      <alignment horizontal="center" vertical="center"/>
    </xf>
    <xf numFmtId="0" fontId="34" fillId="0" borderId="0" xfId="0" applyFont="1"/>
    <xf numFmtId="44" fontId="18" fillId="8" borderId="44" xfId="0" applyNumberFormat="1" applyFont="1" applyFill="1" applyBorder="1" applyAlignment="1">
      <alignment horizontal="right"/>
    </xf>
    <xf numFmtId="44" fontId="28" fillId="11" borderId="44" xfId="0" applyNumberFormat="1" applyFont="1" applyFill="1" applyBorder="1"/>
    <xf numFmtId="0" fontId="34" fillId="12" borderId="44" xfId="0" applyFont="1" applyFill="1" applyBorder="1"/>
    <xf numFmtId="44" fontId="28" fillId="12" borderId="44" xfId="0" applyNumberFormat="1" applyFont="1" applyFill="1" applyBorder="1"/>
    <xf numFmtId="44" fontId="28" fillId="12" borderId="32" xfId="1" applyFont="1" applyFill="1" applyBorder="1"/>
    <xf numFmtId="44" fontId="18" fillId="14" borderId="34" xfId="1" applyFont="1" applyFill="1" applyBorder="1" applyAlignment="1">
      <alignment horizontal="center"/>
    </xf>
    <xf numFmtId="44" fontId="34" fillId="0" borderId="0" xfId="1" applyFont="1"/>
    <xf numFmtId="49" fontId="26" fillId="0" borderId="61" xfId="0" applyNumberFormat="1" applyFont="1" applyBorder="1" applyAlignment="1">
      <alignment horizontal="left" vertical="center" wrapText="1"/>
    </xf>
    <xf numFmtId="0" fontId="34" fillId="0" borderId="0" xfId="0" applyFont="1" applyAlignment="1">
      <alignment horizontal="center" vertical="center"/>
    </xf>
    <xf numFmtId="44" fontId="26" fillId="0" borderId="0" xfId="0" applyNumberFormat="1" applyFont="1"/>
    <xf numFmtId="10" fontId="29" fillId="4" borderId="76" xfId="6" applyNumberFormat="1" applyFont="1" applyFill="1" applyBorder="1" applyAlignment="1">
      <alignment horizontal="center" vertical="center" wrapText="1"/>
    </xf>
    <xf numFmtId="0" fontId="28" fillId="9" borderId="51" xfId="0" applyFont="1" applyFill="1" applyBorder="1" applyAlignment="1">
      <alignment horizontal="center" vertical="center"/>
    </xf>
    <xf numFmtId="10" fontId="26" fillId="11" borderId="51" xfId="0" applyNumberFormat="1" applyFont="1" applyFill="1" applyBorder="1" applyAlignment="1">
      <alignment horizontal="center" vertical="center"/>
    </xf>
    <xf numFmtId="10" fontId="26" fillId="11" borderId="48" xfId="0" applyNumberFormat="1" applyFont="1" applyFill="1" applyBorder="1" applyAlignment="1">
      <alignment horizontal="center" vertical="center"/>
    </xf>
    <xf numFmtId="44" fontId="18" fillId="14" borderId="46" xfId="1" applyFont="1" applyFill="1" applyBorder="1"/>
    <xf numFmtId="44" fontId="29" fillId="4" borderId="72" xfId="1" applyFont="1" applyFill="1" applyBorder="1" applyAlignment="1">
      <alignment horizontal="center" vertical="center" wrapText="1"/>
    </xf>
    <xf numFmtId="0" fontId="22" fillId="13" borderId="41" xfId="0" applyFont="1" applyFill="1" applyBorder="1"/>
    <xf numFmtId="167" fontId="24" fillId="13" borderId="41" xfId="5" applyNumberFormat="1" applyFont="1" applyFill="1" applyBorder="1" applyAlignment="1">
      <alignment horizontal="center" vertical="center" wrapText="1"/>
    </xf>
    <xf numFmtId="167" fontId="25" fillId="13" borderId="41" xfId="5" applyNumberFormat="1" applyFont="1" applyFill="1" applyBorder="1" applyAlignment="1">
      <alignment horizontal="center" vertical="center" wrapText="1"/>
    </xf>
    <xf numFmtId="0" fontId="22" fillId="13" borderId="41" xfId="0" applyFont="1" applyFill="1" applyBorder="1" applyAlignment="1">
      <alignment horizontal="center" vertical="center"/>
    </xf>
    <xf numFmtId="44" fontId="24" fillId="13" borderId="41" xfId="0" applyNumberFormat="1" applyFont="1" applyFill="1" applyBorder="1" applyAlignment="1">
      <alignment horizontal="center" vertical="center"/>
    </xf>
    <xf numFmtId="44" fontId="25" fillId="13" borderId="41" xfId="1" applyFont="1" applyFill="1" applyBorder="1"/>
    <xf numFmtId="44" fontId="35" fillId="13" borderId="41" xfId="1" applyFont="1" applyFill="1" applyBorder="1"/>
    <xf numFmtId="0" fontId="25" fillId="13" borderId="41" xfId="0" applyFont="1" applyFill="1" applyBorder="1" applyAlignment="1">
      <alignment horizontal="center"/>
    </xf>
    <xf numFmtId="0" fontId="24" fillId="13" borderId="41" xfId="0" applyFont="1" applyFill="1" applyBorder="1" applyAlignment="1">
      <alignment horizontal="center"/>
    </xf>
    <xf numFmtId="44" fontId="36" fillId="13" borderId="41" xfId="0" applyNumberFormat="1" applyFont="1" applyFill="1" applyBorder="1" applyAlignment="1">
      <alignment horizontal="center" vertical="center"/>
    </xf>
    <xf numFmtId="44" fontId="37" fillId="13" borderId="41" xfId="1" applyFont="1" applyFill="1" applyBorder="1" applyAlignment="1">
      <alignment horizontal="center"/>
    </xf>
    <xf numFmtId="44" fontId="38" fillId="0" borderId="41" xfId="1" applyFont="1" applyBorder="1"/>
    <xf numFmtId="0" fontId="39" fillId="0" borderId="41" xfId="0" applyFont="1" applyBorder="1" applyAlignment="1">
      <alignment horizontal="center"/>
    </xf>
    <xf numFmtId="0" fontId="40" fillId="0" borderId="41" xfId="0" applyFont="1" applyBorder="1" applyAlignment="1">
      <alignment horizontal="center"/>
    </xf>
    <xf numFmtId="0" fontId="41" fillId="0" borderId="41" xfId="0" applyFont="1" applyBorder="1" applyAlignment="1">
      <alignment horizontal="center"/>
    </xf>
    <xf numFmtId="0" fontId="42" fillId="0" borderId="41" xfId="0" applyFont="1" applyBorder="1" applyAlignment="1">
      <alignment horizontal="center"/>
    </xf>
    <xf numFmtId="44" fontId="28" fillId="16" borderId="41" xfId="0" applyNumberFormat="1" applyFont="1" applyFill="1" applyBorder="1"/>
    <xf numFmtId="44" fontId="41" fillId="0" borderId="41" xfId="1" applyFont="1" applyBorder="1"/>
    <xf numFmtId="44" fontId="42" fillId="0" borderId="41" xfId="1" applyFont="1" applyBorder="1"/>
    <xf numFmtId="44" fontId="43" fillId="0" borderId="41" xfId="1" applyFont="1" applyBorder="1"/>
    <xf numFmtId="0" fontId="43" fillId="0" borderId="41" xfId="0" applyFont="1" applyBorder="1" applyAlignment="1">
      <alignment horizontal="center"/>
    </xf>
    <xf numFmtId="44" fontId="27" fillId="16" borderId="11" xfId="0" applyNumberFormat="1" applyFont="1" applyFill="1" applyBorder="1"/>
    <xf numFmtId="44" fontId="44" fillId="22" borderId="46" xfId="0" applyNumberFormat="1" applyFont="1" applyFill="1" applyBorder="1"/>
    <xf numFmtId="0" fontId="6" fillId="21" borderId="41" xfId="0" applyFont="1" applyFill="1" applyBorder="1" applyAlignment="1">
      <alignment horizontal="center" wrapText="1"/>
    </xf>
    <xf numFmtId="0" fontId="45" fillId="0" borderId="0" xfId="0" applyFont="1"/>
    <xf numFmtId="9" fontId="42" fillId="0" borderId="41" xfId="2" applyFont="1" applyBorder="1"/>
    <xf numFmtId="16" fontId="6" fillId="17" borderId="33" xfId="0" applyNumberFormat="1" applyFont="1" applyFill="1" applyBorder="1"/>
    <xf numFmtId="16" fontId="6" fillId="17" borderId="34" xfId="0" applyNumberFormat="1" applyFont="1" applyFill="1" applyBorder="1"/>
    <xf numFmtId="16" fontId="6" fillId="18" borderId="45" xfId="0" applyNumberFormat="1" applyFont="1" applyFill="1" applyBorder="1"/>
    <xf numFmtId="16" fontId="6" fillId="18" borderId="46" xfId="0" applyNumberFormat="1" applyFont="1" applyFill="1" applyBorder="1"/>
    <xf numFmtId="0" fontId="6" fillId="19" borderId="13" xfId="0" applyFont="1" applyFill="1" applyBorder="1" applyAlignment="1">
      <alignment horizontal="right"/>
    </xf>
    <xf numFmtId="0" fontId="6" fillId="19" borderId="0" xfId="0" applyFont="1" applyFill="1" applyAlignment="1">
      <alignment horizontal="right"/>
    </xf>
    <xf numFmtId="0" fontId="15" fillId="20" borderId="45" xfId="0" applyFont="1" applyFill="1" applyBorder="1"/>
    <xf numFmtId="0" fontId="15" fillId="20" borderId="46" xfId="0" applyFont="1" applyFill="1" applyBorder="1"/>
    <xf numFmtId="164" fontId="5" fillId="0" borderId="0" xfId="3" applyNumberFormat="1" applyFont="1" applyAlignment="1" applyProtection="1">
      <alignment horizontal="left" vertical="center"/>
      <protection locked="0"/>
    </xf>
    <xf numFmtId="0" fontId="5" fillId="0" borderId="0" xfId="3" applyFont="1" applyAlignment="1" applyProtection="1">
      <alignment horizontal="left" vertical="center"/>
      <protection locked="0"/>
    </xf>
    <xf numFmtId="14" fontId="5" fillId="0" borderId="4" xfId="3" applyNumberFormat="1" applyFont="1" applyBorder="1" applyAlignment="1" applyProtection="1">
      <alignment horizontal="left" vertical="center" wrapText="1"/>
      <protection locked="0"/>
    </xf>
    <xf numFmtId="14" fontId="5" fillId="0" borderId="0" xfId="3" applyNumberFormat="1" applyFont="1" applyAlignment="1" applyProtection="1">
      <alignment horizontal="left" vertical="center"/>
      <protection locked="0"/>
    </xf>
    <xf numFmtId="0" fontId="10" fillId="9" borderId="41" xfId="0" applyFont="1" applyFill="1" applyBorder="1" applyAlignment="1">
      <alignment horizontal="center"/>
    </xf>
    <xf numFmtId="0" fontId="10" fillId="13" borderId="41" xfId="0" applyFont="1" applyFill="1" applyBorder="1" applyAlignment="1">
      <alignment horizontal="center"/>
    </xf>
    <xf numFmtId="44" fontId="10" fillId="0" borderId="41" xfId="1" applyFont="1" applyBorder="1"/>
    <xf numFmtId="9" fontId="10" fillId="0" borderId="41" xfId="2" applyFont="1" applyBorder="1" applyAlignment="1">
      <alignment horizontal="center"/>
    </xf>
    <xf numFmtId="44" fontId="10" fillId="9" borderId="41" xfId="0" applyNumberFormat="1" applyFont="1" applyFill="1" applyBorder="1" applyAlignment="1">
      <alignment horizontal="center"/>
    </xf>
    <xf numFmtId="44" fontId="10" fillId="9" borderId="41" xfId="1" applyFont="1" applyFill="1" applyBorder="1"/>
    <xf numFmtId="44" fontId="6" fillId="0" borderId="67" xfId="0" applyNumberFormat="1" applyFont="1" applyBorder="1" applyAlignment="1">
      <alignment horizontal="center" vertical="center"/>
    </xf>
    <xf numFmtId="0" fontId="6" fillId="0" borderId="68" xfId="0" applyFont="1" applyBorder="1" applyAlignment="1">
      <alignment horizontal="center" vertical="center"/>
    </xf>
    <xf numFmtId="0" fontId="27" fillId="0" borderId="0" xfId="3" applyFont="1" applyAlignment="1">
      <alignment horizontal="left" vertical="center" wrapText="1"/>
    </xf>
    <xf numFmtId="0" fontId="27" fillId="0" borderId="0" xfId="3" applyFont="1" applyAlignment="1">
      <alignment horizontal="left" vertical="top"/>
    </xf>
    <xf numFmtId="0" fontId="29" fillId="2" borderId="8" xfId="4" applyFont="1" applyFill="1" applyBorder="1" applyAlignment="1">
      <alignment horizontal="center" vertical="center"/>
    </xf>
    <xf numFmtId="0" fontId="29" fillId="2" borderId="9" xfId="4" applyFont="1" applyFill="1" applyBorder="1" applyAlignment="1">
      <alignment horizontal="center" vertical="center"/>
    </xf>
    <xf numFmtId="0" fontId="29" fillId="2" borderId="66" xfId="4" applyFont="1" applyFill="1" applyBorder="1" applyAlignment="1">
      <alignment horizontal="center" vertical="center"/>
    </xf>
    <xf numFmtId="0" fontId="29" fillId="3" borderId="10" xfId="0" applyFont="1" applyFill="1" applyBorder="1" applyAlignment="1">
      <alignment horizontal="center" vertical="center" wrapText="1"/>
    </xf>
    <xf numFmtId="0" fontId="29" fillId="3" borderId="11" xfId="0" applyFont="1" applyFill="1" applyBorder="1" applyAlignment="1">
      <alignment horizontal="center" vertical="center" wrapText="1"/>
    </xf>
    <xf numFmtId="0" fontId="29" fillId="3" borderId="66" xfId="0" applyFont="1" applyFill="1" applyBorder="1" applyAlignment="1">
      <alignment horizontal="center" vertical="center" wrapText="1"/>
    </xf>
    <xf numFmtId="167" fontId="29" fillId="5" borderId="10" xfId="5" applyNumberFormat="1" applyFont="1" applyFill="1" applyBorder="1" applyAlignment="1">
      <alignment horizontal="center" vertical="center" wrapText="1"/>
    </xf>
    <xf numFmtId="167" fontId="29" fillId="5" borderId="11" xfId="5" applyNumberFormat="1" applyFont="1" applyFill="1" applyBorder="1" applyAlignment="1">
      <alignment horizontal="center" vertical="center" wrapText="1"/>
    </xf>
    <xf numFmtId="167" fontId="29" fillId="5" borderId="66" xfId="5" applyNumberFormat="1" applyFont="1" applyFill="1" applyBorder="1" applyAlignment="1">
      <alignment horizontal="center" vertical="center" wrapText="1"/>
    </xf>
    <xf numFmtId="167" fontId="29" fillId="5" borderId="13" xfId="5" applyNumberFormat="1" applyFont="1" applyFill="1" applyBorder="1" applyAlignment="1">
      <alignment horizontal="center" vertical="center" wrapText="1"/>
    </xf>
    <xf numFmtId="167" fontId="29" fillId="5" borderId="0" xfId="5" applyNumberFormat="1" applyFont="1" applyFill="1" applyBorder="1" applyAlignment="1">
      <alignment horizontal="center" vertical="center" wrapText="1"/>
    </xf>
    <xf numFmtId="0" fontId="18" fillId="7" borderId="33" xfId="0" applyFont="1" applyFill="1" applyBorder="1" applyAlignment="1">
      <alignment horizontal="center"/>
    </xf>
    <xf numFmtId="0" fontId="18" fillId="7" borderId="34" xfId="0" applyFont="1" applyFill="1" applyBorder="1" applyAlignment="1">
      <alignment horizontal="center"/>
    </xf>
    <xf numFmtId="0" fontId="18" fillId="7" borderId="67" xfId="0" applyFont="1" applyFill="1" applyBorder="1" applyAlignment="1">
      <alignment horizontal="center"/>
    </xf>
    <xf numFmtId="0" fontId="18" fillId="7" borderId="19" xfId="0" applyFont="1" applyFill="1" applyBorder="1" applyAlignment="1">
      <alignment horizontal="center"/>
    </xf>
    <xf numFmtId="0" fontId="18" fillId="7" borderId="20" xfId="0" applyFont="1" applyFill="1" applyBorder="1" applyAlignment="1">
      <alignment horizontal="center"/>
    </xf>
    <xf numFmtId="0" fontId="18" fillId="7" borderId="21" xfId="0" applyFont="1" applyFill="1" applyBorder="1" applyAlignment="1">
      <alignment horizontal="center"/>
    </xf>
    <xf numFmtId="167" fontId="23" fillId="13" borderId="41" xfId="5" applyNumberFormat="1" applyFont="1" applyFill="1" applyBorder="1" applyAlignment="1">
      <alignment horizontal="center" vertical="center" wrapText="1"/>
    </xf>
    <xf numFmtId="0" fontId="18" fillId="7" borderId="35" xfId="0" applyFont="1" applyFill="1" applyBorder="1" applyAlignment="1">
      <alignment horizontal="center"/>
    </xf>
    <xf numFmtId="0" fontId="18" fillId="7" borderId="36" xfId="0" applyFont="1" applyFill="1" applyBorder="1" applyAlignment="1">
      <alignment horizontal="center"/>
    </xf>
    <xf numFmtId="0" fontId="18" fillId="7" borderId="37" xfId="0" applyFont="1" applyFill="1" applyBorder="1" applyAlignment="1">
      <alignment horizontal="center"/>
    </xf>
    <xf numFmtId="0" fontId="18" fillId="8" borderId="33" xfId="0" applyFont="1" applyFill="1" applyBorder="1" applyAlignment="1">
      <alignment horizontal="left"/>
    </xf>
    <xf numFmtId="0" fontId="18" fillId="8" borderId="34" xfId="0" applyFont="1" applyFill="1" applyBorder="1" applyAlignment="1">
      <alignment horizontal="left"/>
    </xf>
    <xf numFmtId="0" fontId="18" fillId="8" borderId="38" xfId="0" applyFont="1" applyFill="1" applyBorder="1" applyAlignment="1">
      <alignment horizontal="left"/>
    </xf>
    <xf numFmtId="0" fontId="18" fillId="8" borderId="40" xfId="0" applyFont="1" applyFill="1" applyBorder="1" applyAlignment="1">
      <alignment horizontal="left"/>
    </xf>
    <xf numFmtId="0" fontId="18" fillId="8" borderId="41" xfId="0" applyFont="1" applyFill="1" applyBorder="1" applyAlignment="1">
      <alignment horizontal="left"/>
    </xf>
    <xf numFmtId="0" fontId="18" fillId="8" borderId="42" xfId="0" applyFont="1" applyFill="1" applyBorder="1" applyAlignment="1">
      <alignment horizontal="left"/>
    </xf>
    <xf numFmtId="0" fontId="18" fillId="8" borderId="45" xfId="0" applyFont="1" applyFill="1" applyBorder="1" applyAlignment="1">
      <alignment horizontal="left"/>
    </xf>
    <xf numFmtId="0" fontId="18" fillId="8" borderId="46" xfId="0" applyFont="1" applyFill="1" applyBorder="1" applyAlignment="1">
      <alignment horizontal="left"/>
    </xf>
    <xf numFmtId="0" fontId="18" fillId="8" borderId="19" xfId="0" applyFont="1" applyFill="1" applyBorder="1" applyAlignment="1">
      <alignment horizontal="left"/>
    </xf>
    <xf numFmtId="0" fontId="18" fillId="8" borderId="20" xfId="0" applyFont="1" applyFill="1" applyBorder="1" applyAlignment="1">
      <alignment horizontal="left"/>
    </xf>
    <xf numFmtId="0" fontId="18" fillId="8" borderId="21" xfId="0" applyFont="1" applyFill="1" applyBorder="1" applyAlignment="1">
      <alignment horizontal="left"/>
    </xf>
    <xf numFmtId="0" fontId="18" fillId="8" borderId="13" xfId="0" applyFont="1" applyFill="1" applyBorder="1" applyAlignment="1">
      <alignment horizontal="left"/>
    </xf>
    <xf numFmtId="0" fontId="18" fillId="8" borderId="0" xfId="0" applyFont="1" applyFill="1" applyAlignment="1">
      <alignment horizontal="left"/>
    </xf>
    <xf numFmtId="0" fontId="18" fillId="14" borderId="10" xfId="0" applyFont="1" applyFill="1" applyBorder="1" applyAlignment="1">
      <alignment horizontal="left" vertical="center"/>
    </xf>
    <xf numFmtId="0" fontId="18" fillId="14" borderId="11" xfId="0" applyFont="1" applyFill="1" applyBorder="1" applyAlignment="1">
      <alignment horizontal="left" vertical="center"/>
    </xf>
    <xf numFmtId="0" fontId="18" fillId="8" borderId="31" xfId="0" applyFont="1" applyFill="1" applyBorder="1" applyAlignment="1">
      <alignment horizontal="left"/>
    </xf>
    <xf numFmtId="0" fontId="18" fillId="8" borderId="44" xfId="0" applyFont="1" applyFill="1" applyBorder="1" applyAlignment="1">
      <alignment horizontal="left"/>
    </xf>
    <xf numFmtId="167" fontId="29" fillId="0" borderId="14" xfId="5" applyNumberFormat="1" applyFont="1" applyBorder="1" applyAlignment="1">
      <alignment horizontal="center" vertical="center" wrapText="1"/>
    </xf>
    <xf numFmtId="167" fontId="29" fillId="0" borderId="15" xfId="5" applyNumberFormat="1" applyFont="1" applyBorder="1" applyAlignment="1">
      <alignment horizontal="center" vertical="center" wrapText="1"/>
    </xf>
    <xf numFmtId="0" fontId="14" fillId="7" borderId="33" xfId="0" applyFont="1" applyFill="1" applyBorder="1" applyAlignment="1">
      <alignment horizontal="left"/>
    </xf>
    <xf numFmtId="0" fontId="14" fillId="7" borderId="34" xfId="0" applyFont="1" applyFill="1" applyBorder="1" applyAlignment="1">
      <alignment horizontal="left"/>
    </xf>
    <xf numFmtId="0" fontId="14" fillId="7" borderId="31" xfId="0" applyFont="1" applyFill="1" applyBorder="1" applyAlignment="1">
      <alignment horizontal="left"/>
    </xf>
    <xf numFmtId="0" fontId="14" fillId="7" borderId="44" xfId="0" applyFont="1" applyFill="1" applyBorder="1" applyAlignment="1">
      <alignment horizontal="left"/>
    </xf>
    <xf numFmtId="0" fontId="14" fillId="8" borderId="33" xfId="0" applyFont="1" applyFill="1" applyBorder="1" applyAlignment="1">
      <alignment horizontal="left"/>
    </xf>
    <xf numFmtId="0" fontId="14" fillId="8" borderId="34" xfId="0" applyFont="1" applyFill="1" applyBorder="1" applyAlignment="1">
      <alignment horizontal="left"/>
    </xf>
    <xf numFmtId="0" fontId="14" fillId="8" borderId="38" xfId="0" applyFont="1" applyFill="1" applyBorder="1" applyAlignment="1">
      <alignment horizontal="left"/>
    </xf>
    <xf numFmtId="0" fontId="14" fillId="8" borderId="40" xfId="0" applyFont="1" applyFill="1" applyBorder="1" applyAlignment="1">
      <alignment horizontal="left"/>
    </xf>
    <xf numFmtId="0" fontId="14" fillId="8" borderId="41" xfId="0" applyFont="1" applyFill="1" applyBorder="1" applyAlignment="1">
      <alignment horizontal="left"/>
    </xf>
    <xf numFmtId="0" fontId="14" fillId="8" borderId="42" xfId="0" applyFont="1" applyFill="1" applyBorder="1" applyAlignment="1">
      <alignment horizontal="left"/>
    </xf>
    <xf numFmtId="0" fontId="14" fillId="8" borderId="59" xfId="0" applyFont="1" applyFill="1" applyBorder="1" applyAlignment="1">
      <alignment horizontal="left"/>
    </xf>
    <xf numFmtId="0" fontId="14" fillId="8" borderId="60" xfId="0" applyFont="1" applyFill="1" applyBorder="1" applyAlignment="1">
      <alignment horizontal="left"/>
    </xf>
    <xf numFmtId="0" fontId="14" fillId="7" borderId="33" xfId="0" applyFont="1" applyFill="1" applyBorder="1" applyAlignment="1">
      <alignment horizontal="center"/>
    </xf>
    <xf numFmtId="0" fontId="15" fillId="7" borderId="34" xfId="0" applyFont="1" applyFill="1" applyBorder="1" applyAlignment="1">
      <alignment horizontal="center"/>
    </xf>
    <xf numFmtId="0" fontId="15" fillId="7" borderId="67" xfId="0" applyFont="1" applyFill="1" applyBorder="1" applyAlignment="1">
      <alignment horizontal="center"/>
    </xf>
    <xf numFmtId="0" fontId="15" fillId="7" borderId="19" xfId="0" applyFont="1" applyFill="1" applyBorder="1" applyAlignment="1">
      <alignment horizontal="center"/>
    </xf>
    <xf numFmtId="0" fontId="15" fillId="7" borderId="20" xfId="0" applyFont="1" applyFill="1" applyBorder="1" applyAlignment="1">
      <alignment horizontal="center"/>
    </xf>
    <xf numFmtId="0" fontId="15" fillId="7" borderId="21" xfId="0" applyFont="1" applyFill="1" applyBorder="1" applyAlignment="1">
      <alignment horizontal="center"/>
    </xf>
    <xf numFmtId="0" fontId="15" fillId="8" borderId="33" xfId="0" applyFont="1" applyFill="1" applyBorder="1" applyAlignment="1">
      <alignment horizontal="left"/>
    </xf>
    <xf numFmtId="0" fontId="15" fillId="8" borderId="34" xfId="0" applyFont="1" applyFill="1" applyBorder="1" applyAlignment="1">
      <alignment horizontal="left"/>
    </xf>
    <xf numFmtId="0" fontId="15" fillId="8" borderId="38" xfId="0" applyFont="1" applyFill="1" applyBorder="1" applyAlignment="1">
      <alignment horizontal="left"/>
    </xf>
    <xf numFmtId="0" fontId="15" fillId="8" borderId="19" xfId="0" applyFont="1" applyFill="1" applyBorder="1" applyAlignment="1">
      <alignment horizontal="left"/>
    </xf>
    <xf numFmtId="0" fontId="15" fillId="8" borderId="20" xfId="0" applyFont="1" applyFill="1" applyBorder="1" applyAlignment="1">
      <alignment horizontal="left"/>
    </xf>
    <xf numFmtId="0" fontId="15" fillId="8" borderId="36" xfId="0" applyFont="1" applyFill="1" applyBorder="1" applyAlignment="1">
      <alignment horizontal="left"/>
    </xf>
    <xf numFmtId="0" fontId="15" fillId="8" borderId="37" xfId="0" applyFont="1" applyFill="1" applyBorder="1" applyAlignment="1">
      <alignment horizontal="left"/>
    </xf>
    <xf numFmtId="0" fontId="14" fillId="8" borderId="13" xfId="0" applyFont="1" applyFill="1" applyBorder="1" applyAlignment="1">
      <alignment horizontal="left"/>
    </xf>
    <xf numFmtId="0" fontId="14" fillId="8" borderId="0" xfId="0" applyFont="1" applyFill="1" applyAlignment="1">
      <alignment horizontal="left"/>
    </xf>
    <xf numFmtId="167" fontId="9" fillId="0" borderId="14" xfId="5" applyNumberFormat="1" applyFont="1" applyBorder="1" applyAlignment="1">
      <alignment horizontal="center" vertical="center" wrapText="1"/>
    </xf>
    <xf numFmtId="167" fontId="9" fillId="0" borderId="15" xfId="5" applyNumberFormat="1" applyFont="1" applyBorder="1" applyAlignment="1">
      <alignment horizontal="center" vertical="center" wrapText="1"/>
    </xf>
    <xf numFmtId="0" fontId="15" fillId="7" borderId="35" xfId="0" applyFont="1" applyFill="1" applyBorder="1" applyAlignment="1">
      <alignment horizontal="center"/>
    </xf>
    <xf numFmtId="0" fontId="15" fillId="7" borderId="36" xfId="0" applyFont="1" applyFill="1" applyBorder="1" applyAlignment="1">
      <alignment horizontal="center"/>
    </xf>
    <xf numFmtId="0" fontId="15" fillId="7" borderId="37" xfId="0" applyFont="1" applyFill="1" applyBorder="1" applyAlignment="1">
      <alignment horizontal="center"/>
    </xf>
    <xf numFmtId="0" fontId="15" fillId="8" borderId="40" xfId="0" applyFont="1" applyFill="1" applyBorder="1" applyAlignment="1">
      <alignment horizontal="left"/>
    </xf>
    <xf numFmtId="0" fontId="15" fillId="8" borderId="41" xfId="0" applyFont="1" applyFill="1" applyBorder="1" applyAlignment="1">
      <alignment horizontal="left"/>
    </xf>
    <xf numFmtId="0" fontId="15" fillId="8" borderId="42" xfId="0" applyFont="1" applyFill="1" applyBorder="1" applyAlignment="1">
      <alignment horizontal="left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66" xfId="0" applyFont="1" applyFill="1" applyBorder="1" applyAlignment="1">
      <alignment horizontal="center" vertical="center" wrapText="1"/>
    </xf>
    <xf numFmtId="167" fontId="9" fillId="5" borderId="10" xfId="5" applyNumberFormat="1" applyFont="1" applyFill="1" applyBorder="1" applyAlignment="1">
      <alignment horizontal="center" vertical="center" wrapText="1"/>
    </xf>
    <xf numFmtId="167" fontId="9" fillId="5" borderId="11" xfId="5" applyNumberFormat="1" applyFont="1" applyFill="1" applyBorder="1" applyAlignment="1">
      <alignment horizontal="center" vertical="center" wrapText="1"/>
    </xf>
    <xf numFmtId="167" fontId="9" fillId="5" borderId="66" xfId="5" applyNumberFormat="1" applyFont="1" applyFill="1" applyBorder="1" applyAlignment="1">
      <alignment horizontal="center" vertical="center" wrapText="1"/>
    </xf>
    <xf numFmtId="167" fontId="9" fillId="5" borderId="13" xfId="5" applyNumberFormat="1" applyFont="1" applyFill="1" applyBorder="1" applyAlignment="1">
      <alignment horizontal="center" vertical="center" wrapText="1"/>
    </xf>
    <xf numFmtId="167" fontId="9" fillId="5" borderId="0" xfId="5" applyNumberFormat="1" applyFont="1" applyFill="1" applyBorder="1" applyAlignment="1">
      <alignment horizontal="center" vertical="center" wrapText="1"/>
    </xf>
    <xf numFmtId="0" fontId="15" fillId="8" borderId="45" xfId="0" applyFont="1" applyFill="1" applyBorder="1" applyAlignment="1">
      <alignment horizontal="left"/>
    </xf>
    <xf numFmtId="0" fontId="15" fillId="8" borderId="46" xfId="0" applyFont="1" applyFill="1" applyBorder="1" applyAlignment="1">
      <alignment horizontal="left"/>
    </xf>
    <xf numFmtId="0" fontId="5" fillId="0" borderId="0" xfId="3" applyFont="1" applyAlignment="1">
      <alignment horizontal="left" vertical="center" wrapText="1"/>
    </xf>
    <xf numFmtId="0" fontId="5" fillId="0" borderId="0" xfId="3" applyFont="1" applyAlignment="1">
      <alignment horizontal="left" vertical="top"/>
    </xf>
    <xf numFmtId="0" fontId="9" fillId="2" borderId="8" xfId="4" applyFont="1" applyFill="1" applyBorder="1" applyAlignment="1">
      <alignment horizontal="center" vertical="center"/>
    </xf>
    <xf numFmtId="0" fontId="9" fillId="2" borderId="9" xfId="4" applyFont="1" applyFill="1" applyBorder="1" applyAlignment="1">
      <alignment horizontal="center" vertical="center"/>
    </xf>
    <xf numFmtId="0" fontId="9" fillId="2" borderId="66" xfId="4" applyFont="1" applyFill="1" applyBorder="1" applyAlignment="1">
      <alignment horizontal="center" vertical="center"/>
    </xf>
  </cellXfs>
  <cellStyles count="7">
    <cellStyle name="Moeda" xfId="1" builtinId="4"/>
    <cellStyle name="Moeda 2" xfId="5" xr:uid="{56F99517-48E2-4065-8C79-60A691FCF91F}"/>
    <cellStyle name="Normal" xfId="0" builtinId="0"/>
    <cellStyle name="Normal 2" xfId="3" xr:uid="{04772640-CDE7-4EF7-83C6-D99170FA437C}"/>
    <cellStyle name="Normal_Plan1" xfId="4" xr:uid="{58AB6DBA-1099-4EAB-AFBB-18BE83372D07}"/>
    <cellStyle name="Porcentagem" xfId="2" builtinId="5"/>
    <cellStyle name="Porcentagem 2" xfId="6" xr:uid="{9CC1306D-FA25-4CF4-A410-0A93621010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645742</xdr:colOff>
      <xdr:row>0</xdr:row>
      <xdr:rowOff>144690</xdr:rowOff>
    </xdr:from>
    <xdr:to>
      <xdr:col>5</xdr:col>
      <xdr:colOff>962243</xdr:colOff>
      <xdr:row>1</xdr:row>
      <xdr:rowOff>54429</xdr:rowOff>
    </xdr:to>
    <xdr:sp macro="" textlink="">
      <xdr:nvSpPr>
        <xdr:cNvPr id="2" name="Label1" hidden="1">
          <a:extLst>
            <a:ext uri="{63B3BB69-23CF-44E3-9099-C40C66FF867C}">
              <a14:compatExt xmlns:a14="http://schemas.microsoft.com/office/drawing/2010/main" spid="_x0000_s36865"/>
            </a:ext>
            <a:ext uri="{FF2B5EF4-FFF2-40B4-BE49-F238E27FC236}">
              <a16:creationId xmlns:a16="http://schemas.microsoft.com/office/drawing/2014/main" id="{F1FA5900-6998-4460-9718-FB58887629C0}"/>
            </a:ext>
          </a:extLst>
        </xdr:cNvPr>
        <xdr:cNvSpPr/>
      </xdr:nvSpPr>
      <xdr:spPr bwMode="auto">
        <a:xfrm>
          <a:off x="660400" y="139700"/>
          <a:ext cx="987425" cy="5461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</xdr:col>
      <xdr:colOff>259763</xdr:colOff>
      <xdr:row>0</xdr:row>
      <xdr:rowOff>133692</xdr:rowOff>
    </xdr:from>
    <xdr:to>
      <xdr:col>1</xdr:col>
      <xdr:colOff>626690</xdr:colOff>
      <xdr:row>0</xdr:row>
      <xdr:rowOff>507773</xdr:rowOff>
    </xdr:to>
    <xdr:pic macro="[1]!ChamaForm_Menu">
      <xdr:nvPicPr>
        <xdr:cNvPr id="3" name="Imagem 2">
          <a:extLst>
            <a:ext uri="{FF2B5EF4-FFF2-40B4-BE49-F238E27FC236}">
              <a16:creationId xmlns:a16="http://schemas.microsoft.com/office/drawing/2014/main" id="{549CDFDD-3902-4C74-9B25-3374339B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968" y="130971"/>
          <a:ext cx="370680" cy="375442"/>
        </a:xfrm>
        <a:prstGeom prst="rect">
          <a:avLst/>
        </a:prstGeom>
      </xdr:spPr>
    </xdr:pic>
    <xdr:clientData/>
  </xdr:twoCellAnchor>
  <xdr:twoCellAnchor editAs="absolute">
    <xdr:from>
      <xdr:col>45</xdr:col>
      <xdr:colOff>4888</xdr:colOff>
      <xdr:row>0</xdr:row>
      <xdr:rowOff>190500</xdr:rowOff>
    </xdr:from>
    <xdr:to>
      <xdr:col>46</xdr:col>
      <xdr:colOff>349959</xdr:colOff>
      <xdr:row>1</xdr:row>
      <xdr:rowOff>114300</xdr:rowOff>
    </xdr:to>
    <xdr:sp macro="" textlink="">
      <xdr:nvSpPr>
        <xdr:cNvPr id="4" name="Label2" hidden="1">
          <a:extLst>
            <a:ext uri="{63B3BB69-23CF-44E3-9099-C40C66FF867C}">
              <a14:compatExt xmlns:a14="http://schemas.microsoft.com/office/drawing/2010/main" spid="_x0000_s36866"/>
            </a:ext>
            <a:ext uri="{FF2B5EF4-FFF2-40B4-BE49-F238E27FC236}">
              <a16:creationId xmlns:a16="http://schemas.microsoft.com/office/drawing/2014/main" id="{CEB91841-38CB-4D7D-9707-D812ABFAAC2A}"/>
            </a:ext>
          </a:extLst>
        </xdr:cNvPr>
        <xdr:cNvSpPr/>
      </xdr:nvSpPr>
      <xdr:spPr bwMode="auto">
        <a:xfrm>
          <a:off x="29673550" y="190500"/>
          <a:ext cx="955675" cy="5524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44</xdr:col>
      <xdr:colOff>102844</xdr:colOff>
      <xdr:row>0</xdr:row>
      <xdr:rowOff>180299</xdr:rowOff>
    </xdr:from>
    <xdr:to>
      <xdr:col>44</xdr:col>
      <xdr:colOff>466145</xdr:colOff>
      <xdr:row>0</xdr:row>
      <xdr:rowOff>540318</xdr:rowOff>
    </xdr:to>
    <xdr:pic macro="[1]!ChamaForm_Menu">
      <xdr:nvPicPr>
        <xdr:cNvPr id="5" name="Imagem 4">
          <a:extLst>
            <a:ext uri="{FF2B5EF4-FFF2-40B4-BE49-F238E27FC236}">
              <a16:creationId xmlns:a16="http://schemas.microsoft.com/office/drawing/2014/main" id="{10490C17-FFD6-43AC-8A7D-526A053E2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03017" y="182566"/>
          <a:ext cx="360625" cy="362742"/>
        </a:xfrm>
        <a:prstGeom prst="rect">
          <a:avLst/>
        </a:prstGeom>
      </xdr:spPr>
    </xdr:pic>
    <xdr:clientData/>
  </xdr:twoCellAnchor>
  <xdr:twoCellAnchor editAs="absolute">
    <xdr:from>
      <xdr:col>1</xdr:col>
      <xdr:colOff>645742</xdr:colOff>
      <xdr:row>0</xdr:row>
      <xdr:rowOff>144690</xdr:rowOff>
    </xdr:from>
    <xdr:to>
      <xdr:col>5</xdr:col>
      <xdr:colOff>959975</xdr:colOff>
      <xdr:row>1</xdr:row>
      <xdr:rowOff>45810</xdr:rowOff>
    </xdr:to>
    <xdr:pic>
      <xdr:nvPicPr>
        <xdr:cNvPr id="6" name="Label1">
          <a:extLst>
            <a:ext uri="{FF2B5EF4-FFF2-40B4-BE49-F238E27FC236}">
              <a16:creationId xmlns:a16="http://schemas.microsoft.com/office/drawing/2014/main" id="{D5AB3F02-18B0-4C77-8DEF-F7027B0143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46050"/>
          <a:ext cx="977900" cy="5334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44</xdr:col>
      <xdr:colOff>521623</xdr:colOff>
      <xdr:row>0</xdr:row>
      <xdr:rowOff>190500</xdr:rowOff>
    </xdr:from>
    <xdr:to>
      <xdr:col>46</xdr:col>
      <xdr:colOff>323653</xdr:colOff>
      <xdr:row>1</xdr:row>
      <xdr:rowOff>114300</xdr:rowOff>
    </xdr:to>
    <xdr:pic>
      <xdr:nvPicPr>
        <xdr:cNvPr id="7" name="Label2">
          <a:extLst>
            <a:ext uri="{FF2B5EF4-FFF2-40B4-BE49-F238E27FC236}">
              <a16:creationId xmlns:a16="http://schemas.microsoft.com/office/drawing/2014/main" id="{F77352BA-3D44-47C8-86E1-4CA78F5CC63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0" y="190500"/>
          <a:ext cx="971550" cy="5524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357993</xdr:colOff>
      <xdr:row>4</xdr:row>
      <xdr:rowOff>242957</xdr:rowOff>
    </xdr:from>
    <xdr:to>
      <xdr:col>9</xdr:col>
      <xdr:colOff>1572098</xdr:colOff>
      <xdr:row>9</xdr:row>
      <xdr:rowOff>227216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AEF2D26D-D22A-4422-B370-4DDA9250C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71834" y="1697015"/>
          <a:ext cx="1671075" cy="15395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55586</xdr:colOff>
      <xdr:row>0</xdr:row>
      <xdr:rowOff>139700</xdr:rowOff>
    </xdr:from>
    <xdr:to>
      <xdr:col>5</xdr:col>
      <xdr:colOff>1038133</xdr:colOff>
      <xdr:row>1</xdr:row>
      <xdr:rowOff>57150</xdr:rowOff>
    </xdr:to>
    <xdr:sp macro="" textlink="">
      <xdr:nvSpPr>
        <xdr:cNvPr id="2" name="Label1" hidden="1">
          <a:extLst>
            <a:ext uri="{63B3BB69-23CF-44E3-9099-C40C66FF867C}">
              <a14:compatExt xmlns:a14="http://schemas.microsoft.com/office/drawing/2010/main" spid="_x0000_s36865"/>
            </a:ext>
            <a:ext uri="{FF2B5EF4-FFF2-40B4-BE49-F238E27FC236}">
              <a16:creationId xmlns:a16="http://schemas.microsoft.com/office/drawing/2014/main" id="{746948F2-29E5-4628-9FC5-205B5F202E64}"/>
            </a:ext>
          </a:extLst>
        </xdr:cNvPr>
        <xdr:cNvSpPr/>
      </xdr:nvSpPr>
      <xdr:spPr bwMode="auto">
        <a:xfrm>
          <a:off x="654050" y="139700"/>
          <a:ext cx="984250" cy="5461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</xdr:col>
      <xdr:colOff>256588</xdr:colOff>
      <xdr:row>0</xdr:row>
      <xdr:rowOff>130971</xdr:rowOff>
    </xdr:from>
    <xdr:to>
      <xdr:col>5</xdr:col>
      <xdr:colOff>23834</xdr:colOff>
      <xdr:row>0</xdr:row>
      <xdr:rowOff>506413</xdr:rowOff>
    </xdr:to>
    <xdr:pic macro="[1]!ChamaForm_Menu">
      <xdr:nvPicPr>
        <xdr:cNvPr id="3" name="Imagem 2">
          <a:extLst>
            <a:ext uri="{FF2B5EF4-FFF2-40B4-BE49-F238E27FC236}">
              <a16:creationId xmlns:a16="http://schemas.microsoft.com/office/drawing/2014/main" id="{05483618-BA54-45BE-B24C-14DBD0A98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793" y="130971"/>
          <a:ext cx="367505" cy="375442"/>
        </a:xfrm>
        <a:prstGeom prst="rect">
          <a:avLst/>
        </a:prstGeom>
      </xdr:spPr>
    </xdr:pic>
    <xdr:clientData/>
  </xdr:twoCellAnchor>
  <xdr:twoCellAnchor editAs="absolute">
    <xdr:from>
      <xdr:col>47</xdr:col>
      <xdr:colOff>22386</xdr:colOff>
      <xdr:row>0</xdr:row>
      <xdr:rowOff>190500</xdr:rowOff>
    </xdr:from>
    <xdr:to>
      <xdr:col>48</xdr:col>
      <xdr:colOff>396427</xdr:colOff>
      <xdr:row>1</xdr:row>
      <xdr:rowOff>114300</xdr:rowOff>
    </xdr:to>
    <xdr:sp macro="" textlink="">
      <xdr:nvSpPr>
        <xdr:cNvPr id="4" name="Label2" hidden="1">
          <a:extLst>
            <a:ext uri="{63B3BB69-23CF-44E3-9099-C40C66FF867C}">
              <a14:compatExt xmlns:a14="http://schemas.microsoft.com/office/drawing/2010/main" spid="_x0000_s36866"/>
            </a:ext>
            <a:ext uri="{FF2B5EF4-FFF2-40B4-BE49-F238E27FC236}">
              <a16:creationId xmlns:a16="http://schemas.microsoft.com/office/drawing/2014/main" id="{94545967-2FA6-489D-BBAA-778BAFB4727C}"/>
            </a:ext>
          </a:extLst>
        </xdr:cNvPr>
        <xdr:cNvSpPr/>
      </xdr:nvSpPr>
      <xdr:spPr bwMode="auto">
        <a:xfrm>
          <a:off x="29633632" y="190500"/>
          <a:ext cx="978856" cy="5524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46</xdr:col>
      <xdr:colOff>153848</xdr:colOff>
      <xdr:row>0</xdr:row>
      <xdr:rowOff>182566</xdr:rowOff>
    </xdr:from>
    <xdr:to>
      <xdr:col>46</xdr:col>
      <xdr:colOff>513519</xdr:colOff>
      <xdr:row>0</xdr:row>
      <xdr:rowOff>545308</xdr:rowOff>
    </xdr:to>
    <xdr:pic macro="[1]!ChamaForm_Menu">
      <xdr:nvPicPr>
        <xdr:cNvPr id="5" name="Imagem 4">
          <a:extLst>
            <a:ext uri="{FF2B5EF4-FFF2-40B4-BE49-F238E27FC236}">
              <a16:creationId xmlns:a16="http://schemas.microsoft.com/office/drawing/2014/main" id="{DE2C198D-1447-4603-AE56-0E3C341F3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7703" y="182566"/>
          <a:ext cx="359671" cy="362742"/>
        </a:xfrm>
        <a:prstGeom prst="rect">
          <a:avLst/>
        </a:prstGeom>
      </xdr:spPr>
    </xdr:pic>
    <xdr:clientData/>
  </xdr:twoCellAnchor>
  <xdr:twoCellAnchor editAs="absolute">
    <xdr:from>
      <xdr:col>5</xdr:col>
      <xdr:colOff>55586</xdr:colOff>
      <xdr:row>0</xdr:row>
      <xdr:rowOff>139700</xdr:rowOff>
    </xdr:from>
    <xdr:to>
      <xdr:col>5</xdr:col>
      <xdr:colOff>1034958</xdr:colOff>
      <xdr:row>1</xdr:row>
      <xdr:rowOff>44450</xdr:rowOff>
    </xdr:to>
    <xdr:pic>
      <xdr:nvPicPr>
        <xdr:cNvPr id="6" name="Label1">
          <a:extLst>
            <a:ext uri="{FF2B5EF4-FFF2-40B4-BE49-F238E27FC236}">
              <a16:creationId xmlns:a16="http://schemas.microsoft.com/office/drawing/2014/main" id="{A79C76F9-76F2-4D09-B3A4-A73BB2428B5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050" y="139700"/>
          <a:ext cx="981075" cy="5334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46</xdr:col>
      <xdr:colOff>572627</xdr:colOff>
      <xdr:row>0</xdr:row>
      <xdr:rowOff>190500</xdr:rowOff>
    </xdr:from>
    <xdr:to>
      <xdr:col>48</xdr:col>
      <xdr:colOff>367852</xdr:colOff>
      <xdr:row>1</xdr:row>
      <xdr:rowOff>114300</xdr:rowOff>
    </xdr:to>
    <xdr:pic>
      <xdr:nvPicPr>
        <xdr:cNvPr id="7" name="Label2">
          <a:extLst>
            <a:ext uri="{FF2B5EF4-FFF2-40B4-BE49-F238E27FC236}">
              <a16:creationId xmlns:a16="http://schemas.microsoft.com/office/drawing/2014/main" id="{98964DC0-BBE3-4BED-9CFD-30B5D8E212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76482" y="190500"/>
          <a:ext cx="1007431" cy="5524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127920</xdr:colOff>
      <xdr:row>5</xdr:row>
      <xdr:rowOff>316580</xdr:rowOff>
    </xdr:from>
    <xdr:to>
      <xdr:col>9</xdr:col>
      <xdr:colOff>1336129</xdr:colOff>
      <xdr:row>10</xdr:row>
      <xdr:rowOff>299479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5C956E3C-4682-4280-984E-5CC034378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1761" y="2028319"/>
          <a:ext cx="1668354" cy="15381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101600</xdr:colOff>
      <xdr:row>0</xdr:row>
      <xdr:rowOff>139700</xdr:rowOff>
    </xdr:from>
    <xdr:to>
      <xdr:col>4</xdr:col>
      <xdr:colOff>219075</xdr:colOff>
      <xdr:row>1</xdr:row>
      <xdr:rowOff>57150</xdr:rowOff>
    </xdr:to>
    <xdr:sp macro="" textlink="">
      <xdr:nvSpPr>
        <xdr:cNvPr id="2" name="Label1" hidden="1">
          <a:extLst>
            <a:ext uri="{63B3BB69-23CF-44E3-9099-C40C66FF867C}">
              <a14:compatExt xmlns:a14="http://schemas.microsoft.com/office/drawing/2010/main" spid="_x0000_s36865"/>
            </a:ext>
            <a:ext uri="{FF2B5EF4-FFF2-40B4-BE49-F238E27FC236}">
              <a16:creationId xmlns:a16="http://schemas.microsoft.com/office/drawing/2014/main" id="{036E7C16-B07D-4A4C-B8F4-4DB16EF675CD}"/>
            </a:ext>
          </a:extLst>
        </xdr:cNvPr>
        <xdr:cNvSpPr/>
      </xdr:nvSpPr>
      <xdr:spPr bwMode="auto">
        <a:xfrm>
          <a:off x="660400" y="139700"/>
          <a:ext cx="987425" cy="5461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</xdr:col>
      <xdr:colOff>35718</xdr:colOff>
      <xdr:row>0</xdr:row>
      <xdr:rowOff>130971</xdr:rowOff>
    </xdr:from>
    <xdr:to>
      <xdr:col>2</xdr:col>
      <xdr:colOff>69848</xdr:colOff>
      <xdr:row>0</xdr:row>
      <xdr:rowOff>506413</xdr:rowOff>
    </xdr:to>
    <xdr:pic macro="[1]!ChamaForm_Menu">
      <xdr:nvPicPr>
        <xdr:cNvPr id="3" name="Imagem 2">
          <a:extLst>
            <a:ext uri="{FF2B5EF4-FFF2-40B4-BE49-F238E27FC236}">
              <a16:creationId xmlns:a16="http://schemas.microsoft.com/office/drawing/2014/main" id="{332F1172-89C4-4DC3-8F40-85186CB03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968" y="130971"/>
          <a:ext cx="370680" cy="375442"/>
        </a:xfrm>
        <a:prstGeom prst="rect">
          <a:avLst/>
        </a:prstGeom>
      </xdr:spPr>
    </xdr:pic>
    <xdr:clientData/>
  </xdr:twoCellAnchor>
  <xdr:twoCellAnchor editAs="absolute">
    <xdr:from>
      <xdr:col>25</xdr:col>
      <xdr:colOff>285750</xdr:colOff>
      <xdr:row>0</xdr:row>
      <xdr:rowOff>190500</xdr:rowOff>
    </xdr:from>
    <xdr:to>
      <xdr:col>25</xdr:col>
      <xdr:colOff>1228725</xdr:colOff>
      <xdr:row>1</xdr:row>
      <xdr:rowOff>114300</xdr:rowOff>
    </xdr:to>
    <xdr:sp macro="" textlink="">
      <xdr:nvSpPr>
        <xdr:cNvPr id="4" name="Label2" hidden="1">
          <a:extLst>
            <a:ext uri="{63B3BB69-23CF-44E3-9099-C40C66FF867C}">
              <a14:compatExt xmlns:a14="http://schemas.microsoft.com/office/drawing/2010/main" spid="_x0000_s36866"/>
            </a:ext>
            <a:ext uri="{FF2B5EF4-FFF2-40B4-BE49-F238E27FC236}">
              <a16:creationId xmlns:a16="http://schemas.microsoft.com/office/drawing/2014/main" id="{CF6BF66B-ED8E-4023-9704-68C9E116F72D}"/>
            </a:ext>
          </a:extLst>
        </xdr:cNvPr>
        <xdr:cNvSpPr/>
      </xdr:nvSpPr>
      <xdr:spPr bwMode="auto">
        <a:xfrm>
          <a:off x="29692600" y="190500"/>
          <a:ext cx="942975" cy="5524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24</xdr:col>
      <xdr:colOff>1942467</xdr:colOff>
      <xdr:row>0</xdr:row>
      <xdr:rowOff>182566</xdr:rowOff>
    </xdr:from>
    <xdr:to>
      <xdr:col>25</xdr:col>
      <xdr:colOff>159967</xdr:colOff>
      <xdr:row>0</xdr:row>
      <xdr:rowOff>545308</xdr:rowOff>
    </xdr:to>
    <xdr:pic macro="[1]!ChamaForm_Menu">
      <xdr:nvPicPr>
        <xdr:cNvPr id="5" name="Imagem 4">
          <a:extLst>
            <a:ext uri="{FF2B5EF4-FFF2-40B4-BE49-F238E27FC236}">
              <a16:creationId xmlns:a16="http://schemas.microsoft.com/office/drawing/2014/main" id="{4396E166-8FC5-464C-AE14-D3C1C3920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5717" y="182566"/>
          <a:ext cx="351100" cy="362742"/>
        </a:xfrm>
        <a:prstGeom prst="rect">
          <a:avLst/>
        </a:prstGeom>
      </xdr:spPr>
    </xdr:pic>
    <xdr:clientData/>
  </xdr:twoCellAnchor>
  <xdr:twoCellAnchor editAs="absolute">
    <xdr:from>
      <xdr:col>2</xdr:col>
      <xdr:colOff>101600</xdr:colOff>
      <xdr:row>0</xdr:row>
      <xdr:rowOff>139700</xdr:rowOff>
    </xdr:from>
    <xdr:to>
      <xdr:col>4</xdr:col>
      <xdr:colOff>215900</xdr:colOff>
      <xdr:row>1</xdr:row>
      <xdr:rowOff>44450</xdr:rowOff>
    </xdr:to>
    <xdr:pic>
      <xdr:nvPicPr>
        <xdr:cNvPr id="6" name="Label1">
          <a:extLst>
            <a:ext uri="{FF2B5EF4-FFF2-40B4-BE49-F238E27FC236}">
              <a16:creationId xmlns:a16="http://schemas.microsoft.com/office/drawing/2014/main" id="{A718A402-0125-4C7B-81CD-8F6AE9EA09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139700"/>
          <a:ext cx="984250" cy="5334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25</xdr:col>
      <xdr:colOff>228600</xdr:colOff>
      <xdr:row>0</xdr:row>
      <xdr:rowOff>190500</xdr:rowOff>
    </xdr:from>
    <xdr:to>
      <xdr:col>25</xdr:col>
      <xdr:colOff>1206500</xdr:colOff>
      <xdr:row>1</xdr:row>
      <xdr:rowOff>114300</xdr:rowOff>
    </xdr:to>
    <xdr:pic>
      <xdr:nvPicPr>
        <xdr:cNvPr id="7" name="Label2">
          <a:extLst>
            <a:ext uri="{FF2B5EF4-FFF2-40B4-BE49-F238E27FC236}">
              <a16:creationId xmlns:a16="http://schemas.microsoft.com/office/drawing/2014/main" id="{775AC786-775E-4DD3-94AD-3E87EA3E790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35450" y="190500"/>
          <a:ext cx="977900" cy="5524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10583</xdr:colOff>
      <xdr:row>1</xdr:row>
      <xdr:rowOff>253999</xdr:rowOff>
    </xdr:from>
    <xdr:to>
      <xdr:col>10</xdr:col>
      <xdr:colOff>30236</xdr:colOff>
      <xdr:row>9</xdr:row>
      <xdr:rowOff>137093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E1C9D4D1-680A-49D8-AC9A-86BA9D0FD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0083" y="878416"/>
          <a:ext cx="1660070" cy="159759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209cae69c034e7a/2025/LENOVO/LE%20151%20DINNER/PLANILHA%20OGGI/LE_151_Dinner%20SSG.REV3.xlsm" TargetMode="External"/><Relationship Id="rId1" Type="http://schemas.openxmlformats.org/officeDocument/2006/relationships/externalLinkPath" Target="https://oggigrouplive.sharepoint.com/9209cae69c034e7a/2025/LENOVO/LE%20151%20DINNER/PLANILHA%20OGGI/LE_151_Dinner%20SSG.REV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moço Cantaloup"/>
      <sheetName val="FIGUEIRA RUBAIYAT "/>
      <sheetName val="POBRE JUAN - HIGIENÓPOLIS "/>
      <sheetName val="FOGO DE CHÃO - MORUMBI"/>
      <sheetName val="Solicitações de Pagamento"/>
      <sheetName val="Help"/>
      <sheetName val="A CASA DE ANTONIA"/>
      <sheetName val="ItensOrc"/>
      <sheetName val="Template SP"/>
      <sheetName val="LE_151_Dinner SSG.REV3"/>
    </sheetNames>
    <definedNames>
      <definedName name="ChamaForm_Menu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C7611-0296-4F68-9DB9-7C4EF4D3E6D3}">
  <dimension ref="A1:F24"/>
  <sheetViews>
    <sheetView showGridLines="0" tabSelected="1" topLeftCell="A8" zoomScale="82" zoomScaleNormal="82" workbookViewId="0">
      <selection activeCell="C18" sqref="C18"/>
    </sheetView>
  </sheetViews>
  <sheetFormatPr defaultColWidth="8.6640625" defaultRowHeight="16.2" x14ac:dyDescent="0.35"/>
  <cols>
    <col min="1" max="1" width="8.6640625" style="5"/>
    <col min="2" max="2" width="26.109375" style="5" customWidth="1"/>
    <col min="3" max="3" width="60.109375" style="5" customWidth="1"/>
    <col min="4" max="4" width="20.44140625" style="5" customWidth="1"/>
    <col min="5" max="5" width="19.44140625" style="5" bestFit="1" customWidth="1"/>
    <col min="6" max="6" width="8.109375" style="4" customWidth="1"/>
    <col min="7" max="7" width="12.88671875" style="5" bestFit="1" customWidth="1"/>
    <col min="8" max="8" width="12.5546875" style="5" bestFit="1" customWidth="1"/>
    <col min="9" max="16384" width="8.6640625" style="5"/>
  </cols>
  <sheetData>
    <row r="1" spans="1:5" s="4" customFormat="1" hidden="1" x14ac:dyDescent="0.35">
      <c r="A1" s="5"/>
      <c r="B1" s="5"/>
      <c r="C1" s="5"/>
      <c r="D1" s="5"/>
      <c r="E1" s="5"/>
    </row>
    <row r="2" spans="1:5" s="4" customFormat="1" hidden="1" x14ac:dyDescent="0.35">
      <c r="A2" s="5"/>
      <c r="B2" s="5"/>
      <c r="C2" s="5"/>
      <c r="D2" s="5"/>
      <c r="E2" s="5"/>
    </row>
    <row r="3" spans="1:5" s="4" customFormat="1" hidden="1" x14ac:dyDescent="0.35">
      <c r="A3" s="5"/>
      <c r="B3" s="5"/>
      <c r="C3" s="383">
        <v>45866</v>
      </c>
      <c r="D3" s="384"/>
      <c r="E3" s="401" t="e">
        <f>SUM(#REF!)</f>
        <v>#REF!</v>
      </c>
    </row>
    <row r="4" spans="1:5" s="4" customFormat="1" ht="15.6" hidden="1" customHeight="1" thickBot="1" x14ac:dyDescent="0.4">
      <c r="A4" s="5"/>
      <c r="B4" s="5"/>
      <c r="C4" s="385">
        <v>45867</v>
      </c>
      <c r="D4" s="386"/>
      <c r="E4" s="402"/>
    </row>
    <row r="5" spans="1:5" s="4" customFormat="1" hidden="1" x14ac:dyDescent="0.35">
      <c r="A5" s="5"/>
      <c r="B5" s="5"/>
      <c r="C5" s="387" t="s">
        <v>140</v>
      </c>
      <c r="D5" s="388"/>
      <c r="E5" s="5"/>
    </row>
    <row r="6" spans="1:5" s="4" customFormat="1" hidden="1" x14ac:dyDescent="0.35">
      <c r="A6" s="5"/>
      <c r="B6" s="5"/>
      <c r="C6" s="387" t="s">
        <v>141</v>
      </c>
      <c r="D6" s="388"/>
      <c r="E6" s="5"/>
    </row>
    <row r="7" spans="1:5" s="4" customFormat="1" ht="16.8" hidden="1" thickBot="1" x14ac:dyDescent="0.4">
      <c r="A7" s="5"/>
      <c r="B7" s="5"/>
      <c r="C7" s="389" t="s">
        <v>118</v>
      </c>
      <c r="D7" s="390"/>
      <c r="E7" s="5"/>
    </row>
    <row r="9" spans="1:5" s="4" customFormat="1" ht="24" customHeight="1" x14ac:dyDescent="0.35">
      <c r="A9" s="5"/>
      <c r="B9" s="5"/>
      <c r="C9" s="5"/>
      <c r="D9" s="5"/>
      <c r="E9" s="5"/>
    </row>
    <row r="11" spans="1:5" s="4" customFormat="1" ht="18" customHeight="1" x14ac:dyDescent="0.35">
      <c r="A11" s="5"/>
      <c r="B11" s="10" t="s">
        <v>2</v>
      </c>
      <c r="C11" s="11" t="s">
        <v>3</v>
      </c>
      <c r="D11" s="391"/>
      <c r="E11" s="5"/>
    </row>
    <row r="12" spans="1:5" s="4" customFormat="1" ht="18" customHeight="1" x14ac:dyDescent="0.35">
      <c r="A12" s="5"/>
      <c r="B12" s="12" t="s">
        <v>4</v>
      </c>
      <c r="C12" s="13" t="s">
        <v>5</v>
      </c>
      <c r="D12" s="391"/>
      <c r="E12" s="5"/>
    </row>
    <row r="13" spans="1:5" s="4" customFormat="1" ht="18" customHeight="1" x14ac:dyDescent="0.35">
      <c r="A13" s="5"/>
      <c r="B13" s="12" t="s">
        <v>6</v>
      </c>
      <c r="C13" s="14" t="s">
        <v>7</v>
      </c>
      <c r="D13" s="392"/>
      <c r="E13" s="5"/>
    </row>
    <row r="14" spans="1:5" s="4" customFormat="1" ht="18" customHeight="1" x14ac:dyDescent="0.35">
      <c r="A14" s="5"/>
      <c r="B14" s="12" t="s">
        <v>8</v>
      </c>
      <c r="C14" s="14" t="s">
        <v>9</v>
      </c>
      <c r="D14" s="392"/>
      <c r="E14" s="5"/>
    </row>
    <row r="15" spans="1:5" s="4" customFormat="1" ht="18" customHeight="1" x14ac:dyDescent="0.35">
      <c r="A15" s="5"/>
      <c r="B15" s="12" t="s">
        <v>10</v>
      </c>
      <c r="C15" s="393">
        <v>45962</v>
      </c>
      <c r="D15" s="394"/>
      <c r="E15" s="5"/>
    </row>
    <row r="16" spans="1:5" s="4" customFormat="1" ht="18" customHeight="1" x14ac:dyDescent="0.35">
      <c r="A16" s="5"/>
      <c r="B16" s="12" t="s">
        <v>12</v>
      </c>
      <c r="C16" s="14" t="s">
        <v>13</v>
      </c>
      <c r="D16" s="392"/>
      <c r="E16" s="5"/>
    </row>
    <row r="17" spans="2:6" ht="18" customHeight="1" x14ac:dyDescent="0.35">
      <c r="B17" s="12" t="s">
        <v>14</v>
      </c>
      <c r="C17" s="14" t="s">
        <v>15</v>
      </c>
      <c r="D17" s="392"/>
    </row>
    <row r="18" spans="2:6" ht="18" customHeight="1" x14ac:dyDescent="0.35">
      <c r="B18" s="16" t="s">
        <v>16</v>
      </c>
      <c r="C18" s="17" t="s">
        <v>149</v>
      </c>
      <c r="D18" s="392"/>
    </row>
    <row r="20" spans="2:6" ht="21.75" customHeight="1" x14ac:dyDescent="0.35">
      <c r="B20" s="395"/>
      <c r="C20" s="395" t="s">
        <v>142</v>
      </c>
      <c r="D20" s="395" t="s">
        <v>143</v>
      </c>
      <c r="E20" s="395" t="s">
        <v>144</v>
      </c>
    </row>
    <row r="21" spans="2:6" ht="27" customHeight="1" x14ac:dyDescent="0.35">
      <c r="B21" s="396" t="s">
        <v>75</v>
      </c>
      <c r="C21" s="397">
        <f>'Fogo y Fuego'!N37</f>
        <v>33842.026841058781</v>
      </c>
      <c r="D21" s="397">
        <f>'Fogo y Fuego'!AB40</f>
        <v>30080.227441176467</v>
      </c>
      <c r="E21" s="397">
        <f>C21-D21</f>
        <v>3761.7993998823149</v>
      </c>
      <c r="F21" s="398">
        <f>E21*100%/C21</f>
        <v>0.11115762709928231</v>
      </c>
    </row>
    <row r="22" spans="2:6" ht="24" customHeight="1" x14ac:dyDescent="0.35">
      <c r="B22" s="395"/>
      <c r="C22" s="399">
        <f>SUM(C21:C21)</f>
        <v>33842.026841058781</v>
      </c>
      <c r="D22" s="400">
        <f>SUM(D21)</f>
        <v>30080.227441176467</v>
      </c>
      <c r="E22" s="400">
        <f>C22-D22</f>
        <v>3761.7993998823149</v>
      </c>
      <c r="F22" s="398">
        <f>E22*100%/C22</f>
        <v>0.11115762709928231</v>
      </c>
    </row>
    <row r="23" spans="2:6" ht="24" customHeight="1" x14ac:dyDescent="0.35"/>
    <row r="24" spans="2:6" ht="200.1" hidden="1" customHeight="1" x14ac:dyDescent="0.35"/>
  </sheetData>
  <mergeCells count="1">
    <mergeCell ref="E3:E4"/>
  </mergeCells>
  <pageMargins left="0.51181102362204722" right="0.51181102362204722" top="0.78740157480314965" bottom="0.78740157480314965" header="0.31496062992125984" footer="0.31496062992125984"/>
  <pageSetup paperSize="9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3A149-1DAB-4B74-8FC2-F1CBE5D8979E}">
  <sheetPr codeName="Planilha14">
    <pageSetUpPr autoPageBreaks="0"/>
  </sheetPr>
  <dimension ref="A1:AN42"/>
  <sheetViews>
    <sheetView showGridLines="0" topLeftCell="G1" zoomScale="69" zoomScaleNormal="69" workbookViewId="0">
      <pane ySplit="1" topLeftCell="A33" activePane="bottomLeft" state="frozen"/>
      <selection activeCell="K35" sqref="K35"/>
      <selection pane="bottomLeft" activeCell="K56" sqref="K56"/>
    </sheetView>
  </sheetViews>
  <sheetFormatPr defaultColWidth="8.6640625" defaultRowHeight="22.2" x14ac:dyDescent="0.45"/>
  <cols>
    <col min="1" max="1" width="3.109375" style="194" hidden="1" customWidth="1"/>
    <col min="2" max="2" width="9.6640625" style="194" customWidth="1"/>
    <col min="3" max="3" width="5.88671875" style="194" hidden="1" customWidth="1"/>
    <col min="4" max="4" width="6.5546875" style="194" hidden="1" customWidth="1"/>
    <col min="5" max="5" width="6.33203125" style="194" hidden="1" customWidth="1"/>
    <col min="6" max="6" width="31.88671875" style="194" customWidth="1"/>
    <col min="7" max="7" width="37.33203125" style="212" customWidth="1"/>
    <col min="8" max="8" width="5.88671875" style="197" bestFit="1" customWidth="1"/>
    <col min="9" max="9" width="6.5546875" style="197" bestFit="1" customWidth="1"/>
    <col min="10" max="10" width="24.109375" style="194" bestFit="1" customWidth="1"/>
    <col min="11" max="11" width="27.44140625" style="194" bestFit="1" customWidth="1"/>
    <col min="12" max="12" width="24.88671875" style="194" customWidth="1"/>
    <col min="13" max="13" width="22.44140625" style="194" customWidth="1"/>
    <col min="14" max="14" width="27.44140625" style="194" bestFit="1" customWidth="1"/>
    <col min="15" max="15" width="3.109375" style="194" hidden="1" customWidth="1"/>
    <col min="16" max="16" width="6.33203125" style="194" hidden="1" customWidth="1"/>
    <col min="17" max="17" width="7.44140625" style="197" customWidth="1"/>
    <col min="18" max="18" width="8.109375" style="197" hidden="1" customWidth="1"/>
    <col min="19" max="19" width="19.5546875" style="194" hidden="1" customWidth="1"/>
    <col min="20" max="20" width="25.109375" style="194" customWidth="1"/>
    <col min="21" max="21" width="25.5546875" style="194" hidden="1" customWidth="1"/>
    <col min="22" max="22" width="10.109375" style="194" hidden="1" customWidth="1"/>
    <col min="23" max="23" width="16.33203125" style="194" hidden="1" customWidth="1"/>
    <col min="24" max="24" width="31.88671875" style="194" customWidth="1"/>
    <col min="25" max="25" width="30.5546875" style="194" hidden="1" customWidth="1"/>
    <col min="26" max="26" width="26.109375" style="194" hidden="1" customWidth="1"/>
    <col min="27" max="27" width="34.88671875" style="194" hidden="1" customWidth="1"/>
    <col min="28" max="28" width="27.33203125" style="194" customWidth="1"/>
    <col min="29" max="29" width="32.5546875" style="194" customWidth="1"/>
    <col min="30" max="30" width="33" style="198" hidden="1" customWidth="1"/>
    <col min="31" max="31" width="33" style="194" hidden="1" customWidth="1"/>
    <col min="32" max="32" width="28" style="194" hidden="1" customWidth="1"/>
    <col min="33" max="33" width="1.33203125" style="194" hidden="1" customWidth="1"/>
    <col min="34" max="34" width="81.5546875" style="194" hidden="1" customWidth="1"/>
    <col min="35" max="35" width="36.6640625" style="194" hidden="1" customWidth="1"/>
    <col min="36" max="36" width="1.5546875" style="194" hidden="1" customWidth="1"/>
    <col min="37" max="37" width="20.33203125" style="194" hidden="1" customWidth="1"/>
    <col min="38" max="38" width="25.33203125" style="194" hidden="1" customWidth="1"/>
    <col min="39" max="39" width="24.88671875" style="194" hidden="1" customWidth="1"/>
    <col min="40" max="40" width="26.6640625" style="5" customWidth="1"/>
    <col min="41" max="41" width="21.33203125" style="194" customWidth="1"/>
    <col min="42" max="16384" width="8.6640625" style="194"/>
  </cols>
  <sheetData>
    <row r="1" spans="1:37" ht="49.5" customHeight="1" x14ac:dyDescent="0.45">
      <c r="B1" s="195"/>
      <c r="C1" s="196"/>
      <c r="D1" s="196"/>
      <c r="F1" s="403" t="s">
        <v>0</v>
      </c>
      <c r="G1" s="403"/>
    </row>
    <row r="2" spans="1:37" ht="24.75" customHeight="1" x14ac:dyDescent="0.45">
      <c r="B2" s="199"/>
      <c r="D2" s="196"/>
      <c r="F2" s="404" t="s">
        <v>1</v>
      </c>
      <c r="G2" s="404"/>
    </row>
    <row r="3" spans="1:37" x14ac:dyDescent="0.45">
      <c r="B3" s="200"/>
      <c r="F3" s="201"/>
      <c r="G3" s="202"/>
    </row>
    <row r="4" spans="1:37" x14ac:dyDescent="0.45">
      <c r="F4" s="203" t="s">
        <v>2</v>
      </c>
      <c r="G4" s="204" t="s">
        <v>3</v>
      </c>
    </row>
    <row r="5" spans="1:37" x14ac:dyDescent="0.45">
      <c r="F5" s="205" t="s">
        <v>4</v>
      </c>
      <c r="G5" s="206" t="s">
        <v>5</v>
      </c>
    </row>
    <row r="6" spans="1:37" ht="44.4" x14ac:dyDescent="0.45">
      <c r="F6" s="205" t="s">
        <v>6</v>
      </c>
      <c r="G6" s="207" t="s">
        <v>7</v>
      </c>
    </row>
    <row r="7" spans="1:37" x14ac:dyDescent="0.45">
      <c r="F7" s="205" t="s">
        <v>8</v>
      </c>
      <c r="G7" s="207" t="s">
        <v>9</v>
      </c>
    </row>
    <row r="8" spans="1:37" x14ac:dyDescent="0.45">
      <c r="F8" s="205" t="s">
        <v>10</v>
      </c>
      <c r="G8" s="208" t="s">
        <v>11</v>
      </c>
    </row>
    <row r="9" spans="1:37" x14ac:dyDescent="0.45">
      <c r="F9" s="205" t="s">
        <v>12</v>
      </c>
      <c r="G9" s="207" t="s">
        <v>13</v>
      </c>
    </row>
    <row r="10" spans="1:37" x14ac:dyDescent="0.45">
      <c r="F10" s="205" t="s">
        <v>14</v>
      </c>
      <c r="G10" s="207" t="s">
        <v>15</v>
      </c>
    </row>
    <row r="11" spans="1:37" ht="45" thickBot="1" x14ac:dyDescent="0.5">
      <c r="F11" s="209" t="s">
        <v>16</v>
      </c>
      <c r="G11" s="210" t="s">
        <v>17</v>
      </c>
    </row>
    <row r="12" spans="1:37" ht="22.8" thickBot="1" x14ac:dyDescent="0.5">
      <c r="B12" s="211"/>
      <c r="M12" s="213"/>
      <c r="Q12" s="405" t="s">
        <v>18</v>
      </c>
      <c r="R12" s="406"/>
      <c r="S12" s="406"/>
      <c r="T12" s="407"/>
      <c r="U12" s="408" t="s">
        <v>19</v>
      </c>
      <c r="V12" s="409"/>
      <c r="W12" s="409"/>
      <c r="X12" s="410"/>
      <c r="Y12" s="214" t="s">
        <v>20</v>
      </c>
      <c r="Z12" s="215">
        <f>(1/(1-M14))-1</f>
        <v>0.24269914253759173</v>
      </c>
      <c r="AD12" s="411" t="s">
        <v>21</v>
      </c>
      <c r="AE12" s="412"/>
      <c r="AF12" s="413"/>
      <c r="AH12" s="414" t="s">
        <v>22</v>
      </c>
      <c r="AI12" s="415"/>
      <c r="AK12" s="216" t="s">
        <v>23</v>
      </c>
    </row>
    <row r="13" spans="1:37" ht="26.4" thickBot="1" x14ac:dyDescent="0.5">
      <c r="A13" s="217" t="s">
        <v>25</v>
      </c>
      <c r="B13" s="218" t="s">
        <v>26</v>
      </c>
      <c r="C13" s="217" t="s">
        <v>27</v>
      </c>
      <c r="D13" s="217" t="s">
        <v>28</v>
      </c>
      <c r="E13" s="217" t="s">
        <v>29</v>
      </c>
      <c r="M13" s="219">
        <v>0.80469999999999997</v>
      </c>
      <c r="AB13" s="422" t="s">
        <v>24</v>
      </c>
      <c r="AC13" s="422"/>
    </row>
    <row r="14" spans="1:37" ht="51" customHeight="1" thickBot="1" x14ac:dyDescent="0.55000000000000004">
      <c r="A14" s="220">
        <v>0</v>
      </c>
      <c r="B14" s="221"/>
      <c r="C14" s="222"/>
      <c r="D14" s="223"/>
      <c r="E14" s="224"/>
      <c r="F14" s="225" t="s">
        <v>30</v>
      </c>
      <c r="G14" s="226" t="s">
        <v>31</v>
      </c>
      <c r="H14" s="227" t="s">
        <v>32</v>
      </c>
      <c r="I14" s="227" t="s">
        <v>33</v>
      </c>
      <c r="J14" s="228" t="s">
        <v>34</v>
      </c>
      <c r="K14" s="229" t="s">
        <v>35</v>
      </c>
      <c r="L14" s="230">
        <v>0.09</v>
      </c>
      <c r="M14" s="231">
        <f>1-M13</f>
        <v>0.19530000000000003</v>
      </c>
      <c r="N14" s="232" t="s">
        <v>36</v>
      </c>
      <c r="Q14" s="233" t="s">
        <v>37</v>
      </c>
      <c r="R14" s="234" t="s">
        <v>38</v>
      </c>
      <c r="S14" s="235" t="s">
        <v>39</v>
      </c>
      <c r="T14" s="236" t="s">
        <v>40</v>
      </c>
      <c r="U14" s="237" t="s">
        <v>41</v>
      </c>
      <c r="V14" s="238" t="s">
        <v>42</v>
      </c>
      <c r="W14" s="239" t="s">
        <v>43</v>
      </c>
      <c r="X14" s="214" t="s">
        <v>44</v>
      </c>
      <c r="Y14" s="214" t="s">
        <v>45</v>
      </c>
      <c r="Z14" s="240" t="s">
        <v>46</v>
      </c>
      <c r="AA14" s="351" t="s">
        <v>47</v>
      </c>
      <c r="AB14" s="357"/>
      <c r="AC14" s="357"/>
      <c r="AD14" s="356" t="s">
        <v>48</v>
      </c>
      <c r="AE14" s="243" t="s">
        <v>49</v>
      </c>
      <c r="AF14" s="243" t="s">
        <v>50</v>
      </c>
      <c r="AH14" s="233" t="s">
        <v>51</v>
      </c>
      <c r="AI14" s="235" t="s">
        <v>52</v>
      </c>
      <c r="AJ14" s="194" t="s">
        <v>53</v>
      </c>
      <c r="AK14" s="194" t="s">
        <v>53</v>
      </c>
    </row>
    <row r="15" spans="1:37" ht="45.9" customHeight="1" x14ac:dyDescent="0.45">
      <c r="A15" s="223">
        <v>1</v>
      </c>
      <c r="B15" s="246">
        <v>1</v>
      </c>
      <c r="C15" s="247" t="s">
        <v>56</v>
      </c>
      <c r="D15" s="223"/>
      <c r="E15" s="223"/>
      <c r="F15" s="416" t="s">
        <v>57</v>
      </c>
      <c r="G15" s="417"/>
      <c r="H15" s="417"/>
      <c r="I15" s="417"/>
      <c r="J15" s="417"/>
      <c r="K15" s="417"/>
      <c r="L15" s="417"/>
      <c r="M15" s="417"/>
      <c r="N15" s="418"/>
      <c r="Q15" s="423" t="str">
        <f>IF(F15&lt;&gt;"",F15,"")</f>
        <v>INTERNOS</v>
      </c>
      <c r="R15" s="424"/>
      <c r="S15" s="424"/>
      <c r="T15" s="424"/>
      <c r="U15" s="424"/>
      <c r="V15" s="424"/>
      <c r="W15" s="424"/>
      <c r="X15" s="424"/>
      <c r="Y15" s="425"/>
      <c r="AB15" s="358" t="s">
        <v>54</v>
      </c>
      <c r="AC15" s="359" t="s">
        <v>55</v>
      </c>
    </row>
    <row r="16" spans="1:37" ht="20.399999999999999" hidden="1" customHeight="1" x14ac:dyDescent="0.5">
      <c r="A16" s="223">
        <v>2</v>
      </c>
      <c r="B16" s="246" t="s">
        <v>58</v>
      </c>
      <c r="C16" s="247" t="s">
        <v>59</v>
      </c>
      <c r="D16" s="223"/>
      <c r="E16" s="223"/>
      <c r="F16" s="426" t="s">
        <v>60</v>
      </c>
      <c r="G16" s="427"/>
      <c r="H16" s="427"/>
      <c r="I16" s="427"/>
      <c r="J16" s="427"/>
      <c r="K16" s="428"/>
      <c r="L16" s="248" t="s">
        <v>61</v>
      </c>
      <c r="M16" s="249" t="s">
        <v>62</v>
      </c>
      <c r="N16" s="250" t="s">
        <v>36</v>
      </c>
      <c r="Q16" s="429" t="str">
        <f>IF(F16&lt;&gt;"",F16,"")</f>
        <v>CUSTOS INTERNOS OGGI</v>
      </c>
      <c r="R16" s="430"/>
      <c r="S16" s="430"/>
      <c r="T16" s="430"/>
      <c r="U16" s="430"/>
      <c r="V16" s="430"/>
      <c r="W16" s="430"/>
      <c r="X16" s="430"/>
      <c r="Y16" s="431"/>
      <c r="Z16" s="251" t="s">
        <v>63</v>
      </c>
      <c r="AA16" s="352" t="s">
        <v>47</v>
      </c>
      <c r="AB16" s="360"/>
      <c r="AC16" s="357"/>
    </row>
    <row r="17" spans="1:40" ht="67.5" customHeight="1" x14ac:dyDescent="0.5">
      <c r="A17" s="223">
        <v>3</v>
      </c>
      <c r="B17" s="246" t="s">
        <v>64</v>
      </c>
      <c r="C17" s="247" t="s">
        <v>65</v>
      </c>
      <c r="D17" s="223" t="s">
        <v>66</v>
      </c>
      <c r="E17" s="223" t="s">
        <v>67</v>
      </c>
      <c r="F17" s="252" t="s">
        <v>68</v>
      </c>
      <c r="G17" s="253" t="s">
        <v>69</v>
      </c>
      <c r="H17" s="254">
        <v>1</v>
      </c>
      <c r="I17" s="254">
        <v>1</v>
      </c>
      <c r="J17" s="255">
        <v>2500</v>
      </c>
      <c r="K17" s="255">
        <f>IF(F17&lt;&gt;"",H17*I17*J17,"")</f>
        <v>2500</v>
      </c>
      <c r="L17" s="255">
        <f>IF(K17&lt;&gt;"",IF(D17="INTERNO",0,K17*$L$14),"")</f>
        <v>0</v>
      </c>
      <c r="M17" s="255">
        <f>IF(K17&lt;&gt;"",IF(E17="FAT.OGGI",SUM(K17:L17)*(1/(1-$M$14)-1),L17*(1/(1-$M$14)-1)),"")</f>
        <v>606.74785634397927</v>
      </c>
      <c r="N17" s="256">
        <f>SUM(K17:M17)</f>
        <v>3106.747856343979</v>
      </c>
      <c r="Q17" s="257">
        <f t="shared" ref="Q17:R18" si="0">IF(H17&lt;&gt;"",H17,"")</f>
        <v>1</v>
      </c>
      <c r="R17" s="258">
        <f t="shared" si="0"/>
        <v>1</v>
      </c>
      <c r="S17" s="259">
        <v>1000</v>
      </c>
      <c r="T17" s="259"/>
      <c r="U17" s="260">
        <f>IF(Q17&lt;&gt;"",K17-T17,"")</f>
        <v>2500</v>
      </c>
      <c r="V17" s="261">
        <f>IF(Q17&lt;&gt;"",0%,"")</f>
        <v>0</v>
      </c>
      <c r="W17" s="262">
        <f>IF(Q17&lt;&gt;"",V17*U17,"")</f>
        <v>0</v>
      </c>
      <c r="X17" s="262">
        <f>IF(Q17&lt;&gt;"",W17+T17,"")</f>
        <v>0</v>
      </c>
      <c r="Y17" s="263">
        <f>IF(Q17&lt;&gt;"",X17+M17,"")</f>
        <v>606.74785634397927</v>
      </c>
      <c r="Z17" s="264">
        <f>IF(Q17&lt;&gt;"",U17/K17,"")</f>
        <v>1</v>
      </c>
      <c r="AA17" s="353" t="e">
        <f>T17/$T$19</f>
        <v>#DIV/0!</v>
      </c>
      <c r="AB17" s="361">
        <f>X17-AC17</f>
        <v>0</v>
      </c>
      <c r="AC17" s="362"/>
    </row>
    <row r="18" spans="1:40" ht="51" customHeight="1" x14ac:dyDescent="0.5">
      <c r="A18" s="223">
        <v>4</v>
      </c>
      <c r="B18" s="246" t="s">
        <v>70</v>
      </c>
      <c r="C18" s="247" t="s">
        <v>65</v>
      </c>
      <c r="D18" s="223" t="s">
        <v>66</v>
      </c>
      <c r="E18" s="223" t="s">
        <v>67</v>
      </c>
      <c r="F18" s="265" t="s">
        <v>71</v>
      </c>
      <c r="G18" s="266" t="s">
        <v>72</v>
      </c>
      <c r="H18" s="254">
        <v>1</v>
      </c>
      <c r="I18" s="254">
        <v>1</v>
      </c>
      <c r="J18" s="267">
        <v>1200</v>
      </c>
      <c r="K18" s="255">
        <f>IF(F18&lt;&gt;"",H18*I18*J18,"")</f>
        <v>1200</v>
      </c>
      <c r="L18" s="255">
        <f>IF(K18&lt;&gt;"",IF(D18="INTERNO",0,K18*$L$14),"")</f>
        <v>0</v>
      </c>
      <c r="M18" s="255">
        <f>IF(K18&lt;&gt;"",IF(E18="FAT.OGGI",SUM(K18:L18)*(1/(1-$M$14)-1),L18*(1/(1-$M$14)-1)),"")</f>
        <v>291.23897104511008</v>
      </c>
      <c r="N18" s="256">
        <f>SUM(K18:M18)</f>
        <v>1491.23897104511</v>
      </c>
      <c r="O18" s="268"/>
      <c r="Q18" s="257">
        <f t="shared" si="0"/>
        <v>1</v>
      </c>
      <c r="R18" s="258">
        <f t="shared" si="0"/>
        <v>1</v>
      </c>
      <c r="S18" s="259">
        <v>600</v>
      </c>
      <c r="T18" s="259"/>
      <c r="U18" s="260">
        <f>IF(Q18&lt;&gt;"",K18-T18,"")</f>
        <v>1200</v>
      </c>
      <c r="V18" s="261">
        <f>IF(Q18&lt;&gt;"",0%,"")</f>
        <v>0</v>
      </c>
      <c r="W18" s="262">
        <f>IF(Q18&lt;&gt;"",V18*U18,"")</f>
        <v>0</v>
      </c>
      <c r="X18" s="262">
        <f>IF(Q18&lt;&gt;"",W18+T18,"")</f>
        <v>0</v>
      </c>
      <c r="Y18" s="263">
        <f>IF(Q18&lt;&gt;"",X18+M18,"")</f>
        <v>291.23897104511008</v>
      </c>
      <c r="Z18" s="264">
        <f>IF(Q18&lt;&gt;"",U18/K18,"")</f>
        <v>1</v>
      </c>
      <c r="AA18" s="353" t="e">
        <f>T18/$T$19</f>
        <v>#DIV/0!</v>
      </c>
      <c r="AB18" s="361">
        <f t="shared" ref="AB18:AB33" si="1">X18-AC18</f>
        <v>0</v>
      </c>
      <c r="AC18" s="362"/>
    </row>
    <row r="19" spans="1:40" ht="23.4" customHeight="1" thickBot="1" x14ac:dyDescent="0.55000000000000004">
      <c r="A19" s="223">
        <v>5</v>
      </c>
      <c r="B19" s="246"/>
      <c r="C19" s="247" t="s">
        <v>73</v>
      </c>
      <c r="D19" s="223"/>
      <c r="E19" s="223"/>
      <c r="F19" s="432" t="s">
        <v>74</v>
      </c>
      <c r="G19" s="433"/>
      <c r="H19" s="433"/>
      <c r="I19" s="433"/>
      <c r="J19" s="433"/>
      <c r="K19" s="269">
        <f>SUM(K17:K18)</f>
        <v>3700</v>
      </c>
      <c r="L19" s="269">
        <f>SUM(L17:L18)</f>
        <v>0</v>
      </c>
      <c r="M19" s="269">
        <f>SUM(M17:M18)</f>
        <v>897.98682738908929</v>
      </c>
      <c r="N19" s="270">
        <f>SUM(N17:N18)</f>
        <v>4597.9868273890888</v>
      </c>
      <c r="Q19" s="429" t="s">
        <v>74</v>
      </c>
      <c r="R19" s="430"/>
      <c r="S19" s="430"/>
      <c r="T19" s="271">
        <f>SUM(T17:T18)</f>
        <v>0</v>
      </c>
      <c r="U19" s="272">
        <f>SUM(U17:U18)</f>
        <v>3700</v>
      </c>
      <c r="V19" s="273"/>
      <c r="W19" s="273"/>
      <c r="X19" s="274">
        <f>SUM(X17:X18)</f>
        <v>0</v>
      </c>
      <c r="Y19" s="275">
        <f>IF(Q19&lt;&gt;"",X19+M19,"")</f>
        <v>897.98682738908929</v>
      </c>
      <c r="AB19" s="361"/>
      <c r="AC19" s="362"/>
    </row>
    <row r="20" spans="1:40" ht="25.5" customHeight="1" thickBot="1" x14ac:dyDescent="0.55000000000000004">
      <c r="A20" s="223">
        <v>6</v>
      </c>
      <c r="B20" s="246">
        <v>2</v>
      </c>
      <c r="C20" s="247" t="s">
        <v>56</v>
      </c>
      <c r="D20" s="223"/>
      <c r="E20" s="223"/>
      <c r="F20" s="416" t="s">
        <v>75</v>
      </c>
      <c r="G20" s="417"/>
      <c r="H20" s="417"/>
      <c r="I20" s="417"/>
      <c r="J20" s="417"/>
      <c r="K20" s="417"/>
      <c r="L20" s="417"/>
      <c r="M20" s="417"/>
      <c r="N20" s="418"/>
      <c r="Q20" s="419" t="str">
        <f>IF(F20&lt;&gt;"",F20,"")</f>
        <v>FOGO Y FUEGO</v>
      </c>
      <c r="R20" s="420"/>
      <c r="S20" s="420"/>
      <c r="T20" s="420"/>
      <c r="U20" s="420"/>
      <c r="V20" s="420"/>
      <c r="W20" s="420"/>
      <c r="X20" s="420"/>
      <c r="Y20" s="421"/>
      <c r="AB20" s="361">
        <f t="shared" si="1"/>
        <v>0</v>
      </c>
      <c r="AC20" s="362"/>
    </row>
    <row r="21" spans="1:40" ht="30.9" customHeight="1" thickBot="1" x14ac:dyDescent="0.55000000000000004">
      <c r="A21" s="223">
        <v>7</v>
      </c>
      <c r="B21" s="246" t="s">
        <v>76</v>
      </c>
      <c r="C21" s="247" t="s">
        <v>59</v>
      </c>
      <c r="D21" s="223"/>
      <c r="E21" s="223"/>
      <c r="F21" s="426" t="s">
        <v>75</v>
      </c>
      <c r="G21" s="427"/>
      <c r="H21" s="427"/>
      <c r="I21" s="427"/>
      <c r="J21" s="427"/>
      <c r="K21" s="428"/>
      <c r="L21" s="248" t="s">
        <v>61</v>
      </c>
      <c r="M21" s="249" t="s">
        <v>62</v>
      </c>
      <c r="N21" s="250" t="s">
        <v>36</v>
      </c>
      <c r="Q21" s="434" t="str">
        <f>IF(F21&lt;&gt;"",F21,"")</f>
        <v>FOGO Y FUEGO</v>
      </c>
      <c r="R21" s="435"/>
      <c r="S21" s="435"/>
      <c r="T21" s="435"/>
      <c r="U21" s="435"/>
      <c r="V21" s="435"/>
      <c r="W21" s="435"/>
      <c r="X21" s="435"/>
      <c r="Y21" s="436"/>
      <c r="Z21" s="251" t="s">
        <v>63</v>
      </c>
      <c r="AA21" s="352" t="s">
        <v>47</v>
      </c>
      <c r="AB21" s="361">
        <f t="shared" si="1"/>
        <v>0</v>
      </c>
      <c r="AC21" s="362"/>
    </row>
    <row r="22" spans="1:40" ht="54.6" customHeight="1" x14ac:dyDescent="0.5">
      <c r="A22" s="223">
        <v>8</v>
      </c>
      <c r="B22" s="246" t="s">
        <v>77</v>
      </c>
      <c r="C22" s="247" t="s">
        <v>65</v>
      </c>
      <c r="D22" s="223" t="s">
        <v>78</v>
      </c>
      <c r="E22" s="223" t="s">
        <v>79</v>
      </c>
      <c r="F22" s="276" t="s">
        <v>80</v>
      </c>
      <c r="G22" s="277" t="s">
        <v>81</v>
      </c>
      <c r="H22" s="278">
        <v>1</v>
      </c>
      <c r="I22" s="278">
        <v>1</v>
      </c>
      <c r="J22" s="279">
        <v>2100</v>
      </c>
      <c r="K22" s="279">
        <f t="shared" ref="K22" si="2">IF(F22&lt;&gt;"",H22*I22*J22,"")</f>
        <v>2100</v>
      </c>
      <c r="L22" s="279">
        <f t="shared" ref="L22" si="3">IF(K22&lt;&gt;"",IF(D22="INTERNO",0,K22*$L$14),"")</f>
        <v>189</v>
      </c>
      <c r="M22" s="279">
        <f t="shared" ref="M22" si="4">IF(K22&lt;&gt;"",IF(E22="FAT.OGGI",SUM(K22:L22)*(1/(1-$M$14)-1),L22*(1/(1-$M$14)-1)),"")</f>
        <v>45.870137939604838</v>
      </c>
      <c r="N22" s="280">
        <f t="shared" ref="N22" si="5">SUM(K22:M22)</f>
        <v>2334.8701379396048</v>
      </c>
      <c r="Q22" s="281">
        <f t="shared" ref="Q22" si="6">IF(H22&lt;&gt;"",H22,"")</f>
        <v>1</v>
      </c>
      <c r="R22" s="282">
        <v>0</v>
      </c>
      <c r="S22" s="283">
        <v>0</v>
      </c>
      <c r="T22" s="283">
        <f t="shared" ref="T22" si="7">IF(Q22&lt;&gt;"",Q22*R22*S22,"")</f>
        <v>0</v>
      </c>
      <c r="U22" s="284">
        <f t="shared" ref="U22" si="8">IF(Q22&lt;&gt;"",K22-T22,"")</f>
        <v>2100</v>
      </c>
      <c r="V22" s="285">
        <f t="shared" ref="V22" si="9">IF(Q22&lt;&gt;"",0%,"")</f>
        <v>0</v>
      </c>
      <c r="W22" s="286">
        <f t="shared" ref="W22" si="10">IF(Q22&lt;&gt;"",V22*U22,"")</f>
        <v>0</v>
      </c>
      <c r="X22" s="286">
        <f t="shared" ref="X22" si="11">IF(Q22&lt;&gt;"",W22+T22,"")</f>
        <v>0</v>
      </c>
      <c r="Y22" s="287">
        <f t="shared" ref="Y22" si="12">IF(Q22&lt;&gt;"",X22+M22,"")</f>
        <v>45.870137939604838</v>
      </c>
      <c r="Z22" s="264">
        <f t="shared" ref="Z22" si="13">IF(Q22&lt;&gt;"",U22/K22,"")</f>
        <v>1</v>
      </c>
      <c r="AA22" s="353">
        <f>T22/$T$26</f>
        <v>0</v>
      </c>
      <c r="AB22" s="361">
        <f t="shared" si="1"/>
        <v>0</v>
      </c>
      <c r="AC22" s="362"/>
    </row>
    <row r="23" spans="1:40" ht="38.4" customHeight="1" x14ac:dyDescent="0.5">
      <c r="A23" s="288">
        <v>9</v>
      </c>
      <c r="B23" s="246" t="s">
        <v>82</v>
      </c>
      <c r="C23" s="289" t="s">
        <v>65</v>
      </c>
      <c r="D23" s="288" t="s">
        <v>78</v>
      </c>
      <c r="E23" s="288" t="s">
        <v>79</v>
      </c>
      <c r="F23" s="290" t="s">
        <v>84</v>
      </c>
      <c r="G23" s="291" t="s">
        <v>85</v>
      </c>
      <c r="H23" s="292">
        <v>1</v>
      </c>
      <c r="I23" s="292">
        <v>30</v>
      </c>
      <c r="J23" s="293">
        <v>300</v>
      </c>
      <c r="K23" s="293">
        <f>IF(F23&lt;&gt;"",H23*I23*J23,"")</f>
        <v>9000</v>
      </c>
      <c r="L23" s="293">
        <f t="shared" ref="L23:L25" si="14">IF(K23&lt;&gt;"",IF(D23="INTERNO",0,K23*$L$14),"")</f>
        <v>810</v>
      </c>
      <c r="M23" s="293">
        <f>IF(K23&lt;&gt;"",IF(E23="FAT.OGGI",SUM(K23:L23)*(1/(1-$M$14)-1),L23*(1/(1-$M$14)-1)),"")</f>
        <v>196.58630545544929</v>
      </c>
      <c r="N23" s="294">
        <f>SUM(K23:M23)</f>
        <v>10006.58630545545</v>
      </c>
      <c r="Q23" s="257">
        <f t="shared" ref="Q23" si="15">IF(H23&lt;&gt;"",H23,"")</f>
        <v>1</v>
      </c>
      <c r="R23" s="258">
        <v>30</v>
      </c>
      <c r="S23" s="259">
        <v>566.67999999999995</v>
      </c>
      <c r="T23" s="259">
        <v>20150</v>
      </c>
      <c r="U23" s="260">
        <f>IF(Q23&lt;&gt;"",K23-T23,"")</f>
        <v>-11150</v>
      </c>
      <c r="V23" s="261">
        <f>IF(Q23&lt;&gt;"",0%,"")</f>
        <v>0</v>
      </c>
      <c r="W23" s="262">
        <f>IF(Q23&lt;&gt;"",V23*U23,"")</f>
        <v>0</v>
      </c>
      <c r="X23" s="262">
        <f>IF(Q23&lt;&gt;"",W23+T23,"")</f>
        <v>20150</v>
      </c>
      <c r="Y23" s="263">
        <f t="shared" ref="Y23:Y26" si="16">IF(Q23&lt;&gt;"",X23+M23,"")</f>
        <v>20346.58630545545</v>
      </c>
      <c r="Z23" s="264">
        <f>IF(Q23&lt;&gt;"",U23/K23,"")</f>
        <v>-1.2388888888888889</v>
      </c>
      <c r="AA23" s="353"/>
      <c r="AB23" s="361">
        <f t="shared" si="1"/>
        <v>0</v>
      </c>
      <c r="AC23" s="362">
        <f>7300+4800+3150+4900</f>
        <v>20150</v>
      </c>
      <c r="AD23" s="198">
        <f>7200+4900</f>
        <v>12100</v>
      </c>
      <c r="AN23" s="380" t="s">
        <v>75</v>
      </c>
    </row>
    <row r="24" spans="1:40" ht="60.9" customHeight="1" x14ac:dyDescent="0.5">
      <c r="A24" s="223">
        <v>10</v>
      </c>
      <c r="B24" s="246" t="s">
        <v>83</v>
      </c>
      <c r="C24" s="247" t="s">
        <v>65</v>
      </c>
      <c r="D24" s="223" t="s">
        <v>78</v>
      </c>
      <c r="E24" s="223" t="s">
        <v>79</v>
      </c>
      <c r="F24" s="290" t="s">
        <v>87</v>
      </c>
      <c r="G24" s="295" t="s">
        <v>88</v>
      </c>
      <c r="H24" s="292">
        <v>1</v>
      </c>
      <c r="I24" s="292">
        <v>30</v>
      </c>
      <c r="J24" s="293">
        <v>89</v>
      </c>
      <c r="K24" s="293">
        <f>IF(F24&lt;&gt;"",H24*I24*J24,"")</f>
        <v>2670</v>
      </c>
      <c r="L24" s="293">
        <f t="shared" si="14"/>
        <v>240.29999999999998</v>
      </c>
      <c r="M24" s="293">
        <f>IF(K24&lt;&gt;"",IF(E24="FAT.OGGI",SUM(K24:L24)*(1/(1-$M$14)-1),L24*(1/(1-$M$14)-1)),"")</f>
        <v>58.320603951783291</v>
      </c>
      <c r="N24" s="294">
        <f>SUM(K24:M24)</f>
        <v>2968.6206039517833</v>
      </c>
      <c r="O24" s="296"/>
      <c r="Q24" s="257">
        <f t="shared" ref="Q24:R24" si="17">IF(H24&lt;&gt;"",H24,"")</f>
        <v>1</v>
      </c>
      <c r="R24" s="258">
        <f t="shared" si="17"/>
        <v>30</v>
      </c>
      <c r="S24" s="259">
        <v>0</v>
      </c>
      <c r="T24" s="259">
        <f>IF(Q24&lt;&gt;"",Q24*R24*S24,"")</f>
        <v>0</v>
      </c>
      <c r="U24" s="260">
        <f>IF(Q24&lt;&gt;"",K24-T24,"")</f>
        <v>2670</v>
      </c>
      <c r="V24" s="261">
        <f>IF(Q24&lt;&gt;"",0%,"")</f>
        <v>0</v>
      </c>
      <c r="W24" s="262">
        <f>IF(Q24&lt;&gt;"",V24*U24,"")</f>
        <v>0</v>
      </c>
      <c r="X24" s="262">
        <f>IF(Q24&lt;&gt;"",W24+T24,"")</f>
        <v>0</v>
      </c>
      <c r="Y24" s="263">
        <f t="shared" si="16"/>
        <v>58.320603951783291</v>
      </c>
      <c r="Z24" s="264">
        <f>IF(Q24&lt;&gt;"",U24/K24,"")</f>
        <v>1</v>
      </c>
      <c r="AA24" s="353"/>
      <c r="AB24" s="361">
        <f t="shared" si="1"/>
        <v>0</v>
      </c>
      <c r="AC24" s="362"/>
    </row>
    <row r="25" spans="1:40" ht="59.1" customHeight="1" x14ac:dyDescent="0.5">
      <c r="A25" s="297">
        <v>11</v>
      </c>
      <c r="B25" s="246" t="s">
        <v>86</v>
      </c>
      <c r="C25" s="298" t="s">
        <v>65</v>
      </c>
      <c r="D25" s="223" t="s">
        <v>78</v>
      </c>
      <c r="E25" s="223" t="s">
        <v>79</v>
      </c>
      <c r="F25" s="299" t="s">
        <v>136</v>
      </c>
      <c r="G25" s="300" t="s">
        <v>138</v>
      </c>
      <c r="H25" s="301">
        <v>1</v>
      </c>
      <c r="I25" s="301">
        <v>1</v>
      </c>
      <c r="J25" s="302">
        <v>3800</v>
      </c>
      <c r="K25" s="302">
        <f>IF(F25&lt;&gt;"",H25*I25*J25,"")</f>
        <v>3800</v>
      </c>
      <c r="L25" s="302">
        <f t="shared" si="14"/>
        <v>342</v>
      </c>
      <c r="M25" s="302">
        <f>IF(K25&lt;&gt;"",IF(E25="FAT.OGGI",SUM(K25:L25)*(1/(1-$M$14)-1),L25*(1/(1-$M$14)-1)),"")</f>
        <v>83.003106747856364</v>
      </c>
      <c r="N25" s="303">
        <f>SUM(K25:M25)</f>
        <v>4225.0031067478567</v>
      </c>
      <c r="O25" s="304"/>
      <c r="P25" s="268"/>
      <c r="Q25" s="257">
        <f>IF(H25&lt;&gt;"",H25,"")</f>
        <v>1</v>
      </c>
      <c r="R25" s="258">
        <v>0</v>
      </c>
      <c r="S25" s="259">
        <v>0</v>
      </c>
      <c r="T25" s="259">
        <f>IF(Q25&lt;&gt;"",Q25*R25*S25,"")</f>
        <v>0</v>
      </c>
      <c r="U25" s="260">
        <f>IF(Q25&lt;&gt;"",K25-T25,"")</f>
        <v>3800</v>
      </c>
      <c r="V25" s="261">
        <f>IF(Q25&lt;&gt;"",0%,"")</f>
        <v>0</v>
      </c>
      <c r="W25" s="262">
        <f>IF(Q25&lt;&gt;"",V25*U25,"")</f>
        <v>0</v>
      </c>
      <c r="X25" s="262">
        <f>IF(Q25&lt;&gt;"",W25+T25,"")</f>
        <v>0</v>
      </c>
      <c r="Y25" s="263">
        <f t="shared" si="16"/>
        <v>83.003106747856364</v>
      </c>
      <c r="Z25" s="264">
        <f>IF(Q25&lt;&gt;"",U25/K25,"")</f>
        <v>1</v>
      </c>
      <c r="AA25" s="353"/>
      <c r="AB25" s="361">
        <f t="shared" si="1"/>
        <v>0</v>
      </c>
      <c r="AC25" s="362"/>
    </row>
    <row r="26" spans="1:40" ht="39.6" customHeight="1" thickBot="1" x14ac:dyDescent="0.55000000000000004">
      <c r="A26" s="288">
        <v>12</v>
      </c>
      <c r="B26" s="246"/>
      <c r="C26" s="289" t="s">
        <v>73</v>
      </c>
      <c r="D26" s="288"/>
      <c r="E26" s="288"/>
      <c r="F26" s="437" t="s">
        <v>89</v>
      </c>
      <c r="G26" s="438"/>
      <c r="H26" s="438"/>
      <c r="I26" s="438"/>
      <c r="J26" s="438"/>
      <c r="K26" s="305">
        <f>SUM(K22:K25)</f>
        <v>17570</v>
      </c>
      <c r="L26" s="305">
        <f>SUM(L22:L25)</f>
        <v>1581.3</v>
      </c>
      <c r="M26" s="305">
        <f>SUM(M22:M25)</f>
        <v>383.78015409469378</v>
      </c>
      <c r="N26" s="270">
        <f>SUM(N22:N25)</f>
        <v>19535.080154094696</v>
      </c>
      <c r="Q26" s="437" t="s">
        <v>90</v>
      </c>
      <c r="R26" s="438"/>
      <c r="S26" s="438"/>
      <c r="T26" s="306">
        <f>SUM(T22:T25)</f>
        <v>20150</v>
      </c>
      <c r="U26" s="307">
        <f>SUM(U22:U25)</f>
        <v>-2580</v>
      </c>
      <c r="V26" s="308"/>
      <c r="W26" s="308"/>
      <c r="X26" s="309">
        <f>SUM(X22:X25)</f>
        <v>20150</v>
      </c>
      <c r="Y26" s="310">
        <f t="shared" si="16"/>
        <v>20533.780154094693</v>
      </c>
      <c r="AB26" s="361"/>
      <c r="AC26" s="362"/>
    </row>
    <row r="27" spans="1:40" ht="22.5" customHeight="1" thickBot="1" x14ac:dyDescent="0.55000000000000004">
      <c r="A27" s="223">
        <v>13</v>
      </c>
      <c r="B27" s="246">
        <v>3</v>
      </c>
      <c r="C27" s="247" t="s">
        <v>56</v>
      </c>
      <c r="D27" s="223"/>
      <c r="E27" s="223"/>
      <c r="F27" s="416" t="s">
        <v>91</v>
      </c>
      <c r="G27" s="417"/>
      <c r="H27" s="417"/>
      <c r="I27" s="417"/>
      <c r="J27" s="417"/>
      <c r="K27" s="417"/>
      <c r="L27" s="417"/>
      <c r="M27" s="417"/>
      <c r="N27" s="418"/>
      <c r="Q27" s="423" t="str">
        <f>IF(F27&lt;&gt;"",F27,"")</f>
        <v xml:space="preserve">OPERACIONAL </v>
      </c>
      <c r="R27" s="424"/>
      <c r="S27" s="424"/>
      <c r="T27" s="424"/>
      <c r="U27" s="424"/>
      <c r="V27" s="424"/>
      <c r="W27" s="424"/>
      <c r="X27" s="424"/>
      <c r="Y27" s="425"/>
      <c r="AB27" s="361">
        <f t="shared" si="1"/>
        <v>0</v>
      </c>
      <c r="AC27" s="362"/>
    </row>
    <row r="28" spans="1:40" ht="26.4" customHeight="1" thickBot="1" x14ac:dyDescent="0.55000000000000004">
      <c r="A28" s="223">
        <v>14</v>
      </c>
      <c r="B28" s="246" t="s">
        <v>92</v>
      </c>
      <c r="C28" s="247" t="s">
        <v>59</v>
      </c>
      <c r="D28" s="223"/>
      <c r="E28" s="223"/>
      <c r="F28" s="426" t="s">
        <v>93</v>
      </c>
      <c r="G28" s="427"/>
      <c r="H28" s="427"/>
      <c r="I28" s="427"/>
      <c r="J28" s="427"/>
      <c r="K28" s="428"/>
      <c r="L28" s="248" t="s">
        <v>61</v>
      </c>
      <c r="M28" s="249" t="s">
        <v>62</v>
      </c>
      <c r="N28" s="250" t="s">
        <v>36</v>
      </c>
      <c r="Q28" s="429" t="str">
        <f>IF(F28&lt;&gt;"",F28,"")</f>
        <v xml:space="preserve">Operacional </v>
      </c>
      <c r="R28" s="430"/>
      <c r="S28" s="430"/>
      <c r="T28" s="430"/>
      <c r="U28" s="430"/>
      <c r="V28" s="430"/>
      <c r="W28" s="430"/>
      <c r="X28" s="430"/>
      <c r="Y28" s="431"/>
      <c r="Z28" s="251" t="s">
        <v>63</v>
      </c>
      <c r="AA28" s="352" t="s">
        <v>47</v>
      </c>
      <c r="AB28" s="361">
        <f t="shared" si="1"/>
        <v>0</v>
      </c>
      <c r="AC28" s="362"/>
    </row>
    <row r="29" spans="1:40" ht="88.8" x14ac:dyDescent="0.5">
      <c r="A29" s="223">
        <v>15</v>
      </c>
      <c r="B29" s="246" t="s">
        <v>94</v>
      </c>
      <c r="C29" s="247" t="s">
        <v>65</v>
      </c>
      <c r="D29" s="223" t="s">
        <v>78</v>
      </c>
      <c r="E29" s="223" t="s">
        <v>79</v>
      </c>
      <c r="F29" s="311" t="s">
        <v>95</v>
      </c>
      <c r="G29" s="312" t="s">
        <v>96</v>
      </c>
      <c r="H29" s="278">
        <v>1</v>
      </c>
      <c r="I29" s="278">
        <v>1</v>
      </c>
      <c r="J29" s="313">
        <v>800</v>
      </c>
      <c r="K29" s="313">
        <f t="shared" ref="K29:K33" si="18">IF(F29&lt;&gt;"",H29*I29*J29,"")</f>
        <v>800</v>
      </c>
      <c r="L29" s="313">
        <f t="shared" ref="L29:L33" si="19">IF(K29&lt;&gt;"",IF(D29="INTERNO",0,K29*$L$14),"")</f>
        <v>72</v>
      </c>
      <c r="M29" s="313">
        <f t="shared" ref="M29:M33" si="20">IF(K29&lt;&gt;"",IF(E29="FAT.OGGI",SUM(K29:L29)*(1/(1-$M$14)-1),L29*(1/(1-$M$14)-1)),"")</f>
        <v>17.474338262706603</v>
      </c>
      <c r="N29" s="314">
        <f t="shared" ref="N29:N31" si="21">SUM(K29:M29)</f>
        <v>889.47433826270662</v>
      </c>
      <c r="Q29" s="257">
        <f t="shared" ref="Q29:R29" si="22">IF(H29&lt;&gt;"",H29,"")</f>
        <v>1</v>
      </c>
      <c r="R29" s="258">
        <f t="shared" si="22"/>
        <v>1</v>
      </c>
      <c r="S29" s="259">
        <v>0</v>
      </c>
      <c r="T29" s="259">
        <f t="shared" ref="T29:T30" si="23">IF(Q29&lt;&gt;"",Q29*R29*S29,"")</f>
        <v>0</v>
      </c>
      <c r="U29" s="260">
        <f t="shared" ref="U29:U33" si="24">IF(Q29&lt;&gt;"",K29-T29,"")</f>
        <v>800</v>
      </c>
      <c r="V29" s="261">
        <f t="shared" ref="V29:V33" si="25">IF(Q29&lt;&gt;"",0%,"")</f>
        <v>0</v>
      </c>
      <c r="W29" s="262">
        <f t="shared" ref="W29:W33" si="26">IF(Q29&lt;&gt;"",V29*U29,"")</f>
        <v>0</v>
      </c>
      <c r="X29" s="262">
        <f t="shared" ref="X29:X33" si="27">IF(Q29&lt;&gt;"",W29+T29,"")</f>
        <v>0</v>
      </c>
      <c r="Y29" s="263">
        <f t="shared" ref="Y29:Y34" si="28">IF(Q29&lt;&gt;"",X29+M29,"")</f>
        <v>17.474338262706603</v>
      </c>
      <c r="Z29" s="264">
        <f t="shared" ref="Z29:Z33" si="29">IF(Q29&lt;&gt;"",U29/K29,"")</f>
        <v>1</v>
      </c>
      <c r="AA29" s="353">
        <f>T29/$T$34</f>
        <v>0</v>
      </c>
      <c r="AB29" s="361">
        <f t="shared" si="1"/>
        <v>0</v>
      </c>
      <c r="AC29" s="362"/>
    </row>
    <row r="30" spans="1:40" ht="88.8" x14ac:dyDescent="0.5">
      <c r="A30" s="223">
        <v>16</v>
      </c>
      <c r="B30" s="246" t="s">
        <v>97</v>
      </c>
      <c r="C30" s="247" t="s">
        <v>65</v>
      </c>
      <c r="D30" s="223" t="s">
        <v>78</v>
      </c>
      <c r="E30" s="223" t="s">
        <v>79</v>
      </c>
      <c r="F30" s="252" t="s">
        <v>98</v>
      </c>
      <c r="G30" s="253" t="s">
        <v>99</v>
      </c>
      <c r="H30" s="292">
        <v>1</v>
      </c>
      <c r="I30" s="292">
        <v>1</v>
      </c>
      <c r="J30" s="315">
        <v>1100</v>
      </c>
      <c r="K30" s="315">
        <f t="shared" si="18"/>
        <v>1100</v>
      </c>
      <c r="L30" s="315">
        <f t="shared" si="19"/>
        <v>99</v>
      </c>
      <c r="M30" s="315">
        <f t="shared" si="20"/>
        <v>24.027215111221579</v>
      </c>
      <c r="N30" s="316">
        <f t="shared" si="21"/>
        <v>1223.0272151112215</v>
      </c>
      <c r="Q30" s="257">
        <v>1</v>
      </c>
      <c r="R30" s="258">
        <v>0</v>
      </c>
      <c r="S30" s="259">
        <v>600</v>
      </c>
      <c r="T30" s="259">
        <f t="shared" si="23"/>
        <v>0</v>
      </c>
      <c r="U30" s="260">
        <f t="shared" si="24"/>
        <v>1100</v>
      </c>
      <c r="V30" s="261">
        <f t="shared" si="25"/>
        <v>0</v>
      </c>
      <c r="W30" s="262">
        <f t="shared" si="26"/>
        <v>0</v>
      </c>
      <c r="X30" s="262">
        <f t="shared" si="27"/>
        <v>0</v>
      </c>
      <c r="Y30" s="263">
        <f t="shared" si="28"/>
        <v>24.027215111221579</v>
      </c>
      <c r="Z30" s="264">
        <f t="shared" si="29"/>
        <v>1</v>
      </c>
      <c r="AA30" s="353">
        <f>T30/$T$34</f>
        <v>0</v>
      </c>
      <c r="AB30" s="361">
        <f t="shared" si="1"/>
        <v>0</v>
      </c>
      <c r="AC30" s="362"/>
    </row>
    <row r="31" spans="1:40" ht="88.8" x14ac:dyDescent="0.5">
      <c r="A31" s="223">
        <v>17</v>
      </c>
      <c r="B31" s="246" t="s">
        <v>100</v>
      </c>
      <c r="C31" s="247" t="s">
        <v>65</v>
      </c>
      <c r="D31" s="223" t="s">
        <v>78</v>
      </c>
      <c r="E31" s="223" t="s">
        <v>79</v>
      </c>
      <c r="F31" s="290" t="s">
        <v>101</v>
      </c>
      <c r="G31" s="291" t="s">
        <v>102</v>
      </c>
      <c r="H31" s="292">
        <v>1</v>
      </c>
      <c r="I31" s="292">
        <v>1</v>
      </c>
      <c r="J31" s="293">
        <v>600</v>
      </c>
      <c r="K31" s="293">
        <f t="shared" si="18"/>
        <v>600</v>
      </c>
      <c r="L31" s="293">
        <f t="shared" si="19"/>
        <v>54</v>
      </c>
      <c r="M31" s="293">
        <f t="shared" si="20"/>
        <v>13.105753697029954</v>
      </c>
      <c r="N31" s="294">
        <f t="shared" si="21"/>
        <v>667.10575369702997</v>
      </c>
      <c r="Q31" s="317">
        <f t="shared" ref="Q31:R31" si="30">IF(H31&lt;&gt;"",H31,"")</f>
        <v>1</v>
      </c>
      <c r="R31" s="318">
        <f t="shared" si="30"/>
        <v>1</v>
      </c>
      <c r="S31" s="319">
        <v>250</v>
      </c>
      <c r="T31" s="319"/>
      <c r="U31" s="320">
        <f t="shared" si="24"/>
        <v>600</v>
      </c>
      <c r="V31" s="321">
        <f t="shared" si="25"/>
        <v>0</v>
      </c>
      <c r="W31" s="322">
        <f t="shared" si="26"/>
        <v>0</v>
      </c>
      <c r="X31" s="322">
        <f t="shared" si="27"/>
        <v>0</v>
      </c>
      <c r="Y31" s="323">
        <f t="shared" si="28"/>
        <v>13.105753697029954</v>
      </c>
      <c r="Z31" s="264">
        <f t="shared" si="29"/>
        <v>1</v>
      </c>
      <c r="AA31" s="353">
        <f>T31/$T$34</f>
        <v>0</v>
      </c>
      <c r="AB31" s="361">
        <f t="shared" si="1"/>
        <v>0</v>
      </c>
      <c r="AC31" s="362"/>
    </row>
    <row r="32" spans="1:40" ht="88.8" x14ac:dyDescent="0.5">
      <c r="A32" s="297">
        <v>18</v>
      </c>
      <c r="B32" s="246" t="s">
        <v>103</v>
      </c>
      <c r="C32" s="298" t="s">
        <v>65</v>
      </c>
      <c r="D32" s="223" t="s">
        <v>78</v>
      </c>
      <c r="E32" s="223" t="s">
        <v>79</v>
      </c>
      <c r="F32" s="290" t="s">
        <v>137</v>
      </c>
      <c r="G32" s="291" t="s">
        <v>139</v>
      </c>
      <c r="H32" s="292">
        <v>25</v>
      </c>
      <c r="I32" s="292">
        <v>1</v>
      </c>
      <c r="J32" s="293">
        <v>164.47800000000001</v>
      </c>
      <c r="K32" s="293">
        <f>IF(F32&lt;&gt;"",H32*I32*J32,"")</f>
        <v>4111.95</v>
      </c>
      <c r="L32" s="293">
        <f>IF(K32&lt;&gt;"",IF(D32="INTERNO",0,K32*$L$14),"")</f>
        <v>370.07549999999998</v>
      </c>
      <c r="M32" s="293">
        <f>IF(K32&lt;&gt;"",IF(E32="FAT.OGGI",SUM(K32:L32)*(1/(1-$M$14)-1),L32*(1/(1-$M$14)-1)),"")</f>
        <v>89.817006524170523</v>
      </c>
      <c r="N32" s="294">
        <f>SUM(K32:M32)</f>
        <v>4571.8425065241699</v>
      </c>
      <c r="Q32" s="324">
        <v>1</v>
      </c>
      <c r="R32" s="325">
        <f>IF(I32&lt;&gt;"",I32,"")</f>
        <v>1</v>
      </c>
      <c r="S32" s="326">
        <f>947.42+2475+180</f>
        <v>3602.42</v>
      </c>
      <c r="T32" s="326">
        <v>3422.58</v>
      </c>
      <c r="U32" s="327">
        <f>IF(Q32&lt;&gt;"",K32-T32,"")</f>
        <v>689.36999999999989</v>
      </c>
      <c r="V32" s="328">
        <f>IF(Q32&lt;&gt;"",0%,"")</f>
        <v>0</v>
      </c>
      <c r="W32" s="329">
        <f>IF(Q32&lt;&gt;"",V32*U32,"")</f>
        <v>0</v>
      </c>
      <c r="X32" s="329">
        <f>IF(Q32&lt;&gt;"",W32+T32,"")</f>
        <v>3422.58</v>
      </c>
      <c r="Y32" s="263">
        <f>IF(Q32&lt;&gt;"",X32+M32,"")</f>
        <v>3512.3970065241706</v>
      </c>
      <c r="Z32" s="264">
        <f>IF(Q32&lt;&gt;"",U32/K32,"")</f>
        <v>0.16765038485390141</v>
      </c>
      <c r="AA32" s="353"/>
      <c r="AB32" s="361">
        <f t="shared" si="1"/>
        <v>0</v>
      </c>
      <c r="AC32" s="362">
        <f>947.58+2475</f>
        <v>3422.58</v>
      </c>
      <c r="AN32" s="380" t="s">
        <v>150</v>
      </c>
    </row>
    <row r="33" spans="1:40" ht="111.6" thickBot="1" x14ac:dyDescent="0.55000000000000004">
      <c r="A33" s="288">
        <v>19</v>
      </c>
      <c r="B33" s="246" t="s">
        <v>106</v>
      </c>
      <c r="C33" s="289" t="s">
        <v>65</v>
      </c>
      <c r="D33" s="288" t="s">
        <v>78</v>
      </c>
      <c r="E33" s="288" t="s">
        <v>79</v>
      </c>
      <c r="F33" s="330" t="s">
        <v>111</v>
      </c>
      <c r="G33" s="331" t="s">
        <v>112</v>
      </c>
      <c r="H33" s="332">
        <v>1</v>
      </c>
      <c r="I33" s="332">
        <v>1</v>
      </c>
      <c r="J33" s="333">
        <v>700</v>
      </c>
      <c r="K33" s="333">
        <f t="shared" si="18"/>
        <v>700</v>
      </c>
      <c r="L33" s="333">
        <f t="shared" si="19"/>
        <v>63</v>
      </c>
      <c r="M33" s="333">
        <f t="shared" si="20"/>
        <v>15.290045979868278</v>
      </c>
      <c r="N33" s="334">
        <f t="shared" ref="N33" si="31">SUM(K33:M33)</f>
        <v>778.2900459798683</v>
      </c>
      <c r="Q33" s="324">
        <v>1</v>
      </c>
      <c r="R33" s="325">
        <f>IF(I33&lt;&gt;"",I33,"")</f>
        <v>1</v>
      </c>
      <c r="S33" s="326">
        <v>400</v>
      </c>
      <c r="T33" s="326">
        <v>1068.5899999999999</v>
      </c>
      <c r="U33" s="335">
        <f t="shared" si="24"/>
        <v>-368.58999999999992</v>
      </c>
      <c r="V33" s="336">
        <f t="shared" si="25"/>
        <v>0</v>
      </c>
      <c r="W33" s="337">
        <f t="shared" si="26"/>
        <v>0</v>
      </c>
      <c r="X33" s="337">
        <f t="shared" si="27"/>
        <v>1068.5899999999999</v>
      </c>
      <c r="Y33" s="338">
        <f t="shared" si="28"/>
        <v>1083.8800459798681</v>
      </c>
      <c r="Z33" s="339">
        <f t="shared" si="29"/>
        <v>-0.52655714285714272</v>
      </c>
      <c r="AA33" s="354">
        <f>T33/$T$34</f>
        <v>0.2379313185650955</v>
      </c>
      <c r="AB33" s="361">
        <f t="shared" si="1"/>
        <v>0</v>
      </c>
      <c r="AC33" s="362">
        <f>180+177.4+110.93+600.26</f>
        <v>1068.5899999999999</v>
      </c>
      <c r="AN33" s="380" t="s">
        <v>148</v>
      </c>
    </row>
    <row r="34" spans="1:40" s="340" customFormat="1" ht="29.1" customHeight="1" thickBot="1" x14ac:dyDescent="0.55000000000000004">
      <c r="A34" s="223">
        <v>20</v>
      </c>
      <c r="B34" s="246"/>
      <c r="C34" s="247" t="s">
        <v>73</v>
      </c>
      <c r="D34" s="223"/>
      <c r="E34" s="223"/>
      <c r="F34" s="437" t="s">
        <v>113</v>
      </c>
      <c r="G34" s="438"/>
      <c r="H34" s="438"/>
      <c r="I34" s="438"/>
      <c r="J34" s="438"/>
      <c r="K34" s="305">
        <f>SUM(K29:K33)</f>
        <v>7311.95</v>
      </c>
      <c r="L34" s="305">
        <f>SUM(L29:L33)</f>
        <v>658.07549999999992</v>
      </c>
      <c r="M34" s="305">
        <f>SUM(M29:M33)</f>
        <v>159.71435957499693</v>
      </c>
      <c r="N34" s="270">
        <f>SUM(N29:N33)</f>
        <v>8129.7398595749964</v>
      </c>
      <c r="Q34" s="441" t="s">
        <v>113</v>
      </c>
      <c r="R34" s="442"/>
      <c r="S34" s="442"/>
      <c r="T34" s="341">
        <f>SUM(T29:T33)</f>
        <v>4491.17</v>
      </c>
      <c r="U34" s="342">
        <f>SUM(U29:U33)</f>
        <v>2820.7799999999997</v>
      </c>
      <c r="V34" s="343"/>
      <c r="W34" s="343"/>
      <c r="X34" s="344">
        <f>SUM(X29:X33)</f>
        <v>4491.17</v>
      </c>
      <c r="Y34" s="345">
        <f t="shared" si="28"/>
        <v>4650.8843595749968</v>
      </c>
      <c r="Z34" s="346" t="s">
        <v>114</v>
      </c>
      <c r="AA34" s="346" t="s">
        <v>115</v>
      </c>
      <c r="AB34" s="361"/>
      <c r="AC34" s="362" t="s">
        <v>147</v>
      </c>
      <c r="AD34" s="347"/>
      <c r="AN34" s="381"/>
    </row>
    <row r="35" spans="1:40" s="340" customFormat="1" ht="21.6" customHeight="1" thickBot="1" x14ac:dyDescent="0.55000000000000004">
      <c r="A35" s="297">
        <v>21</v>
      </c>
      <c r="B35" s="348"/>
      <c r="C35" s="298" t="s">
        <v>116</v>
      </c>
      <c r="D35" s="297"/>
      <c r="E35" s="297"/>
      <c r="F35" s="157" t="s">
        <v>117</v>
      </c>
      <c r="G35" s="158"/>
      <c r="H35" s="158"/>
      <c r="I35" s="158"/>
      <c r="J35" s="158"/>
      <c r="K35" s="378">
        <f>SUM(K17:K18)+SUM(K22:K25)+SUM(K29:K33)</f>
        <v>28581.95</v>
      </c>
      <c r="L35" s="378">
        <f>SUM(L17:L18)+SUM(L22:L25)+SUM(L29:L33)</f>
        <v>2239.3755000000001</v>
      </c>
      <c r="M35" s="159">
        <f>SUM(M17:M18)+SUM(M22:M25)+SUM(M29:M33)</f>
        <v>1441.4813410587801</v>
      </c>
      <c r="N35" s="182">
        <f>SUM(N17:N18)+SUM(N22:N25)+SUM(N29:N33)</f>
        <v>32262.80684105878</v>
      </c>
      <c r="Q35" s="439" t="s">
        <v>118</v>
      </c>
      <c r="R35" s="440"/>
      <c r="S35" s="440"/>
      <c r="T35" s="159">
        <f>SUM(T17:T18)+SUM(T22:T25)+SUM(T29:T33)</f>
        <v>24641.17</v>
      </c>
      <c r="U35" s="159">
        <f>SUM(U17:U18)+SUM(U22:U25)+SUM(U29:U33)</f>
        <v>3940.7799999999997</v>
      </c>
      <c r="V35" s="158"/>
      <c r="W35" s="158"/>
      <c r="X35" s="159">
        <f>SUM(X17:X18)+SUM(X22:X25)+SUM(X29:X33)</f>
        <v>24641.17</v>
      </c>
      <c r="Y35" s="182">
        <f>SUM(Y17:Y18)+SUM(Y22:Y25)+SUM(Y29:Y33)</f>
        <v>26082.65134105878</v>
      </c>
      <c r="Z35" s="193">
        <f>IF(Q35&lt;&gt;"",(N35-Y35)/N35,"")</f>
        <v>0.19155665935844485</v>
      </c>
      <c r="AA35" s="355">
        <f>IF(Z35&lt;&gt;"",(N35-Y35),"")</f>
        <v>6180.1555000000008</v>
      </c>
      <c r="AB35" s="361">
        <f>SUM(AB17:AB33)</f>
        <v>0</v>
      </c>
      <c r="AC35" s="363">
        <f>SUM(AC17:AC33)</f>
        <v>24641.170000000002</v>
      </c>
      <c r="AD35" s="347"/>
      <c r="AN35" s="381"/>
    </row>
    <row r="36" spans="1:40" s="340" customFormat="1" ht="27.6" customHeight="1" thickBot="1" x14ac:dyDescent="0.5">
      <c r="L36" s="185" t="s">
        <v>119</v>
      </c>
      <c r="M36" s="186">
        <v>4.4999999999999998E-2</v>
      </c>
      <c r="N36" s="187">
        <v>1579.22</v>
      </c>
      <c r="Q36" s="349"/>
      <c r="R36" s="349"/>
      <c r="AD36" s="347"/>
      <c r="AN36" s="381"/>
    </row>
    <row r="37" spans="1:40" s="340" customFormat="1" ht="26.1" customHeight="1" x14ac:dyDescent="0.45">
      <c r="H37" s="349"/>
      <c r="I37" s="349"/>
      <c r="L37" s="188" t="s">
        <v>118</v>
      </c>
      <c r="M37" s="188" t="s">
        <v>120</v>
      </c>
      <c r="N37" s="379">
        <f>SUM(N35:N36)</f>
        <v>33842.026841058781</v>
      </c>
      <c r="Q37" s="349"/>
      <c r="R37" s="349"/>
      <c r="AD37" s="347"/>
      <c r="AN37" s="381"/>
    </row>
    <row r="38" spans="1:40" ht="28.8" x14ac:dyDescent="0.55000000000000004">
      <c r="AB38" s="376">
        <v>0</v>
      </c>
      <c r="AC38" s="377" t="s">
        <v>61</v>
      </c>
    </row>
    <row r="39" spans="1:40" ht="28.8" x14ac:dyDescent="0.55000000000000004">
      <c r="N39" s="373">
        <f>K35+L35</f>
        <v>30821.325499999999</v>
      </c>
      <c r="AB39" s="374">
        <f>N39/0.85-N39</f>
        <v>5439.0574411764683</v>
      </c>
      <c r="AC39" s="371" t="s">
        <v>62</v>
      </c>
    </row>
    <row r="40" spans="1:40" ht="28.8" x14ac:dyDescent="0.55000000000000004">
      <c r="AB40" s="374">
        <f>X35+AB39</f>
        <v>30080.227441176467</v>
      </c>
      <c r="AC40" s="371" t="s">
        <v>146</v>
      </c>
    </row>
    <row r="41" spans="1:40" ht="28.8" x14ac:dyDescent="0.55000000000000004">
      <c r="N41" s="350"/>
      <c r="AB41" s="375">
        <f>N37-AB40</f>
        <v>3761.7993998823149</v>
      </c>
      <c r="AC41" s="372" t="s">
        <v>144</v>
      </c>
    </row>
    <row r="42" spans="1:40" ht="28.8" x14ac:dyDescent="0.55000000000000004">
      <c r="G42" s="212">
        <v>3</v>
      </c>
      <c r="AB42" s="382">
        <f>AB41*100%/N35</f>
        <v>0.11659863998859879</v>
      </c>
      <c r="AC42" s="372"/>
    </row>
  </sheetData>
  <mergeCells count="26">
    <mergeCell ref="F21:K21"/>
    <mergeCell ref="Q21:Y21"/>
    <mergeCell ref="F26:J26"/>
    <mergeCell ref="Q26:S26"/>
    <mergeCell ref="Q35:S35"/>
    <mergeCell ref="F27:N27"/>
    <mergeCell ref="Q27:Y27"/>
    <mergeCell ref="F28:K28"/>
    <mergeCell ref="Q28:Y28"/>
    <mergeCell ref="F34:J34"/>
    <mergeCell ref="Q34:S34"/>
    <mergeCell ref="AH12:AI12"/>
    <mergeCell ref="F20:N20"/>
    <mergeCell ref="Q20:Y20"/>
    <mergeCell ref="AB13:AC13"/>
    <mergeCell ref="F15:N15"/>
    <mergeCell ref="Q15:Y15"/>
    <mergeCell ref="F16:K16"/>
    <mergeCell ref="Q16:Y16"/>
    <mergeCell ref="F19:J19"/>
    <mergeCell ref="Q19:S19"/>
    <mergeCell ref="F1:G1"/>
    <mergeCell ref="F2:G2"/>
    <mergeCell ref="Q12:T12"/>
    <mergeCell ref="U12:X12"/>
    <mergeCell ref="AD12:AF12"/>
  </mergeCells>
  <dataValidations disablePrompts="1" count="3">
    <dataValidation type="list" allowBlank="1" showInputMessage="1" showErrorMessage="1" sqref="E35" xr:uid="{5C14107C-BEB4-471D-9EB8-F0E5452F6286}">
      <formula1>"FAT.OGGI,FAT.CLIENTE "</formula1>
    </dataValidation>
    <dataValidation type="list" allowBlank="1" showInputMessage="1" showErrorMessage="1" sqref="D17:D18 D35 D22:D25 D29:D33" xr:uid="{43F1E8B7-5921-4532-B16F-01C0629F2DB6}">
      <formula1>"INTERNO,OPERACIONAL"</formula1>
    </dataValidation>
    <dataValidation type="list" allowBlank="1" showInputMessage="1" showErrorMessage="1" sqref="E17:E18 E22:E25 E29:E33" xr:uid="{6BDC9826-4322-47C8-AC65-88545AFFF171}">
      <formula1>"FAT.OGGI,FAT.CLIENTE"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5DFCA-11C3-46D6-B412-99D8A52A5A4E}">
  <sheetPr>
    <pageSetUpPr autoPageBreaks="0"/>
  </sheetPr>
  <dimension ref="A1:AM33"/>
  <sheetViews>
    <sheetView showGridLines="0" topLeftCell="B1" zoomScale="69" zoomScaleNormal="69" workbookViewId="0">
      <pane ySplit="1" topLeftCell="A15" activePane="bottomLeft" state="frozen"/>
      <selection activeCell="K35" sqref="K35"/>
      <selection pane="bottomLeft" activeCell="X9" sqref="X9"/>
    </sheetView>
  </sheetViews>
  <sheetFormatPr defaultColWidth="8.6640625" defaultRowHeight="22.2" x14ac:dyDescent="0.45"/>
  <cols>
    <col min="1" max="1" width="3.109375" style="194" hidden="1" customWidth="1"/>
    <col min="2" max="2" width="8.5546875" style="194" customWidth="1"/>
    <col min="3" max="3" width="5.88671875" style="194" hidden="1" customWidth="1"/>
    <col min="4" max="4" width="6.5546875" style="194" hidden="1" customWidth="1"/>
    <col min="5" max="5" width="6.33203125" style="194" hidden="1" customWidth="1"/>
    <col min="6" max="6" width="31.88671875" style="194" customWidth="1"/>
    <col min="7" max="7" width="37.33203125" style="212" customWidth="1"/>
    <col min="8" max="8" width="5.88671875" style="197" bestFit="1" customWidth="1"/>
    <col min="9" max="9" width="6.5546875" style="197" bestFit="1" customWidth="1"/>
    <col min="10" max="10" width="19.44140625" style="194" bestFit="1" customWidth="1"/>
    <col min="11" max="11" width="23.88671875" style="194" bestFit="1" customWidth="1"/>
    <col min="12" max="12" width="24.88671875" style="194" customWidth="1"/>
    <col min="13" max="13" width="22.44140625" style="194" customWidth="1"/>
    <col min="14" max="14" width="23.88671875" style="194" bestFit="1" customWidth="1"/>
    <col min="15" max="15" width="3.109375" style="194" hidden="1" customWidth="1"/>
    <col min="16" max="16" width="6.33203125" style="194" hidden="1" customWidth="1"/>
    <col min="17" max="17" width="7.44140625" style="197" customWidth="1"/>
    <col min="18" max="18" width="8.109375" style="197" hidden="1" customWidth="1"/>
    <col min="19" max="19" width="19.5546875" style="194" hidden="1" customWidth="1"/>
    <col min="20" max="20" width="25.109375" style="194" customWidth="1"/>
    <col min="21" max="21" width="25.5546875" style="194" hidden="1" customWidth="1"/>
    <col min="22" max="22" width="10.109375" style="194" hidden="1" customWidth="1"/>
    <col min="23" max="23" width="16.33203125" style="194" hidden="1" customWidth="1"/>
    <col min="24" max="24" width="31.88671875" style="194" customWidth="1"/>
    <col min="25" max="25" width="30.5546875" style="194" hidden="1" customWidth="1"/>
    <col min="26" max="26" width="26.109375" style="194" hidden="1" customWidth="1"/>
    <col min="27" max="27" width="34.88671875" style="194" hidden="1" customWidth="1"/>
    <col min="28" max="28" width="34.88671875" style="194" customWidth="1"/>
    <col min="29" max="29" width="38.109375" style="194" customWidth="1"/>
    <col min="30" max="30" width="33" style="198" hidden="1" customWidth="1"/>
    <col min="31" max="31" width="33" style="194" hidden="1" customWidth="1"/>
    <col min="32" max="32" width="28" style="194" hidden="1" customWidth="1"/>
    <col min="33" max="33" width="1.33203125" style="194" hidden="1" customWidth="1"/>
    <col min="34" max="34" width="81.5546875" style="194" hidden="1" customWidth="1"/>
    <col min="35" max="35" width="36.6640625" style="194" hidden="1" customWidth="1"/>
    <col min="36" max="36" width="1.5546875" style="194" hidden="1" customWidth="1"/>
    <col min="37" max="37" width="20.33203125" style="194" hidden="1" customWidth="1"/>
    <col min="38" max="38" width="25.33203125" style="194" hidden="1" customWidth="1"/>
    <col min="39" max="39" width="24.88671875" style="194" hidden="1" customWidth="1"/>
    <col min="40" max="40" width="8.6640625" style="194"/>
    <col min="41" max="41" width="21.33203125" style="194" customWidth="1"/>
    <col min="42" max="16384" width="8.6640625" style="194"/>
  </cols>
  <sheetData>
    <row r="1" spans="1:39" ht="49.5" customHeight="1" x14ac:dyDescent="0.45">
      <c r="B1" s="195"/>
      <c r="C1" s="196"/>
      <c r="D1" s="196"/>
      <c r="F1" s="403" t="s">
        <v>0</v>
      </c>
      <c r="G1" s="403"/>
    </row>
    <row r="2" spans="1:39" ht="24.75" customHeight="1" x14ac:dyDescent="0.45">
      <c r="B2" s="199"/>
      <c r="D2" s="196"/>
      <c r="F2" s="404" t="s">
        <v>1</v>
      </c>
      <c r="G2" s="404"/>
    </row>
    <row r="3" spans="1:39" x14ac:dyDescent="0.45">
      <c r="B3" s="200"/>
      <c r="F3" s="201"/>
      <c r="G3" s="202"/>
    </row>
    <row r="4" spans="1:39" x14ac:dyDescent="0.45">
      <c r="F4" s="203" t="s">
        <v>2</v>
      </c>
      <c r="G4" s="204" t="s">
        <v>3</v>
      </c>
    </row>
    <row r="5" spans="1:39" x14ac:dyDescent="0.45">
      <c r="F5" s="205" t="s">
        <v>4</v>
      </c>
      <c r="G5" s="206" t="s">
        <v>5</v>
      </c>
    </row>
    <row r="6" spans="1:39" ht="44.4" x14ac:dyDescent="0.45">
      <c r="F6" s="205" t="s">
        <v>6</v>
      </c>
      <c r="G6" s="207" t="s">
        <v>7</v>
      </c>
    </row>
    <row r="7" spans="1:39" x14ac:dyDescent="0.45">
      <c r="F7" s="205" t="s">
        <v>8</v>
      </c>
      <c r="G7" s="207" t="s">
        <v>9</v>
      </c>
    </row>
    <row r="8" spans="1:39" x14ac:dyDescent="0.45">
      <c r="F8" s="205" t="s">
        <v>10</v>
      </c>
      <c r="G8" s="208" t="s">
        <v>11</v>
      </c>
    </row>
    <row r="9" spans="1:39" x14ac:dyDescent="0.45">
      <c r="F9" s="205" t="s">
        <v>12</v>
      </c>
      <c r="G9" s="207" t="s">
        <v>13</v>
      </c>
    </row>
    <row r="10" spans="1:39" x14ac:dyDescent="0.45">
      <c r="F10" s="205" t="s">
        <v>14</v>
      </c>
      <c r="G10" s="207" t="s">
        <v>15</v>
      </c>
    </row>
    <row r="11" spans="1:39" ht="45" thickBot="1" x14ac:dyDescent="0.5">
      <c r="F11" s="209" t="s">
        <v>16</v>
      </c>
      <c r="G11" s="210" t="s">
        <v>17</v>
      </c>
    </row>
    <row r="12" spans="1:39" ht="22.8" thickBot="1" x14ac:dyDescent="0.5">
      <c r="B12" s="211"/>
      <c r="M12" s="213"/>
      <c r="Q12" s="405" t="s">
        <v>18</v>
      </c>
      <c r="R12" s="406"/>
      <c r="S12" s="406"/>
      <c r="T12" s="407"/>
      <c r="U12" s="408" t="s">
        <v>19</v>
      </c>
      <c r="V12" s="409"/>
      <c r="W12" s="409"/>
      <c r="X12" s="410"/>
      <c r="Y12" s="214" t="s">
        <v>20</v>
      </c>
      <c r="Z12" s="215">
        <f>(1/(1-M14))-1</f>
        <v>0.24269914253759173</v>
      </c>
      <c r="AD12" s="411" t="s">
        <v>21</v>
      </c>
      <c r="AE12" s="412"/>
      <c r="AF12" s="413"/>
      <c r="AH12" s="414" t="s">
        <v>22</v>
      </c>
      <c r="AI12" s="415"/>
      <c r="AK12" s="216" t="s">
        <v>23</v>
      </c>
      <c r="AL12" s="443" t="s">
        <v>24</v>
      </c>
      <c r="AM12" s="444"/>
    </row>
    <row r="13" spans="1:39" ht="22.8" thickBot="1" x14ac:dyDescent="0.5">
      <c r="A13" s="217" t="s">
        <v>25</v>
      </c>
      <c r="B13" s="218" t="s">
        <v>26</v>
      </c>
      <c r="C13" s="217" t="s">
        <v>27</v>
      </c>
      <c r="D13" s="217" t="s">
        <v>28</v>
      </c>
      <c r="E13" s="217" t="s">
        <v>29</v>
      </c>
      <c r="M13" s="219">
        <v>0.80469999999999997</v>
      </c>
    </row>
    <row r="14" spans="1:39" ht="45" thickBot="1" x14ac:dyDescent="0.5">
      <c r="A14" s="220">
        <v>0</v>
      </c>
      <c r="B14" s="221"/>
      <c r="C14" s="222"/>
      <c r="D14" s="223"/>
      <c r="E14" s="224"/>
      <c r="F14" s="225" t="s">
        <v>30</v>
      </c>
      <c r="G14" s="226" t="s">
        <v>31</v>
      </c>
      <c r="H14" s="227" t="s">
        <v>32</v>
      </c>
      <c r="I14" s="227" t="s">
        <v>33</v>
      </c>
      <c r="J14" s="228" t="s">
        <v>34</v>
      </c>
      <c r="K14" s="229" t="s">
        <v>35</v>
      </c>
      <c r="L14" s="230">
        <v>0.09</v>
      </c>
      <c r="M14" s="231">
        <f>1-M13</f>
        <v>0.19530000000000003</v>
      </c>
      <c r="N14" s="232" t="s">
        <v>36</v>
      </c>
      <c r="Q14" s="233" t="s">
        <v>37</v>
      </c>
      <c r="R14" s="234" t="s">
        <v>38</v>
      </c>
      <c r="S14" s="235" t="s">
        <v>39</v>
      </c>
      <c r="T14" s="236" t="s">
        <v>40</v>
      </c>
      <c r="U14" s="237" t="s">
        <v>41</v>
      </c>
      <c r="V14" s="238" t="s">
        <v>42</v>
      </c>
      <c r="W14" s="239" t="s">
        <v>43</v>
      </c>
      <c r="X14" s="214" t="s">
        <v>44</v>
      </c>
      <c r="Y14" s="214" t="s">
        <v>45</v>
      </c>
      <c r="Z14" s="240" t="s">
        <v>46</v>
      </c>
      <c r="AA14" s="241" t="s">
        <v>47</v>
      </c>
      <c r="AB14" s="422" t="s">
        <v>24</v>
      </c>
      <c r="AC14" s="422"/>
      <c r="AD14" s="242" t="s">
        <v>48</v>
      </c>
      <c r="AE14" s="243" t="s">
        <v>49</v>
      </c>
      <c r="AF14" s="243" t="s">
        <v>50</v>
      </c>
      <c r="AH14" s="233" t="s">
        <v>51</v>
      </c>
      <c r="AI14" s="235" t="s">
        <v>52</v>
      </c>
      <c r="AJ14" s="194" t="s">
        <v>53</v>
      </c>
      <c r="AK14" s="194" t="s">
        <v>53</v>
      </c>
      <c r="AL14" s="244" t="s">
        <v>54</v>
      </c>
      <c r="AM14" s="245" t="s">
        <v>55</v>
      </c>
    </row>
    <row r="15" spans="1:39" ht="34.5" customHeight="1" x14ac:dyDescent="0.5">
      <c r="A15" s="223">
        <v>1</v>
      </c>
      <c r="B15" s="246">
        <v>1</v>
      </c>
      <c r="C15" s="247" t="s">
        <v>56</v>
      </c>
      <c r="D15" s="223"/>
      <c r="E15" s="223"/>
      <c r="F15" s="416" t="s">
        <v>57</v>
      </c>
      <c r="G15" s="417"/>
      <c r="H15" s="417"/>
      <c r="I15" s="417"/>
      <c r="J15" s="417"/>
      <c r="K15" s="417"/>
      <c r="L15" s="417"/>
      <c r="M15" s="417"/>
      <c r="N15" s="418"/>
      <c r="Q15" s="423" t="str">
        <f>IF(F15&lt;&gt;"",F15,"")</f>
        <v>INTERNOS</v>
      </c>
      <c r="R15" s="424"/>
      <c r="S15" s="424"/>
      <c r="T15" s="424"/>
      <c r="U15" s="424"/>
      <c r="V15" s="424"/>
      <c r="W15" s="424"/>
      <c r="X15" s="424"/>
      <c r="Y15" s="425"/>
      <c r="AB15" s="365" t="s">
        <v>54</v>
      </c>
      <c r="AC15" s="364" t="s">
        <v>145</v>
      </c>
    </row>
    <row r="16" spans="1:39" ht="20.399999999999999" hidden="1" customHeight="1" x14ac:dyDescent="0.45">
      <c r="A16" s="223">
        <v>2</v>
      </c>
      <c r="B16" s="246" t="s">
        <v>58</v>
      </c>
      <c r="C16" s="247" t="s">
        <v>59</v>
      </c>
      <c r="D16" s="223"/>
      <c r="E16" s="223"/>
      <c r="F16" s="426" t="s">
        <v>60</v>
      </c>
      <c r="G16" s="427"/>
      <c r="H16" s="427"/>
      <c r="I16" s="427"/>
      <c r="J16" s="427"/>
      <c r="K16" s="428"/>
      <c r="L16" s="248" t="s">
        <v>61</v>
      </c>
      <c r="M16" s="249" t="s">
        <v>62</v>
      </c>
      <c r="N16" s="250" t="s">
        <v>36</v>
      </c>
      <c r="Q16" s="429" t="str">
        <f>IF(F16&lt;&gt;"",F16,"")</f>
        <v>CUSTOS INTERNOS OGGI</v>
      </c>
      <c r="R16" s="430"/>
      <c r="S16" s="430"/>
      <c r="T16" s="430"/>
      <c r="U16" s="430"/>
      <c r="V16" s="430"/>
      <c r="W16" s="430"/>
      <c r="X16" s="430"/>
      <c r="Y16" s="431"/>
      <c r="Z16" s="251" t="s">
        <v>63</v>
      </c>
      <c r="AA16" s="352" t="s">
        <v>47</v>
      </c>
      <c r="AB16" s="358" t="s">
        <v>54</v>
      </c>
      <c r="AC16" s="359" t="s">
        <v>55</v>
      </c>
    </row>
    <row r="17" spans="1:30" ht="67.5" customHeight="1" x14ac:dyDescent="0.45">
      <c r="A17" s="223">
        <v>3</v>
      </c>
      <c r="B17" s="246" t="s">
        <v>64</v>
      </c>
      <c r="C17" s="247" t="s">
        <v>65</v>
      </c>
      <c r="D17" s="223" t="s">
        <v>66</v>
      </c>
      <c r="E17" s="223" t="s">
        <v>67</v>
      </c>
      <c r="F17" s="252" t="s">
        <v>68</v>
      </c>
      <c r="G17" s="253" t="s">
        <v>69</v>
      </c>
      <c r="H17" s="254">
        <v>1</v>
      </c>
      <c r="I17" s="254">
        <v>1</v>
      </c>
      <c r="J17" s="255">
        <v>2500</v>
      </c>
      <c r="K17" s="255">
        <f>IF(F17&lt;&gt;"",H17*I17*J17,"")</f>
        <v>2500</v>
      </c>
      <c r="L17" s="255">
        <f>IF(K17&lt;&gt;"",IF(D17="INTERNO",0,K17*$L$14),"")</f>
        <v>0</v>
      </c>
      <c r="M17" s="255">
        <f>IF(K17&lt;&gt;"",IF(E17="FAT.OGGI",SUM(K17:L17)*(1/(1-$M$14)-1),L17*(1/(1-$M$14)-1)),"")</f>
        <v>606.74785634397927</v>
      </c>
      <c r="N17" s="256">
        <f>SUM(K17:M17)</f>
        <v>3106.747856343979</v>
      </c>
      <c r="Q17" s="257">
        <f t="shared" ref="Q17:R17" si="0">IF(H17&lt;&gt;"",H17,"")</f>
        <v>1</v>
      </c>
      <c r="R17" s="258">
        <f t="shared" si="0"/>
        <v>1</v>
      </c>
      <c r="S17" s="259">
        <v>1000</v>
      </c>
      <c r="T17" s="259">
        <f>IF(Q17&lt;&gt;"",Q17*R17*S17,"")</f>
        <v>1000</v>
      </c>
      <c r="U17" s="260">
        <f>IF(Q17&lt;&gt;"",K17-T17,"")</f>
        <v>1500</v>
      </c>
      <c r="V17" s="261">
        <f>IF(Q17&lt;&gt;"",0%,"")</f>
        <v>0</v>
      </c>
      <c r="W17" s="262">
        <f>IF(Q17&lt;&gt;"",V17*U17,"")</f>
        <v>0</v>
      </c>
      <c r="X17" s="262">
        <f>IF(Q17&lt;&gt;"",W17+T17,"")</f>
        <v>1000</v>
      </c>
      <c r="Y17" s="263">
        <f>IF(Q17&lt;&gt;"",X17+M17,"")</f>
        <v>1606.7478563439793</v>
      </c>
      <c r="Z17" s="264">
        <f>IF(Q17&lt;&gt;"",U17/K17,"")</f>
        <v>0.6</v>
      </c>
      <c r="AA17" s="353">
        <f>T17/$T$18</f>
        <v>1</v>
      </c>
      <c r="AB17" s="366">
        <f>X17-AC17</f>
        <v>1000</v>
      </c>
      <c r="AC17" s="367"/>
    </row>
    <row r="18" spans="1:30" ht="23.4" customHeight="1" thickBot="1" x14ac:dyDescent="0.5">
      <c r="A18" s="223">
        <v>5</v>
      </c>
      <c r="B18" s="246"/>
      <c r="C18" s="247" t="s">
        <v>73</v>
      </c>
      <c r="D18" s="223"/>
      <c r="E18" s="223"/>
      <c r="F18" s="432" t="s">
        <v>74</v>
      </c>
      <c r="G18" s="433"/>
      <c r="H18" s="433"/>
      <c r="I18" s="433"/>
      <c r="J18" s="433"/>
      <c r="K18" s="269">
        <f>SUM(K17:K17)</f>
        <v>2500</v>
      </c>
      <c r="L18" s="269">
        <f>SUM(L17:L17)</f>
        <v>0</v>
      </c>
      <c r="M18" s="269">
        <f>SUM(M17:M17)</f>
        <v>606.74785634397927</v>
      </c>
      <c r="N18" s="270">
        <f>SUM(N17:N17)</f>
        <v>3106.747856343979</v>
      </c>
      <c r="Q18" s="429" t="s">
        <v>74</v>
      </c>
      <c r="R18" s="430"/>
      <c r="S18" s="430"/>
      <c r="T18" s="271">
        <f>SUM(T17:T17)</f>
        <v>1000</v>
      </c>
      <c r="U18" s="272">
        <f>SUM(U17:U17)</f>
        <v>1500</v>
      </c>
      <c r="V18" s="273"/>
      <c r="W18" s="273"/>
      <c r="X18" s="274">
        <f>SUM(X17:X17)</f>
        <v>1000</v>
      </c>
      <c r="Y18" s="275">
        <f>IF(Q18&lt;&gt;"",X18+M18,"")</f>
        <v>1606.7478563439793</v>
      </c>
      <c r="AB18" s="366">
        <f t="shared" ref="AB18:AB24" si="1">X18-AC18</f>
        <v>1000</v>
      </c>
      <c r="AC18" s="367"/>
    </row>
    <row r="19" spans="1:30" ht="25.5" customHeight="1" thickBot="1" x14ac:dyDescent="0.5">
      <c r="A19" s="223">
        <v>6</v>
      </c>
      <c r="B19" s="246">
        <v>2</v>
      </c>
      <c r="C19" s="247" t="s">
        <v>56</v>
      </c>
      <c r="D19" s="223"/>
      <c r="E19" s="223"/>
      <c r="F19" s="416" t="s">
        <v>75</v>
      </c>
      <c r="G19" s="417"/>
      <c r="H19" s="417"/>
      <c r="I19" s="417"/>
      <c r="J19" s="417"/>
      <c r="K19" s="417"/>
      <c r="L19" s="417"/>
      <c r="M19" s="417"/>
      <c r="N19" s="418"/>
      <c r="Q19" s="419" t="str">
        <f>IF(F19&lt;&gt;"",F19,"")</f>
        <v>FOGO Y FUEGO</v>
      </c>
      <c r="R19" s="420"/>
      <c r="S19" s="420"/>
      <c r="T19" s="420"/>
      <c r="U19" s="420"/>
      <c r="V19" s="420"/>
      <c r="W19" s="420"/>
      <c r="X19" s="420"/>
      <c r="Y19" s="421"/>
      <c r="AB19" s="366">
        <f t="shared" si="1"/>
        <v>0</v>
      </c>
      <c r="AC19" s="367"/>
    </row>
    <row r="20" spans="1:30" ht="30.9" customHeight="1" thickBot="1" x14ac:dyDescent="0.5">
      <c r="A20" s="223">
        <v>7</v>
      </c>
      <c r="B20" s="246" t="s">
        <v>76</v>
      </c>
      <c r="C20" s="247" t="s">
        <v>59</v>
      </c>
      <c r="D20" s="223"/>
      <c r="E20" s="223"/>
      <c r="F20" s="426" t="s">
        <v>75</v>
      </c>
      <c r="G20" s="427"/>
      <c r="H20" s="427"/>
      <c r="I20" s="427"/>
      <c r="J20" s="427"/>
      <c r="K20" s="428"/>
      <c r="L20" s="248" t="s">
        <v>61</v>
      </c>
      <c r="M20" s="249" t="s">
        <v>62</v>
      </c>
      <c r="N20" s="250" t="s">
        <v>36</v>
      </c>
      <c r="Q20" s="434" t="str">
        <f>IF(F20&lt;&gt;"",F20,"")</f>
        <v>FOGO Y FUEGO</v>
      </c>
      <c r="R20" s="435"/>
      <c r="S20" s="435"/>
      <c r="T20" s="435"/>
      <c r="U20" s="435"/>
      <c r="V20" s="435"/>
      <c r="W20" s="435"/>
      <c r="X20" s="435"/>
      <c r="Y20" s="436"/>
      <c r="Z20" s="251" t="s">
        <v>63</v>
      </c>
      <c r="AA20" s="352" t="s">
        <v>47</v>
      </c>
      <c r="AB20" s="366">
        <f t="shared" si="1"/>
        <v>0</v>
      </c>
      <c r="AC20" s="367"/>
    </row>
    <row r="21" spans="1:30" ht="54.6" customHeight="1" x14ac:dyDescent="0.45">
      <c r="A21" s="223">
        <v>8</v>
      </c>
      <c r="B21" s="246" t="s">
        <v>77</v>
      </c>
      <c r="C21" s="247" t="s">
        <v>65</v>
      </c>
      <c r="D21" s="223" t="s">
        <v>78</v>
      </c>
      <c r="E21" s="223" t="s">
        <v>79</v>
      </c>
      <c r="F21" s="276" t="s">
        <v>80</v>
      </c>
      <c r="G21" s="277" t="s">
        <v>81</v>
      </c>
      <c r="H21" s="278">
        <v>1</v>
      </c>
      <c r="I21" s="278">
        <v>1</v>
      </c>
      <c r="J21" s="279">
        <v>1200</v>
      </c>
      <c r="K21" s="279">
        <f t="shared" ref="K21" si="2">IF(F21&lt;&gt;"",H21*I21*J21,"")</f>
        <v>1200</v>
      </c>
      <c r="L21" s="279">
        <f t="shared" ref="L21:L24" si="3">IF(K21&lt;&gt;"",IF(D21="INTERNO",0,K21*$L$14),"")</f>
        <v>108</v>
      </c>
      <c r="M21" s="279">
        <f t="shared" ref="M21" si="4">IF(K21&lt;&gt;"",IF(E21="FAT.OGGI",SUM(K21:L21)*(1/(1-$M$14)-1),L21*(1/(1-$M$14)-1)),"")</f>
        <v>26.211507394059907</v>
      </c>
      <c r="N21" s="280">
        <f t="shared" ref="N21" si="5">SUM(K21:M21)</f>
        <v>1334.2115073940599</v>
      </c>
      <c r="Q21" s="281">
        <f t="shared" ref="Q21:R23" si="6">IF(H21&lt;&gt;"",H21,"")</f>
        <v>1</v>
      </c>
      <c r="R21" s="282">
        <v>0</v>
      </c>
      <c r="S21" s="283">
        <v>0</v>
      </c>
      <c r="T21" s="283">
        <f t="shared" ref="T21" si="7">IF(Q21&lt;&gt;"",Q21*R21*S21,"")</f>
        <v>0</v>
      </c>
      <c r="U21" s="284">
        <f t="shared" ref="U21" si="8">IF(Q21&lt;&gt;"",K21-T21,"")</f>
        <v>1200</v>
      </c>
      <c r="V21" s="285">
        <f t="shared" ref="V21" si="9">IF(Q21&lt;&gt;"",0%,"")</f>
        <v>0</v>
      </c>
      <c r="W21" s="286">
        <f t="shared" ref="W21" si="10">IF(Q21&lt;&gt;"",V21*U21,"")</f>
        <v>0</v>
      </c>
      <c r="X21" s="286">
        <f t="shared" ref="X21" si="11">IF(Q21&lt;&gt;"",W21+T21,"")</f>
        <v>0</v>
      </c>
      <c r="Y21" s="287">
        <f t="shared" ref="Y21:Y25" si="12">IF(Q21&lt;&gt;"",X21+M21,"")</f>
        <v>26.211507394059907</v>
      </c>
      <c r="Z21" s="264">
        <f t="shared" ref="Z21" si="13">IF(Q21&lt;&gt;"",U21/K21,"")</f>
        <v>1</v>
      </c>
      <c r="AA21" s="353">
        <f>T21/$T$25</f>
        <v>0</v>
      </c>
      <c r="AB21" s="366">
        <f t="shared" si="1"/>
        <v>0</v>
      </c>
      <c r="AC21" s="367"/>
    </row>
    <row r="22" spans="1:30" ht="38.4" customHeight="1" x14ac:dyDescent="0.45">
      <c r="A22" s="288">
        <v>9</v>
      </c>
      <c r="B22" s="246" t="s">
        <v>82</v>
      </c>
      <c r="C22" s="289" t="s">
        <v>65</v>
      </c>
      <c r="D22" s="288" t="s">
        <v>78</v>
      </c>
      <c r="E22" s="288" t="s">
        <v>79</v>
      </c>
      <c r="F22" s="290" t="s">
        <v>84</v>
      </c>
      <c r="G22" s="291" t="s">
        <v>85</v>
      </c>
      <c r="H22" s="292">
        <v>1</v>
      </c>
      <c r="I22" s="292">
        <v>50</v>
      </c>
      <c r="J22" s="293">
        <v>190</v>
      </c>
      <c r="K22" s="293">
        <f>IF(F22&lt;&gt;"",H22*I22*J22,"")</f>
        <v>9500</v>
      </c>
      <c r="L22" s="293">
        <f t="shared" si="3"/>
        <v>855</v>
      </c>
      <c r="M22" s="293">
        <f>IF(K22&lt;&gt;"",IF(E22="FAT.OGGI",SUM(K22:L22)*(1/(1-$M$14)-1),L22*(1/(1-$M$14)-1)),"")</f>
        <v>207.50776686964093</v>
      </c>
      <c r="N22" s="294">
        <f>SUM(K22:M22)</f>
        <v>10562.507766869641</v>
      </c>
      <c r="Q22" s="257">
        <f t="shared" si="6"/>
        <v>1</v>
      </c>
      <c r="R22" s="258">
        <v>30</v>
      </c>
      <c r="S22" s="259">
        <v>566.67999999999995</v>
      </c>
      <c r="T22" s="259">
        <f>IF(Q22&lt;&gt;"",Q22*R22*S22,"")</f>
        <v>17000.399999999998</v>
      </c>
      <c r="U22" s="260">
        <f>IF(Q22&lt;&gt;"",K22-T22,"")</f>
        <v>-7500.3999999999978</v>
      </c>
      <c r="V22" s="261">
        <f>IF(Q22&lt;&gt;"",0%,"")</f>
        <v>0</v>
      </c>
      <c r="W22" s="262">
        <f>IF(Q22&lt;&gt;"",V22*U22,"")</f>
        <v>0</v>
      </c>
      <c r="X22" s="262">
        <f>IF(Q22&lt;&gt;"",W22+T22,"")</f>
        <v>17000.399999999998</v>
      </c>
      <c r="Y22" s="263">
        <f t="shared" si="12"/>
        <v>17207.907766869637</v>
      </c>
      <c r="Z22" s="264">
        <f>IF(Q22&lt;&gt;"",U22/K22,"")</f>
        <v>-0.78951578947368395</v>
      </c>
      <c r="AA22" s="353"/>
      <c r="AB22" s="366">
        <f t="shared" si="1"/>
        <v>17000.399999999998</v>
      </c>
      <c r="AC22" s="367"/>
      <c r="AD22" s="198">
        <f>7200+4900</f>
        <v>12100</v>
      </c>
    </row>
    <row r="23" spans="1:30" ht="60.9" customHeight="1" x14ac:dyDescent="0.45">
      <c r="A23" s="223">
        <v>10</v>
      </c>
      <c r="B23" s="246" t="s">
        <v>83</v>
      </c>
      <c r="C23" s="247" t="s">
        <v>65</v>
      </c>
      <c r="D23" s="223" t="s">
        <v>78</v>
      </c>
      <c r="E23" s="223" t="s">
        <v>79</v>
      </c>
      <c r="F23" s="290" t="s">
        <v>87</v>
      </c>
      <c r="G23" s="295" t="s">
        <v>88</v>
      </c>
      <c r="H23" s="292">
        <v>1</v>
      </c>
      <c r="I23" s="292">
        <v>50</v>
      </c>
      <c r="J23" s="293">
        <v>190</v>
      </c>
      <c r="K23" s="293">
        <f>IF(F23&lt;&gt;"",H23*I23*J23,"")</f>
        <v>9500</v>
      </c>
      <c r="L23" s="293">
        <f t="shared" si="3"/>
        <v>855</v>
      </c>
      <c r="M23" s="293">
        <f>IF(K23&lt;&gt;"",IF(E23="FAT.OGGI",SUM(K23:L23)*(1/(1-$M$14)-1),L23*(1/(1-$M$14)-1)),"")</f>
        <v>207.50776686964093</v>
      </c>
      <c r="N23" s="294">
        <f>SUM(K23:M23)</f>
        <v>10562.507766869641</v>
      </c>
      <c r="O23" s="296"/>
      <c r="Q23" s="257">
        <f t="shared" si="6"/>
        <v>1</v>
      </c>
      <c r="R23" s="258">
        <f t="shared" si="6"/>
        <v>50</v>
      </c>
      <c r="S23" s="259">
        <v>0</v>
      </c>
      <c r="T23" s="259">
        <f>IF(Q23&lt;&gt;"",Q23*R23*S23,"")</f>
        <v>0</v>
      </c>
      <c r="U23" s="260">
        <f>IF(Q23&lt;&gt;"",K23-T23,"")</f>
        <v>9500</v>
      </c>
      <c r="V23" s="261">
        <f>IF(Q23&lt;&gt;"",0%,"")</f>
        <v>0</v>
      </c>
      <c r="W23" s="262">
        <f>IF(Q23&lt;&gt;"",V23*U23,"")</f>
        <v>0</v>
      </c>
      <c r="X23" s="262">
        <f>IF(Q23&lt;&gt;"",W23+T23,"")</f>
        <v>0</v>
      </c>
      <c r="Y23" s="263">
        <f t="shared" si="12"/>
        <v>207.50776686964093</v>
      </c>
      <c r="Z23" s="264">
        <f>IF(Q23&lt;&gt;"",U23/K23,"")</f>
        <v>1</v>
      </c>
      <c r="AA23" s="353"/>
      <c r="AB23" s="366">
        <f t="shared" si="1"/>
        <v>0</v>
      </c>
      <c r="AC23" s="367"/>
    </row>
    <row r="24" spans="1:30" ht="59.1" customHeight="1" x14ac:dyDescent="0.45">
      <c r="A24" s="297">
        <v>11</v>
      </c>
      <c r="B24" s="246" t="s">
        <v>86</v>
      </c>
      <c r="C24" s="298" t="s">
        <v>65</v>
      </c>
      <c r="D24" s="223" t="s">
        <v>78</v>
      </c>
      <c r="E24" s="223" t="s">
        <v>79</v>
      </c>
      <c r="F24" s="299" t="s">
        <v>136</v>
      </c>
      <c r="G24" s="300" t="s">
        <v>138</v>
      </c>
      <c r="H24" s="301">
        <v>1</v>
      </c>
      <c r="I24" s="301">
        <v>1</v>
      </c>
      <c r="J24" s="302">
        <v>3800</v>
      </c>
      <c r="K24" s="302">
        <f>IF(F24&lt;&gt;"",H24*I24*J24,"")</f>
        <v>3800</v>
      </c>
      <c r="L24" s="302">
        <f t="shared" si="3"/>
        <v>342</v>
      </c>
      <c r="M24" s="302">
        <f>IF(K24&lt;&gt;"",IF(E24="FAT.OGGI",SUM(K24:L24)*(1/(1-$M$14)-1),L24*(1/(1-$M$14)-1)),"")</f>
        <v>83.003106747856364</v>
      </c>
      <c r="N24" s="303">
        <f>SUM(K24:M24)</f>
        <v>4225.0031067478567</v>
      </c>
      <c r="O24" s="304"/>
      <c r="P24" s="268"/>
      <c r="Q24" s="257">
        <f>IF(H24&lt;&gt;"",H24,"")</f>
        <v>1</v>
      </c>
      <c r="R24" s="258">
        <v>0</v>
      </c>
      <c r="S24" s="259">
        <v>0</v>
      </c>
      <c r="T24" s="259">
        <f>IF(Q24&lt;&gt;"",Q24*R24*S24,"")</f>
        <v>0</v>
      </c>
      <c r="U24" s="260">
        <f>IF(Q24&lt;&gt;"",K24-T24,"")</f>
        <v>3800</v>
      </c>
      <c r="V24" s="261">
        <f>IF(Q24&lt;&gt;"",0%,"")</f>
        <v>0</v>
      </c>
      <c r="W24" s="262">
        <f>IF(Q24&lt;&gt;"",V24*U24,"")</f>
        <v>0</v>
      </c>
      <c r="X24" s="262">
        <f>IF(Q24&lt;&gt;"",W24+T24,"")</f>
        <v>0</v>
      </c>
      <c r="Y24" s="263">
        <f t="shared" si="12"/>
        <v>83.003106747856364</v>
      </c>
      <c r="Z24" s="264">
        <f>IF(Q24&lt;&gt;"",U24/K24,"")</f>
        <v>1</v>
      </c>
      <c r="AA24" s="353"/>
      <c r="AB24" s="366">
        <f t="shared" si="1"/>
        <v>0</v>
      </c>
      <c r="AC24" s="367"/>
    </row>
    <row r="25" spans="1:30" ht="39.6" customHeight="1" thickBot="1" x14ac:dyDescent="0.5">
      <c r="A25" s="288">
        <v>12</v>
      </c>
      <c r="B25" s="246"/>
      <c r="C25" s="289" t="s">
        <v>73</v>
      </c>
      <c r="D25" s="288"/>
      <c r="E25" s="288"/>
      <c r="F25" s="437" t="s">
        <v>89</v>
      </c>
      <c r="G25" s="438"/>
      <c r="H25" s="438"/>
      <c r="I25" s="438"/>
      <c r="J25" s="438"/>
      <c r="K25" s="305">
        <f>SUM(K21:K24)</f>
        <v>24000</v>
      </c>
      <c r="L25" s="305">
        <f>SUM(L21:L24)</f>
        <v>2160</v>
      </c>
      <c r="M25" s="305">
        <f>SUM(M21:M24)</f>
        <v>524.23014788119815</v>
      </c>
      <c r="N25" s="270">
        <f>SUM(N21:N24)</f>
        <v>26684.230147881201</v>
      </c>
      <c r="Q25" s="437" t="s">
        <v>90</v>
      </c>
      <c r="R25" s="438"/>
      <c r="S25" s="438"/>
      <c r="T25" s="306">
        <f>SUM(T21:T24)</f>
        <v>17000.399999999998</v>
      </c>
      <c r="U25" s="307">
        <f>SUM(U21:U24)</f>
        <v>6999.6000000000022</v>
      </c>
      <c r="V25" s="308"/>
      <c r="W25" s="308"/>
      <c r="X25" s="274">
        <f>SUM(X21:X24)</f>
        <v>17000.399999999998</v>
      </c>
      <c r="Y25" s="310">
        <f t="shared" si="12"/>
        <v>17524.630147881195</v>
      </c>
      <c r="AB25" s="366">
        <f>SUM(AB17:AB24)</f>
        <v>19000.399999999998</v>
      </c>
      <c r="AC25" s="367">
        <f>SUM(AC17:AC24)</f>
        <v>0</v>
      </c>
    </row>
    <row r="27" spans="1:30" x14ac:dyDescent="0.45">
      <c r="G27" s="212">
        <v>3</v>
      </c>
    </row>
    <row r="29" spans="1:30" ht="23.4" x14ac:dyDescent="0.45">
      <c r="AB29" s="368">
        <v>0</v>
      </c>
      <c r="AC29" s="369" t="s">
        <v>61</v>
      </c>
    </row>
    <row r="30" spans="1:30" ht="23.4" x14ac:dyDescent="0.45">
      <c r="AB30" s="368">
        <v>0</v>
      </c>
      <c r="AC30" s="369" t="s">
        <v>62</v>
      </c>
    </row>
    <row r="31" spans="1:30" ht="23.4" x14ac:dyDescent="0.45">
      <c r="AB31" s="368">
        <v>0</v>
      </c>
      <c r="AC31" s="369" t="s">
        <v>146</v>
      </c>
    </row>
    <row r="32" spans="1:30" ht="23.4" x14ac:dyDescent="0.45">
      <c r="AB32" s="368">
        <v>0</v>
      </c>
      <c r="AC32" s="370" t="s">
        <v>144</v>
      </c>
    </row>
    <row r="33" spans="28:29" ht="23.4" x14ac:dyDescent="0.45">
      <c r="AB33" s="368">
        <v>0</v>
      </c>
      <c r="AC33" s="370"/>
    </row>
  </sheetData>
  <mergeCells count="20">
    <mergeCell ref="F18:J18"/>
    <mergeCell ref="Q18:S18"/>
    <mergeCell ref="F1:G1"/>
    <mergeCell ref="F2:G2"/>
    <mergeCell ref="Q12:T12"/>
    <mergeCell ref="AL12:AM12"/>
    <mergeCell ref="F15:N15"/>
    <mergeCell ref="Q15:Y15"/>
    <mergeCell ref="F16:K16"/>
    <mergeCell ref="Q16:Y16"/>
    <mergeCell ref="U12:X12"/>
    <mergeCell ref="AD12:AF12"/>
    <mergeCell ref="AH12:AI12"/>
    <mergeCell ref="AB14:AC14"/>
    <mergeCell ref="F19:N19"/>
    <mergeCell ref="Q19:Y19"/>
    <mergeCell ref="F20:K20"/>
    <mergeCell ref="Q20:Y20"/>
    <mergeCell ref="F25:J25"/>
    <mergeCell ref="Q25:S25"/>
  </mergeCells>
  <dataValidations count="2">
    <dataValidation type="list" allowBlank="1" showInputMessage="1" showErrorMessage="1" sqref="E17 E21:E24" xr:uid="{25BB2F23-9C47-43E5-A874-ACD927D2750E}">
      <formula1>"FAT.OGGI,FAT.CLIENTE"</formula1>
    </dataValidation>
    <dataValidation type="list" allowBlank="1" showInputMessage="1" showErrorMessage="1" sqref="D17 D21:D24" xr:uid="{3D1BE0A8-42A4-40F1-9A45-D5B98D711F55}">
      <formula1>"INTERNO,OPERACIONAL"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E78EC-1122-48E9-AC5C-69175FB58E33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F3CB-89D3-4A07-B997-40BC6C3A350F}">
  <sheetPr>
    <pageSetUpPr autoPageBreaks="0"/>
  </sheetPr>
  <dimension ref="A1:AL40"/>
  <sheetViews>
    <sheetView showGridLines="0" zoomScale="60" zoomScaleNormal="60" workbookViewId="0">
      <pane ySplit="1" topLeftCell="A8" activePane="bottomLeft" state="frozen"/>
      <selection activeCell="F30" sqref="F30:K30"/>
      <selection pane="bottomLeft" activeCell="J8" sqref="J8"/>
    </sheetView>
  </sheetViews>
  <sheetFormatPr defaultColWidth="8.6640625" defaultRowHeight="16.2" x14ac:dyDescent="0.35"/>
  <cols>
    <col min="1" max="1" width="3.109375" style="1" customWidth="1"/>
    <col min="2" max="2" width="4.88671875" style="1" customWidth="1"/>
    <col min="3" max="3" width="5.88671875" style="1" customWidth="1"/>
    <col min="4" max="4" width="6.5546875" style="1" customWidth="1"/>
    <col min="5" max="5" width="6.33203125" style="1" customWidth="1"/>
    <col min="6" max="6" width="31.88671875" style="5" customWidth="1"/>
    <col min="7" max="7" width="42.109375" style="19" customWidth="1"/>
    <col min="8" max="8" width="5.88671875" style="178" bestFit="1" customWidth="1"/>
    <col min="9" max="9" width="6.5546875" style="178" bestFit="1" customWidth="1"/>
    <col min="10" max="10" width="16.88671875" style="5" bestFit="1" customWidth="1"/>
    <col min="11" max="11" width="28.88671875" style="5" customWidth="1"/>
    <col min="12" max="12" width="24.88671875" style="5" customWidth="1"/>
    <col min="13" max="13" width="22.44140625" style="5" customWidth="1"/>
    <col min="14" max="14" width="34.44140625" style="5" customWidth="1"/>
    <col min="15" max="15" width="5.44140625" style="5" customWidth="1"/>
    <col min="16" max="16" width="2.88671875" style="5" customWidth="1"/>
    <col min="17" max="17" width="5" style="4" customWidth="1"/>
    <col min="18" max="18" width="8.109375" style="4" customWidth="1"/>
    <col min="19" max="19" width="19.5546875" style="5" customWidth="1"/>
    <col min="20" max="20" width="25.109375" style="5" customWidth="1"/>
    <col min="21" max="21" width="25.5546875" style="5" customWidth="1"/>
    <col min="22" max="22" width="10" style="5" bestFit="1" customWidth="1"/>
    <col min="23" max="23" width="16.109375" style="5" bestFit="1" customWidth="1"/>
    <col min="24" max="24" width="31.88671875" style="5" customWidth="1"/>
    <col min="25" max="25" width="30.5546875" style="5" customWidth="1"/>
    <col min="26" max="26" width="26.109375" style="5" customWidth="1"/>
    <col min="27" max="27" width="34.88671875" style="5" customWidth="1"/>
    <col min="28" max="28" width="38.109375" style="5" customWidth="1"/>
    <col min="29" max="30" width="33" style="5" customWidth="1"/>
    <col min="31" max="31" width="28" style="5" customWidth="1"/>
    <col min="32" max="32" width="1.33203125" style="5" customWidth="1"/>
    <col min="33" max="33" width="81.5546875" style="5" customWidth="1"/>
    <col min="34" max="34" width="36.6640625" style="5" customWidth="1"/>
    <col min="35" max="35" width="1.5546875" style="5" customWidth="1"/>
    <col min="36" max="36" width="20.33203125" style="5" customWidth="1"/>
    <col min="37" max="37" width="25.33203125" style="5" bestFit="1" customWidth="1"/>
    <col min="38" max="38" width="24.88671875" style="5" bestFit="1" customWidth="1"/>
    <col min="39" max="39" width="8.6640625" style="5"/>
    <col min="40" max="40" width="21.33203125" style="5" customWidth="1"/>
    <col min="41" max="16384" width="8.6640625" style="5"/>
  </cols>
  <sheetData>
    <row r="1" spans="1:38" ht="49.5" customHeight="1" x14ac:dyDescent="0.35">
      <c r="B1" s="2"/>
      <c r="C1" s="3"/>
      <c r="D1" s="3"/>
      <c r="F1" s="490" t="s">
        <v>0</v>
      </c>
      <c r="G1" s="490"/>
    </row>
    <row r="2" spans="1:38" ht="24.75" customHeight="1" x14ac:dyDescent="0.35">
      <c r="B2" s="6"/>
      <c r="D2" s="3"/>
      <c r="F2" s="491" t="s">
        <v>1</v>
      </c>
      <c r="G2" s="491"/>
    </row>
    <row r="3" spans="1:38" x14ac:dyDescent="0.35">
      <c r="B3" s="7"/>
      <c r="F3" s="8"/>
      <c r="G3" s="9"/>
    </row>
    <row r="4" spans="1:38" x14ac:dyDescent="0.35">
      <c r="F4" s="10" t="s">
        <v>2</v>
      </c>
      <c r="G4" s="11" t="s">
        <v>3</v>
      </c>
    </row>
    <row r="5" spans="1:38" x14ac:dyDescent="0.35">
      <c r="F5" s="12" t="s">
        <v>4</v>
      </c>
      <c r="G5" s="13" t="s">
        <v>5</v>
      </c>
    </row>
    <row r="6" spans="1:38" x14ac:dyDescent="0.35">
      <c r="F6" s="12" t="s">
        <v>6</v>
      </c>
      <c r="G6" s="14" t="s">
        <v>7</v>
      </c>
    </row>
    <row r="7" spans="1:38" x14ac:dyDescent="0.35">
      <c r="F7" s="12" t="s">
        <v>8</v>
      </c>
      <c r="G7" s="14" t="s">
        <v>9</v>
      </c>
    </row>
    <row r="8" spans="1:38" x14ac:dyDescent="0.35">
      <c r="F8" s="12" t="s">
        <v>10</v>
      </c>
      <c r="G8" s="15" t="s">
        <v>11</v>
      </c>
    </row>
    <row r="9" spans="1:38" x14ac:dyDescent="0.35">
      <c r="F9" s="12" t="s">
        <v>12</v>
      </c>
      <c r="G9" s="14" t="s">
        <v>13</v>
      </c>
    </row>
    <row r="10" spans="1:38" x14ac:dyDescent="0.35">
      <c r="F10" s="12" t="s">
        <v>14</v>
      </c>
      <c r="G10" s="14" t="s">
        <v>15</v>
      </c>
    </row>
    <row r="11" spans="1:38" ht="33" thickBot="1" x14ac:dyDescent="0.4">
      <c r="F11" s="16" t="s">
        <v>16</v>
      </c>
      <c r="G11" s="17" t="s">
        <v>17</v>
      </c>
    </row>
    <row r="12" spans="1:38" ht="16.8" thickBot="1" x14ac:dyDescent="0.4">
      <c r="B12" s="18"/>
      <c r="M12" s="20"/>
      <c r="Q12" s="492" t="s">
        <v>18</v>
      </c>
      <c r="R12" s="493"/>
      <c r="S12" s="493"/>
      <c r="T12" s="494"/>
      <c r="U12" s="480" t="s">
        <v>19</v>
      </c>
      <c r="V12" s="481"/>
      <c r="W12" s="481"/>
      <c r="X12" s="482"/>
      <c r="Y12" s="21" t="s">
        <v>20</v>
      </c>
      <c r="Z12" s="189">
        <f>(1/(1-M14))-1</f>
        <v>0.24269914253759173</v>
      </c>
      <c r="AC12" s="483" t="s">
        <v>21</v>
      </c>
      <c r="AD12" s="484"/>
      <c r="AE12" s="485"/>
      <c r="AG12" s="486" t="s">
        <v>22</v>
      </c>
      <c r="AH12" s="487"/>
      <c r="AJ12" s="163" t="s">
        <v>23</v>
      </c>
      <c r="AK12" s="472" t="s">
        <v>24</v>
      </c>
      <c r="AL12" s="473"/>
    </row>
    <row r="13" spans="1:38" ht="16.8" thickBot="1" x14ac:dyDescent="0.4">
      <c r="A13" s="22" t="s">
        <v>25</v>
      </c>
      <c r="B13" s="23" t="s">
        <v>26</v>
      </c>
      <c r="C13" s="22" t="s">
        <v>27</v>
      </c>
      <c r="D13" s="22" t="s">
        <v>28</v>
      </c>
      <c r="E13" s="22" t="s">
        <v>29</v>
      </c>
      <c r="M13" s="24">
        <v>0.80469999999999997</v>
      </c>
    </row>
    <row r="14" spans="1:38" ht="33" thickBot="1" x14ac:dyDescent="0.4">
      <c r="A14" s="25">
        <v>0</v>
      </c>
      <c r="B14" s="26"/>
      <c r="C14" s="27"/>
      <c r="D14" s="28"/>
      <c r="E14" s="29"/>
      <c r="F14" s="30" t="s">
        <v>30</v>
      </c>
      <c r="G14" s="31" t="s">
        <v>31</v>
      </c>
      <c r="H14" s="32" t="s">
        <v>32</v>
      </c>
      <c r="I14" s="32" t="s">
        <v>33</v>
      </c>
      <c r="J14" s="33" t="s">
        <v>34</v>
      </c>
      <c r="K14" s="34" t="s">
        <v>35</v>
      </c>
      <c r="L14" s="35">
        <v>0.09</v>
      </c>
      <c r="M14" s="36">
        <f>1-M13</f>
        <v>0.19530000000000003</v>
      </c>
      <c r="N14" s="37" t="s">
        <v>36</v>
      </c>
      <c r="Q14" s="38" t="s">
        <v>37</v>
      </c>
      <c r="R14" s="39" t="s">
        <v>38</v>
      </c>
      <c r="S14" s="40" t="s">
        <v>39</v>
      </c>
      <c r="T14" s="41" t="s">
        <v>40</v>
      </c>
      <c r="U14" s="42" t="s">
        <v>41</v>
      </c>
      <c r="V14" s="43" t="s">
        <v>42</v>
      </c>
      <c r="W14" s="44" t="s">
        <v>43</v>
      </c>
      <c r="X14" s="45" t="s">
        <v>44</v>
      </c>
      <c r="Y14" s="45" t="s">
        <v>45</v>
      </c>
      <c r="Z14" s="46" t="s">
        <v>46</v>
      </c>
      <c r="AA14" s="47" t="s">
        <v>47</v>
      </c>
      <c r="AC14" s="48" t="s">
        <v>48</v>
      </c>
      <c r="AD14" s="49" t="s">
        <v>49</v>
      </c>
      <c r="AE14" s="49" t="s">
        <v>50</v>
      </c>
      <c r="AG14" s="50" t="s">
        <v>51</v>
      </c>
      <c r="AH14" s="51" t="s">
        <v>52</v>
      </c>
      <c r="AI14" s="5" t="s">
        <v>53</v>
      </c>
      <c r="AJ14" s="5" t="s">
        <v>53</v>
      </c>
      <c r="AK14" s="52" t="s">
        <v>54</v>
      </c>
      <c r="AL14" s="53" t="s">
        <v>55</v>
      </c>
    </row>
    <row r="15" spans="1:38" ht="20.399999999999999" customHeight="1" x14ac:dyDescent="0.35">
      <c r="A15" s="28">
        <v>1</v>
      </c>
      <c r="B15" s="54">
        <v>1</v>
      </c>
      <c r="C15" s="55" t="s">
        <v>56</v>
      </c>
      <c r="D15" s="28"/>
      <c r="E15" s="28"/>
      <c r="F15" s="457" t="s">
        <v>57</v>
      </c>
      <c r="G15" s="458"/>
      <c r="H15" s="458"/>
      <c r="I15" s="458"/>
      <c r="J15" s="458"/>
      <c r="K15" s="458"/>
      <c r="L15" s="458"/>
      <c r="M15" s="458"/>
      <c r="N15" s="459"/>
      <c r="Q15" s="474" t="str">
        <f>IF(F15&lt;&gt;"",F15,"")</f>
        <v>INTERNOS</v>
      </c>
      <c r="R15" s="475"/>
      <c r="S15" s="475"/>
      <c r="T15" s="475"/>
      <c r="U15" s="475"/>
      <c r="V15" s="475"/>
      <c r="W15" s="475"/>
      <c r="X15" s="475"/>
      <c r="Y15" s="476"/>
    </row>
    <row r="16" spans="1:38" ht="20.399999999999999" hidden="1" customHeight="1" x14ac:dyDescent="0.35">
      <c r="A16" s="28">
        <v>2</v>
      </c>
      <c r="B16" s="54" t="s">
        <v>58</v>
      </c>
      <c r="C16" s="55" t="s">
        <v>59</v>
      </c>
      <c r="D16" s="28"/>
      <c r="E16" s="28"/>
      <c r="F16" s="463" t="s">
        <v>60</v>
      </c>
      <c r="G16" s="464"/>
      <c r="H16" s="464"/>
      <c r="I16" s="464"/>
      <c r="J16" s="464"/>
      <c r="K16" s="465"/>
      <c r="L16" s="56" t="s">
        <v>61</v>
      </c>
      <c r="M16" s="57" t="s">
        <v>62</v>
      </c>
      <c r="N16" s="190" t="s">
        <v>36</v>
      </c>
      <c r="Q16" s="477" t="str">
        <f>IF(F16&lt;&gt;"",F16,"")</f>
        <v>CUSTOS INTERNOS OGGI</v>
      </c>
      <c r="R16" s="478"/>
      <c r="S16" s="478"/>
      <c r="T16" s="478"/>
      <c r="U16" s="478"/>
      <c r="V16" s="478"/>
      <c r="W16" s="478"/>
      <c r="X16" s="478"/>
      <c r="Y16" s="479"/>
      <c r="Z16" s="58" t="s">
        <v>63</v>
      </c>
      <c r="AA16" s="59" t="s">
        <v>47</v>
      </c>
    </row>
    <row r="17" spans="1:27" ht="67.5" customHeight="1" x14ac:dyDescent="0.35">
      <c r="A17" s="28">
        <v>3</v>
      </c>
      <c r="B17" s="54" t="s">
        <v>64</v>
      </c>
      <c r="C17" s="55" t="s">
        <v>65</v>
      </c>
      <c r="D17" s="28" t="s">
        <v>66</v>
      </c>
      <c r="E17" s="28" t="s">
        <v>67</v>
      </c>
      <c r="F17" s="60" t="s">
        <v>68</v>
      </c>
      <c r="G17" s="61" t="s">
        <v>69</v>
      </c>
      <c r="H17" s="62">
        <v>1</v>
      </c>
      <c r="I17" s="62">
        <v>1</v>
      </c>
      <c r="J17" s="63">
        <v>2800</v>
      </c>
      <c r="K17" s="63">
        <f>IF(F17&lt;&gt;"",H17*I17*J17,"")</f>
        <v>2800</v>
      </c>
      <c r="L17" s="63">
        <f>IF(K17&lt;&gt;"",IF(D17="INTERNO",0,K17*$L$14),"")</f>
        <v>0</v>
      </c>
      <c r="M17" s="63">
        <f>IF(K17&lt;&gt;"",IF(E17="FAT.OGGI",SUM(K17:L17)*(1/(1-$M$14)-1),L17*(1/(1-$M$14)-1)),"")</f>
        <v>679.55759910525683</v>
      </c>
      <c r="N17" s="64">
        <f>SUM(K17:M17)</f>
        <v>3479.5575991052569</v>
      </c>
      <c r="Q17" s="65">
        <f t="shared" ref="Q17:R18" si="0">IF(H17&lt;&gt;"",H17,"")</f>
        <v>1</v>
      </c>
      <c r="R17" s="66">
        <f t="shared" si="0"/>
        <v>1</v>
      </c>
      <c r="S17" s="67">
        <v>0</v>
      </c>
      <c r="T17" s="67">
        <f>IF(Q17&lt;&gt;"",Q17*R17*S17,"")</f>
        <v>0</v>
      </c>
      <c r="U17" s="68">
        <f>IF(Q17&lt;&gt;"",K17-T17,"")</f>
        <v>2800</v>
      </c>
      <c r="V17" s="69">
        <f>IF(Q17&lt;&gt;"",0%,"")</f>
        <v>0</v>
      </c>
      <c r="W17" s="70">
        <f>IF(Q17&lt;&gt;"",V17*U17,"")</f>
        <v>0</v>
      </c>
      <c r="X17" s="70">
        <f>IF(Q17&lt;&gt;"",W17+T17,"")</f>
        <v>0</v>
      </c>
      <c r="Y17" s="71">
        <f>IF(Q17&lt;&gt;"",X17+M17,"")</f>
        <v>679.55759910525683</v>
      </c>
      <c r="Z17" s="72">
        <f>IF(Q17&lt;&gt;"",U17/K17,"")</f>
        <v>1</v>
      </c>
      <c r="AA17" s="73">
        <f>T17/$T$19</f>
        <v>0</v>
      </c>
    </row>
    <row r="18" spans="1:27" ht="51" customHeight="1" x14ac:dyDescent="0.35">
      <c r="A18" s="28">
        <v>4</v>
      </c>
      <c r="B18" s="54" t="s">
        <v>70</v>
      </c>
      <c r="C18" s="55" t="s">
        <v>65</v>
      </c>
      <c r="D18" s="28" t="s">
        <v>66</v>
      </c>
      <c r="E18" s="28" t="s">
        <v>67</v>
      </c>
      <c r="F18" s="74" t="s">
        <v>71</v>
      </c>
      <c r="G18" s="75" t="s">
        <v>72</v>
      </c>
      <c r="H18" s="62">
        <v>1</v>
      </c>
      <c r="I18" s="62">
        <v>1</v>
      </c>
      <c r="J18" s="76">
        <v>1200</v>
      </c>
      <c r="K18" s="63">
        <f>IF(F18&lt;&gt;"",H18*I18*J18,"")</f>
        <v>1200</v>
      </c>
      <c r="L18" s="63">
        <f>IF(K18&lt;&gt;"",IF(D18="INTERNO",0,K18*$L$14),"")</f>
        <v>0</v>
      </c>
      <c r="M18" s="63">
        <f>IF(K18&lt;&gt;"",IF(E18="FAT.OGGI",SUM(K18:L18)*(1/(1-$M$14)-1),L18*(1/(1-$M$14)-1)),"")</f>
        <v>291.23897104511008</v>
      </c>
      <c r="N18" s="64">
        <f>SUM(K18:M18)</f>
        <v>1491.23897104511</v>
      </c>
      <c r="O18" s="77"/>
      <c r="Q18" s="65">
        <f t="shared" si="0"/>
        <v>1</v>
      </c>
      <c r="R18" s="66">
        <f t="shared" si="0"/>
        <v>1</v>
      </c>
      <c r="S18" s="67">
        <v>600</v>
      </c>
      <c r="T18" s="67">
        <f>IF(Q18&lt;&gt;"",Q18*R18*S18,"")</f>
        <v>600</v>
      </c>
      <c r="U18" s="68">
        <f>IF(Q18&lt;&gt;"",K18-T18,"")</f>
        <v>600</v>
      </c>
      <c r="V18" s="69">
        <f>IF(Q18&lt;&gt;"",0%,"")</f>
        <v>0</v>
      </c>
      <c r="W18" s="70">
        <f>IF(Q18&lt;&gt;"",V18*U18,"")</f>
        <v>0</v>
      </c>
      <c r="X18" s="70">
        <f>IF(Q18&lt;&gt;"",W18+T18,"")</f>
        <v>600</v>
      </c>
      <c r="Y18" s="71">
        <f>IF(Q18&lt;&gt;"",X18+M18,"")</f>
        <v>891.23897104511002</v>
      </c>
      <c r="Z18" s="72">
        <f>IF(Q18&lt;&gt;"",U18/K18,"")</f>
        <v>0.5</v>
      </c>
      <c r="AA18" s="73">
        <f>T18/$T$19</f>
        <v>1</v>
      </c>
    </row>
    <row r="19" spans="1:27" ht="23.4" customHeight="1" thickBot="1" x14ac:dyDescent="0.4">
      <c r="A19" s="28">
        <v>5</v>
      </c>
      <c r="B19" s="54"/>
      <c r="C19" s="55" t="s">
        <v>73</v>
      </c>
      <c r="D19" s="28"/>
      <c r="E19" s="28"/>
      <c r="F19" s="488" t="s">
        <v>74</v>
      </c>
      <c r="G19" s="489"/>
      <c r="H19" s="489"/>
      <c r="I19" s="489"/>
      <c r="J19" s="489"/>
      <c r="K19" s="78">
        <f>SUM(K17:K18)</f>
        <v>4000</v>
      </c>
      <c r="L19" s="78">
        <f>SUM(L17:L18)</f>
        <v>0</v>
      </c>
      <c r="M19" s="78">
        <f>SUM(M17:M18)</f>
        <v>970.79657015036696</v>
      </c>
      <c r="N19" s="191">
        <f>SUM(N17:N18)</f>
        <v>4970.7965701503672</v>
      </c>
      <c r="Q19" s="477" t="s">
        <v>74</v>
      </c>
      <c r="R19" s="478"/>
      <c r="S19" s="478"/>
      <c r="T19" s="79">
        <f>SUM(T17:T18)</f>
        <v>600</v>
      </c>
      <c r="U19" s="80">
        <f>SUM(U17:U18)</f>
        <v>3400</v>
      </c>
      <c r="V19" s="81"/>
      <c r="W19" s="81"/>
      <c r="X19" s="82">
        <f>SUM(X17:X18)</f>
        <v>600</v>
      </c>
      <c r="Y19" s="83">
        <f>IF(Q19&lt;&gt;"",X19+M19,"")</f>
        <v>1570.796570150367</v>
      </c>
    </row>
    <row r="20" spans="1:27" ht="25.5" customHeight="1" thickBot="1" x14ac:dyDescent="0.4">
      <c r="A20" s="28">
        <v>6</v>
      </c>
      <c r="B20" s="54">
        <v>2</v>
      </c>
      <c r="C20" s="55" t="s">
        <v>56</v>
      </c>
      <c r="D20" s="28"/>
      <c r="E20" s="28"/>
      <c r="F20" s="457" t="s">
        <v>75</v>
      </c>
      <c r="G20" s="458"/>
      <c r="H20" s="458"/>
      <c r="I20" s="458"/>
      <c r="J20" s="458"/>
      <c r="K20" s="458"/>
      <c r="L20" s="458"/>
      <c r="M20" s="458"/>
      <c r="N20" s="459"/>
      <c r="Q20" s="460" t="str">
        <f>IF(F20&lt;&gt;"",F20,"")</f>
        <v>FOGO Y FUEGO</v>
      </c>
      <c r="R20" s="461"/>
      <c r="S20" s="461"/>
      <c r="T20" s="461"/>
      <c r="U20" s="461"/>
      <c r="V20" s="461"/>
      <c r="W20" s="461"/>
      <c r="X20" s="461"/>
      <c r="Y20" s="462"/>
    </row>
    <row r="21" spans="1:27" ht="30.9" customHeight="1" x14ac:dyDescent="0.35">
      <c r="A21" s="28">
        <v>7</v>
      </c>
      <c r="B21" s="54" t="s">
        <v>76</v>
      </c>
      <c r="C21" s="55" t="s">
        <v>59</v>
      </c>
      <c r="D21" s="28"/>
      <c r="E21" s="28"/>
      <c r="F21" s="463" t="s">
        <v>75</v>
      </c>
      <c r="G21" s="464"/>
      <c r="H21" s="464"/>
      <c r="I21" s="464"/>
      <c r="J21" s="464"/>
      <c r="K21" s="465"/>
      <c r="L21" s="56" t="s">
        <v>61</v>
      </c>
      <c r="M21" s="57" t="s">
        <v>62</v>
      </c>
      <c r="N21" s="190" t="s">
        <v>36</v>
      </c>
      <c r="Q21" s="466" t="str">
        <f>IF(F21&lt;&gt;"",F21,"")</f>
        <v>FOGO Y FUEGO</v>
      </c>
      <c r="R21" s="467"/>
      <c r="S21" s="467"/>
      <c r="T21" s="467"/>
      <c r="U21" s="468"/>
      <c r="V21" s="468"/>
      <c r="W21" s="468"/>
      <c r="X21" s="468"/>
      <c r="Y21" s="469"/>
      <c r="Z21" s="58" t="s">
        <v>63</v>
      </c>
      <c r="AA21" s="59" t="s">
        <v>47</v>
      </c>
    </row>
    <row r="22" spans="1:27" ht="54.6" customHeight="1" x14ac:dyDescent="0.35">
      <c r="A22" s="28">
        <v>8</v>
      </c>
      <c r="B22" s="54" t="s">
        <v>77</v>
      </c>
      <c r="C22" s="55" t="s">
        <v>65</v>
      </c>
      <c r="D22" s="28" t="s">
        <v>78</v>
      </c>
      <c r="E22" s="28" t="s">
        <v>79</v>
      </c>
      <c r="F22" s="74" t="s">
        <v>121</v>
      </c>
      <c r="G22" s="75" t="s">
        <v>122</v>
      </c>
      <c r="H22" s="62">
        <v>1</v>
      </c>
      <c r="I22" s="62">
        <v>1</v>
      </c>
      <c r="J22" s="63">
        <v>2300</v>
      </c>
      <c r="K22" s="63">
        <f t="shared" ref="K22:K23" si="1">IF(F22&lt;&gt;"",H22*I22*J22,"")</f>
        <v>2300</v>
      </c>
      <c r="L22" s="63">
        <f t="shared" ref="L22" si="2">IF(K22&lt;&gt;"",IF(D22="INTERNO",0,K22*$L$14),"")</f>
        <v>207</v>
      </c>
      <c r="M22" s="63">
        <f t="shared" ref="M22:M23" si="3">IF(K22&lt;&gt;"",IF(E22="FAT.OGGI",SUM(K22:L22)*(1/(1-$M$14)-1),L22*(1/(1-$M$14)-1)),"")</f>
        <v>50.238722505281487</v>
      </c>
      <c r="N22" s="64">
        <f t="shared" ref="N22:N23" si="4">SUM(K22:M22)</f>
        <v>2557.2387225052817</v>
      </c>
      <c r="Q22" s="84">
        <f t="shared" ref="Q22:R23" si="5">IF(H22&lt;&gt;"",H22,"")</f>
        <v>1</v>
      </c>
      <c r="R22" s="85">
        <f t="shared" si="5"/>
        <v>1</v>
      </c>
      <c r="S22" s="86">
        <v>1800</v>
      </c>
      <c r="T22" s="86">
        <f t="shared" ref="T22:T23" si="6">IF(Q22&lt;&gt;"",Q22*R22*S22,"")</f>
        <v>1800</v>
      </c>
      <c r="U22" s="87">
        <f t="shared" ref="U22:U23" si="7">IF(Q22&lt;&gt;"",K22-T22,"")</f>
        <v>500</v>
      </c>
      <c r="V22" s="88">
        <f t="shared" ref="V22:V23" si="8">IF(Q22&lt;&gt;"",0%,"")</f>
        <v>0</v>
      </c>
      <c r="W22" s="89">
        <f t="shared" ref="W22:W23" si="9">IF(Q22&lt;&gt;"",V22*U22,"")</f>
        <v>0</v>
      </c>
      <c r="X22" s="89">
        <f t="shared" ref="X22:X23" si="10">IF(Q22&lt;&gt;"",W22+T22,"")</f>
        <v>1800</v>
      </c>
      <c r="Y22" s="90">
        <f t="shared" ref="Y22:Y23" si="11">IF(Q22&lt;&gt;"",X22+M22,"")</f>
        <v>1850.2387225052814</v>
      </c>
      <c r="Z22" s="72">
        <f t="shared" ref="Z22:Z23" si="12">IF(Q22&lt;&gt;"",U22/K22,"")</f>
        <v>0.21739130434782608</v>
      </c>
      <c r="AA22" s="73">
        <f>T22/$T$26</f>
        <v>8.8902059564379913E-3</v>
      </c>
    </row>
    <row r="23" spans="1:27" ht="32.4" x14ac:dyDescent="0.35">
      <c r="A23" s="28">
        <v>9</v>
      </c>
      <c r="B23" s="54" t="s">
        <v>82</v>
      </c>
      <c r="C23" s="55" t="s">
        <v>65</v>
      </c>
      <c r="D23" s="28" t="s">
        <v>78</v>
      </c>
      <c r="E23" s="28" t="s">
        <v>79</v>
      </c>
      <c r="F23" s="74" t="s">
        <v>123</v>
      </c>
      <c r="G23" s="75" t="s">
        <v>124</v>
      </c>
      <c r="H23" s="62">
        <v>1</v>
      </c>
      <c r="I23" s="62">
        <v>30</v>
      </c>
      <c r="J23" s="63">
        <v>300</v>
      </c>
      <c r="K23" s="63">
        <f t="shared" si="1"/>
        <v>9000</v>
      </c>
      <c r="L23" s="63">
        <f>IF(K23&lt;&gt;"",IF(D23="INTERNO",0,K23*$L$14),"")</f>
        <v>810</v>
      </c>
      <c r="M23" s="63">
        <f t="shared" si="3"/>
        <v>196.58630545544929</v>
      </c>
      <c r="N23" s="64">
        <f t="shared" si="4"/>
        <v>10006.58630545545</v>
      </c>
      <c r="Q23" s="91">
        <v>30</v>
      </c>
      <c r="R23" s="92">
        <f t="shared" si="5"/>
        <v>30</v>
      </c>
      <c r="S23" s="93">
        <v>210</v>
      </c>
      <c r="T23" s="93">
        <f t="shared" si="6"/>
        <v>189000</v>
      </c>
      <c r="U23" s="94">
        <f t="shared" si="7"/>
        <v>-180000</v>
      </c>
      <c r="V23" s="95">
        <f t="shared" si="8"/>
        <v>0</v>
      </c>
      <c r="W23" s="96">
        <f t="shared" si="9"/>
        <v>0</v>
      </c>
      <c r="X23" s="96">
        <f t="shared" si="10"/>
        <v>189000</v>
      </c>
      <c r="Y23" s="90">
        <f t="shared" si="11"/>
        <v>189196.58630545545</v>
      </c>
      <c r="Z23" s="72">
        <f t="shared" si="12"/>
        <v>-20</v>
      </c>
      <c r="AA23" s="73">
        <f>T23/$T$26</f>
        <v>0.93347162542598905</v>
      </c>
    </row>
    <row r="24" spans="1:27" ht="32.4" x14ac:dyDescent="0.35">
      <c r="A24" s="28">
        <v>10</v>
      </c>
      <c r="B24" s="54" t="s">
        <v>83</v>
      </c>
      <c r="C24" s="55" t="s">
        <v>65</v>
      </c>
      <c r="D24" s="28" t="s">
        <v>78</v>
      </c>
      <c r="E24" s="28" t="s">
        <v>79</v>
      </c>
      <c r="F24" s="99" t="s">
        <v>125</v>
      </c>
      <c r="G24" s="162" t="s">
        <v>126</v>
      </c>
      <c r="H24" s="100">
        <v>1</v>
      </c>
      <c r="I24" s="100">
        <v>30</v>
      </c>
      <c r="J24" s="101">
        <v>80</v>
      </c>
      <c r="K24" s="101">
        <f>IF(F24&lt;&gt;"",H24*I24*J24,"")</f>
        <v>2400</v>
      </c>
      <c r="L24" s="101">
        <f>IF(K24&lt;&gt;"",IF(D24="INTERNO",0,K24*$L$14),"")</f>
        <v>216</v>
      </c>
      <c r="M24" s="101">
        <f>IF(K24&lt;&gt;"",IF(E24="FAT.OGGI",SUM(K24:L24)*(1/(1-$M$14)-1),L24*(1/(1-$M$14)-1)),"")</f>
        <v>52.423014788119815</v>
      </c>
      <c r="N24" s="101">
        <f>SUM(K24:M24)</f>
        <v>2668.4230147881199</v>
      </c>
      <c r="Q24" s="120">
        <f t="shared" ref="Q24:R25" si="13">IF(H24&lt;&gt;"",H24,"")</f>
        <v>1</v>
      </c>
      <c r="R24" s="120">
        <f t="shared" si="13"/>
        <v>30</v>
      </c>
      <c r="S24" s="67">
        <v>319</v>
      </c>
      <c r="T24" s="67">
        <f>IF(Q24&lt;&gt;"",Q24*R24*S24,"")</f>
        <v>9570</v>
      </c>
      <c r="U24" s="68">
        <f>IF(Q24&lt;&gt;"",K24-T24,"")</f>
        <v>-7170</v>
      </c>
      <c r="V24" s="69">
        <f>IF(Q24&lt;&gt;"",0%,"")</f>
        <v>0</v>
      </c>
      <c r="W24" s="70">
        <f>IF(Q24&lt;&gt;"",V24*U24,"")</f>
        <v>0</v>
      </c>
      <c r="X24" s="70">
        <f>IF(Q24&lt;&gt;"",W24+T24,"")</f>
        <v>9570</v>
      </c>
      <c r="Y24" s="70">
        <f>IF(Q24&lt;&gt;"",X24+M24,"")</f>
        <v>9622.423014788119</v>
      </c>
      <c r="Z24" s="73">
        <f>IF(Q24&lt;&gt;"",U24/K24,"")</f>
        <v>-2.9874999999999998</v>
      </c>
      <c r="AA24" s="73"/>
    </row>
    <row r="25" spans="1:27" ht="48.6" x14ac:dyDescent="0.35">
      <c r="A25" s="107">
        <v>11</v>
      </c>
      <c r="B25" s="54" t="s">
        <v>86</v>
      </c>
      <c r="C25" s="108" t="s">
        <v>65</v>
      </c>
      <c r="D25" s="28" t="s">
        <v>78</v>
      </c>
      <c r="E25" s="28" t="s">
        <v>79</v>
      </c>
      <c r="F25" s="99" t="s">
        <v>87</v>
      </c>
      <c r="G25" s="99" t="s">
        <v>88</v>
      </c>
      <c r="H25" s="100">
        <v>1</v>
      </c>
      <c r="I25" s="100">
        <v>30</v>
      </c>
      <c r="J25" s="101">
        <v>65</v>
      </c>
      <c r="K25" s="101">
        <f>IF(F25&lt;&gt;"",H25*I25*J25,"")</f>
        <v>1950</v>
      </c>
      <c r="L25" s="101">
        <f>IF(K25&lt;&gt;"",IF(D25="INTERNO",0,K25*$L$14),"")</f>
        <v>175.5</v>
      </c>
      <c r="M25" s="101">
        <f>IF(K25&lt;&gt;"",IF(E25="FAT.OGGI",SUM(K25:L25)*(1/(1-$M$14)-1),L25*(1/(1-$M$14)-1)),"")</f>
        <v>42.593699515347346</v>
      </c>
      <c r="N25" s="101">
        <f>SUM(K25:M25)</f>
        <v>2168.0936995153475</v>
      </c>
      <c r="Q25" s="120">
        <f t="shared" si="13"/>
        <v>1</v>
      </c>
      <c r="R25" s="120">
        <f t="shared" si="13"/>
        <v>30</v>
      </c>
      <c r="S25" s="67">
        <v>70</v>
      </c>
      <c r="T25" s="67">
        <f>IF(Q25&lt;&gt;"",Q25*R25*S25,"")</f>
        <v>2100</v>
      </c>
      <c r="U25" s="68">
        <f>IF(Q25&lt;&gt;"",K25-T25,"")</f>
        <v>-150</v>
      </c>
      <c r="V25" s="69">
        <f>IF(Q25&lt;&gt;"",0%,"")</f>
        <v>0</v>
      </c>
      <c r="W25" s="70">
        <f>IF(Q25&lt;&gt;"",V25*U25,"")</f>
        <v>0</v>
      </c>
      <c r="X25" s="70">
        <f>IF(Q25&lt;&gt;"",W25+T25,"")</f>
        <v>2100</v>
      </c>
      <c r="Y25" s="70">
        <f>IF(Q25&lt;&gt;"",X25+M25,"")</f>
        <v>2142.5936995153475</v>
      </c>
      <c r="Z25" s="73">
        <f>IF(Q25&lt;&gt;"",U25/K25,"")</f>
        <v>-7.6923076923076927E-2</v>
      </c>
      <c r="AA25" s="73"/>
    </row>
    <row r="26" spans="1:27" ht="39.6" customHeight="1" thickBot="1" x14ac:dyDescent="0.4">
      <c r="A26" s="109">
        <v>12</v>
      </c>
      <c r="B26" s="54"/>
      <c r="C26" s="111" t="s">
        <v>73</v>
      </c>
      <c r="D26" s="28" t="s">
        <v>78</v>
      </c>
      <c r="E26" s="28" t="s">
        <v>79</v>
      </c>
      <c r="F26" s="470" t="s">
        <v>127</v>
      </c>
      <c r="G26" s="471"/>
      <c r="H26" s="471"/>
      <c r="I26" s="471"/>
      <c r="J26" s="471"/>
      <c r="K26" s="112">
        <f>SUM(K22:K25)</f>
        <v>15650</v>
      </c>
      <c r="L26" s="112">
        <f>SUM(L22:L25)</f>
        <v>1408.5</v>
      </c>
      <c r="M26" s="112">
        <f>SUM(M22:M25)</f>
        <v>341.84174226419793</v>
      </c>
      <c r="N26" s="113">
        <f>SUM(K26:M26)</f>
        <v>17400.341742264198</v>
      </c>
      <c r="Q26" s="470" t="s">
        <v>90</v>
      </c>
      <c r="R26" s="471"/>
      <c r="S26" s="471"/>
      <c r="T26" s="114">
        <f>SUM(T22:T25)</f>
        <v>202470</v>
      </c>
      <c r="U26" s="115">
        <f>SUM(U22:U25)</f>
        <v>-186820</v>
      </c>
      <c r="V26" s="116"/>
      <c r="W26" s="116"/>
      <c r="X26" s="117">
        <f>SUM(X22:X25)</f>
        <v>202470</v>
      </c>
      <c r="Y26" s="118">
        <f>IF(Q26&lt;&gt;"",X26+M26,"")</f>
        <v>202811.84174226419</v>
      </c>
    </row>
    <row r="27" spans="1:27" ht="26.4" customHeight="1" x14ac:dyDescent="0.35">
      <c r="A27" s="28">
        <v>14</v>
      </c>
      <c r="B27" s="54" t="s">
        <v>92</v>
      </c>
      <c r="C27" s="55" t="s">
        <v>59</v>
      </c>
      <c r="D27" s="28" t="s">
        <v>78</v>
      </c>
      <c r="E27" s="28" t="s">
        <v>79</v>
      </c>
      <c r="F27" s="449" t="s">
        <v>93</v>
      </c>
      <c r="G27" s="450"/>
      <c r="H27" s="450"/>
      <c r="I27" s="450"/>
      <c r="J27" s="450"/>
      <c r="K27" s="451"/>
      <c r="L27" s="56" t="s">
        <v>61</v>
      </c>
      <c r="M27" s="57" t="s">
        <v>62</v>
      </c>
      <c r="N27" s="190" t="s">
        <v>36</v>
      </c>
      <c r="Q27" s="452" t="str">
        <f>IF(F27&lt;&gt;"",F27,"")</f>
        <v xml:space="preserve">Operacional </v>
      </c>
      <c r="R27" s="453"/>
      <c r="S27" s="453"/>
      <c r="T27" s="453"/>
      <c r="U27" s="453"/>
      <c r="V27" s="453"/>
      <c r="W27" s="453"/>
      <c r="X27" s="453"/>
      <c r="Y27" s="454"/>
      <c r="Z27" s="58" t="s">
        <v>63</v>
      </c>
      <c r="AA27" s="59" t="s">
        <v>47</v>
      </c>
    </row>
    <row r="28" spans="1:27" ht="32.4" x14ac:dyDescent="0.35">
      <c r="A28" s="28">
        <v>16</v>
      </c>
      <c r="B28" s="54" t="s">
        <v>97</v>
      </c>
      <c r="C28" s="55" t="s">
        <v>65</v>
      </c>
      <c r="D28" s="28" t="s">
        <v>78</v>
      </c>
      <c r="E28" s="28" t="s">
        <v>79</v>
      </c>
      <c r="F28" s="121" t="s">
        <v>89</v>
      </c>
      <c r="G28" s="122" t="s">
        <v>99</v>
      </c>
      <c r="H28" s="62">
        <v>1</v>
      </c>
      <c r="I28" s="62">
        <v>1</v>
      </c>
      <c r="J28" s="123">
        <v>1100</v>
      </c>
      <c r="K28" s="123">
        <f t="shared" ref="K28:K34" si="14">IF(F28&lt;&gt;"",H28*I28*J28,"")</f>
        <v>1100</v>
      </c>
      <c r="L28" s="123">
        <f t="shared" ref="L28:L34" si="15">IF(K28&lt;&gt;"",IF(D28="INTERNO",0,K28*$L$14),"")</f>
        <v>99</v>
      </c>
      <c r="M28" s="123">
        <f t="shared" ref="M28:M34" si="16">IF(K28&lt;&gt;"",IF(E28="FAT.OGGI",SUM(K28:L28)*(1/(1-$M$14)-1),L28*(1/(1-$M$14)-1)),"")</f>
        <v>24.027215111221579</v>
      </c>
      <c r="N28" s="63">
        <f>SUM(K28:M28)</f>
        <v>1223.0272151112215</v>
      </c>
      <c r="Q28" s="119">
        <v>1</v>
      </c>
      <c r="R28" s="120">
        <v>1</v>
      </c>
      <c r="S28" s="67">
        <v>600</v>
      </c>
      <c r="T28" s="67">
        <f t="shared" ref="T28:T34" si="17">IF(Q28&lt;&gt;"",Q28*R28*S28,"")</f>
        <v>600</v>
      </c>
      <c r="U28" s="68">
        <f t="shared" ref="U28:U34" si="18">IF(Q28&lt;&gt;"",K28-T28,"")</f>
        <v>500</v>
      </c>
      <c r="V28" s="69">
        <f t="shared" ref="V28:V34" si="19">IF(Q28&lt;&gt;"",0%,"")</f>
        <v>0</v>
      </c>
      <c r="W28" s="70">
        <f t="shared" ref="W28:W34" si="20">IF(Q28&lt;&gt;"",V28*U28,"")</f>
        <v>0</v>
      </c>
      <c r="X28" s="70">
        <f t="shared" ref="X28:X34" si="21">IF(Q28&lt;&gt;"",W28+T28,"")</f>
        <v>600</v>
      </c>
      <c r="Y28" s="71">
        <f t="shared" ref="Y28:Y36" si="22">IF(Q28&lt;&gt;"",X28+M28,"")</f>
        <v>624.02721511122161</v>
      </c>
      <c r="Z28" s="72">
        <f t="shared" ref="Z28:Z34" si="23">IF(Q28&lt;&gt;"",U28/K28,"")</f>
        <v>0.45454545454545453</v>
      </c>
      <c r="AA28" s="73">
        <f>T28/$T$35</f>
        <v>0.12121212121212122</v>
      </c>
    </row>
    <row r="29" spans="1:27" ht="32.4" x14ac:dyDescent="0.35">
      <c r="A29" s="28">
        <v>17</v>
      </c>
      <c r="B29" s="54" t="s">
        <v>100</v>
      </c>
      <c r="C29" s="55" t="s">
        <v>65</v>
      </c>
      <c r="D29" s="28" t="s">
        <v>78</v>
      </c>
      <c r="E29" s="28" t="s">
        <v>79</v>
      </c>
      <c r="F29" s="128" t="s">
        <v>128</v>
      </c>
      <c r="G29" s="129" t="s">
        <v>129</v>
      </c>
      <c r="H29" s="62">
        <v>1</v>
      </c>
      <c r="I29" s="62">
        <v>1</v>
      </c>
      <c r="J29" s="63">
        <v>2280</v>
      </c>
      <c r="K29" s="63">
        <f t="shared" si="14"/>
        <v>2280</v>
      </c>
      <c r="L29" s="63">
        <f t="shared" si="15"/>
        <v>205.2</v>
      </c>
      <c r="M29" s="63">
        <f t="shared" si="16"/>
        <v>49.801864048713817</v>
      </c>
      <c r="N29" s="64">
        <f t="shared" ref="N29:N34" si="24">SUM(K29:M29)</f>
        <v>2535.0018640487137</v>
      </c>
      <c r="Q29" s="84">
        <f t="shared" ref="Q29:R33" si="25">IF(H29&lt;&gt;"",H29,"")</f>
        <v>1</v>
      </c>
      <c r="R29" s="85">
        <f t="shared" si="25"/>
        <v>1</v>
      </c>
      <c r="S29" s="86">
        <v>1800</v>
      </c>
      <c r="T29" s="86">
        <f t="shared" si="17"/>
        <v>1800</v>
      </c>
      <c r="U29" s="87">
        <f t="shared" si="18"/>
        <v>480</v>
      </c>
      <c r="V29" s="88">
        <f t="shared" si="19"/>
        <v>0</v>
      </c>
      <c r="W29" s="89">
        <f t="shared" si="20"/>
        <v>0</v>
      </c>
      <c r="X29" s="89">
        <f t="shared" si="21"/>
        <v>1800</v>
      </c>
      <c r="Y29" s="90">
        <f t="shared" si="22"/>
        <v>1849.8018640487139</v>
      </c>
      <c r="Z29" s="72">
        <f t="shared" si="23"/>
        <v>0.21052631578947367</v>
      </c>
      <c r="AA29" s="73">
        <f>T29/$T$35</f>
        <v>0.36363636363636365</v>
      </c>
    </row>
    <row r="30" spans="1:27" ht="32.4" x14ac:dyDescent="0.35">
      <c r="A30" s="126">
        <v>18</v>
      </c>
      <c r="B30" s="54" t="s">
        <v>103</v>
      </c>
      <c r="C30" s="127" t="s">
        <v>65</v>
      </c>
      <c r="D30" s="28" t="s">
        <v>78</v>
      </c>
      <c r="E30" s="28" t="s">
        <v>79</v>
      </c>
      <c r="F30" s="129" t="s">
        <v>104</v>
      </c>
      <c r="G30" s="129" t="s">
        <v>130</v>
      </c>
      <c r="H30" s="62">
        <v>30</v>
      </c>
      <c r="I30" s="62">
        <v>1</v>
      </c>
      <c r="J30" s="63">
        <v>58</v>
      </c>
      <c r="K30" s="63">
        <f>IF(F30&lt;&gt;"",H30*I30*J30,"")</f>
        <v>1740</v>
      </c>
      <c r="L30" s="63">
        <f>IF(K30&lt;&gt;"",IF(D30="INTERNO",0,K30*$L$14),"")</f>
        <v>156.6</v>
      </c>
      <c r="M30" s="63">
        <f>IF(K30&lt;&gt;"",IF(E30="FAT.OGGI",SUM(K30:L30)*(1/(1-$M$14)-1),L30*(1/(1-$M$14)-1)),"")</f>
        <v>38.006685721386866</v>
      </c>
      <c r="N30" s="63">
        <f>SUM(K30:M30)</f>
        <v>1934.6066857213868</v>
      </c>
      <c r="Q30" s="92">
        <f>IF(H30&lt;&gt;"",H30,"")</f>
        <v>30</v>
      </c>
      <c r="R30" s="92">
        <f>IF(I30&lt;&gt;"",I30,"")</f>
        <v>1</v>
      </c>
      <c r="S30" s="93">
        <v>45</v>
      </c>
      <c r="T30" s="93">
        <f>IF(Q30&lt;&gt;"",Q30*R30*S30,"")</f>
        <v>1350</v>
      </c>
      <c r="U30" s="94">
        <f>IF(Q30&lt;&gt;"",K30-T30,"")</f>
        <v>390</v>
      </c>
      <c r="V30" s="95">
        <f>IF(Q30&lt;&gt;"",0%,"")</f>
        <v>0</v>
      </c>
      <c r="W30" s="96">
        <f>IF(Q30&lt;&gt;"",V30*U30,"")</f>
        <v>0</v>
      </c>
      <c r="X30" s="96">
        <f>IF(Q30&lt;&gt;"",W30+T30,"")</f>
        <v>1350</v>
      </c>
      <c r="Y30" s="89">
        <f>IF(Q30&lt;&gt;"",X30+M30,"")</f>
        <v>1388.0066857213869</v>
      </c>
      <c r="Z30" s="73">
        <f>IF(Q30&lt;&gt;"",U30/K30,"")</f>
        <v>0.22413793103448276</v>
      </c>
      <c r="AA30" s="73"/>
    </row>
    <row r="31" spans="1:27" ht="32.4" x14ac:dyDescent="0.35">
      <c r="A31" s="97">
        <v>19</v>
      </c>
      <c r="B31" s="54" t="s">
        <v>106</v>
      </c>
      <c r="C31" s="98" t="s">
        <v>65</v>
      </c>
      <c r="D31" s="28" t="s">
        <v>78</v>
      </c>
      <c r="E31" s="28" t="s">
        <v>79</v>
      </c>
      <c r="F31" s="124" t="s">
        <v>131</v>
      </c>
      <c r="G31" s="124" t="s">
        <v>132</v>
      </c>
      <c r="H31" s="100">
        <v>1</v>
      </c>
      <c r="I31" s="100">
        <v>1</v>
      </c>
      <c r="J31" s="101">
        <v>820</v>
      </c>
      <c r="K31" s="101">
        <v>620</v>
      </c>
      <c r="L31" s="101">
        <f>IF(K31&lt;&gt;"",IF(D31="INTERNO",0,K31*$L$14),"")</f>
        <v>55.8</v>
      </c>
      <c r="M31" s="101">
        <f>IF(K31&lt;&gt;"",IF(E31="FAT.OGGI",SUM(K31:L31)*(1/(1-$M$14)-1),L31*(1/(1-$M$14)-1)),"")</f>
        <v>13.542612153597618</v>
      </c>
      <c r="N31" s="101">
        <f>SUM(K31:M31)</f>
        <v>689.34261215359754</v>
      </c>
      <c r="Q31" s="102">
        <f>IF(H31&lt;&gt;"",H31,"")</f>
        <v>1</v>
      </c>
      <c r="R31" s="102">
        <f>IF(I31&lt;&gt;"",I31,"")</f>
        <v>1</v>
      </c>
      <c r="S31" s="103">
        <v>500</v>
      </c>
      <c r="T31" s="103">
        <f>IF(Q31&lt;&gt;"",Q31*R31*S31,"")</f>
        <v>500</v>
      </c>
      <c r="U31" s="104">
        <f>IF(Q31&lt;&gt;"",K31-T31,"")</f>
        <v>120</v>
      </c>
      <c r="V31" s="105">
        <f>IF(Q31&lt;&gt;"",0%,"")</f>
        <v>0</v>
      </c>
      <c r="W31" s="106">
        <f>IF(Q31&lt;&gt;"",V31*U31,"")</f>
        <v>0</v>
      </c>
      <c r="X31" s="106">
        <f>IF(Q31&lt;&gt;"",W31+T31,"")</f>
        <v>500</v>
      </c>
      <c r="Y31" s="70">
        <f>IF(Q31&lt;&gt;"",X31+M31,"")</f>
        <v>513.54261215359759</v>
      </c>
      <c r="Z31" s="73">
        <f>IF(Q31&lt;&gt;"",U31/K31,"")</f>
        <v>0.19354838709677419</v>
      </c>
      <c r="AA31" s="73"/>
    </row>
    <row r="32" spans="1:27" ht="64.8" x14ac:dyDescent="0.35">
      <c r="A32" s="164">
        <v>20</v>
      </c>
      <c r="B32" s="54" t="s">
        <v>109</v>
      </c>
      <c r="C32" s="165" t="s">
        <v>65</v>
      </c>
      <c r="D32" s="109" t="s">
        <v>78</v>
      </c>
      <c r="E32" s="109" t="s">
        <v>79</v>
      </c>
      <c r="F32" s="166" t="s">
        <v>107</v>
      </c>
      <c r="G32" s="167" t="s">
        <v>108</v>
      </c>
      <c r="H32" s="168">
        <v>1</v>
      </c>
      <c r="I32" s="168">
        <v>0</v>
      </c>
      <c r="J32" s="169">
        <v>2300</v>
      </c>
      <c r="K32" s="169">
        <f t="shared" si="14"/>
        <v>0</v>
      </c>
      <c r="L32" s="169">
        <f t="shared" si="15"/>
        <v>0</v>
      </c>
      <c r="M32" s="169">
        <f t="shared" si="16"/>
        <v>0</v>
      </c>
      <c r="N32" s="170">
        <f t="shared" si="24"/>
        <v>0</v>
      </c>
      <c r="Q32" s="171">
        <f t="shared" si="25"/>
        <v>1</v>
      </c>
      <c r="R32" s="172">
        <f t="shared" si="25"/>
        <v>0</v>
      </c>
      <c r="S32" s="173">
        <v>2000</v>
      </c>
      <c r="T32" s="173">
        <f t="shared" si="17"/>
        <v>0</v>
      </c>
      <c r="U32" s="174">
        <f t="shared" si="18"/>
        <v>0</v>
      </c>
      <c r="V32" s="175">
        <f t="shared" si="19"/>
        <v>0</v>
      </c>
      <c r="W32" s="176">
        <f t="shared" si="20"/>
        <v>0</v>
      </c>
      <c r="X32" s="176">
        <f t="shared" si="21"/>
        <v>0</v>
      </c>
      <c r="Y32" s="177">
        <f t="shared" si="22"/>
        <v>0</v>
      </c>
      <c r="Z32" s="72" t="e">
        <f t="shared" si="23"/>
        <v>#DIV/0!</v>
      </c>
      <c r="AA32" s="73">
        <f>T32/$T$35</f>
        <v>0</v>
      </c>
    </row>
    <row r="33" spans="1:27" ht="32.4" x14ac:dyDescent="0.35">
      <c r="A33" s="97">
        <v>21</v>
      </c>
      <c r="B33" s="54" t="s">
        <v>110</v>
      </c>
      <c r="C33" s="98" t="s">
        <v>65</v>
      </c>
      <c r="D33" s="109" t="s">
        <v>78</v>
      </c>
      <c r="E33" s="109" t="s">
        <v>79</v>
      </c>
      <c r="F33" s="130" t="s">
        <v>101</v>
      </c>
      <c r="G33" s="124" t="s">
        <v>102</v>
      </c>
      <c r="H33" s="100">
        <v>30</v>
      </c>
      <c r="I33" s="100">
        <v>0</v>
      </c>
      <c r="J33" s="101">
        <v>600</v>
      </c>
      <c r="K33" s="101">
        <f t="shared" si="14"/>
        <v>0</v>
      </c>
      <c r="L33" s="101">
        <f t="shared" si="15"/>
        <v>0</v>
      </c>
      <c r="M33" s="101">
        <f t="shared" si="16"/>
        <v>0</v>
      </c>
      <c r="N33" s="125">
        <f t="shared" si="24"/>
        <v>0</v>
      </c>
      <c r="Q33" s="119">
        <f t="shared" si="25"/>
        <v>30</v>
      </c>
      <c r="R33" s="120">
        <f t="shared" si="25"/>
        <v>0</v>
      </c>
      <c r="S33" s="67">
        <v>28.3325</v>
      </c>
      <c r="T33" s="67">
        <f t="shared" si="17"/>
        <v>0</v>
      </c>
      <c r="U33" s="68">
        <f t="shared" si="18"/>
        <v>0</v>
      </c>
      <c r="V33" s="69">
        <f t="shared" si="19"/>
        <v>0</v>
      </c>
      <c r="W33" s="70">
        <f t="shared" si="20"/>
        <v>0</v>
      </c>
      <c r="X33" s="70">
        <f t="shared" si="21"/>
        <v>0</v>
      </c>
      <c r="Y33" s="71">
        <f t="shared" si="22"/>
        <v>0</v>
      </c>
      <c r="Z33" s="72" t="e">
        <f t="shared" si="23"/>
        <v>#DIV/0!</v>
      </c>
      <c r="AA33" s="73">
        <f>T33/$T$35</f>
        <v>0</v>
      </c>
    </row>
    <row r="34" spans="1:27" ht="32.4" x14ac:dyDescent="0.35">
      <c r="A34" s="109">
        <v>22</v>
      </c>
      <c r="B34" s="54" t="s">
        <v>133</v>
      </c>
      <c r="C34" s="111" t="s">
        <v>65</v>
      </c>
      <c r="D34" s="109" t="s">
        <v>78</v>
      </c>
      <c r="E34" s="109" t="s">
        <v>79</v>
      </c>
      <c r="F34" s="131" t="s">
        <v>111</v>
      </c>
      <c r="G34" s="132" t="s">
        <v>105</v>
      </c>
      <c r="H34" s="110">
        <v>1</v>
      </c>
      <c r="I34" s="110">
        <v>1</v>
      </c>
      <c r="J34" s="133">
        <v>700</v>
      </c>
      <c r="K34" s="133">
        <f t="shared" si="14"/>
        <v>700</v>
      </c>
      <c r="L34" s="133">
        <f t="shared" si="15"/>
        <v>63</v>
      </c>
      <c r="M34" s="133">
        <f t="shared" si="16"/>
        <v>15.290045979868278</v>
      </c>
      <c r="N34" s="134">
        <f t="shared" si="24"/>
        <v>778.2900459798683</v>
      </c>
      <c r="Q34" s="135">
        <v>1</v>
      </c>
      <c r="R34" s="136">
        <f>IF(I34&lt;&gt;"",I34,"")</f>
        <v>1</v>
      </c>
      <c r="S34" s="137">
        <v>700</v>
      </c>
      <c r="T34" s="137">
        <f t="shared" si="17"/>
        <v>700</v>
      </c>
      <c r="U34" s="138">
        <f t="shared" si="18"/>
        <v>0</v>
      </c>
      <c r="V34" s="139">
        <f t="shared" si="19"/>
        <v>0</v>
      </c>
      <c r="W34" s="140">
        <f t="shared" si="20"/>
        <v>0</v>
      </c>
      <c r="X34" s="140">
        <f t="shared" si="21"/>
        <v>700</v>
      </c>
      <c r="Y34" s="141">
        <f t="shared" si="22"/>
        <v>715.2900459798683</v>
      </c>
      <c r="Z34" s="72">
        <f t="shared" si="23"/>
        <v>0</v>
      </c>
      <c r="AA34" s="73">
        <f>T34/$T$35</f>
        <v>0.14141414141414141</v>
      </c>
    </row>
    <row r="35" spans="1:27" customFormat="1" ht="29.1" customHeight="1" thickBot="1" x14ac:dyDescent="0.4">
      <c r="A35" s="126">
        <v>23</v>
      </c>
      <c r="B35" s="54"/>
      <c r="C35" s="127" t="s">
        <v>73</v>
      </c>
      <c r="D35" s="126"/>
      <c r="E35" s="126"/>
      <c r="F35" s="455" t="s">
        <v>113</v>
      </c>
      <c r="G35" s="456"/>
      <c r="H35" s="456"/>
      <c r="I35" s="456"/>
      <c r="J35" s="456"/>
      <c r="K35" s="142">
        <f>SUM(K28:K34)</f>
        <v>6440</v>
      </c>
      <c r="L35" s="142">
        <f>SUM(L28:L34)</f>
        <v>579.59999999999991</v>
      </c>
      <c r="M35" s="142">
        <f>SUM(M28:M34)</f>
        <v>140.66842301478815</v>
      </c>
      <c r="N35" s="192">
        <f>SUM(N28:N34)</f>
        <v>7160.2684230147888</v>
      </c>
      <c r="Q35" s="452" t="s">
        <v>113</v>
      </c>
      <c r="R35" s="453"/>
      <c r="S35" s="453"/>
      <c r="T35" s="143">
        <f>SUM(T28:T34)</f>
        <v>4950</v>
      </c>
      <c r="U35" s="144">
        <f>SUM(U28:U34)</f>
        <v>1490</v>
      </c>
      <c r="V35" s="145"/>
      <c r="W35" s="145"/>
      <c r="X35" s="146">
        <f>SUM(X28:X34)</f>
        <v>4950</v>
      </c>
      <c r="Y35" s="147">
        <f t="shared" si="22"/>
        <v>5090.6684230147885</v>
      </c>
    </row>
    <row r="36" spans="1:27" customFormat="1" ht="21.6" customHeight="1" thickBot="1" x14ac:dyDescent="0.4">
      <c r="A36" s="126">
        <v>24</v>
      </c>
      <c r="B36" s="54"/>
      <c r="C36" s="127" t="s">
        <v>134</v>
      </c>
      <c r="D36" s="126"/>
      <c r="E36" s="126"/>
      <c r="F36" s="445" t="s">
        <v>135</v>
      </c>
      <c r="G36" s="446"/>
      <c r="H36" s="446"/>
      <c r="I36" s="446"/>
      <c r="J36" s="446"/>
      <c r="K36" s="148">
        <f>SUM(K28:K34)</f>
        <v>6440</v>
      </c>
      <c r="L36" s="148">
        <f>SUM(L28:L34)</f>
        <v>579.59999999999991</v>
      </c>
      <c r="M36" s="148">
        <f>SUM(M28:M34)</f>
        <v>140.66842301478815</v>
      </c>
      <c r="N36" s="149">
        <f>SUM(N28:N34)</f>
        <v>7160.2684230147888</v>
      </c>
      <c r="Q36" s="447" t="s">
        <v>135</v>
      </c>
      <c r="R36" s="448"/>
      <c r="S36" s="448"/>
      <c r="T36" s="150">
        <f>SUM(T28:T34)</f>
        <v>4950</v>
      </c>
      <c r="U36" s="151">
        <f>SUM(U28:U34)</f>
        <v>1490</v>
      </c>
      <c r="V36" s="152"/>
      <c r="W36" s="152"/>
      <c r="X36" s="153">
        <f>SUM(X28:X34)</f>
        <v>4950</v>
      </c>
      <c r="Y36" s="154">
        <f t="shared" si="22"/>
        <v>5090.6684230147885</v>
      </c>
      <c r="Z36" s="155" t="s">
        <v>114</v>
      </c>
      <c r="AA36" s="183" t="s">
        <v>115</v>
      </c>
    </row>
    <row r="37" spans="1:27" customFormat="1" ht="27.6" customHeight="1" thickBot="1" x14ac:dyDescent="0.5">
      <c r="A37" s="97">
        <v>25</v>
      </c>
      <c r="B37" s="156"/>
      <c r="C37" s="98" t="s">
        <v>116</v>
      </c>
      <c r="D37" s="97"/>
      <c r="E37" s="97"/>
      <c r="F37" s="157" t="s">
        <v>117</v>
      </c>
      <c r="G37" s="158"/>
      <c r="H37" s="179"/>
      <c r="I37" s="179"/>
      <c r="J37" s="158"/>
      <c r="K37" s="159">
        <f>SUM(K17:K18)+SUM(K22:K25)+SUM(K28:K34)</f>
        <v>26090</v>
      </c>
      <c r="L37" s="159">
        <f>SUM(L17:L18)+SUM(L22:L25)+SUM(L28:L34)</f>
        <v>1988.1</v>
      </c>
      <c r="M37" s="159">
        <f>SUM(M17:M18)+SUM(M22:M25)+SUM(M28:M34)</f>
        <v>1453.3067354293532</v>
      </c>
      <c r="N37" s="182">
        <f>SUM(N17:N18)+SUM(N22:N25)+SUM(N28:N34)</f>
        <v>29531.406735429355</v>
      </c>
      <c r="Q37" s="157" t="s">
        <v>118</v>
      </c>
      <c r="R37" s="158"/>
      <c r="S37" s="158"/>
      <c r="T37" s="159">
        <f>SUM(T17:T18)+SUM(T22:T25)+SUM(T28:T34)</f>
        <v>208020</v>
      </c>
      <c r="U37" s="159">
        <f>SUM(U17:U18)+SUM(U22:U25)+SUM(U28:U34)</f>
        <v>-181930</v>
      </c>
      <c r="V37" s="158"/>
      <c r="W37" s="158"/>
      <c r="X37" s="159">
        <f>SUM(X17:X18)+SUM(X22:X25)+SUM(X28:X34)</f>
        <v>208020</v>
      </c>
      <c r="Y37" s="182">
        <f>SUM(Y17:Y18)+SUM(Y22:Y25)+SUM(Y28:Y34)</f>
        <v>209473.30673542936</v>
      </c>
      <c r="Z37" s="160">
        <f>IF(Q37&lt;&gt;"",(N37-Y37)/N37,"")</f>
        <v>-6.093238348314796</v>
      </c>
      <c r="AA37" s="184">
        <f>IF(Z37&lt;&gt;"",(N37-Y37),"")</f>
        <v>-179941.9</v>
      </c>
    </row>
    <row r="38" spans="1:27" customFormat="1" ht="30.9" customHeight="1" x14ac:dyDescent="0.3">
      <c r="H38" s="180"/>
      <c r="I38" s="180"/>
      <c r="N38" s="181"/>
    </row>
    <row r="39" spans="1:27" customFormat="1" ht="30.9" customHeight="1" x14ac:dyDescent="0.3">
      <c r="A39" s="161"/>
      <c r="B39" s="161"/>
      <c r="C39" s="161"/>
      <c r="D39" s="161"/>
      <c r="E39" s="161"/>
      <c r="H39" s="180"/>
      <c r="I39" s="180"/>
    </row>
    <row r="40" spans="1:27" customFormat="1" ht="26.1" customHeight="1" x14ac:dyDescent="0.3">
      <c r="A40" s="161"/>
      <c r="B40" s="161"/>
      <c r="C40" s="161"/>
      <c r="D40" s="161"/>
      <c r="E40" s="161"/>
      <c r="H40" s="180"/>
      <c r="I40" s="180"/>
      <c r="N40" s="181"/>
    </row>
  </sheetData>
  <mergeCells count="25">
    <mergeCell ref="F19:J19"/>
    <mergeCell ref="Q19:S19"/>
    <mergeCell ref="F1:G1"/>
    <mergeCell ref="F2:G2"/>
    <mergeCell ref="Q12:T12"/>
    <mergeCell ref="AK12:AL12"/>
    <mergeCell ref="F15:N15"/>
    <mergeCell ref="Q15:Y15"/>
    <mergeCell ref="F16:K16"/>
    <mergeCell ref="Q16:Y16"/>
    <mergeCell ref="U12:X12"/>
    <mergeCell ref="AC12:AE12"/>
    <mergeCell ref="AG12:AH12"/>
    <mergeCell ref="F20:N20"/>
    <mergeCell ref="Q20:Y20"/>
    <mergeCell ref="F21:K21"/>
    <mergeCell ref="Q21:Y21"/>
    <mergeCell ref="F26:J26"/>
    <mergeCell ref="Q26:S26"/>
    <mergeCell ref="F36:J36"/>
    <mergeCell ref="Q36:S36"/>
    <mergeCell ref="F27:K27"/>
    <mergeCell ref="Q27:Y27"/>
    <mergeCell ref="F35:J35"/>
    <mergeCell ref="Q35:S35"/>
  </mergeCells>
  <dataValidations count="3">
    <dataValidation type="list" allowBlank="1" showInputMessage="1" showErrorMessage="1" sqref="E17:E18 E22:E34" xr:uid="{7FE34771-4018-4DFF-942E-89F9912255D1}">
      <formula1>"FAT.OGGI,FAT.CLIENTE"</formula1>
    </dataValidation>
    <dataValidation type="list" allowBlank="1" showInputMessage="1" showErrorMessage="1" sqref="D17:D18 D37 D22:D34" xr:uid="{085DB121-D5C3-49D7-8701-0C300D5589A7}">
      <formula1>"INTERNO,OPERACIONAL"</formula1>
    </dataValidation>
    <dataValidation type="list" allowBlank="1" showInputMessage="1" showErrorMessage="1" sqref="E37" xr:uid="{A73A3FC5-4783-49E8-9C0A-E0A11304DE6C}">
      <formula1>"FAT.OGGI,FAT.CLIENTE 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88C4C5C67B1C40A7414AD25E2D3AE6" ma:contentTypeVersion="13" ma:contentTypeDescription="Crie um novo documento." ma:contentTypeScope="" ma:versionID="1b5178e88f018b74586964b6babab4f8">
  <xsd:schema xmlns:xsd="http://www.w3.org/2001/XMLSchema" xmlns:xs="http://www.w3.org/2001/XMLSchema" xmlns:p="http://schemas.microsoft.com/office/2006/metadata/properties" xmlns:ns2="29a79990-ee87-4241-abc6-9e01ab9b2464" xmlns:ns3="8f4bf414-7d56-47ef-876f-a064b6139123" targetNamespace="http://schemas.microsoft.com/office/2006/metadata/properties" ma:root="true" ma:fieldsID="266d05339a4efad8584a7b69e9357b72" ns2:_="" ns3:_="">
    <xsd:import namespace="29a79990-ee87-4241-abc6-9e01ab9b2464"/>
    <xsd:import namespace="8f4bf414-7d56-47ef-876f-a064b61391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a79990-ee87-4241-abc6-9e01ab9b2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dd800daa-7c7e-4072-b01c-3023f6f7af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4bf414-7d56-47ef-876f-a064b613912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89cacdc-4c80-4a01-81af-803e241e380a}" ma:internalName="TaxCatchAll" ma:showField="CatchAllData" ma:web="8f4bf414-7d56-47ef-876f-a064b61391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4bf414-7d56-47ef-876f-a064b6139123" xsi:nil="true"/>
    <lcf76f155ced4ddcb4097134ff3c332f xmlns="29a79990-ee87-4241-abc6-9e01ab9b246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D1C005-36D4-43E0-B8B4-4CA3B85A8B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a79990-ee87-4241-abc6-9e01ab9b2464"/>
    <ds:schemaRef ds:uri="8f4bf414-7d56-47ef-876f-a064b61391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558F82-9787-41F6-B5EF-CAC0ACF5F4F2}">
  <ds:schemaRefs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  <ds:schemaRef ds:uri="29a79990-ee87-4241-abc6-9e01ab9b2464"/>
    <ds:schemaRef ds:uri="http://schemas.microsoft.com/office/infopath/2007/PartnerControls"/>
    <ds:schemaRef ds:uri="8f4bf414-7d56-47ef-876f-a064b6139123"/>
  </ds:schemaRefs>
</ds:datastoreItem>
</file>

<file path=customXml/itemProps3.xml><?xml version="1.0" encoding="utf-8"?>
<ds:datastoreItem xmlns:ds="http://schemas.openxmlformats.org/officeDocument/2006/customXml" ds:itemID="{59862726-A282-4940-9962-169A687803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</vt:lpstr>
      <vt:lpstr>Fogo y Fuego</vt:lpstr>
      <vt:lpstr>Fogo y Fuego (2)</vt:lpstr>
      <vt:lpstr>Planilha1</vt:lpstr>
      <vt:lpstr>A Casa de Antonia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Silvia Brito</dc:creator>
  <cp:keywords/>
  <dc:description/>
  <cp:lastModifiedBy>Bruno Silva</cp:lastModifiedBy>
  <cp:revision/>
  <cp:lastPrinted>2026-03-16T20:16:00Z</cp:lastPrinted>
  <dcterms:created xsi:type="dcterms:W3CDTF">2025-07-11T19:06:01Z</dcterms:created>
  <dcterms:modified xsi:type="dcterms:W3CDTF">2026-03-24T22:58:51Z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0x010100F388C4C5C67B1C40A7414AD25E2D3AE6</vt:lpwstr>
  </property>
  <property fmtid="{D5CDD505-2E9C-101B-9397-08002B2CF9AE}" pid="3" name="Order">
    <vt:r8>5200</vt:r8>
  </property>
  <property fmtid="{D5CDD505-2E9C-101B-9397-08002B2CF9AE}" pid="4" name="MediaServiceImageTags">
    <vt:lpwstr/>
  </property>
</Properties>
</file>