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GGI LIVE\Fechamentos\2026\JOBS\OGGI\05 maio\"/>
    </mc:Choice>
  </mc:AlternateContent>
  <xr:revisionPtr revIDLastSave="0" documentId="13_ncr:1_{F6EB8C39-3705-4248-874F-087760564375}" xr6:coauthVersionLast="47" xr6:coauthVersionMax="47" xr10:uidLastSave="{00000000-0000-0000-0000-000000000000}"/>
  <bookViews>
    <workbookView xWindow="-108" yWindow="-108" windowWidth="23256" windowHeight="12456" xr2:uid="{05979E3C-1609-4DCD-A32F-73E36D5D9B19}"/>
  </bookViews>
  <sheets>
    <sheet name="RESUMO" sheetId="5" r:id="rId1"/>
    <sheet name="OPÇÃO 1" sheetId="1" r:id="rId2"/>
    <sheet name="EXTRAS" sheetId="4" r:id="rId3"/>
    <sheet name="CUSTOS OP." sheetId="6" r:id="rId4"/>
    <sheet name="Planilha1" sheetId="2" r:id="rId5"/>
    <sheet name="Planilha2" sheetId="3" r:id="rId6"/>
  </sheets>
  <externalReferences>
    <externalReference r:id="rId7"/>
  </externalReferences>
  <definedNames>
    <definedName name="_xlnm._FilterDatabase" localSheetId="2" hidden="1">EXTRAS!$A$1:$AL$14</definedName>
    <definedName name="_xlnm._FilterDatabase" localSheetId="1" hidden="1">'OPÇÃO 1'!$A$17:$AO$51</definedName>
    <definedName name="itensorc_desconto">#REF!</definedName>
    <definedName name="itensorc_descricao">#REF!</definedName>
    <definedName name="itensorc_encargos">#REF!</definedName>
    <definedName name="itensorc_especifica">#REF!</definedName>
    <definedName name="itensorc_item">#REF!</definedName>
    <definedName name="itensorc_lancamento">#REF!</definedName>
    <definedName name="itensorc_percentualhonorarios">#REF!</definedName>
    <definedName name="itensorc_quantidade">#REF!</definedName>
    <definedName name="itensorc_situacao">#REF!</definedName>
    <definedName name="itensorc_subtipo">#REF!</definedName>
    <definedName name="itensorc_tiporeceita">#REF!</definedName>
    <definedName name="itensorc_valor">#REF!</definedName>
    <definedName name="itensorc_valorfornecedor">#REF!</definedName>
    <definedName name="itensorc_valorfornecedorunitario">#REF!</definedName>
    <definedName name="itensorc_valorunitari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5" l="1"/>
  <c r="E30" i="5"/>
  <c r="D30" i="5"/>
  <c r="F24" i="5"/>
  <c r="C24" i="5"/>
  <c r="D24" i="5"/>
  <c r="E24" i="5"/>
  <c r="AM57" i="1"/>
  <c r="AM56" i="1"/>
  <c r="AM55" i="1"/>
  <c r="C23" i="5"/>
  <c r="C32" i="5"/>
  <c r="AN27" i="1"/>
  <c r="AN24" i="1"/>
  <c r="AN41" i="1"/>
  <c r="G15" i="6"/>
  <c r="AN40" i="1" s="1"/>
  <c r="AN21" i="4"/>
  <c r="AM18" i="4"/>
  <c r="AM17" i="4"/>
  <c r="AN51" i="1" l="1"/>
  <c r="E3" i="5"/>
  <c r="S40" i="1" l="1"/>
  <c r="N21" i="4" l="1"/>
  <c r="K18" i="4" l="1"/>
  <c r="Q18" i="4"/>
  <c r="L18" i="4" l="1"/>
  <c r="N18" i="4" s="1"/>
  <c r="M18" i="4"/>
  <c r="T18" i="4"/>
  <c r="U18" i="4" s="1"/>
  <c r="Z18" i="4" s="1"/>
  <c r="V18" i="4"/>
  <c r="W18" i="4" l="1"/>
  <c r="X18" i="4" s="1"/>
  <c r="Y18" i="4" s="1"/>
  <c r="Q19" i="4" l="1"/>
  <c r="K19" i="4"/>
  <c r="L19" i="4" s="1"/>
  <c r="Q17" i="4"/>
  <c r="V17" i="4" s="1"/>
  <c r="K17" i="4"/>
  <c r="Q16" i="4"/>
  <c r="Q15" i="4"/>
  <c r="M14" i="4"/>
  <c r="Z12" i="4" s="1"/>
  <c r="E3" i="2"/>
  <c r="E6" i="2" s="1"/>
  <c r="E4" i="2"/>
  <c r="E5" i="2"/>
  <c r="E2" i="2"/>
  <c r="L17" i="4" l="1"/>
  <c r="M17" i="4" s="1"/>
  <c r="K20" i="4"/>
  <c r="K21" i="4"/>
  <c r="M19" i="4"/>
  <c r="N19" i="4" s="1"/>
  <c r="V19" i="4"/>
  <c r="T17" i="4"/>
  <c r="R41" i="1"/>
  <c r="Q41" i="1"/>
  <c r="V41" i="1" s="1"/>
  <c r="K41" i="1"/>
  <c r="U17" i="4" l="1"/>
  <c r="T21" i="4"/>
  <c r="M21" i="4"/>
  <c r="M20" i="4"/>
  <c r="L20" i="4"/>
  <c r="L21" i="4"/>
  <c r="AA19" i="4"/>
  <c r="U19" i="4"/>
  <c r="Z17" i="4"/>
  <c r="N17" i="4"/>
  <c r="W17" i="4"/>
  <c r="X17" i="4" s="1"/>
  <c r="L41" i="1"/>
  <c r="N20" i="4" l="1"/>
  <c r="U20" i="4"/>
  <c r="U21" i="4"/>
  <c r="AA17" i="4"/>
  <c r="Y17" i="4"/>
  <c r="W19" i="4"/>
  <c r="X19" i="4" s="1"/>
  <c r="Z19" i="4"/>
  <c r="U41" i="1"/>
  <c r="Z41" i="1" s="1"/>
  <c r="Y19" i="4" l="1"/>
  <c r="Y21" i="4" s="1"/>
  <c r="Z21" i="4" s="1"/>
  <c r="AA21" i="4" s="1"/>
  <c r="AM19" i="4"/>
  <c r="AM21" i="4" s="1"/>
  <c r="X21" i="4"/>
  <c r="D23" i="5" s="1"/>
  <c r="E23" i="5" s="1"/>
  <c r="F23" i="5" s="1"/>
  <c r="X20" i="4"/>
  <c r="Y20" i="4" s="1"/>
  <c r="W41" i="1"/>
  <c r="X41" i="1" s="1"/>
  <c r="AM41" i="1" s="1"/>
  <c r="Q46" i="1"/>
  <c r="V46" i="1" s="1"/>
  <c r="K46" i="1"/>
  <c r="K44" i="1"/>
  <c r="L44" i="1" l="1"/>
  <c r="V44" i="1"/>
  <c r="U46" i="1"/>
  <c r="Z46" i="1" s="1"/>
  <c r="L46" i="1"/>
  <c r="U44" i="1"/>
  <c r="Z44" i="1" l="1"/>
  <c r="W46" i="1"/>
  <c r="X46" i="1" s="1"/>
  <c r="AM46" i="1" s="1"/>
  <c r="W44" i="1"/>
  <c r="X44" i="1" s="1"/>
  <c r="AM44" i="1" s="1"/>
  <c r="R48" i="1" l="1"/>
  <c r="K48" i="1"/>
  <c r="Q47" i="1"/>
  <c r="K47" i="1"/>
  <c r="R45" i="1"/>
  <c r="Q45" i="1"/>
  <c r="K45" i="1"/>
  <c r="Q43" i="1"/>
  <c r="R40" i="1"/>
  <c r="Q40" i="1"/>
  <c r="V40" i="1" s="1"/>
  <c r="K40" i="1"/>
  <c r="L40" i="1" s="1"/>
  <c r="R39" i="1"/>
  <c r="Q39" i="1"/>
  <c r="V39" i="1" s="1"/>
  <c r="K39" i="1"/>
  <c r="V38" i="1"/>
  <c r="K38" i="1"/>
  <c r="R37" i="1"/>
  <c r="Q37" i="1"/>
  <c r="V37" i="1" s="1"/>
  <c r="K37" i="1"/>
  <c r="Q36" i="1"/>
  <c r="V34" i="1"/>
  <c r="T34" i="1"/>
  <c r="K34" i="1"/>
  <c r="Q33" i="1"/>
  <c r="K33" i="1"/>
  <c r="V32" i="1"/>
  <c r="T32" i="1"/>
  <c r="K32" i="1"/>
  <c r="R31" i="1"/>
  <c r="Q31" i="1"/>
  <c r="K31" i="1"/>
  <c r="Q30" i="1"/>
  <c r="Q29" i="1"/>
  <c r="R27" i="1"/>
  <c r="Q27" i="1"/>
  <c r="V27" i="1" s="1"/>
  <c r="K27" i="1"/>
  <c r="K28" i="1" s="1"/>
  <c r="Q26" i="1"/>
  <c r="R24" i="1"/>
  <c r="Q24" i="1"/>
  <c r="K24" i="1"/>
  <c r="K25" i="1" s="1"/>
  <c r="Q23" i="1"/>
  <c r="Q22" i="1"/>
  <c r="R20" i="1"/>
  <c r="Q20" i="1"/>
  <c r="K20" i="1"/>
  <c r="R19" i="1"/>
  <c r="Q19" i="1"/>
  <c r="K19" i="1"/>
  <c r="R18" i="1"/>
  <c r="Q18" i="1"/>
  <c r="V18" i="1" s="1"/>
  <c r="K18" i="1"/>
  <c r="L18" i="1" s="1"/>
  <c r="R17" i="1"/>
  <c r="Q17" i="1"/>
  <c r="K17" i="1"/>
  <c r="Q16" i="1"/>
  <c r="Q15" i="1"/>
  <c r="M14" i="1"/>
  <c r="K49" i="1" l="1"/>
  <c r="K42" i="1"/>
  <c r="K21" i="1"/>
  <c r="K51" i="1"/>
  <c r="K35" i="1"/>
  <c r="K50" i="1"/>
  <c r="M41" i="1"/>
  <c r="Y41" i="1" s="1"/>
  <c r="N41" i="1"/>
  <c r="M46" i="1"/>
  <c r="Z12" i="1"/>
  <c r="M44" i="1"/>
  <c r="L47" i="1"/>
  <c r="M47" i="1" s="1"/>
  <c r="L17" i="1"/>
  <c r="T33" i="1"/>
  <c r="U33" i="1" s="1"/>
  <c r="Z33" i="1" s="1"/>
  <c r="U38" i="1"/>
  <c r="Z38" i="1" s="1"/>
  <c r="V33" i="1"/>
  <c r="T37" i="1"/>
  <c r="U34" i="1"/>
  <c r="Z34" i="1" s="1"/>
  <c r="V45" i="1"/>
  <c r="U19" i="1"/>
  <c r="Z19" i="1" s="1"/>
  <c r="V19" i="1"/>
  <c r="T28" i="1"/>
  <c r="L39" i="1"/>
  <c r="M39" i="1" s="1"/>
  <c r="V24" i="1"/>
  <c r="U32" i="1"/>
  <c r="Z32" i="1" s="1"/>
  <c r="L37" i="1"/>
  <c r="L31" i="1"/>
  <c r="M18" i="1"/>
  <c r="N18" i="1" s="1"/>
  <c r="L32" i="1"/>
  <c r="T24" i="1"/>
  <c r="T25" i="1" s="1"/>
  <c r="V20" i="1"/>
  <c r="V47" i="1"/>
  <c r="V48" i="1"/>
  <c r="M40" i="1"/>
  <c r="N40" i="1" s="1"/>
  <c r="L45" i="1"/>
  <c r="L27" i="1"/>
  <c r="L28" i="1" s="1"/>
  <c r="L34" i="1"/>
  <c r="M34" i="1" s="1"/>
  <c r="N34" i="1" s="1"/>
  <c r="L48" i="1"/>
  <c r="L19" i="1"/>
  <c r="T31" i="1"/>
  <c r="L38" i="1"/>
  <c r="L24" i="1"/>
  <c r="L25" i="1" s="1"/>
  <c r="U40" i="1"/>
  <c r="W40" i="1" s="1"/>
  <c r="X40" i="1" s="1"/>
  <c r="AM40" i="1" s="1"/>
  <c r="L33" i="1"/>
  <c r="T17" i="1"/>
  <c r="L20" i="1"/>
  <c r="V31" i="1"/>
  <c r="V17" i="1"/>
  <c r="T18" i="1"/>
  <c r="U18" i="1" s="1"/>
  <c r="L21" i="1" l="1"/>
  <c r="L51" i="1"/>
  <c r="T35" i="1"/>
  <c r="AA31" i="1" s="1"/>
  <c r="T50" i="1"/>
  <c r="L35" i="1"/>
  <c r="L50" i="1"/>
  <c r="M45" i="1"/>
  <c r="N45" i="1" s="1"/>
  <c r="L49" i="1"/>
  <c r="T42" i="1"/>
  <c r="L42" i="1"/>
  <c r="T21" i="1"/>
  <c r="AA19" i="1" s="1"/>
  <c r="T51" i="1"/>
  <c r="T49" i="1"/>
  <c r="AA47" i="1" s="1"/>
  <c r="M17" i="1"/>
  <c r="U37" i="1"/>
  <c r="AA24" i="1"/>
  <c r="N46" i="1"/>
  <c r="Y46" i="1"/>
  <c r="M48" i="1"/>
  <c r="N48" i="1" s="1"/>
  <c r="M38" i="1"/>
  <c r="N38" i="1" s="1"/>
  <c r="N44" i="1"/>
  <c r="Y44" i="1"/>
  <c r="U45" i="1"/>
  <c r="U48" i="1"/>
  <c r="Z48" i="1" s="1"/>
  <c r="U47" i="1"/>
  <c r="N47" i="1"/>
  <c r="U27" i="1"/>
  <c r="U28" i="1" s="1"/>
  <c r="AA27" i="1"/>
  <c r="N17" i="1"/>
  <c r="W34" i="1"/>
  <c r="X34" i="1" s="1"/>
  <c r="W38" i="1"/>
  <c r="X38" i="1" s="1"/>
  <c r="AM38" i="1" s="1"/>
  <c r="U17" i="1"/>
  <c r="U39" i="1"/>
  <c r="W39" i="1" s="1"/>
  <c r="X39" i="1" s="1"/>
  <c r="AM39" i="1" s="1"/>
  <c r="W33" i="1"/>
  <c r="X33" i="1" s="1"/>
  <c r="AM33" i="1" s="1"/>
  <c r="W19" i="1"/>
  <c r="X19" i="1" s="1"/>
  <c r="AM19" i="1" s="1"/>
  <c r="N39" i="1"/>
  <c r="Y40" i="1"/>
  <c r="M27" i="1"/>
  <c r="M28" i="1" s="1"/>
  <c r="M32" i="1"/>
  <c r="N32" i="1" s="1"/>
  <c r="Z40" i="1"/>
  <c r="Z18" i="1"/>
  <c r="W18" i="1"/>
  <c r="X18" i="1" s="1"/>
  <c r="M33" i="1"/>
  <c r="N33" i="1" s="1"/>
  <c r="M24" i="1"/>
  <c r="M25" i="1" s="1"/>
  <c r="W32" i="1"/>
  <c r="X32" i="1" s="1"/>
  <c r="AM32" i="1" s="1"/>
  <c r="M31" i="1"/>
  <c r="U31" i="1"/>
  <c r="M19" i="1"/>
  <c r="M20" i="1"/>
  <c r="N20" i="1" s="1"/>
  <c r="U20" i="1"/>
  <c r="Z20" i="1" s="1"/>
  <c r="M37" i="1"/>
  <c r="U24" i="1"/>
  <c r="U25" i="1" s="1"/>
  <c r="Y34" i="1" l="1"/>
  <c r="AM34" i="1"/>
  <c r="Y18" i="1"/>
  <c r="AM18" i="1"/>
  <c r="U42" i="1"/>
  <c r="U21" i="1"/>
  <c r="U51" i="1"/>
  <c r="M42" i="1"/>
  <c r="U35" i="1"/>
  <c r="U50" i="1"/>
  <c r="M49" i="1"/>
  <c r="M51" i="1"/>
  <c r="M21" i="1"/>
  <c r="M50" i="1"/>
  <c r="M35" i="1"/>
  <c r="W45" i="1"/>
  <c r="X45" i="1" s="1"/>
  <c r="AM45" i="1" s="1"/>
  <c r="U49" i="1"/>
  <c r="N49" i="1"/>
  <c r="W37" i="1"/>
  <c r="X37" i="1" s="1"/>
  <c r="AM37" i="1" s="1"/>
  <c r="Z37" i="1"/>
  <c r="Z27" i="1"/>
  <c r="W17" i="1"/>
  <c r="X17" i="1" s="1"/>
  <c r="AM17" i="1" s="1"/>
  <c r="Y38" i="1"/>
  <c r="W47" i="1"/>
  <c r="X47" i="1" s="1"/>
  <c r="AA48" i="1"/>
  <c r="AA46" i="1"/>
  <c r="AA45" i="1"/>
  <c r="AA44" i="1"/>
  <c r="Z45" i="1"/>
  <c r="W48" i="1"/>
  <c r="X48" i="1" s="1"/>
  <c r="Z47" i="1"/>
  <c r="Y33" i="1"/>
  <c r="Y19" i="1"/>
  <c r="N31" i="1"/>
  <c r="W27" i="1"/>
  <c r="X27" i="1" s="1"/>
  <c r="Z17" i="1"/>
  <c r="Y39" i="1"/>
  <c r="Z39" i="1"/>
  <c r="N27" i="1"/>
  <c r="N28" i="1" s="1"/>
  <c r="Y32" i="1"/>
  <c r="AA34" i="1"/>
  <c r="AA32" i="1"/>
  <c r="AA33" i="1"/>
  <c r="N37" i="1"/>
  <c r="N42" i="1" s="1"/>
  <c r="AA37" i="1"/>
  <c r="AA38" i="1"/>
  <c r="AA39" i="1"/>
  <c r="N19" i="1"/>
  <c r="N51" i="1" s="1"/>
  <c r="C22" i="5" s="1"/>
  <c r="AA20" i="1"/>
  <c r="AA40" i="1"/>
  <c r="Z31" i="1"/>
  <c r="W31" i="1"/>
  <c r="X31" i="1" s="1"/>
  <c r="AM31" i="1" s="1"/>
  <c r="W24" i="1"/>
  <c r="X24" i="1" s="1"/>
  <c r="Z24" i="1"/>
  <c r="N24" i="1"/>
  <c r="N25" i="1" s="1"/>
  <c r="AA18" i="1"/>
  <c r="AA17" i="1"/>
  <c r="W20" i="1"/>
  <c r="X20" i="1" s="1"/>
  <c r="Y48" i="1" l="1"/>
  <c r="AM48" i="1"/>
  <c r="Y47" i="1"/>
  <c r="AM47" i="1"/>
  <c r="X25" i="1"/>
  <c r="Y25" i="1" s="1"/>
  <c r="AM24" i="1"/>
  <c r="X28" i="1"/>
  <c r="AM27" i="1"/>
  <c r="Y20" i="1"/>
  <c r="AM20" i="1"/>
  <c r="X21" i="1"/>
  <c r="Y21" i="1" s="1"/>
  <c r="X51" i="1"/>
  <c r="D22" i="5" s="1"/>
  <c r="N21" i="1"/>
  <c r="N35" i="1"/>
  <c r="N50" i="1"/>
  <c r="Y37" i="1"/>
  <c r="X42" i="1"/>
  <c r="Y42" i="1" s="1"/>
  <c r="X35" i="1"/>
  <c r="Y35" i="1" s="1"/>
  <c r="X50" i="1"/>
  <c r="Y50" i="1" s="1"/>
  <c r="Y45" i="1"/>
  <c r="X49" i="1"/>
  <c r="Y49" i="1" s="1"/>
  <c r="Y17" i="1"/>
  <c r="Y28" i="1"/>
  <c r="Y27" i="1"/>
  <c r="Y31" i="1"/>
  <c r="Y24" i="1"/>
  <c r="AM51" i="1" l="1"/>
  <c r="E22" i="5"/>
  <c r="F22" i="5" s="1"/>
  <c r="Y51" i="1"/>
  <c r="Z51" i="1" l="1"/>
  <c r="AA51" i="1" s="1"/>
  <c r="D32" i="5"/>
  <c r="E32" i="5" s="1"/>
  <c r="F32" i="5" s="1"/>
</calcChain>
</file>

<file path=xl/sharedStrings.xml><?xml version="1.0" encoding="utf-8"?>
<sst xmlns="http://schemas.openxmlformats.org/spreadsheetml/2006/main" count="545" uniqueCount="265">
  <si>
    <t>ORÇAMENTO 5.2</t>
  </si>
  <si>
    <t>Oggi Comunicação e Eventos</t>
  </si>
  <si>
    <t xml:space="preserve">CÓDIGO DO JOB: </t>
  </si>
  <si>
    <t>CLIENTE:</t>
  </si>
  <si>
    <t xml:space="preserve"> </t>
  </si>
  <si>
    <t>EVENTO:</t>
  </si>
  <si>
    <t>LOCAL:</t>
  </si>
  <si>
    <t xml:space="preserve">   </t>
  </si>
  <si>
    <t>DATA:</t>
  </si>
  <si>
    <t>ATENDIMENTO:</t>
  </si>
  <si>
    <t>PRODUTOR:</t>
  </si>
  <si>
    <t>NOME PLANILHA:</t>
  </si>
  <si>
    <t>CUSTOS (valor de custo c/ NF ou recibo)</t>
  </si>
  <si>
    <t>DIFERENÇA NF (Lucro)</t>
  </si>
  <si>
    <t>ENCARGOS PUBLI</t>
  </si>
  <si>
    <t>SOLICITAÇÃO DE PAGAMENTO</t>
  </si>
  <si>
    <t>FORNECEDOR</t>
  </si>
  <si>
    <t>Solicitado</t>
  </si>
  <si>
    <t>PAGAMENTOS</t>
  </si>
  <si>
    <t>ÍNDICE</t>
  </si>
  <si>
    <t>ÍNDICE PUBLI</t>
  </si>
  <si>
    <t>CATEGORIA</t>
  </si>
  <si>
    <t>TIPO DE CUSTOS</t>
  </si>
  <si>
    <t>TIPO DE FATURAMENTO</t>
  </si>
  <si>
    <t>RESUMO</t>
  </si>
  <si>
    <t>DESCRITIVO</t>
  </si>
  <si>
    <t>Qtd</t>
  </si>
  <si>
    <t>Diária</t>
  </si>
  <si>
    <t>R$ unit</t>
  </si>
  <si>
    <t>VALOR</t>
  </si>
  <si>
    <t>SUBTOTAL</t>
  </si>
  <si>
    <t>QTDE</t>
  </si>
  <si>
    <t>DIÁRIA</t>
  </si>
  <si>
    <t>VL. UNIT.</t>
  </si>
  <si>
    <t>SUB TOTAL</t>
  </si>
  <si>
    <t>DIFERENÇA</t>
  </si>
  <si>
    <t>% NOTA</t>
  </si>
  <si>
    <t>CUSTO NOTA</t>
  </si>
  <si>
    <t>CUSTO TOTAL (custo + dif. NF)</t>
  </si>
  <si>
    <t>CUSTO TOTAL + IMPOSTOS</t>
  </si>
  <si>
    <t>Margem</t>
  </si>
  <si>
    <t>Peso</t>
  </si>
  <si>
    <t>Valor Total</t>
  </si>
  <si>
    <t>Saldo</t>
  </si>
  <si>
    <t>Data</t>
  </si>
  <si>
    <t>Fornecedor</t>
  </si>
  <si>
    <t>CPF/CNPJ</t>
  </si>
  <si>
    <t>PENDENTE</t>
  </si>
  <si>
    <t>EFETUADO</t>
  </si>
  <si>
    <t>GRUPO</t>
  </si>
  <si>
    <t>INTERNO OGGI</t>
  </si>
  <si>
    <t>1.1</t>
  </si>
  <si>
    <t>SUBGRUPO</t>
  </si>
  <si>
    <t>INTERNOS</t>
  </si>
  <si>
    <t>AGENCIAMENTO</t>
  </si>
  <si>
    <t>IMPOSTOS</t>
  </si>
  <si>
    <t>Marg.</t>
  </si>
  <si>
    <t>1.1.1</t>
  </si>
  <si>
    <t>ITEM</t>
  </si>
  <si>
    <t>INTERNO</t>
  </si>
  <si>
    <t>FAT.OGGI</t>
  </si>
  <si>
    <t>1.1.2</t>
  </si>
  <si>
    <t xml:space="preserve">PLANEJAMENTO </t>
  </si>
  <si>
    <t>1.1.3</t>
  </si>
  <si>
    <t>ATENDIMENTO</t>
  </si>
  <si>
    <t>1.1.4</t>
  </si>
  <si>
    <t>PRODUÇÃO</t>
  </si>
  <si>
    <t>SUBTOTAL GRUPO</t>
  </si>
  <si>
    <t>Subtotal INTERNO OGGI</t>
  </si>
  <si>
    <t>CENOGRAFIA</t>
  </si>
  <si>
    <t>2.1</t>
  </si>
  <si>
    <t>ESTANDE</t>
  </si>
  <si>
    <t>2.1.1</t>
  </si>
  <si>
    <t>OPERACIONAL</t>
  </si>
  <si>
    <t>FAT.CLIENTE</t>
  </si>
  <si>
    <t>SUBTOTAL SUBGRUPO</t>
  </si>
  <si>
    <t>Subtotal ESTANDE</t>
  </si>
  <si>
    <t>2.2</t>
  </si>
  <si>
    <t>TECNICA</t>
  </si>
  <si>
    <t>2.2.1</t>
  </si>
  <si>
    <t>PAINEL DE LED</t>
  </si>
  <si>
    <t>Subtotal TECNICA</t>
  </si>
  <si>
    <t>OPERACIONAL ESTANDE</t>
  </si>
  <si>
    <t>3.1</t>
  </si>
  <si>
    <t>3.1.1</t>
  </si>
  <si>
    <t xml:space="preserve">Subtotal TAXAS </t>
  </si>
  <si>
    <t>3.2</t>
  </si>
  <si>
    <t>STAFF</t>
  </si>
  <si>
    <t>3.2.1</t>
  </si>
  <si>
    <t xml:space="preserve">PRODUTOR MONTAGEM / DESMONTAGEM / SERVIÇOS </t>
  </si>
  <si>
    <t>3.2.2</t>
  </si>
  <si>
    <t>PRODUTOR OPERACIONAL</t>
  </si>
  <si>
    <t>3.2.4</t>
  </si>
  <si>
    <t>CARREGADORES</t>
  </si>
  <si>
    <t>Subtotal STAFF</t>
  </si>
  <si>
    <t>3.3</t>
  </si>
  <si>
    <t>OPERAÇÃO ESTANDE</t>
  </si>
  <si>
    <t>SEGURO</t>
  </si>
  <si>
    <t>3.3.2</t>
  </si>
  <si>
    <t>ALIMENTAÇÃO E TRANSPORTE EQUIPE INTERNA</t>
  </si>
  <si>
    <t>3.3.3</t>
  </si>
  <si>
    <t>3.3.4</t>
  </si>
  <si>
    <t>TRANSPORTE DE MATERIAIS</t>
  </si>
  <si>
    <t>VERBA DE PRODUÇÃO</t>
  </si>
  <si>
    <t>Subtotal OPERAÇÃO ESTANDE</t>
  </si>
  <si>
    <t xml:space="preserve">TAXAS </t>
  </si>
  <si>
    <t>Subtotal OPERACIONAL ESTANDE</t>
  </si>
  <si>
    <t>Marg. Lucro</t>
  </si>
  <si>
    <t>Lucro</t>
  </si>
  <si>
    <t>SUBTOTAL PLANILHA</t>
  </si>
  <si>
    <t>TOTAL</t>
  </si>
  <si>
    <t>CRIAÇÃO</t>
  </si>
  <si>
    <t>Arena Mercado Livre</t>
  </si>
  <si>
    <t>Fernanda Pinheiro</t>
  </si>
  <si>
    <t>Silvia Brito</t>
  </si>
  <si>
    <t>MOTOROLA</t>
  </si>
  <si>
    <t>São Paulo Innovation Week 2026</t>
  </si>
  <si>
    <t>3.2.3</t>
  </si>
  <si>
    <t>3.3.5</t>
  </si>
  <si>
    <t>TOTAL Mot_005_São Paulo Innovation Week 2026</t>
  </si>
  <si>
    <t>13,14 e 15/Maio</t>
  </si>
  <si>
    <t>3.1.2</t>
  </si>
  <si>
    <t>3.1.3</t>
  </si>
  <si>
    <t>3.1.4</t>
  </si>
  <si>
    <t>TAXA DE LIMPEZA E DESMONTAGEM</t>
  </si>
  <si>
    <t>CRACHÁ DE MONTAGEM</t>
  </si>
  <si>
    <t>EXTINTOR</t>
  </si>
  <si>
    <t>KVAS</t>
  </si>
  <si>
    <t>solicitar o consumo de kvas</t>
  </si>
  <si>
    <t>tecnico a disposição</t>
  </si>
  <si>
    <t>pavilhão é desligado todo dia a noite</t>
  </si>
  <si>
    <t>LIMPEZA OFICIAL EVENTO</t>
  </si>
  <si>
    <t>RRT/ART</t>
  </si>
  <si>
    <t>Dolby</t>
  </si>
  <si>
    <t>Obrigatório a cada 25m².</t>
  </si>
  <si>
    <t>Equipe de Montagem e desmontagem.</t>
  </si>
  <si>
    <t>TAXA DE LIMPEZA - F4
Obrigatória: R$17,50/m²
Área: 49m² x R$17,50 = R$857.50.</t>
  </si>
  <si>
    <t>Responsabilidade tecnica de estande  para evento ,incluindo layout, layout elétrico, acessibilidade, materiais e alturas .</t>
  </si>
  <si>
    <t>3.2.5</t>
  </si>
  <si>
    <t>NOVO PROJETO.</t>
  </si>
  <si>
    <t>CARRINHO DE CAFÉ</t>
  </si>
  <si>
    <t>Mot_007</t>
  </si>
  <si>
    <t>Mot_007_São Paulo Innovation Week 2026</t>
  </si>
  <si>
    <t>Locação de carrinho, com cafeteira Nespresso. 100 doses/dia.Insumos e descartaveis inclusos durante os 3 dias de evento.</t>
  </si>
  <si>
    <t>3.3.1</t>
  </si>
  <si>
    <t>Painel de led P3 outdoor 3x2m.Frete, montagem e desmontagem  e tecnico para manutenção diária.</t>
  </si>
  <si>
    <t>EXTINTORES</t>
  </si>
  <si>
    <t>TAXA DE LIMPEZA</t>
  </si>
  <si>
    <t>CRACHAS</t>
  </si>
  <si>
    <t>PLANILHA</t>
  </si>
  <si>
    <t>UNIT</t>
  </si>
  <si>
    <t>DIARIAS</t>
  </si>
  <si>
    <t>vai entrar na planilha de extras o 5k</t>
  </si>
  <si>
    <t>RENATA</t>
  </si>
  <si>
    <t>DATA</t>
  </si>
  <si>
    <t>HORÁRIO</t>
  </si>
  <si>
    <t>ETAPA / ATIVIDADE</t>
  </si>
  <si>
    <t>RESPONSÁVEL PRINCIPAL</t>
  </si>
  <si>
    <t>EQUIPE ENVOLVIDA</t>
  </si>
  <si>
    <t>LOCAL</t>
  </si>
  <si>
    <t>08h - 20h</t>
  </si>
  <si>
    <t>Início da montagem estrutural (piso elevado + rampa)</t>
  </si>
  <si>
    <t>Montadora + Carregadores</t>
  </si>
  <si>
    <t>Arena Pacaembu</t>
  </si>
  <si>
    <t>Entrada da equipe de cenografia</t>
  </si>
  <si>
    <t>Instalação do painel de LED (3x2m)</t>
  </si>
  <si>
    <t>17h</t>
  </si>
  <si>
    <t>Teste inicial do LED</t>
  </si>
  <si>
    <t>Silvia supervisiona</t>
  </si>
  <si>
    <t>Ajustes finais da cenografia</t>
  </si>
  <si>
    <t>Montadora</t>
  </si>
  <si>
    <t>Revisão geral do estande</t>
  </si>
  <si>
    <t>Nilson + Patrick</t>
  </si>
  <si>
    <t>08h - 16h</t>
  </si>
  <si>
    <t>Entrada da mesa Motorola</t>
  </si>
  <si>
    <t>Nilson</t>
  </si>
  <si>
    <t>Carregadores</t>
  </si>
  <si>
    <t>Entrada do carrinho de café</t>
  </si>
  <si>
    <t>Entrada dos equipamentos do cliente</t>
  </si>
  <si>
    <t>Equipe de apoio</t>
  </si>
  <si>
    <t>Decoração final + abastecimento</t>
  </si>
  <si>
    <t>Renata + Nilson</t>
  </si>
  <si>
    <t>08h - 10h</t>
  </si>
  <si>
    <t>Manutenção pré-evento</t>
  </si>
  <si>
    <t>10h - 21h</t>
  </si>
  <si>
    <t>Evento – abertura oficial</t>
  </si>
  <si>
    <t>Equipe completa</t>
  </si>
  <si>
    <t>09h - 21h</t>
  </si>
  <si>
    <t>Ligação e desligamento diário do LED</t>
  </si>
  <si>
    <t>Operação diária + manutenção</t>
  </si>
  <si>
    <t>Desmontagem inicial</t>
  </si>
  <si>
    <t>13h - 20h</t>
  </si>
  <si>
    <t>Finalização da desmontagem</t>
  </si>
  <si>
    <t>Oggi Live</t>
  </si>
  <si>
    <t>Oggi Live + MV Stands</t>
  </si>
  <si>
    <t>Silvia + Wilson Marquezine(Prod de Montagem)</t>
  </si>
  <si>
    <t>Oggi Live + Mwled</t>
  </si>
  <si>
    <t>Montadora + Carregadores + Prod de Montagem</t>
  </si>
  <si>
    <t>Montadora + Carregadores +Prod de Montagem</t>
  </si>
  <si>
    <t>Silvia Brito +Renata Buzzoni</t>
  </si>
  <si>
    <t>OggiLive</t>
  </si>
  <si>
    <t>Oggi Live +Motorola</t>
  </si>
  <si>
    <t>Will M.</t>
  </si>
  <si>
    <t>STATUS</t>
  </si>
  <si>
    <t>09h - 18h</t>
  </si>
  <si>
    <t>Envio equipamentos Motorola para OggiLive</t>
  </si>
  <si>
    <t>Motorola</t>
  </si>
  <si>
    <t>Oggi</t>
  </si>
  <si>
    <t>Will + Montadora + Mwled</t>
  </si>
  <si>
    <t>Renata B.</t>
  </si>
  <si>
    <t>EXTRAS</t>
  </si>
  <si>
    <t>CUSTOS EXTRAS</t>
  </si>
  <si>
    <t>BISCOITOS PERSONALIZADOS</t>
  </si>
  <si>
    <t>VIGILANTE OFICIAL EVENTO-NOTURNO</t>
  </si>
  <si>
    <t>Subtotal EXTRAS</t>
  </si>
  <si>
    <t>TOTAL Mot_007_São Paulo Innovation Week 2026</t>
  </si>
  <si>
    <t>CAFÉ EXTRA</t>
  </si>
  <si>
    <t>Tres corações, extra de  100 doses/dia.Insumos e descartaveis inclusos</t>
  </si>
  <si>
    <t>Biscoito amanteigado  5 gramas.Personalizado.100 unidades dia .</t>
  </si>
  <si>
    <t>trANSPORTE DE MATERIAIS
Reserva de verba para transporte de materiais (Mesa Motorola)</t>
  </si>
  <si>
    <t>DALVA</t>
  </si>
  <si>
    <t>VÍDEO</t>
  </si>
  <si>
    <t>STUDIO ROCA</t>
  </si>
  <si>
    <t>VENDA</t>
  </si>
  <si>
    <t xml:space="preserve">CUSTO </t>
  </si>
  <si>
    <t>LUCRO</t>
  </si>
  <si>
    <t>PRINCIPAL</t>
  </si>
  <si>
    <t>NOTAS EMITIDAS</t>
  </si>
  <si>
    <t>IMPOSTO</t>
  </si>
  <si>
    <t>CUSTO TOTAL</t>
  </si>
  <si>
    <r>
      <rPr>
        <b/>
        <sz val="16"/>
        <color theme="1"/>
        <rFont val="Arial"/>
        <family val="2"/>
      </rPr>
      <t>PLANEJAMENTO DO PROJETO</t>
    </r>
    <r>
      <rPr>
        <sz val="16"/>
        <color theme="1"/>
        <rFont val="Arial"/>
        <family val="2"/>
      </rPr>
      <t xml:space="preserve">
Planejamento de dinâmicas e cronograma do evento.</t>
    </r>
  </si>
  <si>
    <r>
      <rPr>
        <b/>
        <sz val="16"/>
        <color theme="1"/>
        <rFont val="Arial"/>
        <family val="2"/>
      </rPr>
      <t>ATENDIMENTO EXCLUSIVO</t>
    </r>
    <r>
      <rPr>
        <sz val="16"/>
        <color theme="1"/>
        <rFont val="Arial"/>
        <family val="2"/>
      </rPr>
      <t xml:space="preserve">
01 profissional de atendimento por 01 mes 
Pré-evento, evento e entrega de relatório</t>
    </r>
  </si>
  <si>
    <r>
      <rPr>
        <b/>
        <sz val="16"/>
        <color theme="1"/>
        <rFont val="Arial"/>
        <family val="2"/>
      </rPr>
      <t>PRODUTOR EXECUTIVO</t>
    </r>
    <r>
      <rPr>
        <sz val="16"/>
        <color theme="1"/>
        <rFont val="Arial"/>
        <family val="2"/>
      </rPr>
      <t xml:space="preserve">
01 profissional de atendimento/produção.
Pré-evento, evento e entrega de relatório</t>
    </r>
  </si>
  <si>
    <r>
      <rPr>
        <b/>
        <sz val="16"/>
        <color theme="1"/>
        <rFont val="Arial"/>
        <family val="2"/>
      </rPr>
      <t>PRODUTOR - MONTAGEM E DESMONTAGEM</t>
    </r>
    <r>
      <rPr>
        <sz val="16"/>
        <color theme="1"/>
        <rFont val="Arial"/>
        <family val="2"/>
      </rPr>
      <t xml:space="preserve">
01 - Produtor de Montagem e desmontagem.3 dias de Montagem + 01 dia de desmontagem.</t>
    </r>
  </si>
  <si>
    <r>
      <rPr>
        <b/>
        <sz val="16"/>
        <color theme="1"/>
        <rFont val="Arial"/>
        <family val="2"/>
      </rPr>
      <t>PRODUTORES - GERAL</t>
    </r>
    <r>
      <rPr>
        <sz val="16"/>
        <color theme="1"/>
        <rFont val="Arial"/>
        <family val="2"/>
      </rPr>
      <t xml:space="preserve">
01 - Produtor Geral de Apoio de 12 a 15 de Maio.</t>
    </r>
  </si>
  <si>
    <r>
      <rPr>
        <b/>
        <sz val="16"/>
        <color theme="1"/>
        <rFont val="Arial"/>
        <family val="2"/>
      </rPr>
      <t>LIMPEZA</t>
    </r>
    <r>
      <rPr>
        <sz val="16"/>
        <color theme="1"/>
        <rFont val="Arial"/>
        <family val="2"/>
      </rPr>
      <t xml:space="preserve">
Considerado profissionais de limpeza para montagem, evento e desmontagem.Carga horária: 12 horas</t>
    </r>
  </si>
  <si>
    <r>
      <rPr>
        <b/>
        <sz val="16"/>
        <color theme="1"/>
        <rFont val="Arial"/>
        <family val="2"/>
      </rPr>
      <t>CARREGADORES</t>
    </r>
    <r>
      <rPr>
        <sz val="16"/>
        <color theme="1"/>
        <rFont val="Arial"/>
        <family val="2"/>
      </rPr>
      <t xml:space="preserve">
Considerado carregadores para montagem e desmontagem.Carga horária: 12 horas</t>
    </r>
  </si>
  <si>
    <r>
      <rPr>
        <b/>
        <sz val="16"/>
        <color theme="1"/>
        <rFont val="Arial"/>
        <family val="2"/>
      </rPr>
      <t>SEGURO RC + RD + AP</t>
    </r>
    <r>
      <rPr>
        <sz val="16"/>
        <color theme="1"/>
        <rFont val="Arial"/>
        <family val="2"/>
      </rPr>
      <t xml:space="preserve">
Contratação de Seguro</t>
    </r>
  </si>
  <si>
    <r>
      <rPr>
        <b/>
        <sz val="16"/>
        <color theme="1"/>
        <rFont val="Arial"/>
        <family val="2"/>
      </rPr>
      <t>ALIMENTAÇÃO E TRANSPORTE EQUIPE INTERNA</t>
    </r>
    <r>
      <rPr>
        <sz val="16"/>
        <color theme="1"/>
        <rFont val="Arial"/>
        <family val="2"/>
      </rPr>
      <t xml:space="preserve">
Reserva de verba para alimentação e transporte da equipe interna.Prod de montagem, de apoio e executiva.</t>
    </r>
  </si>
  <si>
    <r>
      <rPr>
        <b/>
        <sz val="16"/>
        <color theme="1"/>
        <rFont val="Arial"/>
        <family val="2"/>
      </rPr>
      <t>TRANSPORTE DE MATERIAIS</t>
    </r>
    <r>
      <rPr>
        <sz val="16"/>
        <color theme="1"/>
        <rFont val="Arial"/>
        <family val="2"/>
      </rPr>
      <t xml:space="preserve">
Reserva de verba para transporte de materiais (Mesa Motorola)</t>
    </r>
  </si>
  <si>
    <r>
      <rPr>
        <b/>
        <sz val="16"/>
        <color theme="1"/>
        <rFont val="Arial"/>
        <family val="2"/>
      </rPr>
      <t>VERBA DE PRODUÇÃO</t>
    </r>
    <r>
      <rPr>
        <sz val="16"/>
        <color theme="1"/>
        <rFont val="Arial"/>
        <family val="2"/>
      </rPr>
      <t xml:space="preserve">
Reserva de verba para custos operacionais</t>
    </r>
  </si>
  <si>
    <r>
      <rPr>
        <b/>
        <sz val="16"/>
        <color theme="1"/>
        <rFont val="Arial"/>
        <family val="2"/>
      </rPr>
      <t>PONTOS ELÉTRICOS</t>
    </r>
    <r>
      <rPr>
        <sz val="16"/>
        <color theme="1"/>
        <rFont val="Arial"/>
        <family val="2"/>
      </rPr>
      <t xml:space="preserve">
Taxa de consumo de KVAs a ser validado com o fornecedor do painel de led(LED, iluminação, notebook, máquina de café, expositor).</t>
    </r>
  </si>
  <si>
    <r>
      <rPr>
        <b/>
        <sz val="16"/>
        <color theme="1"/>
        <rFont val="Arial"/>
        <family val="2"/>
      </rPr>
      <t xml:space="preserve">SEGURANÇA 
</t>
    </r>
    <r>
      <rPr>
        <sz val="16"/>
        <color theme="1"/>
        <rFont val="Arial"/>
        <family val="2"/>
      </rPr>
      <t>Profissionais de segurança para montagem, evento e desmontagem, sendo:Carga horária: 12 horas:Das 20h30 às 08:30h.De as a 14 de Maio.</t>
    </r>
  </si>
  <si>
    <t>NOTA DE DÉBITO 09</t>
  </si>
  <si>
    <t>NOME</t>
  </si>
  <si>
    <t>WILLIANS GONÇALVES</t>
  </si>
  <si>
    <t>THIAS PONTES</t>
  </si>
  <si>
    <t>NILSON MIGUEL</t>
  </si>
  <si>
    <t>PATRICK BAYEUX</t>
  </si>
  <si>
    <t>SILVIA BRITO</t>
  </si>
  <si>
    <t>CUSTOS OP.</t>
  </si>
  <si>
    <t xml:space="preserve">BASE MONTAGENS </t>
  </si>
  <si>
    <t>MKGC EVENTOS</t>
  </si>
  <si>
    <t>STARTA</t>
  </si>
  <si>
    <t>MILENA DI PAULA</t>
  </si>
  <si>
    <t>ROSICLEIDE</t>
  </si>
  <si>
    <t xml:space="preserve">WILLIANS </t>
  </si>
  <si>
    <t>WAGNER CESAR</t>
  </si>
  <si>
    <t>DA ORIKASSA</t>
  </si>
  <si>
    <t>ALEXANDRE WAGNER</t>
  </si>
  <si>
    <t>THIAGO GOMES</t>
  </si>
  <si>
    <t>BERKLEY</t>
  </si>
  <si>
    <t>SK COPIADORA</t>
  </si>
  <si>
    <t>MW LED - MILENA DI PAULA</t>
  </si>
  <si>
    <t>NOTA DE DÉBITO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</si>
</sst>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&quot;/&quot;00&quot;/&quot;0000"/>
    <numFmt numFmtId="165" formatCode="_(&quot;R$ &quot;* #,##0.00_);_(&quot;R$ &quot;* \(#,##0.00\);_(&quot;R$ &quot;* &quot;-&quot;??_);_(@_)"/>
    <numFmt numFmtId="166" formatCode="0.000000000%"/>
    <numFmt numFmtId="167" formatCode="_-[$R$-416]\ * #,##0.00_-;\-[$R$-416]\ * #,##0.00_-;_-[$R$-416]\ * &quot;-&quot;??_-;_-@_-"/>
    <numFmt numFmtId="168" formatCode="_-&quot;R$&quot;* #,##0.00_-;\-&quot;R$&quot;* #,##0.00_-;_-&quot;R$&quot;* &quot;-&quot;??_-;_-@_-"/>
    <numFmt numFmtId="169" formatCode="&quot;R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2"/>
      <name val="Trebuchet MS"/>
      <family val="2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0"/>
      <name val="Trebuchet MS"/>
      <family val="2"/>
    </font>
    <font>
      <b/>
      <sz val="20"/>
      <color rgb="FFFF0000"/>
      <name val="Trebuchet MS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6"/>
      <color indexed="63"/>
      <name val="Arial"/>
      <family val="2"/>
    </font>
    <font>
      <sz val="16"/>
      <color theme="0"/>
      <name val="Arial"/>
      <family val="2"/>
    </font>
    <font>
      <b/>
      <sz val="16"/>
      <color rgb="FF00B050"/>
      <name val="Arial"/>
      <family val="2"/>
    </font>
    <font>
      <b/>
      <sz val="20"/>
      <color rgb="FF00B050"/>
      <name val="Trebuchet MS"/>
      <family val="2"/>
    </font>
    <font>
      <b/>
      <sz val="20"/>
      <color theme="0"/>
      <name val="Trebuchet MS"/>
      <family val="2"/>
    </font>
    <font>
      <b/>
      <sz val="20"/>
      <color rgb="FFFF0000"/>
      <name val="Calibri"/>
      <family val="2"/>
      <scheme val="minor"/>
    </font>
    <font>
      <b/>
      <sz val="20"/>
      <color rgb="FF00B05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0691854609822"/>
      </left>
      <right/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8">
    <xf numFmtId="0" fontId="0" fillId="0" borderId="0" xfId="0"/>
    <xf numFmtId="20" fontId="0" fillId="0" borderId="0" xfId="0" applyNumberFormat="1"/>
    <xf numFmtId="167" fontId="0" fillId="0" borderId="0" xfId="0" applyNumberFormat="1"/>
    <xf numFmtId="44" fontId="0" fillId="0" borderId="0" xfId="1" applyFont="1"/>
    <xf numFmtId="1" fontId="0" fillId="0" borderId="0" xfId="0" applyNumberFormat="1"/>
    <xf numFmtId="0" fontId="9" fillId="0" borderId="38" xfId="0" applyFont="1" applyBorder="1"/>
    <xf numFmtId="44" fontId="8" fillId="0" borderId="62" xfId="1" applyFont="1" applyBorder="1"/>
    <xf numFmtId="44" fontId="8" fillId="0" borderId="60" xfId="1" applyFont="1" applyBorder="1" applyAlignment="1">
      <alignment horizontal="center" vertical="center"/>
    </xf>
    <xf numFmtId="1" fontId="8" fillId="0" borderId="60" xfId="1" applyNumberFormat="1" applyFont="1" applyBorder="1" applyAlignment="1">
      <alignment horizontal="center" vertical="center"/>
    </xf>
    <xf numFmtId="44" fontId="8" fillId="0" borderId="61" xfId="1" applyFont="1" applyBorder="1"/>
    <xf numFmtId="44" fontId="8" fillId="0" borderId="40" xfId="1" applyFont="1" applyBorder="1"/>
    <xf numFmtId="44" fontId="8" fillId="0" borderId="38" xfId="1" applyFont="1" applyBorder="1" applyAlignment="1">
      <alignment horizontal="center" vertical="center"/>
    </xf>
    <xf numFmtId="1" fontId="8" fillId="0" borderId="38" xfId="1" applyNumberFormat="1" applyFont="1" applyBorder="1" applyAlignment="1">
      <alignment horizontal="center" vertical="center"/>
    </xf>
    <xf numFmtId="44" fontId="8" fillId="0" borderId="39" xfId="1" applyFont="1" applyBorder="1"/>
    <xf numFmtId="44" fontId="8" fillId="15" borderId="63" xfId="1" applyFont="1" applyFill="1" applyBorder="1"/>
    <xf numFmtId="0" fontId="9" fillId="0" borderId="41" xfId="0" applyFont="1" applyBorder="1"/>
    <xf numFmtId="44" fontId="8" fillId="0" borderId="43" xfId="1" applyFont="1" applyBorder="1"/>
    <xf numFmtId="44" fontId="8" fillId="0" borderId="41" xfId="1" applyFont="1" applyBorder="1" applyAlignment="1">
      <alignment horizontal="center" vertical="center"/>
    </xf>
    <xf numFmtId="1" fontId="8" fillId="0" borderId="41" xfId="1" applyNumberFormat="1" applyFont="1" applyBorder="1" applyAlignment="1">
      <alignment horizontal="center" vertical="center"/>
    </xf>
    <xf numFmtId="0" fontId="9" fillId="0" borderId="60" xfId="0" applyFont="1" applyBorder="1"/>
    <xf numFmtId="0" fontId="8" fillId="15" borderId="28" xfId="0" applyFont="1" applyFill="1" applyBorder="1"/>
    <xf numFmtId="0" fontId="8" fillId="15" borderId="64" xfId="0" applyFont="1" applyFill="1" applyBorder="1"/>
    <xf numFmtId="1" fontId="8" fillId="15" borderId="64" xfId="0" applyNumberFormat="1" applyFont="1" applyFill="1" applyBorder="1"/>
    <xf numFmtId="44" fontId="8" fillId="15" borderId="27" xfId="1" applyFont="1" applyFill="1" applyBorder="1"/>
    <xf numFmtId="0" fontId="0" fillId="0" borderId="38" xfId="0" applyBorder="1"/>
    <xf numFmtId="0" fontId="10" fillId="16" borderId="0" xfId="0" applyFont="1" applyFill="1" applyAlignment="1">
      <alignment horizontal="center"/>
    </xf>
    <xf numFmtId="14" fontId="0" fillId="0" borderId="38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left"/>
    </xf>
    <xf numFmtId="14" fontId="0" fillId="17" borderId="38" xfId="0" applyNumberFormat="1" applyFill="1" applyBorder="1" applyAlignment="1">
      <alignment horizontal="center"/>
    </xf>
    <xf numFmtId="0" fontId="0" fillId="17" borderId="38" xfId="0" applyFill="1" applyBorder="1" applyAlignment="1">
      <alignment horizontal="center"/>
    </xf>
    <xf numFmtId="0" fontId="0" fillId="17" borderId="38" xfId="0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16" fontId="7" fillId="18" borderId="32" xfId="0" applyNumberFormat="1" applyFont="1" applyFill="1" applyBorder="1"/>
    <xf numFmtId="16" fontId="7" fillId="18" borderId="33" xfId="0" applyNumberFormat="1" applyFont="1" applyFill="1" applyBorder="1"/>
    <xf numFmtId="16" fontId="7" fillId="19" borderId="44" xfId="0" applyNumberFormat="1" applyFont="1" applyFill="1" applyBorder="1"/>
    <xf numFmtId="16" fontId="7" fillId="19" borderId="45" xfId="0" applyNumberFormat="1" applyFont="1" applyFill="1" applyBorder="1"/>
    <xf numFmtId="0" fontId="7" fillId="20" borderId="14" xfId="0" applyFont="1" applyFill="1" applyBorder="1" applyAlignment="1">
      <alignment horizontal="right"/>
    </xf>
    <xf numFmtId="0" fontId="7" fillId="20" borderId="0" xfId="0" applyFont="1" applyFill="1" applyAlignment="1">
      <alignment horizontal="right"/>
    </xf>
    <xf numFmtId="0" fontId="11" fillId="16" borderId="44" xfId="0" applyFont="1" applyFill="1" applyBorder="1"/>
    <xf numFmtId="0" fontId="11" fillId="16" borderId="45" xfId="0" applyFont="1" applyFill="1" applyBorder="1"/>
    <xf numFmtId="164" fontId="5" fillId="0" borderId="0" xfId="3" applyNumberFormat="1" applyFont="1" applyAlignment="1" applyProtection="1">
      <alignment horizontal="left" vertical="center"/>
      <protection locked="0"/>
    </xf>
    <xf numFmtId="0" fontId="5" fillId="0" borderId="0" xfId="3" applyFont="1" applyAlignment="1" applyProtection="1">
      <alignment horizontal="left" vertical="center"/>
      <protection locked="0"/>
    </xf>
    <xf numFmtId="14" fontId="5" fillId="0" borderId="0" xfId="3" applyNumberFormat="1" applyFont="1" applyAlignment="1" applyProtection="1">
      <alignment horizontal="left" vertical="center"/>
      <protection locked="0"/>
    </xf>
    <xf numFmtId="0" fontId="6" fillId="21" borderId="38" xfId="0" applyFont="1" applyFill="1" applyBorder="1" applyAlignment="1">
      <alignment horizontal="center"/>
    </xf>
    <xf numFmtId="164" fontId="5" fillId="0" borderId="38" xfId="3" applyNumberFormat="1" applyFont="1" applyBorder="1" applyAlignment="1" applyProtection="1">
      <alignment horizontal="left" vertical="center"/>
      <protection locked="0"/>
    </xf>
    <xf numFmtId="44" fontId="6" fillId="0" borderId="38" xfId="0" applyNumberFormat="1" applyFont="1" applyBorder="1"/>
    <xf numFmtId="9" fontId="6" fillId="0" borderId="38" xfId="2" applyFont="1" applyBorder="1" applyAlignment="1">
      <alignment horizontal="center"/>
    </xf>
    <xf numFmtId="44" fontId="6" fillId="21" borderId="38" xfId="0" applyNumberFormat="1" applyFont="1" applyFill="1" applyBorder="1" applyAlignment="1">
      <alignment horizontal="center"/>
    </xf>
    <xf numFmtId="169" fontId="6" fillId="0" borderId="64" xfId="0" applyNumberFormat="1" applyFont="1" applyBorder="1" applyAlignment="1">
      <alignment horizontal="center"/>
    </xf>
    <xf numFmtId="0" fontId="6" fillId="0" borderId="0" xfId="0" applyFont="1"/>
    <xf numFmtId="169" fontId="6" fillId="21" borderId="60" xfId="0" applyNumberFormat="1" applyFont="1" applyFill="1" applyBorder="1" applyAlignment="1">
      <alignment horizontal="center"/>
    </xf>
    <xf numFmtId="44" fontId="6" fillId="21" borderId="38" xfId="0" applyNumberFormat="1" applyFont="1" applyFill="1" applyBorder="1"/>
    <xf numFmtId="169" fontId="6" fillId="21" borderId="38" xfId="0" applyNumberFormat="1" applyFont="1" applyFill="1" applyBorder="1"/>
    <xf numFmtId="9" fontId="6" fillId="0" borderId="68" xfId="2" applyFont="1" applyBorder="1" applyAlignment="1">
      <alignment horizontal="center"/>
    </xf>
    <xf numFmtId="164" fontId="5" fillId="10" borderId="1" xfId="3" applyNumberFormat="1" applyFont="1" applyFill="1" applyBorder="1" applyAlignment="1" applyProtection="1">
      <alignment horizontal="left" vertical="center"/>
      <protection locked="0"/>
    </xf>
    <xf numFmtId="164" fontId="5" fillId="0" borderId="2" xfId="3" applyNumberFormat="1" applyFont="1" applyBorder="1" applyAlignment="1" applyProtection="1">
      <alignment horizontal="left" vertical="center"/>
      <protection locked="0"/>
    </xf>
    <xf numFmtId="164" fontId="5" fillId="10" borderId="3" xfId="3" applyNumberFormat="1" applyFont="1" applyFill="1" applyBorder="1" applyAlignment="1" applyProtection="1">
      <alignment horizontal="left" vertical="center"/>
      <protection locked="0"/>
    </xf>
    <xf numFmtId="164" fontId="5" fillId="0" borderId="4" xfId="3" applyNumberFormat="1" applyFont="1" applyBorder="1" applyAlignment="1" applyProtection="1">
      <alignment horizontal="left" vertical="center"/>
      <protection locked="0"/>
    </xf>
    <xf numFmtId="0" fontId="5" fillId="0" borderId="5" xfId="3" applyFont="1" applyBorder="1" applyAlignment="1" applyProtection="1">
      <alignment horizontal="left" vertical="center"/>
      <protection locked="0"/>
    </xf>
    <xf numFmtId="14" fontId="5" fillId="0" borderId="4" xfId="3" applyNumberFormat="1" applyFont="1" applyBorder="1" applyAlignment="1" applyProtection="1">
      <alignment horizontal="left" vertical="center"/>
      <protection locked="0"/>
    </xf>
    <xf numFmtId="164" fontId="5" fillId="10" borderId="6" xfId="3" applyNumberFormat="1" applyFont="1" applyFill="1" applyBorder="1" applyAlignment="1" applyProtection="1">
      <alignment horizontal="left" vertical="center"/>
      <protection locked="0"/>
    </xf>
    <xf numFmtId="0" fontId="5" fillId="0" borderId="7" xfId="3" applyFont="1" applyBorder="1" applyAlignment="1" applyProtection="1">
      <alignment horizontal="left" vertical="center"/>
      <protection locked="0"/>
    </xf>
    <xf numFmtId="0" fontId="13" fillId="14" borderId="11" xfId="0" applyFont="1" applyFill="1" applyBorder="1"/>
    <xf numFmtId="0" fontId="13" fillId="14" borderId="12" xfId="0" applyFont="1" applyFill="1" applyBorder="1"/>
    <xf numFmtId="0" fontId="13" fillId="14" borderId="12" xfId="0" applyFont="1" applyFill="1" applyBorder="1" applyAlignment="1">
      <alignment horizontal="center" vertical="center"/>
    </xf>
    <xf numFmtId="44" fontId="13" fillId="14" borderId="12" xfId="0" applyNumberFormat="1" applyFont="1" applyFill="1" applyBorder="1"/>
    <xf numFmtId="44" fontId="13" fillId="14" borderId="53" xfId="0" applyNumberFormat="1" applyFont="1" applyFill="1" applyBorder="1"/>
    <xf numFmtId="0" fontId="13" fillId="14" borderId="11" xfId="0" applyFont="1" applyFill="1" applyBorder="1" applyAlignment="1">
      <alignment horizontal="center"/>
    </xf>
    <xf numFmtId="0" fontId="13" fillId="14" borderId="12" xfId="0" applyFont="1" applyFill="1" applyBorder="1" applyAlignment="1">
      <alignment horizontal="center"/>
    </xf>
    <xf numFmtId="9" fontId="13" fillId="14" borderId="44" xfId="2" applyFont="1" applyFill="1" applyBorder="1"/>
    <xf numFmtId="44" fontId="13" fillId="14" borderId="55" xfId="1" applyFont="1" applyFill="1" applyBorder="1"/>
    <xf numFmtId="0" fontId="14" fillId="0" borderId="0" xfId="0" applyFont="1"/>
    <xf numFmtId="44" fontId="14" fillId="0" borderId="0" xfId="0" applyNumberFormat="1" applyFont="1"/>
    <xf numFmtId="0" fontId="16" fillId="0" borderId="0" xfId="0" applyFont="1" applyAlignment="1">
      <alignment horizontal="left"/>
    </xf>
    <xf numFmtId="9" fontId="16" fillId="0" borderId="0" xfId="2" applyFont="1"/>
    <xf numFmtId="0" fontId="16" fillId="0" borderId="0" xfId="0" applyFont="1"/>
    <xf numFmtId="49" fontId="17" fillId="0" borderId="0" xfId="3" applyNumberFormat="1" applyFont="1" applyAlignment="1">
      <alignment horizontal="left" vertical="center" wrapText="1"/>
    </xf>
    <xf numFmtId="0" fontId="17" fillId="0" borderId="0" xfId="3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4" fontId="17" fillId="10" borderId="0" xfId="3" applyNumberFormat="1" applyFont="1" applyFill="1" applyAlignment="1">
      <alignment horizontal="left" vertical="center"/>
    </xf>
    <xf numFmtId="164" fontId="17" fillId="0" borderId="0" xfId="3" applyNumberFormat="1" applyFont="1" applyAlignment="1">
      <alignment horizontal="left" vertical="center"/>
    </xf>
    <xf numFmtId="164" fontId="17" fillId="10" borderId="1" xfId="3" applyNumberFormat="1" applyFont="1" applyFill="1" applyBorder="1" applyAlignment="1" applyProtection="1">
      <alignment horizontal="left" vertical="center"/>
      <protection locked="0"/>
    </xf>
    <xf numFmtId="164" fontId="17" fillId="0" borderId="2" xfId="3" applyNumberFormat="1" applyFont="1" applyBorder="1" applyAlignment="1" applyProtection="1">
      <alignment horizontal="left" vertical="center"/>
      <protection locked="0"/>
    </xf>
    <xf numFmtId="164" fontId="17" fillId="10" borderId="3" xfId="3" applyNumberFormat="1" applyFont="1" applyFill="1" applyBorder="1" applyAlignment="1" applyProtection="1">
      <alignment horizontal="left" vertical="center"/>
      <protection locked="0"/>
    </xf>
    <xf numFmtId="164" fontId="17" fillId="0" borderId="4" xfId="3" applyNumberFormat="1" applyFont="1" applyBorder="1" applyAlignment="1" applyProtection="1">
      <alignment horizontal="left" vertical="center"/>
      <protection locked="0"/>
    </xf>
    <xf numFmtId="0" fontId="17" fillId="0" borderId="5" xfId="3" applyFont="1" applyBorder="1" applyAlignment="1" applyProtection="1">
      <alignment horizontal="left" vertical="center"/>
      <protection locked="0"/>
    </xf>
    <xf numFmtId="14" fontId="17" fillId="0" borderId="4" xfId="3" applyNumberFormat="1" applyFont="1" applyBorder="1" applyAlignment="1" applyProtection="1">
      <alignment horizontal="left" vertical="center"/>
      <protection locked="0"/>
    </xf>
    <xf numFmtId="164" fontId="17" fillId="10" borderId="6" xfId="3" applyNumberFormat="1" applyFont="1" applyFill="1" applyBorder="1" applyAlignment="1" applyProtection="1">
      <alignment horizontal="left" vertical="center"/>
      <protection locked="0"/>
    </xf>
    <xf numFmtId="0" fontId="17" fillId="0" borderId="7" xfId="3" applyFont="1" applyBorder="1" applyAlignment="1" applyProtection="1">
      <alignment horizontal="left" vertical="center"/>
      <protection locked="0"/>
    </xf>
    <xf numFmtId="49" fontId="14" fillId="0" borderId="0" xfId="0" applyNumberFormat="1" applyFont="1"/>
    <xf numFmtId="0" fontId="14" fillId="10" borderId="0" xfId="0" applyFont="1" applyFill="1"/>
    <xf numFmtId="0" fontId="14" fillId="0" borderId="0" xfId="2" applyNumberFormat="1" applyFont="1"/>
    <xf numFmtId="165" fontId="18" fillId="4" borderId="13" xfId="5" applyFont="1" applyFill="1" applyBorder="1" applyAlignment="1">
      <alignment horizontal="center" vertical="center" wrapText="1"/>
    </xf>
    <xf numFmtId="166" fontId="16" fillId="0" borderId="10" xfId="2" applyNumberFormat="1" applyFont="1" applyBorder="1"/>
    <xf numFmtId="167" fontId="18" fillId="0" borderId="15" xfId="5" applyNumberFormat="1" applyFont="1" applyBorder="1" applyAlignment="1">
      <alignment horizontal="center" vertical="center" wrapText="1"/>
    </xf>
    <xf numFmtId="0" fontId="16" fillId="6" borderId="0" xfId="0" applyFont="1" applyFill="1"/>
    <xf numFmtId="49" fontId="16" fillId="6" borderId="0" xfId="0" applyNumberFormat="1" applyFont="1" applyFill="1"/>
    <xf numFmtId="0" fontId="19" fillId="0" borderId="0" xfId="0" applyFont="1"/>
    <xf numFmtId="0" fontId="14" fillId="0" borderId="17" xfId="0" applyFont="1" applyBorder="1" applyAlignment="1">
      <alignment horizontal="left" vertical="center"/>
    </xf>
    <xf numFmtId="49" fontId="14" fillId="0" borderId="18" xfId="0" applyNumberFormat="1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 wrapText="1"/>
    </xf>
    <xf numFmtId="0" fontId="17" fillId="10" borderId="20" xfId="4" applyFont="1" applyFill="1" applyBorder="1" applyAlignment="1">
      <alignment horizontal="left" vertical="center"/>
    </xf>
    <xf numFmtId="0" fontId="17" fillId="4" borderId="21" xfId="4" applyFont="1" applyFill="1" applyBorder="1" applyAlignment="1">
      <alignment horizontal="center" vertical="center"/>
    </xf>
    <xf numFmtId="0" fontId="16" fillId="4" borderId="22" xfId="4" applyFont="1" applyFill="1" applyBorder="1" applyAlignment="1">
      <alignment horizontal="center" vertical="center"/>
    </xf>
    <xf numFmtId="168" fontId="16" fillId="4" borderId="22" xfId="4" applyNumberFormat="1" applyFont="1" applyFill="1" applyBorder="1" applyAlignment="1">
      <alignment horizontal="center" vertical="center" wrapText="1"/>
    </xf>
    <xf numFmtId="0" fontId="16" fillId="4" borderId="23" xfId="4" applyFont="1" applyFill="1" applyBorder="1" applyAlignment="1">
      <alignment horizontal="center" vertical="center" wrapText="1"/>
    </xf>
    <xf numFmtId="9" fontId="16" fillId="4" borderId="24" xfId="2" applyFont="1" applyFill="1" applyBorder="1" applyAlignment="1">
      <alignment horizontal="center" vertical="center" wrapText="1"/>
    </xf>
    <xf numFmtId="10" fontId="16" fillId="4" borderId="22" xfId="2" applyNumberFormat="1" applyFont="1" applyFill="1" applyBorder="1" applyAlignment="1">
      <alignment horizontal="center" vertical="center" wrapText="1"/>
    </xf>
    <xf numFmtId="0" fontId="16" fillId="4" borderId="25" xfId="4" applyFont="1" applyFill="1" applyBorder="1" applyAlignment="1">
      <alignment horizontal="center" vertical="center" wrapText="1"/>
    </xf>
    <xf numFmtId="37" fontId="18" fillId="4" borderId="24" xfId="4" applyNumberFormat="1" applyFont="1" applyFill="1" applyBorder="1" applyAlignment="1">
      <alignment horizontal="center" vertical="center"/>
    </xf>
    <xf numFmtId="37" fontId="18" fillId="4" borderId="22" xfId="4" applyNumberFormat="1" applyFont="1" applyFill="1" applyBorder="1" applyAlignment="1">
      <alignment horizontal="center" vertical="center"/>
    </xf>
    <xf numFmtId="40" fontId="18" fillId="4" borderId="22" xfId="5" applyNumberFormat="1" applyFont="1" applyFill="1" applyBorder="1" applyAlignment="1">
      <alignment horizontal="center" vertical="center"/>
    </xf>
    <xf numFmtId="165" fontId="18" fillId="4" borderId="22" xfId="5" applyFont="1" applyFill="1" applyBorder="1" applyAlignment="1">
      <alignment horizontal="right" vertical="center"/>
    </xf>
    <xf numFmtId="40" fontId="18" fillId="4" borderId="22" xfId="5" applyNumberFormat="1" applyFont="1" applyFill="1" applyBorder="1" applyAlignment="1">
      <alignment horizontal="center" vertical="center" wrapText="1"/>
    </xf>
    <xf numFmtId="10" fontId="18" fillId="4" borderId="22" xfId="6" applyNumberFormat="1" applyFont="1" applyFill="1" applyBorder="1" applyAlignment="1">
      <alignment horizontal="center" vertical="center" wrapText="1"/>
    </xf>
    <xf numFmtId="165" fontId="18" fillId="4" borderId="22" xfId="5" applyFont="1" applyFill="1" applyBorder="1" applyAlignment="1">
      <alignment horizontal="center" vertical="center" wrapText="1"/>
    </xf>
    <xf numFmtId="165" fontId="18" fillId="4" borderId="25" xfId="5" applyFont="1" applyFill="1" applyBorder="1" applyAlignment="1">
      <alignment horizontal="center" vertical="center" wrapText="1"/>
    </xf>
    <xf numFmtId="10" fontId="18" fillId="4" borderId="26" xfId="6" applyNumberFormat="1" applyFont="1" applyFill="1" applyBorder="1" applyAlignment="1">
      <alignment horizontal="center" vertical="center" wrapText="1"/>
    </xf>
    <xf numFmtId="10" fontId="18" fillId="4" borderId="27" xfId="6" applyNumberFormat="1" applyFont="1" applyFill="1" applyBorder="1" applyAlignment="1">
      <alignment horizontal="center" vertical="center" wrapText="1"/>
    </xf>
    <xf numFmtId="165" fontId="18" fillId="4" borderId="28" xfId="5" applyFont="1" applyFill="1" applyBorder="1" applyAlignment="1">
      <alignment horizontal="center" vertical="center" wrapText="1"/>
    </xf>
    <xf numFmtId="165" fontId="18" fillId="4" borderId="27" xfId="5" applyFont="1" applyFill="1" applyBorder="1" applyAlignment="1">
      <alignment horizontal="center" vertical="center" wrapText="1"/>
    </xf>
    <xf numFmtId="37" fontId="18" fillId="4" borderId="8" xfId="4" applyNumberFormat="1" applyFont="1" applyFill="1" applyBorder="1" applyAlignment="1">
      <alignment horizontal="center" vertical="center"/>
    </xf>
    <xf numFmtId="40" fontId="18" fillId="4" borderId="29" xfId="5" applyNumberFormat="1" applyFont="1" applyFill="1" applyBorder="1" applyAlignment="1">
      <alignment horizontal="center" vertical="center"/>
    </xf>
    <xf numFmtId="167" fontId="15" fillId="4" borderId="30" xfId="5" applyNumberFormat="1" applyFont="1" applyFill="1" applyBorder="1" applyAlignment="1">
      <alignment horizontal="center" vertical="center" wrapText="1"/>
    </xf>
    <xf numFmtId="167" fontId="20" fillId="4" borderId="31" xfId="5" applyNumberFormat="1" applyFont="1" applyFill="1" applyBorder="1" applyAlignment="1">
      <alignment horizontal="center" vertical="center" wrapText="1"/>
    </xf>
    <xf numFmtId="49" fontId="14" fillId="0" borderId="18" xfId="0" applyNumberFormat="1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6" fillId="9" borderId="23" xfId="0" applyFont="1" applyFill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/>
    </xf>
    <xf numFmtId="0" fontId="16" fillId="9" borderId="54" xfId="0" applyFont="1" applyFill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left" vertical="center" wrapText="1"/>
    </xf>
    <xf numFmtId="0" fontId="14" fillId="0" borderId="41" xfId="0" applyFont="1" applyBorder="1" applyAlignment="1">
      <alignment horizontal="left" vertical="center" wrapText="1"/>
    </xf>
    <xf numFmtId="0" fontId="14" fillId="0" borderId="41" xfId="0" applyFont="1" applyBorder="1" applyAlignment="1">
      <alignment horizontal="center" vertical="center"/>
    </xf>
    <xf numFmtId="0" fontId="14" fillId="10" borderId="41" xfId="0" applyFont="1" applyFill="1" applyBorder="1" applyAlignment="1">
      <alignment horizontal="center" vertical="center"/>
    </xf>
    <xf numFmtId="44" fontId="14" fillId="0" borderId="41" xfId="1" applyFont="1" applyBorder="1" applyAlignment="1">
      <alignment vertical="center"/>
    </xf>
    <xf numFmtId="44" fontId="14" fillId="0" borderId="31" xfId="1" applyFont="1" applyBorder="1" applyAlignment="1">
      <alignment vertical="center"/>
    </xf>
    <xf numFmtId="1" fontId="14" fillId="11" borderId="37" xfId="0" applyNumberFormat="1" applyFont="1" applyFill="1" applyBorder="1" applyAlignment="1">
      <alignment horizontal="center" vertical="center"/>
    </xf>
    <xf numFmtId="1" fontId="14" fillId="11" borderId="38" xfId="0" applyNumberFormat="1" applyFont="1" applyFill="1" applyBorder="1" applyAlignment="1">
      <alignment horizontal="center" vertical="center"/>
    </xf>
    <xf numFmtId="44" fontId="14" fillId="11" borderId="38" xfId="1" applyFont="1" applyFill="1" applyBorder="1" applyAlignment="1">
      <alignment vertical="center"/>
    </xf>
    <xf numFmtId="44" fontId="14" fillId="12" borderId="38" xfId="1" applyFont="1" applyFill="1" applyBorder="1" applyAlignment="1">
      <alignment vertical="center"/>
    </xf>
    <xf numFmtId="9" fontId="14" fillId="13" borderId="38" xfId="2" applyFont="1" applyFill="1" applyBorder="1" applyAlignment="1">
      <alignment vertical="center"/>
    </xf>
    <xf numFmtId="44" fontId="14" fillId="13" borderId="38" xfId="1" applyFont="1" applyFill="1" applyBorder="1" applyAlignment="1">
      <alignment vertical="center"/>
    </xf>
    <xf numFmtId="44" fontId="14" fillId="13" borderId="39" xfId="1" applyFont="1" applyFill="1" applyBorder="1" applyAlignment="1">
      <alignment vertical="center"/>
    </xf>
    <xf numFmtId="10" fontId="14" fillId="12" borderId="40" xfId="0" applyNumberFormat="1" applyFont="1" applyFill="1" applyBorder="1" applyAlignment="1">
      <alignment horizontal="center" vertical="center"/>
    </xf>
    <xf numFmtId="10" fontId="14" fillId="12" borderId="38" xfId="0" applyNumberFormat="1" applyFont="1" applyFill="1" applyBorder="1" applyAlignment="1">
      <alignment horizontal="center" vertical="center"/>
    </xf>
    <xf numFmtId="0" fontId="14" fillId="10" borderId="41" xfId="0" applyFont="1" applyFill="1" applyBorder="1" applyAlignment="1">
      <alignment horizontal="left" vertical="center" wrapText="1"/>
    </xf>
    <xf numFmtId="44" fontId="14" fillId="0" borderId="38" xfId="1" applyFont="1" applyBorder="1" applyAlignment="1">
      <alignment vertical="center"/>
    </xf>
    <xf numFmtId="44" fontId="14" fillId="0" borderId="39" xfId="1" applyFont="1" applyBorder="1" applyAlignment="1">
      <alignment vertical="center"/>
    </xf>
    <xf numFmtId="44" fontId="13" fillId="7" borderId="0" xfId="0" applyNumberFormat="1" applyFont="1" applyFill="1" applyAlignment="1">
      <alignment horizontal="right"/>
    </xf>
    <xf numFmtId="44" fontId="13" fillId="7" borderId="42" xfId="0" applyNumberFormat="1" applyFont="1" applyFill="1" applyBorder="1" applyAlignment="1">
      <alignment horizontal="right"/>
    </xf>
    <xf numFmtId="44" fontId="13" fillId="7" borderId="41" xfId="0" applyNumberFormat="1" applyFont="1" applyFill="1" applyBorder="1" applyAlignment="1">
      <alignment horizontal="right"/>
    </xf>
    <xf numFmtId="44" fontId="16" fillId="12" borderId="41" xfId="0" applyNumberFormat="1" applyFont="1" applyFill="1" applyBorder="1"/>
    <xf numFmtId="0" fontId="14" fillId="13" borderId="41" xfId="0" applyFont="1" applyFill="1" applyBorder="1"/>
    <xf numFmtId="44" fontId="16" fillId="13" borderId="41" xfId="0" applyNumberFormat="1" applyFont="1" applyFill="1" applyBorder="1"/>
    <xf numFmtId="44" fontId="16" fillId="13" borderId="31" xfId="1" applyFont="1" applyFill="1" applyBorder="1"/>
    <xf numFmtId="0" fontId="16" fillId="9" borderId="43" xfId="0" applyFont="1" applyFill="1" applyBorder="1" applyAlignment="1">
      <alignment horizontal="center" vertical="center"/>
    </xf>
    <xf numFmtId="0" fontId="16" fillId="9" borderId="41" xfId="0" applyFont="1" applyFill="1" applyBorder="1" applyAlignment="1">
      <alignment horizontal="center" vertical="center"/>
    </xf>
    <xf numFmtId="0" fontId="16" fillId="15" borderId="30" xfId="0" applyFont="1" applyFill="1" applyBorder="1" applyAlignment="1">
      <alignment horizontal="left" vertical="center" wrapText="1"/>
    </xf>
    <xf numFmtId="0" fontId="16" fillId="0" borderId="41" xfId="0" applyFont="1" applyBorder="1" applyAlignment="1">
      <alignment horizontal="left" vertical="center" wrapText="1"/>
    </xf>
    <xf numFmtId="44" fontId="14" fillId="0" borderId="0" xfId="0" applyNumberFormat="1" applyFont="1" applyAlignment="1">
      <alignment horizontal="center" vertical="center"/>
    </xf>
    <xf numFmtId="10" fontId="14" fillId="0" borderId="0" xfId="0" applyNumberFormat="1" applyFont="1"/>
    <xf numFmtId="1" fontId="14" fillId="11" borderId="34" xfId="0" applyNumberFormat="1" applyFont="1" applyFill="1" applyBorder="1" applyAlignment="1">
      <alignment horizontal="center" vertical="center"/>
    </xf>
    <xf numFmtId="1" fontId="14" fillId="11" borderId="35" xfId="0" applyNumberFormat="1" applyFont="1" applyFill="1" applyBorder="1" applyAlignment="1">
      <alignment horizontal="center" vertical="center"/>
    </xf>
    <xf numFmtId="44" fontId="14" fillId="11" borderId="35" xfId="1" applyFont="1" applyFill="1" applyBorder="1" applyAlignment="1">
      <alignment vertical="center"/>
    </xf>
    <xf numFmtId="44" fontId="14" fillId="12" borderId="35" xfId="1" applyFont="1" applyFill="1" applyBorder="1" applyAlignment="1">
      <alignment vertical="center"/>
    </xf>
    <xf numFmtId="9" fontId="14" fillId="13" borderId="35" xfId="2" applyFont="1" applyFill="1" applyBorder="1" applyAlignment="1">
      <alignment vertical="center"/>
    </xf>
    <xf numFmtId="44" fontId="14" fillId="13" borderId="35" xfId="1" applyFont="1" applyFill="1" applyBorder="1" applyAlignment="1">
      <alignment vertical="center"/>
    </xf>
    <xf numFmtId="44" fontId="14" fillId="13" borderId="36" xfId="1" applyFont="1" applyFill="1" applyBorder="1" applyAlignment="1">
      <alignment vertical="center"/>
    </xf>
    <xf numFmtId="10" fontId="14" fillId="12" borderId="57" xfId="0" applyNumberFormat="1" applyFont="1" applyFill="1" applyBorder="1" applyAlignment="1">
      <alignment horizontal="center" vertical="center"/>
    </xf>
    <xf numFmtId="10" fontId="14" fillId="12" borderId="36" xfId="0" applyNumberFormat="1" applyFont="1" applyFill="1" applyBorder="1" applyAlignment="1">
      <alignment horizontal="center" vertical="center"/>
    </xf>
    <xf numFmtId="169" fontId="13" fillId="8" borderId="0" xfId="0" applyNumberFormat="1" applyFont="1" applyFill="1" applyAlignment="1">
      <alignment horizontal="right"/>
    </xf>
    <xf numFmtId="169" fontId="13" fillId="8" borderId="42" xfId="0" applyNumberFormat="1" applyFont="1" applyFill="1" applyBorder="1" applyAlignment="1">
      <alignment horizontal="right"/>
    </xf>
    <xf numFmtId="44" fontId="13" fillId="8" borderId="38" xfId="0" applyNumberFormat="1" applyFont="1" applyFill="1" applyBorder="1" applyAlignment="1">
      <alignment horizontal="right"/>
    </xf>
    <xf numFmtId="44" fontId="16" fillId="12" borderId="38" xfId="0" applyNumberFormat="1" applyFont="1" applyFill="1" applyBorder="1"/>
    <xf numFmtId="0" fontId="14" fillId="13" borderId="38" xfId="0" applyFont="1" applyFill="1" applyBorder="1"/>
    <xf numFmtId="44" fontId="16" fillId="13" borderId="38" xfId="0" applyNumberFormat="1" applyFont="1" applyFill="1" applyBorder="1"/>
    <xf numFmtId="44" fontId="16" fillId="13" borderId="39" xfId="1" applyFont="1" applyFill="1" applyBorder="1"/>
    <xf numFmtId="0" fontId="14" fillId="0" borderId="42" xfId="0" applyFont="1" applyBorder="1"/>
    <xf numFmtId="0" fontId="16" fillId="9" borderId="39" xfId="0" applyFont="1" applyFill="1" applyBorder="1" applyAlignment="1">
      <alignment horizontal="center" vertical="center"/>
    </xf>
    <xf numFmtId="44" fontId="14" fillId="10" borderId="41" xfId="1" applyFont="1" applyFill="1" applyBorder="1" applyAlignment="1">
      <alignment vertical="center"/>
    </xf>
    <xf numFmtId="1" fontId="14" fillId="11" borderId="30" xfId="0" applyNumberFormat="1" applyFont="1" applyFill="1" applyBorder="1" applyAlignment="1">
      <alignment horizontal="center" vertical="center"/>
    </xf>
    <xf numFmtId="1" fontId="14" fillId="11" borderId="41" xfId="0" applyNumberFormat="1" applyFont="1" applyFill="1" applyBorder="1" applyAlignment="1">
      <alignment horizontal="center" vertical="center"/>
    </xf>
    <xf numFmtId="44" fontId="14" fillId="11" borderId="41" xfId="1" applyFont="1" applyFill="1" applyBorder="1" applyAlignment="1">
      <alignment vertical="center"/>
    </xf>
    <xf numFmtId="44" fontId="14" fillId="12" borderId="41" xfId="1" applyFont="1" applyFill="1" applyBorder="1" applyAlignment="1">
      <alignment vertical="center"/>
    </xf>
    <xf numFmtId="9" fontId="14" fillId="13" borderId="41" xfId="2" applyFont="1" applyFill="1" applyBorder="1" applyAlignment="1">
      <alignment vertical="center"/>
    </xf>
    <xf numFmtId="44" fontId="14" fillId="13" borderId="41" xfId="1" applyFont="1" applyFill="1" applyBorder="1" applyAlignment="1">
      <alignment vertical="center"/>
    </xf>
    <xf numFmtId="44" fontId="14" fillId="13" borderId="31" xfId="1" applyFont="1" applyFill="1" applyBorder="1" applyAlignment="1">
      <alignment vertical="center"/>
    </xf>
    <xf numFmtId="10" fontId="14" fillId="12" borderId="39" xfId="0" applyNumberFormat="1" applyFont="1" applyFill="1" applyBorder="1" applyAlignment="1">
      <alignment horizontal="center" vertical="center"/>
    </xf>
    <xf numFmtId="0" fontId="14" fillId="0" borderId="46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44" fontId="13" fillId="8" borderId="49" xfId="0" applyNumberFormat="1" applyFont="1" applyFill="1" applyBorder="1" applyAlignment="1">
      <alignment horizontal="right"/>
    </xf>
    <xf numFmtId="44" fontId="16" fillId="12" borderId="49" xfId="0" applyNumberFormat="1" applyFont="1" applyFill="1" applyBorder="1"/>
    <xf numFmtId="0" fontId="14" fillId="13" borderId="49" xfId="0" applyFont="1" applyFill="1" applyBorder="1"/>
    <xf numFmtId="44" fontId="16" fillId="13" borderId="49" xfId="0" applyNumberFormat="1" applyFont="1" applyFill="1" applyBorder="1"/>
    <xf numFmtId="44" fontId="16" fillId="13" borderId="50" xfId="1" applyFont="1" applyFill="1" applyBorder="1"/>
    <xf numFmtId="0" fontId="16" fillId="15" borderId="24" xfId="0" applyFont="1" applyFill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center" vertical="center"/>
    </xf>
    <xf numFmtId="44" fontId="14" fillId="0" borderId="22" xfId="1" applyFont="1" applyBorder="1" applyAlignment="1">
      <alignment vertical="center"/>
    </xf>
    <xf numFmtId="44" fontId="14" fillId="0" borderId="25" xfId="1" applyFont="1" applyBorder="1" applyAlignment="1">
      <alignment vertical="center"/>
    </xf>
    <xf numFmtId="0" fontId="16" fillId="15" borderId="37" xfId="0" applyFont="1" applyFill="1" applyBorder="1" applyAlignment="1">
      <alignment horizontal="left" vertical="center" wrapText="1"/>
    </xf>
    <xf numFmtId="0" fontId="14" fillId="0" borderId="38" xfId="0" applyFont="1" applyBorder="1" applyAlignment="1">
      <alignment horizontal="left" vertical="center" wrapText="1"/>
    </xf>
    <xf numFmtId="0" fontId="14" fillId="0" borderId="38" xfId="0" applyFont="1" applyBorder="1" applyAlignment="1">
      <alignment horizontal="center" vertical="center"/>
    </xf>
    <xf numFmtId="0" fontId="14" fillId="10" borderId="38" xfId="0" applyFont="1" applyFill="1" applyBorder="1" applyAlignment="1">
      <alignment horizontal="left" vertical="center" wrapText="1"/>
    </xf>
    <xf numFmtId="0" fontId="14" fillId="10" borderId="38" xfId="0" applyFont="1" applyFill="1" applyBorder="1" applyAlignment="1">
      <alignment horizontal="center" vertical="center"/>
    </xf>
    <xf numFmtId="44" fontId="14" fillId="10" borderId="38" xfId="1" applyFont="1" applyFill="1" applyBorder="1" applyAlignment="1">
      <alignment vertical="center"/>
    </xf>
    <xf numFmtId="10" fontId="14" fillId="12" borderId="43" xfId="0" applyNumberFormat="1" applyFont="1" applyFill="1" applyBorder="1" applyAlignment="1">
      <alignment horizontal="center" vertical="center"/>
    </xf>
    <xf numFmtId="0" fontId="14" fillId="0" borderId="4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1" fontId="14" fillId="11" borderId="58" xfId="0" applyNumberFormat="1" applyFont="1" applyFill="1" applyBorder="1" applyAlignment="1">
      <alignment horizontal="center" vertical="center"/>
    </xf>
    <xf numFmtId="44" fontId="14" fillId="11" borderId="58" xfId="1" applyFont="1" applyFill="1" applyBorder="1" applyAlignment="1">
      <alignment vertical="center"/>
    </xf>
    <xf numFmtId="44" fontId="14" fillId="12" borderId="58" xfId="1" applyFont="1" applyFill="1" applyBorder="1" applyAlignment="1">
      <alignment vertical="center"/>
    </xf>
    <xf numFmtId="9" fontId="14" fillId="13" borderId="58" xfId="2" applyFont="1" applyFill="1" applyBorder="1" applyAlignment="1">
      <alignment vertical="center"/>
    </xf>
    <xf numFmtId="44" fontId="14" fillId="13" borderId="58" xfId="1" applyFont="1" applyFill="1" applyBorder="1" applyAlignment="1">
      <alignment vertical="center"/>
    </xf>
    <xf numFmtId="10" fontId="14" fillId="12" borderId="42" xfId="0" applyNumberFormat="1" applyFont="1" applyFill="1" applyBorder="1" applyAlignment="1">
      <alignment horizontal="center" vertical="center"/>
    </xf>
    <xf numFmtId="44" fontId="13" fillId="8" borderId="60" xfId="0" applyNumberFormat="1" applyFont="1" applyFill="1" applyBorder="1" applyAlignment="1">
      <alignment horizontal="right"/>
    </xf>
    <xf numFmtId="44" fontId="16" fillId="12" borderId="60" xfId="0" applyNumberFormat="1" applyFont="1" applyFill="1" applyBorder="1"/>
    <xf numFmtId="0" fontId="14" fillId="13" borderId="60" xfId="0" applyFont="1" applyFill="1" applyBorder="1"/>
    <xf numFmtId="44" fontId="16" fillId="13" borderId="60" xfId="0" applyNumberFormat="1" applyFont="1" applyFill="1" applyBorder="1"/>
    <xf numFmtId="44" fontId="16" fillId="13" borderId="61" xfId="1" applyFont="1" applyFill="1" applyBorder="1"/>
    <xf numFmtId="0" fontId="16" fillId="10" borderId="37" xfId="0" applyFont="1" applyFill="1" applyBorder="1" applyAlignment="1">
      <alignment horizontal="left" vertical="center" wrapText="1"/>
    </xf>
    <xf numFmtId="44" fontId="14" fillId="10" borderId="39" xfId="1" applyFont="1" applyFill="1" applyBorder="1" applyAlignment="1">
      <alignment vertical="center"/>
    </xf>
    <xf numFmtId="169" fontId="13" fillId="8" borderId="45" xfId="0" applyNumberFormat="1" applyFont="1" applyFill="1" applyBorder="1" applyAlignment="1">
      <alignment horizontal="right"/>
    </xf>
    <xf numFmtId="169" fontId="13" fillId="8" borderId="55" xfId="0" applyNumberFormat="1" applyFont="1" applyFill="1" applyBorder="1" applyAlignment="1">
      <alignment horizontal="right"/>
    </xf>
    <xf numFmtId="44" fontId="16" fillId="13" borderId="51" xfId="1" applyFont="1" applyFill="1" applyBorder="1"/>
    <xf numFmtId="44" fontId="13" fillId="14" borderId="32" xfId="1" applyFont="1" applyFill="1" applyBorder="1" applyAlignment="1">
      <alignment horizontal="center"/>
    </xf>
    <xf numFmtId="44" fontId="13" fillId="14" borderId="54" xfId="1" applyFont="1" applyFill="1" applyBorder="1" applyAlignment="1">
      <alignment horizontal="center"/>
    </xf>
    <xf numFmtId="49" fontId="14" fillId="0" borderId="52" xfId="0" applyNumberFormat="1" applyFont="1" applyBorder="1" applyAlignment="1">
      <alignment horizontal="left" vertical="center" wrapText="1"/>
    </xf>
    <xf numFmtId="4" fontId="14" fillId="0" borderId="0" xfId="0" applyNumberFormat="1" applyFont="1" applyAlignment="1">
      <alignment horizontal="center" vertical="center"/>
    </xf>
    <xf numFmtId="167" fontId="12" fillId="4" borderId="30" xfId="5" applyNumberFormat="1" applyFont="1" applyFill="1" applyBorder="1" applyAlignment="1">
      <alignment horizontal="center" vertical="center" wrapText="1"/>
    </xf>
    <xf numFmtId="167" fontId="21" fillId="4" borderId="31" xfId="5" applyNumberFormat="1" applyFont="1" applyFill="1" applyBorder="1" applyAlignment="1">
      <alignment horizontal="center" vertical="center" wrapText="1"/>
    </xf>
    <xf numFmtId="44" fontId="23" fillId="0" borderId="38" xfId="0" applyNumberFormat="1" applyFont="1" applyBorder="1"/>
    <xf numFmtId="44" fontId="24" fillId="0" borderId="38" xfId="1" applyFont="1" applyBorder="1"/>
    <xf numFmtId="44" fontId="24" fillId="0" borderId="38" xfId="0" applyNumberFormat="1" applyFont="1" applyBorder="1"/>
    <xf numFmtId="44" fontId="13" fillId="14" borderId="65" xfId="0" applyNumberFormat="1" applyFont="1" applyFill="1" applyBorder="1"/>
    <xf numFmtId="0" fontId="13" fillId="14" borderId="11" xfId="0" applyFont="1" applyFill="1" applyBorder="1" applyAlignment="1">
      <alignment horizontal="center" vertical="center"/>
    </xf>
    <xf numFmtId="44" fontId="13" fillId="14" borderId="67" xfId="1" applyFont="1" applyFill="1" applyBorder="1"/>
    <xf numFmtId="0" fontId="16" fillId="15" borderId="38" xfId="0" applyFont="1" applyFill="1" applyBorder="1" applyAlignment="1">
      <alignment horizontal="left" vertical="center" wrapText="1"/>
    </xf>
    <xf numFmtId="44" fontId="15" fillId="0" borderId="38" xfId="0" applyNumberFormat="1" applyFont="1" applyBorder="1"/>
    <xf numFmtId="44" fontId="20" fillId="0" borderId="38" xfId="1" applyFont="1" applyBorder="1"/>
    <xf numFmtId="0" fontId="16" fillId="0" borderId="38" xfId="0" applyFont="1" applyBorder="1" applyAlignment="1">
      <alignment horizontal="left" vertical="center" wrapText="1"/>
    </xf>
    <xf numFmtId="1" fontId="14" fillId="11" borderId="58" xfId="0" applyNumberFormat="1" applyFont="1" applyFill="1" applyBorder="1" applyAlignment="1">
      <alignment vertical="center"/>
    </xf>
    <xf numFmtId="10" fontId="14" fillId="12" borderId="41" xfId="0" applyNumberFormat="1" applyFont="1" applyFill="1" applyBorder="1" applyAlignment="1">
      <alignment horizontal="center" vertical="center"/>
    </xf>
    <xf numFmtId="1" fontId="14" fillId="11" borderId="59" xfId="0" applyNumberFormat="1" applyFont="1" applyFill="1" applyBorder="1" applyAlignment="1">
      <alignment horizontal="center" vertical="center"/>
    </xf>
    <xf numFmtId="1" fontId="14" fillId="11" borderId="60" xfId="0" applyNumberFormat="1" applyFont="1" applyFill="1" applyBorder="1" applyAlignment="1">
      <alignment horizontal="center" vertical="center"/>
    </xf>
    <xf numFmtId="44" fontId="14" fillId="11" borderId="60" xfId="1" applyFont="1" applyFill="1" applyBorder="1" applyAlignment="1">
      <alignment vertical="center"/>
    </xf>
    <xf numFmtId="44" fontId="14" fillId="12" borderId="60" xfId="1" applyFont="1" applyFill="1" applyBorder="1" applyAlignment="1">
      <alignment vertical="center"/>
    </xf>
    <xf numFmtId="9" fontId="14" fillId="13" borderId="60" xfId="2" applyFont="1" applyFill="1" applyBorder="1" applyAlignment="1">
      <alignment vertical="center"/>
    </xf>
    <xf numFmtId="44" fontId="14" fillId="13" borderId="60" xfId="1" applyFont="1" applyFill="1" applyBorder="1" applyAlignment="1">
      <alignment vertical="center"/>
    </xf>
    <xf numFmtId="44" fontId="14" fillId="13" borderId="61" xfId="1" applyFont="1" applyFill="1" applyBorder="1" applyAlignment="1">
      <alignment vertical="center"/>
    </xf>
    <xf numFmtId="44" fontId="13" fillId="14" borderId="66" xfId="1" applyFont="1" applyFill="1" applyBorder="1" applyAlignment="1">
      <alignment horizontal="center"/>
    </xf>
    <xf numFmtId="44" fontId="2" fillId="0" borderId="0" xfId="1" applyFont="1"/>
    <xf numFmtId="44" fontId="7" fillId="0" borderId="66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6" fillId="21" borderId="11" xfId="0" applyFont="1" applyFill="1" applyBorder="1" applyAlignment="1">
      <alignment horizontal="center"/>
    </xf>
    <xf numFmtId="0" fontId="6" fillId="21" borderId="12" xfId="0" applyFont="1" applyFill="1" applyBorder="1" applyAlignment="1">
      <alignment horizontal="center"/>
    </xf>
    <xf numFmtId="0" fontId="6" fillId="21" borderId="65" xfId="0" applyFont="1" applyFill="1" applyBorder="1" applyAlignment="1">
      <alignment horizontal="center"/>
    </xf>
    <xf numFmtId="44" fontId="6" fillId="0" borderId="22" xfId="0" applyNumberFormat="1" applyFont="1" applyBorder="1" applyAlignment="1">
      <alignment horizontal="center" vertical="center"/>
    </xf>
    <xf numFmtId="44" fontId="6" fillId="0" borderId="69" xfId="0" applyNumberFormat="1" applyFont="1" applyBorder="1" applyAlignment="1">
      <alignment horizontal="center" vertical="center"/>
    </xf>
    <xf numFmtId="0" fontId="22" fillId="7" borderId="24" xfId="0" applyFont="1" applyFill="1" applyBorder="1" applyAlignment="1">
      <alignment horizontal="center"/>
    </xf>
    <xf numFmtId="0" fontId="22" fillId="7" borderId="22" xfId="0" applyFont="1" applyFill="1" applyBorder="1" applyAlignment="1">
      <alignment horizontal="center"/>
    </xf>
    <xf numFmtId="0" fontId="22" fillId="8" borderId="34" xfId="0" applyFont="1" applyFill="1" applyBorder="1" applyAlignment="1">
      <alignment horizontal="left"/>
    </xf>
    <xf numFmtId="0" fontId="22" fillId="8" borderId="35" xfId="0" applyFont="1" applyFill="1" applyBorder="1" applyAlignment="1">
      <alignment horizontal="left"/>
    </xf>
    <xf numFmtId="0" fontId="13" fillId="7" borderId="32" xfId="0" applyFont="1" applyFill="1" applyBorder="1" applyAlignment="1">
      <alignment horizontal="left"/>
    </xf>
    <xf numFmtId="0" fontId="13" fillId="7" borderId="33" xfId="0" applyFont="1" applyFill="1" applyBorder="1" applyAlignment="1">
      <alignment horizontal="left"/>
    </xf>
    <xf numFmtId="0" fontId="13" fillId="7" borderId="30" xfId="0" applyFont="1" applyFill="1" applyBorder="1" applyAlignment="1">
      <alignment horizontal="left"/>
    </xf>
    <xf numFmtId="0" fontId="13" fillId="7" borderId="41" xfId="0" applyFont="1" applyFill="1" applyBorder="1" applyAlignment="1">
      <alignment horizontal="left"/>
    </xf>
    <xf numFmtId="0" fontId="13" fillId="8" borderId="14" xfId="0" applyFont="1" applyFill="1" applyBorder="1" applyAlignment="1">
      <alignment horizontal="left"/>
    </xf>
    <xf numFmtId="0" fontId="13" fillId="8" borderId="0" xfId="0" applyFont="1" applyFill="1" applyAlignment="1">
      <alignment horizontal="left"/>
    </xf>
    <xf numFmtId="0" fontId="13" fillId="8" borderId="59" xfId="0" applyFont="1" applyFill="1" applyBorder="1" applyAlignment="1">
      <alignment horizontal="left"/>
    </xf>
    <xf numFmtId="0" fontId="13" fillId="8" borderId="60" xfId="0" applyFont="1" applyFill="1" applyBorder="1" applyAlignment="1">
      <alignment horizontal="left"/>
    </xf>
    <xf numFmtId="0" fontId="13" fillId="8" borderId="32" xfId="0" applyFont="1" applyFill="1" applyBorder="1" applyAlignment="1">
      <alignment horizontal="left"/>
    </xf>
    <xf numFmtId="0" fontId="13" fillId="8" borderId="33" xfId="0" applyFont="1" applyFill="1" applyBorder="1" applyAlignment="1">
      <alignment horizontal="left"/>
    </xf>
    <xf numFmtId="0" fontId="13" fillId="8" borderId="21" xfId="0" applyFont="1" applyFill="1" applyBorder="1" applyAlignment="1">
      <alignment horizontal="left"/>
    </xf>
    <xf numFmtId="0" fontId="13" fillId="8" borderId="37" xfId="0" applyFont="1" applyFill="1" applyBorder="1" applyAlignment="1">
      <alignment horizontal="left"/>
    </xf>
    <xf numFmtId="0" fontId="13" fillId="8" borderId="38" xfId="0" applyFont="1" applyFill="1" applyBorder="1" applyAlignment="1">
      <alignment horizontal="left"/>
    </xf>
    <xf numFmtId="0" fontId="13" fillId="8" borderId="39" xfId="0" applyFont="1" applyFill="1" applyBorder="1" applyAlignment="1">
      <alignment horizontal="left"/>
    </xf>
    <xf numFmtId="0" fontId="13" fillId="8" borderId="44" xfId="0" applyFont="1" applyFill="1" applyBorder="1" applyAlignment="1">
      <alignment horizontal="left"/>
    </xf>
    <xf numFmtId="0" fontId="13" fillId="8" borderId="45" xfId="0" applyFont="1" applyFill="1" applyBorder="1" applyAlignment="1">
      <alignment horizontal="left"/>
    </xf>
    <xf numFmtId="0" fontId="13" fillId="8" borderId="56" xfId="0" applyFont="1" applyFill="1" applyBorder="1" applyAlignment="1">
      <alignment horizontal="left"/>
    </xf>
    <xf numFmtId="0" fontId="13" fillId="8" borderId="49" xfId="0" applyFont="1" applyFill="1" applyBorder="1" applyAlignment="1">
      <alignment horizontal="left"/>
    </xf>
    <xf numFmtId="0" fontId="13" fillId="7" borderId="32" xfId="0" applyFont="1" applyFill="1" applyBorder="1" applyAlignment="1">
      <alignment horizontal="center"/>
    </xf>
    <xf numFmtId="0" fontId="13" fillId="7" borderId="33" xfId="0" applyFont="1" applyFill="1" applyBorder="1" applyAlignment="1">
      <alignment horizontal="center"/>
    </xf>
    <xf numFmtId="0" fontId="13" fillId="7" borderId="54" xfId="0" applyFont="1" applyFill="1" applyBorder="1" applyAlignment="1">
      <alignment horizontal="center"/>
    </xf>
    <xf numFmtId="0" fontId="13" fillId="7" borderId="34" xfId="0" applyFont="1" applyFill="1" applyBorder="1" applyAlignment="1">
      <alignment horizontal="center"/>
    </xf>
    <xf numFmtId="0" fontId="13" fillId="7" borderId="35" xfId="0" applyFont="1" applyFill="1" applyBorder="1" applyAlignment="1">
      <alignment horizontal="center"/>
    </xf>
    <xf numFmtId="0" fontId="13" fillId="7" borderId="36" xfId="0" applyFont="1" applyFill="1" applyBorder="1" applyAlignment="1">
      <alignment horizontal="center"/>
    </xf>
    <xf numFmtId="0" fontId="13" fillId="8" borderId="30" xfId="0" applyFont="1" applyFill="1" applyBorder="1" applyAlignment="1">
      <alignment horizontal="left"/>
    </xf>
    <xf numFmtId="0" fontId="13" fillId="8" borderId="41" xfId="0" applyFont="1" applyFill="1" applyBorder="1" applyAlignment="1">
      <alignment horizontal="left"/>
    </xf>
    <xf numFmtId="0" fontId="13" fillId="8" borderId="31" xfId="0" applyFont="1" applyFill="1" applyBorder="1" applyAlignment="1">
      <alignment horizontal="left"/>
    </xf>
    <xf numFmtId="167" fontId="18" fillId="0" borderId="15" xfId="5" applyNumberFormat="1" applyFont="1" applyBorder="1" applyAlignment="1">
      <alignment horizontal="center" vertical="center" wrapText="1"/>
    </xf>
    <xf numFmtId="167" fontId="18" fillId="0" borderId="16" xfId="5" applyNumberFormat="1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67" fontId="18" fillId="5" borderId="11" xfId="5" applyNumberFormat="1" applyFont="1" applyFill="1" applyBorder="1" applyAlignment="1">
      <alignment horizontal="center" vertical="center" wrapText="1"/>
    </xf>
    <xf numFmtId="167" fontId="18" fillId="5" borderId="12" xfId="5" applyNumberFormat="1" applyFont="1" applyFill="1" applyBorder="1" applyAlignment="1">
      <alignment horizontal="center" vertical="center" wrapText="1"/>
    </xf>
    <xf numFmtId="167" fontId="18" fillId="5" borderId="10" xfId="5" applyNumberFormat="1" applyFont="1" applyFill="1" applyBorder="1" applyAlignment="1">
      <alignment horizontal="center" vertical="center" wrapText="1"/>
    </xf>
    <xf numFmtId="167" fontId="18" fillId="5" borderId="14" xfId="5" applyNumberFormat="1" applyFont="1" applyFill="1" applyBorder="1" applyAlignment="1">
      <alignment horizontal="center" vertical="center" wrapText="1"/>
    </xf>
    <xf numFmtId="167" fontId="18" fillId="5" borderId="0" xfId="5" applyNumberFormat="1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left"/>
    </xf>
    <xf numFmtId="0" fontId="13" fillId="7" borderId="0" xfId="0" applyFont="1" applyFill="1" applyAlignment="1">
      <alignment horizontal="left"/>
    </xf>
    <xf numFmtId="0" fontId="17" fillId="0" borderId="0" xfId="3" applyFont="1" applyAlignment="1">
      <alignment horizontal="left" vertical="center" wrapText="1"/>
    </xf>
    <xf numFmtId="0" fontId="17" fillId="0" borderId="0" xfId="3" applyFont="1" applyAlignment="1">
      <alignment horizontal="left" vertical="top"/>
    </xf>
    <xf numFmtId="0" fontId="18" fillId="2" borderId="8" xfId="4" applyFont="1" applyFill="1" applyBorder="1" applyAlignment="1">
      <alignment horizontal="center" vertical="center"/>
    </xf>
    <xf numFmtId="0" fontId="18" fillId="2" borderId="9" xfId="4" applyFont="1" applyFill="1" applyBorder="1" applyAlignment="1">
      <alignment horizontal="center" vertical="center"/>
    </xf>
    <xf numFmtId="0" fontId="18" fillId="2" borderId="10" xfId="4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8" borderId="34" xfId="0" applyFont="1" applyFill="1" applyBorder="1" applyAlignment="1">
      <alignment horizontal="left"/>
    </xf>
    <xf numFmtId="0" fontId="13" fillId="8" borderId="35" xfId="0" applyFont="1" applyFill="1" applyBorder="1" applyAlignment="1">
      <alignment horizontal="left"/>
    </xf>
    <xf numFmtId="44" fontId="9" fillId="15" borderId="11" xfId="1" applyFont="1" applyFill="1" applyBorder="1" applyAlignment="1">
      <alignment horizontal="center"/>
    </xf>
    <xf numFmtId="44" fontId="9" fillId="15" borderId="12" xfId="1" applyFont="1" applyFill="1" applyBorder="1" applyAlignment="1">
      <alignment horizontal="center"/>
    </xf>
    <xf numFmtId="44" fontId="9" fillId="15" borderId="53" xfId="1" applyFont="1" applyFill="1" applyBorder="1" applyAlignment="1">
      <alignment horizontal="center"/>
    </xf>
    <xf numFmtId="0" fontId="6" fillId="0" borderId="28" xfId="0" applyFont="1" applyBorder="1" applyAlignment="1">
      <alignment horizontal="left"/>
    </xf>
    <xf numFmtId="169" fontId="6" fillId="0" borderId="22" xfId="0" applyNumberFormat="1" applyFont="1" applyBorder="1" applyAlignment="1">
      <alignment horizontal="center" vertical="center"/>
    </xf>
    <xf numFmtId="9" fontId="6" fillId="0" borderId="25" xfId="2" applyFont="1" applyBorder="1" applyAlignment="1">
      <alignment horizontal="center" vertical="center"/>
    </xf>
    <xf numFmtId="169" fontId="6" fillId="0" borderId="69" xfId="0" applyNumberFormat="1" applyFont="1" applyBorder="1" applyAlignment="1">
      <alignment horizontal="center" vertical="center"/>
    </xf>
    <xf numFmtId="9" fontId="6" fillId="0" borderId="68" xfId="2" applyFont="1" applyBorder="1" applyAlignment="1">
      <alignment horizontal="center" vertical="center"/>
    </xf>
    <xf numFmtId="169" fontId="7" fillId="0" borderId="0" xfId="0" applyNumberFormat="1" applyFont="1"/>
  </cellXfs>
  <cellStyles count="7">
    <cellStyle name="Moeda" xfId="1" builtinId="4"/>
    <cellStyle name="Moeda 2" xfId="5" xr:uid="{DA8FA43B-87A9-45B7-85B5-CABC01C727CB}"/>
    <cellStyle name="Normal" xfId="0" builtinId="0"/>
    <cellStyle name="Normal 2" xfId="3" xr:uid="{35840FDF-35F1-4279-BB62-D3BCAC66B555}"/>
    <cellStyle name="Normal_Plan1" xfId="4" xr:uid="{8865F08B-A2A2-4D91-BCBB-1C780B4BD7A3}"/>
    <cellStyle name="Porcentagem" xfId="2" builtinId="5"/>
    <cellStyle name="Porcentagem 2" xfId="6" xr:uid="{F6FEE450-D0E9-467A-A78D-8A825CF546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83698</xdr:colOff>
      <xdr:row>0</xdr:row>
      <xdr:rowOff>152400</xdr:rowOff>
    </xdr:from>
    <xdr:to>
      <xdr:col>5</xdr:col>
      <xdr:colOff>934479</xdr:colOff>
      <xdr:row>2</xdr:row>
      <xdr:rowOff>218412</xdr:rowOff>
    </xdr:to>
    <xdr:sp macro="" textlink="">
      <xdr:nvSpPr>
        <xdr:cNvPr id="2" name="Label1" hidden="1">
          <a:extLst>
            <a:ext uri="{63B3BB69-23CF-44E3-9099-C40C66FF867C}">
              <a14:compatExt xmlns:a14="http://schemas.microsoft.com/office/drawing/2010/main" spid="_x0000_s23553"/>
            </a:ext>
            <a:ext uri="{FF2B5EF4-FFF2-40B4-BE49-F238E27FC236}">
              <a16:creationId xmlns:a16="http://schemas.microsoft.com/office/drawing/2014/main" id="{2F5C3C17-529F-490A-A6A0-F60B3A5CFB5A}"/>
            </a:ext>
          </a:extLst>
        </xdr:cNvPr>
        <xdr:cNvSpPr/>
      </xdr:nvSpPr>
      <xdr:spPr bwMode="auto">
        <a:xfrm>
          <a:off x="709626" y="152400"/>
          <a:ext cx="875275" cy="53760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247310</xdr:colOff>
      <xdr:row>0</xdr:row>
      <xdr:rowOff>133692</xdr:rowOff>
    </xdr:from>
    <xdr:to>
      <xdr:col>2</xdr:col>
      <xdr:colOff>0</xdr:colOff>
      <xdr:row>2</xdr:row>
      <xdr:rowOff>9638</xdr:rowOff>
    </xdr:to>
    <xdr:pic macro="[1]!ChamaForm_Menu">
      <xdr:nvPicPr>
        <xdr:cNvPr id="3" name="Imagem 2">
          <a:extLst>
            <a:ext uri="{FF2B5EF4-FFF2-40B4-BE49-F238E27FC236}">
              <a16:creationId xmlns:a16="http://schemas.microsoft.com/office/drawing/2014/main" id="{05C3F43F-B3D9-4ADC-B573-9B44A9F9D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1" y="130971"/>
          <a:ext cx="382293" cy="371245"/>
        </a:xfrm>
        <a:prstGeom prst="rect">
          <a:avLst/>
        </a:prstGeom>
      </xdr:spPr>
    </xdr:pic>
    <xdr:clientData/>
  </xdr:twoCellAnchor>
  <xdr:twoCellAnchor editAs="absolute">
    <xdr:from>
      <xdr:col>45</xdr:col>
      <xdr:colOff>510040</xdr:colOff>
      <xdr:row>0</xdr:row>
      <xdr:rowOff>190500</xdr:rowOff>
    </xdr:from>
    <xdr:to>
      <xdr:col>47</xdr:col>
      <xdr:colOff>266926</xdr:colOff>
      <xdr:row>3</xdr:row>
      <xdr:rowOff>1491</xdr:rowOff>
    </xdr:to>
    <xdr:sp macro="" textlink="">
      <xdr:nvSpPr>
        <xdr:cNvPr id="4" name="Label2" hidden="1">
          <a:extLst>
            <a:ext uri="{63B3BB69-23CF-44E3-9099-C40C66FF867C}">
              <a14:compatExt xmlns:a14="http://schemas.microsoft.com/office/drawing/2010/main" spid="_x0000_s23554"/>
            </a:ext>
            <a:ext uri="{FF2B5EF4-FFF2-40B4-BE49-F238E27FC236}">
              <a16:creationId xmlns:a16="http://schemas.microsoft.com/office/drawing/2014/main" id="{4E83BA88-AB89-4932-AC43-870303A3C02A}"/>
            </a:ext>
          </a:extLst>
        </xdr:cNvPr>
        <xdr:cNvSpPr/>
      </xdr:nvSpPr>
      <xdr:spPr bwMode="auto">
        <a:xfrm>
          <a:off x="29988355" y="190500"/>
          <a:ext cx="1028126" cy="54021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45</xdr:col>
      <xdr:colOff>55376</xdr:colOff>
      <xdr:row>0</xdr:row>
      <xdr:rowOff>182809</xdr:rowOff>
    </xdr:from>
    <xdr:to>
      <xdr:col>45</xdr:col>
      <xdr:colOff>365955</xdr:colOff>
      <xdr:row>2</xdr:row>
      <xdr:rowOff>48533</xdr:rowOff>
    </xdr:to>
    <xdr:pic macro="[1]!ChamaForm_Menu">
      <xdr:nvPicPr>
        <xdr:cNvPr id="5" name="Imagem 4">
          <a:extLst>
            <a:ext uri="{FF2B5EF4-FFF2-40B4-BE49-F238E27FC236}">
              <a16:creationId xmlns:a16="http://schemas.microsoft.com/office/drawing/2014/main" id="{59023ABA-75BB-4D8E-814D-EBAF94A2E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4985" y="179963"/>
          <a:ext cx="397193" cy="361148"/>
        </a:xfrm>
        <a:prstGeom prst="rect">
          <a:avLst/>
        </a:prstGeom>
      </xdr:spPr>
    </xdr:pic>
    <xdr:clientData/>
  </xdr:twoCellAnchor>
  <xdr:twoCellAnchor editAs="absolute">
    <xdr:from>
      <xdr:col>5</xdr:col>
      <xdr:colOff>83698</xdr:colOff>
      <xdr:row>0</xdr:row>
      <xdr:rowOff>152400</xdr:rowOff>
    </xdr:from>
    <xdr:to>
      <xdr:col>5</xdr:col>
      <xdr:colOff>934479</xdr:colOff>
      <xdr:row>2</xdr:row>
      <xdr:rowOff>218412</xdr:rowOff>
    </xdr:to>
    <xdr:pic>
      <xdr:nvPicPr>
        <xdr:cNvPr id="6" name="Label1">
          <a:extLst>
            <a:ext uri="{FF2B5EF4-FFF2-40B4-BE49-F238E27FC236}">
              <a16:creationId xmlns:a16="http://schemas.microsoft.com/office/drawing/2014/main" id="{25EB01F0-2136-462F-96E5-67B0883914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26" y="152400"/>
          <a:ext cx="875275" cy="53760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45</xdr:col>
      <xdr:colOff>510040</xdr:colOff>
      <xdr:row>0</xdr:row>
      <xdr:rowOff>190500</xdr:rowOff>
    </xdr:from>
    <xdr:to>
      <xdr:col>47</xdr:col>
      <xdr:colOff>266926</xdr:colOff>
      <xdr:row>3</xdr:row>
      <xdr:rowOff>1491</xdr:rowOff>
    </xdr:to>
    <xdr:pic>
      <xdr:nvPicPr>
        <xdr:cNvPr id="7" name="Label2">
          <a:extLst>
            <a:ext uri="{FF2B5EF4-FFF2-40B4-BE49-F238E27FC236}">
              <a16:creationId xmlns:a16="http://schemas.microsoft.com/office/drawing/2014/main" id="{4C6E3526-6116-4D6B-BACE-95695601D0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88355" y="190500"/>
          <a:ext cx="1028126" cy="54021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394607</xdr:colOff>
      <xdr:row>2</xdr:row>
      <xdr:rowOff>118381</xdr:rowOff>
    </xdr:from>
    <xdr:ext cx="2776118" cy="1993675"/>
    <xdr:pic>
      <xdr:nvPicPr>
        <xdr:cNvPr id="8" name="Imagem 7">
          <a:extLst>
            <a:ext uri="{FF2B5EF4-FFF2-40B4-BE49-F238E27FC236}">
              <a16:creationId xmlns:a16="http://schemas.microsoft.com/office/drawing/2014/main" id="{6C680F27-794E-4E51-865C-6C9BAD11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2107" y="825952"/>
          <a:ext cx="2776118" cy="19936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152400</xdr:rowOff>
    </xdr:from>
    <xdr:to>
      <xdr:col>5</xdr:col>
      <xdr:colOff>855104</xdr:colOff>
      <xdr:row>2</xdr:row>
      <xdr:rowOff>218412</xdr:rowOff>
    </xdr:to>
    <xdr:sp macro="" textlink="">
      <xdr:nvSpPr>
        <xdr:cNvPr id="2" name="Label1" hidden="1">
          <a:extLst>
            <a:ext uri="{63B3BB69-23CF-44E3-9099-C40C66FF867C}">
              <a14:compatExt xmlns:a14="http://schemas.microsoft.com/office/drawing/2010/main" spid="_x0000_s23553"/>
            </a:ext>
            <a:ext uri="{FF2B5EF4-FFF2-40B4-BE49-F238E27FC236}">
              <a16:creationId xmlns:a16="http://schemas.microsoft.com/office/drawing/2014/main" id="{5C3790CC-9121-4D4B-982F-B942F8CC9576}"/>
            </a:ext>
          </a:extLst>
        </xdr:cNvPr>
        <xdr:cNvSpPr/>
      </xdr:nvSpPr>
      <xdr:spPr bwMode="auto">
        <a:xfrm>
          <a:off x="706905" y="152400"/>
          <a:ext cx="875274" cy="5232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247310</xdr:colOff>
      <xdr:row>0</xdr:row>
      <xdr:rowOff>133692</xdr:rowOff>
    </xdr:from>
    <xdr:to>
      <xdr:col>1</xdr:col>
      <xdr:colOff>609067</xdr:colOff>
      <xdr:row>2</xdr:row>
      <xdr:rowOff>14173</xdr:rowOff>
    </xdr:to>
    <xdr:pic macro="[1]!ChamaForm_Menu">
      <xdr:nvPicPr>
        <xdr:cNvPr id="3" name="Imagem 2">
          <a:extLst>
            <a:ext uri="{FF2B5EF4-FFF2-40B4-BE49-F238E27FC236}">
              <a16:creationId xmlns:a16="http://schemas.microsoft.com/office/drawing/2014/main" id="{66D71529-7EC5-47F2-BB82-DB2F3EFAB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310" y="133692"/>
          <a:ext cx="380807" cy="363081"/>
        </a:xfrm>
        <a:prstGeom prst="rect">
          <a:avLst/>
        </a:prstGeom>
      </xdr:spPr>
    </xdr:pic>
    <xdr:clientData/>
  </xdr:twoCellAnchor>
  <xdr:twoCellAnchor editAs="absolute">
    <xdr:from>
      <xdr:col>53</xdr:col>
      <xdr:colOff>309184</xdr:colOff>
      <xdr:row>0</xdr:row>
      <xdr:rowOff>190500</xdr:rowOff>
    </xdr:from>
    <xdr:to>
      <xdr:col>55</xdr:col>
      <xdr:colOff>121129</xdr:colOff>
      <xdr:row>3</xdr:row>
      <xdr:rowOff>6027</xdr:rowOff>
    </xdr:to>
    <xdr:sp macro="" textlink="">
      <xdr:nvSpPr>
        <xdr:cNvPr id="4" name="Label2" hidden="1">
          <a:extLst>
            <a:ext uri="{63B3BB69-23CF-44E3-9099-C40C66FF867C}">
              <a14:compatExt xmlns:a14="http://schemas.microsoft.com/office/drawing/2010/main" spid="_x0000_s23554"/>
            </a:ext>
            <a:ext uri="{FF2B5EF4-FFF2-40B4-BE49-F238E27FC236}">
              <a16:creationId xmlns:a16="http://schemas.microsoft.com/office/drawing/2014/main" id="{04A3E8F9-7115-4675-91C8-CA06472F8744}"/>
            </a:ext>
          </a:extLst>
        </xdr:cNvPr>
        <xdr:cNvSpPr/>
      </xdr:nvSpPr>
      <xdr:spPr bwMode="auto">
        <a:xfrm>
          <a:off x="29573159" y="190500"/>
          <a:ext cx="976111" cy="52672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52</xdr:col>
      <xdr:colOff>511921</xdr:colOff>
      <xdr:row>0</xdr:row>
      <xdr:rowOff>182809</xdr:rowOff>
    </xdr:from>
    <xdr:to>
      <xdr:col>53</xdr:col>
      <xdr:colOff>182032</xdr:colOff>
      <xdr:row>2</xdr:row>
      <xdr:rowOff>53068</xdr:rowOff>
    </xdr:to>
    <xdr:pic macro="[1]!ChamaForm_Menu">
      <xdr:nvPicPr>
        <xdr:cNvPr id="5" name="Imagem 4">
          <a:extLst>
            <a:ext uri="{FF2B5EF4-FFF2-40B4-BE49-F238E27FC236}">
              <a16:creationId xmlns:a16="http://schemas.microsoft.com/office/drawing/2014/main" id="{7C17FB6D-9F13-4CD0-8A9B-9A0A5F845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27138" y="182809"/>
          <a:ext cx="308286" cy="352859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152400</xdr:rowOff>
    </xdr:from>
    <xdr:to>
      <xdr:col>5</xdr:col>
      <xdr:colOff>855104</xdr:colOff>
      <xdr:row>2</xdr:row>
      <xdr:rowOff>218412</xdr:rowOff>
    </xdr:to>
    <xdr:pic>
      <xdr:nvPicPr>
        <xdr:cNvPr id="6" name="Label1">
          <a:extLst>
            <a:ext uri="{FF2B5EF4-FFF2-40B4-BE49-F238E27FC236}">
              <a16:creationId xmlns:a16="http://schemas.microsoft.com/office/drawing/2014/main" id="{D9374FC7-4BE7-444D-A64A-F815A81F21D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905" y="152400"/>
          <a:ext cx="875274" cy="5232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53</xdr:col>
      <xdr:colOff>309184</xdr:colOff>
      <xdr:row>0</xdr:row>
      <xdr:rowOff>190500</xdr:rowOff>
    </xdr:from>
    <xdr:to>
      <xdr:col>55</xdr:col>
      <xdr:colOff>121129</xdr:colOff>
      <xdr:row>3</xdr:row>
      <xdr:rowOff>6027</xdr:rowOff>
    </xdr:to>
    <xdr:pic>
      <xdr:nvPicPr>
        <xdr:cNvPr id="7" name="Label2">
          <a:extLst>
            <a:ext uri="{FF2B5EF4-FFF2-40B4-BE49-F238E27FC236}">
              <a16:creationId xmlns:a16="http://schemas.microsoft.com/office/drawing/2014/main" id="{35348717-8608-45A7-B0F0-CFFF4911DC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73159" y="190500"/>
          <a:ext cx="976111" cy="52672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351063</xdr:colOff>
      <xdr:row>2</xdr:row>
      <xdr:rowOff>200024</xdr:rowOff>
    </xdr:from>
    <xdr:ext cx="2776118" cy="1993675"/>
    <xdr:pic>
      <xdr:nvPicPr>
        <xdr:cNvPr id="8" name="Imagem 7">
          <a:extLst>
            <a:ext uri="{FF2B5EF4-FFF2-40B4-BE49-F238E27FC236}">
              <a16:creationId xmlns:a16="http://schemas.microsoft.com/office/drawing/2014/main" id="{BAD789D9-3360-4E72-91BC-4253653C9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4113" y="850899"/>
          <a:ext cx="2776118" cy="19936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ggigrouplive.sharepoint.com/sites/OggiLive/Documentos%20Compartilhados/PROJETOS%202026/LENOVO%2026/LE_234%20ESTANDE%20MAGALU/PRODU&#199;&#195;O/PLANILHA/INTERNA/LE_234_ESTANDE%20MAGALU.V2.xlsm" TargetMode="External"/><Relationship Id="rId1" Type="http://schemas.openxmlformats.org/officeDocument/2006/relationships/externalLinkPath" Target="https://oggigrouplive.sharepoint.com/sites/OggiLive/Documentos%20Compartilhados/PROJETOS%202026/LENOVO%2026/LE_234%20ESTANDE%20MAGALU/PRODU&#199;&#195;O/PLANILHA/INTERNA/LE_234_ESTANDE%20MAGALU.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S"/>
      <sheetName val="Principal"/>
      <sheetName val="Planilha1"/>
      <sheetName val="Solicitações de Pagamento"/>
      <sheetName val="ItensOrc"/>
      <sheetName val="Template SP"/>
      <sheetName val="LE_234_ESTANDE MAGALU.V2"/>
    </sheetNames>
    <definedNames>
      <definedName name="ChamaForm_Menu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rtlCol="0" anchor="t">
        <a:noAutofit/>
      </a:bodyPr>
      <a:lstStyle>
        <a:defPPr algn="ctr">
          <a:defRPr sz="1600" b="0">
            <a:latin typeface="Abadi" panose="020B0604020104020204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C66F-3A06-44E5-B114-57CA5E2EB552}">
  <dimension ref="A1:G32"/>
  <sheetViews>
    <sheetView showGridLines="0" tabSelected="1" topLeftCell="A12" zoomScaleNormal="100" workbookViewId="0">
      <selection activeCell="C32" sqref="C32:D32"/>
    </sheetView>
  </sheetViews>
  <sheetFormatPr defaultColWidth="8.6640625" defaultRowHeight="16.2" x14ac:dyDescent="0.35"/>
  <cols>
    <col min="1" max="1" width="8.6640625" style="33"/>
    <col min="2" max="2" width="26.109375" style="33" customWidth="1"/>
    <col min="3" max="3" width="46.77734375" style="33" bestFit="1" customWidth="1"/>
    <col min="4" max="4" width="20.44140625" style="33" customWidth="1"/>
    <col min="5" max="5" width="18.44140625" style="33" customWidth="1"/>
    <col min="6" max="6" width="11.88671875" style="34" bestFit="1" customWidth="1"/>
    <col min="7" max="7" width="13.5546875" style="33" bestFit="1" customWidth="1"/>
    <col min="8" max="8" width="12.5546875" style="33" bestFit="1" customWidth="1"/>
    <col min="9" max="16384" width="8.6640625" style="33"/>
  </cols>
  <sheetData>
    <row r="1" spans="1:5" s="34" customFormat="1" hidden="1" x14ac:dyDescent="0.35">
      <c r="A1" s="33"/>
      <c r="B1" s="33"/>
      <c r="C1" s="33"/>
      <c r="D1" s="33"/>
      <c r="E1" s="33"/>
    </row>
    <row r="2" spans="1:5" s="34" customFormat="1" hidden="1" x14ac:dyDescent="0.35">
      <c r="A2" s="33"/>
      <c r="B2" s="33"/>
      <c r="C2" s="33"/>
      <c r="D2" s="33"/>
      <c r="E2" s="33"/>
    </row>
    <row r="3" spans="1:5" s="34" customFormat="1" hidden="1" x14ac:dyDescent="0.35">
      <c r="A3" s="33"/>
      <c r="B3" s="33"/>
      <c r="C3" s="35">
        <v>45866</v>
      </c>
      <c r="D3" s="36"/>
      <c r="E3" s="260" t="e">
        <f>SUM(#REF!)</f>
        <v>#REF!</v>
      </c>
    </row>
    <row r="4" spans="1:5" s="34" customFormat="1" ht="15.6" hidden="1" customHeight="1" thickBot="1" x14ac:dyDescent="0.4">
      <c r="A4" s="33"/>
      <c r="B4" s="33"/>
      <c r="C4" s="37">
        <v>45867</v>
      </c>
      <c r="D4" s="38"/>
      <c r="E4" s="261"/>
    </row>
    <row r="5" spans="1:5" s="34" customFormat="1" hidden="1" x14ac:dyDescent="0.35">
      <c r="A5" s="33"/>
      <c r="B5" s="33"/>
      <c r="C5" s="39" t="s">
        <v>221</v>
      </c>
      <c r="D5" s="40"/>
      <c r="E5" s="33"/>
    </row>
    <row r="6" spans="1:5" s="34" customFormat="1" hidden="1" x14ac:dyDescent="0.35">
      <c r="A6" s="33"/>
      <c r="B6" s="33"/>
      <c r="C6" s="39" t="s">
        <v>222</v>
      </c>
      <c r="D6" s="40"/>
      <c r="E6" s="33"/>
    </row>
    <row r="7" spans="1:5" s="34" customFormat="1" ht="16.8" hidden="1" thickBot="1" x14ac:dyDescent="0.4">
      <c r="A7" s="33"/>
      <c r="B7" s="33"/>
      <c r="C7" s="41" t="s">
        <v>110</v>
      </c>
      <c r="D7" s="42"/>
      <c r="E7" s="33"/>
    </row>
    <row r="9" spans="1:5" s="34" customFormat="1" x14ac:dyDescent="0.35">
      <c r="A9" s="33" t="s">
        <v>4</v>
      </c>
      <c r="B9" s="33"/>
      <c r="C9" s="33"/>
      <c r="D9" s="33"/>
      <c r="E9" s="33"/>
    </row>
    <row r="10" spans="1:5" s="34" customFormat="1" ht="24" customHeight="1" x14ac:dyDescent="0.35">
      <c r="A10" s="33"/>
      <c r="B10" s="33"/>
      <c r="C10" s="33"/>
      <c r="D10" s="33"/>
      <c r="E10" s="33"/>
    </row>
    <row r="12" spans="1:5" s="34" customFormat="1" ht="15" customHeight="1" x14ac:dyDescent="0.35">
      <c r="A12" s="33"/>
      <c r="B12" s="57" t="s">
        <v>2</v>
      </c>
      <c r="C12" s="58" t="s">
        <v>141</v>
      </c>
      <c r="D12" s="43"/>
      <c r="E12" s="33"/>
    </row>
    <row r="13" spans="1:5" s="34" customFormat="1" ht="15" customHeight="1" x14ac:dyDescent="0.35">
      <c r="A13" s="33"/>
      <c r="B13" s="59" t="s">
        <v>3</v>
      </c>
      <c r="C13" s="60" t="s">
        <v>115</v>
      </c>
      <c r="D13" s="43"/>
      <c r="E13" s="33"/>
    </row>
    <row r="14" spans="1:5" s="34" customFormat="1" ht="15" customHeight="1" x14ac:dyDescent="0.35">
      <c r="A14" s="33"/>
      <c r="B14" s="59" t="s">
        <v>5</v>
      </c>
      <c r="C14" s="61" t="s">
        <v>116</v>
      </c>
      <c r="D14" s="44"/>
      <c r="E14" s="33"/>
    </row>
    <row r="15" spans="1:5" s="34" customFormat="1" ht="15" customHeight="1" x14ac:dyDescent="0.35">
      <c r="A15" s="33"/>
      <c r="B15" s="59" t="s">
        <v>6</v>
      </c>
      <c r="C15" s="61" t="s">
        <v>112</v>
      </c>
      <c r="D15" s="44"/>
      <c r="E15" s="33"/>
    </row>
    <row r="16" spans="1:5" s="34" customFormat="1" ht="15" customHeight="1" x14ac:dyDescent="0.35">
      <c r="A16" s="33"/>
      <c r="B16" s="59" t="s">
        <v>8</v>
      </c>
      <c r="C16" s="62" t="s">
        <v>120</v>
      </c>
      <c r="D16" s="45"/>
      <c r="E16" s="33"/>
    </row>
    <row r="17" spans="2:7" ht="15" customHeight="1" x14ac:dyDescent="0.35">
      <c r="B17" s="59" t="s">
        <v>9</v>
      </c>
      <c r="C17" s="61" t="s">
        <v>113</v>
      </c>
      <c r="D17" s="44"/>
    </row>
    <row r="18" spans="2:7" ht="15" customHeight="1" x14ac:dyDescent="0.35">
      <c r="B18" s="59" t="s">
        <v>10</v>
      </c>
      <c r="C18" s="61" t="s">
        <v>114</v>
      </c>
      <c r="D18" s="44"/>
    </row>
    <row r="19" spans="2:7" ht="15" customHeight="1" x14ac:dyDescent="0.35">
      <c r="B19" s="63" t="s">
        <v>11</v>
      </c>
      <c r="C19" s="64" t="s">
        <v>142</v>
      </c>
      <c r="D19" s="44"/>
    </row>
    <row r="21" spans="2:7" ht="15.6" customHeight="1" x14ac:dyDescent="0.35">
      <c r="B21" s="46"/>
      <c r="C21" s="46" t="s">
        <v>223</v>
      </c>
      <c r="D21" s="46" t="s">
        <v>224</v>
      </c>
      <c r="E21" s="46" t="s">
        <v>225</v>
      </c>
    </row>
    <row r="22" spans="2:7" x14ac:dyDescent="0.35">
      <c r="B22" s="47" t="s">
        <v>226</v>
      </c>
      <c r="C22" s="48">
        <f>'OPÇÃO 1'!N51</f>
        <v>151344.18323598857</v>
      </c>
      <c r="D22" s="48">
        <f>'OPÇÃO 1'!X51</f>
        <v>109742.67</v>
      </c>
      <c r="E22" s="48">
        <f>C22-D22</f>
        <v>41601.513235988576</v>
      </c>
      <c r="F22" s="49">
        <f>E22*100%/C22</f>
        <v>0.27488015955737127</v>
      </c>
    </row>
    <row r="23" spans="2:7" x14ac:dyDescent="0.35">
      <c r="B23" s="47" t="s">
        <v>210</v>
      </c>
      <c r="C23" s="48">
        <f>EXTRAS!N21</f>
        <v>5541.0562942711567</v>
      </c>
      <c r="D23" s="48">
        <f>EXTRAS!X21</f>
        <v>2130</v>
      </c>
      <c r="E23" s="48">
        <f>C23-D23</f>
        <v>3411.0562942711567</v>
      </c>
      <c r="F23" s="49">
        <f>E23*100%/C23</f>
        <v>0.61559675865372709</v>
      </c>
    </row>
    <row r="24" spans="2:7" x14ac:dyDescent="0.35">
      <c r="B24" s="46" t="s">
        <v>110</v>
      </c>
      <c r="C24" s="50">
        <f>SUM(C22:C22)</f>
        <v>151344.18323598857</v>
      </c>
      <c r="D24" s="50">
        <f>SUM(D22:D23)</f>
        <v>111872.67</v>
      </c>
      <c r="E24" s="50">
        <f>SUM(E22:E23)</f>
        <v>45012.569530259731</v>
      </c>
      <c r="F24" s="49">
        <f>E24*100%/C24</f>
        <v>0.29741856322335392</v>
      </c>
    </row>
    <row r="26" spans="2:7" ht="200.1" hidden="1" customHeight="1" x14ac:dyDescent="0.35"/>
    <row r="28" spans="2:7" ht="16.8" thickBot="1" x14ac:dyDescent="0.4"/>
    <row r="29" spans="2:7" ht="21.9" customHeight="1" thickBot="1" x14ac:dyDescent="0.4">
      <c r="B29" s="262" t="s">
        <v>227</v>
      </c>
      <c r="C29" s="263"/>
      <c r="D29" s="263"/>
      <c r="E29" s="263"/>
      <c r="F29" s="264"/>
    </row>
    <row r="30" spans="2:7" ht="24.9" customHeight="1" thickBot="1" x14ac:dyDescent="0.4">
      <c r="B30" s="322" t="s">
        <v>264</v>
      </c>
      <c r="C30" s="51">
        <v>129941.3</v>
      </c>
      <c r="D30" s="265">
        <f>SUM(D24)</f>
        <v>111872.67</v>
      </c>
      <c r="E30" s="323">
        <f>(C30+C31)-D30</f>
        <v>45012.569999999992</v>
      </c>
      <c r="F30" s="324">
        <f>E30*100%/C32</f>
        <v>0.28691398884942904</v>
      </c>
    </row>
    <row r="31" spans="2:7" ht="24.9" customHeight="1" thickBot="1" x14ac:dyDescent="0.4">
      <c r="B31" s="322" t="s">
        <v>243</v>
      </c>
      <c r="C31" s="51">
        <v>26943.94</v>
      </c>
      <c r="D31" s="266"/>
      <c r="E31" s="325"/>
      <c r="F31" s="326"/>
      <c r="G31" s="327"/>
    </row>
    <row r="32" spans="2:7" ht="20.25" customHeight="1" thickBot="1" x14ac:dyDescent="0.4">
      <c r="B32" s="52"/>
      <c r="C32" s="53">
        <f>SUM(C30:C31)</f>
        <v>156885.24</v>
      </c>
      <c r="D32" s="54">
        <f>SUM(D30:D30)</f>
        <v>111872.67</v>
      </c>
      <c r="E32" s="55">
        <f>C32-D32</f>
        <v>45012.569999999992</v>
      </c>
      <c r="F32" s="56">
        <f>E32*100%/C32</f>
        <v>0.28691398884942904</v>
      </c>
      <c r="G32" s="327"/>
    </row>
  </sheetData>
  <mergeCells count="5">
    <mergeCell ref="E3:E4"/>
    <mergeCell ref="B29:F29"/>
    <mergeCell ref="D30:D31"/>
    <mergeCell ref="E30:E31"/>
    <mergeCell ref="F30:F31"/>
  </mergeCells>
  <pageMargins left="0.51181102362204722" right="0.51181102362204722" top="0.78740157480314965" bottom="0.78740157480314965" header="0.31496062992125984" footer="0.31496062992125984"/>
  <pageSetup paperSize="9" scale="8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B94E-6F09-428E-8112-16F5403FD61E}">
  <sheetPr codeName="Planilha11">
    <pageSetUpPr autoPageBreaks="0"/>
  </sheetPr>
  <dimension ref="A1:AO72"/>
  <sheetViews>
    <sheetView showGridLines="0" topLeftCell="B1" zoomScale="50" zoomScaleNormal="50" workbookViewId="0">
      <pane ySplit="1" topLeftCell="A47" activePane="bottomLeft" state="frozen"/>
      <selection pane="bottomLeft" activeCell="AM58" sqref="AM58"/>
    </sheetView>
  </sheetViews>
  <sheetFormatPr defaultColWidth="8.88671875" defaultRowHeight="21" x14ac:dyDescent="0.4"/>
  <cols>
    <col min="1" max="1" width="5" style="74" hidden="1" customWidth="1"/>
    <col min="2" max="2" width="9" style="74" customWidth="1"/>
    <col min="3" max="5" width="5" style="74" hidden="1" customWidth="1"/>
    <col min="6" max="6" width="59.88671875" style="95" customWidth="1"/>
    <col min="7" max="7" width="44" style="74" customWidth="1"/>
    <col min="8" max="8" width="10.109375" style="81" hidden="1" customWidth="1"/>
    <col min="9" max="9" width="5.33203125" style="81" hidden="1" customWidth="1"/>
    <col min="10" max="10" width="20.88671875" style="74" hidden="1" customWidth="1"/>
    <col min="11" max="11" width="32.33203125" style="74" bestFit="1" customWidth="1"/>
    <col min="12" max="12" width="37" style="74" bestFit="1" customWidth="1"/>
    <col min="13" max="13" width="29" style="74" customWidth="1"/>
    <col min="14" max="14" width="30.88671875" style="74" bestFit="1" customWidth="1"/>
    <col min="15" max="15" width="6.33203125" style="81" hidden="1" customWidth="1"/>
    <col min="16" max="16" width="9.44140625" style="74" hidden="1" customWidth="1"/>
    <col min="17" max="17" width="16.33203125" style="81" bestFit="1" customWidth="1"/>
    <col min="18" max="18" width="7.6640625" style="81" hidden="1" customWidth="1"/>
    <col min="19" max="19" width="19.109375" style="74" hidden="1" customWidth="1"/>
    <col min="20" max="20" width="30.88671875" style="74" customWidth="1"/>
    <col min="21" max="21" width="24.88671875" style="74" hidden="1" customWidth="1"/>
    <col min="22" max="22" width="9.6640625" style="74" hidden="1" customWidth="1"/>
    <col min="23" max="23" width="16.109375" style="74" hidden="1" customWidth="1"/>
    <col min="24" max="24" width="32" style="74" customWidth="1"/>
    <col min="25" max="25" width="26.88671875" style="74" hidden="1" customWidth="1"/>
    <col min="26" max="26" width="17.44140625" style="74" hidden="1" customWidth="1"/>
    <col min="27" max="27" width="24.6640625" style="74" hidden="1" customWidth="1"/>
    <col min="28" max="28" width="38.109375" style="74" hidden="1" customWidth="1"/>
    <col min="29" max="29" width="14.109375" style="74" hidden="1" customWidth="1"/>
    <col min="30" max="30" width="7.6640625" style="74" hidden="1" customWidth="1"/>
    <col min="31" max="31" width="6.88671875" style="74" hidden="1" customWidth="1"/>
    <col min="32" max="32" width="1.33203125" style="74" hidden="1" customWidth="1"/>
    <col min="33" max="33" width="14" style="74" hidden="1" customWidth="1"/>
    <col min="34" max="34" width="11.6640625" style="74" hidden="1" customWidth="1"/>
    <col min="35" max="35" width="6.33203125" style="74" hidden="1" customWidth="1"/>
    <col min="36" max="36" width="12.6640625" style="74" hidden="1" customWidth="1"/>
    <col min="37" max="37" width="13.109375" style="74" hidden="1" customWidth="1"/>
    <col min="38" max="38" width="13.5546875" style="74" hidden="1" customWidth="1"/>
    <col min="39" max="39" width="26.109375" style="74" customWidth="1"/>
    <col min="40" max="40" width="26.6640625" style="74" customWidth="1"/>
    <col min="41" max="41" width="8.88671875" style="78"/>
    <col min="42" max="16384" width="8.88671875" style="74"/>
  </cols>
  <sheetData>
    <row r="1" spans="1:40" x14ac:dyDescent="0.4">
      <c r="B1" s="79"/>
      <c r="C1" s="80"/>
      <c r="D1" s="80"/>
      <c r="F1" s="310" t="s">
        <v>0</v>
      </c>
      <c r="G1" s="310"/>
    </row>
    <row r="2" spans="1:40" x14ac:dyDescent="0.4">
      <c r="B2" s="82"/>
      <c r="D2" s="80"/>
      <c r="F2" s="311" t="s">
        <v>1</v>
      </c>
      <c r="G2" s="311"/>
    </row>
    <row r="3" spans="1:40" x14ac:dyDescent="0.4">
      <c r="B3" s="83"/>
      <c r="F3" s="84"/>
      <c r="G3" s="85"/>
    </row>
    <row r="4" spans="1:40" x14ac:dyDescent="0.4">
      <c r="F4" s="86" t="s">
        <v>2</v>
      </c>
      <c r="G4" s="87" t="s">
        <v>141</v>
      </c>
    </row>
    <row r="5" spans="1:40" x14ac:dyDescent="0.4">
      <c r="F5" s="88" t="s">
        <v>3</v>
      </c>
      <c r="G5" s="89" t="s">
        <v>115</v>
      </c>
    </row>
    <row r="6" spans="1:40" x14ac:dyDescent="0.4">
      <c r="D6" s="74" t="s">
        <v>4</v>
      </c>
      <c r="F6" s="88" t="s">
        <v>5</v>
      </c>
      <c r="G6" s="90" t="s">
        <v>116</v>
      </c>
    </row>
    <row r="7" spans="1:40" x14ac:dyDescent="0.4">
      <c r="F7" s="88" t="s">
        <v>6</v>
      </c>
      <c r="G7" s="90" t="s">
        <v>112</v>
      </c>
      <c r="J7" s="74" t="s">
        <v>7</v>
      </c>
    </row>
    <row r="8" spans="1:40" x14ac:dyDescent="0.4">
      <c r="F8" s="88" t="s">
        <v>8</v>
      </c>
      <c r="G8" s="91" t="s">
        <v>120</v>
      </c>
    </row>
    <row r="9" spans="1:40" x14ac:dyDescent="0.4">
      <c r="F9" s="88" t="s">
        <v>9</v>
      </c>
      <c r="G9" s="90" t="s">
        <v>113</v>
      </c>
      <c r="J9" s="74" t="s">
        <v>4</v>
      </c>
    </row>
    <row r="10" spans="1:40" x14ac:dyDescent="0.4">
      <c r="F10" s="88" t="s">
        <v>10</v>
      </c>
      <c r="G10" s="90" t="s">
        <v>114</v>
      </c>
    </row>
    <row r="11" spans="1:40" x14ac:dyDescent="0.4">
      <c r="F11" s="92" t="s">
        <v>11</v>
      </c>
      <c r="G11" s="93" t="s">
        <v>142</v>
      </c>
    </row>
    <row r="12" spans="1:40" ht="63.6" hidden="1" thickBot="1" x14ac:dyDescent="0.45">
      <c r="B12" s="94"/>
      <c r="M12" s="96"/>
      <c r="Q12" s="312" t="s">
        <v>12</v>
      </c>
      <c r="R12" s="313"/>
      <c r="S12" s="313"/>
      <c r="T12" s="314"/>
      <c r="U12" s="300" t="s">
        <v>13</v>
      </c>
      <c r="V12" s="301"/>
      <c r="W12" s="301"/>
      <c r="X12" s="302"/>
      <c r="Y12" s="97" t="s">
        <v>14</v>
      </c>
      <c r="Z12" s="98">
        <f>(1/(1-M14))-1</f>
        <v>0.24269914253759173</v>
      </c>
      <c r="AC12" s="303" t="s">
        <v>15</v>
      </c>
      <c r="AD12" s="304"/>
      <c r="AE12" s="305"/>
      <c r="AG12" s="306" t="s">
        <v>16</v>
      </c>
      <c r="AH12" s="307"/>
      <c r="AJ12" s="99" t="s">
        <v>17</v>
      </c>
      <c r="AK12" s="298" t="s">
        <v>18</v>
      </c>
      <c r="AL12" s="299"/>
    </row>
    <row r="13" spans="1:40" ht="21.6" thickBot="1" x14ac:dyDescent="0.45">
      <c r="A13" s="100" t="s">
        <v>19</v>
      </c>
      <c r="B13" s="101" t="s">
        <v>20</v>
      </c>
      <c r="C13" s="100" t="s">
        <v>21</v>
      </c>
      <c r="D13" s="100" t="s">
        <v>22</v>
      </c>
      <c r="E13" s="100" t="s">
        <v>23</v>
      </c>
      <c r="M13" s="102">
        <v>0.80469999999999997</v>
      </c>
    </row>
    <row r="14" spans="1:40" ht="60.75" customHeight="1" thickBot="1" x14ac:dyDescent="0.45">
      <c r="A14" s="103">
        <v>0</v>
      </c>
      <c r="B14" s="104"/>
      <c r="C14" s="105"/>
      <c r="D14" s="106"/>
      <c r="E14" s="106"/>
      <c r="F14" s="107" t="s">
        <v>24</v>
      </c>
      <c r="G14" s="108" t="s">
        <v>25</v>
      </c>
      <c r="H14" s="109" t="s">
        <v>26</v>
      </c>
      <c r="I14" s="109" t="s">
        <v>27</v>
      </c>
      <c r="J14" s="110" t="s">
        <v>28</v>
      </c>
      <c r="K14" s="111" t="s">
        <v>29</v>
      </c>
      <c r="L14" s="112">
        <v>0.08</v>
      </c>
      <c r="M14" s="113">
        <f>1-M13</f>
        <v>0.19530000000000003</v>
      </c>
      <c r="N14" s="114" t="s">
        <v>30</v>
      </c>
      <c r="Q14" s="115" t="s">
        <v>31</v>
      </c>
      <c r="R14" s="116" t="s">
        <v>32</v>
      </c>
      <c r="S14" s="117" t="s">
        <v>33</v>
      </c>
      <c r="T14" s="118" t="s">
        <v>34</v>
      </c>
      <c r="U14" s="119" t="s">
        <v>35</v>
      </c>
      <c r="V14" s="120" t="s">
        <v>36</v>
      </c>
      <c r="W14" s="121" t="s">
        <v>37</v>
      </c>
      <c r="X14" s="121" t="s">
        <v>38</v>
      </c>
      <c r="Y14" s="122" t="s">
        <v>39</v>
      </c>
      <c r="Z14" s="123" t="s">
        <v>40</v>
      </c>
      <c r="AA14" s="124" t="s">
        <v>41</v>
      </c>
      <c r="AC14" s="125" t="s">
        <v>42</v>
      </c>
      <c r="AD14" s="126" t="s">
        <v>43</v>
      </c>
      <c r="AE14" s="126" t="s">
        <v>44</v>
      </c>
      <c r="AG14" s="127" t="s">
        <v>45</v>
      </c>
      <c r="AH14" s="128" t="s">
        <v>46</v>
      </c>
      <c r="AK14" s="129" t="s">
        <v>47</v>
      </c>
      <c r="AL14" s="130" t="s">
        <v>48</v>
      </c>
      <c r="AM14" s="237" t="s">
        <v>47</v>
      </c>
      <c r="AN14" s="238" t="s">
        <v>48</v>
      </c>
    </row>
    <row r="15" spans="1:40" ht="35.1" customHeight="1" thickBot="1" x14ac:dyDescent="0.55000000000000004">
      <c r="A15" s="106">
        <v>1</v>
      </c>
      <c r="B15" s="131">
        <v>1</v>
      </c>
      <c r="C15" s="132" t="s">
        <v>49</v>
      </c>
      <c r="D15" s="106"/>
      <c r="E15" s="106"/>
      <c r="F15" s="289" t="s">
        <v>50</v>
      </c>
      <c r="G15" s="290"/>
      <c r="H15" s="290"/>
      <c r="I15" s="290"/>
      <c r="J15" s="290"/>
      <c r="K15" s="290"/>
      <c r="L15" s="290"/>
      <c r="M15" s="290"/>
      <c r="N15" s="291"/>
      <c r="Q15" s="292" t="str">
        <f>IF(F15&lt;&gt;"",F15,"")</f>
        <v>INTERNO OGGI</v>
      </c>
      <c r="R15" s="293"/>
      <c r="S15" s="293"/>
      <c r="T15" s="293"/>
      <c r="U15" s="293"/>
      <c r="V15" s="293"/>
      <c r="W15" s="293"/>
      <c r="X15" s="293"/>
      <c r="Y15" s="294"/>
      <c r="AM15" s="267"/>
      <c r="AN15" s="268"/>
    </row>
    <row r="16" spans="1:40" ht="35.1" customHeight="1" x14ac:dyDescent="0.5">
      <c r="A16" s="106">
        <v>2</v>
      </c>
      <c r="B16" s="131" t="s">
        <v>51</v>
      </c>
      <c r="C16" s="132" t="s">
        <v>52</v>
      </c>
      <c r="D16" s="106"/>
      <c r="E16" s="106"/>
      <c r="F16" s="279" t="s">
        <v>53</v>
      </c>
      <c r="G16" s="280"/>
      <c r="H16" s="280"/>
      <c r="I16" s="280"/>
      <c r="J16" s="280"/>
      <c r="K16" s="281"/>
      <c r="L16" s="133" t="s">
        <v>54</v>
      </c>
      <c r="M16" s="134" t="s">
        <v>55</v>
      </c>
      <c r="N16" s="135" t="s">
        <v>30</v>
      </c>
      <c r="Q16" s="282" t="str">
        <f>IF(F16&lt;&gt;"",F16,"")</f>
        <v>INTERNOS</v>
      </c>
      <c r="R16" s="283"/>
      <c r="S16" s="283"/>
      <c r="T16" s="283"/>
      <c r="U16" s="283"/>
      <c r="V16" s="283"/>
      <c r="W16" s="283"/>
      <c r="X16" s="283"/>
      <c r="Y16" s="284"/>
      <c r="Z16" s="136" t="s">
        <v>56</v>
      </c>
      <c r="AA16" s="137" t="s">
        <v>41</v>
      </c>
      <c r="AM16" s="269"/>
      <c r="AN16" s="270"/>
    </row>
    <row r="17" spans="1:41" ht="99.9" customHeight="1" x14ac:dyDescent="0.5">
      <c r="A17" s="106">
        <v>3</v>
      </c>
      <c r="B17" s="131" t="s">
        <v>57</v>
      </c>
      <c r="C17" s="132" t="s">
        <v>58</v>
      </c>
      <c r="D17" s="106" t="s">
        <v>59</v>
      </c>
      <c r="E17" s="106" t="s">
        <v>60</v>
      </c>
      <c r="F17" s="138" t="s">
        <v>111</v>
      </c>
      <c r="G17" s="139" t="s">
        <v>139</v>
      </c>
      <c r="H17" s="140">
        <v>1</v>
      </c>
      <c r="I17" s="141">
        <v>1</v>
      </c>
      <c r="J17" s="142">
        <v>3400</v>
      </c>
      <c r="K17" s="142">
        <f>IF(F17&lt;&gt;"",H17*I17*J17,"")</f>
        <v>3400</v>
      </c>
      <c r="L17" s="142">
        <f>IF(K17&lt;&gt;"",IF(D17="INTERNO",0,K17*$L$14),"")</f>
        <v>0</v>
      </c>
      <c r="M17" s="142">
        <f>IF(K17&lt;&gt;"",IF(E17="FAT.OGGI",SUM(K17:L17)*(1/(1-$M$14)-1),L17*(1/(1-$M$14)-1)),"")</f>
        <v>825.17708462781184</v>
      </c>
      <c r="N17" s="143">
        <f>SUM(K17:M17)</f>
        <v>4225.1770846278123</v>
      </c>
      <c r="Q17" s="144">
        <f t="shared" ref="Q17:R20" si="0">IF(H17&lt;&gt;"",H17,"")</f>
        <v>1</v>
      </c>
      <c r="R17" s="145">
        <f t="shared" si="0"/>
        <v>1</v>
      </c>
      <c r="S17" s="146">
        <v>700</v>
      </c>
      <c r="T17" s="146">
        <f>IF(Q17&lt;&gt;"",Q17*R17*S17,"")</f>
        <v>700</v>
      </c>
      <c r="U17" s="147">
        <f>IF(Q17&lt;&gt;"",K17-T17,"")</f>
        <v>2700</v>
      </c>
      <c r="V17" s="148">
        <f>IF(Q17&lt;&gt;"",0%,"")</f>
        <v>0</v>
      </c>
      <c r="W17" s="149">
        <f>IF(Q17&lt;&gt;"",V17*U17,"")</f>
        <v>0</v>
      </c>
      <c r="X17" s="149">
        <f>IF(Q17&lt;&gt;"",W17+T17,"")</f>
        <v>700</v>
      </c>
      <c r="Y17" s="150">
        <f t="shared" ref="Y17:Y20" si="1">IF(Q17&lt;&gt;"",X17+M17,"")</f>
        <v>1525.1770846278118</v>
      </c>
      <c r="Z17" s="151">
        <f>IF(Q17&lt;&gt;"",U17/K17,"")</f>
        <v>0.79411764705882348</v>
      </c>
      <c r="AA17" s="152">
        <f>T17/$T$21</f>
        <v>1</v>
      </c>
      <c r="AM17" s="239">
        <f>X17-AN17</f>
        <v>0</v>
      </c>
      <c r="AN17" s="240">
        <v>700</v>
      </c>
      <c r="AO17" s="78" t="s">
        <v>253</v>
      </c>
    </row>
    <row r="18" spans="1:41" ht="99.9" customHeight="1" x14ac:dyDescent="0.5">
      <c r="A18" s="106">
        <v>4</v>
      </c>
      <c r="B18" s="131" t="s">
        <v>61</v>
      </c>
      <c r="C18" s="132" t="s">
        <v>58</v>
      </c>
      <c r="D18" s="106" t="s">
        <v>59</v>
      </c>
      <c r="E18" s="106" t="s">
        <v>60</v>
      </c>
      <c r="F18" s="138" t="s">
        <v>62</v>
      </c>
      <c r="G18" s="139" t="s">
        <v>230</v>
      </c>
      <c r="H18" s="140">
        <v>1</v>
      </c>
      <c r="I18" s="141">
        <v>0</v>
      </c>
      <c r="J18" s="142">
        <v>2000</v>
      </c>
      <c r="K18" s="142">
        <f>IF(F18&lt;&gt;"",H18*I18*J18,"")</f>
        <v>0</v>
      </c>
      <c r="L18" s="142">
        <f>IF(K18&lt;&gt;"",IF(D18="INTERNO",0,K18*$L$14),"")</f>
        <v>0</v>
      </c>
      <c r="M18" s="142">
        <f>IF(K18&lt;&gt;"",IF(E18="FAT.OGGI",SUM(K18:L18)*(1/(1-$M$14)-1),L18*(1/(1-$M$14)-1)),"")</f>
        <v>0</v>
      </c>
      <c r="N18" s="143">
        <f>SUM(K18:M18)</f>
        <v>0</v>
      </c>
      <c r="Q18" s="144">
        <f t="shared" si="0"/>
        <v>1</v>
      </c>
      <c r="R18" s="145">
        <f t="shared" si="0"/>
        <v>0</v>
      </c>
      <c r="S18" s="146">
        <v>1000</v>
      </c>
      <c r="T18" s="146">
        <f>IF(Q18&lt;&gt;"",Q18*R18*S18,"")</f>
        <v>0</v>
      </c>
      <c r="U18" s="147">
        <f>IF(Q18&lt;&gt;"",K18-T18,"")</f>
        <v>0</v>
      </c>
      <c r="V18" s="148">
        <f>IF(Q18&lt;&gt;"",0%,"")</f>
        <v>0</v>
      </c>
      <c r="W18" s="149">
        <f>IF(Q18&lt;&gt;"",V18*U18,"")</f>
        <v>0</v>
      </c>
      <c r="X18" s="149">
        <f>IF(Q18&lt;&gt;"",W18+T18,"")</f>
        <v>0</v>
      </c>
      <c r="Y18" s="150">
        <f t="shared" si="1"/>
        <v>0</v>
      </c>
      <c r="Z18" s="151" t="e">
        <f>IF(Q18&lt;&gt;"",U18/K18,"")</f>
        <v>#DIV/0!</v>
      </c>
      <c r="AA18" s="152">
        <f>T18/$T$21</f>
        <v>0</v>
      </c>
      <c r="AM18" s="239">
        <f t="shared" ref="AM18:AM48" si="2">X18-AN18</f>
        <v>0</v>
      </c>
      <c r="AN18" s="240"/>
    </row>
    <row r="19" spans="1:41" ht="99.9" customHeight="1" x14ac:dyDescent="0.5">
      <c r="A19" s="106">
        <v>5</v>
      </c>
      <c r="B19" s="131" t="s">
        <v>63</v>
      </c>
      <c r="C19" s="132" t="s">
        <v>58</v>
      </c>
      <c r="D19" s="106" t="s">
        <v>59</v>
      </c>
      <c r="E19" s="106" t="s">
        <v>60</v>
      </c>
      <c r="F19" s="138" t="s">
        <v>64</v>
      </c>
      <c r="G19" s="139" t="s">
        <v>231</v>
      </c>
      <c r="H19" s="140">
        <v>1</v>
      </c>
      <c r="I19" s="140">
        <v>1</v>
      </c>
      <c r="J19" s="142">
        <v>5000</v>
      </c>
      <c r="K19" s="142">
        <f>IF(F19&lt;&gt;"",H19*I19*J19,"")</f>
        <v>5000</v>
      </c>
      <c r="L19" s="142">
        <f>IF(K19&lt;&gt;"",IF(D19="INTERNO",0,K19*$L$14),"")</f>
        <v>0</v>
      </c>
      <c r="M19" s="142">
        <f>IF(K19&lt;&gt;"",IF(E19="FAT.OGGI",SUM(K19:L19)*(1/(1-$M$14)-1),L19*(1/(1-$M$14)-1)),"")</f>
        <v>1213.4957126879585</v>
      </c>
      <c r="N19" s="143">
        <f>SUM(K19:M19)</f>
        <v>6213.4957126879581</v>
      </c>
      <c r="Q19" s="144">
        <f t="shared" si="0"/>
        <v>1</v>
      </c>
      <c r="R19" s="145">
        <f t="shared" si="0"/>
        <v>1</v>
      </c>
      <c r="S19" s="146">
        <v>800</v>
      </c>
      <c r="T19" s="146">
        <v>0</v>
      </c>
      <c r="U19" s="147">
        <f>IF(Q19&lt;&gt;"",K19-T19,"")</f>
        <v>5000</v>
      </c>
      <c r="V19" s="148">
        <f>IF(Q19&lt;&gt;"",0%,"")</f>
        <v>0</v>
      </c>
      <c r="W19" s="149">
        <f>IF(Q19&lt;&gt;"",V19*U19,"")</f>
        <v>0</v>
      </c>
      <c r="X19" s="149">
        <f>IF(Q19&lt;&gt;"",W19+T19,"")</f>
        <v>0</v>
      </c>
      <c r="Y19" s="150">
        <f t="shared" si="1"/>
        <v>1213.4957126879585</v>
      </c>
      <c r="Z19" s="151">
        <f>IF(Q19&lt;&gt;"",U19/K19,"")</f>
        <v>1</v>
      </c>
      <c r="AA19" s="152">
        <f>T19/$T$21</f>
        <v>0</v>
      </c>
      <c r="AM19" s="239">
        <f t="shared" si="2"/>
        <v>0</v>
      </c>
      <c r="AN19" s="240"/>
    </row>
    <row r="20" spans="1:41" ht="99.9" customHeight="1" x14ac:dyDescent="0.5">
      <c r="A20" s="106">
        <v>6</v>
      </c>
      <c r="B20" s="131" t="s">
        <v>65</v>
      </c>
      <c r="C20" s="132" t="s">
        <v>58</v>
      </c>
      <c r="D20" s="106" t="s">
        <v>59</v>
      </c>
      <c r="E20" s="106" t="s">
        <v>60</v>
      </c>
      <c r="F20" s="138" t="s">
        <v>66</v>
      </c>
      <c r="G20" s="153" t="s">
        <v>232</v>
      </c>
      <c r="H20" s="140">
        <v>1</v>
      </c>
      <c r="I20" s="140">
        <v>1</v>
      </c>
      <c r="J20" s="142">
        <v>4500</v>
      </c>
      <c r="K20" s="154">
        <f>IF(F20&lt;&gt;"",H20*I20*J20,"")</f>
        <v>4500</v>
      </c>
      <c r="L20" s="154">
        <f>IF(K20&lt;&gt;"",IF(D20="INTERNO",0,K20*$L$14),"")</f>
        <v>0</v>
      </c>
      <c r="M20" s="154">
        <f>IF(K20&lt;&gt;"",IF(E20="FAT.OGGI",SUM(K20:L20)*(1/(1-$M$14)-1),L20*(1/(1-$M$14)-1)),"")</f>
        <v>1092.1461414191629</v>
      </c>
      <c r="N20" s="155">
        <f>SUM(K20:M20)</f>
        <v>5592.1461414191626</v>
      </c>
      <c r="Q20" s="144">
        <f t="shared" si="0"/>
        <v>1</v>
      </c>
      <c r="R20" s="145">
        <f t="shared" si="0"/>
        <v>1</v>
      </c>
      <c r="S20" s="146">
        <v>800</v>
      </c>
      <c r="T20" s="146">
        <v>0</v>
      </c>
      <c r="U20" s="147">
        <f>IF(Q20&lt;&gt;"",K20-T20,"")</f>
        <v>4500</v>
      </c>
      <c r="V20" s="148">
        <f>IF(Q20&lt;&gt;"",0%,"")</f>
        <v>0</v>
      </c>
      <c r="W20" s="149">
        <f>IF(Q20&lt;&gt;"",V20*U20,"")</f>
        <v>0</v>
      </c>
      <c r="X20" s="149">
        <f>IF(Q20&lt;&gt;"",W20+T20,"")</f>
        <v>0</v>
      </c>
      <c r="Y20" s="150">
        <f t="shared" si="1"/>
        <v>1092.1461414191629</v>
      </c>
      <c r="Z20" s="151">
        <f>IF(Q20&lt;&gt;"",U20/K20,"")</f>
        <v>1</v>
      </c>
      <c r="AA20" s="152">
        <f>T20/$T$21</f>
        <v>0</v>
      </c>
      <c r="AM20" s="239">
        <f t="shared" si="2"/>
        <v>0</v>
      </c>
      <c r="AN20" s="240"/>
    </row>
    <row r="21" spans="1:41" ht="35.1" customHeight="1" thickBot="1" x14ac:dyDescent="0.55000000000000004">
      <c r="A21" s="106">
        <v>7</v>
      </c>
      <c r="B21" s="131"/>
      <c r="C21" s="132" t="s">
        <v>67</v>
      </c>
      <c r="D21" s="106"/>
      <c r="E21" s="106"/>
      <c r="F21" s="308" t="s">
        <v>68</v>
      </c>
      <c r="G21" s="309"/>
      <c r="H21" s="309"/>
      <c r="I21" s="309"/>
      <c r="J21" s="309"/>
      <c r="K21" s="156">
        <f>SUM(K17:K20)</f>
        <v>12900</v>
      </c>
      <c r="L21" s="156">
        <f>SUM(L17:L20)</f>
        <v>0</v>
      </c>
      <c r="M21" s="156">
        <f>SUM(M17:M20)</f>
        <v>3130.818938734933</v>
      </c>
      <c r="N21" s="157">
        <f>SUM(N17:N20)</f>
        <v>16030.818938734934</v>
      </c>
      <c r="Q21" s="273" t="s">
        <v>68</v>
      </c>
      <c r="R21" s="274"/>
      <c r="S21" s="274"/>
      <c r="T21" s="158">
        <f>SUM(T17:T20)</f>
        <v>700</v>
      </c>
      <c r="U21" s="159">
        <f>SUM(U17:U20)</f>
        <v>12200</v>
      </c>
      <c r="V21" s="160"/>
      <c r="W21" s="160"/>
      <c r="X21" s="161">
        <f>SUM(X17:X20)</f>
        <v>700</v>
      </c>
      <c r="Y21" s="162">
        <f>IF(Q21&lt;&gt;"",X21+M21,"")</f>
        <v>3830.818938734933</v>
      </c>
      <c r="AM21" s="239"/>
      <c r="AN21" s="240"/>
    </row>
    <row r="22" spans="1:41" ht="35.1" customHeight="1" thickBot="1" x14ac:dyDescent="0.55000000000000004">
      <c r="A22" s="106">
        <v>8</v>
      </c>
      <c r="B22" s="131">
        <v>2</v>
      </c>
      <c r="C22" s="132" t="s">
        <v>49</v>
      </c>
      <c r="D22" s="106"/>
      <c r="E22" s="106"/>
      <c r="F22" s="289" t="s">
        <v>69</v>
      </c>
      <c r="G22" s="290"/>
      <c r="H22" s="290"/>
      <c r="I22" s="290"/>
      <c r="J22" s="290"/>
      <c r="K22" s="290"/>
      <c r="L22" s="290"/>
      <c r="M22" s="290"/>
      <c r="N22" s="291"/>
      <c r="Q22" s="292" t="str">
        <f>IF(F22&lt;&gt;"",F22,"")</f>
        <v>CENOGRAFIA</v>
      </c>
      <c r="R22" s="293"/>
      <c r="S22" s="293"/>
      <c r="T22" s="293"/>
      <c r="U22" s="293"/>
      <c r="V22" s="293"/>
      <c r="W22" s="293"/>
      <c r="X22" s="293"/>
      <c r="Y22" s="294"/>
      <c r="AM22" s="239"/>
      <c r="AN22" s="240"/>
    </row>
    <row r="23" spans="1:41" ht="35.1" customHeight="1" thickBot="1" x14ac:dyDescent="0.55000000000000004">
      <c r="A23" s="106">
        <v>9</v>
      </c>
      <c r="B23" s="131" t="s">
        <v>70</v>
      </c>
      <c r="C23" s="132" t="s">
        <v>52</v>
      </c>
      <c r="D23" s="106"/>
      <c r="E23" s="106"/>
      <c r="F23" s="279" t="s">
        <v>71</v>
      </c>
      <c r="G23" s="280"/>
      <c r="H23" s="280"/>
      <c r="I23" s="280"/>
      <c r="J23" s="280"/>
      <c r="K23" s="281"/>
      <c r="L23" s="133" t="s">
        <v>54</v>
      </c>
      <c r="M23" s="134" t="s">
        <v>55</v>
      </c>
      <c r="N23" s="135" t="s">
        <v>30</v>
      </c>
      <c r="Q23" s="295" t="str">
        <f>IF(F23&lt;&gt;"",F23,"")</f>
        <v>ESTANDE</v>
      </c>
      <c r="R23" s="296"/>
      <c r="S23" s="296"/>
      <c r="T23" s="296"/>
      <c r="U23" s="296"/>
      <c r="V23" s="296"/>
      <c r="W23" s="296"/>
      <c r="X23" s="296"/>
      <c r="Y23" s="297"/>
      <c r="Z23" s="163" t="s">
        <v>56</v>
      </c>
      <c r="AA23" s="164" t="s">
        <v>41</v>
      </c>
      <c r="AM23" s="239"/>
      <c r="AN23" s="240"/>
    </row>
    <row r="24" spans="1:41" ht="99.9" customHeight="1" x14ac:dyDescent="0.5">
      <c r="A24" s="106">
        <v>10</v>
      </c>
      <c r="B24" s="131" t="s">
        <v>72</v>
      </c>
      <c r="C24" s="132" t="s">
        <v>58</v>
      </c>
      <c r="D24" s="106" t="s">
        <v>73</v>
      </c>
      <c r="E24" s="106" t="s">
        <v>74</v>
      </c>
      <c r="F24" s="165" t="s">
        <v>71</v>
      </c>
      <c r="G24" s="166" t="s">
        <v>219</v>
      </c>
      <c r="H24" s="140">
        <v>1</v>
      </c>
      <c r="I24" s="140">
        <v>1</v>
      </c>
      <c r="J24" s="142">
        <v>81000</v>
      </c>
      <c r="K24" s="154">
        <f>IF(F24&lt;&gt;"",H24*I24*J24,"")</f>
        <v>81000</v>
      </c>
      <c r="L24" s="154">
        <f>IF(K24&lt;&gt;"",IF(D24="INTERNO",0,K24*$L$14),"")</f>
        <v>6480</v>
      </c>
      <c r="M24" s="154">
        <f>IF(K24&lt;&gt;"",IF(E24="FAT.OGGI",SUM(K24:L24)*(1/(1-$M$14)-1),L24*(1/(1-$M$14)-1)),0)</f>
        <v>1572.6904436435943</v>
      </c>
      <c r="N24" s="155">
        <f>SUM(K24:M24)</f>
        <v>89052.690443643602</v>
      </c>
      <c r="O24" s="167"/>
      <c r="P24" s="168"/>
      <c r="Q24" s="169">
        <f>IF(H24&lt;&gt;"",H24,"")</f>
        <v>1</v>
      </c>
      <c r="R24" s="170">
        <f>IF(I24&lt;&gt;"",I24,"")</f>
        <v>1</v>
      </c>
      <c r="S24" s="171">
        <v>72000</v>
      </c>
      <c r="T24" s="171">
        <f>IF(Q24&lt;&gt;"",Q24*R24*S24,"")</f>
        <v>72000</v>
      </c>
      <c r="U24" s="172">
        <f>IF(Q24&lt;&gt;"",K24-T24,"")</f>
        <v>9000</v>
      </c>
      <c r="V24" s="173">
        <f>IF(Q24&lt;&gt;"",0%,"")</f>
        <v>0</v>
      </c>
      <c r="W24" s="174">
        <f>IF(Q24&lt;&gt;"",V24*U24,"")</f>
        <v>0</v>
      </c>
      <c r="X24" s="174">
        <f>IF(Q24&lt;&gt;"",W24+T24,"")</f>
        <v>72000</v>
      </c>
      <c r="Y24" s="175">
        <f>IF(Q24&lt;&gt;"",X24+M24,"")</f>
        <v>73572.690443643602</v>
      </c>
      <c r="Z24" s="176">
        <f>IF(Q24&lt;&gt;"", IFERROR(U24/K24, 0), 0)</f>
        <v>0.1111111111111111</v>
      </c>
      <c r="AA24" s="177">
        <f>IFERROR(T24/$T$25, "")</f>
        <v>1</v>
      </c>
      <c r="AM24" s="239">
        <f t="shared" si="2"/>
        <v>0</v>
      </c>
      <c r="AN24" s="240">
        <f>36000+36000</f>
        <v>72000</v>
      </c>
      <c r="AO24" s="78" t="s">
        <v>254</v>
      </c>
    </row>
    <row r="25" spans="1:41" ht="35.1" customHeight="1" thickBot="1" x14ac:dyDescent="0.55000000000000004">
      <c r="A25" s="106">
        <v>11</v>
      </c>
      <c r="B25" s="131"/>
      <c r="C25" s="132" t="s">
        <v>75</v>
      </c>
      <c r="D25" s="106"/>
      <c r="E25" s="106"/>
      <c r="F25" s="275" t="s">
        <v>76</v>
      </c>
      <c r="G25" s="276"/>
      <c r="H25" s="276"/>
      <c r="I25" s="276"/>
      <c r="J25" s="276"/>
      <c r="K25" s="178">
        <f>SUM(K24:K24)</f>
        <v>81000</v>
      </c>
      <c r="L25" s="178">
        <f>SUM(L24:L24)</f>
        <v>6480</v>
      </c>
      <c r="M25" s="178">
        <f>SUM(M24:M24)</f>
        <v>1572.6904436435943</v>
      </c>
      <c r="N25" s="179">
        <f>SUM(N24:N24)</f>
        <v>89052.690443643602</v>
      </c>
      <c r="Q25" s="282" t="s">
        <v>76</v>
      </c>
      <c r="R25" s="283"/>
      <c r="S25" s="283"/>
      <c r="T25" s="180">
        <f>SUM(T24:T24)</f>
        <v>72000</v>
      </c>
      <c r="U25" s="181">
        <f>SUM(U24:U24)</f>
        <v>9000</v>
      </c>
      <c r="V25" s="182"/>
      <c r="W25" s="182"/>
      <c r="X25" s="183">
        <f>SUM(X24:X24)</f>
        <v>72000</v>
      </c>
      <c r="Y25" s="184">
        <f>IF(Q25&lt;&gt;"",X25+M25,"")</f>
        <v>73572.690443643602</v>
      </c>
      <c r="AA25" s="185"/>
      <c r="AM25" s="239"/>
      <c r="AN25" s="240"/>
    </row>
    <row r="26" spans="1:41" ht="35.1" customHeight="1" x14ac:dyDescent="0.5">
      <c r="A26" s="106">
        <v>12</v>
      </c>
      <c r="B26" s="131" t="s">
        <v>77</v>
      </c>
      <c r="C26" s="132" t="s">
        <v>52</v>
      </c>
      <c r="D26" s="106"/>
      <c r="E26" s="106"/>
      <c r="F26" s="279" t="s">
        <v>78</v>
      </c>
      <c r="G26" s="280"/>
      <c r="H26" s="280"/>
      <c r="I26" s="280"/>
      <c r="J26" s="280"/>
      <c r="K26" s="281"/>
      <c r="L26" s="133" t="s">
        <v>54</v>
      </c>
      <c r="M26" s="134" t="s">
        <v>55</v>
      </c>
      <c r="N26" s="135" t="s">
        <v>30</v>
      </c>
      <c r="Q26" s="282" t="str">
        <f>IF(F26&lt;&gt;"",F26,"")</f>
        <v>TECNICA</v>
      </c>
      <c r="R26" s="283"/>
      <c r="S26" s="283"/>
      <c r="T26" s="283"/>
      <c r="U26" s="283"/>
      <c r="V26" s="283"/>
      <c r="W26" s="283"/>
      <c r="X26" s="283"/>
      <c r="Y26" s="284"/>
      <c r="Z26" s="136" t="s">
        <v>56</v>
      </c>
      <c r="AA26" s="186" t="s">
        <v>41</v>
      </c>
      <c r="AM26" s="239"/>
      <c r="AN26" s="240"/>
    </row>
    <row r="27" spans="1:41" ht="99.9" customHeight="1" x14ac:dyDescent="0.5">
      <c r="A27" s="106">
        <v>13</v>
      </c>
      <c r="B27" s="131" t="s">
        <v>79</v>
      </c>
      <c r="C27" s="132" t="s">
        <v>58</v>
      </c>
      <c r="D27" s="106" t="s">
        <v>73</v>
      </c>
      <c r="E27" s="106" t="s">
        <v>74</v>
      </c>
      <c r="F27" s="138" t="s">
        <v>80</v>
      </c>
      <c r="G27" s="153" t="s">
        <v>145</v>
      </c>
      <c r="H27" s="141">
        <v>1</v>
      </c>
      <c r="I27" s="141">
        <v>1</v>
      </c>
      <c r="J27" s="187">
        <v>7550</v>
      </c>
      <c r="K27" s="142">
        <f>IF(F27&lt;&gt;"",H27*I27*J27,"")</f>
        <v>7550</v>
      </c>
      <c r="L27" s="142">
        <f>IF(K27&lt;&gt;"",IF(D27="INTERNO",0,K27*$L$14),"")</f>
        <v>604</v>
      </c>
      <c r="M27" s="142">
        <f>IF(K27&lt;&gt;"",IF(E27="FAT.OGGI",SUM(K27:L27)*(1/(1-$M$14)-1),L27*(1/(1-$M$14)-1)),0)</f>
        <v>146.59028209270539</v>
      </c>
      <c r="N27" s="143">
        <f>SUM(K27:M27)</f>
        <v>8300.5902820927058</v>
      </c>
      <c r="Q27" s="188">
        <f t="shared" ref="Q27:R27" si="3">IF(H27&lt;&gt;"",H27,"")</f>
        <v>1</v>
      </c>
      <c r="R27" s="189">
        <f t="shared" si="3"/>
        <v>1</v>
      </c>
      <c r="S27" s="190">
        <v>5800</v>
      </c>
      <c r="T27" s="190">
        <v>9300</v>
      </c>
      <c r="U27" s="191">
        <f>IF(Q27&lt;&gt;"",K27-T27,"")</f>
        <v>-1750</v>
      </c>
      <c r="V27" s="192">
        <f>IF(Q27&lt;&gt;"",0%,"")</f>
        <v>0</v>
      </c>
      <c r="W27" s="193">
        <f>IF(Q27&lt;&gt;"",V27*U27,"")</f>
        <v>0</v>
      </c>
      <c r="X27" s="193">
        <f>IF(Q27&lt;&gt;"",W27+T27,"")</f>
        <v>9300</v>
      </c>
      <c r="Y27" s="194">
        <f>IF(Q27&lt;&gt;"",X27+M27,"")</f>
        <v>9446.5902820927058</v>
      </c>
      <c r="Z27" s="151">
        <f>IF(Q27&lt;&gt;"", IFERROR(U27/K27, 0), 0)</f>
        <v>-0.23178807947019867</v>
      </c>
      <c r="AA27" s="195">
        <f>IFERROR(T27/$T$28, "")</f>
        <v>1</v>
      </c>
      <c r="AM27" s="239">
        <f t="shared" si="2"/>
        <v>0</v>
      </c>
      <c r="AN27" s="240">
        <f>3500+5800</f>
        <v>9300</v>
      </c>
      <c r="AO27" s="78" t="s">
        <v>263</v>
      </c>
    </row>
    <row r="28" spans="1:41" ht="35.1" customHeight="1" thickBot="1" x14ac:dyDescent="0.55000000000000004">
      <c r="A28" s="196">
        <v>16</v>
      </c>
      <c r="B28" s="131"/>
      <c r="C28" s="197" t="s">
        <v>75</v>
      </c>
      <c r="D28" s="196"/>
      <c r="E28" s="196"/>
      <c r="F28" s="275" t="s">
        <v>81</v>
      </c>
      <c r="G28" s="276"/>
      <c r="H28" s="276"/>
      <c r="I28" s="276"/>
      <c r="J28" s="276"/>
      <c r="K28" s="178">
        <f>SUM(K27:K27)</f>
        <v>7550</v>
      </c>
      <c r="L28" s="178">
        <f>SUM(L27:L27)</f>
        <v>604</v>
      </c>
      <c r="M28" s="178">
        <f>SUM(M27:M27)</f>
        <v>146.59028209270539</v>
      </c>
      <c r="N28" s="179">
        <f>SUM(N27:N27)</f>
        <v>8300.5902820927058</v>
      </c>
      <c r="Q28" s="287" t="s">
        <v>81</v>
      </c>
      <c r="R28" s="288"/>
      <c r="S28" s="288"/>
      <c r="T28" s="198">
        <f>SUM(T27:T27)</f>
        <v>9300</v>
      </c>
      <c r="U28" s="199">
        <f>SUM(U27:U27)</f>
        <v>-1750</v>
      </c>
      <c r="V28" s="200"/>
      <c r="W28" s="200"/>
      <c r="X28" s="201">
        <f>SUM(X27:X27)</f>
        <v>9300</v>
      </c>
      <c r="Y28" s="202">
        <f>IF(Q28&lt;&gt;"",X28+M28,"")</f>
        <v>9446.5902820927058</v>
      </c>
      <c r="AA28" s="185"/>
      <c r="AM28" s="239"/>
      <c r="AN28" s="240"/>
    </row>
    <row r="29" spans="1:41" ht="35.1" customHeight="1" thickBot="1" x14ac:dyDescent="0.55000000000000004">
      <c r="A29" s="106">
        <v>17</v>
      </c>
      <c r="B29" s="131">
        <v>3</v>
      </c>
      <c r="C29" s="132" t="s">
        <v>49</v>
      </c>
      <c r="D29" s="106"/>
      <c r="E29" s="106"/>
      <c r="F29" s="289" t="s">
        <v>82</v>
      </c>
      <c r="G29" s="290"/>
      <c r="H29" s="290"/>
      <c r="I29" s="290"/>
      <c r="J29" s="290"/>
      <c r="K29" s="290"/>
      <c r="L29" s="290"/>
      <c r="M29" s="290"/>
      <c r="N29" s="291"/>
      <c r="Q29" s="292" t="str">
        <f>IF(F29&lt;&gt;"",F29,"")</f>
        <v>OPERACIONAL ESTANDE</v>
      </c>
      <c r="R29" s="293"/>
      <c r="S29" s="293"/>
      <c r="T29" s="293"/>
      <c r="U29" s="293"/>
      <c r="V29" s="293"/>
      <c r="W29" s="293"/>
      <c r="X29" s="293"/>
      <c r="Y29" s="294"/>
      <c r="AA29" s="185"/>
      <c r="AM29" s="239"/>
      <c r="AN29" s="240"/>
    </row>
    <row r="30" spans="1:41" ht="35.1" customHeight="1" x14ac:dyDescent="0.5">
      <c r="A30" s="106">
        <v>18</v>
      </c>
      <c r="B30" s="131" t="s">
        <v>83</v>
      </c>
      <c r="C30" s="132" t="s">
        <v>52</v>
      </c>
      <c r="D30" s="106"/>
      <c r="E30" s="106"/>
      <c r="F30" s="279" t="s">
        <v>87</v>
      </c>
      <c r="G30" s="280"/>
      <c r="H30" s="280"/>
      <c r="I30" s="280"/>
      <c r="J30" s="280"/>
      <c r="K30" s="281"/>
      <c r="L30" s="133" t="s">
        <v>54</v>
      </c>
      <c r="M30" s="134" t="s">
        <v>55</v>
      </c>
      <c r="N30" s="135" t="s">
        <v>30</v>
      </c>
      <c r="Q30" s="282" t="str">
        <f>IF(F30&lt;&gt;"",F30,"")</f>
        <v>STAFF</v>
      </c>
      <c r="R30" s="283"/>
      <c r="S30" s="283"/>
      <c r="T30" s="283"/>
      <c r="U30" s="283"/>
      <c r="V30" s="283"/>
      <c r="W30" s="283"/>
      <c r="X30" s="283"/>
      <c r="Y30" s="284"/>
      <c r="Z30" s="136" t="s">
        <v>56</v>
      </c>
      <c r="AA30" s="186" t="s">
        <v>41</v>
      </c>
      <c r="AM30" s="239"/>
      <c r="AN30" s="240"/>
    </row>
    <row r="31" spans="1:41" ht="99.9" customHeight="1" x14ac:dyDescent="0.5">
      <c r="A31" s="106">
        <v>19</v>
      </c>
      <c r="B31" s="131" t="s">
        <v>84</v>
      </c>
      <c r="C31" s="132" t="s">
        <v>58</v>
      </c>
      <c r="D31" s="106" t="s">
        <v>73</v>
      </c>
      <c r="E31" s="106" t="s">
        <v>74</v>
      </c>
      <c r="F31" s="165" t="s">
        <v>89</v>
      </c>
      <c r="G31" s="139" t="s">
        <v>233</v>
      </c>
      <c r="H31" s="140">
        <v>1</v>
      </c>
      <c r="I31" s="140">
        <v>4</v>
      </c>
      <c r="J31" s="142">
        <v>850</v>
      </c>
      <c r="K31" s="142">
        <f t="shared" ref="K31:K34" si="4">IF(F31&lt;&gt;"",H31*I31*J31,"")</f>
        <v>3400</v>
      </c>
      <c r="L31" s="142">
        <f t="shared" ref="L31:L34" si="5">IF(K31&lt;&gt;"",IF(D31="INTERNO",0,K31*$L$14),"")</f>
        <v>272</v>
      </c>
      <c r="M31" s="142">
        <f t="shared" ref="M31:M34" si="6">IF(K31&lt;&gt;"",IF(E31="FAT.OGGI",SUM(K31:L31)*(1/(1-$M$14)-1),L31*(1/(1-$M$14)-1)),0)</f>
        <v>66.014166770224946</v>
      </c>
      <c r="N31" s="143">
        <f t="shared" ref="N31:N34" si="7">SUM(K31:M31)</f>
        <v>3738.0141667702251</v>
      </c>
      <c r="Q31" s="144">
        <f t="shared" ref="Q31:R33" si="8">IF(H31&lt;&gt;"",H31,"")</f>
        <v>1</v>
      </c>
      <c r="R31" s="145">
        <f t="shared" si="8"/>
        <v>4</v>
      </c>
      <c r="S31" s="146">
        <v>700</v>
      </c>
      <c r="T31" s="146">
        <f t="shared" ref="T31:T34" si="9">IF(Q31&lt;&gt;"",Q31*R31*S31,"")</f>
        <v>2800</v>
      </c>
      <c r="U31" s="147">
        <f t="shared" ref="U31:U34" si="10">IF(Q31&lt;&gt;"",K31-T31,"")</f>
        <v>600</v>
      </c>
      <c r="V31" s="148">
        <f t="shared" ref="V31:V34" si="11">IF(Q31&lt;&gt;"",0%,"")</f>
        <v>0</v>
      </c>
      <c r="W31" s="149">
        <f t="shared" ref="W31:W34" si="12">IF(Q31&lt;&gt;"",V31*U31,"")</f>
        <v>0</v>
      </c>
      <c r="X31" s="149">
        <f t="shared" ref="X31:X34" si="13">IF(Q31&lt;&gt;"",W31+T31,"")</f>
        <v>2800</v>
      </c>
      <c r="Y31" s="150">
        <f t="shared" ref="Y31:Y35" si="14">IF(Q31&lt;&gt;"",X31+M31,"")</f>
        <v>2866.0141667702251</v>
      </c>
      <c r="Z31" s="151">
        <f t="shared" ref="Z31:Z34" si="15">IF(Q31&lt;&gt;"", IFERROR(U31/K31, 0), 0)</f>
        <v>0.17647058823529413</v>
      </c>
      <c r="AA31" s="195">
        <f>IFERROR(T31/$T$35, "")</f>
        <v>0.43410852713178294</v>
      </c>
      <c r="AM31" s="239">
        <f t="shared" si="2"/>
        <v>0</v>
      </c>
      <c r="AN31" s="240">
        <v>2800</v>
      </c>
      <c r="AO31" s="78" t="s">
        <v>256</v>
      </c>
    </row>
    <row r="32" spans="1:41" ht="99.9" customHeight="1" x14ac:dyDescent="0.5">
      <c r="A32" s="106">
        <v>20</v>
      </c>
      <c r="B32" s="131" t="s">
        <v>121</v>
      </c>
      <c r="C32" s="132" t="s">
        <v>58</v>
      </c>
      <c r="D32" s="106" t="s">
        <v>73</v>
      </c>
      <c r="E32" s="106" t="s">
        <v>74</v>
      </c>
      <c r="F32" s="165" t="s">
        <v>91</v>
      </c>
      <c r="G32" s="139" t="s">
        <v>234</v>
      </c>
      <c r="H32" s="140">
        <v>1</v>
      </c>
      <c r="I32" s="140">
        <v>4</v>
      </c>
      <c r="J32" s="142">
        <v>850</v>
      </c>
      <c r="K32" s="142">
        <f t="shared" si="4"/>
        <v>3400</v>
      </c>
      <c r="L32" s="142">
        <f t="shared" si="5"/>
        <v>272</v>
      </c>
      <c r="M32" s="142">
        <f t="shared" si="6"/>
        <v>66.014166770224946</v>
      </c>
      <c r="N32" s="143">
        <f t="shared" si="7"/>
        <v>3738.0141667702251</v>
      </c>
      <c r="O32" s="81" t="s">
        <v>153</v>
      </c>
      <c r="Q32" s="144">
        <v>1</v>
      </c>
      <c r="R32" s="145">
        <v>4</v>
      </c>
      <c r="S32" s="146">
        <v>650</v>
      </c>
      <c r="T32" s="146">
        <f t="shared" si="9"/>
        <v>2600</v>
      </c>
      <c r="U32" s="147">
        <f t="shared" si="10"/>
        <v>800</v>
      </c>
      <c r="V32" s="148">
        <f t="shared" si="11"/>
        <v>0</v>
      </c>
      <c r="W32" s="149">
        <f t="shared" si="12"/>
        <v>0</v>
      </c>
      <c r="X32" s="149">
        <f t="shared" si="13"/>
        <v>2600</v>
      </c>
      <c r="Y32" s="150">
        <f t="shared" si="14"/>
        <v>2666.0141667702251</v>
      </c>
      <c r="Z32" s="151">
        <f t="shared" si="15"/>
        <v>0.23529411764705882</v>
      </c>
      <c r="AA32" s="195">
        <f>IFERROR(T32/$T$35, "")</f>
        <v>0.40310077519379844</v>
      </c>
      <c r="AM32" s="239">
        <f t="shared" si="2"/>
        <v>0</v>
      </c>
      <c r="AN32" s="240">
        <v>2600</v>
      </c>
      <c r="AO32" s="78" t="s">
        <v>260</v>
      </c>
    </row>
    <row r="33" spans="1:41" ht="99.9" customHeight="1" x14ac:dyDescent="0.5">
      <c r="A33" s="106">
        <v>21</v>
      </c>
      <c r="B33" s="131" t="s">
        <v>122</v>
      </c>
      <c r="C33" s="132" t="s">
        <v>58</v>
      </c>
      <c r="D33" s="106" t="s">
        <v>73</v>
      </c>
      <c r="E33" s="106" t="s">
        <v>74</v>
      </c>
      <c r="F33" s="165" t="s">
        <v>131</v>
      </c>
      <c r="G33" s="139" t="s">
        <v>235</v>
      </c>
      <c r="H33" s="140">
        <v>1</v>
      </c>
      <c r="I33" s="140">
        <v>4</v>
      </c>
      <c r="J33" s="142">
        <v>500</v>
      </c>
      <c r="K33" s="142">
        <f t="shared" si="4"/>
        <v>2000</v>
      </c>
      <c r="L33" s="142">
        <f t="shared" si="5"/>
        <v>160</v>
      </c>
      <c r="M33" s="142">
        <f t="shared" si="6"/>
        <v>38.831862806014676</v>
      </c>
      <c r="N33" s="143">
        <f t="shared" si="7"/>
        <v>2198.8318628060147</v>
      </c>
      <c r="Q33" s="144">
        <f t="shared" si="8"/>
        <v>1</v>
      </c>
      <c r="R33" s="145">
        <v>1</v>
      </c>
      <c r="S33" s="146">
        <v>800</v>
      </c>
      <c r="T33" s="146">
        <f t="shared" si="9"/>
        <v>800</v>
      </c>
      <c r="U33" s="147">
        <f t="shared" si="10"/>
        <v>1200</v>
      </c>
      <c r="V33" s="148">
        <f t="shared" si="11"/>
        <v>0</v>
      </c>
      <c r="W33" s="149">
        <f t="shared" si="12"/>
        <v>0</v>
      </c>
      <c r="X33" s="149">
        <f t="shared" si="13"/>
        <v>800</v>
      </c>
      <c r="Y33" s="150">
        <f t="shared" si="14"/>
        <v>838.83186280601467</v>
      </c>
      <c r="Z33" s="151">
        <f t="shared" si="15"/>
        <v>0.6</v>
      </c>
      <c r="AA33" s="195">
        <f>IFERROR(T33/$T$35, "")</f>
        <v>0.12403100775193798</v>
      </c>
      <c r="AM33" s="239">
        <f t="shared" si="2"/>
        <v>0</v>
      </c>
      <c r="AN33" s="240">
        <v>800</v>
      </c>
      <c r="AO33" s="78" t="s">
        <v>255</v>
      </c>
    </row>
    <row r="34" spans="1:41" ht="99.9" customHeight="1" x14ac:dyDescent="0.5">
      <c r="A34" s="106">
        <v>22</v>
      </c>
      <c r="B34" s="131" t="s">
        <v>123</v>
      </c>
      <c r="C34" s="132" t="s">
        <v>58</v>
      </c>
      <c r="D34" s="106" t="s">
        <v>73</v>
      </c>
      <c r="E34" s="106" t="s">
        <v>74</v>
      </c>
      <c r="F34" s="138" t="s">
        <v>93</v>
      </c>
      <c r="G34" s="153" t="s">
        <v>236</v>
      </c>
      <c r="H34" s="141">
        <v>1</v>
      </c>
      <c r="I34" s="141">
        <v>2</v>
      </c>
      <c r="J34" s="142">
        <v>380</v>
      </c>
      <c r="K34" s="142">
        <f t="shared" si="4"/>
        <v>760</v>
      </c>
      <c r="L34" s="142">
        <f t="shared" si="5"/>
        <v>60.800000000000004</v>
      </c>
      <c r="M34" s="142">
        <f t="shared" si="6"/>
        <v>14.756107866285578</v>
      </c>
      <c r="N34" s="143">
        <f t="shared" si="7"/>
        <v>835.55610786628552</v>
      </c>
      <c r="Q34" s="144">
        <v>1</v>
      </c>
      <c r="R34" s="145">
        <v>1</v>
      </c>
      <c r="S34" s="146">
        <v>250</v>
      </c>
      <c r="T34" s="146">
        <f t="shared" si="9"/>
        <v>250</v>
      </c>
      <c r="U34" s="147">
        <f t="shared" si="10"/>
        <v>510</v>
      </c>
      <c r="V34" s="148">
        <f t="shared" si="11"/>
        <v>0</v>
      </c>
      <c r="W34" s="149">
        <f t="shared" si="12"/>
        <v>0</v>
      </c>
      <c r="X34" s="149">
        <f t="shared" si="13"/>
        <v>250</v>
      </c>
      <c r="Y34" s="150">
        <f t="shared" si="14"/>
        <v>264.75610786628556</v>
      </c>
      <c r="Z34" s="151">
        <f t="shared" si="15"/>
        <v>0.67105263157894735</v>
      </c>
      <c r="AA34" s="195">
        <f>IFERROR(T34/$T$35, "")</f>
        <v>3.875968992248062E-2</v>
      </c>
      <c r="AM34" s="239">
        <f t="shared" si="2"/>
        <v>0</v>
      </c>
      <c r="AN34" s="240">
        <v>250</v>
      </c>
      <c r="AO34" s="78" t="s">
        <v>257</v>
      </c>
    </row>
    <row r="35" spans="1:41" ht="35.1" customHeight="1" thickBot="1" x14ac:dyDescent="0.55000000000000004">
      <c r="A35" s="106">
        <v>23</v>
      </c>
      <c r="B35" s="131"/>
      <c r="C35" s="132" t="s">
        <v>75</v>
      </c>
      <c r="D35" s="106"/>
      <c r="E35" s="106"/>
      <c r="F35" s="275" t="s">
        <v>94</v>
      </c>
      <c r="G35" s="276"/>
      <c r="H35" s="276"/>
      <c r="I35" s="276"/>
      <c r="J35" s="276"/>
      <c r="K35" s="178">
        <f>SUM(K31:K34)</f>
        <v>9560</v>
      </c>
      <c r="L35" s="178">
        <f>SUM(L31:L34)</f>
        <v>764.8</v>
      </c>
      <c r="M35" s="178">
        <f>SUM(M31:M34)</f>
        <v>185.61630421275015</v>
      </c>
      <c r="N35" s="179">
        <f>SUM(N31:N34)</f>
        <v>10510.416304212749</v>
      </c>
      <c r="Q35" s="282" t="s">
        <v>94</v>
      </c>
      <c r="R35" s="283"/>
      <c r="S35" s="283"/>
      <c r="T35" s="180">
        <f>SUM(T31:T34)</f>
        <v>6450</v>
      </c>
      <c r="U35" s="181">
        <f>SUM(U31:U34)</f>
        <v>3110</v>
      </c>
      <c r="V35" s="182"/>
      <c r="W35" s="182"/>
      <c r="X35" s="183">
        <f>SUM(X31:X34)</f>
        <v>6450</v>
      </c>
      <c r="Y35" s="184">
        <f t="shared" si="14"/>
        <v>6635.61630421275</v>
      </c>
      <c r="AA35" s="185"/>
      <c r="AM35" s="239"/>
      <c r="AN35" s="240"/>
    </row>
    <row r="36" spans="1:41" ht="35.1" customHeight="1" thickBot="1" x14ac:dyDescent="0.55000000000000004">
      <c r="A36" s="106">
        <v>24</v>
      </c>
      <c r="B36" s="131" t="s">
        <v>86</v>
      </c>
      <c r="C36" s="132" t="s">
        <v>52</v>
      </c>
      <c r="D36" s="106"/>
      <c r="E36" s="106"/>
      <c r="F36" s="279" t="s">
        <v>96</v>
      </c>
      <c r="G36" s="280"/>
      <c r="H36" s="280"/>
      <c r="I36" s="280"/>
      <c r="J36" s="280"/>
      <c r="K36" s="281"/>
      <c r="L36" s="133" t="s">
        <v>54</v>
      </c>
      <c r="M36" s="134" t="s">
        <v>55</v>
      </c>
      <c r="N36" s="135" t="s">
        <v>30</v>
      </c>
      <c r="Q36" s="282" t="str">
        <f>IF(F36&lt;&gt;"",F36,"")</f>
        <v>OPERAÇÃO ESTANDE</v>
      </c>
      <c r="R36" s="283"/>
      <c r="S36" s="283"/>
      <c r="T36" s="283"/>
      <c r="U36" s="283"/>
      <c r="V36" s="283"/>
      <c r="W36" s="283"/>
      <c r="X36" s="283"/>
      <c r="Y36" s="284"/>
      <c r="Z36" s="136" t="s">
        <v>56</v>
      </c>
      <c r="AA36" s="186" t="s">
        <v>41</v>
      </c>
      <c r="AM36" s="239"/>
      <c r="AN36" s="240"/>
    </row>
    <row r="37" spans="1:41" ht="99.9" customHeight="1" x14ac:dyDescent="0.5">
      <c r="A37" s="106">
        <v>25</v>
      </c>
      <c r="B37" s="131" t="s">
        <v>88</v>
      </c>
      <c r="C37" s="132" t="s">
        <v>58</v>
      </c>
      <c r="D37" s="106" t="s">
        <v>73</v>
      </c>
      <c r="E37" s="106" t="s">
        <v>74</v>
      </c>
      <c r="F37" s="203" t="s">
        <v>97</v>
      </c>
      <c r="G37" s="204" t="s">
        <v>237</v>
      </c>
      <c r="H37" s="205">
        <v>1</v>
      </c>
      <c r="I37" s="205">
        <v>1</v>
      </c>
      <c r="J37" s="206">
        <v>2500</v>
      </c>
      <c r="K37" s="206">
        <f t="shared" ref="K37:K40" si="16">IF(F37&lt;&gt;"",H37*I37*J37,"")</f>
        <v>2500</v>
      </c>
      <c r="L37" s="206">
        <f t="shared" ref="L37:L39" si="17">IF(K37&lt;&gt;"",IF(D37="INTERNO",0,K37*$L$14),"")</f>
        <v>200</v>
      </c>
      <c r="M37" s="206">
        <f t="shared" ref="M37:M39" si="18">IF(K37&lt;&gt;"",IF(E37="FAT.OGGI",SUM(K37:L37)*(1/(1-$M$14)-1),L37*(1/(1-$M$14)-1)),0)</f>
        <v>48.539828507518344</v>
      </c>
      <c r="N37" s="207">
        <f t="shared" ref="N37:N40" si="19">SUM(K37:M37)</f>
        <v>2748.5398285075185</v>
      </c>
      <c r="Q37" s="144">
        <f t="shared" ref="Q37:R40" si="20">IF(H37&lt;&gt;"",H37,"")</f>
        <v>1</v>
      </c>
      <c r="R37" s="145">
        <f t="shared" si="20"/>
        <v>1</v>
      </c>
      <c r="S37" s="146">
        <v>1900</v>
      </c>
      <c r="T37" s="146">
        <f t="shared" ref="T37" si="21">IF(Q37&lt;&gt;"",Q37*R37*S37,"")</f>
        <v>1900</v>
      </c>
      <c r="U37" s="147">
        <f t="shared" ref="U37:U40" si="22">IF(Q37&lt;&gt;"",K37-T37,"")</f>
        <v>600</v>
      </c>
      <c r="V37" s="148">
        <f t="shared" ref="V37:V40" si="23">IF(Q37&lt;&gt;"",0%,"")</f>
        <v>0</v>
      </c>
      <c r="W37" s="149">
        <f t="shared" ref="W37:W40" si="24">IF(Q37&lt;&gt;"",V37*U37,"")</f>
        <v>0</v>
      </c>
      <c r="X37" s="149">
        <f t="shared" ref="X37:X40" si="25">IF(Q37&lt;&gt;"",W37+T37,"")</f>
        <v>1900</v>
      </c>
      <c r="Y37" s="150">
        <f t="shared" ref="Y37:Y42" si="26">IF(Q37&lt;&gt;"",X37+M37,"")</f>
        <v>1948.5398285075185</v>
      </c>
      <c r="Z37" s="151">
        <f t="shared" ref="Z37:Z40" si="27">IF(Q37&lt;&gt;"", IFERROR(U37/K37, 0), 0)</f>
        <v>0.24</v>
      </c>
      <c r="AA37" s="195">
        <f>IFERROR(T37/$T$42, "")</f>
        <v>0.12293620840146048</v>
      </c>
      <c r="AM37" s="239">
        <f t="shared" si="2"/>
        <v>0</v>
      </c>
      <c r="AN37" s="240">
        <v>1900</v>
      </c>
      <c r="AO37" s="78" t="s">
        <v>261</v>
      </c>
    </row>
    <row r="38" spans="1:41" ht="99.9" customHeight="1" x14ac:dyDescent="0.5">
      <c r="A38" s="106">
        <v>26</v>
      </c>
      <c r="B38" s="131" t="s">
        <v>90</v>
      </c>
      <c r="C38" s="132" t="s">
        <v>58</v>
      </c>
      <c r="D38" s="106" t="s">
        <v>73</v>
      </c>
      <c r="E38" s="106" t="s">
        <v>74</v>
      </c>
      <c r="F38" s="208" t="s">
        <v>99</v>
      </c>
      <c r="G38" s="209" t="s">
        <v>238</v>
      </c>
      <c r="H38" s="210">
        <v>2</v>
      </c>
      <c r="I38" s="210">
        <v>6</v>
      </c>
      <c r="J38" s="154">
        <v>250</v>
      </c>
      <c r="K38" s="154">
        <f t="shared" si="16"/>
        <v>3000</v>
      </c>
      <c r="L38" s="154">
        <f t="shared" si="17"/>
        <v>240</v>
      </c>
      <c r="M38" s="154">
        <f t="shared" si="18"/>
        <v>58.247794209022018</v>
      </c>
      <c r="N38" s="155">
        <f t="shared" si="19"/>
        <v>3298.2477942090222</v>
      </c>
      <c r="O38" s="81">
        <v>1000</v>
      </c>
      <c r="Q38" s="144">
        <v>2</v>
      </c>
      <c r="R38" s="145">
        <v>6</v>
      </c>
      <c r="S38" s="146">
        <v>140</v>
      </c>
      <c r="T38" s="146">
        <v>2580</v>
      </c>
      <c r="U38" s="147">
        <f t="shared" si="22"/>
        <v>420</v>
      </c>
      <c r="V38" s="148">
        <f t="shared" si="23"/>
        <v>0</v>
      </c>
      <c r="W38" s="149">
        <f t="shared" si="24"/>
        <v>0</v>
      </c>
      <c r="X38" s="149">
        <f t="shared" si="25"/>
        <v>2580</v>
      </c>
      <c r="Y38" s="150">
        <f t="shared" si="26"/>
        <v>2638.2477942090222</v>
      </c>
      <c r="Z38" s="151">
        <f t="shared" si="27"/>
        <v>0.14000000000000001</v>
      </c>
      <c r="AA38" s="195">
        <f>IFERROR(T38/$T$42, "")</f>
        <v>0.16693443035566738</v>
      </c>
      <c r="AM38" s="239">
        <f t="shared" si="2"/>
        <v>0</v>
      </c>
      <c r="AN38" s="240">
        <v>2580</v>
      </c>
      <c r="AO38" s="78" t="s">
        <v>249</v>
      </c>
    </row>
    <row r="39" spans="1:41" ht="99.9" customHeight="1" x14ac:dyDescent="0.5">
      <c r="A39" s="196">
        <v>27</v>
      </c>
      <c r="B39" s="131" t="s">
        <v>117</v>
      </c>
      <c r="C39" s="197" t="s">
        <v>58</v>
      </c>
      <c r="D39" s="196" t="s">
        <v>73</v>
      </c>
      <c r="E39" s="196" t="s">
        <v>74</v>
      </c>
      <c r="F39" s="208" t="s">
        <v>102</v>
      </c>
      <c r="G39" s="211" t="s">
        <v>239</v>
      </c>
      <c r="H39" s="212">
        <v>1</v>
      </c>
      <c r="I39" s="212">
        <v>1</v>
      </c>
      <c r="J39" s="213">
        <v>800</v>
      </c>
      <c r="K39" s="154">
        <f t="shared" si="16"/>
        <v>800</v>
      </c>
      <c r="L39" s="154">
        <f t="shared" si="17"/>
        <v>64</v>
      </c>
      <c r="M39" s="154">
        <f t="shared" si="18"/>
        <v>15.532745122405871</v>
      </c>
      <c r="N39" s="155">
        <f t="shared" si="19"/>
        <v>879.53274512240591</v>
      </c>
      <c r="O39" s="81" t="s">
        <v>220</v>
      </c>
      <c r="Q39" s="144">
        <f t="shared" si="20"/>
        <v>1</v>
      </c>
      <c r="R39" s="145">
        <f t="shared" si="20"/>
        <v>1</v>
      </c>
      <c r="S39" s="146">
        <v>550</v>
      </c>
      <c r="T39" s="146">
        <v>0</v>
      </c>
      <c r="U39" s="147">
        <f t="shared" si="22"/>
        <v>800</v>
      </c>
      <c r="V39" s="148">
        <f t="shared" si="23"/>
        <v>0</v>
      </c>
      <c r="W39" s="149">
        <f t="shared" si="24"/>
        <v>0</v>
      </c>
      <c r="X39" s="149">
        <f t="shared" si="25"/>
        <v>0</v>
      </c>
      <c r="Y39" s="150">
        <f t="shared" si="26"/>
        <v>15.532745122405871</v>
      </c>
      <c r="Z39" s="151">
        <f t="shared" si="27"/>
        <v>1</v>
      </c>
      <c r="AA39" s="195">
        <f>IFERROR(T39/$T$42, "")</f>
        <v>0</v>
      </c>
      <c r="AM39" s="239">
        <f t="shared" si="2"/>
        <v>0</v>
      </c>
      <c r="AN39" s="240"/>
    </row>
    <row r="40" spans="1:41" ht="99.9" customHeight="1" x14ac:dyDescent="0.5">
      <c r="A40" s="106">
        <v>28</v>
      </c>
      <c r="B40" s="131" t="s">
        <v>92</v>
      </c>
      <c r="C40" s="132" t="s">
        <v>58</v>
      </c>
      <c r="D40" s="196" t="s">
        <v>73</v>
      </c>
      <c r="E40" s="196" t="s">
        <v>74</v>
      </c>
      <c r="F40" s="165" t="s">
        <v>103</v>
      </c>
      <c r="G40" s="139" t="s">
        <v>240</v>
      </c>
      <c r="H40" s="140">
        <v>1</v>
      </c>
      <c r="I40" s="140">
        <v>1</v>
      </c>
      <c r="J40" s="142">
        <v>1600</v>
      </c>
      <c r="K40" s="142">
        <f t="shared" si="16"/>
        <v>1600</v>
      </c>
      <c r="L40" s="142">
        <f>IF(K40&lt;&gt;"",IF(D41="INTERNO",0,K40*$L$14),"")</f>
        <v>128</v>
      </c>
      <c r="M40" s="142">
        <f>IF(K40&lt;&gt;"",IF(E41="FAT.OGGI",SUM(K40:L40)*(1/(1-$M$14)-1),L40*(1/(1-$M$14)-1)),0)</f>
        <v>31.065490244811741</v>
      </c>
      <c r="N40" s="143">
        <f t="shared" si="19"/>
        <v>1759.0654902448118</v>
      </c>
      <c r="Q40" s="188">
        <f t="shared" si="20"/>
        <v>1</v>
      </c>
      <c r="R40" s="189">
        <f t="shared" si="20"/>
        <v>1</v>
      </c>
      <c r="S40" s="190">
        <f>900+160.73+104.18</f>
        <v>1164.9100000000001</v>
      </c>
      <c r="T40" s="190">
        <v>3475.17</v>
      </c>
      <c r="U40" s="191">
        <f t="shared" si="22"/>
        <v>-1875.17</v>
      </c>
      <c r="V40" s="192">
        <f t="shared" si="23"/>
        <v>0</v>
      </c>
      <c r="W40" s="193">
        <f t="shared" si="24"/>
        <v>0</v>
      </c>
      <c r="X40" s="193">
        <f t="shared" si="25"/>
        <v>3475.17</v>
      </c>
      <c r="Y40" s="194">
        <f t="shared" si="26"/>
        <v>3506.2354902448119</v>
      </c>
      <c r="Z40" s="214">
        <f t="shared" si="27"/>
        <v>-1.17198125</v>
      </c>
      <c r="AA40" s="195">
        <f>IFERROR(T40/$T$42, "")</f>
        <v>0.2248548543950018</v>
      </c>
      <c r="AM40" s="239">
        <f>X40-AN40</f>
        <v>0</v>
      </c>
      <c r="AN40" s="240">
        <f>'CUSTOS OP.'!G15</f>
        <v>3475.17</v>
      </c>
      <c r="AO40" s="78" t="s">
        <v>250</v>
      </c>
    </row>
    <row r="41" spans="1:41" ht="99.9" customHeight="1" x14ac:dyDescent="0.5">
      <c r="A41" s="215">
        <v>29</v>
      </c>
      <c r="B41" s="131" t="s">
        <v>138</v>
      </c>
      <c r="C41" s="216" t="s">
        <v>58</v>
      </c>
      <c r="D41" s="106" t="s">
        <v>73</v>
      </c>
      <c r="E41" s="106" t="s">
        <v>74</v>
      </c>
      <c r="F41" s="208" t="s">
        <v>140</v>
      </c>
      <c r="G41" s="209" t="s">
        <v>143</v>
      </c>
      <c r="H41" s="210">
        <v>1</v>
      </c>
      <c r="I41" s="210">
        <v>1</v>
      </c>
      <c r="J41" s="154">
        <v>7500</v>
      </c>
      <c r="K41" s="154">
        <f>IF(F41&lt;&gt;"",H41*I41*J41,"")</f>
        <v>7500</v>
      </c>
      <c r="L41" s="142">
        <f>IF(K41&lt;&gt;"",IF(D42="INTERNO",0,K41*$L$14),"")</f>
        <v>600</v>
      </c>
      <c r="M41" s="142">
        <f>IF(K41&lt;&gt;"",IF(E42="FAT.OGGI",SUM(K41:L41)*(1/(1-$M$14)-1),L41*(1/(1-$M$14)-1)),0)</f>
        <v>145.61948552255504</v>
      </c>
      <c r="N41" s="155">
        <f>SUM(K41:M41)</f>
        <v>8245.6194855225549</v>
      </c>
      <c r="O41" s="81" t="s">
        <v>152</v>
      </c>
      <c r="Q41" s="217">
        <f>IF(H41&lt;&gt;"",H41,"")</f>
        <v>1</v>
      </c>
      <c r="R41" s="217">
        <f>IF(I41&lt;&gt;"",I41,"")</f>
        <v>1</v>
      </c>
      <c r="S41" s="218">
        <v>8000</v>
      </c>
      <c r="T41" s="218">
        <v>7500</v>
      </c>
      <c r="U41" s="219">
        <f>IF(Q41&lt;&gt;"",K41-T41,"")</f>
        <v>0</v>
      </c>
      <c r="V41" s="220">
        <f>IF(Q41&lt;&gt;"",0%,"")</f>
        <v>0</v>
      </c>
      <c r="W41" s="221">
        <f>IF(Q41&lt;&gt;"",V41*U41,"")</f>
        <v>0</v>
      </c>
      <c r="X41" s="221">
        <f>IF(Q41&lt;&gt;"",W41+T41,"")</f>
        <v>7500</v>
      </c>
      <c r="Y41" s="149">
        <f>IF(Q41&lt;&gt;"",X41+M41,"")</f>
        <v>7645.6194855225549</v>
      </c>
      <c r="Z41" s="152">
        <f>IF(Q41&lt;&gt;"", IFERROR(U41/K41, 0), 0)</f>
        <v>0</v>
      </c>
      <c r="AA41" s="222"/>
      <c r="AM41" s="239">
        <f t="shared" si="2"/>
        <v>0</v>
      </c>
      <c r="AN41" s="240">
        <f>3500+4000</f>
        <v>7500</v>
      </c>
      <c r="AO41" s="78" t="s">
        <v>252</v>
      </c>
    </row>
    <row r="42" spans="1:41" ht="35.1" customHeight="1" thickBot="1" x14ac:dyDescent="0.55000000000000004">
      <c r="A42" s="196">
        <v>30</v>
      </c>
      <c r="B42" s="131"/>
      <c r="C42" s="197" t="s">
        <v>75</v>
      </c>
      <c r="D42" s="196"/>
      <c r="E42" s="196"/>
      <c r="F42" s="275" t="s">
        <v>104</v>
      </c>
      <c r="G42" s="276"/>
      <c r="H42" s="276"/>
      <c r="I42" s="276"/>
      <c r="J42" s="276"/>
      <c r="K42" s="178">
        <f>SUM(K37:K41)</f>
        <v>15400</v>
      </c>
      <c r="L42" s="178">
        <f>SUM(L37:L41)</f>
        <v>1232</v>
      </c>
      <c r="M42" s="178">
        <f>SUM(M37:M41)</f>
        <v>299.00534360631298</v>
      </c>
      <c r="N42" s="179">
        <f>SUM(N37:N41)</f>
        <v>16931.005343606314</v>
      </c>
      <c r="Q42" s="277" t="s">
        <v>104</v>
      </c>
      <c r="R42" s="278"/>
      <c r="S42" s="278"/>
      <c r="T42" s="223">
        <f>SUM(T37:T41)</f>
        <v>15455.17</v>
      </c>
      <c r="U42" s="224">
        <f>SUM(U37:U41)</f>
        <v>-55.170000000000073</v>
      </c>
      <c r="V42" s="225"/>
      <c r="W42" s="225"/>
      <c r="X42" s="226">
        <f>SUM(X37:X41)</f>
        <v>15455.17</v>
      </c>
      <c r="Y42" s="227">
        <f t="shared" si="26"/>
        <v>15754.175343606314</v>
      </c>
      <c r="AA42" s="185"/>
      <c r="AM42" s="239"/>
      <c r="AN42" s="240"/>
    </row>
    <row r="43" spans="1:41" ht="35.1" customHeight="1" x14ac:dyDescent="0.5">
      <c r="A43" s="106">
        <v>31</v>
      </c>
      <c r="B43" s="131" t="s">
        <v>95</v>
      </c>
      <c r="C43" s="132" t="s">
        <v>52</v>
      </c>
      <c r="D43" s="106"/>
      <c r="E43" s="106"/>
      <c r="F43" s="279" t="s">
        <v>105</v>
      </c>
      <c r="G43" s="280"/>
      <c r="H43" s="280"/>
      <c r="I43" s="280"/>
      <c r="J43" s="280"/>
      <c r="K43" s="281"/>
      <c r="L43" s="133" t="s">
        <v>54</v>
      </c>
      <c r="M43" s="134" t="s">
        <v>55</v>
      </c>
      <c r="N43" s="135" t="s">
        <v>30</v>
      </c>
      <c r="Q43" s="282" t="str">
        <f>IF(F43&lt;&gt;"",F43,"")</f>
        <v xml:space="preserve">TAXAS </v>
      </c>
      <c r="R43" s="283"/>
      <c r="S43" s="283"/>
      <c r="T43" s="283"/>
      <c r="U43" s="283"/>
      <c r="V43" s="283"/>
      <c r="W43" s="283"/>
      <c r="X43" s="283"/>
      <c r="Y43" s="284"/>
      <c r="Z43" s="136" t="s">
        <v>56</v>
      </c>
      <c r="AA43" s="186" t="s">
        <v>41</v>
      </c>
      <c r="AM43" s="239"/>
      <c r="AN43" s="240"/>
    </row>
    <row r="44" spans="1:41" ht="99.9" customHeight="1" x14ac:dyDescent="0.5">
      <c r="A44" s="215">
        <v>32</v>
      </c>
      <c r="B44" s="131" t="s">
        <v>144</v>
      </c>
      <c r="C44" s="216" t="s">
        <v>58</v>
      </c>
      <c r="D44" s="106" t="s">
        <v>73</v>
      </c>
      <c r="E44" s="106" t="s">
        <v>74</v>
      </c>
      <c r="F44" s="208" t="s">
        <v>125</v>
      </c>
      <c r="G44" s="209" t="s">
        <v>135</v>
      </c>
      <c r="H44" s="210">
        <v>16</v>
      </c>
      <c r="I44" s="210">
        <v>1</v>
      </c>
      <c r="J44" s="154">
        <v>30</v>
      </c>
      <c r="K44" s="154">
        <f t="shared" ref="K44:K48" si="28">IF(F44&lt;&gt;"",H44*I44*J44,"")</f>
        <v>480</v>
      </c>
      <c r="L44" s="154">
        <f t="shared" ref="L44:L48" si="29">IF(K44&lt;&gt;"",IF(D44="INTERNO",0,K44*$L$14),"")</f>
        <v>38.4</v>
      </c>
      <c r="M44" s="154">
        <f t="shared" ref="M44:M48" si="30">IF(K44&lt;&gt;"",IF(E44="FAT.OGGI",SUM(K44:L44)*(1/(1-$M$14)-1),L44*(1/(1-$M$14)-1)),0)</f>
        <v>9.3196470734435213</v>
      </c>
      <c r="N44" s="155">
        <f t="shared" ref="N44:N48" si="31">SUM(K44:M44)</f>
        <v>527.71964707344353</v>
      </c>
      <c r="Q44" s="144">
        <v>10</v>
      </c>
      <c r="R44" s="145">
        <v>1</v>
      </c>
      <c r="S44" s="146">
        <v>30</v>
      </c>
      <c r="T44" s="146">
        <v>5837.5</v>
      </c>
      <c r="U44" s="147">
        <f t="shared" ref="U44:U48" si="32">IF(Q44&lt;&gt;"",K44-T44,"")</f>
        <v>-5357.5</v>
      </c>
      <c r="V44" s="148">
        <f t="shared" ref="V44:V48" si="33">IF(Q44&lt;&gt;"",0%,"")</f>
        <v>0</v>
      </c>
      <c r="W44" s="149">
        <f t="shared" ref="W44:W48" si="34">IF(Q44&lt;&gt;"",V44*U44,"")</f>
        <v>0</v>
      </c>
      <c r="X44" s="149">
        <f t="shared" ref="X44:X48" si="35">IF(Q44&lt;&gt;"",W44+T44,"")</f>
        <v>5837.5</v>
      </c>
      <c r="Y44" s="150">
        <f>IF(Q44&lt;&gt;"",X44+M44,"")</f>
        <v>5846.8196470734438</v>
      </c>
      <c r="Z44" s="151">
        <f t="shared" ref="Z44:Z48" si="36">IF(Q44&lt;&gt;"", IFERROR(U44/K44, 0), 0)</f>
        <v>-11.161458333333334</v>
      </c>
      <c r="AA44" s="152">
        <f>IFERROR(T44/$T$49, "")</f>
        <v>1</v>
      </c>
      <c r="AM44" s="239">
        <f t="shared" si="2"/>
        <v>0</v>
      </c>
      <c r="AN44" s="240">
        <v>5837.5</v>
      </c>
      <c r="AO44" s="78" t="s">
        <v>251</v>
      </c>
    </row>
    <row r="45" spans="1:41" ht="99.9" customHeight="1" x14ac:dyDescent="0.5">
      <c r="A45" s="196">
        <v>33</v>
      </c>
      <c r="B45" s="131" t="s">
        <v>98</v>
      </c>
      <c r="C45" s="197" t="s">
        <v>58</v>
      </c>
      <c r="D45" s="106" t="s">
        <v>73</v>
      </c>
      <c r="E45" s="106" t="s">
        <v>74</v>
      </c>
      <c r="F45" s="165" t="s">
        <v>126</v>
      </c>
      <c r="G45" s="139" t="s">
        <v>134</v>
      </c>
      <c r="H45" s="140">
        <v>2</v>
      </c>
      <c r="I45" s="140">
        <v>1</v>
      </c>
      <c r="J45" s="142">
        <v>240</v>
      </c>
      <c r="K45" s="142">
        <f t="shared" si="28"/>
        <v>480</v>
      </c>
      <c r="L45" s="142">
        <f t="shared" si="29"/>
        <v>38.4</v>
      </c>
      <c r="M45" s="142">
        <f t="shared" si="30"/>
        <v>9.3196470734435213</v>
      </c>
      <c r="N45" s="143">
        <f t="shared" si="31"/>
        <v>527.71964707344353</v>
      </c>
      <c r="Q45" s="144">
        <f t="shared" ref="Q45:R48" si="37">IF(H45&lt;&gt;"",H45,"")</f>
        <v>2</v>
      </c>
      <c r="R45" s="145">
        <f t="shared" si="37"/>
        <v>1</v>
      </c>
      <c r="S45" s="146">
        <v>240</v>
      </c>
      <c r="T45" s="146">
        <v>0</v>
      </c>
      <c r="U45" s="147">
        <f t="shared" si="32"/>
        <v>480</v>
      </c>
      <c r="V45" s="148">
        <f t="shared" si="33"/>
        <v>0</v>
      </c>
      <c r="W45" s="149">
        <f t="shared" si="34"/>
        <v>0</v>
      </c>
      <c r="X45" s="149">
        <f t="shared" si="35"/>
        <v>0</v>
      </c>
      <c r="Y45" s="150">
        <f t="shared" ref="Y45:Y48" si="38">IF(Q45&lt;&gt;"",X45+M45,"")</f>
        <v>9.3196470734435213</v>
      </c>
      <c r="Z45" s="151">
        <f t="shared" si="36"/>
        <v>1</v>
      </c>
      <c r="AA45" s="152">
        <f>IFERROR(T45/$T$49, "")</f>
        <v>0</v>
      </c>
      <c r="AM45" s="239">
        <f t="shared" si="2"/>
        <v>0</v>
      </c>
      <c r="AN45" s="240"/>
    </row>
    <row r="46" spans="1:41" ht="99.9" customHeight="1" x14ac:dyDescent="0.5">
      <c r="A46" s="215">
        <v>34</v>
      </c>
      <c r="B46" s="131" t="s">
        <v>100</v>
      </c>
      <c r="C46" s="216" t="s">
        <v>58</v>
      </c>
      <c r="D46" s="106" t="s">
        <v>73</v>
      </c>
      <c r="E46" s="106" t="s">
        <v>74</v>
      </c>
      <c r="F46" s="228" t="s">
        <v>132</v>
      </c>
      <c r="G46" s="209" t="s">
        <v>137</v>
      </c>
      <c r="H46" s="210">
        <v>1</v>
      </c>
      <c r="I46" s="210">
        <v>1</v>
      </c>
      <c r="J46" s="154">
        <v>2500</v>
      </c>
      <c r="K46" s="154">
        <f t="shared" si="28"/>
        <v>2500</v>
      </c>
      <c r="L46" s="154">
        <f t="shared" si="29"/>
        <v>200</v>
      </c>
      <c r="M46" s="154">
        <f t="shared" si="30"/>
        <v>48.539828507518344</v>
      </c>
      <c r="N46" s="155">
        <f t="shared" si="31"/>
        <v>2748.5398285075185</v>
      </c>
      <c r="O46" s="81">
        <v>1500</v>
      </c>
      <c r="Q46" s="144">
        <f>IF(H46&lt;&gt;"",H46,"")</f>
        <v>1</v>
      </c>
      <c r="R46" s="145">
        <v>1</v>
      </c>
      <c r="S46" s="146">
        <v>1500</v>
      </c>
      <c r="T46" s="146">
        <v>0</v>
      </c>
      <c r="U46" s="147">
        <f t="shared" si="32"/>
        <v>2500</v>
      </c>
      <c r="V46" s="148">
        <f t="shared" si="33"/>
        <v>0</v>
      </c>
      <c r="W46" s="149">
        <f t="shared" si="34"/>
        <v>0</v>
      </c>
      <c r="X46" s="149">
        <f t="shared" si="35"/>
        <v>0</v>
      </c>
      <c r="Y46" s="150">
        <f>IF(Q46&lt;&gt;"",X46+M46,"")</f>
        <v>48.539828507518344</v>
      </c>
      <c r="Z46" s="151">
        <f t="shared" si="36"/>
        <v>1</v>
      </c>
      <c r="AA46" s="152">
        <f>IFERROR(T46/$T$49, "")</f>
        <v>0</v>
      </c>
      <c r="AM46" s="239">
        <f t="shared" si="2"/>
        <v>0</v>
      </c>
      <c r="AN46" s="240"/>
    </row>
    <row r="47" spans="1:41" ht="99.9" customHeight="1" x14ac:dyDescent="0.5">
      <c r="A47" s="196">
        <v>35</v>
      </c>
      <c r="B47" s="131" t="s">
        <v>101</v>
      </c>
      <c r="C47" s="197" t="s">
        <v>58</v>
      </c>
      <c r="D47" s="196" t="s">
        <v>73</v>
      </c>
      <c r="E47" s="196" t="s">
        <v>74</v>
      </c>
      <c r="F47" s="208" t="s">
        <v>124</v>
      </c>
      <c r="G47" s="211" t="s">
        <v>136</v>
      </c>
      <c r="H47" s="212">
        <v>1</v>
      </c>
      <c r="I47" s="212">
        <v>1</v>
      </c>
      <c r="J47" s="213">
        <v>857.5</v>
      </c>
      <c r="K47" s="213">
        <f t="shared" si="28"/>
        <v>857.5</v>
      </c>
      <c r="L47" s="213">
        <f t="shared" si="29"/>
        <v>68.600000000000009</v>
      </c>
      <c r="M47" s="213">
        <f t="shared" si="30"/>
        <v>16.649161178078796</v>
      </c>
      <c r="N47" s="229">
        <f t="shared" si="31"/>
        <v>942.74916117807879</v>
      </c>
      <c r="Q47" s="144">
        <f t="shared" si="37"/>
        <v>1</v>
      </c>
      <c r="R47" s="145">
        <v>1</v>
      </c>
      <c r="S47" s="146">
        <v>857.5</v>
      </c>
      <c r="T47" s="146">
        <v>0</v>
      </c>
      <c r="U47" s="147">
        <f t="shared" si="32"/>
        <v>857.5</v>
      </c>
      <c r="V47" s="148">
        <f t="shared" si="33"/>
        <v>0</v>
      </c>
      <c r="W47" s="149">
        <f t="shared" si="34"/>
        <v>0</v>
      </c>
      <c r="X47" s="149">
        <f t="shared" si="35"/>
        <v>0</v>
      </c>
      <c r="Y47" s="150">
        <f t="shared" si="38"/>
        <v>16.649161178078796</v>
      </c>
      <c r="Z47" s="151">
        <f t="shared" si="36"/>
        <v>1</v>
      </c>
      <c r="AA47" s="152">
        <f>IFERROR(T47/$T$49, "")</f>
        <v>0</v>
      </c>
      <c r="AM47" s="239">
        <f t="shared" si="2"/>
        <v>0</v>
      </c>
      <c r="AN47" s="240"/>
    </row>
    <row r="48" spans="1:41" ht="99.9" customHeight="1" x14ac:dyDescent="0.5">
      <c r="A48" s="196">
        <v>36</v>
      </c>
      <c r="B48" s="131" t="s">
        <v>118</v>
      </c>
      <c r="C48" s="197" t="s">
        <v>58</v>
      </c>
      <c r="D48" s="196" t="s">
        <v>73</v>
      </c>
      <c r="E48" s="196" t="s">
        <v>74</v>
      </c>
      <c r="F48" s="208" t="s">
        <v>127</v>
      </c>
      <c r="G48" s="209" t="s">
        <v>241</v>
      </c>
      <c r="H48" s="210">
        <v>15</v>
      </c>
      <c r="I48" s="210">
        <v>1</v>
      </c>
      <c r="J48" s="154">
        <v>350</v>
      </c>
      <c r="K48" s="154">
        <f t="shared" si="28"/>
        <v>5250</v>
      </c>
      <c r="L48" s="154">
        <f t="shared" si="29"/>
        <v>420</v>
      </c>
      <c r="M48" s="154">
        <f t="shared" si="30"/>
        <v>101.93363986578852</v>
      </c>
      <c r="N48" s="155">
        <f t="shared" si="31"/>
        <v>5771.9336398657888</v>
      </c>
      <c r="Q48" s="144">
        <v>12</v>
      </c>
      <c r="R48" s="145">
        <f t="shared" si="37"/>
        <v>1</v>
      </c>
      <c r="S48" s="146">
        <v>350</v>
      </c>
      <c r="T48" s="146">
        <v>0</v>
      </c>
      <c r="U48" s="147">
        <f t="shared" si="32"/>
        <v>5250</v>
      </c>
      <c r="V48" s="148">
        <f t="shared" si="33"/>
        <v>0</v>
      </c>
      <c r="W48" s="149">
        <f t="shared" si="34"/>
        <v>0</v>
      </c>
      <c r="X48" s="149">
        <f t="shared" si="35"/>
        <v>0</v>
      </c>
      <c r="Y48" s="150">
        <f t="shared" si="38"/>
        <v>101.93363986578852</v>
      </c>
      <c r="Z48" s="151">
        <f t="shared" si="36"/>
        <v>1</v>
      </c>
      <c r="AA48" s="152">
        <f>IFERROR(T48/$T$49, "")</f>
        <v>0</v>
      </c>
      <c r="AM48" s="239">
        <f t="shared" si="2"/>
        <v>0</v>
      </c>
      <c r="AN48" s="240"/>
    </row>
    <row r="49" spans="1:40" ht="35.1" customHeight="1" thickBot="1" x14ac:dyDescent="0.55000000000000004">
      <c r="A49" s="106">
        <v>37</v>
      </c>
      <c r="B49" s="131"/>
      <c r="C49" s="132" t="s">
        <v>75</v>
      </c>
      <c r="D49" s="106"/>
      <c r="E49" s="106"/>
      <c r="F49" s="285" t="s">
        <v>85</v>
      </c>
      <c r="G49" s="286"/>
      <c r="H49" s="286"/>
      <c r="I49" s="286"/>
      <c r="J49" s="286"/>
      <c r="K49" s="230">
        <f>SUM(K44:K48)</f>
        <v>9567.5</v>
      </c>
      <c r="L49" s="230">
        <f>SUM(L44:L48)</f>
        <v>765.40000000000009</v>
      </c>
      <c r="M49" s="230">
        <f>SUM(M44:M48)</f>
        <v>185.76192369827271</v>
      </c>
      <c r="N49" s="231">
        <f>SUM(N44:N48)</f>
        <v>10518.661923698273</v>
      </c>
      <c r="Q49" s="282" t="s">
        <v>85</v>
      </c>
      <c r="R49" s="283"/>
      <c r="S49" s="283"/>
      <c r="T49" s="180">
        <f>SUM(T44:T48)</f>
        <v>5837.5</v>
      </c>
      <c r="U49" s="181">
        <f>SUM(U44:U48)</f>
        <v>3730</v>
      </c>
      <c r="V49" s="182"/>
      <c r="W49" s="182"/>
      <c r="X49" s="183">
        <f>SUM(X44:X48)</f>
        <v>5837.5</v>
      </c>
      <c r="Y49" s="184">
        <f>IF(Q49&lt;&gt;"",X49+M49,"")</f>
        <v>6023.2619236982728</v>
      </c>
      <c r="AM49" s="239"/>
      <c r="AN49" s="240"/>
    </row>
    <row r="50" spans="1:40" ht="35.1" customHeight="1" thickBot="1" x14ac:dyDescent="0.55000000000000004">
      <c r="A50" s="106">
        <v>38</v>
      </c>
      <c r="B50" s="131"/>
      <c r="C50" s="132" t="s">
        <v>67</v>
      </c>
      <c r="D50" s="106"/>
      <c r="E50" s="106"/>
      <c r="F50" s="271" t="s">
        <v>106</v>
      </c>
      <c r="G50" s="272"/>
      <c r="H50" s="272"/>
      <c r="I50" s="272"/>
      <c r="J50" s="272"/>
      <c r="K50" s="156">
        <f>SUM(K31:K34)+SUM(K37:K41)+SUM(K44:K48)</f>
        <v>34527.5</v>
      </c>
      <c r="L50" s="156">
        <f>SUM(L31:L34)+SUM(L37:L41)+SUM(L44:L48)</f>
        <v>2762.2</v>
      </c>
      <c r="M50" s="156">
        <f>SUM(M31:M34)+SUM(M37:M41)+SUM(M44:M48)</f>
        <v>670.38357151733589</v>
      </c>
      <c r="N50" s="157">
        <f>SUM(N31:N34)+SUM(N37:N41)+SUM(N44:N48)</f>
        <v>37960.083571517338</v>
      </c>
      <c r="Q50" s="273" t="s">
        <v>106</v>
      </c>
      <c r="R50" s="274"/>
      <c r="S50" s="274"/>
      <c r="T50" s="158">
        <f>SUM(T31:T34)+SUM(T37:T41)+SUM(T44:T48)</f>
        <v>27742.67</v>
      </c>
      <c r="U50" s="159">
        <f>SUM(U31:U34)+SUM(U37:U41)+SUM(U44:U48)</f>
        <v>6784.83</v>
      </c>
      <c r="V50" s="160"/>
      <c r="W50" s="160"/>
      <c r="X50" s="161">
        <f>SUM(X31:X34)+SUM(X37:X41)+SUM(X44:X48)</f>
        <v>27742.67</v>
      </c>
      <c r="Y50" s="232">
        <f>IF(Q50&lt;&gt;"",X50+M50,"")</f>
        <v>28413.053571517336</v>
      </c>
      <c r="Z50" s="233" t="s">
        <v>107</v>
      </c>
      <c r="AA50" s="234" t="s">
        <v>108</v>
      </c>
      <c r="AM50" s="239"/>
      <c r="AN50" s="240"/>
    </row>
    <row r="51" spans="1:40" ht="35.1" customHeight="1" thickBot="1" x14ac:dyDescent="0.55000000000000004">
      <c r="A51" s="215">
        <v>39</v>
      </c>
      <c r="B51" s="235"/>
      <c r="C51" s="216" t="s">
        <v>109</v>
      </c>
      <c r="D51" s="215"/>
      <c r="E51" s="215"/>
      <c r="F51" s="65" t="s">
        <v>119</v>
      </c>
      <c r="G51" s="66"/>
      <c r="H51" s="67"/>
      <c r="I51" s="67"/>
      <c r="J51" s="66"/>
      <c r="K51" s="68">
        <f>SUM(K17:K20)+SUM(K24:K24)+SUM(K27:K27)+SUM(K31:K34)+SUM(K37:K41)+SUM(K44:K48)</f>
        <v>135977.5</v>
      </c>
      <c r="L51" s="68">
        <f>SUM(L17:L20)+SUM(L24:L24)+SUM(L27:L27)+SUM(L31:L34)+SUM(L37:L41)+SUM(L44:L48)</f>
        <v>9846.1999999999989</v>
      </c>
      <c r="M51" s="68">
        <f>SUM(M17:M20)+SUM(M24:M24)+SUM(M27:M27)+SUM(M31:M34)+SUM(M37:M41)+SUM(M44:M48)</f>
        <v>5520.4832359885686</v>
      </c>
      <c r="N51" s="69">
        <f>SUM(N17:N20)+SUM(N24:N24)+SUM(N27:N27)+SUM(N31:N34)+SUM(N37:N41)+SUM(N44:N48)</f>
        <v>151344.18323598857</v>
      </c>
      <c r="Q51" s="70" t="s">
        <v>110</v>
      </c>
      <c r="R51" s="71"/>
      <c r="S51" s="66"/>
      <c r="T51" s="68">
        <f>SUM(T17:T20)+SUM(T24:T24)+SUM(T27:T27)+SUM(T31:T34)+SUM(T37:T41)+SUM(T44:T48)</f>
        <v>109742.67</v>
      </c>
      <c r="U51" s="68">
        <f>SUM(U17:U20)+SUM(U24:U24)+SUM(U27:U27)+SUM(U31:U34)+SUM(U37:U41)+SUM(U44:U48)</f>
        <v>26234.83</v>
      </c>
      <c r="V51" s="66"/>
      <c r="W51" s="66"/>
      <c r="X51" s="68">
        <f>SUM(X17:X20)+SUM(X24:X24)+SUM(X27:X27)+SUM(X31:X34)+SUM(X37:X41)+SUM(X44:X48)</f>
        <v>109742.67</v>
      </c>
      <c r="Y51" s="69">
        <f>SUM(Y17:Y20)+SUM(Y24:Y24)+SUM(Y27:Y27)+SUM(Y31:Y34)+SUM(Y37:Y41)+SUM(Y44:Y48)</f>
        <v>115263.15323598856</v>
      </c>
      <c r="Z51" s="72">
        <f>IF(Q51&lt;&gt;"",(N51-Y51)/N51,"")</f>
        <v>0.23840381062904439</v>
      </c>
      <c r="AA51" s="73">
        <f>IF(Z51&lt;&gt;"",(N51-Y51),"")</f>
        <v>36081.030000000013</v>
      </c>
      <c r="AM51" s="239">
        <f>SUM(AM17:AM49)</f>
        <v>0</v>
      </c>
      <c r="AN51" s="241">
        <f>SUM(AN17:AN49)</f>
        <v>109742.67</v>
      </c>
    </row>
    <row r="53" spans="1:40" x14ac:dyDescent="0.4">
      <c r="K53" s="75"/>
    </row>
    <row r="54" spans="1:40" x14ac:dyDescent="0.4">
      <c r="AN54" s="76" t="s">
        <v>228</v>
      </c>
    </row>
    <row r="55" spans="1:40" x14ac:dyDescent="0.4">
      <c r="AM55" s="75">
        <f>T51</f>
        <v>109742.67</v>
      </c>
      <c r="AN55" s="76" t="s">
        <v>229</v>
      </c>
    </row>
    <row r="56" spans="1:40" x14ac:dyDescent="0.4">
      <c r="AM56" s="75">
        <f>N51-T51</f>
        <v>41601.513235988576</v>
      </c>
      <c r="AN56" s="76" t="s">
        <v>225</v>
      </c>
    </row>
    <row r="57" spans="1:40" x14ac:dyDescent="0.4">
      <c r="AM57" s="77">
        <f>AM56*100%/N51</f>
        <v>0.27488015955737127</v>
      </c>
      <c r="AN57" s="78"/>
    </row>
    <row r="58" spans="1:40" x14ac:dyDescent="0.4">
      <c r="M58" s="75"/>
    </row>
    <row r="63" spans="1:40" x14ac:dyDescent="0.4">
      <c r="H63" s="236"/>
    </row>
    <row r="64" spans="1:40" x14ac:dyDescent="0.4">
      <c r="H64" s="236"/>
      <c r="T64" s="75"/>
    </row>
    <row r="66" spans="12:20" x14ac:dyDescent="0.4">
      <c r="T66" s="75"/>
    </row>
    <row r="68" spans="12:20" hidden="1" x14ac:dyDescent="0.4">
      <c r="L68" s="74" t="s">
        <v>133</v>
      </c>
      <c r="M68" s="74" t="s">
        <v>128</v>
      </c>
    </row>
    <row r="69" spans="12:20" hidden="1" x14ac:dyDescent="0.4">
      <c r="M69" s="74" t="s">
        <v>129</v>
      </c>
    </row>
    <row r="70" spans="12:20" hidden="1" x14ac:dyDescent="0.4">
      <c r="M70" s="74" t="s">
        <v>130</v>
      </c>
      <c r="S70" s="75"/>
    </row>
    <row r="71" spans="12:20" hidden="1" x14ac:dyDescent="0.4"/>
    <row r="72" spans="12:20" hidden="1" x14ac:dyDescent="0.4"/>
  </sheetData>
  <autoFilter ref="A17:AO51" xr:uid="{DDA6B94E-6F09-428E-8112-16F5403FD61E}"/>
  <mergeCells count="41">
    <mergeCell ref="F21:J21"/>
    <mergeCell ref="Q21:S21"/>
    <mergeCell ref="F1:G1"/>
    <mergeCell ref="F2:G2"/>
    <mergeCell ref="Q12:T12"/>
    <mergeCell ref="AK12:AL12"/>
    <mergeCell ref="F15:N15"/>
    <mergeCell ref="Q15:Y15"/>
    <mergeCell ref="F16:K16"/>
    <mergeCell ref="Q16:Y16"/>
    <mergeCell ref="U12:X12"/>
    <mergeCell ref="AC12:AE12"/>
    <mergeCell ref="AG12:AH12"/>
    <mergeCell ref="F22:N22"/>
    <mergeCell ref="Q22:Y22"/>
    <mergeCell ref="F23:K23"/>
    <mergeCell ref="Q23:Y23"/>
    <mergeCell ref="F25:J25"/>
    <mergeCell ref="Q25:S25"/>
    <mergeCell ref="F26:K26"/>
    <mergeCell ref="Q26:Y26"/>
    <mergeCell ref="F28:J28"/>
    <mergeCell ref="Q28:S28"/>
    <mergeCell ref="F29:N29"/>
    <mergeCell ref="Q29:Y29"/>
    <mergeCell ref="AM15:AN15"/>
    <mergeCell ref="AM16:AN16"/>
    <mergeCell ref="F50:J50"/>
    <mergeCell ref="Q50:S50"/>
    <mergeCell ref="F42:J42"/>
    <mergeCell ref="Q42:S42"/>
    <mergeCell ref="F43:K43"/>
    <mergeCell ref="Q43:Y43"/>
    <mergeCell ref="F49:J49"/>
    <mergeCell ref="Q49:S49"/>
    <mergeCell ref="F30:K30"/>
    <mergeCell ref="Q30:Y30"/>
    <mergeCell ref="F35:J35"/>
    <mergeCell ref="Q35:S35"/>
    <mergeCell ref="F36:K36"/>
    <mergeCell ref="Q36:Y36"/>
  </mergeCells>
  <dataValidations disablePrompts="1" count="3">
    <dataValidation type="list" allowBlank="1" showInputMessage="1" showErrorMessage="1" sqref="E51" xr:uid="{4BADA104-3A4C-4C0E-896E-BF327C846323}">
      <formula1>"FAT.OGGI,FAT.CLIENTE "</formula1>
    </dataValidation>
    <dataValidation type="list" allowBlank="1" showInputMessage="1" showErrorMessage="1" sqref="E24 E17:E20 E37:E41 E31:E34 E27 E44:E48" xr:uid="{00E96E78-8D1D-4909-890F-2BE509B4DED3}">
      <formula1>"FAT.OGGI,FAT.CLIENTE"</formula1>
    </dataValidation>
    <dataValidation type="list" allowBlank="1" showInputMessage="1" showErrorMessage="1" sqref="D24 D17:D20 D37:D41 D51 D31:D34 D27 D44:D48" xr:uid="{CB0CEF7C-B8E0-402F-9822-39C898775F1D}">
      <formula1>"INTERNO,OPERACIONAL"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DC16-73FB-42FB-A7E5-E69E579D8F38}">
  <sheetPr>
    <pageSetUpPr autoPageBreaks="0"/>
  </sheetPr>
  <dimension ref="A1:AO40"/>
  <sheetViews>
    <sheetView showGridLines="0" topLeftCell="B1" zoomScale="50" zoomScaleNormal="50" workbookViewId="0">
      <pane ySplit="1" topLeftCell="A13" activePane="bottomLeft" state="frozen"/>
      <selection pane="bottomLeft" activeCell="T20" sqref="T20"/>
    </sheetView>
  </sheetViews>
  <sheetFormatPr defaultColWidth="8.88671875" defaultRowHeight="21" x14ac:dyDescent="0.4"/>
  <cols>
    <col min="1" max="1" width="5" style="74" hidden="1" customWidth="1"/>
    <col min="2" max="2" width="9.88671875" style="74" customWidth="1"/>
    <col min="3" max="5" width="5" style="74" hidden="1" customWidth="1"/>
    <col min="6" max="6" width="30.6640625" style="95" customWidth="1"/>
    <col min="7" max="7" width="46.88671875" style="74" customWidth="1"/>
    <col min="8" max="8" width="10.109375" style="81" hidden="1" customWidth="1"/>
    <col min="9" max="9" width="5.33203125" style="81" hidden="1" customWidth="1"/>
    <col min="10" max="10" width="15.6640625" style="74" hidden="1" customWidth="1"/>
    <col min="11" max="11" width="25.33203125" style="74" customWidth="1"/>
    <col min="12" max="12" width="22.109375" style="74" customWidth="1"/>
    <col min="13" max="13" width="24" style="74" customWidth="1"/>
    <col min="14" max="14" width="24.6640625" style="74" customWidth="1"/>
    <col min="15" max="15" width="11.33203125" style="81" hidden="1" customWidth="1"/>
    <col min="16" max="16" width="2.88671875" style="74" hidden="1" customWidth="1"/>
    <col min="17" max="17" width="10.44140625" style="81" bestFit="1" customWidth="1"/>
    <col min="18" max="18" width="7.6640625" style="81" hidden="1" customWidth="1"/>
    <col min="19" max="19" width="15.88671875" style="74" hidden="1" customWidth="1"/>
    <col min="20" max="20" width="20.5546875" style="74" bestFit="1" customWidth="1"/>
    <col min="21" max="21" width="24.88671875" style="74" hidden="1" customWidth="1"/>
    <col min="22" max="22" width="9.6640625" style="74" hidden="1" customWidth="1"/>
    <col min="23" max="23" width="16.109375" style="74" hidden="1" customWidth="1"/>
    <col min="24" max="24" width="27.33203125" style="74" bestFit="1" customWidth="1"/>
    <col min="25" max="25" width="26.88671875" style="74" hidden="1" customWidth="1"/>
    <col min="26" max="26" width="17.44140625" style="74" hidden="1" customWidth="1"/>
    <col min="27" max="27" width="24.6640625" style="74" hidden="1" customWidth="1"/>
    <col min="28" max="28" width="38.109375" style="74" hidden="1" customWidth="1"/>
    <col min="29" max="29" width="14.109375" style="74" hidden="1" customWidth="1"/>
    <col min="30" max="30" width="7.6640625" style="74" hidden="1" customWidth="1"/>
    <col min="31" max="31" width="6.88671875" style="74" hidden="1" customWidth="1"/>
    <col min="32" max="32" width="1.33203125" style="74" hidden="1" customWidth="1"/>
    <col min="33" max="33" width="14" style="74" hidden="1" customWidth="1"/>
    <col min="34" max="34" width="11.6640625" style="74" hidden="1" customWidth="1"/>
    <col min="35" max="35" width="6.33203125" style="74" hidden="1" customWidth="1"/>
    <col min="36" max="36" width="12.6640625" style="74" hidden="1" customWidth="1"/>
    <col min="37" max="37" width="13.109375" style="74" hidden="1" customWidth="1"/>
    <col min="38" max="38" width="13.5546875" style="74" hidden="1" customWidth="1"/>
    <col min="39" max="39" width="31" style="74" customWidth="1"/>
    <col min="40" max="40" width="30.88671875" style="74" customWidth="1"/>
    <col min="41" max="41" width="8.88671875" style="78"/>
    <col min="42" max="16384" width="8.88671875" style="74"/>
  </cols>
  <sheetData>
    <row r="1" spans="1:40" x14ac:dyDescent="0.4">
      <c r="B1" s="79"/>
      <c r="C1" s="80"/>
      <c r="D1" s="80"/>
      <c r="F1" s="310" t="s">
        <v>0</v>
      </c>
      <c r="G1" s="310"/>
    </row>
    <row r="2" spans="1:40" x14ac:dyDescent="0.4">
      <c r="B2" s="82"/>
      <c r="D2" s="80"/>
      <c r="F2" s="311" t="s">
        <v>1</v>
      </c>
      <c r="G2" s="311"/>
    </row>
    <row r="3" spans="1:40" x14ac:dyDescent="0.4">
      <c r="B3" s="83"/>
      <c r="F3" s="84"/>
      <c r="G3" s="85"/>
    </row>
    <row r="4" spans="1:40" x14ac:dyDescent="0.4">
      <c r="F4" s="86" t="s">
        <v>2</v>
      </c>
      <c r="G4" s="87" t="s">
        <v>141</v>
      </c>
    </row>
    <row r="5" spans="1:40" x14ac:dyDescent="0.4">
      <c r="F5" s="88" t="s">
        <v>3</v>
      </c>
      <c r="G5" s="89" t="s">
        <v>115</v>
      </c>
    </row>
    <row r="6" spans="1:40" x14ac:dyDescent="0.4">
      <c r="D6" s="74" t="s">
        <v>4</v>
      </c>
      <c r="F6" s="88" t="s">
        <v>5</v>
      </c>
      <c r="G6" s="90" t="s">
        <v>116</v>
      </c>
    </row>
    <row r="7" spans="1:40" x14ac:dyDescent="0.4">
      <c r="F7" s="88" t="s">
        <v>6</v>
      </c>
      <c r="G7" s="90" t="s">
        <v>112</v>
      </c>
      <c r="J7" s="74" t="s">
        <v>7</v>
      </c>
    </row>
    <row r="8" spans="1:40" x14ac:dyDescent="0.4">
      <c r="F8" s="88" t="s">
        <v>8</v>
      </c>
      <c r="G8" s="91" t="s">
        <v>120</v>
      </c>
    </row>
    <row r="9" spans="1:40" x14ac:dyDescent="0.4">
      <c r="F9" s="88" t="s">
        <v>9</v>
      </c>
      <c r="G9" s="90" t="s">
        <v>113</v>
      </c>
      <c r="J9" s="74" t="s">
        <v>4</v>
      </c>
    </row>
    <row r="10" spans="1:40" x14ac:dyDescent="0.4">
      <c r="F10" s="88" t="s">
        <v>10</v>
      </c>
      <c r="G10" s="90" t="s">
        <v>114</v>
      </c>
    </row>
    <row r="11" spans="1:40" x14ac:dyDescent="0.4">
      <c r="F11" s="92" t="s">
        <v>11</v>
      </c>
      <c r="G11" s="93" t="s">
        <v>142</v>
      </c>
    </row>
    <row r="12" spans="1:40" ht="63.6" hidden="1" thickBot="1" x14ac:dyDescent="0.45">
      <c r="B12" s="94"/>
      <c r="M12" s="96"/>
      <c r="Q12" s="312" t="s">
        <v>12</v>
      </c>
      <c r="R12" s="313"/>
      <c r="S12" s="313"/>
      <c r="T12" s="314"/>
      <c r="U12" s="300" t="s">
        <v>13</v>
      </c>
      <c r="V12" s="301"/>
      <c r="W12" s="301"/>
      <c r="X12" s="302"/>
      <c r="Y12" s="97" t="s">
        <v>14</v>
      </c>
      <c r="Z12" s="98">
        <f>(1/(1-M14))-1</f>
        <v>0.24269914253759173</v>
      </c>
      <c r="AC12" s="303" t="s">
        <v>15</v>
      </c>
      <c r="AD12" s="304"/>
      <c r="AE12" s="305"/>
      <c r="AG12" s="306" t="s">
        <v>16</v>
      </c>
      <c r="AH12" s="307"/>
      <c r="AJ12" s="99" t="s">
        <v>17</v>
      </c>
      <c r="AK12" s="298" t="s">
        <v>18</v>
      </c>
      <c r="AL12" s="299"/>
    </row>
    <row r="13" spans="1:40" ht="21.6" thickBot="1" x14ac:dyDescent="0.45">
      <c r="A13" s="100" t="s">
        <v>19</v>
      </c>
      <c r="B13" s="101" t="s">
        <v>20</v>
      </c>
      <c r="C13" s="100" t="s">
        <v>21</v>
      </c>
      <c r="D13" s="100" t="s">
        <v>22</v>
      </c>
      <c r="E13" s="100" t="s">
        <v>23</v>
      </c>
      <c r="M13" s="102">
        <v>0.80469999999999997</v>
      </c>
    </row>
    <row r="14" spans="1:40" ht="30" customHeight="1" thickBot="1" x14ac:dyDescent="0.45">
      <c r="A14" s="103">
        <v>0</v>
      </c>
      <c r="B14" s="104"/>
      <c r="C14" s="105"/>
      <c r="D14" s="106"/>
      <c r="E14" s="106"/>
      <c r="F14" s="107" t="s">
        <v>24</v>
      </c>
      <c r="G14" s="108" t="s">
        <v>25</v>
      </c>
      <c r="H14" s="109" t="s">
        <v>26</v>
      </c>
      <c r="I14" s="109" t="s">
        <v>27</v>
      </c>
      <c r="J14" s="110" t="s">
        <v>28</v>
      </c>
      <c r="K14" s="111" t="s">
        <v>29</v>
      </c>
      <c r="L14" s="112">
        <v>0.08</v>
      </c>
      <c r="M14" s="113">
        <f>1-M13</f>
        <v>0.19530000000000003</v>
      </c>
      <c r="N14" s="114" t="s">
        <v>30</v>
      </c>
      <c r="Q14" s="115" t="s">
        <v>31</v>
      </c>
      <c r="R14" s="116" t="s">
        <v>32</v>
      </c>
      <c r="S14" s="117" t="s">
        <v>33</v>
      </c>
      <c r="T14" s="118" t="s">
        <v>34</v>
      </c>
      <c r="U14" s="119" t="s">
        <v>35</v>
      </c>
      <c r="V14" s="120" t="s">
        <v>36</v>
      </c>
      <c r="W14" s="121" t="s">
        <v>37</v>
      </c>
      <c r="X14" s="121" t="s">
        <v>38</v>
      </c>
      <c r="Y14" s="122" t="s">
        <v>39</v>
      </c>
      <c r="Z14" s="123" t="s">
        <v>40</v>
      </c>
      <c r="AA14" s="124" t="s">
        <v>41</v>
      </c>
      <c r="AC14" s="125" t="s">
        <v>42</v>
      </c>
      <c r="AD14" s="126" t="s">
        <v>43</v>
      </c>
      <c r="AE14" s="126" t="s">
        <v>44</v>
      </c>
      <c r="AG14" s="127" t="s">
        <v>45</v>
      </c>
      <c r="AH14" s="128" t="s">
        <v>46</v>
      </c>
      <c r="AK14" s="129" t="s">
        <v>47</v>
      </c>
      <c r="AL14" s="130" t="s">
        <v>48</v>
      </c>
      <c r="AM14" s="129" t="s">
        <v>47</v>
      </c>
      <c r="AN14" s="130" t="s">
        <v>48</v>
      </c>
    </row>
    <row r="15" spans="1:40" ht="30" customHeight="1" thickBot="1" x14ac:dyDescent="0.45">
      <c r="A15" s="106">
        <v>1</v>
      </c>
      <c r="B15" s="131">
        <v>1</v>
      </c>
      <c r="C15" s="132" t="s">
        <v>49</v>
      </c>
      <c r="D15" s="106"/>
      <c r="E15" s="106"/>
      <c r="F15" s="289" t="s">
        <v>210</v>
      </c>
      <c r="G15" s="290"/>
      <c r="H15" s="290"/>
      <c r="I15" s="290"/>
      <c r="J15" s="290"/>
      <c r="K15" s="290"/>
      <c r="L15" s="290"/>
      <c r="M15" s="290"/>
      <c r="N15" s="291"/>
      <c r="Q15" s="292" t="str">
        <f>IF(F15&lt;&gt;"",F15,"")</f>
        <v>EXTRAS</v>
      </c>
      <c r="R15" s="293"/>
      <c r="S15" s="293"/>
      <c r="T15" s="293"/>
      <c r="U15" s="293"/>
      <c r="V15" s="293"/>
      <c r="W15" s="293"/>
      <c r="X15" s="293"/>
      <c r="Y15" s="294"/>
      <c r="AM15" s="315"/>
      <c r="AN15" s="316"/>
    </row>
    <row r="16" spans="1:40" ht="30" customHeight="1" x14ac:dyDescent="0.4">
      <c r="A16" s="106">
        <v>2</v>
      </c>
      <c r="B16" s="131" t="s">
        <v>51</v>
      </c>
      <c r="C16" s="132" t="s">
        <v>52</v>
      </c>
      <c r="D16" s="106"/>
      <c r="E16" s="106"/>
      <c r="F16" s="279" t="s">
        <v>211</v>
      </c>
      <c r="G16" s="280"/>
      <c r="H16" s="280"/>
      <c r="I16" s="280"/>
      <c r="J16" s="280"/>
      <c r="K16" s="281"/>
      <c r="L16" s="133" t="s">
        <v>54</v>
      </c>
      <c r="M16" s="134" t="s">
        <v>55</v>
      </c>
      <c r="N16" s="135" t="s">
        <v>30</v>
      </c>
      <c r="Q16" s="282" t="str">
        <f>IF(F16&lt;&gt;"",F16,"")</f>
        <v>CUSTOS EXTRAS</v>
      </c>
      <c r="R16" s="283"/>
      <c r="S16" s="283"/>
      <c r="T16" s="283"/>
      <c r="U16" s="283"/>
      <c r="V16" s="283"/>
      <c r="W16" s="283"/>
      <c r="X16" s="283"/>
      <c r="Y16" s="284"/>
      <c r="Z16" s="136" t="s">
        <v>56</v>
      </c>
      <c r="AA16" s="137" t="s">
        <v>41</v>
      </c>
      <c r="AM16" s="317"/>
      <c r="AN16" s="318"/>
    </row>
    <row r="17" spans="1:41" ht="80.099999999999994" customHeight="1" x14ac:dyDescent="0.4">
      <c r="A17" s="106">
        <v>3</v>
      </c>
      <c r="B17" s="131" t="s">
        <v>57</v>
      </c>
      <c r="C17" s="132" t="s">
        <v>58</v>
      </c>
      <c r="D17" s="106" t="s">
        <v>73</v>
      </c>
      <c r="E17" s="106" t="s">
        <v>74</v>
      </c>
      <c r="F17" s="245" t="s">
        <v>213</v>
      </c>
      <c r="G17" s="209" t="s">
        <v>242</v>
      </c>
      <c r="H17" s="210">
        <v>1</v>
      </c>
      <c r="I17" s="210">
        <v>4</v>
      </c>
      <c r="J17" s="154">
        <v>710</v>
      </c>
      <c r="K17" s="154">
        <f>IF(F17&lt;&gt;"",H17*I17*J17,"")</f>
        <v>2840</v>
      </c>
      <c r="L17" s="154">
        <f>IF(K17&lt;&gt;"",IF(D17="INTERNO",0,K17*$L$14),"")</f>
        <v>227.20000000000002</v>
      </c>
      <c r="M17" s="154">
        <f>IF(K17&lt;&gt;"",IF(E17="FAT.OGGI",SUM(K17:L17)*(1/(1-$M$14)-1),L17*(1/(1-$M$14)-1)),"")</f>
        <v>55.141245184540843</v>
      </c>
      <c r="N17" s="154">
        <f>SUM(K17:M17)</f>
        <v>3122.3412451845406</v>
      </c>
      <c r="Q17" s="188">
        <f t="shared" ref="Q17:Q19" si="0">IF(H17&lt;&gt;"",H17,"")</f>
        <v>1</v>
      </c>
      <c r="R17" s="189">
        <v>3</v>
      </c>
      <c r="S17" s="190">
        <v>710</v>
      </c>
      <c r="T17" s="190">
        <f>IF(Q17&lt;&gt;"",Q17*R17*S17,"")</f>
        <v>2130</v>
      </c>
      <c r="U17" s="191">
        <f>IF(Q17&lt;&gt;"",K17-T17,"")</f>
        <v>710</v>
      </c>
      <c r="V17" s="192">
        <f>IF(Q17&lt;&gt;"",0%,"")</f>
        <v>0</v>
      </c>
      <c r="W17" s="193">
        <f>IF(Q17&lt;&gt;"",V17*U17,"")</f>
        <v>0</v>
      </c>
      <c r="X17" s="193">
        <f>IF(Q17&lt;&gt;"",W17+T17,"")</f>
        <v>2130</v>
      </c>
      <c r="Y17" s="194">
        <f t="shared" ref="Y17:Y19" si="1">IF(Q17&lt;&gt;"",X17+M17,"")</f>
        <v>2185.1412451845408</v>
      </c>
      <c r="Z17" s="151">
        <f>IF(Q17&lt;&gt;"",U17/K17,"")</f>
        <v>0.25</v>
      </c>
      <c r="AA17" s="152" t="e">
        <f>T17/#REF!</f>
        <v>#REF!</v>
      </c>
      <c r="AM17" s="246">
        <f>X17-AN17</f>
        <v>0</v>
      </c>
      <c r="AN17" s="247">
        <v>2130</v>
      </c>
      <c r="AO17" s="78" t="s">
        <v>249</v>
      </c>
    </row>
    <row r="18" spans="1:41" ht="80.099999999999994" customHeight="1" x14ac:dyDescent="0.4">
      <c r="A18" s="215">
        <v>4</v>
      </c>
      <c r="B18" s="131" t="s">
        <v>61</v>
      </c>
      <c r="C18" s="216" t="s">
        <v>58</v>
      </c>
      <c r="D18" s="106" t="s">
        <v>73</v>
      </c>
      <c r="E18" s="106" t="s">
        <v>74</v>
      </c>
      <c r="F18" s="245" t="s">
        <v>212</v>
      </c>
      <c r="G18" s="248" t="s">
        <v>218</v>
      </c>
      <c r="H18" s="210">
        <v>1</v>
      </c>
      <c r="I18" s="212">
        <v>1</v>
      </c>
      <c r="J18" s="154">
        <v>500</v>
      </c>
      <c r="K18" s="154">
        <f>IF(F18&lt;&gt;"",H18*I18*J18,"")</f>
        <v>500</v>
      </c>
      <c r="L18" s="154">
        <f>IF(K18&lt;&gt;"",IF(D18="INTERNO",0,K18*$L$14),"")</f>
        <v>40</v>
      </c>
      <c r="M18" s="154">
        <f>IF(K18&lt;&gt;"",IF(E18="FAT.OGGI",SUM(K18:L18)*(1/(1-$M$14)-1),L18*(1/(1-$M$14)-1)),"")</f>
        <v>9.7079657015036691</v>
      </c>
      <c r="N18" s="154">
        <f>SUM(K18:M18)</f>
        <v>549.70796570150367</v>
      </c>
      <c r="Q18" s="249">
        <f>IF(H18&lt;&gt;"",H18,"")</f>
        <v>1</v>
      </c>
      <c r="R18" s="249">
        <v>0</v>
      </c>
      <c r="S18" s="218">
        <v>500</v>
      </c>
      <c r="T18" s="218">
        <f>IF(Q18&lt;&gt;"",Q18*R18*S18,"")</f>
        <v>0</v>
      </c>
      <c r="U18" s="219">
        <f>IF(Q18&lt;&gt;"",K18-T18,"")</f>
        <v>500</v>
      </c>
      <c r="V18" s="220">
        <f>IF(Q18&lt;&gt;"",0%,"")</f>
        <v>0</v>
      </c>
      <c r="W18" s="221">
        <f>IF(Q18&lt;&gt;"",V18*U18,"")</f>
        <v>0</v>
      </c>
      <c r="X18" s="221">
        <f>IF(Q18&lt;&gt;"",W18+T18,"")</f>
        <v>0</v>
      </c>
      <c r="Y18" s="149">
        <f>IF(Q18&lt;&gt;"",X18+M18,"")</f>
        <v>9.7079657015036691</v>
      </c>
      <c r="Z18" s="152">
        <f>IF(Q18&lt;&gt;"", IFERROR(U18/K18, 0), 0)</f>
        <v>1</v>
      </c>
      <c r="AA18" s="250"/>
      <c r="AM18" s="246">
        <f>X18-AN18</f>
        <v>0</v>
      </c>
      <c r="AN18" s="247"/>
    </row>
    <row r="19" spans="1:41" ht="80.099999999999994" customHeight="1" thickBot="1" x14ac:dyDescent="0.45">
      <c r="A19" s="196">
        <v>5</v>
      </c>
      <c r="B19" s="131" t="s">
        <v>63</v>
      </c>
      <c r="C19" s="197" t="s">
        <v>58</v>
      </c>
      <c r="D19" s="196" t="s">
        <v>73</v>
      </c>
      <c r="E19" s="196" t="s">
        <v>74</v>
      </c>
      <c r="F19" s="245" t="s">
        <v>216</v>
      </c>
      <c r="G19" s="248" t="s">
        <v>217</v>
      </c>
      <c r="H19" s="210">
        <v>1</v>
      </c>
      <c r="I19" s="212">
        <v>2</v>
      </c>
      <c r="J19" s="154">
        <v>850</v>
      </c>
      <c r="K19" s="154">
        <f>IF(F19&lt;&gt;"",H19*I19*J19,"")</f>
        <v>1700</v>
      </c>
      <c r="L19" s="154">
        <f>IF(K19&lt;&gt;"",IF(D19="INTERNO",0,K19*$L$14),"")</f>
        <v>136</v>
      </c>
      <c r="M19" s="154">
        <f>IF(K19&lt;&gt;"",IF(E19="FAT.OGGI",SUM(K19:L19)*(1/(1-$M$14)-1),L19*(1/(1-$M$14)-1)),"")</f>
        <v>33.007083385112473</v>
      </c>
      <c r="N19" s="154">
        <f>SUM(K19:M19)</f>
        <v>1869.0070833851125</v>
      </c>
      <c r="Q19" s="251">
        <f t="shared" si="0"/>
        <v>1</v>
      </c>
      <c r="R19" s="252">
        <v>1</v>
      </c>
      <c r="S19" s="253">
        <v>900</v>
      </c>
      <c r="T19" s="253">
        <v>0</v>
      </c>
      <c r="U19" s="254">
        <f>IF(Q19&lt;&gt;"",K19-T19,"")</f>
        <v>1700</v>
      </c>
      <c r="V19" s="255">
        <f>IF(Q19&lt;&gt;"",0%,"")</f>
        <v>0</v>
      </c>
      <c r="W19" s="256">
        <f>IF(Q19&lt;&gt;"",V19*U19,"")</f>
        <v>0</v>
      </c>
      <c r="X19" s="256">
        <f>IF(Q19&lt;&gt;"",W19+T19,"")</f>
        <v>0</v>
      </c>
      <c r="Y19" s="257">
        <f t="shared" si="1"/>
        <v>33.007083385112473</v>
      </c>
      <c r="Z19" s="214">
        <f>IF(Q19&lt;&gt;"",U19/K19,"")</f>
        <v>1</v>
      </c>
      <c r="AA19" s="250" t="e">
        <f>T19/#REF!</f>
        <v>#REF!</v>
      </c>
      <c r="AM19" s="246">
        <f t="shared" ref="AM19" si="2">X19-AN19</f>
        <v>0</v>
      </c>
      <c r="AN19" s="247"/>
    </row>
    <row r="20" spans="1:41" ht="30" customHeight="1" thickBot="1" x14ac:dyDescent="0.45">
      <c r="A20" s="106">
        <v>6</v>
      </c>
      <c r="B20" s="131"/>
      <c r="C20" s="132" t="s">
        <v>67</v>
      </c>
      <c r="D20" s="106"/>
      <c r="E20" s="106"/>
      <c r="F20" s="308" t="s">
        <v>214</v>
      </c>
      <c r="G20" s="309"/>
      <c r="H20" s="309"/>
      <c r="I20" s="309"/>
      <c r="J20" s="309"/>
      <c r="K20" s="156">
        <f>SUM(K17:K19)</f>
        <v>5040</v>
      </c>
      <c r="L20" s="156">
        <f>SUM(L17:L19)</f>
        <v>403.20000000000005</v>
      </c>
      <c r="M20" s="156">
        <f>SUM(M17:M19)</f>
        <v>97.856294271156997</v>
      </c>
      <c r="N20" s="157">
        <f>SUM(N17:N19)</f>
        <v>5541.0562942711567</v>
      </c>
      <c r="Q20" s="273" t="s">
        <v>214</v>
      </c>
      <c r="R20" s="274"/>
      <c r="S20" s="274"/>
      <c r="T20" s="158"/>
      <c r="U20" s="159">
        <f>SUM(U17:U19)</f>
        <v>2910</v>
      </c>
      <c r="V20" s="160"/>
      <c r="W20" s="160"/>
      <c r="X20" s="161">
        <f>SUM(X17:X19)</f>
        <v>2130</v>
      </c>
      <c r="Y20" s="232">
        <f>IF(Q20&lt;&gt;"",X20+M20,"")</f>
        <v>2227.8562942711569</v>
      </c>
      <c r="Z20" s="233" t="s">
        <v>107</v>
      </c>
      <c r="AA20" s="258" t="s">
        <v>108</v>
      </c>
      <c r="AM20" s="246"/>
      <c r="AN20" s="247"/>
    </row>
    <row r="21" spans="1:41" ht="30" customHeight="1" thickBot="1" x14ac:dyDescent="0.45">
      <c r="A21" s="215">
        <v>7</v>
      </c>
      <c r="B21" s="235"/>
      <c r="C21" s="216" t="s">
        <v>109</v>
      </c>
      <c r="D21" s="215"/>
      <c r="E21" s="215"/>
      <c r="F21" s="65" t="s">
        <v>215</v>
      </c>
      <c r="G21" s="66"/>
      <c r="H21" s="67"/>
      <c r="I21" s="67"/>
      <c r="J21" s="66"/>
      <c r="K21" s="68">
        <f>SUM(K17:K19)</f>
        <v>5040</v>
      </c>
      <c r="L21" s="68">
        <f>SUM(L17:L19)</f>
        <v>403.20000000000005</v>
      </c>
      <c r="M21" s="68">
        <f>SUM(M17:M19)</f>
        <v>97.856294271156997</v>
      </c>
      <c r="N21" s="242">
        <f>SUM(N17:N19)</f>
        <v>5541.0562942711567</v>
      </c>
      <c r="Q21" s="243" t="s">
        <v>110</v>
      </c>
      <c r="R21" s="67"/>
      <c r="S21" s="66"/>
      <c r="T21" s="68">
        <f>SUM(T17:T19)</f>
        <v>2130</v>
      </c>
      <c r="U21" s="68">
        <f>SUM(U17:U19)</f>
        <v>2910</v>
      </c>
      <c r="V21" s="66"/>
      <c r="W21" s="66"/>
      <c r="X21" s="68">
        <f>SUM(X17:X19)</f>
        <v>2130</v>
      </c>
      <c r="Y21" s="242">
        <f>SUM(Y17:Y19)</f>
        <v>2227.8562942711569</v>
      </c>
      <c r="Z21" s="72">
        <f>IF(Q21&lt;&gt;"",(N21-Y21)/N21,"")</f>
        <v>0.59793653484904752</v>
      </c>
      <c r="AA21" s="244">
        <f>IF(Z21&lt;&gt;"",(N21-Y21),"")</f>
        <v>3313.2</v>
      </c>
      <c r="AM21" s="246">
        <f>SUM(AM17:AM20)</f>
        <v>0</v>
      </c>
      <c r="AN21" s="247">
        <f>SUM(AN17:AN20)</f>
        <v>2130</v>
      </c>
    </row>
    <row r="31" spans="1:41" x14ac:dyDescent="0.4">
      <c r="H31" s="236"/>
    </row>
    <row r="32" spans="1:41" x14ac:dyDescent="0.4">
      <c r="H32" s="236"/>
      <c r="T32" s="75"/>
    </row>
    <row r="34" spans="12:20" x14ac:dyDescent="0.4">
      <c r="T34" s="75"/>
    </row>
    <row r="36" spans="12:20" hidden="1" x14ac:dyDescent="0.4">
      <c r="L36" s="74" t="s">
        <v>133</v>
      </c>
      <c r="M36" s="74" t="s">
        <v>128</v>
      </c>
    </row>
    <row r="37" spans="12:20" hidden="1" x14ac:dyDescent="0.4">
      <c r="M37" s="74" t="s">
        <v>129</v>
      </c>
    </row>
    <row r="38" spans="12:20" hidden="1" x14ac:dyDescent="0.4">
      <c r="M38" s="74" t="s">
        <v>130</v>
      </c>
      <c r="S38" s="75"/>
    </row>
    <row r="39" spans="12:20" hidden="1" x14ac:dyDescent="0.4"/>
    <row r="40" spans="12:20" hidden="1" x14ac:dyDescent="0.4"/>
  </sheetData>
  <autoFilter ref="A1:AL14" xr:uid="{107B9E09-8154-459A-AE62-6A4242823A27}">
    <filterColumn colId="5" showButton="0"/>
  </autoFilter>
  <mergeCells count="15">
    <mergeCell ref="F20:J20"/>
    <mergeCell ref="Q20:S20"/>
    <mergeCell ref="AK12:AL12"/>
    <mergeCell ref="F15:N15"/>
    <mergeCell ref="Q15:Y15"/>
    <mergeCell ref="F16:K16"/>
    <mergeCell ref="Q16:Y16"/>
    <mergeCell ref="AG12:AH12"/>
    <mergeCell ref="AM15:AN15"/>
    <mergeCell ref="AM16:AN16"/>
    <mergeCell ref="F1:G1"/>
    <mergeCell ref="F2:G2"/>
    <mergeCell ref="Q12:T12"/>
    <mergeCell ref="U12:X12"/>
    <mergeCell ref="AC12:AE12"/>
  </mergeCells>
  <dataValidations count="3">
    <dataValidation type="list" allowBlank="1" showInputMessage="1" showErrorMessage="1" sqref="D21 D17:D19" xr:uid="{C9A8D3EB-5B38-4CE1-BBF6-0708D44F6368}">
      <formula1>"INTERNO,OPERACIONAL"</formula1>
    </dataValidation>
    <dataValidation type="list" allowBlank="1" showInputMessage="1" showErrorMessage="1" sqref="E17:E19" xr:uid="{48608464-FB90-4F91-9F78-14B6C2E68BF7}">
      <formula1>"FAT.OGGI,FAT.CLIENTE"</formula1>
    </dataValidation>
    <dataValidation type="list" allowBlank="1" showInputMessage="1" showErrorMessage="1" sqref="E21" xr:uid="{5FF8AA41-261F-4EFC-855E-0AFA49AD2F9B}">
      <formula1>"FAT.OGGI,FAT.CLIENTE 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3E97-67D3-4DB8-AEEC-39980AE7350A}">
  <dimension ref="F3:G15"/>
  <sheetViews>
    <sheetView workbookViewId="0">
      <selection activeCell="E19" sqref="E19"/>
    </sheetView>
  </sheetViews>
  <sheetFormatPr defaultRowHeight="14.4" x14ac:dyDescent="0.3"/>
  <cols>
    <col min="6" max="6" width="20.88671875" bestFit="1" customWidth="1"/>
    <col min="7" max="7" width="12.109375" style="3" bestFit="1" customWidth="1"/>
  </cols>
  <sheetData>
    <row r="3" spans="6:7" x14ac:dyDescent="0.3">
      <c r="F3" t="s">
        <v>244</v>
      </c>
      <c r="G3" s="3" t="s">
        <v>29</v>
      </c>
    </row>
    <row r="4" spans="6:7" x14ac:dyDescent="0.3">
      <c r="F4" t="s">
        <v>245</v>
      </c>
      <c r="G4" s="3">
        <v>281.37</v>
      </c>
    </row>
    <row r="5" spans="6:7" x14ac:dyDescent="0.3">
      <c r="F5" t="s">
        <v>246</v>
      </c>
      <c r="G5" s="3">
        <v>290</v>
      </c>
    </row>
    <row r="6" spans="6:7" x14ac:dyDescent="0.3">
      <c r="F6" t="s">
        <v>247</v>
      </c>
      <c r="G6" s="3">
        <v>521.44000000000005</v>
      </c>
    </row>
    <row r="7" spans="6:7" x14ac:dyDescent="0.3">
      <c r="F7" t="s">
        <v>248</v>
      </c>
      <c r="G7" s="3">
        <v>104.18</v>
      </c>
    </row>
    <row r="8" spans="6:7" x14ac:dyDescent="0.3">
      <c r="F8" t="s">
        <v>249</v>
      </c>
      <c r="G8" s="3">
        <v>558.17999999999995</v>
      </c>
    </row>
    <row r="9" spans="6:7" x14ac:dyDescent="0.3">
      <c r="F9" t="s">
        <v>249</v>
      </c>
      <c r="G9" s="3">
        <v>500</v>
      </c>
    </row>
    <row r="10" spans="6:7" x14ac:dyDescent="0.3">
      <c r="F10" t="s">
        <v>249</v>
      </c>
      <c r="G10" s="3">
        <v>450</v>
      </c>
    </row>
    <row r="11" spans="6:7" x14ac:dyDescent="0.3">
      <c r="F11" t="s">
        <v>258</v>
      </c>
      <c r="G11" s="3">
        <v>500</v>
      </c>
    </row>
    <row r="12" spans="6:7" x14ac:dyDescent="0.3">
      <c r="F12" t="s">
        <v>259</v>
      </c>
      <c r="G12" s="3">
        <v>120</v>
      </c>
    </row>
    <row r="13" spans="6:7" x14ac:dyDescent="0.3">
      <c r="F13" t="s">
        <v>262</v>
      </c>
      <c r="G13" s="3">
        <v>150</v>
      </c>
    </row>
    <row r="15" spans="6:7" x14ac:dyDescent="0.3">
      <c r="G15" s="259">
        <f>SUM(G4:G14)</f>
        <v>3475.17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EFC6-15F6-4D23-9EC0-115AF064A336}">
  <dimension ref="A1:P6"/>
  <sheetViews>
    <sheetView workbookViewId="0">
      <selection activeCell="F17" sqref="F17"/>
    </sheetView>
  </sheetViews>
  <sheetFormatPr defaultRowHeight="14.4" x14ac:dyDescent="0.3"/>
  <cols>
    <col min="1" max="1" width="9.33203125" bestFit="1" customWidth="1"/>
    <col min="2" max="2" width="17.33203125" bestFit="1" customWidth="1"/>
    <col min="3" max="3" width="10.109375" customWidth="1"/>
    <col min="4" max="4" width="9.109375" style="4" customWidth="1"/>
    <col min="5" max="5" width="12.88671875" style="3" customWidth="1"/>
    <col min="12" max="12" width="12.44140625" style="2" customWidth="1"/>
    <col min="13" max="13" width="12.5546875" bestFit="1" customWidth="1"/>
    <col min="14" max="14" width="11.5546875" bestFit="1" customWidth="1"/>
    <col min="15" max="16" width="12.5546875" bestFit="1" customWidth="1"/>
  </cols>
  <sheetData>
    <row r="1" spans="1:16" ht="15" thickBot="1" x14ac:dyDescent="0.35">
      <c r="A1" s="20" t="s">
        <v>149</v>
      </c>
      <c r="B1" s="21" t="s">
        <v>58</v>
      </c>
      <c r="C1" s="21" t="s">
        <v>150</v>
      </c>
      <c r="D1" s="22" t="s">
        <v>151</v>
      </c>
      <c r="E1" s="23" t="s">
        <v>110</v>
      </c>
    </row>
    <row r="2" spans="1:16" x14ac:dyDescent="0.3">
      <c r="A2" s="19" t="s">
        <v>144</v>
      </c>
      <c r="B2" s="6" t="s">
        <v>148</v>
      </c>
      <c r="C2" s="7">
        <v>30</v>
      </c>
      <c r="D2" s="8">
        <v>10</v>
      </c>
      <c r="E2" s="9">
        <f>C2*D2</f>
        <v>300</v>
      </c>
    </row>
    <row r="3" spans="1:16" x14ac:dyDescent="0.3">
      <c r="A3" s="5" t="s">
        <v>118</v>
      </c>
      <c r="B3" s="10" t="s">
        <v>127</v>
      </c>
      <c r="C3" s="11">
        <v>350</v>
      </c>
      <c r="D3" s="12">
        <v>12</v>
      </c>
      <c r="E3" s="13">
        <f t="shared" ref="E3:E5" si="0">C3*D3</f>
        <v>4200</v>
      </c>
      <c r="H3" s="1"/>
      <c r="M3" s="2"/>
      <c r="N3" s="2"/>
      <c r="O3" s="2"/>
      <c r="P3" s="2"/>
    </row>
    <row r="4" spans="1:16" x14ac:dyDescent="0.3">
      <c r="A4" s="5" t="s">
        <v>101</v>
      </c>
      <c r="B4" s="10" t="s">
        <v>147</v>
      </c>
      <c r="C4" s="11">
        <v>17.5</v>
      </c>
      <c r="D4" s="12">
        <v>49</v>
      </c>
      <c r="E4" s="13">
        <f t="shared" si="0"/>
        <v>857.5</v>
      </c>
      <c r="H4" s="1"/>
    </row>
    <row r="5" spans="1:16" ht="15" thickBot="1" x14ac:dyDescent="0.35">
      <c r="A5" s="15" t="s">
        <v>98</v>
      </c>
      <c r="B5" s="16" t="s">
        <v>146</v>
      </c>
      <c r="C5" s="17">
        <v>240</v>
      </c>
      <c r="D5" s="18">
        <v>2</v>
      </c>
      <c r="E5" s="13">
        <f t="shared" si="0"/>
        <v>480</v>
      </c>
    </row>
    <row r="6" spans="1:16" ht="15" thickBot="1" x14ac:dyDescent="0.35">
      <c r="A6" s="319" t="s">
        <v>110</v>
      </c>
      <c r="B6" s="320"/>
      <c r="C6" s="320"/>
      <c r="D6" s="321"/>
      <c r="E6" s="14">
        <f>SUM(E2:E5)</f>
        <v>5837.5</v>
      </c>
    </row>
  </sheetData>
  <mergeCells count="1">
    <mergeCell ref="A6:D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BD23-27D1-4F51-92E8-C1A9A18D880B}">
  <dimension ref="A1:G21"/>
  <sheetViews>
    <sheetView topLeftCell="A4" workbookViewId="0">
      <selection sqref="A1:G21"/>
    </sheetView>
  </sheetViews>
  <sheetFormatPr defaultRowHeight="14.4" x14ac:dyDescent="0.3"/>
  <cols>
    <col min="1" max="1" width="14.33203125" style="28" customWidth="1"/>
    <col min="2" max="2" width="14" style="28" customWidth="1"/>
    <col min="3" max="3" width="39.5546875" style="28" customWidth="1"/>
    <col min="4" max="4" width="23.6640625" style="28" customWidth="1"/>
    <col min="5" max="5" width="42" style="28" bestFit="1" customWidth="1"/>
    <col min="6" max="6" width="19.109375" style="28" customWidth="1"/>
    <col min="7" max="7" width="24.88671875" customWidth="1"/>
  </cols>
  <sheetData>
    <row r="1" spans="1:7" x14ac:dyDescent="0.3">
      <c r="A1" s="25" t="s">
        <v>154</v>
      </c>
      <c r="B1" s="25" t="s">
        <v>155</v>
      </c>
      <c r="C1" s="25" t="s">
        <v>156</v>
      </c>
      <c r="D1" s="25" t="s">
        <v>157</v>
      </c>
      <c r="E1" s="25" t="s">
        <v>158</v>
      </c>
      <c r="F1" s="25" t="s">
        <v>159</v>
      </c>
      <c r="G1" s="25" t="s">
        <v>203</v>
      </c>
    </row>
    <row r="2" spans="1:7" x14ac:dyDescent="0.3">
      <c r="A2" s="30">
        <v>46150</v>
      </c>
      <c r="B2" s="31" t="s">
        <v>160</v>
      </c>
      <c r="C2" s="32" t="s">
        <v>161</v>
      </c>
      <c r="D2" s="32" t="s">
        <v>194</v>
      </c>
      <c r="E2" s="32" t="s">
        <v>197</v>
      </c>
      <c r="F2" s="31" t="s">
        <v>163</v>
      </c>
      <c r="G2" s="24"/>
    </row>
    <row r="3" spans="1:7" x14ac:dyDescent="0.3">
      <c r="A3" s="30">
        <v>46150</v>
      </c>
      <c r="B3" s="31" t="s">
        <v>160</v>
      </c>
      <c r="C3" s="32" t="s">
        <v>164</v>
      </c>
      <c r="D3" s="32" t="s">
        <v>194</v>
      </c>
      <c r="E3" s="32" t="s">
        <v>195</v>
      </c>
      <c r="F3" s="31" t="s">
        <v>163</v>
      </c>
      <c r="G3" s="24"/>
    </row>
    <row r="4" spans="1:7" x14ac:dyDescent="0.3">
      <c r="A4" s="30">
        <v>46150</v>
      </c>
      <c r="B4" s="31" t="s">
        <v>204</v>
      </c>
      <c r="C4" s="32" t="s">
        <v>205</v>
      </c>
      <c r="D4" s="32" t="s">
        <v>206</v>
      </c>
      <c r="E4" s="32" t="s">
        <v>175</v>
      </c>
      <c r="F4" s="31" t="s">
        <v>207</v>
      </c>
      <c r="G4" s="24"/>
    </row>
    <row r="5" spans="1:7" x14ac:dyDescent="0.3">
      <c r="A5" s="26">
        <v>46151</v>
      </c>
      <c r="B5" s="27" t="s">
        <v>160</v>
      </c>
      <c r="C5" s="29" t="s">
        <v>165</v>
      </c>
      <c r="D5" s="29" t="s">
        <v>196</v>
      </c>
      <c r="E5" s="29" t="s">
        <v>208</v>
      </c>
      <c r="F5" s="27" t="s">
        <v>163</v>
      </c>
      <c r="G5" s="24"/>
    </row>
    <row r="6" spans="1:7" x14ac:dyDescent="0.3">
      <c r="A6" s="26">
        <v>46151</v>
      </c>
      <c r="B6" s="27" t="s">
        <v>166</v>
      </c>
      <c r="C6" s="29" t="s">
        <v>167</v>
      </c>
      <c r="D6" s="29" t="s">
        <v>196</v>
      </c>
      <c r="E6" s="29" t="s">
        <v>168</v>
      </c>
      <c r="F6" s="27" t="s">
        <v>163</v>
      </c>
      <c r="G6" s="24"/>
    </row>
    <row r="7" spans="1:7" x14ac:dyDescent="0.3">
      <c r="A7" s="30">
        <v>46152</v>
      </c>
      <c r="B7" s="31" t="s">
        <v>160</v>
      </c>
      <c r="C7" s="32" t="s">
        <v>169</v>
      </c>
      <c r="D7" s="32" t="s">
        <v>200</v>
      </c>
      <c r="E7" s="32" t="s">
        <v>170</v>
      </c>
      <c r="F7" s="31" t="s">
        <v>163</v>
      </c>
      <c r="G7" s="24"/>
    </row>
    <row r="8" spans="1:7" x14ac:dyDescent="0.3">
      <c r="A8" s="26">
        <v>46153</v>
      </c>
      <c r="B8" s="27" t="s">
        <v>160</v>
      </c>
      <c r="C8" s="29" t="s">
        <v>171</v>
      </c>
      <c r="D8" s="29" t="s">
        <v>200</v>
      </c>
      <c r="E8" s="29" t="s">
        <v>172</v>
      </c>
      <c r="F8" s="27" t="s">
        <v>163</v>
      </c>
      <c r="G8" s="24"/>
    </row>
    <row r="9" spans="1:7" x14ac:dyDescent="0.3">
      <c r="A9" s="30">
        <v>46154</v>
      </c>
      <c r="B9" s="31" t="s">
        <v>173</v>
      </c>
      <c r="C9" s="32" t="s">
        <v>174</v>
      </c>
      <c r="D9" s="32" t="s">
        <v>193</v>
      </c>
      <c r="E9" s="32" t="s">
        <v>176</v>
      </c>
      <c r="F9" s="31" t="s">
        <v>163</v>
      </c>
      <c r="G9" s="24"/>
    </row>
    <row r="10" spans="1:7" x14ac:dyDescent="0.3">
      <c r="A10" s="30">
        <v>46154</v>
      </c>
      <c r="B10" s="31" t="s">
        <v>173</v>
      </c>
      <c r="C10" s="32" t="s">
        <v>177</v>
      </c>
      <c r="D10" s="32" t="s">
        <v>193</v>
      </c>
      <c r="E10" s="32" t="s">
        <v>176</v>
      </c>
      <c r="F10" s="31" t="s">
        <v>163</v>
      </c>
      <c r="G10" s="24"/>
    </row>
    <row r="11" spans="1:7" x14ac:dyDescent="0.3">
      <c r="A11" s="30">
        <v>46154</v>
      </c>
      <c r="B11" s="31" t="s">
        <v>173</v>
      </c>
      <c r="C11" s="32" t="s">
        <v>178</v>
      </c>
      <c r="D11" s="32" t="s">
        <v>200</v>
      </c>
      <c r="E11" s="32" t="s">
        <v>179</v>
      </c>
      <c r="F11" s="31" t="s">
        <v>163</v>
      </c>
      <c r="G11" s="24"/>
    </row>
    <row r="12" spans="1:7" x14ac:dyDescent="0.3">
      <c r="A12" s="30">
        <v>46154</v>
      </c>
      <c r="B12" s="31" t="s">
        <v>173</v>
      </c>
      <c r="C12" s="32" t="s">
        <v>180</v>
      </c>
      <c r="D12" s="32" t="s">
        <v>201</v>
      </c>
      <c r="E12" s="32" t="s">
        <v>181</v>
      </c>
      <c r="F12" s="31" t="s">
        <v>163</v>
      </c>
      <c r="G12" s="24"/>
    </row>
    <row r="13" spans="1:7" x14ac:dyDescent="0.3">
      <c r="A13" s="26">
        <v>46155</v>
      </c>
      <c r="B13" s="27" t="s">
        <v>182</v>
      </c>
      <c r="C13" s="29" t="s">
        <v>183</v>
      </c>
      <c r="D13" s="29" t="s">
        <v>193</v>
      </c>
      <c r="E13" s="29" t="s">
        <v>209</v>
      </c>
      <c r="F13" s="27" t="s">
        <v>163</v>
      </c>
      <c r="G13" s="24"/>
    </row>
    <row r="14" spans="1:7" x14ac:dyDescent="0.3">
      <c r="A14" s="26">
        <v>46155</v>
      </c>
      <c r="B14" s="27" t="s">
        <v>184</v>
      </c>
      <c r="C14" s="29" t="s">
        <v>185</v>
      </c>
      <c r="D14" s="29" t="s">
        <v>201</v>
      </c>
      <c r="E14" s="29" t="s">
        <v>186</v>
      </c>
      <c r="F14" s="27" t="s">
        <v>163</v>
      </c>
      <c r="G14" s="24"/>
    </row>
    <row r="15" spans="1:7" x14ac:dyDescent="0.3">
      <c r="A15" s="26">
        <v>46155</v>
      </c>
      <c r="B15" s="27" t="s">
        <v>187</v>
      </c>
      <c r="C15" s="29" t="s">
        <v>188</v>
      </c>
      <c r="D15" s="29" t="s">
        <v>193</v>
      </c>
      <c r="E15" s="29" t="s">
        <v>209</v>
      </c>
      <c r="F15" s="27" t="s">
        <v>163</v>
      </c>
      <c r="G15" s="24"/>
    </row>
    <row r="16" spans="1:7" x14ac:dyDescent="0.3">
      <c r="A16" s="30">
        <v>46156</v>
      </c>
      <c r="B16" s="31" t="s">
        <v>187</v>
      </c>
      <c r="C16" s="32" t="s">
        <v>189</v>
      </c>
      <c r="D16" s="32" t="s">
        <v>193</v>
      </c>
      <c r="E16" s="32" t="s">
        <v>199</v>
      </c>
      <c r="F16" s="31" t="s">
        <v>163</v>
      </c>
      <c r="G16" s="24"/>
    </row>
    <row r="17" spans="1:7" x14ac:dyDescent="0.3">
      <c r="A17" s="30">
        <v>46156</v>
      </c>
      <c r="B17" s="31" t="s">
        <v>187</v>
      </c>
      <c r="C17" s="32" t="s">
        <v>188</v>
      </c>
      <c r="D17" s="32" t="s">
        <v>193</v>
      </c>
      <c r="E17" s="32" t="s">
        <v>202</v>
      </c>
      <c r="F17" s="31" t="s">
        <v>163</v>
      </c>
      <c r="G17" s="24"/>
    </row>
    <row r="18" spans="1:7" x14ac:dyDescent="0.3">
      <c r="A18" s="26">
        <v>46157</v>
      </c>
      <c r="B18" s="27" t="s">
        <v>187</v>
      </c>
      <c r="C18" s="29" t="s">
        <v>189</v>
      </c>
      <c r="D18" s="29" t="s">
        <v>201</v>
      </c>
      <c r="E18" s="29" t="s">
        <v>199</v>
      </c>
      <c r="F18" s="27" t="s">
        <v>163</v>
      </c>
      <c r="G18" s="24"/>
    </row>
    <row r="19" spans="1:7" x14ac:dyDescent="0.3">
      <c r="A19" s="26">
        <v>46157</v>
      </c>
      <c r="B19" s="27" t="s">
        <v>187</v>
      </c>
      <c r="C19" s="29" t="s">
        <v>188</v>
      </c>
      <c r="D19" s="29" t="s">
        <v>193</v>
      </c>
      <c r="E19" s="29" t="s">
        <v>199</v>
      </c>
      <c r="F19" s="27" t="s">
        <v>163</v>
      </c>
      <c r="G19" s="24"/>
    </row>
    <row r="20" spans="1:7" x14ac:dyDescent="0.3">
      <c r="A20" s="30">
        <v>46158</v>
      </c>
      <c r="B20" s="31" t="s">
        <v>160</v>
      </c>
      <c r="C20" s="32" t="s">
        <v>190</v>
      </c>
      <c r="D20" s="32" t="s">
        <v>200</v>
      </c>
      <c r="E20" s="32" t="s">
        <v>198</v>
      </c>
      <c r="F20" s="31" t="s">
        <v>163</v>
      </c>
      <c r="G20" s="24"/>
    </row>
    <row r="21" spans="1:7" x14ac:dyDescent="0.3">
      <c r="A21" s="26">
        <v>46159</v>
      </c>
      <c r="B21" s="27" t="s">
        <v>191</v>
      </c>
      <c r="C21" s="29" t="s">
        <v>192</v>
      </c>
      <c r="D21" s="29" t="s">
        <v>200</v>
      </c>
      <c r="E21" s="29" t="s">
        <v>162</v>
      </c>
      <c r="F21" s="27" t="s">
        <v>163</v>
      </c>
      <c r="G21" s="2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4bf414-7d56-47ef-876f-a064b6139123" xsi:nil="true"/>
    <lcf76f155ced4ddcb4097134ff3c332f xmlns="29a79990-ee87-4241-abc6-9e01ab9b246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88C4C5C67B1C40A7414AD25E2D3AE6" ma:contentTypeVersion="13" ma:contentTypeDescription="Crie um novo documento." ma:contentTypeScope="" ma:versionID="1b5178e88f018b74586964b6babab4f8">
  <xsd:schema xmlns:xsd="http://www.w3.org/2001/XMLSchema" xmlns:xs="http://www.w3.org/2001/XMLSchema" xmlns:p="http://schemas.microsoft.com/office/2006/metadata/properties" xmlns:ns2="29a79990-ee87-4241-abc6-9e01ab9b2464" xmlns:ns3="8f4bf414-7d56-47ef-876f-a064b6139123" targetNamespace="http://schemas.microsoft.com/office/2006/metadata/properties" ma:root="true" ma:fieldsID="266d05339a4efad8584a7b69e9357b72" ns2:_="" ns3:_="">
    <xsd:import namespace="29a79990-ee87-4241-abc6-9e01ab9b2464"/>
    <xsd:import namespace="8f4bf414-7d56-47ef-876f-a064b6139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79990-ee87-4241-abc6-9e01ab9b2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d800daa-7c7e-4072-b01c-3023f6f7a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4bf414-7d56-47ef-876f-a064b613912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89cacdc-4c80-4a01-81af-803e241e380a}" ma:internalName="TaxCatchAll" ma:showField="CatchAllData" ma:web="8f4bf414-7d56-47ef-876f-a064b6139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6FA38D-4E5D-49B0-822B-EC5076FBD634}">
  <ds:schemaRefs>
    <ds:schemaRef ds:uri="http://schemas.microsoft.com/office/2006/metadata/properties"/>
    <ds:schemaRef ds:uri="http://schemas.microsoft.com/office/infopath/2007/PartnerControls"/>
    <ds:schemaRef ds:uri="8f4bf414-7d56-47ef-876f-a064b6139123"/>
    <ds:schemaRef ds:uri="29a79990-ee87-4241-abc6-9e01ab9b2464"/>
  </ds:schemaRefs>
</ds:datastoreItem>
</file>

<file path=customXml/itemProps2.xml><?xml version="1.0" encoding="utf-8"?>
<ds:datastoreItem xmlns:ds="http://schemas.openxmlformats.org/officeDocument/2006/customXml" ds:itemID="{A5F057AD-1DDB-4568-965A-E9E76F3B3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a79990-ee87-4241-abc6-9e01ab9b2464"/>
    <ds:schemaRef ds:uri="8f4bf414-7d56-47ef-876f-a064b6139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639633-42E3-43CA-919B-D723DF9EDD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OPÇÃO 1</vt:lpstr>
      <vt:lpstr>EXTRAS</vt:lpstr>
      <vt:lpstr>CUSTOS OP.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Brito</dc:creator>
  <cp:lastModifiedBy>Bruno Silva</cp:lastModifiedBy>
  <cp:lastPrinted>2026-06-22T17:21:32Z</cp:lastPrinted>
  <dcterms:created xsi:type="dcterms:W3CDTF">2026-03-27T19:14:55Z</dcterms:created>
  <dcterms:modified xsi:type="dcterms:W3CDTF">2026-06-26T21:31:41Z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0x010100F388C4C5C67B1C40A7414AD25E2D3AE6</vt:lpwstr>
  </property>
  <property fmtid="{D5CDD505-2E9C-101B-9397-08002B2CF9AE}" pid="3" name="MediaServiceImageTags">
    <vt:lpwstr/>
  </property>
</Properties>
</file>