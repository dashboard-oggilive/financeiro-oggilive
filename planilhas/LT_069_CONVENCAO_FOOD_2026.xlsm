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D:\OGGI LIVE\Fechamentos\2026\JOBS\OGGI\02 fevereiro\"/>
    </mc:Choice>
  </mc:AlternateContent>
  <xr:revisionPtr revIDLastSave="0" documentId="13_ncr:1_{15DB7CE6-5365-4DC3-B4EC-BD7E2A741784}" xr6:coauthVersionLast="47" xr6:coauthVersionMax="47" xr10:uidLastSave="{00000000-0000-0000-0000-000000000000}"/>
  <bookViews>
    <workbookView xWindow="-108" yWindow="-108" windowWidth="23256" windowHeight="12456" tabRatio="822" xr2:uid="{83D4A4F0-59AC-45D6-BDA2-9A1B100CD857}"/>
  </bookViews>
  <sheets>
    <sheet name="RESUMO" sheetId="97" r:id="rId1"/>
    <sheet name="Principal" sheetId="91" r:id="rId2"/>
    <sheet name="Itens Novos " sheetId="94" r:id="rId3"/>
    <sheet name="Hote_atualiz" sheetId="96" r:id="rId4"/>
    <sheet name="TOTAL" sheetId="93" r:id="rId5"/>
    <sheet name="Solicitações de Pagamento" sheetId="4" r:id="rId6"/>
    <sheet name="ItensOrc" sheetId="76" state="hidden" r:id="rId7"/>
    <sheet name="Template SP" sheetId="3" state="hidden" r:id="rId8"/>
  </sheets>
  <externalReferences>
    <externalReference r:id="rId9"/>
    <externalReference r:id="rId10"/>
  </externalReferences>
  <definedNames>
    <definedName name="_xlnm._FilterDatabase" localSheetId="3" hidden="1">Hote_atualiz!$A$1:$AL$14</definedName>
    <definedName name="_xlnm._FilterDatabase" localSheetId="2" hidden="1">'Itens Novos '!$A$1:$AL$14</definedName>
    <definedName name="_xlnm._FilterDatabase" localSheetId="1" hidden="1">Principal!$A$1:$AL$14</definedName>
    <definedName name="_xleta.AND" hidden="1" xlm="1">#NAME?</definedName>
    <definedName name="_xleta.SUM" hidden="1" xlm="1">#NAME?</definedName>
    <definedName name="_xleta.T" hidden="1" xlm="1">#NAME?</definedName>
    <definedName name="itensorc_desconto" localSheetId="6">ItensOrc!$M:$M</definedName>
    <definedName name="itensorc_desconto">#REF!</definedName>
    <definedName name="itensorc_descricao" localSheetId="6">ItensOrc!$D:$D</definedName>
    <definedName name="itensorc_descricao">#REF!</definedName>
    <definedName name="itensorc_encargos" localSheetId="6">ItensOrc!$N:$N</definedName>
    <definedName name="itensorc_encargos">#REF!</definedName>
    <definedName name="itensorc_especifica" localSheetId="6">ItensOrc!$O:$O</definedName>
    <definedName name="itensorc_especifica">#REF!</definedName>
    <definedName name="itensorc_item" localSheetId="6">ItensOrc!$C:$C</definedName>
    <definedName name="itensorc_item">#REF!</definedName>
    <definedName name="itensorc_lancamento" localSheetId="6">ItensOrc!$B:$B</definedName>
    <definedName name="itensorc_lancamento">#REF!</definedName>
    <definedName name="itensorc_percentualhonorarios" localSheetId="6">ItensOrc!$L:$L</definedName>
    <definedName name="itensorc_percentualhonorarios">#REF!</definedName>
    <definedName name="itensorc_quantidade" localSheetId="6">ItensOrc!$E:$E</definedName>
    <definedName name="itensorc_quantidade">#REF!</definedName>
    <definedName name="itensorc_situacao" localSheetId="6">ItensOrc!$H:$H</definedName>
    <definedName name="itensorc_situacao">#REF!</definedName>
    <definedName name="itensorc_subtipo" localSheetId="6">ItensOrc!$K:$K</definedName>
    <definedName name="itensorc_subtipo">#REF!</definedName>
    <definedName name="itensorc_tiporeceita" localSheetId="6">ItensOrc!$A:$A</definedName>
    <definedName name="itensorc_tiporeceita">#REF!</definedName>
    <definedName name="itensorc_valor" localSheetId="6">ItensOrc!$G:$G</definedName>
    <definedName name="itensorc_valor">#REF!</definedName>
    <definedName name="itensorc_valorfornecedor" localSheetId="6">ItensOrc!$I:$I</definedName>
    <definedName name="itensorc_valorfornecedor">#REF!</definedName>
    <definedName name="itensorc_valorfornecedorunitario" localSheetId="6">ItensOrc!$J:$J</definedName>
    <definedName name="itensorc_valorfornecedorunitario">#REF!</definedName>
    <definedName name="itensorc_valorunitario" localSheetId="6">ItensOrc!$F:$F</definedName>
    <definedName name="itensorc_valorunitario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3" i="97" l="1"/>
  <c r="F28" i="97"/>
  <c r="F29" i="97"/>
  <c r="F30" i="97"/>
  <c r="D30" i="97"/>
  <c r="E30" i="97"/>
  <c r="E28" i="97"/>
  <c r="E29" i="97"/>
  <c r="D29" i="97"/>
  <c r="D28" i="97"/>
  <c r="AL71" i="96"/>
  <c r="AK71" i="96" s="1"/>
  <c r="AL31" i="91"/>
  <c r="AL29" i="91"/>
  <c r="AL35" i="94"/>
  <c r="AK18" i="96"/>
  <c r="AK19" i="96"/>
  <c r="AK20" i="96"/>
  <c r="AK21" i="96"/>
  <c r="AK22" i="96"/>
  <c r="AK23" i="96"/>
  <c r="AK24" i="96"/>
  <c r="AK25" i="96"/>
  <c r="AK26" i="96"/>
  <c r="AK27" i="96"/>
  <c r="AK28" i="96"/>
  <c r="AK29" i="96"/>
  <c r="AK30" i="96"/>
  <c r="AK31" i="96"/>
  <c r="AK32" i="96"/>
  <c r="AK33" i="96"/>
  <c r="AK34" i="96"/>
  <c r="AK35" i="96"/>
  <c r="AK36" i="96"/>
  <c r="AK37" i="96"/>
  <c r="AK38" i="96"/>
  <c r="AK39" i="96"/>
  <c r="AK40" i="96"/>
  <c r="AK41" i="96"/>
  <c r="AK42" i="96"/>
  <c r="AK43" i="96"/>
  <c r="AK44" i="96"/>
  <c r="AK45" i="96"/>
  <c r="AK46" i="96"/>
  <c r="AK47" i="96"/>
  <c r="AK48" i="96"/>
  <c r="AK49" i="96"/>
  <c r="AK50" i="96"/>
  <c r="AK51" i="96"/>
  <c r="AK52" i="96"/>
  <c r="AK53" i="96"/>
  <c r="AK54" i="96"/>
  <c r="AK55" i="96"/>
  <c r="AK56" i="96"/>
  <c r="AK57" i="96"/>
  <c r="AK58" i="96"/>
  <c r="AK59" i="96"/>
  <c r="AK60" i="96"/>
  <c r="AK61" i="96"/>
  <c r="AK62" i="96"/>
  <c r="AK63" i="96"/>
  <c r="AK64" i="96"/>
  <c r="AK65" i="96"/>
  <c r="AK66" i="96"/>
  <c r="AK67" i="96"/>
  <c r="AK68" i="96"/>
  <c r="AK69" i="96"/>
  <c r="AK70" i="96"/>
  <c r="AK17" i="96"/>
  <c r="AL27" i="91"/>
  <c r="C20" i="97"/>
  <c r="C21" i="97"/>
  <c r="C22" i="97"/>
  <c r="D20" i="97"/>
  <c r="E20" i="97" s="1"/>
  <c r="F20" i="97" s="1"/>
  <c r="D21" i="97"/>
  <c r="D22" i="97"/>
  <c r="AL33" i="94"/>
  <c r="AL37" i="94"/>
  <c r="AL36" i="94"/>
  <c r="AK19" i="94"/>
  <c r="AK20" i="94"/>
  <c r="AK33" i="94" s="1"/>
  <c r="AK21" i="94"/>
  <c r="AK22" i="94"/>
  <c r="AK23" i="94"/>
  <c r="AK24" i="94"/>
  <c r="AK25" i="94"/>
  <c r="AK26" i="94"/>
  <c r="AK28" i="94"/>
  <c r="AK29" i="94"/>
  <c r="AK30" i="94"/>
  <c r="AK31" i="94"/>
  <c r="AK17" i="94"/>
  <c r="AK19" i="91"/>
  <c r="AK20" i="91"/>
  <c r="AK21" i="91"/>
  <c r="AK22" i="91"/>
  <c r="AK23" i="91"/>
  <c r="AK24" i="91"/>
  <c r="AK25" i="91"/>
  <c r="AK26" i="91"/>
  <c r="E3" i="97"/>
  <c r="C30" i="97"/>
  <c r="E22" i="97" l="1"/>
  <c r="F22" i="97" s="1"/>
  <c r="C23" i="97"/>
  <c r="D23" i="97"/>
  <c r="E21" i="97"/>
  <c r="F21" i="97" s="1"/>
  <c r="F23" i="97" l="1"/>
  <c r="S17" i="91" l="1"/>
  <c r="S68" i="96"/>
  <c r="R22" i="96"/>
  <c r="Q22" i="96"/>
  <c r="K22" i="96"/>
  <c r="L22" i="96" s="1"/>
  <c r="R21" i="96"/>
  <c r="Q21" i="96"/>
  <c r="K21" i="96"/>
  <c r="L21" i="96" s="1"/>
  <c r="J24" i="96" l="1"/>
  <c r="U22" i="96"/>
  <c r="Z22" i="96" s="1"/>
  <c r="V22" i="96"/>
  <c r="U21" i="96"/>
  <c r="V21" i="96"/>
  <c r="N18" i="91"/>
  <c r="M18" i="91"/>
  <c r="L18" i="91"/>
  <c r="K18" i="91"/>
  <c r="Q24" i="91"/>
  <c r="R22" i="91"/>
  <c r="Q22" i="91"/>
  <c r="V22" i="91" s="1"/>
  <c r="K22" i="91"/>
  <c r="R21" i="91"/>
  <c r="Q21" i="91"/>
  <c r="V21" i="91"/>
  <c r="T21" i="91"/>
  <c r="K21" i="91"/>
  <c r="K23" i="91" s="1"/>
  <c r="Q20" i="91"/>
  <c r="Q19" i="91"/>
  <c r="R62" i="96"/>
  <c r="Q62" i="96"/>
  <c r="V62" i="96" s="1"/>
  <c r="K62" i="96"/>
  <c r="R51" i="96"/>
  <c r="Q51" i="96"/>
  <c r="K51" i="96"/>
  <c r="R23" i="96"/>
  <c r="Q23" i="96"/>
  <c r="V23" i="96" s="1"/>
  <c r="K23" i="96"/>
  <c r="R20" i="96"/>
  <c r="Q20" i="96"/>
  <c r="K20" i="96"/>
  <c r="L20" i="96" s="1"/>
  <c r="R19" i="96"/>
  <c r="Q19" i="96"/>
  <c r="V19" i="96" s="1"/>
  <c r="K19" i="96"/>
  <c r="L19" i="96" s="1"/>
  <c r="R17" i="96"/>
  <c r="Q17" i="96"/>
  <c r="V17" i="96" s="1"/>
  <c r="K17" i="96"/>
  <c r="L17" i="96" s="1"/>
  <c r="R69" i="96"/>
  <c r="Q69" i="96"/>
  <c r="V69" i="96" s="1"/>
  <c r="K69" i="96"/>
  <c r="R68" i="96"/>
  <c r="Q68" i="96"/>
  <c r="V68" i="96" s="1"/>
  <c r="K68" i="96"/>
  <c r="L68" i="96" s="1"/>
  <c r="R67" i="96"/>
  <c r="Q67" i="96"/>
  <c r="K67" i="96"/>
  <c r="R66" i="96"/>
  <c r="Q66" i="96"/>
  <c r="K66" i="96"/>
  <c r="Q65" i="96"/>
  <c r="Q64" i="96"/>
  <c r="Q27" i="96"/>
  <c r="Q26" i="96"/>
  <c r="R50" i="96"/>
  <c r="Q50" i="96"/>
  <c r="V50" i="96" s="1"/>
  <c r="K50" i="96"/>
  <c r="R39" i="96"/>
  <c r="Q39" i="96"/>
  <c r="K39" i="96"/>
  <c r="R38" i="96"/>
  <c r="Q38" i="96"/>
  <c r="K38" i="96"/>
  <c r="R61" i="96"/>
  <c r="Q61" i="96"/>
  <c r="K61" i="96"/>
  <c r="R60" i="96"/>
  <c r="Q60" i="96"/>
  <c r="K60" i="96"/>
  <c r="R59" i="96"/>
  <c r="Q59" i="96"/>
  <c r="K59" i="96"/>
  <c r="L59" i="96" s="1"/>
  <c r="R58" i="96"/>
  <c r="Q58" i="96"/>
  <c r="K58" i="96"/>
  <c r="R57" i="96"/>
  <c r="Q57" i="96"/>
  <c r="K57" i="96"/>
  <c r="R56" i="96"/>
  <c r="Q56" i="96"/>
  <c r="K56" i="96"/>
  <c r="R55" i="96"/>
  <c r="Q55" i="96"/>
  <c r="K55" i="96"/>
  <c r="R54" i="96"/>
  <c r="Q54" i="96"/>
  <c r="K54" i="96"/>
  <c r="Q53" i="96"/>
  <c r="R49" i="96"/>
  <c r="Q49" i="96"/>
  <c r="K49" i="96"/>
  <c r="L49" i="96" s="1"/>
  <c r="R48" i="96"/>
  <c r="Q48" i="96"/>
  <c r="K48" i="96"/>
  <c r="R47" i="96"/>
  <c r="Q47" i="96"/>
  <c r="K47" i="96"/>
  <c r="L47" i="96" s="1"/>
  <c r="R46" i="96"/>
  <c r="Q46" i="96"/>
  <c r="V46" i="96" s="1"/>
  <c r="K46" i="96"/>
  <c r="L46" i="96" s="1"/>
  <c r="R45" i="96"/>
  <c r="Q45" i="96"/>
  <c r="K45" i="96"/>
  <c r="L45" i="96" s="1"/>
  <c r="R44" i="96"/>
  <c r="Q44" i="96"/>
  <c r="K44" i="96"/>
  <c r="R43" i="96"/>
  <c r="Q43" i="96"/>
  <c r="K43" i="96"/>
  <c r="L43" i="96" s="1"/>
  <c r="R42" i="96"/>
  <c r="Q42" i="96"/>
  <c r="K42" i="96"/>
  <c r="L42" i="96" s="1"/>
  <c r="Q41" i="96"/>
  <c r="R37" i="96"/>
  <c r="Q37" i="96"/>
  <c r="K37" i="96"/>
  <c r="R36" i="96"/>
  <c r="Q36" i="96"/>
  <c r="V36" i="96" s="1"/>
  <c r="K36" i="96"/>
  <c r="L36" i="96" s="1"/>
  <c r="R35" i="96"/>
  <c r="Q35" i="96"/>
  <c r="V35" i="96" s="1"/>
  <c r="K35" i="96"/>
  <c r="L35" i="96" s="1"/>
  <c r="R34" i="96"/>
  <c r="Q34" i="96"/>
  <c r="K34" i="96"/>
  <c r="L34" i="96" s="1"/>
  <c r="R33" i="96"/>
  <c r="Q33" i="96"/>
  <c r="V33" i="96" s="1"/>
  <c r="K33" i="96"/>
  <c r="R32" i="96"/>
  <c r="K32" i="96"/>
  <c r="L32" i="96" s="1"/>
  <c r="Q31" i="96"/>
  <c r="Q30" i="96"/>
  <c r="S28" i="96"/>
  <c r="R28" i="96"/>
  <c r="Q28" i="96"/>
  <c r="V28" i="96" s="1"/>
  <c r="K28" i="96"/>
  <c r="K29" i="96" s="1"/>
  <c r="R24" i="96"/>
  <c r="Q24" i="96"/>
  <c r="R18" i="96"/>
  <c r="Q18" i="96"/>
  <c r="V18" i="96" s="1"/>
  <c r="K18" i="96"/>
  <c r="L18" i="96" s="1"/>
  <c r="Q16" i="96"/>
  <c r="Q15" i="96"/>
  <c r="M14" i="96"/>
  <c r="Z12" i="96" s="1"/>
  <c r="W22" i="96" l="1"/>
  <c r="X22" i="96" s="1"/>
  <c r="M22" i="96"/>
  <c r="N22" i="96" s="1"/>
  <c r="Z21" i="96"/>
  <c r="W21" i="96"/>
  <c r="X21" i="96" s="1"/>
  <c r="M21" i="96"/>
  <c r="K24" i="96"/>
  <c r="K70" i="96"/>
  <c r="K63" i="96"/>
  <c r="U62" i="96"/>
  <c r="Z62" i="96" s="1"/>
  <c r="K40" i="96"/>
  <c r="K52" i="96"/>
  <c r="T22" i="91"/>
  <c r="T23" i="91" s="1"/>
  <c r="L22" i="91"/>
  <c r="L21" i="91"/>
  <c r="L23" i="91" s="1"/>
  <c r="U21" i="91"/>
  <c r="L62" i="96"/>
  <c r="L51" i="96"/>
  <c r="U17" i="96"/>
  <c r="V51" i="96"/>
  <c r="M20" i="96"/>
  <c r="N20" i="96" s="1"/>
  <c r="L23" i="96"/>
  <c r="V20" i="96"/>
  <c r="U20" i="96"/>
  <c r="V66" i="96"/>
  <c r="U19" i="96"/>
  <c r="W19" i="96" s="1"/>
  <c r="X19" i="96" s="1"/>
  <c r="M19" i="96"/>
  <c r="N19" i="96" s="1"/>
  <c r="M17" i="96"/>
  <c r="L69" i="96"/>
  <c r="M69" i="96" s="1"/>
  <c r="N69" i="96" s="1"/>
  <c r="M68" i="96"/>
  <c r="N68" i="96" s="1"/>
  <c r="L67" i="96"/>
  <c r="L66" i="96"/>
  <c r="V67" i="96"/>
  <c r="U67" i="96"/>
  <c r="U50" i="96"/>
  <c r="L50" i="96"/>
  <c r="M50" i="96" s="1"/>
  <c r="U35" i="96"/>
  <c r="W35" i="96" s="1"/>
  <c r="X35" i="96" s="1"/>
  <c r="U45" i="96"/>
  <c r="Z45" i="96" s="1"/>
  <c r="V54" i="96"/>
  <c r="M47" i="96"/>
  <c r="N47" i="96" s="1"/>
  <c r="V59" i="96"/>
  <c r="U33" i="96"/>
  <c r="Z33" i="96" s="1"/>
  <c r="L39" i="96"/>
  <c r="M39" i="96" s="1"/>
  <c r="N39" i="96" s="1"/>
  <c r="L38" i="96"/>
  <c r="M38" i="96" s="1"/>
  <c r="N38" i="96" s="1"/>
  <c r="U39" i="96"/>
  <c r="Z39" i="96" s="1"/>
  <c r="V39" i="96"/>
  <c r="U38" i="96"/>
  <c r="V38" i="96"/>
  <c r="M45" i="96"/>
  <c r="N45" i="96" s="1"/>
  <c r="M36" i="96"/>
  <c r="N36" i="96" s="1"/>
  <c r="M49" i="96"/>
  <c r="N49" i="96" s="1"/>
  <c r="V55" i="96"/>
  <c r="V57" i="96"/>
  <c r="U59" i="96"/>
  <c r="Z59" i="96" s="1"/>
  <c r="V60" i="96"/>
  <c r="V45" i="96"/>
  <c r="L61" i="96"/>
  <c r="U60" i="96"/>
  <c r="Z60" i="96" s="1"/>
  <c r="L60" i="96"/>
  <c r="L56" i="96"/>
  <c r="M56" i="96" s="1"/>
  <c r="N56" i="96" s="1"/>
  <c r="M59" i="96"/>
  <c r="N59" i="96" s="1"/>
  <c r="L55" i="96"/>
  <c r="M55" i="96" s="1"/>
  <c r="N55" i="96" s="1"/>
  <c r="L54" i="96"/>
  <c r="L57" i="96"/>
  <c r="M57" i="96" s="1"/>
  <c r="N57" i="96" s="1"/>
  <c r="L58" i="96"/>
  <c r="M58" i="96" s="1"/>
  <c r="N58" i="96" s="1"/>
  <c r="V61" i="96"/>
  <c r="U58" i="96"/>
  <c r="V58" i="96"/>
  <c r="V56" i="96"/>
  <c r="V49" i="96"/>
  <c r="U49" i="96"/>
  <c r="Z49" i="96" s="1"/>
  <c r="M43" i="96"/>
  <c r="N43" i="96" s="1"/>
  <c r="L48" i="96"/>
  <c r="L44" i="96"/>
  <c r="M46" i="96"/>
  <c r="N46" i="96" s="1"/>
  <c r="M42" i="96"/>
  <c r="U48" i="96"/>
  <c r="Z48" i="96" s="1"/>
  <c r="V48" i="96"/>
  <c r="U47" i="96"/>
  <c r="Z47" i="96" s="1"/>
  <c r="V47" i="96"/>
  <c r="U44" i="96"/>
  <c r="Z44" i="96" s="1"/>
  <c r="V44" i="96"/>
  <c r="U43" i="96"/>
  <c r="Z43" i="96" s="1"/>
  <c r="V43" i="96"/>
  <c r="V42" i="96"/>
  <c r="U36" i="96"/>
  <c r="W36" i="96" s="1"/>
  <c r="X36" i="96" s="1"/>
  <c r="U34" i="96"/>
  <c r="Z34" i="96" s="1"/>
  <c r="V34" i="96"/>
  <c r="V32" i="96"/>
  <c r="L33" i="96"/>
  <c r="M34" i="96"/>
  <c r="N34" i="96" s="1"/>
  <c r="M35" i="96"/>
  <c r="N35" i="96" s="1"/>
  <c r="M32" i="96"/>
  <c r="L37" i="96"/>
  <c r="M37" i="96" s="1"/>
  <c r="N37" i="96" s="1"/>
  <c r="V37" i="96"/>
  <c r="U37" i="96"/>
  <c r="V24" i="96"/>
  <c r="L28" i="96"/>
  <c r="L29" i="96" s="1"/>
  <c r="M18" i="96"/>
  <c r="N18" i="96" s="1"/>
  <c r="T29" i="96"/>
  <c r="AA21" i="91" l="1"/>
  <c r="U23" i="91"/>
  <c r="U68" i="96"/>
  <c r="Z68" i="96" s="1"/>
  <c r="L70" i="96"/>
  <c r="Y22" i="96"/>
  <c r="L24" i="96"/>
  <c r="L71" i="96" s="1"/>
  <c r="K25" i="96"/>
  <c r="N21" i="96"/>
  <c r="Y21" i="96"/>
  <c r="K71" i="96"/>
  <c r="S24" i="96"/>
  <c r="L63" i="96"/>
  <c r="L40" i="96"/>
  <c r="T63" i="96"/>
  <c r="AA60" i="96" s="1"/>
  <c r="T40" i="96"/>
  <c r="M23" i="96"/>
  <c r="N23" i="96" s="1"/>
  <c r="U23" i="96"/>
  <c r="W23" i="96" s="1"/>
  <c r="X23" i="96" s="1"/>
  <c r="W62" i="96"/>
  <c r="X62" i="96" s="1"/>
  <c r="U51" i="96"/>
  <c r="W51" i="96" s="1"/>
  <c r="X51" i="96" s="1"/>
  <c r="T52" i="96"/>
  <c r="AA45" i="96" s="1"/>
  <c r="L52" i="96"/>
  <c r="M62" i="96"/>
  <c r="M51" i="96"/>
  <c r="U66" i="96"/>
  <c r="N17" i="96"/>
  <c r="Z17" i="96"/>
  <c r="U22" i="91"/>
  <c r="Z21" i="91"/>
  <c r="AA22" i="91"/>
  <c r="W21" i="91"/>
  <c r="X21" i="91" s="1"/>
  <c r="Z20" i="96"/>
  <c r="W20" i="96"/>
  <c r="X20" i="96" s="1"/>
  <c r="Y19" i="96"/>
  <c r="Z19" i="96"/>
  <c r="M24" i="96"/>
  <c r="W17" i="96"/>
  <c r="X17" i="96" s="1"/>
  <c r="M28" i="96"/>
  <c r="M29" i="96" s="1"/>
  <c r="W67" i="96"/>
  <c r="X67" i="96" s="1"/>
  <c r="Z67" i="96"/>
  <c r="M67" i="96"/>
  <c r="N67" i="96" s="1"/>
  <c r="Z58" i="96"/>
  <c r="W58" i="96"/>
  <c r="X58" i="96" s="1"/>
  <c r="M66" i="96"/>
  <c r="U42" i="96"/>
  <c r="N32" i="96"/>
  <c r="U32" i="96"/>
  <c r="U40" i="96" s="1"/>
  <c r="U55" i="96"/>
  <c r="Z55" i="96" s="1"/>
  <c r="U57" i="96"/>
  <c r="Z57" i="96" s="1"/>
  <c r="U61" i="96"/>
  <c r="W61" i="96" s="1"/>
  <c r="X61" i="96" s="1"/>
  <c r="W60" i="96"/>
  <c r="X60" i="96" s="1"/>
  <c r="U56" i="96"/>
  <c r="W56" i="96" s="1"/>
  <c r="X56" i="96" s="1"/>
  <c r="U54" i="96"/>
  <c r="U63" i="96" s="1"/>
  <c r="W59" i="96"/>
  <c r="X59" i="96" s="1"/>
  <c r="M61" i="96"/>
  <c r="N61" i="96" s="1"/>
  <c r="W50" i="96"/>
  <c r="X50" i="96" s="1"/>
  <c r="Z50" i="96"/>
  <c r="W47" i="96"/>
  <c r="X47" i="96" s="1"/>
  <c r="N50" i="96"/>
  <c r="Y36" i="96"/>
  <c r="W39" i="96"/>
  <c r="X39" i="96" s="1"/>
  <c r="Z38" i="96"/>
  <c r="W38" i="96"/>
  <c r="X38" i="96" s="1"/>
  <c r="Z35" i="96"/>
  <c r="U28" i="96"/>
  <c r="U29" i="96" s="1"/>
  <c r="W33" i="96"/>
  <c r="X33" i="96" s="1"/>
  <c r="M54" i="96"/>
  <c r="M60" i="96"/>
  <c r="N60" i="96" s="1"/>
  <c r="W43" i="96"/>
  <c r="X43" i="96" s="1"/>
  <c r="W48" i="96"/>
  <c r="X48" i="96" s="1"/>
  <c r="W49" i="96"/>
  <c r="X49" i="96" s="1"/>
  <c r="W44" i="96"/>
  <c r="X44" i="96" s="1"/>
  <c r="U46" i="96"/>
  <c r="W45" i="96"/>
  <c r="X45" i="96" s="1"/>
  <c r="M44" i="96"/>
  <c r="N42" i="96"/>
  <c r="M48" i="96"/>
  <c r="Z37" i="96"/>
  <c r="W37" i="96"/>
  <c r="X37" i="96" s="1"/>
  <c r="Z36" i="96"/>
  <c r="Y35" i="96"/>
  <c r="W34" i="96"/>
  <c r="X34" i="96" s="1"/>
  <c r="M33" i="96"/>
  <c r="M40" i="96" s="1"/>
  <c r="U18" i="96"/>
  <c r="W68" i="96" l="1"/>
  <c r="X68" i="96" s="1"/>
  <c r="Y58" i="96"/>
  <c r="Y59" i="96"/>
  <c r="Y56" i="96"/>
  <c r="Y45" i="96"/>
  <c r="Y47" i="96"/>
  <c r="Y50" i="96"/>
  <c r="Y49" i="96"/>
  <c r="Y43" i="96"/>
  <c r="Y39" i="96"/>
  <c r="Y38" i="96"/>
  <c r="AA39" i="96"/>
  <c r="AA38" i="96"/>
  <c r="Y37" i="96"/>
  <c r="Y34" i="96"/>
  <c r="Y20" i="96"/>
  <c r="L25" i="96"/>
  <c r="Z66" i="96"/>
  <c r="T25" i="96"/>
  <c r="U24" i="96"/>
  <c r="Y62" i="96"/>
  <c r="M25" i="96"/>
  <c r="W66" i="96"/>
  <c r="X66" i="96" s="1"/>
  <c r="Y23" i="96"/>
  <c r="Z23" i="96"/>
  <c r="M70" i="96"/>
  <c r="N62" i="96"/>
  <c r="N63" i="96" s="1"/>
  <c r="M63" i="96"/>
  <c r="Y51" i="96"/>
  <c r="Z51" i="96"/>
  <c r="U52" i="96"/>
  <c r="N51" i="96"/>
  <c r="M71" i="96"/>
  <c r="M52" i="96"/>
  <c r="Y17" i="96"/>
  <c r="AA57" i="96"/>
  <c r="Z22" i="91"/>
  <c r="W22" i="91"/>
  <c r="X22" i="91" s="1"/>
  <c r="X23" i="91" s="1"/>
  <c r="AA55" i="96"/>
  <c r="AA54" i="96"/>
  <c r="N24" i="96"/>
  <c r="W42" i="96"/>
  <c r="X42" i="96" s="1"/>
  <c r="Z42" i="96"/>
  <c r="W32" i="96"/>
  <c r="X32" i="96" s="1"/>
  <c r="Z28" i="96"/>
  <c r="N28" i="96"/>
  <c r="N29" i="96" s="1"/>
  <c r="Y67" i="96"/>
  <c r="W54" i="96"/>
  <c r="X54" i="96" s="1"/>
  <c r="N66" i="96"/>
  <c r="N70" i="96" s="1"/>
  <c r="Z32" i="96"/>
  <c r="Z61" i="96"/>
  <c r="W57" i="96"/>
  <c r="X57" i="96" s="1"/>
  <c r="AA56" i="96"/>
  <c r="N54" i="96"/>
  <c r="W55" i="96"/>
  <c r="X55" i="96" s="1"/>
  <c r="AA59" i="96"/>
  <c r="AA61" i="96"/>
  <c r="Z56" i="96"/>
  <c r="AA58" i="96"/>
  <c r="Z54" i="96"/>
  <c r="Y61" i="96"/>
  <c r="Y60" i="96"/>
  <c r="AA44" i="96"/>
  <c r="W28" i="96"/>
  <c r="X28" i="96" s="1"/>
  <c r="Y33" i="96"/>
  <c r="AA43" i="96"/>
  <c r="AA42" i="96"/>
  <c r="Z46" i="96"/>
  <c r="W46" i="96"/>
  <c r="X46" i="96" s="1"/>
  <c r="AA49" i="96"/>
  <c r="AA47" i="96"/>
  <c r="N48" i="96"/>
  <c r="Y48" i="96"/>
  <c r="AA46" i="96"/>
  <c r="AA48" i="96"/>
  <c r="Y44" i="96"/>
  <c r="N44" i="96"/>
  <c r="AA37" i="96"/>
  <c r="AA36" i="96"/>
  <c r="AA35" i="96"/>
  <c r="AA33" i="96"/>
  <c r="AA34" i="96"/>
  <c r="AA32" i="96"/>
  <c r="N33" i="96"/>
  <c r="N40" i="96" s="1"/>
  <c r="Z18" i="96"/>
  <c r="W18" i="96"/>
  <c r="X18" i="96" s="1"/>
  <c r="Y68" i="96" l="1"/>
  <c r="Y55" i="96"/>
  <c r="Y57" i="96"/>
  <c r="X40" i="96"/>
  <c r="Y40" i="96" s="1"/>
  <c r="X29" i="96"/>
  <c r="AA17" i="96"/>
  <c r="S69" i="96"/>
  <c r="AA62" i="96"/>
  <c r="AA51" i="96"/>
  <c r="AA50" i="96"/>
  <c r="AA24" i="96"/>
  <c r="AA23" i="96"/>
  <c r="AA22" i="96"/>
  <c r="AA21" i="96"/>
  <c r="AA20" i="96"/>
  <c r="AA19" i="96"/>
  <c r="Y66" i="96"/>
  <c r="W24" i="96"/>
  <c r="X24" i="96" s="1"/>
  <c r="Z24" i="96"/>
  <c r="U25" i="96"/>
  <c r="AA18" i="96"/>
  <c r="N25" i="96"/>
  <c r="X63" i="96"/>
  <c r="Y63" i="96" s="1"/>
  <c r="X52" i="96"/>
  <c r="Y52" i="96" s="1"/>
  <c r="N52" i="96"/>
  <c r="N71" i="96"/>
  <c r="C8" i="93" s="1"/>
  <c r="C9" i="93" s="1"/>
  <c r="Y28" i="96"/>
  <c r="Y54" i="96"/>
  <c r="Y32" i="96"/>
  <c r="Y42" i="96"/>
  <c r="Y46" i="96"/>
  <c r="Y18" i="96"/>
  <c r="Y24" i="96" l="1"/>
  <c r="U69" i="96"/>
  <c r="T70" i="96"/>
  <c r="T71" i="96"/>
  <c r="AA69" i="96"/>
  <c r="X25" i="96"/>
  <c r="Y25" i="96" s="1"/>
  <c r="N18" i="94"/>
  <c r="M18" i="94"/>
  <c r="L18" i="94"/>
  <c r="K18" i="94"/>
  <c r="T31" i="94"/>
  <c r="Q31" i="94"/>
  <c r="V31" i="94" s="1"/>
  <c r="K31" i="94"/>
  <c r="R30" i="94"/>
  <c r="Q30" i="94"/>
  <c r="K30" i="94"/>
  <c r="Q29" i="94"/>
  <c r="K29" i="94"/>
  <c r="Q28" i="94"/>
  <c r="Q26" i="94"/>
  <c r="K26" i="94"/>
  <c r="Q25" i="94"/>
  <c r="K25" i="94"/>
  <c r="Q24" i="94"/>
  <c r="K24" i="94"/>
  <c r="Q23" i="94"/>
  <c r="K23" i="94"/>
  <c r="Q21" i="94"/>
  <c r="K21" i="94"/>
  <c r="Q22" i="94"/>
  <c r="K22" i="94"/>
  <c r="V20" i="94"/>
  <c r="T20" i="94"/>
  <c r="K20" i="94"/>
  <c r="Q19" i="94"/>
  <c r="R17" i="94"/>
  <c r="K17" i="94"/>
  <c r="Q16" i="94"/>
  <c r="Q15" i="94"/>
  <c r="M14" i="94"/>
  <c r="Z12" i="94" s="1"/>
  <c r="K26" i="91"/>
  <c r="R27" i="91"/>
  <c r="Q27" i="91"/>
  <c r="K27" i="91"/>
  <c r="L27" i="91" s="1"/>
  <c r="M14" i="91"/>
  <c r="Q25" i="91"/>
  <c r="Q17" i="91"/>
  <c r="K17" i="91"/>
  <c r="Q16" i="91"/>
  <c r="Q15" i="91"/>
  <c r="AA66" i="96" l="1"/>
  <c r="AA68" i="96"/>
  <c r="AA67" i="96"/>
  <c r="W69" i="96"/>
  <c r="X69" i="96" s="1"/>
  <c r="Z69" i="96"/>
  <c r="U70" i="96"/>
  <c r="U71" i="96"/>
  <c r="K27" i="94"/>
  <c r="K29" i="91"/>
  <c r="K28" i="91"/>
  <c r="Z12" i="91"/>
  <c r="M22" i="91"/>
  <c r="M21" i="91"/>
  <c r="M23" i="91" s="1"/>
  <c r="K33" i="94"/>
  <c r="K32" i="94"/>
  <c r="V25" i="94"/>
  <c r="T25" i="94"/>
  <c r="U25" i="94" s="1"/>
  <c r="U31" i="94"/>
  <c r="Z31" i="94" s="1"/>
  <c r="W31" i="94"/>
  <c r="X31" i="94" s="1"/>
  <c r="L31" i="94"/>
  <c r="M31" i="94" s="1"/>
  <c r="V30" i="94"/>
  <c r="T30" i="94"/>
  <c r="L30" i="94"/>
  <c r="M30" i="94"/>
  <c r="L29" i="94"/>
  <c r="V29" i="94"/>
  <c r="T29" i="94"/>
  <c r="V26" i="94"/>
  <c r="T26" i="94"/>
  <c r="U26" i="94" s="1"/>
  <c r="Z26" i="94" s="1"/>
  <c r="L26" i="94"/>
  <c r="M26" i="94" s="1"/>
  <c r="L25" i="94"/>
  <c r="V24" i="94"/>
  <c r="T24" i="94"/>
  <c r="L24" i="94"/>
  <c r="M24" i="94" s="1"/>
  <c r="V23" i="94"/>
  <c r="T23" i="94"/>
  <c r="U23" i="94" s="1"/>
  <c r="Z23" i="94" s="1"/>
  <c r="L23" i="94"/>
  <c r="T21" i="94"/>
  <c r="V21" i="94"/>
  <c r="L21" i="94"/>
  <c r="T22" i="94"/>
  <c r="U22" i="94" s="1"/>
  <c r="V22" i="94"/>
  <c r="L22" i="94"/>
  <c r="U20" i="94"/>
  <c r="L20" i="94"/>
  <c r="V17" i="94"/>
  <c r="T17" i="94"/>
  <c r="T18" i="94" s="1"/>
  <c r="L17" i="94"/>
  <c r="V17" i="91"/>
  <c r="T18" i="91"/>
  <c r="M27" i="91"/>
  <c r="N27" i="91" s="1"/>
  <c r="V26" i="91"/>
  <c r="V27" i="91"/>
  <c r="T26" i="91"/>
  <c r="L26" i="91"/>
  <c r="L17" i="91"/>
  <c r="Y69" i="96" l="1"/>
  <c r="Y71" i="96" s="1"/>
  <c r="X70" i="96"/>
  <c r="Y70" i="96" s="1"/>
  <c r="X71" i="96"/>
  <c r="AL73" i="96" s="1"/>
  <c r="AL74" i="96" s="1"/>
  <c r="AL75" i="96" s="1"/>
  <c r="T28" i="91"/>
  <c r="T29" i="91"/>
  <c r="M25" i="94"/>
  <c r="L27" i="94"/>
  <c r="L28" i="91"/>
  <c r="L29" i="91"/>
  <c r="N21" i="91"/>
  <c r="N23" i="91" s="1"/>
  <c r="Y23" i="91"/>
  <c r="Y21" i="91"/>
  <c r="Y22" i="91"/>
  <c r="N22" i="91"/>
  <c r="AA17" i="91"/>
  <c r="U24" i="94"/>
  <c r="U27" i="94" s="1"/>
  <c r="T27" i="94"/>
  <c r="U27" i="91"/>
  <c r="W27" i="91" s="1"/>
  <c r="X27" i="91" s="1"/>
  <c r="AK27" i="91" s="1"/>
  <c r="L33" i="94"/>
  <c r="L32" i="94"/>
  <c r="U29" i="94"/>
  <c r="T33" i="94"/>
  <c r="AA33" i="94" s="1"/>
  <c r="T32" i="94"/>
  <c r="AA29" i="94" s="1"/>
  <c r="M29" i="94"/>
  <c r="U30" i="94"/>
  <c r="Y31" i="94"/>
  <c r="N31" i="94"/>
  <c r="W30" i="94"/>
  <c r="X30" i="94" s="1"/>
  <c r="Z30" i="94"/>
  <c r="N30" i="94"/>
  <c r="W25" i="94"/>
  <c r="X25" i="94" s="1"/>
  <c r="Y25" i="94" s="1"/>
  <c r="Z25" i="94"/>
  <c r="M21" i="94"/>
  <c r="N21" i="94" s="1"/>
  <c r="W26" i="94"/>
  <c r="X26" i="94" s="1"/>
  <c r="Y26" i="94" s="1"/>
  <c r="N26" i="94"/>
  <c r="W24" i="94"/>
  <c r="X24" i="94" s="1"/>
  <c r="Z24" i="94"/>
  <c r="N24" i="94"/>
  <c r="M20" i="94"/>
  <c r="N20" i="94" s="1"/>
  <c r="U17" i="94"/>
  <c r="U18" i="94" s="1"/>
  <c r="W23" i="94"/>
  <c r="X23" i="94" s="1"/>
  <c r="M23" i="94"/>
  <c r="N23" i="94" s="1"/>
  <c r="U21" i="94"/>
  <c r="W20" i="94"/>
  <c r="X20" i="94" s="1"/>
  <c r="Z20" i="94"/>
  <c r="W22" i="94"/>
  <c r="X22" i="94" s="1"/>
  <c r="Z22" i="94"/>
  <c r="M22" i="94"/>
  <c r="M17" i="94"/>
  <c r="U17" i="91"/>
  <c r="U18" i="91" s="1"/>
  <c r="U26" i="91"/>
  <c r="M26" i="91"/>
  <c r="M17" i="91"/>
  <c r="D8" i="93" l="1"/>
  <c r="D9" i="93" s="1"/>
  <c r="E9" i="93" s="1"/>
  <c r="F9" i="93" s="1"/>
  <c r="Z71" i="96"/>
  <c r="AA71" i="96" s="1"/>
  <c r="N25" i="94"/>
  <c r="N27" i="94" s="1"/>
  <c r="M27" i="94"/>
  <c r="M29" i="91"/>
  <c r="M28" i="91"/>
  <c r="U28" i="91"/>
  <c r="U29" i="91"/>
  <c r="Y24" i="94"/>
  <c r="X27" i="94"/>
  <c r="Z27" i="91"/>
  <c r="Y27" i="91"/>
  <c r="W29" i="94"/>
  <c r="X29" i="94" s="1"/>
  <c r="Z29" i="94"/>
  <c r="U32" i="94"/>
  <c r="U33" i="94"/>
  <c r="N29" i="94"/>
  <c r="M33" i="94"/>
  <c r="M32" i="94"/>
  <c r="AA30" i="94"/>
  <c r="AA31" i="94"/>
  <c r="Y30" i="94"/>
  <c r="AA22" i="94"/>
  <c r="AA20" i="94"/>
  <c r="W17" i="94"/>
  <c r="X17" i="94" s="1"/>
  <c r="X18" i="94" s="1"/>
  <c r="Z17" i="94"/>
  <c r="N17" i="94"/>
  <c r="Y23" i="94"/>
  <c r="W21" i="94"/>
  <c r="X21" i="94" s="1"/>
  <c r="Z21" i="94"/>
  <c r="Y20" i="94"/>
  <c r="Y22" i="94"/>
  <c r="N22" i="94"/>
  <c r="W17" i="91"/>
  <c r="X17" i="91" s="1"/>
  <c r="AK17" i="91" s="1"/>
  <c r="AK29" i="91" s="1"/>
  <c r="Z17" i="91"/>
  <c r="AA26" i="91"/>
  <c r="AA27" i="91"/>
  <c r="W26" i="91"/>
  <c r="X26" i="91" s="1"/>
  <c r="Z26" i="91"/>
  <c r="N26" i="91"/>
  <c r="N17" i="91"/>
  <c r="X18" i="91" l="1"/>
  <c r="Y18" i="91" s="1"/>
  <c r="N28" i="91"/>
  <c r="N29" i="91"/>
  <c r="X28" i="91"/>
  <c r="Y28" i="91" s="1"/>
  <c r="X29" i="91"/>
  <c r="AL32" i="91" s="1"/>
  <c r="AL33" i="91" s="1"/>
  <c r="X33" i="94"/>
  <c r="X32" i="94"/>
  <c r="Y32" i="94" s="1"/>
  <c r="Y29" i="94"/>
  <c r="N32" i="94"/>
  <c r="N33" i="94"/>
  <c r="C5" i="93" s="1"/>
  <c r="Y17" i="94"/>
  <c r="Y27" i="94"/>
  <c r="Y18" i="94"/>
  <c r="Y21" i="94"/>
  <c r="Y17" i="91"/>
  <c r="C4" i="93"/>
  <c r="Y26" i="91"/>
  <c r="Y29" i="91" l="1"/>
  <c r="D4" i="93" s="1"/>
  <c r="E4" i="93" s="1"/>
  <c r="F4" i="93" s="1"/>
  <c r="Y33" i="94"/>
  <c r="Z33" i="94" s="1"/>
  <c r="C6" i="93"/>
  <c r="C11" i="93" l="1"/>
  <c r="D5" i="93"/>
  <c r="Z29" i="91"/>
  <c r="AA29" i="91" s="1"/>
  <c r="D6" i="93" l="1"/>
  <c r="E5" i="93"/>
  <c r="F5" i="93" s="1"/>
  <c r="Y29" i="96"/>
  <c r="AA28" i="96"/>
  <c r="D11" i="93" l="1"/>
  <c r="E12" i="93" s="1"/>
  <c r="F12" i="93" s="1"/>
  <c r="E6" i="93"/>
  <c r="F6" i="93" s="1"/>
</calcChain>
</file>

<file path=xl/sharedStrings.xml><?xml version="1.0" encoding="utf-8"?>
<sst xmlns="http://schemas.openxmlformats.org/spreadsheetml/2006/main" count="841" uniqueCount="335">
  <si>
    <t>Oggi Comunicação e Eventos</t>
  </si>
  <si>
    <t>CUSTOS (valor de custo c/ NF ou recibo)</t>
  </si>
  <si>
    <t>DIFERENÇA NF (Lucro)</t>
  </si>
  <si>
    <t>SOLICITAÇÃO DE PAGAMENTO</t>
  </si>
  <si>
    <t>ÍNDICE</t>
  </si>
  <si>
    <t>ÍNDICE PUBLI</t>
  </si>
  <si>
    <t>CATEGORIA</t>
  </si>
  <si>
    <t>TIPO DE CUSTOS</t>
  </si>
  <si>
    <t>TIPO DE FATURAMENTO</t>
  </si>
  <si>
    <t>VALOR</t>
  </si>
  <si>
    <t>CNPJ</t>
  </si>
  <si>
    <t/>
  </si>
  <si>
    <t>PREENCHER OS CAMPOS CORRETAMENTE</t>
  </si>
  <si>
    <t>DADOS DO JOB</t>
  </si>
  <si>
    <t>Data:</t>
  </si>
  <si>
    <t>Contratante:</t>
  </si>
  <si>
    <t>Oggi Eventos</t>
  </si>
  <si>
    <t>Cliente:</t>
  </si>
  <si>
    <t>Job:</t>
  </si>
  <si>
    <t>Planilha:</t>
  </si>
  <si>
    <t>Item:</t>
  </si>
  <si>
    <t>DADOS PARA PAGAMENTO</t>
  </si>
  <si>
    <t>() Pessoa Jurídica</t>
  </si>
  <si>
    <t>Razão Social</t>
  </si>
  <si>
    <t>Fantasia:</t>
  </si>
  <si>
    <t>Banco:</t>
  </si>
  <si>
    <t>Conta:</t>
  </si>
  <si>
    <t>Pix:</t>
  </si>
  <si>
    <t>CNPJ:</t>
  </si>
  <si>
    <t>CPF:</t>
  </si>
  <si>
    <t>Contato:</t>
  </si>
  <si>
    <t>Celular:</t>
  </si>
  <si>
    <t>Parcela</t>
  </si>
  <si>
    <t>Data</t>
  </si>
  <si>
    <t>Valor</t>
  </si>
  <si>
    <t>Forma de Pagamento</t>
  </si>
  <si>
    <t>1ª</t>
  </si>
  <si>
    <t>(   ) Boleto</t>
  </si>
  <si>
    <t>(   ) Pix</t>
  </si>
  <si>
    <t>2ª</t>
  </si>
  <si>
    <t>(   ) Depósito</t>
  </si>
  <si>
    <t>3ª</t>
  </si>
  <si>
    <t>4ª</t>
  </si>
  <si>
    <t>TOTAL</t>
  </si>
  <si>
    <t>OBSERVAÇÕES</t>
  </si>
  <si>
    <t>APROVAÇÕES</t>
  </si>
  <si>
    <t>Solicitante</t>
  </si>
  <si>
    <t>Aprovação</t>
  </si>
  <si>
    <t>Índice</t>
  </si>
  <si>
    <t>Grupo</t>
  </si>
  <si>
    <t>Subgrupo</t>
  </si>
  <si>
    <t>Resumo</t>
  </si>
  <si>
    <t>Descrição</t>
  </si>
  <si>
    <t>Data da Solicitação</t>
  </si>
  <si>
    <t>RAZÃO SOCIAL</t>
  </si>
  <si>
    <t>CONTATO</t>
  </si>
  <si>
    <t>ENCARGOS PUBLI</t>
  </si>
  <si>
    <t>Agência</t>
  </si>
  <si>
    <t>FORNECEDOR</t>
  </si>
  <si>
    <t>PAGAMENTOS</t>
  </si>
  <si>
    <t>Solicitado</t>
  </si>
  <si>
    <t>RAZÃO SOCIAL:OGGI COMUN. E EV. PROMO. UNIPESSOAL LTDA</t>
  </si>
  <si>
    <t xml:space="preserve">ENDEREÇO:R. ALMIRANTE PEREIRA GUIMARÃES, 327 - </t>
  </si>
  <si>
    <t>OC
38</t>
  </si>
  <si>
    <t>FONE: (11) 3871-5555  SÃO PAULO SP</t>
  </si>
  <si>
    <t>CNPJ: 07.559.587/0001-12</t>
  </si>
  <si>
    <t>INSCRIÇÃO MUNICIPAL: 3.441.108.9</t>
  </si>
  <si>
    <t>E-MAIL:</t>
  </si>
  <si>
    <t>Identificador=38-38-61b77ade14fb9af7e586617fa2e6823e374b1745</t>
  </si>
  <si>
    <t>Tipo Receita</t>
  </si>
  <si>
    <t>Lançamento</t>
  </si>
  <si>
    <t>Item do Orçamento</t>
  </si>
  <si>
    <t>Quantidade</t>
  </si>
  <si>
    <t>Valor Unitário</t>
  </si>
  <si>
    <t>Situação</t>
  </si>
  <si>
    <t>Valor Fornecedor</t>
  </si>
  <si>
    <t>Subtipo</t>
  </si>
  <si>
    <t>Honorários</t>
  </si>
  <si>
    <t>Desconto</t>
  </si>
  <si>
    <t>Encargos</t>
  </si>
  <si>
    <t>Especificação</t>
  </si>
  <si>
    <t>( X ) Pessoa Jurídica</t>
  </si>
  <si>
    <t>SUBTOTAL</t>
  </si>
  <si>
    <t>Peso</t>
  </si>
  <si>
    <t>RESUMO</t>
  </si>
  <si>
    <t>DESCRITIVO</t>
  </si>
  <si>
    <t>Qtd</t>
  </si>
  <si>
    <t>Diária</t>
  </si>
  <si>
    <t>R$ unit</t>
  </si>
  <si>
    <t>QTDE</t>
  </si>
  <si>
    <t>DIÁRIA</t>
  </si>
  <si>
    <t>VL. UNIT.</t>
  </si>
  <si>
    <t>SUB TOTAL</t>
  </si>
  <si>
    <t>DIFERENÇA</t>
  </si>
  <si>
    <t>% NOTA</t>
  </si>
  <si>
    <t>CUSTO NOTA</t>
  </si>
  <si>
    <t>CUSTO TOTAL (custo + dif. NF)</t>
  </si>
  <si>
    <t>CUSTO TOTAL + IMPOSTOS</t>
  </si>
  <si>
    <t>Margem</t>
  </si>
  <si>
    <t>Valor Total</t>
  </si>
  <si>
    <t>Saldo</t>
  </si>
  <si>
    <t>Fornecedor</t>
  </si>
  <si>
    <t>CPF/CNPJ</t>
  </si>
  <si>
    <t>PENDENTE</t>
  </si>
  <si>
    <t>EFETUADO</t>
  </si>
  <si>
    <t>1.1.2</t>
  </si>
  <si>
    <t>24/06/2025</t>
  </si>
  <si>
    <t xml:space="preserve"> </t>
  </si>
  <si>
    <t>Orçamento Produção Oggi 5.1.xlsm</t>
  </si>
  <si>
    <t>24.636.168/0001-56</t>
  </si>
  <si>
    <t>CLINICA DEBORA PADUA LTDA</t>
  </si>
  <si>
    <t>(11) 8209-4333</t>
  </si>
  <si>
    <t>24/06/25</t>
  </si>
  <si>
    <t>( X ) Boleto</t>
  </si>
  <si>
    <t>Santader</t>
  </si>
  <si>
    <t>123123</t>
  </si>
  <si>
    <t>12312</t>
  </si>
  <si>
    <t>R$ 100,00</t>
  </si>
  <si>
    <t>Teste</t>
  </si>
  <si>
    <t xml:space="preserve">   </t>
  </si>
  <si>
    <t>ORÇAMENTO 5.2</t>
  </si>
  <si>
    <r>
      <t xml:space="preserve">CÓDIGO DO JOB: </t>
    </r>
    <r>
      <rPr>
        <b/>
        <sz val="10"/>
        <color theme="0" tint="-0.249977111117893"/>
        <rFont val="Trebuchet MS"/>
        <family val="2"/>
      </rPr>
      <t>(preencher na coluna G)</t>
    </r>
  </si>
  <si>
    <r>
      <t>CLIENTE:</t>
    </r>
    <r>
      <rPr>
        <b/>
        <sz val="10"/>
        <color theme="0" tint="-0.249977111117893"/>
        <rFont val="Trebuchet MS"/>
        <family val="2"/>
      </rPr>
      <t>(preencher na coluna G)</t>
    </r>
  </si>
  <si>
    <r>
      <t>EVENTO:</t>
    </r>
    <r>
      <rPr>
        <b/>
        <sz val="10"/>
        <color theme="0" tint="-0.249977111117893"/>
        <rFont val="Trebuchet MS"/>
        <family val="2"/>
      </rPr>
      <t>(preencher na coluna G)</t>
    </r>
  </si>
  <si>
    <r>
      <t>LOCAL:</t>
    </r>
    <r>
      <rPr>
        <b/>
        <sz val="10"/>
        <color theme="0" tint="-0.249977111117893"/>
        <rFont val="Trebuchet MS"/>
        <family val="2"/>
      </rPr>
      <t>(preencher na coluna G)</t>
    </r>
  </si>
  <si>
    <r>
      <t>DATA:</t>
    </r>
    <r>
      <rPr>
        <b/>
        <sz val="10"/>
        <color theme="0" tint="-0.249977111117893"/>
        <rFont val="Trebuchet MS"/>
        <family val="2"/>
      </rPr>
      <t>(preencher na coluna G)</t>
    </r>
  </si>
  <si>
    <r>
      <t>ATENDIMENTO:</t>
    </r>
    <r>
      <rPr>
        <b/>
        <sz val="10"/>
        <color theme="0" tint="-0.249977111117893"/>
        <rFont val="Trebuchet MS"/>
        <family val="2"/>
      </rPr>
      <t>(preencher na coluna G)</t>
    </r>
  </si>
  <si>
    <r>
      <t>PRODUTOR:</t>
    </r>
    <r>
      <rPr>
        <b/>
        <sz val="10"/>
        <color theme="0" tint="-0.249977111117893"/>
        <rFont val="Trebuchet MS"/>
        <family val="2"/>
      </rPr>
      <t>(preencher na coluna G)</t>
    </r>
  </si>
  <si>
    <r>
      <t>NOME PLANILHA:</t>
    </r>
    <r>
      <rPr>
        <b/>
        <sz val="10"/>
        <color theme="0" tint="-0.249977111117893"/>
        <rFont val="Trebuchet MS"/>
        <family val="2"/>
      </rPr>
      <t>(preencher na coluna G)</t>
    </r>
  </si>
  <si>
    <t>GRUPO</t>
  </si>
  <si>
    <t>SUBGRUPO</t>
  </si>
  <si>
    <t>1.1</t>
  </si>
  <si>
    <t>AGENCIAMENTO</t>
  </si>
  <si>
    <t>IMPOSTOS</t>
  </si>
  <si>
    <t>Marg.</t>
  </si>
  <si>
    <t>ITEM</t>
  </si>
  <si>
    <t>1.1.1</t>
  </si>
  <si>
    <t xml:space="preserve">PRODUTOR </t>
  </si>
  <si>
    <t>OPERACIONAL</t>
  </si>
  <si>
    <t>FAT.CLIENTE</t>
  </si>
  <si>
    <t>SUBTOTAL SUBGRUPO</t>
  </si>
  <si>
    <t xml:space="preserve">Subtotal INTERNO </t>
  </si>
  <si>
    <t>1.2</t>
  </si>
  <si>
    <t>1.2.1</t>
  </si>
  <si>
    <t>1.2.2</t>
  </si>
  <si>
    <t>1.2.3</t>
  </si>
  <si>
    <t>BOURBON ATIBAIA - Período de 13 a 16/01</t>
  </si>
  <si>
    <t>Hospedagem</t>
  </si>
  <si>
    <t>Taxas ISS</t>
  </si>
  <si>
    <t>Locação de Sala</t>
  </si>
  <si>
    <t>Jundiaí/Mairiporã - 12 a 15/01 - formato Escolar (Moontagem e Evento)</t>
  </si>
  <si>
    <t>Subtotal BOURBON ATIBAIA - Período de 13 a 16/01</t>
  </si>
  <si>
    <t>Subtotal OPERACIONAL</t>
  </si>
  <si>
    <t>CENOGRAFIA E TÉCNICA</t>
  </si>
  <si>
    <t>Tecnica salas Jundiaí/Mairiporã</t>
  </si>
  <si>
    <t>Subtotal CENOGRAFIA E TÉCNICA</t>
  </si>
  <si>
    <t>SUBTOTAL PLANILHA</t>
  </si>
  <si>
    <t xml:space="preserve">TOTAL </t>
  </si>
  <si>
    <t>Marg. Lucro</t>
  </si>
  <si>
    <t>Lucro</t>
  </si>
  <si>
    <t xml:space="preserve">Lactalis </t>
  </si>
  <si>
    <t>Convenção FOOD</t>
  </si>
  <si>
    <t>Bourbon Atibaia</t>
  </si>
  <si>
    <t>13 a 16/01</t>
  </si>
  <si>
    <t>Nilson Miguel</t>
  </si>
  <si>
    <t>Aline Sanches</t>
  </si>
  <si>
    <t>LT_69 - convenção FOOD 2026</t>
  </si>
  <si>
    <t xml:space="preserve">LT_69 </t>
  </si>
  <si>
    <t>FAT.OGGI</t>
  </si>
  <si>
    <t>Custos Operacionais</t>
  </si>
  <si>
    <t>1.1.3</t>
  </si>
  <si>
    <t>1.1.4</t>
  </si>
  <si>
    <t>1.1.5</t>
  </si>
  <si>
    <t>1.1.7</t>
  </si>
  <si>
    <t>Tecnica de Salas:
Projetor - EPSON  4.5K LASER - L250F
Tela - TES TELA 120 - 16x9 Wide
Mouse Apresentador LOGITECH SPOTLIGHT
Mesa de Som - PROFX MESA ANALOGICA
Caixa de Som - VARIAS CAIXA ATIVA
Microfone - SENNHEISER BASTAO
1 Profissional - Técnico Audiovisual</t>
  </si>
  <si>
    <t>Custos operacionais do  Evento</t>
  </si>
  <si>
    <t>Produção para Montagem, evento e desmontagem - Profissional dedicado ao Evento.</t>
  </si>
  <si>
    <t>TOTAL EVENTO</t>
  </si>
  <si>
    <t>Principal</t>
  </si>
  <si>
    <t>Hotel</t>
  </si>
  <si>
    <t>VENDA</t>
  </si>
  <si>
    <t>CUSTO</t>
  </si>
  <si>
    <t>TOTAL=</t>
  </si>
  <si>
    <r>
      <t xml:space="preserve">Quarto Duplo- Incluso Café da manhã
Check-in: </t>
    </r>
    <r>
      <rPr>
        <b/>
        <sz val="12"/>
        <color rgb="FFFF0000"/>
        <rFont val="Trebuchet MS"/>
        <family val="2"/>
      </rPr>
      <t>12/01</t>
    </r>
    <r>
      <rPr>
        <sz val="12"/>
        <color theme="1"/>
        <rFont val="Trebuchet MS"/>
        <family val="2"/>
      </rPr>
      <t xml:space="preserve"> a partir das 16h00 || Check-out: </t>
    </r>
    <r>
      <rPr>
        <b/>
        <sz val="12"/>
        <color rgb="FFFF0000"/>
        <rFont val="Trebuchet MS"/>
        <family val="2"/>
      </rPr>
      <t>16/01</t>
    </r>
    <r>
      <rPr>
        <sz val="12"/>
        <color theme="1"/>
        <rFont val="Trebuchet MS"/>
        <family val="2"/>
      </rPr>
      <t xml:space="preserve"> até às 12h00</t>
    </r>
  </si>
  <si>
    <t>APOIO PRODUÇÃO</t>
  </si>
  <si>
    <t>Profissional para ajudar nas Demandas de FOOD</t>
  </si>
  <si>
    <t>MAQUINA DE SORVETE</t>
  </si>
  <si>
    <t>Maquina de sorvete SOFT - Dimensões
C: 75 cm L: 65 cm A: 140 cm
Potência 2.900 W - 5,0 KVA Plug tomada padrão 3 pinos 20 amperes</t>
  </si>
  <si>
    <t>PERSONALIZAÇÃO MAQUINA SORVETE</t>
  </si>
  <si>
    <t xml:space="preserve">Adesivo para personalização </t>
  </si>
  <si>
    <t>1.2.4</t>
  </si>
  <si>
    <t xml:space="preserve">FANTASIA RONALD MC DONALD </t>
  </si>
  <si>
    <t xml:space="preserve">PROMOTOR ATIVAÇÃO </t>
  </si>
  <si>
    <t>Promotor para ativação da Maquina de sorvete - Festa dia 13 e dia 14 (a definir)</t>
  </si>
  <si>
    <t>ITENS NOVOS APÓS APROVAÇÃO</t>
  </si>
  <si>
    <t>Subtotal ITENS NOVOS APÓS APROVAÇÃO</t>
  </si>
  <si>
    <t>Itens Novos</t>
  </si>
  <si>
    <t>1.2.5</t>
  </si>
  <si>
    <t xml:space="preserve">TOTEN INFORMATIVO </t>
  </si>
  <si>
    <t>Totem de madeira adesivado autoportante, comunicação dos dois lados. - medidas  0,60 x 1,60m</t>
  </si>
  <si>
    <t>1.2.6</t>
  </si>
  <si>
    <t>1.2.7</t>
  </si>
  <si>
    <t xml:space="preserve">CREDENCIAL </t>
  </si>
  <si>
    <t>CORDÃO PARA CREDENCIAL</t>
  </si>
  <si>
    <t xml:space="preserve">Crachá 10x15cm 4x0 plastificação rigida </t>
  </si>
  <si>
    <t>Cordão personalizado</t>
  </si>
  <si>
    <t>Fantasia para promotor</t>
  </si>
  <si>
    <t>1.3</t>
  </si>
  <si>
    <t xml:space="preserve">Itens EXTRAS </t>
  </si>
  <si>
    <t>1.3.1</t>
  </si>
  <si>
    <t>1.3.2</t>
  </si>
  <si>
    <t>1.3.3</t>
  </si>
  <si>
    <t xml:space="preserve">FLIP CHART </t>
  </si>
  <si>
    <t>FOTOS FOTOGRAFO</t>
  </si>
  <si>
    <t xml:space="preserve">Fotos profissionais aprovado por Monica </t>
  </si>
  <si>
    <t>PROMOTORA LICOR</t>
  </si>
  <si>
    <t>Promotora para Ativação degustação de Licor DOM LUIZ</t>
  </si>
  <si>
    <t xml:space="preserve">Subtotal Itens EXTRAS </t>
  </si>
  <si>
    <t>Flip Chart Cavalete Com Bloco 20 Folhas + Canetas</t>
  </si>
  <si>
    <t>MOLINA</t>
  </si>
  <si>
    <t xml:space="preserve">LUCAS </t>
  </si>
  <si>
    <t>GIGA</t>
  </si>
  <si>
    <t>ADRIANO</t>
  </si>
  <si>
    <t>YET</t>
  </si>
  <si>
    <t>MERCADO LIVRE</t>
  </si>
  <si>
    <t>MARIO</t>
  </si>
  <si>
    <t>NATH</t>
  </si>
  <si>
    <t>RENTABILIDADE</t>
  </si>
  <si>
    <t>PATY GRAFICA</t>
  </si>
  <si>
    <t>2.1</t>
  </si>
  <si>
    <t>2.1.1</t>
  </si>
  <si>
    <t xml:space="preserve">Subtotal </t>
  </si>
  <si>
    <t xml:space="preserve">Almoço </t>
  </si>
  <si>
    <t xml:space="preserve">Coffee break </t>
  </si>
  <si>
    <t xml:space="preserve">Jantar </t>
  </si>
  <si>
    <t xml:space="preserve">Pacote de bebidas </t>
  </si>
  <si>
    <t xml:space="preserve">Água copo </t>
  </si>
  <si>
    <t xml:space="preserve">Térmica de café </t>
  </si>
  <si>
    <t>13/01 - A&amp;B</t>
  </si>
  <si>
    <t>Dose Chivas 12</t>
  </si>
  <si>
    <t>14/01 - A&amp;B</t>
  </si>
  <si>
    <t>Almoço extra</t>
  </si>
  <si>
    <t>Jantar extra</t>
  </si>
  <si>
    <t xml:space="preserve">15/01 - A$B </t>
  </si>
  <si>
    <t xml:space="preserve">Subtotal 15/01 - A$B </t>
  </si>
  <si>
    <t>3.1</t>
  </si>
  <si>
    <t>3.1.1</t>
  </si>
  <si>
    <t>3.1.2</t>
  </si>
  <si>
    <t>3.1.3</t>
  </si>
  <si>
    <t>3.1.4</t>
  </si>
  <si>
    <t>3.1.5</t>
  </si>
  <si>
    <t>3.1.6</t>
  </si>
  <si>
    <t>3.1.7</t>
  </si>
  <si>
    <t>3.1.8</t>
  </si>
  <si>
    <t>3.2</t>
  </si>
  <si>
    <t>3.2.1</t>
  </si>
  <si>
    <t>3.2.2</t>
  </si>
  <si>
    <t>3.2.3</t>
  </si>
  <si>
    <t>3.2.4</t>
  </si>
  <si>
    <t>3.2.5</t>
  </si>
  <si>
    <t>3.2.6</t>
  </si>
  <si>
    <t>3.2.7</t>
  </si>
  <si>
    <t>3.2.8</t>
  </si>
  <si>
    <t>3.2.9</t>
  </si>
  <si>
    <t>3.3</t>
  </si>
  <si>
    <t>3.3.1</t>
  </si>
  <si>
    <t>3.3.2</t>
  </si>
  <si>
    <t>3.3.3</t>
  </si>
  <si>
    <t>3.3.4</t>
  </si>
  <si>
    <t>3.3.5</t>
  </si>
  <si>
    <t>3.3.6</t>
  </si>
  <si>
    <t>3.3.7</t>
  </si>
  <si>
    <t>3.3.8</t>
  </si>
  <si>
    <t>5.1</t>
  </si>
  <si>
    <t>5.1.1</t>
  </si>
  <si>
    <t>5.1.2</t>
  </si>
  <si>
    <t>5.1.3</t>
  </si>
  <si>
    <t>5.1.4</t>
  </si>
  <si>
    <t>Virada de sala</t>
  </si>
  <si>
    <t>Virada de sala ( inlcuso valor de ISS)</t>
  </si>
  <si>
    <t>Estacionamento</t>
  </si>
  <si>
    <t>Room bar</t>
  </si>
  <si>
    <t xml:space="preserve">Estacionamento ( incluso valor de ISS) </t>
  </si>
  <si>
    <t xml:space="preserve">Bebidas (extras) </t>
  </si>
  <si>
    <t>TOTAL LT_69 - convenção FOOD 2026</t>
  </si>
  <si>
    <t>Itens extras</t>
  </si>
  <si>
    <t>3.2.10</t>
  </si>
  <si>
    <t>3.3.9</t>
  </si>
  <si>
    <t>Almoço extra: equipe Oggi| Promotor</t>
  </si>
  <si>
    <t>2.1.2</t>
  </si>
  <si>
    <t>TÉCNICA</t>
  </si>
  <si>
    <t xml:space="preserve">HOSPEDAGEM </t>
  </si>
  <si>
    <t>Hospedagem Staff</t>
  </si>
  <si>
    <t>Almoço extra| Equipe de promoção</t>
  </si>
  <si>
    <t>Almoço extra| Equipe de promoção| Promotor</t>
  </si>
  <si>
    <t>Almoço extra| Equipe de promoção | Promotor</t>
  </si>
  <si>
    <r>
      <t xml:space="preserve">Quarto Single - Incluso Café da manhã
</t>
    </r>
    <r>
      <rPr>
        <b/>
        <sz val="12"/>
        <rFont val="Trebuchet MS"/>
        <family val="2"/>
      </rPr>
      <t xml:space="preserve">Check-in: </t>
    </r>
    <r>
      <rPr>
        <b/>
        <sz val="12"/>
        <color rgb="FFFF0000"/>
        <rFont val="Trebuchet MS"/>
        <family val="2"/>
      </rPr>
      <t>12/01</t>
    </r>
    <r>
      <rPr>
        <b/>
        <sz val="12"/>
        <rFont val="Trebuchet MS"/>
        <family val="2"/>
      </rPr>
      <t xml:space="preserve"> - 16/01 - HUGO DE ARAUJO MELO</t>
    </r>
  </si>
  <si>
    <r>
      <t xml:space="preserve">Quarto Single - Incluso Café da manhã
</t>
    </r>
    <r>
      <rPr>
        <b/>
        <sz val="12"/>
        <rFont val="Trebuchet MS"/>
        <family val="2"/>
      </rPr>
      <t xml:space="preserve">Check-in: </t>
    </r>
    <r>
      <rPr>
        <b/>
        <sz val="12"/>
        <color rgb="FFFF0000"/>
        <rFont val="Trebuchet MS"/>
        <family val="2"/>
      </rPr>
      <t>13/01</t>
    </r>
    <r>
      <rPr>
        <b/>
        <sz val="12"/>
        <rFont val="Trebuchet MS"/>
        <family val="2"/>
      </rPr>
      <t xml:space="preserve"> - 16/01 - CLAUDIO JORGE DA SILVA CARDOSO</t>
    </r>
  </si>
  <si>
    <r>
      <t xml:space="preserve">Quarto Single - Incluso Café da manhã
</t>
    </r>
    <r>
      <rPr>
        <b/>
        <sz val="12"/>
        <rFont val="Trebuchet MS"/>
        <family val="2"/>
      </rPr>
      <t xml:space="preserve">Check-in: </t>
    </r>
    <r>
      <rPr>
        <b/>
        <sz val="12"/>
        <color rgb="FFFF0000"/>
        <rFont val="Trebuchet MS"/>
        <family val="2"/>
      </rPr>
      <t>13/01</t>
    </r>
    <r>
      <rPr>
        <b/>
        <sz val="12"/>
        <rFont val="Trebuchet MS"/>
        <family val="2"/>
      </rPr>
      <t xml:space="preserve"> - 16/01 - MAURICIO GALLI</t>
    </r>
  </si>
  <si>
    <r>
      <t xml:space="preserve">Quarto Single - Incluso Café da manhã
</t>
    </r>
    <r>
      <rPr>
        <b/>
        <sz val="12"/>
        <rFont val="Trebuchet MS"/>
        <family val="2"/>
      </rPr>
      <t xml:space="preserve">Check-in: </t>
    </r>
    <r>
      <rPr>
        <b/>
        <sz val="12"/>
        <color rgb="FFFF0000"/>
        <rFont val="Trebuchet MS"/>
        <family val="2"/>
      </rPr>
      <t>13/01 - 14/01</t>
    </r>
    <r>
      <rPr>
        <b/>
        <sz val="12"/>
        <rFont val="Trebuchet MS"/>
        <family val="2"/>
      </rPr>
      <t xml:space="preserve"> - MARIA CHERLYNE</t>
    </r>
  </si>
  <si>
    <r>
      <t xml:space="preserve">Quarto Single - Incluso Café da manhã
</t>
    </r>
    <r>
      <rPr>
        <b/>
        <sz val="12"/>
        <rFont val="Trebuchet MS"/>
        <family val="2"/>
      </rPr>
      <t xml:space="preserve">Check-in: </t>
    </r>
    <r>
      <rPr>
        <b/>
        <sz val="12"/>
        <color rgb="FFFF0000"/>
        <rFont val="Trebuchet MS"/>
        <family val="2"/>
      </rPr>
      <t>12/01 - 13/01</t>
    </r>
    <r>
      <rPr>
        <b/>
        <sz val="12"/>
        <rFont val="Trebuchet MS"/>
        <family val="2"/>
      </rPr>
      <t xml:space="preserve"> - PABLO SILVA</t>
    </r>
  </si>
  <si>
    <r>
      <rPr>
        <b/>
        <sz val="12"/>
        <color rgb="FFFF0000"/>
        <rFont val="Trebuchet MS"/>
        <family val="2"/>
      </rPr>
      <t>Quarto Duplo</t>
    </r>
    <r>
      <rPr>
        <sz val="12"/>
        <rFont val="Trebuchet MS"/>
        <family val="2"/>
      </rPr>
      <t xml:space="preserve"> - Incluso Café da manhã
Check-in: 14/01  - 16/01 MARIA CHERLYNE + TALITA FERRARI</t>
    </r>
  </si>
  <si>
    <r>
      <rPr>
        <b/>
        <sz val="12"/>
        <color rgb="FFFF0000"/>
        <rFont val="Trebuchet MS"/>
        <family val="2"/>
      </rPr>
      <t>Quarto Duplo</t>
    </r>
    <r>
      <rPr>
        <sz val="12"/>
        <color rgb="FFFF0000"/>
        <rFont val="Trebuchet MS"/>
        <family val="2"/>
      </rPr>
      <t xml:space="preserve"> -</t>
    </r>
    <r>
      <rPr>
        <sz val="12"/>
        <rFont val="Trebuchet MS"/>
        <family val="2"/>
      </rPr>
      <t xml:space="preserve"> Incluso Café da manhã
Check-in: </t>
    </r>
    <r>
      <rPr>
        <b/>
        <sz val="12"/>
        <rFont val="Trebuchet MS"/>
        <family val="2"/>
      </rPr>
      <t>13/01</t>
    </r>
    <r>
      <rPr>
        <sz val="12"/>
        <rFont val="Trebuchet MS"/>
        <family val="2"/>
      </rPr>
      <t xml:space="preserve">  - 16/01</t>
    </r>
  </si>
  <si>
    <t>136k</t>
  </si>
  <si>
    <r>
      <t xml:space="preserve">CÓDIGO DO JOB: </t>
    </r>
    <r>
      <rPr>
        <b/>
        <sz val="16"/>
        <color theme="0" tint="-0.249977111117893"/>
        <rFont val="Trebuchet MS"/>
        <family val="2"/>
      </rPr>
      <t>(preencher na coluna G)</t>
    </r>
  </si>
  <si>
    <r>
      <t>CLIENTE:</t>
    </r>
    <r>
      <rPr>
        <b/>
        <sz val="16"/>
        <color theme="0" tint="-0.249977111117893"/>
        <rFont val="Trebuchet MS"/>
        <family val="2"/>
      </rPr>
      <t>(preencher na coluna G)</t>
    </r>
  </si>
  <si>
    <r>
      <t>EVENTO:</t>
    </r>
    <r>
      <rPr>
        <b/>
        <sz val="16"/>
        <color theme="0" tint="-0.249977111117893"/>
        <rFont val="Trebuchet MS"/>
        <family val="2"/>
      </rPr>
      <t>(preencher na coluna G)</t>
    </r>
  </si>
  <si>
    <r>
      <t>LOCAL:</t>
    </r>
    <r>
      <rPr>
        <b/>
        <sz val="16"/>
        <color theme="0" tint="-0.249977111117893"/>
        <rFont val="Trebuchet MS"/>
        <family val="2"/>
      </rPr>
      <t>(preencher na coluna G)</t>
    </r>
  </si>
  <si>
    <r>
      <t>DATA:</t>
    </r>
    <r>
      <rPr>
        <b/>
        <sz val="16"/>
        <color theme="0" tint="-0.249977111117893"/>
        <rFont val="Trebuchet MS"/>
        <family val="2"/>
      </rPr>
      <t>(preencher na coluna G)</t>
    </r>
  </si>
  <si>
    <r>
      <t>ATENDIMENTO:</t>
    </r>
    <r>
      <rPr>
        <b/>
        <sz val="16"/>
        <color theme="0" tint="-0.249977111117893"/>
        <rFont val="Trebuchet MS"/>
        <family val="2"/>
      </rPr>
      <t>(preencher na coluna G)</t>
    </r>
  </si>
  <si>
    <r>
      <t>PRODUTOR:</t>
    </r>
    <r>
      <rPr>
        <b/>
        <sz val="16"/>
        <color theme="0" tint="-0.249977111117893"/>
        <rFont val="Trebuchet MS"/>
        <family val="2"/>
      </rPr>
      <t>(preencher na coluna G)</t>
    </r>
  </si>
  <si>
    <r>
      <t>NOME PLANILHA:</t>
    </r>
    <r>
      <rPr>
        <b/>
        <sz val="16"/>
        <color theme="0" tint="-0.249977111117893"/>
        <rFont val="Trebuchet MS"/>
        <family val="2"/>
      </rPr>
      <t>(preencher na coluna G)</t>
    </r>
  </si>
  <si>
    <t>NOTA FISCAL 2783</t>
  </si>
  <si>
    <t>NOTA DE DÉBITO 27</t>
  </si>
  <si>
    <t>NOTAS EMITIDAS E ND EMITIDAS</t>
  </si>
  <si>
    <t>HOTEL</t>
  </si>
  <si>
    <t xml:space="preserve">ITENS NOVOS </t>
  </si>
  <si>
    <t>PRINCIPAL</t>
  </si>
  <si>
    <t>LUCRO</t>
  </si>
  <si>
    <r>
      <t>NOME PLANILHA:</t>
    </r>
    <r>
      <rPr>
        <b/>
        <sz val="12"/>
        <color theme="0" tint="-0.249977111117893"/>
        <rFont val="Trebuchet MS"/>
        <family val="2"/>
      </rPr>
      <t>(preencher na coluna G)</t>
    </r>
  </si>
  <si>
    <r>
      <t>PRODUTOR:</t>
    </r>
    <r>
      <rPr>
        <b/>
        <sz val="12"/>
        <color theme="0" tint="-0.249977111117893"/>
        <rFont val="Trebuchet MS"/>
        <family val="2"/>
      </rPr>
      <t>(preencher na coluna G)</t>
    </r>
  </si>
  <si>
    <r>
      <t>ATENDIMENTO:</t>
    </r>
    <r>
      <rPr>
        <b/>
        <sz val="12"/>
        <color theme="0" tint="-0.249977111117893"/>
        <rFont val="Trebuchet MS"/>
        <family val="2"/>
      </rPr>
      <t>(preencher na coluna G)</t>
    </r>
  </si>
  <si>
    <r>
      <t>DATA:</t>
    </r>
    <r>
      <rPr>
        <b/>
        <sz val="12"/>
        <color theme="0" tint="-0.249977111117893"/>
        <rFont val="Trebuchet MS"/>
        <family val="2"/>
      </rPr>
      <t>(preencher na coluna G)</t>
    </r>
  </si>
  <si>
    <r>
      <t>LOCAL:</t>
    </r>
    <r>
      <rPr>
        <b/>
        <sz val="12"/>
        <color theme="0" tint="-0.249977111117893"/>
        <rFont val="Trebuchet MS"/>
        <family val="2"/>
      </rPr>
      <t>(preencher na coluna G)</t>
    </r>
  </si>
  <si>
    <r>
      <t>EVENTO:</t>
    </r>
    <r>
      <rPr>
        <b/>
        <sz val="12"/>
        <color theme="0" tint="-0.249977111117893"/>
        <rFont val="Trebuchet MS"/>
        <family val="2"/>
      </rPr>
      <t>(preencher na coluna G)</t>
    </r>
  </si>
  <si>
    <r>
      <t>CLIENTE:</t>
    </r>
    <r>
      <rPr>
        <b/>
        <sz val="12"/>
        <color theme="0" tint="-0.249977111117893"/>
        <rFont val="Trebuchet MS"/>
        <family val="2"/>
      </rPr>
      <t>(preencher na coluna G)</t>
    </r>
  </si>
  <si>
    <r>
      <t xml:space="preserve">CÓDIGO DO JOB: </t>
    </r>
    <r>
      <rPr>
        <b/>
        <sz val="12"/>
        <color theme="0" tint="-0.249977111117893"/>
        <rFont val="Trebuchet MS"/>
        <family val="2"/>
      </rPr>
      <t>(preencher na coluna G)</t>
    </r>
  </si>
  <si>
    <t>STUDIO ROCA</t>
  </si>
  <si>
    <t>VÍDEO</t>
  </si>
  <si>
    <t>MARIO ANDERSON</t>
  </si>
  <si>
    <t>ZRA ALIMENTAÇÃO</t>
  </si>
  <si>
    <t>LUCAS MARCELO</t>
  </si>
  <si>
    <t>JPZ TELECOM</t>
  </si>
  <si>
    <t>ADRIANO BERTONI</t>
  </si>
  <si>
    <t>CUSTOS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</si>
</sst>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4" formatCode="_-&quot;R$&quot;\ * #,##0.00_-;\-&quot;R$&quot;\ * #,##0.00_-;_-&quot;R$&quot;\ * &quot;-&quot;??_-;_-@_-"/>
    <numFmt numFmtId="164" formatCode="00&quot;/&quot;00&quot;/&quot;0000"/>
    <numFmt numFmtId="165" formatCode="_(&quot;R$ &quot;* #,##0.00_);_(&quot;R$ &quot;* \(#,##0.00\);_(&quot;R$ &quot;* &quot;-&quot;??_);_(@_)"/>
    <numFmt numFmtId="166" formatCode="_-[$R$-416]\ * #,##0.00_-;\-[$R$-416]\ * #,##0.00_-;_-[$R$-416]\ * &quot;-&quot;??_-;_-@_-"/>
    <numFmt numFmtId="167" formatCode="_(&quot;R$&quot;* #,##0.00_);_(&quot;R$&quot;* \(#,##0.00\);_(&quot;R$&quot;* &quot;-&quot;??_);_(@_)"/>
    <numFmt numFmtId="168" formatCode="0.000000000%"/>
    <numFmt numFmtId="169" formatCode="_-&quot;R$&quot;* #,##0.00_-;\-&quot;R$&quot;* #,##0.00_-;_-&quot;R$&quot;* &quot;-&quot;??_-;_-@_-"/>
    <numFmt numFmtId="170" formatCode="&quot;R$&quot;\ #,##0.00"/>
    <numFmt numFmtId="171" formatCode="0.0%"/>
  </numFmts>
  <fonts count="7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2"/>
      <name val="Trebuchet MS"/>
      <family val="2"/>
    </font>
    <font>
      <b/>
      <sz val="20"/>
      <name val="Trebuchet MS"/>
      <family val="2"/>
    </font>
    <font>
      <b/>
      <sz val="14"/>
      <name val="Trebuchet MS"/>
      <family val="2"/>
    </font>
    <font>
      <b/>
      <sz val="13"/>
      <name val="Trebuchet MS"/>
      <family val="2"/>
    </font>
    <font>
      <sz val="11"/>
      <name val="Verdana"/>
      <family val="2"/>
    </font>
    <font>
      <b/>
      <sz val="12"/>
      <color indexed="63"/>
      <name val="Trebuchet MS"/>
      <family val="2"/>
    </font>
    <font>
      <b/>
      <sz val="18"/>
      <color theme="1"/>
      <name val="Arial"/>
      <family val="2"/>
    </font>
    <font>
      <b/>
      <sz val="12"/>
      <color theme="1"/>
      <name val="Arial"/>
      <family val="2"/>
    </font>
    <font>
      <sz val="12"/>
      <color theme="0"/>
      <name val="Trebuchet MS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1"/>
      <name val="Trebuchet MS"/>
      <family val="2"/>
    </font>
    <font>
      <sz val="8"/>
      <color rgb="FFFFFFFF"/>
      <name val="Arial"/>
      <family val="2"/>
    </font>
    <font>
      <b/>
      <sz val="10"/>
      <color rgb="FFFFFFFF"/>
      <name val="Arial"/>
      <family val="2"/>
    </font>
    <font>
      <sz val="12"/>
      <color rgb="FFFFFFFF"/>
      <name val="Arial"/>
      <family val="2"/>
    </font>
    <font>
      <b/>
      <sz val="18"/>
      <color rgb="FFFFFFFF"/>
      <name val="Arial"/>
      <family val="2"/>
    </font>
    <font>
      <b/>
      <sz val="11"/>
      <color rgb="FFFFFFFF"/>
      <name val="Arial"/>
      <family val="2"/>
    </font>
    <font>
      <b/>
      <sz val="14"/>
      <color theme="1"/>
      <name val="Gadugi"/>
      <family val="2"/>
    </font>
    <font>
      <sz val="10"/>
      <name val="Verdana"/>
      <family val="2"/>
    </font>
    <font>
      <sz val="12"/>
      <color theme="1"/>
      <name val="Trebuchet MS"/>
      <family val="2"/>
    </font>
    <font>
      <b/>
      <sz val="12"/>
      <color theme="1"/>
      <name val="Trebuchet MS"/>
      <family val="2"/>
    </font>
    <font>
      <b/>
      <sz val="12"/>
      <color rgb="FFFF0000"/>
      <name val="Trebuchet MS"/>
      <family val="2"/>
    </font>
    <font>
      <b/>
      <sz val="10"/>
      <color theme="0" tint="-0.249977111117893"/>
      <name val="Trebuchet MS"/>
      <family val="2"/>
    </font>
    <font>
      <b/>
      <sz val="14"/>
      <color theme="0"/>
      <name val="Trebuchet MS"/>
      <family val="2"/>
    </font>
    <font>
      <b/>
      <sz val="16"/>
      <color theme="0"/>
      <name val="Trebuchet MS"/>
      <family val="2"/>
    </font>
    <font>
      <b/>
      <sz val="10"/>
      <color theme="0"/>
      <name val="Trebuchet MS"/>
      <family val="2"/>
    </font>
    <font>
      <b/>
      <sz val="12"/>
      <color theme="0"/>
      <name val="Trebuchet MS"/>
      <family val="2"/>
    </font>
    <font>
      <b/>
      <sz val="11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2"/>
      <name val="Trebuchet MS"/>
      <family val="2"/>
    </font>
    <font>
      <sz val="8"/>
      <name val="Calibri"/>
      <family val="2"/>
      <scheme val="minor"/>
    </font>
    <font>
      <sz val="12"/>
      <color rgb="FFFF0000"/>
      <name val="Trebuchet MS"/>
      <family val="2"/>
    </font>
    <font>
      <sz val="12"/>
      <color theme="4"/>
      <name val="Trebuchet MS"/>
      <family val="2"/>
    </font>
    <font>
      <sz val="16"/>
      <color theme="1"/>
      <name val="Calibri"/>
      <family val="2"/>
      <scheme val="minor"/>
    </font>
    <font>
      <b/>
      <sz val="16"/>
      <name val="Trebuchet MS"/>
      <family val="2"/>
    </font>
    <font>
      <b/>
      <sz val="16"/>
      <color theme="1"/>
      <name val="Calibri"/>
      <family val="2"/>
      <scheme val="minor"/>
    </font>
    <font>
      <b/>
      <sz val="16"/>
      <color theme="1"/>
      <name val="Gadugi"/>
      <family val="2"/>
    </font>
    <font>
      <b/>
      <sz val="16"/>
      <color theme="0" tint="-0.249977111117893"/>
      <name val="Trebuchet MS"/>
      <family val="2"/>
    </font>
    <font>
      <b/>
      <sz val="16"/>
      <color indexed="63"/>
      <name val="Trebuchet MS"/>
      <family val="2"/>
    </font>
    <font>
      <b/>
      <sz val="16"/>
      <color theme="1"/>
      <name val="Trebuchet MS"/>
      <family val="2"/>
    </font>
    <font>
      <sz val="16"/>
      <color theme="0"/>
      <name val="Calibri"/>
      <family val="2"/>
      <scheme val="minor"/>
    </font>
    <font>
      <sz val="16"/>
      <color theme="1"/>
      <name val="Trebuchet MS"/>
      <family val="2"/>
    </font>
    <font>
      <b/>
      <sz val="16"/>
      <color rgb="FFFF0000"/>
      <name val="Trebuchet MS"/>
      <family val="2"/>
    </font>
    <font>
      <b/>
      <sz val="16"/>
      <color rgb="FF00B050"/>
      <name val="Trebuchet MS"/>
      <family val="2"/>
    </font>
    <font>
      <sz val="16"/>
      <color theme="4"/>
      <name val="Trebuchet MS"/>
      <family val="2"/>
    </font>
    <font>
      <b/>
      <sz val="16"/>
      <color theme="4"/>
      <name val="Trebuchet MS"/>
      <family val="2"/>
    </font>
    <font>
      <b/>
      <sz val="12"/>
      <color theme="0" tint="-0.249977111117893"/>
      <name val="Trebuchet MS"/>
      <family val="2"/>
    </font>
    <font>
      <b/>
      <sz val="14"/>
      <color theme="1"/>
      <name val="Calibri"/>
      <family val="2"/>
      <scheme val="minor"/>
    </font>
    <font>
      <sz val="18"/>
      <color indexed="63"/>
      <name val="Trebuchet MS"/>
      <family val="2"/>
    </font>
    <font>
      <sz val="18"/>
      <color theme="1"/>
      <name val="Calibri"/>
      <family val="2"/>
      <scheme val="minor"/>
    </font>
    <font>
      <sz val="18"/>
      <color rgb="FFFF0000"/>
      <name val="Trebuchet MS"/>
      <family val="2"/>
    </font>
    <font>
      <sz val="18"/>
      <color rgb="FF00B050"/>
      <name val="Trebuchet MS"/>
      <family val="2"/>
    </font>
    <font>
      <b/>
      <sz val="18"/>
      <color rgb="FFFF0000"/>
      <name val="Calibri"/>
      <family val="2"/>
      <scheme val="minor"/>
    </font>
    <font>
      <sz val="18"/>
      <color rgb="FF00B05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Gadugi"/>
      <family val="2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4"/>
      <color indexed="63"/>
      <name val="Trebuchet MS"/>
      <family val="2"/>
    </font>
    <font>
      <sz val="14"/>
      <color theme="1"/>
      <name val="Calibri"/>
      <family val="2"/>
      <scheme val="minor"/>
    </font>
    <font>
      <b/>
      <sz val="14"/>
      <color rgb="FFFF0000"/>
      <name val="Trebuchet MS"/>
      <family val="2"/>
    </font>
    <font>
      <b/>
      <sz val="14"/>
      <color rgb="FF00B050"/>
      <name val="Trebuchet MS"/>
      <family val="2"/>
    </font>
    <font>
      <b/>
      <sz val="18"/>
      <color rgb="FF00B050"/>
      <name val="Calibri"/>
      <family val="2"/>
      <scheme val="minor"/>
    </font>
    <font>
      <b/>
      <sz val="14"/>
      <color rgb="FF00B050"/>
      <name val="Calibri"/>
      <family val="2"/>
      <scheme val="minor"/>
    </font>
  </fonts>
  <fills count="29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964F"/>
        <bgColor indexed="64"/>
      </patternFill>
    </fill>
    <fill>
      <patternFill patternType="solid">
        <fgColor rgb="FF0476D0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3" tint="0.399945066682943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DE9D9"/>
        <bgColor indexed="64"/>
      </patternFill>
    </fill>
    <fill>
      <patternFill patternType="solid">
        <fgColor rgb="FFE4DFE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 tint="-9.9978637043366805E-2"/>
        <bgColor indexed="64"/>
      </patternFill>
    </fill>
  </fills>
  <borders count="105">
    <border>
      <left/>
      <right/>
      <top/>
      <bottom/>
      <diagonal/>
    </border>
    <border>
      <left/>
      <right/>
      <top/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/>
      <right style="thin">
        <color rgb="FF000000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thin">
        <color auto="1"/>
      </left>
      <right/>
      <top style="hair">
        <color auto="1"/>
      </top>
      <bottom style="thin">
        <color indexed="64"/>
      </bottom>
      <diagonal/>
    </border>
    <border>
      <left/>
      <right/>
      <top style="hair">
        <color auto="1"/>
      </top>
      <bottom style="thin">
        <color indexed="64"/>
      </bottom>
      <diagonal/>
    </border>
    <border>
      <left/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auto="1"/>
      </right>
      <top style="hair">
        <color auto="1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thin">
        <color rgb="FF000000"/>
      </bottom>
      <diagonal/>
    </border>
    <border>
      <left/>
      <right/>
      <top style="thin">
        <color rgb="FFA9A9A9"/>
      </top>
      <bottom/>
      <diagonal/>
    </border>
    <border>
      <left style="thin">
        <color rgb="FFBFD7ED"/>
      </left>
      <right/>
      <top style="thin">
        <color rgb="FFBFD7ED"/>
      </top>
      <bottom/>
      <diagonal/>
    </border>
    <border>
      <left style="thin">
        <color rgb="FFBFD7ED"/>
      </left>
      <right style="thin">
        <color rgb="FFBFD7ED"/>
      </right>
      <top style="thin">
        <color rgb="FFBFD7ED"/>
      </top>
      <bottom/>
      <diagonal/>
    </border>
    <border>
      <left style="thin">
        <color theme="0" tint="-0.14990691854609822"/>
      </left>
      <right/>
      <top style="thin">
        <color theme="0" tint="-0.14990691854609822"/>
      </top>
      <bottom/>
      <diagonal/>
    </border>
    <border>
      <left style="thin">
        <color theme="0" tint="-0.14990691854609822"/>
      </left>
      <right style="thin">
        <color theme="0" tint="-0.14990691854609822"/>
      </right>
      <top style="thin">
        <color theme="0" tint="-0.14990691854609822"/>
      </top>
      <bottom/>
      <diagonal/>
    </border>
    <border>
      <left/>
      <right/>
      <top style="thin">
        <color theme="0" tint="-0.14990691854609822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theme="0" tint="-0.14990691854609822"/>
      </left>
      <right/>
      <top/>
      <bottom/>
      <diagonal/>
    </border>
    <border>
      <left style="thin">
        <color theme="0" tint="-0.14990691854609822"/>
      </left>
      <right/>
      <top style="thin">
        <color theme="0" tint="-0.14990691854609822"/>
      </top>
      <bottom style="thin">
        <color theme="0" tint="-0.14990691854609822"/>
      </bottom>
      <diagonal/>
    </border>
    <border>
      <left style="thin">
        <color theme="0" tint="-0.14990691854609822"/>
      </left>
      <right style="thin">
        <color theme="0" tint="-0.14990691854609822"/>
      </right>
      <top style="thin">
        <color theme="0" tint="-0.14990691854609822"/>
      </top>
      <bottom style="thin">
        <color theme="0" tint="-0.14990691854609822"/>
      </bottom>
      <diagonal/>
    </border>
    <border>
      <left/>
      <right/>
      <top style="thin">
        <color theme="0" tint="-0.14990691854609822"/>
      </top>
      <bottom style="thin">
        <color theme="0" tint="-0.14990691854609822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auto="1"/>
      </right>
      <top style="medium">
        <color indexed="64"/>
      </top>
      <bottom style="medium">
        <color indexed="64"/>
      </bottom>
      <diagonal/>
    </border>
    <border>
      <left/>
      <right style="medium">
        <color auto="1"/>
      </right>
      <top style="medium">
        <color indexed="64"/>
      </top>
      <bottom/>
      <diagonal/>
    </border>
    <border>
      <left/>
      <right style="medium">
        <color auto="1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auto="1"/>
      </right>
      <top style="medium">
        <color indexed="64"/>
      </top>
      <bottom/>
      <diagonal/>
    </border>
    <border>
      <left/>
      <right style="medium">
        <color auto="1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medium">
        <color auto="1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rgb="FF000000"/>
      </bottom>
      <diagonal/>
    </border>
  </borders>
  <cellStyleXfs count="18">
    <xf numFmtId="0" fontId="0" fillId="0" borderId="0"/>
    <xf numFmtId="9" fontId="1" fillId="0" borderId="0" applyFont="0" applyFill="0" applyBorder="0" applyAlignment="0" applyProtection="0"/>
    <xf numFmtId="0" fontId="3" fillId="0" borderId="0"/>
    <xf numFmtId="0" fontId="8" fillId="0" borderId="0"/>
    <xf numFmtId="165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67" fontId="13" fillId="0" borderId="0" applyFont="0" applyFill="0" applyBorder="0" applyAlignment="0" applyProtection="0"/>
    <xf numFmtId="0" fontId="14" fillId="0" borderId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3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23" fillId="0" borderId="0"/>
    <xf numFmtId="0" fontId="1" fillId="0" borderId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3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732">
    <xf numFmtId="0" fontId="0" fillId="0" borderId="0" xfId="0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7" xfId="0" applyBorder="1"/>
    <xf numFmtId="0" fontId="0" fillId="0" borderId="18" xfId="0" applyBorder="1"/>
    <xf numFmtId="0" fontId="2" fillId="0" borderId="19" xfId="0" applyFont="1" applyBorder="1"/>
    <xf numFmtId="0" fontId="2" fillId="0" borderId="23" xfId="0" applyFont="1" applyBorder="1"/>
    <xf numFmtId="0" fontId="0" fillId="0" borderId="2" xfId="0" applyBorder="1" applyAlignment="1">
      <alignment horizontal="left"/>
    </xf>
    <xf numFmtId="0" fontId="0" fillId="0" borderId="25" xfId="0" applyBorder="1" applyAlignment="1">
      <alignment horizontal="left"/>
    </xf>
    <xf numFmtId="0" fontId="2" fillId="0" borderId="26" xfId="0" applyFont="1" applyBorder="1"/>
    <xf numFmtId="0" fontId="2" fillId="0" borderId="26" xfId="0" applyFont="1" applyBorder="1" applyAlignment="1">
      <alignment horizontal="center"/>
    </xf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2" fillId="0" borderId="30" xfId="0" applyFont="1" applyBorder="1"/>
    <xf numFmtId="0" fontId="2" fillId="0" borderId="2" xfId="0" applyFont="1" applyBorder="1" applyAlignment="1">
      <alignment horizontal="left"/>
    </xf>
    <xf numFmtId="0" fontId="2" fillId="0" borderId="23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2" fillId="0" borderId="34" xfId="0" applyFont="1" applyBorder="1" applyAlignment="1">
      <alignment horizontal="center"/>
    </xf>
    <xf numFmtId="0" fontId="0" fillId="0" borderId="26" xfId="0" applyBorder="1"/>
    <xf numFmtId="0" fontId="0" fillId="0" borderId="27" xfId="0" applyBorder="1"/>
    <xf numFmtId="0" fontId="0" fillId="0" borderId="29" xfId="0" applyBorder="1"/>
    <xf numFmtId="0" fontId="0" fillId="0" borderId="0" xfId="0" applyAlignment="1">
      <alignment horizontal="right"/>
    </xf>
    <xf numFmtId="0" fontId="12" fillId="4" borderId="35" xfId="0" applyFont="1" applyFill="1" applyBorder="1"/>
    <xf numFmtId="0" fontId="12" fillId="4" borderId="36" xfId="0" applyFont="1" applyFill="1" applyBorder="1"/>
    <xf numFmtId="0" fontId="0" fillId="0" borderId="0" xfId="1" applyNumberFormat="1" applyFont="1"/>
    <xf numFmtId="0" fontId="15" fillId="0" borderId="0" xfId="0" applyFont="1"/>
    <xf numFmtId="165" fontId="9" fillId="6" borderId="38" xfId="4" applyFont="1" applyFill="1" applyBorder="1" applyAlignment="1">
      <alignment horizontal="center" vertical="center" wrapText="1"/>
    </xf>
    <xf numFmtId="168" fontId="2" fillId="0" borderId="5" xfId="1" applyNumberFormat="1" applyFont="1" applyBorder="1"/>
    <xf numFmtId="0" fontId="16" fillId="5" borderId="0" xfId="0" applyFont="1" applyFill="1"/>
    <xf numFmtId="49" fontId="16" fillId="5" borderId="0" xfId="0" applyNumberFormat="1" applyFont="1" applyFill="1"/>
    <xf numFmtId="164" fontId="6" fillId="0" borderId="0" xfId="2" applyNumberFormat="1" applyFont="1" applyAlignment="1">
      <alignment horizontal="left" vertical="center"/>
    </xf>
    <xf numFmtId="166" fontId="9" fillId="0" borderId="40" xfId="4" applyNumberFormat="1" applyFont="1" applyBorder="1" applyAlignment="1">
      <alignment horizontal="center" vertical="center" wrapText="1"/>
    </xf>
    <xf numFmtId="0" fontId="17" fillId="8" borderId="42" xfId="0" applyFont="1" applyFill="1" applyBorder="1" applyAlignment="1">
      <alignment vertical="center"/>
    </xf>
    <xf numFmtId="0" fontId="19" fillId="8" borderId="42" xfId="0" applyFont="1" applyFill="1" applyBorder="1" applyAlignment="1">
      <alignment horizontal="center" vertical="center"/>
    </xf>
    <xf numFmtId="22" fontId="17" fillId="8" borderId="42" xfId="0" applyNumberFormat="1" applyFont="1" applyFill="1" applyBorder="1" applyAlignment="1">
      <alignment horizontal="center" vertical="center"/>
    </xf>
    <xf numFmtId="0" fontId="21" fillId="8" borderId="43" xfId="0" applyFont="1" applyFill="1" applyBorder="1" applyAlignment="1">
      <alignment horizontal="center" vertical="center" wrapText="1"/>
    </xf>
    <xf numFmtId="0" fontId="21" fillId="8" borderId="44" xfId="0" applyFont="1" applyFill="1" applyBorder="1" applyAlignment="1">
      <alignment horizontal="center" vertical="center" wrapText="1"/>
    </xf>
    <xf numFmtId="164" fontId="6" fillId="0" borderId="20" xfId="2" applyNumberFormat="1" applyFont="1" applyBorder="1" applyAlignment="1" applyProtection="1">
      <alignment horizontal="left" vertical="center"/>
      <protection locked="0"/>
    </xf>
    <xf numFmtId="164" fontId="6" fillId="0" borderId="31" xfId="2" applyNumberFormat="1" applyFont="1" applyBorder="1" applyAlignment="1" applyProtection="1">
      <alignment horizontal="left" vertical="center"/>
      <protection locked="0"/>
    </xf>
    <xf numFmtId="164" fontId="6" fillId="0" borderId="39" xfId="2" applyNumberFormat="1" applyFont="1" applyBorder="1" applyAlignment="1" applyProtection="1">
      <alignment horizontal="left" vertical="center"/>
      <protection locked="0"/>
    </xf>
    <xf numFmtId="0" fontId="0" fillId="0" borderId="0" xfId="0" applyAlignment="1">
      <alignment horizontal="center"/>
    </xf>
    <xf numFmtId="49" fontId="4" fillId="0" borderId="0" xfId="2" applyNumberFormat="1" applyFont="1" applyAlignment="1">
      <alignment horizontal="left" vertical="center" wrapText="1"/>
    </xf>
    <xf numFmtId="0" fontId="4" fillId="0" borderId="0" xfId="2" applyFont="1" applyAlignment="1">
      <alignment horizontal="left" vertical="center" wrapText="1"/>
    </xf>
    <xf numFmtId="0" fontId="22" fillId="0" borderId="0" xfId="0" applyFont="1" applyAlignment="1">
      <alignment horizontal="center"/>
    </xf>
    <xf numFmtId="0" fontId="24" fillId="0" borderId="45" xfId="0" applyFont="1" applyBorder="1" applyAlignment="1">
      <alignment horizontal="left" vertical="center" wrapText="1"/>
    </xf>
    <xf numFmtId="0" fontId="24" fillId="0" borderId="45" xfId="0" applyFont="1" applyBorder="1" applyAlignment="1">
      <alignment horizontal="left" vertical="center"/>
    </xf>
    <xf numFmtId="49" fontId="24" fillId="0" borderId="46" xfId="0" applyNumberFormat="1" applyFont="1" applyBorder="1" applyAlignment="1">
      <alignment horizontal="left" vertical="center"/>
    </xf>
    <xf numFmtId="0" fontId="24" fillId="0" borderId="47" xfId="0" applyFont="1" applyBorder="1" applyAlignment="1">
      <alignment horizontal="left" vertical="center"/>
    </xf>
    <xf numFmtId="10" fontId="9" fillId="6" borderId="48" xfId="5" applyNumberFormat="1" applyFont="1" applyFill="1" applyBorder="1" applyAlignment="1">
      <alignment horizontal="center" vertical="center" wrapText="1"/>
    </xf>
    <xf numFmtId="10" fontId="9" fillId="6" borderId="49" xfId="5" applyNumberFormat="1" applyFont="1" applyFill="1" applyBorder="1" applyAlignment="1">
      <alignment horizontal="center" vertical="center" wrapText="1"/>
    </xf>
    <xf numFmtId="165" fontId="9" fillId="6" borderId="50" xfId="4" applyFont="1" applyFill="1" applyBorder="1" applyAlignment="1">
      <alignment horizontal="center" vertical="center" wrapText="1"/>
    </xf>
    <xf numFmtId="165" fontId="9" fillId="6" borderId="49" xfId="4" applyFont="1" applyFill="1" applyBorder="1" applyAlignment="1">
      <alignment horizontal="center" vertical="center" wrapText="1"/>
    </xf>
    <xf numFmtId="37" fontId="9" fillId="6" borderId="3" xfId="3" applyNumberFormat="1" applyFont="1" applyFill="1" applyBorder="1" applyAlignment="1">
      <alignment horizontal="center" vertical="center"/>
    </xf>
    <xf numFmtId="40" fontId="9" fillId="6" borderId="51" xfId="4" applyNumberFormat="1" applyFont="1" applyFill="1" applyBorder="1" applyAlignment="1">
      <alignment horizontal="center" vertical="center"/>
    </xf>
    <xf numFmtId="10" fontId="25" fillId="6" borderId="55" xfId="1" applyNumberFormat="1" applyFont="1" applyFill="1" applyBorder="1" applyAlignment="1">
      <alignment horizontal="center" vertical="center" wrapText="1"/>
    </xf>
    <xf numFmtId="0" fontId="25" fillId="6" borderId="55" xfId="3" applyFont="1" applyFill="1" applyBorder="1" applyAlignment="1">
      <alignment horizontal="center" vertical="center"/>
    </xf>
    <xf numFmtId="169" fontId="25" fillId="6" borderId="55" xfId="3" applyNumberFormat="1" applyFont="1" applyFill="1" applyBorder="1" applyAlignment="1">
      <alignment horizontal="center" vertical="center" wrapText="1"/>
    </xf>
    <xf numFmtId="0" fontId="25" fillId="6" borderId="56" xfId="3" applyFont="1" applyFill="1" applyBorder="1" applyAlignment="1">
      <alignment horizontal="center" vertical="center" wrapText="1"/>
    </xf>
    <xf numFmtId="0" fontId="25" fillId="6" borderId="57" xfId="3" applyFont="1" applyFill="1" applyBorder="1" applyAlignment="1">
      <alignment horizontal="center" vertical="center" wrapText="1"/>
    </xf>
    <xf numFmtId="37" fontId="9" fillId="6" borderId="54" xfId="3" applyNumberFormat="1" applyFont="1" applyFill="1" applyBorder="1" applyAlignment="1">
      <alignment horizontal="center" vertical="center"/>
    </xf>
    <xf numFmtId="37" fontId="9" fillId="6" borderId="55" xfId="3" applyNumberFormat="1" applyFont="1" applyFill="1" applyBorder="1" applyAlignment="1">
      <alignment horizontal="center" vertical="center"/>
    </xf>
    <xf numFmtId="40" fontId="9" fillId="6" borderId="55" xfId="4" applyNumberFormat="1" applyFont="1" applyFill="1" applyBorder="1" applyAlignment="1">
      <alignment horizontal="center" vertical="center"/>
    </xf>
    <xf numFmtId="165" fontId="9" fillId="6" borderId="55" xfId="4" applyFont="1" applyFill="1" applyBorder="1" applyAlignment="1">
      <alignment horizontal="right" vertical="center"/>
    </xf>
    <xf numFmtId="40" fontId="9" fillId="6" borderId="55" xfId="4" applyNumberFormat="1" applyFont="1" applyFill="1" applyBorder="1" applyAlignment="1">
      <alignment horizontal="center" vertical="center" wrapText="1"/>
    </xf>
    <xf numFmtId="10" fontId="9" fillId="6" borderId="55" xfId="5" applyNumberFormat="1" applyFont="1" applyFill="1" applyBorder="1" applyAlignment="1">
      <alignment horizontal="center" vertical="center" wrapText="1"/>
    </xf>
    <xf numFmtId="165" fontId="9" fillId="6" borderId="55" xfId="4" applyFont="1" applyFill="1" applyBorder="1" applyAlignment="1">
      <alignment horizontal="center" vertical="center" wrapText="1"/>
    </xf>
    <xf numFmtId="165" fontId="9" fillId="6" borderId="57" xfId="4" applyFont="1" applyFill="1" applyBorder="1" applyAlignment="1">
      <alignment horizontal="center" vertical="center" wrapText="1"/>
    </xf>
    <xf numFmtId="0" fontId="4" fillId="6" borderId="58" xfId="3" applyFont="1" applyFill="1" applyBorder="1" applyAlignment="1">
      <alignment horizontal="center" vertical="center"/>
    </xf>
    <xf numFmtId="0" fontId="4" fillId="6" borderId="38" xfId="3" applyFont="1" applyFill="1" applyBorder="1" applyAlignment="1">
      <alignment horizontal="left" vertical="center"/>
    </xf>
    <xf numFmtId="164" fontId="6" fillId="0" borderId="19" xfId="2" applyNumberFormat="1" applyFont="1" applyBorder="1" applyAlignment="1" applyProtection="1">
      <alignment horizontal="left" vertical="center"/>
      <protection locked="0"/>
    </xf>
    <xf numFmtId="164" fontId="6" fillId="0" borderId="30" xfId="2" applyNumberFormat="1" applyFont="1" applyBorder="1" applyAlignment="1" applyProtection="1">
      <alignment horizontal="left" vertical="center"/>
      <protection locked="0"/>
    </xf>
    <xf numFmtId="0" fontId="7" fillId="0" borderId="23" xfId="2" applyFont="1" applyBorder="1" applyAlignment="1" applyProtection="1">
      <alignment horizontal="left" vertical="center"/>
      <protection locked="0"/>
    </xf>
    <xf numFmtId="0" fontId="6" fillId="0" borderId="23" xfId="2" applyFont="1" applyBorder="1" applyAlignment="1" applyProtection="1">
      <alignment horizontal="left" vertical="center"/>
      <protection locked="0"/>
    </xf>
    <xf numFmtId="14" fontId="7" fillId="0" borderId="30" xfId="2" applyNumberFormat="1" applyFont="1" applyBorder="1" applyAlignment="1" applyProtection="1">
      <alignment horizontal="left" vertical="center"/>
      <protection locked="0"/>
    </xf>
    <xf numFmtId="0" fontId="6" fillId="0" borderId="26" xfId="2" applyFont="1" applyBorder="1" applyAlignment="1" applyProtection="1">
      <alignment horizontal="left" vertical="center"/>
      <protection locked="0"/>
    </xf>
    <xf numFmtId="0" fontId="24" fillId="0" borderId="60" xfId="0" applyFont="1" applyBorder="1" applyAlignment="1">
      <alignment horizontal="left" vertical="center" wrapText="1"/>
    </xf>
    <xf numFmtId="49" fontId="24" fillId="0" borderId="61" xfId="0" applyNumberFormat="1" applyFont="1" applyBorder="1" applyAlignment="1">
      <alignment horizontal="left" vertical="center" wrapText="1"/>
    </xf>
    <xf numFmtId="0" fontId="24" fillId="0" borderId="62" xfId="0" applyFont="1" applyBorder="1" applyAlignment="1">
      <alignment horizontal="left" vertical="center" wrapText="1"/>
    </xf>
    <xf numFmtId="0" fontId="24" fillId="0" borderId="47" xfId="0" applyFont="1" applyBorder="1" applyAlignment="1">
      <alignment horizontal="left" vertical="center" wrapText="1"/>
    </xf>
    <xf numFmtId="49" fontId="24" fillId="0" borderId="46" xfId="0" applyNumberFormat="1" applyFont="1" applyBorder="1" applyAlignment="1">
      <alignment horizontal="left" vertical="center" wrapText="1"/>
    </xf>
    <xf numFmtId="0" fontId="2" fillId="11" borderId="64" xfId="0" applyFont="1" applyFill="1" applyBorder="1" applyAlignment="1">
      <alignment horizontal="center" vertical="center"/>
    </xf>
    <xf numFmtId="44" fontId="24" fillId="0" borderId="64" xfId="8" applyFont="1" applyBorder="1" applyAlignment="1">
      <alignment vertical="center"/>
    </xf>
    <xf numFmtId="44" fontId="24" fillId="13" borderId="64" xfId="8" applyFont="1" applyFill="1" applyBorder="1" applyAlignment="1">
      <alignment vertical="center"/>
    </xf>
    <xf numFmtId="10" fontId="24" fillId="14" borderId="64" xfId="0" applyNumberFormat="1" applyFont="1" applyFill="1" applyBorder="1" applyAlignment="1">
      <alignment horizontal="center" vertical="center"/>
    </xf>
    <xf numFmtId="0" fontId="24" fillId="0" borderId="65" xfId="0" applyFont="1" applyBorder="1" applyAlignment="1">
      <alignment horizontal="left" vertical="center" wrapText="1"/>
    </xf>
    <xf numFmtId="44" fontId="24" fillId="0" borderId="65" xfId="8" applyFont="1" applyBorder="1" applyAlignment="1">
      <alignment vertical="center"/>
    </xf>
    <xf numFmtId="44" fontId="24" fillId="12" borderId="63" xfId="8" applyFont="1" applyFill="1" applyBorder="1" applyAlignment="1">
      <alignment vertical="center"/>
    </xf>
    <xf numFmtId="44" fontId="24" fillId="14" borderId="63" xfId="8" applyFont="1" applyFill="1" applyBorder="1" applyAlignment="1">
      <alignment vertical="center"/>
    </xf>
    <xf numFmtId="9" fontId="24" fillId="13" borderId="63" xfId="1" applyFont="1" applyFill="1" applyBorder="1" applyAlignment="1">
      <alignment vertical="center"/>
    </xf>
    <xf numFmtId="44" fontId="24" fillId="13" borderId="63" xfId="8" applyFont="1" applyFill="1" applyBorder="1" applyAlignment="1">
      <alignment vertical="center"/>
    </xf>
    <xf numFmtId="0" fontId="24" fillId="0" borderId="52" xfId="0" applyFont="1" applyBorder="1" applyAlignment="1">
      <alignment horizontal="left" vertical="center" wrapText="1"/>
    </xf>
    <xf numFmtId="0" fontId="25" fillId="11" borderId="56" xfId="0" applyFont="1" applyFill="1" applyBorder="1" applyAlignment="1">
      <alignment horizontal="center" vertical="center"/>
    </xf>
    <xf numFmtId="0" fontId="25" fillId="11" borderId="55" xfId="0" applyFont="1" applyFill="1" applyBorder="1" applyAlignment="1">
      <alignment horizontal="center" vertical="center"/>
    </xf>
    <xf numFmtId="44" fontId="24" fillId="0" borderId="53" xfId="8" applyFont="1" applyBorder="1" applyAlignment="1">
      <alignment vertical="center"/>
    </xf>
    <xf numFmtId="44" fontId="28" fillId="10" borderId="0" xfId="0" applyNumberFormat="1" applyFont="1" applyFill="1" applyAlignment="1">
      <alignment horizontal="right"/>
    </xf>
    <xf numFmtId="44" fontId="16" fillId="14" borderId="0" xfId="0" applyNumberFormat="1" applyFont="1" applyFill="1"/>
    <xf numFmtId="0" fontId="0" fillId="13" borderId="0" xfId="0" applyFill="1"/>
    <xf numFmtId="44" fontId="16" fillId="13" borderId="0" xfId="0" applyNumberFormat="1" applyFont="1" applyFill="1"/>
    <xf numFmtId="0" fontId="2" fillId="11" borderId="10" xfId="0" applyFont="1" applyFill="1" applyBorder="1" applyAlignment="1">
      <alignment horizontal="center" vertical="center"/>
    </xf>
    <xf numFmtId="10" fontId="24" fillId="14" borderId="10" xfId="0" applyNumberFormat="1" applyFont="1" applyFill="1" applyBorder="1" applyAlignment="1">
      <alignment horizontal="center" vertical="center"/>
    </xf>
    <xf numFmtId="44" fontId="24" fillId="13" borderId="53" xfId="8" applyFont="1" applyFill="1" applyBorder="1" applyAlignment="1">
      <alignment vertical="center"/>
    </xf>
    <xf numFmtId="170" fontId="28" fillId="10" borderId="0" xfId="0" applyNumberFormat="1" applyFont="1" applyFill="1" applyAlignment="1">
      <alignment horizontal="right"/>
    </xf>
    <xf numFmtId="0" fontId="24" fillId="0" borderId="59" xfId="0" applyFont="1" applyBorder="1" applyAlignment="1">
      <alignment horizontal="left" vertical="center" wrapText="1"/>
    </xf>
    <xf numFmtId="0" fontId="24" fillId="0" borderId="65" xfId="0" applyFont="1" applyBorder="1" applyAlignment="1">
      <alignment horizontal="center" vertical="center"/>
    </xf>
    <xf numFmtId="1" fontId="24" fillId="12" borderId="63" xfId="0" applyNumberFormat="1" applyFont="1" applyFill="1" applyBorder="1" applyAlignment="1">
      <alignment horizontal="center" vertical="center"/>
    </xf>
    <xf numFmtId="0" fontId="24" fillId="15" borderId="67" xfId="0" applyFont="1" applyFill="1" applyBorder="1" applyAlignment="1">
      <alignment horizontal="left" vertical="center" wrapText="1"/>
    </xf>
    <xf numFmtId="0" fontId="24" fillId="15" borderId="64" xfId="0" applyFont="1" applyFill="1" applyBorder="1" applyAlignment="1">
      <alignment horizontal="left" vertical="center" wrapText="1"/>
    </xf>
    <xf numFmtId="0" fontId="24" fillId="0" borderId="0" xfId="0" applyFont="1" applyAlignment="1">
      <alignment horizontal="left" vertical="center" wrapText="1"/>
    </xf>
    <xf numFmtId="170" fontId="28" fillId="10" borderId="18" xfId="0" applyNumberFormat="1" applyFont="1" applyFill="1" applyBorder="1" applyAlignment="1">
      <alignment horizontal="right"/>
    </xf>
    <xf numFmtId="1" fontId="24" fillId="12" borderId="68" xfId="0" applyNumberFormat="1" applyFont="1" applyFill="1" applyBorder="1" applyAlignment="1">
      <alignment horizontal="center" vertical="center"/>
    </xf>
    <xf numFmtId="10" fontId="24" fillId="14" borderId="33" xfId="0" applyNumberFormat="1" applyFont="1" applyFill="1" applyBorder="1" applyAlignment="1">
      <alignment horizontal="center" vertical="center"/>
    </xf>
    <xf numFmtId="10" fontId="24" fillId="14" borderId="65" xfId="0" applyNumberFormat="1" applyFont="1" applyFill="1" applyBorder="1" applyAlignment="1">
      <alignment horizontal="center" vertical="center"/>
    </xf>
    <xf numFmtId="0" fontId="29" fillId="16" borderId="6" xfId="0" applyFont="1" applyFill="1" applyBorder="1"/>
    <xf numFmtId="0" fontId="29" fillId="16" borderId="37" xfId="0" applyFont="1" applyFill="1" applyBorder="1"/>
    <xf numFmtId="44" fontId="29" fillId="16" borderId="37" xfId="0" applyNumberFormat="1" applyFont="1" applyFill="1" applyBorder="1"/>
    <xf numFmtId="44" fontId="29" fillId="16" borderId="73" xfId="0" applyNumberFormat="1" applyFont="1" applyFill="1" applyBorder="1"/>
    <xf numFmtId="44" fontId="29" fillId="16" borderId="75" xfId="8" applyFont="1" applyFill="1" applyBorder="1"/>
    <xf numFmtId="44" fontId="24" fillId="13" borderId="76" xfId="8" applyFont="1" applyFill="1" applyBorder="1" applyAlignment="1">
      <alignment vertical="center"/>
    </xf>
    <xf numFmtId="171" fontId="25" fillId="6" borderId="54" xfId="1" applyNumberFormat="1" applyFont="1" applyFill="1" applyBorder="1" applyAlignment="1">
      <alignment horizontal="center" vertical="center" wrapText="1"/>
    </xf>
    <xf numFmtId="0" fontId="24" fillId="0" borderId="0" xfId="0" applyFont="1" applyAlignment="1">
      <alignment wrapText="1"/>
    </xf>
    <xf numFmtId="0" fontId="24" fillId="0" borderId="64" xfId="0" applyFont="1" applyBorder="1" applyAlignment="1">
      <alignment horizontal="left" vertical="center" wrapText="1"/>
    </xf>
    <xf numFmtId="44" fontId="24" fillId="14" borderId="65" xfId="8" applyFont="1" applyFill="1" applyBorder="1" applyAlignment="1">
      <alignment vertical="center"/>
    </xf>
    <xf numFmtId="9" fontId="24" fillId="13" borderId="65" xfId="1" applyFont="1" applyFill="1" applyBorder="1" applyAlignment="1">
      <alignment vertical="center"/>
    </xf>
    <xf numFmtId="44" fontId="24" fillId="13" borderId="65" xfId="8" applyFont="1" applyFill="1" applyBorder="1" applyAlignment="1">
      <alignment vertical="center"/>
    </xf>
    <xf numFmtId="1" fontId="24" fillId="12" borderId="7" xfId="0" applyNumberFormat="1" applyFont="1" applyFill="1" applyBorder="1" applyAlignment="1">
      <alignment horizontal="center" vertical="center"/>
    </xf>
    <xf numFmtId="44" fontId="24" fillId="12" borderId="7" xfId="8" applyFont="1" applyFill="1" applyBorder="1" applyAlignment="1">
      <alignment vertical="center"/>
    </xf>
    <xf numFmtId="44" fontId="24" fillId="14" borderId="7" xfId="8" applyFont="1" applyFill="1" applyBorder="1" applyAlignment="1">
      <alignment vertical="center"/>
    </xf>
    <xf numFmtId="44" fontId="24" fillId="13" borderId="7" xfId="8" applyFont="1" applyFill="1" applyBorder="1" applyAlignment="1">
      <alignment vertical="center"/>
    </xf>
    <xf numFmtId="9" fontId="24" fillId="13" borderId="7" xfId="1" applyFont="1" applyFill="1" applyBorder="1" applyAlignment="1">
      <alignment vertical="center"/>
    </xf>
    <xf numFmtId="0" fontId="24" fillId="0" borderId="64" xfId="0" applyFont="1" applyBorder="1" applyAlignment="1">
      <alignment horizontal="center" vertical="center"/>
    </xf>
    <xf numFmtId="44" fontId="24" fillId="14" borderId="64" xfId="8" applyFont="1" applyFill="1" applyBorder="1" applyAlignment="1">
      <alignment vertical="center"/>
    </xf>
    <xf numFmtId="9" fontId="24" fillId="13" borderId="64" xfId="1" applyFont="1" applyFill="1" applyBorder="1" applyAlignment="1">
      <alignment vertical="center"/>
    </xf>
    <xf numFmtId="44" fontId="29" fillId="16" borderId="15" xfId="0" applyNumberFormat="1" applyFont="1" applyFill="1" applyBorder="1"/>
    <xf numFmtId="0" fontId="29" fillId="16" borderId="14" xfId="0" applyFont="1" applyFill="1" applyBorder="1"/>
    <xf numFmtId="0" fontId="29" fillId="16" borderId="15" xfId="0" applyFont="1" applyFill="1" applyBorder="1"/>
    <xf numFmtId="44" fontId="29" fillId="16" borderId="75" xfId="0" applyNumberFormat="1" applyFont="1" applyFill="1" applyBorder="1"/>
    <xf numFmtId="44" fontId="25" fillId="15" borderId="65" xfId="8" applyFont="1" applyFill="1" applyBorder="1" applyAlignment="1">
      <alignment vertical="center"/>
    </xf>
    <xf numFmtId="44" fontId="25" fillId="15" borderId="64" xfId="8" applyFont="1" applyFill="1" applyBorder="1" applyAlignment="1">
      <alignment vertical="center"/>
    </xf>
    <xf numFmtId="44" fontId="25" fillId="15" borderId="53" xfId="8" applyFont="1" applyFill="1" applyBorder="1" applyAlignment="1">
      <alignment vertical="center"/>
    </xf>
    <xf numFmtId="44" fontId="25" fillId="15" borderId="78" xfId="8" applyFont="1" applyFill="1" applyBorder="1" applyAlignment="1">
      <alignment vertical="center"/>
    </xf>
    <xf numFmtId="9" fontId="29" fillId="16" borderId="15" xfId="1" applyFont="1" applyFill="1" applyBorder="1"/>
    <xf numFmtId="44" fontId="25" fillId="13" borderId="78" xfId="8" applyFont="1" applyFill="1" applyBorder="1" applyAlignment="1">
      <alignment vertical="center"/>
    </xf>
    <xf numFmtId="9" fontId="32" fillId="0" borderId="0" xfId="1" applyFont="1"/>
    <xf numFmtId="0" fontId="0" fillId="17" borderId="0" xfId="0" applyFill="1"/>
    <xf numFmtId="0" fontId="0" fillId="0" borderId="17" xfId="0" applyBorder="1" applyAlignment="1">
      <alignment horizontal="center"/>
    </xf>
    <xf numFmtId="0" fontId="2" fillId="0" borderId="67" xfId="0" applyFont="1" applyBorder="1"/>
    <xf numFmtId="0" fontId="2" fillId="0" borderId="87" xfId="0" applyFont="1" applyBorder="1"/>
    <xf numFmtId="0" fontId="0" fillId="0" borderId="7" xfId="0" applyBorder="1"/>
    <xf numFmtId="0" fontId="0" fillId="0" borderId="89" xfId="0" applyBorder="1"/>
    <xf numFmtId="44" fontId="0" fillId="0" borderId="91" xfId="0" applyNumberFormat="1" applyBorder="1"/>
    <xf numFmtId="44" fontId="0" fillId="0" borderId="92" xfId="0" applyNumberFormat="1" applyBorder="1"/>
    <xf numFmtId="0" fontId="2" fillId="0" borderId="81" xfId="0" applyFont="1" applyBorder="1"/>
    <xf numFmtId="44" fontId="0" fillId="21" borderId="12" xfId="0" applyNumberFormat="1" applyFill="1" applyBorder="1"/>
    <xf numFmtId="0" fontId="0" fillId="0" borderId="94" xfId="0" applyBorder="1"/>
    <xf numFmtId="44" fontId="0" fillId="0" borderId="81" xfId="0" applyNumberFormat="1" applyBorder="1"/>
    <xf numFmtId="0" fontId="24" fillId="0" borderId="64" xfId="0" applyFont="1" applyBorder="1" applyAlignment="1">
      <alignment vertical="center"/>
    </xf>
    <xf numFmtId="44" fontId="24" fillId="0" borderId="78" xfId="8" applyFont="1" applyBorder="1" applyAlignment="1">
      <alignment vertical="center"/>
    </xf>
    <xf numFmtId="44" fontId="24" fillId="13" borderId="78" xfId="8" applyFont="1" applyFill="1" applyBorder="1" applyAlignment="1">
      <alignment vertical="center"/>
    </xf>
    <xf numFmtId="0" fontId="34" fillId="0" borderId="64" xfId="0" applyFont="1" applyBorder="1" applyAlignment="1">
      <alignment horizontal="left"/>
    </xf>
    <xf numFmtId="44" fontId="24" fillId="12" borderId="64" xfId="8" applyFont="1" applyFill="1" applyBorder="1" applyAlignment="1">
      <alignment vertical="center"/>
    </xf>
    <xf numFmtId="44" fontId="24" fillId="22" borderId="64" xfId="8" applyFont="1" applyFill="1" applyBorder="1" applyAlignment="1">
      <alignment vertical="center"/>
    </xf>
    <xf numFmtId="0" fontId="34" fillId="0" borderId="67" xfId="0" applyFont="1" applyBorder="1" applyAlignment="1">
      <alignment horizontal="left"/>
    </xf>
    <xf numFmtId="0" fontId="24" fillId="0" borderId="67" xfId="0" applyFont="1" applyBorder="1" applyAlignment="1">
      <alignment horizontal="left" vertical="center" wrapText="1"/>
    </xf>
    <xf numFmtId="44" fontId="25" fillId="11" borderId="64" xfId="8" applyFont="1" applyFill="1" applyBorder="1" applyAlignment="1">
      <alignment horizontal="center" vertical="center"/>
    </xf>
    <xf numFmtId="10" fontId="25" fillId="11" borderId="10" xfId="0" applyNumberFormat="1" applyFont="1" applyFill="1" applyBorder="1" applyAlignment="1">
      <alignment horizontal="center" vertical="center"/>
    </xf>
    <xf numFmtId="10" fontId="25" fillId="11" borderId="64" xfId="0" applyNumberFormat="1" applyFont="1" applyFill="1" applyBorder="1" applyAlignment="1">
      <alignment horizontal="center" vertical="center"/>
    </xf>
    <xf numFmtId="0" fontId="25" fillId="11" borderId="64" xfId="0" applyFont="1" applyFill="1" applyBorder="1" applyAlignment="1">
      <alignment horizontal="center" vertical="center"/>
    </xf>
    <xf numFmtId="0" fontId="34" fillId="22" borderId="67" xfId="0" applyFont="1" applyFill="1" applyBorder="1" applyAlignment="1">
      <alignment horizontal="left"/>
    </xf>
    <xf numFmtId="1" fontId="34" fillId="0" borderId="64" xfId="0" applyNumberFormat="1" applyFont="1" applyBorder="1" applyAlignment="1">
      <alignment horizontal="center"/>
    </xf>
    <xf numFmtId="167" fontId="34" fillId="22" borderId="64" xfId="0" applyNumberFormat="1" applyFont="1" applyFill="1" applyBorder="1" applyAlignment="1">
      <alignment horizontal="center"/>
    </xf>
    <xf numFmtId="0" fontId="34" fillId="15" borderId="67" xfId="0" applyFont="1" applyFill="1" applyBorder="1" applyAlignment="1">
      <alignment horizontal="left"/>
    </xf>
    <xf numFmtId="0" fontId="4" fillId="6" borderId="81" xfId="3" applyFont="1" applyFill="1" applyBorder="1" applyAlignment="1">
      <alignment horizontal="left" vertical="center"/>
    </xf>
    <xf numFmtId="0" fontId="4" fillId="6" borderId="82" xfId="3" applyFont="1" applyFill="1" applyBorder="1" applyAlignment="1">
      <alignment horizontal="center" vertical="center"/>
    </xf>
    <xf numFmtId="0" fontId="25" fillId="6" borderId="82" xfId="3" applyFont="1" applyFill="1" applyBorder="1" applyAlignment="1">
      <alignment horizontal="center" vertical="center"/>
    </xf>
    <xf numFmtId="169" fontId="25" fillId="6" borderId="82" xfId="3" applyNumberFormat="1" applyFont="1" applyFill="1" applyBorder="1" applyAlignment="1">
      <alignment horizontal="center" vertical="center" wrapText="1"/>
    </xf>
    <xf numFmtId="0" fontId="25" fillId="6" borderId="82" xfId="3" applyFont="1" applyFill="1" applyBorder="1" applyAlignment="1">
      <alignment horizontal="center" vertical="center" wrapText="1"/>
    </xf>
    <xf numFmtId="9" fontId="25" fillId="6" borderId="82" xfId="1" applyFont="1" applyFill="1" applyBorder="1" applyAlignment="1">
      <alignment horizontal="center" vertical="center" wrapText="1"/>
    </xf>
    <xf numFmtId="10" fontId="25" fillId="6" borderId="82" xfId="1" applyNumberFormat="1" applyFont="1" applyFill="1" applyBorder="1" applyAlignment="1">
      <alignment horizontal="center" vertical="center" wrapText="1"/>
    </xf>
    <xf numFmtId="0" fontId="25" fillId="6" borderId="93" xfId="3" applyFont="1" applyFill="1" applyBorder="1" applyAlignment="1">
      <alignment horizontal="center" vertical="center" wrapText="1"/>
    </xf>
    <xf numFmtId="0" fontId="25" fillId="11" borderId="78" xfId="0" applyFont="1" applyFill="1" applyBorder="1" applyAlignment="1">
      <alignment horizontal="center" vertical="center"/>
    </xf>
    <xf numFmtId="44" fontId="25" fillId="11" borderId="78" xfId="8" applyFont="1" applyFill="1" applyBorder="1" applyAlignment="1">
      <alignment horizontal="center" vertical="center"/>
    </xf>
    <xf numFmtId="0" fontId="34" fillId="22" borderId="64" xfId="0" applyFont="1" applyFill="1" applyBorder="1" applyAlignment="1">
      <alignment horizontal="left"/>
    </xf>
    <xf numFmtId="0" fontId="34" fillId="15" borderId="64" xfId="0" applyFont="1" applyFill="1" applyBorder="1" applyAlignment="1">
      <alignment horizontal="left"/>
    </xf>
    <xf numFmtId="0" fontId="25" fillId="11" borderId="72" xfId="0" applyFont="1" applyFill="1" applyBorder="1" applyAlignment="1">
      <alignment horizontal="center" vertical="center"/>
    </xf>
    <xf numFmtId="0" fontId="25" fillId="11" borderId="98" xfId="0" applyFont="1" applyFill="1" applyBorder="1" applyAlignment="1">
      <alignment horizontal="center" vertical="center"/>
    </xf>
    <xf numFmtId="0" fontId="25" fillId="11" borderId="82" xfId="0" applyFont="1" applyFill="1" applyBorder="1" applyAlignment="1">
      <alignment horizontal="center" vertical="center"/>
    </xf>
    <xf numFmtId="0" fontId="25" fillId="11" borderId="93" xfId="0" applyFont="1" applyFill="1" applyBorder="1" applyAlignment="1">
      <alignment horizontal="center" vertical="center"/>
    </xf>
    <xf numFmtId="37" fontId="9" fillId="6" borderId="81" xfId="3" applyNumberFormat="1" applyFont="1" applyFill="1" applyBorder="1" applyAlignment="1">
      <alignment horizontal="center" vertical="center"/>
    </xf>
    <xf numFmtId="37" fontId="9" fillId="6" borderId="82" xfId="3" applyNumberFormat="1" applyFont="1" applyFill="1" applyBorder="1" applyAlignment="1">
      <alignment horizontal="center" vertical="center"/>
    </xf>
    <xf numFmtId="40" fontId="9" fillId="6" borderId="82" xfId="4" applyNumberFormat="1" applyFont="1" applyFill="1" applyBorder="1" applyAlignment="1">
      <alignment horizontal="center" vertical="center"/>
    </xf>
    <xf numFmtId="165" fontId="9" fillId="6" borderId="82" xfId="4" applyFont="1" applyFill="1" applyBorder="1" applyAlignment="1">
      <alignment horizontal="right" vertical="center"/>
    </xf>
    <xf numFmtId="40" fontId="9" fillId="6" borderId="82" xfId="4" applyNumberFormat="1" applyFont="1" applyFill="1" applyBorder="1" applyAlignment="1">
      <alignment horizontal="center" vertical="center" wrapText="1"/>
    </xf>
    <xf numFmtId="10" fontId="9" fillId="6" borderId="82" xfId="5" applyNumberFormat="1" applyFont="1" applyFill="1" applyBorder="1" applyAlignment="1">
      <alignment horizontal="center" vertical="center" wrapText="1"/>
    </xf>
    <xf numFmtId="165" fontId="9" fillId="6" borderId="82" xfId="4" applyFont="1" applyFill="1" applyBorder="1" applyAlignment="1">
      <alignment horizontal="center" vertical="center" wrapText="1"/>
    </xf>
    <xf numFmtId="165" fontId="9" fillId="6" borderId="93" xfId="4" applyFont="1" applyFill="1" applyBorder="1" applyAlignment="1">
      <alignment horizontal="center" vertical="center" wrapText="1"/>
    </xf>
    <xf numFmtId="1" fontId="24" fillId="12" borderId="67" xfId="0" applyNumberFormat="1" applyFont="1" applyFill="1" applyBorder="1" applyAlignment="1">
      <alignment horizontal="center" vertical="center"/>
    </xf>
    <xf numFmtId="1" fontId="24" fillId="12" borderId="64" xfId="0" applyNumberFormat="1" applyFont="1" applyFill="1" applyBorder="1" applyAlignment="1">
      <alignment horizontal="center" vertical="center"/>
    </xf>
    <xf numFmtId="1" fontId="24" fillId="12" borderId="52" xfId="0" applyNumberFormat="1" applyFont="1" applyFill="1" applyBorder="1" applyAlignment="1">
      <alignment horizontal="center" vertical="center"/>
    </xf>
    <xf numFmtId="1" fontId="24" fillId="12" borderId="65" xfId="0" applyNumberFormat="1" applyFont="1" applyFill="1" applyBorder="1" applyAlignment="1">
      <alignment horizontal="center" vertical="center"/>
    </xf>
    <xf numFmtId="44" fontId="24" fillId="12" borderId="65" xfId="8" applyFont="1" applyFill="1" applyBorder="1" applyAlignment="1">
      <alignment vertical="center"/>
    </xf>
    <xf numFmtId="9" fontId="24" fillId="13" borderId="82" xfId="1" applyFont="1" applyFill="1" applyBorder="1" applyAlignment="1">
      <alignment vertical="center"/>
    </xf>
    <xf numFmtId="44" fontId="24" fillId="13" borderId="82" xfId="8" applyFont="1" applyFill="1" applyBorder="1" applyAlignment="1">
      <alignment vertical="center"/>
    </xf>
    <xf numFmtId="0" fontId="24" fillId="21" borderId="64" xfId="0" applyFont="1" applyFill="1" applyBorder="1" applyAlignment="1">
      <alignment horizontal="center" vertical="center"/>
    </xf>
    <xf numFmtId="1" fontId="24" fillId="12" borderId="70" xfId="0" applyNumberFormat="1" applyFont="1" applyFill="1" applyBorder="1" applyAlignment="1">
      <alignment horizontal="center" vertical="center"/>
    </xf>
    <xf numFmtId="1" fontId="24" fillId="12" borderId="69" xfId="0" applyNumberFormat="1" applyFont="1" applyFill="1" applyBorder="1" applyAlignment="1">
      <alignment horizontal="center" vertical="center"/>
    </xf>
    <xf numFmtId="44" fontId="24" fillId="12" borderId="69" xfId="8" applyFont="1" applyFill="1" applyBorder="1" applyAlignment="1">
      <alignment vertical="center"/>
    </xf>
    <xf numFmtId="44" fontId="24" fillId="14" borderId="69" xfId="8" applyFont="1" applyFill="1" applyBorder="1" applyAlignment="1">
      <alignment vertical="center"/>
    </xf>
    <xf numFmtId="9" fontId="24" fillId="13" borderId="69" xfId="1" applyFont="1" applyFill="1" applyBorder="1" applyAlignment="1">
      <alignment vertical="center"/>
    </xf>
    <xf numFmtId="44" fontId="24" fillId="13" borderId="69" xfId="8" applyFont="1" applyFill="1" applyBorder="1" applyAlignment="1">
      <alignment vertical="center"/>
    </xf>
    <xf numFmtId="0" fontId="34" fillId="0" borderId="67" xfId="0" applyFont="1" applyBorder="1" applyAlignment="1">
      <alignment horizontal="left" vertical="center" wrapText="1"/>
    </xf>
    <xf numFmtId="0" fontId="34" fillId="0" borderId="64" xfId="0" applyFont="1" applyBorder="1" applyAlignment="1">
      <alignment horizontal="left" vertical="center" wrapText="1"/>
    </xf>
    <xf numFmtId="44" fontId="24" fillId="12" borderId="69" xfId="8" applyFont="1" applyFill="1" applyBorder="1" applyAlignment="1">
      <alignment horizontal="center" vertical="center"/>
    </xf>
    <xf numFmtId="44" fontId="24" fillId="12" borderId="7" xfId="8" applyFont="1" applyFill="1" applyBorder="1" applyAlignment="1">
      <alignment horizontal="center" vertical="center"/>
    </xf>
    <xf numFmtId="44" fontId="24" fillId="12" borderId="65" xfId="8" applyFont="1" applyFill="1" applyBorder="1" applyAlignment="1">
      <alignment horizontal="center" vertical="center"/>
    </xf>
    <xf numFmtId="1" fontId="24" fillId="12" borderId="83" xfId="0" applyNumberFormat="1" applyFont="1" applyFill="1" applyBorder="1" applyAlignment="1">
      <alignment horizontal="center" vertical="center"/>
    </xf>
    <xf numFmtId="44" fontId="24" fillId="22" borderId="65" xfId="8" applyFont="1" applyFill="1" applyBorder="1" applyAlignment="1">
      <alignment vertical="center"/>
    </xf>
    <xf numFmtId="0" fontId="24" fillId="21" borderId="65" xfId="0" applyFont="1" applyFill="1" applyBorder="1" applyAlignment="1">
      <alignment horizontal="center" vertical="center"/>
    </xf>
    <xf numFmtId="44" fontId="24" fillId="15" borderId="64" xfId="8" applyFont="1" applyFill="1" applyBorder="1" applyAlignment="1">
      <alignment vertical="center"/>
    </xf>
    <xf numFmtId="44" fontId="24" fillId="15" borderId="78" xfId="8" applyFont="1" applyFill="1" applyBorder="1" applyAlignment="1">
      <alignment vertical="center"/>
    </xf>
    <xf numFmtId="44" fontId="24" fillId="12" borderId="63" xfId="8" applyFont="1" applyFill="1" applyBorder="1" applyAlignment="1">
      <alignment horizontal="center" vertical="center"/>
    </xf>
    <xf numFmtId="0" fontId="25" fillId="11" borderId="96" xfId="0" applyFont="1" applyFill="1" applyBorder="1" applyAlignment="1">
      <alignment horizontal="center" vertical="center"/>
    </xf>
    <xf numFmtId="44" fontId="25" fillId="13" borderId="64" xfId="8" applyFont="1" applyFill="1" applyBorder="1" applyAlignment="1">
      <alignment vertical="center"/>
    </xf>
    <xf numFmtId="10" fontId="25" fillId="14" borderId="64" xfId="0" applyNumberFormat="1" applyFont="1" applyFill="1" applyBorder="1" applyAlignment="1">
      <alignment horizontal="center" vertical="center"/>
    </xf>
    <xf numFmtId="44" fontId="25" fillId="12" borderId="64" xfId="8" applyFont="1" applyFill="1" applyBorder="1" applyAlignment="1">
      <alignment vertical="center"/>
    </xf>
    <xf numFmtId="44" fontId="25" fillId="14" borderId="64" xfId="8" applyFont="1" applyFill="1" applyBorder="1" applyAlignment="1">
      <alignment vertical="center"/>
    </xf>
    <xf numFmtId="9" fontId="25" fillId="13" borderId="64" xfId="1" applyFont="1" applyFill="1" applyBorder="1" applyAlignment="1">
      <alignment vertical="center"/>
    </xf>
    <xf numFmtId="44" fontId="25" fillId="11" borderId="56" xfId="8" applyFont="1" applyFill="1" applyBorder="1" applyAlignment="1">
      <alignment horizontal="center" vertical="center"/>
    </xf>
    <xf numFmtId="44" fontId="25" fillId="11" borderId="55" xfId="8" applyFont="1" applyFill="1" applyBorder="1" applyAlignment="1">
      <alignment horizontal="center" vertical="center"/>
    </xf>
    <xf numFmtId="44" fontId="25" fillId="11" borderId="96" xfId="8" applyFont="1" applyFill="1" applyBorder="1" applyAlignment="1">
      <alignment horizontal="center" vertical="center"/>
    </xf>
    <xf numFmtId="170" fontId="28" fillId="10" borderId="15" xfId="8" applyNumberFormat="1" applyFont="1" applyFill="1" applyBorder="1" applyAlignment="1">
      <alignment horizontal="right"/>
    </xf>
    <xf numFmtId="170" fontId="28" fillId="10" borderId="97" xfId="8" applyNumberFormat="1" applyFont="1" applyFill="1" applyBorder="1" applyAlignment="1">
      <alignment horizontal="right"/>
    </xf>
    <xf numFmtId="10" fontId="25" fillId="14" borderId="10" xfId="0" applyNumberFormat="1" applyFont="1" applyFill="1" applyBorder="1" applyAlignment="1">
      <alignment horizontal="center" vertical="center"/>
    </xf>
    <xf numFmtId="170" fontId="28" fillId="10" borderId="0" xfId="8" applyNumberFormat="1" applyFont="1" applyFill="1" applyBorder="1" applyAlignment="1">
      <alignment horizontal="right"/>
    </xf>
    <xf numFmtId="0" fontId="25" fillId="11" borderId="66" xfId="0" applyFont="1" applyFill="1" applyBorder="1" applyAlignment="1">
      <alignment horizontal="center" vertical="center"/>
    </xf>
    <xf numFmtId="0" fontId="25" fillId="11" borderId="69" xfId="0" applyFont="1" applyFill="1" applyBorder="1" applyAlignment="1">
      <alignment horizontal="center" vertical="center"/>
    </xf>
    <xf numFmtId="0" fontId="25" fillId="11" borderId="18" xfId="0" applyFont="1" applyFill="1" applyBorder="1" applyAlignment="1">
      <alignment horizontal="center" vertical="center"/>
    </xf>
    <xf numFmtId="44" fontId="16" fillId="13" borderId="18" xfId="8" applyFont="1" applyFill="1" applyBorder="1"/>
    <xf numFmtId="44" fontId="28" fillId="10" borderId="64" xfId="8" applyFont="1" applyFill="1" applyBorder="1" applyAlignment="1">
      <alignment horizontal="right"/>
    </xf>
    <xf numFmtId="44" fontId="16" fillId="14" borderId="64" xfId="8" applyFont="1" applyFill="1" applyBorder="1" applyAlignment="1">
      <alignment vertical="center"/>
    </xf>
    <xf numFmtId="44" fontId="16" fillId="13" borderId="64" xfId="8" applyFont="1" applyFill="1" applyBorder="1" applyAlignment="1">
      <alignment vertical="center"/>
    </xf>
    <xf numFmtId="44" fontId="16" fillId="13" borderId="78" xfId="8" applyFont="1" applyFill="1" applyBorder="1" applyAlignment="1">
      <alignment vertical="center"/>
    </xf>
    <xf numFmtId="0" fontId="24" fillId="15" borderId="52" xfId="0" applyFont="1" applyFill="1" applyBorder="1" applyAlignment="1">
      <alignment horizontal="left" vertical="center" wrapText="1"/>
    </xf>
    <xf numFmtId="0" fontId="24" fillId="15" borderId="65" xfId="0" applyFont="1" applyFill="1" applyBorder="1" applyAlignment="1">
      <alignment horizontal="left" vertical="center" wrapText="1"/>
    </xf>
    <xf numFmtId="1" fontId="24" fillId="15" borderId="65" xfId="0" applyNumberFormat="1" applyFont="1" applyFill="1" applyBorder="1" applyAlignment="1">
      <alignment horizontal="center" vertical="center"/>
    </xf>
    <xf numFmtId="1" fontId="24" fillId="15" borderId="64" xfId="0" applyNumberFormat="1" applyFont="1" applyFill="1" applyBorder="1" applyAlignment="1">
      <alignment horizontal="center" vertical="center"/>
    </xf>
    <xf numFmtId="0" fontId="24" fillId="15" borderId="65" xfId="0" applyFont="1" applyFill="1" applyBorder="1" applyAlignment="1">
      <alignment horizontal="center" vertical="center"/>
    </xf>
    <xf numFmtId="0" fontId="24" fillId="15" borderId="64" xfId="0" applyFont="1" applyFill="1" applyBorder="1" applyAlignment="1">
      <alignment horizontal="center" vertical="center"/>
    </xf>
    <xf numFmtId="44" fontId="24" fillId="0" borderId="64" xfId="8" applyFont="1" applyBorder="1" applyAlignment="1">
      <alignment horizontal="center" vertical="center"/>
    </xf>
    <xf numFmtId="44" fontId="34" fillId="0" borderId="64" xfId="8" applyFont="1" applyBorder="1" applyAlignment="1">
      <alignment horizontal="center" vertical="center"/>
    </xf>
    <xf numFmtId="44" fontId="34" fillId="15" borderId="64" xfId="8" applyFont="1" applyFill="1" applyBorder="1" applyAlignment="1">
      <alignment vertical="center"/>
    </xf>
    <xf numFmtId="44" fontId="34" fillId="0" borderId="64" xfId="8" applyFont="1" applyBorder="1" applyAlignment="1">
      <alignment vertical="center"/>
    </xf>
    <xf numFmtId="44" fontId="29" fillId="16" borderId="97" xfId="0" applyNumberFormat="1" applyFont="1" applyFill="1" applyBorder="1"/>
    <xf numFmtId="0" fontId="34" fillId="21" borderId="64" xfId="0" applyFont="1" applyFill="1" applyBorder="1" applyAlignment="1">
      <alignment horizontal="left" vertical="center" wrapText="1"/>
    </xf>
    <xf numFmtId="1" fontId="25" fillId="12" borderId="67" xfId="0" applyNumberFormat="1" applyFont="1" applyFill="1" applyBorder="1" applyAlignment="1">
      <alignment horizontal="center" vertical="center"/>
    </xf>
    <xf numFmtId="1" fontId="25" fillId="12" borderId="64" xfId="0" applyNumberFormat="1" applyFont="1" applyFill="1" applyBorder="1" applyAlignment="1">
      <alignment horizontal="center" vertical="center"/>
    </xf>
    <xf numFmtId="0" fontId="29" fillId="16" borderId="6" xfId="0" applyFont="1" applyFill="1" applyBorder="1" applyAlignment="1">
      <alignment horizontal="center"/>
    </xf>
    <xf numFmtId="0" fontId="29" fillId="16" borderId="37" xfId="0" applyFont="1" applyFill="1" applyBorder="1" applyAlignment="1">
      <alignment horizontal="center"/>
    </xf>
    <xf numFmtId="44" fontId="37" fillId="12" borderId="63" xfId="8" applyFont="1" applyFill="1" applyBorder="1" applyAlignment="1">
      <alignment vertical="center"/>
    </xf>
    <xf numFmtId="44" fontId="37" fillId="12" borderId="7" xfId="8" applyFont="1" applyFill="1" applyBorder="1" applyAlignment="1">
      <alignment vertical="center"/>
    </xf>
    <xf numFmtId="44" fontId="30" fillId="16" borderId="0" xfId="8" applyFont="1" applyFill="1" applyBorder="1" applyAlignment="1">
      <alignment horizontal="center"/>
    </xf>
    <xf numFmtId="44" fontId="30" fillId="16" borderId="18" xfId="8" applyFont="1" applyFill="1" applyBorder="1" applyAlignment="1">
      <alignment horizontal="center"/>
    </xf>
    <xf numFmtId="44" fontId="0" fillId="0" borderId="0" xfId="0" applyNumberFormat="1"/>
    <xf numFmtId="44" fontId="0" fillId="23" borderId="91" xfId="0" applyNumberFormat="1" applyFill="1" applyBorder="1"/>
    <xf numFmtId="44" fontId="0" fillId="23" borderId="92" xfId="0" applyNumberFormat="1" applyFill="1" applyBorder="1"/>
    <xf numFmtId="44" fontId="0" fillId="23" borderId="93" xfId="0" applyNumberFormat="1" applyFill="1" applyBorder="1"/>
    <xf numFmtId="0" fontId="2" fillId="0" borderId="11" xfId="0" applyFont="1" applyBorder="1"/>
    <xf numFmtId="44" fontId="0" fillId="23" borderId="96" xfId="0" applyNumberFormat="1" applyFill="1" applyBorder="1"/>
    <xf numFmtId="0" fontId="2" fillId="0" borderId="17" xfId="0" applyFont="1" applyBorder="1"/>
    <xf numFmtId="44" fontId="0" fillId="23" borderId="90" xfId="0" applyNumberFormat="1" applyFill="1" applyBorder="1"/>
    <xf numFmtId="44" fontId="2" fillId="23" borderId="102" xfId="0" applyNumberFormat="1" applyFont="1" applyFill="1" applyBorder="1"/>
    <xf numFmtId="10" fontId="24" fillId="14" borderId="102" xfId="0" applyNumberFormat="1" applyFont="1" applyFill="1" applyBorder="1" applyAlignment="1">
      <alignment horizontal="center" vertical="center"/>
    </xf>
    <xf numFmtId="10" fontId="24" fillId="14" borderId="72" xfId="0" applyNumberFormat="1" applyFont="1" applyFill="1" applyBorder="1" applyAlignment="1">
      <alignment horizontal="center" vertical="center"/>
    </xf>
    <xf numFmtId="44" fontId="36" fillId="12" borderId="64" xfId="8" applyFont="1" applyFill="1" applyBorder="1" applyAlignment="1">
      <alignment vertical="center"/>
    </xf>
    <xf numFmtId="0" fontId="33" fillId="0" borderId="87" xfId="0" applyFont="1" applyBorder="1"/>
    <xf numFmtId="44" fontId="0" fillId="17" borderId="50" xfId="0" applyNumberFormat="1" applyFill="1" applyBorder="1"/>
    <xf numFmtId="44" fontId="0" fillId="23" borderId="49" xfId="0" applyNumberFormat="1" applyFill="1" applyBorder="1"/>
    <xf numFmtId="44" fontId="0" fillId="23" borderId="38" xfId="0" applyNumberFormat="1" applyFill="1" applyBorder="1"/>
    <xf numFmtId="44" fontId="0" fillId="23" borderId="57" xfId="0" applyNumberFormat="1" applyFill="1" applyBorder="1"/>
    <xf numFmtId="0" fontId="0" fillId="21" borderId="50" xfId="0" applyFill="1" applyBorder="1"/>
    <xf numFmtId="0" fontId="0" fillId="19" borderId="103" xfId="0" applyFill="1" applyBorder="1" applyAlignment="1">
      <alignment horizontal="center"/>
    </xf>
    <xf numFmtId="0" fontId="0" fillId="23" borderId="103" xfId="0" applyFill="1" applyBorder="1" applyAlignment="1">
      <alignment horizontal="center"/>
    </xf>
    <xf numFmtId="44" fontId="0" fillId="15" borderId="18" xfId="0" applyNumberFormat="1" applyFill="1" applyBorder="1"/>
    <xf numFmtId="44" fontId="0" fillId="15" borderId="0" xfId="0" applyNumberFormat="1" applyFill="1"/>
    <xf numFmtId="0" fontId="2" fillId="0" borderId="0" xfId="0" applyFont="1"/>
    <xf numFmtId="0" fontId="38" fillId="0" borderId="0" xfId="0" applyFont="1"/>
    <xf numFmtId="49" fontId="39" fillId="0" borderId="0" xfId="2" applyNumberFormat="1" applyFont="1" applyAlignment="1">
      <alignment horizontal="left" vertical="center" wrapText="1"/>
    </xf>
    <xf numFmtId="0" fontId="39" fillId="0" borderId="0" xfId="2" applyFont="1" applyAlignment="1">
      <alignment horizontal="left" vertical="center" wrapText="1"/>
    </xf>
    <xf numFmtId="0" fontId="40" fillId="0" borderId="0" xfId="0" applyFont="1" applyAlignment="1">
      <alignment horizontal="center"/>
    </xf>
    <xf numFmtId="0" fontId="41" fillId="0" borderId="0" xfId="0" applyFont="1" applyAlignment="1">
      <alignment horizontal="center"/>
    </xf>
    <xf numFmtId="164" fontId="39" fillId="0" borderId="0" xfId="2" applyNumberFormat="1" applyFont="1" applyAlignment="1">
      <alignment horizontal="left" vertical="center"/>
    </xf>
    <xf numFmtId="0" fontId="40" fillId="0" borderId="0" xfId="0" applyFont="1"/>
    <xf numFmtId="164" fontId="39" fillId="0" borderId="20" xfId="2" applyNumberFormat="1" applyFont="1" applyBorder="1" applyAlignment="1" applyProtection="1">
      <alignment horizontal="left" vertical="center"/>
      <protection locked="0"/>
    </xf>
    <xf numFmtId="164" fontId="39" fillId="0" borderId="19" xfId="2" applyNumberFormat="1" applyFont="1" applyBorder="1" applyAlignment="1" applyProtection="1">
      <alignment horizontal="left" vertical="center"/>
      <protection locked="0"/>
    </xf>
    <xf numFmtId="164" fontId="39" fillId="0" borderId="31" xfId="2" applyNumberFormat="1" applyFont="1" applyBorder="1" applyAlignment="1" applyProtection="1">
      <alignment horizontal="left" vertical="center"/>
      <protection locked="0"/>
    </xf>
    <xf numFmtId="164" fontId="39" fillId="0" borderId="30" xfId="2" applyNumberFormat="1" applyFont="1" applyBorder="1" applyAlignment="1" applyProtection="1">
      <alignment horizontal="left" vertical="center"/>
      <protection locked="0"/>
    </xf>
    <xf numFmtId="0" fontId="39" fillId="0" borderId="23" xfId="2" applyFont="1" applyBorder="1" applyAlignment="1" applyProtection="1">
      <alignment horizontal="left" vertical="center"/>
      <protection locked="0"/>
    </xf>
    <xf numFmtId="14" fontId="39" fillId="0" borderId="30" xfId="2" applyNumberFormat="1" applyFont="1" applyBorder="1" applyAlignment="1" applyProtection="1">
      <alignment horizontal="left" vertical="center"/>
      <protection locked="0"/>
    </xf>
    <xf numFmtId="164" fontId="39" fillId="0" borderId="39" xfId="2" applyNumberFormat="1" applyFont="1" applyBorder="1" applyAlignment="1" applyProtection="1">
      <alignment horizontal="left" vertical="center"/>
      <protection locked="0"/>
    </xf>
    <xf numFmtId="0" fontId="39" fillId="0" borderId="26" xfId="2" applyFont="1" applyBorder="1" applyAlignment="1" applyProtection="1">
      <alignment horizontal="left" vertical="center"/>
      <protection locked="0"/>
    </xf>
    <xf numFmtId="49" fontId="40" fillId="0" borderId="0" xfId="0" applyNumberFormat="1" applyFont="1"/>
    <xf numFmtId="0" fontId="38" fillId="0" borderId="0" xfId="1" applyNumberFormat="1" applyFont="1"/>
    <xf numFmtId="165" fontId="43" fillId="6" borderId="38" xfId="4" applyFont="1" applyFill="1" applyBorder="1" applyAlignment="1">
      <alignment horizontal="center" vertical="center" wrapText="1"/>
    </xf>
    <xf numFmtId="168" fontId="40" fillId="0" borderId="5" xfId="1" applyNumberFormat="1" applyFont="1" applyBorder="1"/>
    <xf numFmtId="0" fontId="44" fillId="5" borderId="0" xfId="0" applyFont="1" applyFill="1"/>
    <xf numFmtId="49" fontId="44" fillId="5" borderId="0" xfId="0" applyNumberFormat="1" applyFont="1" applyFill="1"/>
    <xf numFmtId="0" fontId="45" fillId="0" borderId="0" xfId="0" applyFont="1"/>
    <xf numFmtId="0" fontId="46" fillId="0" borderId="45" xfId="0" applyFont="1" applyBorder="1" applyAlignment="1">
      <alignment horizontal="left" vertical="center"/>
    </xf>
    <xf numFmtId="49" fontId="44" fillId="0" borderId="46" xfId="0" applyNumberFormat="1" applyFont="1" applyBorder="1" applyAlignment="1">
      <alignment horizontal="left" vertical="center"/>
    </xf>
    <xf numFmtId="0" fontId="46" fillId="0" borderId="47" xfId="0" applyFont="1" applyBorder="1" applyAlignment="1">
      <alignment horizontal="left" vertical="center"/>
    </xf>
    <xf numFmtId="0" fontId="46" fillId="0" borderId="45" xfId="0" applyFont="1" applyBorder="1" applyAlignment="1">
      <alignment horizontal="left" vertical="center" wrapText="1"/>
    </xf>
    <xf numFmtId="0" fontId="39" fillId="6" borderId="38" xfId="3" applyFont="1" applyFill="1" applyBorder="1" applyAlignment="1">
      <alignment horizontal="left" vertical="center"/>
    </xf>
    <xf numFmtId="0" fontId="39" fillId="6" borderId="58" xfId="3" applyFont="1" applyFill="1" applyBorder="1" applyAlignment="1">
      <alignment horizontal="center" vertical="center"/>
    </xf>
    <xf numFmtId="0" fontId="44" fillId="6" borderId="55" xfId="3" applyFont="1" applyFill="1" applyBorder="1" applyAlignment="1">
      <alignment horizontal="center" vertical="center"/>
    </xf>
    <xf numFmtId="169" fontId="44" fillId="6" borderId="55" xfId="3" applyNumberFormat="1" applyFont="1" applyFill="1" applyBorder="1" applyAlignment="1">
      <alignment horizontal="center" vertical="center" wrapText="1"/>
    </xf>
    <xf numFmtId="0" fontId="44" fillId="6" borderId="56" xfId="3" applyFont="1" applyFill="1" applyBorder="1" applyAlignment="1">
      <alignment horizontal="center" vertical="center" wrapText="1"/>
    </xf>
    <xf numFmtId="171" fontId="44" fillId="6" borderId="54" xfId="1" applyNumberFormat="1" applyFont="1" applyFill="1" applyBorder="1" applyAlignment="1">
      <alignment horizontal="center" vertical="center" wrapText="1"/>
    </xf>
    <xf numFmtId="10" fontId="44" fillId="6" borderId="55" xfId="1" applyNumberFormat="1" applyFont="1" applyFill="1" applyBorder="1" applyAlignment="1">
      <alignment horizontal="center" vertical="center" wrapText="1"/>
    </xf>
    <xf numFmtId="0" fontId="44" fillId="6" borderId="57" xfId="3" applyFont="1" applyFill="1" applyBorder="1" applyAlignment="1">
      <alignment horizontal="center" vertical="center" wrapText="1"/>
    </xf>
    <xf numFmtId="37" fontId="43" fillId="6" borderId="54" xfId="3" applyNumberFormat="1" applyFont="1" applyFill="1" applyBorder="1" applyAlignment="1">
      <alignment horizontal="center" vertical="center"/>
    </xf>
    <xf numFmtId="37" fontId="43" fillId="6" borderId="55" xfId="3" applyNumberFormat="1" applyFont="1" applyFill="1" applyBorder="1" applyAlignment="1">
      <alignment horizontal="center" vertical="center"/>
    </xf>
    <xf numFmtId="40" fontId="43" fillId="6" borderId="55" xfId="4" applyNumberFormat="1" applyFont="1" applyFill="1" applyBorder="1" applyAlignment="1">
      <alignment horizontal="center" vertical="center"/>
    </xf>
    <xf numFmtId="165" fontId="43" fillId="6" borderId="55" xfId="4" applyFont="1" applyFill="1" applyBorder="1" applyAlignment="1">
      <alignment horizontal="right" vertical="center"/>
    </xf>
    <xf numFmtId="40" fontId="43" fillId="6" borderId="55" xfId="4" applyNumberFormat="1" applyFont="1" applyFill="1" applyBorder="1" applyAlignment="1">
      <alignment horizontal="center" vertical="center" wrapText="1"/>
    </xf>
    <xf numFmtId="10" fontId="43" fillId="6" borderId="55" xfId="5" applyNumberFormat="1" applyFont="1" applyFill="1" applyBorder="1" applyAlignment="1">
      <alignment horizontal="center" vertical="center" wrapText="1"/>
    </xf>
    <xf numFmtId="165" fontId="43" fillId="6" borderId="55" xfId="4" applyFont="1" applyFill="1" applyBorder="1" applyAlignment="1">
      <alignment horizontal="center" vertical="center" wrapText="1"/>
    </xf>
    <xf numFmtId="165" fontId="43" fillId="6" borderId="57" xfId="4" applyFont="1" applyFill="1" applyBorder="1" applyAlignment="1">
      <alignment horizontal="center" vertical="center" wrapText="1"/>
    </xf>
    <xf numFmtId="10" fontId="43" fillId="6" borderId="48" xfId="5" applyNumberFormat="1" applyFont="1" applyFill="1" applyBorder="1" applyAlignment="1">
      <alignment horizontal="center" vertical="center" wrapText="1"/>
    </xf>
    <xf numFmtId="10" fontId="43" fillId="6" borderId="49" xfId="5" applyNumberFormat="1" applyFont="1" applyFill="1" applyBorder="1" applyAlignment="1">
      <alignment horizontal="center" vertical="center" wrapText="1"/>
    </xf>
    <xf numFmtId="165" fontId="43" fillId="6" borderId="50" xfId="4" applyFont="1" applyFill="1" applyBorder="1" applyAlignment="1">
      <alignment horizontal="center" vertical="center" wrapText="1"/>
    </xf>
    <xf numFmtId="165" fontId="43" fillId="6" borderId="49" xfId="4" applyFont="1" applyFill="1" applyBorder="1" applyAlignment="1">
      <alignment horizontal="center" vertical="center" wrapText="1"/>
    </xf>
    <xf numFmtId="37" fontId="43" fillId="6" borderId="3" xfId="3" applyNumberFormat="1" applyFont="1" applyFill="1" applyBorder="1" applyAlignment="1">
      <alignment horizontal="center" vertical="center"/>
    </xf>
    <xf numFmtId="40" fontId="43" fillId="6" borderId="51" xfId="4" applyNumberFormat="1" applyFont="1" applyFill="1" applyBorder="1" applyAlignment="1">
      <alignment horizontal="center" vertical="center"/>
    </xf>
    <xf numFmtId="49" fontId="44" fillId="0" borderId="46" xfId="0" applyNumberFormat="1" applyFont="1" applyBorder="1" applyAlignment="1">
      <alignment horizontal="left" vertical="center" wrapText="1"/>
    </xf>
    <xf numFmtId="0" fontId="46" fillId="0" borderId="47" xfId="0" applyFont="1" applyBorder="1" applyAlignment="1">
      <alignment horizontal="left" vertical="center" wrapText="1"/>
    </xf>
    <xf numFmtId="0" fontId="44" fillId="11" borderId="56" xfId="0" applyFont="1" applyFill="1" applyBorder="1" applyAlignment="1">
      <alignment horizontal="center" vertical="center"/>
    </xf>
    <xf numFmtId="0" fontId="44" fillId="11" borderId="55" xfId="0" applyFont="1" applyFill="1" applyBorder="1" applyAlignment="1">
      <alignment horizontal="center" vertical="center"/>
    </xf>
    <xf numFmtId="0" fontId="44" fillId="11" borderId="96" xfId="0" applyFont="1" applyFill="1" applyBorder="1" applyAlignment="1">
      <alignment horizontal="center" vertical="center"/>
    </xf>
    <xf numFmtId="0" fontId="40" fillId="11" borderId="10" xfId="0" applyFont="1" applyFill="1" applyBorder="1" applyAlignment="1">
      <alignment horizontal="center" vertical="center"/>
    </xf>
    <xf numFmtId="0" fontId="40" fillId="11" borderId="64" xfId="0" applyFont="1" applyFill="1" applyBorder="1" applyAlignment="1">
      <alignment horizontal="center" vertical="center"/>
    </xf>
    <xf numFmtId="0" fontId="46" fillId="0" borderId="60" xfId="0" applyFont="1" applyBorder="1" applyAlignment="1">
      <alignment horizontal="left" vertical="center" wrapText="1"/>
    </xf>
    <xf numFmtId="0" fontId="46" fillId="0" borderId="62" xfId="0" applyFont="1" applyBorder="1" applyAlignment="1">
      <alignment horizontal="left" vertical="center" wrapText="1"/>
    </xf>
    <xf numFmtId="0" fontId="46" fillId="0" borderId="67" xfId="0" applyFont="1" applyBorder="1" applyAlignment="1">
      <alignment horizontal="left" vertical="center" wrapText="1"/>
    </xf>
    <xf numFmtId="0" fontId="46" fillId="0" borderId="64" xfId="0" applyFont="1" applyBorder="1" applyAlignment="1">
      <alignment horizontal="left" vertical="center" wrapText="1"/>
    </xf>
    <xf numFmtId="0" fontId="46" fillId="0" borderId="64" xfId="0" applyFont="1" applyBorder="1" applyAlignment="1">
      <alignment horizontal="center" vertical="center"/>
    </xf>
    <xf numFmtId="44" fontId="46" fillId="0" borderId="64" xfId="8" applyFont="1" applyBorder="1" applyAlignment="1">
      <alignment vertical="center"/>
    </xf>
    <xf numFmtId="44" fontId="46" fillId="0" borderId="78" xfId="8" applyFont="1" applyBorder="1" applyAlignment="1">
      <alignment vertical="center"/>
    </xf>
    <xf numFmtId="1" fontId="46" fillId="12" borderId="7" xfId="0" applyNumberFormat="1" applyFont="1" applyFill="1" applyBorder="1" applyAlignment="1">
      <alignment horizontal="center" vertical="center"/>
    </xf>
    <xf numFmtId="44" fontId="46" fillId="12" borderId="7" xfId="8" applyFont="1" applyFill="1" applyBorder="1" applyAlignment="1">
      <alignment vertical="center"/>
    </xf>
    <xf numFmtId="44" fontId="49" fillId="12" borderId="7" xfId="8" applyFont="1" applyFill="1" applyBorder="1" applyAlignment="1">
      <alignment vertical="center"/>
    </xf>
    <xf numFmtId="44" fontId="46" fillId="14" borderId="7" xfId="8" applyFont="1" applyFill="1" applyBorder="1" applyAlignment="1">
      <alignment vertical="center"/>
    </xf>
    <xf numFmtId="9" fontId="46" fillId="13" borderId="7" xfId="1" applyFont="1" applyFill="1" applyBorder="1" applyAlignment="1">
      <alignment vertical="center"/>
    </xf>
    <xf numFmtId="44" fontId="46" fillId="13" borderId="7" xfId="8" applyFont="1" applyFill="1" applyBorder="1" applyAlignment="1">
      <alignment vertical="center"/>
    </xf>
    <xf numFmtId="44" fontId="46" fillId="13" borderId="64" xfId="8" applyFont="1" applyFill="1" applyBorder="1" applyAlignment="1">
      <alignment vertical="center"/>
    </xf>
    <xf numFmtId="10" fontId="46" fillId="14" borderId="64" xfId="0" applyNumberFormat="1" applyFont="1" applyFill="1" applyBorder="1" applyAlignment="1">
      <alignment horizontal="center" vertical="center"/>
    </xf>
    <xf numFmtId="10" fontId="46" fillId="14" borderId="0" xfId="0" applyNumberFormat="1" applyFont="1" applyFill="1" applyAlignment="1">
      <alignment horizontal="center" vertical="center"/>
    </xf>
    <xf numFmtId="0" fontId="38" fillId="17" borderId="0" xfId="0" applyFont="1" applyFill="1"/>
    <xf numFmtId="0" fontId="46" fillId="0" borderId="59" xfId="0" applyFont="1" applyBorder="1" applyAlignment="1">
      <alignment horizontal="left" vertical="center" wrapText="1"/>
    </xf>
    <xf numFmtId="0" fontId="46" fillId="0" borderId="0" xfId="0" applyFont="1" applyAlignment="1">
      <alignment horizontal="left" vertical="center" wrapText="1"/>
    </xf>
    <xf numFmtId="170" fontId="29" fillId="10" borderId="0" xfId="0" applyNumberFormat="1" applyFont="1" applyFill="1" applyAlignment="1">
      <alignment horizontal="right"/>
    </xf>
    <xf numFmtId="170" fontId="29" fillId="10" borderId="18" xfId="0" applyNumberFormat="1" applyFont="1" applyFill="1" applyBorder="1" applyAlignment="1">
      <alignment horizontal="right"/>
    </xf>
    <xf numFmtId="44" fontId="29" fillId="10" borderId="0" xfId="0" applyNumberFormat="1" applyFont="1" applyFill="1" applyAlignment="1">
      <alignment horizontal="right"/>
    </xf>
    <xf numFmtId="44" fontId="44" fillId="14" borderId="72" xfId="0" applyNumberFormat="1" applyFont="1" applyFill="1" applyBorder="1"/>
    <xf numFmtId="0" fontId="38" fillId="13" borderId="72" xfId="0" applyFont="1" applyFill="1" applyBorder="1"/>
    <xf numFmtId="44" fontId="44" fillId="13" borderId="72" xfId="0" applyNumberFormat="1" applyFont="1" applyFill="1" applyBorder="1"/>
    <xf numFmtId="44" fontId="44" fillId="13" borderId="72" xfId="8" applyFont="1" applyFill="1" applyBorder="1"/>
    <xf numFmtId="0" fontId="46" fillId="0" borderId="52" xfId="0" applyFont="1" applyBorder="1" applyAlignment="1">
      <alignment horizontal="left" vertical="center" wrapText="1"/>
    </xf>
    <xf numFmtId="0" fontId="46" fillId="0" borderId="0" xfId="0" applyFont="1" applyAlignment="1">
      <alignment wrapText="1"/>
    </xf>
    <xf numFmtId="0" fontId="46" fillId="0" borderId="65" xfId="0" applyFont="1" applyBorder="1" applyAlignment="1">
      <alignment horizontal="center" vertical="center"/>
    </xf>
    <xf numFmtId="44" fontId="46" fillId="0" borderId="65" xfId="8" applyFont="1" applyBorder="1" applyAlignment="1">
      <alignment vertical="center"/>
    </xf>
    <xf numFmtId="44" fontId="46" fillId="0" borderId="53" xfId="8" applyFont="1" applyBorder="1" applyAlignment="1">
      <alignment vertical="center"/>
    </xf>
    <xf numFmtId="1" fontId="46" fillId="12" borderId="68" xfId="0" applyNumberFormat="1" applyFont="1" applyFill="1" applyBorder="1" applyAlignment="1">
      <alignment horizontal="center" vertical="center"/>
    </xf>
    <xf numFmtId="1" fontId="46" fillId="12" borderId="63" xfId="0" applyNumberFormat="1" applyFont="1" applyFill="1" applyBorder="1" applyAlignment="1">
      <alignment horizontal="center" vertical="center"/>
    </xf>
    <xf numFmtId="44" fontId="46" fillId="12" borderId="63" xfId="8" applyFont="1" applyFill="1" applyBorder="1" applyAlignment="1">
      <alignment vertical="center"/>
    </xf>
    <xf numFmtId="44" fontId="49" fillId="12" borderId="63" xfId="8" applyFont="1" applyFill="1" applyBorder="1" applyAlignment="1">
      <alignment vertical="center"/>
    </xf>
    <xf numFmtId="44" fontId="46" fillId="14" borderId="63" xfId="8" applyFont="1" applyFill="1" applyBorder="1" applyAlignment="1">
      <alignment vertical="center"/>
    </xf>
    <xf numFmtId="9" fontId="46" fillId="13" borderId="63" xfId="1" applyFont="1" applyFill="1" applyBorder="1" applyAlignment="1">
      <alignment vertical="center"/>
    </xf>
    <xf numFmtId="44" fontId="46" fillId="13" borderId="63" xfId="8" applyFont="1" applyFill="1" applyBorder="1" applyAlignment="1">
      <alignment vertical="center"/>
    </xf>
    <xf numFmtId="44" fontId="46" fillId="13" borderId="53" xfId="8" applyFont="1" applyFill="1" applyBorder="1" applyAlignment="1">
      <alignment vertical="center"/>
    </xf>
    <xf numFmtId="10" fontId="46" fillId="14" borderId="10" xfId="0" applyNumberFormat="1" applyFont="1" applyFill="1" applyBorder="1" applyAlignment="1">
      <alignment horizontal="center" vertical="center"/>
    </xf>
    <xf numFmtId="10" fontId="46" fillId="14" borderId="65" xfId="0" applyNumberFormat="1" applyFont="1" applyFill="1" applyBorder="1" applyAlignment="1">
      <alignment horizontal="center" vertical="center"/>
    </xf>
    <xf numFmtId="0" fontId="46" fillId="0" borderId="70" xfId="0" applyFont="1" applyBorder="1" applyAlignment="1">
      <alignment horizontal="left" vertical="center" wrapText="1"/>
    </xf>
    <xf numFmtId="0" fontId="46" fillId="0" borderId="69" xfId="0" applyFont="1" applyBorder="1" applyAlignment="1">
      <alignment horizontal="left" vertical="center" wrapText="1"/>
    </xf>
    <xf numFmtId="0" fontId="46" fillId="0" borderId="69" xfId="0" applyFont="1" applyBorder="1" applyAlignment="1">
      <alignment horizontal="center" vertical="center"/>
    </xf>
    <xf numFmtId="44" fontId="46" fillId="0" borderId="69" xfId="8" applyFont="1" applyBorder="1" applyAlignment="1">
      <alignment vertical="center"/>
    </xf>
    <xf numFmtId="44" fontId="46" fillId="0" borderId="76" xfId="8" applyFont="1" applyBorder="1" applyAlignment="1">
      <alignment vertical="center"/>
    </xf>
    <xf numFmtId="1" fontId="46" fillId="12" borderId="17" xfId="0" applyNumberFormat="1" applyFont="1" applyFill="1" applyBorder="1" applyAlignment="1">
      <alignment horizontal="center" vertical="center"/>
    </xf>
    <xf numFmtId="1" fontId="46" fillId="12" borderId="66" xfId="0" applyNumberFormat="1" applyFont="1" applyFill="1" applyBorder="1" applyAlignment="1">
      <alignment horizontal="center" vertical="center"/>
    </xf>
    <xf numFmtId="44" fontId="46" fillId="12" borderId="66" xfId="8" applyFont="1" applyFill="1" applyBorder="1" applyAlignment="1">
      <alignment vertical="center"/>
    </xf>
    <xf numFmtId="44" fontId="46" fillId="14" borderId="66" xfId="8" applyFont="1" applyFill="1" applyBorder="1" applyAlignment="1">
      <alignment vertical="center"/>
    </xf>
    <xf numFmtId="9" fontId="46" fillId="13" borderId="66" xfId="1" applyFont="1" applyFill="1" applyBorder="1" applyAlignment="1">
      <alignment vertical="center"/>
    </xf>
    <xf numFmtId="44" fontId="46" fillId="13" borderId="66" xfId="8" applyFont="1" applyFill="1" applyBorder="1" applyAlignment="1">
      <alignment vertical="center"/>
    </xf>
    <xf numFmtId="44" fontId="46" fillId="13" borderId="76" xfId="8" applyFont="1" applyFill="1" applyBorder="1" applyAlignment="1">
      <alignment vertical="center"/>
    </xf>
    <xf numFmtId="10" fontId="46" fillId="14" borderId="33" xfId="0" applyNumberFormat="1" applyFont="1" applyFill="1" applyBorder="1" applyAlignment="1">
      <alignment horizontal="center" vertical="center"/>
    </xf>
    <xf numFmtId="0" fontId="46" fillId="0" borderId="65" xfId="0" applyFont="1" applyBorder="1" applyAlignment="1">
      <alignment horizontal="left" vertical="center" wrapText="1"/>
    </xf>
    <xf numFmtId="44" fontId="46" fillId="13" borderId="65" xfId="8" applyFont="1" applyFill="1" applyBorder="1" applyAlignment="1">
      <alignment vertical="center"/>
    </xf>
    <xf numFmtId="44" fontId="46" fillId="20" borderId="63" xfId="8" applyFont="1" applyFill="1" applyBorder="1" applyAlignment="1">
      <alignment vertical="center"/>
    </xf>
    <xf numFmtId="170" fontId="29" fillId="10" borderId="65" xfId="0" applyNumberFormat="1" applyFont="1" applyFill="1" applyBorder="1" applyAlignment="1">
      <alignment horizontal="right"/>
    </xf>
    <xf numFmtId="44" fontId="44" fillId="14" borderId="0" xfId="0" applyNumberFormat="1" applyFont="1" applyFill="1"/>
    <xf numFmtId="0" fontId="38" fillId="13" borderId="0" xfId="0" applyFont="1" applyFill="1"/>
    <xf numFmtId="44" fontId="44" fillId="13" borderId="0" xfId="0" applyNumberFormat="1" applyFont="1" applyFill="1"/>
    <xf numFmtId="44" fontId="44" fillId="13" borderId="0" xfId="8" applyFont="1" applyFill="1" applyBorder="1"/>
    <xf numFmtId="44" fontId="29" fillId="16" borderId="17" xfId="8" applyFont="1" applyFill="1" applyBorder="1" applyAlignment="1">
      <alignment horizontal="center"/>
    </xf>
    <xf numFmtId="44" fontId="29" fillId="16" borderId="74" xfId="8" applyFont="1" applyFill="1" applyBorder="1" applyAlignment="1">
      <alignment horizontal="center"/>
    </xf>
    <xf numFmtId="170" fontId="44" fillId="11" borderId="12" xfId="0" applyNumberFormat="1" applyFont="1" applyFill="1" applyBorder="1" applyAlignment="1">
      <alignment horizontal="center" vertical="center"/>
    </xf>
    <xf numFmtId="170" fontId="44" fillId="11" borderId="55" xfId="0" applyNumberFormat="1" applyFont="1" applyFill="1" applyBorder="1" applyAlignment="1">
      <alignment horizontal="center" vertical="center"/>
    </xf>
    <xf numFmtId="170" fontId="29" fillId="11" borderId="96" xfId="0" applyNumberFormat="1" applyFont="1" applyFill="1" applyBorder="1" applyAlignment="1">
      <alignment horizontal="center" vertical="center"/>
    </xf>
    <xf numFmtId="44" fontId="29" fillId="11" borderId="10" xfId="8" applyFont="1" applyFill="1" applyBorder="1" applyAlignment="1">
      <alignment horizontal="center" vertical="center"/>
    </xf>
    <xf numFmtId="44" fontId="29" fillId="11" borderId="64" xfId="8" applyFont="1" applyFill="1" applyBorder="1" applyAlignment="1">
      <alignment horizontal="center" vertical="center"/>
    </xf>
    <xf numFmtId="0" fontId="44" fillId="15" borderId="52" xfId="0" applyFont="1" applyFill="1" applyBorder="1" applyAlignment="1">
      <alignment horizontal="left" vertical="center" wrapText="1"/>
    </xf>
    <xf numFmtId="0" fontId="44" fillId="15" borderId="65" xfId="0" applyFont="1" applyFill="1" applyBorder="1" applyAlignment="1">
      <alignment horizontal="left" vertical="center" wrapText="1"/>
    </xf>
    <xf numFmtId="0" fontId="44" fillId="15" borderId="65" xfId="0" applyFont="1" applyFill="1" applyBorder="1" applyAlignment="1">
      <alignment horizontal="center" vertical="center"/>
    </xf>
    <xf numFmtId="44" fontId="44" fillId="15" borderId="65" xfId="8" applyFont="1" applyFill="1" applyBorder="1" applyAlignment="1">
      <alignment vertical="center"/>
    </xf>
    <xf numFmtId="44" fontId="44" fillId="15" borderId="53" xfId="8" applyFont="1" applyFill="1" applyBorder="1" applyAlignment="1">
      <alignment vertical="center"/>
    </xf>
    <xf numFmtId="1" fontId="44" fillId="12" borderId="68" xfId="0" applyNumberFormat="1" applyFont="1" applyFill="1" applyBorder="1" applyAlignment="1">
      <alignment horizontal="center" vertical="center"/>
    </xf>
    <xf numFmtId="1" fontId="44" fillId="12" borderId="63" xfId="0" applyNumberFormat="1" applyFont="1" applyFill="1" applyBorder="1" applyAlignment="1">
      <alignment horizontal="center" vertical="center"/>
    </xf>
    <xf numFmtId="44" fontId="44" fillId="12" borderId="63" xfId="8" applyFont="1" applyFill="1" applyBorder="1" applyAlignment="1">
      <alignment vertical="center"/>
    </xf>
    <xf numFmtId="44" fontId="44" fillId="14" borderId="63" xfId="8" applyFont="1" applyFill="1" applyBorder="1" applyAlignment="1">
      <alignment vertical="center"/>
    </xf>
    <xf numFmtId="9" fontId="44" fillId="13" borderId="63" xfId="1" applyFont="1" applyFill="1" applyBorder="1" applyAlignment="1">
      <alignment vertical="center"/>
    </xf>
    <xf numFmtId="44" fontId="44" fillId="13" borderId="63" xfId="8" applyFont="1" applyFill="1" applyBorder="1" applyAlignment="1">
      <alignment vertical="center"/>
    </xf>
    <xf numFmtId="44" fontId="44" fillId="13" borderId="53" xfId="8" applyFont="1" applyFill="1" applyBorder="1" applyAlignment="1">
      <alignment vertical="center"/>
    </xf>
    <xf numFmtId="10" fontId="29" fillId="14" borderId="10" xfId="8" applyNumberFormat="1" applyFont="1" applyFill="1" applyBorder="1" applyAlignment="1">
      <alignment horizontal="center" vertical="center"/>
    </xf>
    <xf numFmtId="10" fontId="29" fillId="14" borderId="64" xfId="8" applyNumberFormat="1" applyFont="1" applyFill="1" applyBorder="1" applyAlignment="1">
      <alignment horizontal="center" vertical="center"/>
    </xf>
    <xf numFmtId="44" fontId="50" fillId="12" borderId="63" xfId="8" applyFont="1" applyFill="1" applyBorder="1" applyAlignment="1">
      <alignment vertical="center"/>
    </xf>
    <xf numFmtId="0" fontId="44" fillId="15" borderId="67" xfId="0" applyFont="1" applyFill="1" applyBorder="1" applyAlignment="1">
      <alignment horizontal="left" vertical="center" wrapText="1"/>
    </xf>
    <xf numFmtId="0" fontId="44" fillId="15" borderId="64" xfId="0" applyFont="1" applyFill="1" applyBorder="1" applyAlignment="1">
      <alignment horizontal="left" vertical="center" wrapText="1"/>
    </xf>
    <xf numFmtId="0" fontId="44" fillId="15" borderId="64" xfId="0" applyFont="1" applyFill="1" applyBorder="1" applyAlignment="1">
      <alignment horizontal="center" vertical="center"/>
    </xf>
    <xf numFmtId="44" fontId="44" fillId="15" borderId="64" xfId="8" applyFont="1" applyFill="1" applyBorder="1" applyAlignment="1">
      <alignment vertical="center"/>
    </xf>
    <xf numFmtId="44" fontId="44" fillId="15" borderId="78" xfId="8" applyFont="1" applyFill="1" applyBorder="1" applyAlignment="1">
      <alignment vertical="center"/>
    </xf>
    <xf numFmtId="1" fontId="44" fillId="12" borderId="83" xfId="0" applyNumberFormat="1" applyFont="1" applyFill="1" applyBorder="1" applyAlignment="1">
      <alignment horizontal="center" vertical="center"/>
    </xf>
    <xf numFmtId="1" fontId="44" fillId="12" borderId="7" xfId="0" applyNumberFormat="1" applyFont="1" applyFill="1" applyBorder="1" applyAlignment="1">
      <alignment horizontal="center" vertical="center"/>
    </xf>
    <xf numFmtId="44" fontId="44" fillId="12" borderId="7" xfId="8" applyFont="1" applyFill="1" applyBorder="1" applyAlignment="1">
      <alignment vertical="center"/>
    </xf>
    <xf numFmtId="44" fontId="44" fillId="14" borderId="7" xfId="8" applyFont="1" applyFill="1" applyBorder="1" applyAlignment="1">
      <alignment vertical="center"/>
    </xf>
    <xf numFmtId="9" fontId="44" fillId="13" borderId="7" xfId="1" applyFont="1" applyFill="1" applyBorder="1" applyAlignment="1">
      <alignment vertical="center"/>
    </xf>
    <xf numFmtId="44" fontId="44" fillId="13" borderId="7" xfId="8" applyFont="1" applyFill="1" applyBorder="1" applyAlignment="1">
      <alignment vertical="center"/>
    </xf>
    <xf numFmtId="44" fontId="44" fillId="13" borderId="78" xfId="8" applyFont="1" applyFill="1" applyBorder="1" applyAlignment="1">
      <alignment vertical="center"/>
    </xf>
    <xf numFmtId="170" fontId="29" fillId="10" borderId="85" xfId="8" applyNumberFormat="1" applyFont="1" applyFill="1" applyBorder="1" applyAlignment="1">
      <alignment horizontal="right"/>
    </xf>
    <xf numFmtId="170" fontId="29" fillId="10" borderId="86" xfId="8" applyNumberFormat="1" applyFont="1" applyFill="1" applyBorder="1" applyAlignment="1">
      <alignment horizontal="right"/>
    </xf>
    <xf numFmtId="44" fontId="29" fillId="10" borderId="77" xfId="8" applyFont="1" applyFill="1" applyBorder="1" applyAlignment="1">
      <alignment horizontal="right"/>
    </xf>
    <xf numFmtId="44" fontId="44" fillId="14" borderId="77" xfId="8" applyFont="1" applyFill="1" applyBorder="1" applyAlignment="1">
      <alignment vertical="center"/>
    </xf>
    <xf numFmtId="9" fontId="44" fillId="13" borderId="77" xfId="1" applyFont="1" applyFill="1" applyBorder="1" applyAlignment="1">
      <alignment vertical="center"/>
    </xf>
    <xf numFmtId="44" fontId="44" fillId="13" borderId="77" xfId="8" applyFont="1" applyFill="1" applyBorder="1" applyAlignment="1">
      <alignment vertical="center"/>
    </xf>
    <xf numFmtId="44" fontId="44" fillId="13" borderId="86" xfId="8" applyFont="1" applyFill="1" applyBorder="1" applyAlignment="1">
      <alignment vertical="center"/>
    </xf>
    <xf numFmtId="49" fontId="44" fillId="0" borderId="61" xfId="0" applyNumberFormat="1" applyFont="1" applyBorder="1" applyAlignment="1">
      <alignment horizontal="left" vertical="center" wrapText="1"/>
    </xf>
    <xf numFmtId="0" fontId="24" fillId="0" borderId="0" xfId="0" applyFont="1"/>
    <xf numFmtId="0" fontId="24" fillId="0" borderId="0" xfId="0" applyFont="1" applyAlignment="1">
      <alignment horizontal="center"/>
    </xf>
    <xf numFmtId="44" fontId="24" fillId="0" borderId="0" xfId="0" applyNumberFormat="1" applyFont="1"/>
    <xf numFmtId="9" fontId="34" fillId="0" borderId="64" xfId="1" applyFont="1" applyBorder="1" applyAlignment="1">
      <alignment horizontal="center"/>
    </xf>
    <xf numFmtId="170" fontId="4" fillId="11" borderId="72" xfId="0" applyNumberFormat="1" applyFont="1" applyFill="1" applyBorder="1" applyAlignment="1">
      <alignment horizontal="center"/>
    </xf>
    <xf numFmtId="170" fontId="4" fillId="11" borderId="72" xfId="0" applyNumberFormat="1" applyFont="1" applyFill="1" applyBorder="1" applyAlignment="1">
      <alignment horizontal="right"/>
    </xf>
    <xf numFmtId="0" fontId="4" fillId="11" borderId="64" xfId="0" applyFont="1" applyFill="1" applyBorder="1"/>
    <xf numFmtId="44" fontId="34" fillId="0" borderId="64" xfId="0" applyNumberFormat="1" applyFont="1" applyBorder="1"/>
    <xf numFmtId="44" fontId="4" fillId="15" borderId="64" xfId="8" applyFont="1" applyFill="1" applyBorder="1" applyAlignment="1">
      <alignment horizontal="center"/>
    </xf>
    <xf numFmtId="0" fontId="4" fillId="15" borderId="64" xfId="0" applyFont="1" applyFill="1" applyBorder="1" applyAlignment="1">
      <alignment horizontal="center"/>
    </xf>
    <xf numFmtId="9" fontId="25" fillId="0" borderId="64" xfId="1" applyFont="1" applyBorder="1" applyAlignment="1">
      <alignment horizontal="center"/>
    </xf>
    <xf numFmtId="44" fontId="4" fillId="11" borderId="64" xfId="8" applyFont="1" applyFill="1" applyBorder="1"/>
    <xf numFmtId="44" fontId="4" fillId="11" borderId="64" xfId="0" applyNumberFormat="1" applyFont="1" applyFill="1" applyBorder="1" applyAlignment="1">
      <alignment horizontal="center"/>
    </xf>
    <xf numFmtId="0" fontId="4" fillId="11" borderId="64" xfId="0" applyFont="1" applyFill="1" applyBorder="1" applyAlignment="1">
      <alignment horizontal="center"/>
    </xf>
    <xf numFmtId="44" fontId="25" fillId="0" borderId="64" xfId="8" applyFont="1" applyBorder="1"/>
    <xf numFmtId="0" fontId="25" fillId="15" borderId="64" xfId="0" applyFont="1" applyFill="1" applyBorder="1" applyAlignment="1">
      <alignment horizontal="center"/>
    </xf>
    <xf numFmtId="0" fontId="4" fillId="0" borderId="0" xfId="2" applyFont="1" applyAlignment="1" applyProtection="1">
      <alignment horizontal="left" vertical="center"/>
      <protection locked="0"/>
    </xf>
    <xf numFmtId="0" fontId="4" fillId="0" borderId="26" xfId="2" applyFont="1" applyBorder="1" applyAlignment="1" applyProtection="1">
      <alignment horizontal="left" vertical="center"/>
      <protection locked="0"/>
    </xf>
    <xf numFmtId="164" fontId="4" fillId="0" borderId="39" xfId="2" applyNumberFormat="1" applyFont="1" applyBorder="1" applyAlignment="1" applyProtection="1">
      <alignment horizontal="left" vertical="center"/>
      <protection locked="0"/>
    </xf>
    <xf numFmtId="0" fontId="4" fillId="0" borderId="23" xfId="2" applyFont="1" applyBorder="1" applyAlignment="1" applyProtection="1">
      <alignment horizontal="left" vertical="center"/>
      <protection locked="0"/>
    </xf>
    <xf numFmtId="164" fontId="4" fillId="0" borderId="31" xfId="2" applyNumberFormat="1" applyFont="1" applyBorder="1" applyAlignment="1" applyProtection="1">
      <alignment horizontal="left" vertical="center"/>
      <protection locked="0"/>
    </xf>
    <xf numFmtId="14" fontId="4" fillId="0" borderId="0" xfId="2" applyNumberFormat="1" applyFont="1" applyAlignment="1" applyProtection="1">
      <alignment horizontal="left" vertical="center"/>
      <protection locked="0"/>
    </xf>
    <xf numFmtId="14" fontId="4" fillId="0" borderId="30" xfId="2" applyNumberFormat="1" applyFont="1" applyBorder="1" applyAlignment="1" applyProtection="1">
      <alignment horizontal="left" vertical="center"/>
      <protection locked="0"/>
    </xf>
    <xf numFmtId="164" fontId="4" fillId="0" borderId="0" xfId="2" applyNumberFormat="1" applyFont="1" applyAlignment="1" applyProtection="1">
      <alignment horizontal="left" vertical="center"/>
      <protection locked="0"/>
    </xf>
    <xf numFmtId="164" fontId="4" fillId="0" borderId="30" xfId="2" applyNumberFormat="1" applyFont="1" applyBorder="1" applyAlignment="1" applyProtection="1">
      <alignment horizontal="left" vertical="center"/>
      <protection locked="0"/>
    </xf>
    <xf numFmtId="164" fontId="4" fillId="0" borderId="19" xfId="2" applyNumberFormat="1" applyFont="1" applyBorder="1" applyAlignment="1" applyProtection="1">
      <alignment horizontal="left" vertical="center"/>
      <protection locked="0"/>
    </xf>
    <xf numFmtId="164" fontId="4" fillId="0" borderId="20" xfId="2" applyNumberFormat="1" applyFont="1" applyBorder="1" applyAlignment="1" applyProtection="1">
      <alignment horizontal="left" vertical="center"/>
      <protection locked="0"/>
    </xf>
    <xf numFmtId="0" fontId="31" fillId="24" borderId="15" xfId="0" applyFont="1" applyFill="1" applyBorder="1"/>
    <xf numFmtId="0" fontId="31" fillId="24" borderId="14" xfId="0" applyFont="1" applyFill="1" applyBorder="1"/>
    <xf numFmtId="0" fontId="24" fillId="25" borderId="0" xfId="0" applyFont="1" applyFill="1" applyAlignment="1">
      <alignment horizontal="right"/>
    </xf>
    <xf numFmtId="0" fontId="24" fillId="25" borderId="17" xfId="0" applyFont="1" applyFill="1" applyBorder="1" applyAlignment="1">
      <alignment horizontal="right"/>
    </xf>
    <xf numFmtId="16" fontId="24" fillId="26" borderId="15" xfId="0" applyNumberFormat="1" applyFont="1" applyFill="1" applyBorder="1"/>
    <xf numFmtId="16" fontId="24" fillId="26" borderId="14" xfId="0" applyNumberFormat="1" applyFont="1" applyFill="1" applyBorder="1"/>
    <xf numFmtId="16" fontId="24" fillId="27" borderId="12" xfId="0" applyNumberFormat="1" applyFont="1" applyFill="1" applyBorder="1"/>
    <xf numFmtId="16" fontId="24" fillId="27" borderId="11" xfId="0" applyNumberFormat="1" applyFont="1" applyFill="1" applyBorder="1"/>
    <xf numFmtId="49" fontId="6" fillId="0" borderId="0" xfId="2" applyNumberFormat="1" applyFont="1" applyAlignment="1">
      <alignment horizontal="left" vertical="center" wrapText="1"/>
    </xf>
    <xf numFmtId="0" fontId="52" fillId="0" borderId="0" xfId="0" applyFont="1" applyAlignment="1">
      <alignment horizontal="center"/>
    </xf>
    <xf numFmtId="0" fontId="52" fillId="0" borderId="0" xfId="0" applyFont="1"/>
    <xf numFmtId="49" fontId="52" fillId="0" borderId="0" xfId="0" applyNumberFormat="1" applyFont="1"/>
    <xf numFmtId="49" fontId="16" fillId="0" borderId="46" xfId="0" applyNumberFormat="1" applyFont="1" applyBorder="1" applyAlignment="1">
      <alignment horizontal="left" vertical="center"/>
    </xf>
    <xf numFmtId="49" fontId="16" fillId="0" borderId="46" xfId="0" applyNumberFormat="1" applyFont="1" applyBorder="1" applyAlignment="1">
      <alignment horizontal="left" vertical="center" wrapText="1"/>
    </xf>
    <xf numFmtId="49" fontId="16" fillId="0" borderId="61" xfId="0" applyNumberFormat="1" applyFont="1" applyBorder="1" applyAlignment="1">
      <alignment horizontal="left" vertical="center" wrapText="1"/>
    </xf>
    <xf numFmtId="166" fontId="9" fillId="0" borderId="104" xfId="4" applyNumberFormat="1" applyFont="1" applyBorder="1" applyAlignment="1">
      <alignment horizontal="center" vertical="center" wrapText="1"/>
    </xf>
    <xf numFmtId="0" fontId="54" fillId="0" borderId="64" xfId="0" applyFont="1" applyBorder="1"/>
    <xf numFmtId="44" fontId="57" fillId="0" borderId="64" xfId="0" applyNumberFormat="1" applyFont="1" applyBorder="1"/>
    <xf numFmtId="44" fontId="58" fillId="0" borderId="64" xfId="8" applyFont="1" applyBorder="1"/>
    <xf numFmtId="166" fontId="43" fillId="0" borderId="104" xfId="4" applyNumberFormat="1" applyFont="1" applyBorder="1" applyAlignment="1">
      <alignment horizontal="center" vertical="center" wrapText="1"/>
    </xf>
    <xf numFmtId="0" fontId="38" fillId="0" borderId="64" xfId="0" applyFont="1" applyBorder="1"/>
    <xf numFmtId="44" fontId="59" fillId="0" borderId="64" xfId="0" applyNumberFormat="1" applyFont="1" applyBorder="1" applyAlignment="1">
      <alignment vertical="center"/>
    </xf>
    <xf numFmtId="0" fontId="61" fillId="0" borderId="0" xfId="0" applyFont="1"/>
    <xf numFmtId="0" fontId="61" fillId="0" borderId="0" xfId="0" applyFont="1" applyAlignment="1">
      <alignment horizontal="center"/>
    </xf>
    <xf numFmtId="0" fontId="62" fillId="0" borderId="0" xfId="0" applyFont="1" applyAlignment="1">
      <alignment horizontal="center"/>
    </xf>
    <xf numFmtId="164" fontId="4" fillId="0" borderId="0" xfId="2" applyNumberFormat="1" applyFont="1" applyAlignment="1">
      <alignment horizontal="left" vertical="center"/>
    </xf>
    <xf numFmtId="49" fontId="61" fillId="0" borderId="0" xfId="0" applyNumberFormat="1" applyFont="1"/>
    <xf numFmtId="0" fontId="61" fillId="0" borderId="0" xfId="1" applyNumberFormat="1" applyFont="1"/>
    <xf numFmtId="168" fontId="63" fillId="0" borderId="5" xfId="1" applyNumberFormat="1" applyFont="1" applyBorder="1"/>
    <xf numFmtId="0" fontId="25" fillId="5" borderId="0" xfId="0" applyFont="1" applyFill="1"/>
    <xf numFmtId="49" fontId="25" fillId="5" borderId="0" xfId="0" applyNumberFormat="1" applyFont="1" applyFill="1"/>
    <xf numFmtId="0" fontId="64" fillId="0" borderId="0" xfId="0" applyFont="1"/>
    <xf numFmtId="0" fontId="63" fillId="11" borderId="10" xfId="0" applyFont="1" applyFill="1" applyBorder="1" applyAlignment="1">
      <alignment horizontal="center" vertical="center"/>
    </xf>
    <xf numFmtId="0" fontId="63" fillId="11" borderId="64" xfId="0" applyFont="1" applyFill="1" applyBorder="1" applyAlignment="1">
      <alignment horizontal="center" vertical="center"/>
    </xf>
    <xf numFmtId="0" fontId="61" fillId="0" borderId="0" xfId="0" applyFont="1" applyAlignment="1">
      <alignment vertical="center"/>
    </xf>
    <xf numFmtId="170" fontId="31" fillId="10" borderId="64" xfId="8" applyNumberFormat="1" applyFont="1" applyFill="1" applyBorder="1" applyAlignment="1">
      <alignment horizontal="right"/>
    </xf>
    <xf numFmtId="170" fontId="31" fillId="10" borderId="78" xfId="8" applyNumberFormat="1" applyFont="1" applyFill="1" applyBorder="1" applyAlignment="1">
      <alignment horizontal="right"/>
    </xf>
    <xf numFmtId="44" fontId="31" fillId="10" borderId="82" xfId="8" applyFont="1" applyFill="1" applyBorder="1" applyAlignment="1">
      <alignment horizontal="right"/>
    </xf>
    <xf numFmtId="44" fontId="25" fillId="14" borderId="82" xfId="8" applyFont="1" applyFill="1" applyBorder="1" applyAlignment="1">
      <alignment vertical="center"/>
    </xf>
    <xf numFmtId="44" fontId="25" fillId="13" borderId="82" xfId="8" applyFont="1" applyFill="1" applyBorder="1" applyAlignment="1">
      <alignment vertical="center"/>
    </xf>
    <xf numFmtId="44" fontId="25" fillId="13" borderId="93" xfId="8" applyFont="1" applyFill="1" applyBorder="1" applyAlignment="1">
      <alignment vertical="center"/>
    </xf>
    <xf numFmtId="170" fontId="31" fillId="10" borderId="64" xfId="0" applyNumberFormat="1" applyFont="1" applyFill="1" applyBorder="1" applyAlignment="1">
      <alignment horizontal="right"/>
    </xf>
    <xf numFmtId="170" fontId="31" fillId="10" borderId="78" xfId="0" applyNumberFormat="1" applyFont="1" applyFill="1" applyBorder="1" applyAlignment="1">
      <alignment horizontal="right"/>
    </xf>
    <xf numFmtId="44" fontId="31" fillId="10" borderId="64" xfId="0" applyNumberFormat="1" applyFont="1" applyFill="1" applyBorder="1" applyAlignment="1">
      <alignment horizontal="right"/>
    </xf>
    <xf numFmtId="44" fontId="25" fillId="14" borderId="64" xfId="0" applyNumberFormat="1" applyFont="1" applyFill="1" applyBorder="1"/>
    <xf numFmtId="0" fontId="61" fillId="13" borderId="64" xfId="0" applyFont="1" applyFill="1" applyBorder="1"/>
    <xf numFmtId="44" fontId="25" fillId="13" borderId="64" xfId="0" applyNumberFormat="1" applyFont="1" applyFill="1" applyBorder="1"/>
    <xf numFmtId="44" fontId="25" fillId="13" borderId="78" xfId="8" applyFont="1" applyFill="1" applyBorder="1"/>
    <xf numFmtId="170" fontId="31" fillId="10" borderId="95" xfId="0" applyNumberFormat="1" applyFont="1" applyFill="1" applyBorder="1" applyAlignment="1">
      <alignment horizontal="right"/>
    </xf>
    <xf numFmtId="170" fontId="31" fillId="10" borderId="88" xfId="0" applyNumberFormat="1" applyFont="1" applyFill="1" applyBorder="1" applyAlignment="1">
      <alignment horizontal="right"/>
    </xf>
    <xf numFmtId="170" fontId="31" fillId="10" borderId="69" xfId="0" applyNumberFormat="1" applyFont="1" applyFill="1" applyBorder="1" applyAlignment="1">
      <alignment horizontal="right"/>
    </xf>
    <xf numFmtId="170" fontId="31" fillId="10" borderId="76" xfId="0" applyNumberFormat="1" applyFont="1" applyFill="1" applyBorder="1" applyAlignment="1">
      <alignment horizontal="right"/>
    </xf>
    <xf numFmtId="44" fontId="31" fillId="10" borderId="72" xfId="0" applyNumberFormat="1" applyFont="1" applyFill="1" applyBorder="1" applyAlignment="1">
      <alignment horizontal="right"/>
    </xf>
    <xf numFmtId="44" fontId="25" fillId="14" borderId="72" xfId="0" applyNumberFormat="1" applyFont="1" applyFill="1" applyBorder="1"/>
    <xf numFmtId="0" fontId="61" fillId="13" borderId="72" xfId="0" applyFont="1" applyFill="1" applyBorder="1"/>
    <xf numFmtId="44" fontId="25" fillId="13" borderId="72" xfId="0" applyNumberFormat="1" applyFont="1" applyFill="1" applyBorder="1"/>
    <xf numFmtId="44" fontId="25" fillId="13" borderId="98" xfId="8" applyFont="1" applyFill="1" applyBorder="1"/>
    <xf numFmtId="170" fontId="31" fillId="10" borderId="85" xfId="0" applyNumberFormat="1" applyFont="1" applyFill="1" applyBorder="1" applyAlignment="1">
      <alignment horizontal="right"/>
    </xf>
    <xf numFmtId="170" fontId="31" fillId="10" borderId="86" xfId="0" applyNumberFormat="1" applyFont="1" applyFill="1" applyBorder="1" applyAlignment="1">
      <alignment horizontal="right"/>
    </xf>
    <xf numFmtId="44" fontId="31" fillId="16" borderId="12" xfId="8" applyFont="1" applyFill="1" applyBorder="1" applyAlignment="1">
      <alignment horizontal="center"/>
    </xf>
    <xf numFmtId="44" fontId="31" fillId="16" borderId="96" xfId="8" applyFont="1" applyFill="1" applyBorder="1" applyAlignment="1">
      <alignment horizontal="center"/>
    </xf>
    <xf numFmtId="0" fontId="31" fillId="16" borderId="87" xfId="0" applyFont="1" applyFill="1" applyBorder="1"/>
    <xf numFmtId="0" fontId="31" fillId="16" borderId="95" xfId="0" applyFont="1" applyFill="1" applyBorder="1"/>
    <xf numFmtId="44" fontId="31" fillId="16" borderId="95" xfId="0" applyNumberFormat="1" applyFont="1" applyFill="1" applyBorder="1"/>
    <xf numFmtId="44" fontId="31" fillId="16" borderId="88" xfId="0" applyNumberFormat="1" applyFont="1" applyFill="1" applyBorder="1"/>
    <xf numFmtId="0" fontId="31" fillId="16" borderId="87" xfId="0" applyFont="1" applyFill="1" applyBorder="1" applyAlignment="1">
      <alignment horizontal="center"/>
    </xf>
    <xf numFmtId="0" fontId="31" fillId="16" borderId="95" xfId="0" applyFont="1" applyFill="1" applyBorder="1" applyAlignment="1">
      <alignment horizontal="center"/>
    </xf>
    <xf numFmtId="9" fontId="31" fillId="16" borderId="15" xfId="1" applyFont="1" applyFill="1" applyBorder="1"/>
    <xf numFmtId="44" fontId="31" fillId="16" borderId="97" xfId="8" applyFont="1" applyFill="1" applyBorder="1"/>
    <xf numFmtId="0" fontId="66" fillId="0" borderId="0" xfId="0" applyFont="1"/>
    <xf numFmtId="0" fontId="60" fillId="0" borderId="0" xfId="0" applyFont="1"/>
    <xf numFmtId="44" fontId="61" fillId="0" borderId="0" xfId="0" applyNumberFormat="1" applyFont="1"/>
    <xf numFmtId="9" fontId="61" fillId="0" borderId="0" xfId="1" applyFont="1" applyAlignment="1">
      <alignment horizontal="center"/>
    </xf>
    <xf numFmtId="44" fontId="24" fillId="0" borderId="0" xfId="8" applyFont="1" applyBorder="1" applyAlignment="1">
      <alignment vertical="center"/>
    </xf>
    <xf numFmtId="9" fontId="24" fillId="0" borderId="0" xfId="1" applyFont="1" applyBorder="1" applyAlignment="1">
      <alignment horizontal="center" vertical="center"/>
    </xf>
    <xf numFmtId="44" fontId="38" fillId="0" borderId="0" xfId="0" applyNumberFormat="1" applyFont="1"/>
    <xf numFmtId="9" fontId="38" fillId="0" borderId="0" xfId="1" applyFont="1" applyAlignment="1">
      <alignment horizontal="center"/>
    </xf>
    <xf numFmtId="44" fontId="69" fillId="0" borderId="64" xfId="8" applyFont="1" applyBorder="1"/>
    <xf numFmtId="44" fontId="70" fillId="0" borderId="64" xfId="8" applyFont="1" applyBorder="1" applyAlignment="1">
      <alignment vertical="center"/>
    </xf>
    <xf numFmtId="44" fontId="70" fillId="0" borderId="64" xfId="8" applyFont="1" applyBorder="1"/>
    <xf numFmtId="44" fontId="24" fillId="0" borderId="96" xfId="0" applyNumberFormat="1" applyFont="1" applyBorder="1" applyAlignment="1">
      <alignment horizontal="center" vertical="center"/>
    </xf>
    <xf numFmtId="0" fontId="24" fillId="0" borderId="97" xfId="0" applyFont="1" applyBorder="1" applyAlignment="1">
      <alignment horizontal="center" vertical="center"/>
    </xf>
    <xf numFmtId="166" fontId="53" fillId="28" borderId="64" xfId="4" applyNumberFormat="1" applyFont="1" applyFill="1" applyBorder="1" applyAlignment="1">
      <alignment horizontal="center" vertical="center" wrapText="1"/>
    </xf>
    <xf numFmtId="166" fontId="9" fillId="4" borderId="17" xfId="4" applyNumberFormat="1" applyFont="1" applyFill="1" applyBorder="1" applyAlignment="1">
      <alignment horizontal="center" vertical="center" wrapText="1"/>
    </xf>
    <xf numFmtId="166" fontId="9" fillId="4" borderId="0" xfId="4" applyNumberFormat="1" applyFont="1" applyFill="1" applyBorder="1" applyAlignment="1">
      <alignment horizontal="center" vertical="center" wrapText="1"/>
    </xf>
    <xf numFmtId="166" fontId="9" fillId="4" borderId="6" xfId="4" applyNumberFormat="1" applyFont="1" applyFill="1" applyBorder="1" applyAlignment="1">
      <alignment horizontal="center" vertical="center" wrapText="1"/>
    </xf>
    <xf numFmtId="166" fontId="9" fillId="4" borderId="37" xfId="4" applyNumberFormat="1" applyFont="1" applyFill="1" applyBorder="1" applyAlignment="1">
      <alignment horizontal="center" vertical="center" wrapText="1"/>
    </xf>
    <xf numFmtId="166" fontId="9" fillId="4" borderId="5" xfId="4" applyNumberFormat="1" applyFont="1" applyFill="1" applyBorder="1" applyAlignment="1">
      <alignment horizontal="center" vertical="center" wrapText="1"/>
    </xf>
    <xf numFmtId="0" fontId="28" fillId="9" borderId="17" xfId="0" applyFont="1" applyFill="1" applyBorder="1" applyAlignment="1">
      <alignment horizontal="center"/>
    </xf>
    <xf numFmtId="0" fontId="28" fillId="9" borderId="0" xfId="0" applyFont="1" applyFill="1" applyAlignment="1">
      <alignment horizontal="center"/>
    </xf>
    <xf numFmtId="0" fontId="28" fillId="9" borderId="18" xfId="0" applyFont="1" applyFill="1" applyBorder="1" applyAlignment="1">
      <alignment horizontal="center"/>
    </xf>
    <xf numFmtId="166" fontId="55" fillId="6" borderId="65" xfId="4" applyNumberFormat="1" applyFont="1" applyFill="1" applyBorder="1" applyAlignment="1">
      <alignment horizontal="center" vertical="center" wrapText="1"/>
    </xf>
    <xf numFmtId="166" fontId="55" fillId="6" borderId="69" xfId="4" applyNumberFormat="1" applyFont="1" applyFill="1" applyBorder="1" applyAlignment="1">
      <alignment horizontal="center" vertical="center" wrapText="1"/>
    </xf>
    <xf numFmtId="166" fontId="55" fillId="6" borderId="72" xfId="4" applyNumberFormat="1" applyFont="1" applyFill="1" applyBorder="1" applyAlignment="1">
      <alignment horizontal="center" vertical="center" wrapText="1"/>
    </xf>
    <xf numFmtId="166" fontId="56" fillId="6" borderId="65" xfId="4" applyNumberFormat="1" applyFont="1" applyFill="1" applyBorder="1" applyAlignment="1">
      <alignment horizontal="center" vertical="center" wrapText="1"/>
    </xf>
    <xf numFmtId="166" fontId="56" fillId="6" borderId="69" xfId="4" applyNumberFormat="1" applyFont="1" applyFill="1" applyBorder="1" applyAlignment="1">
      <alignment horizontal="center" vertical="center" wrapText="1"/>
    </xf>
    <xf numFmtId="166" fontId="56" fillId="6" borderId="72" xfId="4" applyNumberFormat="1" applyFont="1" applyFill="1" applyBorder="1" applyAlignment="1">
      <alignment horizontal="center" vertical="center" wrapText="1"/>
    </xf>
    <xf numFmtId="0" fontId="28" fillId="10" borderId="17" xfId="0" applyFont="1" applyFill="1" applyBorder="1" applyAlignment="1">
      <alignment horizontal="left"/>
    </xf>
    <xf numFmtId="0" fontId="28" fillId="10" borderId="0" xfId="0" applyFont="1" applyFill="1" applyAlignment="1">
      <alignment horizontal="left"/>
    </xf>
    <xf numFmtId="0" fontId="28" fillId="10" borderId="100" xfId="0" applyFont="1" applyFill="1" applyBorder="1" applyAlignment="1">
      <alignment horizontal="left"/>
    </xf>
    <xf numFmtId="0" fontId="28" fillId="10" borderId="18" xfId="0" applyFont="1" applyFill="1" applyBorder="1" applyAlignment="1">
      <alignment horizontal="left"/>
    </xf>
    <xf numFmtId="1" fontId="28" fillId="9" borderId="68" xfId="0" applyNumberFormat="1" applyFont="1" applyFill="1" applyBorder="1" applyAlignment="1">
      <alignment horizontal="center"/>
    </xf>
    <xf numFmtId="1" fontId="28" fillId="9" borderId="8" xfId="0" applyNumberFormat="1" applyFont="1" applyFill="1" applyBorder="1" applyAlignment="1">
      <alignment horizontal="center"/>
    </xf>
    <xf numFmtId="1" fontId="28" fillId="9" borderId="101" xfId="0" applyNumberFormat="1" applyFont="1" applyFill="1" applyBorder="1" applyAlignment="1">
      <alignment horizontal="center"/>
    </xf>
    <xf numFmtId="0" fontId="5" fillId="0" borderId="0" xfId="2" applyFont="1" applyAlignment="1">
      <alignment horizontal="left" vertical="center" wrapText="1"/>
    </xf>
    <xf numFmtId="0" fontId="5" fillId="0" borderId="0" xfId="2" applyFont="1" applyAlignment="1">
      <alignment horizontal="left" vertical="top"/>
    </xf>
    <xf numFmtId="0" fontId="9" fillId="2" borderId="3" xfId="3" applyFont="1" applyFill="1" applyBorder="1" applyAlignment="1">
      <alignment horizontal="center" vertical="center"/>
    </xf>
    <xf numFmtId="0" fontId="9" fillId="2" borderId="4" xfId="3" applyFont="1" applyFill="1" applyBorder="1" applyAlignment="1">
      <alignment horizontal="center" vertical="center"/>
    </xf>
    <xf numFmtId="0" fontId="9" fillId="2" borderId="5" xfId="3" applyFont="1" applyFill="1" applyBorder="1" applyAlignment="1">
      <alignment horizontal="center" vertical="center"/>
    </xf>
    <xf numFmtId="0" fontId="9" fillId="3" borderId="6" xfId="0" applyFont="1" applyFill="1" applyBorder="1" applyAlignment="1">
      <alignment horizontal="center" vertical="center" wrapText="1"/>
    </xf>
    <xf numFmtId="0" fontId="9" fillId="3" borderId="37" xfId="0" applyFont="1" applyFill="1" applyBorder="1" applyAlignment="1">
      <alignment horizontal="center" vertical="center" wrapText="1"/>
    </xf>
    <xf numFmtId="0" fontId="9" fillId="3" borderId="5" xfId="0" applyFont="1" applyFill="1" applyBorder="1" applyAlignment="1">
      <alignment horizontal="center" vertical="center" wrapText="1"/>
    </xf>
    <xf numFmtId="0" fontId="28" fillId="10" borderId="80" xfId="0" applyFont="1" applyFill="1" applyBorder="1" applyAlignment="1">
      <alignment horizontal="left"/>
    </xf>
    <xf numFmtId="0" fontId="28" fillId="10" borderId="79" xfId="0" applyFont="1" applyFill="1" applyBorder="1" applyAlignment="1">
      <alignment horizontal="left"/>
    </xf>
    <xf numFmtId="1" fontId="28" fillId="10" borderId="67" xfId="0" applyNumberFormat="1" applyFont="1" applyFill="1" applyBorder="1" applyAlignment="1">
      <alignment horizontal="left"/>
    </xf>
    <xf numFmtId="1" fontId="28" fillId="10" borderId="64" xfId="0" applyNumberFormat="1" applyFont="1" applyFill="1" applyBorder="1" applyAlignment="1">
      <alignment horizontal="left"/>
    </xf>
    <xf numFmtId="0" fontId="28" fillId="9" borderId="11" xfId="0" applyFont="1" applyFill="1" applyBorder="1" applyAlignment="1">
      <alignment horizontal="center"/>
    </xf>
    <xf numFmtId="0" fontId="28" fillId="9" borderId="12" xfId="0" applyFont="1" applyFill="1" applyBorder="1" applyAlignment="1">
      <alignment horizontal="center"/>
    </xf>
    <xf numFmtId="0" fontId="28" fillId="9" borderId="96" xfId="0" applyFont="1" applyFill="1" applyBorder="1" applyAlignment="1">
      <alignment horizontal="center"/>
    </xf>
    <xf numFmtId="1" fontId="28" fillId="9" borderId="81" xfId="0" applyNumberFormat="1" applyFont="1" applyFill="1" applyBorder="1" applyAlignment="1">
      <alignment horizontal="center"/>
    </xf>
    <xf numFmtId="1" fontId="28" fillId="9" borderId="82" xfId="0" applyNumberFormat="1" applyFont="1" applyFill="1" applyBorder="1" applyAlignment="1">
      <alignment horizontal="center"/>
    </xf>
    <xf numFmtId="1" fontId="28" fillId="9" borderId="93" xfId="0" applyNumberFormat="1" applyFont="1" applyFill="1" applyBorder="1" applyAlignment="1">
      <alignment horizontal="center"/>
    </xf>
    <xf numFmtId="0" fontId="28" fillId="10" borderId="11" xfId="0" applyFont="1" applyFill="1" applyBorder="1" applyAlignment="1">
      <alignment horizontal="left"/>
    </xf>
    <xf numFmtId="0" fontId="28" fillId="10" borderId="12" xfId="0" applyFont="1" applyFill="1" applyBorder="1" applyAlignment="1">
      <alignment horizontal="left"/>
    </xf>
    <xf numFmtId="0" fontId="28" fillId="10" borderId="58" xfId="0" applyFont="1" applyFill="1" applyBorder="1" applyAlignment="1">
      <alignment horizontal="left"/>
    </xf>
    <xf numFmtId="1" fontId="28" fillId="10" borderId="78" xfId="0" applyNumberFormat="1" applyFont="1" applyFill="1" applyBorder="1" applyAlignment="1">
      <alignment horizontal="left"/>
    </xf>
    <xf numFmtId="0" fontId="28" fillId="10" borderId="96" xfId="0" applyFont="1" applyFill="1" applyBorder="1" applyAlignment="1">
      <alignment horizontal="left"/>
    </xf>
    <xf numFmtId="0" fontId="29" fillId="10" borderId="17" xfId="0" applyFont="1" applyFill="1" applyBorder="1" applyAlignment="1">
      <alignment horizontal="left"/>
    </xf>
    <xf numFmtId="0" fontId="29" fillId="10" borderId="0" xfId="0" applyFont="1" applyFill="1" applyAlignment="1">
      <alignment horizontal="left"/>
    </xf>
    <xf numFmtId="166" fontId="43" fillId="4" borderId="17" xfId="4" applyNumberFormat="1" applyFont="1" applyFill="1" applyBorder="1" applyAlignment="1">
      <alignment horizontal="center" vertical="center" wrapText="1"/>
    </xf>
    <xf numFmtId="166" fontId="43" fillId="4" borderId="0" xfId="4" applyNumberFormat="1" applyFont="1" applyFill="1" applyBorder="1" applyAlignment="1">
      <alignment horizontal="center" vertical="center" wrapText="1"/>
    </xf>
    <xf numFmtId="0" fontId="39" fillId="0" borderId="0" xfId="2" applyFont="1" applyAlignment="1">
      <alignment horizontal="left" vertical="center" wrapText="1"/>
    </xf>
    <xf numFmtId="0" fontId="39" fillId="0" borderId="0" xfId="2" applyFont="1" applyAlignment="1">
      <alignment horizontal="left" vertical="top"/>
    </xf>
    <xf numFmtId="0" fontId="43" fillId="2" borderId="3" xfId="3" applyFont="1" applyFill="1" applyBorder="1" applyAlignment="1">
      <alignment horizontal="center" vertical="center"/>
    </xf>
    <xf numFmtId="0" fontId="43" fillId="2" borderId="4" xfId="3" applyFont="1" applyFill="1" applyBorder="1" applyAlignment="1">
      <alignment horizontal="center" vertical="center"/>
    </xf>
    <xf numFmtId="0" fontId="43" fillId="2" borderId="5" xfId="3" applyFont="1" applyFill="1" applyBorder="1" applyAlignment="1">
      <alignment horizontal="center" vertical="center"/>
    </xf>
    <xf numFmtId="0" fontId="43" fillId="3" borderId="6" xfId="0" applyFont="1" applyFill="1" applyBorder="1" applyAlignment="1">
      <alignment horizontal="center" vertical="center" wrapText="1"/>
    </xf>
    <xf numFmtId="0" fontId="43" fillId="3" borderId="37" xfId="0" applyFont="1" applyFill="1" applyBorder="1" applyAlignment="1">
      <alignment horizontal="center" vertical="center" wrapText="1"/>
    </xf>
    <xf numFmtId="0" fontId="43" fillId="3" borderId="5" xfId="0" applyFont="1" applyFill="1" applyBorder="1" applyAlignment="1">
      <alignment horizontal="center" vertical="center" wrapText="1"/>
    </xf>
    <xf numFmtId="166" fontId="43" fillId="4" borderId="6" xfId="4" applyNumberFormat="1" applyFont="1" applyFill="1" applyBorder="1" applyAlignment="1">
      <alignment horizontal="center" vertical="center" wrapText="1"/>
    </xf>
    <xf numFmtId="166" fontId="43" fillId="4" borderId="37" xfId="4" applyNumberFormat="1" applyFont="1" applyFill="1" applyBorder="1" applyAlignment="1">
      <alignment horizontal="center" vertical="center" wrapText="1"/>
    </xf>
    <xf numFmtId="166" fontId="43" fillId="4" borderId="5" xfId="4" applyNumberFormat="1" applyFont="1" applyFill="1" applyBorder="1" applyAlignment="1">
      <alignment horizontal="center" vertical="center" wrapText="1"/>
    </xf>
    <xf numFmtId="166" fontId="43" fillId="28" borderId="64" xfId="4" applyNumberFormat="1" applyFont="1" applyFill="1" applyBorder="1" applyAlignment="1">
      <alignment horizontal="center" vertical="center" wrapText="1"/>
    </xf>
    <xf numFmtId="0" fontId="29" fillId="9" borderId="17" xfId="0" applyFont="1" applyFill="1" applyBorder="1" applyAlignment="1">
      <alignment horizontal="center"/>
    </xf>
    <xf numFmtId="0" fontId="29" fillId="9" borderId="0" xfId="0" applyFont="1" applyFill="1" applyAlignment="1">
      <alignment horizontal="center"/>
    </xf>
    <xf numFmtId="0" fontId="29" fillId="9" borderId="18" xfId="0" applyFont="1" applyFill="1" applyBorder="1" applyAlignment="1">
      <alignment horizontal="center"/>
    </xf>
    <xf numFmtId="0" fontId="29" fillId="10" borderId="11" xfId="0" applyFont="1" applyFill="1" applyBorder="1" applyAlignment="1">
      <alignment horizontal="left"/>
    </xf>
    <xf numFmtId="0" fontId="29" fillId="10" borderId="12" xfId="0" applyFont="1" applyFill="1" applyBorder="1" applyAlignment="1">
      <alignment horizontal="left"/>
    </xf>
    <xf numFmtId="0" fontId="29" fillId="10" borderId="58" xfId="0" applyFont="1" applyFill="1" applyBorder="1" applyAlignment="1">
      <alignment horizontal="left"/>
    </xf>
    <xf numFmtId="0" fontId="29" fillId="10" borderId="13" xfId="0" applyFont="1" applyFill="1" applyBorder="1" applyAlignment="1">
      <alignment horizontal="left"/>
    </xf>
    <xf numFmtId="166" fontId="47" fillId="6" borderId="65" xfId="4" applyNumberFormat="1" applyFont="1" applyFill="1" applyBorder="1" applyAlignment="1">
      <alignment horizontal="center" vertical="center" wrapText="1"/>
    </xf>
    <xf numFmtId="166" fontId="47" fillId="6" borderId="69" xfId="4" applyNumberFormat="1" applyFont="1" applyFill="1" applyBorder="1" applyAlignment="1">
      <alignment horizontal="center" vertical="center" wrapText="1"/>
    </xf>
    <xf numFmtId="166" fontId="47" fillId="6" borderId="72" xfId="4" applyNumberFormat="1" applyFont="1" applyFill="1" applyBorder="1" applyAlignment="1">
      <alignment horizontal="center" vertical="center" wrapText="1"/>
    </xf>
    <xf numFmtId="166" fontId="48" fillId="6" borderId="65" xfId="4" applyNumberFormat="1" applyFont="1" applyFill="1" applyBorder="1" applyAlignment="1">
      <alignment horizontal="center" vertical="center" wrapText="1"/>
    </xf>
    <xf numFmtId="166" fontId="48" fillId="6" borderId="69" xfId="4" applyNumberFormat="1" applyFont="1" applyFill="1" applyBorder="1" applyAlignment="1">
      <alignment horizontal="center" vertical="center" wrapText="1"/>
    </xf>
    <xf numFmtId="166" fontId="48" fillId="6" borderId="72" xfId="4" applyNumberFormat="1" applyFont="1" applyFill="1" applyBorder="1" applyAlignment="1">
      <alignment horizontal="center" vertical="center" wrapText="1"/>
    </xf>
    <xf numFmtId="0" fontId="29" fillId="10" borderId="81" xfId="0" applyFont="1" applyFill="1" applyBorder="1" applyAlignment="1">
      <alignment horizontal="left"/>
    </xf>
    <xf numFmtId="0" fontId="29" fillId="10" borderId="82" xfId="0" applyFont="1" applyFill="1" applyBorder="1" applyAlignment="1">
      <alignment horizontal="left"/>
    </xf>
    <xf numFmtId="0" fontId="29" fillId="10" borderId="74" xfId="0" applyFont="1" applyFill="1" applyBorder="1" applyAlignment="1">
      <alignment horizontal="left"/>
    </xf>
    <xf numFmtId="0" fontId="29" fillId="10" borderId="80" xfId="0" applyFont="1" applyFill="1" applyBorder="1" applyAlignment="1">
      <alignment horizontal="left"/>
    </xf>
    <xf numFmtId="0" fontId="29" fillId="10" borderId="79" xfId="0" applyFont="1" applyFill="1" applyBorder="1" applyAlignment="1">
      <alignment horizontal="left"/>
    </xf>
    <xf numFmtId="0" fontId="29" fillId="10" borderId="84" xfId="0" applyFont="1" applyFill="1" applyBorder="1" applyAlignment="1">
      <alignment horizontal="left"/>
    </xf>
    <xf numFmtId="1" fontId="29" fillId="10" borderId="80" xfId="0" applyNumberFormat="1" applyFont="1" applyFill="1" applyBorder="1" applyAlignment="1">
      <alignment horizontal="left"/>
    </xf>
    <xf numFmtId="1" fontId="29" fillId="10" borderId="79" xfId="0" applyNumberFormat="1" applyFont="1" applyFill="1" applyBorder="1" applyAlignment="1">
      <alignment horizontal="left"/>
    </xf>
    <xf numFmtId="1" fontId="29" fillId="10" borderId="84" xfId="0" applyNumberFormat="1" applyFont="1" applyFill="1" applyBorder="1" applyAlignment="1">
      <alignment horizontal="left"/>
    </xf>
    <xf numFmtId="0" fontId="29" fillId="10" borderId="18" xfId="0" applyFont="1" applyFill="1" applyBorder="1" applyAlignment="1">
      <alignment horizontal="left"/>
    </xf>
    <xf numFmtId="0" fontId="29" fillId="10" borderId="52" xfId="0" applyFont="1" applyFill="1" applyBorder="1" applyAlignment="1">
      <alignment horizontal="left"/>
    </xf>
    <xf numFmtId="0" fontId="29" fillId="10" borderId="65" xfId="0" applyFont="1" applyFill="1" applyBorder="1" applyAlignment="1">
      <alignment horizontal="left"/>
    </xf>
    <xf numFmtId="0" fontId="31" fillId="10" borderId="87" xfId="0" applyFont="1" applyFill="1" applyBorder="1" applyAlignment="1">
      <alignment horizontal="left"/>
    </xf>
    <xf numFmtId="0" fontId="31" fillId="10" borderId="95" xfId="0" applyFont="1" applyFill="1" applyBorder="1" applyAlignment="1">
      <alignment horizontal="left"/>
    </xf>
    <xf numFmtId="0" fontId="31" fillId="10" borderId="67" xfId="0" applyFont="1" applyFill="1" applyBorder="1" applyAlignment="1">
      <alignment horizontal="left"/>
    </xf>
    <xf numFmtId="0" fontId="31" fillId="10" borderId="64" xfId="0" applyFont="1" applyFill="1" applyBorder="1" applyAlignment="1">
      <alignment horizontal="left"/>
    </xf>
    <xf numFmtId="0" fontId="31" fillId="10" borderId="71" xfId="0" applyFont="1" applyFill="1" applyBorder="1" applyAlignment="1">
      <alignment horizontal="left"/>
    </xf>
    <xf numFmtId="0" fontId="31" fillId="10" borderId="72" xfId="0" applyFont="1" applyFill="1" applyBorder="1" applyAlignment="1">
      <alignment horizontal="left"/>
    </xf>
    <xf numFmtId="0" fontId="31" fillId="10" borderId="78" xfId="0" applyFont="1" applyFill="1" applyBorder="1" applyAlignment="1">
      <alignment horizontal="left"/>
    </xf>
    <xf numFmtId="0" fontId="31" fillId="10" borderId="70" xfId="0" applyFont="1" applyFill="1" applyBorder="1" applyAlignment="1">
      <alignment horizontal="left"/>
    </xf>
    <xf numFmtId="0" fontId="31" fillId="10" borderId="69" xfId="0" applyFont="1" applyFill="1" applyBorder="1" applyAlignment="1">
      <alignment horizontal="left"/>
    </xf>
    <xf numFmtId="166" fontId="65" fillId="0" borderId="40" xfId="4" applyNumberFormat="1" applyFont="1" applyBorder="1" applyAlignment="1">
      <alignment horizontal="center" vertical="center" wrapText="1"/>
    </xf>
    <xf numFmtId="166" fontId="65" fillId="0" borderId="41" xfId="4" applyNumberFormat="1" applyFont="1" applyBorder="1" applyAlignment="1">
      <alignment horizontal="center" vertical="center" wrapText="1"/>
    </xf>
    <xf numFmtId="0" fontId="31" fillId="9" borderId="67" xfId="0" applyFont="1" applyFill="1" applyBorder="1" applyAlignment="1">
      <alignment horizontal="center"/>
    </xf>
    <xf numFmtId="0" fontId="31" fillId="9" borderId="64" xfId="0" applyFont="1" applyFill="1" applyBorder="1" applyAlignment="1">
      <alignment horizontal="center"/>
    </xf>
    <xf numFmtId="0" fontId="31" fillId="9" borderId="78" xfId="0" applyFont="1" applyFill="1" applyBorder="1" applyAlignment="1">
      <alignment horizontal="center"/>
    </xf>
    <xf numFmtId="0" fontId="31" fillId="10" borderId="52" xfId="0" applyFont="1" applyFill="1" applyBorder="1" applyAlignment="1">
      <alignment horizontal="left"/>
    </xf>
    <xf numFmtId="0" fontId="31" fillId="10" borderId="65" xfId="0" applyFont="1" applyFill="1" applyBorder="1" applyAlignment="1">
      <alignment horizontal="left"/>
    </xf>
    <xf numFmtId="0" fontId="31" fillId="10" borderId="53" xfId="0" applyFont="1" applyFill="1" applyBorder="1" applyAlignment="1">
      <alignment horizontal="left"/>
    </xf>
    <xf numFmtId="166" fontId="67" fillId="6" borderId="65" xfId="4" applyNumberFormat="1" applyFont="1" applyFill="1" applyBorder="1" applyAlignment="1">
      <alignment horizontal="center" vertical="center" wrapText="1"/>
    </xf>
    <xf numFmtId="166" fontId="67" fillId="6" borderId="69" xfId="4" applyNumberFormat="1" applyFont="1" applyFill="1" applyBorder="1" applyAlignment="1">
      <alignment horizontal="center" vertical="center" wrapText="1"/>
    </xf>
    <xf numFmtId="166" fontId="67" fillId="6" borderId="72" xfId="4" applyNumberFormat="1" applyFont="1" applyFill="1" applyBorder="1" applyAlignment="1">
      <alignment horizontal="center" vertical="center" wrapText="1"/>
    </xf>
    <xf numFmtId="166" fontId="68" fillId="6" borderId="65" xfId="4" applyNumberFormat="1" applyFont="1" applyFill="1" applyBorder="1" applyAlignment="1">
      <alignment horizontal="center" vertical="center" wrapText="1"/>
    </xf>
    <xf numFmtId="166" fontId="68" fillId="6" borderId="69" xfId="4" applyNumberFormat="1" applyFont="1" applyFill="1" applyBorder="1" applyAlignment="1">
      <alignment horizontal="center" vertical="center" wrapText="1"/>
    </xf>
    <xf numFmtId="166" fontId="68" fillId="6" borderId="72" xfId="4" applyNumberFormat="1" applyFont="1" applyFill="1" applyBorder="1" applyAlignment="1">
      <alignment horizontal="center" vertical="center" wrapText="1"/>
    </xf>
    <xf numFmtId="0" fontId="4" fillId="0" borderId="0" xfId="2" applyFont="1" applyAlignment="1">
      <alignment horizontal="left" vertical="center" wrapText="1"/>
    </xf>
    <xf numFmtId="0" fontId="4" fillId="0" borderId="0" xfId="2" applyFont="1" applyAlignment="1">
      <alignment horizontal="left" vertical="top"/>
    </xf>
    <xf numFmtId="1" fontId="31" fillId="10" borderId="81" xfId="0" applyNumberFormat="1" applyFont="1" applyFill="1" applyBorder="1" applyAlignment="1">
      <alignment horizontal="left"/>
    </xf>
    <xf numFmtId="1" fontId="31" fillId="10" borderId="82" xfId="0" applyNumberFormat="1" applyFont="1" applyFill="1" applyBorder="1" applyAlignment="1">
      <alignment horizontal="left"/>
    </xf>
    <xf numFmtId="0" fontId="31" fillId="10" borderId="99" xfId="0" applyFont="1" applyFill="1" applyBorder="1" applyAlignment="1">
      <alignment horizontal="left"/>
    </xf>
    <xf numFmtId="0" fontId="31" fillId="10" borderId="85" xfId="0" applyFont="1" applyFill="1" applyBorder="1" applyAlignment="1">
      <alignment horizontal="left"/>
    </xf>
    <xf numFmtId="1" fontId="31" fillId="9" borderId="67" xfId="0" applyNumberFormat="1" applyFont="1" applyFill="1" applyBorder="1" applyAlignment="1">
      <alignment horizontal="center"/>
    </xf>
    <xf numFmtId="1" fontId="31" fillId="9" borderId="64" xfId="0" applyNumberFormat="1" applyFont="1" applyFill="1" applyBorder="1" applyAlignment="1">
      <alignment horizontal="center"/>
    </xf>
    <xf numFmtId="1" fontId="31" fillId="9" borderId="78" xfId="0" applyNumberFormat="1" applyFont="1" applyFill="1" applyBorder="1" applyAlignment="1">
      <alignment horizontal="center"/>
    </xf>
    <xf numFmtId="1" fontId="31" fillId="10" borderId="67" xfId="0" applyNumberFormat="1" applyFont="1" applyFill="1" applyBorder="1" applyAlignment="1">
      <alignment horizontal="left"/>
    </xf>
    <xf numFmtId="1" fontId="31" fillId="10" borderId="64" xfId="0" applyNumberFormat="1" applyFont="1" applyFill="1" applyBorder="1" applyAlignment="1">
      <alignment horizontal="left"/>
    </xf>
    <xf numFmtId="1" fontId="31" fillId="10" borderId="78" xfId="0" applyNumberFormat="1" applyFont="1" applyFill="1" applyBorder="1" applyAlignment="1">
      <alignment horizontal="left"/>
    </xf>
    <xf numFmtId="0" fontId="31" fillId="9" borderId="52" xfId="0" applyFont="1" applyFill="1" applyBorder="1" applyAlignment="1">
      <alignment horizontal="center"/>
    </xf>
    <xf numFmtId="0" fontId="31" fillId="9" borderId="65" xfId="0" applyFont="1" applyFill="1" applyBorder="1" applyAlignment="1">
      <alignment horizontal="center"/>
    </xf>
    <xf numFmtId="0" fontId="31" fillId="9" borderId="53" xfId="0" applyFont="1" applyFill="1" applyBorder="1" applyAlignment="1">
      <alignment horizontal="center"/>
    </xf>
    <xf numFmtId="0" fontId="31" fillId="10" borderId="81" xfId="0" applyFont="1" applyFill="1" applyBorder="1" applyAlignment="1">
      <alignment horizontal="left"/>
    </xf>
    <xf numFmtId="0" fontId="31" fillId="10" borderId="82" xfId="0" applyFont="1" applyFill="1" applyBorder="1" applyAlignment="1">
      <alignment horizontal="left"/>
    </xf>
    <xf numFmtId="0" fontId="0" fillId="18" borderId="6" xfId="0" applyFill="1" applyBorder="1" applyAlignment="1">
      <alignment horizontal="center"/>
    </xf>
    <xf numFmtId="0" fontId="0" fillId="18" borderId="37" xfId="0" applyFill="1" applyBorder="1" applyAlignment="1">
      <alignment horizontal="center"/>
    </xf>
    <xf numFmtId="0" fontId="0" fillId="18" borderId="73" xfId="0" applyFill="1" applyBorder="1" applyAlignment="1">
      <alignment horizontal="center"/>
    </xf>
    <xf numFmtId="0" fontId="17" fillId="8" borderId="42" xfId="0" applyFont="1" applyFill="1" applyBorder="1" applyAlignment="1">
      <alignment horizontal="left" vertical="center"/>
    </xf>
    <xf numFmtId="0" fontId="17" fillId="8" borderId="42" xfId="0" applyFont="1" applyFill="1" applyBorder="1" applyAlignment="1">
      <alignment vertical="center"/>
    </xf>
    <xf numFmtId="0" fontId="17" fillId="8" borderId="0" xfId="0" applyFont="1" applyFill="1" applyAlignment="1">
      <alignment vertical="center"/>
    </xf>
    <xf numFmtId="0" fontId="18" fillId="8" borderId="42" xfId="0" applyFont="1" applyFill="1" applyBorder="1" applyAlignment="1">
      <alignment horizontal="left" vertical="top"/>
    </xf>
    <xf numFmtId="0" fontId="20" fillId="8" borderId="42" xfId="0" applyFont="1" applyFill="1" applyBorder="1" applyAlignment="1">
      <alignment horizontal="center" vertical="center" wrapText="1"/>
    </xf>
    <xf numFmtId="0" fontId="20" fillId="8" borderId="0" xfId="0" applyFont="1" applyFill="1" applyAlignment="1">
      <alignment horizontal="center" vertical="center" wrapText="1"/>
    </xf>
    <xf numFmtId="0" fontId="0" fillId="0" borderId="24" xfId="0" applyBorder="1" applyAlignment="1">
      <alignment horizontal="left"/>
    </xf>
    <xf numFmtId="0" fontId="0" fillId="0" borderId="2" xfId="0" applyBorder="1" applyAlignment="1">
      <alignment horizontal="left"/>
    </xf>
    <xf numFmtId="0" fontId="0" fillId="0" borderId="25" xfId="0" applyBorder="1" applyAlignment="1">
      <alignment horizontal="left"/>
    </xf>
    <xf numFmtId="0" fontId="10" fillId="0" borderId="11" xfId="0" applyFont="1" applyBorder="1" applyAlignment="1">
      <alignment horizontal="center"/>
    </xf>
    <xf numFmtId="0" fontId="10" fillId="0" borderId="12" xfId="0" applyFont="1" applyBorder="1" applyAlignment="1">
      <alignment horizontal="center"/>
    </xf>
    <xf numFmtId="0" fontId="10" fillId="0" borderId="13" xfId="0" applyFont="1" applyBorder="1" applyAlignment="1">
      <alignment horizontal="center"/>
    </xf>
    <xf numFmtId="0" fontId="11" fillId="0" borderId="14" xfId="0" applyFont="1" applyBorder="1" applyAlignment="1">
      <alignment horizontal="center" vertical="center"/>
    </xf>
    <xf numFmtId="0" fontId="11" fillId="0" borderId="15" xfId="0" applyFont="1" applyBorder="1" applyAlignment="1">
      <alignment horizontal="center" vertical="center"/>
    </xf>
    <xf numFmtId="0" fontId="11" fillId="0" borderId="16" xfId="0" applyFont="1" applyBorder="1" applyAlignment="1">
      <alignment horizontal="center" vertical="center"/>
    </xf>
    <xf numFmtId="0" fontId="2" fillId="7" borderId="0" xfId="0" applyFont="1" applyFill="1" applyAlignment="1">
      <alignment horizontal="center"/>
    </xf>
    <xf numFmtId="0" fontId="0" fillId="0" borderId="20" xfId="0" applyBorder="1" applyAlignment="1">
      <alignment horizontal="left"/>
    </xf>
    <xf numFmtId="0" fontId="0" fillId="0" borderId="21" xfId="0" applyBorder="1" applyAlignment="1">
      <alignment horizontal="left"/>
    </xf>
    <xf numFmtId="0" fontId="0" fillId="0" borderId="22" xfId="0" applyBorder="1" applyAlignment="1">
      <alignment horizontal="left"/>
    </xf>
    <xf numFmtId="0" fontId="0" fillId="0" borderId="27" xfId="0" applyBorder="1" applyAlignment="1">
      <alignment horizontal="left"/>
    </xf>
    <xf numFmtId="0" fontId="0" fillId="0" borderId="28" xfId="0" applyBorder="1" applyAlignment="1">
      <alignment horizontal="left"/>
    </xf>
    <xf numFmtId="0" fontId="0" fillId="0" borderId="29" xfId="0" applyBorder="1" applyAlignment="1">
      <alignment horizontal="left"/>
    </xf>
    <xf numFmtId="0" fontId="2" fillId="0" borderId="21" xfId="0" applyFont="1" applyBorder="1" applyAlignment="1">
      <alignment horizontal="center"/>
    </xf>
    <xf numFmtId="0" fontId="2" fillId="0" borderId="22" xfId="0" applyFont="1" applyBorder="1" applyAlignment="1">
      <alignment horizontal="center"/>
    </xf>
    <xf numFmtId="0" fontId="0" fillId="0" borderId="31" xfId="0" applyBorder="1" applyAlignment="1">
      <alignment horizontal="left"/>
    </xf>
    <xf numFmtId="0" fontId="0" fillId="0" borderId="1" xfId="0" applyBorder="1" applyAlignment="1">
      <alignment horizontal="left"/>
    </xf>
    <xf numFmtId="0" fontId="0" fillId="0" borderId="32" xfId="0" applyBorder="1" applyAlignment="1">
      <alignment horizontal="left"/>
    </xf>
    <xf numFmtId="0" fontId="2" fillId="0" borderId="20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0" borderId="33" xfId="0" applyFont="1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25" xfId="0" applyBorder="1" applyAlignment="1">
      <alignment horizontal="center"/>
    </xf>
    <xf numFmtId="44" fontId="0" fillId="0" borderId="24" xfId="8" applyFont="1" applyBorder="1" applyAlignment="1">
      <alignment horizontal="center"/>
    </xf>
    <xf numFmtId="44" fontId="0" fillId="0" borderId="25" xfId="8" applyFont="1" applyBorder="1" applyAlignment="1">
      <alignment horizontal="center"/>
    </xf>
    <xf numFmtId="44" fontId="0" fillId="0" borderId="27" xfId="8" applyFont="1" applyBorder="1" applyAlignment="1">
      <alignment horizontal="center"/>
    </xf>
    <xf numFmtId="44" fontId="0" fillId="0" borderId="29" xfId="8" applyFont="1" applyBorder="1" applyAlignment="1">
      <alignment horizontal="center"/>
    </xf>
    <xf numFmtId="0" fontId="2" fillId="0" borderId="24" xfId="0" applyFont="1" applyBorder="1" applyAlignment="1">
      <alignment horizontal="center"/>
    </xf>
    <xf numFmtId="0" fontId="2" fillId="0" borderId="25" xfId="0" applyFont="1" applyBorder="1" applyAlignment="1">
      <alignment horizontal="center"/>
    </xf>
    <xf numFmtId="0" fontId="2" fillId="0" borderId="7" xfId="0" applyFont="1" applyBorder="1" applyAlignment="1">
      <alignment horizontal="center"/>
    </xf>
    <xf numFmtId="0" fontId="2" fillId="0" borderId="9" xfId="0" applyFont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10" xfId="0" applyBorder="1" applyAlignment="1">
      <alignment horizontal="center"/>
    </xf>
    <xf numFmtId="0" fontId="2" fillId="0" borderId="11" xfId="0" applyFont="1" applyBorder="1" applyAlignment="1">
      <alignment horizontal="left"/>
    </xf>
    <xf numFmtId="0" fontId="2" fillId="0" borderId="12" xfId="0" applyFont="1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Alignment="1">
      <alignment horizontal="left" vertical="top" wrapText="1"/>
    </xf>
    <xf numFmtId="0" fontId="0" fillId="0" borderId="1" xfId="0" applyBorder="1" applyAlignment="1">
      <alignment horizontal="left" vertical="top" wrapText="1"/>
    </xf>
    <xf numFmtId="170" fontId="24" fillId="0" borderId="0" xfId="0" applyNumberFormat="1" applyFont="1"/>
  </cellXfs>
  <cellStyles count="18">
    <cellStyle name="Moeda" xfId="8" builtinId="4"/>
    <cellStyle name="Moeda 2" xfId="4" xr:uid="{88D8EF41-8435-41DD-B95B-CB2197D8CF8B}"/>
    <cellStyle name="Moeda 3" xfId="9" xr:uid="{18A079E9-578A-4840-BD6F-5C55BE5AE376}"/>
    <cellStyle name="Moeda 3 2" xfId="15" xr:uid="{53D7C568-CC58-4B15-B9DD-1867C128147F}"/>
    <cellStyle name="Moeda 4" xfId="6" xr:uid="{87039FAF-445E-422B-A516-66BA7E305CF9}"/>
    <cellStyle name="Moeda 4 2" xfId="10" xr:uid="{636A40C2-255F-46EF-84CA-98953AE8866B}"/>
    <cellStyle name="Moeda 4 2 2" xfId="16" xr:uid="{7BDB4489-6168-4BE0-A964-5DE628ED1876}"/>
    <cellStyle name="Moeda 5" xfId="11" xr:uid="{2124AE60-0557-4AC3-B48A-633CB17E3340}"/>
    <cellStyle name="Moeda 5 2" xfId="17" xr:uid="{0C993D40-EFA9-480A-9766-C4BE8F04E4F7}"/>
    <cellStyle name="Moeda 6" xfId="14" xr:uid="{574A822A-71B7-46B2-A0C3-1C5E8591DADA}"/>
    <cellStyle name="Normal" xfId="0" builtinId="0"/>
    <cellStyle name="Normal 2" xfId="2" xr:uid="{BD42359E-6099-413E-81D2-0E0BA4C03DB2}"/>
    <cellStyle name="Normal 3" xfId="7" xr:uid="{68151FFA-A329-4F7F-B412-27BE57253D9C}"/>
    <cellStyle name="Normal 3 2" xfId="13" xr:uid="{EDD1A25C-4E09-47DE-9478-AA6861AFB48F}"/>
    <cellStyle name="Normal 6" xfId="12" xr:uid="{2888F636-9924-454F-857E-E38553BD81CD}"/>
    <cellStyle name="Normal_Plan1" xfId="3" xr:uid="{ABCD160A-D73A-4213-9DF3-17A45862579B}"/>
    <cellStyle name="Porcentagem" xfId="1" builtinId="5"/>
    <cellStyle name="Porcentagem 2" xfId="5" xr:uid="{58C97418-D6D1-4F2E-95E9-1B0ADE8B90D4}"/>
  </cellStyles>
  <dxfs count="0"/>
  <tableStyles count="0" defaultTableStyle="TableStyleMedium2" defaultPivotStyle="PivotStyleLight16"/>
  <colors>
    <mruColors>
      <color rgb="FFFFFFFF"/>
      <color rgb="FF0476D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4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externalLink" Target="externalLinks/externalLink2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67024</xdr:colOff>
      <xdr:row>0</xdr:row>
      <xdr:rowOff>152400</xdr:rowOff>
    </xdr:from>
    <xdr:to>
      <xdr:col>5</xdr:col>
      <xdr:colOff>960601</xdr:colOff>
      <xdr:row>1</xdr:row>
      <xdr:rowOff>66675</xdr:rowOff>
    </xdr:to>
    <xdr:sp macro="" textlink="">
      <xdr:nvSpPr>
        <xdr:cNvPr id="2" name="Label1" hidden="1">
          <a:extLst>
            <a:ext uri="{63B3BB69-23CF-44E3-9099-C40C66FF867C}">
              <a14:compatExt xmlns:a14="http://schemas.microsoft.com/office/drawing/2010/main" spid="_x0000_s23553"/>
            </a:ext>
            <a:ext uri="{FF2B5EF4-FFF2-40B4-BE49-F238E27FC236}">
              <a16:creationId xmlns:a16="http://schemas.microsoft.com/office/drawing/2014/main" id="{CB1F43E9-E50D-4C37-894D-9D2B9A7861D6}"/>
            </a:ext>
          </a:extLst>
        </xdr:cNvPr>
        <xdr:cNvSpPr/>
      </xdr:nvSpPr>
      <xdr:spPr bwMode="auto">
        <a:xfrm>
          <a:off x="667553" y="152400"/>
          <a:ext cx="884052" cy="5397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</xdr:col>
      <xdr:colOff>250031</xdr:colOff>
      <xdr:row>0</xdr:row>
      <xdr:rowOff>130971</xdr:rowOff>
    </xdr:from>
    <xdr:to>
      <xdr:col>1</xdr:col>
      <xdr:colOff>614443</xdr:colOff>
      <xdr:row>0</xdr:row>
      <xdr:rowOff>506413</xdr:rowOff>
    </xdr:to>
    <xdr:pic macro="[0]!ChamaForm_Menu">
      <xdr:nvPicPr>
        <xdr:cNvPr id="3" name="Imagem 2">
          <a:extLst>
            <a:ext uri="{FF2B5EF4-FFF2-40B4-BE49-F238E27FC236}">
              <a16:creationId xmlns:a16="http://schemas.microsoft.com/office/drawing/2014/main" id="{1CAD9771-8352-4CE6-8D77-DBB2963050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0031" y="130971"/>
          <a:ext cx="375207" cy="372267"/>
        </a:xfrm>
        <a:prstGeom prst="rect">
          <a:avLst/>
        </a:prstGeom>
      </xdr:spPr>
    </xdr:pic>
    <xdr:clientData/>
  </xdr:twoCellAnchor>
  <xdr:twoCellAnchor editAs="absolute">
    <xdr:from>
      <xdr:col>39</xdr:col>
      <xdr:colOff>1111474</xdr:colOff>
      <xdr:row>0</xdr:row>
      <xdr:rowOff>190500</xdr:rowOff>
    </xdr:from>
    <xdr:to>
      <xdr:col>41</xdr:col>
      <xdr:colOff>42213</xdr:colOff>
      <xdr:row>1</xdr:row>
      <xdr:rowOff>114300</xdr:rowOff>
    </xdr:to>
    <xdr:sp macro="" textlink="">
      <xdr:nvSpPr>
        <xdr:cNvPr id="4" name="Label2" hidden="1">
          <a:extLst>
            <a:ext uri="{63B3BB69-23CF-44E3-9099-C40C66FF867C}">
              <a14:compatExt xmlns:a14="http://schemas.microsoft.com/office/drawing/2010/main" spid="_x0000_s23554"/>
            </a:ext>
            <a:ext uri="{FF2B5EF4-FFF2-40B4-BE49-F238E27FC236}">
              <a16:creationId xmlns:a16="http://schemas.microsoft.com/office/drawing/2014/main" id="{6324A32B-F725-47EB-A47D-0C01D7C2A961}"/>
            </a:ext>
          </a:extLst>
        </xdr:cNvPr>
        <xdr:cNvSpPr/>
      </xdr:nvSpPr>
      <xdr:spPr bwMode="auto">
        <a:xfrm>
          <a:off x="28325985" y="190500"/>
          <a:ext cx="1019468" cy="552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39</xdr:col>
      <xdr:colOff>631970</xdr:colOff>
      <xdr:row>0</xdr:row>
      <xdr:rowOff>182566</xdr:rowOff>
    </xdr:from>
    <xdr:to>
      <xdr:col>39</xdr:col>
      <xdr:colOff>1013046</xdr:colOff>
      <xdr:row>0</xdr:row>
      <xdr:rowOff>545308</xdr:rowOff>
    </xdr:to>
    <xdr:pic macro="[0]!ChamaForm_Menu">
      <xdr:nvPicPr>
        <xdr:cNvPr id="5" name="Imagem 4">
          <a:extLst>
            <a:ext uri="{FF2B5EF4-FFF2-40B4-BE49-F238E27FC236}">
              <a16:creationId xmlns:a16="http://schemas.microsoft.com/office/drawing/2014/main" id="{7B093F04-D6FF-41CD-AAD0-45FB985AC5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899740" y="179391"/>
          <a:ext cx="353217" cy="362742"/>
        </a:xfrm>
        <a:prstGeom prst="rect">
          <a:avLst/>
        </a:prstGeom>
      </xdr:spPr>
    </xdr:pic>
    <xdr:clientData/>
  </xdr:twoCellAnchor>
  <xdr:twoCellAnchor editAs="absolute">
    <xdr:from>
      <xdr:col>5</xdr:col>
      <xdr:colOff>67024</xdr:colOff>
      <xdr:row>0</xdr:row>
      <xdr:rowOff>152400</xdr:rowOff>
    </xdr:from>
    <xdr:to>
      <xdr:col>5</xdr:col>
      <xdr:colOff>960601</xdr:colOff>
      <xdr:row>1</xdr:row>
      <xdr:rowOff>66675</xdr:rowOff>
    </xdr:to>
    <xdr:pic>
      <xdr:nvPicPr>
        <xdr:cNvPr id="6" name="Label1">
          <a:extLst>
            <a:ext uri="{FF2B5EF4-FFF2-40B4-BE49-F238E27FC236}">
              <a16:creationId xmlns:a16="http://schemas.microsoft.com/office/drawing/2014/main" id="{6ABA7E1C-E3A7-4A40-A94D-86E5F2BD7204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7553" y="152400"/>
          <a:ext cx="884052" cy="5397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39</xdr:col>
      <xdr:colOff>1111474</xdr:colOff>
      <xdr:row>0</xdr:row>
      <xdr:rowOff>190500</xdr:rowOff>
    </xdr:from>
    <xdr:to>
      <xdr:col>41</xdr:col>
      <xdr:colOff>42213</xdr:colOff>
      <xdr:row>1</xdr:row>
      <xdr:rowOff>114300</xdr:rowOff>
    </xdr:to>
    <xdr:pic>
      <xdr:nvPicPr>
        <xdr:cNvPr id="7" name="Label2">
          <a:extLst>
            <a:ext uri="{FF2B5EF4-FFF2-40B4-BE49-F238E27FC236}">
              <a16:creationId xmlns:a16="http://schemas.microsoft.com/office/drawing/2014/main" id="{90B3F352-0E54-457D-BA4A-E5B3FA42207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325985" y="190500"/>
          <a:ext cx="1019468" cy="552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198560</xdr:colOff>
      <xdr:row>0</xdr:row>
      <xdr:rowOff>152400</xdr:rowOff>
    </xdr:from>
    <xdr:to>
      <xdr:col>5</xdr:col>
      <xdr:colOff>1085787</xdr:colOff>
      <xdr:row>1</xdr:row>
      <xdr:rowOff>66675</xdr:rowOff>
    </xdr:to>
    <xdr:sp macro="" textlink="">
      <xdr:nvSpPr>
        <xdr:cNvPr id="2" name="Label1" hidden="1">
          <a:extLst>
            <a:ext uri="{63B3BB69-23CF-44E3-9099-C40C66FF867C}">
              <a14:compatExt xmlns:a14="http://schemas.microsoft.com/office/drawing/2010/main" spid="_x0000_s23553"/>
            </a:ext>
            <a:ext uri="{FF2B5EF4-FFF2-40B4-BE49-F238E27FC236}">
              <a16:creationId xmlns:a16="http://schemas.microsoft.com/office/drawing/2014/main" id="{6BC78689-F058-4DA2-9991-B81CD34055AE}"/>
            </a:ext>
          </a:extLst>
        </xdr:cNvPr>
        <xdr:cNvSpPr/>
      </xdr:nvSpPr>
      <xdr:spPr bwMode="auto">
        <a:xfrm>
          <a:off x="696128" y="152400"/>
          <a:ext cx="884052" cy="5397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</xdr:col>
      <xdr:colOff>250031</xdr:colOff>
      <xdr:row>0</xdr:row>
      <xdr:rowOff>130971</xdr:rowOff>
    </xdr:from>
    <xdr:to>
      <xdr:col>5</xdr:col>
      <xdr:colOff>123134</xdr:colOff>
      <xdr:row>0</xdr:row>
      <xdr:rowOff>506413</xdr:rowOff>
    </xdr:to>
    <xdr:pic macro="[0]!ChamaForm_Menu">
      <xdr:nvPicPr>
        <xdr:cNvPr id="3" name="Imagem 2">
          <a:extLst>
            <a:ext uri="{FF2B5EF4-FFF2-40B4-BE49-F238E27FC236}">
              <a16:creationId xmlns:a16="http://schemas.microsoft.com/office/drawing/2014/main" id="{3FA4A9E6-A380-4FF3-A48D-852C050BA5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0031" y="130971"/>
          <a:ext cx="375207" cy="372267"/>
        </a:xfrm>
        <a:prstGeom prst="rect">
          <a:avLst/>
        </a:prstGeom>
      </xdr:spPr>
    </xdr:pic>
    <xdr:clientData/>
  </xdr:twoCellAnchor>
  <xdr:twoCellAnchor editAs="absolute">
    <xdr:from>
      <xdr:col>38</xdr:col>
      <xdr:colOff>1267050</xdr:colOff>
      <xdr:row>0</xdr:row>
      <xdr:rowOff>190500</xdr:rowOff>
    </xdr:from>
    <xdr:to>
      <xdr:col>39</xdr:col>
      <xdr:colOff>580150</xdr:colOff>
      <xdr:row>1</xdr:row>
      <xdr:rowOff>114300</xdr:rowOff>
    </xdr:to>
    <xdr:sp macro="" textlink="">
      <xdr:nvSpPr>
        <xdr:cNvPr id="4" name="Label2" hidden="1">
          <a:extLst>
            <a:ext uri="{63B3BB69-23CF-44E3-9099-C40C66FF867C}">
              <a14:compatExt xmlns:a14="http://schemas.microsoft.com/office/drawing/2010/main" spid="_x0000_s23554"/>
            </a:ext>
            <a:ext uri="{FF2B5EF4-FFF2-40B4-BE49-F238E27FC236}">
              <a16:creationId xmlns:a16="http://schemas.microsoft.com/office/drawing/2014/main" id="{684FDD5E-A9F9-4499-9894-AA2CC35ED9E7}"/>
            </a:ext>
          </a:extLst>
        </xdr:cNvPr>
        <xdr:cNvSpPr/>
      </xdr:nvSpPr>
      <xdr:spPr bwMode="auto">
        <a:xfrm>
          <a:off x="29664703" y="190500"/>
          <a:ext cx="1042568" cy="552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38</xdr:col>
      <xdr:colOff>809771</xdr:colOff>
      <xdr:row>0</xdr:row>
      <xdr:rowOff>182566</xdr:rowOff>
    </xdr:from>
    <xdr:to>
      <xdr:col>38</xdr:col>
      <xdr:colOff>1187672</xdr:colOff>
      <xdr:row>0</xdr:row>
      <xdr:rowOff>545308</xdr:rowOff>
    </xdr:to>
    <xdr:pic macro="[0]!ChamaForm_Menu">
      <xdr:nvPicPr>
        <xdr:cNvPr id="5" name="Imagem 4">
          <a:extLst>
            <a:ext uri="{FF2B5EF4-FFF2-40B4-BE49-F238E27FC236}">
              <a16:creationId xmlns:a16="http://schemas.microsoft.com/office/drawing/2014/main" id="{938F754E-36CF-49B3-BDFF-F44640BF39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204249" y="179391"/>
          <a:ext cx="387426" cy="362742"/>
        </a:xfrm>
        <a:prstGeom prst="rect">
          <a:avLst/>
        </a:prstGeom>
      </xdr:spPr>
    </xdr:pic>
    <xdr:clientData/>
  </xdr:twoCellAnchor>
  <xdr:twoCellAnchor editAs="absolute">
    <xdr:from>
      <xdr:col>5</xdr:col>
      <xdr:colOff>198560</xdr:colOff>
      <xdr:row>0</xdr:row>
      <xdr:rowOff>152400</xdr:rowOff>
    </xdr:from>
    <xdr:to>
      <xdr:col>5</xdr:col>
      <xdr:colOff>1085787</xdr:colOff>
      <xdr:row>1</xdr:row>
      <xdr:rowOff>66675</xdr:rowOff>
    </xdr:to>
    <xdr:pic>
      <xdr:nvPicPr>
        <xdr:cNvPr id="6" name="Label1">
          <a:extLst>
            <a:ext uri="{FF2B5EF4-FFF2-40B4-BE49-F238E27FC236}">
              <a16:creationId xmlns:a16="http://schemas.microsoft.com/office/drawing/2014/main" id="{A9DB1470-8C71-4816-AB5A-71996691ACFD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96128" y="152400"/>
          <a:ext cx="884052" cy="5397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38</xdr:col>
      <xdr:colOff>1267050</xdr:colOff>
      <xdr:row>0</xdr:row>
      <xdr:rowOff>190500</xdr:rowOff>
    </xdr:from>
    <xdr:to>
      <xdr:col>39</xdr:col>
      <xdr:colOff>580150</xdr:colOff>
      <xdr:row>1</xdr:row>
      <xdr:rowOff>114300</xdr:rowOff>
    </xdr:to>
    <xdr:pic>
      <xdr:nvPicPr>
        <xdr:cNvPr id="7" name="Label2">
          <a:extLst>
            <a:ext uri="{FF2B5EF4-FFF2-40B4-BE49-F238E27FC236}">
              <a16:creationId xmlns:a16="http://schemas.microsoft.com/office/drawing/2014/main" id="{CEC3818E-8CD9-4111-928F-5AE974090CAD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664703" y="190500"/>
          <a:ext cx="1042568" cy="552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219878</xdr:colOff>
      <xdr:row>0</xdr:row>
      <xdr:rowOff>152400</xdr:rowOff>
    </xdr:from>
    <xdr:to>
      <xdr:col>5</xdr:col>
      <xdr:colOff>1103930</xdr:colOff>
      <xdr:row>1</xdr:row>
      <xdr:rowOff>66675</xdr:rowOff>
    </xdr:to>
    <xdr:sp macro="" textlink="">
      <xdr:nvSpPr>
        <xdr:cNvPr id="2" name="Label1" hidden="1">
          <a:extLst>
            <a:ext uri="{63B3BB69-23CF-44E3-9099-C40C66FF867C}">
              <a14:compatExt xmlns:a14="http://schemas.microsoft.com/office/drawing/2010/main" spid="_x0000_s23553"/>
            </a:ext>
            <a:ext uri="{FF2B5EF4-FFF2-40B4-BE49-F238E27FC236}">
              <a16:creationId xmlns:a16="http://schemas.microsoft.com/office/drawing/2014/main" id="{08A39AE6-ABFF-41A2-B45C-DD7D4590C940}"/>
            </a:ext>
          </a:extLst>
        </xdr:cNvPr>
        <xdr:cNvSpPr/>
      </xdr:nvSpPr>
      <xdr:spPr bwMode="auto">
        <a:xfrm>
          <a:off x="696128" y="152400"/>
          <a:ext cx="884052" cy="5397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</xdr:col>
      <xdr:colOff>250031</xdr:colOff>
      <xdr:row>0</xdr:row>
      <xdr:rowOff>130971</xdr:rowOff>
    </xdr:from>
    <xdr:to>
      <xdr:col>5</xdr:col>
      <xdr:colOff>145813</xdr:colOff>
      <xdr:row>0</xdr:row>
      <xdr:rowOff>506413</xdr:rowOff>
    </xdr:to>
    <xdr:pic macro="[0]!ChamaForm_Menu">
      <xdr:nvPicPr>
        <xdr:cNvPr id="3" name="Imagem 2">
          <a:extLst>
            <a:ext uri="{FF2B5EF4-FFF2-40B4-BE49-F238E27FC236}">
              <a16:creationId xmlns:a16="http://schemas.microsoft.com/office/drawing/2014/main" id="{D18E84F0-0CE7-4412-ABA8-891FC16B92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0031" y="130971"/>
          <a:ext cx="375207" cy="372267"/>
        </a:xfrm>
        <a:prstGeom prst="rect">
          <a:avLst/>
        </a:prstGeom>
      </xdr:spPr>
    </xdr:pic>
    <xdr:clientData/>
  </xdr:twoCellAnchor>
  <xdr:twoCellAnchor editAs="absolute">
    <xdr:from>
      <xdr:col>43</xdr:col>
      <xdr:colOff>288544</xdr:colOff>
      <xdr:row>0</xdr:row>
      <xdr:rowOff>190500</xdr:rowOff>
    </xdr:from>
    <xdr:to>
      <xdr:col>45</xdr:col>
      <xdr:colOff>106621</xdr:colOff>
      <xdr:row>1</xdr:row>
      <xdr:rowOff>114300</xdr:rowOff>
    </xdr:to>
    <xdr:sp macro="" textlink="">
      <xdr:nvSpPr>
        <xdr:cNvPr id="4" name="Label2" hidden="1">
          <a:extLst>
            <a:ext uri="{63B3BB69-23CF-44E3-9099-C40C66FF867C}">
              <a14:compatExt xmlns:a14="http://schemas.microsoft.com/office/drawing/2010/main" spid="_x0000_s23554"/>
            </a:ext>
            <a:ext uri="{FF2B5EF4-FFF2-40B4-BE49-F238E27FC236}">
              <a16:creationId xmlns:a16="http://schemas.microsoft.com/office/drawing/2014/main" id="{81E3C162-3E37-4776-BA92-611D2F011084}"/>
            </a:ext>
          </a:extLst>
        </xdr:cNvPr>
        <xdr:cNvSpPr/>
      </xdr:nvSpPr>
      <xdr:spPr bwMode="auto">
        <a:xfrm>
          <a:off x="29664703" y="190500"/>
          <a:ext cx="1042568" cy="552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42</xdr:col>
      <xdr:colOff>446157</xdr:colOff>
      <xdr:row>0</xdr:row>
      <xdr:rowOff>182566</xdr:rowOff>
    </xdr:from>
    <xdr:to>
      <xdr:col>43</xdr:col>
      <xdr:colOff>221866</xdr:colOff>
      <xdr:row>0</xdr:row>
      <xdr:rowOff>545308</xdr:rowOff>
    </xdr:to>
    <xdr:pic macro="[0]!ChamaForm_Menu">
      <xdr:nvPicPr>
        <xdr:cNvPr id="5" name="Imagem 4">
          <a:extLst>
            <a:ext uri="{FF2B5EF4-FFF2-40B4-BE49-F238E27FC236}">
              <a16:creationId xmlns:a16="http://schemas.microsoft.com/office/drawing/2014/main" id="{38F56A06-C728-47BF-8E47-EC83D901EC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204249" y="179391"/>
          <a:ext cx="387426" cy="362742"/>
        </a:xfrm>
        <a:prstGeom prst="rect">
          <a:avLst/>
        </a:prstGeom>
      </xdr:spPr>
    </xdr:pic>
    <xdr:clientData/>
  </xdr:twoCellAnchor>
  <xdr:twoCellAnchor editAs="absolute">
    <xdr:from>
      <xdr:col>5</xdr:col>
      <xdr:colOff>219878</xdr:colOff>
      <xdr:row>0</xdr:row>
      <xdr:rowOff>152400</xdr:rowOff>
    </xdr:from>
    <xdr:to>
      <xdr:col>5</xdr:col>
      <xdr:colOff>1103930</xdr:colOff>
      <xdr:row>1</xdr:row>
      <xdr:rowOff>66675</xdr:rowOff>
    </xdr:to>
    <xdr:pic>
      <xdr:nvPicPr>
        <xdr:cNvPr id="6" name="Label1">
          <a:extLst>
            <a:ext uri="{FF2B5EF4-FFF2-40B4-BE49-F238E27FC236}">
              <a16:creationId xmlns:a16="http://schemas.microsoft.com/office/drawing/2014/main" id="{77914731-B035-479C-A7C9-368D0014D431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96128" y="152400"/>
          <a:ext cx="884052" cy="5397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43</xdr:col>
      <xdr:colOff>288544</xdr:colOff>
      <xdr:row>0</xdr:row>
      <xdr:rowOff>190500</xdr:rowOff>
    </xdr:from>
    <xdr:to>
      <xdr:col>45</xdr:col>
      <xdr:colOff>106621</xdr:colOff>
      <xdr:row>1</xdr:row>
      <xdr:rowOff>114300</xdr:rowOff>
    </xdr:to>
    <xdr:pic>
      <xdr:nvPicPr>
        <xdr:cNvPr id="7" name="Label2">
          <a:extLst>
            <a:ext uri="{FF2B5EF4-FFF2-40B4-BE49-F238E27FC236}">
              <a16:creationId xmlns:a16="http://schemas.microsoft.com/office/drawing/2014/main" id="{75A75F02-D751-4FDA-A0AC-44D67BE9DFAA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664703" y="190500"/>
          <a:ext cx="1042568" cy="5524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2667000" cy="1238250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667000" cy="1238250"/>
        </a:xfrm>
        <a:prstGeom prst="rect">
          <a:avLst/>
        </a:prstGeom>
      </xdr:spPr>
    </xdr:pic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167640</xdr:colOff>
      <xdr:row>49</xdr:row>
      <xdr:rowOff>137160</xdr:rowOff>
    </xdr:from>
    <xdr:to>
      <xdr:col>5</xdr:col>
      <xdr:colOff>259080</xdr:colOff>
      <xdr:row>49</xdr:row>
      <xdr:rowOff>137160</xdr:rowOff>
    </xdr:to>
    <xdr:cxnSp macro="">
      <xdr:nvCxnSpPr>
        <xdr:cNvPr id="2" name="Conector reto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CxnSpPr/>
      </xdr:nvCxnSpPr>
      <xdr:spPr>
        <a:xfrm>
          <a:off x="396240" y="8717280"/>
          <a:ext cx="1996440" cy="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487680</xdr:colOff>
      <xdr:row>49</xdr:row>
      <xdr:rowOff>137160</xdr:rowOff>
    </xdr:from>
    <xdr:to>
      <xdr:col>10</xdr:col>
      <xdr:colOff>472440</xdr:colOff>
      <xdr:row>49</xdr:row>
      <xdr:rowOff>137160</xdr:rowOff>
    </xdr:to>
    <xdr:cxnSp macro="">
      <xdr:nvCxnSpPr>
        <xdr:cNvPr id="3" name="Conector reto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CxnSpPr/>
      </xdr:nvCxnSpPr>
      <xdr:spPr>
        <a:xfrm>
          <a:off x="3665220" y="8717280"/>
          <a:ext cx="1874520" cy="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10</xdr:col>
      <xdr:colOff>53340</xdr:colOff>
      <xdr:row>1</xdr:row>
      <xdr:rowOff>91440</xdr:rowOff>
    </xdr:from>
    <xdr:ext cx="916651" cy="861060"/>
    <xdr:pic>
      <xdr:nvPicPr>
        <xdr:cNvPr id="4" name="Picture 28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5120640" y="198120"/>
          <a:ext cx="916651" cy="86106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oggigrouplive-my.sharepoint.com/personal/alessandra_silva_oggigroup_com_br/Documents/&#193;rea%20de%20Trabalho/OGGI%20ALESSANDRA/JOBS%20EVENTOS/JOBS%202026/02%20FEVEREIRO%202026/LACTALIS%20PARA%20FECHAR/LT_69%20Conven&#231;&#227;o%20FOOD_V7.xlsm" TargetMode="External"/><Relationship Id="rId1" Type="http://schemas.openxmlformats.org/officeDocument/2006/relationships/externalLinkPath" Target="https://oggigrouplive-my.sharepoint.com/personal/alessandra_silva_oggigroup_com_br/Documents/&#193;rea%20de%20Trabalho/OGGI%20ALESSANDRA/JOBS%20EVENTOS/JOBS%202026/02%20FEVEREIRO%202026/LACTALIS%20PARA%20FECHAR/LT_69%20Conven&#231;&#227;o%20FOOD_V7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Carol%20Iglezias\Downloads\contas_pagar_lactalis.xlsx" TargetMode="External"/><Relationship Id="rId1" Type="http://schemas.openxmlformats.org/officeDocument/2006/relationships/externalLinkPath" Target="file:///C:\Users\Carol%20Iglezias\Downloads\contas_pagar_lactali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rincipal"/>
      <sheetName val="Itens Novos "/>
      <sheetName val="Hotel"/>
      <sheetName val="EXTRAS de Hotel "/>
      <sheetName val="TOTAL"/>
      <sheetName val="Solicitações de Pagamento"/>
      <sheetName val="ItensOrc"/>
      <sheetName val="Template SP"/>
    </sheetNames>
    <sheetDataSet>
      <sheetData sheetId="0">
        <row r="23">
          <cell r="N23">
            <v>21772.523921958498</v>
          </cell>
          <cell r="X23">
            <v>12510.04</v>
          </cell>
        </row>
      </sheetData>
      <sheetData sheetId="1">
        <row r="33">
          <cell r="N33">
            <v>24361.167205169626</v>
          </cell>
          <cell r="X33">
            <v>10100</v>
          </cell>
        </row>
      </sheetData>
      <sheetData sheetId="2">
        <row r="36">
          <cell r="N36">
            <v>191014.43566049458</v>
          </cell>
          <cell r="X36">
            <v>136000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sheetDataSet>
      <sheetData sheetId="0">
        <row r="72">
          <cell r="D72">
            <v>5750</v>
          </cell>
        </row>
      </sheetData>
    </sheetDataSet>
  </externalBook>
</externalLink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txDef>
      <a:spPr>
        <a:noFill/>
      </a:spPr>
      <a:bodyPr vertOverflow="clip" horzOverflow="clip" wrap="none" rtlCol="0" anchor="t">
        <a:noAutofit/>
      </a:bodyPr>
      <a:lstStyle>
        <a:defPPr algn="ctr">
          <a:defRPr sz="1600" b="0">
            <a:latin typeface="Abadi" panose="020B0604020104020204" pitchFamily="34" charset="0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7E20CA-DEB0-4730-8C94-DAB86C78F455}">
  <dimension ref="A1:L35"/>
  <sheetViews>
    <sheetView showGridLines="0" tabSelected="1" topLeftCell="A10" zoomScale="82" zoomScaleNormal="82" workbookViewId="0">
      <selection activeCell="C17" sqref="C17"/>
    </sheetView>
  </sheetViews>
  <sheetFormatPr defaultColWidth="8.77734375" defaultRowHeight="16.2" x14ac:dyDescent="0.35"/>
  <cols>
    <col min="1" max="1" width="8.77734375" style="445"/>
    <col min="2" max="2" width="45.33203125" style="445" bestFit="1" customWidth="1"/>
    <col min="3" max="3" width="36.77734375" style="445" customWidth="1"/>
    <col min="4" max="4" width="20.44140625" style="445" customWidth="1"/>
    <col min="5" max="5" width="18.33203125" style="445" customWidth="1"/>
    <col min="6" max="6" width="9.88671875" style="446" customWidth="1"/>
    <col min="7" max="7" width="12.77734375" style="445" bestFit="1" customWidth="1"/>
    <col min="8" max="8" width="12.6640625" style="445" bestFit="1" customWidth="1"/>
    <col min="9" max="11" width="8.77734375" style="445"/>
    <col min="12" max="12" width="15.109375" style="445" bestFit="1" customWidth="1"/>
    <col min="13" max="16384" width="8.77734375" style="445"/>
  </cols>
  <sheetData>
    <row r="1" spans="1:5" s="446" customFormat="1" hidden="1" x14ac:dyDescent="0.35">
      <c r="A1" s="445"/>
      <c r="B1" s="445"/>
      <c r="C1" s="445"/>
      <c r="D1" s="445"/>
      <c r="E1" s="445"/>
    </row>
    <row r="2" spans="1:5" s="446" customFormat="1" hidden="1" x14ac:dyDescent="0.35">
      <c r="A2" s="445"/>
      <c r="B2" s="445"/>
      <c r="C2" s="445"/>
      <c r="D2" s="445"/>
      <c r="E2" s="445"/>
    </row>
    <row r="3" spans="1:5" s="446" customFormat="1" hidden="1" x14ac:dyDescent="0.35">
      <c r="A3" s="445"/>
      <c r="B3" s="445"/>
      <c r="C3" s="479">
        <v>45866</v>
      </c>
      <c r="D3" s="478"/>
      <c r="E3" s="552" t="e">
        <f>SUM(#REF!)</f>
        <v>#REF!</v>
      </c>
    </row>
    <row r="4" spans="1:5" s="446" customFormat="1" ht="15.45" hidden="1" customHeight="1" thickBot="1" x14ac:dyDescent="0.4">
      <c r="A4" s="445"/>
      <c r="B4" s="445"/>
      <c r="C4" s="477">
        <v>45867</v>
      </c>
      <c r="D4" s="476"/>
      <c r="E4" s="553"/>
    </row>
    <row r="5" spans="1:5" s="446" customFormat="1" hidden="1" x14ac:dyDescent="0.35">
      <c r="A5" s="445"/>
      <c r="B5" s="445"/>
      <c r="C5" s="475" t="s">
        <v>328</v>
      </c>
      <c r="D5" s="474"/>
      <c r="E5" s="445"/>
    </row>
    <row r="6" spans="1:5" s="446" customFormat="1" hidden="1" x14ac:dyDescent="0.35">
      <c r="A6" s="445"/>
      <c r="B6" s="445"/>
      <c r="C6" s="475" t="s">
        <v>327</v>
      </c>
      <c r="D6" s="474"/>
      <c r="E6" s="445"/>
    </row>
    <row r="7" spans="1:5" s="446" customFormat="1" ht="16.8" hidden="1" thickBot="1" x14ac:dyDescent="0.4">
      <c r="A7" s="445"/>
      <c r="B7" s="445"/>
      <c r="C7" s="473" t="s">
        <v>43</v>
      </c>
      <c r="D7" s="472"/>
      <c r="E7" s="445"/>
    </row>
    <row r="10" spans="1:5" s="446" customFormat="1" ht="18" customHeight="1" x14ac:dyDescent="0.35">
      <c r="A10" s="445"/>
      <c r="B10" s="471" t="s">
        <v>326</v>
      </c>
      <c r="C10" s="470" t="s">
        <v>167</v>
      </c>
      <c r="D10" s="468"/>
      <c r="E10" s="445"/>
    </row>
    <row r="11" spans="1:5" s="446" customFormat="1" ht="18" customHeight="1" x14ac:dyDescent="0.35">
      <c r="A11" s="445"/>
      <c r="B11" s="465" t="s">
        <v>325</v>
      </c>
      <c r="C11" s="469" t="s">
        <v>160</v>
      </c>
      <c r="D11" s="468"/>
      <c r="E11" s="445"/>
    </row>
    <row r="12" spans="1:5" s="446" customFormat="1" ht="18" customHeight="1" x14ac:dyDescent="0.35">
      <c r="A12" s="445"/>
      <c r="B12" s="465" t="s">
        <v>324</v>
      </c>
      <c r="C12" s="464" t="s">
        <v>161</v>
      </c>
      <c r="D12" s="461"/>
      <c r="E12" s="445"/>
    </row>
    <row r="13" spans="1:5" s="446" customFormat="1" ht="18" customHeight="1" x14ac:dyDescent="0.35">
      <c r="A13" s="445"/>
      <c r="B13" s="465" t="s">
        <v>323</v>
      </c>
      <c r="C13" s="464" t="s">
        <v>162</v>
      </c>
      <c r="D13" s="461"/>
      <c r="E13" s="445"/>
    </row>
    <row r="14" spans="1:5" s="446" customFormat="1" ht="18" customHeight="1" x14ac:dyDescent="0.35">
      <c r="A14" s="445"/>
      <c r="B14" s="465" t="s">
        <v>322</v>
      </c>
      <c r="C14" s="467" t="s">
        <v>163</v>
      </c>
      <c r="D14" s="466"/>
      <c r="E14" s="445"/>
    </row>
    <row r="15" spans="1:5" s="446" customFormat="1" ht="18" customHeight="1" x14ac:dyDescent="0.35">
      <c r="A15" s="445"/>
      <c r="B15" s="465" t="s">
        <v>321</v>
      </c>
      <c r="C15" s="464" t="s">
        <v>164</v>
      </c>
      <c r="D15" s="461"/>
      <c r="E15" s="445"/>
    </row>
    <row r="16" spans="1:5" ht="18" customHeight="1" x14ac:dyDescent="0.35">
      <c r="B16" s="465" t="s">
        <v>320</v>
      </c>
      <c r="C16" s="464" t="s">
        <v>165</v>
      </c>
      <c r="D16" s="461"/>
    </row>
    <row r="17" spans="2:12" ht="18" customHeight="1" x14ac:dyDescent="0.35">
      <c r="B17" s="463" t="s">
        <v>319</v>
      </c>
      <c r="C17" s="462" t="s">
        <v>166</v>
      </c>
      <c r="D17" s="461"/>
    </row>
    <row r="19" spans="2:12" ht="33.450000000000003" customHeight="1" x14ac:dyDescent="0.35">
      <c r="B19" s="458"/>
      <c r="C19" s="458" t="s">
        <v>180</v>
      </c>
      <c r="D19" s="458" t="s">
        <v>334</v>
      </c>
      <c r="E19" s="458" t="s">
        <v>318</v>
      </c>
    </row>
    <row r="20" spans="2:12" ht="27" customHeight="1" x14ac:dyDescent="0.35">
      <c r="B20" s="460" t="s">
        <v>317</v>
      </c>
      <c r="C20" s="459">
        <f>Principal!N29</f>
        <v>26469.553871007833</v>
      </c>
      <c r="D20" s="459">
        <f>[1]Principal!X23</f>
        <v>12510.04</v>
      </c>
      <c r="E20" s="459">
        <f>C20-D20</f>
        <v>13959.513871007832</v>
      </c>
      <c r="F20" s="455">
        <f>E20*100%/C20</f>
        <v>0.52738002079807322</v>
      </c>
    </row>
    <row r="21" spans="2:12" ht="27" customHeight="1" x14ac:dyDescent="0.35">
      <c r="B21" s="460" t="s">
        <v>316</v>
      </c>
      <c r="C21" s="459">
        <f>'Itens Novos '!N33</f>
        <v>24361.167205169626</v>
      </c>
      <c r="D21" s="459">
        <f>'[1]Itens Novos '!X33</f>
        <v>10100</v>
      </c>
      <c r="E21" s="459">
        <f>C21-D21</f>
        <v>14261.167205169626</v>
      </c>
      <c r="F21" s="455">
        <f t="shared" ref="F21:F23" si="0">E21*100%/C21</f>
        <v>0.58540574370111864</v>
      </c>
    </row>
    <row r="22" spans="2:12" ht="27" customHeight="1" x14ac:dyDescent="0.35">
      <c r="B22" s="460" t="s">
        <v>315</v>
      </c>
      <c r="C22" s="459">
        <f>Hote_atualiz!N71</f>
        <v>200688.53079159939</v>
      </c>
      <c r="D22" s="459">
        <f>[1]Hotel!X36</f>
        <v>136000</v>
      </c>
      <c r="E22" s="459">
        <f>C22-D22</f>
        <v>64688.530791599391</v>
      </c>
      <c r="F22" s="455">
        <f t="shared" si="0"/>
        <v>0.32233297307245612</v>
      </c>
    </row>
    <row r="23" spans="2:12" ht="24" customHeight="1" x14ac:dyDescent="0.35">
      <c r="B23" s="458"/>
      <c r="C23" s="457">
        <f>SUM(C20:C22)</f>
        <v>251519.25186777685</v>
      </c>
      <c r="D23" s="456">
        <f>SUM(D20:D22)</f>
        <v>158610.04</v>
      </c>
      <c r="E23" s="456">
        <f>C23-D23</f>
        <v>92909.211867776845</v>
      </c>
      <c r="F23" s="455">
        <f t="shared" si="0"/>
        <v>0.36939204922818003</v>
      </c>
      <c r="L23" s="447"/>
    </row>
    <row r="24" spans="2:12" ht="24" customHeight="1" x14ac:dyDescent="0.35"/>
    <row r="25" spans="2:12" ht="199.95" hidden="1" customHeight="1" x14ac:dyDescent="0.35"/>
    <row r="26" spans="2:12" ht="8.5500000000000007" customHeight="1" x14ac:dyDescent="0.35"/>
    <row r="27" spans="2:12" ht="22.05" customHeight="1" x14ac:dyDescent="0.35">
      <c r="B27" s="458" t="s">
        <v>314</v>
      </c>
      <c r="C27" s="458" t="s">
        <v>180</v>
      </c>
      <c r="D27" s="458" t="s">
        <v>334</v>
      </c>
      <c r="E27" s="458" t="s">
        <v>318</v>
      </c>
    </row>
    <row r="28" spans="2:12" ht="22.05" customHeight="1" x14ac:dyDescent="0.35">
      <c r="B28" s="454" t="s">
        <v>313</v>
      </c>
      <c r="C28" s="453">
        <v>188948.24</v>
      </c>
      <c r="D28" s="452">
        <f>D23</f>
        <v>158610.04</v>
      </c>
      <c r="E28" s="452">
        <f>C28-D28</f>
        <v>30338.199999999983</v>
      </c>
      <c r="F28" s="448">
        <f>E28*100%/C28</f>
        <v>0.16056354904390738</v>
      </c>
    </row>
    <row r="29" spans="2:12" ht="22.05" customHeight="1" x14ac:dyDescent="0.35">
      <c r="B29" s="454" t="s">
        <v>312</v>
      </c>
      <c r="C29" s="453">
        <v>62571.01</v>
      </c>
      <c r="D29" s="452">
        <f>C29*0.15</f>
        <v>9385.6514999999999</v>
      </c>
      <c r="E29" s="452">
        <f>C29-D29</f>
        <v>53185.358500000002</v>
      </c>
      <c r="F29" s="448">
        <f>E29*100%/C29</f>
        <v>0.85</v>
      </c>
    </row>
    <row r="30" spans="2:12" ht="24.45" customHeight="1" x14ac:dyDescent="0.35">
      <c r="B30" s="451"/>
      <c r="C30" s="450">
        <f>SUM(C28:C29)</f>
        <v>251519.25</v>
      </c>
      <c r="D30" s="449">
        <f>SUM(D28:D29)</f>
        <v>167995.69150000002</v>
      </c>
      <c r="E30" s="449">
        <f>SUM(E28:E29)</f>
        <v>83523.558499999985</v>
      </c>
      <c r="F30" s="448">
        <f>E30*100%/C30</f>
        <v>0.33207620689072498</v>
      </c>
    </row>
    <row r="32" spans="2:12" x14ac:dyDescent="0.35">
      <c r="D32" s="447"/>
    </row>
    <row r="35" spans="5:5" x14ac:dyDescent="0.35">
      <c r="E35" s="731"/>
    </row>
  </sheetData>
  <mergeCells count="1">
    <mergeCell ref="E3:E4"/>
  </mergeCells>
  <pageMargins left="0.51181102362204722" right="0.51181102362204722" top="0.78740157480314965" bottom="0.78740157480314965" header="0.31496062992125984" footer="0.31496062992125984"/>
  <pageSetup paperSize="9" orientation="landscape" horizontalDpi="360" verticalDpi="36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CB35F7-15A5-405C-ABF9-C7FFAB2A5A71}">
  <sheetPr codeName="Planilha11">
    <pageSetUpPr autoPageBreaks="0"/>
  </sheetPr>
  <dimension ref="A1:AM33"/>
  <sheetViews>
    <sheetView showGridLines="0" topLeftCell="K1" zoomScale="70" zoomScaleNormal="70" workbookViewId="0">
      <pane ySplit="1" topLeftCell="A13" activePane="bottomLeft" state="frozen"/>
      <selection pane="bottomLeft" activeCell="AL32" sqref="AL32"/>
    </sheetView>
  </sheetViews>
  <sheetFormatPr defaultColWidth="8.77734375" defaultRowHeight="18" x14ac:dyDescent="0.35"/>
  <cols>
    <col min="1" max="1" width="9.5546875" hidden="1" customWidth="1"/>
    <col min="2" max="2" width="9" style="482" customWidth="1"/>
    <col min="3" max="3" width="16" hidden="1" customWidth="1"/>
    <col min="4" max="4" width="22.5546875" hidden="1" customWidth="1"/>
    <col min="5" max="5" width="18.77734375" hidden="1" customWidth="1"/>
    <col min="6" max="6" width="44.44140625" customWidth="1"/>
    <col min="7" max="7" width="105.44140625" customWidth="1"/>
    <col min="8" max="8" width="5" bestFit="1" customWidth="1"/>
    <col min="9" max="9" width="7.77734375" bestFit="1" customWidth="1"/>
    <col min="10" max="10" width="16.44140625" bestFit="1" customWidth="1"/>
    <col min="11" max="11" width="26.77734375" bestFit="1" customWidth="1"/>
    <col min="12" max="12" width="24.77734375" bestFit="1" customWidth="1"/>
    <col min="13" max="14" width="26.77734375" bestFit="1" customWidth="1"/>
    <col min="15" max="15" width="3.21875" hidden="1" customWidth="1"/>
    <col min="16" max="16" width="1.77734375" hidden="1" customWidth="1"/>
    <col min="17" max="17" width="7.44140625" style="42" customWidth="1"/>
    <col min="18" max="18" width="7.44140625" style="42" hidden="1" customWidth="1"/>
    <col min="19" max="19" width="16.44140625" hidden="1" customWidth="1"/>
    <col min="20" max="20" width="26.77734375" bestFit="1" customWidth="1"/>
    <col min="21" max="21" width="24.77734375" hidden="1" customWidth="1"/>
    <col min="22" max="22" width="9.77734375" hidden="1" customWidth="1"/>
    <col min="23" max="23" width="16.21875" hidden="1" customWidth="1"/>
    <col min="24" max="24" width="27.21875" bestFit="1" customWidth="1"/>
    <col min="25" max="25" width="26.77734375" hidden="1" customWidth="1"/>
    <col min="26" max="26" width="18.77734375" hidden="1" customWidth="1"/>
    <col min="27" max="27" width="24.77734375" hidden="1" customWidth="1"/>
    <col min="28" max="28" width="38.21875" hidden="1" customWidth="1"/>
    <col min="29" max="29" width="14.21875" hidden="1" customWidth="1"/>
    <col min="30" max="30" width="7.77734375" hidden="1" customWidth="1"/>
    <col min="31" max="31" width="6.77734375" hidden="1" customWidth="1"/>
    <col min="32" max="32" width="1.21875" hidden="1" customWidth="1"/>
    <col min="33" max="33" width="14" hidden="1" customWidth="1"/>
    <col min="34" max="34" width="11.77734375" hidden="1" customWidth="1"/>
    <col min="35" max="35" width="6.21875" hidden="1" customWidth="1"/>
    <col min="36" max="36" width="12.77734375" hidden="1" customWidth="1"/>
    <col min="37" max="37" width="23.77734375" customWidth="1"/>
    <col min="38" max="38" width="21.6640625" bestFit="1" customWidth="1"/>
    <col min="40" max="40" width="21.21875" customWidth="1"/>
  </cols>
  <sheetData>
    <row r="1" spans="1:38" ht="49.5" customHeight="1" x14ac:dyDescent="0.3">
      <c r="B1" s="480"/>
      <c r="C1" s="44"/>
      <c r="D1" s="44"/>
      <c r="F1" s="576" t="s">
        <v>120</v>
      </c>
      <c r="G1" s="576"/>
    </row>
    <row r="2" spans="1:38" ht="24.75" customHeight="1" x14ac:dyDescent="0.35">
      <c r="B2" s="481"/>
      <c r="D2" s="44"/>
      <c r="F2" s="577" t="s">
        <v>0</v>
      </c>
      <c r="G2" s="577"/>
    </row>
    <row r="3" spans="1:38" x14ac:dyDescent="0.35">
      <c r="B3" s="45"/>
      <c r="F3" s="32"/>
      <c r="G3" s="32"/>
    </row>
    <row r="4" spans="1:38" x14ac:dyDescent="0.35">
      <c r="F4" s="39" t="s">
        <v>121</v>
      </c>
      <c r="G4" s="71" t="s">
        <v>167</v>
      </c>
    </row>
    <row r="5" spans="1:38" x14ac:dyDescent="0.35">
      <c r="F5" s="40" t="s">
        <v>122</v>
      </c>
      <c r="G5" s="72" t="s">
        <v>160</v>
      </c>
    </row>
    <row r="6" spans="1:38" x14ac:dyDescent="0.35">
      <c r="D6" t="s">
        <v>107</v>
      </c>
      <c r="F6" s="40" t="s">
        <v>123</v>
      </c>
      <c r="G6" s="73" t="s">
        <v>161</v>
      </c>
    </row>
    <row r="7" spans="1:38" ht="21.75" customHeight="1" x14ac:dyDescent="0.35">
      <c r="F7" s="40" t="s">
        <v>124</v>
      </c>
      <c r="G7" s="74" t="s">
        <v>162</v>
      </c>
      <c r="J7" t="s">
        <v>119</v>
      </c>
    </row>
    <row r="8" spans="1:38" x14ac:dyDescent="0.35">
      <c r="F8" s="40" t="s">
        <v>125</v>
      </c>
      <c r="G8" s="75" t="s">
        <v>163</v>
      </c>
    </row>
    <row r="9" spans="1:38" x14ac:dyDescent="0.35">
      <c r="F9" s="40" t="s">
        <v>126</v>
      </c>
      <c r="G9" s="74" t="s">
        <v>164</v>
      </c>
      <c r="J9" t="s">
        <v>107</v>
      </c>
    </row>
    <row r="10" spans="1:38" ht="27" customHeight="1" x14ac:dyDescent="0.35">
      <c r="F10" s="40" t="s">
        <v>127</v>
      </c>
      <c r="G10" s="74" t="s">
        <v>165</v>
      </c>
    </row>
    <row r="11" spans="1:38" ht="18.600000000000001" thickBot="1" x14ac:dyDescent="0.4">
      <c r="F11" s="41" t="s">
        <v>128</v>
      </c>
      <c r="G11" s="76" t="s">
        <v>166</v>
      </c>
    </row>
    <row r="12" spans="1:38" ht="24" thickBot="1" x14ac:dyDescent="0.4">
      <c r="B12" s="483"/>
      <c r="M12" s="26"/>
      <c r="Q12" s="578" t="s">
        <v>1</v>
      </c>
      <c r="R12" s="579"/>
      <c r="S12" s="579"/>
      <c r="T12" s="580"/>
      <c r="U12" s="581" t="s">
        <v>2</v>
      </c>
      <c r="V12" s="582"/>
      <c r="W12" s="582"/>
      <c r="X12" s="583"/>
      <c r="Y12" s="28" t="s">
        <v>56</v>
      </c>
      <c r="Z12" s="29">
        <f>(1/(1-M14))-1</f>
        <v>0.24269914253759173</v>
      </c>
      <c r="AC12" s="557" t="s">
        <v>3</v>
      </c>
      <c r="AD12" s="558"/>
      <c r="AE12" s="559"/>
      <c r="AG12" s="555" t="s">
        <v>58</v>
      </c>
      <c r="AH12" s="556"/>
      <c r="AJ12" s="487" t="s">
        <v>60</v>
      </c>
      <c r="AK12" s="554" t="s">
        <v>59</v>
      </c>
      <c r="AL12" s="554"/>
    </row>
    <row r="13" spans="1:38" ht="12" customHeight="1" thickBot="1" x14ac:dyDescent="0.5">
      <c r="A13" s="30" t="s">
        <v>4</v>
      </c>
      <c r="B13" s="31" t="s">
        <v>5</v>
      </c>
      <c r="C13" s="30" t="s">
        <v>6</v>
      </c>
      <c r="D13" s="30" t="s">
        <v>7</v>
      </c>
      <c r="E13" s="30" t="s">
        <v>8</v>
      </c>
      <c r="M13" s="27">
        <v>0.80469999999999997</v>
      </c>
      <c r="AK13" s="488"/>
      <c r="AL13" s="488"/>
    </row>
    <row r="14" spans="1:38" ht="34.950000000000003" customHeight="1" thickBot="1" x14ac:dyDescent="0.35">
      <c r="A14" s="47">
        <v>0</v>
      </c>
      <c r="B14" s="484"/>
      <c r="C14" s="49"/>
      <c r="D14" s="46"/>
      <c r="E14" s="46"/>
      <c r="F14" s="70" t="s">
        <v>84</v>
      </c>
      <c r="G14" s="69" t="s">
        <v>85</v>
      </c>
      <c r="H14" s="57" t="s">
        <v>86</v>
      </c>
      <c r="I14" s="57" t="s">
        <v>87</v>
      </c>
      <c r="J14" s="58" t="s">
        <v>88</v>
      </c>
      <c r="K14" s="59" t="s">
        <v>9</v>
      </c>
      <c r="L14" s="120">
        <v>7.4999999999999997E-2</v>
      </c>
      <c r="M14" s="56">
        <f>1-M13</f>
        <v>0.19530000000000003</v>
      </c>
      <c r="N14" s="60" t="s">
        <v>82</v>
      </c>
      <c r="Q14" s="61" t="s">
        <v>89</v>
      </c>
      <c r="R14" s="62" t="s">
        <v>90</v>
      </c>
      <c r="S14" s="63" t="s">
        <v>91</v>
      </c>
      <c r="T14" s="64" t="s">
        <v>92</v>
      </c>
      <c r="U14" s="65" t="s">
        <v>93</v>
      </c>
      <c r="V14" s="66" t="s">
        <v>94</v>
      </c>
      <c r="W14" s="67" t="s">
        <v>95</v>
      </c>
      <c r="X14" s="67" t="s">
        <v>96</v>
      </c>
      <c r="Y14" s="68" t="s">
        <v>97</v>
      </c>
      <c r="Z14" s="50" t="s">
        <v>98</v>
      </c>
      <c r="AA14" s="51" t="s">
        <v>83</v>
      </c>
      <c r="AC14" s="52" t="s">
        <v>99</v>
      </c>
      <c r="AD14" s="53" t="s">
        <v>100</v>
      </c>
      <c r="AE14" s="53" t="s">
        <v>33</v>
      </c>
      <c r="AG14" s="54" t="s">
        <v>101</v>
      </c>
      <c r="AH14" s="55" t="s">
        <v>102</v>
      </c>
      <c r="AK14" s="563" t="s">
        <v>103</v>
      </c>
      <c r="AL14" s="566" t="s">
        <v>104</v>
      </c>
    </row>
    <row r="15" spans="1:38" ht="16.95" customHeight="1" thickBot="1" x14ac:dyDescent="0.4">
      <c r="A15" s="46">
        <v>1</v>
      </c>
      <c r="B15" s="485">
        <v>1</v>
      </c>
      <c r="C15" s="80" t="s">
        <v>129</v>
      </c>
      <c r="D15" s="46"/>
      <c r="E15" s="46"/>
      <c r="F15" s="560"/>
      <c r="G15" s="561"/>
      <c r="H15" s="561"/>
      <c r="I15" s="561"/>
      <c r="J15" s="561"/>
      <c r="K15" s="561"/>
      <c r="L15" s="561"/>
      <c r="M15" s="561"/>
      <c r="N15" s="562"/>
      <c r="Q15" s="560" t="str">
        <f>IF(F15&lt;&gt;"",F15,"")</f>
        <v/>
      </c>
      <c r="R15" s="561"/>
      <c r="S15" s="561"/>
      <c r="T15" s="561"/>
      <c r="U15" s="561"/>
      <c r="V15" s="561"/>
      <c r="W15" s="561"/>
      <c r="X15" s="561"/>
      <c r="Y15" s="562"/>
      <c r="AK15" s="564"/>
      <c r="AL15" s="567"/>
    </row>
    <row r="16" spans="1:38" ht="20.55" customHeight="1" x14ac:dyDescent="0.35">
      <c r="A16" s="46">
        <v>2</v>
      </c>
      <c r="B16" s="485" t="s">
        <v>131</v>
      </c>
      <c r="C16" s="80" t="s">
        <v>130</v>
      </c>
      <c r="D16" s="46"/>
      <c r="E16" s="46"/>
      <c r="F16" s="594" t="s">
        <v>138</v>
      </c>
      <c r="G16" s="595"/>
      <c r="H16" s="595"/>
      <c r="I16" s="595"/>
      <c r="J16" s="595"/>
      <c r="K16" s="596"/>
      <c r="L16" s="93" t="s">
        <v>132</v>
      </c>
      <c r="M16" s="94" t="s">
        <v>133</v>
      </c>
      <c r="N16" s="222" t="s">
        <v>82</v>
      </c>
      <c r="Q16" s="594" t="str">
        <f>IF(F16&lt;&gt;"",F16,"")</f>
        <v>OPERACIONAL</v>
      </c>
      <c r="R16" s="595"/>
      <c r="S16" s="595"/>
      <c r="T16" s="595"/>
      <c r="U16" s="595"/>
      <c r="V16" s="595"/>
      <c r="W16" s="595"/>
      <c r="X16" s="595"/>
      <c r="Y16" s="598"/>
      <c r="Z16" s="100" t="s">
        <v>134</v>
      </c>
      <c r="AA16" s="82" t="s">
        <v>83</v>
      </c>
      <c r="AK16" s="565"/>
      <c r="AL16" s="568"/>
    </row>
    <row r="17" spans="1:39" ht="34.950000000000003" customHeight="1" x14ac:dyDescent="0.45">
      <c r="A17" s="46">
        <v>3</v>
      </c>
      <c r="B17" s="485" t="s">
        <v>136</v>
      </c>
      <c r="C17" s="80" t="s">
        <v>135</v>
      </c>
      <c r="D17" s="46" t="s">
        <v>138</v>
      </c>
      <c r="E17" s="46" t="s">
        <v>168</v>
      </c>
      <c r="F17" s="92" t="s">
        <v>137</v>
      </c>
      <c r="G17" s="86" t="s">
        <v>176</v>
      </c>
      <c r="H17" s="105">
        <v>1</v>
      </c>
      <c r="I17" s="105">
        <v>5</v>
      </c>
      <c r="J17" s="87">
        <v>850</v>
      </c>
      <c r="K17" s="87">
        <f>IF(F17&lt;&gt;"",H17*I17*J17,"")</f>
        <v>4250</v>
      </c>
      <c r="L17" s="87">
        <f>IF(K17&lt;&gt;"",IF(D17="INTERNO",0,K17*$L$14),"")</f>
        <v>318.75</v>
      </c>
      <c r="M17" s="87">
        <f>IF(K17&lt;&gt;"",IF(E17="FAT.OGGI",SUM(K17:L17)*(1/(1-$M$14)-1),L17*(1/(1-$M$14)-1)),0)</f>
        <v>1108.8317074686222</v>
      </c>
      <c r="N17" s="95">
        <f>SUM(K17:M17)</f>
        <v>5677.581707468622</v>
      </c>
      <c r="Q17" s="216">
        <f>IF(H17&lt;&gt;"",H17,"")</f>
        <v>1</v>
      </c>
      <c r="R17" s="126">
        <v>1</v>
      </c>
      <c r="S17" s="260">
        <f>2600+[2]Sheet1!$D$72</f>
        <v>8350</v>
      </c>
      <c r="T17" s="260">
        <v>2600</v>
      </c>
      <c r="U17" s="132">
        <f>IF(Q17&lt;&gt;"",K17-T17,"")</f>
        <v>1650</v>
      </c>
      <c r="V17" s="133">
        <f>IF(Q17&lt;&gt;"",0%,"")</f>
        <v>0</v>
      </c>
      <c r="W17" s="84">
        <f>IF(Q17&lt;&gt;"",V17*U17,"")</f>
        <v>0</v>
      </c>
      <c r="X17" s="84">
        <f>IF(Q17&lt;&gt;"",W17+T17,"")</f>
        <v>2600</v>
      </c>
      <c r="Y17" s="159">
        <f>IF(Q17&lt;&gt;"",X17+M17,"")</f>
        <v>3708.831707468622</v>
      </c>
      <c r="Z17" s="101">
        <f>IF(Q17&lt;&gt;"", IFERROR(U17/K17, 0), 0)</f>
        <v>0.38823529411764707</v>
      </c>
      <c r="AA17" s="85">
        <f>IFERROR(T17/$T$18, "")</f>
        <v>1</v>
      </c>
      <c r="AC17" s="145" t="s">
        <v>220</v>
      </c>
      <c r="AK17" s="489">
        <f>X17-AL17</f>
        <v>0</v>
      </c>
      <c r="AL17" s="490">
        <v>2600</v>
      </c>
      <c r="AM17" t="s">
        <v>333</v>
      </c>
    </row>
    <row r="18" spans="1:39" ht="34.950000000000003" customHeight="1" thickBot="1" x14ac:dyDescent="0.5">
      <c r="A18" s="46">
        <v>4</v>
      </c>
      <c r="B18" s="485"/>
      <c r="C18" s="80" t="s">
        <v>140</v>
      </c>
      <c r="D18" s="46"/>
      <c r="E18" s="46"/>
      <c r="F18" s="569" t="s">
        <v>152</v>
      </c>
      <c r="G18" s="570"/>
      <c r="H18" s="570"/>
      <c r="I18" s="570"/>
      <c r="J18" s="570"/>
      <c r="K18" s="103">
        <f>SUM(K17:K17)</f>
        <v>4250</v>
      </c>
      <c r="L18" s="103">
        <f>SUM(L17:L17)</f>
        <v>318.75</v>
      </c>
      <c r="M18" s="103">
        <f>SUM(M17:M17)</f>
        <v>1108.8317074686222</v>
      </c>
      <c r="N18" s="110">
        <f>SUM(N17:N17)</f>
        <v>5677.581707468622</v>
      </c>
      <c r="Q18" s="569" t="s">
        <v>152</v>
      </c>
      <c r="R18" s="570"/>
      <c r="S18" s="570"/>
      <c r="T18" s="96">
        <f>SUM(T17:T17)</f>
        <v>2600</v>
      </c>
      <c r="U18" s="97">
        <f>SUM(U17:U17)</f>
        <v>1650</v>
      </c>
      <c r="V18" s="98"/>
      <c r="W18" s="98"/>
      <c r="X18" s="99">
        <f>SUM(X17:X17)</f>
        <v>2600</v>
      </c>
      <c r="Y18" s="238">
        <f>IF(Q18&lt;&gt;"",X18+M18,"")</f>
        <v>3708.831707468622</v>
      </c>
      <c r="AK18" s="489"/>
      <c r="AL18" s="490"/>
    </row>
    <row r="19" spans="1:39" ht="34.950000000000003" customHeight="1" thickBot="1" x14ac:dyDescent="0.5">
      <c r="A19" s="46">
        <v>5</v>
      </c>
      <c r="B19" s="485">
        <v>2</v>
      </c>
      <c r="C19" s="80" t="s">
        <v>129</v>
      </c>
      <c r="D19" s="46"/>
      <c r="E19" s="46"/>
      <c r="F19" s="588" t="s">
        <v>291</v>
      </c>
      <c r="G19" s="589"/>
      <c r="H19" s="589"/>
      <c r="I19" s="589"/>
      <c r="J19" s="589"/>
      <c r="K19" s="589"/>
      <c r="L19" s="589"/>
      <c r="M19" s="589"/>
      <c r="N19" s="590"/>
      <c r="Q19" s="591" t="str">
        <f>IF(F19&lt;&gt;"",F19,"")</f>
        <v xml:space="preserve">HOSPEDAGEM </v>
      </c>
      <c r="R19" s="592"/>
      <c r="S19" s="592"/>
      <c r="T19" s="592"/>
      <c r="U19" s="592"/>
      <c r="V19" s="592"/>
      <c r="W19" s="592"/>
      <c r="X19" s="592"/>
      <c r="Y19" s="593"/>
      <c r="AC19" s="145"/>
      <c r="AK19" s="489">
        <f t="shared" ref="AK19:AK27" si="0">X19-AL19</f>
        <v>0</v>
      </c>
      <c r="AL19" s="490"/>
    </row>
    <row r="20" spans="1:39" ht="34.950000000000003" customHeight="1" x14ac:dyDescent="0.45">
      <c r="A20" s="46">
        <v>6</v>
      </c>
      <c r="B20" s="485" t="s">
        <v>229</v>
      </c>
      <c r="C20" s="80" t="s">
        <v>130</v>
      </c>
      <c r="D20" s="46"/>
      <c r="E20" s="46"/>
      <c r="F20" s="594" t="s">
        <v>292</v>
      </c>
      <c r="G20" s="595"/>
      <c r="H20" s="595"/>
      <c r="I20" s="595"/>
      <c r="J20" s="595"/>
      <c r="K20" s="596"/>
      <c r="L20" s="228" t="s">
        <v>132</v>
      </c>
      <c r="M20" s="229" t="s">
        <v>133</v>
      </c>
      <c r="N20" s="230" t="s">
        <v>82</v>
      </c>
      <c r="Q20" s="586" t="str">
        <f>IF(F20&lt;&gt;"",F20,"")</f>
        <v>Hospedagem Staff</v>
      </c>
      <c r="R20" s="587"/>
      <c r="S20" s="587"/>
      <c r="T20" s="587"/>
      <c r="U20" s="587"/>
      <c r="V20" s="587"/>
      <c r="W20" s="587"/>
      <c r="X20" s="587"/>
      <c r="Y20" s="597"/>
      <c r="Z20" s="166" t="s">
        <v>134</v>
      </c>
      <c r="AA20" s="167" t="s">
        <v>83</v>
      </c>
      <c r="AC20" s="145"/>
      <c r="AK20" s="489">
        <f t="shared" si="0"/>
        <v>0</v>
      </c>
      <c r="AL20" s="490"/>
    </row>
    <row r="21" spans="1:39" ht="34.950000000000003" customHeight="1" x14ac:dyDescent="0.45">
      <c r="A21" s="46">
        <v>7</v>
      </c>
      <c r="B21" s="485" t="s">
        <v>230</v>
      </c>
      <c r="C21" s="80" t="s">
        <v>135</v>
      </c>
      <c r="D21" s="46" t="s">
        <v>138</v>
      </c>
      <c r="E21" s="46" t="s">
        <v>168</v>
      </c>
      <c r="F21" s="92" t="s">
        <v>147</v>
      </c>
      <c r="G21" s="86" t="s">
        <v>183</v>
      </c>
      <c r="H21" s="105">
        <v>1</v>
      </c>
      <c r="I21" s="218">
        <v>4</v>
      </c>
      <c r="J21" s="87">
        <v>879</v>
      </c>
      <c r="K21" s="138">
        <f>IF(F21&lt;&gt;"",H21*I21*J21,"")</f>
        <v>3516</v>
      </c>
      <c r="L21" s="138">
        <f>IF(K21&lt;&gt;"",IF(D21="INTERNO",0,K21*$L$14),"")</f>
        <v>263.7</v>
      </c>
      <c r="M21" s="138">
        <f>IF(K21&lt;&gt;"",IF(E21="FAT.OGGI",SUM(K21:L21)*(1/(1-$M$14)-1),L21*(1/(1-$M$14)-1)),0)</f>
        <v>917.32994904933537</v>
      </c>
      <c r="N21" s="140">
        <f>SUM(K21:M21)</f>
        <v>4697.0299490493353</v>
      </c>
      <c r="Q21" s="255">
        <f>IF(H21&lt;&gt;"",H21,"")</f>
        <v>1</v>
      </c>
      <c r="R21" s="256">
        <f>IF(I21&lt;&gt;"",I21,"")</f>
        <v>4</v>
      </c>
      <c r="S21" s="225">
        <v>0</v>
      </c>
      <c r="T21" s="225">
        <f>IF(Q21&lt;&gt;"",Q21*R21*S21,"")</f>
        <v>0</v>
      </c>
      <c r="U21" s="226">
        <f>IF(Q21&lt;&gt;"",K21-T21,"")</f>
        <v>3516</v>
      </c>
      <c r="V21" s="227">
        <f>IF(Q21&lt;&gt;"",0%,"")</f>
        <v>0</v>
      </c>
      <c r="W21" s="223">
        <f>IF(Q21&lt;&gt;"",V21*U21,"")</f>
        <v>0</v>
      </c>
      <c r="X21" s="223">
        <f>IF(Q21&lt;&gt;"",W21+T21,"")</f>
        <v>0</v>
      </c>
      <c r="Y21" s="143">
        <f>IF(Q21&lt;&gt;"",X21+M21,"")</f>
        <v>917.32994904933537</v>
      </c>
      <c r="Z21" s="233">
        <f>IF(Q21&lt;&gt;"", IFERROR(U21/K21, 0), 0)</f>
        <v>1</v>
      </c>
      <c r="AA21" s="224" t="str">
        <f>IFERROR(T21/$T$23, "")</f>
        <v/>
      </c>
      <c r="AC21" s="145"/>
      <c r="AK21" s="489">
        <f t="shared" si="0"/>
        <v>0</v>
      </c>
      <c r="AL21" s="490"/>
    </row>
    <row r="22" spans="1:39" ht="34.950000000000003" customHeight="1" x14ac:dyDescent="0.45">
      <c r="A22" s="46">
        <v>8</v>
      </c>
      <c r="B22" s="485" t="s">
        <v>289</v>
      </c>
      <c r="C22" s="80" t="s">
        <v>135</v>
      </c>
      <c r="D22" s="46"/>
      <c r="E22" s="46"/>
      <c r="F22" s="107" t="s">
        <v>147</v>
      </c>
      <c r="G22" s="108" t="s">
        <v>148</v>
      </c>
      <c r="H22" s="131">
        <v>1</v>
      </c>
      <c r="I22" s="204">
        <v>0</v>
      </c>
      <c r="J22" s="83">
        <v>0</v>
      </c>
      <c r="K22" s="139">
        <f>IF(F22&lt;&gt;"",H22*I22*J22,"")</f>
        <v>0</v>
      </c>
      <c r="L22" s="139">
        <f>IF(K22&lt;&gt;"",IF(D22="INTERNO",0,K22*$L$14),"")</f>
        <v>0</v>
      </c>
      <c r="M22" s="139">
        <f>IF(K22&lt;&gt;"",IF(E22="FAT.OGGI",SUM(K22:L22)*(1/(1-$M$14)-1),L22*(1/(1-$M$14)-1)),0)</f>
        <v>0</v>
      </c>
      <c r="N22" s="141">
        <f>SUM(K22:M22)</f>
        <v>0</v>
      </c>
      <c r="Q22" s="255">
        <f>IF(H22&lt;&gt;"",H22,"")</f>
        <v>1</v>
      </c>
      <c r="R22" s="256">
        <f>IF(I22&lt;&gt;"",I22,"")</f>
        <v>0</v>
      </c>
      <c r="S22" s="225">
        <v>0</v>
      </c>
      <c r="T22" s="225">
        <f>IF(Q22&lt;&gt;"",Q22*R22*S22,"")</f>
        <v>0</v>
      </c>
      <c r="U22" s="226">
        <f>IF(Q22&lt;&gt;"",K22-T22,"")</f>
        <v>0</v>
      </c>
      <c r="V22" s="227">
        <f>IF(Q22&lt;&gt;"",0%,"")</f>
        <v>0</v>
      </c>
      <c r="W22" s="223">
        <f>IF(Q22&lt;&gt;"",V22*U22,"")</f>
        <v>0</v>
      </c>
      <c r="X22" s="223">
        <f>IF(Q22&lt;&gt;"",W22+T22,"")</f>
        <v>0</v>
      </c>
      <c r="Y22" s="143">
        <f>IF(Q22&lt;&gt;"",X22+M22,"")</f>
        <v>0</v>
      </c>
      <c r="Z22" s="233">
        <f>IF(Q22&lt;&gt;"", IFERROR(U22/K22, 0), 0)</f>
        <v>0</v>
      </c>
      <c r="AA22" s="224" t="str">
        <f>IFERROR(T22/$T$23, "")</f>
        <v/>
      </c>
      <c r="AC22" s="145"/>
      <c r="AK22" s="489">
        <f t="shared" si="0"/>
        <v>0</v>
      </c>
      <c r="AL22" s="490"/>
    </row>
    <row r="23" spans="1:39" ht="34.950000000000003" customHeight="1" thickBot="1" x14ac:dyDescent="0.5">
      <c r="A23" s="46">
        <v>9</v>
      </c>
      <c r="B23" s="485"/>
      <c r="C23" s="80" t="s">
        <v>140</v>
      </c>
      <c r="D23" s="46"/>
      <c r="E23" s="46"/>
      <c r="F23" s="584" t="s">
        <v>231</v>
      </c>
      <c r="G23" s="585"/>
      <c r="H23" s="585"/>
      <c r="I23" s="585"/>
      <c r="J23" s="585"/>
      <c r="K23" s="231">
        <f>SUM(K21:K22)</f>
        <v>3516</v>
      </c>
      <c r="L23" s="234">
        <f>SUM(L21:L22)</f>
        <v>263.7</v>
      </c>
      <c r="M23" s="234">
        <f>SUM(M21:M22)</f>
        <v>917.32994904933537</v>
      </c>
      <c r="N23" s="232">
        <f>SUM(N21:N22)</f>
        <v>4697.0299490493353</v>
      </c>
      <c r="Q23" s="586" t="s">
        <v>231</v>
      </c>
      <c r="R23" s="587"/>
      <c r="S23" s="587"/>
      <c r="T23" s="239">
        <f>SUM(T21:T22)</f>
        <v>0</v>
      </c>
      <c r="U23" s="240">
        <f>SUM(U21:U22)</f>
        <v>3516</v>
      </c>
      <c r="V23" s="133"/>
      <c r="W23" s="84"/>
      <c r="X23" s="241">
        <f>SUM(X21:X22)</f>
        <v>0</v>
      </c>
      <c r="Y23" s="242">
        <f>IF(Q23&lt;&gt;"",X23+M23,"")</f>
        <v>917.32994904933537</v>
      </c>
      <c r="AC23" s="145"/>
      <c r="AK23" s="489">
        <f t="shared" si="0"/>
        <v>0</v>
      </c>
      <c r="AL23" s="490"/>
    </row>
    <row r="24" spans="1:39" ht="34.950000000000003" customHeight="1" x14ac:dyDescent="0.45">
      <c r="A24" s="77">
        <v>10</v>
      </c>
      <c r="B24" s="485">
        <v>3</v>
      </c>
      <c r="C24" s="79" t="s">
        <v>129</v>
      </c>
      <c r="D24" s="77"/>
      <c r="E24" s="77"/>
      <c r="F24" s="560" t="s">
        <v>290</v>
      </c>
      <c r="G24" s="561"/>
      <c r="H24" s="561"/>
      <c r="I24" s="561"/>
      <c r="J24" s="561"/>
      <c r="K24" s="561"/>
      <c r="L24" s="561"/>
      <c r="M24" s="561"/>
      <c r="N24" s="562"/>
      <c r="Q24" s="573" t="str">
        <f>IF(F24&lt;&gt;"",F24,"")</f>
        <v>TÉCNICA</v>
      </c>
      <c r="R24" s="574"/>
      <c r="S24" s="574"/>
      <c r="T24" s="574"/>
      <c r="U24" s="574"/>
      <c r="V24" s="574"/>
      <c r="W24" s="574"/>
      <c r="X24" s="574"/>
      <c r="Y24" s="575"/>
      <c r="AC24" s="145"/>
      <c r="AK24" s="489">
        <f t="shared" si="0"/>
        <v>0</v>
      </c>
      <c r="AL24" s="490"/>
    </row>
    <row r="25" spans="1:39" ht="34.950000000000003" customHeight="1" x14ac:dyDescent="0.45">
      <c r="A25" s="104">
        <v>11</v>
      </c>
      <c r="B25" s="485" t="s">
        <v>245</v>
      </c>
      <c r="C25" s="109" t="s">
        <v>130</v>
      </c>
      <c r="D25" s="104"/>
      <c r="E25" s="104"/>
      <c r="F25" s="569" t="s">
        <v>153</v>
      </c>
      <c r="G25" s="570"/>
      <c r="H25" s="570"/>
      <c r="I25" s="570"/>
      <c r="J25" s="570"/>
      <c r="K25" s="571"/>
      <c r="L25" s="235" t="s">
        <v>132</v>
      </c>
      <c r="M25" s="236" t="s">
        <v>133</v>
      </c>
      <c r="N25" s="237" t="s">
        <v>82</v>
      </c>
      <c r="Q25" s="569" t="str">
        <f>IF(F25&lt;&gt;"",F25,"")</f>
        <v>CENOGRAFIA E TÉCNICA</v>
      </c>
      <c r="R25" s="570"/>
      <c r="S25" s="570"/>
      <c r="T25" s="570"/>
      <c r="U25" s="570"/>
      <c r="V25" s="570"/>
      <c r="W25" s="570"/>
      <c r="X25" s="570"/>
      <c r="Y25" s="572"/>
      <c r="Z25" s="100" t="s">
        <v>134</v>
      </c>
      <c r="AA25" s="82" t="s">
        <v>83</v>
      </c>
      <c r="AK25" s="489">
        <f t="shared" si="0"/>
        <v>0</v>
      </c>
      <c r="AL25" s="490"/>
    </row>
    <row r="26" spans="1:39" ht="142.05000000000001" customHeight="1" x14ac:dyDescent="0.45">
      <c r="A26" s="46">
        <v>12</v>
      </c>
      <c r="B26" s="485" t="s">
        <v>246</v>
      </c>
      <c r="C26" s="80" t="s">
        <v>135</v>
      </c>
      <c r="D26" s="46" t="s">
        <v>138</v>
      </c>
      <c r="E26" s="46" t="s">
        <v>168</v>
      </c>
      <c r="F26" s="92" t="s">
        <v>154</v>
      </c>
      <c r="G26" s="121" t="s">
        <v>174</v>
      </c>
      <c r="H26" s="105">
        <v>1</v>
      </c>
      <c r="I26" s="105">
        <v>3</v>
      </c>
      <c r="J26" s="87">
        <v>3516</v>
      </c>
      <c r="K26" s="87">
        <f>IF(F26&lt;&gt;"",H26*I26*J26,"")</f>
        <v>10548</v>
      </c>
      <c r="L26" s="87">
        <f>IF(K26&lt;&gt;"",IF(D26="INTERNO",0,K26*$L$14),"")</f>
        <v>791.1</v>
      </c>
      <c r="M26" s="87">
        <f>IF(K26&lt;&gt;"",IF(E26="FAT.OGGI",SUM(K26:L26)*(1/(1-$M$14)-1),L26*(1/(1-$M$14)-1)),0)</f>
        <v>2751.9898471480064</v>
      </c>
      <c r="N26" s="95">
        <f>SUM(K26:M26)</f>
        <v>14091.089847148007</v>
      </c>
      <c r="Q26" s="111">
        <v>1</v>
      </c>
      <c r="R26" s="106">
        <v>3</v>
      </c>
      <c r="S26" s="88">
        <v>2930</v>
      </c>
      <c r="T26" s="259">
        <f>IF(Q26&lt;&gt;"",Q26*R26*S26,"")</f>
        <v>8790</v>
      </c>
      <c r="U26" s="89">
        <f>IF(Q26&lt;&gt;"",K26-T26,"")</f>
        <v>1758</v>
      </c>
      <c r="V26" s="90">
        <f>IF(Q26&lt;&gt;"",0%,"")</f>
        <v>0</v>
      </c>
      <c r="W26" s="91">
        <f>IF(Q26&lt;&gt;"",V26*U26,"")</f>
        <v>0</v>
      </c>
      <c r="X26" s="91">
        <f>IF(Q26&lt;&gt;"",W26+T26,"")</f>
        <v>8790</v>
      </c>
      <c r="Y26" s="102">
        <f>IF(Q26&lt;&gt;"",X26+M26,"")</f>
        <v>11541.989847148006</v>
      </c>
      <c r="Z26" s="101">
        <f>IF(Q26&lt;&gt;"", IFERROR(U26/K26, 0), 0)</f>
        <v>0.16666666666666666</v>
      </c>
      <c r="AA26" s="85">
        <f>IFERROR(T26/$T$28, "")</f>
        <v>0.88697926547218775</v>
      </c>
      <c r="AC26" s="145" t="s">
        <v>221</v>
      </c>
      <c r="AK26" s="489">
        <f t="shared" si="0"/>
        <v>0</v>
      </c>
      <c r="AL26" s="490">
        <v>8790</v>
      </c>
      <c r="AM26" t="s">
        <v>332</v>
      </c>
    </row>
    <row r="27" spans="1:39" ht="31.05" customHeight="1" x14ac:dyDescent="0.45">
      <c r="A27" s="46">
        <v>13</v>
      </c>
      <c r="B27" s="485" t="s">
        <v>247</v>
      </c>
      <c r="C27" s="80" t="s">
        <v>135</v>
      </c>
      <c r="D27" s="46" t="s">
        <v>138</v>
      </c>
      <c r="E27" s="46" t="s">
        <v>168</v>
      </c>
      <c r="F27" s="92" t="s">
        <v>169</v>
      </c>
      <c r="G27" s="86" t="s">
        <v>175</v>
      </c>
      <c r="H27" s="105">
        <v>1</v>
      </c>
      <c r="I27" s="105">
        <v>1</v>
      </c>
      <c r="J27" s="87">
        <v>1500</v>
      </c>
      <c r="K27" s="87">
        <f>IF(F27&lt;&gt;"",H27*I27*J27,"")</f>
        <v>1500</v>
      </c>
      <c r="L27" s="87">
        <f>IF(K27&lt;&gt;"",IF(D27="INTERNO",0,K27*$L$14),"")</f>
        <v>112.5</v>
      </c>
      <c r="M27" s="87">
        <f>IF(K27&lt;&gt;"",IF(E27="FAT.OGGI",SUM(K27:L27)*(1/(1-$M$14)-1),L27*(1/(1-$M$14)-1)),0)</f>
        <v>391.35236734186668</v>
      </c>
      <c r="N27" s="95">
        <f>SUM(K27:M27)</f>
        <v>2003.8523673418667</v>
      </c>
      <c r="Q27" s="216">
        <f t="shared" ref="Q27" si="1">IF(H27&lt;&gt;"",H27,"")</f>
        <v>1</v>
      </c>
      <c r="R27" s="126">
        <f t="shared" ref="R27" si="2">IF(I27&lt;&gt;"",I27,"")</f>
        <v>1</v>
      </c>
      <c r="S27" s="127">
        <v>120.04</v>
      </c>
      <c r="T27" s="260">
        <v>1120.04</v>
      </c>
      <c r="U27" s="128">
        <f>IF(Q27&lt;&gt;"",K27-T27,"")</f>
        <v>379.96000000000004</v>
      </c>
      <c r="V27" s="130">
        <f>IF(Q27&lt;&gt;"",0%,"")</f>
        <v>0</v>
      </c>
      <c r="W27" s="129">
        <f>IF(Q27&lt;&gt;"",V27*U27,"")</f>
        <v>0</v>
      </c>
      <c r="X27" s="129">
        <f>IF(Q27&lt;&gt;"",W27+T27,"")</f>
        <v>1120.04</v>
      </c>
      <c r="Y27" s="159">
        <f>IF(Q27&lt;&gt;"",X27+M27,"")</f>
        <v>1511.3923673418667</v>
      </c>
      <c r="Z27" s="101">
        <f>IF(Q27&lt;&gt;"", IFERROR(U27/K27, 0), 0)</f>
        <v>0.25330666666666668</v>
      </c>
      <c r="AA27" s="85">
        <f>IFERROR(T27/$T$28, "")</f>
        <v>0.11302073452781218</v>
      </c>
      <c r="AC27" s="145" t="s">
        <v>219</v>
      </c>
      <c r="AK27" s="489">
        <f t="shared" si="0"/>
        <v>0</v>
      </c>
      <c r="AL27" s="490">
        <f>120.04+1000</f>
        <v>1120.04</v>
      </c>
    </row>
    <row r="28" spans="1:39" ht="33" thickBot="1" x14ac:dyDescent="0.5">
      <c r="A28" s="46">
        <v>14</v>
      </c>
      <c r="B28" s="485"/>
      <c r="C28" s="80" t="s">
        <v>140</v>
      </c>
      <c r="D28" s="46"/>
      <c r="E28" s="46"/>
      <c r="F28" s="569" t="s">
        <v>155</v>
      </c>
      <c r="G28" s="570"/>
      <c r="H28" s="570"/>
      <c r="I28" s="570"/>
      <c r="J28" s="570"/>
      <c r="K28" s="103">
        <f>SUM(K26:K27)</f>
        <v>12048</v>
      </c>
      <c r="L28" s="103">
        <f>SUM(L26:L27)</f>
        <v>903.6</v>
      </c>
      <c r="M28" s="103">
        <f>SUM(M26:M27)</f>
        <v>3143.3422144898732</v>
      </c>
      <c r="N28" s="110">
        <f>SUM(N26:N27)</f>
        <v>16094.942214489874</v>
      </c>
      <c r="Q28" s="569" t="s">
        <v>155</v>
      </c>
      <c r="R28" s="570"/>
      <c r="S28" s="570"/>
      <c r="T28" s="96">
        <f>SUM(T26:T27)</f>
        <v>9910.0400000000009</v>
      </c>
      <c r="U28" s="97">
        <f>SUM(U26:U27)</f>
        <v>2137.96</v>
      </c>
      <c r="V28" s="98"/>
      <c r="W28" s="98"/>
      <c r="X28" s="99">
        <f>SUM(X26:X27)</f>
        <v>9910.0400000000009</v>
      </c>
      <c r="Y28" s="238">
        <f>IF(Q28&lt;&gt;"",X28+M28,"")</f>
        <v>13053.382214489873</v>
      </c>
      <c r="Z28" s="261" t="s">
        <v>158</v>
      </c>
      <c r="AA28" s="262" t="s">
        <v>159</v>
      </c>
      <c r="AK28" s="489"/>
      <c r="AL28" s="490"/>
    </row>
    <row r="29" spans="1:39" ht="33" thickBot="1" x14ac:dyDescent="0.5">
      <c r="A29" s="77">
        <v>15</v>
      </c>
      <c r="B29" s="486"/>
      <c r="C29" s="79" t="s">
        <v>156</v>
      </c>
      <c r="D29" s="77"/>
      <c r="E29" s="77"/>
      <c r="F29" s="114" t="s">
        <v>157</v>
      </c>
      <c r="G29" s="115"/>
      <c r="H29" s="115"/>
      <c r="I29" s="115"/>
      <c r="J29" s="115"/>
      <c r="K29" s="116">
        <f>SUM(K17:K17)+SUM(K21:K22)+SUM(K26:K27)</f>
        <v>19814</v>
      </c>
      <c r="L29" s="116">
        <f>SUM(L17:L17)+SUM(L21:L22)+SUM(L26:L27)</f>
        <v>1486.0500000000002</v>
      </c>
      <c r="M29" s="116">
        <f>SUM(M17:M17)+SUM(M21:M22)+SUM(M26:M27)</f>
        <v>5169.5038710078306</v>
      </c>
      <c r="N29" s="117">
        <f>SUM(N17:N17)+SUM(N21:N22)+SUM(N26:N27)</f>
        <v>26469.553871007833</v>
      </c>
      <c r="Q29" s="257" t="s">
        <v>43</v>
      </c>
      <c r="R29" s="258"/>
      <c r="S29" s="115"/>
      <c r="T29" s="116">
        <f>SUM(T17:T17)+SUM(T21:T22)+SUM(T26:T27)</f>
        <v>12510.04</v>
      </c>
      <c r="U29" s="116">
        <f>SUM(U17:U17)+SUM(U21:U22)+SUM(U26:U27)</f>
        <v>7303.96</v>
      </c>
      <c r="V29" s="115"/>
      <c r="W29" s="115"/>
      <c r="X29" s="116">
        <f>SUM(X17:X17)+SUM(X21:X22)+SUM(X26:X27)</f>
        <v>12510.04</v>
      </c>
      <c r="Y29" s="117">
        <f>SUM(Y17:Y17)+SUM(Y21:Y22)+SUM(Y26:Y27)</f>
        <v>17679.543871007831</v>
      </c>
      <c r="Z29" s="142">
        <f>IF(Q29&lt;&gt;"",(N29-Y29)/N29,"")</f>
        <v>0.33208002079807325</v>
      </c>
      <c r="AA29" s="118">
        <f>IF(Z29&lt;&gt;"",(N29-Y29),"")</f>
        <v>8790.010000000002</v>
      </c>
      <c r="AK29" s="489">
        <f>SUM(AK17:AK28)</f>
        <v>0</v>
      </c>
      <c r="AL29" s="490">
        <f>SUM(AL17:AL28)</f>
        <v>12510.04</v>
      </c>
    </row>
    <row r="31" spans="1:39" x14ac:dyDescent="0.35">
      <c r="AL31" s="545">
        <f>AL29</f>
        <v>12510.04</v>
      </c>
      <c r="AM31" s="542" t="s">
        <v>181</v>
      </c>
    </row>
    <row r="32" spans="1:39" x14ac:dyDescent="0.35">
      <c r="AL32" s="545">
        <f>N29-AL31</f>
        <v>13959.513871007832</v>
      </c>
      <c r="AM32" s="542" t="s">
        <v>318</v>
      </c>
    </row>
    <row r="33" spans="38:38" x14ac:dyDescent="0.35">
      <c r="AL33" s="546">
        <f>AL32*100%/N29</f>
        <v>0.52738002079807322</v>
      </c>
    </row>
  </sheetData>
  <mergeCells count="27">
    <mergeCell ref="F1:G1"/>
    <mergeCell ref="F2:G2"/>
    <mergeCell ref="Q12:T12"/>
    <mergeCell ref="U12:X12"/>
    <mergeCell ref="F23:J23"/>
    <mergeCell ref="Q23:S23"/>
    <mergeCell ref="F18:J18"/>
    <mergeCell ref="Q18:S18"/>
    <mergeCell ref="F19:N19"/>
    <mergeCell ref="Q19:Y19"/>
    <mergeCell ref="F20:K20"/>
    <mergeCell ref="Q20:Y20"/>
    <mergeCell ref="F16:K16"/>
    <mergeCell ref="Q16:Y16"/>
    <mergeCell ref="F25:K25"/>
    <mergeCell ref="Q25:Y25"/>
    <mergeCell ref="F28:J28"/>
    <mergeCell ref="Q28:S28"/>
    <mergeCell ref="F24:N24"/>
    <mergeCell ref="Q24:Y24"/>
    <mergeCell ref="AK12:AL12"/>
    <mergeCell ref="AG12:AH12"/>
    <mergeCell ref="AC12:AE12"/>
    <mergeCell ref="F15:N15"/>
    <mergeCell ref="Q15:Y15"/>
    <mergeCell ref="AK14:AK16"/>
    <mergeCell ref="AL14:AL16"/>
  </mergeCells>
  <dataValidations disablePrompts="1" count="3">
    <dataValidation type="list" allowBlank="1" showInputMessage="1" showErrorMessage="1" sqref="D26:D27 D29 D17 D19:D24" xr:uid="{3EFE53A9-6730-4F75-830F-74A58BE49321}">
      <formula1>"INTERNO,OPERACIONAL"</formula1>
    </dataValidation>
    <dataValidation type="list" allowBlank="1" showInputMessage="1" showErrorMessage="1" sqref="E26:E27 E17 E19:E24" xr:uid="{CD75B295-2527-4911-908C-60EF7E809F77}">
      <formula1>"FAT.OGGI,FAT.CLIENTE"</formula1>
    </dataValidation>
    <dataValidation type="list" allowBlank="1" showInputMessage="1" showErrorMessage="1" sqref="E29" xr:uid="{F9A27ACA-811A-455A-979F-2CADBAB8239A}">
      <formula1>"FAT.OGGI,FAT.CLIENTE "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360" verticalDpi="36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590821-C0BC-4EB6-8DC9-DF37BAA17179}">
  <sheetPr codeName="Planilha13">
    <pageSetUpPr autoPageBreaks="0"/>
  </sheetPr>
  <dimension ref="A1:AM37"/>
  <sheetViews>
    <sheetView showGridLines="0" topLeftCell="J1" zoomScale="70" zoomScaleNormal="70" workbookViewId="0">
      <pane ySplit="1" topLeftCell="A23" activePane="bottomLeft" state="frozen"/>
      <selection pane="bottomLeft" activeCell="AN33" sqref="AN33"/>
    </sheetView>
  </sheetViews>
  <sheetFormatPr defaultColWidth="8.77734375" defaultRowHeight="21" x14ac:dyDescent="0.4"/>
  <cols>
    <col min="1" max="1" width="9.5546875" style="286" hidden="1" customWidth="1"/>
    <col min="2" max="2" width="7.21875" style="292" customWidth="1"/>
    <col min="3" max="3" width="16" style="286" hidden="1" customWidth="1"/>
    <col min="4" max="4" width="22.5546875" style="286" hidden="1" customWidth="1"/>
    <col min="5" max="5" width="18.77734375" style="286" hidden="1" customWidth="1"/>
    <col min="6" max="6" width="44.44140625" style="286" customWidth="1"/>
    <col min="7" max="7" width="105.44140625" style="286" customWidth="1"/>
    <col min="8" max="8" width="5.109375" style="286" bestFit="1" customWidth="1"/>
    <col min="9" max="9" width="7.77734375" style="286" bestFit="1" customWidth="1"/>
    <col min="10" max="10" width="19.21875" style="286" bestFit="1" customWidth="1"/>
    <col min="11" max="11" width="26.77734375" style="286" bestFit="1" customWidth="1"/>
    <col min="12" max="12" width="24.77734375" style="286" bestFit="1" customWidth="1"/>
    <col min="13" max="14" width="26.77734375" style="286" bestFit="1" customWidth="1"/>
    <col min="15" max="15" width="3.21875" style="286" hidden="1" customWidth="1"/>
    <col min="16" max="16" width="1.77734375" style="286" hidden="1" customWidth="1"/>
    <col min="17" max="17" width="11.21875" style="286" bestFit="1" customWidth="1"/>
    <col min="18" max="18" width="8.5546875" style="286" hidden="1" customWidth="1"/>
    <col min="19" max="19" width="19.21875" style="286" hidden="1" customWidth="1"/>
    <col min="20" max="20" width="26.77734375" style="286" bestFit="1" customWidth="1"/>
    <col min="21" max="21" width="24.77734375" style="286" hidden="1" customWidth="1"/>
    <col min="22" max="22" width="9.77734375" style="286" hidden="1" customWidth="1"/>
    <col min="23" max="23" width="16.21875" style="286" hidden="1" customWidth="1"/>
    <col min="24" max="24" width="27.21875" style="286" bestFit="1" customWidth="1"/>
    <col min="25" max="25" width="26.77734375" style="286" hidden="1" customWidth="1"/>
    <col min="26" max="26" width="20.109375" style="286" hidden="1" customWidth="1"/>
    <col min="27" max="27" width="24.77734375" style="286" hidden="1" customWidth="1"/>
    <col min="28" max="28" width="38.21875" style="286" hidden="1" customWidth="1"/>
    <col min="29" max="29" width="14.21875" style="286" hidden="1" customWidth="1"/>
    <col min="30" max="30" width="7.77734375" style="286" hidden="1" customWidth="1"/>
    <col min="31" max="31" width="6.77734375" style="286" hidden="1" customWidth="1"/>
    <col min="32" max="32" width="1.21875" style="286" hidden="1" customWidth="1"/>
    <col min="33" max="33" width="14" style="286" hidden="1" customWidth="1"/>
    <col min="34" max="34" width="11.77734375" style="286" hidden="1" customWidth="1"/>
    <col min="35" max="35" width="6.21875" style="286" hidden="1" customWidth="1"/>
    <col min="36" max="36" width="12.77734375" style="286" hidden="1" customWidth="1"/>
    <col min="37" max="38" width="23.21875" style="286" customWidth="1"/>
    <col min="39" max="39" width="24.6640625" style="285" bestFit="1" customWidth="1"/>
    <col min="40" max="40" width="21.21875" style="286" customWidth="1"/>
    <col min="41" max="16384" width="8.77734375" style="286"/>
  </cols>
  <sheetData>
    <row r="1" spans="1:38" ht="49.5" customHeight="1" x14ac:dyDescent="0.4">
      <c r="B1" s="287"/>
      <c r="C1" s="288"/>
      <c r="D1" s="288"/>
      <c r="F1" s="603" t="s">
        <v>120</v>
      </c>
      <c r="G1" s="603"/>
    </row>
    <row r="2" spans="1:38" ht="24.75" customHeight="1" x14ac:dyDescent="0.4">
      <c r="B2" s="289"/>
      <c r="D2" s="288"/>
      <c r="F2" s="604" t="s">
        <v>0</v>
      </c>
      <c r="G2" s="604"/>
    </row>
    <row r="3" spans="1:38" ht="22.2" x14ac:dyDescent="0.4">
      <c r="B3" s="290"/>
      <c r="F3" s="291"/>
      <c r="G3" s="291"/>
    </row>
    <row r="4" spans="1:38" ht="22.2" x14ac:dyDescent="0.4">
      <c r="F4" s="293" t="s">
        <v>304</v>
      </c>
      <c r="G4" s="294" t="s">
        <v>167</v>
      </c>
    </row>
    <row r="5" spans="1:38" ht="22.2" x14ac:dyDescent="0.4">
      <c r="F5" s="295" t="s">
        <v>305</v>
      </c>
      <c r="G5" s="296" t="s">
        <v>160</v>
      </c>
    </row>
    <row r="6" spans="1:38" ht="22.2" x14ac:dyDescent="0.4">
      <c r="D6" s="286" t="s">
        <v>107</v>
      </c>
      <c r="F6" s="295" t="s">
        <v>306</v>
      </c>
      <c r="G6" s="297" t="s">
        <v>161</v>
      </c>
    </row>
    <row r="7" spans="1:38" ht="21.75" customHeight="1" x14ac:dyDescent="0.4">
      <c r="F7" s="295" t="s">
        <v>307</v>
      </c>
      <c r="G7" s="297" t="s">
        <v>162</v>
      </c>
      <c r="J7" s="286" t="s">
        <v>119</v>
      </c>
    </row>
    <row r="8" spans="1:38" ht="22.2" x14ac:dyDescent="0.4">
      <c r="F8" s="295" t="s">
        <v>308</v>
      </c>
      <c r="G8" s="298" t="s">
        <v>163</v>
      </c>
    </row>
    <row r="9" spans="1:38" ht="22.2" x14ac:dyDescent="0.4">
      <c r="F9" s="295" t="s">
        <v>309</v>
      </c>
      <c r="G9" s="297" t="s">
        <v>164</v>
      </c>
      <c r="J9" s="286" t="s">
        <v>107</v>
      </c>
    </row>
    <row r="10" spans="1:38" ht="27" customHeight="1" x14ac:dyDescent="0.4">
      <c r="F10" s="295" t="s">
        <v>310</v>
      </c>
      <c r="G10" s="297" t="s">
        <v>165</v>
      </c>
    </row>
    <row r="11" spans="1:38" ht="22.8" thickBot="1" x14ac:dyDescent="0.45">
      <c r="F11" s="299" t="s">
        <v>311</v>
      </c>
      <c r="G11" s="300" t="s">
        <v>166</v>
      </c>
    </row>
    <row r="12" spans="1:38" ht="67.2" thickBot="1" x14ac:dyDescent="0.45">
      <c r="B12" s="301"/>
      <c r="M12" s="302"/>
      <c r="Q12" s="605" t="s">
        <v>1</v>
      </c>
      <c r="R12" s="606"/>
      <c r="S12" s="606"/>
      <c r="T12" s="607"/>
      <c r="U12" s="608" t="s">
        <v>2</v>
      </c>
      <c r="V12" s="609"/>
      <c r="W12" s="609"/>
      <c r="X12" s="610"/>
      <c r="Y12" s="303" t="s">
        <v>56</v>
      </c>
      <c r="Z12" s="304">
        <f>(1/(1-M14))-1</f>
        <v>0.24269914253759173</v>
      </c>
      <c r="AC12" s="611" t="s">
        <v>3</v>
      </c>
      <c r="AD12" s="612"/>
      <c r="AE12" s="613"/>
      <c r="AG12" s="601" t="s">
        <v>58</v>
      </c>
      <c r="AH12" s="602"/>
      <c r="AJ12" s="491" t="s">
        <v>60</v>
      </c>
      <c r="AK12" s="614" t="s">
        <v>59</v>
      </c>
      <c r="AL12" s="614"/>
    </row>
    <row r="13" spans="1:38" ht="22.8" thickBot="1" x14ac:dyDescent="0.5">
      <c r="A13" s="305" t="s">
        <v>4</v>
      </c>
      <c r="B13" s="306" t="s">
        <v>5</v>
      </c>
      <c r="C13" s="305" t="s">
        <v>6</v>
      </c>
      <c r="D13" s="305" t="s">
        <v>7</v>
      </c>
      <c r="E13" s="305" t="s">
        <v>8</v>
      </c>
      <c r="M13" s="307">
        <v>0.80469999999999997</v>
      </c>
      <c r="AK13" s="492"/>
      <c r="AL13" s="492"/>
    </row>
    <row r="14" spans="1:38" ht="67.2" thickBot="1" x14ac:dyDescent="0.45">
      <c r="A14" s="308">
        <v>0</v>
      </c>
      <c r="B14" s="309"/>
      <c r="C14" s="310"/>
      <c r="D14" s="311"/>
      <c r="E14" s="311"/>
      <c r="F14" s="312" t="s">
        <v>84</v>
      </c>
      <c r="G14" s="313" t="s">
        <v>85</v>
      </c>
      <c r="H14" s="314" t="s">
        <v>86</v>
      </c>
      <c r="I14" s="314" t="s">
        <v>87</v>
      </c>
      <c r="J14" s="315" t="s">
        <v>88</v>
      </c>
      <c r="K14" s="316" t="s">
        <v>9</v>
      </c>
      <c r="L14" s="317">
        <v>7.4999999999999997E-2</v>
      </c>
      <c r="M14" s="318">
        <f>1-M13</f>
        <v>0.19530000000000003</v>
      </c>
      <c r="N14" s="319" t="s">
        <v>82</v>
      </c>
      <c r="Q14" s="320" t="s">
        <v>89</v>
      </c>
      <c r="R14" s="321" t="s">
        <v>90</v>
      </c>
      <c r="S14" s="322" t="s">
        <v>91</v>
      </c>
      <c r="T14" s="323" t="s">
        <v>92</v>
      </c>
      <c r="U14" s="324" t="s">
        <v>93</v>
      </c>
      <c r="V14" s="325" t="s">
        <v>94</v>
      </c>
      <c r="W14" s="326" t="s">
        <v>95</v>
      </c>
      <c r="X14" s="326" t="s">
        <v>96</v>
      </c>
      <c r="Y14" s="327" t="s">
        <v>97</v>
      </c>
      <c r="Z14" s="328" t="s">
        <v>98</v>
      </c>
      <c r="AA14" s="329" t="s">
        <v>83</v>
      </c>
      <c r="AC14" s="330" t="s">
        <v>99</v>
      </c>
      <c r="AD14" s="331" t="s">
        <v>100</v>
      </c>
      <c r="AE14" s="331" t="s">
        <v>33</v>
      </c>
      <c r="AG14" s="332" t="s">
        <v>101</v>
      </c>
      <c r="AH14" s="333" t="s">
        <v>102</v>
      </c>
      <c r="AK14" s="622" t="s">
        <v>103</v>
      </c>
      <c r="AL14" s="625" t="s">
        <v>104</v>
      </c>
    </row>
    <row r="15" spans="1:38" ht="22.8" thickBot="1" x14ac:dyDescent="0.5">
      <c r="A15" s="311">
        <v>1</v>
      </c>
      <c r="B15" s="334">
        <v>1</v>
      </c>
      <c r="C15" s="335" t="s">
        <v>129</v>
      </c>
      <c r="D15" s="311"/>
      <c r="E15" s="311"/>
      <c r="F15" s="615"/>
      <c r="G15" s="616"/>
      <c r="H15" s="616"/>
      <c r="I15" s="616"/>
      <c r="J15" s="616"/>
      <c r="K15" s="616"/>
      <c r="L15" s="616"/>
      <c r="M15" s="616"/>
      <c r="N15" s="617"/>
      <c r="Q15" s="616" t="str">
        <f>IF(F15&lt;&gt;"",F15,"")</f>
        <v/>
      </c>
      <c r="R15" s="616"/>
      <c r="S15" s="616"/>
      <c r="T15" s="616"/>
      <c r="U15" s="616"/>
      <c r="V15" s="616"/>
      <c r="W15" s="616"/>
      <c r="X15" s="616"/>
      <c r="Y15" s="616"/>
      <c r="AK15" s="623"/>
      <c r="AL15" s="626"/>
    </row>
    <row r="16" spans="1:38" ht="22.2" x14ac:dyDescent="0.45">
      <c r="A16" s="311">
        <v>2</v>
      </c>
      <c r="B16" s="334" t="s">
        <v>131</v>
      </c>
      <c r="C16" s="335" t="s">
        <v>130</v>
      </c>
      <c r="D16" s="311"/>
      <c r="E16" s="311"/>
      <c r="F16" s="618" t="s">
        <v>138</v>
      </c>
      <c r="G16" s="619"/>
      <c r="H16" s="619"/>
      <c r="I16" s="619"/>
      <c r="J16" s="619"/>
      <c r="K16" s="620"/>
      <c r="L16" s="336" t="s">
        <v>132</v>
      </c>
      <c r="M16" s="337" t="s">
        <v>133</v>
      </c>
      <c r="N16" s="338" t="s">
        <v>82</v>
      </c>
      <c r="Q16" s="618" t="str">
        <f>IF(F16&lt;&gt;"",F16,"")</f>
        <v>OPERACIONAL</v>
      </c>
      <c r="R16" s="619"/>
      <c r="S16" s="619"/>
      <c r="T16" s="619"/>
      <c r="U16" s="619"/>
      <c r="V16" s="619"/>
      <c r="W16" s="619"/>
      <c r="X16" s="619"/>
      <c r="Y16" s="621"/>
      <c r="Z16" s="339" t="s">
        <v>134</v>
      </c>
      <c r="AA16" s="340" t="s">
        <v>83</v>
      </c>
      <c r="AK16" s="624"/>
      <c r="AL16" s="627"/>
    </row>
    <row r="17" spans="1:39" ht="23.55" customHeight="1" x14ac:dyDescent="0.45">
      <c r="A17" s="341">
        <v>3</v>
      </c>
      <c r="B17" s="334" t="s">
        <v>136</v>
      </c>
      <c r="C17" s="342" t="s">
        <v>135</v>
      </c>
      <c r="D17" s="311" t="s">
        <v>138</v>
      </c>
      <c r="E17" s="311" t="s">
        <v>168</v>
      </c>
      <c r="F17" s="343" t="s">
        <v>184</v>
      </c>
      <c r="G17" s="344" t="s">
        <v>185</v>
      </c>
      <c r="H17" s="345">
        <v>1</v>
      </c>
      <c r="I17" s="345">
        <v>4</v>
      </c>
      <c r="J17" s="346">
        <v>850</v>
      </c>
      <c r="K17" s="346">
        <f>IF(F17&lt;&gt;"",H17*I17*J17,"")</f>
        <v>3400</v>
      </c>
      <c r="L17" s="346">
        <f>IF(K17&lt;&gt;"",IF(D17="INTERNO",0,K17*$L$14),"")</f>
        <v>255</v>
      </c>
      <c r="M17" s="346">
        <f>IF(K17&lt;&gt;"",IF(E17="FAT.OGGI",SUM(K17:L17)*(1/(1-$M$14)-1),L17*(1/(1-$M$14)-1)),0)</f>
        <v>887.06536597489776</v>
      </c>
      <c r="N17" s="347">
        <f>SUM(K17:M17)</f>
        <v>4542.0653659748978</v>
      </c>
      <c r="Q17" s="348">
        <v>1</v>
      </c>
      <c r="R17" s="348">
        <f>IF(I17&lt;&gt;"",I17,"")</f>
        <v>4</v>
      </c>
      <c r="S17" s="349">
        <v>650</v>
      </c>
      <c r="T17" s="350">
        <f>IF(Q17&lt;&gt;"",Q17*R17*S17,"")</f>
        <v>2600</v>
      </c>
      <c r="U17" s="351">
        <f>IF(Q17&lt;&gt;"",K17-T17,"")</f>
        <v>800</v>
      </c>
      <c r="V17" s="352">
        <f>IF(Q17&lt;&gt;"",0%,"")</f>
        <v>0</v>
      </c>
      <c r="W17" s="353">
        <f>IF(Q17&lt;&gt;"",V17*U17,"")</f>
        <v>0</v>
      </c>
      <c r="X17" s="353">
        <f>IF(Q17&lt;&gt;"",W17+T17,"")</f>
        <v>2600</v>
      </c>
      <c r="Y17" s="354">
        <f>IF(Q17&lt;&gt;"",X17+M17,"")</f>
        <v>3487.0653659748978</v>
      </c>
      <c r="Z17" s="355">
        <f>IF(Q17&lt;&gt;"", IFERROR(U17/K17, 0), 0)</f>
        <v>0.23529411764705882</v>
      </c>
      <c r="AA17" s="356"/>
      <c r="AC17" s="357" t="s">
        <v>222</v>
      </c>
      <c r="AK17" s="489">
        <f>X17-AL17</f>
        <v>0</v>
      </c>
      <c r="AL17" s="549">
        <v>2600</v>
      </c>
      <c r="AM17" s="285" t="s">
        <v>331</v>
      </c>
    </row>
    <row r="18" spans="1:39" ht="67.2" thickBot="1" x14ac:dyDescent="0.5">
      <c r="A18" s="358">
        <v>4</v>
      </c>
      <c r="B18" s="334"/>
      <c r="C18" s="359" t="s">
        <v>140</v>
      </c>
      <c r="D18" s="358"/>
      <c r="E18" s="358"/>
      <c r="F18" s="599" t="s">
        <v>152</v>
      </c>
      <c r="G18" s="600"/>
      <c r="H18" s="600"/>
      <c r="I18" s="600"/>
      <c r="J18" s="600"/>
      <c r="K18" s="360">
        <f>SUM(K17:K17)</f>
        <v>3400</v>
      </c>
      <c r="L18" s="360">
        <f>SUM(L17:L17)</f>
        <v>255</v>
      </c>
      <c r="M18" s="360">
        <f>SUM(M17:M17)</f>
        <v>887.06536597489776</v>
      </c>
      <c r="N18" s="361">
        <f>SUM(N17:N17)</f>
        <v>4542.0653659748978</v>
      </c>
      <c r="Q18" s="599" t="s">
        <v>141</v>
      </c>
      <c r="R18" s="600"/>
      <c r="S18" s="600"/>
      <c r="T18" s="362">
        <f>SUM(T17:T17)</f>
        <v>2600</v>
      </c>
      <c r="U18" s="363">
        <f>SUM(U17:U17)</f>
        <v>800</v>
      </c>
      <c r="V18" s="364"/>
      <c r="W18" s="364"/>
      <c r="X18" s="365">
        <f>SUM(X17:X17)</f>
        <v>2600</v>
      </c>
      <c r="Y18" s="366">
        <f>IF(Q18&lt;&gt;"",X18+M18,"")</f>
        <v>3487.0653659748978</v>
      </c>
      <c r="AK18" s="489"/>
      <c r="AL18" s="549"/>
    </row>
    <row r="19" spans="1:39" ht="23.4" x14ac:dyDescent="0.45">
      <c r="A19" s="311">
        <v>5</v>
      </c>
      <c r="B19" s="334" t="s">
        <v>142</v>
      </c>
      <c r="C19" s="335" t="s">
        <v>130</v>
      </c>
      <c r="D19" s="311"/>
      <c r="E19" s="311"/>
      <c r="F19" s="618" t="s">
        <v>194</v>
      </c>
      <c r="G19" s="619"/>
      <c r="H19" s="619"/>
      <c r="I19" s="619"/>
      <c r="J19" s="619"/>
      <c r="K19" s="620"/>
      <c r="L19" s="336" t="s">
        <v>132</v>
      </c>
      <c r="M19" s="337" t="s">
        <v>133</v>
      </c>
      <c r="N19" s="338" t="s">
        <v>82</v>
      </c>
      <c r="Q19" s="618" t="str">
        <f>IF(F19&lt;&gt;"",F19,"")</f>
        <v>ITENS NOVOS APÓS APROVAÇÃO</v>
      </c>
      <c r="R19" s="619"/>
      <c r="S19" s="619"/>
      <c r="T19" s="619"/>
      <c r="U19" s="600"/>
      <c r="V19" s="600"/>
      <c r="W19" s="600"/>
      <c r="X19" s="600"/>
      <c r="Y19" s="637"/>
      <c r="Z19" s="339" t="s">
        <v>134</v>
      </c>
      <c r="AA19" s="340" t="s">
        <v>83</v>
      </c>
      <c r="AK19" s="489">
        <f t="shared" ref="AK19:AK31" si="0">X19-AL19</f>
        <v>0</v>
      </c>
      <c r="AL19" s="549"/>
    </row>
    <row r="20" spans="1:39" ht="66.599999999999994" x14ac:dyDescent="0.45">
      <c r="A20" s="311">
        <v>6</v>
      </c>
      <c r="B20" s="334" t="s">
        <v>143</v>
      </c>
      <c r="C20" s="335" t="s">
        <v>135</v>
      </c>
      <c r="D20" s="311" t="s">
        <v>138</v>
      </c>
      <c r="E20" s="311" t="s">
        <v>168</v>
      </c>
      <c r="F20" s="367" t="s">
        <v>186</v>
      </c>
      <c r="G20" s="368" t="s">
        <v>187</v>
      </c>
      <c r="H20" s="369">
        <v>1</v>
      </c>
      <c r="I20" s="369">
        <v>2</v>
      </c>
      <c r="J20" s="370">
        <v>3660</v>
      </c>
      <c r="K20" s="370">
        <f t="shared" ref="K20:K26" si="1">IF(F20&lt;&gt;"",H20*I20*J20,"")</f>
        <v>7320</v>
      </c>
      <c r="L20" s="370">
        <f t="shared" ref="L20:L26" si="2">IF(K20&lt;&gt;"",IF(D20="INTERNO",0,K20*$L$14),"")</f>
        <v>549</v>
      </c>
      <c r="M20" s="370">
        <f t="shared" ref="M20:M26" si="3">IF(K20&lt;&gt;"",IF(E20="FAT.OGGI",SUM(K20:L20)*(1/(1-$M$14)-1),L20*(1/(1-$M$14)-1)),0)</f>
        <v>1909.7995526283094</v>
      </c>
      <c r="N20" s="371">
        <f t="shared" ref="N20:N26" si="4">SUM(K20:M20)</f>
        <v>9778.7995526283084</v>
      </c>
      <c r="Q20" s="372">
        <v>1</v>
      </c>
      <c r="R20" s="373">
        <v>1</v>
      </c>
      <c r="S20" s="374">
        <v>6800</v>
      </c>
      <c r="T20" s="375">
        <f t="shared" ref="T20:T26" si="5">IF(Q20&lt;&gt;"",Q20*R20*S20,"")</f>
        <v>6800</v>
      </c>
      <c r="U20" s="376">
        <f t="shared" ref="U20:U26" si="6">IF(Q20&lt;&gt;"",K20-T20,"")</f>
        <v>520</v>
      </c>
      <c r="V20" s="377">
        <f t="shared" ref="V20:V26" si="7">IF(Q20&lt;&gt;"",0%,"")</f>
        <v>0</v>
      </c>
      <c r="W20" s="378">
        <f t="shared" ref="W20:W26" si="8">IF(Q20&lt;&gt;"",V20*U20,"")</f>
        <v>0</v>
      </c>
      <c r="X20" s="378">
        <f t="shared" ref="X20:X26" si="9">IF(Q20&lt;&gt;"",W20+T20,"")</f>
        <v>6800</v>
      </c>
      <c r="Y20" s="379">
        <f t="shared" ref="Y20:Y27" si="10">IF(Q20&lt;&gt;"",X20+M20,"")</f>
        <v>8709.7995526283084</v>
      </c>
      <c r="Z20" s="380">
        <f t="shared" ref="Z20:Z26" si="11">IF(Q20&lt;&gt;"", IFERROR(U20/K20, 0), 0)</f>
        <v>7.1038251366120214E-2</v>
      </c>
      <c r="AA20" s="355">
        <f>IFERROR(T20/$T$27, "")</f>
        <v>1</v>
      </c>
      <c r="AC20" s="357" t="s">
        <v>223</v>
      </c>
      <c r="AK20" s="489">
        <f t="shared" si="0"/>
        <v>0</v>
      </c>
      <c r="AL20" s="549">
        <v>6800</v>
      </c>
      <c r="AM20" s="285" t="s">
        <v>330</v>
      </c>
    </row>
    <row r="21" spans="1:39" ht="44.4" x14ac:dyDescent="0.45">
      <c r="A21" s="341">
        <v>7</v>
      </c>
      <c r="B21" s="334" t="s">
        <v>144</v>
      </c>
      <c r="C21" s="342" t="s">
        <v>135</v>
      </c>
      <c r="D21" s="311" t="s">
        <v>138</v>
      </c>
      <c r="E21" s="311" t="s">
        <v>168</v>
      </c>
      <c r="F21" s="343" t="s">
        <v>188</v>
      </c>
      <c r="G21" s="344" t="s">
        <v>189</v>
      </c>
      <c r="H21" s="345">
        <v>1</v>
      </c>
      <c r="I21" s="345">
        <v>1</v>
      </c>
      <c r="J21" s="346">
        <v>880</v>
      </c>
      <c r="K21" s="346">
        <f t="shared" si="1"/>
        <v>880</v>
      </c>
      <c r="L21" s="346">
        <f t="shared" si="2"/>
        <v>66</v>
      </c>
      <c r="M21" s="346">
        <f t="shared" si="3"/>
        <v>229.59338884056177</v>
      </c>
      <c r="N21" s="347">
        <f t="shared" si="4"/>
        <v>1175.5933888405618</v>
      </c>
      <c r="Q21" s="348">
        <f>IF(H21&lt;&gt;"",H21,"")</f>
        <v>1</v>
      </c>
      <c r="R21" s="348">
        <v>0</v>
      </c>
      <c r="S21" s="349">
        <v>700</v>
      </c>
      <c r="T21" s="350">
        <f t="shared" si="5"/>
        <v>0</v>
      </c>
      <c r="U21" s="351">
        <f t="shared" si="6"/>
        <v>880</v>
      </c>
      <c r="V21" s="352">
        <f t="shared" si="7"/>
        <v>0</v>
      </c>
      <c r="W21" s="353">
        <f t="shared" si="8"/>
        <v>0</v>
      </c>
      <c r="X21" s="353">
        <f t="shared" si="9"/>
        <v>0</v>
      </c>
      <c r="Y21" s="354">
        <f t="shared" si="10"/>
        <v>229.59338884056177</v>
      </c>
      <c r="Z21" s="355">
        <f t="shared" si="11"/>
        <v>1</v>
      </c>
      <c r="AA21" s="381"/>
      <c r="AC21" s="357" t="s">
        <v>223</v>
      </c>
      <c r="AK21" s="489">
        <f t="shared" si="0"/>
        <v>0</v>
      </c>
      <c r="AL21" s="549"/>
    </row>
    <row r="22" spans="1:39" ht="44.4" x14ac:dyDescent="0.45">
      <c r="A22" s="358">
        <v>8</v>
      </c>
      <c r="B22" s="334" t="s">
        <v>145</v>
      </c>
      <c r="C22" s="359" t="s">
        <v>135</v>
      </c>
      <c r="D22" s="358" t="s">
        <v>138</v>
      </c>
      <c r="E22" s="358" t="s">
        <v>168</v>
      </c>
      <c r="F22" s="382" t="s">
        <v>191</v>
      </c>
      <c r="G22" s="383" t="s">
        <v>206</v>
      </c>
      <c r="H22" s="384">
        <v>1</v>
      </c>
      <c r="I22" s="384">
        <v>1</v>
      </c>
      <c r="J22" s="385">
        <v>484</v>
      </c>
      <c r="K22" s="385">
        <f t="shared" si="1"/>
        <v>484</v>
      </c>
      <c r="L22" s="385">
        <f t="shared" si="2"/>
        <v>36.299999999999997</v>
      </c>
      <c r="M22" s="385">
        <f t="shared" si="3"/>
        <v>126.27636386230897</v>
      </c>
      <c r="N22" s="386">
        <f t="shared" si="4"/>
        <v>646.57636386230888</v>
      </c>
      <c r="Q22" s="387">
        <f t="shared" ref="Q22" si="12">IF(H22&lt;&gt;"",H22,"")</f>
        <v>1</v>
      </c>
      <c r="R22" s="388">
        <v>0</v>
      </c>
      <c r="S22" s="389">
        <v>320</v>
      </c>
      <c r="T22" s="389">
        <f t="shared" si="5"/>
        <v>0</v>
      </c>
      <c r="U22" s="390">
        <f t="shared" si="6"/>
        <v>484</v>
      </c>
      <c r="V22" s="391">
        <f t="shared" si="7"/>
        <v>0</v>
      </c>
      <c r="W22" s="392">
        <f t="shared" si="8"/>
        <v>0</v>
      </c>
      <c r="X22" s="392">
        <f t="shared" si="9"/>
        <v>0</v>
      </c>
      <c r="Y22" s="393">
        <f t="shared" si="10"/>
        <v>126.27636386230897</v>
      </c>
      <c r="Z22" s="394">
        <f t="shared" si="11"/>
        <v>1</v>
      </c>
      <c r="AA22" s="381">
        <f>IFERROR(T22/$T$27, "")</f>
        <v>0</v>
      </c>
      <c r="AC22" s="357" t="s">
        <v>224</v>
      </c>
      <c r="AK22" s="489">
        <f t="shared" si="0"/>
        <v>0</v>
      </c>
      <c r="AL22" s="549"/>
    </row>
    <row r="23" spans="1:39" ht="44.4" x14ac:dyDescent="0.45">
      <c r="A23" s="311">
        <v>9</v>
      </c>
      <c r="B23" s="334" t="s">
        <v>190</v>
      </c>
      <c r="C23" s="335" t="s">
        <v>135</v>
      </c>
      <c r="D23" s="358" t="s">
        <v>138</v>
      </c>
      <c r="E23" s="358" t="s">
        <v>168</v>
      </c>
      <c r="F23" s="367" t="s">
        <v>192</v>
      </c>
      <c r="G23" s="395" t="s">
        <v>193</v>
      </c>
      <c r="H23" s="369">
        <v>1</v>
      </c>
      <c r="I23" s="369">
        <v>2</v>
      </c>
      <c r="J23" s="370">
        <v>850</v>
      </c>
      <c r="K23" s="370">
        <f t="shared" si="1"/>
        <v>1700</v>
      </c>
      <c r="L23" s="370">
        <f t="shared" si="2"/>
        <v>127.5</v>
      </c>
      <c r="M23" s="370">
        <f t="shared" si="3"/>
        <v>443.53268298744888</v>
      </c>
      <c r="N23" s="371">
        <f t="shared" si="4"/>
        <v>2271.0326829874489</v>
      </c>
      <c r="Q23" s="373">
        <f>IF(H23&lt;&gt;"",H23,"")</f>
        <v>1</v>
      </c>
      <c r="R23" s="373">
        <v>0</v>
      </c>
      <c r="S23" s="374">
        <v>550</v>
      </c>
      <c r="T23" s="374">
        <f t="shared" si="5"/>
        <v>0</v>
      </c>
      <c r="U23" s="376">
        <f t="shared" si="6"/>
        <v>1700</v>
      </c>
      <c r="V23" s="377">
        <f t="shared" si="7"/>
        <v>0</v>
      </c>
      <c r="W23" s="378">
        <f t="shared" si="8"/>
        <v>0</v>
      </c>
      <c r="X23" s="378">
        <f t="shared" si="9"/>
        <v>0</v>
      </c>
      <c r="Y23" s="396">
        <f t="shared" si="10"/>
        <v>443.53268298744888</v>
      </c>
      <c r="Z23" s="355">
        <f t="shared" si="11"/>
        <v>1</v>
      </c>
      <c r="AA23" s="356"/>
      <c r="AC23" s="357" t="s">
        <v>226</v>
      </c>
      <c r="AK23" s="489">
        <f t="shared" si="0"/>
        <v>0</v>
      </c>
      <c r="AL23" s="549"/>
    </row>
    <row r="24" spans="1:39" ht="44.4" x14ac:dyDescent="0.45">
      <c r="A24" s="311">
        <v>10</v>
      </c>
      <c r="B24" s="334" t="s">
        <v>197</v>
      </c>
      <c r="C24" s="335" t="s">
        <v>135</v>
      </c>
      <c r="D24" s="358" t="s">
        <v>138</v>
      </c>
      <c r="E24" s="358" t="s">
        <v>168</v>
      </c>
      <c r="F24" s="367" t="s">
        <v>198</v>
      </c>
      <c r="G24" s="395" t="s">
        <v>199</v>
      </c>
      <c r="H24" s="369">
        <v>1</v>
      </c>
      <c r="I24" s="369">
        <v>1</v>
      </c>
      <c r="J24" s="370">
        <v>1725</v>
      </c>
      <c r="K24" s="370">
        <f t="shared" si="1"/>
        <v>1725</v>
      </c>
      <c r="L24" s="370">
        <f t="shared" si="2"/>
        <v>129.375</v>
      </c>
      <c r="M24" s="370">
        <f t="shared" si="3"/>
        <v>450.05522244314665</v>
      </c>
      <c r="N24" s="371">
        <f t="shared" si="4"/>
        <v>2304.4302224431467</v>
      </c>
      <c r="Q24" s="373">
        <f>IF(H24&lt;&gt;"",H24,"")</f>
        <v>1</v>
      </c>
      <c r="R24" s="373">
        <v>0</v>
      </c>
      <c r="S24" s="374">
        <v>1200</v>
      </c>
      <c r="T24" s="374">
        <f t="shared" si="5"/>
        <v>0</v>
      </c>
      <c r="U24" s="376">
        <f t="shared" si="6"/>
        <v>1725</v>
      </c>
      <c r="V24" s="377">
        <f t="shared" si="7"/>
        <v>0</v>
      </c>
      <c r="W24" s="378">
        <f t="shared" si="8"/>
        <v>0</v>
      </c>
      <c r="X24" s="378">
        <f t="shared" si="9"/>
        <v>0</v>
      </c>
      <c r="Y24" s="396">
        <f t="shared" si="10"/>
        <v>450.05522244314665</v>
      </c>
      <c r="Z24" s="355">
        <f t="shared" si="11"/>
        <v>1</v>
      </c>
      <c r="AA24" s="356"/>
      <c r="AK24" s="489">
        <f t="shared" si="0"/>
        <v>0</v>
      </c>
      <c r="AL24" s="549"/>
    </row>
    <row r="25" spans="1:39" ht="44.4" x14ac:dyDescent="0.45">
      <c r="A25" s="311">
        <v>11</v>
      </c>
      <c r="B25" s="334" t="s">
        <v>200</v>
      </c>
      <c r="C25" s="335" t="s">
        <v>135</v>
      </c>
      <c r="D25" s="358" t="s">
        <v>138</v>
      </c>
      <c r="E25" s="358" t="s">
        <v>168</v>
      </c>
      <c r="F25" s="367" t="s">
        <v>202</v>
      </c>
      <c r="G25" s="395" t="s">
        <v>204</v>
      </c>
      <c r="H25" s="369">
        <v>45</v>
      </c>
      <c r="I25" s="369">
        <v>1</v>
      </c>
      <c r="J25" s="370">
        <v>5.75</v>
      </c>
      <c r="K25" s="370">
        <f t="shared" si="1"/>
        <v>258.75</v>
      </c>
      <c r="L25" s="370">
        <f t="shared" si="2"/>
        <v>19.40625</v>
      </c>
      <c r="M25" s="370">
        <f t="shared" si="3"/>
        <v>67.508283366472</v>
      </c>
      <c r="N25" s="371">
        <f t="shared" si="4"/>
        <v>345.66453336647203</v>
      </c>
      <c r="Q25" s="373">
        <f>IF(H25&lt;&gt;"",H25,"")</f>
        <v>45</v>
      </c>
      <c r="R25" s="373">
        <v>0</v>
      </c>
      <c r="S25" s="397">
        <v>4.8</v>
      </c>
      <c r="T25" s="374">
        <f t="shared" si="5"/>
        <v>0</v>
      </c>
      <c r="U25" s="376">
        <f t="shared" si="6"/>
        <v>258.75</v>
      </c>
      <c r="V25" s="377">
        <f t="shared" si="7"/>
        <v>0</v>
      </c>
      <c r="W25" s="378">
        <f t="shared" si="8"/>
        <v>0</v>
      </c>
      <c r="X25" s="378">
        <f t="shared" si="9"/>
        <v>0</v>
      </c>
      <c r="Y25" s="396">
        <f>IF(Q25&lt;&gt;"",X25+M25,"")</f>
        <v>67.508283366472</v>
      </c>
      <c r="Z25" s="355">
        <f t="shared" si="11"/>
        <v>1</v>
      </c>
      <c r="AA25" s="356"/>
      <c r="AC25" s="357"/>
      <c r="AK25" s="489">
        <f t="shared" si="0"/>
        <v>0</v>
      </c>
      <c r="AL25" s="549"/>
    </row>
    <row r="26" spans="1:39" ht="45" thickBot="1" x14ac:dyDescent="0.5">
      <c r="A26" s="341">
        <v>12</v>
      </c>
      <c r="B26" s="334" t="s">
        <v>201</v>
      </c>
      <c r="C26" s="342" t="s">
        <v>135</v>
      </c>
      <c r="D26" s="358" t="s">
        <v>138</v>
      </c>
      <c r="E26" s="358" t="s">
        <v>168</v>
      </c>
      <c r="F26" s="343" t="s">
        <v>203</v>
      </c>
      <c r="G26" s="344" t="s">
        <v>205</v>
      </c>
      <c r="H26" s="345">
        <v>45</v>
      </c>
      <c r="I26" s="345">
        <v>1</v>
      </c>
      <c r="J26" s="346">
        <v>8.4</v>
      </c>
      <c r="K26" s="346">
        <f t="shared" si="1"/>
        <v>378</v>
      </c>
      <c r="L26" s="346">
        <f t="shared" si="2"/>
        <v>28.349999999999998</v>
      </c>
      <c r="M26" s="346">
        <f t="shared" si="3"/>
        <v>98.620796570150404</v>
      </c>
      <c r="N26" s="347">
        <f t="shared" si="4"/>
        <v>504.97079657015041</v>
      </c>
      <c r="Q26" s="348">
        <f>IF(H26&lt;&gt;"",H26,"")</f>
        <v>45</v>
      </c>
      <c r="R26" s="348">
        <v>0</v>
      </c>
      <c r="S26" s="349">
        <v>6.99</v>
      </c>
      <c r="T26" s="349">
        <f t="shared" si="5"/>
        <v>0</v>
      </c>
      <c r="U26" s="351">
        <f t="shared" si="6"/>
        <v>378</v>
      </c>
      <c r="V26" s="352">
        <f t="shared" si="7"/>
        <v>0</v>
      </c>
      <c r="W26" s="353">
        <f t="shared" si="8"/>
        <v>0</v>
      </c>
      <c r="X26" s="353">
        <f t="shared" si="9"/>
        <v>0</v>
      </c>
      <c r="Y26" s="354">
        <f>IF(Q26&lt;&gt;"",X26+M26,"")</f>
        <v>98.620796570150404</v>
      </c>
      <c r="Z26" s="355">
        <f t="shared" si="11"/>
        <v>1</v>
      </c>
      <c r="AA26" s="356"/>
      <c r="AC26" s="357" t="s">
        <v>228</v>
      </c>
      <c r="AK26" s="489">
        <f t="shared" si="0"/>
        <v>0</v>
      </c>
      <c r="AL26" s="549"/>
    </row>
    <row r="27" spans="1:39" ht="67.2" thickBot="1" x14ac:dyDescent="0.5">
      <c r="A27" s="358">
        <v>13</v>
      </c>
      <c r="B27" s="334"/>
      <c r="C27" s="359" t="s">
        <v>140</v>
      </c>
      <c r="D27" s="358"/>
      <c r="E27" s="358"/>
      <c r="F27" s="638" t="s">
        <v>195</v>
      </c>
      <c r="G27" s="639"/>
      <c r="H27" s="639"/>
      <c r="I27" s="639"/>
      <c r="J27" s="639"/>
      <c r="K27" s="398">
        <f>SUM(K20:K26)</f>
        <v>12745.75</v>
      </c>
      <c r="L27" s="360">
        <f>SUM(L20:L26)</f>
        <v>955.93124999999998</v>
      </c>
      <c r="M27" s="360">
        <f>SUM(M20:M26)</f>
        <v>3325.3862906983982</v>
      </c>
      <c r="N27" s="361">
        <f>SUM(N20:N26)</f>
        <v>17027.067540698394</v>
      </c>
      <c r="Q27" s="599" t="s">
        <v>155</v>
      </c>
      <c r="R27" s="600"/>
      <c r="S27" s="600"/>
      <c r="T27" s="362">
        <f>SUM(T20:T26)</f>
        <v>6800</v>
      </c>
      <c r="U27" s="399">
        <f>SUM(U20:U26)</f>
        <v>5945.75</v>
      </c>
      <c r="V27" s="400"/>
      <c r="W27" s="400"/>
      <c r="X27" s="401">
        <f>SUM(X20:X26)</f>
        <v>6800</v>
      </c>
      <c r="Y27" s="402">
        <f t="shared" si="10"/>
        <v>10125.386290698398</v>
      </c>
      <c r="Z27" s="403" t="s">
        <v>158</v>
      </c>
      <c r="AA27" s="404" t="s">
        <v>159</v>
      </c>
      <c r="AK27" s="489"/>
      <c r="AL27" s="549"/>
    </row>
    <row r="28" spans="1:39" ht="23.4" x14ac:dyDescent="0.45">
      <c r="A28" s="311">
        <v>14</v>
      </c>
      <c r="B28" s="334" t="s">
        <v>207</v>
      </c>
      <c r="C28" s="335" t="s">
        <v>130</v>
      </c>
      <c r="D28" s="311"/>
      <c r="E28" s="311"/>
      <c r="F28" s="628" t="s">
        <v>208</v>
      </c>
      <c r="G28" s="629"/>
      <c r="H28" s="629"/>
      <c r="I28" s="629"/>
      <c r="J28" s="629"/>
      <c r="K28" s="629"/>
      <c r="L28" s="405" t="s">
        <v>132</v>
      </c>
      <c r="M28" s="406" t="s">
        <v>133</v>
      </c>
      <c r="N28" s="407" t="s">
        <v>82</v>
      </c>
      <c r="Q28" s="618" t="str">
        <f>IF(F28&lt;&gt;"",F28,"")</f>
        <v xml:space="preserve">Itens EXTRAS </v>
      </c>
      <c r="R28" s="619"/>
      <c r="S28" s="619"/>
      <c r="T28" s="619"/>
      <c r="U28" s="619"/>
      <c r="V28" s="619"/>
      <c r="W28" s="619"/>
      <c r="X28" s="619"/>
      <c r="Y28" s="630"/>
      <c r="Z28" s="408" t="s">
        <v>134</v>
      </c>
      <c r="AA28" s="409" t="s">
        <v>83</v>
      </c>
      <c r="AK28" s="489">
        <f t="shared" si="0"/>
        <v>0</v>
      </c>
      <c r="AL28" s="549"/>
    </row>
    <row r="29" spans="1:39" ht="44.4" x14ac:dyDescent="0.45">
      <c r="A29" s="311">
        <v>15</v>
      </c>
      <c r="B29" s="334" t="s">
        <v>209</v>
      </c>
      <c r="C29" s="335" t="s">
        <v>135</v>
      </c>
      <c r="D29" s="311" t="s">
        <v>138</v>
      </c>
      <c r="E29" s="311" t="s">
        <v>168</v>
      </c>
      <c r="F29" s="410" t="s">
        <v>212</v>
      </c>
      <c r="G29" s="411" t="s">
        <v>218</v>
      </c>
      <c r="H29" s="412">
        <v>1</v>
      </c>
      <c r="I29" s="412">
        <v>1</v>
      </c>
      <c r="J29" s="413">
        <v>600</v>
      </c>
      <c r="K29" s="413">
        <f>IF(F29&lt;&gt;"",H29*I29*J29,"")</f>
        <v>600</v>
      </c>
      <c r="L29" s="413">
        <f>IF(K29&lt;&gt;"",IF(D29="INTERNO",0,K29*$L$14),"")</f>
        <v>45</v>
      </c>
      <c r="M29" s="413">
        <f>IF(K29&lt;&gt;"",IF(E29="FAT.OGGI",SUM(K29:L29)*(1/(1-$M$14)-1),L29*(1/(1-$M$14)-1)),0)</f>
        <v>156.54094693674668</v>
      </c>
      <c r="N29" s="414">
        <f>SUM(K29:M29)</f>
        <v>801.54094693674665</v>
      </c>
      <c r="Q29" s="415">
        <f t="shared" ref="Q29:R31" si="13">IF(H29&lt;&gt;"",H29,"")</f>
        <v>1</v>
      </c>
      <c r="R29" s="416">
        <v>0</v>
      </c>
      <c r="S29" s="417">
        <v>500</v>
      </c>
      <c r="T29" s="417">
        <f>IF(Q29&lt;&gt;"",Q29*R29*S29,"")</f>
        <v>0</v>
      </c>
      <c r="U29" s="418">
        <f>IF(Q29&lt;&gt;"",K29-T29,"")</f>
        <v>600</v>
      </c>
      <c r="V29" s="419">
        <f>IF(Q29&lt;&gt;"",0%,"")</f>
        <v>0</v>
      </c>
      <c r="W29" s="420">
        <f>IF(Q29&lt;&gt;"",V29*U29,"")</f>
        <v>0</v>
      </c>
      <c r="X29" s="420">
        <f>IF(Q29&lt;&gt;"",W29+T29,"")</f>
        <v>0</v>
      </c>
      <c r="Y29" s="421">
        <f>IF(Q29&lt;&gt;"",X29+M29,"")</f>
        <v>156.54094693674668</v>
      </c>
      <c r="Z29" s="422">
        <f>IF(Q29&lt;&gt;"", IFERROR(U29/K29, 0), 0)</f>
        <v>1</v>
      </c>
      <c r="AA29" s="423">
        <f>IFERROR(T29/$T$32, "")</f>
        <v>0</v>
      </c>
      <c r="AC29" s="357" t="s">
        <v>221</v>
      </c>
      <c r="AK29" s="489">
        <f t="shared" si="0"/>
        <v>0</v>
      </c>
      <c r="AL29" s="549"/>
    </row>
    <row r="30" spans="1:39" ht="44.4" x14ac:dyDescent="0.45">
      <c r="A30" s="311">
        <v>16</v>
      </c>
      <c r="B30" s="334" t="s">
        <v>210</v>
      </c>
      <c r="C30" s="335" t="s">
        <v>135</v>
      </c>
      <c r="D30" s="311" t="s">
        <v>138</v>
      </c>
      <c r="E30" s="311" t="s">
        <v>168</v>
      </c>
      <c r="F30" s="410" t="s">
        <v>213</v>
      </c>
      <c r="G30" s="411" t="s">
        <v>214</v>
      </c>
      <c r="H30" s="412">
        <v>1</v>
      </c>
      <c r="I30" s="412">
        <v>1</v>
      </c>
      <c r="J30" s="413">
        <v>840</v>
      </c>
      <c r="K30" s="413">
        <f>IF(F30&lt;&gt;"",H30*I30*J30,"")</f>
        <v>840</v>
      </c>
      <c r="L30" s="413">
        <f>IF(K30&lt;&gt;"",IF(D30="INTERNO",0,K30*$L$14),"")</f>
        <v>63</v>
      </c>
      <c r="M30" s="413">
        <f>IF(K30&lt;&gt;"",IF(E30="FAT.OGGI",SUM(K30:L30)*(1/(1-$M$14)-1),L30*(1/(1-$M$14)-1)),0)</f>
        <v>219.15732571144534</v>
      </c>
      <c r="N30" s="414">
        <f>SUM(K30:M30)</f>
        <v>1122.1573257114453</v>
      </c>
      <c r="Q30" s="415">
        <f t="shared" si="13"/>
        <v>1</v>
      </c>
      <c r="R30" s="416">
        <f t="shared" si="13"/>
        <v>1</v>
      </c>
      <c r="S30" s="417">
        <v>700</v>
      </c>
      <c r="T30" s="424">
        <f>IF(Q30&lt;&gt;"",Q30*R30*S30,"")</f>
        <v>700</v>
      </c>
      <c r="U30" s="418">
        <f>IF(Q30&lt;&gt;"",K30-T30,"")</f>
        <v>140</v>
      </c>
      <c r="V30" s="419">
        <f>IF(Q30&lt;&gt;"",0%,"")</f>
        <v>0</v>
      </c>
      <c r="W30" s="420">
        <f>IF(Q30&lt;&gt;"",V30*U30,"")</f>
        <v>0</v>
      </c>
      <c r="X30" s="420">
        <f>IF(Q30&lt;&gt;"",W30+T30,"")</f>
        <v>700</v>
      </c>
      <c r="Y30" s="421">
        <f>IF(Q30&lt;&gt;"",X30+M30,"")</f>
        <v>919.15732571144531</v>
      </c>
      <c r="Z30" s="422">
        <f>IF(Q30&lt;&gt;"", IFERROR(U30/K30, 0), 0)</f>
        <v>0.16666666666666666</v>
      </c>
      <c r="AA30" s="423">
        <f>IFERROR(T30/$T$32, "")</f>
        <v>1</v>
      </c>
      <c r="AC30" s="357" t="s">
        <v>225</v>
      </c>
      <c r="AK30" s="489">
        <f t="shared" si="0"/>
        <v>0</v>
      </c>
      <c r="AL30" s="549">
        <v>700</v>
      </c>
      <c r="AM30" s="285" t="s">
        <v>329</v>
      </c>
    </row>
    <row r="31" spans="1:39" ht="44.4" x14ac:dyDescent="0.45">
      <c r="A31" s="311">
        <v>17</v>
      </c>
      <c r="B31" s="334" t="s">
        <v>211</v>
      </c>
      <c r="C31" s="335" t="s">
        <v>135</v>
      </c>
      <c r="D31" s="311" t="s">
        <v>138</v>
      </c>
      <c r="E31" s="311" t="s">
        <v>168</v>
      </c>
      <c r="F31" s="425" t="s">
        <v>215</v>
      </c>
      <c r="G31" s="426" t="s">
        <v>216</v>
      </c>
      <c r="H31" s="427">
        <v>1</v>
      </c>
      <c r="I31" s="427">
        <v>1</v>
      </c>
      <c r="J31" s="428">
        <v>650</v>
      </c>
      <c r="K31" s="428">
        <f>IF(F31&lt;&gt;"",H31*I31*J31,"")</f>
        <v>650</v>
      </c>
      <c r="L31" s="428">
        <f>IF(K31&lt;&gt;"",IF(D31="INTERNO",0,K31*$L$14),"")</f>
        <v>48.75</v>
      </c>
      <c r="M31" s="428">
        <f>IF(K31&lt;&gt;"",IF(E31="FAT.OGGI",SUM(K31:L31)*(1/(1-$M$14)-1),L31*(1/(1-$M$14)-1)),0)</f>
        <v>169.58602584814221</v>
      </c>
      <c r="N31" s="429">
        <f>SUM(K31:M31)</f>
        <v>868.33602584814219</v>
      </c>
      <c r="Q31" s="430">
        <f t="shared" si="13"/>
        <v>1</v>
      </c>
      <c r="R31" s="431">
        <v>0</v>
      </c>
      <c r="S31" s="432">
        <v>400</v>
      </c>
      <c r="T31" s="432">
        <f>IF(Q31&lt;&gt;"",Q31*R31*S31,"")</f>
        <v>0</v>
      </c>
      <c r="U31" s="433">
        <f>IF(Q31&lt;&gt;"",K31-T31,"")</f>
        <v>650</v>
      </c>
      <c r="V31" s="434">
        <f>IF(Q31&lt;&gt;"",0%,"")</f>
        <v>0</v>
      </c>
      <c r="W31" s="435">
        <f>IF(Q31&lt;&gt;"",V31*U31,"")</f>
        <v>0</v>
      </c>
      <c r="X31" s="435">
        <f>IF(Q31&lt;&gt;"",W31+T31,"")</f>
        <v>0</v>
      </c>
      <c r="Y31" s="436">
        <f>IF(Q31&lt;&gt;"",X31+M31,"")</f>
        <v>169.58602584814221</v>
      </c>
      <c r="Z31" s="422">
        <f>IF(Q31&lt;&gt;"", IFERROR(U31/K31, 0), 0)</f>
        <v>1</v>
      </c>
      <c r="AA31" s="423">
        <f>IFERROR(T31/$T$32, "")</f>
        <v>0</v>
      </c>
      <c r="AC31" s="357" t="s">
        <v>226</v>
      </c>
      <c r="AK31" s="489">
        <f t="shared" si="0"/>
        <v>0</v>
      </c>
      <c r="AL31" s="549"/>
    </row>
    <row r="32" spans="1:39" ht="67.2" thickBot="1" x14ac:dyDescent="0.5">
      <c r="A32" s="341">
        <v>18</v>
      </c>
      <c r="B32" s="334"/>
      <c r="C32" s="342" t="s">
        <v>140</v>
      </c>
      <c r="D32" s="341"/>
      <c r="E32" s="341"/>
      <c r="F32" s="631" t="s">
        <v>217</v>
      </c>
      <c r="G32" s="632"/>
      <c r="H32" s="632"/>
      <c r="I32" s="632"/>
      <c r="J32" s="633"/>
      <c r="K32" s="437">
        <f>SUM(K29:K31)</f>
        <v>2090</v>
      </c>
      <c r="L32" s="437">
        <f>SUM(L29:L31)</f>
        <v>156.75</v>
      </c>
      <c r="M32" s="437">
        <f>SUM(M29:M31)</f>
        <v>545.28429849633426</v>
      </c>
      <c r="N32" s="438">
        <f>SUM(N29:N31)</f>
        <v>2792.034298496334</v>
      </c>
      <c r="Q32" s="634" t="s">
        <v>217</v>
      </c>
      <c r="R32" s="635"/>
      <c r="S32" s="636"/>
      <c r="T32" s="439">
        <f>SUM(T29:T31)</f>
        <v>700</v>
      </c>
      <c r="U32" s="440">
        <f>SUM(U29:U31)</f>
        <v>1390</v>
      </c>
      <c r="V32" s="441"/>
      <c r="W32" s="442"/>
      <c r="X32" s="442">
        <f>SUM(X29:X31)</f>
        <v>700</v>
      </c>
      <c r="Y32" s="443">
        <f>IF(Q32&lt;&gt;"",X32+M32,"")</f>
        <v>1245.2842984963343</v>
      </c>
      <c r="Z32" s="422"/>
      <c r="AA32" s="423"/>
      <c r="AK32" s="489"/>
      <c r="AL32" s="549"/>
    </row>
    <row r="33" spans="1:39" ht="45" thickBot="1" x14ac:dyDescent="0.5">
      <c r="A33" s="358">
        <v>19</v>
      </c>
      <c r="B33" s="444"/>
      <c r="C33" s="359" t="s">
        <v>156</v>
      </c>
      <c r="D33" s="358"/>
      <c r="E33" s="358"/>
      <c r="F33" s="135" t="s">
        <v>157</v>
      </c>
      <c r="G33" s="136"/>
      <c r="H33" s="136"/>
      <c r="I33" s="136"/>
      <c r="J33" s="136"/>
      <c r="K33" s="134">
        <f>SUM(K17:K17)+SUM(K20:K26)+SUM(K29:K31)</f>
        <v>18235.75</v>
      </c>
      <c r="L33" s="134">
        <f>SUM(L17:L17)+SUM(L20:L26)+SUM(L29:L31)</f>
        <v>1367.6812500000001</v>
      </c>
      <c r="M33" s="134">
        <f>SUM(M17:M17)+SUM(M20:M26)+SUM(M29:M31)</f>
        <v>4757.7359551696309</v>
      </c>
      <c r="N33" s="253">
        <f>SUM(N17:N17)+SUM(N20:N26)+SUM(N29:N31)</f>
        <v>24361.167205169626</v>
      </c>
      <c r="Q33" s="135" t="s">
        <v>43</v>
      </c>
      <c r="R33" s="136"/>
      <c r="S33" s="136"/>
      <c r="T33" s="134">
        <f>SUM(T17:T17)+SUM(T20:T26)+SUM(T29:T31)</f>
        <v>10100</v>
      </c>
      <c r="U33" s="134">
        <f>SUM(U17:U17)+SUM(U20:U26)+SUM(U29:U31)</f>
        <v>8135.75</v>
      </c>
      <c r="V33" s="136"/>
      <c r="W33" s="136"/>
      <c r="X33" s="134">
        <f>SUM(X17:X17)+SUM(X20:X26)+SUM(X29:X31)</f>
        <v>10100</v>
      </c>
      <c r="Y33" s="137">
        <f>SUM(Y17:Y17)+SUM(Y20:Y26)+SUM(Y29:Y31)</f>
        <v>14857.73595516963</v>
      </c>
      <c r="Z33" s="142">
        <f>IF(Q33&lt;&gt;"",(N33-Y33)/N33,"")</f>
        <v>0.3901057437011185</v>
      </c>
      <c r="AA33" s="423" t="str">
        <f>IFERROR(T33/#REF!, "")</f>
        <v/>
      </c>
      <c r="AK33" s="489">
        <f>SUM(AK17:AK32)</f>
        <v>0</v>
      </c>
      <c r="AL33" s="549">
        <f>SUM(AL17:AL32)</f>
        <v>10100</v>
      </c>
    </row>
    <row r="34" spans="1:39" x14ac:dyDescent="0.4">
      <c r="AL34" s="292"/>
    </row>
    <row r="35" spans="1:39" x14ac:dyDescent="0.4">
      <c r="AL35" s="547">
        <f>AL33</f>
        <v>10100</v>
      </c>
      <c r="AM35" s="285" t="s">
        <v>181</v>
      </c>
    </row>
    <row r="36" spans="1:39" x14ac:dyDescent="0.4">
      <c r="AL36" s="547">
        <f>N33-X33</f>
        <v>14261.167205169626</v>
      </c>
      <c r="AM36" s="285" t="s">
        <v>318</v>
      </c>
    </row>
    <row r="37" spans="1:39" x14ac:dyDescent="0.4">
      <c r="AL37" s="548">
        <f>AL36*100%/N33</f>
        <v>0.58540574370111864</v>
      </c>
    </row>
  </sheetData>
  <mergeCells count="23">
    <mergeCell ref="F28:K28"/>
    <mergeCell ref="Q28:Y28"/>
    <mergeCell ref="F32:J32"/>
    <mergeCell ref="Q32:S32"/>
    <mergeCell ref="F19:K19"/>
    <mergeCell ref="Q19:Y19"/>
    <mergeCell ref="F27:J27"/>
    <mergeCell ref="Q27:S27"/>
    <mergeCell ref="AK12:AL12"/>
    <mergeCell ref="F15:N15"/>
    <mergeCell ref="Q15:Y15"/>
    <mergeCell ref="F16:K16"/>
    <mergeCell ref="Q16:Y16"/>
    <mergeCell ref="AK14:AK16"/>
    <mergeCell ref="AL14:AL16"/>
    <mergeCell ref="F18:J18"/>
    <mergeCell ref="Q18:S18"/>
    <mergeCell ref="AG12:AH12"/>
    <mergeCell ref="F1:G1"/>
    <mergeCell ref="F2:G2"/>
    <mergeCell ref="Q12:T12"/>
    <mergeCell ref="U12:X12"/>
    <mergeCell ref="AC12:AE12"/>
  </mergeCells>
  <dataValidations count="3">
    <dataValidation type="list" allowBlank="1" showInputMessage="1" showErrorMessage="1" sqref="E33" xr:uid="{BF02307B-24F1-4CE0-9A65-9EF53189F832}">
      <formula1>"FAT.OGGI,FAT.CLIENTE "</formula1>
    </dataValidation>
    <dataValidation type="list" allowBlank="1" showInputMessage="1" showErrorMessage="1" sqref="E17 E20:E26 E29:E32" xr:uid="{7E850536-E1D9-4711-BA8B-0489BD9C53CA}">
      <formula1>"FAT.OGGI,FAT.CLIENTE"</formula1>
    </dataValidation>
    <dataValidation type="list" allowBlank="1" showInputMessage="1" showErrorMessage="1" sqref="D17 D20:D26 D29:D33" xr:uid="{9EAA71A1-CFD4-4ED4-ACF3-4AA866C17D6B}">
      <formula1>"INTERNO,OPERACIONAL"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360" verticalDpi="36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05C931-E167-4622-BA4D-022BB414A7E7}">
  <sheetPr codeName="Planilha15">
    <pageSetUpPr autoPageBreaks="0"/>
  </sheetPr>
  <dimension ref="A1:AM75"/>
  <sheetViews>
    <sheetView showGridLines="0" zoomScale="90" zoomScaleNormal="90" workbookViewId="0">
      <pane ySplit="1" topLeftCell="A48" activePane="bottomLeft" state="frozen"/>
      <selection pane="bottomLeft" activeCell="BA54" sqref="BA54"/>
    </sheetView>
  </sheetViews>
  <sheetFormatPr defaultColWidth="8.77734375" defaultRowHeight="15.6" x14ac:dyDescent="0.3"/>
  <cols>
    <col min="1" max="1" width="9.5546875" style="494" hidden="1" customWidth="1"/>
    <col min="2" max="2" width="6.77734375" style="494" customWidth="1"/>
    <col min="3" max="3" width="16" style="494" hidden="1" customWidth="1"/>
    <col min="4" max="4" width="22.5546875" style="494" hidden="1" customWidth="1"/>
    <col min="5" max="5" width="18.77734375" style="494" hidden="1" customWidth="1"/>
    <col min="6" max="6" width="23.21875" style="494" customWidth="1"/>
    <col min="7" max="7" width="105.44140625" style="494" customWidth="1"/>
    <col min="8" max="8" width="5" style="494" bestFit="1" customWidth="1"/>
    <col min="9" max="9" width="7.77734375" style="494" bestFit="1" customWidth="1"/>
    <col min="10" max="10" width="16.44140625" style="494" bestFit="1" customWidth="1"/>
    <col min="11" max="11" width="26.77734375" style="494" bestFit="1" customWidth="1"/>
    <col min="12" max="12" width="24.77734375" style="494" bestFit="1" customWidth="1"/>
    <col min="13" max="13" width="26.77734375" style="494" bestFit="1" customWidth="1"/>
    <col min="14" max="14" width="22.21875" style="494" customWidth="1"/>
    <col min="15" max="15" width="3.21875" style="494" hidden="1" customWidth="1"/>
    <col min="16" max="16" width="1.77734375" style="494" hidden="1" customWidth="1"/>
    <col min="17" max="17" width="8.5546875" style="495" customWidth="1"/>
    <col min="18" max="18" width="8.5546875" style="495" hidden="1" customWidth="1"/>
    <col min="19" max="19" width="16.44140625" style="494" hidden="1" customWidth="1"/>
    <col min="20" max="20" width="24.21875" style="494" bestFit="1" customWidth="1"/>
    <col min="21" max="21" width="24.77734375" style="494" hidden="1" customWidth="1"/>
    <col min="22" max="22" width="9.77734375" style="494" hidden="1" customWidth="1"/>
    <col min="23" max="23" width="16.21875" style="494" hidden="1" customWidth="1"/>
    <col min="24" max="24" width="27.21875" style="494" bestFit="1" customWidth="1"/>
    <col min="25" max="25" width="26.77734375" style="494" hidden="1" customWidth="1"/>
    <col min="26" max="26" width="14.77734375" style="494" hidden="1" customWidth="1"/>
    <col min="27" max="27" width="24.77734375" style="494" hidden="1" customWidth="1"/>
    <col min="28" max="28" width="38.21875" style="494" hidden="1" customWidth="1"/>
    <col min="29" max="29" width="14.21875" style="494" hidden="1" customWidth="1"/>
    <col min="30" max="30" width="7.77734375" style="494" hidden="1" customWidth="1"/>
    <col min="31" max="31" width="6.77734375" style="494" hidden="1" customWidth="1"/>
    <col min="32" max="32" width="1.21875" style="494" hidden="1" customWidth="1"/>
    <col min="33" max="33" width="14" style="494" hidden="1" customWidth="1"/>
    <col min="34" max="34" width="11.77734375" style="494" hidden="1" customWidth="1"/>
    <col min="35" max="35" width="6.21875" style="494" hidden="1" customWidth="1"/>
    <col min="36" max="36" width="12.77734375" style="494" hidden="1" customWidth="1"/>
    <col min="37" max="37" width="18.88671875" style="494" bestFit="1" customWidth="1"/>
    <col min="38" max="38" width="19.21875" style="494" customWidth="1"/>
    <col min="39" max="39" width="8.77734375" style="494"/>
    <col min="40" max="40" width="21.21875" style="494" customWidth="1"/>
    <col min="41" max="16384" width="8.77734375" style="494"/>
  </cols>
  <sheetData>
    <row r="1" spans="1:38" ht="49.5" customHeight="1" x14ac:dyDescent="0.3">
      <c r="B1" s="43"/>
      <c r="C1" s="44"/>
      <c r="D1" s="44"/>
      <c r="F1" s="663" t="s">
        <v>120</v>
      </c>
      <c r="G1" s="663"/>
    </row>
    <row r="2" spans="1:38" ht="24.75" customHeight="1" x14ac:dyDescent="0.3">
      <c r="B2" s="495"/>
      <c r="D2" s="44"/>
      <c r="F2" s="664" t="s">
        <v>0</v>
      </c>
      <c r="G2" s="664"/>
    </row>
    <row r="3" spans="1:38" ht="16.2" x14ac:dyDescent="0.3">
      <c r="B3" s="496"/>
      <c r="F3" s="497"/>
      <c r="G3" s="497"/>
    </row>
    <row r="4" spans="1:38" ht="16.2" x14ac:dyDescent="0.3">
      <c r="F4" s="471" t="s">
        <v>326</v>
      </c>
      <c r="G4" s="470" t="s">
        <v>167</v>
      </c>
    </row>
    <row r="5" spans="1:38" ht="16.2" x14ac:dyDescent="0.3">
      <c r="F5" s="465" t="s">
        <v>325</v>
      </c>
      <c r="G5" s="469" t="s">
        <v>160</v>
      </c>
    </row>
    <row r="6" spans="1:38" ht="16.2" x14ac:dyDescent="0.3">
      <c r="D6" s="494" t="s">
        <v>107</v>
      </c>
      <c r="F6" s="465" t="s">
        <v>324</v>
      </c>
      <c r="G6" s="464" t="s">
        <v>161</v>
      </c>
    </row>
    <row r="7" spans="1:38" ht="21.75" customHeight="1" x14ac:dyDescent="0.3">
      <c r="F7" s="465" t="s">
        <v>323</v>
      </c>
      <c r="G7" s="464" t="s">
        <v>162</v>
      </c>
      <c r="J7" s="494" t="s">
        <v>119</v>
      </c>
    </row>
    <row r="8" spans="1:38" ht="16.2" x14ac:dyDescent="0.3">
      <c r="F8" s="465" t="s">
        <v>322</v>
      </c>
      <c r="G8" s="467" t="s">
        <v>163</v>
      </c>
    </row>
    <row r="9" spans="1:38" ht="16.2" x14ac:dyDescent="0.3">
      <c r="F9" s="465" t="s">
        <v>321</v>
      </c>
      <c r="G9" s="464" t="s">
        <v>164</v>
      </c>
      <c r="J9" s="494" t="s">
        <v>107</v>
      </c>
    </row>
    <row r="10" spans="1:38" ht="27" customHeight="1" x14ac:dyDescent="0.3">
      <c r="F10" s="465" t="s">
        <v>320</v>
      </c>
      <c r="G10" s="464" t="s">
        <v>165</v>
      </c>
    </row>
    <row r="11" spans="1:38" ht="16.8" thickBot="1" x14ac:dyDescent="0.35">
      <c r="F11" s="463" t="s">
        <v>319</v>
      </c>
      <c r="G11" s="462" t="s">
        <v>166</v>
      </c>
    </row>
    <row r="12" spans="1:38" ht="18.600000000000001" thickBot="1" x14ac:dyDescent="0.35">
      <c r="B12" s="498"/>
      <c r="M12" s="499"/>
      <c r="Q12" s="578" t="s">
        <v>1</v>
      </c>
      <c r="R12" s="579"/>
      <c r="S12" s="579"/>
      <c r="T12" s="580"/>
      <c r="U12" s="581" t="s">
        <v>2</v>
      </c>
      <c r="V12" s="582"/>
      <c r="W12" s="582"/>
      <c r="X12" s="583"/>
      <c r="Y12" s="28" t="s">
        <v>56</v>
      </c>
      <c r="Z12" s="500">
        <f>(1/(1-M14))-1</f>
        <v>0.24269914253759173</v>
      </c>
      <c r="AC12" s="557" t="s">
        <v>3</v>
      </c>
      <c r="AD12" s="558"/>
      <c r="AE12" s="559"/>
      <c r="AG12" s="555" t="s">
        <v>58</v>
      </c>
      <c r="AH12" s="556"/>
      <c r="AJ12" s="33" t="s">
        <v>60</v>
      </c>
      <c r="AK12" s="649" t="s">
        <v>59</v>
      </c>
      <c r="AL12" s="650"/>
    </row>
    <row r="13" spans="1:38" ht="18.600000000000001" thickBot="1" x14ac:dyDescent="0.4">
      <c r="A13" s="501" t="s">
        <v>4</v>
      </c>
      <c r="B13" s="502" t="s">
        <v>5</v>
      </c>
      <c r="C13" s="501" t="s">
        <v>6</v>
      </c>
      <c r="D13" s="501" t="s">
        <v>7</v>
      </c>
      <c r="E13" s="501" t="s">
        <v>8</v>
      </c>
      <c r="M13" s="503">
        <v>0.80469999999999997</v>
      </c>
      <c r="AK13" s="541"/>
      <c r="AL13" s="541"/>
    </row>
    <row r="14" spans="1:38" ht="33" thickBot="1" x14ac:dyDescent="0.35">
      <c r="A14" s="47">
        <v>0</v>
      </c>
      <c r="B14" s="48"/>
      <c r="C14" s="49"/>
      <c r="D14" s="46"/>
      <c r="E14" s="46"/>
      <c r="F14" s="173" t="s">
        <v>84</v>
      </c>
      <c r="G14" s="174" t="s">
        <v>85</v>
      </c>
      <c r="H14" s="175" t="s">
        <v>86</v>
      </c>
      <c r="I14" s="175" t="s">
        <v>87</v>
      </c>
      <c r="J14" s="176" t="s">
        <v>88</v>
      </c>
      <c r="K14" s="177" t="s">
        <v>9</v>
      </c>
      <c r="L14" s="178">
        <v>0.05</v>
      </c>
      <c r="M14" s="179">
        <f>1-M13</f>
        <v>0.19530000000000003</v>
      </c>
      <c r="N14" s="180" t="s">
        <v>82</v>
      </c>
      <c r="Q14" s="189" t="s">
        <v>89</v>
      </c>
      <c r="R14" s="190" t="s">
        <v>90</v>
      </c>
      <c r="S14" s="191" t="s">
        <v>91</v>
      </c>
      <c r="T14" s="192" t="s">
        <v>92</v>
      </c>
      <c r="U14" s="193" t="s">
        <v>93</v>
      </c>
      <c r="V14" s="194" t="s">
        <v>94</v>
      </c>
      <c r="W14" s="195" t="s">
        <v>95</v>
      </c>
      <c r="X14" s="195" t="s">
        <v>96</v>
      </c>
      <c r="Y14" s="196" t="s">
        <v>97</v>
      </c>
      <c r="Z14" s="50" t="s">
        <v>98</v>
      </c>
      <c r="AA14" s="51" t="s">
        <v>83</v>
      </c>
      <c r="AC14" s="52" t="s">
        <v>99</v>
      </c>
      <c r="AD14" s="53" t="s">
        <v>100</v>
      </c>
      <c r="AE14" s="53" t="s">
        <v>33</v>
      </c>
      <c r="AG14" s="54" t="s">
        <v>101</v>
      </c>
      <c r="AH14" s="55" t="s">
        <v>102</v>
      </c>
      <c r="AK14" s="657" t="s">
        <v>103</v>
      </c>
      <c r="AL14" s="660" t="s">
        <v>104</v>
      </c>
    </row>
    <row r="15" spans="1:38" ht="16.2" x14ac:dyDescent="0.35">
      <c r="A15" s="46">
        <v>1</v>
      </c>
      <c r="B15" s="81">
        <v>1</v>
      </c>
      <c r="C15" s="80" t="s">
        <v>129</v>
      </c>
      <c r="D15" s="46"/>
      <c r="E15" s="46"/>
      <c r="F15" s="651"/>
      <c r="G15" s="652"/>
      <c r="H15" s="652"/>
      <c r="I15" s="652"/>
      <c r="J15" s="652"/>
      <c r="K15" s="652"/>
      <c r="L15" s="652"/>
      <c r="M15" s="652"/>
      <c r="N15" s="653"/>
      <c r="Q15" s="651" t="str">
        <f>IF(F15&lt;&gt;"",F15,"")</f>
        <v/>
      </c>
      <c r="R15" s="652"/>
      <c r="S15" s="652"/>
      <c r="T15" s="652"/>
      <c r="U15" s="652"/>
      <c r="V15" s="652"/>
      <c r="W15" s="652"/>
      <c r="X15" s="652"/>
      <c r="Y15" s="653"/>
      <c r="AK15" s="658"/>
      <c r="AL15" s="661"/>
    </row>
    <row r="16" spans="1:38" ht="16.2" x14ac:dyDescent="0.35">
      <c r="A16" s="46">
        <v>2</v>
      </c>
      <c r="B16" s="81" t="s">
        <v>131</v>
      </c>
      <c r="C16" s="80" t="s">
        <v>130</v>
      </c>
      <c r="D16" s="46"/>
      <c r="E16" s="46"/>
      <c r="F16" s="642" t="s">
        <v>146</v>
      </c>
      <c r="G16" s="643"/>
      <c r="H16" s="643"/>
      <c r="I16" s="643"/>
      <c r="J16" s="643"/>
      <c r="K16" s="643"/>
      <c r="L16" s="168" t="s">
        <v>132</v>
      </c>
      <c r="M16" s="168" t="s">
        <v>133</v>
      </c>
      <c r="N16" s="181" t="s">
        <v>82</v>
      </c>
      <c r="Q16" s="654" t="str">
        <f>IF(F16&lt;&gt;"",F16,"")</f>
        <v>BOURBON ATIBAIA - Período de 13 a 16/01</v>
      </c>
      <c r="R16" s="655"/>
      <c r="S16" s="655"/>
      <c r="T16" s="655"/>
      <c r="U16" s="655"/>
      <c r="V16" s="655"/>
      <c r="W16" s="655"/>
      <c r="X16" s="655"/>
      <c r="Y16" s="656"/>
      <c r="Z16" s="504" t="s">
        <v>134</v>
      </c>
      <c r="AA16" s="505" t="s">
        <v>83</v>
      </c>
      <c r="AK16" s="659"/>
      <c r="AL16" s="662"/>
    </row>
    <row r="17" spans="1:38" s="506" customFormat="1" ht="32.4" x14ac:dyDescent="0.3">
      <c r="A17" s="46">
        <v>3</v>
      </c>
      <c r="B17" s="81" t="s">
        <v>136</v>
      </c>
      <c r="C17" s="80" t="s">
        <v>135</v>
      </c>
      <c r="D17" s="46" t="s">
        <v>138</v>
      </c>
      <c r="E17" s="46" t="s">
        <v>139</v>
      </c>
      <c r="F17" s="211" t="s">
        <v>147</v>
      </c>
      <c r="G17" s="212" t="s">
        <v>296</v>
      </c>
      <c r="H17" s="248">
        <v>1</v>
      </c>
      <c r="I17" s="131">
        <v>4</v>
      </c>
      <c r="J17" s="250">
        <v>975</v>
      </c>
      <c r="K17" s="251">
        <f t="shared" ref="K17:K23" si="0">IF(F17&lt;&gt;"",H17*I17*J17,"")</f>
        <v>3900</v>
      </c>
      <c r="L17" s="219">
        <f t="shared" ref="L17:L23" si="1">IF(K17&lt;&gt;"",IF(D17="INTERNO",0,K17*$L$14),"")</f>
        <v>195</v>
      </c>
      <c r="M17" s="219">
        <f t="shared" ref="M17:M23" si="2">IF(K17&lt;&gt;"",IF(E17="FAT.OGGI",SUM(K17:L17)*(1/(1-$M$14)-1),L17*(1/(1-$M$14)-1)),0)</f>
        <v>47.326332794830385</v>
      </c>
      <c r="N17" s="220">
        <f t="shared" ref="N17:N23" si="3">SUM(K17:M17)</f>
        <v>4142.3263327948307</v>
      </c>
      <c r="Q17" s="216">
        <f t="shared" ref="Q17:R20" si="4">IF(H17&lt;&gt;"",H17,"")</f>
        <v>1</v>
      </c>
      <c r="R17" s="126">
        <f t="shared" si="4"/>
        <v>4</v>
      </c>
      <c r="S17" s="214">
        <v>975</v>
      </c>
      <c r="T17" s="127"/>
      <c r="U17" s="128">
        <f t="shared" ref="U17:U23" si="5">IF(Q17&lt;&gt;"",K17-T17,"")</f>
        <v>3900</v>
      </c>
      <c r="V17" s="130">
        <f t="shared" ref="V17:V23" si="6">IF(Q17&lt;&gt;"",0%,"")</f>
        <v>0</v>
      </c>
      <c r="W17" s="129">
        <f t="shared" ref="W17:W23" si="7">IF(Q17&lt;&gt;"",V17*U17,"")</f>
        <v>0</v>
      </c>
      <c r="X17" s="129">
        <f t="shared" ref="X17:X23" si="8">IF(Q17&lt;&gt;"",W17+T17,"")</f>
        <v>0</v>
      </c>
      <c r="Y17" s="159">
        <f t="shared" ref="Y17:Y23" si="9">IF(Q17&lt;&gt;"",X17+M17,"")</f>
        <v>47.326332794830385</v>
      </c>
      <c r="Z17" s="101">
        <f t="shared" ref="Z17:Z23" si="10">IF(Q17&lt;&gt;"", IFERROR(U17/K17, 0), 0)</f>
        <v>1</v>
      </c>
      <c r="AA17" s="273">
        <f>IFERROR(T17/$T$25, "")</f>
        <v>0</v>
      </c>
      <c r="AK17" s="493">
        <f>X17-AL17</f>
        <v>0</v>
      </c>
      <c r="AL17" s="550"/>
    </row>
    <row r="18" spans="1:38" s="506" customFormat="1" ht="32.4" x14ac:dyDescent="0.3">
      <c r="A18" s="104">
        <v>6</v>
      </c>
      <c r="B18" s="81" t="s">
        <v>171</v>
      </c>
      <c r="C18" s="109" t="s">
        <v>135</v>
      </c>
      <c r="D18" s="104" t="s">
        <v>138</v>
      </c>
      <c r="E18" s="104" t="s">
        <v>139</v>
      </c>
      <c r="F18" s="211" t="s">
        <v>147</v>
      </c>
      <c r="G18" s="254" t="s">
        <v>300</v>
      </c>
      <c r="H18" s="248">
        <v>1</v>
      </c>
      <c r="I18" s="131">
        <v>1</v>
      </c>
      <c r="J18" s="250">
        <v>975</v>
      </c>
      <c r="K18" s="252">
        <f t="shared" si="0"/>
        <v>975</v>
      </c>
      <c r="L18" s="83">
        <f t="shared" si="1"/>
        <v>48.75</v>
      </c>
      <c r="M18" s="83">
        <f t="shared" si="2"/>
        <v>11.831583198707596</v>
      </c>
      <c r="N18" s="158">
        <f t="shared" si="3"/>
        <v>1035.5815831987077</v>
      </c>
      <c r="Q18" s="205">
        <f>IF(H18&lt;&gt;"",H18,"")</f>
        <v>1</v>
      </c>
      <c r="R18" s="206">
        <f>IF(I18&lt;&gt;"",I18,"")</f>
        <v>1</v>
      </c>
      <c r="S18" s="213">
        <v>975</v>
      </c>
      <c r="T18" s="207"/>
      <c r="U18" s="208">
        <f t="shared" si="5"/>
        <v>975</v>
      </c>
      <c r="V18" s="209">
        <f t="shared" si="6"/>
        <v>0</v>
      </c>
      <c r="W18" s="210">
        <f t="shared" si="7"/>
        <v>0</v>
      </c>
      <c r="X18" s="210">
        <f t="shared" si="8"/>
        <v>0</v>
      </c>
      <c r="Y18" s="119">
        <f t="shared" si="9"/>
        <v>11.831583198707596</v>
      </c>
      <c r="Z18" s="272">
        <f t="shared" si="10"/>
        <v>1</v>
      </c>
      <c r="AA18" s="273">
        <f>IFERROR(T18/$T$25, "")</f>
        <v>0</v>
      </c>
      <c r="AK18" s="493">
        <f t="shared" ref="AK18:AK71" si="11">X18-AL18</f>
        <v>0</v>
      </c>
      <c r="AL18" s="550"/>
    </row>
    <row r="19" spans="1:38" s="506" customFormat="1" ht="32.4" x14ac:dyDescent="0.3">
      <c r="A19" s="46">
        <v>4</v>
      </c>
      <c r="B19" s="81" t="s">
        <v>105</v>
      </c>
      <c r="C19" s="80" t="s">
        <v>135</v>
      </c>
      <c r="D19" s="46" t="s">
        <v>138</v>
      </c>
      <c r="E19" s="46" t="s">
        <v>139</v>
      </c>
      <c r="F19" s="211" t="s">
        <v>147</v>
      </c>
      <c r="G19" s="212" t="s">
        <v>297</v>
      </c>
      <c r="H19" s="248">
        <v>1</v>
      </c>
      <c r="I19" s="131">
        <v>3</v>
      </c>
      <c r="J19" s="250">
        <v>975</v>
      </c>
      <c r="K19" s="251">
        <f t="shared" si="0"/>
        <v>2925</v>
      </c>
      <c r="L19" s="219">
        <f t="shared" si="1"/>
        <v>146.25</v>
      </c>
      <c r="M19" s="219">
        <f t="shared" si="2"/>
        <v>35.494749596122787</v>
      </c>
      <c r="N19" s="220">
        <f t="shared" si="3"/>
        <v>3106.7447495961228</v>
      </c>
      <c r="Q19" s="111">
        <f t="shared" si="4"/>
        <v>1</v>
      </c>
      <c r="R19" s="106">
        <f t="shared" si="4"/>
        <v>3</v>
      </c>
      <c r="S19" s="221">
        <v>975</v>
      </c>
      <c r="T19" s="88"/>
      <c r="U19" s="89">
        <f t="shared" si="5"/>
        <v>2925</v>
      </c>
      <c r="V19" s="90">
        <f t="shared" si="6"/>
        <v>0</v>
      </c>
      <c r="W19" s="91">
        <f t="shared" si="7"/>
        <v>0</v>
      </c>
      <c r="X19" s="91">
        <f t="shared" si="8"/>
        <v>0</v>
      </c>
      <c r="Y19" s="102">
        <f t="shared" si="9"/>
        <v>35.494749596122787</v>
      </c>
      <c r="Z19" s="101">
        <f t="shared" si="10"/>
        <v>1</v>
      </c>
      <c r="AA19" s="273">
        <f t="shared" ref="AA19:AA24" si="12">IFERROR(T19/$T$25, "")</f>
        <v>0</v>
      </c>
      <c r="AK19" s="493">
        <f t="shared" si="11"/>
        <v>0</v>
      </c>
      <c r="AL19" s="550"/>
    </row>
    <row r="20" spans="1:38" s="506" customFormat="1" ht="32.4" x14ac:dyDescent="0.3">
      <c r="A20" s="77">
        <v>5</v>
      </c>
      <c r="B20" s="81" t="s">
        <v>170</v>
      </c>
      <c r="C20" s="79" t="s">
        <v>135</v>
      </c>
      <c r="D20" s="46" t="s">
        <v>138</v>
      </c>
      <c r="E20" s="46" t="s">
        <v>139</v>
      </c>
      <c r="F20" s="211" t="s">
        <v>147</v>
      </c>
      <c r="G20" s="212" t="s">
        <v>298</v>
      </c>
      <c r="H20" s="248">
        <v>1</v>
      </c>
      <c r="I20" s="131">
        <v>3</v>
      </c>
      <c r="J20" s="250">
        <v>975</v>
      </c>
      <c r="K20" s="251">
        <f t="shared" si="0"/>
        <v>2925</v>
      </c>
      <c r="L20" s="219">
        <f t="shared" si="1"/>
        <v>146.25</v>
      </c>
      <c r="M20" s="219">
        <f t="shared" si="2"/>
        <v>35.494749596122787</v>
      </c>
      <c r="N20" s="220">
        <f t="shared" si="3"/>
        <v>3106.7447495961228</v>
      </c>
      <c r="Q20" s="216">
        <f t="shared" si="4"/>
        <v>1</v>
      </c>
      <c r="R20" s="126">
        <f t="shared" si="4"/>
        <v>3</v>
      </c>
      <c r="S20" s="214">
        <v>975</v>
      </c>
      <c r="T20" s="127"/>
      <c r="U20" s="128">
        <f t="shared" si="5"/>
        <v>2925</v>
      </c>
      <c r="V20" s="130">
        <f t="shared" si="6"/>
        <v>0</v>
      </c>
      <c r="W20" s="129">
        <f t="shared" si="7"/>
        <v>0</v>
      </c>
      <c r="X20" s="129">
        <f t="shared" si="8"/>
        <v>0</v>
      </c>
      <c r="Y20" s="159">
        <f t="shared" si="9"/>
        <v>35.494749596122787</v>
      </c>
      <c r="Z20" s="101">
        <f t="shared" si="10"/>
        <v>1</v>
      </c>
      <c r="AA20" s="273">
        <f t="shared" si="12"/>
        <v>0</v>
      </c>
      <c r="AK20" s="493">
        <f t="shared" si="11"/>
        <v>0</v>
      </c>
      <c r="AL20" s="550"/>
    </row>
    <row r="21" spans="1:38" s="506" customFormat="1" ht="32.4" x14ac:dyDescent="0.3">
      <c r="A21" s="77">
        <v>5</v>
      </c>
      <c r="B21" s="81" t="s">
        <v>170</v>
      </c>
      <c r="C21" s="79" t="s">
        <v>135</v>
      </c>
      <c r="D21" s="46" t="s">
        <v>138</v>
      </c>
      <c r="E21" s="46" t="s">
        <v>139</v>
      </c>
      <c r="F21" s="211" t="s">
        <v>147</v>
      </c>
      <c r="G21" s="254" t="s">
        <v>299</v>
      </c>
      <c r="H21" s="248">
        <v>1</v>
      </c>
      <c r="I21" s="131">
        <v>1</v>
      </c>
      <c r="J21" s="250">
        <v>975</v>
      </c>
      <c r="K21" s="251">
        <f t="shared" si="0"/>
        <v>975</v>
      </c>
      <c r="L21" s="219">
        <f t="shared" si="1"/>
        <v>48.75</v>
      </c>
      <c r="M21" s="219">
        <f t="shared" si="2"/>
        <v>11.831583198707596</v>
      </c>
      <c r="N21" s="220">
        <f t="shared" si="3"/>
        <v>1035.5815831987077</v>
      </c>
      <c r="Q21" s="216">
        <f t="shared" ref="Q21" si="13">IF(H21&lt;&gt;"",H21,"")</f>
        <v>1</v>
      </c>
      <c r="R21" s="126">
        <f t="shared" ref="R21" si="14">IF(I21&lt;&gt;"",I21,"")</f>
        <v>1</v>
      </c>
      <c r="S21" s="214">
        <v>975</v>
      </c>
      <c r="T21" s="127"/>
      <c r="U21" s="128">
        <f t="shared" si="5"/>
        <v>975</v>
      </c>
      <c r="V21" s="130">
        <f t="shared" si="6"/>
        <v>0</v>
      </c>
      <c r="W21" s="129">
        <f t="shared" si="7"/>
        <v>0</v>
      </c>
      <c r="X21" s="129">
        <f t="shared" si="8"/>
        <v>0</v>
      </c>
      <c r="Y21" s="159">
        <f t="shared" si="9"/>
        <v>11.831583198707596</v>
      </c>
      <c r="Z21" s="101">
        <f t="shared" si="10"/>
        <v>1</v>
      </c>
      <c r="AA21" s="273">
        <f t="shared" si="12"/>
        <v>0</v>
      </c>
      <c r="AK21" s="493">
        <f t="shared" si="11"/>
        <v>0</v>
      </c>
      <c r="AL21" s="550"/>
    </row>
    <row r="22" spans="1:38" s="506" customFormat="1" ht="32.4" x14ac:dyDescent="0.3">
      <c r="A22" s="77">
        <v>5</v>
      </c>
      <c r="B22" s="81" t="s">
        <v>170</v>
      </c>
      <c r="C22" s="79" t="s">
        <v>135</v>
      </c>
      <c r="D22" s="46" t="s">
        <v>138</v>
      </c>
      <c r="E22" s="46" t="s">
        <v>139</v>
      </c>
      <c r="F22" s="211" t="s">
        <v>147</v>
      </c>
      <c r="G22" s="212" t="s">
        <v>301</v>
      </c>
      <c r="H22" s="248">
        <v>1</v>
      </c>
      <c r="I22" s="131">
        <v>2</v>
      </c>
      <c r="J22" s="250">
        <v>1107</v>
      </c>
      <c r="K22" s="251">
        <f t="shared" si="0"/>
        <v>2214</v>
      </c>
      <c r="L22" s="219">
        <f t="shared" si="1"/>
        <v>110.7</v>
      </c>
      <c r="M22" s="219">
        <f t="shared" si="2"/>
        <v>26.866795078911405</v>
      </c>
      <c r="N22" s="220">
        <f t="shared" si="3"/>
        <v>2351.5667950789111</v>
      </c>
      <c r="Q22" s="216">
        <f t="shared" ref="Q22" si="15">IF(H22&lt;&gt;"",H22,"")</f>
        <v>1</v>
      </c>
      <c r="R22" s="126">
        <f t="shared" ref="R22" si="16">IF(I22&lt;&gt;"",I22,"")</f>
        <v>2</v>
      </c>
      <c r="S22" s="214">
        <v>1107</v>
      </c>
      <c r="T22" s="127"/>
      <c r="U22" s="128">
        <f t="shared" si="5"/>
        <v>2214</v>
      </c>
      <c r="V22" s="130">
        <f t="shared" si="6"/>
        <v>0</v>
      </c>
      <c r="W22" s="129">
        <f t="shared" si="7"/>
        <v>0</v>
      </c>
      <c r="X22" s="129">
        <f t="shared" si="8"/>
        <v>0</v>
      </c>
      <c r="Y22" s="159">
        <f t="shared" si="9"/>
        <v>26.866795078911405</v>
      </c>
      <c r="Z22" s="101">
        <f t="shared" si="10"/>
        <v>1</v>
      </c>
      <c r="AA22" s="273">
        <f t="shared" si="12"/>
        <v>0</v>
      </c>
      <c r="AK22" s="493">
        <f t="shared" si="11"/>
        <v>0</v>
      </c>
      <c r="AL22" s="550"/>
    </row>
    <row r="23" spans="1:38" s="506" customFormat="1" ht="32.4" x14ac:dyDescent="0.3">
      <c r="A23" s="77">
        <v>7</v>
      </c>
      <c r="B23" s="81" t="s">
        <v>172</v>
      </c>
      <c r="C23" s="79" t="s">
        <v>135</v>
      </c>
      <c r="D23" s="77" t="s">
        <v>138</v>
      </c>
      <c r="E23" s="77" t="s">
        <v>139</v>
      </c>
      <c r="F23" s="211" t="s">
        <v>147</v>
      </c>
      <c r="G23" s="212" t="s">
        <v>302</v>
      </c>
      <c r="H23" s="248">
        <v>19</v>
      </c>
      <c r="I23" s="131">
        <v>3</v>
      </c>
      <c r="J23" s="250">
        <v>1107</v>
      </c>
      <c r="K23" s="252">
        <f t="shared" si="0"/>
        <v>63099</v>
      </c>
      <c r="L23" s="83">
        <f t="shared" si="1"/>
        <v>3154.9500000000003</v>
      </c>
      <c r="M23" s="83">
        <f t="shared" si="2"/>
        <v>765.70365974897504</v>
      </c>
      <c r="N23" s="158">
        <f t="shared" si="3"/>
        <v>67019.653659748976</v>
      </c>
      <c r="Q23" s="216">
        <f>IF(H23&lt;&gt;"",H23,"")</f>
        <v>19</v>
      </c>
      <c r="R23" s="126">
        <f>IF(I23&lt;&gt;"",I23,"")</f>
        <v>3</v>
      </c>
      <c r="S23" s="214">
        <v>1107</v>
      </c>
      <c r="T23" s="127"/>
      <c r="U23" s="128">
        <f t="shared" si="5"/>
        <v>63099</v>
      </c>
      <c r="V23" s="130">
        <f t="shared" si="6"/>
        <v>0</v>
      </c>
      <c r="W23" s="129">
        <f t="shared" si="7"/>
        <v>0</v>
      </c>
      <c r="X23" s="129">
        <f t="shared" si="8"/>
        <v>0</v>
      </c>
      <c r="Y23" s="159">
        <f t="shared" si="9"/>
        <v>765.70365974897504</v>
      </c>
      <c r="Z23" s="101">
        <f t="shared" si="10"/>
        <v>1</v>
      </c>
      <c r="AA23" s="273">
        <f t="shared" si="12"/>
        <v>0</v>
      </c>
      <c r="AK23" s="493">
        <f t="shared" si="11"/>
        <v>0</v>
      </c>
      <c r="AL23" s="550"/>
    </row>
    <row r="24" spans="1:38" s="506" customFormat="1" ht="30.6" customHeight="1" thickBot="1" x14ac:dyDescent="0.35">
      <c r="A24" s="46">
        <v>9</v>
      </c>
      <c r="B24" s="81" t="s">
        <v>173</v>
      </c>
      <c r="C24" s="80" t="s">
        <v>135</v>
      </c>
      <c r="D24" s="46" t="s">
        <v>138</v>
      </c>
      <c r="E24" s="46" t="s">
        <v>139</v>
      </c>
      <c r="F24" s="164" t="s">
        <v>147</v>
      </c>
      <c r="G24" s="108" t="s">
        <v>148</v>
      </c>
      <c r="H24" s="248">
        <v>1</v>
      </c>
      <c r="I24" s="131">
        <v>1</v>
      </c>
      <c r="J24" s="249">
        <f>SUM(K17:K23)*2%</f>
        <v>1540.26</v>
      </c>
      <c r="K24" s="83">
        <f t="shared" ref="K24:K28" si="17">IF(F24&lt;&gt;"",H24*I24*J24,"")</f>
        <v>1540.26</v>
      </c>
      <c r="L24" s="83">
        <f t="shared" ref="L24:L28" si="18">IF(K24&lt;&gt;"",IF(D24="INTERNO",0,K24*$L$14),"")</f>
        <v>77.013000000000005</v>
      </c>
      <c r="M24" s="83">
        <f t="shared" ref="M24:M28" si="19">IF(K24&lt;&gt;"",IF(E24="FAT.OGGI",SUM(K24:L24)*(1/(1-$M$14)-1),L24*(1/(1-$M$14)-1)),0)</f>
        <v>18.690989064247553</v>
      </c>
      <c r="N24" s="158">
        <f t="shared" ref="N24:N28" si="20">SUM(K24:M24)</f>
        <v>1635.9639890642475</v>
      </c>
      <c r="Q24" s="199">
        <f t="shared" ref="Q24:R28" si="21">IF(H24&lt;&gt;"",H24,"")</f>
        <v>1</v>
      </c>
      <c r="R24" s="200">
        <f t="shared" si="21"/>
        <v>1</v>
      </c>
      <c r="S24" s="215">
        <f>J24</f>
        <v>1540.26</v>
      </c>
      <c r="T24" s="201">
        <v>90000</v>
      </c>
      <c r="U24" s="123">
        <f t="shared" ref="U24:U28" si="22">IF(Q24&lt;&gt;"",K24-T24,"")</f>
        <v>-88459.74</v>
      </c>
      <c r="V24" s="124">
        <f t="shared" ref="V24:V28" si="23">IF(Q24&lt;&gt;"",0%,"")</f>
        <v>0</v>
      </c>
      <c r="W24" s="125">
        <f t="shared" ref="W24:W28" si="24">IF(Q24&lt;&gt;"",V24*U24,"")</f>
        <v>0</v>
      </c>
      <c r="X24" s="125">
        <f t="shared" ref="X24:X28" si="25">IF(Q24&lt;&gt;"",W24+T24,"")</f>
        <v>90000</v>
      </c>
      <c r="Y24" s="102">
        <f t="shared" ref="Y24:Y28" si="26">IF(Q24&lt;&gt;"",X24+M24,"")</f>
        <v>90018.690989064242</v>
      </c>
      <c r="Z24" s="101">
        <f t="shared" ref="Z24:Z28" si="27">IF(Q24&lt;&gt;"", IFERROR(U24/K24, 0), 0)</f>
        <v>-57.431693350473303</v>
      </c>
      <c r="AA24" s="273">
        <f t="shared" si="12"/>
        <v>1</v>
      </c>
      <c r="AK24" s="493">
        <f t="shared" si="11"/>
        <v>0</v>
      </c>
      <c r="AL24" s="550">
        <v>90000</v>
      </c>
    </row>
    <row r="25" spans="1:38" ht="25.5" customHeight="1" x14ac:dyDescent="0.35">
      <c r="A25" s="77">
        <v>10</v>
      </c>
      <c r="B25" s="81"/>
      <c r="C25" s="79" t="s">
        <v>140</v>
      </c>
      <c r="D25" s="77"/>
      <c r="E25" s="77"/>
      <c r="F25" s="642" t="s">
        <v>151</v>
      </c>
      <c r="G25" s="643"/>
      <c r="H25" s="643"/>
      <c r="I25" s="643"/>
      <c r="J25" s="643"/>
      <c r="K25" s="507">
        <f>SUM(K17:K24)</f>
        <v>78553.259999999995</v>
      </c>
      <c r="L25" s="507">
        <f>SUM(L17:L24)</f>
        <v>3927.6630000000005</v>
      </c>
      <c r="M25" s="507">
        <f>SUM(M17:M24)</f>
        <v>953.24044227662512</v>
      </c>
      <c r="N25" s="508">
        <f>SUM(N17:N24)</f>
        <v>83434.163442276622</v>
      </c>
      <c r="Q25" s="665" t="s">
        <v>151</v>
      </c>
      <c r="R25" s="666"/>
      <c r="S25" s="666"/>
      <c r="T25" s="509">
        <f>SUM(T17:T24)</f>
        <v>90000</v>
      </c>
      <c r="U25" s="510">
        <f>SUM(U17:U24)</f>
        <v>-11446.740000000005</v>
      </c>
      <c r="V25" s="202"/>
      <c r="W25" s="203"/>
      <c r="X25" s="511">
        <f>SUM(X17:X24)</f>
        <v>90000</v>
      </c>
      <c r="Y25" s="512">
        <f>IF(Q25&lt;&gt;"",X25+M25,"")</f>
        <v>90953.240442276627</v>
      </c>
      <c r="AK25" s="493">
        <f t="shared" si="11"/>
        <v>90000</v>
      </c>
      <c r="AL25" s="551"/>
    </row>
    <row r="26" spans="1:38" ht="18" x14ac:dyDescent="0.35">
      <c r="A26" s="104">
        <v>11</v>
      </c>
      <c r="B26" s="81">
        <v>2</v>
      </c>
      <c r="C26" s="109" t="s">
        <v>129</v>
      </c>
      <c r="D26" s="104"/>
      <c r="E26" s="104"/>
      <c r="F26" s="651"/>
      <c r="G26" s="652"/>
      <c r="H26" s="652"/>
      <c r="I26" s="652"/>
      <c r="J26" s="652"/>
      <c r="K26" s="652"/>
      <c r="L26" s="652"/>
      <c r="M26" s="652"/>
      <c r="N26" s="653"/>
      <c r="Q26" s="669" t="str">
        <f>IF(F26&lt;&gt;"",F26,"")</f>
        <v/>
      </c>
      <c r="R26" s="670"/>
      <c r="S26" s="670"/>
      <c r="T26" s="670"/>
      <c r="U26" s="670"/>
      <c r="V26" s="670"/>
      <c r="W26" s="670"/>
      <c r="X26" s="670"/>
      <c r="Y26" s="671"/>
      <c r="AK26" s="493">
        <f t="shared" si="11"/>
        <v>0</v>
      </c>
      <c r="AL26" s="551"/>
    </row>
    <row r="27" spans="1:38" ht="18" x14ac:dyDescent="0.35">
      <c r="A27" s="46">
        <v>12</v>
      </c>
      <c r="B27" s="81" t="s">
        <v>229</v>
      </c>
      <c r="C27" s="80" t="s">
        <v>130</v>
      </c>
      <c r="D27" s="46"/>
      <c r="E27" s="46"/>
      <c r="F27" s="642"/>
      <c r="G27" s="643"/>
      <c r="H27" s="643"/>
      <c r="I27" s="643"/>
      <c r="J27" s="643"/>
      <c r="K27" s="643"/>
      <c r="L27" s="165" t="s">
        <v>132</v>
      </c>
      <c r="M27" s="165" t="s">
        <v>133</v>
      </c>
      <c r="N27" s="182" t="s">
        <v>82</v>
      </c>
      <c r="Q27" s="672" t="str">
        <f>IF(F27&lt;&gt;"",F27,"")</f>
        <v/>
      </c>
      <c r="R27" s="673"/>
      <c r="S27" s="673"/>
      <c r="T27" s="673"/>
      <c r="U27" s="673"/>
      <c r="V27" s="673"/>
      <c r="W27" s="673"/>
      <c r="X27" s="673"/>
      <c r="Y27" s="674"/>
      <c r="Z27" s="166" t="s">
        <v>134</v>
      </c>
      <c r="AA27" s="167" t="s">
        <v>83</v>
      </c>
      <c r="AK27" s="493">
        <f t="shared" si="11"/>
        <v>0</v>
      </c>
      <c r="AL27" s="551"/>
    </row>
    <row r="28" spans="1:38" ht="18" x14ac:dyDescent="0.35">
      <c r="A28" s="46">
        <v>13</v>
      </c>
      <c r="B28" s="81" t="s">
        <v>230</v>
      </c>
      <c r="C28" s="80" t="s">
        <v>135</v>
      </c>
      <c r="D28" s="46" t="s">
        <v>138</v>
      </c>
      <c r="E28" s="46" t="s">
        <v>139</v>
      </c>
      <c r="F28" s="164" t="s">
        <v>149</v>
      </c>
      <c r="G28" s="122" t="s">
        <v>150</v>
      </c>
      <c r="H28" s="131">
        <v>1</v>
      </c>
      <c r="I28" s="131">
        <v>4</v>
      </c>
      <c r="J28" s="83">
        <v>3763.5</v>
      </c>
      <c r="K28" s="83">
        <f t="shared" si="17"/>
        <v>15054</v>
      </c>
      <c r="L28" s="83">
        <f t="shared" si="18"/>
        <v>752.7</v>
      </c>
      <c r="M28" s="83">
        <f t="shared" si="19"/>
        <v>182.67964458804531</v>
      </c>
      <c r="N28" s="158">
        <f t="shared" si="20"/>
        <v>15989.379644588045</v>
      </c>
      <c r="Q28" s="197">
        <f t="shared" si="21"/>
        <v>1</v>
      </c>
      <c r="R28" s="198">
        <f t="shared" si="21"/>
        <v>4</v>
      </c>
      <c r="S28" s="161">
        <f t="shared" ref="S28" si="28">J28</f>
        <v>3763.5</v>
      </c>
      <c r="T28" s="161"/>
      <c r="U28" s="132">
        <f t="shared" si="22"/>
        <v>15054</v>
      </c>
      <c r="V28" s="133">
        <f t="shared" si="23"/>
        <v>0</v>
      </c>
      <c r="W28" s="84">
        <f t="shared" si="24"/>
        <v>0</v>
      </c>
      <c r="X28" s="84">
        <f t="shared" si="25"/>
        <v>0</v>
      </c>
      <c r="Y28" s="159">
        <f t="shared" si="26"/>
        <v>182.67964458804531</v>
      </c>
      <c r="Z28" s="101">
        <f t="shared" si="27"/>
        <v>1</v>
      </c>
      <c r="AA28" s="85" t="str">
        <f>IFERROR(T28/$T$29, "")</f>
        <v/>
      </c>
      <c r="AK28" s="493">
        <f t="shared" si="11"/>
        <v>0</v>
      </c>
      <c r="AL28" s="551"/>
    </row>
    <row r="29" spans="1:38" ht="25.5" customHeight="1" x14ac:dyDescent="0.35">
      <c r="A29" s="46">
        <v>14</v>
      </c>
      <c r="B29" s="81"/>
      <c r="C29" s="80" t="s">
        <v>140</v>
      </c>
      <c r="D29" s="46"/>
      <c r="E29" s="46"/>
      <c r="F29" s="642" t="s">
        <v>151</v>
      </c>
      <c r="G29" s="643"/>
      <c r="H29" s="643"/>
      <c r="I29" s="643"/>
      <c r="J29" s="643"/>
      <c r="K29" s="513">
        <f>SUM(K28:K28)</f>
        <v>15054</v>
      </c>
      <c r="L29" s="513">
        <f>SUM(L28:L28)</f>
        <v>752.7</v>
      </c>
      <c r="M29" s="513">
        <f>SUM(M28:M28)</f>
        <v>182.67964458804531</v>
      </c>
      <c r="N29" s="514">
        <f>SUM(N28:N28)</f>
        <v>15989.379644588045</v>
      </c>
      <c r="Q29" s="642" t="s">
        <v>151</v>
      </c>
      <c r="R29" s="643"/>
      <c r="S29" s="643"/>
      <c r="T29" s="515">
        <f>SUM(T28:T28)</f>
        <v>0</v>
      </c>
      <c r="U29" s="516">
        <f>SUM(U28:U28)</f>
        <v>15054</v>
      </c>
      <c r="V29" s="517"/>
      <c r="W29" s="517"/>
      <c r="X29" s="518">
        <f>SUM(X28:X28)</f>
        <v>0</v>
      </c>
      <c r="Y29" s="519">
        <f>IF(Q29&lt;&gt;"",X29+M29,"")</f>
        <v>182.67964458804531</v>
      </c>
      <c r="AK29" s="493">
        <f t="shared" si="11"/>
        <v>0</v>
      </c>
      <c r="AL29" s="551"/>
    </row>
    <row r="30" spans="1:38" ht="18.600000000000001" thickBot="1" x14ac:dyDescent="0.4">
      <c r="A30" s="46">
        <v>15</v>
      </c>
      <c r="B30" s="81">
        <v>3</v>
      </c>
      <c r="C30" s="80" t="s">
        <v>129</v>
      </c>
      <c r="D30" s="46"/>
      <c r="E30" s="46"/>
      <c r="F30" s="675"/>
      <c r="G30" s="676"/>
      <c r="H30" s="676"/>
      <c r="I30" s="676"/>
      <c r="J30" s="676"/>
      <c r="K30" s="676"/>
      <c r="L30" s="676"/>
      <c r="M30" s="676"/>
      <c r="N30" s="677"/>
      <c r="Q30" s="651" t="str">
        <f>IF(F30&lt;&gt;"",F30,"")</f>
        <v/>
      </c>
      <c r="R30" s="652"/>
      <c r="S30" s="652"/>
      <c r="T30" s="652"/>
      <c r="U30" s="652"/>
      <c r="V30" s="652"/>
      <c r="W30" s="652"/>
      <c r="X30" s="652"/>
      <c r="Y30" s="653"/>
      <c r="AK30" s="493">
        <f t="shared" si="11"/>
        <v>0</v>
      </c>
      <c r="AL30" s="551"/>
    </row>
    <row r="31" spans="1:38" ht="18" x14ac:dyDescent="0.35">
      <c r="A31" s="46">
        <v>16</v>
      </c>
      <c r="B31" s="81" t="s">
        <v>245</v>
      </c>
      <c r="C31" s="80" t="s">
        <v>130</v>
      </c>
      <c r="D31" s="46"/>
      <c r="E31" s="46"/>
      <c r="F31" s="678" t="s">
        <v>238</v>
      </c>
      <c r="G31" s="679"/>
      <c r="H31" s="679"/>
      <c r="I31" s="679"/>
      <c r="J31" s="679"/>
      <c r="K31" s="679"/>
      <c r="L31" s="187" t="s">
        <v>132</v>
      </c>
      <c r="M31" s="187" t="s">
        <v>133</v>
      </c>
      <c r="N31" s="188" t="s">
        <v>82</v>
      </c>
      <c r="Q31" s="642" t="str">
        <f>IF(F31&lt;&gt;"",F31,"")</f>
        <v>13/01 - A&amp;B</v>
      </c>
      <c r="R31" s="643"/>
      <c r="S31" s="643"/>
      <c r="T31" s="643"/>
      <c r="U31" s="643"/>
      <c r="V31" s="643"/>
      <c r="W31" s="643"/>
      <c r="X31" s="643"/>
      <c r="Y31" s="646"/>
      <c r="Z31" s="504" t="s">
        <v>134</v>
      </c>
      <c r="AA31" s="505" t="s">
        <v>83</v>
      </c>
      <c r="AK31" s="493">
        <f t="shared" si="11"/>
        <v>0</v>
      </c>
      <c r="AL31" s="551"/>
    </row>
    <row r="32" spans="1:38" ht="18" x14ac:dyDescent="0.35">
      <c r="A32" s="46">
        <v>17</v>
      </c>
      <c r="B32" s="81" t="s">
        <v>246</v>
      </c>
      <c r="C32" s="80" t="s">
        <v>135</v>
      </c>
      <c r="D32" s="46" t="s">
        <v>138</v>
      </c>
      <c r="E32" s="46" t="s">
        <v>139</v>
      </c>
      <c r="F32" s="163" t="s">
        <v>232</v>
      </c>
      <c r="G32" s="160" t="s">
        <v>232</v>
      </c>
      <c r="H32" s="131">
        <v>42</v>
      </c>
      <c r="I32" s="131">
        <v>1</v>
      </c>
      <c r="J32" s="83">
        <v>175</v>
      </c>
      <c r="K32" s="83">
        <f t="shared" ref="K32:K37" si="29">IF(F32&lt;&gt;"",H32*I32*J32,"")</f>
        <v>7350</v>
      </c>
      <c r="L32" s="83">
        <f t="shared" ref="L32:L37" si="30">IF(K32&lt;&gt;"",IF(D32="INTERNO",0,K32*$L$14),"")</f>
        <v>367.5</v>
      </c>
      <c r="M32" s="83">
        <f t="shared" ref="M32:M37" si="31">IF(K32&lt;&gt;"",IF(E32="FAT.OGGI",SUM(K32:L32)*(1/(1-$M$14)-1),L32*(1/(1-$M$14)-1)),0)</f>
        <v>89.191934882564965</v>
      </c>
      <c r="N32" s="158">
        <f t="shared" ref="N32:N37" si="32">SUM(K32:M32)</f>
        <v>7806.691934882565</v>
      </c>
      <c r="Q32" s="197">
        <v>42</v>
      </c>
      <c r="R32" s="198">
        <f t="shared" ref="R32:R37" si="33">IF(I32&lt;&gt;"",I32,"")</f>
        <v>1</v>
      </c>
      <c r="S32" s="161">
        <v>175</v>
      </c>
      <c r="T32" s="161"/>
      <c r="U32" s="132">
        <f t="shared" ref="U32:U37" si="34">IF(Q32&lt;&gt;"",K32-T32,"")</f>
        <v>7350</v>
      </c>
      <c r="V32" s="133">
        <f t="shared" ref="V32:V37" si="35">IF(Q32&lt;&gt;"",0%,"")</f>
        <v>0</v>
      </c>
      <c r="W32" s="84">
        <f t="shared" ref="W32:W37" si="36">IF(Q32&lt;&gt;"",V32*U32,"")</f>
        <v>0</v>
      </c>
      <c r="X32" s="84">
        <f t="shared" ref="X32:X37" si="37">IF(Q32&lt;&gt;"",W32+T32,"")</f>
        <v>0</v>
      </c>
      <c r="Y32" s="159">
        <f t="shared" ref="Y32:Y40" si="38">IF(Q32&lt;&gt;"",X32+M32,"")</f>
        <v>89.191934882564965</v>
      </c>
      <c r="Z32" s="101">
        <f t="shared" ref="Z32:Z37" si="39">IF(Q32&lt;&gt;"", IFERROR(U32/K32, 0), 0)</f>
        <v>1</v>
      </c>
      <c r="AA32" s="85">
        <f t="shared" ref="AA32:AA39" si="40">IFERROR(T32/$T$40, "")</f>
        <v>0</v>
      </c>
      <c r="AK32" s="493">
        <f t="shared" si="11"/>
        <v>0</v>
      </c>
      <c r="AL32" s="551"/>
    </row>
    <row r="33" spans="1:38" ht="18" x14ac:dyDescent="0.35">
      <c r="A33" s="46">
        <v>18</v>
      </c>
      <c r="B33" s="81" t="s">
        <v>247</v>
      </c>
      <c r="C33" s="80" t="s">
        <v>135</v>
      </c>
      <c r="D33" s="46" t="s">
        <v>138</v>
      </c>
      <c r="E33" s="46" t="s">
        <v>139</v>
      </c>
      <c r="F33" s="163" t="s">
        <v>233</v>
      </c>
      <c r="G33" s="160" t="s">
        <v>233</v>
      </c>
      <c r="H33" s="131">
        <v>42</v>
      </c>
      <c r="I33" s="131">
        <v>1</v>
      </c>
      <c r="J33" s="83">
        <v>46</v>
      </c>
      <c r="K33" s="83">
        <f t="shared" si="29"/>
        <v>1932</v>
      </c>
      <c r="L33" s="83">
        <f t="shared" si="30"/>
        <v>96.600000000000009</v>
      </c>
      <c r="M33" s="83">
        <f t="shared" si="31"/>
        <v>23.444737169131361</v>
      </c>
      <c r="N33" s="158">
        <f t="shared" si="32"/>
        <v>2052.0447371691312</v>
      </c>
      <c r="Q33" s="197">
        <f t="shared" ref="Q33:Q39" si="41">IF(H33&lt;&gt;"",H33,"")</f>
        <v>42</v>
      </c>
      <c r="R33" s="198">
        <f t="shared" si="33"/>
        <v>1</v>
      </c>
      <c r="S33" s="161">
        <v>46</v>
      </c>
      <c r="T33" s="161"/>
      <c r="U33" s="132">
        <f t="shared" si="34"/>
        <v>1932</v>
      </c>
      <c r="V33" s="133">
        <f t="shared" si="35"/>
        <v>0</v>
      </c>
      <c r="W33" s="84">
        <f t="shared" si="36"/>
        <v>0</v>
      </c>
      <c r="X33" s="84">
        <f t="shared" si="37"/>
        <v>0</v>
      </c>
      <c r="Y33" s="159">
        <f t="shared" si="38"/>
        <v>23.444737169131361</v>
      </c>
      <c r="Z33" s="101">
        <f t="shared" si="39"/>
        <v>1</v>
      </c>
      <c r="AA33" s="85">
        <f t="shared" si="40"/>
        <v>0</v>
      </c>
      <c r="AK33" s="493">
        <f t="shared" si="11"/>
        <v>0</v>
      </c>
      <c r="AL33" s="551"/>
    </row>
    <row r="34" spans="1:38" ht="18" x14ac:dyDescent="0.35">
      <c r="A34" s="46">
        <v>19</v>
      </c>
      <c r="B34" s="81" t="s">
        <v>248</v>
      </c>
      <c r="C34" s="80" t="s">
        <v>135</v>
      </c>
      <c r="D34" s="46" t="s">
        <v>138</v>
      </c>
      <c r="E34" s="46" t="s">
        <v>139</v>
      </c>
      <c r="F34" s="163" t="s">
        <v>234</v>
      </c>
      <c r="G34" s="160" t="s">
        <v>234</v>
      </c>
      <c r="H34" s="131">
        <v>42</v>
      </c>
      <c r="I34" s="131">
        <v>1</v>
      </c>
      <c r="J34" s="83">
        <v>175</v>
      </c>
      <c r="K34" s="83">
        <f t="shared" si="29"/>
        <v>7350</v>
      </c>
      <c r="L34" s="83">
        <f t="shared" si="30"/>
        <v>367.5</v>
      </c>
      <c r="M34" s="83">
        <f t="shared" si="31"/>
        <v>89.191934882564965</v>
      </c>
      <c r="N34" s="158">
        <f t="shared" si="32"/>
        <v>7806.691934882565</v>
      </c>
      <c r="Q34" s="197">
        <f t="shared" si="41"/>
        <v>42</v>
      </c>
      <c r="R34" s="198">
        <f t="shared" si="33"/>
        <v>1</v>
      </c>
      <c r="S34" s="161">
        <v>175</v>
      </c>
      <c r="T34" s="161"/>
      <c r="U34" s="132">
        <f t="shared" si="34"/>
        <v>7350</v>
      </c>
      <c r="V34" s="133">
        <f t="shared" si="35"/>
        <v>0</v>
      </c>
      <c r="W34" s="84">
        <f t="shared" si="36"/>
        <v>0</v>
      </c>
      <c r="X34" s="84">
        <f t="shared" si="37"/>
        <v>0</v>
      </c>
      <c r="Y34" s="159">
        <f t="shared" si="38"/>
        <v>89.191934882564965</v>
      </c>
      <c r="Z34" s="101">
        <f t="shared" si="39"/>
        <v>1</v>
      </c>
      <c r="AA34" s="85">
        <f t="shared" si="40"/>
        <v>0</v>
      </c>
      <c r="AK34" s="493">
        <f t="shared" si="11"/>
        <v>0</v>
      </c>
      <c r="AL34" s="551"/>
    </row>
    <row r="35" spans="1:38" ht="18" x14ac:dyDescent="0.35">
      <c r="A35" s="46">
        <v>20</v>
      </c>
      <c r="B35" s="81" t="s">
        <v>249</v>
      </c>
      <c r="C35" s="80" t="s">
        <v>135</v>
      </c>
      <c r="D35" s="46" t="s">
        <v>138</v>
      </c>
      <c r="E35" s="46" t="s">
        <v>139</v>
      </c>
      <c r="F35" s="163" t="s">
        <v>235</v>
      </c>
      <c r="G35" s="160" t="s">
        <v>235</v>
      </c>
      <c r="H35" s="131">
        <v>42</v>
      </c>
      <c r="I35" s="131">
        <v>1</v>
      </c>
      <c r="J35" s="83">
        <v>289</v>
      </c>
      <c r="K35" s="83">
        <f t="shared" si="29"/>
        <v>12138</v>
      </c>
      <c r="L35" s="83">
        <f t="shared" si="30"/>
        <v>606.9</v>
      </c>
      <c r="M35" s="83">
        <f t="shared" si="31"/>
        <v>147.29410960606441</v>
      </c>
      <c r="N35" s="158">
        <f t="shared" si="32"/>
        <v>12892.194109606064</v>
      </c>
      <c r="Q35" s="197">
        <f t="shared" si="41"/>
        <v>42</v>
      </c>
      <c r="R35" s="198">
        <f t="shared" si="33"/>
        <v>1</v>
      </c>
      <c r="S35" s="161">
        <v>289</v>
      </c>
      <c r="T35" s="161"/>
      <c r="U35" s="132">
        <f t="shared" si="34"/>
        <v>12138</v>
      </c>
      <c r="V35" s="133">
        <f t="shared" si="35"/>
        <v>0</v>
      </c>
      <c r="W35" s="84">
        <f t="shared" si="36"/>
        <v>0</v>
      </c>
      <c r="X35" s="84">
        <f t="shared" si="37"/>
        <v>0</v>
      </c>
      <c r="Y35" s="159">
        <f t="shared" si="38"/>
        <v>147.29410960606441</v>
      </c>
      <c r="Z35" s="101">
        <f t="shared" si="39"/>
        <v>1</v>
      </c>
      <c r="AA35" s="85">
        <f t="shared" si="40"/>
        <v>0</v>
      </c>
      <c r="AK35" s="493">
        <f t="shared" si="11"/>
        <v>0</v>
      </c>
      <c r="AL35" s="551"/>
    </row>
    <row r="36" spans="1:38" ht="18" x14ac:dyDescent="0.35">
      <c r="A36" s="46">
        <v>21</v>
      </c>
      <c r="B36" s="81" t="s">
        <v>250</v>
      </c>
      <c r="C36" s="80" t="s">
        <v>135</v>
      </c>
      <c r="D36" s="46" t="s">
        <v>138</v>
      </c>
      <c r="E36" s="46" t="s">
        <v>139</v>
      </c>
      <c r="F36" s="163" t="s">
        <v>236</v>
      </c>
      <c r="G36" s="160" t="s">
        <v>236</v>
      </c>
      <c r="H36" s="131">
        <v>168</v>
      </c>
      <c r="I36" s="131">
        <v>1</v>
      </c>
      <c r="J36" s="83">
        <v>5</v>
      </c>
      <c r="K36" s="83">
        <f t="shared" si="29"/>
        <v>840</v>
      </c>
      <c r="L36" s="83">
        <f t="shared" si="30"/>
        <v>42</v>
      </c>
      <c r="M36" s="83">
        <f t="shared" si="31"/>
        <v>10.193363986578852</v>
      </c>
      <c r="N36" s="158">
        <f t="shared" si="32"/>
        <v>892.1933639865789</v>
      </c>
      <c r="Q36" s="197">
        <f t="shared" si="41"/>
        <v>168</v>
      </c>
      <c r="R36" s="198">
        <f t="shared" si="33"/>
        <v>1</v>
      </c>
      <c r="S36" s="161">
        <v>5</v>
      </c>
      <c r="T36" s="161"/>
      <c r="U36" s="132">
        <f t="shared" si="34"/>
        <v>840</v>
      </c>
      <c r="V36" s="133">
        <f t="shared" si="35"/>
        <v>0</v>
      </c>
      <c r="W36" s="84">
        <f t="shared" si="36"/>
        <v>0</v>
      </c>
      <c r="X36" s="84">
        <f t="shared" si="37"/>
        <v>0</v>
      </c>
      <c r="Y36" s="159">
        <f t="shared" si="38"/>
        <v>10.193363986578852</v>
      </c>
      <c r="Z36" s="101">
        <f t="shared" si="39"/>
        <v>1</v>
      </c>
      <c r="AA36" s="85">
        <f t="shared" si="40"/>
        <v>0</v>
      </c>
      <c r="AK36" s="493">
        <f t="shared" si="11"/>
        <v>0</v>
      </c>
      <c r="AL36" s="551"/>
    </row>
    <row r="37" spans="1:38" ht="18" x14ac:dyDescent="0.35">
      <c r="A37" s="46">
        <v>22</v>
      </c>
      <c r="B37" s="81" t="s">
        <v>251</v>
      </c>
      <c r="C37" s="80" t="s">
        <v>135</v>
      </c>
      <c r="D37" s="46" t="s">
        <v>138</v>
      </c>
      <c r="E37" s="46" t="s">
        <v>139</v>
      </c>
      <c r="F37" s="163" t="s">
        <v>237</v>
      </c>
      <c r="G37" s="160" t="s">
        <v>237</v>
      </c>
      <c r="H37" s="131">
        <v>3</v>
      </c>
      <c r="I37" s="131">
        <v>1</v>
      </c>
      <c r="J37" s="83">
        <v>49</v>
      </c>
      <c r="K37" s="83">
        <f t="shared" si="29"/>
        <v>147</v>
      </c>
      <c r="L37" s="83">
        <f t="shared" si="30"/>
        <v>7.3500000000000005</v>
      </c>
      <c r="M37" s="83">
        <f t="shared" si="31"/>
        <v>1.7838386976512994</v>
      </c>
      <c r="N37" s="158">
        <f t="shared" si="32"/>
        <v>156.1338386976513</v>
      </c>
      <c r="Q37" s="197">
        <f t="shared" si="41"/>
        <v>3</v>
      </c>
      <c r="R37" s="198">
        <f t="shared" si="33"/>
        <v>1</v>
      </c>
      <c r="S37" s="161">
        <v>49</v>
      </c>
      <c r="T37" s="161"/>
      <c r="U37" s="132">
        <f t="shared" si="34"/>
        <v>147</v>
      </c>
      <c r="V37" s="133">
        <f t="shared" si="35"/>
        <v>0</v>
      </c>
      <c r="W37" s="84">
        <f t="shared" si="36"/>
        <v>0</v>
      </c>
      <c r="X37" s="84">
        <f t="shared" si="37"/>
        <v>0</v>
      </c>
      <c r="Y37" s="159">
        <f t="shared" si="38"/>
        <v>1.7838386976512994</v>
      </c>
      <c r="Z37" s="101">
        <f t="shared" si="39"/>
        <v>1</v>
      </c>
      <c r="AA37" s="85">
        <f t="shared" si="40"/>
        <v>0</v>
      </c>
      <c r="AK37" s="493">
        <f t="shared" si="11"/>
        <v>0</v>
      </c>
      <c r="AL37" s="551"/>
    </row>
    <row r="38" spans="1:38" ht="18" x14ac:dyDescent="0.35">
      <c r="A38" s="46">
        <v>23</v>
      </c>
      <c r="B38" s="81" t="s">
        <v>252</v>
      </c>
      <c r="C38" s="80" t="s">
        <v>135</v>
      </c>
      <c r="D38" s="46" t="s">
        <v>138</v>
      </c>
      <c r="E38" s="46" t="s">
        <v>139</v>
      </c>
      <c r="F38" s="107" t="s">
        <v>241</v>
      </c>
      <c r="G38" s="108" t="s">
        <v>288</v>
      </c>
      <c r="H38" s="248">
        <v>3</v>
      </c>
      <c r="I38" s="131">
        <v>1</v>
      </c>
      <c r="J38" s="83">
        <v>175</v>
      </c>
      <c r="K38" s="83">
        <f>IF(F38&lt;&gt;"",H38*I38*J38,"")</f>
        <v>525</v>
      </c>
      <c r="L38" s="83">
        <f>IF(K38&lt;&gt;"",IF(D38="INTERNO",0,K38*$L$14),"")</f>
        <v>26.25</v>
      </c>
      <c r="M38" s="83">
        <f>IF(K38&lt;&gt;"",IF(E38="FAT.OGGI",SUM(K38:L38)*(1/(1-$M$14)-1),L38*(1/(1-$M$14)-1)),0)</f>
        <v>6.3708524916117826</v>
      </c>
      <c r="N38" s="158">
        <f>SUM(K38:M38)</f>
        <v>557.6208524916118</v>
      </c>
      <c r="Q38" s="197">
        <f t="shared" si="41"/>
        <v>3</v>
      </c>
      <c r="R38" s="198">
        <f>IF(I38&lt;&gt;"",I38,"")</f>
        <v>1</v>
      </c>
      <c r="S38" s="161">
        <v>175</v>
      </c>
      <c r="T38" s="161"/>
      <c r="U38" s="132">
        <f>IF(Q38&lt;&gt;"",K38-T38,"")</f>
        <v>525</v>
      </c>
      <c r="V38" s="133">
        <f>IF(Q38&lt;&gt;"",0%,"")</f>
        <v>0</v>
      </c>
      <c r="W38" s="84">
        <f>IF(Q38&lt;&gt;"",V38*U38,"")</f>
        <v>0</v>
      </c>
      <c r="X38" s="84">
        <f>IF(Q38&lt;&gt;"",W38+T38,"")</f>
        <v>0</v>
      </c>
      <c r="Y38" s="159">
        <f>IF(Q38&lt;&gt;"",X38+M38,"")</f>
        <v>6.3708524916117826</v>
      </c>
      <c r="Z38" s="101">
        <f>IF(Q38&lt;&gt;"", IFERROR(U38/K38, 0), 0)</f>
        <v>1</v>
      </c>
      <c r="AA38" s="85">
        <f t="shared" si="40"/>
        <v>0</v>
      </c>
      <c r="AK38" s="493">
        <f t="shared" si="11"/>
        <v>0</v>
      </c>
      <c r="AL38" s="551"/>
    </row>
    <row r="39" spans="1:38" ht="18" x14ac:dyDescent="0.35">
      <c r="A39" s="77">
        <v>24</v>
      </c>
      <c r="B39" s="81" t="s">
        <v>253</v>
      </c>
      <c r="C39" s="79" t="s">
        <v>135</v>
      </c>
      <c r="D39" s="77" t="s">
        <v>138</v>
      </c>
      <c r="E39" s="77" t="s">
        <v>139</v>
      </c>
      <c r="F39" s="107" t="s">
        <v>242</v>
      </c>
      <c r="G39" s="108" t="s">
        <v>242</v>
      </c>
      <c r="H39" s="248">
        <v>2</v>
      </c>
      <c r="I39" s="131">
        <v>1</v>
      </c>
      <c r="J39" s="83">
        <v>175</v>
      </c>
      <c r="K39" s="83">
        <f>IF(F39&lt;&gt;"",H39*I39*J39,"")</f>
        <v>350</v>
      </c>
      <c r="L39" s="83">
        <f>IF(K39&lt;&gt;"",IF(D39="INTERNO",0,K39*$L$14),"")</f>
        <v>17.5</v>
      </c>
      <c r="M39" s="83">
        <f>IF(K39&lt;&gt;"",IF(E39="FAT.OGGI",SUM(K39:L39)*(1/(1-$M$14)-1),L39*(1/(1-$M$14)-1)),0)</f>
        <v>4.2472349944078553</v>
      </c>
      <c r="N39" s="158">
        <f>SUM(K39:M39)</f>
        <v>371.74723499440785</v>
      </c>
      <c r="Q39" s="197">
        <f t="shared" si="41"/>
        <v>2</v>
      </c>
      <c r="R39" s="198">
        <f>IF(I39&lt;&gt;"",I39,"")</f>
        <v>1</v>
      </c>
      <c r="S39" s="161">
        <v>175</v>
      </c>
      <c r="T39" s="161">
        <v>46000</v>
      </c>
      <c r="U39" s="132">
        <f>IF(Q39&lt;&gt;"",K39-T39,"")</f>
        <v>-45650</v>
      </c>
      <c r="V39" s="133">
        <f>IF(Q39&lt;&gt;"",0%,"")</f>
        <v>0</v>
      </c>
      <c r="W39" s="84">
        <f>IF(Q39&lt;&gt;"",V39*U39,"")</f>
        <v>0</v>
      </c>
      <c r="X39" s="84">
        <f>IF(Q39&lt;&gt;"",W39+T39,"")</f>
        <v>46000</v>
      </c>
      <c r="Y39" s="159">
        <f>IF(Q39&lt;&gt;"",X39+M39,"")</f>
        <v>46004.247234994407</v>
      </c>
      <c r="Z39" s="101">
        <f>IF(Q39&lt;&gt;"", IFERROR(U39/K39, 0), 0)</f>
        <v>-130.42857142857142</v>
      </c>
      <c r="AA39" s="85">
        <f t="shared" si="40"/>
        <v>1</v>
      </c>
      <c r="AK39" s="493">
        <f t="shared" si="11"/>
        <v>0</v>
      </c>
      <c r="AL39" s="551">
        <v>46000</v>
      </c>
    </row>
    <row r="40" spans="1:38" ht="27" customHeight="1" thickBot="1" x14ac:dyDescent="0.4">
      <c r="A40" s="104">
        <v>25</v>
      </c>
      <c r="B40" s="81"/>
      <c r="C40" s="109" t="s">
        <v>140</v>
      </c>
      <c r="D40" s="104"/>
      <c r="E40" s="104"/>
      <c r="F40" s="640" t="s">
        <v>231</v>
      </c>
      <c r="G40" s="641"/>
      <c r="H40" s="641"/>
      <c r="I40" s="641"/>
      <c r="J40" s="641"/>
      <c r="K40" s="520">
        <f>SUM(K32:K39)</f>
        <v>30632</v>
      </c>
      <c r="L40" s="520">
        <f>SUM(L32:L39)</f>
        <v>1531.6</v>
      </c>
      <c r="M40" s="520">
        <f>SUM(M32:M39)</f>
        <v>371.71800671057548</v>
      </c>
      <c r="N40" s="521">
        <f>SUM(N32:N39)</f>
        <v>32535.318006710575</v>
      </c>
      <c r="Q40" s="642" t="s">
        <v>231</v>
      </c>
      <c r="R40" s="643"/>
      <c r="S40" s="643"/>
      <c r="T40" s="515">
        <f>SUM(T32:T39)</f>
        <v>46000</v>
      </c>
      <c r="U40" s="516">
        <f>SUM(U32:U39)</f>
        <v>-15368</v>
      </c>
      <c r="V40" s="517"/>
      <c r="W40" s="517"/>
      <c r="X40" s="518">
        <f>SUM(X32:X39)</f>
        <v>46000</v>
      </c>
      <c r="Y40" s="519">
        <f t="shared" si="38"/>
        <v>46371.718006710573</v>
      </c>
      <c r="AK40" s="493">
        <f t="shared" si="11"/>
        <v>46000</v>
      </c>
      <c r="AL40" s="551"/>
    </row>
    <row r="41" spans="1:38" ht="18" x14ac:dyDescent="0.35">
      <c r="A41" s="46">
        <v>26</v>
      </c>
      <c r="B41" s="81" t="s">
        <v>254</v>
      </c>
      <c r="C41" s="80" t="s">
        <v>130</v>
      </c>
      <c r="D41" s="46"/>
      <c r="E41" s="46"/>
      <c r="F41" s="644" t="s">
        <v>240</v>
      </c>
      <c r="G41" s="645"/>
      <c r="H41" s="645"/>
      <c r="I41" s="645"/>
      <c r="J41" s="645"/>
      <c r="K41" s="645"/>
      <c r="L41" s="185" t="s">
        <v>132</v>
      </c>
      <c r="M41" s="185" t="s">
        <v>133</v>
      </c>
      <c r="N41" s="186" t="s">
        <v>82</v>
      </c>
      <c r="Q41" s="642" t="str">
        <f>IF(F41&lt;&gt;"",F41,"")</f>
        <v>14/01 - A&amp;B</v>
      </c>
      <c r="R41" s="643"/>
      <c r="S41" s="643"/>
      <c r="T41" s="643"/>
      <c r="U41" s="643"/>
      <c r="V41" s="643"/>
      <c r="W41" s="643"/>
      <c r="X41" s="643"/>
      <c r="Y41" s="646"/>
      <c r="Z41" s="504" t="s">
        <v>134</v>
      </c>
      <c r="AA41" s="505" t="s">
        <v>83</v>
      </c>
      <c r="AK41" s="493">
        <f t="shared" si="11"/>
        <v>0</v>
      </c>
      <c r="AL41" s="551"/>
    </row>
    <row r="42" spans="1:38" ht="18" x14ac:dyDescent="0.35">
      <c r="A42" s="46">
        <v>27</v>
      </c>
      <c r="B42" s="81" t="s">
        <v>255</v>
      </c>
      <c r="C42" s="80" t="s">
        <v>135</v>
      </c>
      <c r="D42" s="46" t="s">
        <v>138</v>
      </c>
      <c r="E42" s="46" t="s">
        <v>139</v>
      </c>
      <c r="F42" s="169" t="s">
        <v>233</v>
      </c>
      <c r="G42" s="183" t="s">
        <v>233</v>
      </c>
      <c r="H42" s="170">
        <v>42</v>
      </c>
      <c r="I42" s="131">
        <v>1</v>
      </c>
      <c r="J42" s="171">
        <v>46</v>
      </c>
      <c r="K42" s="83">
        <f t="shared" ref="K42:K49" si="42">IF(F42&lt;&gt;"",H42*I42*J42,"")</f>
        <v>1932</v>
      </c>
      <c r="L42" s="83">
        <f t="shared" ref="L42:L49" si="43">IF(K42&lt;&gt;"",IF(D42="INTERNO",0,K42*$L$14),"")</f>
        <v>96.600000000000009</v>
      </c>
      <c r="M42" s="83">
        <f t="shared" ref="M42:M49" si="44">IF(K42&lt;&gt;"",IF(E42="FAT.OGGI",SUM(K42:L42)*(1/(1-$M$14)-1),L42*(1/(1-$M$14)-1)),0)</f>
        <v>23.444737169131361</v>
      </c>
      <c r="N42" s="158">
        <f t="shared" ref="N42:N49" si="45">SUM(K42:M42)</f>
        <v>2052.0447371691312</v>
      </c>
      <c r="Q42" s="197">
        <f t="shared" ref="Q42:R49" si="46">IF(H42&lt;&gt;"",H42,"")</f>
        <v>42</v>
      </c>
      <c r="R42" s="198">
        <f t="shared" si="46"/>
        <v>1</v>
      </c>
      <c r="S42" s="161">
        <v>46</v>
      </c>
      <c r="T42" s="161"/>
      <c r="U42" s="132">
        <f t="shared" ref="U42:U49" si="47">IF(Q42&lt;&gt;"",K42-T42,"")</f>
        <v>1932</v>
      </c>
      <c r="V42" s="133">
        <f t="shared" ref="V42:V49" si="48">IF(Q42&lt;&gt;"",0%,"")</f>
        <v>0</v>
      </c>
      <c r="W42" s="84">
        <f t="shared" ref="W42:W49" si="49">IF(Q42&lt;&gt;"",V42*U42,"")</f>
        <v>0</v>
      </c>
      <c r="X42" s="84">
        <f t="shared" ref="X42:X49" si="50">IF(Q42&lt;&gt;"",W42+T42,"")</f>
        <v>0</v>
      </c>
      <c r="Y42" s="159">
        <f t="shared" ref="Y42:Y52" si="51">IF(Q42&lt;&gt;"",X42+M42,"")</f>
        <v>23.444737169131361</v>
      </c>
      <c r="Z42" s="101">
        <f t="shared" ref="Z42:Z49" si="52">IF(Q42&lt;&gt;"", IFERROR(U42/K42, 0), 0)</f>
        <v>1</v>
      </c>
      <c r="AA42" s="85" t="str">
        <f t="shared" ref="AA42:AA49" si="53">IFERROR(T42/$T$52, "")</f>
        <v/>
      </c>
      <c r="AK42" s="493">
        <f t="shared" si="11"/>
        <v>0</v>
      </c>
      <c r="AL42" s="551"/>
    </row>
    <row r="43" spans="1:38" ht="18" x14ac:dyDescent="0.35">
      <c r="A43" s="46">
        <v>28</v>
      </c>
      <c r="B43" s="81" t="s">
        <v>256</v>
      </c>
      <c r="C43" s="80" t="s">
        <v>135</v>
      </c>
      <c r="D43" s="46" t="s">
        <v>138</v>
      </c>
      <c r="E43" s="46" t="s">
        <v>139</v>
      </c>
      <c r="F43" s="169" t="s">
        <v>232</v>
      </c>
      <c r="G43" s="183" t="s">
        <v>232</v>
      </c>
      <c r="H43" s="170">
        <v>42</v>
      </c>
      <c r="I43" s="131">
        <v>1</v>
      </c>
      <c r="J43" s="171">
        <v>175</v>
      </c>
      <c r="K43" s="83">
        <f t="shared" si="42"/>
        <v>7350</v>
      </c>
      <c r="L43" s="83">
        <f t="shared" si="43"/>
        <v>367.5</v>
      </c>
      <c r="M43" s="83">
        <f t="shared" si="44"/>
        <v>89.191934882564965</v>
      </c>
      <c r="N43" s="158">
        <f t="shared" si="45"/>
        <v>7806.691934882565</v>
      </c>
      <c r="Q43" s="197">
        <f t="shared" si="46"/>
        <v>42</v>
      </c>
      <c r="R43" s="198">
        <f t="shared" si="46"/>
        <v>1</v>
      </c>
      <c r="S43" s="161">
        <v>175</v>
      </c>
      <c r="T43" s="161"/>
      <c r="U43" s="132">
        <f t="shared" si="47"/>
        <v>7350</v>
      </c>
      <c r="V43" s="133">
        <f t="shared" si="48"/>
        <v>0</v>
      </c>
      <c r="W43" s="84">
        <f t="shared" si="49"/>
        <v>0</v>
      </c>
      <c r="X43" s="84">
        <f t="shared" si="50"/>
        <v>0</v>
      </c>
      <c r="Y43" s="159">
        <f t="shared" si="51"/>
        <v>89.191934882564965</v>
      </c>
      <c r="Z43" s="101">
        <f t="shared" si="52"/>
        <v>1</v>
      </c>
      <c r="AA43" s="85" t="str">
        <f t="shared" si="53"/>
        <v/>
      </c>
      <c r="AK43" s="493">
        <f t="shared" si="11"/>
        <v>0</v>
      </c>
      <c r="AL43" s="551"/>
    </row>
    <row r="44" spans="1:38" ht="18" x14ac:dyDescent="0.35">
      <c r="A44" s="46">
        <v>29</v>
      </c>
      <c r="B44" s="81" t="s">
        <v>257</v>
      </c>
      <c r="C44" s="80" t="s">
        <v>135</v>
      </c>
      <c r="D44" s="46" t="s">
        <v>138</v>
      </c>
      <c r="E44" s="46" t="s">
        <v>139</v>
      </c>
      <c r="F44" s="169" t="s">
        <v>233</v>
      </c>
      <c r="G44" s="183" t="s">
        <v>233</v>
      </c>
      <c r="H44" s="170">
        <v>42</v>
      </c>
      <c r="I44" s="131">
        <v>1</v>
      </c>
      <c r="J44" s="171">
        <v>46</v>
      </c>
      <c r="K44" s="83">
        <f t="shared" si="42"/>
        <v>1932</v>
      </c>
      <c r="L44" s="83">
        <f t="shared" si="43"/>
        <v>96.600000000000009</v>
      </c>
      <c r="M44" s="83">
        <f t="shared" si="44"/>
        <v>23.444737169131361</v>
      </c>
      <c r="N44" s="158">
        <f t="shared" si="45"/>
        <v>2052.0447371691312</v>
      </c>
      <c r="Q44" s="197">
        <f t="shared" si="46"/>
        <v>42</v>
      </c>
      <c r="R44" s="198">
        <f t="shared" si="46"/>
        <v>1</v>
      </c>
      <c r="S44" s="161">
        <v>46</v>
      </c>
      <c r="T44" s="161"/>
      <c r="U44" s="132">
        <f t="shared" si="47"/>
        <v>1932</v>
      </c>
      <c r="V44" s="133">
        <f t="shared" si="48"/>
        <v>0</v>
      </c>
      <c r="W44" s="84">
        <f t="shared" si="49"/>
        <v>0</v>
      </c>
      <c r="X44" s="84">
        <f t="shared" si="50"/>
        <v>0</v>
      </c>
      <c r="Y44" s="159">
        <f t="shared" si="51"/>
        <v>23.444737169131361</v>
      </c>
      <c r="Z44" s="101">
        <f t="shared" si="52"/>
        <v>1</v>
      </c>
      <c r="AA44" s="85" t="str">
        <f t="shared" si="53"/>
        <v/>
      </c>
      <c r="AK44" s="493">
        <f t="shared" si="11"/>
        <v>0</v>
      </c>
      <c r="AL44" s="551"/>
    </row>
    <row r="45" spans="1:38" ht="18" x14ac:dyDescent="0.35">
      <c r="A45" s="46">
        <v>30</v>
      </c>
      <c r="B45" s="81" t="s">
        <v>258</v>
      </c>
      <c r="C45" s="80" t="s">
        <v>135</v>
      </c>
      <c r="D45" s="46" t="s">
        <v>138</v>
      </c>
      <c r="E45" s="46" t="s">
        <v>139</v>
      </c>
      <c r="F45" s="169" t="s">
        <v>234</v>
      </c>
      <c r="G45" s="183" t="s">
        <v>234</v>
      </c>
      <c r="H45" s="170">
        <v>42</v>
      </c>
      <c r="I45" s="131">
        <v>1</v>
      </c>
      <c r="J45" s="171">
        <v>203</v>
      </c>
      <c r="K45" s="83">
        <f t="shared" si="42"/>
        <v>8526</v>
      </c>
      <c r="L45" s="83">
        <f t="shared" si="43"/>
        <v>426.3</v>
      </c>
      <c r="M45" s="83">
        <f t="shared" si="44"/>
        <v>103.46264446377536</v>
      </c>
      <c r="N45" s="158">
        <f t="shared" si="45"/>
        <v>9055.7626444637754</v>
      </c>
      <c r="Q45" s="197">
        <f t="shared" si="46"/>
        <v>42</v>
      </c>
      <c r="R45" s="198">
        <f t="shared" si="46"/>
        <v>1</v>
      </c>
      <c r="S45" s="161">
        <v>203</v>
      </c>
      <c r="T45" s="161"/>
      <c r="U45" s="132">
        <f t="shared" si="47"/>
        <v>8526</v>
      </c>
      <c r="V45" s="133">
        <f t="shared" si="48"/>
        <v>0</v>
      </c>
      <c r="W45" s="84">
        <f t="shared" si="49"/>
        <v>0</v>
      </c>
      <c r="X45" s="84">
        <f t="shared" si="50"/>
        <v>0</v>
      </c>
      <c r="Y45" s="159">
        <f t="shared" si="51"/>
        <v>103.46264446377536</v>
      </c>
      <c r="Z45" s="101">
        <f t="shared" si="52"/>
        <v>1</v>
      </c>
      <c r="AA45" s="85" t="str">
        <f t="shared" si="53"/>
        <v/>
      </c>
      <c r="AK45" s="493">
        <f t="shared" si="11"/>
        <v>0</v>
      </c>
      <c r="AL45" s="551"/>
    </row>
    <row r="46" spans="1:38" ht="18" x14ac:dyDescent="0.35">
      <c r="A46" s="46">
        <v>31</v>
      </c>
      <c r="B46" s="81" t="s">
        <v>259</v>
      </c>
      <c r="C46" s="80" t="s">
        <v>135</v>
      </c>
      <c r="D46" s="46" t="s">
        <v>138</v>
      </c>
      <c r="E46" s="46" t="s">
        <v>139</v>
      </c>
      <c r="F46" s="169" t="s">
        <v>235</v>
      </c>
      <c r="G46" s="183" t="s">
        <v>235</v>
      </c>
      <c r="H46" s="170">
        <v>42</v>
      </c>
      <c r="I46" s="131">
        <v>1</v>
      </c>
      <c r="J46" s="171">
        <v>146</v>
      </c>
      <c r="K46" s="83">
        <f t="shared" si="42"/>
        <v>6132</v>
      </c>
      <c r="L46" s="83">
        <f t="shared" si="43"/>
        <v>306.60000000000002</v>
      </c>
      <c r="M46" s="83">
        <f t="shared" si="44"/>
        <v>74.411557102025625</v>
      </c>
      <c r="N46" s="158">
        <f t="shared" si="45"/>
        <v>6513.011557102026</v>
      </c>
      <c r="Q46" s="197">
        <f t="shared" si="46"/>
        <v>42</v>
      </c>
      <c r="R46" s="198">
        <f t="shared" si="46"/>
        <v>1</v>
      </c>
      <c r="S46" s="161">
        <v>146</v>
      </c>
      <c r="T46" s="161"/>
      <c r="U46" s="132">
        <f t="shared" si="47"/>
        <v>6132</v>
      </c>
      <c r="V46" s="133">
        <f t="shared" si="48"/>
        <v>0</v>
      </c>
      <c r="W46" s="84">
        <f t="shared" si="49"/>
        <v>0</v>
      </c>
      <c r="X46" s="84">
        <f t="shared" si="50"/>
        <v>0</v>
      </c>
      <c r="Y46" s="159">
        <f t="shared" si="51"/>
        <v>74.411557102025625</v>
      </c>
      <c r="Z46" s="101">
        <f t="shared" si="52"/>
        <v>1</v>
      </c>
      <c r="AA46" s="85" t="str">
        <f t="shared" si="53"/>
        <v/>
      </c>
      <c r="AK46" s="493">
        <f t="shared" si="11"/>
        <v>0</v>
      </c>
      <c r="AL46" s="551"/>
    </row>
    <row r="47" spans="1:38" ht="18" x14ac:dyDescent="0.35">
      <c r="A47" s="46">
        <v>32</v>
      </c>
      <c r="B47" s="81" t="s">
        <v>260</v>
      </c>
      <c r="C47" s="80" t="s">
        <v>135</v>
      </c>
      <c r="D47" s="46" t="s">
        <v>138</v>
      </c>
      <c r="E47" s="46" t="s">
        <v>139</v>
      </c>
      <c r="F47" s="169" t="s">
        <v>239</v>
      </c>
      <c r="G47" s="183" t="s">
        <v>239</v>
      </c>
      <c r="H47" s="170">
        <v>20</v>
      </c>
      <c r="I47" s="131">
        <v>1</v>
      </c>
      <c r="J47" s="171">
        <v>33</v>
      </c>
      <c r="K47" s="83">
        <f t="shared" si="42"/>
        <v>660</v>
      </c>
      <c r="L47" s="83">
        <f t="shared" si="43"/>
        <v>33</v>
      </c>
      <c r="M47" s="83">
        <f t="shared" si="44"/>
        <v>8.0090717037405277</v>
      </c>
      <c r="N47" s="158">
        <f t="shared" si="45"/>
        <v>701.00907170374057</v>
      </c>
      <c r="Q47" s="197">
        <f t="shared" si="46"/>
        <v>20</v>
      </c>
      <c r="R47" s="198">
        <f t="shared" si="46"/>
        <v>1</v>
      </c>
      <c r="S47" s="161">
        <v>33</v>
      </c>
      <c r="T47" s="161"/>
      <c r="U47" s="132">
        <f t="shared" si="47"/>
        <v>660</v>
      </c>
      <c r="V47" s="133">
        <f t="shared" si="48"/>
        <v>0</v>
      </c>
      <c r="W47" s="84">
        <f t="shared" si="49"/>
        <v>0</v>
      </c>
      <c r="X47" s="84">
        <f t="shared" si="50"/>
        <v>0</v>
      </c>
      <c r="Y47" s="159">
        <f t="shared" si="51"/>
        <v>8.0090717037405277</v>
      </c>
      <c r="Z47" s="101">
        <f t="shared" si="52"/>
        <v>1</v>
      </c>
      <c r="AA47" s="85" t="str">
        <f t="shared" si="53"/>
        <v/>
      </c>
      <c r="AK47" s="493">
        <f t="shared" si="11"/>
        <v>0</v>
      </c>
      <c r="AL47" s="551"/>
    </row>
    <row r="48" spans="1:38" ht="18" x14ac:dyDescent="0.35">
      <c r="A48" s="46">
        <v>33</v>
      </c>
      <c r="B48" s="81" t="s">
        <v>261</v>
      </c>
      <c r="C48" s="80" t="s">
        <v>135</v>
      </c>
      <c r="D48" s="46" t="s">
        <v>138</v>
      </c>
      <c r="E48" s="46" t="s">
        <v>139</v>
      </c>
      <c r="F48" s="169" t="s">
        <v>236</v>
      </c>
      <c r="G48" s="183" t="s">
        <v>236</v>
      </c>
      <c r="H48" s="170">
        <v>240</v>
      </c>
      <c r="I48" s="131">
        <v>1</v>
      </c>
      <c r="J48" s="171">
        <v>5</v>
      </c>
      <c r="K48" s="83">
        <f t="shared" si="42"/>
        <v>1200</v>
      </c>
      <c r="L48" s="83">
        <f t="shared" si="43"/>
        <v>60</v>
      </c>
      <c r="M48" s="83">
        <f t="shared" si="44"/>
        <v>14.561948552255505</v>
      </c>
      <c r="N48" s="158">
        <f t="shared" si="45"/>
        <v>1274.5619485522554</v>
      </c>
      <c r="Q48" s="197">
        <f t="shared" si="46"/>
        <v>240</v>
      </c>
      <c r="R48" s="198">
        <f t="shared" si="46"/>
        <v>1</v>
      </c>
      <c r="S48" s="161">
        <v>5</v>
      </c>
      <c r="T48" s="161"/>
      <c r="U48" s="132">
        <f t="shared" si="47"/>
        <v>1200</v>
      </c>
      <c r="V48" s="133">
        <f t="shared" si="48"/>
        <v>0</v>
      </c>
      <c r="W48" s="84">
        <f t="shared" si="49"/>
        <v>0</v>
      </c>
      <c r="X48" s="84">
        <f t="shared" si="50"/>
        <v>0</v>
      </c>
      <c r="Y48" s="159">
        <f t="shared" si="51"/>
        <v>14.561948552255505</v>
      </c>
      <c r="Z48" s="101">
        <f t="shared" si="52"/>
        <v>1</v>
      </c>
      <c r="AA48" s="85" t="str">
        <f t="shared" si="53"/>
        <v/>
      </c>
      <c r="AK48" s="493">
        <f t="shared" si="11"/>
        <v>0</v>
      </c>
      <c r="AL48" s="551"/>
    </row>
    <row r="49" spans="1:38" ht="18" x14ac:dyDescent="0.35">
      <c r="A49" s="46">
        <v>34</v>
      </c>
      <c r="B49" s="81" t="s">
        <v>262</v>
      </c>
      <c r="C49" s="80" t="s">
        <v>135</v>
      </c>
      <c r="D49" s="46" t="s">
        <v>138</v>
      </c>
      <c r="E49" s="46" t="s">
        <v>139</v>
      </c>
      <c r="F49" s="169" t="s">
        <v>237</v>
      </c>
      <c r="G49" s="183" t="s">
        <v>237</v>
      </c>
      <c r="H49" s="170">
        <v>4</v>
      </c>
      <c r="I49" s="131">
        <v>1</v>
      </c>
      <c r="J49" s="171">
        <v>49</v>
      </c>
      <c r="K49" s="83">
        <f t="shared" si="42"/>
        <v>196</v>
      </c>
      <c r="L49" s="83">
        <f t="shared" si="43"/>
        <v>9.8000000000000007</v>
      </c>
      <c r="M49" s="83">
        <f t="shared" si="44"/>
        <v>2.3784515968683992</v>
      </c>
      <c r="N49" s="158">
        <f t="shared" si="45"/>
        <v>208.1784515968684</v>
      </c>
      <c r="Q49" s="197">
        <f t="shared" si="46"/>
        <v>4</v>
      </c>
      <c r="R49" s="198">
        <f t="shared" si="46"/>
        <v>1</v>
      </c>
      <c r="S49" s="161">
        <v>49</v>
      </c>
      <c r="T49" s="161"/>
      <c r="U49" s="132">
        <f t="shared" si="47"/>
        <v>196</v>
      </c>
      <c r="V49" s="133">
        <f t="shared" si="48"/>
        <v>0</v>
      </c>
      <c r="W49" s="84">
        <f t="shared" si="49"/>
        <v>0</v>
      </c>
      <c r="X49" s="84">
        <f t="shared" si="50"/>
        <v>0</v>
      </c>
      <c r="Y49" s="159">
        <f t="shared" si="51"/>
        <v>2.3784515968683992</v>
      </c>
      <c r="Z49" s="101">
        <f t="shared" si="52"/>
        <v>1</v>
      </c>
      <c r="AA49" s="85" t="str">
        <f t="shared" si="53"/>
        <v/>
      </c>
      <c r="AK49" s="493">
        <f t="shared" si="11"/>
        <v>0</v>
      </c>
      <c r="AL49" s="551"/>
    </row>
    <row r="50" spans="1:38" ht="18" x14ac:dyDescent="0.35">
      <c r="A50" s="46">
        <v>35</v>
      </c>
      <c r="B50" s="81" t="s">
        <v>263</v>
      </c>
      <c r="C50" s="80" t="s">
        <v>135</v>
      </c>
      <c r="D50" s="46" t="s">
        <v>138</v>
      </c>
      <c r="E50" s="46" t="s">
        <v>139</v>
      </c>
      <c r="F50" s="243" t="s">
        <v>241</v>
      </c>
      <c r="G50" s="244" t="s">
        <v>294</v>
      </c>
      <c r="H50" s="245">
        <v>3</v>
      </c>
      <c r="I50" s="105">
        <v>1</v>
      </c>
      <c r="J50" s="217">
        <v>175</v>
      </c>
      <c r="K50" s="87">
        <f>IF(F50&lt;&gt;"",H50*I50*J50,"")</f>
        <v>525</v>
      </c>
      <c r="L50" s="87">
        <f>IF(K50&lt;&gt;"",IF(D50="INTERNO",0,K50*$L$14),"")</f>
        <v>26.25</v>
      </c>
      <c r="M50" s="87">
        <f>IF(K50&lt;&gt;"",IF(E50="FAT.OGGI",SUM(K50:L50)*(1/(1-$M$14)-1),L50*(1/(1-$M$14)-1)),0)</f>
        <v>6.3708524916117826</v>
      </c>
      <c r="N50" s="95">
        <f>SUM(K50:M50)</f>
        <v>557.6208524916118</v>
      </c>
      <c r="Q50" s="199">
        <f>IF(H50&lt;&gt;"",H50,"")</f>
        <v>3</v>
      </c>
      <c r="R50" s="200">
        <f>IF(I50&lt;&gt;"",I50,"")</f>
        <v>1</v>
      </c>
      <c r="S50" s="201">
        <v>175</v>
      </c>
      <c r="T50" s="201"/>
      <c r="U50" s="123">
        <f>IF(Q50&lt;&gt;"",K50-T50,"")</f>
        <v>525</v>
      </c>
      <c r="V50" s="124">
        <f>IF(Q50&lt;&gt;"",0%,"")</f>
        <v>0</v>
      </c>
      <c r="W50" s="125">
        <f>IF(Q50&lt;&gt;"",V50*U50,"")</f>
        <v>0</v>
      </c>
      <c r="X50" s="125">
        <f>IF(Q50&lt;&gt;"",W50+T50,"")</f>
        <v>0</v>
      </c>
      <c r="Y50" s="102">
        <f>IF(Q50&lt;&gt;"",X50+M50,"")</f>
        <v>6.3708524916117826</v>
      </c>
      <c r="Z50" s="101">
        <f>IF(Q50&lt;&gt;"", IFERROR(U50/K50, 0), 0)</f>
        <v>1</v>
      </c>
      <c r="AA50" s="273">
        <f t="shared" ref="AA50:AA51" si="54">IFERROR(T50/$T$25, "")</f>
        <v>0</v>
      </c>
      <c r="AK50" s="493">
        <f t="shared" si="11"/>
        <v>0</v>
      </c>
      <c r="AL50" s="551"/>
    </row>
    <row r="51" spans="1:38" ht="32.4" x14ac:dyDescent="0.35">
      <c r="A51" s="77">
        <v>36</v>
      </c>
      <c r="B51" s="81" t="s">
        <v>286</v>
      </c>
      <c r="C51" s="79" t="s">
        <v>135</v>
      </c>
      <c r="D51" s="46" t="s">
        <v>138</v>
      </c>
      <c r="E51" s="46" t="s">
        <v>139</v>
      </c>
      <c r="F51" s="107" t="s">
        <v>242</v>
      </c>
      <c r="G51" s="244" t="s">
        <v>293</v>
      </c>
      <c r="H51" s="246">
        <v>2</v>
      </c>
      <c r="I51" s="131">
        <v>1</v>
      </c>
      <c r="J51" s="162">
        <v>175</v>
      </c>
      <c r="K51" s="83">
        <f>IF(F51&lt;&gt;"",H51*I51*J51,"")</f>
        <v>350</v>
      </c>
      <c r="L51" s="83">
        <f>IF(K51&lt;&gt;"",IF(D51="INTERNO",0,K51*$L$14),"")</f>
        <v>17.5</v>
      </c>
      <c r="M51" s="83">
        <f>IF(K51&lt;&gt;"",IF(E51="FAT.OGGI",SUM(K51:L51)*(1/(1-$M$14)-1),L51*(1/(1-$M$14)-1)),0)</f>
        <v>4.2472349944078553</v>
      </c>
      <c r="N51" s="158">
        <f>SUM(K51:M51)</f>
        <v>371.74723499440785</v>
      </c>
      <c r="Q51" s="126">
        <f>IF(H51&lt;&gt;"",H51,"")</f>
        <v>2</v>
      </c>
      <c r="R51" s="126">
        <f>IF(I51&lt;&gt;"",I51,"")</f>
        <v>1</v>
      </c>
      <c r="S51" s="127">
        <v>175</v>
      </c>
      <c r="T51" s="127"/>
      <c r="U51" s="128">
        <f>IF(Q51&lt;&gt;"",K51-T51,"")</f>
        <v>350</v>
      </c>
      <c r="V51" s="130">
        <f>IF(Q51&lt;&gt;"",0%,"")</f>
        <v>0</v>
      </c>
      <c r="W51" s="129">
        <f>IF(Q51&lt;&gt;"",V51*U51,"")</f>
        <v>0</v>
      </c>
      <c r="X51" s="129">
        <f>IF(Q51&lt;&gt;"",W51+T51,"")</f>
        <v>0</v>
      </c>
      <c r="Y51" s="84">
        <f>IF(Q51&lt;&gt;"",X51+M51,"")</f>
        <v>4.2472349944078553</v>
      </c>
      <c r="Z51" s="85">
        <f>IF(Q51&lt;&gt;"", IFERROR(U51/K51, 0), 0)</f>
        <v>1</v>
      </c>
      <c r="AA51" s="273">
        <f t="shared" si="54"/>
        <v>0</v>
      </c>
      <c r="AK51" s="493">
        <f t="shared" si="11"/>
        <v>0</v>
      </c>
      <c r="AL51" s="551"/>
    </row>
    <row r="52" spans="1:38" ht="24.45" customHeight="1" thickBot="1" x14ac:dyDescent="0.4">
      <c r="A52" s="104">
        <v>37</v>
      </c>
      <c r="B52" s="81"/>
      <c r="C52" s="109" t="s">
        <v>140</v>
      </c>
      <c r="D52" s="104"/>
      <c r="E52" s="104"/>
      <c r="F52" s="647" t="s">
        <v>231</v>
      </c>
      <c r="G52" s="648"/>
      <c r="H52" s="648"/>
      <c r="I52" s="648"/>
      <c r="J52" s="648"/>
      <c r="K52" s="522">
        <f>SUM(K42:K51)</f>
        <v>28803</v>
      </c>
      <c r="L52" s="522">
        <f>SUM(L42:L51)</f>
        <v>1440.1499999999999</v>
      </c>
      <c r="M52" s="522">
        <f>SUM(M42:M51)</f>
        <v>349.52317012551271</v>
      </c>
      <c r="N52" s="523">
        <f>SUM(N42:N51)</f>
        <v>30592.673170125512</v>
      </c>
      <c r="Q52" s="644" t="s">
        <v>231</v>
      </c>
      <c r="R52" s="645"/>
      <c r="S52" s="645"/>
      <c r="T52" s="524">
        <f>SUM(T42:T51)</f>
        <v>0</v>
      </c>
      <c r="U52" s="525">
        <f>SUM(U42:U51)</f>
        <v>28803</v>
      </c>
      <c r="V52" s="526"/>
      <c r="W52" s="526"/>
      <c r="X52" s="527">
        <f>SUM(X42:X51)</f>
        <v>0</v>
      </c>
      <c r="Y52" s="528">
        <f t="shared" si="51"/>
        <v>349.52317012551271</v>
      </c>
      <c r="AK52" s="493">
        <f t="shared" si="11"/>
        <v>0</v>
      </c>
      <c r="AL52" s="551"/>
    </row>
    <row r="53" spans="1:38" ht="18" x14ac:dyDescent="0.35">
      <c r="A53" s="46">
        <v>38</v>
      </c>
      <c r="B53" s="81" t="s">
        <v>264</v>
      </c>
      <c r="C53" s="80" t="s">
        <v>130</v>
      </c>
      <c r="D53" s="46"/>
      <c r="E53" s="46"/>
      <c r="F53" s="678" t="s">
        <v>243</v>
      </c>
      <c r="G53" s="679"/>
      <c r="H53" s="679"/>
      <c r="I53" s="679"/>
      <c r="J53" s="679"/>
      <c r="K53" s="679"/>
      <c r="L53" s="187" t="s">
        <v>132</v>
      </c>
      <c r="M53" s="187" t="s">
        <v>133</v>
      </c>
      <c r="N53" s="188" t="s">
        <v>82</v>
      </c>
      <c r="Q53" s="642" t="str">
        <f>IF(F53&lt;&gt;"",F53,"")</f>
        <v xml:space="preserve">15/01 - A$B </v>
      </c>
      <c r="R53" s="643"/>
      <c r="S53" s="643"/>
      <c r="T53" s="643"/>
      <c r="U53" s="643"/>
      <c r="V53" s="643"/>
      <c r="W53" s="643"/>
      <c r="X53" s="643"/>
      <c r="Y53" s="646"/>
      <c r="Z53" s="504" t="s">
        <v>134</v>
      </c>
      <c r="AA53" s="505" t="s">
        <v>83</v>
      </c>
      <c r="AK53" s="493">
        <f t="shared" si="11"/>
        <v>0</v>
      </c>
      <c r="AL53" s="551"/>
    </row>
    <row r="54" spans="1:38" ht="18" x14ac:dyDescent="0.35">
      <c r="A54" s="46">
        <v>39</v>
      </c>
      <c r="B54" s="81" t="s">
        <v>265</v>
      </c>
      <c r="C54" s="80" t="s">
        <v>135</v>
      </c>
      <c r="D54" s="46" t="s">
        <v>138</v>
      </c>
      <c r="E54" s="46" t="s">
        <v>139</v>
      </c>
      <c r="F54" s="163" t="s">
        <v>233</v>
      </c>
      <c r="G54" s="160" t="s">
        <v>233</v>
      </c>
      <c r="H54" s="170">
        <v>42</v>
      </c>
      <c r="I54" s="131">
        <v>1</v>
      </c>
      <c r="J54" s="83">
        <v>46</v>
      </c>
      <c r="K54" s="83">
        <f t="shared" ref="K54:K61" si="55">IF(F54&lt;&gt;"",H54*I54*J54,"")</f>
        <v>1932</v>
      </c>
      <c r="L54" s="83">
        <f t="shared" ref="L54:L61" si="56">IF(K54&lt;&gt;"",IF(D54="INTERNO",0,K54*$L$14),"")</f>
        <v>96.600000000000009</v>
      </c>
      <c r="M54" s="83">
        <f t="shared" ref="M54:M61" si="57">IF(K54&lt;&gt;"",IF(E54="FAT.OGGI",SUM(K54:L54)*(1/(1-$M$14)-1),L54*(1/(1-$M$14)-1)),0)</f>
        <v>23.444737169131361</v>
      </c>
      <c r="N54" s="158">
        <f t="shared" ref="N54:N61" si="58">SUM(K54:M54)</f>
        <v>2052.0447371691312</v>
      </c>
      <c r="Q54" s="197">
        <f t="shared" ref="Q54:Q61" si="59">IF(H54&lt;&gt;"",H54,"")</f>
        <v>42</v>
      </c>
      <c r="R54" s="198">
        <f t="shared" ref="R54:R61" si="60">IF(I54&lt;&gt;"",I54,"")</f>
        <v>1</v>
      </c>
      <c r="S54" s="161">
        <v>46</v>
      </c>
      <c r="T54" s="161"/>
      <c r="U54" s="132">
        <f t="shared" ref="U54:U61" si="61">IF(Q54&lt;&gt;"",K54-T54,"")</f>
        <v>1932</v>
      </c>
      <c r="V54" s="133">
        <f t="shared" ref="V54:V61" si="62">IF(Q54&lt;&gt;"",0%,"")</f>
        <v>0</v>
      </c>
      <c r="W54" s="84">
        <f t="shared" ref="W54:W61" si="63">IF(Q54&lt;&gt;"",V54*U54,"")</f>
        <v>0</v>
      </c>
      <c r="X54" s="84">
        <f t="shared" ref="X54:X61" si="64">IF(Q54&lt;&gt;"",W54+T54,"")</f>
        <v>0</v>
      </c>
      <c r="Y54" s="159">
        <f t="shared" ref="Y54:Y61" si="65">IF(Q54&lt;&gt;"",X54+M54,"")</f>
        <v>23.444737169131361</v>
      </c>
      <c r="Z54" s="101">
        <f t="shared" ref="Z54:Z61" si="66">IF(Q54&lt;&gt;"", IFERROR(U54/K54, 0), 0)</f>
        <v>1</v>
      </c>
      <c r="AA54" s="85" t="str">
        <f t="shared" ref="AA54:AA61" si="67">IFERROR(T54/$T$63, "")</f>
        <v/>
      </c>
      <c r="AK54" s="493">
        <f t="shared" si="11"/>
        <v>0</v>
      </c>
      <c r="AL54" s="551"/>
    </row>
    <row r="55" spans="1:38" ht="18" x14ac:dyDescent="0.35">
      <c r="A55" s="46">
        <v>40</v>
      </c>
      <c r="B55" s="81" t="s">
        <v>266</v>
      </c>
      <c r="C55" s="80" t="s">
        <v>135</v>
      </c>
      <c r="D55" s="46" t="s">
        <v>138</v>
      </c>
      <c r="E55" s="46" t="s">
        <v>139</v>
      </c>
      <c r="F55" s="163" t="s">
        <v>232</v>
      </c>
      <c r="G55" s="160" t="s">
        <v>232</v>
      </c>
      <c r="H55" s="170">
        <v>42</v>
      </c>
      <c r="I55" s="131">
        <v>1</v>
      </c>
      <c r="J55" s="83">
        <v>175</v>
      </c>
      <c r="K55" s="83">
        <f t="shared" si="55"/>
        <v>7350</v>
      </c>
      <c r="L55" s="83">
        <f t="shared" si="56"/>
        <v>367.5</v>
      </c>
      <c r="M55" s="83">
        <f t="shared" si="57"/>
        <v>89.191934882564965</v>
      </c>
      <c r="N55" s="158">
        <f t="shared" si="58"/>
        <v>7806.691934882565</v>
      </c>
      <c r="Q55" s="197">
        <f t="shared" si="59"/>
        <v>42</v>
      </c>
      <c r="R55" s="198">
        <f t="shared" si="60"/>
        <v>1</v>
      </c>
      <c r="S55" s="161">
        <v>175</v>
      </c>
      <c r="T55" s="161"/>
      <c r="U55" s="132">
        <f t="shared" si="61"/>
        <v>7350</v>
      </c>
      <c r="V55" s="133">
        <f t="shared" si="62"/>
        <v>0</v>
      </c>
      <c r="W55" s="84">
        <f t="shared" si="63"/>
        <v>0</v>
      </c>
      <c r="X55" s="84">
        <f t="shared" si="64"/>
        <v>0</v>
      </c>
      <c r="Y55" s="159">
        <f t="shared" si="65"/>
        <v>89.191934882564965</v>
      </c>
      <c r="Z55" s="101">
        <f t="shared" si="66"/>
        <v>1</v>
      </c>
      <c r="AA55" s="85" t="str">
        <f t="shared" si="67"/>
        <v/>
      </c>
      <c r="AK55" s="493">
        <f t="shared" si="11"/>
        <v>0</v>
      </c>
      <c r="AL55" s="551"/>
    </row>
    <row r="56" spans="1:38" ht="18" x14ac:dyDescent="0.35">
      <c r="A56" s="46">
        <v>41</v>
      </c>
      <c r="B56" s="81" t="s">
        <v>267</v>
      </c>
      <c r="C56" s="80" t="s">
        <v>135</v>
      </c>
      <c r="D56" s="46" t="s">
        <v>138</v>
      </c>
      <c r="E56" s="46" t="s">
        <v>139</v>
      </c>
      <c r="F56" s="163" t="s">
        <v>233</v>
      </c>
      <c r="G56" s="160" t="s">
        <v>233</v>
      </c>
      <c r="H56" s="170">
        <v>42</v>
      </c>
      <c r="I56" s="131">
        <v>1</v>
      </c>
      <c r="J56" s="83">
        <v>46</v>
      </c>
      <c r="K56" s="83">
        <f t="shared" si="55"/>
        <v>1932</v>
      </c>
      <c r="L56" s="83">
        <f t="shared" si="56"/>
        <v>96.600000000000009</v>
      </c>
      <c r="M56" s="83">
        <f t="shared" si="57"/>
        <v>23.444737169131361</v>
      </c>
      <c r="N56" s="158">
        <f t="shared" si="58"/>
        <v>2052.0447371691312</v>
      </c>
      <c r="Q56" s="197">
        <f t="shared" si="59"/>
        <v>42</v>
      </c>
      <c r="R56" s="198">
        <f t="shared" si="60"/>
        <v>1</v>
      </c>
      <c r="S56" s="161">
        <v>46</v>
      </c>
      <c r="T56" s="161"/>
      <c r="U56" s="132">
        <f t="shared" si="61"/>
        <v>1932</v>
      </c>
      <c r="V56" s="133">
        <f t="shared" si="62"/>
        <v>0</v>
      </c>
      <c r="W56" s="84">
        <f t="shared" si="63"/>
        <v>0</v>
      </c>
      <c r="X56" s="84">
        <f t="shared" si="64"/>
        <v>0</v>
      </c>
      <c r="Y56" s="159">
        <f t="shared" si="65"/>
        <v>23.444737169131361</v>
      </c>
      <c r="Z56" s="101">
        <f t="shared" si="66"/>
        <v>1</v>
      </c>
      <c r="AA56" s="85" t="str">
        <f t="shared" si="67"/>
        <v/>
      </c>
      <c r="AK56" s="493">
        <f t="shared" si="11"/>
        <v>0</v>
      </c>
      <c r="AL56" s="551"/>
    </row>
    <row r="57" spans="1:38" ht="18" x14ac:dyDescent="0.35">
      <c r="A57" s="46">
        <v>42</v>
      </c>
      <c r="B57" s="81" t="s">
        <v>268</v>
      </c>
      <c r="C57" s="80" t="s">
        <v>135</v>
      </c>
      <c r="D57" s="46" t="s">
        <v>138</v>
      </c>
      <c r="E57" s="46" t="s">
        <v>139</v>
      </c>
      <c r="F57" s="163" t="s">
        <v>234</v>
      </c>
      <c r="G57" s="160" t="s">
        <v>234</v>
      </c>
      <c r="H57" s="170">
        <v>42</v>
      </c>
      <c r="I57" s="131">
        <v>1</v>
      </c>
      <c r="J57" s="83">
        <v>175</v>
      </c>
      <c r="K57" s="83">
        <f t="shared" si="55"/>
        <v>7350</v>
      </c>
      <c r="L57" s="83">
        <f t="shared" si="56"/>
        <v>367.5</v>
      </c>
      <c r="M57" s="83">
        <f t="shared" si="57"/>
        <v>89.191934882564965</v>
      </c>
      <c r="N57" s="158">
        <f t="shared" si="58"/>
        <v>7806.691934882565</v>
      </c>
      <c r="Q57" s="197">
        <f t="shared" si="59"/>
        <v>42</v>
      </c>
      <c r="R57" s="198">
        <f t="shared" si="60"/>
        <v>1</v>
      </c>
      <c r="S57" s="161">
        <v>175</v>
      </c>
      <c r="T57" s="161"/>
      <c r="U57" s="132">
        <f t="shared" si="61"/>
        <v>7350</v>
      </c>
      <c r="V57" s="133">
        <f t="shared" si="62"/>
        <v>0</v>
      </c>
      <c r="W57" s="84">
        <f t="shared" si="63"/>
        <v>0</v>
      </c>
      <c r="X57" s="84">
        <f t="shared" si="64"/>
        <v>0</v>
      </c>
      <c r="Y57" s="159">
        <f t="shared" si="65"/>
        <v>89.191934882564965</v>
      </c>
      <c r="Z57" s="101">
        <f t="shared" si="66"/>
        <v>1</v>
      </c>
      <c r="AA57" s="85" t="str">
        <f t="shared" si="67"/>
        <v/>
      </c>
      <c r="AK57" s="493">
        <f t="shared" si="11"/>
        <v>0</v>
      </c>
      <c r="AL57" s="551"/>
    </row>
    <row r="58" spans="1:38" ht="18" x14ac:dyDescent="0.35">
      <c r="A58" s="46">
        <v>43</v>
      </c>
      <c r="B58" s="81" t="s">
        <v>269</v>
      </c>
      <c r="C58" s="80" t="s">
        <v>135</v>
      </c>
      <c r="D58" s="46" t="s">
        <v>138</v>
      </c>
      <c r="E58" s="46" t="s">
        <v>139</v>
      </c>
      <c r="F58" s="163" t="s">
        <v>235</v>
      </c>
      <c r="G58" s="160" t="s">
        <v>235</v>
      </c>
      <c r="H58" s="170">
        <v>42</v>
      </c>
      <c r="I58" s="131">
        <v>1</v>
      </c>
      <c r="J58" s="83">
        <v>289</v>
      </c>
      <c r="K58" s="83">
        <f t="shared" si="55"/>
        <v>12138</v>
      </c>
      <c r="L58" s="83">
        <f t="shared" si="56"/>
        <v>606.9</v>
      </c>
      <c r="M58" s="83">
        <f t="shared" si="57"/>
        <v>147.29410960606441</v>
      </c>
      <c r="N58" s="158">
        <f t="shared" si="58"/>
        <v>12892.194109606064</v>
      </c>
      <c r="Q58" s="197">
        <f t="shared" si="59"/>
        <v>42</v>
      </c>
      <c r="R58" s="198">
        <f t="shared" si="60"/>
        <v>1</v>
      </c>
      <c r="S58" s="161">
        <v>289</v>
      </c>
      <c r="T58" s="161"/>
      <c r="U58" s="132">
        <f t="shared" si="61"/>
        <v>12138</v>
      </c>
      <c r="V58" s="133">
        <f t="shared" si="62"/>
        <v>0</v>
      </c>
      <c r="W58" s="84">
        <f t="shared" si="63"/>
        <v>0</v>
      </c>
      <c r="X58" s="84">
        <f t="shared" si="64"/>
        <v>0</v>
      </c>
      <c r="Y58" s="159">
        <f t="shared" si="65"/>
        <v>147.29410960606441</v>
      </c>
      <c r="Z58" s="101">
        <f t="shared" si="66"/>
        <v>1</v>
      </c>
      <c r="AA58" s="85" t="str">
        <f t="shared" si="67"/>
        <v/>
      </c>
      <c r="AK58" s="493">
        <f t="shared" si="11"/>
        <v>0</v>
      </c>
      <c r="AL58" s="551"/>
    </row>
    <row r="59" spans="1:38" ht="18" x14ac:dyDescent="0.35">
      <c r="A59" s="46">
        <v>44</v>
      </c>
      <c r="B59" s="81" t="s">
        <v>270</v>
      </c>
      <c r="C59" s="80" t="s">
        <v>135</v>
      </c>
      <c r="D59" s="46" t="s">
        <v>138</v>
      </c>
      <c r="E59" s="46" t="s">
        <v>139</v>
      </c>
      <c r="F59" s="163" t="s">
        <v>236</v>
      </c>
      <c r="G59" s="160" t="s">
        <v>236</v>
      </c>
      <c r="H59" s="170">
        <v>193</v>
      </c>
      <c r="I59" s="131">
        <v>1</v>
      </c>
      <c r="J59" s="83">
        <v>5</v>
      </c>
      <c r="K59" s="83">
        <f t="shared" si="55"/>
        <v>965</v>
      </c>
      <c r="L59" s="83">
        <f t="shared" si="56"/>
        <v>48.25</v>
      </c>
      <c r="M59" s="83">
        <f t="shared" si="57"/>
        <v>11.7102336274388</v>
      </c>
      <c r="N59" s="158">
        <f t="shared" si="58"/>
        <v>1024.9602336274388</v>
      </c>
      <c r="Q59" s="197">
        <f t="shared" si="59"/>
        <v>193</v>
      </c>
      <c r="R59" s="198">
        <f t="shared" si="60"/>
        <v>1</v>
      </c>
      <c r="S59" s="161">
        <v>5</v>
      </c>
      <c r="T59" s="161"/>
      <c r="U59" s="132">
        <f t="shared" si="61"/>
        <v>965</v>
      </c>
      <c r="V59" s="133">
        <f t="shared" si="62"/>
        <v>0</v>
      </c>
      <c r="W59" s="84">
        <f t="shared" si="63"/>
        <v>0</v>
      </c>
      <c r="X59" s="84">
        <f t="shared" si="64"/>
        <v>0</v>
      </c>
      <c r="Y59" s="159">
        <f t="shared" si="65"/>
        <v>11.7102336274388</v>
      </c>
      <c r="Z59" s="101">
        <f t="shared" si="66"/>
        <v>1</v>
      </c>
      <c r="AA59" s="85" t="str">
        <f t="shared" si="67"/>
        <v/>
      </c>
      <c r="AK59" s="493">
        <f t="shared" si="11"/>
        <v>0</v>
      </c>
      <c r="AL59" s="551"/>
    </row>
    <row r="60" spans="1:38" ht="18" x14ac:dyDescent="0.35">
      <c r="A60" s="46">
        <v>45</v>
      </c>
      <c r="B60" s="81" t="s">
        <v>271</v>
      </c>
      <c r="C60" s="80" t="s">
        <v>135</v>
      </c>
      <c r="D60" s="46" t="s">
        <v>138</v>
      </c>
      <c r="E60" s="46" t="s">
        <v>139</v>
      </c>
      <c r="F60" s="172" t="s">
        <v>237</v>
      </c>
      <c r="G60" s="184" t="s">
        <v>237</v>
      </c>
      <c r="H60" s="170">
        <v>3</v>
      </c>
      <c r="I60" s="131">
        <v>1</v>
      </c>
      <c r="J60" s="83">
        <v>49</v>
      </c>
      <c r="K60" s="83">
        <f t="shared" si="55"/>
        <v>147</v>
      </c>
      <c r="L60" s="83">
        <f t="shared" si="56"/>
        <v>7.3500000000000005</v>
      </c>
      <c r="M60" s="83">
        <f t="shared" si="57"/>
        <v>1.7838386976512994</v>
      </c>
      <c r="N60" s="158">
        <f t="shared" si="58"/>
        <v>156.1338386976513</v>
      </c>
      <c r="Q60" s="197">
        <f t="shared" si="59"/>
        <v>3</v>
      </c>
      <c r="R60" s="198">
        <f t="shared" si="60"/>
        <v>1</v>
      </c>
      <c r="S60" s="161">
        <v>49</v>
      </c>
      <c r="T60" s="161"/>
      <c r="U60" s="132">
        <f t="shared" si="61"/>
        <v>147</v>
      </c>
      <c r="V60" s="133">
        <f t="shared" si="62"/>
        <v>0</v>
      </c>
      <c r="W60" s="84">
        <f t="shared" si="63"/>
        <v>0</v>
      </c>
      <c r="X60" s="84">
        <f t="shared" si="64"/>
        <v>0</v>
      </c>
      <c r="Y60" s="159">
        <f t="shared" si="65"/>
        <v>1.7838386976512994</v>
      </c>
      <c r="Z60" s="101">
        <f t="shared" si="66"/>
        <v>1</v>
      </c>
      <c r="AA60" s="85" t="str">
        <f t="shared" si="67"/>
        <v/>
      </c>
      <c r="AK60" s="493">
        <f t="shared" si="11"/>
        <v>0</v>
      </c>
      <c r="AL60" s="551"/>
    </row>
    <row r="61" spans="1:38" ht="18" x14ac:dyDescent="0.35">
      <c r="A61" s="46">
        <v>46</v>
      </c>
      <c r="B61" s="81" t="s">
        <v>272</v>
      </c>
      <c r="C61" s="80" t="s">
        <v>135</v>
      </c>
      <c r="D61" s="46" t="s">
        <v>138</v>
      </c>
      <c r="E61" s="46" t="s">
        <v>139</v>
      </c>
      <c r="F61" s="243" t="s">
        <v>241</v>
      </c>
      <c r="G61" s="244" t="s">
        <v>295</v>
      </c>
      <c r="H61" s="247">
        <v>3</v>
      </c>
      <c r="I61" s="105">
        <v>1</v>
      </c>
      <c r="J61" s="87">
        <v>175</v>
      </c>
      <c r="K61" s="87">
        <f t="shared" si="55"/>
        <v>525</v>
      </c>
      <c r="L61" s="87">
        <f t="shared" si="56"/>
        <v>26.25</v>
      </c>
      <c r="M61" s="87">
        <f t="shared" si="57"/>
        <v>6.3708524916117826</v>
      </c>
      <c r="N61" s="95">
        <f t="shared" si="58"/>
        <v>557.6208524916118</v>
      </c>
      <c r="Q61" s="199">
        <f t="shared" si="59"/>
        <v>3</v>
      </c>
      <c r="R61" s="200">
        <f t="shared" si="60"/>
        <v>1</v>
      </c>
      <c r="S61" s="201">
        <v>175</v>
      </c>
      <c r="T61" s="201"/>
      <c r="U61" s="123">
        <f t="shared" si="61"/>
        <v>525</v>
      </c>
      <c r="V61" s="124">
        <f t="shared" si="62"/>
        <v>0</v>
      </c>
      <c r="W61" s="125">
        <f t="shared" si="63"/>
        <v>0</v>
      </c>
      <c r="X61" s="125">
        <f t="shared" si="64"/>
        <v>0</v>
      </c>
      <c r="Y61" s="102">
        <f t="shared" si="65"/>
        <v>6.3708524916117826</v>
      </c>
      <c r="Z61" s="101">
        <f t="shared" si="66"/>
        <v>1</v>
      </c>
      <c r="AA61" s="85" t="str">
        <f t="shared" si="67"/>
        <v/>
      </c>
      <c r="AK61" s="493">
        <f t="shared" si="11"/>
        <v>0</v>
      </c>
      <c r="AL61" s="551"/>
    </row>
    <row r="62" spans="1:38" ht="18" x14ac:dyDescent="0.35">
      <c r="A62" s="77">
        <v>47</v>
      </c>
      <c r="B62" s="81" t="s">
        <v>287</v>
      </c>
      <c r="C62" s="79" t="s">
        <v>135</v>
      </c>
      <c r="D62" s="46" t="s">
        <v>138</v>
      </c>
      <c r="E62" s="46" t="s">
        <v>139</v>
      </c>
      <c r="F62" s="107" t="s">
        <v>242</v>
      </c>
      <c r="G62" s="244" t="s">
        <v>293</v>
      </c>
      <c r="H62" s="248">
        <v>2</v>
      </c>
      <c r="I62" s="131">
        <v>1</v>
      </c>
      <c r="J62" s="83">
        <v>175</v>
      </c>
      <c r="K62" s="83">
        <f>IF(F62&lt;&gt;"",H62*I62*J62,"")</f>
        <v>350</v>
      </c>
      <c r="L62" s="83">
        <f>IF(K62&lt;&gt;"",IF(D62="INTERNO",0,K62*$L$14),"")</f>
        <v>17.5</v>
      </c>
      <c r="M62" s="83">
        <f>IF(K62&lt;&gt;"",IF(E62="FAT.OGGI",SUM(K62:L62)*(1/(1-$M$14)-1),L62*(1/(1-$M$14)-1)),0)</f>
        <v>4.2472349944078553</v>
      </c>
      <c r="N62" s="158">
        <f>SUM(K62:M62)</f>
        <v>371.74723499440785</v>
      </c>
      <c r="Q62" s="126">
        <f>IF(H62&lt;&gt;"",H62,"")</f>
        <v>2</v>
      </c>
      <c r="R62" s="126">
        <f>IF(I62&lt;&gt;"",I62,"")</f>
        <v>1</v>
      </c>
      <c r="S62" s="127">
        <v>175</v>
      </c>
      <c r="T62" s="127"/>
      <c r="U62" s="128">
        <f>IF(Q62&lt;&gt;"",K62-T62,"")</f>
        <v>350</v>
      </c>
      <c r="V62" s="130">
        <f>IF(Q62&lt;&gt;"",0%,"")</f>
        <v>0</v>
      </c>
      <c r="W62" s="129">
        <f>IF(Q62&lt;&gt;"",V62*U62,"")</f>
        <v>0</v>
      </c>
      <c r="X62" s="129">
        <f>IF(Q62&lt;&gt;"",W62+T62,"")</f>
        <v>0</v>
      </c>
      <c r="Y62" s="84">
        <f>IF(Q62&lt;&gt;"",X62+M62,"")</f>
        <v>4.2472349944078553</v>
      </c>
      <c r="Z62" s="85">
        <f>IF(Q62&lt;&gt;"", IFERROR(U62/K62, 0), 0)</f>
        <v>1</v>
      </c>
      <c r="AA62" s="273">
        <f>IFERROR(T62/$T$25, "")</f>
        <v>0</v>
      </c>
      <c r="AK62" s="493">
        <f t="shared" si="11"/>
        <v>0</v>
      </c>
      <c r="AL62" s="551"/>
    </row>
    <row r="63" spans="1:38" ht="27" customHeight="1" thickBot="1" x14ac:dyDescent="0.4">
      <c r="A63" s="104">
        <v>48</v>
      </c>
      <c r="B63" s="81"/>
      <c r="C63" s="109" t="s">
        <v>140</v>
      </c>
      <c r="D63" s="104"/>
      <c r="E63" s="104"/>
      <c r="F63" s="667" t="s">
        <v>244</v>
      </c>
      <c r="G63" s="668"/>
      <c r="H63" s="668"/>
      <c r="I63" s="668"/>
      <c r="J63" s="668"/>
      <c r="K63" s="529">
        <f>SUM(K54:K62)</f>
        <v>32689</v>
      </c>
      <c r="L63" s="529">
        <f>SUM(L54:L62)</f>
        <v>1634.4499999999998</v>
      </c>
      <c r="M63" s="529">
        <f>SUM(M54:M62)</f>
        <v>396.67961352056676</v>
      </c>
      <c r="N63" s="530">
        <f>SUM(N54:N62)</f>
        <v>34720.12961352057</v>
      </c>
      <c r="Q63" s="644" t="s">
        <v>244</v>
      </c>
      <c r="R63" s="645"/>
      <c r="S63" s="645"/>
      <c r="T63" s="524">
        <f>SUM(T54:T62)</f>
        <v>0</v>
      </c>
      <c r="U63" s="525">
        <f>SUM(U54:U62)</f>
        <v>32689</v>
      </c>
      <c r="V63" s="526"/>
      <c r="W63" s="526"/>
      <c r="X63" s="527">
        <f>SUM(X54:X62)</f>
        <v>0</v>
      </c>
      <c r="Y63" s="528">
        <f>IF(Q63&lt;&gt;"",X63+M63,"")</f>
        <v>396.67961352056676</v>
      </c>
      <c r="AK63" s="493">
        <f t="shared" si="11"/>
        <v>0</v>
      </c>
      <c r="AL63" s="551"/>
    </row>
    <row r="64" spans="1:38" ht="18" x14ac:dyDescent="0.35">
      <c r="A64" s="46">
        <v>55</v>
      </c>
      <c r="B64" s="81">
        <v>5</v>
      </c>
      <c r="C64" s="80" t="s">
        <v>129</v>
      </c>
      <c r="D64" s="46"/>
      <c r="E64" s="46"/>
      <c r="F64" s="651"/>
      <c r="G64" s="652"/>
      <c r="H64" s="652"/>
      <c r="I64" s="652"/>
      <c r="J64" s="652"/>
      <c r="K64" s="652"/>
      <c r="L64" s="652"/>
      <c r="M64" s="652"/>
      <c r="N64" s="653"/>
      <c r="Q64" s="651" t="str">
        <f>IF(F64&lt;&gt;"",F64,"")</f>
        <v/>
      </c>
      <c r="R64" s="652"/>
      <c r="S64" s="652"/>
      <c r="T64" s="652"/>
      <c r="U64" s="652"/>
      <c r="V64" s="652"/>
      <c r="W64" s="652"/>
      <c r="X64" s="652"/>
      <c r="Y64" s="653"/>
      <c r="AK64" s="493">
        <f t="shared" si="11"/>
        <v>0</v>
      </c>
      <c r="AL64" s="551"/>
    </row>
    <row r="65" spans="1:39" ht="18" x14ac:dyDescent="0.35">
      <c r="A65" s="46">
        <v>56</v>
      </c>
      <c r="B65" s="81" t="s">
        <v>273</v>
      </c>
      <c r="C65" s="80" t="s">
        <v>130</v>
      </c>
      <c r="D65" s="46"/>
      <c r="E65" s="46"/>
      <c r="F65" s="642" t="s">
        <v>285</v>
      </c>
      <c r="G65" s="643"/>
      <c r="H65" s="643"/>
      <c r="I65" s="643"/>
      <c r="J65" s="643"/>
      <c r="K65" s="643"/>
      <c r="L65" s="168" t="s">
        <v>132</v>
      </c>
      <c r="M65" s="168" t="s">
        <v>133</v>
      </c>
      <c r="N65" s="181" t="s">
        <v>82</v>
      </c>
      <c r="Q65" s="642" t="str">
        <f>IF(F65&lt;&gt;"",F65,"")</f>
        <v>Itens extras</v>
      </c>
      <c r="R65" s="643"/>
      <c r="S65" s="643"/>
      <c r="T65" s="643"/>
      <c r="U65" s="643"/>
      <c r="V65" s="643"/>
      <c r="W65" s="643"/>
      <c r="X65" s="643"/>
      <c r="Y65" s="646"/>
      <c r="Z65" s="504" t="s">
        <v>134</v>
      </c>
      <c r="AA65" s="505" t="s">
        <v>83</v>
      </c>
      <c r="AK65" s="493">
        <f t="shared" si="11"/>
        <v>0</v>
      </c>
      <c r="AL65" s="551"/>
    </row>
    <row r="66" spans="1:39" ht="18" x14ac:dyDescent="0.35">
      <c r="A66" s="46">
        <v>57</v>
      </c>
      <c r="B66" s="81" t="s">
        <v>274</v>
      </c>
      <c r="C66" s="80" t="s">
        <v>135</v>
      </c>
      <c r="D66" s="46" t="s">
        <v>138</v>
      </c>
      <c r="E66" s="46" t="s">
        <v>139</v>
      </c>
      <c r="F66" s="164" t="s">
        <v>278</v>
      </c>
      <c r="G66" s="122" t="s">
        <v>279</v>
      </c>
      <c r="H66" s="157">
        <v>1</v>
      </c>
      <c r="I66" s="157">
        <v>1</v>
      </c>
      <c r="J66" s="83">
        <v>930.24</v>
      </c>
      <c r="K66" s="83">
        <f>IF(F66&lt;&gt;"",H66*I66*J66,"")</f>
        <v>930.24</v>
      </c>
      <c r="L66" s="83">
        <f>IF(K66&lt;&gt;"",IF(D66="INTERNO",0,K66*$L$14),"")</f>
        <v>46.512</v>
      </c>
      <c r="M66" s="83">
        <f>IF(K66&lt;&gt;"",IF(E66="FAT.OGGI",SUM(K66:L66)*(1/(1-$M$14)-1),L66*(1/(1-$M$14)-1)),0)</f>
        <v>11.288422517708467</v>
      </c>
      <c r="N66" s="158">
        <f>SUM(K66:M66)</f>
        <v>988.04042251770841</v>
      </c>
      <c r="Q66" s="197">
        <f t="shared" ref="Q66:R69" si="68">IF(H66&lt;&gt;"",H66,"")</f>
        <v>1</v>
      </c>
      <c r="R66" s="198">
        <f t="shared" si="68"/>
        <v>1</v>
      </c>
      <c r="S66" s="161">
        <v>930.24</v>
      </c>
      <c r="T66" s="161"/>
      <c r="U66" s="132">
        <f>IF(Q66&lt;&gt;"",K66-T66,"")</f>
        <v>930.24</v>
      </c>
      <c r="V66" s="133">
        <f>IF(Q66&lt;&gt;"",0%,"")</f>
        <v>0</v>
      </c>
      <c r="W66" s="84">
        <f>IF(Q66&lt;&gt;"",V66*U66,"")</f>
        <v>0</v>
      </c>
      <c r="X66" s="84">
        <f>IF(Q66&lt;&gt;"",W66+T66,"")</f>
        <v>0</v>
      </c>
      <c r="Y66" s="159">
        <f>IF(Q66&lt;&gt;"",X66+M66,"")</f>
        <v>11.288422517708467</v>
      </c>
      <c r="Z66" s="101">
        <f>IF(Q66&lt;&gt;"", IFERROR(U66/K66, 0), 0)</f>
        <v>1</v>
      </c>
      <c r="AA66" s="85" t="str">
        <f>IFERROR(T66/$T$70, "")</f>
        <v/>
      </c>
      <c r="AK66" s="493">
        <f t="shared" si="11"/>
        <v>0</v>
      </c>
      <c r="AL66" s="551"/>
    </row>
    <row r="67" spans="1:39" ht="18" x14ac:dyDescent="0.35">
      <c r="A67" s="46">
        <v>58</v>
      </c>
      <c r="B67" s="81" t="s">
        <v>275</v>
      </c>
      <c r="C67" s="80" t="s">
        <v>135</v>
      </c>
      <c r="D67" s="46" t="s">
        <v>138</v>
      </c>
      <c r="E67" s="46" t="s">
        <v>139</v>
      </c>
      <c r="F67" s="164" t="s">
        <v>280</v>
      </c>
      <c r="G67" s="122" t="s">
        <v>282</v>
      </c>
      <c r="H67" s="157">
        <v>1</v>
      </c>
      <c r="I67" s="157">
        <v>1</v>
      </c>
      <c r="J67" s="83">
        <v>1644.24</v>
      </c>
      <c r="K67" s="83">
        <f>IF(F67&lt;&gt;"",H67*I67*J67,"")</f>
        <v>1644.24</v>
      </c>
      <c r="L67" s="83">
        <f>IF(K67&lt;&gt;"",IF(D67="INTERNO",0,K67*$L$14),"")</f>
        <v>82.212000000000003</v>
      </c>
      <c r="M67" s="83">
        <f>IF(K67&lt;&gt;"",IF(E67="FAT.OGGI",SUM(K67:L67)*(1/(1-$M$14)-1),L67*(1/(1-$M$14)-1)),0)</f>
        <v>19.952781906300491</v>
      </c>
      <c r="N67" s="158">
        <f>SUM(K67:M67)</f>
        <v>1746.4047819063005</v>
      </c>
      <c r="Q67" s="197">
        <f t="shared" si="68"/>
        <v>1</v>
      </c>
      <c r="R67" s="198">
        <f t="shared" si="68"/>
        <v>1</v>
      </c>
      <c r="S67" s="161">
        <v>1644.24</v>
      </c>
      <c r="T67" s="161"/>
      <c r="U67" s="132">
        <f>IF(Q67&lt;&gt;"",K67-T67,"")</f>
        <v>1644.24</v>
      </c>
      <c r="V67" s="133">
        <f>IF(Q67&lt;&gt;"",0%,"")</f>
        <v>0</v>
      </c>
      <c r="W67" s="84">
        <f>IF(Q67&lt;&gt;"",V67*U67,"")</f>
        <v>0</v>
      </c>
      <c r="X67" s="84">
        <f>IF(Q67&lt;&gt;"",W67+T67,"")</f>
        <v>0</v>
      </c>
      <c r="Y67" s="159">
        <f>IF(Q67&lt;&gt;"",X67+M67,"")</f>
        <v>19.952781906300491</v>
      </c>
      <c r="Z67" s="101">
        <f>IF(Q67&lt;&gt;"", IFERROR(U67/K67, 0), 0)</f>
        <v>1</v>
      </c>
      <c r="AA67" s="85" t="str">
        <f>IFERROR(T67/$T$70, "")</f>
        <v/>
      </c>
      <c r="AK67" s="493">
        <f t="shared" si="11"/>
        <v>0</v>
      </c>
      <c r="AL67" s="551"/>
    </row>
    <row r="68" spans="1:39" ht="18" x14ac:dyDescent="0.35">
      <c r="A68" s="46">
        <v>59</v>
      </c>
      <c r="B68" s="81" t="s">
        <v>276</v>
      </c>
      <c r="C68" s="80" t="s">
        <v>135</v>
      </c>
      <c r="D68" s="46" t="s">
        <v>138</v>
      </c>
      <c r="E68" s="46" t="s">
        <v>139</v>
      </c>
      <c r="F68" s="164" t="s">
        <v>281</v>
      </c>
      <c r="G68" s="122" t="s">
        <v>281</v>
      </c>
      <c r="H68" s="157">
        <v>1</v>
      </c>
      <c r="I68" s="157">
        <v>1</v>
      </c>
      <c r="J68" s="83">
        <v>617</v>
      </c>
      <c r="K68" s="83">
        <f>IF(F68&lt;&gt;"",H68*I68*J68,"")</f>
        <v>617</v>
      </c>
      <c r="L68" s="83">
        <f>IF(K68&lt;&gt;"",IF(D68="INTERNO",0,K68*$L$14),"")</f>
        <v>30.85</v>
      </c>
      <c r="M68" s="83">
        <f>IF(K68&lt;&gt;"",IF(E68="FAT.OGGI",SUM(K68:L68)*(1/(1-$M$14)-1),L68*(1/(1-$M$14)-1)),0)</f>
        <v>7.4872685472847049</v>
      </c>
      <c r="N68" s="158">
        <f>SUM(K68:M68)</f>
        <v>655.33726854728468</v>
      </c>
      <c r="Q68" s="197">
        <f t="shared" si="68"/>
        <v>1</v>
      </c>
      <c r="R68" s="198">
        <f t="shared" si="68"/>
        <v>1</v>
      </c>
      <c r="S68" s="161">
        <f>J68</f>
        <v>617</v>
      </c>
      <c r="T68" s="161"/>
      <c r="U68" s="132">
        <f>IF(Q68&lt;&gt;"",K68-T68,"")</f>
        <v>617</v>
      </c>
      <c r="V68" s="133">
        <f>IF(Q68&lt;&gt;"",0%,"")</f>
        <v>0</v>
      </c>
      <c r="W68" s="84">
        <f>IF(Q68&lt;&gt;"",V68*U68,"")</f>
        <v>0</v>
      </c>
      <c r="X68" s="84">
        <f>IF(Q68&lt;&gt;"",W68+T68,"")</f>
        <v>0</v>
      </c>
      <c r="Y68" s="159">
        <f>IF(Q68&lt;&gt;"",X68+M68,"")</f>
        <v>7.4872685472847049</v>
      </c>
      <c r="Z68" s="101">
        <f>IF(Q68&lt;&gt;"", IFERROR(U68/K68, 0), 0)</f>
        <v>1</v>
      </c>
      <c r="AA68" s="85" t="str">
        <f>IFERROR(T68/$T$70, "")</f>
        <v/>
      </c>
      <c r="AK68" s="493">
        <f t="shared" si="11"/>
        <v>0</v>
      </c>
      <c r="AL68" s="551"/>
    </row>
    <row r="69" spans="1:39" ht="18.600000000000001" thickBot="1" x14ac:dyDescent="0.4">
      <c r="A69" s="46">
        <v>60</v>
      </c>
      <c r="B69" s="81" t="s">
        <v>277</v>
      </c>
      <c r="C69" s="80" t="s">
        <v>135</v>
      </c>
      <c r="D69" s="46" t="s">
        <v>138</v>
      </c>
      <c r="E69" s="46" t="s">
        <v>139</v>
      </c>
      <c r="F69" s="164" t="s">
        <v>283</v>
      </c>
      <c r="G69" s="122" t="s">
        <v>283</v>
      </c>
      <c r="H69" s="157">
        <v>1</v>
      </c>
      <c r="I69" s="157">
        <v>1</v>
      </c>
      <c r="J69" s="83">
        <v>25.5</v>
      </c>
      <c r="K69" s="83">
        <f>IF(F69&lt;&gt;"",H69*I69*J69,"")</f>
        <v>25.5</v>
      </c>
      <c r="L69" s="83">
        <f>IF(K69&lt;&gt;"",IF(D69="INTERNO",0,K69*$L$14),"")</f>
        <v>1.2750000000000001</v>
      </c>
      <c r="M69" s="83">
        <f>IF(K69&lt;&gt;"",IF(E69="FAT.OGGI",SUM(K69:L69)*(1/(1-$M$14)-1),L69*(1/(1-$M$14)-1)),0)</f>
        <v>0.30944140673542947</v>
      </c>
      <c r="N69" s="158">
        <f>SUM(K69:M69)</f>
        <v>27.084441406735429</v>
      </c>
      <c r="Q69" s="197">
        <f t="shared" si="68"/>
        <v>1</v>
      </c>
      <c r="R69" s="198">
        <f t="shared" si="68"/>
        <v>1</v>
      </c>
      <c r="S69" s="274">
        <f>-(T25*10%)-(T29*5%)</f>
        <v>-9000</v>
      </c>
      <c r="T69" s="274"/>
      <c r="U69" s="132">
        <f>IF(Q69&lt;&gt;"",K69-T69,"")</f>
        <v>25.5</v>
      </c>
      <c r="V69" s="133">
        <f>IF(Q69&lt;&gt;"",0%,"")</f>
        <v>0</v>
      </c>
      <c r="W69" s="84">
        <f>IF(Q69&lt;&gt;"",V69*U69,"")</f>
        <v>0</v>
      </c>
      <c r="X69" s="84">
        <f>IF(Q69&lt;&gt;"",W69+T69,"")</f>
        <v>0</v>
      </c>
      <c r="Y69" s="159">
        <f>IF(Q69&lt;&gt;"",X69+M69,"")</f>
        <v>0.30944140673542947</v>
      </c>
      <c r="Z69" s="112">
        <f>IF(Q69&lt;&gt;"", IFERROR(U69/K69, 0), 0)</f>
        <v>1</v>
      </c>
      <c r="AA69" s="113" t="str">
        <f>IFERROR(T69/$T$70, "")</f>
        <v/>
      </c>
      <c r="AK69" s="493">
        <f t="shared" si="11"/>
        <v>0</v>
      </c>
      <c r="AL69" s="551"/>
    </row>
    <row r="70" spans="1:39" ht="23.55" customHeight="1" x14ac:dyDescent="0.35">
      <c r="A70" s="46">
        <v>61</v>
      </c>
      <c r="B70" s="81"/>
      <c r="C70" s="80" t="s">
        <v>140</v>
      </c>
      <c r="D70" s="46"/>
      <c r="E70" s="46"/>
      <c r="F70" s="642" t="s">
        <v>231</v>
      </c>
      <c r="G70" s="643"/>
      <c r="H70" s="643"/>
      <c r="I70" s="643"/>
      <c r="J70" s="643"/>
      <c r="K70" s="513">
        <f>SUM(K66:K69)</f>
        <v>3216.98</v>
      </c>
      <c r="L70" s="513">
        <f>SUM(L66:L69)</f>
        <v>160.84899999999999</v>
      </c>
      <c r="M70" s="513">
        <f>SUM(M66:M69)</f>
        <v>39.037914378029093</v>
      </c>
      <c r="N70" s="514">
        <f>SUM(N66:N69)</f>
        <v>3416.8669143780289</v>
      </c>
      <c r="Q70" s="642" t="s">
        <v>231</v>
      </c>
      <c r="R70" s="643"/>
      <c r="S70" s="643"/>
      <c r="T70" s="515">
        <f>SUM(T66:T69)</f>
        <v>0</v>
      </c>
      <c r="U70" s="516">
        <f>SUM(U66:U69)</f>
        <v>3216.98</v>
      </c>
      <c r="V70" s="517"/>
      <c r="W70" s="517"/>
      <c r="X70" s="518">
        <f>SUM(X66:X69)</f>
        <v>0</v>
      </c>
      <c r="Y70" s="519">
        <f>IF(Q70&lt;&gt;"",X70+M70,"")</f>
        <v>39.037914378029093</v>
      </c>
      <c r="Z70" s="531" t="s">
        <v>158</v>
      </c>
      <c r="AA70" s="532" t="s">
        <v>159</v>
      </c>
      <c r="AK70" s="493">
        <f t="shared" si="11"/>
        <v>0</v>
      </c>
      <c r="AL70" s="551"/>
    </row>
    <row r="71" spans="1:39" ht="23.55" customHeight="1" thickBot="1" x14ac:dyDescent="0.4">
      <c r="A71" s="77">
        <v>62</v>
      </c>
      <c r="B71" s="78"/>
      <c r="C71" s="79" t="s">
        <v>156</v>
      </c>
      <c r="D71" s="77"/>
      <c r="E71" s="77"/>
      <c r="F71" s="533" t="s">
        <v>284</v>
      </c>
      <c r="G71" s="534"/>
      <c r="H71" s="534"/>
      <c r="I71" s="534"/>
      <c r="J71" s="534"/>
      <c r="K71" s="535">
        <f>SUM(K17:K24)+SUM(K28:K28)+SUM(K32:K39)+SUM(K42:K51)+SUM(K54:K62)+SUM(K66:K69)</f>
        <v>188948.24000000002</v>
      </c>
      <c r="L71" s="535">
        <f>SUM(L17:L24)+SUM(L28:L28)+SUM(L32:L39)+SUM(L42:L51)+SUM(L54:L62)+SUM(L66:L69)</f>
        <v>9447.4119999999984</v>
      </c>
      <c r="M71" s="535">
        <f>SUM(M17:M24)+SUM(M28:M28)+SUM(M32:M39)+SUM(M42:M51)+SUM(M54:M62)+SUM(M66:M69)</f>
        <v>2292.8787915993544</v>
      </c>
      <c r="N71" s="536">
        <f>SUM(N17:N24)+SUM(N28:N28)+SUM(N32:N39)+SUM(N42:N51)+SUM(N54:N62)+SUM(N66:N69)</f>
        <v>200688.53079159939</v>
      </c>
      <c r="Q71" s="537" t="s">
        <v>43</v>
      </c>
      <c r="R71" s="538"/>
      <c r="S71" s="534"/>
      <c r="T71" s="535">
        <f>SUM(T17:T24)+SUM(T28:T28)+SUM(T32:T39)+SUM(T42:T51)+SUM(T54:T62)+SUM(T66:T69)</f>
        <v>136000</v>
      </c>
      <c r="U71" s="535">
        <f>SUM(U17:U24)+SUM(U28:U28)+SUM(U32:U39)+SUM(U42:U51)+SUM(U54:U62)+SUM(U66:U69)</f>
        <v>52948.24</v>
      </c>
      <c r="V71" s="534"/>
      <c r="W71" s="534"/>
      <c r="X71" s="535">
        <f>SUM(X17:X24)+SUM(X28:X28)+SUM(X32:X39)+SUM(X42:X51)+SUM(X54:X62)+SUM(X66:X69)</f>
        <v>136000</v>
      </c>
      <c r="Y71" s="536">
        <f>SUM(Y17:Y24)+SUM(Y28:Y28)+SUM(Y32:Y39)+SUM(Y42:Y51)+SUM(Y54:Y62)+SUM(Y66:Y69)</f>
        <v>138292.87879159933</v>
      </c>
      <c r="Z71" s="539">
        <f>IF(Q71&lt;&gt;"",(N71-Y71)/N71,"")</f>
        <v>0.31090791164739484</v>
      </c>
      <c r="AA71" s="540">
        <f>IF(Z71&lt;&gt;"",(N71-Y71),"")</f>
        <v>62395.65200000006</v>
      </c>
      <c r="AK71" s="493">
        <f t="shared" si="11"/>
        <v>0</v>
      </c>
      <c r="AL71" s="551">
        <f>SUM(AL17:AL70)</f>
        <v>136000</v>
      </c>
    </row>
    <row r="73" spans="1:39" x14ac:dyDescent="0.3">
      <c r="T73" s="495" t="s">
        <v>303</v>
      </c>
      <c r="AL73" s="543">
        <f>X71</f>
        <v>136000</v>
      </c>
      <c r="AM73" s="542" t="s">
        <v>181</v>
      </c>
    </row>
    <row r="74" spans="1:39" x14ac:dyDescent="0.3">
      <c r="AL74" s="543">
        <f>N71-AL73</f>
        <v>64688.530791599391</v>
      </c>
      <c r="AM74" s="542" t="s">
        <v>318</v>
      </c>
    </row>
    <row r="75" spans="1:39" x14ac:dyDescent="0.3">
      <c r="AL75" s="544">
        <f>AL74*100%/N71</f>
        <v>0.32233297307245612</v>
      </c>
    </row>
  </sheetData>
  <mergeCells count="41">
    <mergeCell ref="F70:J70"/>
    <mergeCell ref="Q70:S70"/>
    <mergeCell ref="F64:N64"/>
    <mergeCell ref="Q64:Y64"/>
    <mergeCell ref="F65:K65"/>
    <mergeCell ref="Q65:Y65"/>
    <mergeCell ref="F25:J25"/>
    <mergeCell ref="Q25:S25"/>
    <mergeCell ref="F63:J63"/>
    <mergeCell ref="Q63:S63"/>
    <mergeCell ref="F26:N26"/>
    <mergeCell ref="Q26:Y26"/>
    <mergeCell ref="F27:K27"/>
    <mergeCell ref="Q27:Y27"/>
    <mergeCell ref="F29:J29"/>
    <mergeCell ref="Q29:S29"/>
    <mergeCell ref="F30:N30"/>
    <mergeCell ref="Q30:Y30"/>
    <mergeCell ref="F31:K31"/>
    <mergeCell ref="Q31:Y31"/>
    <mergeCell ref="F53:K53"/>
    <mergeCell ref="Q53:Y53"/>
    <mergeCell ref="F1:G1"/>
    <mergeCell ref="F2:G2"/>
    <mergeCell ref="Q12:T12"/>
    <mergeCell ref="U12:X12"/>
    <mergeCell ref="AC12:AE12"/>
    <mergeCell ref="AK12:AL12"/>
    <mergeCell ref="F15:N15"/>
    <mergeCell ref="Q15:Y15"/>
    <mergeCell ref="F16:K16"/>
    <mergeCell ref="Q16:Y16"/>
    <mergeCell ref="AG12:AH12"/>
    <mergeCell ref="AK14:AK16"/>
    <mergeCell ref="AL14:AL16"/>
    <mergeCell ref="F40:J40"/>
    <mergeCell ref="Q40:S40"/>
    <mergeCell ref="F41:K41"/>
    <mergeCell ref="Q41:Y41"/>
    <mergeCell ref="F52:J52"/>
    <mergeCell ref="Q52:S52"/>
  </mergeCells>
  <phoneticPr fontId="35" type="noConversion"/>
  <dataValidations disablePrompts="1" count="3">
    <dataValidation type="list" allowBlank="1" showInputMessage="1" showErrorMessage="1" sqref="D32:D39 D66:D69 D42:D51 D54:D62 D71 D17:D28" xr:uid="{24333CF2-C041-4D9B-AE3F-ECC104D91058}">
      <formula1>"INTERNO,OPERACIONAL"</formula1>
    </dataValidation>
    <dataValidation type="list" allowBlank="1" showInputMessage="1" showErrorMessage="1" sqref="E32:E39 E66:E69 E42:E51 E54:E62 E17:E28" xr:uid="{AFD05140-D560-4285-9BBC-F0734C4DD022}">
      <formula1>"FAT.OGGI,FAT.CLIENTE"</formula1>
    </dataValidation>
    <dataValidation type="list" allowBlank="1" showInputMessage="1" showErrorMessage="1" sqref="E71" xr:uid="{43A9769D-582F-484B-854A-5BDBCE936F78}">
      <formula1>"FAT.OGGI,FAT.CLIENTE "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360" verticalDpi="36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1A46BC-F466-41B3-9E18-8A665D569CB6}">
  <sheetPr codeName="Planilha1"/>
  <dimension ref="A1:F12"/>
  <sheetViews>
    <sheetView showGridLines="0" workbookViewId="0">
      <selection activeCell="E14" sqref="E14"/>
    </sheetView>
  </sheetViews>
  <sheetFormatPr defaultRowHeight="14.4" x14ac:dyDescent="0.3"/>
  <cols>
    <col min="1" max="1" width="23.44140625" customWidth="1"/>
    <col min="2" max="2" width="17.5546875" customWidth="1"/>
    <col min="3" max="3" width="23.77734375" customWidth="1"/>
    <col min="4" max="5" width="25.21875" customWidth="1"/>
    <col min="6" max="6" width="7.33203125" customWidth="1"/>
  </cols>
  <sheetData>
    <row r="1" spans="1:6" ht="15" thickBot="1" x14ac:dyDescent="0.35"/>
    <row r="2" spans="1:6" ht="15" thickBot="1" x14ac:dyDescent="0.35">
      <c r="A2" s="680" t="s">
        <v>177</v>
      </c>
      <c r="B2" s="681"/>
      <c r="C2" s="681"/>
      <c r="D2" s="682"/>
    </row>
    <row r="3" spans="1:6" ht="15" thickBot="1" x14ac:dyDescent="0.35">
      <c r="A3" s="146"/>
      <c r="B3" s="42"/>
      <c r="C3" s="281" t="s">
        <v>180</v>
      </c>
      <c r="D3" s="282" t="s">
        <v>181</v>
      </c>
    </row>
    <row r="4" spans="1:6" x14ac:dyDescent="0.3">
      <c r="A4" s="147" t="s">
        <v>178</v>
      </c>
      <c r="B4" s="149"/>
      <c r="C4" s="151">
        <f>Principal!N29</f>
        <v>26469.553871007833</v>
      </c>
      <c r="D4" s="264">
        <f>Principal!Y29</f>
        <v>17679.543871007831</v>
      </c>
      <c r="E4" s="270">
        <f>C4-D4</f>
        <v>8790.010000000002</v>
      </c>
      <c r="F4" s="144">
        <f t="shared" ref="F4:F5" si="0">E4/C4</f>
        <v>0.33208002079807325</v>
      </c>
    </row>
    <row r="5" spans="1:6" ht="15" thickBot="1" x14ac:dyDescent="0.35">
      <c r="A5" s="148" t="s">
        <v>196</v>
      </c>
      <c r="B5" s="150"/>
      <c r="C5" s="152">
        <f>'Itens Novos '!N33</f>
        <v>24361.167205169626</v>
      </c>
      <c r="D5" s="265">
        <f>'Itens Novos '!Y33</f>
        <v>14857.73595516963</v>
      </c>
      <c r="E5" s="265">
        <f t="shared" ref="E5:E6" si="1">C5-D5</f>
        <v>9503.431249999996</v>
      </c>
      <c r="F5" s="144">
        <f t="shared" si="0"/>
        <v>0.3901057437011185</v>
      </c>
    </row>
    <row r="6" spans="1:6" x14ac:dyDescent="0.3">
      <c r="A6" s="267"/>
      <c r="B6" s="2"/>
      <c r="C6" s="154">
        <f>C4+C5</f>
        <v>50830.721076177462</v>
      </c>
      <c r="D6" s="268">
        <f>D4+D5</f>
        <v>32537.279826177459</v>
      </c>
      <c r="E6" s="271">
        <f t="shared" si="1"/>
        <v>18293.441250000003</v>
      </c>
      <c r="F6" s="144">
        <f>E6/C6</f>
        <v>0.35988946964935903</v>
      </c>
    </row>
    <row r="7" spans="1:6" ht="15" thickBot="1" x14ac:dyDescent="0.35">
      <c r="A7" s="269"/>
      <c r="C7" s="263"/>
      <c r="D7" s="283"/>
      <c r="E7" s="284"/>
      <c r="F7" s="144"/>
    </row>
    <row r="8" spans="1:6" ht="18" customHeight="1" thickBot="1" x14ac:dyDescent="0.35">
      <c r="A8" s="153" t="s">
        <v>179</v>
      </c>
      <c r="B8" s="155"/>
      <c r="C8" s="156">
        <f>Hote_atualiz!N71</f>
        <v>200688.53079159939</v>
      </c>
      <c r="D8" s="266">
        <f>Hote_atualiz!Y71</f>
        <v>138292.87879159933</v>
      </c>
      <c r="E8" s="284"/>
    </row>
    <row r="9" spans="1:6" ht="15" thickBot="1" x14ac:dyDescent="0.35">
      <c r="A9" s="267"/>
      <c r="B9" s="2"/>
      <c r="C9" s="154">
        <f>C8</f>
        <v>200688.53079159939</v>
      </c>
      <c r="D9" s="268">
        <f>D8</f>
        <v>138292.87879159933</v>
      </c>
      <c r="E9" s="278">
        <f>C9-D9</f>
        <v>62395.65200000006</v>
      </c>
      <c r="F9" s="144">
        <f>E9/C9</f>
        <v>0.31090791164739484</v>
      </c>
    </row>
    <row r="10" spans="1:6" ht="15" thickBot="1" x14ac:dyDescent="0.35">
      <c r="A10" s="269"/>
      <c r="C10" s="263"/>
      <c r="D10" s="283"/>
      <c r="E10" s="284"/>
      <c r="F10" s="144"/>
    </row>
    <row r="11" spans="1:6" ht="15" thickBot="1" x14ac:dyDescent="0.35">
      <c r="A11" s="275" t="s">
        <v>182</v>
      </c>
      <c r="B11" s="150"/>
      <c r="C11" s="276">
        <f>C6+C9</f>
        <v>251519.25186777685</v>
      </c>
      <c r="D11" s="279">
        <f>D6+D9</f>
        <v>170830.15861777679</v>
      </c>
      <c r="E11" s="284"/>
    </row>
    <row r="12" spans="1:6" ht="15" thickBot="1" x14ac:dyDescent="0.35">
      <c r="D12" s="280" t="s">
        <v>227</v>
      </c>
      <c r="E12" s="277">
        <f>C11-D11</f>
        <v>80689.093250000064</v>
      </c>
      <c r="F12" s="144">
        <f>E12/C11</f>
        <v>0.32080682751242501</v>
      </c>
    </row>
  </sheetData>
  <mergeCells count="1">
    <mergeCell ref="A2:D2"/>
  </mergeCells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BC3C35-C715-4E1B-8C6F-64ECF3B892BB}">
  <sheetPr codeName="Planilha3"/>
  <dimension ref="A8:L8"/>
  <sheetViews>
    <sheetView zoomScale="70" zoomScaleNormal="70" workbookViewId="0">
      <selection activeCell="C25" sqref="C25"/>
    </sheetView>
  </sheetViews>
  <sheetFormatPr defaultColWidth="46.21875" defaultRowHeight="14.4" x14ac:dyDescent="0.3"/>
  <cols>
    <col min="1" max="1" width="7.21875" bestFit="1" customWidth="1"/>
    <col min="2" max="2" width="23.21875" customWidth="1"/>
    <col min="3" max="3" width="50" customWidth="1"/>
    <col min="4" max="4" width="54.44140625" bestFit="1" customWidth="1"/>
    <col min="5" max="5" width="73.21875" customWidth="1"/>
    <col min="6" max="7" width="20.77734375" bestFit="1" customWidth="1"/>
    <col min="8" max="8" width="11.77734375" bestFit="1" customWidth="1"/>
    <col min="9" max="9" width="13.21875" customWidth="1"/>
  </cols>
  <sheetData>
    <row r="8" spans="1:12" ht="16.2" x14ac:dyDescent="0.35">
      <c r="A8" s="24" t="s">
        <v>48</v>
      </c>
      <c r="B8" s="24" t="s">
        <v>49</v>
      </c>
      <c r="C8" s="24" t="s">
        <v>50</v>
      </c>
      <c r="D8" s="24" t="s">
        <v>51</v>
      </c>
      <c r="E8" s="24" t="s">
        <v>52</v>
      </c>
      <c r="F8" s="24" t="s">
        <v>53</v>
      </c>
      <c r="G8" s="25" t="s">
        <v>46</v>
      </c>
      <c r="H8" s="25" t="s">
        <v>47</v>
      </c>
      <c r="I8" s="25" t="s">
        <v>9</v>
      </c>
      <c r="J8" s="25" t="s">
        <v>10</v>
      </c>
      <c r="K8" s="25" t="s">
        <v>54</v>
      </c>
      <c r="L8" s="25" t="s">
        <v>55</v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B7A351-E9F1-4E5C-8A08-61072E4C8BD4}">
  <sheetPr codeName="Planilha7"/>
  <dimension ref="A1:O9"/>
  <sheetViews>
    <sheetView zoomScaleNormal="100" workbookViewId="0">
      <selection activeCell="A10" sqref="A10:XFD28"/>
    </sheetView>
  </sheetViews>
  <sheetFormatPr defaultColWidth="8.77734375" defaultRowHeight="14.4" x14ac:dyDescent="0.3"/>
  <cols>
    <col min="1" max="1" width="35.21875" customWidth="1"/>
    <col min="2" max="3" width="20.21875" customWidth="1"/>
    <col min="4" max="4" width="40.44140625" customWidth="1"/>
    <col min="5" max="5" width="17.77734375" customWidth="1"/>
    <col min="6" max="7" width="15.21875" customWidth="1"/>
    <col min="8" max="8" width="25.21875" customWidth="1"/>
    <col min="9" max="10" width="15.21875" customWidth="1"/>
    <col min="11" max="11" width="10.21875" customWidth="1"/>
    <col min="12" max="12" width="15.21875" customWidth="1"/>
    <col min="13" max="13" width="12.77734375" customWidth="1"/>
    <col min="14" max="14" width="15.21875" customWidth="1"/>
    <col min="15" max="15" width="40.44140625" customWidth="1"/>
  </cols>
  <sheetData>
    <row r="1" spans="1:15" ht="15" x14ac:dyDescent="0.3">
      <c r="A1" s="684" t="s">
        <v>11</v>
      </c>
      <c r="B1" s="684"/>
      <c r="C1" s="684"/>
      <c r="D1" s="686" t="s">
        <v>61</v>
      </c>
      <c r="E1" s="686"/>
      <c r="F1" s="686"/>
      <c r="G1" s="686"/>
      <c r="H1" s="686"/>
      <c r="I1" s="686"/>
      <c r="J1" s="34" t="s">
        <v>11</v>
      </c>
      <c r="K1" s="34" t="s">
        <v>11</v>
      </c>
      <c r="L1" s="34" t="s">
        <v>11</v>
      </c>
      <c r="M1" s="34" t="s">
        <v>11</v>
      </c>
      <c r="N1" s="34" t="s">
        <v>11</v>
      </c>
      <c r="O1" s="35" t="s">
        <v>11</v>
      </c>
    </row>
    <row r="2" spans="1:15" x14ac:dyDescent="0.3">
      <c r="A2" s="685"/>
      <c r="B2" s="685"/>
      <c r="C2" s="685"/>
      <c r="D2" s="684" t="s">
        <v>62</v>
      </c>
      <c r="E2" s="684"/>
      <c r="F2" s="684"/>
      <c r="G2" s="684"/>
      <c r="H2" s="684"/>
      <c r="I2" s="684"/>
      <c r="J2" s="34"/>
      <c r="K2" s="34"/>
      <c r="L2" s="34"/>
      <c r="M2" s="34"/>
      <c r="N2" s="34"/>
      <c r="O2" s="687" t="s">
        <v>63</v>
      </c>
    </row>
    <row r="3" spans="1:15" x14ac:dyDescent="0.3">
      <c r="A3" s="685"/>
      <c r="B3" s="685"/>
      <c r="C3" s="685"/>
      <c r="D3" s="684" t="s">
        <v>64</v>
      </c>
      <c r="E3" s="684"/>
      <c r="F3" s="684"/>
      <c r="G3" s="684"/>
      <c r="H3" s="684"/>
      <c r="I3" s="684"/>
      <c r="J3" s="34"/>
      <c r="K3" s="34"/>
      <c r="L3" s="34"/>
      <c r="M3" s="34"/>
      <c r="N3" s="34"/>
      <c r="O3" s="688"/>
    </row>
    <row r="4" spans="1:15" x14ac:dyDescent="0.3">
      <c r="A4" s="685"/>
      <c r="B4" s="685"/>
      <c r="C4" s="685"/>
      <c r="D4" s="684" t="s">
        <v>65</v>
      </c>
      <c r="E4" s="684"/>
      <c r="F4" s="684"/>
      <c r="G4" s="684"/>
      <c r="H4" s="684"/>
      <c r="I4" s="684"/>
      <c r="J4" s="34"/>
      <c r="K4" s="34"/>
      <c r="L4" s="34"/>
      <c r="M4" s="34"/>
      <c r="N4" s="34"/>
      <c r="O4" s="688"/>
    </row>
    <row r="5" spans="1:15" x14ac:dyDescent="0.3">
      <c r="A5" s="685"/>
      <c r="B5" s="685"/>
      <c r="C5" s="685"/>
      <c r="D5" s="684" t="s">
        <v>66</v>
      </c>
      <c r="E5" s="684"/>
      <c r="F5" s="684"/>
      <c r="G5" s="684"/>
      <c r="H5" s="684"/>
      <c r="I5" s="684"/>
      <c r="J5" s="34"/>
      <c r="K5" s="34"/>
      <c r="L5" s="34"/>
      <c r="M5" s="34"/>
      <c r="N5" s="34"/>
      <c r="O5" s="688"/>
    </row>
    <row r="6" spans="1:15" x14ac:dyDescent="0.3">
      <c r="A6" s="685"/>
      <c r="B6" s="685"/>
      <c r="C6" s="685"/>
      <c r="D6" s="34"/>
      <c r="E6" s="34"/>
      <c r="F6" s="34"/>
      <c r="G6" s="34"/>
      <c r="H6" s="34"/>
      <c r="I6" s="34"/>
      <c r="J6" s="34"/>
      <c r="K6" s="34"/>
      <c r="L6" s="34"/>
      <c r="M6" s="34"/>
      <c r="N6" s="34"/>
      <c r="O6" s="688"/>
    </row>
    <row r="7" spans="1:15" x14ac:dyDescent="0.3">
      <c r="A7" s="685"/>
      <c r="B7" s="685"/>
      <c r="C7" s="685"/>
      <c r="D7" s="684" t="s">
        <v>67</v>
      </c>
      <c r="E7" s="684"/>
      <c r="F7" s="684"/>
      <c r="G7" s="684"/>
      <c r="H7" s="684"/>
      <c r="I7" s="684"/>
      <c r="J7" s="34"/>
      <c r="K7" s="34"/>
      <c r="L7" s="34"/>
      <c r="M7" s="34"/>
      <c r="N7" s="34"/>
      <c r="O7" s="36">
        <v>45264.482613275461</v>
      </c>
    </row>
    <row r="8" spans="1:15" x14ac:dyDescent="0.3">
      <c r="A8" s="683" t="s">
        <v>68</v>
      </c>
      <c r="B8" s="683"/>
      <c r="C8" s="683"/>
      <c r="D8" s="683"/>
      <c r="E8" s="683"/>
      <c r="F8" s="683"/>
      <c r="G8" s="683"/>
      <c r="H8" s="683"/>
      <c r="I8" s="683"/>
      <c r="J8" s="683"/>
      <c r="K8" s="683"/>
      <c r="L8" s="683"/>
      <c r="M8" s="683"/>
      <c r="N8" s="683"/>
      <c r="O8" s="683"/>
    </row>
    <row r="9" spans="1:15" ht="27.6" x14ac:dyDescent="0.3">
      <c r="A9" s="37" t="s">
        <v>69</v>
      </c>
      <c r="B9" s="37" t="s">
        <v>70</v>
      </c>
      <c r="C9" s="37" t="s">
        <v>71</v>
      </c>
      <c r="D9" s="37" t="s">
        <v>52</v>
      </c>
      <c r="E9" s="37" t="s">
        <v>72</v>
      </c>
      <c r="F9" s="37" t="s">
        <v>73</v>
      </c>
      <c r="G9" s="37" t="s">
        <v>34</v>
      </c>
      <c r="H9" s="37" t="s">
        <v>74</v>
      </c>
      <c r="I9" s="37" t="s">
        <v>75</v>
      </c>
      <c r="J9" s="37" t="s">
        <v>73</v>
      </c>
      <c r="K9" s="37" t="s">
        <v>76</v>
      </c>
      <c r="L9" s="37" t="s">
        <v>77</v>
      </c>
      <c r="M9" s="37" t="s">
        <v>78</v>
      </c>
      <c r="N9" s="37" t="s">
        <v>79</v>
      </c>
      <c r="O9" s="38" t="s">
        <v>80</v>
      </c>
    </row>
  </sheetData>
  <mergeCells count="9">
    <mergeCell ref="A8:O8"/>
    <mergeCell ref="A1:C7"/>
    <mergeCell ref="D1:I1"/>
    <mergeCell ref="D2:I2"/>
    <mergeCell ref="O2:O6"/>
    <mergeCell ref="D3:I3"/>
    <mergeCell ref="D4:I4"/>
    <mergeCell ref="D5:I5"/>
    <mergeCell ref="D7:I7"/>
  </mergeCells>
  <pageMargins left="0.7" right="0.7" top="0.75" bottom="0.75" header="0.3" footer="0.3"/>
  <pageSetup paperSize="9" fitToWidth="0" fitToHeight="0" orientation="portrait" horizontalDpi="0" verticalDpi="0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071ACB-2A33-4DFE-B05C-79C718CF6527}">
  <sheetPr codeName="Planilha5"/>
  <dimension ref="B1:L52"/>
  <sheetViews>
    <sheetView showGridLines="0" workbookViewId="0">
      <selection activeCell="C39" sqref="C39:K45"/>
    </sheetView>
  </sheetViews>
  <sheetFormatPr defaultColWidth="8.77734375" defaultRowHeight="14.4" x14ac:dyDescent="0.3"/>
  <cols>
    <col min="1" max="2" width="1.77734375" customWidth="1"/>
    <col min="3" max="3" width="12.44140625" customWidth="1"/>
    <col min="4" max="4" width="4.77734375" customWidth="1"/>
    <col min="5" max="5" width="10.77734375" customWidth="1"/>
    <col min="6" max="6" width="7.77734375" bestFit="1" customWidth="1"/>
    <col min="7" max="7" width="11" customWidth="1"/>
    <col min="8" max="8" width="11.21875" customWidth="1"/>
    <col min="9" max="9" width="11.77734375" customWidth="1"/>
    <col min="10" max="10" width="4.77734375" customWidth="1"/>
    <col min="11" max="11" width="14.44140625" customWidth="1"/>
    <col min="12" max="12" width="1.77734375" customWidth="1"/>
  </cols>
  <sheetData>
    <row r="1" spans="2:12" ht="8.5500000000000007" customHeight="1" thickBot="1" x14ac:dyDescent="0.35"/>
    <row r="2" spans="2:12" ht="38.549999999999997" customHeight="1" x14ac:dyDescent="0.4">
      <c r="B2" s="692" t="s">
        <v>3</v>
      </c>
      <c r="C2" s="693"/>
      <c r="D2" s="693"/>
      <c r="E2" s="693"/>
      <c r="F2" s="693"/>
      <c r="G2" s="693"/>
      <c r="H2" s="693"/>
      <c r="I2" s="693"/>
      <c r="J2" s="693"/>
      <c r="K2" s="693"/>
      <c r="L2" s="694"/>
    </row>
    <row r="3" spans="2:12" ht="47.55" customHeight="1" thickBot="1" x14ac:dyDescent="0.35">
      <c r="B3" s="695" t="s">
        <v>12</v>
      </c>
      <c r="C3" s="696"/>
      <c r="D3" s="696"/>
      <c r="E3" s="696"/>
      <c r="F3" s="696"/>
      <c r="G3" s="696"/>
      <c r="H3" s="696"/>
      <c r="I3" s="696"/>
      <c r="J3" s="696"/>
      <c r="K3" s="696"/>
      <c r="L3" s="697"/>
    </row>
    <row r="4" spans="2:12" ht="7.35" customHeight="1" thickBot="1" x14ac:dyDescent="0.35"/>
    <row r="5" spans="2:12" x14ac:dyDescent="0.3">
      <c r="B5" s="1"/>
      <c r="C5" s="2"/>
      <c r="D5" s="2"/>
      <c r="E5" s="2"/>
      <c r="F5" s="2"/>
      <c r="G5" s="2"/>
      <c r="H5" s="2"/>
      <c r="I5" s="2"/>
      <c r="J5" s="2"/>
      <c r="K5" s="2"/>
      <c r="L5" s="3"/>
    </row>
    <row r="6" spans="2:12" x14ac:dyDescent="0.3">
      <c r="B6" s="4"/>
      <c r="C6" s="698" t="s">
        <v>13</v>
      </c>
      <c r="D6" s="698"/>
      <c r="E6" s="698"/>
      <c r="F6" s="698"/>
      <c r="G6" s="698"/>
      <c r="H6" s="698"/>
      <c r="I6" s="698"/>
      <c r="J6" s="698"/>
      <c r="K6" s="698"/>
      <c r="L6" s="5"/>
    </row>
    <row r="7" spans="2:12" ht="6" customHeight="1" x14ac:dyDescent="0.3">
      <c r="B7" s="4"/>
      <c r="L7" s="5"/>
    </row>
    <row r="8" spans="2:12" x14ac:dyDescent="0.3">
      <c r="B8" s="4"/>
      <c r="C8" s="6" t="s">
        <v>14</v>
      </c>
      <c r="D8" s="699" t="s">
        <v>106</v>
      </c>
      <c r="E8" s="700"/>
      <c r="F8" s="700"/>
      <c r="G8" s="700"/>
      <c r="H8" s="700"/>
      <c r="I8" s="700"/>
      <c r="J8" s="700"/>
      <c r="K8" s="701"/>
      <c r="L8" s="5"/>
    </row>
    <row r="9" spans="2:12" x14ac:dyDescent="0.3">
      <c r="B9" s="4"/>
      <c r="C9" s="7" t="s">
        <v>15</v>
      </c>
      <c r="D9" s="689" t="s">
        <v>16</v>
      </c>
      <c r="E9" s="690"/>
      <c r="F9" s="690"/>
      <c r="G9" s="690"/>
      <c r="H9" s="690"/>
      <c r="I9" s="690"/>
      <c r="J9" s="690"/>
      <c r="K9" s="691"/>
      <c r="L9" s="5"/>
    </row>
    <row r="10" spans="2:12" x14ac:dyDescent="0.3">
      <c r="B10" s="4"/>
      <c r="C10" s="7" t="s">
        <v>17</v>
      </c>
      <c r="D10" s="689" t="s">
        <v>11</v>
      </c>
      <c r="E10" s="690"/>
      <c r="F10" s="690"/>
      <c r="G10" s="690"/>
      <c r="H10" s="690"/>
      <c r="I10" s="690"/>
      <c r="J10" s="690"/>
      <c r="K10" s="691"/>
      <c r="L10" s="5"/>
    </row>
    <row r="11" spans="2:12" x14ac:dyDescent="0.3">
      <c r="B11" s="4"/>
      <c r="C11" s="7" t="s">
        <v>18</v>
      </c>
      <c r="D11" s="689" t="s">
        <v>107</v>
      </c>
      <c r="E11" s="690"/>
      <c r="F11" s="690"/>
      <c r="G11" s="690"/>
      <c r="H11" s="690"/>
      <c r="I11" s="690"/>
      <c r="J11" s="690"/>
      <c r="K11" s="691"/>
      <c r="L11" s="5"/>
    </row>
    <row r="12" spans="2:12" x14ac:dyDescent="0.3">
      <c r="B12" s="4"/>
      <c r="C12" s="10" t="s">
        <v>19</v>
      </c>
      <c r="D12" s="702" t="s">
        <v>108</v>
      </c>
      <c r="E12" s="703"/>
      <c r="F12" s="703"/>
      <c r="G12" s="703"/>
      <c r="H12" s="704"/>
      <c r="I12" s="11" t="s">
        <v>20</v>
      </c>
      <c r="J12" s="702" t="s">
        <v>105</v>
      </c>
      <c r="K12" s="704"/>
      <c r="L12" s="5"/>
    </row>
    <row r="13" spans="2:12" ht="6" customHeight="1" thickBot="1" x14ac:dyDescent="0.35">
      <c r="B13" s="12"/>
      <c r="C13" s="13"/>
      <c r="D13" s="13"/>
      <c r="E13" s="13"/>
      <c r="F13" s="13"/>
      <c r="G13" s="13"/>
      <c r="H13" s="13"/>
      <c r="I13" s="13"/>
      <c r="J13" s="13"/>
      <c r="K13" s="13"/>
      <c r="L13" s="14"/>
    </row>
    <row r="14" spans="2:12" ht="7.35" customHeight="1" thickBot="1" x14ac:dyDescent="0.35"/>
    <row r="15" spans="2:12" ht="8.1" customHeight="1" x14ac:dyDescent="0.3">
      <c r="B15" s="1"/>
      <c r="C15" s="2"/>
      <c r="D15" s="2"/>
      <c r="E15" s="2"/>
      <c r="F15" s="2"/>
      <c r="G15" s="2"/>
      <c r="H15" s="2"/>
      <c r="I15" s="2"/>
      <c r="J15" s="2"/>
      <c r="K15" s="2"/>
      <c r="L15" s="3"/>
    </row>
    <row r="16" spans="2:12" x14ac:dyDescent="0.3">
      <c r="B16" s="4"/>
      <c r="C16" s="698" t="s">
        <v>21</v>
      </c>
      <c r="D16" s="698"/>
      <c r="E16" s="698"/>
      <c r="F16" s="698"/>
      <c r="G16" s="698"/>
      <c r="H16" s="698"/>
      <c r="I16" s="698"/>
      <c r="J16" s="698"/>
      <c r="K16" s="698"/>
      <c r="L16" s="5"/>
    </row>
    <row r="17" spans="2:12" ht="9" customHeight="1" x14ac:dyDescent="0.3">
      <c r="B17" s="4"/>
      <c r="L17" s="5"/>
    </row>
    <row r="18" spans="2:12" x14ac:dyDescent="0.3">
      <c r="B18" s="4"/>
      <c r="C18" s="6"/>
      <c r="D18" s="705" t="s">
        <v>81</v>
      </c>
      <c r="E18" s="705"/>
      <c r="F18" s="705"/>
      <c r="G18" s="706"/>
      <c r="H18" s="705" t="s">
        <v>22</v>
      </c>
      <c r="I18" s="705"/>
      <c r="J18" s="705"/>
      <c r="K18" s="706"/>
      <c r="L18" s="5"/>
    </row>
    <row r="19" spans="2:12" x14ac:dyDescent="0.3">
      <c r="B19" s="4"/>
      <c r="C19" s="15" t="s">
        <v>23</v>
      </c>
      <c r="D19" s="707" t="s">
        <v>110</v>
      </c>
      <c r="E19" s="708"/>
      <c r="F19" s="708"/>
      <c r="G19" s="708"/>
      <c r="H19" s="708"/>
      <c r="I19" s="708"/>
      <c r="J19" s="708"/>
      <c r="K19" s="709"/>
      <c r="L19" s="5"/>
    </row>
    <row r="20" spans="2:12" x14ac:dyDescent="0.3">
      <c r="B20" s="4"/>
      <c r="C20" s="7" t="s">
        <v>24</v>
      </c>
      <c r="D20" s="689"/>
      <c r="E20" s="690"/>
      <c r="F20" s="690"/>
      <c r="G20" s="690"/>
      <c r="H20" s="690"/>
      <c r="I20" s="690"/>
      <c r="J20" s="690"/>
      <c r="K20" s="691"/>
      <c r="L20" s="5"/>
    </row>
    <row r="21" spans="2:12" x14ac:dyDescent="0.3">
      <c r="B21" s="4"/>
      <c r="C21" s="7" t="s">
        <v>25</v>
      </c>
      <c r="D21" s="689" t="s">
        <v>114</v>
      </c>
      <c r="E21" s="691"/>
      <c r="F21" s="7" t="s">
        <v>57</v>
      </c>
      <c r="G21" s="16" t="s">
        <v>115</v>
      </c>
      <c r="H21" s="7" t="s">
        <v>26</v>
      </c>
      <c r="I21" s="8" t="s">
        <v>116</v>
      </c>
      <c r="J21" s="7" t="s">
        <v>27</v>
      </c>
      <c r="K21" s="9" t="s">
        <v>11</v>
      </c>
      <c r="L21" s="5"/>
    </row>
    <row r="22" spans="2:12" x14ac:dyDescent="0.3">
      <c r="B22" s="4"/>
      <c r="C22" s="7" t="s">
        <v>28</v>
      </c>
      <c r="D22" s="689" t="s">
        <v>109</v>
      </c>
      <c r="E22" s="690"/>
      <c r="F22" s="690"/>
      <c r="G22" s="691"/>
      <c r="H22" s="7" t="s">
        <v>29</v>
      </c>
      <c r="I22" s="689"/>
      <c r="J22" s="690"/>
      <c r="K22" s="691"/>
      <c r="L22" s="5"/>
    </row>
    <row r="23" spans="2:12" x14ac:dyDescent="0.3">
      <c r="B23" s="4"/>
      <c r="C23" s="10" t="s">
        <v>30</v>
      </c>
      <c r="D23" s="702" t="s">
        <v>111</v>
      </c>
      <c r="E23" s="703"/>
      <c r="F23" s="703"/>
      <c r="G23" s="704"/>
      <c r="H23" s="10" t="s">
        <v>31</v>
      </c>
      <c r="I23" s="702" t="s">
        <v>11</v>
      </c>
      <c r="J23" s="703"/>
      <c r="K23" s="704"/>
      <c r="L23" s="5"/>
    </row>
    <row r="24" spans="2:12" ht="6.75" customHeight="1" thickBot="1" x14ac:dyDescent="0.35">
      <c r="B24" s="12"/>
      <c r="C24" s="13"/>
      <c r="D24" s="13"/>
      <c r="E24" s="13"/>
      <c r="F24" s="13"/>
      <c r="G24" s="13"/>
      <c r="H24" s="13"/>
      <c r="I24" s="13"/>
      <c r="J24" s="13"/>
      <c r="K24" s="13"/>
      <c r="L24" s="14"/>
    </row>
    <row r="25" spans="2:12" ht="9.75" customHeight="1" thickBot="1" x14ac:dyDescent="0.35"/>
    <row r="26" spans="2:12" ht="8.1" customHeight="1" x14ac:dyDescent="0.3">
      <c r="B26" s="1"/>
      <c r="C26" s="2"/>
      <c r="D26" s="2"/>
      <c r="E26" s="2"/>
      <c r="F26" s="2"/>
      <c r="G26" s="2"/>
      <c r="H26" s="2"/>
      <c r="I26" s="2"/>
      <c r="J26" s="2"/>
      <c r="K26" s="2"/>
      <c r="L26" s="3"/>
    </row>
    <row r="27" spans="2:12" x14ac:dyDescent="0.3">
      <c r="B27" s="4"/>
      <c r="C27" s="698" t="s">
        <v>21</v>
      </c>
      <c r="D27" s="698"/>
      <c r="E27" s="698"/>
      <c r="F27" s="698"/>
      <c r="G27" s="698"/>
      <c r="H27" s="698"/>
      <c r="I27" s="698"/>
      <c r="J27" s="698"/>
      <c r="K27" s="698"/>
      <c r="L27" s="5"/>
    </row>
    <row r="28" spans="2:12" x14ac:dyDescent="0.3">
      <c r="B28" s="4"/>
      <c r="L28" s="5"/>
    </row>
    <row r="29" spans="2:12" x14ac:dyDescent="0.3">
      <c r="B29" s="4"/>
      <c r="C29" s="6" t="s">
        <v>32</v>
      </c>
      <c r="D29" s="710" t="s">
        <v>33</v>
      </c>
      <c r="E29" s="706"/>
      <c r="F29" s="710" t="s">
        <v>34</v>
      </c>
      <c r="G29" s="706"/>
      <c r="H29" s="711" t="s">
        <v>35</v>
      </c>
      <c r="I29" s="711"/>
      <c r="J29" s="711"/>
      <c r="K29" s="712"/>
      <c r="L29" s="5"/>
    </row>
    <row r="30" spans="2:12" x14ac:dyDescent="0.3">
      <c r="B30" s="4"/>
      <c r="C30" s="17" t="s">
        <v>36</v>
      </c>
      <c r="D30" s="713" t="s">
        <v>112</v>
      </c>
      <c r="E30" s="714"/>
      <c r="F30" s="715" t="s">
        <v>117</v>
      </c>
      <c r="G30" s="716"/>
      <c r="H30" s="18" t="s">
        <v>113</v>
      </c>
      <c r="I30" s="710" t="s">
        <v>40</v>
      </c>
      <c r="J30" s="706"/>
      <c r="K30" s="6" t="s">
        <v>38</v>
      </c>
      <c r="L30" s="5"/>
    </row>
    <row r="31" spans="2:12" x14ac:dyDescent="0.3">
      <c r="B31" s="4"/>
      <c r="C31" s="17" t="s">
        <v>39</v>
      </c>
      <c r="D31" s="713" t="s">
        <v>11</v>
      </c>
      <c r="E31" s="714"/>
      <c r="F31" s="715" t="s">
        <v>11</v>
      </c>
      <c r="G31" s="716"/>
      <c r="H31" s="17" t="s">
        <v>37</v>
      </c>
      <c r="I31" s="719" t="s">
        <v>40</v>
      </c>
      <c r="J31" s="720"/>
      <c r="K31" s="7" t="s">
        <v>38</v>
      </c>
      <c r="L31" s="5"/>
    </row>
    <row r="32" spans="2:12" x14ac:dyDescent="0.3">
      <c r="B32" s="4"/>
      <c r="C32" s="17" t="s">
        <v>41</v>
      </c>
      <c r="D32" s="713" t="s">
        <v>11</v>
      </c>
      <c r="E32" s="714"/>
      <c r="F32" s="715" t="s">
        <v>11</v>
      </c>
      <c r="G32" s="716"/>
      <c r="H32" s="17" t="s">
        <v>37</v>
      </c>
      <c r="I32" s="719" t="s">
        <v>40</v>
      </c>
      <c r="J32" s="720"/>
      <c r="K32" s="7" t="s">
        <v>38</v>
      </c>
      <c r="L32" s="5"/>
    </row>
    <row r="33" spans="2:12" x14ac:dyDescent="0.3">
      <c r="B33" s="4"/>
      <c r="C33" s="19" t="s">
        <v>42</v>
      </c>
      <c r="D33" s="713" t="s">
        <v>11</v>
      </c>
      <c r="E33" s="714"/>
      <c r="F33" s="717" t="s">
        <v>11</v>
      </c>
      <c r="G33" s="718"/>
      <c r="H33" s="17" t="s">
        <v>37</v>
      </c>
      <c r="I33" s="719" t="s">
        <v>40</v>
      </c>
      <c r="J33" s="720"/>
      <c r="K33" s="7" t="s">
        <v>38</v>
      </c>
      <c r="L33" s="5"/>
    </row>
    <row r="34" spans="2:12" x14ac:dyDescent="0.3">
      <c r="B34" s="4"/>
      <c r="C34" s="721" t="s">
        <v>43</v>
      </c>
      <c r="D34" s="722"/>
      <c r="E34" s="723"/>
      <c r="F34" s="724" t="s">
        <v>117</v>
      </c>
      <c r="G34" s="725"/>
      <c r="H34" s="20"/>
      <c r="I34" s="21"/>
      <c r="J34" s="22"/>
      <c r="K34" s="20"/>
      <c r="L34" s="5"/>
    </row>
    <row r="35" spans="2:12" ht="15" thickBot="1" x14ac:dyDescent="0.35">
      <c r="B35" s="12"/>
      <c r="C35" s="13"/>
      <c r="D35" s="13"/>
      <c r="E35" s="13"/>
      <c r="F35" s="13"/>
      <c r="G35" s="13"/>
      <c r="H35" s="13"/>
      <c r="I35" s="13"/>
      <c r="J35" s="13"/>
      <c r="K35" s="13"/>
      <c r="L35" s="14"/>
    </row>
    <row r="36" spans="2:12" ht="15" thickBot="1" x14ac:dyDescent="0.35"/>
    <row r="37" spans="2:12" ht="6" customHeight="1" x14ac:dyDescent="0.3">
      <c r="B37" s="1"/>
      <c r="C37" s="2"/>
      <c r="D37" s="2"/>
      <c r="E37" s="2"/>
      <c r="F37" s="2"/>
      <c r="G37" s="2"/>
      <c r="H37" s="2"/>
      <c r="I37" s="2"/>
      <c r="J37" s="2"/>
      <c r="K37" s="2"/>
      <c r="L37" s="3"/>
    </row>
    <row r="38" spans="2:12" x14ac:dyDescent="0.3">
      <c r="B38" s="4"/>
      <c r="C38" s="698" t="s">
        <v>44</v>
      </c>
      <c r="D38" s="698"/>
      <c r="E38" s="698"/>
      <c r="F38" s="698"/>
      <c r="G38" s="698"/>
      <c r="H38" s="698"/>
      <c r="I38" s="698"/>
      <c r="J38" s="698"/>
      <c r="K38" s="698"/>
      <c r="L38" s="5"/>
    </row>
    <row r="39" spans="2:12" x14ac:dyDescent="0.3">
      <c r="B39" s="4"/>
      <c r="C39" s="729" t="s">
        <v>118</v>
      </c>
      <c r="D39" s="729"/>
      <c r="E39" s="729"/>
      <c r="F39" s="729"/>
      <c r="G39" s="729"/>
      <c r="H39" s="729"/>
      <c r="I39" s="729"/>
      <c r="J39" s="729"/>
      <c r="K39" s="729"/>
      <c r="L39" s="5"/>
    </row>
    <row r="40" spans="2:12" x14ac:dyDescent="0.3">
      <c r="B40" s="4"/>
      <c r="C40" s="729"/>
      <c r="D40" s="729"/>
      <c r="E40" s="729"/>
      <c r="F40" s="729"/>
      <c r="G40" s="729"/>
      <c r="H40" s="729"/>
      <c r="I40" s="729"/>
      <c r="J40" s="729"/>
      <c r="K40" s="729"/>
      <c r="L40" s="5"/>
    </row>
    <row r="41" spans="2:12" x14ac:dyDescent="0.3">
      <c r="B41" s="4"/>
      <c r="C41" s="729"/>
      <c r="D41" s="729"/>
      <c r="E41" s="729"/>
      <c r="F41" s="729"/>
      <c r="G41" s="729"/>
      <c r="H41" s="729"/>
      <c r="I41" s="729"/>
      <c r="J41" s="729"/>
      <c r="K41" s="729"/>
      <c r="L41" s="5"/>
    </row>
    <row r="42" spans="2:12" x14ac:dyDescent="0.3">
      <c r="B42" s="4"/>
      <c r="C42" s="729"/>
      <c r="D42" s="729"/>
      <c r="E42" s="729"/>
      <c r="F42" s="729"/>
      <c r="G42" s="729"/>
      <c r="H42" s="729"/>
      <c r="I42" s="729"/>
      <c r="J42" s="729"/>
      <c r="K42" s="729"/>
      <c r="L42" s="5"/>
    </row>
    <row r="43" spans="2:12" x14ac:dyDescent="0.3">
      <c r="B43" s="4"/>
      <c r="C43" s="729"/>
      <c r="D43" s="729"/>
      <c r="E43" s="729"/>
      <c r="F43" s="729"/>
      <c r="G43" s="729"/>
      <c r="H43" s="729"/>
      <c r="I43" s="729"/>
      <c r="J43" s="729"/>
      <c r="K43" s="729"/>
      <c r="L43" s="5"/>
    </row>
    <row r="44" spans="2:12" x14ac:dyDescent="0.3">
      <c r="B44" s="4"/>
      <c r="C44" s="729"/>
      <c r="D44" s="729"/>
      <c r="E44" s="729"/>
      <c r="F44" s="729"/>
      <c r="G44" s="729"/>
      <c r="H44" s="729"/>
      <c r="I44" s="729"/>
      <c r="J44" s="729"/>
      <c r="K44" s="729"/>
      <c r="L44" s="5"/>
    </row>
    <row r="45" spans="2:12" x14ac:dyDescent="0.3">
      <c r="B45" s="4"/>
      <c r="C45" s="730"/>
      <c r="D45" s="730"/>
      <c r="E45" s="730"/>
      <c r="F45" s="730"/>
      <c r="G45" s="730"/>
      <c r="H45" s="730"/>
      <c r="I45" s="730"/>
      <c r="J45" s="730"/>
      <c r="K45" s="730"/>
      <c r="L45" s="5"/>
    </row>
    <row r="46" spans="2:12" ht="8.5500000000000007" customHeight="1" thickBot="1" x14ac:dyDescent="0.35">
      <c r="B46" s="12"/>
      <c r="C46" s="13"/>
      <c r="D46" s="13"/>
      <c r="E46" s="13"/>
      <c r="F46" s="13"/>
      <c r="G46" s="13"/>
      <c r="H46" s="13"/>
      <c r="I46" s="13"/>
      <c r="J46" s="13"/>
      <c r="K46" s="13"/>
      <c r="L46" s="14"/>
    </row>
    <row r="47" spans="2:12" ht="9" customHeight="1" thickBot="1" x14ac:dyDescent="0.35"/>
    <row r="48" spans="2:12" x14ac:dyDescent="0.3">
      <c r="B48" s="726" t="s">
        <v>45</v>
      </c>
      <c r="C48" s="727"/>
      <c r="D48" s="2"/>
      <c r="E48" s="2"/>
      <c r="F48" s="2"/>
      <c r="G48" s="2"/>
      <c r="H48" s="2"/>
      <c r="I48" s="2"/>
      <c r="J48" s="2"/>
      <c r="K48" s="2"/>
      <c r="L48" s="3"/>
    </row>
    <row r="49" spans="2:12" x14ac:dyDescent="0.3">
      <c r="B49" s="4"/>
      <c r="L49" s="5"/>
    </row>
    <row r="50" spans="2:12" x14ac:dyDescent="0.3">
      <c r="B50" s="4"/>
      <c r="C50" s="23"/>
      <c r="L50" s="5"/>
    </row>
    <row r="51" spans="2:12" x14ac:dyDescent="0.3">
      <c r="B51" s="4"/>
      <c r="C51" s="728" t="s">
        <v>46</v>
      </c>
      <c r="D51" s="728"/>
      <c r="E51" s="728"/>
      <c r="F51" s="728"/>
      <c r="H51" s="728" t="s">
        <v>47</v>
      </c>
      <c r="I51" s="728"/>
      <c r="J51" s="728"/>
      <c r="K51" s="728"/>
      <c r="L51" s="5"/>
    </row>
    <row r="52" spans="2:12" ht="15" thickBot="1" x14ac:dyDescent="0.35">
      <c r="B52" s="12"/>
      <c r="C52" s="13"/>
      <c r="D52" s="13"/>
      <c r="E52" s="13"/>
      <c r="F52" s="13"/>
      <c r="G52" s="13"/>
      <c r="H52" s="13"/>
      <c r="I52" s="13"/>
      <c r="J52" s="13"/>
      <c r="K52" s="13"/>
      <c r="L52" s="14"/>
    </row>
  </sheetData>
  <mergeCells count="42">
    <mergeCell ref="B48:C48"/>
    <mergeCell ref="C51:F51"/>
    <mergeCell ref="H51:K51"/>
    <mergeCell ref="C39:K45"/>
    <mergeCell ref="C38:K38"/>
    <mergeCell ref="D31:E31"/>
    <mergeCell ref="F31:G31"/>
    <mergeCell ref="I31:J31"/>
    <mergeCell ref="D32:E32"/>
    <mergeCell ref="F32:G32"/>
    <mergeCell ref="I32:J32"/>
    <mergeCell ref="D33:E33"/>
    <mergeCell ref="F33:G33"/>
    <mergeCell ref="I33:J33"/>
    <mergeCell ref="C34:E34"/>
    <mergeCell ref="F34:G34"/>
    <mergeCell ref="C27:K27"/>
    <mergeCell ref="D29:E29"/>
    <mergeCell ref="F29:G29"/>
    <mergeCell ref="H29:K29"/>
    <mergeCell ref="D30:E30"/>
    <mergeCell ref="F30:G30"/>
    <mergeCell ref="I30:J30"/>
    <mergeCell ref="D23:G23"/>
    <mergeCell ref="I23:K23"/>
    <mergeCell ref="D11:K11"/>
    <mergeCell ref="D12:H12"/>
    <mergeCell ref="J12:K12"/>
    <mergeCell ref="C16:K16"/>
    <mergeCell ref="D18:G18"/>
    <mergeCell ref="H18:K18"/>
    <mergeCell ref="D19:K19"/>
    <mergeCell ref="D20:K20"/>
    <mergeCell ref="D21:E21"/>
    <mergeCell ref="D22:G22"/>
    <mergeCell ref="I22:K22"/>
    <mergeCell ref="D10:K10"/>
    <mergeCell ref="B2:L2"/>
    <mergeCell ref="B3:L3"/>
    <mergeCell ref="C6:K6"/>
    <mergeCell ref="D8:K8"/>
    <mergeCell ref="D9:K9"/>
  </mergeCells>
  <pageMargins left="0.511811024" right="0.511811024" top="0.78740157499999996" bottom="0.78740157499999996" header="0.31496062000000002" footer="0.31496062000000002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F388C4C5C67B1C40A7414AD25E2D3AE6" ma:contentTypeVersion="13" ma:contentTypeDescription="Crie um novo documento." ma:contentTypeScope="" ma:versionID="1b5178e88f018b74586964b6babab4f8">
  <xsd:schema xmlns:xsd="http://www.w3.org/2001/XMLSchema" xmlns:xs="http://www.w3.org/2001/XMLSchema" xmlns:p="http://schemas.microsoft.com/office/2006/metadata/properties" xmlns:ns2="29a79990-ee87-4241-abc6-9e01ab9b2464" xmlns:ns3="8f4bf414-7d56-47ef-876f-a064b6139123" targetNamespace="http://schemas.microsoft.com/office/2006/metadata/properties" ma:root="true" ma:fieldsID="266d05339a4efad8584a7b69e9357b72" ns2:_="" ns3:_="">
    <xsd:import namespace="29a79990-ee87-4241-abc6-9e01ab9b2464"/>
    <xsd:import namespace="8f4bf414-7d56-47ef-876f-a064b613912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9a79990-ee87-4241-abc6-9e01ab9b246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4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15" nillable="true" ma:displayName="MediaServiceBillingMetadata" ma:hidden="true" ma:internalName="MediaServiceBillingMetadata" ma:readOnly="true">
      <xsd:simpleType>
        <xsd:restriction base="dms:Note"/>
      </xsd:simpleType>
    </xsd:element>
    <xsd:element name="lcf76f155ced4ddcb4097134ff3c332f" ma:index="17" nillable="true" ma:taxonomy="true" ma:internalName="lcf76f155ced4ddcb4097134ff3c332f" ma:taxonomyFieldName="MediaServiceImageTags" ma:displayName="Marcações de imagem" ma:readOnly="false" ma:fieldId="{5cf76f15-5ced-4ddc-b409-7134ff3c332f}" ma:taxonomyMulti="true" ma:sspId="dd800daa-7c7e-4072-b01c-3023f6f7afe5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20" nillable="true" ma:displayName="Location" ma:description="" ma:indexed="true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f4bf414-7d56-47ef-876f-a064b6139123" elementFormDefault="qualified">
    <xsd:import namespace="http://schemas.microsoft.com/office/2006/documentManagement/types"/>
    <xsd:import namespace="http://schemas.microsoft.com/office/infopath/2007/PartnerControls"/>
    <xsd:element name="TaxCatchAll" ma:index="18" nillable="true" ma:displayName="Taxonomy Catch All Column" ma:hidden="true" ma:list="{689cacdc-4c80-4a01-81af-803e241e380a}" ma:internalName="TaxCatchAll" ma:showField="CatchAllData" ma:web="8f4bf414-7d56-47ef-876f-a064b613912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29a79990-ee87-4241-abc6-9e01ab9b2464">
      <Terms xmlns="http://schemas.microsoft.com/office/infopath/2007/PartnerControls"/>
    </lcf76f155ced4ddcb4097134ff3c332f>
    <TaxCatchAll xmlns="8f4bf414-7d56-47ef-876f-a064b6139123" xsi:nil="true"/>
  </documentManagement>
</p:properties>
</file>

<file path=customXml/item4.xml>�� 
</file>

<file path=customXml/itemProps1.xml><?xml version="1.0" encoding="utf-8"?>
<ds:datastoreItem xmlns:ds="http://schemas.openxmlformats.org/officeDocument/2006/customXml" ds:itemID="{08E75524-C1B6-4E66-8D14-864EA00367D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29a79990-ee87-4241-abc6-9e01ab9b2464"/>
    <ds:schemaRef ds:uri="8f4bf414-7d56-47ef-876f-a064b613912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FBC7A38B-8603-4A42-AAAF-92D5D637F20E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868ACD4F-02B1-4370-BFE2-EC36B7D19892}">
  <ds:schemaRefs>
    <ds:schemaRef ds:uri="http://schemas.microsoft.com/office/2006/metadata/properties"/>
    <ds:schemaRef ds:uri="http://schemas.microsoft.com/office/infopath/2007/PartnerControls"/>
    <ds:schemaRef ds:uri="7a991dad-45c2-4a9e-9fda-9c556ad46bbb"/>
    <ds:schemaRef ds:uri="e3d5a89f-10c1-48c7-b69d-72d2ad4a8504"/>
    <ds:schemaRef ds:uri="29a79990-ee87-4241-abc6-9e01ab9b2464"/>
    <ds:schemaRef ds:uri="8f4bf414-7d56-47ef-876f-a064b6139123"/>
  </ds:schemaRefs>
</ds:datastoreItem>
</file>

<file path=customXml/itemProps4.xml><?xml version="1.0" encoding="utf-8"?>
<ds:datastoreItem xmlns:ds="http://schemas.openxmlformats.org/officeDocument/2006/customXml" ds:itemID="{1F2A719E-479E-41E4-8A33-6AFDA9F259D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8</vt:i4>
      </vt:variant>
      <vt:variant>
        <vt:lpstr>Intervalos Nomeados</vt:lpstr>
      </vt:variant>
      <vt:variant>
        <vt:i4>15</vt:i4>
      </vt:variant>
    </vt:vector>
  </HeadingPairs>
  <TitlesOfParts>
    <vt:vector size="23" baseType="lpstr">
      <vt:lpstr>RESUMO</vt:lpstr>
      <vt:lpstr>Principal</vt:lpstr>
      <vt:lpstr>Itens Novos </vt:lpstr>
      <vt:lpstr>Hote_atualiz</vt:lpstr>
      <vt:lpstr>TOTAL</vt:lpstr>
      <vt:lpstr>Solicitações de Pagamento</vt:lpstr>
      <vt:lpstr>ItensOrc</vt:lpstr>
      <vt:lpstr>Template SP</vt:lpstr>
      <vt:lpstr>ItensOrc!itensorc_desconto</vt:lpstr>
      <vt:lpstr>ItensOrc!itensorc_descricao</vt:lpstr>
      <vt:lpstr>ItensOrc!itensorc_encargos</vt:lpstr>
      <vt:lpstr>ItensOrc!itensorc_especifica</vt:lpstr>
      <vt:lpstr>ItensOrc!itensorc_item</vt:lpstr>
      <vt:lpstr>ItensOrc!itensorc_lancamento</vt:lpstr>
      <vt:lpstr>ItensOrc!itensorc_percentualhonorarios</vt:lpstr>
      <vt:lpstr>ItensOrc!itensorc_quantidade</vt:lpstr>
      <vt:lpstr>ItensOrc!itensorc_situacao</vt:lpstr>
      <vt:lpstr>ItensOrc!itensorc_subtipo</vt:lpstr>
      <vt:lpstr>ItensOrc!itensorc_tiporeceita</vt:lpstr>
      <vt:lpstr>ItensOrc!itensorc_valor</vt:lpstr>
      <vt:lpstr>ItensOrc!itensorc_valorfornecedor</vt:lpstr>
      <vt:lpstr>ItensOrc!itensorc_valorfornecedorunitario</vt:lpstr>
      <vt:lpstr>ItensOrc!itensorc_valorunitario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Rafael QdS</dc:creator>
  <cp:lastModifiedBy>Bruno Silva</cp:lastModifiedBy>
  <cp:lastPrinted>2026-03-20T20:44:42Z</cp:lastPrinted>
  <dcterms:created xsi:type="dcterms:W3CDTF">2023-09-21T21:02:20Z</dcterms:created>
  <dcterms:modified xsi:type="dcterms:W3CDTF">2026-03-24T22:49:47Z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0x010100F388C4C5C67B1C40A7414AD25E2D3AE6</vt:lpwstr>
  </property>
  <property fmtid="{D5CDD505-2E9C-101B-9397-08002B2CF9AE}" pid="3" name="MediaServiceImageTags">
    <vt:lpwstr/>
  </property>
</Properties>
</file>