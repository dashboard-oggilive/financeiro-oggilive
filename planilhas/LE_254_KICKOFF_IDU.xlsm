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6 junho\"/>
    </mc:Choice>
  </mc:AlternateContent>
  <xr:revisionPtr revIDLastSave="0" documentId="13_ncr:1_{B6018E6E-A2FF-47E2-B894-EDCFBDE3E723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8" r:id="rId1"/>
    <sheet name="KickOff LBC " sheetId="97" r:id="rId2"/>
    <sheet name="CUSTOS OP" sheetId="99" r:id="rId3"/>
    <sheet name="Solicitações de Pagamento" sheetId="4" r:id="rId4"/>
    <sheet name="ItensOrc" sheetId="76" state="hidden" r:id="rId5"/>
    <sheet name="Template SP" sheetId="3" state="hidden" r:id="rId6"/>
  </sheets>
  <definedNames>
    <definedName name="_xlnm._FilterDatabase" localSheetId="1" hidden="1">'KickOff LBC '!$A$1:$AA$14</definedName>
    <definedName name="_xleta.N" hidden="1" xlm="1">#NAME?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0" i="98" l="1"/>
  <c r="E30" i="98" s="1"/>
  <c r="C30" i="98"/>
  <c r="D29" i="98"/>
  <c r="D28" i="98"/>
  <c r="E29" i="98"/>
  <c r="E28" i="98"/>
  <c r="D22" i="98" l="1"/>
  <c r="C22" i="98"/>
  <c r="C23" i="98" s="1"/>
  <c r="AC48" i="97"/>
  <c r="AC46" i="97"/>
  <c r="H18" i="99"/>
  <c r="H1048576" i="99" s="1"/>
  <c r="AC42" i="97"/>
  <c r="AC37" i="97"/>
  <c r="AC24" i="97"/>
  <c r="AC23" i="97"/>
  <c r="AB40" i="97"/>
  <c r="AB41" i="97"/>
  <c r="AB44" i="97"/>
  <c r="AB45" i="97"/>
  <c r="F29" i="98"/>
  <c r="F28" i="98"/>
  <c r="D23" i="98"/>
  <c r="E3" i="98"/>
  <c r="E23" i="98" l="1"/>
  <c r="F23" i="98" s="1"/>
  <c r="E22" i="98"/>
  <c r="F22" i="98" s="1"/>
  <c r="F30" i="98"/>
  <c r="K47" i="97"/>
  <c r="R46" i="97"/>
  <c r="Q46" i="97"/>
  <c r="R42" i="97"/>
  <c r="K42" i="97"/>
  <c r="K43" i="97" s="1"/>
  <c r="Q41" i="97"/>
  <c r="Q40" i="97"/>
  <c r="Q45" i="97"/>
  <c r="Q44" i="97"/>
  <c r="R38" i="97"/>
  <c r="Q38" i="97"/>
  <c r="K38" i="97"/>
  <c r="R37" i="97"/>
  <c r="K37" i="97"/>
  <c r="K39" i="97" s="1"/>
  <c r="Q36" i="97"/>
  <c r="Q35" i="97"/>
  <c r="R33" i="97"/>
  <c r="Q33" i="97"/>
  <c r="V33" i="97" s="1"/>
  <c r="K33" i="97"/>
  <c r="Q32" i="97"/>
  <c r="Q31" i="97"/>
  <c r="V29" i="97"/>
  <c r="R29" i="97"/>
  <c r="T29" i="97" s="1"/>
  <c r="T30" i="97" s="1"/>
  <c r="K29" i="97"/>
  <c r="K30" i="97" s="1"/>
  <c r="Q28" i="97"/>
  <c r="Q27" i="97"/>
  <c r="R25" i="97"/>
  <c r="Q25" i="97"/>
  <c r="K25" i="97"/>
  <c r="R24" i="97"/>
  <c r="K24" i="97"/>
  <c r="V23" i="97"/>
  <c r="K23" i="97"/>
  <c r="Q22" i="97"/>
  <c r="Q21" i="97"/>
  <c r="R19" i="97"/>
  <c r="Q19" i="97"/>
  <c r="K19" i="97"/>
  <c r="R18" i="97"/>
  <c r="Q18" i="97"/>
  <c r="K18" i="97"/>
  <c r="R17" i="97"/>
  <c r="Q17" i="97"/>
  <c r="K17" i="97"/>
  <c r="Q16" i="97"/>
  <c r="Q15" i="97"/>
  <c r="Z12" i="97"/>
  <c r="K20" i="97" l="1"/>
  <c r="K26" i="97"/>
  <c r="K48" i="97"/>
  <c r="K34" i="97"/>
  <c r="L46" i="97"/>
  <c r="L47" i="97" s="1"/>
  <c r="V46" i="97"/>
  <c r="T47" i="97"/>
  <c r="V42" i="97"/>
  <c r="T42" i="97"/>
  <c r="T43" i="97" s="1"/>
  <c r="L42" i="97"/>
  <c r="L43" i="97" s="1"/>
  <c r="V38" i="97"/>
  <c r="L38" i="97"/>
  <c r="M38" i="97" s="1"/>
  <c r="N38" i="97" s="1"/>
  <c r="V37" i="97"/>
  <c r="T37" i="97"/>
  <c r="L37" i="97"/>
  <c r="T33" i="97"/>
  <c r="T34" i="97" s="1"/>
  <c r="L33" i="97"/>
  <c r="U29" i="97"/>
  <c r="U30" i="97" s="1"/>
  <c r="L29" i="97"/>
  <c r="L30" i="97" s="1"/>
  <c r="T25" i="97"/>
  <c r="V25" i="97"/>
  <c r="L25" i="97"/>
  <c r="T24" i="97"/>
  <c r="V24" i="97"/>
  <c r="L24" i="97"/>
  <c r="U23" i="97"/>
  <c r="L23" i="97"/>
  <c r="V19" i="97"/>
  <c r="T19" i="97"/>
  <c r="U19" i="97" s="1"/>
  <c r="Z19" i="97" s="1"/>
  <c r="L19" i="97"/>
  <c r="M19" i="97" s="1"/>
  <c r="N19" i="97" s="1"/>
  <c r="V18" i="97"/>
  <c r="T18" i="97"/>
  <c r="U18" i="97" s="1"/>
  <c r="Z18" i="97" s="1"/>
  <c r="L18" i="97"/>
  <c r="V17" i="97"/>
  <c r="T17" i="97"/>
  <c r="L17" i="97"/>
  <c r="T39" i="97" l="1"/>
  <c r="L26" i="97"/>
  <c r="L20" i="97"/>
  <c r="T26" i="97"/>
  <c r="L39" i="97"/>
  <c r="T48" i="97"/>
  <c r="T20" i="97"/>
  <c r="L34" i="97"/>
  <c r="L48" i="97"/>
  <c r="M25" i="97"/>
  <c r="U38" i="97"/>
  <c r="U46" i="97"/>
  <c r="U47" i="97" s="1"/>
  <c r="M46" i="97"/>
  <c r="M47" i="97" s="1"/>
  <c r="U42" i="97"/>
  <c r="U43" i="97" s="1"/>
  <c r="M29" i="97"/>
  <c r="M30" i="97" s="1"/>
  <c r="U24" i="97"/>
  <c r="U17" i="97"/>
  <c r="U20" i="97" s="1"/>
  <c r="M17" i="97"/>
  <c r="U37" i="97"/>
  <c r="U25" i="97"/>
  <c r="M42" i="97"/>
  <c r="M43" i="97" s="1"/>
  <c r="W29" i="97"/>
  <c r="X29" i="97" s="1"/>
  <c r="Z29" i="97"/>
  <c r="W23" i="97"/>
  <c r="X23" i="97" s="1"/>
  <c r="AB23" i="97" s="1"/>
  <c r="Z23" i="97"/>
  <c r="M37" i="97"/>
  <c r="M39" i="97" s="1"/>
  <c r="U33" i="97"/>
  <c r="M33" i="97"/>
  <c r="AA29" i="97"/>
  <c r="M24" i="97"/>
  <c r="N24" i="97" s="1"/>
  <c r="M23" i="97"/>
  <c r="M26" i="97" s="1"/>
  <c r="M18" i="97"/>
  <c r="W19" i="97"/>
  <c r="X19" i="97" s="1"/>
  <c r="W18" i="97"/>
  <c r="X18" i="97" s="1"/>
  <c r="AB18" i="97" s="1"/>
  <c r="X30" i="97" l="1"/>
  <c r="AB29" i="97"/>
  <c r="Y19" i="97"/>
  <c r="AB19" i="97"/>
  <c r="U39" i="97"/>
  <c r="M20" i="97"/>
  <c r="U26" i="97"/>
  <c r="U34" i="97"/>
  <c r="U48" i="97"/>
  <c r="M34" i="97"/>
  <c r="M48" i="97"/>
  <c r="W38" i="97"/>
  <c r="X38" i="97" s="1"/>
  <c r="Z38" i="97"/>
  <c r="N25" i="97"/>
  <c r="AA46" i="97"/>
  <c r="AA37" i="97"/>
  <c r="AA42" i="97"/>
  <c r="AA17" i="97"/>
  <c r="W46" i="97"/>
  <c r="X46" i="97" s="1"/>
  <c r="Z46" i="97"/>
  <c r="W17" i="97"/>
  <c r="X17" i="97" s="1"/>
  <c r="Z17" i="97"/>
  <c r="N42" i="97"/>
  <c r="N43" i="97" s="1"/>
  <c r="Z24" i="97"/>
  <c r="W24" i="97"/>
  <c r="X24" i="97" s="1"/>
  <c r="AB24" i="97" s="1"/>
  <c r="N46" i="97"/>
  <c r="N47" i="97" s="1"/>
  <c r="W42" i="97"/>
  <c r="X42" i="97" s="1"/>
  <c r="W25" i="97"/>
  <c r="X25" i="97" s="1"/>
  <c r="AB25" i="97" s="1"/>
  <c r="Z42" i="97"/>
  <c r="N29" i="97"/>
  <c r="N30" i="97" s="1"/>
  <c r="N17" i="97"/>
  <c r="Z37" i="97"/>
  <c r="W37" i="97"/>
  <c r="X37" i="97" s="1"/>
  <c r="AB37" i="97" s="1"/>
  <c r="Z25" i="97"/>
  <c r="AA23" i="97"/>
  <c r="AA24" i="97"/>
  <c r="N23" i="97"/>
  <c r="AA38" i="97"/>
  <c r="Y29" i="97"/>
  <c r="Y23" i="97"/>
  <c r="AA18" i="97"/>
  <c r="AA19" i="97"/>
  <c r="Z33" i="97"/>
  <c r="W33" i="97"/>
  <c r="X33" i="97" s="1"/>
  <c r="AB33" i="97" s="1"/>
  <c r="Y18" i="97"/>
  <c r="N37" i="97"/>
  <c r="N39" i="97" s="1"/>
  <c r="N33" i="97"/>
  <c r="N18" i="97"/>
  <c r="X20" i="97" l="1"/>
  <c r="AB17" i="97"/>
  <c r="X43" i="97"/>
  <c r="AB42" i="97"/>
  <c r="X47" i="97"/>
  <c r="Y47" i="97" s="1"/>
  <c r="AB46" i="97"/>
  <c r="Y38" i="97"/>
  <c r="AB38" i="97"/>
  <c r="AB48" i="97" s="1"/>
  <c r="N26" i="97"/>
  <c r="X26" i="97"/>
  <c r="X39" i="97"/>
  <c r="N20" i="97"/>
  <c r="X34" i="97"/>
  <c r="X48" i="97"/>
  <c r="N48" i="97"/>
  <c r="N34" i="97"/>
  <c r="Y46" i="97"/>
  <c r="Y17" i="97"/>
  <c r="Y24" i="97"/>
  <c r="Y25" i="97"/>
  <c r="Y42" i="97"/>
  <c r="Y37" i="97"/>
  <c r="Y30" i="97"/>
  <c r="Y33" i="97"/>
  <c r="AC54" i="97" l="1"/>
  <c r="AC55" i="97" s="1"/>
  <c r="AC53" i="97"/>
  <c r="Y48" i="97"/>
  <c r="Z48" i="97" s="1"/>
  <c r="AA48" i="97" s="1"/>
  <c r="Y39" i="97"/>
  <c r="Y43" i="97"/>
  <c r="Y20" i="97"/>
  <c r="Y26" i="97"/>
  <c r="Y34" i="97"/>
</calcChain>
</file>

<file path=xl/sharedStrings.xml><?xml version="1.0" encoding="utf-8"?>
<sst xmlns="http://schemas.openxmlformats.org/spreadsheetml/2006/main" count="686" uniqueCount="355">
  <si>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</si>
  <si>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</si>
  <si>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</si>
  <si>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</si>
  <si>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</si>
  <si>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</si>
  <si>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</si>
  <si>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</si>
  <si>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</si>
  <si>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</si>
  <si>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</si>
  <si>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</si>
  <si>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</si>
  <si>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</si>
  <si>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</si>
  <si>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</si>
  <si>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</si>
  <si>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</si>
  <si>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</si>
  <si>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</si>
  <si>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</si>
  <si>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</si>
  <si>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</si>
  <si>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</si>
  <si>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</si>
  <si>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</si>
  <si>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</si>
  <si>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</si>
  <si>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</si>
  <si>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</si>
  <si>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</si>
  <si>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</si>
  <si>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</si>
  <si>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</si>
  <si>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</si>
  <si>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</si>
  <si>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</si>
  <si>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</si>
  <si>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</si>
  <si>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</si>
  <si>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</si>
  <si>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</si>
  <si>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</si>
  <si>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</si>
  <si>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</si>
  <si>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</si>
  <si>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</si>
  <si>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</si>
  <si>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</si>
  <si>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</si>
  <si>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</si>
  <si>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</si>
  <si>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</si>
  <si>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</si>
  <si>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</si>
  <si>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</si>
  <si>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</si>
  <si>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</si>
  <si>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</si>
  <si>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</si>
  <si>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</si>
  <si>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</si>
  <si>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</si>
  <si>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</si>
  <si>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</si>
  <si>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</si>
  <si>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</si>
  <si>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</si>
  <si>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</si>
  <si>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</si>
  <si>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</si>
  <si>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</si>
  <si>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</si>
  <si>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</si>
  <si>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</si>
  <si>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</si>
  <si>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</si>
  <si>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</si>
  <si>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</si>
  <si>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</si>
  <si>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</si>
  <si>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</si>
  <si>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</si>
  <si>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</si>
  <si>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</si>
  <si>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</si>
  <si>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</si>
  <si>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</si>
  <si>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</si>
  <si>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</si>
  <si>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</si>
  <si>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</si>
  <si>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</si>
  <si>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</si>
  <si>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</si>
  <si>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</si>
  <si>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</si>
  <si>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</si>
  <si>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</si>
  <si>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</si>
  <si>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</si>
  <si>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</si>
  <si>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</si>
  <si>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</si>
  <si>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</si>
  <si>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1.1.3</t>
  </si>
  <si>
    <t>Criação</t>
  </si>
  <si>
    <t>INTERNO</t>
  </si>
  <si>
    <t>FAT.OGGI</t>
  </si>
  <si>
    <t>SUBTOTAL SUBGRUPO</t>
  </si>
  <si>
    <t>2.1</t>
  </si>
  <si>
    <t>INTERNOS</t>
  </si>
  <si>
    <t>2.1.1</t>
  </si>
  <si>
    <t>2.1.2</t>
  </si>
  <si>
    <t>OPERACIONAL</t>
  </si>
  <si>
    <t>FAT.CLIENTE</t>
  </si>
  <si>
    <t>3.1</t>
  </si>
  <si>
    <t>4.1</t>
  </si>
  <si>
    <t>4.1.1</t>
  </si>
  <si>
    <t>SUBTOTAL PLANILHA</t>
  </si>
  <si>
    <t>Marg. Lucro</t>
  </si>
  <si>
    <t>Produtor financeiro</t>
  </si>
  <si>
    <t>BRINDES</t>
  </si>
  <si>
    <t>TAG</t>
  </si>
  <si>
    <t>Subtotal INTERNOS</t>
  </si>
  <si>
    <t>LENOVO</t>
  </si>
  <si>
    <t xml:space="preserve">CÓDIGO DO JOB: </t>
  </si>
  <si>
    <t>CLIENTE:</t>
  </si>
  <si>
    <t>EVENTO:</t>
  </si>
  <si>
    <t>LOCAL:</t>
  </si>
  <si>
    <t>DATA:</t>
  </si>
  <si>
    <t>ATENDIMENTO:</t>
  </si>
  <si>
    <t>PRODUTOR:</t>
  </si>
  <si>
    <t>NOME PLANILHA:</t>
  </si>
  <si>
    <t xml:space="preserve">PATRICK / GIOVANNI </t>
  </si>
  <si>
    <t xml:space="preserve">OPERACIONAL </t>
  </si>
  <si>
    <t xml:space="preserve">STAFF </t>
  </si>
  <si>
    <t xml:space="preserve">Recepcionista </t>
  </si>
  <si>
    <t xml:space="preserve">Subtotal STAFF </t>
  </si>
  <si>
    <t xml:space="preserve">Uniforme staff Lenovo </t>
  </si>
  <si>
    <t xml:space="preserve">Bordado Lenovo e AMD </t>
  </si>
  <si>
    <t xml:space="preserve">Bordado com logos na camisa Polo </t>
  </si>
  <si>
    <t xml:space="preserve">Subtotal OPERACIONAL </t>
  </si>
  <si>
    <t>SALA DE APRESENTAÇÃO</t>
  </si>
  <si>
    <t xml:space="preserve">Sala de apresentação </t>
  </si>
  <si>
    <t xml:space="preserve">Água e café </t>
  </si>
  <si>
    <t>Subtotal SALA DE APRESENTAÇÃO</t>
  </si>
  <si>
    <t xml:space="preserve">LOGISTICA / OPERACIONAL </t>
  </si>
  <si>
    <t xml:space="preserve">Logística Terrestre </t>
  </si>
  <si>
    <t>Logística terrestre  ida e volta para materiais (brindes, equipamento, dentre outros)</t>
  </si>
  <si>
    <t xml:space="preserve">Custos operacionais </t>
  </si>
  <si>
    <t xml:space="preserve">Verba prevista para custos internos, testes de brindes e uniformes, motoboy para retirada de amostras, telefonias, amostra de brindes e borados, </t>
  </si>
  <si>
    <t>Placas de produtos</t>
  </si>
  <si>
    <t xml:space="preserve">Locação de máquina de café Nespresso + cafés + água </t>
  </si>
  <si>
    <t>Atendimento/Produção</t>
  </si>
  <si>
    <t>Polos Hering com logo Lenovo + parceira bordada</t>
  </si>
  <si>
    <t>05/03/2026</t>
  </si>
  <si>
    <t xml:space="preserve">HERING </t>
  </si>
  <si>
    <t>R$ 79,79</t>
  </si>
  <si>
    <t>PETEROSN</t>
  </si>
  <si>
    <t>10/03/2026</t>
  </si>
  <si>
    <t>362.257.668-55</t>
  </si>
  <si>
    <t xml:space="preserve">GIOVANNI FERREIRA </t>
  </si>
  <si>
    <t>R$ 167,61</t>
  </si>
  <si>
    <t xml:space="preserve">Placas de produtos (verba estimada, verificar quantidade de produtos) </t>
  </si>
  <si>
    <t xml:space="preserve">PETERSON </t>
  </si>
  <si>
    <t>16/03/2026</t>
  </si>
  <si>
    <t>R$ 1.050,00</t>
  </si>
  <si>
    <t>08.750.285/0001-90</t>
  </si>
  <si>
    <t>SK COPIADORA E IMPRESSAO DIGITAL LTDA</t>
  </si>
  <si>
    <t>(11) 2905-7107 / (11) 3255-5572</t>
  </si>
  <si>
    <t>R$ 554,00</t>
  </si>
  <si>
    <t>TAG personalizada para brindes  (cortesia)</t>
  </si>
  <si>
    <t>R$ 100,00</t>
  </si>
  <si>
    <t>231.993.678-52</t>
  </si>
  <si>
    <t xml:space="preserve">CLAUDIA MACEDO NEVES </t>
  </si>
  <si>
    <t>GIOVANNI</t>
  </si>
  <si>
    <t>221.554.688-30</t>
  </si>
  <si>
    <t xml:space="preserve">CLESSIO ADALBERTO DO BOMFIM </t>
  </si>
  <si>
    <t>R$ 60,00</t>
  </si>
  <si>
    <t>821.100.934-04</t>
  </si>
  <si>
    <t xml:space="preserve">RONALDO TIGUEIRO DA SILVA </t>
  </si>
  <si>
    <t>R$ 150,00</t>
  </si>
  <si>
    <t>52.537.588/0001-10</t>
  </si>
  <si>
    <t>BLUMEN LOCACOES E PRODUCOES LTDA</t>
  </si>
  <si>
    <t>(41) 9921-6383 / (0000) 0000-0000</t>
  </si>
  <si>
    <t>R$ 40.000,00</t>
  </si>
  <si>
    <t>01 Painel Estruturado com comunicação visual em lona com 6,75m x 2,50m (larg x alt) com estrutura para suporte de TV e detalhe em
Mdf e Led conforme indicado em projeto - Arte por conta do cliente*
01 Painel Estruturado com comunicação visual em lona com 5,50m x 2,50m (larg x alt) Lateral das Portas - Arte por conta do cliente*
01 Painel Estruturado com comunicação visual em lona com 1,20m x 2,50m (larg x alt) Frente e Verso na Entrada - Arte por conta do
cliente*
01 Painel Estruturado com comunicação visual em lona com 4,50m x 2,50m (larg x alt) Lateral - Arte por conta do cliente*
02 Paineis Estruturados em lona preta com 1,45m x 2,50m (larg x alt) Área do Café - Arte por conta do cliente*
01 Painel Estruturado em lona com detalhe em MDF com 1,65m x 2,50m (larg x alt) Área do Café - Arte por conta do cliente*
01 Painel Estruturado em lona preta com 0,60m x 2,50m (larg x alt) Área do Café - Arte por conta do cliente*
18 Poltronas em Bouclé Cinza
01 Planta ornamental
02 Aparadores com armário para armazenamento
02 Aparadores
01 Balcão Preto com área de armazenamento adesivado - Arte por conta do cliente*
01 Letreiro em Neon led para área do Café
(Desconto concedido)</t>
  </si>
  <si>
    <t>PETERSON</t>
  </si>
  <si>
    <t>1.1.1</t>
  </si>
  <si>
    <t>1.1.2</t>
  </si>
  <si>
    <t>3.1.1</t>
  </si>
  <si>
    <t>5.1</t>
  </si>
  <si>
    <t>5.1.1</t>
  </si>
  <si>
    <t>LOGISTICS / OPERATIONS</t>
  </si>
  <si>
    <t>Land Logistics</t>
  </si>
  <si>
    <t>Ground transportation to and from the location for materials (gifts, equipment, etc.)</t>
  </si>
  <si>
    <t>16/04/2026</t>
  </si>
  <si>
    <t>29.833.284/0001-89</t>
  </si>
  <si>
    <t>DA ORIKASSA TRANSPORTES E LOGISTICA</t>
  </si>
  <si>
    <t>(11) 2154-6898</t>
  </si>
  <si>
    <t>R$ 2.383,14</t>
  </si>
  <si>
    <t>24/04/2026</t>
  </si>
  <si>
    <t>07.148.623/0001-55</t>
  </si>
  <si>
    <t>IT4CIO NETWORK TECHNOLOGY LTDA</t>
  </si>
  <si>
    <t>(41) 3202-5900</t>
  </si>
  <si>
    <t>R$ 4.000,00</t>
  </si>
  <si>
    <t>2.1.3</t>
  </si>
  <si>
    <t>5.1.3</t>
  </si>
  <si>
    <t xml:space="preserve">Produtor responsável por fechamento de contratos, pagamentos, emissão de notas e recibos </t>
  </si>
  <si>
    <t>6.1</t>
  </si>
  <si>
    <t>6.1.1</t>
  </si>
  <si>
    <t xml:space="preserve">UNIFORME  </t>
  </si>
  <si>
    <t xml:space="preserve">UNIFORME </t>
  </si>
  <si>
    <t xml:space="preserve">CREDENCIAL EXTRA  </t>
  </si>
  <si>
    <t xml:space="preserve">NILSON MIGUEL </t>
  </si>
  <si>
    <t xml:space="preserve">GIOVANNI/PATRICK </t>
  </si>
  <si>
    <t>Hospedagem extra</t>
  </si>
  <si>
    <t xml:space="preserve">Hospedagem extra para executivo Lenovo no Costão do Santinho </t>
  </si>
  <si>
    <t>08/05/2026</t>
  </si>
  <si>
    <t>65.228.737/0001-01</t>
  </si>
  <si>
    <t>AVANCE BRINDES CORPORATIVOS LTDA</t>
  </si>
  <si>
    <t>(11) 9476-4522</t>
  </si>
  <si>
    <t>R$ 5.200,00</t>
  </si>
  <si>
    <t>Polos Fifa</t>
  </si>
  <si>
    <t xml:space="preserve">Polos Fifa </t>
  </si>
  <si>
    <t>12/05/2026</t>
  </si>
  <si>
    <t>301.222.808-06</t>
  </si>
  <si>
    <t xml:space="preserve">MARCELO BAYEUX DA SILVA </t>
  </si>
  <si>
    <t>R$ 1.379,88</t>
  </si>
  <si>
    <t xml:space="preserve">PETEROSN </t>
  </si>
  <si>
    <t>R$ 1.889,79</t>
  </si>
  <si>
    <t>02.332.375/0001-84</t>
  </si>
  <si>
    <t>TREVISO AGENCIA DE VIAGENS E TURISMO LTDA</t>
  </si>
  <si>
    <t>(41) 3352-8889</t>
  </si>
  <si>
    <t>R$ 6.152,47</t>
  </si>
  <si>
    <t>Fotográfo</t>
  </si>
  <si>
    <t xml:space="preserve">Fotográfo para cobertura fotográfica do evento </t>
  </si>
  <si>
    <t xml:space="preserve">COFFEE  </t>
  </si>
  <si>
    <t xml:space="preserve">TRANSFER </t>
  </si>
  <si>
    <t>Subtotal COFFEE</t>
  </si>
  <si>
    <t xml:space="preserve">Transfer SP - IDU </t>
  </si>
  <si>
    <t xml:space="preserve">HAPPY HOUR </t>
  </si>
  <si>
    <t xml:space="preserve">Aperitivos + bebidas (cardápio na apresentação)  18 ás 22h </t>
  </si>
  <si>
    <t>Happy Hour</t>
  </si>
  <si>
    <t>Prisma</t>
  </si>
  <si>
    <t>Prisma cardápio impresso</t>
  </si>
  <si>
    <t xml:space="preserve">Subtotal HAPPY HOUR </t>
  </si>
  <si>
    <t xml:space="preserve">Logistica Staff </t>
  </si>
  <si>
    <t>Logística para produtores/ fotográfo SP - IDU</t>
  </si>
  <si>
    <t xml:space="preserve">Custos operacionais relacionado a transporte, alimentação, motoboy e despesas extras </t>
  </si>
  <si>
    <t xml:space="preserve">Criação e desenvolvimento de KV + Template de PPT </t>
  </si>
  <si>
    <t xml:space="preserve">Produtor   </t>
  </si>
  <si>
    <t xml:space="preserve">Produtor responsável pelo acompanhamento do evento. Saída de SP, evento e Happy Hour </t>
  </si>
  <si>
    <t xml:space="preserve">Promotora responsável por acompanhar o grupo de SP a IDU </t>
  </si>
  <si>
    <t>LE_254_KickOff IDU LBC</t>
  </si>
  <si>
    <t xml:space="preserve">KICK OFF LBC </t>
  </si>
  <si>
    <t xml:space="preserve">FÁBRICA LENOVO - INDAIATUBA </t>
  </si>
  <si>
    <t xml:space="preserve">Onibus para 44 pessoas + 01 van para 15 pessoas  (Onibus levar 35 pessoas. Van volta com 10 e onibus 25)  1 ponto de embarque e desembarque </t>
  </si>
  <si>
    <t xml:space="preserve">Polo extra </t>
  </si>
  <si>
    <t xml:space="preserve">polos extra CIO </t>
  </si>
  <si>
    <t>19/05/2026</t>
  </si>
  <si>
    <t xml:space="preserve">LE_254_KickOff IDU LBC KICK OFF LBC </t>
  </si>
  <si>
    <t>LE_254_KickOff IDU.xlsm</t>
  </si>
  <si>
    <t>R$ 199,98</t>
  </si>
  <si>
    <t>7.1</t>
  </si>
  <si>
    <t>PIN</t>
  </si>
  <si>
    <t xml:space="preserve">PIN </t>
  </si>
  <si>
    <t>Pin</t>
  </si>
  <si>
    <t xml:space="preserve">Subtotal PIN </t>
  </si>
  <si>
    <t xml:space="preserve">Pin personalizado one Lenvo Team (200 resinado 28.05 | 300 esmaltados 15/06) </t>
  </si>
  <si>
    <t>25/05/2026</t>
  </si>
  <si>
    <t xml:space="preserve">GIOVANNI FERRERIA </t>
  </si>
  <si>
    <t>R$ 1.300,00</t>
  </si>
  <si>
    <t>59.763.614/0001-78</t>
  </si>
  <si>
    <t>PEDRILLI BRINDES PERSONALIZADOS LTDA</t>
  </si>
  <si>
    <t>(11) 1111-1111</t>
  </si>
  <si>
    <t>45.023.635/0001-42</t>
  </si>
  <si>
    <t>CHM RESTAURANTE E EVENTOS LTDA</t>
  </si>
  <si>
    <t>(19) 3500-4750</t>
  </si>
  <si>
    <t>R$ 13.500,00</t>
  </si>
  <si>
    <t>27/05/2026</t>
  </si>
  <si>
    <t>40.791.871/0001-95</t>
  </si>
  <si>
    <t>ZORELLO STORE LTDA</t>
  </si>
  <si>
    <t>(11) 2574-3129</t>
  </si>
  <si>
    <t>R$ 2.970,00</t>
  </si>
  <si>
    <t>01/06/2026</t>
  </si>
  <si>
    <t>23.217.587/0001-90</t>
  </si>
  <si>
    <t>EDUARDO ARTHUR MOLINA TRANSPORTES</t>
  </si>
  <si>
    <t>(11) 2681-7850 / (11) 2681-7850</t>
  </si>
  <si>
    <t>R$ 5.300,00</t>
  </si>
  <si>
    <t xml:space="preserve">Coffee </t>
  </si>
  <si>
    <t>Welcome coffee periodo da manhã e tarde</t>
  </si>
  <si>
    <t>22.843.980/0001-27</t>
  </si>
  <si>
    <t>ALERE ALIMENTACAO E SERVICOS LTDA</t>
  </si>
  <si>
    <t>(11) 4118-1919</t>
  </si>
  <si>
    <t>R$ 4.933,15</t>
  </si>
  <si>
    <t>48.492.064/0001-83</t>
  </si>
  <si>
    <t>KAMYLLE SANTOS CALDEIRA 13409993665</t>
  </si>
  <si>
    <t>(38) 9200-4933</t>
  </si>
  <si>
    <t>R$ 520,00</t>
  </si>
  <si>
    <t>MARCELO BAYEUX DA SILVA</t>
  </si>
  <si>
    <t>R$ 650,00</t>
  </si>
  <si>
    <t>11.794.033/0001-77</t>
  </si>
  <si>
    <t>FABIO MASAHALU CHIBA</t>
  </si>
  <si>
    <t>(11) 3124-1000 / (11) 3124-1000</t>
  </si>
  <si>
    <t>R$ 2.100,00</t>
  </si>
  <si>
    <t>08/06/2026</t>
  </si>
  <si>
    <t>433.764.348-67</t>
  </si>
  <si>
    <t xml:space="preserve">MONYQUE PEREIRA </t>
  </si>
  <si>
    <t>( X ) Pessoa Jurídica</t>
  </si>
  <si>
    <t>03.502.099/0001-18</t>
  </si>
  <si>
    <t>CHUBB SEGUROS BRASIL S.A.</t>
  </si>
  <si>
    <t>(11) 4504-4400</t>
  </si>
  <si>
    <t>R$ 1.462,48</t>
  </si>
  <si>
    <t>5.1.4</t>
  </si>
  <si>
    <t>Som e iluminação HH</t>
  </si>
  <si>
    <t>Som e iluminação para HH</t>
  </si>
  <si>
    <t>7.1.4</t>
  </si>
  <si>
    <t>TOTAL LE_254_KickOff IDU LBC</t>
  </si>
  <si>
    <t>Lucro</t>
  </si>
  <si>
    <t>15/06/2026</t>
  </si>
  <si>
    <t>(11) 2905-7107</t>
  </si>
  <si>
    <t>29/06/26</t>
  </si>
  <si>
    <t>R$ 144,50</t>
  </si>
  <si>
    <t>( X ) Boleto</t>
  </si>
  <si>
    <t xml:space="preserve">VALOR REFERENTE A CARDÁPIO HH </t>
  </si>
  <si>
    <t xml:space="preserve">Onibus para 44 pessoas + 01 van para 15 pessoas  (Onibus levar 35 pessoas. Van volta com 10 e onibus 25)  1 ponto de embarque e desembarque + logistica staff SP - IDU </t>
  </si>
  <si>
    <t xml:space="preserve">Transfer SP - IDU + Logística staff </t>
  </si>
  <si>
    <t>Happy Hour + DJ</t>
  </si>
  <si>
    <t>VÍDEO</t>
  </si>
  <si>
    <t>STUDIO ROCA</t>
  </si>
  <si>
    <t>VENDA</t>
  </si>
  <si>
    <t xml:space="preserve">CUSTO </t>
  </si>
  <si>
    <t>LUCRO</t>
  </si>
  <si>
    <t>NOTAS EMITIDAS</t>
  </si>
  <si>
    <t>PENDENTE</t>
  </si>
  <si>
    <t>EFETUADO</t>
  </si>
  <si>
    <t>IMPOSTO</t>
  </si>
  <si>
    <t>CUSTO TOTAL</t>
  </si>
  <si>
    <r>
      <t>Resp. pela interface de atendimento junto ao cliente, elaboração de plano estratégico para briefing interno da agencia após reunião de Brainstorming,  alinhamentos gerais, fluxo interno, alterações e condução de pauta.</t>
    </r>
    <r>
      <rPr>
        <sz val="16"/>
        <color rgb="FFFF0000"/>
        <rFont val="Trebuchet MS"/>
        <family val="2"/>
      </rPr>
      <t>)</t>
    </r>
    <r>
      <rPr>
        <sz val="16"/>
        <color theme="1"/>
        <rFont val="Trebuchet MS"/>
        <family val="2"/>
      </rPr>
      <t xml:space="preserve">  </t>
    </r>
  </si>
  <si>
    <t>MARCELO</t>
  </si>
  <si>
    <t>MONYQUE - KAMYLLE</t>
  </si>
  <si>
    <t xml:space="preserve">FABIO </t>
  </si>
  <si>
    <t>ALERE</t>
  </si>
  <si>
    <t>MOLINA</t>
  </si>
  <si>
    <t xml:space="preserve">CHM </t>
  </si>
  <si>
    <t>ZORELLO - PEDRILLI - GIOVANNI</t>
  </si>
  <si>
    <t>GIOVANNI VERNIANO PERES FERREIRA</t>
  </si>
  <si>
    <t>KAMYLLE SANTOS CALDEIRA</t>
  </si>
  <si>
    <t>NOME</t>
  </si>
  <si>
    <t>CUSTOS OP</t>
  </si>
  <si>
    <t xml:space="preserve">KickOff LBC </t>
  </si>
  <si>
    <t xml:space="preserve"> NOTA DE DÉBITO 266</t>
  </si>
  <si>
    <t>NOTA FISCAL 3003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</si>
</sst>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(&quot;R$&quot;* #,##0.00_);_(&quot;R$&quot;* \(#,##0.00\);_(&quot;R$&quot;* &quot;-&quot;??_);_(@_)"/>
    <numFmt numFmtId="167" formatCode="0.000000000%"/>
    <numFmt numFmtId="168" formatCode="_-&quot;R$&quot;* #,##0.00_-;\-&quot;R$&quot;* #,##0.00_-;_-&quot;R$&quot;* &quot;-&quot;??_-;_-@_-"/>
    <numFmt numFmtId="169" formatCode="&quot;R$&quot;\ #,##0.00"/>
    <numFmt numFmtId="170" formatCode="_-[$R$-416]\ * #,##0.00_-;\-[$R$-416]\ * #,##0.00_-;_-[$R$-416]\ * &quot;-&quot;??_-;_-@_-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6"/>
      <color theme="0"/>
      <name val="Trebuchet MS"/>
      <family val="2"/>
    </font>
    <font>
      <b/>
      <sz val="12"/>
      <color theme="0"/>
      <name val="Trebuchet MS"/>
      <family val="2"/>
    </font>
    <font>
      <b/>
      <sz val="16"/>
      <color rgb="FFFF0000"/>
      <name val="Trebuchet MS"/>
      <family val="2"/>
    </font>
    <font>
      <b/>
      <sz val="16"/>
      <color rgb="FF00B050"/>
      <name val="Trebuchet MS"/>
      <family val="2"/>
    </font>
    <font>
      <b/>
      <sz val="16"/>
      <color rgb="FFFF000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Gadugi"/>
      <family val="2"/>
    </font>
    <font>
      <b/>
      <sz val="16"/>
      <color indexed="63"/>
      <name val="Trebuchet MS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Trebuchet MS"/>
      <family val="2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sz val="16"/>
      <color rgb="FFFF0000"/>
      <name val="Trebuchet MS"/>
      <family val="2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89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1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53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8" fillId="4" borderId="35" xfId="0" applyFont="1" applyFill="1" applyBorder="1"/>
    <xf numFmtId="0" fontId="8" fillId="4" borderId="36" xfId="0" applyFont="1" applyFill="1" applyBorder="1"/>
    <xf numFmtId="0" fontId="11" fillId="8" borderId="39" xfId="0" applyFont="1" applyFill="1" applyBorder="1" applyAlignment="1">
      <alignment vertical="center"/>
    </xf>
    <xf numFmtId="0" fontId="13" fillId="8" borderId="39" xfId="0" applyFont="1" applyFill="1" applyBorder="1" applyAlignment="1">
      <alignment horizontal="center" vertical="center"/>
    </xf>
    <xf numFmtId="22" fontId="11" fillId="8" borderId="39" xfId="0" applyNumberFormat="1" applyFont="1" applyFill="1" applyBorder="1" applyAlignment="1">
      <alignment horizontal="center" vertical="center"/>
    </xf>
    <xf numFmtId="0" fontId="15" fillId="8" borderId="40" xfId="0" applyFont="1" applyFill="1" applyBorder="1" applyAlignment="1">
      <alignment horizontal="center" vertical="center" wrapText="1"/>
    </xf>
    <xf numFmtId="0" fontId="15" fillId="8" borderId="41" xfId="0" applyFont="1" applyFill="1" applyBorder="1" applyAlignment="1">
      <alignment horizontal="center" vertical="center" wrapText="1"/>
    </xf>
    <xf numFmtId="0" fontId="19" fillId="15" borderId="68" xfId="0" applyFont="1" applyFill="1" applyBorder="1"/>
    <xf numFmtId="0" fontId="19" fillId="15" borderId="37" xfId="0" applyFont="1" applyFill="1" applyBorder="1"/>
    <xf numFmtId="0" fontId="19" fillId="15" borderId="37" xfId="0" applyFont="1" applyFill="1" applyBorder="1" applyAlignment="1">
      <alignment horizontal="center" vertical="center"/>
    </xf>
    <xf numFmtId="44" fontId="19" fillId="15" borderId="37" xfId="0" applyNumberFormat="1" applyFont="1" applyFill="1" applyBorder="1"/>
    <xf numFmtId="0" fontId="19" fillId="15" borderId="68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44" fontId="19" fillId="15" borderId="83" xfId="0" applyNumberFormat="1" applyFont="1" applyFill="1" applyBorder="1"/>
    <xf numFmtId="9" fontId="19" fillId="15" borderId="14" xfId="1" applyFont="1" applyFill="1" applyBorder="1"/>
    <xf numFmtId="44" fontId="19" fillId="15" borderId="85" xfId="8" applyFont="1" applyFill="1" applyBorder="1"/>
    <xf numFmtId="0" fontId="17" fillId="0" borderId="0" xfId="0" applyFont="1"/>
    <xf numFmtId="0" fontId="17" fillId="0" borderId="0" xfId="0" applyFont="1" applyAlignment="1">
      <alignment horizontal="center"/>
    </xf>
    <xf numFmtId="16" fontId="17" fillId="17" borderId="11" xfId="0" applyNumberFormat="1" applyFont="1" applyFill="1" applyBorder="1"/>
    <xf numFmtId="16" fontId="17" fillId="17" borderId="12" xfId="0" applyNumberFormat="1" applyFont="1" applyFill="1" applyBorder="1"/>
    <xf numFmtId="16" fontId="17" fillId="18" borderId="14" xfId="0" applyNumberFormat="1" applyFont="1" applyFill="1" applyBorder="1"/>
    <xf numFmtId="16" fontId="17" fillId="18" borderId="15" xfId="0" applyNumberFormat="1" applyFont="1" applyFill="1" applyBorder="1"/>
    <xf numFmtId="0" fontId="17" fillId="19" borderId="17" xfId="0" applyFont="1" applyFill="1" applyBorder="1" applyAlignment="1">
      <alignment horizontal="right"/>
    </xf>
    <xf numFmtId="0" fontId="17" fillId="19" borderId="0" xfId="0" applyFont="1" applyFill="1" applyAlignment="1">
      <alignment horizontal="right"/>
    </xf>
    <xf numFmtId="0" fontId="20" fillId="20" borderId="14" xfId="0" applyFont="1" applyFill="1" applyBorder="1"/>
    <xf numFmtId="0" fontId="20" fillId="20" borderId="15" xfId="0" applyFont="1" applyFill="1" applyBorder="1"/>
    <xf numFmtId="164" fontId="4" fillId="0" borderId="64" xfId="2" applyNumberFormat="1" applyFont="1" applyBorder="1" applyAlignment="1" applyProtection="1">
      <alignment horizontal="left" vertical="center"/>
      <protection locked="0"/>
    </xf>
    <xf numFmtId="164" fontId="4" fillId="0" borderId="65" xfId="2" applyNumberFormat="1" applyFont="1" applyBorder="1" applyAlignment="1" applyProtection="1">
      <alignment horizontal="left" vertical="center"/>
      <protection locked="0"/>
    </xf>
    <xf numFmtId="164" fontId="4" fillId="0" borderId="0" xfId="2" applyNumberFormat="1" applyFont="1" applyAlignment="1" applyProtection="1">
      <alignment horizontal="left" vertical="center"/>
      <protection locked="0"/>
    </xf>
    <xf numFmtId="164" fontId="4" fillId="0" borderId="66" xfId="2" applyNumberFormat="1" applyFont="1" applyBorder="1" applyAlignment="1" applyProtection="1">
      <alignment horizontal="left" vertical="center"/>
      <protection locked="0"/>
    </xf>
    <xf numFmtId="164" fontId="4" fillId="0" borderId="67" xfId="2" applyNumberFormat="1" applyFont="1" applyBorder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164" fontId="4" fillId="0" borderId="14" xfId="2" applyNumberFormat="1" applyFont="1" applyBorder="1" applyAlignment="1" applyProtection="1">
      <alignment horizontal="left" vertical="center"/>
      <protection locked="0"/>
    </xf>
    <xf numFmtId="164" fontId="4" fillId="0" borderId="63" xfId="2" applyNumberFormat="1" applyFont="1" applyBorder="1" applyAlignment="1" applyProtection="1">
      <alignment horizontal="left" vertical="center"/>
      <protection locked="0"/>
    </xf>
    <xf numFmtId="0" fontId="18" fillId="21" borderId="56" xfId="0" applyFont="1" applyFill="1" applyBorder="1" applyAlignment="1">
      <alignment horizontal="center"/>
    </xf>
    <xf numFmtId="164" fontId="4" fillId="0" borderId="56" xfId="2" applyNumberFormat="1" applyFont="1" applyBorder="1" applyAlignment="1" applyProtection="1">
      <alignment horizontal="left" vertical="center"/>
      <protection locked="0"/>
    </xf>
    <xf numFmtId="44" fontId="18" fillId="0" borderId="56" xfId="0" applyNumberFormat="1" applyFont="1" applyBorder="1"/>
    <xf numFmtId="9" fontId="18" fillId="0" borderId="56" xfId="1" applyFont="1" applyBorder="1" applyAlignment="1">
      <alignment horizontal="center"/>
    </xf>
    <xf numFmtId="44" fontId="18" fillId="21" borderId="56" xfId="0" applyNumberFormat="1" applyFont="1" applyFill="1" applyBorder="1" applyAlignment="1">
      <alignment horizontal="center"/>
    </xf>
    <xf numFmtId="169" fontId="18" fillId="0" borderId="61" xfId="0" applyNumberFormat="1" applyFont="1" applyBorder="1" applyAlignment="1">
      <alignment horizontal="center"/>
    </xf>
    <xf numFmtId="44" fontId="18" fillId="0" borderId="61" xfId="0" applyNumberFormat="1" applyFont="1" applyBorder="1"/>
    <xf numFmtId="169" fontId="18" fillId="0" borderId="61" xfId="0" applyNumberFormat="1" applyFont="1" applyBorder="1"/>
    <xf numFmtId="9" fontId="18" fillId="0" borderId="46" xfId="1" applyFont="1" applyBorder="1" applyAlignment="1">
      <alignment horizontal="center"/>
    </xf>
    <xf numFmtId="0" fontId="18" fillId="0" borderId="0" xfId="0" applyFont="1"/>
    <xf numFmtId="169" fontId="18" fillId="21" borderId="58" xfId="0" applyNumberFormat="1" applyFont="1" applyFill="1" applyBorder="1" applyAlignment="1">
      <alignment horizontal="center"/>
    </xf>
    <xf numFmtId="44" fontId="18" fillId="21" borderId="56" xfId="0" applyNumberFormat="1" applyFont="1" applyFill="1" applyBorder="1"/>
    <xf numFmtId="169" fontId="18" fillId="21" borderId="56" xfId="0" applyNumberFormat="1" applyFont="1" applyFill="1" applyBorder="1"/>
    <xf numFmtId="9" fontId="18" fillId="0" borderId="86" xfId="1" applyFont="1" applyBorder="1" applyAlignment="1">
      <alignment horizontal="center"/>
    </xf>
    <xf numFmtId="170" fontId="21" fillId="6" borderId="48" xfId="4" applyNumberFormat="1" applyFont="1" applyFill="1" applyBorder="1" applyAlignment="1">
      <alignment horizontal="center" vertical="center" wrapText="1"/>
    </xf>
    <xf numFmtId="170" fontId="22" fillId="6" borderId="49" xfId="4" applyNumberFormat="1" applyFont="1" applyFill="1" applyBorder="1" applyAlignment="1">
      <alignment horizontal="center" vertical="center" wrapText="1"/>
    </xf>
    <xf numFmtId="44" fontId="23" fillId="0" borderId="56" xfId="0" applyNumberFormat="1" applyFont="1" applyBorder="1"/>
    <xf numFmtId="44" fontId="24" fillId="0" borderId="56" xfId="8" applyFont="1" applyBorder="1"/>
    <xf numFmtId="0" fontId="25" fillId="0" borderId="0" xfId="0" applyFont="1"/>
    <xf numFmtId="49" fontId="26" fillId="0" borderId="0" xfId="2" applyNumberFormat="1" applyFont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164" fontId="26" fillId="0" borderId="0" xfId="2" applyNumberFormat="1" applyFont="1" applyAlignment="1">
      <alignment horizontal="left" vertical="center"/>
    </xf>
    <xf numFmtId="164" fontId="26" fillId="0" borderId="64" xfId="2" applyNumberFormat="1" applyFont="1" applyBorder="1" applyAlignment="1" applyProtection="1">
      <alignment horizontal="left" vertical="center"/>
      <protection locked="0"/>
    </xf>
    <xf numFmtId="164" fontId="26" fillId="0" borderId="65" xfId="2" applyNumberFormat="1" applyFont="1" applyBorder="1" applyAlignment="1" applyProtection="1">
      <alignment horizontal="left" vertical="center"/>
      <protection locked="0"/>
    </xf>
    <xf numFmtId="164" fontId="26" fillId="0" borderId="66" xfId="2" applyNumberFormat="1" applyFont="1" applyBorder="1" applyAlignment="1" applyProtection="1">
      <alignment horizontal="left" vertical="center"/>
      <protection locked="0"/>
    </xf>
    <xf numFmtId="164" fontId="26" fillId="0" borderId="67" xfId="2" applyNumberFormat="1" applyFont="1" applyBorder="1" applyAlignment="1" applyProtection="1">
      <alignment horizontal="left" vertical="center"/>
      <protection locked="0"/>
    </xf>
    <xf numFmtId="164" fontId="26" fillId="0" borderId="14" xfId="2" applyNumberFormat="1" applyFont="1" applyBorder="1" applyAlignment="1" applyProtection="1">
      <alignment horizontal="left" vertical="center"/>
      <protection locked="0"/>
    </xf>
    <xf numFmtId="164" fontId="26" fillId="0" borderId="63" xfId="2" applyNumberFormat="1" applyFont="1" applyBorder="1" applyAlignment="1" applyProtection="1">
      <alignment horizontal="left" vertical="center"/>
      <protection locked="0"/>
    </xf>
    <xf numFmtId="49" fontId="25" fillId="0" borderId="0" xfId="0" applyNumberFormat="1" applyFont="1"/>
    <xf numFmtId="0" fontId="25" fillId="0" borderId="0" xfId="1" applyNumberFormat="1" applyFont="1"/>
    <xf numFmtId="165" fontId="28" fillId="6" borderId="38" xfId="4" applyFont="1" applyFill="1" applyBorder="1" applyAlignment="1">
      <alignment horizontal="center" vertical="center" wrapText="1"/>
    </xf>
    <xf numFmtId="167" fontId="29" fillId="0" borderId="5" xfId="1" applyNumberFormat="1" applyFont="1" applyBorder="1"/>
    <xf numFmtId="0" fontId="30" fillId="5" borderId="0" xfId="0" applyFont="1" applyFill="1"/>
    <xf numFmtId="49" fontId="30" fillId="5" borderId="0" xfId="0" applyNumberFormat="1" applyFont="1" applyFill="1"/>
    <xf numFmtId="0" fontId="31" fillId="0" borderId="0" xfId="0" applyFont="1"/>
    <xf numFmtId="0" fontId="32" fillId="0" borderId="42" xfId="0" applyFont="1" applyBorder="1" applyAlignment="1">
      <alignment horizontal="left" vertical="center"/>
    </xf>
    <xf numFmtId="49" fontId="32" fillId="0" borderId="43" xfId="0" applyNumberFormat="1" applyFont="1" applyBorder="1" applyAlignment="1">
      <alignment horizontal="left" vertical="center"/>
    </xf>
    <xf numFmtId="0" fontId="32" fillId="0" borderId="44" xfId="0" applyFont="1" applyBorder="1" applyAlignment="1">
      <alignment horizontal="left" vertical="center"/>
    </xf>
    <xf numFmtId="0" fontId="32" fillId="0" borderId="42" xfId="0" applyFont="1" applyBorder="1" applyAlignment="1">
      <alignment horizontal="left" vertical="center" wrapText="1"/>
    </xf>
    <xf numFmtId="0" fontId="26" fillId="6" borderId="50" xfId="3" applyFont="1" applyFill="1" applyBorder="1" applyAlignment="1">
      <alignment horizontal="left" vertical="center"/>
    </xf>
    <xf numFmtId="0" fontId="26" fillId="6" borderId="51" xfId="3" applyFont="1" applyFill="1" applyBorder="1" applyAlignment="1">
      <alignment horizontal="center" vertical="center"/>
    </xf>
    <xf numFmtId="0" fontId="30" fillId="6" borderId="51" xfId="3" applyFont="1" applyFill="1" applyBorder="1" applyAlignment="1">
      <alignment horizontal="center" vertical="center"/>
    </xf>
    <xf numFmtId="168" fontId="30" fillId="6" borderId="51" xfId="3" applyNumberFormat="1" applyFont="1" applyFill="1" applyBorder="1" applyAlignment="1">
      <alignment horizontal="center" vertical="center" wrapText="1"/>
    </xf>
    <xf numFmtId="0" fontId="30" fillId="6" borderId="51" xfId="3" applyFont="1" applyFill="1" applyBorder="1" applyAlignment="1">
      <alignment horizontal="center" vertical="center" wrapText="1"/>
    </xf>
    <xf numFmtId="9" fontId="30" fillId="6" borderId="51" xfId="1" applyFont="1" applyFill="1" applyBorder="1" applyAlignment="1">
      <alignment horizontal="center" vertical="center" wrapText="1"/>
    </xf>
    <xf numFmtId="10" fontId="30" fillId="6" borderId="51" xfId="1" applyNumberFormat="1" applyFont="1" applyFill="1" applyBorder="1" applyAlignment="1">
      <alignment horizontal="center" vertical="center" wrapText="1"/>
    </xf>
    <xf numFmtId="0" fontId="30" fillId="6" borderId="52" xfId="3" applyFont="1" applyFill="1" applyBorder="1" applyAlignment="1">
      <alignment horizontal="center" vertical="center" wrapText="1"/>
    </xf>
    <xf numFmtId="0" fontId="29" fillId="16" borderId="0" xfId="0" applyFont="1" applyFill="1" applyAlignment="1">
      <alignment horizontal="center"/>
    </xf>
    <xf numFmtId="37" fontId="28" fillId="6" borderId="50" xfId="3" applyNumberFormat="1" applyFont="1" applyFill="1" applyBorder="1" applyAlignment="1">
      <alignment horizontal="center" vertical="center"/>
    </xf>
    <xf numFmtId="37" fontId="28" fillId="6" borderId="51" xfId="3" applyNumberFormat="1" applyFont="1" applyFill="1" applyBorder="1" applyAlignment="1">
      <alignment horizontal="center" vertical="center"/>
    </xf>
    <xf numFmtId="40" fontId="28" fillId="6" borderId="51" xfId="4" applyNumberFormat="1" applyFont="1" applyFill="1" applyBorder="1" applyAlignment="1">
      <alignment horizontal="center" vertical="center"/>
    </xf>
    <xf numFmtId="165" fontId="28" fillId="6" borderId="51" xfId="4" applyFont="1" applyFill="1" applyBorder="1" applyAlignment="1">
      <alignment horizontal="right" vertical="center"/>
    </xf>
    <xf numFmtId="40" fontId="28" fillId="6" borderId="51" xfId="4" applyNumberFormat="1" applyFont="1" applyFill="1" applyBorder="1" applyAlignment="1">
      <alignment horizontal="center" vertical="center" wrapText="1"/>
    </xf>
    <xf numFmtId="10" fontId="28" fillId="6" borderId="51" xfId="5" applyNumberFormat="1" applyFont="1" applyFill="1" applyBorder="1" applyAlignment="1">
      <alignment horizontal="center" vertical="center" wrapText="1"/>
    </xf>
    <xf numFmtId="165" fontId="28" fillId="6" borderId="51" xfId="4" applyFont="1" applyFill="1" applyBorder="1" applyAlignment="1">
      <alignment horizontal="center" vertical="center" wrapText="1"/>
    </xf>
    <xf numFmtId="165" fontId="28" fillId="6" borderId="52" xfId="4" applyFont="1" applyFill="1" applyBorder="1" applyAlignment="1">
      <alignment horizontal="center" vertical="center" wrapText="1"/>
    </xf>
    <xf numFmtId="10" fontId="28" fillId="6" borderId="45" xfId="5" applyNumberFormat="1" applyFont="1" applyFill="1" applyBorder="1" applyAlignment="1">
      <alignment horizontal="center" vertical="center" wrapText="1"/>
    </xf>
    <xf numFmtId="10" fontId="28" fillId="6" borderId="46" xfId="5" applyNumberFormat="1" applyFont="1" applyFill="1" applyBorder="1" applyAlignment="1">
      <alignment horizontal="center" vertical="center" wrapText="1"/>
    </xf>
    <xf numFmtId="49" fontId="32" fillId="0" borderId="43" xfId="0" applyNumberFormat="1" applyFont="1" applyBorder="1" applyAlignment="1">
      <alignment horizontal="left" vertical="center" wrapText="1"/>
    </xf>
    <xf numFmtId="0" fontId="32" fillId="0" borderId="44" xfId="0" applyFont="1" applyBorder="1" applyAlignment="1">
      <alignment horizontal="left" vertical="center" wrapText="1"/>
    </xf>
    <xf numFmtId="10" fontId="32" fillId="14" borderId="10" xfId="0" applyNumberFormat="1" applyFont="1" applyFill="1" applyBorder="1" applyAlignment="1">
      <alignment horizontal="center" vertical="center"/>
    </xf>
    <xf numFmtId="0" fontId="30" fillId="11" borderId="58" xfId="0" applyFont="1" applyFill="1" applyBorder="1" applyAlignment="1">
      <alignment horizontal="center" vertical="center"/>
    </xf>
    <xf numFmtId="0" fontId="30" fillId="11" borderId="62" xfId="0" applyFont="1" applyFill="1" applyBorder="1" applyAlignment="1">
      <alignment horizontal="center" vertical="center"/>
    </xf>
    <xf numFmtId="0" fontId="29" fillId="11" borderId="10" xfId="0" applyFont="1" applyFill="1" applyBorder="1" applyAlignment="1">
      <alignment horizontal="center" vertical="center"/>
    </xf>
    <xf numFmtId="0" fontId="29" fillId="11" borderId="56" xfId="0" applyFont="1" applyFill="1" applyBorder="1" applyAlignment="1">
      <alignment horizontal="center" vertical="center"/>
    </xf>
    <xf numFmtId="0" fontId="32" fillId="16" borderId="59" xfId="0" applyFont="1" applyFill="1" applyBorder="1" applyAlignment="1">
      <alignment horizontal="left" vertical="center" wrapText="1"/>
    </xf>
    <xf numFmtId="0" fontId="32" fillId="16" borderId="56" xfId="0" applyFont="1" applyFill="1" applyBorder="1" applyAlignment="1">
      <alignment horizontal="left" vertical="center" wrapText="1"/>
    </xf>
    <xf numFmtId="0" fontId="32" fillId="0" borderId="56" xfId="0" applyFont="1" applyBorder="1" applyAlignment="1">
      <alignment horizontal="center" vertical="center"/>
    </xf>
    <xf numFmtId="44" fontId="32" fillId="0" borderId="56" xfId="8" applyFont="1" applyBorder="1" applyAlignment="1">
      <alignment vertical="center"/>
    </xf>
    <xf numFmtId="44" fontId="32" fillId="0" borderId="60" xfId="8" applyFont="1" applyBorder="1" applyAlignment="1">
      <alignment vertical="center"/>
    </xf>
    <xf numFmtId="1" fontId="32" fillId="12" borderId="59" xfId="0" applyNumberFormat="1" applyFont="1" applyFill="1" applyBorder="1" applyAlignment="1">
      <alignment horizontal="center" vertical="center"/>
    </xf>
    <xf numFmtId="1" fontId="32" fillId="12" borderId="56" xfId="0" applyNumberFormat="1" applyFont="1" applyFill="1" applyBorder="1" applyAlignment="1">
      <alignment horizontal="center" vertical="center"/>
    </xf>
    <xf numFmtId="44" fontId="32" fillId="12" borderId="56" xfId="8" applyFont="1" applyFill="1" applyBorder="1" applyAlignment="1">
      <alignment vertical="center"/>
    </xf>
    <xf numFmtId="44" fontId="32" fillId="14" borderId="56" xfId="8" applyFont="1" applyFill="1" applyBorder="1" applyAlignment="1">
      <alignment vertical="center"/>
    </xf>
    <xf numFmtId="9" fontId="32" fillId="13" borderId="56" xfId="1" applyFont="1" applyFill="1" applyBorder="1" applyAlignment="1">
      <alignment vertical="center"/>
    </xf>
    <xf numFmtId="44" fontId="32" fillId="13" borderId="56" xfId="8" applyFont="1" applyFill="1" applyBorder="1" applyAlignment="1">
      <alignment vertical="center"/>
    </xf>
    <xf numFmtId="44" fontId="32" fillId="13" borderId="60" xfId="8" applyFont="1" applyFill="1" applyBorder="1" applyAlignment="1">
      <alignment vertical="center"/>
    </xf>
    <xf numFmtId="10" fontId="32" fillId="14" borderId="56" xfId="0" applyNumberFormat="1" applyFont="1" applyFill="1" applyBorder="1" applyAlignment="1">
      <alignment horizontal="center" vertical="center"/>
    </xf>
    <xf numFmtId="169" fontId="19" fillId="10" borderId="57" xfId="8" applyNumberFormat="1" applyFont="1" applyFill="1" applyBorder="1" applyAlignment="1">
      <alignment horizontal="right"/>
    </xf>
    <xf numFmtId="169" fontId="19" fillId="10" borderId="49" xfId="8" applyNumberFormat="1" applyFont="1" applyFill="1" applyBorder="1" applyAlignment="1">
      <alignment horizontal="right"/>
    </xf>
    <xf numFmtId="44" fontId="19" fillId="10" borderId="57" xfId="8" applyFont="1" applyFill="1" applyBorder="1" applyAlignment="1">
      <alignment horizontal="right"/>
    </xf>
    <xf numFmtId="44" fontId="30" fillId="14" borderId="57" xfId="8" applyFont="1" applyFill="1" applyBorder="1" applyAlignment="1">
      <alignment vertical="center"/>
    </xf>
    <xf numFmtId="9" fontId="32" fillId="13" borderId="57" xfId="1" applyFont="1" applyFill="1" applyBorder="1" applyAlignment="1">
      <alignment vertical="center"/>
    </xf>
    <xf numFmtId="44" fontId="32" fillId="13" borderId="57" xfId="8" applyFont="1" applyFill="1" applyBorder="1" applyAlignment="1">
      <alignment vertical="center"/>
    </xf>
    <xf numFmtId="44" fontId="30" fillId="13" borderId="57" xfId="8" applyFont="1" applyFill="1" applyBorder="1" applyAlignment="1">
      <alignment vertical="center"/>
    </xf>
    <xf numFmtId="44" fontId="30" fillId="13" borderId="49" xfId="8" applyFont="1" applyFill="1" applyBorder="1" applyAlignment="1">
      <alignment vertical="center"/>
    </xf>
    <xf numFmtId="10" fontId="32" fillId="14" borderId="0" xfId="0" applyNumberFormat="1" applyFont="1" applyFill="1" applyAlignment="1">
      <alignment horizontal="center" vertical="center"/>
    </xf>
    <xf numFmtId="0" fontId="30" fillId="11" borderId="73" xfId="0" applyFont="1" applyFill="1" applyBorder="1" applyAlignment="1">
      <alignment horizontal="center" vertical="center"/>
    </xf>
    <xf numFmtId="0" fontId="30" fillId="11" borderId="51" xfId="0" applyFont="1" applyFill="1" applyBorder="1" applyAlignment="1">
      <alignment horizontal="center" vertical="center"/>
    </xf>
    <xf numFmtId="0" fontId="30" fillId="11" borderId="78" xfId="0" applyFont="1" applyFill="1" applyBorder="1" applyAlignment="1">
      <alignment horizontal="center" vertical="center"/>
    </xf>
    <xf numFmtId="0" fontId="32" fillId="16" borderId="48" xfId="0" applyFont="1" applyFill="1" applyBorder="1" applyAlignment="1">
      <alignment horizontal="left" vertical="center" wrapText="1"/>
    </xf>
    <xf numFmtId="0" fontId="32" fillId="16" borderId="57" xfId="0" applyFont="1" applyFill="1" applyBorder="1" applyAlignment="1">
      <alignment horizontal="left" vertical="center" wrapText="1"/>
    </xf>
    <xf numFmtId="0" fontId="32" fillId="0" borderId="57" xfId="0" applyFont="1" applyBorder="1" applyAlignment="1">
      <alignment horizontal="center" vertical="center"/>
    </xf>
    <xf numFmtId="44" fontId="32" fillId="0" borderId="57" xfId="8" applyFont="1" applyBorder="1" applyAlignment="1">
      <alignment vertical="center"/>
    </xf>
    <xf numFmtId="44" fontId="32" fillId="0" borderId="49" xfId="8" applyFont="1" applyBorder="1" applyAlignment="1">
      <alignment vertical="center"/>
    </xf>
    <xf numFmtId="1" fontId="32" fillId="12" borderId="71" xfId="0" applyNumberFormat="1" applyFont="1" applyFill="1" applyBorder="1" applyAlignment="1">
      <alignment horizontal="center" vertical="center"/>
    </xf>
    <xf numFmtId="1" fontId="32" fillId="12" borderId="70" xfId="0" applyNumberFormat="1" applyFont="1" applyFill="1" applyBorder="1" applyAlignment="1">
      <alignment horizontal="center" vertical="center"/>
    </xf>
    <xf numFmtId="44" fontId="32" fillId="12" borderId="70" xfId="8" applyFont="1" applyFill="1" applyBorder="1" applyAlignment="1">
      <alignment vertical="center"/>
    </xf>
    <xf numFmtId="44" fontId="32" fillId="14" borderId="70" xfId="8" applyFont="1" applyFill="1" applyBorder="1" applyAlignment="1">
      <alignment vertical="center"/>
    </xf>
    <xf numFmtId="9" fontId="32" fillId="13" borderId="70" xfId="1" applyFont="1" applyFill="1" applyBorder="1" applyAlignment="1">
      <alignment vertical="center"/>
    </xf>
    <xf numFmtId="44" fontId="32" fillId="13" borderId="70" xfId="8" applyFont="1" applyFill="1" applyBorder="1" applyAlignment="1">
      <alignment vertical="center"/>
    </xf>
    <xf numFmtId="44" fontId="32" fillId="13" borderId="49" xfId="8" applyFont="1" applyFill="1" applyBorder="1" applyAlignment="1">
      <alignment vertical="center"/>
    </xf>
    <xf numFmtId="0" fontId="32" fillId="0" borderId="53" xfId="0" applyFont="1" applyBorder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  <xf numFmtId="169" fontId="19" fillId="10" borderId="0" xfId="0" applyNumberFormat="1" applyFont="1" applyFill="1" applyAlignment="1">
      <alignment horizontal="right"/>
    </xf>
    <xf numFmtId="169" fontId="19" fillId="10" borderId="18" xfId="0" applyNumberFormat="1" applyFont="1" applyFill="1" applyBorder="1" applyAlignment="1">
      <alignment horizontal="right"/>
    </xf>
    <xf numFmtId="44" fontId="19" fillId="10" borderId="15" xfId="0" applyNumberFormat="1" applyFont="1" applyFill="1" applyBorder="1" applyAlignment="1">
      <alignment horizontal="right"/>
    </xf>
    <xf numFmtId="44" fontId="30" fillId="14" borderId="15" xfId="0" applyNumberFormat="1" applyFont="1" applyFill="1" applyBorder="1"/>
    <xf numFmtId="0" fontId="25" fillId="13" borderId="15" xfId="0" applyFont="1" applyFill="1" applyBorder="1"/>
    <xf numFmtId="44" fontId="30" fillId="13" borderId="15" xfId="0" applyNumberFormat="1" applyFont="1" applyFill="1" applyBorder="1"/>
    <xf numFmtId="44" fontId="30" fillId="13" borderId="79" xfId="8" applyFont="1" applyFill="1" applyBorder="1"/>
    <xf numFmtId="169" fontId="19" fillId="10" borderId="15" xfId="0" applyNumberFormat="1" applyFont="1" applyFill="1" applyBorder="1" applyAlignment="1">
      <alignment horizontal="right"/>
    </xf>
    <xf numFmtId="169" fontId="19" fillId="10" borderId="79" xfId="0" applyNumberFormat="1" applyFont="1" applyFill="1" applyBorder="1" applyAlignment="1">
      <alignment horizontal="right"/>
    </xf>
    <xf numFmtId="0" fontId="19" fillId="11" borderId="78" xfId="0" applyFont="1" applyFill="1" applyBorder="1" applyAlignment="1">
      <alignment horizontal="center" vertical="center"/>
    </xf>
    <xf numFmtId="0" fontId="32" fillId="16" borderId="56" xfId="0" applyFont="1" applyFill="1" applyBorder="1" applyAlignment="1">
      <alignment horizontal="center" vertical="center"/>
    </xf>
    <xf numFmtId="44" fontId="32" fillId="16" borderId="56" xfId="8" applyFont="1" applyFill="1" applyBorder="1" applyAlignment="1">
      <alignment vertical="center"/>
    </xf>
    <xf numFmtId="44" fontId="30" fillId="14" borderId="70" xfId="8" applyFont="1" applyFill="1" applyBorder="1" applyAlignment="1">
      <alignment vertical="center"/>
    </xf>
    <xf numFmtId="9" fontId="30" fillId="13" borderId="70" xfId="1" applyFont="1" applyFill="1" applyBorder="1" applyAlignment="1">
      <alignment vertical="center"/>
    </xf>
    <xf numFmtId="44" fontId="30" fillId="13" borderId="70" xfId="8" applyFont="1" applyFill="1" applyBorder="1" applyAlignment="1">
      <alignment vertical="center"/>
    </xf>
    <xf numFmtId="10" fontId="30" fillId="14" borderId="10" xfId="0" applyNumberFormat="1" applyFont="1" applyFill="1" applyBorder="1" applyAlignment="1">
      <alignment horizontal="center" vertical="center"/>
    </xf>
    <xf numFmtId="10" fontId="30" fillId="14" borderId="56" xfId="0" applyNumberFormat="1" applyFont="1" applyFill="1" applyBorder="1" applyAlignment="1">
      <alignment horizontal="center" vertical="center"/>
    </xf>
    <xf numFmtId="0" fontId="32" fillId="16" borderId="69" xfId="0" applyFont="1" applyFill="1" applyBorder="1" applyAlignment="1">
      <alignment horizontal="left" vertical="center" wrapText="1"/>
    </xf>
    <xf numFmtId="0" fontId="32" fillId="16" borderId="58" xfId="0" applyFont="1" applyFill="1" applyBorder="1" applyAlignment="1">
      <alignment horizontal="left" vertical="center" wrapText="1"/>
    </xf>
    <xf numFmtId="0" fontId="32" fillId="0" borderId="58" xfId="0" applyFont="1" applyBorder="1" applyAlignment="1">
      <alignment horizontal="center" vertical="center"/>
    </xf>
    <xf numFmtId="44" fontId="32" fillId="0" borderId="58" xfId="8" applyFont="1" applyBorder="1" applyAlignment="1">
      <alignment vertical="center"/>
    </xf>
    <xf numFmtId="44" fontId="32" fillId="0" borderId="62" xfId="8" applyFont="1" applyBorder="1" applyAlignment="1">
      <alignment vertical="center"/>
    </xf>
    <xf numFmtId="1" fontId="32" fillId="12" borderId="81" xfId="0" applyNumberFormat="1" applyFont="1" applyFill="1" applyBorder="1" applyAlignment="1">
      <alignment horizontal="center" vertical="center"/>
    </xf>
    <xf numFmtId="1" fontId="32" fillId="12" borderId="82" xfId="0" applyNumberFormat="1" applyFont="1" applyFill="1" applyBorder="1" applyAlignment="1">
      <alignment horizontal="center" vertical="center"/>
    </xf>
    <xf numFmtId="44" fontId="32" fillId="12" borderId="82" xfId="8" applyFont="1" applyFill="1" applyBorder="1" applyAlignment="1">
      <alignment vertical="center"/>
    </xf>
    <xf numFmtId="44" fontId="32" fillId="14" borderId="82" xfId="8" applyFont="1" applyFill="1" applyBorder="1" applyAlignment="1">
      <alignment vertical="center"/>
    </xf>
    <xf numFmtId="9" fontId="32" fillId="13" borderId="82" xfId="1" applyFont="1" applyFill="1" applyBorder="1" applyAlignment="1">
      <alignment vertical="center"/>
    </xf>
    <xf numFmtId="44" fontId="32" fillId="13" borderId="82" xfId="8" applyFont="1" applyFill="1" applyBorder="1" applyAlignment="1">
      <alignment vertical="center"/>
    </xf>
    <xf numFmtId="44" fontId="32" fillId="13" borderId="62" xfId="8" applyFont="1" applyFill="1" applyBorder="1" applyAlignment="1">
      <alignment vertical="center"/>
    </xf>
    <xf numFmtId="0" fontId="32" fillId="0" borderId="43" xfId="0" applyFont="1" applyBorder="1" applyAlignment="1">
      <alignment horizontal="left" vertical="center" wrapText="1"/>
    </xf>
    <xf numFmtId="0" fontId="30" fillId="16" borderId="59" xfId="0" applyFont="1" applyFill="1" applyBorder="1" applyAlignment="1">
      <alignment horizontal="left" vertical="center" wrapText="1"/>
    </xf>
    <xf numFmtId="0" fontId="30" fillId="16" borderId="56" xfId="0" applyFont="1" applyFill="1" applyBorder="1" applyAlignment="1">
      <alignment horizontal="left" vertical="center" wrapText="1"/>
    </xf>
    <xf numFmtId="0" fontId="30" fillId="16" borderId="56" xfId="0" applyFont="1" applyFill="1" applyBorder="1" applyAlignment="1">
      <alignment vertical="center"/>
    </xf>
    <xf numFmtId="44" fontId="30" fillId="16" borderId="56" xfId="8" applyFont="1" applyFill="1" applyBorder="1" applyAlignment="1">
      <alignment vertical="center"/>
    </xf>
    <xf numFmtId="44" fontId="30" fillId="16" borderId="60" xfId="8" applyFont="1" applyFill="1" applyBorder="1" applyAlignment="1">
      <alignment vertical="center"/>
    </xf>
    <xf numFmtId="1" fontId="30" fillId="12" borderId="74" xfId="0" applyNumberFormat="1" applyFont="1" applyFill="1" applyBorder="1" applyAlignment="1">
      <alignment vertical="center"/>
    </xf>
    <xf numFmtId="1" fontId="30" fillId="12" borderId="7" xfId="0" applyNumberFormat="1" applyFont="1" applyFill="1" applyBorder="1" applyAlignment="1">
      <alignment vertical="center"/>
    </xf>
    <xf numFmtId="44" fontId="30" fillId="12" borderId="7" xfId="8" applyFont="1" applyFill="1" applyBorder="1" applyAlignment="1">
      <alignment vertical="center"/>
    </xf>
    <xf numFmtId="44" fontId="30" fillId="14" borderId="7" xfId="8" applyFont="1" applyFill="1" applyBorder="1" applyAlignment="1">
      <alignment vertical="center"/>
    </xf>
    <xf numFmtId="9" fontId="30" fillId="13" borderId="7" xfId="1" applyFont="1" applyFill="1" applyBorder="1" applyAlignment="1">
      <alignment vertical="center"/>
    </xf>
    <xf numFmtId="44" fontId="30" fillId="13" borderId="7" xfId="8" applyFont="1" applyFill="1" applyBorder="1" applyAlignment="1">
      <alignment vertical="center"/>
    </xf>
    <xf numFmtId="44" fontId="30" fillId="13" borderId="60" xfId="8" applyFont="1" applyFill="1" applyBorder="1" applyAlignment="1">
      <alignment vertical="center"/>
    </xf>
    <xf numFmtId="0" fontId="32" fillId="0" borderId="54" xfId="0" applyFont="1" applyBorder="1" applyAlignment="1">
      <alignment horizontal="left" vertical="center" wrapText="1"/>
    </xf>
    <xf numFmtId="0" fontId="32" fillId="0" borderId="55" xfId="0" applyFont="1" applyBorder="1" applyAlignment="1">
      <alignment horizontal="left" vertical="center" wrapText="1"/>
    </xf>
    <xf numFmtId="169" fontId="19" fillId="10" borderId="15" xfId="8" applyNumberFormat="1" applyFont="1" applyFill="1" applyBorder="1" applyAlignment="1">
      <alignment horizontal="right"/>
    </xf>
    <xf numFmtId="169" fontId="19" fillId="10" borderId="79" xfId="8" applyNumberFormat="1" applyFont="1" applyFill="1" applyBorder="1" applyAlignment="1">
      <alignment horizontal="right"/>
    </xf>
    <xf numFmtId="44" fontId="19" fillId="10" borderId="15" xfId="8" applyFont="1" applyFill="1" applyBorder="1" applyAlignment="1">
      <alignment horizontal="right"/>
    </xf>
    <xf numFmtId="44" fontId="30" fillId="14" borderId="15" xfId="8" applyFont="1" applyFill="1" applyBorder="1" applyAlignment="1">
      <alignment vertical="center"/>
    </xf>
    <xf numFmtId="9" fontId="30" fillId="13" borderId="15" xfId="1" applyFont="1" applyFill="1" applyBorder="1" applyAlignment="1">
      <alignment vertical="center"/>
    </xf>
    <xf numFmtId="44" fontId="30" fillId="13" borderId="15" xfId="8" applyFont="1" applyFill="1" applyBorder="1" applyAlignment="1">
      <alignment vertical="center"/>
    </xf>
    <xf numFmtId="44" fontId="30" fillId="13" borderId="79" xfId="8" applyFont="1" applyFill="1" applyBorder="1" applyAlignment="1">
      <alignment vertical="center"/>
    </xf>
    <xf numFmtId="10" fontId="30" fillId="14" borderId="0" xfId="0" applyNumberFormat="1" applyFont="1" applyFill="1" applyAlignment="1">
      <alignment horizontal="center" vertical="center"/>
    </xf>
    <xf numFmtId="0" fontId="29" fillId="11" borderId="0" xfId="0" applyFont="1" applyFill="1" applyAlignment="1">
      <alignment horizontal="center" vertical="center"/>
    </xf>
    <xf numFmtId="44" fontId="32" fillId="0" borderId="7" xfId="8" applyFont="1" applyBorder="1" applyAlignment="1">
      <alignment vertical="center"/>
    </xf>
    <xf numFmtId="170" fontId="29" fillId="0" borderId="56" xfId="0" applyNumberFormat="1" applyFont="1" applyBorder="1" applyAlignment="1">
      <alignment horizontal="center"/>
    </xf>
    <xf numFmtId="1" fontId="32" fillId="12" borderId="74" xfId="0" applyNumberFormat="1" applyFont="1" applyFill="1" applyBorder="1" applyAlignment="1">
      <alignment vertical="center"/>
    </xf>
    <xf numFmtId="1" fontId="32" fillId="12" borderId="7" xfId="0" applyNumberFormat="1" applyFont="1" applyFill="1" applyBorder="1" applyAlignment="1">
      <alignment vertical="center"/>
    </xf>
    <xf numFmtId="44" fontId="32" fillId="12" borderId="7" xfId="8" applyFont="1" applyFill="1" applyBorder="1" applyAlignment="1">
      <alignment vertical="center"/>
    </xf>
    <xf numFmtId="44" fontId="32" fillId="14" borderId="7" xfId="8" applyFont="1" applyFill="1" applyBorder="1" applyAlignment="1">
      <alignment vertical="center"/>
    </xf>
    <xf numFmtId="9" fontId="32" fillId="13" borderId="7" xfId="1" applyFont="1" applyFill="1" applyBorder="1" applyAlignment="1">
      <alignment vertical="center"/>
    </xf>
    <xf numFmtId="44" fontId="32" fillId="13" borderId="7" xfId="8" applyFont="1" applyFill="1" applyBorder="1" applyAlignment="1">
      <alignment vertical="center"/>
    </xf>
    <xf numFmtId="10" fontId="32" fillId="14" borderId="33" xfId="0" applyNumberFormat="1" applyFont="1" applyFill="1" applyBorder="1" applyAlignment="1">
      <alignment horizontal="center" vertical="center"/>
    </xf>
    <xf numFmtId="10" fontId="32" fillId="14" borderId="57" xfId="0" applyNumberFormat="1" applyFont="1" applyFill="1" applyBorder="1" applyAlignment="1">
      <alignment horizontal="center" vertical="center"/>
    </xf>
    <xf numFmtId="44" fontId="19" fillId="10" borderId="0" xfId="0" applyNumberFormat="1" applyFont="1" applyFill="1" applyAlignment="1">
      <alignment horizontal="right"/>
    </xf>
    <xf numFmtId="44" fontId="30" fillId="14" borderId="0" xfId="0" applyNumberFormat="1" applyFont="1" applyFill="1"/>
    <xf numFmtId="0" fontId="25" fillId="13" borderId="0" xfId="0" applyFont="1" applyFill="1"/>
    <xf numFmtId="44" fontId="30" fillId="13" borderId="0" xfId="0" applyNumberFormat="1" applyFont="1" applyFill="1"/>
    <xf numFmtId="44" fontId="30" fillId="13" borderId="0" xfId="8" applyFont="1" applyFill="1" applyBorder="1"/>
    <xf numFmtId="44" fontId="19" fillId="15" borderId="11" xfId="8" applyFont="1" applyFill="1" applyBorder="1" applyAlignment="1">
      <alignment horizontal="center"/>
    </xf>
    <xf numFmtId="44" fontId="19" fillId="15" borderId="84" xfId="8" applyFont="1" applyFill="1" applyBorder="1" applyAlignment="1">
      <alignment horizontal="center"/>
    </xf>
    <xf numFmtId="0" fontId="32" fillId="0" borderId="80" xfId="0" applyFont="1" applyBorder="1" applyAlignment="1">
      <alignment horizontal="left" vertical="center" wrapText="1"/>
    </xf>
    <xf numFmtId="170" fontId="29" fillId="16" borderId="0" xfId="0" applyNumberFormat="1" applyFont="1" applyFill="1"/>
    <xf numFmtId="4" fontId="25" fillId="0" borderId="0" xfId="0" applyNumberFormat="1" applyFont="1"/>
    <xf numFmtId="0" fontId="34" fillId="0" borderId="0" xfId="0" applyFont="1"/>
    <xf numFmtId="0" fontId="26" fillId="0" borderId="0" xfId="0" applyFont="1" applyAlignment="1">
      <alignment horizontal="left"/>
    </xf>
    <xf numFmtId="44" fontId="34" fillId="0" borderId="0" xfId="0" applyNumberFormat="1" applyFont="1"/>
    <xf numFmtId="9" fontId="35" fillId="0" borderId="0" xfId="1" applyFont="1"/>
    <xf numFmtId="0" fontId="35" fillId="0" borderId="0" xfId="0" applyFont="1"/>
    <xf numFmtId="0" fontId="29" fillId="0" borderId="0" xfId="0" applyFont="1"/>
    <xf numFmtId="0" fontId="36" fillId="0" borderId="0" xfId="0" applyFont="1"/>
    <xf numFmtId="44" fontId="36" fillId="0" borderId="0" xfId="8" applyFont="1"/>
    <xf numFmtId="44" fontId="0" fillId="0" borderId="0" xfId="8" applyFont="1"/>
    <xf numFmtId="44" fontId="2" fillId="0" borderId="0" xfId="8" applyFont="1"/>
    <xf numFmtId="44" fontId="24" fillId="0" borderId="56" xfId="0" applyNumberFormat="1" applyFont="1" applyBorder="1"/>
    <xf numFmtId="44" fontId="17" fillId="0" borderId="84" xfId="0" applyNumberFormat="1" applyFont="1" applyBorder="1" applyAlignment="1">
      <alignment horizontal="center" vertical="center"/>
    </xf>
    <xf numFmtId="0" fontId="17" fillId="0" borderId="85" xfId="0" applyFont="1" applyBorder="1" applyAlignment="1">
      <alignment horizontal="center" vertical="center"/>
    </xf>
    <xf numFmtId="0" fontId="18" fillId="21" borderId="68" xfId="0" applyFont="1" applyFill="1" applyBorder="1" applyAlignment="1">
      <alignment horizontal="center"/>
    </xf>
    <xf numFmtId="0" fontId="18" fillId="21" borderId="37" xfId="0" applyFont="1" applyFill="1" applyBorder="1" applyAlignment="1">
      <alignment horizontal="center"/>
    </xf>
    <xf numFmtId="0" fontId="18" fillId="21" borderId="83" xfId="0" applyFont="1" applyFill="1" applyBorder="1" applyAlignment="1">
      <alignment horizontal="center"/>
    </xf>
    <xf numFmtId="0" fontId="19" fillId="10" borderId="17" xfId="0" applyFont="1" applyFill="1" applyBorder="1" applyAlignment="1">
      <alignment horizontal="left"/>
    </xf>
    <xf numFmtId="0" fontId="19" fillId="10" borderId="0" xfId="0" applyFont="1" applyFill="1" applyAlignment="1">
      <alignment horizontal="left"/>
    </xf>
    <xf numFmtId="0" fontId="19" fillId="10" borderId="71" xfId="0" applyFont="1" applyFill="1" applyBorder="1" applyAlignment="1">
      <alignment horizontal="left"/>
    </xf>
    <xf numFmtId="0" fontId="19" fillId="10" borderId="8" xfId="0" applyFont="1" applyFill="1" applyBorder="1" applyAlignment="1">
      <alignment horizontal="left"/>
    </xf>
    <xf numFmtId="0" fontId="19" fillId="10" borderId="11" xfId="0" applyFont="1" applyFill="1" applyBorder="1" applyAlignment="1">
      <alignment horizontal="left"/>
    </xf>
    <xf numFmtId="0" fontId="19" fillId="10" borderId="12" xfId="0" applyFont="1" applyFill="1" applyBorder="1" applyAlignment="1">
      <alignment horizontal="left"/>
    </xf>
    <xf numFmtId="0" fontId="19" fillId="10" borderId="72" xfId="0" applyFont="1" applyFill="1" applyBorder="1" applyAlignment="1">
      <alignment horizontal="left"/>
    </xf>
    <xf numFmtId="0" fontId="19" fillId="10" borderId="78" xfId="0" applyFont="1" applyFill="1" applyBorder="1" applyAlignment="1">
      <alignment horizontal="left"/>
    </xf>
    <xf numFmtId="0" fontId="19" fillId="10" borderId="75" xfId="0" applyFont="1" applyFill="1" applyBorder="1" applyAlignment="1">
      <alignment horizontal="left"/>
    </xf>
    <xf numFmtId="0" fontId="19" fillId="10" borderId="76" xfId="0" applyFont="1" applyFill="1" applyBorder="1" applyAlignment="1">
      <alignment horizontal="left"/>
    </xf>
    <xf numFmtId="0" fontId="19" fillId="9" borderId="17" xfId="0" applyFont="1" applyFill="1" applyBorder="1" applyAlignment="1">
      <alignment horizontal="center"/>
    </xf>
    <xf numFmtId="0" fontId="19" fillId="9" borderId="0" xfId="0" applyFont="1" applyFill="1" applyAlignment="1">
      <alignment horizontal="center"/>
    </xf>
    <xf numFmtId="0" fontId="19" fillId="9" borderId="18" xfId="0" applyFont="1" applyFill="1" applyBorder="1" applyAlignment="1">
      <alignment horizontal="center"/>
    </xf>
    <xf numFmtId="0" fontId="19" fillId="9" borderId="53" xfId="0" applyFont="1" applyFill="1" applyBorder="1" applyAlignment="1">
      <alignment horizontal="center"/>
    </xf>
    <xf numFmtId="0" fontId="19" fillId="9" borderId="11" xfId="0" applyFont="1" applyFill="1" applyBorder="1" applyAlignment="1">
      <alignment horizontal="center"/>
    </xf>
    <xf numFmtId="0" fontId="19" fillId="9" borderId="12" xfId="0" applyFont="1" applyFill="1" applyBorder="1" applyAlignment="1">
      <alignment horizontal="center"/>
    </xf>
    <xf numFmtId="0" fontId="19" fillId="9" borderId="78" xfId="0" applyFont="1" applyFill="1" applyBorder="1" applyAlignment="1">
      <alignment horizontal="center"/>
    </xf>
    <xf numFmtId="1" fontId="19" fillId="10" borderId="75" xfId="0" applyNumberFormat="1" applyFont="1" applyFill="1" applyBorder="1" applyAlignment="1">
      <alignment horizontal="left"/>
    </xf>
    <xf numFmtId="1" fontId="19" fillId="10" borderId="76" xfId="0" applyNumberFormat="1" applyFont="1" applyFill="1" applyBorder="1" applyAlignment="1">
      <alignment horizontal="left"/>
    </xf>
    <xf numFmtId="0" fontId="19" fillId="10" borderId="14" xfId="0" applyFont="1" applyFill="1" applyBorder="1" applyAlignment="1">
      <alignment horizontal="left"/>
    </xf>
    <xf numFmtId="0" fontId="19" fillId="10" borderId="15" xfId="0" applyFont="1" applyFill="1" applyBorder="1" applyAlignment="1">
      <alignment horizontal="left"/>
    </xf>
    <xf numFmtId="0" fontId="28" fillId="3" borderId="6" xfId="0" applyFont="1" applyFill="1" applyBorder="1" applyAlignment="1">
      <alignment horizontal="center" vertical="center" wrapText="1"/>
    </xf>
    <xf numFmtId="0" fontId="28" fillId="3" borderId="37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19" fillId="9" borderId="47" xfId="0" applyFont="1" applyFill="1" applyBorder="1" applyAlignment="1">
      <alignment horizontal="center"/>
    </xf>
    <xf numFmtId="0" fontId="19" fillId="9" borderId="61" xfId="0" applyFont="1" applyFill="1" applyBorder="1" applyAlignment="1">
      <alignment horizontal="center"/>
    </xf>
    <xf numFmtId="0" fontId="19" fillId="9" borderId="46" xfId="0" applyFont="1" applyFill="1" applyBorder="1" applyAlignment="1">
      <alignment horizontal="center"/>
    </xf>
    <xf numFmtId="1" fontId="19" fillId="9" borderId="47" xfId="0" applyNumberFormat="1" applyFont="1" applyFill="1" applyBorder="1" applyAlignment="1">
      <alignment horizontal="center"/>
    </xf>
    <xf numFmtId="1" fontId="19" fillId="9" borderId="61" xfId="0" applyNumberFormat="1" applyFont="1" applyFill="1" applyBorder="1" applyAlignment="1">
      <alignment horizontal="center"/>
    </xf>
    <xf numFmtId="1" fontId="19" fillId="9" borderId="46" xfId="0" applyNumberFormat="1" applyFont="1" applyFill="1" applyBorder="1" applyAlignment="1">
      <alignment horizontal="center"/>
    </xf>
    <xf numFmtId="0" fontId="19" fillId="10" borderId="69" xfId="0" applyFont="1" applyFill="1" applyBorder="1" applyAlignment="1">
      <alignment horizontal="left"/>
    </xf>
    <xf numFmtId="0" fontId="19" fillId="10" borderId="58" xfId="0" applyFont="1" applyFill="1" applyBorder="1" applyAlignment="1">
      <alignment horizontal="left"/>
    </xf>
    <xf numFmtId="0" fontId="19" fillId="10" borderId="62" xfId="0" applyFont="1" applyFill="1" applyBorder="1" applyAlignment="1">
      <alignment horizontal="left"/>
    </xf>
    <xf numFmtId="0" fontId="26" fillId="0" borderId="0" xfId="2" applyFont="1" applyAlignment="1">
      <alignment horizontal="left" vertical="center" wrapText="1"/>
    </xf>
    <xf numFmtId="0" fontId="26" fillId="0" borderId="0" xfId="2" applyFont="1" applyAlignment="1">
      <alignment horizontal="left" vertical="top"/>
    </xf>
    <xf numFmtId="0" fontId="28" fillId="2" borderId="3" xfId="3" applyFont="1" applyFill="1" applyBorder="1" applyAlignment="1">
      <alignment horizontal="center" vertical="center"/>
    </xf>
    <xf numFmtId="0" fontId="28" fillId="2" borderId="4" xfId="3" applyFont="1" applyFill="1" applyBorder="1" applyAlignment="1">
      <alignment horizontal="center" vertical="center"/>
    </xf>
    <xf numFmtId="0" fontId="28" fillId="2" borderId="5" xfId="3" applyFont="1" applyFill="1" applyBorder="1" applyAlignment="1">
      <alignment horizontal="center" vertical="center"/>
    </xf>
    <xf numFmtId="0" fontId="19" fillId="10" borderId="48" xfId="0" applyFont="1" applyFill="1" applyBorder="1" applyAlignment="1">
      <alignment horizontal="left"/>
    </xf>
    <xf numFmtId="0" fontId="19" fillId="10" borderId="57" xfId="0" applyFont="1" applyFill="1" applyBorder="1" applyAlignment="1">
      <alignment horizontal="left"/>
    </xf>
    <xf numFmtId="1" fontId="19" fillId="10" borderId="48" xfId="0" applyNumberFormat="1" applyFont="1" applyFill="1" applyBorder="1" applyAlignment="1">
      <alignment horizontal="left"/>
    </xf>
    <xf numFmtId="1" fontId="19" fillId="10" borderId="57" xfId="0" applyNumberFormat="1" applyFont="1" applyFill="1" applyBorder="1" applyAlignment="1">
      <alignment horizontal="left"/>
    </xf>
    <xf numFmtId="0" fontId="19" fillId="9" borderId="50" xfId="0" applyFont="1" applyFill="1" applyBorder="1" applyAlignment="1">
      <alignment horizontal="center"/>
    </xf>
    <xf numFmtId="0" fontId="19" fillId="9" borderId="51" xfId="0" applyFont="1" applyFill="1" applyBorder="1" applyAlignment="1">
      <alignment horizontal="center"/>
    </xf>
    <xf numFmtId="0" fontId="19" fillId="10" borderId="87" xfId="0" applyFont="1" applyFill="1" applyBorder="1" applyAlignment="1">
      <alignment horizontal="left"/>
    </xf>
    <xf numFmtId="0" fontId="19" fillId="10" borderId="88" xfId="0" applyFont="1" applyFill="1" applyBorder="1" applyAlignment="1">
      <alignment horizontal="left"/>
    </xf>
    <xf numFmtId="0" fontId="19" fillId="9" borderId="68" xfId="0" applyFont="1" applyFill="1" applyBorder="1" applyAlignment="1">
      <alignment horizontal="center"/>
    </xf>
    <xf numFmtId="0" fontId="19" fillId="9" borderId="37" xfId="0" applyFont="1" applyFill="1" applyBorder="1" applyAlignment="1">
      <alignment horizontal="center"/>
    </xf>
    <xf numFmtId="0" fontId="19" fillId="9" borderId="77" xfId="0" applyFont="1" applyFill="1" applyBorder="1" applyAlignment="1">
      <alignment horizontal="center"/>
    </xf>
    <xf numFmtId="0" fontId="11" fillId="8" borderId="39" xfId="0" applyFont="1" applyFill="1" applyBorder="1" applyAlignment="1">
      <alignment horizontal="left" vertical="center"/>
    </xf>
    <xf numFmtId="0" fontId="11" fillId="8" borderId="39" xfId="0" applyFont="1" applyFill="1" applyBorder="1" applyAlignment="1">
      <alignment vertical="center"/>
    </xf>
    <xf numFmtId="0" fontId="11" fillId="8" borderId="0" xfId="0" applyFont="1" applyFill="1" applyAlignment="1">
      <alignment vertical="center"/>
    </xf>
    <xf numFmtId="0" fontId="12" fillId="8" borderId="39" xfId="0" applyFont="1" applyFill="1" applyBorder="1" applyAlignment="1">
      <alignment horizontal="left" vertical="top"/>
    </xf>
    <xf numFmtId="0" fontId="14" fillId="8" borderId="39" xfId="0" applyFont="1" applyFill="1" applyBorder="1" applyAlignment="1">
      <alignment horizontal="center" vertical="center" wrapText="1"/>
    </xf>
    <xf numFmtId="0" fontId="14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18" fillId="0" borderId="47" xfId="0" applyFont="1" applyBorder="1" applyAlignment="1">
      <alignment horizontal="left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34927</xdr:colOff>
      <xdr:row>0</xdr:row>
      <xdr:rowOff>152400</xdr:rowOff>
    </xdr:from>
    <xdr:to>
      <xdr:col>5</xdr:col>
      <xdr:colOff>882214</xdr:colOff>
      <xdr:row>1</xdr:row>
      <xdr:rowOff>63500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0F67A6C5-FBAD-4E1B-BB2B-9616CC6AB13F}"/>
            </a:ext>
          </a:extLst>
        </xdr:cNvPr>
        <xdr:cNvSpPr/>
      </xdr:nvSpPr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602052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9F6B01C1-5745-48D4-A6B4-F5A2B3A84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2267"/>
        </a:xfrm>
        <a:prstGeom prst="rect">
          <a:avLst/>
        </a:prstGeom>
      </xdr:spPr>
    </xdr:pic>
    <xdr:clientData/>
  </xdr:twoCellAnchor>
  <xdr:twoCellAnchor editAs="absolute">
    <xdr:from>
      <xdr:col>37</xdr:col>
      <xdr:colOff>469424</xdr:colOff>
      <xdr:row>0</xdr:row>
      <xdr:rowOff>190500</xdr:rowOff>
    </xdr:from>
    <xdr:to>
      <xdr:col>39</xdr:col>
      <xdr:colOff>303816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0BF9E6EC-BEB5-4104-AFBB-E8931AA9E880}"/>
            </a:ext>
          </a:extLst>
        </xdr:cNvPr>
        <xdr:cNvSpPr/>
      </xdr:nvSpPr>
      <xdr:spPr bwMode="auto">
        <a:xfrm>
          <a:off x="29623429" y="190500"/>
          <a:ext cx="1007327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36</xdr:col>
      <xdr:colOff>523040</xdr:colOff>
      <xdr:row>0</xdr:row>
      <xdr:rowOff>179391</xdr:rowOff>
    </xdr:from>
    <xdr:to>
      <xdr:col>37</xdr:col>
      <xdr:colOff>393221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11FAB8E4-7D3D-4124-B0FE-767C1BD57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1938" y="179391"/>
          <a:ext cx="455288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34927</xdr:colOff>
      <xdr:row>0</xdr:row>
      <xdr:rowOff>152400</xdr:rowOff>
    </xdr:from>
    <xdr:to>
      <xdr:col>5</xdr:col>
      <xdr:colOff>882214</xdr:colOff>
      <xdr:row>1</xdr:row>
      <xdr:rowOff>63500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41EB9282-A776-4A9F-8E6C-E6D5A0FE37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37</xdr:col>
      <xdr:colOff>469424</xdr:colOff>
      <xdr:row>0</xdr:row>
      <xdr:rowOff>190500</xdr:rowOff>
    </xdr:from>
    <xdr:to>
      <xdr:col>39</xdr:col>
      <xdr:colOff>303816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733F5C15-6E53-4650-8868-463CB38D276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3429" y="190500"/>
          <a:ext cx="1007327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199571</xdr:colOff>
      <xdr:row>4</xdr:row>
      <xdr:rowOff>217715</xdr:rowOff>
    </xdr:from>
    <xdr:to>
      <xdr:col>11</xdr:col>
      <xdr:colOff>402092</xdr:colOff>
      <xdr:row>9</xdr:row>
      <xdr:rowOff>73526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660711D7-3A20-42F4-B152-32863F881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70771" y="1773465"/>
          <a:ext cx="2192792" cy="152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FE968-254F-4D46-B5A8-39FD2451C9BD}">
  <dimension ref="A1:F30"/>
  <sheetViews>
    <sheetView showGridLines="0" tabSelected="1" topLeftCell="A16" zoomScaleNormal="100" workbookViewId="0">
      <selection activeCell="C30" sqref="C30:D30"/>
    </sheetView>
  </sheetViews>
  <sheetFormatPr defaultColWidth="8.6640625" defaultRowHeight="16.2" x14ac:dyDescent="0.35"/>
  <cols>
    <col min="1" max="1" width="8.6640625" style="40"/>
    <col min="2" max="2" width="26.109375" style="40" customWidth="1"/>
    <col min="3" max="3" width="35.88671875" style="40" customWidth="1"/>
    <col min="4" max="4" width="20.44140625" style="40" customWidth="1"/>
    <col min="5" max="5" width="18.44140625" style="40" customWidth="1"/>
    <col min="6" max="6" width="11.88671875" style="41" bestFit="1" customWidth="1"/>
    <col min="7" max="7" width="12.88671875" style="40" bestFit="1" customWidth="1"/>
    <col min="8" max="8" width="12.5546875" style="40" bestFit="1" customWidth="1"/>
    <col min="9" max="16384" width="8.6640625" style="40"/>
  </cols>
  <sheetData>
    <row r="1" spans="1:5" s="41" customFormat="1" hidden="1" x14ac:dyDescent="0.35">
      <c r="A1" s="40"/>
      <c r="B1" s="40"/>
      <c r="C1" s="40"/>
      <c r="D1" s="40"/>
      <c r="E1" s="40"/>
    </row>
    <row r="2" spans="1:5" s="41" customFormat="1" hidden="1" x14ac:dyDescent="0.35">
      <c r="A2" s="40"/>
      <c r="B2" s="40"/>
      <c r="C2" s="40"/>
      <c r="D2" s="40"/>
      <c r="E2" s="40"/>
    </row>
    <row r="3" spans="1:5" s="41" customFormat="1" hidden="1" x14ac:dyDescent="0.35">
      <c r="A3" s="40"/>
      <c r="B3" s="40"/>
      <c r="C3" s="42">
        <v>45866</v>
      </c>
      <c r="D3" s="43"/>
      <c r="E3" s="250" t="e">
        <f>SUM(#REF!)</f>
        <v>#REF!</v>
      </c>
    </row>
    <row r="4" spans="1:5" s="41" customFormat="1" ht="15.6" hidden="1" customHeight="1" thickBot="1" x14ac:dyDescent="0.4">
      <c r="A4" s="40"/>
      <c r="B4" s="40"/>
      <c r="C4" s="44">
        <v>45867</v>
      </c>
      <c r="D4" s="45"/>
      <c r="E4" s="251"/>
    </row>
    <row r="5" spans="1:5" s="41" customFormat="1" hidden="1" x14ac:dyDescent="0.35">
      <c r="A5" s="40"/>
      <c r="B5" s="40"/>
      <c r="C5" s="46" t="s">
        <v>330</v>
      </c>
      <c r="D5" s="47"/>
      <c r="E5" s="40"/>
    </row>
    <row r="6" spans="1:5" s="41" customFormat="1" hidden="1" x14ac:dyDescent="0.35">
      <c r="A6" s="40"/>
      <c r="B6" s="40"/>
      <c r="C6" s="46" t="s">
        <v>331</v>
      </c>
      <c r="D6" s="47"/>
      <c r="E6" s="40"/>
    </row>
    <row r="7" spans="1:5" s="41" customFormat="1" ht="16.8" hidden="1" thickBot="1" x14ac:dyDescent="0.4">
      <c r="A7" s="40"/>
      <c r="B7" s="40"/>
      <c r="C7" s="48" t="s">
        <v>43</v>
      </c>
      <c r="D7" s="49"/>
      <c r="E7" s="40"/>
    </row>
    <row r="9" spans="1:5" s="41" customFormat="1" x14ac:dyDescent="0.35">
      <c r="A9" s="40" t="s">
        <v>95</v>
      </c>
      <c r="B9" s="40"/>
      <c r="C9" s="40"/>
      <c r="D9" s="40"/>
      <c r="E9" s="40"/>
    </row>
    <row r="10" spans="1:5" s="41" customFormat="1" ht="24" customHeight="1" x14ac:dyDescent="0.35">
      <c r="A10" s="40"/>
      <c r="B10" s="40"/>
      <c r="C10" s="40"/>
      <c r="D10" s="40"/>
      <c r="E10" s="40"/>
    </row>
    <row r="11" spans="1:5" ht="16.8" thickBot="1" x14ac:dyDescent="0.4"/>
    <row r="12" spans="1:5" s="41" customFormat="1" ht="15" customHeight="1" x14ac:dyDescent="0.35">
      <c r="A12" s="40"/>
      <c r="B12" s="50" t="s">
        <v>126</v>
      </c>
      <c r="C12" s="51" t="s">
        <v>255</v>
      </c>
      <c r="D12" s="52"/>
      <c r="E12" s="40"/>
    </row>
    <row r="13" spans="1:5" s="41" customFormat="1" ht="15" customHeight="1" x14ac:dyDescent="0.35">
      <c r="A13" s="40"/>
      <c r="B13" s="53" t="s">
        <v>127</v>
      </c>
      <c r="C13" s="54" t="s">
        <v>125</v>
      </c>
      <c r="D13" s="52"/>
      <c r="E13" s="40"/>
    </row>
    <row r="14" spans="1:5" s="41" customFormat="1" ht="15" customHeight="1" x14ac:dyDescent="0.35">
      <c r="A14" s="40"/>
      <c r="B14" s="53" t="s">
        <v>128</v>
      </c>
      <c r="C14" s="54" t="s">
        <v>256</v>
      </c>
      <c r="D14" s="55"/>
      <c r="E14" s="40"/>
    </row>
    <row r="15" spans="1:5" s="41" customFormat="1" ht="15" customHeight="1" x14ac:dyDescent="0.35">
      <c r="A15" s="40"/>
      <c r="B15" s="53" t="s">
        <v>129</v>
      </c>
      <c r="C15" s="54" t="s">
        <v>257</v>
      </c>
      <c r="D15" s="55"/>
      <c r="E15" s="40"/>
    </row>
    <row r="16" spans="1:5" s="41" customFormat="1" ht="15" customHeight="1" x14ac:dyDescent="0.35">
      <c r="A16" s="40"/>
      <c r="B16" s="53" t="s">
        <v>130</v>
      </c>
      <c r="C16" s="54">
        <v>28052026</v>
      </c>
      <c r="D16" s="56"/>
      <c r="E16" s="40"/>
    </row>
    <row r="17" spans="2:6" ht="15" customHeight="1" x14ac:dyDescent="0.35">
      <c r="B17" s="53" t="s">
        <v>131</v>
      </c>
      <c r="C17" s="54" t="s">
        <v>215</v>
      </c>
      <c r="D17" s="55"/>
    </row>
    <row r="18" spans="2:6" ht="15" customHeight="1" x14ac:dyDescent="0.35">
      <c r="B18" s="53" t="s">
        <v>132</v>
      </c>
      <c r="C18" s="54" t="s">
        <v>216</v>
      </c>
      <c r="D18" s="55"/>
    </row>
    <row r="19" spans="2:6" ht="15" customHeight="1" thickBot="1" x14ac:dyDescent="0.4">
      <c r="B19" s="57" t="s">
        <v>133</v>
      </c>
      <c r="C19" s="58" t="s">
        <v>255</v>
      </c>
      <c r="D19" s="55"/>
    </row>
    <row r="21" spans="2:6" ht="15.6" customHeight="1" x14ac:dyDescent="0.35">
      <c r="B21" s="59"/>
      <c r="C21" s="59" t="s">
        <v>332</v>
      </c>
      <c r="D21" s="59" t="s">
        <v>333</v>
      </c>
      <c r="E21" s="59" t="s">
        <v>334</v>
      </c>
    </row>
    <row r="22" spans="2:6" x14ac:dyDescent="0.35">
      <c r="B22" s="60" t="s">
        <v>352</v>
      </c>
      <c r="C22" s="61">
        <f>'KickOff LBC '!N48</f>
        <v>58012.983048340997</v>
      </c>
      <c r="D22" s="61">
        <f>'KickOff LBC '!X48</f>
        <v>39771.19</v>
      </c>
      <c r="E22" s="61">
        <f>C22-D22</f>
        <v>18241.793048340995</v>
      </c>
      <c r="F22" s="62">
        <f>E22*100%/C22</f>
        <v>0.3144432864819327</v>
      </c>
    </row>
    <row r="23" spans="2:6" x14ac:dyDescent="0.35">
      <c r="B23" s="59" t="s">
        <v>43</v>
      </c>
      <c r="C23" s="63">
        <f>SUM(C22:C22)</f>
        <v>58012.983048340997</v>
      </c>
      <c r="D23" s="63">
        <f>SUM(D22:D22)</f>
        <v>39771.19</v>
      </c>
      <c r="E23" s="63">
        <f>C23-D23</f>
        <v>18241.793048340995</v>
      </c>
      <c r="F23" s="62">
        <f t="shared" ref="F23" si="0">E23*100%/C23</f>
        <v>0.3144432864819327</v>
      </c>
    </row>
    <row r="25" spans="2:6" ht="200.1" hidden="1" customHeight="1" x14ac:dyDescent="0.35"/>
    <row r="26" spans="2:6" ht="16.8" thickBot="1" x14ac:dyDescent="0.4"/>
    <row r="27" spans="2:6" ht="21.9" customHeight="1" thickBot="1" x14ac:dyDescent="0.4">
      <c r="B27" s="252" t="s">
        <v>335</v>
      </c>
      <c r="C27" s="253"/>
      <c r="D27" s="253"/>
      <c r="E27" s="253"/>
      <c r="F27" s="254"/>
    </row>
    <row r="28" spans="2:6" ht="24.9" customHeight="1" thickBot="1" x14ac:dyDescent="0.4">
      <c r="B28" s="352" t="s">
        <v>353</v>
      </c>
      <c r="C28" s="64">
        <v>45419.97</v>
      </c>
      <c r="D28" s="65">
        <f>D23</f>
        <v>39771.19</v>
      </c>
      <c r="E28" s="66">
        <f>C28-D28</f>
        <v>5648.7799999999988</v>
      </c>
      <c r="F28" s="67">
        <f>E28*100%/C28</f>
        <v>0.12436776158152457</v>
      </c>
    </row>
    <row r="29" spans="2:6" ht="24.9" customHeight="1" thickBot="1" x14ac:dyDescent="0.4">
      <c r="B29" s="352" t="s">
        <v>354</v>
      </c>
      <c r="C29" s="64">
        <v>12593.01</v>
      </c>
      <c r="D29" s="65">
        <f>C29*0.15</f>
        <v>1888.9514999999999</v>
      </c>
      <c r="E29" s="66">
        <f>C29-D29</f>
        <v>10704.058500000001</v>
      </c>
      <c r="F29" s="67">
        <f>E29*100%/C29</f>
        <v>0.85000000000000009</v>
      </c>
    </row>
    <row r="30" spans="2:6" ht="20.25" customHeight="1" thickBot="1" x14ac:dyDescent="0.4">
      <c r="B30" s="68"/>
      <c r="C30" s="69">
        <f>SUM(C28:C29)</f>
        <v>58012.98</v>
      </c>
      <c r="D30" s="70">
        <f>SUM(D28:D29)</f>
        <v>41660.141500000005</v>
      </c>
      <c r="E30" s="71">
        <f>C30-D30</f>
        <v>16352.838499999998</v>
      </c>
      <c r="F30" s="72">
        <f>E30*100%/C30</f>
        <v>0.28188240804040748</v>
      </c>
    </row>
  </sheetData>
  <mergeCells count="2">
    <mergeCell ref="E3:E4"/>
    <mergeCell ref="B27:F27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1046-DF63-4A23-A9FF-2B944CF52F48}">
  <sheetPr codeName="Planilha17">
    <pageSetUpPr autoPageBreaks="0"/>
  </sheetPr>
  <dimension ref="A1:AD55"/>
  <sheetViews>
    <sheetView showGridLines="0" topLeftCell="B1" zoomScale="55" zoomScaleNormal="55" workbookViewId="0">
      <pane ySplit="1" topLeftCell="A43" activePane="bottomLeft" state="frozen"/>
      <selection pane="bottomLeft" activeCell="L49" sqref="L49"/>
    </sheetView>
  </sheetViews>
  <sheetFormatPr defaultColWidth="8.88671875" defaultRowHeight="21" x14ac:dyDescent="0.4"/>
  <cols>
    <col min="1" max="1" width="5.88671875" style="77" hidden="1" customWidth="1"/>
    <col min="2" max="2" width="9.88671875" style="77" customWidth="1"/>
    <col min="3" max="3" width="11" style="77" hidden="1" customWidth="1"/>
    <col min="4" max="4" width="10.5546875" style="77" hidden="1" customWidth="1"/>
    <col min="5" max="5" width="5.5546875" style="77" hidden="1" customWidth="1"/>
    <col min="6" max="6" width="32.44140625" style="77" customWidth="1"/>
    <col min="7" max="7" width="74.44140625" style="77" customWidth="1"/>
    <col min="8" max="8" width="5.88671875" style="80" hidden="1" customWidth="1"/>
    <col min="9" max="9" width="7.88671875" style="80" hidden="1" customWidth="1"/>
    <col min="10" max="10" width="16.44140625" style="77" hidden="1" customWidth="1"/>
    <col min="11" max="11" width="25.88671875" style="77" customWidth="1"/>
    <col min="12" max="12" width="23.5546875" style="77" customWidth="1"/>
    <col min="13" max="13" width="23.33203125" style="77" customWidth="1"/>
    <col min="14" max="14" width="25" style="77" bestFit="1" customWidth="1"/>
    <col min="15" max="15" width="23.5546875" style="77" hidden="1" customWidth="1"/>
    <col min="16" max="16" width="0.33203125" style="77" customWidth="1"/>
    <col min="17" max="17" width="11.44140625" style="80" bestFit="1" customWidth="1"/>
    <col min="18" max="18" width="8.44140625" style="80" hidden="1" customWidth="1"/>
    <col min="19" max="19" width="17.88671875" style="77" hidden="1" customWidth="1"/>
    <col min="20" max="20" width="27" style="77" bestFit="1" customWidth="1"/>
    <col min="21" max="21" width="24.6640625" style="77" hidden="1" customWidth="1"/>
    <col min="22" max="22" width="9.6640625" style="77" hidden="1" customWidth="1"/>
    <col min="23" max="23" width="16.109375" style="77" hidden="1" customWidth="1"/>
    <col min="24" max="24" width="27.44140625" style="77" bestFit="1" customWidth="1"/>
    <col min="25" max="25" width="26.6640625" style="77" hidden="1" customWidth="1"/>
    <col min="26" max="26" width="14.6640625" style="77" hidden="1" customWidth="1"/>
    <col min="27" max="27" width="24.6640625" style="77" hidden="1" customWidth="1"/>
    <col min="28" max="29" width="26.44140625" style="77" customWidth="1"/>
    <col min="30" max="30" width="22.5546875" style="244" customWidth="1"/>
    <col min="31" max="16384" width="8.88671875" style="77"/>
  </cols>
  <sheetData>
    <row r="1" spans="1:29" ht="49.5" customHeight="1" x14ac:dyDescent="0.4">
      <c r="B1" s="78"/>
      <c r="C1" s="79"/>
      <c r="D1" s="79"/>
      <c r="F1" s="288" t="s">
        <v>97</v>
      </c>
      <c r="G1" s="288"/>
    </row>
    <row r="2" spans="1:29" ht="24.75" customHeight="1" x14ac:dyDescent="0.4">
      <c r="B2" s="81"/>
      <c r="D2" s="79"/>
      <c r="F2" s="289" t="s">
        <v>0</v>
      </c>
      <c r="G2" s="289"/>
    </row>
    <row r="3" spans="1:29" ht="22.8" thickBot="1" x14ac:dyDescent="0.45">
      <c r="B3" s="82"/>
      <c r="F3" s="83"/>
      <c r="G3" s="83"/>
    </row>
    <row r="4" spans="1:29" ht="29.1" customHeight="1" x14ac:dyDescent="0.4">
      <c r="F4" s="84" t="s">
        <v>126</v>
      </c>
      <c r="G4" s="85" t="s">
        <v>255</v>
      </c>
    </row>
    <row r="5" spans="1:29" ht="27.6" customHeight="1" x14ac:dyDescent="0.4">
      <c r="F5" s="86" t="s">
        <v>127</v>
      </c>
      <c r="G5" s="87" t="s">
        <v>125</v>
      </c>
    </row>
    <row r="6" spans="1:29" ht="24.9" customHeight="1" x14ac:dyDescent="0.4">
      <c r="D6" s="77" t="s">
        <v>95</v>
      </c>
      <c r="F6" s="86" t="s">
        <v>128</v>
      </c>
      <c r="G6" s="87" t="s">
        <v>256</v>
      </c>
    </row>
    <row r="7" spans="1:29" ht="25.5" customHeight="1" x14ac:dyDescent="0.4">
      <c r="F7" s="86" t="s">
        <v>129</v>
      </c>
      <c r="G7" s="87" t="s">
        <v>257</v>
      </c>
      <c r="J7" s="77" t="s">
        <v>96</v>
      </c>
    </row>
    <row r="8" spans="1:29" ht="26.1" customHeight="1" x14ac:dyDescent="0.4">
      <c r="F8" s="86" t="s">
        <v>130</v>
      </c>
      <c r="G8" s="87">
        <v>28052026</v>
      </c>
    </row>
    <row r="9" spans="1:29" ht="27.6" customHeight="1" x14ac:dyDescent="0.4">
      <c r="F9" s="86" t="s">
        <v>131</v>
      </c>
      <c r="G9" s="87" t="s">
        <v>215</v>
      </c>
      <c r="J9" s="77" t="s">
        <v>95</v>
      </c>
    </row>
    <row r="10" spans="1:29" ht="27" customHeight="1" x14ac:dyDescent="0.4">
      <c r="F10" s="86" t="s">
        <v>132</v>
      </c>
      <c r="G10" s="87" t="s">
        <v>216</v>
      </c>
    </row>
    <row r="11" spans="1:29" ht="22.8" thickBot="1" x14ac:dyDescent="0.45">
      <c r="F11" s="88" t="s">
        <v>133</v>
      </c>
      <c r="G11" s="89" t="s">
        <v>255</v>
      </c>
    </row>
    <row r="12" spans="1:29" ht="45" hidden="1" thickBot="1" x14ac:dyDescent="0.45">
      <c r="B12" s="90"/>
      <c r="M12" s="91"/>
      <c r="Q12" s="290" t="s">
        <v>1</v>
      </c>
      <c r="R12" s="291"/>
      <c r="S12" s="291"/>
      <c r="T12" s="292"/>
      <c r="U12" s="276" t="s">
        <v>2</v>
      </c>
      <c r="V12" s="277"/>
      <c r="W12" s="277"/>
      <c r="X12" s="278"/>
      <c r="Y12" s="92" t="s">
        <v>56</v>
      </c>
      <c r="Z12" s="93">
        <f>(1/(1-M14))-1</f>
        <v>0.24269914253759173</v>
      </c>
    </row>
    <row r="13" spans="1:29" ht="22.8" thickBot="1" x14ac:dyDescent="0.5">
      <c r="A13" s="94" t="s">
        <v>4</v>
      </c>
      <c r="B13" s="95" t="s">
        <v>5</v>
      </c>
      <c r="C13" s="94" t="s">
        <v>6</v>
      </c>
      <c r="D13" s="94" t="s">
        <v>7</v>
      </c>
      <c r="E13" s="94" t="s">
        <v>8</v>
      </c>
      <c r="M13" s="96">
        <v>0.81</v>
      </c>
    </row>
    <row r="14" spans="1:29" ht="41.25" customHeight="1" thickBot="1" x14ac:dyDescent="0.45">
      <c r="A14" s="97">
        <v>0</v>
      </c>
      <c r="B14" s="98"/>
      <c r="C14" s="99"/>
      <c r="D14" s="100"/>
      <c r="E14" s="100"/>
      <c r="F14" s="101" t="s">
        <v>80</v>
      </c>
      <c r="G14" s="102" t="s">
        <v>81</v>
      </c>
      <c r="H14" s="103" t="s">
        <v>82</v>
      </c>
      <c r="I14" s="103" t="s">
        <v>83</v>
      </c>
      <c r="J14" s="104" t="s">
        <v>84</v>
      </c>
      <c r="K14" s="105" t="s">
        <v>9</v>
      </c>
      <c r="L14" s="106">
        <v>0.08</v>
      </c>
      <c r="M14" s="107">
        <v>0.1953</v>
      </c>
      <c r="N14" s="108" t="s">
        <v>78</v>
      </c>
      <c r="O14" s="109"/>
      <c r="Q14" s="110" t="s">
        <v>85</v>
      </c>
      <c r="R14" s="111" t="s">
        <v>86</v>
      </c>
      <c r="S14" s="112" t="s">
        <v>87</v>
      </c>
      <c r="T14" s="113" t="s">
        <v>88</v>
      </c>
      <c r="U14" s="114" t="s">
        <v>89</v>
      </c>
      <c r="V14" s="115" t="s">
        <v>90</v>
      </c>
      <c r="W14" s="116" t="s">
        <v>91</v>
      </c>
      <c r="X14" s="116" t="s">
        <v>92</v>
      </c>
      <c r="Y14" s="117" t="s">
        <v>93</v>
      </c>
      <c r="Z14" s="118" t="s">
        <v>94</v>
      </c>
      <c r="AA14" s="119" t="s">
        <v>79</v>
      </c>
      <c r="AB14" s="73" t="s">
        <v>336</v>
      </c>
      <c r="AC14" s="74" t="s">
        <v>337</v>
      </c>
    </row>
    <row r="15" spans="1:29" ht="35.1" customHeight="1" thickBot="1" x14ac:dyDescent="0.5">
      <c r="A15" s="100">
        <v>1</v>
      </c>
      <c r="B15" s="120">
        <v>1</v>
      </c>
      <c r="C15" s="121" t="s">
        <v>98</v>
      </c>
      <c r="D15" s="100"/>
      <c r="E15" s="100"/>
      <c r="F15" s="279" t="s">
        <v>111</v>
      </c>
      <c r="G15" s="280"/>
      <c r="H15" s="280"/>
      <c r="I15" s="280"/>
      <c r="J15" s="280"/>
      <c r="K15" s="280"/>
      <c r="L15" s="280"/>
      <c r="M15" s="280"/>
      <c r="N15" s="281"/>
      <c r="Q15" s="282" t="str">
        <f>IF(F15&lt;&gt;"",F15,"")</f>
        <v>INTERNOS</v>
      </c>
      <c r="R15" s="283"/>
      <c r="S15" s="283"/>
      <c r="T15" s="283"/>
      <c r="U15" s="283"/>
      <c r="V15" s="283"/>
      <c r="W15" s="283"/>
      <c r="X15" s="283"/>
      <c r="Y15" s="284"/>
      <c r="Z15" s="122"/>
      <c r="AB15" s="297"/>
      <c r="AC15" s="298"/>
    </row>
    <row r="16" spans="1:29" ht="35.1" customHeight="1" x14ac:dyDescent="0.45">
      <c r="A16" s="100">
        <v>2</v>
      </c>
      <c r="B16" s="120" t="s">
        <v>100</v>
      </c>
      <c r="C16" s="121" t="s">
        <v>99</v>
      </c>
      <c r="D16" s="100"/>
      <c r="E16" s="100"/>
      <c r="F16" s="285" t="s">
        <v>111</v>
      </c>
      <c r="G16" s="286"/>
      <c r="H16" s="286"/>
      <c r="I16" s="286"/>
      <c r="J16" s="286"/>
      <c r="K16" s="286"/>
      <c r="L16" s="123" t="s">
        <v>101</v>
      </c>
      <c r="M16" s="123" t="s">
        <v>102</v>
      </c>
      <c r="N16" s="124" t="s">
        <v>78</v>
      </c>
      <c r="Q16" s="285" t="str">
        <f>IF(F16&lt;&gt;"",F16,"")</f>
        <v>INTERNOS</v>
      </c>
      <c r="R16" s="286"/>
      <c r="S16" s="286"/>
      <c r="T16" s="286"/>
      <c r="U16" s="286"/>
      <c r="V16" s="286"/>
      <c r="W16" s="286"/>
      <c r="X16" s="286"/>
      <c r="Y16" s="287"/>
      <c r="Z16" s="125" t="s">
        <v>103</v>
      </c>
      <c r="AA16" s="126" t="s">
        <v>79</v>
      </c>
      <c r="AB16" s="299"/>
      <c r="AC16" s="300"/>
    </row>
    <row r="17" spans="1:30" ht="99.9" customHeight="1" x14ac:dyDescent="0.4">
      <c r="A17" s="100">
        <v>3</v>
      </c>
      <c r="B17" s="120" t="s">
        <v>189</v>
      </c>
      <c r="C17" s="121" t="s">
        <v>104</v>
      </c>
      <c r="D17" s="100" t="s">
        <v>107</v>
      </c>
      <c r="E17" s="100" t="s">
        <v>108</v>
      </c>
      <c r="F17" s="127" t="s">
        <v>154</v>
      </c>
      <c r="G17" s="128" t="s">
        <v>340</v>
      </c>
      <c r="H17" s="129">
        <v>1</v>
      </c>
      <c r="I17" s="129">
        <v>1</v>
      </c>
      <c r="J17" s="130">
        <v>4000</v>
      </c>
      <c r="K17" s="130">
        <f>IF(F17&lt;&gt;"",H17*I17*J17,"")</f>
        <v>4000</v>
      </c>
      <c r="L17" s="130">
        <f>IF(K17&lt;&gt;"",IF(D17="INTERNO",0,K17*$L$14),"")</f>
        <v>0</v>
      </c>
      <c r="M17" s="130">
        <f>IF(K17&lt;&gt;"",IF(E17="FAT.OGGI",SUM(K17:L17)*(1/(1-$M$14)-1),L17*(1/(1-$M$14)-1)),0)</f>
        <v>970.79657015036696</v>
      </c>
      <c r="N17" s="131">
        <f>SUM(K17:M17)</f>
        <v>4970.7965701503672</v>
      </c>
      <c r="Q17" s="132">
        <f t="shared" ref="Q17:R18" si="0">IF(H17&lt;&gt;"",H17,"")</f>
        <v>1</v>
      </c>
      <c r="R17" s="133">
        <f t="shared" si="0"/>
        <v>1</v>
      </c>
      <c r="S17" s="134"/>
      <c r="T17" s="134">
        <f>IF(Q17&lt;&gt;"",Q17*R17*S17,"")</f>
        <v>0</v>
      </c>
      <c r="U17" s="135">
        <f>IF(Q17&lt;&gt;"",K17-T17,"")</f>
        <v>4000</v>
      </c>
      <c r="V17" s="136">
        <f>IF(Q17&lt;&gt;"",0%,"")</f>
        <v>0</v>
      </c>
      <c r="W17" s="137">
        <f>IF(Q17&lt;&gt;"",V17*U17,"")</f>
        <v>0</v>
      </c>
      <c r="X17" s="137">
        <f>IF(Q17&lt;&gt;"",W17+T17,"")</f>
        <v>0</v>
      </c>
      <c r="Y17" s="138">
        <f t="shared" ref="Y17:Y20" si="1">IF(Q17&lt;&gt;"",X17+M17,"")</f>
        <v>970.79657015036696</v>
      </c>
      <c r="Z17" s="122">
        <f>IF(Q17&lt;&gt;"", IFERROR(U17/K17, 0), 0)</f>
        <v>1</v>
      </c>
      <c r="AA17" s="139" t="str">
        <f>IFERROR(T17/$T$20, "")</f>
        <v/>
      </c>
      <c r="AB17" s="75">
        <f>X17-AC17</f>
        <v>0</v>
      </c>
      <c r="AC17" s="76"/>
    </row>
    <row r="18" spans="1:30" ht="99.9" customHeight="1" x14ac:dyDescent="0.4">
      <c r="A18" s="100">
        <v>4</v>
      </c>
      <c r="B18" s="120" t="s">
        <v>190</v>
      </c>
      <c r="C18" s="121" t="s">
        <v>104</v>
      </c>
      <c r="D18" s="100" t="s">
        <v>107</v>
      </c>
      <c r="E18" s="100" t="s">
        <v>108</v>
      </c>
      <c r="F18" s="127" t="s">
        <v>106</v>
      </c>
      <c r="G18" s="128" t="s">
        <v>251</v>
      </c>
      <c r="H18" s="129">
        <v>1</v>
      </c>
      <c r="I18" s="129">
        <v>1</v>
      </c>
      <c r="J18" s="130">
        <v>1500</v>
      </c>
      <c r="K18" s="130">
        <f>IF(F18&lt;&gt;"",H18*I18*J18,"")</f>
        <v>1500</v>
      </c>
      <c r="L18" s="130">
        <f>IF(K18&lt;&gt;"",IF(D18="INTERNO",0,K18*$L$14),"")</f>
        <v>0</v>
      </c>
      <c r="M18" s="130">
        <f>IF(K18&lt;&gt;"",IF(E18="FAT.OGGI",SUM(K18:L18)*(1/(1-$M$14)-1),L18*(1/(1-$M$14)-1)),0)</f>
        <v>364.04871380638758</v>
      </c>
      <c r="N18" s="131">
        <f>SUM(K18:M18)</f>
        <v>1864.0487138063877</v>
      </c>
      <c r="Q18" s="132">
        <f t="shared" si="0"/>
        <v>1</v>
      </c>
      <c r="R18" s="133">
        <f t="shared" si="0"/>
        <v>1</v>
      </c>
      <c r="S18" s="134"/>
      <c r="T18" s="134">
        <f>IF(Q18&lt;&gt;"",Q18*R18*S18,"")</f>
        <v>0</v>
      </c>
      <c r="U18" s="135">
        <f>IF(Q18&lt;&gt;"",K18-T18,"")</f>
        <v>1500</v>
      </c>
      <c r="V18" s="136">
        <f>IF(Q18&lt;&gt;"",0%,"")</f>
        <v>0</v>
      </c>
      <c r="W18" s="137">
        <f>IF(Q18&lt;&gt;"",V18*U18,"")</f>
        <v>0</v>
      </c>
      <c r="X18" s="137">
        <f>IF(Q18&lt;&gt;"",W18+T18,"")</f>
        <v>0</v>
      </c>
      <c r="Y18" s="138">
        <f t="shared" si="1"/>
        <v>364.04871380638758</v>
      </c>
      <c r="Z18" s="122">
        <f>IF(Q18&lt;&gt;"", IFERROR(U18/K18, 0), 0)</f>
        <v>1</v>
      </c>
      <c r="AA18" s="139" t="str">
        <f>IFERROR(T18/$T$20, "")</f>
        <v/>
      </c>
      <c r="AB18" s="75">
        <f t="shared" ref="AB18:AB46" si="2">X18-AC18</f>
        <v>0</v>
      </c>
      <c r="AC18" s="76"/>
    </row>
    <row r="19" spans="1:30" ht="99.9" customHeight="1" x14ac:dyDescent="0.4">
      <c r="A19" s="100">
        <v>5</v>
      </c>
      <c r="B19" s="120" t="s">
        <v>105</v>
      </c>
      <c r="C19" s="121" t="s">
        <v>104</v>
      </c>
      <c r="D19" s="100" t="s">
        <v>107</v>
      </c>
      <c r="E19" s="100" t="s">
        <v>108</v>
      </c>
      <c r="F19" s="127" t="s">
        <v>121</v>
      </c>
      <c r="G19" s="128" t="s">
        <v>209</v>
      </c>
      <c r="H19" s="129">
        <v>1</v>
      </c>
      <c r="I19" s="129">
        <v>1</v>
      </c>
      <c r="J19" s="130">
        <v>1000</v>
      </c>
      <c r="K19" s="130">
        <f>IF(F19&lt;&gt;"",H19*I19*J19,"")</f>
        <v>1000</v>
      </c>
      <c r="L19" s="130">
        <f>IF(K19&lt;&gt;"",IF(D19="INTERNO",0,K19*$L$14),"")</f>
        <v>0</v>
      </c>
      <c r="M19" s="130">
        <f>IF(K19&lt;&gt;"",IF(E19="FAT.OGGI",SUM(K19:L19)*(1/(1-$M$14)-1),L19*(1/(1-$M$14)-1)),0)</f>
        <v>242.69914253759174</v>
      </c>
      <c r="N19" s="131">
        <f>SUM(K19:M19)</f>
        <v>1242.6991425375918</v>
      </c>
      <c r="Q19" s="132">
        <f>IF(H19&lt;&gt;"",H19,"")</f>
        <v>1</v>
      </c>
      <c r="R19" s="133">
        <f>IF(I19&lt;&gt;"",I19,"")</f>
        <v>1</v>
      </c>
      <c r="S19" s="134">
        <v>0</v>
      </c>
      <c r="T19" s="134">
        <f>IF(Q19&lt;&gt;"",Q19*R19*S19,"")</f>
        <v>0</v>
      </c>
      <c r="U19" s="135">
        <f>IF(Q19&lt;&gt;"",K19-T19,"")</f>
        <v>1000</v>
      </c>
      <c r="V19" s="136">
        <f>IF(Q19&lt;&gt;"",0%,"")</f>
        <v>0</v>
      </c>
      <c r="W19" s="137">
        <f>IF(Q19&lt;&gt;"",V19*U19,"")</f>
        <v>0</v>
      </c>
      <c r="X19" s="137">
        <f>IF(Q19&lt;&gt;"",W19+T19,"")</f>
        <v>0</v>
      </c>
      <c r="Y19" s="138">
        <f t="shared" si="1"/>
        <v>242.69914253759174</v>
      </c>
      <c r="Z19" s="122">
        <f>IF(Q19&lt;&gt;"", IFERROR(U19/K19, 0), 0)</f>
        <v>1</v>
      </c>
      <c r="AA19" s="139" t="str">
        <f>IFERROR(T19/$T$20, "")</f>
        <v/>
      </c>
      <c r="AB19" s="75">
        <f t="shared" si="2"/>
        <v>0</v>
      </c>
      <c r="AC19" s="76"/>
    </row>
    <row r="20" spans="1:30" ht="35.1" customHeight="1" thickBot="1" x14ac:dyDescent="0.5">
      <c r="A20" s="100">
        <v>6</v>
      </c>
      <c r="B20" s="120"/>
      <c r="C20" s="121" t="s">
        <v>109</v>
      </c>
      <c r="D20" s="100"/>
      <c r="E20" s="100"/>
      <c r="F20" s="293" t="s">
        <v>124</v>
      </c>
      <c r="G20" s="294"/>
      <c r="H20" s="294"/>
      <c r="I20" s="294"/>
      <c r="J20" s="294"/>
      <c r="K20" s="140">
        <f>SUM(K17:K19)</f>
        <v>6500</v>
      </c>
      <c r="L20" s="140">
        <f>SUM(L17:L19)</f>
        <v>0</v>
      </c>
      <c r="M20" s="140">
        <f>SUM(M17:M19)</f>
        <v>1577.5444264943462</v>
      </c>
      <c r="N20" s="141">
        <f>SUM(N17:N19)</f>
        <v>8077.5444264943462</v>
      </c>
      <c r="Q20" s="295" t="s">
        <v>124</v>
      </c>
      <c r="R20" s="296"/>
      <c r="S20" s="296"/>
      <c r="T20" s="142">
        <f>SUM(T17:T19)</f>
        <v>0</v>
      </c>
      <c r="U20" s="143">
        <f>SUM(U17:U19)</f>
        <v>6500</v>
      </c>
      <c r="V20" s="144"/>
      <c r="W20" s="145"/>
      <c r="X20" s="146">
        <f>SUM(X17:X19)</f>
        <v>0</v>
      </c>
      <c r="Y20" s="147">
        <f t="shared" si="1"/>
        <v>1577.5444264943462</v>
      </c>
      <c r="Z20" s="122"/>
      <c r="AA20" s="148"/>
      <c r="AB20" s="75"/>
      <c r="AC20" s="76"/>
    </row>
    <row r="21" spans="1:30" ht="35.1" customHeight="1" thickBot="1" x14ac:dyDescent="0.5">
      <c r="A21" s="100">
        <v>7</v>
      </c>
      <c r="B21" s="120">
        <v>2</v>
      </c>
      <c r="C21" s="121" t="s">
        <v>98</v>
      </c>
      <c r="D21" s="100"/>
      <c r="E21" s="100"/>
      <c r="F21" s="301" t="s">
        <v>136</v>
      </c>
      <c r="G21" s="302"/>
      <c r="H21" s="302"/>
      <c r="I21" s="302"/>
      <c r="J21" s="302"/>
      <c r="K21" s="302"/>
      <c r="L21" s="302"/>
      <c r="M21" s="302"/>
      <c r="N21" s="303"/>
      <c r="Q21" s="265" t="str">
        <f>IF(F21&lt;&gt;"",F21,"")</f>
        <v xml:space="preserve">STAFF </v>
      </c>
      <c r="R21" s="266"/>
      <c r="S21" s="266"/>
      <c r="T21" s="266"/>
      <c r="U21" s="266"/>
      <c r="V21" s="266"/>
      <c r="W21" s="266"/>
      <c r="X21" s="266"/>
      <c r="Y21" s="267"/>
      <c r="AB21" s="75"/>
      <c r="AC21" s="76"/>
    </row>
    <row r="22" spans="1:30" ht="35.1" customHeight="1" x14ac:dyDescent="0.45">
      <c r="A22" s="100">
        <v>8</v>
      </c>
      <c r="B22" s="120" t="s">
        <v>110</v>
      </c>
      <c r="C22" s="121" t="s">
        <v>99</v>
      </c>
      <c r="D22" s="100"/>
      <c r="E22" s="100"/>
      <c r="F22" s="259" t="s">
        <v>136</v>
      </c>
      <c r="G22" s="260"/>
      <c r="H22" s="260"/>
      <c r="I22" s="260"/>
      <c r="J22" s="260"/>
      <c r="K22" s="261"/>
      <c r="L22" s="149" t="s">
        <v>101</v>
      </c>
      <c r="M22" s="150" t="s">
        <v>102</v>
      </c>
      <c r="N22" s="151" t="s">
        <v>78</v>
      </c>
      <c r="Q22" s="259" t="str">
        <f>IF(F22&lt;&gt;"",F22,"")</f>
        <v xml:space="preserve">STAFF </v>
      </c>
      <c r="R22" s="260"/>
      <c r="S22" s="260"/>
      <c r="T22" s="260"/>
      <c r="U22" s="260"/>
      <c r="V22" s="260"/>
      <c r="W22" s="260"/>
      <c r="X22" s="260"/>
      <c r="Y22" s="262"/>
      <c r="Z22" s="125" t="s">
        <v>103</v>
      </c>
      <c r="AA22" s="126" t="s">
        <v>79</v>
      </c>
      <c r="AB22" s="75"/>
      <c r="AC22" s="76"/>
    </row>
    <row r="23" spans="1:30" ht="99.9" customHeight="1" x14ac:dyDescent="0.4">
      <c r="A23" s="100">
        <v>9</v>
      </c>
      <c r="B23" s="120" t="s">
        <v>112</v>
      </c>
      <c r="C23" s="121" t="s">
        <v>104</v>
      </c>
      <c r="D23" s="100" t="s">
        <v>114</v>
      </c>
      <c r="E23" s="100" t="s">
        <v>115</v>
      </c>
      <c r="F23" s="152" t="s">
        <v>252</v>
      </c>
      <c r="G23" s="153" t="s">
        <v>253</v>
      </c>
      <c r="H23" s="154">
        <v>2</v>
      </c>
      <c r="I23" s="154">
        <v>1</v>
      </c>
      <c r="J23" s="155">
        <v>900</v>
      </c>
      <c r="K23" s="155">
        <f>IF(F23&lt;&gt;"",H23*I23*J23,"")</f>
        <v>1800</v>
      </c>
      <c r="L23" s="155">
        <f>IF(K23&lt;&gt;"",IF(D23="INTERNO",0,K23*$L$14),"")</f>
        <v>144</v>
      </c>
      <c r="M23" s="155">
        <f>IF(K23&lt;&gt;"",IF(E23="FAT.OGGI",SUM(K23:L23)*(1/(1-$M$14)-1),L23*(1/(1-$M$14)-1)),"")</f>
        <v>34.948676525413205</v>
      </c>
      <c r="N23" s="156">
        <f>SUM(K23:M23)</f>
        <v>1978.9486765254132</v>
      </c>
      <c r="Q23" s="157">
        <v>1</v>
      </c>
      <c r="R23" s="158">
        <v>1</v>
      </c>
      <c r="S23" s="159">
        <v>650</v>
      </c>
      <c r="T23" s="159">
        <v>1300</v>
      </c>
      <c r="U23" s="160">
        <f>IF(Q23&lt;&gt;"",K23-T23,"")</f>
        <v>500</v>
      </c>
      <c r="V23" s="161">
        <f>IF(Q23&lt;&gt;"",0%,"")</f>
        <v>0</v>
      </c>
      <c r="W23" s="162">
        <f>IF(Q23&lt;&gt;"",V23*U23,"")</f>
        <v>0</v>
      </c>
      <c r="X23" s="162">
        <f>IF(Q23&lt;&gt;"",W23+T23,"")</f>
        <v>1300</v>
      </c>
      <c r="Y23" s="163">
        <f>IF(Q23&lt;&gt;"",X23+M23,"")</f>
        <v>1334.9486765254132</v>
      </c>
      <c r="Z23" s="122">
        <f>IF(Q23&lt;&gt;"",U23/K23,"")</f>
        <v>0.27777777777777779</v>
      </c>
      <c r="AA23" s="139">
        <f>T23/$T$26</f>
        <v>0.2927927927927928</v>
      </c>
      <c r="AB23" s="75">
        <f t="shared" si="2"/>
        <v>0</v>
      </c>
      <c r="AC23" s="76">
        <f>650+650</f>
        <v>1300</v>
      </c>
      <c r="AD23" s="244" t="s">
        <v>341</v>
      </c>
    </row>
    <row r="24" spans="1:30" ht="99.9" customHeight="1" x14ac:dyDescent="0.4">
      <c r="A24" s="100">
        <v>10</v>
      </c>
      <c r="B24" s="120" t="s">
        <v>113</v>
      </c>
      <c r="C24" s="121" t="s">
        <v>104</v>
      </c>
      <c r="D24" s="100" t="s">
        <v>114</v>
      </c>
      <c r="E24" s="100" t="s">
        <v>115</v>
      </c>
      <c r="F24" s="152" t="s">
        <v>137</v>
      </c>
      <c r="G24" s="153" t="s">
        <v>254</v>
      </c>
      <c r="H24" s="154">
        <v>2</v>
      </c>
      <c r="I24" s="154">
        <v>1</v>
      </c>
      <c r="J24" s="155">
        <v>800</v>
      </c>
      <c r="K24" s="155">
        <f>IF(F24&lt;&gt;"",H24*I24*J24,"")</f>
        <v>1600</v>
      </c>
      <c r="L24" s="155">
        <f>IF(K24&lt;&gt;"",IF(D24="INTERNO",0,K24*$L$14),"")</f>
        <v>128</v>
      </c>
      <c r="M24" s="155">
        <f>IF(K24&lt;&gt;"",IF(E24="FAT.OGGI",SUM(K24:L24)*(1/(1-$M$14)-1),L24*(1/(1-$M$14)-1)),"")</f>
        <v>31.065490244811741</v>
      </c>
      <c r="N24" s="156">
        <f>SUM(K24:M24)</f>
        <v>1759.0654902448118</v>
      </c>
      <c r="Q24" s="157">
        <v>1</v>
      </c>
      <c r="R24" s="158">
        <f t="shared" ref="R24" si="3">IF(I24&lt;&gt;"",I24,"")</f>
        <v>1</v>
      </c>
      <c r="S24" s="159">
        <v>1040</v>
      </c>
      <c r="T24" s="159">
        <f>IF(Q24&lt;&gt;"",Q24*R24*S24,"")</f>
        <v>1040</v>
      </c>
      <c r="U24" s="160">
        <f>IF(Q24&lt;&gt;"",K24-T24,"")</f>
        <v>560</v>
      </c>
      <c r="V24" s="161">
        <f>IF(Q24&lt;&gt;"",0%,"")</f>
        <v>0</v>
      </c>
      <c r="W24" s="162">
        <f>IF(Q24&lt;&gt;"",V24*U24,"")</f>
        <v>0</v>
      </c>
      <c r="X24" s="162">
        <f>IF(Q24&lt;&gt;"",W24+T24,"")</f>
        <v>1040</v>
      </c>
      <c r="Y24" s="163">
        <f>IF(Q24&lt;&gt;"",X24+M24,"")</f>
        <v>1071.0654902448118</v>
      </c>
      <c r="Z24" s="122">
        <f>IF(Q24&lt;&gt;"",U24/K24,"")</f>
        <v>0.35</v>
      </c>
      <c r="AA24" s="139">
        <f>T24/$T$26</f>
        <v>0.23423423423423423</v>
      </c>
      <c r="AB24" s="75">
        <f t="shared" si="2"/>
        <v>0</v>
      </c>
      <c r="AC24" s="76">
        <f>520+520</f>
        <v>1040</v>
      </c>
      <c r="AD24" s="244" t="s">
        <v>342</v>
      </c>
    </row>
    <row r="25" spans="1:30" ht="99.9" customHeight="1" x14ac:dyDescent="0.4">
      <c r="A25" s="100">
        <v>11</v>
      </c>
      <c r="B25" s="120" t="s">
        <v>207</v>
      </c>
      <c r="C25" s="121" t="s">
        <v>104</v>
      </c>
      <c r="D25" s="100" t="s">
        <v>114</v>
      </c>
      <c r="E25" s="100" t="s">
        <v>115</v>
      </c>
      <c r="F25" s="152" t="s">
        <v>236</v>
      </c>
      <c r="G25" s="153" t="s">
        <v>237</v>
      </c>
      <c r="H25" s="154">
        <v>1</v>
      </c>
      <c r="I25" s="154">
        <v>1</v>
      </c>
      <c r="J25" s="155">
        <v>2100</v>
      </c>
      <c r="K25" s="155">
        <f>IF(F25&lt;&gt;"",H25*I25*J25,"")</f>
        <v>2100</v>
      </c>
      <c r="L25" s="155">
        <f>IF(K25&lt;&gt;"",IF(D25="INTERNO",0,K25*$L$14),"")</f>
        <v>168</v>
      </c>
      <c r="M25" s="155">
        <f>IF(K25&lt;&gt;"",IF(E25="FAT.OGGI",SUM(K25:L25)*(1/(1-$M$14)-1),L25*(1/(1-$M$14)-1)),"")</f>
        <v>40.773455946315408</v>
      </c>
      <c r="N25" s="156">
        <f>SUM(K25:M25)</f>
        <v>2308.7734559463156</v>
      </c>
      <c r="Q25" s="157">
        <f>IF(H25&lt;&gt;"",H25,"")</f>
        <v>1</v>
      </c>
      <c r="R25" s="158">
        <f>IF(I25&lt;&gt;"",I25,"")</f>
        <v>1</v>
      </c>
      <c r="S25" s="159">
        <v>2100</v>
      </c>
      <c r="T25" s="159">
        <f>IF(Q25&lt;&gt;"",Q25*R25*S25,"")</f>
        <v>2100</v>
      </c>
      <c r="U25" s="160">
        <f>IF(Q25&lt;&gt;"",K25-T25,"")</f>
        <v>0</v>
      </c>
      <c r="V25" s="161">
        <f>IF(Q25&lt;&gt;"",0%,"")</f>
        <v>0</v>
      </c>
      <c r="W25" s="162">
        <f>IF(Q25&lt;&gt;"",V25*U25,"")</f>
        <v>0</v>
      </c>
      <c r="X25" s="162">
        <f>IF(Q25&lt;&gt;"",W25+T25,"")</f>
        <v>2100</v>
      </c>
      <c r="Y25" s="163">
        <f>IF(Q25&lt;&gt;"",X25+M25,"")</f>
        <v>2140.7734559463156</v>
      </c>
      <c r="Z25" s="122">
        <f>IF(Q25&lt;&gt;"",U25/K25,"")</f>
        <v>0</v>
      </c>
      <c r="AA25" s="148"/>
      <c r="AB25" s="75">
        <f t="shared" si="2"/>
        <v>0</v>
      </c>
      <c r="AC25" s="76">
        <v>2100</v>
      </c>
      <c r="AD25" s="244" t="s">
        <v>343</v>
      </c>
    </row>
    <row r="26" spans="1:30" ht="35.1" customHeight="1" thickBot="1" x14ac:dyDescent="0.5">
      <c r="A26" s="164">
        <v>12</v>
      </c>
      <c r="B26" s="120"/>
      <c r="C26" s="165" t="s">
        <v>109</v>
      </c>
      <c r="D26" s="164"/>
      <c r="E26" s="164"/>
      <c r="F26" s="255" t="s">
        <v>138</v>
      </c>
      <c r="G26" s="256"/>
      <c r="H26" s="256"/>
      <c r="I26" s="256"/>
      <c r="J26" s="256"/>
      <c r="K26" s="166">
        <f>SUM(K23:K25)</f>
        <v>5500</v>
      </c>
      <c r="L26" s="166">
        <f>SUM(L23:L25)</f>
        <v>440</v>
      </c>
      <c r="M26" s="166">
        <f>SUM(M23:M25)</f>
        <v>106.78762271654035</v>
      </c>
      <c r="N26" s="167">
        <f>SUM(N23:N25)</f>
        <v>6046.7876227165407</v>
      </c>
      <c r="Q26" s="274" t="s">
        <v>138</v>
      </c>
      <c r="R26" s="275"/>
      <c r="S26" s="275"/>
      <c r="T26" s="168">
        <f>SUM(T23:T25)</f>
        <v>4440</v>
      </c>
      <c r="U26" s="169">
        <f>SUM(U23:U25)</f>
        <v>1060</v>
      </c>
      <c r="V26" s="170"/>
      <c r="W26" s="170"/>
      <c r="X26" s="171">
        <f>SUM(X23:X25)</f>
        <v>4440</v>
      </c>
      <c r="Y26" s="172">
        <f>IF(Q26&lt;&gt;"",X26+M26,"")</f>
        <v>4546.7876227165407</v>
      </c>
      <c r="AB26" s="75"/>
      <c r="AC26" s="76"/>
    </row>
    <row r="27" spans="1:30" ht="35.1" customHeight="1" thickBot="1" x14ac:dyDescent="0.5">
      <c r="A27" s="100">
        <v>13</v>
      </c>
      <c r="B27" s="120">
        <v>3</v>
      </c>
      <c r="C27" s="121" t="s">
        <v>98</v>
      </c>
      <c r="D27" s="100"/>
      <c r="E27" s="100"/>
      <c r="F27" s="301" t="s">
        <v>238</v>
      </c>
      <c r="G27" s="302"/>
      <c r="H27" s="302"/>
      <c r="I27" s="302"/>
      <c r="J27" s="302"/>
      <c r="K27" s="302"/>
      <c r="L27" s="302"/>
      <c r="M27" s="302"/>
      <c r="N27" s="303"/>
      <c r="Q27" s="269" t="str">
        <f>IF(F27&lt;&gt;"",F27,"")</f>
        <v xml:space="preserve">COFFEE  </v>
      </c>
      <c r="R27" s="270"/>
      <c r="S27" s="270"/>
      <c r="T27" s="270"/>
      <c r="U27" s="270"/>
      <c r="V27" s="270"/>
      <c r="W27" s="270"/>
      <c r="X27" s="270"/>
      <c r="Y27" s="271"/>
      <c r="AB27" s="75"/>
      <c r="AC27" s="76"/>
    </row>
    <row r="28" spans="1:30" ht="35.1" customHeight="1" x14ac:dyDescent="0.45">
      <c r="A28" s="100">
        <v>14</v>
      </c>
      <c r="B28" s="120" t="s">
        <v>116</v>
      </c>
      <c r="C28" s="121" t="s">
        <v>99</v>
      </c>
      <c r="D28" s="100"/>
      <c r="E28" s="100"/>
      <c r="F28" s="259" t="s">
        <v>238</v>
      </c>
      <c r="G28" s="260"/>
      <c r="H28" s="260"/>
      <c r="I28" s="260"/>
      <c r="J28" s="260"/>
      <c r="K28" s="261"/>
      <c r="L28" s="149" t="s">
        <v>101</v>
      </c>
      <c r="M28" s="150" t="s">
        <v>102</v>
      </c>
      <c r="N28" s="151" t="s">
        <v>78</v>
      </c>
      <c r="Q28" s="259" t="str">
        <f>IF(F28&lt;&gt;"",F28,"")</f>
        <v xml:space="preserve">COFFEE  </v>
      </c>
      <c r="R28" s="260"/>
      <c r="S28" s="260"/>
      <c r="T28" s="260"/>
      <c r="U28" s="260"/>
      <c r="V28" s="260"/>
      <c r="W28" s="260"/>
      <c r="X28" s="260"/>
      <c r="Y28" s="262"/>
      <c r="Z28" s="125" t="s">
        <v>103</v>
      </c>
      <c r="AA28" s="126" t="s">
        <v>79</v>
      </c>
      <c r="AB28" s="75"/>
      <c r="AC28" s="76"/>
    </row>
    <row r="29" spans="1:30" ht="99.9" customHeight="1" x14ac:dyDescent="0.4">
      <c r="A29" s="100">
        <v>15</v>
      </c>
      <c r="B29" s="120" t="s">
        <v>191</v>
      </c>
      <c r="C29" s="121" t="s">
        <v>104</v>
      </c>
      <c r="D29" s="100" t="s">
        <v>114</v>
      </c>
      <c r="E29" s="100" t="s">
        <v>115</v>
      </c>
      <c r="F29" s="152" t="s">
        <v>291</v>
      </c>
      <c r="G29" s="153" t="s">
        <v>292</v>
      </c>
      <c r="H29" s="154">
        <v>1</v>
      </c>
      <c r="I29" s="154">
        <v>1</v>
      </c>
      <c r="J29" s="155">
        <v>4933.1499999999996</v>
      </c>
      <c r="K29" s="155">
        <f t="shared" ref="K29" si="4">IF(F29&lt;&gt;"",H29*I29*J29,"")</f>
        <v>4933.1499999999996</v>
      </c>
      <c r="L29" s="155">
        <f t="shared" ref="L29" si="5">IF(K29&lt;&gt;"",IF(D29="INTERNO",0,K29*$L$14),"")</f>
        <v>394.65199999999999</v>
      </c>
      <c r="M29" s="155">
        <f t="shared" ref="M29" si="6">IF(K29&lt;&gt;"",IF(E29="FAT.OGGI",SUM(K29:L29)*(1/(1-$M$14)-1),L29*(1/(1-$M$14)-1)),"")</f>
        <v>95.781702000745653</v>
      </c>
      <c r="N29" s="156">
        <f t="shared" ref="N29" si="7">SUM(K29:M29)</f>
        <v>5423.5837020007457</v>
      </c>
      <c r="Q29" s="157">
        <v>1</v>
      </c>
      <c r="R29" s="158">
        <f t="shared" ref="R29" si="8">IF(I29&lt;&gt;"",I29,"")</f>
        <v>1</v>
      </c>
      <c r="S29" s="159">
        <v>4933.1499999999996</v>
      </c>
      <c r="T29" s="159">
        <f t="shared" ref="T29" si="9">IF(Q29&lt;&gt;"",Q29*R29*S29,"")</f>
        <v>4933.1499999999996</v>
      </c>
      <c r="U29" s="160">
        <f t="shared" ref="U29" si="10">IF(Q29&lt;&gt;"",K29-T29,"")</f>
        <v>0</v>
      </c>
      <c r="V29" s="161">
        <f t="shared" ref="V29" si="11">IF(Q29&lt;&gt;"",0%,"")</f>
        <v>0</v>
      </c>
      <c r="W29" s="162">
        <f t="shared" ref="W29" si="12">IF(Q29&lt;&gt;"",V29*U29,"")</f>
        <v>0</v>
      </c>
      <c r="X29" s="162">
        <f t="shared" ref="X29" si="13">IF(Q29&lt;&gt;"",W29+T29,"")</f>
        <v>4933.1499999999996</v>
      </c>
      <c r="Y29" s="163">
        <f t="shared" ref="Y29:Y30" si="14">IF(Q29&lt;&gt;"",X29+M29,"")</f>
        <v>5028.9317020007456</v>
      </c>
      <c r="Z29" s="122">
        <f t="shared" ref="Z29" si="15">IF(Q29&lt;&gt;"",U29/K29,"")</f>
        <v>0</v>
      </c>
      <c r="AA29" s="139">
        <f>T29/$T$30</f>
        <v>1</v>
      </c>
      <c r="AB29" s="75">
        <f t="shared" si="2"/>
        <v>0</v>
      </c>
      <c r="AC29" s="76">
        <v>4933.1499999999996</v>
      </c>
      <c r="AD29" s="244" t="s">
        <v>344</v>
      </c>
    </row>
    <row r="30" spans="1:30" ht="35.1" customHeight="1" thickBot="1" x14ac:dyDescent="0.5">
      <c r="A30" s="100">
        <v>17</v>
      </c>
      <c r="B30" s="120"/>
      <c r="C30" s="121" t="s">
        <v>109</v>
      </c>
      <c r="D30" s="100"/>
      <c r="E30" s="100"/>
      <c r="F30" s="274" t="s">
        <v>240</v>
      </c>
      <c r="G30" s="275"/>
      <c r="H30" s="275"/>
      <c r="I30" s="275"/>
      <c r="J30" s="275"/>
      <c r="K30" s="173">
        <f>SUM(K29:K29)</f>
        <v>4933.1499999999996</v>
      </c>
      <c r="L30" s="166">
        <f>SUM(L29:L29)</f>
        <v>394.65199999999999</v>
      </c>
      <c r="M30" s="166">
        <f>SUM(M29:M29)</f>
        <v>95.781702000745653</v>
      </c>
      <c r="N30" s="174">
        <f>SUM(N29:N29)</f>
        <v>5423.5837020007457</v>
      </c>
      <c r="Q30" s="274" t="s">
        <v>142</v>
      </c>
      <c r="R30" s="275"/>
      <c r="S30" s="275"/>
      <c r="T30" s="168">
        <f>SUM(T29:T29)</f>
        <v>4933.1499999999996</v>
      </c>
      <c r="U30" s="169">
        <f>SUM(U29:U29)</f>
        <v>0</v>
      </c>
      <c r="V30" s="170"/>
      <c r="W30" s="170"/>
      <c r="X30" s="171">
        <f>SUM(X29:X29)</f>
        <v>4933.1499999999996</v>
      </c>
      <c r="Y30" s="172">
        <f t="shared" si="14"/>
        <v>5028.9317020007456</v>
      </c>
      <c r="AB30" s="75"/>
      <c r="AC30" s="76"/>
    </row>
    <row r="31" spans="1:30" ht="35.1" customHeight="1" thickBot="1" x14ac:dyDescent="0.5">
      <c r="A31" s="100">
        <v>18</v>
      </c>
      <c r="B31" s="120">
        <v>4</v>
      </c>
      <c r="C31" s="121" t="s">
        <v>98</v>
      </c>
      <c r="D31" s="100"/>
      <c r="E31" s="100"/>
      <c r="F31" s="265" t="s">
        <v>239</v>
      </c>
      <c r="G31" s="266"/>
      <c r="H31" s="266"/>
      <c r="I31" s="266"/>
      <c r="J31" s="266"/>
      <c r="K31" s="266"/>
      <c r="L31" s="266"/>
      <c r="M31" s="266"/>
      <c r="N31" s="267"/>
      <c r="Q31" s="269" t="str">
        <f>IF(F31&lt;&gt;"",F31,"")</f>
        <v xml:space="preserve">TRANSFER </v>
      </c>
      <c r="R31" s="270"/>
      <c r="S31" s="270"/>
      <c r="T31" s="270"/>
      <c r="U31" s="270"/>
      <c r="V31" s="270"/>
      <c r="W31" s="270"/>
      <c r="X31" s="270"/>
      <c r="Y31" s="271"/>
      <c r="AB31" s="75"/>
      <c r="AC31" s="76"/>
    </row>
    <row r="32" spans="1:30" ht="35.1" customHeight="1" x14ac:dyDescent="0.45">
      <c r="A32" s="100">
        <v>19</v>
      </c>
      <c r="B32" s="120" t="s">
        <v>117</v>
      </c>
      <c r="C32" s="121" t="s">
        <v>99</v>
      </c>
      <c r="D32" s="100"/>
      <c r="E32" s="100"/>
      <c r="F32" s="259" t="s">
        <v>239</v>
      </c>
      <c r="G32" s="260"/>
      <c r="H32" s="260"/>
      <c r="I32" s="260"/>
      <c r="J32" s="260"/>
      <c r="K32" s="261"/>
      <c r="L32" s="149" t="s">
        <v>101</v>
      </c>
      <c r="M32" s="150" t="s">
        <v>102</v>
      </c>
      <c r="N32" s="151" t="s">
        <v>78</v>
      </c>
      <c r="Q32" s="259" t="str">
        <f>IF(F32&lt;&gt;"",F32,"")</f>
        <v xml:space="preserve">TRANSFER </v>
      </c>
      <c r="R32" s="260"/>
      <c r="S32" s="260"/>
      <c r="T32" s="260"/>
      <c r="U32" s="260"/>
      <c r="V32" s="260"/>
      <c r="W32" s="260"/>
      <c r="X32" s="260"/>
      <c r="Y32" s="262"/>
      <c r="Z32" s="125" t="s">
        <v>103</v>
      </c>
      <c r="AA32" s="126" t="s">
        <v>79</v>
      </c>
      <c r="AB32" s="75"/>
      <c r="AC32" s="76"/>
    </row>
    <row r="33" spans="1:30" ht="99.9" customHeight="1" x14ac:dyDescent="0.4">
      <c r="A33" s="100">
        <v>20</v>
      </c>
      <c r="B33" s="120" t="s">
        <v>118</v>
      </c>
      <c r="C33" s="121" t="s">
        <v>104</v>
      </c>
      <c r="D33" s="100" t="s">
        <v>114</v>
      </c>
      <c r="E33" s="100" t="s">
        <v>115</v>
      </c>
      <c r="F33" s="152" t="s">
        <v>328</v>
      </c>
      <c r="G33" s="153" t="s">
        <v>327</v>
      </c>
      <c r="H33" s="154">
        <v>1</v>
      </c>
      <c r="I33" s="154">
        <v>1</v>
      </c>
      <c r="J33" s="155">
        <v>8700</v>
      </c>
      <c r="K33" s="155">
        <f t="shared" ref="K33" si="16">IF(F33&lt;&gt;"",H33*I33*J33,"")</f>
        <v>8700</v>
      </c>
      <c r="L33" s="155">
        <f t="shared" ref="L33" si="17">IF(K33&lt;&gt;"",IF(D33="INTERNO",0,K33*$L$14),"")</f>
        <v>696</v>
      </c>
      <c r="M33" s="155">
        <f t="shared" ref="M33" si="18">IF(K33&lt;&gt;"",IF(E33="FAT.OGGI",SUM(K33:L33)*(1/(1-$M$14)-1),L33*(1/(1-$M$14)-1)),"")</f>
        <v>168.91860320616385</v>
      </c>
      <c r="N33" s="156">
        <f t="shared" ref="N33" si="19">SUM(K33:M33)</f>
        <v>9564.9186032061643</v>
      </c>
      <c r="Q33" s="157">
        <f>IF(H33&lt;&gt;"",H33,"")</f>
        <v>1</v>
      </c>
      <c r="R33" s="158">
        <f>IF(I33&lt;&gt;"",I33,"")</f>
        <v>1</v>
      </c>
      <c r="S33" s="159">
        <v>5300</v>
      </c>
      <c r="T33" s="159">
        <f t="shared" ref="T33" si="20">IF(Q33&lt;&gt;"",Q33*R33*S33,"")</f>
        <v>5300</v>
      </c>
      <c r="U33" s="160">
        <f t="shared" ref="U33" si="21">IF(Q33&lt;&gt;"",K33-T33,"")</f>
        <v>3400</v>
      </c>
      <c r="V33" s="161">
        <f t="shared" ref="V33" si="22">IF(Q33&lt;&gt;"",0%,"")</f>
        <v>0</v>
      </c>
      <c r="W33" s="162">
        <f t="shared" ref="W33" si="23">IF(Q33&lt;&gt;"",V33*U33,"")</f>
        <v>0</v>
      </c>
      <c r="X33" s="162">
        <f t="shared" ref="X33" si="24">IF(Q33&lt;&gt;"",W33+T33,"")</f>
        <v>5300</v>
      </c>
      <c r="Y33" s="163">
        <f>IF(Q33&lt;&gt;"",X33+M33,"")</f>
        <v>5468.9186032061634</v>
      </c>
      <c r="Z33" s="122">
        <f t="shared" ref="Z33" si="25">IF(Q33&lt;&gt;"",U33/K33,"")</f>
        <v>0.39080459770114945</v>
      </c>
      <c r="AA33" s="139"/>
      <c r="AB33" s="75">
        <f t="shared" si="2"/>
        <v>0</v>
      </c>
      <c r="AC33" s="76">
        <v>5300</v>
      </c>
      <c r="AD33" s="244" t="s">
        <v>345</v>
      </c>
    </row>
    <row r="34" spans="1:30" ht="35.1" customHeight="1" thickBot="1" x14ac:dyDescent="0.5">
      <c r="A34" s="164">
        <v>22</v>
      </c>
      <c r="B34" s="120"/>
      <c r="C34" s="165" t="s">
        <v>109</v>
      </c>
      <c r="D34" s="164"/>
      <c r="E34" s="164"/>
      <c r="F34" s="274" t="s">
        <v>146</v>
      </c>
      <c r="G34" s="275"/>
      <c r="H34" s="275"/>
      <c r="I34" s="275"/>
      <c r="J34" s="275"/>
      <c r="K34" s="173">
        <f>SUM(K33:K33)</f>
        <v>8700</v>
      </c>
      <c r="L34" s="166">
        <f>SUM(L33:L33)</f>
        <v>696</v>
      </c>
      <c r="M34" s="166">
        <f>SUM(M33:M33)</f>
        <v>168.91860320616385</v>
      </c>
      <c r="N34" s="174">
        <f>SUM(N33:N33)</f>
        <v>9564.9186032061643</v>
      </c>
      <c r="Q34" s="274" t="s">
        <v>146</v>
      </c>
      <c r="R34" s="275"/>
      <c r="S34" s="275"/>
      <c r="T34" s="168">
        <f>SUM(T33:T33)</f>
        <v>5300</v>
      </c>
      <c r="U34" s="169">
        <f>SUM(U33:U33)</f>
        <v>3400</v>
      </c>
      <c r="V34" s="170"/>
      <c r="W34" s="170"/>
      <c r="X34" s="171">
        <f>SUM(X33:X33)</f>
        <v>5300</v>
      </c>
      <c r="Y34" s="172">
        <f t="shared" ref="Y34" si="26">IF(Q34&lt;&gt;"",X34+M34,"")</f>
        <v>5468.9186032061634</v>
      </c>
      <c r="AB34" s="75"/>
      <c r="AC34" s="76"/>
    </row>
    <row r="35" spans="1:30" ht="35.1" customHeight="1" thickBot="1" x14ac:dyDescent="0.5">
      <c r="A35" s="100">
        <v>23</v>
      </c>
      <c r="B35" s="120">
        <v>5</v>
      </c>
      <c r="C35" s="121" t="s">
        <v>98</v>
      </c>
      <c r="D35" s="100"/>
      <c r="E35" s="100"/>
      <c r="F35" s="265" t="s">
        <v>242</v>
      </c>
      <c r="G35" s="266"/>
      <c r="H35" s="266"/>
      <c r="I35" s="266"/>
      <c r="J35" s="266"/>
      <c r="K35" s="266"/>
      <c r="L35" s="266"/>
      <c r="M35" s="266"/>
      <c r="N35" s="267"/>
      <c r="Q35" s="269" t="str">
        <f>IF(F35&lt;&gt;"",F35,"")</f>
        <v xml:space="preserve">HAPPY HOUR </v>
      </c>
      <c r="R35" s="270"/>
      <c r="S35" s="270"/>
      <c r="T35" s="270"/>
      <c r="U35" s="270"/>
      <c r="V35" s="270"/>
      <c r="W35" s="270"/>
      <c r="X35" s="270"/>
      <c r="Y35" s="271"/>
      <c r="AB35" s="75"/>
      <c r="AC35" s="76"/>
    </row>
    <row r="36" spans="1:30" ht="35.1" customHeight="1" x14ac:dyDescent="0.45">
      <c r="A36" s="100">
        <v>24</v>
      </c>
      <c r="B36" s="120" t="s">
        <v>192</v>
      </c>
      <c r="C36" s="121" t="s">
        <v>99</v>
      </c>
      <c r="D36" s="100"/>
      <c r="E36" s="100"/>
      <c r="F36" s="259" t="s">
        <v>242</v>
      </c>
      <c r="G36" s="260"/>
      <c r="H36" s="260"/>
      <c r="I36" s="260"/>
      <c r="J36" s="260"/>
      <c r="K36" s="261"/>
      <c r="L36" s="149" t="s">
        <v>101</v>
      </c>
      <c r="M36" s="150" t="s">
        <v>102</v>
      </c>
      <c r="N36" s="175" t="s">
        <v>78</v>
      </c>
      <c r="Q36" s="259" t="str">
        <f>IF(F36&lt;&gt;"",F36,"")</f>
        <v xml:space="preserve">HAPPY HOUR </v>
      </c>
      <c r="R36" s="260"/>
      <c r="S36" s="260"/>
      <c r="T36" s="260"/>
      <c r="U36" s="260"/>
      <c r="V36" s="260"/>
      <c r="W36" s="260"/>
      <c r="X36" s="260"/>
      <c r="Y36" s="262"/>
      <c r="Z36" s="125" t="s">
        <v>103</v>
      </c>
      <c r="AA36" s="126" t="s">
        <v>79</v>
      </c>
      <c r="AB36" s="75"/>
      <c r="AC36" s="76"/>
    </row>
    <row r="37" spans="1:30" ht="99.9" customHeight="1" x14ac:dyDescent="0.4">
      <c r="A37" s="100">
        <v>25</v>
      </c>
      <c r="B37" s="120" t="s">
        <v>193</v>
      </c>
      <c r="C37" s="121" t="s">
        <v>104</v>
      </c>
      <c r="D37" s="100" t="s">
        <v>114</v>
      </c>
      <c r="E37" s="100" t="s">
        <v>115</v>
      </c>
      <c r="F37" s="128" t="s">
        <v>329</v>
      </c>
      <c r="G37" s="128" t="s">
        <v>243</v>
      </c>
      <c r="H37" s="176">
        <v>1</v>
      </c>
      <c r="I37" s="176">
        <v>1</v>
      </c>
      <c r="J37" s="177">
        <v>17250</v>
      </c>
      <c r="K37" s="177">
        <f>IF(F37&lt;&gt;"",H37*I37*J37,"")</f>
        <v>17250</v>
      </c>
      <c r="L37" s="177">
        <f>IF(K37&lt;&gt;"",IF(D37="INTERNO",0,K37*$L$14),"")</f>
        <v>1380</v>
      </c>
      <c r="M37" s="177">
        <f>IF(K37&lt;&gt;"",IF(E37="FAT.OGGI",SUM(K37:L37)*(1/(1-$M$14)-1),L37*(1/(1-$M$14)-1)),"")</f>
        <v>334.92481670187658</v>
      </c>
      <c r="N37" s="177">
        <f>SUM(K37:M37)</f>
        <v>18964.924816701878</v>
      </c>
      <c r="Q37" s="157">
        <v>1</v>
      </c>
      <c r="R37" s="158">
        <f t="shared" ref="R37" si="27">IF(I37&lt;&gt;"",I37,"")</f>
        <v>1</v>
      </c>
      <c r="S37" s="159">
        <v>17250</v>
      </c>
      <c r="T37" s="159">
        <f>IF(Q37&lt;&gt;"",Q37*R37*S37,"")</f>
        <v>17250</v>
      </c>
      <c r="U37" s="178">
        <f>IF(Q37&lt;&gt;"",K37-T37,"")</f>
        <v>0</v>
      </c>
      <c r="V37" s="179">
        <f>IF(Q37&lt;&gt;"",0%,"")</f>
        <v>0</v>
      </c>
      <c r="W37" s="180">
        <f>IF(Q37&lt;&gt;"",V37*U37,"")</f>
        <v>0</v>
      </c>
      <c r="X37" s="180">
        <f>IF(Q37&lt;&gt;"",W37+T37,"")</f>
        <v>17250</v>
      </c>
      <c r="Y37" s="147">
        <f>IF(Q37&lt;&gt;"",X37+M37,"")</f>
        <v>17584.924816701878</v>
      </c>
      <c r="Z37" s="181">
        <f>IF(Q37&lt;&gt;"",U37/K37,"")</f>
        <v>0</v>
      </c>
      <c r="AA37" s="182">
        <f>T37/$T$39</f>
        <v>1</v>
      </c>
      <c r="AB37" s="75">
        <f t="shared" si="2"/>
        <v>0</v>
      </c>
      <c r="AC37" s="76">
        <f>13500+3750</f>
        <v>17250</v>
      </c>
      <c r="AD37" s="244" t="s">
        <v>346</v>
      </c>
    </row>
    <row r="38" spans="1:30" ht="99.9" customHeight="1" x14ac:dyDescent="0.4">
      <c r="A38" s="164">
        <v>27</v>
      </c>
      <c r="B38" s="120" t="s">
        <v>315</v>
      </c>
      <c r="C38" s="165" t="s">
        <v>104</v>
      </c>
      <c r="D38" s="164" t="s">
        <v>114</v>
      </c>
      <c r="E38" s="164" t="s">
        <v>115</v>
      </c>
      <c r="F38" s="183" t="s">
        <v>245</v>
      </c>
      <c r="G38" s="184" t="s">
        <v>246</v>
      </c>
      <c r="H38" s="185">
        <v>1</v>
      </c>
      <c r="I38" s="185">
        <v>1</v>
      </c>
      <c r="J38" s="186">
        <v>500</v>
      </c>
      <c r="K38" s="186">
        <f>IF(F38&lt;&gt;"",H38*I38*J38,"")</f>
        <v>500</v>
      </c>
      <c r="L38" s="186">
        <f>IF(K38&lt;&gt;"",IF(D38="INTERNO",0,K38*$L$14),"")</f>
        <v>40</v>
      </c>
      <c r="M38" s="186">
        <f>IF(K38&lt;&gt;"",IF(E38="FAT.OGGI",SUM(K38:L38)*(1/(1-$M$14)-1),L38*(1/(1-$M$14)-1)),"")</f>
        <v>9.7079657015036691</v>
      </c>
      <c r="N38" s="187">
        <f>SUM(K38:M38)</f>
        <v>549.70796570150367</v>
      </c>
      <c r="Q38" s="188">
        <f t="shared" ref="Q38:R38" si="28">IF(H38&lt;&gt;"",H38,"")</f>
        <v>1</v>
      </c>
      <c r="R38" s="189">
        <f t="shared" si="28"/>
        <v>1</v>
      </c>
      <c r="S38" s="190">
        <v>144.5</v>
      </c>
      <c r="T38" s="190">
        <v>0</v>
      </c>
      <c r="U38" s="191">
        <f>IF(Q38&lt;&gt;"",K38-T38,"")</f>
        <v>500</v>
      </c>
      <c r="V38" s="192">
        <f>IF(Q38&lt;&gt;"",0%,"")</f>
        <v>0</v>
      </c>
      <c r="W38" s="193">
        <f>IF(Q38&lt;&gt;"",V38*U38,"")</f>
        <v>0</v>
      </c>
      <c r="X38" s="193">
        <f>IF(Q38&lt;&gt;"",W38+T38,"")</f>
        <v>0</v>
      </c>
      <c r="Y38" s="194">
        <f>IF(Q38&lt;&gt;"",X38+M38,"")</f>
        <v>9.7079657015036691</v>
      </c>
      <c r="Z38" s="122">
        <f>IF(Q38&lt;&gt;"",U38/K38,"")</f>
        <v>1</v>
      </c>
      <c r="AA38" s="139">
        <f>T38/$T$39</f>
        <v>0</v>
      </c>
      <c r="AB38" s="75">
        <f t="shared" si="2"/>
        <v>0</v>
      </c>
      <c r="AC38" s="76"/>
    </row>
    <row r="39" spans="1:30" ht="35.1" customHeight="1" thickBot="1" x14ac:dyDescent="0.5">
      <c r="A39" s="100">
        <v>28</v>
      </c>
      <c r="B39" s="120"/>
      <c r="C39" s="121" t="s">
        <v>109</v>
      </c>
      <c r="D39" s="100"/>
      <c r="E39" s="100"/>
      <c r="F39" s="263" t="s">
        <v>247</v>
      </c>
      <c r="G39" s="264"/>
      <c r="H39" s="264"/>
      <c r="I39" s="264"/>
      <c r="J39" s="264"/>
      <c r="K39" s="173">
        <f>SUM(K37:K38)</f>
        <v>17750</v>
      </c>
      <c r="L39" s="166">
        <f>SUM(L37:L38)</f>
        <v>1420</v>
      </c>
      <c r="M39" s="166">
        <f>SUM(M37:M38)</f>
        <v>344.63278240338025</v>
      </c>
      <c r="N39" s="174">
        <f>SUM(N37:N38)</f>
        <v>19514.63278240338</v>
      </c>
      <c r="Q39" s="263" t="s">
        <v>247</v>
      </c>
      <c r="R39" s="264"/>
      <c r="S39" s="264"/>
      <c r="T39" s="168">
        <f>SUM(T37:T38)</f>
        <v>17250</v>
      </c>
      <c r="U39" s="169">
        <f>SUM(U37:U38)</f>
        <v>500</v>
      </c>
      <c r="V39" s="170"/>
      <c r="W39" s="170"/>
      <c r="X39" s="171">
        <f>SUM(X37:X38)</f>
        <v>17250</v>
      </c>
      <c r="Y39" s="172">
        <f>IF(Q39&lt;&gt;"",X39+M39,"")</f>
        <v>17594.63278240338</v>
      </c>
      <c r="AB39" s="75"/>
      <c r="AC39" s="76"/>
    </row>
    <row r="40" spans="1:30" ht="35.1" customHeight="1" thickBot="1" x14ac:dyDescent="0.5">
      <c r="A40" s="100">
        <v>29</v>
      </c>
      <c r="B40" s="120">
        <v>6</v>
      </c>
      <c r="C40" s="121" t="s">
        <v>98</v>
      </c>
      <c r="D40" s="100"/>
      <c r="E40" s="195"/>
      <c r="F40" s="268" t="s">
        <v>266</v>
      </c>
      <c r="G40" s="266"/>
      <c r="H40" s="266"/>
      <c r="I40" s="266"/>
      <c r="J40" s="266"/>
      <c r="K40" s="266"/>
      <c r="L40" s="266"/>
      <c r="M40" s="266"/>
      <c r="N40" s="267"/>
      <c r="Q40" s="269" t="str">
        <f>IF(F40&lt;&gt;"",F40,"")</f>
        <v>PIN</v>
      </c>
      <c r="R40" s="270"/>
      <c r="S40" s="270"/>
      <c r="T40" s="270"/>
      <c r="U40" s="270"/>
      <c r="V40" s="270"/>
      <c r="W40" s="270"/>
      <c r="X40" s="270"/>
      <c r="Y40" s="271"/>
      <c r="AB40" s="75">
        <f t="shared" si="2"/>
        <v>0</v>
      </c>
      <c r="AC40" s="76"/>
    </row>
    <row r="41" spans="1:30" ht="35.1" customHeight="1" x14ac:dyDescent="0.45">
      <c r="A41" s="100">
        <v>30</v>
      </c>
      <c r="B41" s="120" t="s">
        <v>210</v>
      </c>
      <c r="C41" s="121" t="s">
        <v>99</v>
      </c>
      <c r="D41" s="100"/>
      <c r="E41" s="100"/>
      <c r="F41" s="259" t="s">
        <v>267</v>
      </c>
      <c r="G41" s="260"/>
      <c r="H41" s="260"/>
      <c r="I41" s="260"/>
      <c r="J41" s="260"/>
      <c r="K41" s="261"/>
      <c r="L41" s="149" t="s">
        <v>101</v>
      </c>
      <c r="M41" s="150" t="s">
        <v>102</v>
      </c>
      <c r="N41" s="175" t="s">
        <v>78</v>
      </c>
      <c r="Q41" s="259" t="str">
        <f>IF(F41&lt;&gt;"",F41,"")</f>
        <v xml:space="preserve">PIN </v>
      </c>
      <c r="R41" s="260"/>
      <c r="S41" s="260"/>
      <c r="T41" s="260"/>
      <c r="U41" s="260"/>
      <c r="V41" s="260"/>
      <c r="W41" s="260"/>
      <c r="X41" s="260"/>
      <c r="Y41" s="262"/>
      <c r="Z41" s="125" t="s">
        <v>103</v>
      </c>
      <c r="AA41" s="126" t="s">
        <v>79</v>
      </c>
      <c r="AB41" s="75">
        <f t="shared" si="2"/>
        <v>0</v>
      </c>
      <c r="AC41" s="76"/>
    </row>
    <row r="42" spans="1:30" ht="99.9" customHeight="1" x14ac:dyDescent="0.4">
      <c r="A42" s="100">
        <v>31</v>
      </c>
      <c r="B42" s="120" t="s">
        <v>211</v>
      </c>
      <c r="C42" s="121" t="s">
        <v>104</v>
      </c>
      <c r="D42" s="100" t="s">
        <v>114</v>
      </c>
      <c r="E42" s="100" t="s">
        <v>115</v>
      </c>
      <c r="F42" s="196" t="s">
        <v>268</v>
      </c>
      <c r="G42" s="197" t="s">
        <v>270</v>
      </c>
      <c r="H42" s="198">
        <v>1</v>
      </c>
      <c r="I42" s="198">
        <v>1</v>
      </c>
      <c r="J42" s="199">
        <v>5570</v>
      </c>
      <c r="K42" s="199">
        <f>IF(F42&lt;&gt;"",H42*I42*J42,"")</f>
        <v>5570</v>
      </c>
      <c r="L42" s="199">
        <f>IF(K42&lt;&gt;"",IF(D42="INTERNO",0,K42*$L$14),"")</f>
        <v>445.6</v>
      </c>
      <c r="M42" s="199">
        <f>IF(K42&lt;&gt;"",IF(E42="FAT.OGGI",SUM(K42:L42)*(1/(1-$M$14)-1),L42*(1/(1-$M$14)-1)),"")</f>
        <v>108.14673791475089</v>
      </c>
      <c r="N42" s="200">
        <f>SUM(K42:M42)</f>
        <v>6123.7467379147511</v>
      </c>
      <c r="Q42" s="201">
        <v>1</v>
      </c>
      <c r="R42" s="202">
        <f>IF(I42&lt;&gt;"",I42,"")</f>
        <v>1</v>
      </c>
      <c r="S42" s="203">
        <v>5570</v>
      </c>
      <c r="T42" s="203">
        <f>IF(Q42&lt;&gt;"",Q42*R42*S42,"")</f>
        <v>5570</v>
      </c>
      <c r="U42" s="204">
        <f>IF(Q42&lt;&gt;"",K42-T42,"")</f>
        <v>0</v>
      </c>
      <c r="V42" s="205">
        <f>IF(Q42&lt;&gt;"",0%,"")</f>
        <v>0</v>
      </c>
      <c r="W42" s="206">
        <f>IF(Q42&lt;&gt;"",V42*U42,"")</f>
        <v>0</v>
      </c>
      <c r="X42" s="206">
        <f>IF(Q42&lt;&gt;"",W42+T42,"")</f>
        <v>5570</v>
      </c>
      <c r="Y42" s="207">
        <f>IF(Q42&lt;&gt;"",X42+M42,"")</f>
        <v>5678.1467379147507</v>
      </c>
      <c r="Z42" s="181">
        <f>IF(Q42&lt;&gt;"",U42/K42,"")</f>
        <v>0</v>
      </c>
      <c r="AA42" s="182">
        <f>T42/$T$43</f>
        <v>1</v>
      </c>
      <c r="AB42" s="75">
        <f t="shared" si="2"/>
        <v>0</v>
      </c>
      <c r="AC42" s="76">
        <f>1300+1300+2970</f>
        <v>5570</v>
      </c>
      <c r="AD42" s="244" t="s">
        <v>347</v>
      </c>
    </row>
    <row r="43" spans="1:30" ht="35.1" customHeight="1" thickBot="1" x14ac:dyDescent="0.5">
      <c r="A43" s="208">
        <v>32</v>
      </c>
      <c r="B43" s="120"/>
      <c r="C43" s="209" t="s">
        <v>109</v>
      </c>
      <c r="D43" s="208"/>
      <c r="E43" s="208"/>
      <c r="F43" s="263" t="s">
        <v>269</v>
      </c>
      <c r="G43" s="264"/>
      <c r="H43" s="264"/>
      <c r="I43" s="264"/>
      <c r="J43" s="264"/>
      <c r="K43" s="210">
        <f>SUM(K42:K42)</f>
        <v>5570</v>
      </c>
      <c r="L43" s="210">
        <f>SUM(L42:L42)</f>
        <v>445.6</v>
      </c>
      <c r="M43" s="210">
        <f>SUM(M42:M42)</f>
        <v>108.14673791475089</v>
      </c>
      <c r="N43" s="211">
        <f>SUM(N42:N42)</f>
        <v>6123.7467379147511</v>
      </c>
      <c r="Q43" s="272" t="s">
        <v>269</v>
      </c>
      <c r="R43" s="273"/>
      <c r="S43" s="273"/>
      <c r="T43" s="212">
        <f>SUM(T42:T42)</f>
        <v>5570</v>
      </c>
      <c r="U43" s="213">
        <f>SUM(U42:U42)</f>
        <v>0</v>
      </c>
      <c r="V43" s="214"/>
      <c r="W43" s="215"/>
      <c r="X43" s="215">
        <f>SUM(X42:X42)</f>
        <v>5570</v>
      </c>
      <c r="Y43" s="216">
        <f>IF(Q43&lt;&gt;"",X43+M43,"")</f>
        <v>5678.1467379147507</v>
      </c>
      <c r="Z43" s="217"/>
      <c r="AA43" s="218"/>
      <c r="AB43" s="75"/>
      <c r="AC43" s="76"/>
    </row>
    <row r="44" spans="1:30" ht="35.1" customHeight="1" thickBot="1" x14ac:dyDescent="0.5">
      <c r="A44" s="164">
        <v>29</v>
      </c>
      <c r="B44" s="120">
        <v>7</v>
      </c>
      <c r="C44" s="165" t="s">
        <v>98</v>
      </c>
      <c r="D44" s="164"/>
      <c r="E44" s="164"/>
      <c r="F44" s="265" t="s">
        <v>135</v>
      </c>
      <c r="G44" s="266"/>
      <c r="H44" s="266"/>
      <c r="I44" s="266"/>
      <c r="J44" s="266"/>
      <c r="K44" s="266"/>
      <c r="L44" s="266"/>
      <c r="M44" s="266"/>
      <c r="N44" s="267"/>
      <c r="Q44" s="265" t="str">
        <f>IF(F44&lt;&gt;"",F44,"")</f>
        <v xml:space="preserve">OPERACIONAL </v>
      </c>
      <c r="R44" s="266"/>
      <c r="S44" s="266"/>
      <c r="T44" s="266"/>
      <c r="U44" s="266"/>
      <c r="V44" s="266"/>
      <c r="W44" s="266"/>
      <c r="X44" s="266"/>
      <c r="Y44" s="267"/>
      <c r="AB44" s="75">
        <f t="shared" si="2"/>
        <v>0</v>
      </c>
      <c r="AC44" s="76"/>
    </row>
    <row r="45" spans="1:30" ht="35.1" customHeight="1" x14ac:dyDescent="0.45">
      <c r="A45" s="164">
        <v>30</v>
      </c>
      <c r="B45" s="120" t="s">
        <v>265</v>
      </c>
      <c r="C45" s="165" t="s">
        <v>99</v>
      </c>
      <c r="D45" s="164"/>
      <c r="E45" s="164"/>
      <c r="F45" s="259" t="s">
        <v>135</v>
      </c>
      <c r="G45" s="260"/>
      <c r="H45" s="260"/>
      <c r="I45" s="260"/>
      <c r="J45" s="260"/>
      <c r="K45" s="261"/>
      <c r="L45" s="149" t="s">
        <v>101</v>
      </c>
      <c r="M45" s="150" t="s">
        <v>102</v>
      </c>
      <c r="N45" s="151" t="s">
        <v>78</v>
      </c>
      <c r="Q45" s="259" t="str">
        <f>IF(F45&lt;&gt;"",F45,"")</f>
        <v xml:space="preserve">OPERACIONAL </v>
      </c>
      <c r="R45" s="260"/>
      <c r="S45" s="260"/>
      <c r="T45" s="260"/>
      <c r="U45" s="260"/>
      <c r="V45" s="260"/>
      <c r="W45" s="260"/>
      <c r="X45" s="260"/>
      <c r="Y45" s="262"/>
      <c r="Z45" s="125" t="s">
        <v>103</v>
      </c>
      <c r="AA45" s="126" t="s">
        <v>79</v>
      </c>
      <c r="AB45" s="75">
        <f t="shared" si="2"/>
        <v>0</v>
      </c>
      <c r="AC45" s="76"/>
    </row>
    <row r="46" spans="1:30" ht="99.9" customHeight="1" thickBot="1" x14ac:dyDescent="0.45">
      <c r="A46" s="100">
        <v>33</v>
      </c>
      <c r="B46" s="120" t="s">
        <v>318</v>
      </c>
      <c r="C46" s="121" t="s">
        <v>104</v>
      </c>
      <c r="D46" s="100" t="s">
        <v>114</v>
      </c>
      <c r="E46" s="100" t="s">
        <v>115</v>
      </c>
      <c r="F46" s="152" t="s">
        <v>150</v>
      </c>
      <c r="G46" s="153" t="s">
        <v>250</v>
      </c>
      <c r="H46" s="129">
        <v>1</v>
      </c>
      <c r="I46" s="129">
        <v>1</v>
      </c>
      <c r="J46" s="130">
        <v>2966.82</v>
      </c>
      <c r="K46" s="130">
        <v>2966.82</v>
      </c>
      <c r="L46" s="130">
        <f>IF(K46&lt;&gt;"",IF(D46="INTERNO",0,K46*$L$14),"")</f>
        <v>237.34560000000002</v>
      </c>
      <c r="M46" s="130">
        <f>IF(K46&lt;&gt;"",IF(E46="FAT.OGGI",SUM(K46:L46)*(1/(1-$M$14)-1),L46*(1/(1-$M$14)-1)),"")</f>
        <v>57.603573605070238</v>
      </c>
      <c r="N46" s="219">
        <f>SUM(K46:M46)</f>
        <v>3261.7691736050706</v>
      </c>
      <c r="O46" s="220"/>
      <c r="Q46" s="221">
        <f t="shared" ref="Q46:R46" si="29">IF(H46&lt;&gt;"",H46,"")</f>
        <v>1</v>
      </c>
      <c r="R46" s="222">
        <f t="shared" si="29"/>
        <v>1</v>
      </c>
      <c r="S46" s="223">
        <v>1467.87</v>
      </c>
      <c r="T46" s="223">
        <v>2278.04</v>
      </c>
      <c r="U46" s="224">
        <f>IF(Q46&lt;&gt;"",K46-T46,"")</f>
        <v>688.7800000000002</v>
      </c>
      <c r="V46" s="225">
        <f>IF(Q46&lt;&gt;"",0%,"")</f>
        <v>0</v>
      </c>
      <c r="W46" s="226">
        <f>IF(Q46&lt;&gt;"",V46*U46,"")</f>
        <v>0</v>
      </c>
      <c r="X46" s="226">
        <f>IF(Q46&lt;&gt;"",W46+T46,"")</f>
        <v>2278.04</v>
      </c>
      <c r="Y46" s="138">
        <f>IF(Q46&lt;&gt;"",X46+M46,"")</f>
        <v>2335.6435736050703</v>
      </c>
      <c r="Z46" s="227">
        <f>IF(Q46&lt;&gt;"",U46/K46,"")</f>
        <v>0.23216103437350435</v>
      </c>
      <c r="AA46" s="228">
        <f>T46/$T$47</f>
        <v>1</v>
      </c>
      <c r="AB46" s="75">
        <f t="shared" si="2"/>
        <v>0</v>
      </c>
      <c r="AC46" s="76">
        <f>'CUSTOS OP'!H18</f>
        <v>2278.04</v>
      </c>
      <c r="AD46" s="244" t="s">
        <v>351</v>
      </c>
    </row>
    <row r="47" spans="1:30" ht="35.1" customHeight="1" thickBot="1" x14ac:dyDescent="0.5">
      <c r="A47" s="100">
        <v>34</v>
      </c>
      <c r="B47" s="208"/>
      <c r="C47" s="100" t="s">
        <v>109</v>
      </c>
      <c r="D47" s="100"/>
      <c r="E47" s="100"/>
      <c r="F47" s="255" t="s">
        <v>142</v>
      </c>
      <c r="G47" s="256"/>
      <c r="H47" s="256"/>
      <c r="I47" s="256"/>
      <c r="J47" s="256"/>
      <c r="K47" s="166">
        <f>SUM(K46:K46)</f>
        <v>2966.82</v>
      </c>
      <c r="L47" s="166">
        <f>SUM(L46:L46)</f>
        <v>237.34560000000002</v>
      </c>
      <c r="M47" s="166">
        <f>SUM(M46:M46)</f>
        <v>57.603573605070238</v>
      </c>
      <c r="N47" s="167">
        <f>SUM(N46:N46)</f>
        <v>3261.7691736050706</v>
      </c>
      <c r="Q47" s="257" t="s">
        <v>142</v>
      </c>
      <c r="R47" s="258"/>
      <c r="S47" s="258"/>
      <c r="T47" s="229">
        <f>SUM(T46:T46)</f>
        <v>2278.04</v>
      </c>
      <c r="U47" s="230">
        <f>SUM(U46:U46)</f>
        <v>688.7800000000002</v>
      </c>
      <c r="V47" s="231"/>
      <c r="W47" s="231"/>
      <c r="X47" s="232">
        <f>SUM(X46:X46)</f>
        <v>2278.04</v>
      </c>
      <c r="Y47" s="233">
        <f>IF(Q47&lt;&gt;"",X47+M47,"")</f>
        <v>2335.6435736050703</v>
      </c>
      <c r="Z47" s="234" t="s">
        <v>120</v>
      </c>
      <c r="AA47" s="235" t="s">
        <v>320</v>
      </c>
      <c r="AB47" s="75"/>
      <c r="AC47" s="76"/>
    </row>
    <row r="48" spans="1:30" ht="35.1" customHeight="1" thickBot="1" x14ac:dyDescent="0.5">
      <c r="A48" s="236">
        <v>35</v>
      </c>
      <c r="C48" s="208" t="s">
        <v>119</v>
      </c>
      <c r="D48" s="208"/>
      <c r="E48" s="208"/>
      <c r="F48" s="31" t="s">
        <v>319</v>
      </c>
      <c r="G48" s="32"/>
      <c r="H48" s="33"/>
      <c r="I48" s="33"/>
      <c r="J48" s="32"/>
      <c r="K48" s="34">
        <f>SUM(K17:K19)+SUM(K23:K25)+SUM(K29:K29)+SUM(K33:K33)+SUM(K37:K38)+SUM(K42:K42)+SUM(K46:K46)</f>
        <v>51919.97</v>
      </c>
      <c r="L48" s="34">
        <f>SUM(L17:L19)+SUM(L23:L25)+SUM(L29:L29)+SUM(L33:L33)+SUM(L37:L38)+SUM(L42:L42)+SUM(L46:L46)</f>
        <v>3633.5976000000001</v>
      </c>
      <c r="M48" s="34">
        <f>SUM(M17:M19)+SUM(M23:M25)+SUM(M29:M29)+SUM(M33:M33)+SUM(M37:M38)+SUM(M42:M42)+SUM(M46:M46)</f>
        <v>2459.4154483409975</v>
      </c>
      <c r="N48" s="37">
        <f>SUM(N17:N19)+SUM(N23:N25)+SUM(N29:N29)+SUM(N33:N33)+SUM(N37:N38)+SUM(N42:N42)+SUM(N46:N46)</f>
        <v>58012.983048340997</v>
      </c>
      <c r="O48" s="237"/>
      <c r="Q48" s="35" t="s">
        <v>43</v>
      </c>
      <c r="R48" s="33"/>
      <c r="S48" s="32"/>
      <c r="T48" s="34">
        <f>SUM(T17:T19)+SUM(T23:T25)+SUM(T29:T29)+SUM(T33:T33)+SUM(T37:T38)+SUM(T42:T42)+SUM(T46:T46)</f>
        <v>39771.19</v>
      </c>
      <c r="U48" s="34">
        <f>SUM(U17:U19)+SUM(U23:U25)+SUM(U29:U29)+SUM(U33:U33)+SUM(U37:U38)+SUM(U42:U42)+SUM(U46:U46)</f>
        <v>12148.78</v>
      </c>
      <c r="V48" s="32"/>
      <c r="W48" s="32"/>
      <c r="X48" s="34">
        <f>SUM(X17:X19)+SUM(X23:X25)+SUM(X29:X29)+SUM(X33:X33)+SUM(X37:X38)+SUM(X42:X42)+SUM(X46:X46)</f>
        <v>39771.19</v>
      </c>
      <c r="Y48" s="37">
        <f>SUM(Y17:Y19)+SUM(Y23:Y25)+SUM(Y29:Y29)+SUM(Y33:Y33)+SUM(Y37:Y38)+SUM(Y42:Y42)+SUM(Y46:Y46)</f>
        <v>42230.605448340997</v>
      </c>
      <c r="Z48" s="38">
        <f>IF(Q48&lt;&gt;"",(N48-Y48)/N48,"")</f>
        <v>0.27204906161865317</v>
      </c>
      <c r="AA48" s="39">
        <f>IF(Z48&lt;&gt;"",(N48-Y48),"")</f>
        <v>15782.3776</v>
      </c>
      <c r="AB48" s="75">
        <f>SUM(AB17:AB47)</f>
        <v>0</v>
      </c>
      <c r="AC48" s="249">
        <f>SUM(AC17:AC47)</f>
        <v>39771.19</v>
      </c>
    </row>
    <row r="49" spans="14:30" x14ac:dyDescent="0.4">
      <c r="N49" s="238"/>
    </row>
    <row r="52" spans="14:30" ht="22.2" x14ac:dyDescent="0.45">
      <c r="AC52" s="239"/>
      <c r="AD52" s="240" t="s">
        <v>338</v>
      </c>
    </row>
    <row r="53" spans="14:30" ht="22.2" x14ac:dyDescent="0.45">
      <c r="AC53" s="241">
        <f>X48</f>
        <v>39771.19</v>
      </c>
      <c r="AD53" s="240" t="s">
        <v>339</v>
      </c>
    </row>
    <row r="54" spans="14:30" ht="22.2" x14ac:dyDescent="0.45">
      <c r="AC54" s="241">
        <f>N48-X48</f>
        <v>18241.793048340995</v>
      </c>
      <c r="AD54" s="240" t="s">
        <v>334</v>
      </c>
    </row>
    <row r="55" spans="14:30" x14ac:dyDescent="0.4">
      <c r="AC55" s="242">
        <f>AC54*100%/N48</f>
        <v>0.3144432864819327</v>
      </c>
      <c r="AD55" s="243"/>
    </row>
  </sheetData>
  <autoFilter ref="A1:AA14" xr:uid="{107B9E09-8154-459A-AE62-6A4242823A27}">
    <filterColumn colId="5" showButton="0"/>
  </autoFilter>
  <mergeCells count="48">
    <mergeCell ref="AB15:AC15"/>
    <mergeCell ref="AB16:AC16"/>
    <mergeCell ref="F27:N27"/>
    <mergeCell ref="Q27:Y27"/>
    <mergeCell ref="F28:K28"/>
    <mergeCell ref="F21:N21"/>
    <mergeCell ref="Q21:Y21"/>
    <mergeCell ref="F22:K22"/>
    <mergeCell ref="Q22:Y22"/>
    <mergeCell ref="F26:J26"/>
    <mergeCell ref="Q26:S26"/>
    <mergeCell ref="Q28:Y28"/>
    <mergeCell ref="F1:G1"/>
    <mergeCell ref="F2:G2"/>
    <mergeCell ref="Q12:T12"/>
    <mergeCell ref="F20:J20"/>
    <mergeCell ref="Q20:S20"/>
    <mergeCell ref="U12:X12"/>
    <mergeCell ref="F15:N15"/>
    <mergeCell ref="Q15:Y15"/>
    <mergeCell ref="F16:K16"/>
    <mergeCell ref="Q16:Y16"/>
    <mergeCell ref="F30:J30"/>
    <mergeCell ref="Q30:S30"/>
    <mergeCell ref="F31:N31"/>
    <mergeCell ref="Q31:Y31"/>
    <mergeCell ref="F32:K32"/>
    <mergeCell ref="Q32:Y32"/>
    <mergeCell ref="F34:J34"/>
    <mergeCell ref="Q34:S34"/>
    <mergeCell ref="F35:N35"/>
    <mergeCell ref="Q35:Y35"/>
    <mergeCell ref="F45:K45"/>
    <mergeCell ref="Q45:Y45"/>
    <mergeCell ref="F47:J47"/>
    <mergeCell ref="Q47:S47"/>
    <mergeCell ref="F36:K36"/>
    <mergeCell ref="Q36:Y36"/>
    <mergeCell ref="F39:J39"/>
    <mergeCell ref="Q39:S39"/>
    <mergeCell ref="F44:N44"/>
    <mergeCell ref="Q44:Y44"/>
    <mergeCell ref="Q41:Y41"/>
    <mergeCell ref="F41:K41"/>
    <mergeCell ref="F40:N40"/>
    <mergeCell ref="Q40:Y40"/>
    <mergeCell ref="F43:J43"/>
    <mergeCell ref="Q43:S43"/>
  </mergeCells>
  <dataValidations disablePrompts="1" count="3">
    <dataValidation type="list" allowBlank="1" showInputMessage="1" showErrorMessage="1" sqref="D29 D17:D20 D23:D25 D42:D43 D33 D48 D37:D38 D46" xr:uid="{ED4FAC7B-DFAC-4475-82D4-F215D0F16967}">
      <formula1>"INTERNO,OPERACIONAL"</formula1>
    </dataValidation>
    <dataValidation type="list" allowBlank="1" showInputMessage="1" showErrorMessage="1" sqref="E23:E25 E29 E17:E20 E42:E43 E33 E37:E38 E46" xr:uid="{D73D589E-6746-40F4-A801-9B55943701A4}">
      <formula1>"FAT.OGGI,FAT.CLIENTE"</formula1>
    </dataValidation>
    <dataValidation type="list" allowBlank="1" showInputMessage="1" showErrorMessage="1" sqref="E48" xr:uid="{6C599A49-FB3F-48B6-B21C-E31CABF32592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FB7F1-5DDC-4A43-8923-4004BB5E42DA}">
  <dimension ref="G4:H1048576"/>
  <sheetViews>
    <sheetView workbookViewId="0">
      <selection activeCell="H18" sqref="H18"/>
    </sheetView>
  </sheetViews>
  <sheetFormatPr defaultRowHeight="14.4" x14ac:dyDescent="0.3"/>
  <cols>
    <col min="7" max="7" width="39.5546875" bestFit="1" customWidth="1"/>
    <col min="8" max="8" width="12.109375" style="247" bestFit="1" customWidth="1"/>
  </cols>
  <sheetData>
    <row r="4" spans="7:8" x14ac:dyDescent="0.3">
      <c r="G4" s="245" t="s">
        <v>350</v>
      </c>
      <c r="H4" s="246" t="s">
        <v>9</v>
      </c>
    </row>
    <row r="5" spans="7:8" x14ac:dyDescent="0.3">
      <c r="G5" t="s">
        <v>312</v>
      </c>
      <c r="H5" s="247">
        <v>1467.87</v>
      </c>
    </row>
    <row r="6" spans="7:8" x14ac:dyDescent="0.3">
      <c r="G6" t="s">
        <v>348</v>
      </c>
      <c r="H6" s="247">
        <v>38.270000000000003</v>
      </c>
    </row>
    <row r="7" spans="7:8" x14ac:dyDescent="0.3">
      <c r="G7" t="s">
        <v>348</v>
      </c>
      <c r="H7" s="247">
        <v>117.89</v>
      </c>
    </row>
    <row r="8" spans="7:8" x14ac:dyDescent="0.3">
      <c r="G8" t="s">
        <v>348</v>
      </c>
      <c r="H8" s="247">
        <v>199.98</v>
      </c>
    </row>
    <row r="9" spans="7:8" x14ac:dyDescent="0.3">
      <c r="G9" t="s">
        <v>349</v>
      </c>
      <c r="H9" s="247">
        <v>64.33</v>
      </c>
    </row>
    <row r="10" spans="7:8" x14ac:dyDescent="0.3">
      <c r="G10" t="s">
        <v>301</v>
      </c>
      <c r="H10" s="247">
        <v>52</v>
      </c>
    </row>
    <row r="11" spans="7:8" x14ac:dyDescent="0.3">
      <c r="G11" t="s">
        <v>301</v>
      </c>
      <c r="H11" s="247">
        <v>193.2</v>
      </c>
    </row>
    <row r="12" spans="7:8" x14ac:dyDescent="0.3">
      <c r="G12" t="s">
        <v>169</v>
      </c>
      <c r="H12" s="247">
        <v>144.5</v>
      </c>
    </row>
    <row r="18" spans="8:8" x14ac:dyDescent="0.3">
      <c r="H18" s="248">
        <f>SUM(H5:H17)</f>
        <v>2278.04</v>
      </c>
    </row>
    <row r="1048576" spans="8:8" x14ac:dyDescent="0.3">
      <c r="H1048576" s="247">
        <f>SUM(H1:H1048575)</f>
        <v>4556.08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36"/>
  <sheetViews>
    <sheetView topLeftCell="E29" zoomScale="70" zoomScaleNormal="70" workbookViewId="0">
      <selection activeCell="K36" sqref="K36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  <row r="9" spans="1:12" x14ac:dyDescent="0.3">
      <c r="A9">
        <v>18</v>
      </c>
      <c r="B9" t="s">
        <v>135</v>
      </c>
      <c r="C9" t="s">
        <v>135</v>
      </c>
      <c r="D9" t="s">
        <v>139</v>
      </c>
      <c r="E9" t="s">
        <v>155</v>
      </c>
      <c r="F9" t="s">
        <v>156</v>
      </c>
      <c r="G9" t="s">
        <v>134</v>
      </c>
      <c r="H9" t="s">
        <v>159</v>
      </c>
      <c r="I9" t="s">
        <v>158</v>
      </c>
      <c r="J9" t="s">
        <v>11</v>
      </c>
      <c r="K9" t="s">
        <v>157</v>
      </c>
      <c r="L9" t="s">
        <v>11</v>
      </c>
    </row>
    <row r="10" spans="1:12" x14ac:dyDescent="0.3">
      <c r="A10">
        <v>27</v>
      </c>
      <c r="B10" t="s">
        <v>143</v>
      </c>
      <c r="C10" t="s">
        <v>143</v>
      </c>
      <c r="D10" t="s">
        <v>152</v>
      </c>
      <c r="E10" t="s">
        <v>164</v>
      </c>
      <c r="F10" t="s">
        <v>160</v>
      </c>
      <c r="G10" t="s">
        <v>134</v>
      </c>
      <c r="H10" t="s">
        <v>165</v>
      </c>
      <c r="I10" t="s">
        <v>163</v>
      </c>
      <c r="J10" t="s">
        <v>161</v>
      </c>
      <c r="K10" t="s">
        <v>162</v>
      </c>
      <c r="L10" t="s">
        <v>11</v>
      </c>
    </row>
    <row r="11" spans="1:12" x14ac:dyDescent="0.3">
      <c r="A11">
        <v>19</v>
      </c>
      <c r="B11" t="s">
        <v>135</v>
      </c>
      <c r="C11" t="s">
        <v>135</v>
      </c>
      <c r="D11" t="s">
        <v>140</v>
      </c>
      <c r="E11" t="s">
        <v>141</v>
      </c>
      <c r="F11" t="s">
        <v>166</v>
      </c>
      <c r="G11" t="s">
        <v>134</v>
      </c>
      <c r="H11" t="s">
        <v>165</v>
      </c>
      <c r="I11" t="s">
        <v>167</v>
      </c>
      <c r="J11" t="s">
        <v>161</v>
      </c>
      <c r="K11" t="s">
        <v>162</v>
      </c>
      <c r="L11" t="s">
        <v>11</v>
      </c>
    </row>
    <row r="12" spans="1:12" x14ac:dyDescent="0.3">
      <c r="A12">
        <v>36</v>
      </c>
      <c r="B12" t="s">
        <v>122</v>
      </c>
      <c r="C12" t="s">
        <v>122</v>
      </c>
      <c r="D12" t="s">
        <v>123</v>
      </c>
      <c r="E12" t="s">
        <v>172</v>
      </c>
      <c r="F12" t="s">
        <v>166</v>
      </c>
      <c r="G12" t="s">
        <v>134</v>
      </c>
      <c r="H12" t="s">
        <v>165</v>
      </c>
      <c r="I12" t="s">
        <v>171</v>
      </c>
      <c r="J12" t="s">
        <v>168</v>
      </c>
      <c r="K12" t="s">
        <v>169</v>
      </c>
      <c r="L12" t="s">
        <v>170</v>
      </c>
    </row>
    <row r="13" spans="1:12" x14ac:dyDescent="0.3">
      <c r="A13">
        <v>27</v>
      </c>
      <c r="B13" t="s">
        <v>143</v>
      </c>
      <c r="C13" t="s">
        <v>143</v>
      </c>
      <c r="D13" t="s">
        <v>152</v>
      </c>
      <c r="E13" t="s">
        <v>164</v>
      </c>
      <c r="F13" t="s">
        <v>166</v>
      </c>
      <c r="G13" t="s">
        <v>134</v>
      </c>
      <c r="H13" t="s">
        <v>165</v>
      </c>
      <c r="I13" t="s">
        <v>173</v>
      </c>
      <c r="J13" t="s">
        <v>168</v>
      </c>
      <c r="K13" t="s">
        <v>169</v>
      </c>
      <c r="L13" t="s">
        <v>170</v>
      </c>
    </row>
    <row r="14" spans="1:12" x14ac:dyDescent="0.3">
      <c r="A14">
        <v>46</v>
      </c>
      <c r="B14" t="s">
        <v>147</v>
      </c>
      <c r="C14" t="s">
        <v>147</v>
      </c>
      <c r="D14" t="s">
        <v>150</v>
      </c>
      <c r="E14" t="s">
        <v>151</v>
      </c>
      <c r="F14" t="s">
        <v>166</v>
      </c>
      <c r="G14" t="s">
        <v>134</v>
      </c>
      <c r="H14" t="s">
        <v>176</v>
      </c>
      <c r="I14" t="s">
        <v>173</v>
      </c>
      <c r="J14" t="s">
        <v>174</v>
      </c>
      <c r="K14" t="s">
        <v>175</v>
      </c>
      <c r="L14" t="s">
        <v>11</v>
      </c>
    </row>
    <row r="15" spans="1:12" x14ac:dyDescent="0.3">
      <c r="A15">
        <v>46</v>
      </c>
      <c r="B15" t="s">
        <v>147</v>
      </c>
      <c r="C15" t="s">
        <v>147</v>
      </c>
      <c r="D15" t="s">
        <v>150</v>
      </c>
      <c r="E15" t="s">
        <v>151</v>
      </c>
      <c r="F15" t="s">
        <v>166</v>
      </c>
      <c r="G15" t="s">
        <v>134</v>
      </c>
      <c r="H15" t="s">
        <v>165</v>
      </c>
      <c r="I15" t="s">
        <v>179</v>
      </c>
      <c r="J15" t="s">
        <v>177</v>
      </c>
      <c r="K15" t="s">
        <v>178</v>
      </c>
      <c r="L15" t="s">
        <v>11</v>
      </c>
    </row>
    <row r="16" spans="1:12" x14ac:dyDescent="0.3">
      <c r="A16">
        <v>46</v>
      </c>
      <c r="B16" t="s">
        <v>147</v>
      </c>
      <c r="C16" t="s">
        <v>147</v>
      </c>
      <c r="D16" t="s">
        <v>150</v>
      </c>
      <c r="E16" t="s">
        <v>151</v>
      </c>
      <c r="F16" t="s">
        <v>166</v>
      </c>
      <c r="G16" t="s">
        <v>134</v>
      </c>
      <c r="H16" t="s">
        <v>165</v>
      </c>
      <c r="I16" t="s">
        <v>182</v>
      </c>
      <c r="J16" t="s">
        <v>180</v>
      </c>
      <c r="K16" t="s">
        <v>181</v>
      </c>
      <c r="L16" t="s">
        <v>11</v>
      </c>
    </row>
    <row r="17" spans="1:12" ht="331.2" x14ac:dyDescent="0.3">
      <c r="A17">
        <v>25</v>
      </c>
      <c r="B17" t="s">
        <v>143</v>
      </c>
      <c r="C17" t="s">
        <v>143</v>
      </c>
      <c r="D17" t="s">
        <v>144</v>
      </c>
      <c r="E17" s="36" t="s">
        <v>187</v>
      </c>
      <c r="F17" t="s">
        <v>166</v>
      </c>
      <c r="G17" t="s">
        <v>134</v>
      </c>
      <c r="H17" t="s">
        <v>188</v>
      </c>
      <c r="I17" t="s">
        <v>186</v>
      </c>
      <c r="J17" t="s">
        <v>183</v>
      </c>
      <c r="K17" t="s">
        <v>184</v>
      </c>
      <c r="L17" t="s">
        <v>185</v>
      </c>
    </row>
    <row r="18" spans="1:12" x14ac:dyDescent="0.3">
      <c r="A18">
        <v>25</v>
      </c>
      <c r="B18" t="s">
        <v>194</v>
      </c>
      <c r="C18" t="s">
        <v>194</v>
      </c>
      <c r="D18" t="s">
        <v>195</v>
      </c>
      <c r="E18" t="s">
        <v>196</v>
      </c>
      <c r="F18" t="s">
        <v>197</v>
      </c>
      <c r="G18" t="s">
        <v>134</v>
      </c>
      <c r="H18" t="s">
        <v>11</v>
      </c>
      <c r="I18" t="s">
        <v>201</v>
      </c>
      <c r="J18" t="s">
        <v>198</v>
      </c>
      <c r="K18" t="s">
        <v>199</v>
      </c>
      <c r="L18" t="s">
        <v>200</v>
      </c>
    </row>
    <row r="19" spans="1:12" x14ac:dyDescent="0.3">
      <c r="A19">
        <v>21</v>
      </c>
      <c r="B19" t="s">
        <v>143</v>
      </c>
      <c r="C19" t="s">
        <v>143</v>
      </c>
      <c r="D19" t="s">
        <v>145</v>
      </c>
      <c r="E19" t="s">
        <v>153</v>
      </c>
      <c r="F19" t="s">
        <v>202</v>
      </c>
      <c r="G19" t="s">
        <v>134</v>
      </c>
      <c r="H19" t="s">
        <v>11</v>
      </c>
      <c r="I19" t="s">
        <v>206</v>
      </c>
      <c r="J19" t="s">
        <v>203</v>
      </c>
      <c r="K19" t="s">
        <v>204</v>
      </c>
      <c r="L19" t="s">
        <v>205</v>
      </c>
    </row>
    <row r="20" spans="1:12" x14ac:dyDescent="0.3">
      <c r="A20">
        <v>25</v>
      </c>
      <c r="B20" t="s">
        <v>147</v>
      </c>
      <c r="C20" t="s">
        <v>147</v>
      </c>
      <c r="D20" t="s">
        <v>148</v>
      </c>
      <c r="E20" t="s">
        <v>149</v>
      </c>
      <c r="F20" t="s">
        <v>219</v>
      </c>
      <c r="G20" t="s">
        <v>216</v>
      </c>
      <c r="H20" t="s">
        <v>165</v>
      </c>
      <c r="I20" t="s">
        <v>223</v>
      </c>
      <c r="J20" t="s">
        <v>220</v>
      </c>
      <c r="K20" t="s">
        <v>221</v>
      </c>
      <c r="L20" t="s">
        <v>222</v>
      </c>
    </row>
    <row r="21" spans="1:12" x14ac:dyDescent="0.3">
      <c r="A21">
        <v>27</v>
      </c>
      <c r="B21" t="s">
        <v>122</v>
      </c>
      <c r="C21" t="s">
        <v>122</v>
      </c>
      <c r="D21" t="s">
        <v>224</v>
      </c>
      <c r="E21" t="s">
        <v>225</v>
      </c>
      <c r="F21" t="s">
        <v>226</v>
      </c>
      <c r="G21" t="s">
        <v>216</v>
      </c>
      <c r="H21" t="s">
        <v>230</v>
      </c>
      <c r="I21" t="s">
        <v>229</v>
      </c>
      <c r="J21" t="s">
        <v>227</v>
      </c>
      <c r="K21" t="s">
        <v>228</v>
      </c>
      <c r="L21" t="s">
        <v>11</v>
      </c>
    </row>
    <row r="22" spans="1:12" x14ac:dyDescent="0.3">
      <c r="A22">
        <v>14</v>
      </c>
      <c r="B22" t="s">
        <v>212</v>
      </c>
      <c r="C22" t="s">
        <v>213</v>
      </c>
      <c r="D22" t="s">
        <v>139</v>
      </c>
      <c r="E22" t="s">
        <v>155</v>
      </c>
      <c r="F22" t="s">
        <v>226</v>
      </c>
      <c r="G22" t="s">
        <v>216</v>
      </c>
      <c r="H22" t="s">
        <v>165</v>
      </c>
      <c r="I22" t="s">
        <v>231</v>
      </c>
      <c r="J22" t="s">
        <v>227</v>
      </c>
      <c r="K22" t="s">
        <v>228</v>
      </c>
      <c r="L22" t="s">
        <v>11</v>
      </c>
    </row>
    <row r="23" spans="1:12" x14ac:dyDescent="0.3">
      <c r="A23">
        <v>31</v>
      </c>
      <c r="B23" t="s">
        <v>214</v>
      </c>
      <c r="C23" t="s">
        <v>214</v>
      </c>
      <c r="D23" t="s">
        <v>217</v>
      </c>
      <c r="E23" t="s">
        <v>218</v>
      </c>
      <c r="F23" t="s">
        <v>226</v>
      </c>
      <c r="G23" t="s">
        <v>216</v>
      </c>
      <c r="H23" t="s">
        <v>165</v>
      </c>
      <c r="I23" t="s">
        <v>235</v>
      </c>
      <c r="J23" t="s">
        <v>232</v>
      </c>
      <c r="K23" t="s">
        <v>233</v>
      </c>
      <c r="L23" t="s">
        <v>234</v>
      </c>
    </row>
    <row r="24" spans="1:12" x14ac:dyDescent="0.3">
      <c r="A24">
        <v>31</v>
      </c>
      <c r="B24" t="s">
        <v>135</v>
      </c>
      <c r="C24" t="s">
        <v>135</v>
      </c>
      <c r="D24" t="s">
        <v>259</v>
      </c>
      <c r="E24" t="s">
        <v>260</v>
      </c>
      <c r="F24" t="s">
        <v>261</v>
      </c>
      <c r="G24" t="s">
        <v>216</v>
      </c>
      <c r="H24" t="s">
        <v>11</v>
      </c>
      <c r="I24" t="s">
        <v>264</v>
      </c>
      <c r="J24" t="s">
        <v>161</v>
      </c>
      <c r="K24" t="s">
        <v>162</v>
      </c>
      <c r="L24" t="s">
        <v>11</v>
      </c>
    </row>
    <row r="25" spans="1:12" x14ac:dyDescent="0.3">
      <c r="A25">
        <v>31</v>
      </c>
      <c r="B25" t="s">
        <v>266</v>
      </c>
      <c r="C25" t="s">
        <v>267</v>
      </c>
      <c r="D25" t="s">
        <v>268</v>
      </c>
      <c r="E25" t="s">
        <v>270</v>
      </c>
      <c r="F25" t="s">
        <v>271</v>
      </c>
      <c r="G25" t="s">
        <v>216</v>
      </c>
      <c r="H25" t="s">
        <v>11</v>
      </c>
      <c r="I25" t="s">
        <v>273</v>
      </c>
      <c r="J25" t="s">
        <v>161</v>
      </c>
      <c r="K25" t="s">
        <v>272</v>
      </c>
      <c r="L25" t="s">
        <v>11</v>
      </c>
    </row>
    <row r="26" spans="1:12" x14ac:dyDescent="0.3">
      <c r="A26">
        <v>31</v>
      </c>
      <c r="B26" t="s">
        <v>266</v>
      </c>
      <c r="C26" t="s">
        <v>267</v>
      </c>
      <c r="D26" t="s">
        <v>268</v>
      </c>
      <c r="E26" t="s">
        <v>270</v>
      </c>
      <c r="F26" t="s">
        <v>271</v>
      </c>
      <c r="G26" t="s">
        <v>216</v>
      </c>
      <c r="H26" t="s">
        <v>11</v>
      </c>
      <c r="I26" t="s">
        <v>273</v>
      </c>
      <c r="J26" t="s">
        <v>274</v>
      </c>
      <c r="K26" t="s">
        <v>275</v>
      </c>
      <c r="L26" t="s">
        <v>276</v>
      </c>
    </row>
    <row r="27" spans="1:12" x14ac:dyDescent="0.3">
      <c r="A27">
        <v>25</v>
      </c>
      <c r="B27" t="s">
        <v>242</v>
      </c>
      <c r="C27" t="s">
        <v>242</v>
      </c>
      <c r="D27" t="s">
        <v>244</v>
      </c>
      <c r="E27" t="s">
        <v>243</v>
      </c>
      <c r="F27" t="s">
        <v>271</v>
      </c>
      <c r="G27" t="s">
        <v>216</v>
      </c>
      <c r="H27" t="s">
        <v>11</v>
      </c>
      <c r="I27" t="s">
        <v>280</v>
      </c>
      <c r="J27" t="s">
        <v>277</v>
      </c>
      <c r="K27" t="s">
        <v>278</v>
      </c>
      <c r="L27" t="s">
        <v>279</v>
      </c>
    </row>
    <row r="28" spans="1:12" x14ac:dyDescent="0.3">
      <c r="A28">
        <v>31</v>
      </c>
      <c r="B28" t="s">
        <v>266</v>
      </c>
      <c r="C28" t="s">
        <v>267</v>
      </c>
      <c r="D28" t="s">
        <v>268</v>
      </c>
      <c r="E28" t="s">
        <v>270</v>
      </c>
      <c r="F28" t="s">
        <v>281</v>
      </c>
      <c r="G28" t="s">
        <v>216</v>
      </c>
      <c r="H28" t="s">
        <v>11</v>
      </c>
      <c r="I28" t="s">
        <v>285</v>
      </c>
      <c r="J28" t="s">
        <v>282</v>
      </c>
      <c r="K28" t="s">
        <v>283</v>
      </c>
      <c r="L28" t="s">
        <v>284</v>
      </c>
    </row>
    <row r="29" spans="1:12" x14ac:dyDescent="0.3">
      <c r="A29">
        <v>20</v>
      </c>
      <c r="B29" t="s">
        <v>239</v>
      </c>
      <c r="C29" t="s">
        <v>239</v>
      </c>
      <c r="D29" t="s">
        <v>241</v>
      </c>
      <c r="E29" t="s">
        <v>258</v>
      </c>
      <c r="F29" t="s">
        <v>286</v>
      </c>
      <c r="G29" t="s">
        <v>216</v>
      </c>
      <c r="H29" t="s">
        <v>11</v>
      </c>
      <c r="I29" t="s">
        <v>290</v>
      </c>
      <c r="J29" t="s">
        <v>287</v>
      </c>
      <c r="K29" t="s">
        <v>288</v>
      </c>
      <c r="L29" t="s">
        <v>289</v>
      </c>
    </row>
    <row r="30" spans="1:12" x14ac:dyDescent="0.3">
      <c r="A30">
        <v>15</v>
      </c>
      <c r="B30" t="s">
        <v>238</v>
      </c>
      <c r="C30" t="s">
        <v>238</v>
      </c>
      <c r="D30" t="s">
        <v>291</v>
      </c>
      <c r="E30" t="s">
        <v>292</v>
      </c>
      <c r="F30" t="s">
        <v>286</v>
      </c>
      <c r="G30" t="s">
        <v>216</v>
      </c>
      <c r="H30" t="s">
        <v>11</v>
      </c>
      <c r="I30" t="s">
        <v>296</v>
      </c>
      <c r="J30" t="s">
        <v>293</v>
      </c>
      <c r="K30" t="s">
        <v>294</v>
      </c>
      <c r="L30" t="s">
        <v>295</v>
      </c>
    </row>
    <row r="31" spans="1:12" x14ac:dyDescent="0.3">
      <c r="A31">
        <v>10</v>
      </c>
      <c r="B31" t="s">
        <v>136</v>
      </c>
      <c r="C31" t="s">
        <v>136</v>
      </c>
      <c r="D31" t="s">
        <v>137</v>
      </c>
      <c r="E31" t="s">
        <v>254</v>
      </c>
      <c r="F31" t="s">
        <v>286</v>
      </c>
      <c r="G31" t="s">
        <v>216</v>
      </c>
      <c r="H31" t="s">
        <v>11</v>
      </c>
      <c r="I31" t="s">
        <v>300</v>
      </c>
      <c r="J31" t="s">
        <v>297</v>
      </c>
      <c r="K31" t="s">
        <v>298</v>
      </c>
      <c r="L31" t="s">
        <v>299</v>
      </c>
    </row>
    <row r="32" spans="1:12" x14ac:dyDescent="0.3">
      <c r="A32">
        <v>9</v>
      </c>
      <c r="B32" t="s">
        <v>136</v>
      </c>
      <c r="C32" t="s">
        <v>136</v>
      </c>
      <c r="D32" t="s">
        <v>252</v>
      </c>
      <c r="E32" t="s">
        <v>253</v>
      </c>
      <c r="F32" t="s">
        <v>286</v>
      </c>
      <c r="G32" t="s">
        <v>216</v>
      </c>
      <c r="H32" t="s">
        <v>11</v>
      </c>
      <c r="I32" t="s">
        <v>302</v>
      </c>
      <c r="J32" t="s">
        <v>227</v>
      </c>
      <c r="K32" t="s">
        <v>301</v>
      </c>
      <c r="L32" t="s">
        <v>11</v>
      </c>
    </row>
    <row r="33" spans="1:12" x14ac:dyDescent="0.3">
      <c r="A33">
        <v>11</v>
      </c>
      <c r="B33" t="s">
        <v>136</v>
      </c>
      <c r="C33" t="s">
        <v>136</v>
      </c>
      <c r="D33" t="s">
        <v>236</v>
      </c>
      <c r="E33" t="s">
        <v>237</v>
      </c>
      <c r="F33" t="s">
        <v>286</v>
      </c>
      <c r="G33" t="s">
        <v>216</v>
      </c>
      <c r="H33" t="s">
        <v>11</v>
      </c>
      <c r="I33" t="s">
        <v>306</v>
      </c>
      <c r="J33" t="s">
        <v>303</v>
      </c>
      <c r="K33" t="s">
        <v>304</v>
      </c>
      <c r="L33" t="s">
        <v>305</v>
      </c>
    </row>
    <row r="34" spans="1:12" x14ac:dyDescent="0.3">
      <c r="A34">
        <v>10</v>
      </c>
      <c r="B34" t="s">
        <v>136</v>
      </c>
      <c r="C34" t="s">
        <v>136</v>
      </c>
      <c r="D34" t="s">
        <v>137</v>
      </c>
      <c r="E34" t="s">
        <v>254</v>
      </c>
      <c r="F34" t="s">
        <v>307</v>
      </c>
      <c r="G34" t="s">
        <v>216</v>
      </c>
      <c r="H34" t="s">
        <v>11</v>
      </c>
      <c r="I34" t="s">
        <v>300</v>
      </c>
      <c r="J34" t="s">
        <v>308</v>
      </c>
      <c r="K34" t="s">
        <v>309</v>
      </c>
      <c r="L34" t="s">
        <v>11</v>
      </c>
    </row>
    <row r="35" spans="1:12" x14ac:dyDescent="0.3">
      <c r="A35">
        <v>21</v>
      </c>
      <c r="B35" t="s">
        <v>239</v>
      </c>
      <c r="C35" t="s">
        <v>239</v>
      </c>
      <c r="D35" t="s">
        <v>248</v>
      </c>
      <c r="E35" t="s">
        <v>249</v>
      </c>
      <c r="F35" t="s">
        <v>307</v>
      </c>
      <c r="G35" t="s">
        <v>216</v>
      </c>
      <c r="H35" t="s">
        <v>11</v>
      </c>
      <c r="I35" t="s">
        <v>314</v>
      </c>
      <c r="J35" t="s">
        <v>311</v>
      </c>
      <c r="K35" t="s">
        <v>312</v>
      </c>
      <c r="L35" t="s">
        <v>313</v>
      </c>
    </row>
    <row r="36" spans="1:12" x14ac:dyDescent="0.3">
      <c r="A36">
        <v>27</v>
      </c>
      <c r="B36" t="s">
        <v>242</v>
      </c>
      <c r="C36" t="s">
        <v>242</v>
      </c>
      <c r="D36" t="s">
        <v>316</v>
      </c>
      <c r="E36" t="s">
        <v>317</v>
      </c>
      <c r="F36" t="s">
        <v>321</v>
      </c>
      <c r="G36" t="s">
        <v>216</v>
      </c>
      <c r="H36" t="s">
        <v>11</v>
      </c>
      <c r="I36" t="s">
        <v>324</v>
      </c>
      <c r="J36" t="s">
        <v>168</v>
      </c>
      <c r="K36" t="s">
        <v>169</v>
      </c>
      <c r="L36" t="s">
        <v>322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305" t="s">
        <v>11</v>
      </c>
      <c r="B1" s="305"/>
      <c r="C1" s="305"/>
      <c r="D1" s="307" t="s">
        <v>58</v>
      </c>
      <c r="E1" s="307"/>
      <c r="F1" s="307"/>
      <c r="G1" s="307"/>
      <c r="H1" s="307"/>
      <c r="I1" s="307"/>
      <c r="J1" s="26" t="s">
        <v>11</v>
      </c>
      <c r="K1" s="26" t="s">
        <v>11</v>
      </c>
      <c r="L1" s="26" t="s">
        <v>11</v>
      </c>
      <c r="M1" s="26" t="s">
        <v>11</v>
      </c>
      <c r="N1" s="26" t="s">
        <v>11</v>
      </c>
      <c r="O1" s="27" t="s">
        <v>11</v>
      </c>
    </row>
    <row r="2" spans="1:15" x14ac:dyDescent="0.3">
      <c r="A2" s="306"/>
      <c r="B2" s="306"/>
      <c r="C2" s="306"/>
      <c r="D2" s="305" t="s">
        <v>59</v>
      </c>
      <c r="E2" s="305"/>
      <c r="F2" s="305"/>
      <c r="G2" s="305"/>
      <c r="H2" s="305"/>
      <c r="I2" s="305"/>
      <c r="J2" s="26"/>
      <c r="K2" s="26"/>
      <c r="L2" s="26"/>
      <c r="M2" s="26"/>
      <c r="N2" s="26"/>
      <c r="O2" s="308" t="s">
        <v>60</v>
      </c>
    </row>
    <row r="3" spans="1:15" x14ac:dyDescent="0.3">
      <c r="A3" s="306"/>
      <c r="B3" s="306"/>
      <c r="C3" s="306"/>
      <c r="D3" s="305" t="s">
        <v>61</v>
      </c>
      <c r="E3" s="305"/>
      <c r="F3" s="305"/>
      <c r="G3" s="305"/>
      <c r="H3" s="305"/>
      <c r="I3" s="305"/>
      <c r="J3" s="26"/>
      <c r="K3" s="26"/>
      <c r="L3" s="26"/>
      <c r="M3" s="26"/>
      <c r="N3" s="26"/>
      <c r="O3" s="309"/>
    </row>
    <row r="4" spans="1:15" x14ac:dyDescent="0.3">
      <c r="A4" s="306"/>
      <c r="B4" s="306"/>
      <c r="C4" s="306"/>
      <c r="D4" s="305" t="s">
        <v>62</v>
      </c>
      <c r="E4" s="305"/>
      <c r="F4" s="305"/>
      <c r="G4" s="305"/>
      <c r="H4" s="305"/>
      <c r="I4" s="305"/>
      <c r="J4" s="26"/>
      <c r="K4" s="26"/>
      <c r="L4" s="26"/>
      <c r="M4" s="26"/>
      <c r="N4" s="26"/>
      <c r="O4" s="309"/>
    </row>
    <row r="5" spans="1:15" x14ac:dyDescent="0.3">
      <c r="A5" s="306"/>
      <c r="B5" s="306"/>
      <c r="C5" s="306"/>
      <c r="D5" s="305" t="s">
        <v>63</v>
      </c>
      <c r="E5" s="305"/>
      <c r="F5" s="305"/>
      <c r="G5" s="305"/>
      <c r="H5" s="305"/>
      <c r="I5" s="305"/>
      <c r="J5" s="26"/>
      <c r="K5" s="26"/>
      <c r="L5" s="26"/>
      <c r="M5" s="26"/>
      <c r="N5" s="26"/>
      <c r="O5" s="309"/>
    </row>
    <row r="6" spans="1:15" x14ac:dyDescent="0.3">
      <c r="A6" s="306"/>
      <c r="B6" s="306"/>
      <c r="C6" s="30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309"/>
    </row>
    <row r="7" spans="1:15" x14ac:dyDescent="0.3">
      <c r="A7" s="306"/>
      <c r="B7" s="306"/>
      <c r="C7" s="306"/>
      <c r="D7" s="305" t="s">
        <v>64</v>
      </c>
      <c r="E7" s="305"/>
      <c r="F7" s="305"/>
      <c r="G7" s="305"/>
      <c r="H7" s="305"/>
      <c r="I7" s="305"/>
      <c r="J7" s="26"/>
      <c r="K7" s="26"/>
      <c r="L7" s="26"/>
      <c r="M7" s="26"/>
      <c r="N7" s="26"/>
      <c r="O7" s="28">
        <v>45264.482613275461</v>
      </c>
    </row>
    <row r="8" spans="1:15" x14ac:dyDescent="0.3">
      <c r="A8" s="304" t="s">
        <v>65</v>
      </c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</row>
    <row r="9" spans="1:15" ht="27.6" x14ac:dyDescent="0.3">
      <c r="A9" s="29" t="s">
        <v>66</v>
      </c>
      <c r="B9" s="29" t="s">
        <v>67</v>
      </c>
      <c r="C9" s="29" t="s">
        <v>68</v>
      </c>
      <c r="D9" s="29" t="s">
        <v>52</v>
      </c>
      <c r="E9" s="29" t="s">
        <v>69</v>
      </c>
      <c r="F9" s="29" t="s">
        <v>70</v>
      </c>
      <c r="G9" s="29" t="s">
        <v>34</v>
      </c>
      <c r="H9" s="29" t="s">
        <v>71</v>
      </c>
      <c r="I9" s="29" t="s">
        <v>72</v>
      </c>
      <c r="J9" s="29" t="s">
        <v>70</v>
      </c>
      <c r="K9" s="29" t="s">
        <v>73</v>
      </c>
      <c r="L9" s="29" t="s">
        <v>74</v>
      </c>
      <c r="M9" s="29" t="s">
        <v>75</v>
      </c>
      <c r="N9" s="29" t="s">
        <v>76</v>
      </c>
      <c r="O9" s="30" t="s">
        <v>77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view="pageBreakPreview" topLeftCell="A8" zoomScale="60" zoomScaleNormal="10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343" t="s">
        <v>3</v>
      </c>
      <c r="C2" s="344"/>
      <c r="D2" s="344"/>
      <c r="E2" s="344"/>
      <c r="F2" s="344"/>
      <c r="G2" s="344"/>
      <c r="H2" s="344"/>
      <c r="I2" s="344"/>
      <c r="J2" s="344"/>
      <c r="K2" s="344"/>
      <c r="L2" s="345"/>
    </row>
    <row r="3" spans="2:12" ht="47.4" customHeight="1" thickBot="1" x14ac:dyDescent="0.35">
      <c r="B3" s="346" t="s">
        <v>12</v>
      </c>
      <c r="C3" s="347"/>
      <c r="D3" s="347"/>
      <c r="E3" s="347"/>
      <c r="F3" s="347"/>
      <c r="G3" s="347"/>
      <c r="H3" s="347"/>
      <c r="I3" s="347"/>
      <c r="J3" s="347"/>
      <c r="K3" s="347"/>
      <c r="L3" s="348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315" t="s">
        <v>13</v>
      </c>
      <c r="D6" s="315"/>
      <c r="E6" s="315"/>
      <c r="F6" s="315"/>
      <c r="G6" s="315"/>
      <c r="H6" s="315"/>
      <c r="I6" s="315"/>
      <c r="J6" s="315"/>
      <c r="K6" s="315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349" t="s">
        <v>321</v>
      </c>
      <c r="E8" s="350"/>
      <c r="F8" s="350"/>
      <c r="G8" s="350"/>
      <c r="H8" s="350"/>
      <c r="I8" s="350"/>
      <c r="J8" s="350"/>
      <c r="K8" s="351"/>
      <c r="L8" s="5"/>
    </row>
    <row r="9" spans="2:12" x14ac:dyDescent="0.3">
      <c r="B9" s="4"/>
      <c r="C9" s="7" t="s">
        <v>15</v>
      </c>
      <c r="D9" s="336" t="s">
        <v>16</v>
      </c>
      <c r="E9" s="337"/>
      <c r="F9" s="337"/>
      <c r="G9" s="337"/>
      <c r="H9" s="337"/>
      <c r="I9" s="337"/>
      <c r="J9" s="337"/>
      <c r="K9" s="338"/>
      <c r="L9" s="5"/>
    </row>
    <row r="10" spans="2:12" x14ac:dyDescent="0.3">
      <c r="B10" s="4"/>
      <c r="C10" s="7" t="s">
        <v>17</v>
      </c>
      <c r="D10" s="336" t="s">
        <v>125</v>
      </c>
      <c r="E10" s="337"/>
      <c r="F10" s="337"/>
      <c r="G10" s="337"/>
      <c r="H10" s="337"/>
      <c r="I10" s="337"/>
      <c r="J10" s="337"/>
      <c r="K10" s="338"/>
      <c r="L10" s="5"/>
    </row>
    <row r="11" spans="2:12" x14ac:dyDescent="0.3">
      <c r="B11" s="4"/>
      <c r="C11" s="7" t="s">
        <v>18</v>
      </c>
      <c r="D11" s="336" t="s">
        <v>262</v>
      </c>
      <c r="E11" s="337"/>
      <c r="F11" s="337"/>
      <c r="G11" s="337"/>
      <c r="H11" s="337"/>
      <c r="I11" s="337"/>
      <c r="J11" s="337"/>
      <c r="K11" s="338"/>
      <c r="L11" s="5"/>
    </row>
    <row r="12" spans="2:12" x14ac:dyDescent="0.3">
      <c r="B12" s="4"/>
      <c r="C12" s="10" t="s">
        <v>19</v>
      </c>
      <c r="D12" s="333" t="s">
        <v>263</v>
      </c>
      <c r="E12" s="334"/>
      <c r="F12" s="334"/>
      <c r="G12" s="334"/>
      <c r="H12" s="335"/>
      <c r="I12" s="11" t="s">
        <v>20</v>
      </c>
      <c r="J12" s="333" t="s">
        <v>208</v>
      </c>
      <c r="K12" s="335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315" t="s">
        <v>21</v>
      </c>
      <c r="D16" s="315"/>
      <c r="E16" s="315"/>
      <c r="F16" s="315"/>
      <c r="G16" s="315"/>
      <c r="H16" s="315"/>
      <c r="I16" s="315"/>
      <c r="J16" s="315"/>
      <c r="K16" s="315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339" t="s">
        <v>310</v>
      </c>
      <c r="E18" s="339"/>
      <c r="F18" s="339"/>
      <c r="G18" s="330"/>
      <c r="H18" s="339" t="s">
        <v>22</v>
      </c>
      <c r="I18" s="339"/>
      <c r="J18" s="339"/>
      <c r="K18" s="330"/>
      <c r="L18" s="5"/>
    </row>
    <row r="19" spans="2:12" x14ac:dyDescent="0.3">
      <c r="B19" s="4"/>
      <c r="C19" s="15" t="s">
        <v>23</v>
      </c>
      <c r="D19" s="340" t="s">
        <v>169</v>
      </c>
      <c r="E19" s="341"/>
      <c r="F19" s="341"/>
      <c r="G19" s="341"/>
      <c r="H19" s="341"/>
      <c r="I19" s="341"/>
      <c r="J19" s="341"/>
      <c r="K19" s="342"/>
      <c r="L19" s="5"/>
    </row>
    <row r="20" spans="2:12" x14ac:dyDescent="0.3">
      <c r="B20" s="4"/>
      <c r="C20" s="7" t="s">
        <v>24</v>
      </c>
      <c r="D20" s="336"/>
      <c r="E20" s="337"/>
      <c r="F20" s="337"/>
      <c r="G20" s="337"/>
      <c r="H20" s="337"/>
      <c r="I20" s="337"/>
      <c r="J20" s="337"/>
      <c r="K20" s="338"/>
      <c r="L20" s="5"/>
    </row>
    <row r="21" spans="2:12" x14ac:dyDescent="0.3">
      <c r="B21" s="4"/>
      <c r="C21" s="7" t="s">
        <v>25</v>
      </c>
      <c r="D21" s="336" t="s">
        <v>11</v>
      </c>
      <c r="E21" s="338"/>
      <c r="F21" s="7" t="s">
        <v>57</v>
      </c>
      <c r="G21" s="16" t="s">
        <v>11</v>
      </c>
      <c r="H21" s="7" t="s">
        <v>26</v>
      </c>
      <c r="I21" s="8" t="s">
        <v>11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336" t="s">
        <v>168</v>
      </c>
      <c r="E22" s="337"/>
      <c r="F22" s="337"/>
      <c r="G22" s="338"/>
      <c r="H22" s="7" t="s">
        <v>29</v>
      </c>
      <c r="I22" s="336"/>
      <c r="J22" s="337"/>
      <c r="K22" s="338"/>
      <c r="L22" s="5"/>
    </row>
    <row r="23" spans="2:12" x14ac:dyDescent="0.3">
      <c r="B23" s="4"/>
      <c r="C23" s="10" t="s">
        <v>30</v>
      </c>
      <c r="D23" s="333" t="s">
        <v>322</v>
      </c>
      <c r="E23" s="334"/>
      <c r="F23" s="334"/>
      <c r="G23" s="335"/>
      <c r="H23" s="10" t="s">
        <v>31</v>
      </c>
      <c r="I23" s="333" t="s">
        <v>11</v>
      </c>
      <c r="J23" s="334"/>
      <c r="K23" s="335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315" t="s">
        <v>21</v>
      </c>
      <c r="D27" s="315"/>
      <c r="E27" s="315"/>
      <c r="F27" s="315"/>
      <c r="G27" s="315"/>
      <c r="H27" s="315"/>
      <c r="I27" s="315"/>
      <c r="J27" s="315"/>
      <c r="K27" s="315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329" t="s">
        <v>33</v>
      </c>
      <c r="E29" s="330"/>
      <c r="F29" s="329" t="s">
        <v>34</v>
      </c>
      <c r="G29" s="330"/>
      <c r="H29" s="331" t="s">
        <v>35</v>
      </c>
      <c r="I29" s="331"/>
      <c r="J29" s="331"/>
      <c r="K29" s="332"/>
      <c r="L29" s="5"/>
    </row>
    <row r="30" spans="2:12" x14ac:dyDescent="0.3">
      <c r="B30" s="4"/>
      <c r="C30" s="17" t="s">
        <v>36</v>
      </c>
      <c r="D30" s="316" t="s">
        <v>323</v>
      </c>
      <c r="E30" s="317"/>
      <c r="F30" s="318" t="s">
        <v>324</v>
      </c>
      <c r="G30" s="319"/>
      <c r="H30" s="18" t="s">
        <v>325</v>
      </c>
      <c r="I30" s="329" t="s">
        <v>40</v>
      </c>
      <c r="J30" s="330"/>
      <c r="K30" s="6" t="s">
        <v>38</v>
      </c>
      <c r="L30" s="5"/>
    </row>
    <row r="31" spans="2:12" x14ac:dyDescent="0.3">
      <c r="B31" s="4"/>
      <c r="C31" s="17" t="s">
        <v>39</v>
      </c>
      <c r="D31" s="316" t="s">
        <v>11</v>
      </c>
      <c r="E31" s="317"/>
      <c r="F31" s="318" t="s">
        <v>11</v>
      </c>
      <c r="G31" s="319"/>
      <c r="H31" s="17" t="s">
        <v>37</v>
      </c>
      <c r="I31" s="320" t="s">
        <v>40</v>
      </c>
      <c r="J31" s="321"/>
      <c r="K31" s="7" t="s">
        <v>38</v>
      </c>
      <c r="L31" s="5"/>
    </row>
    <row r="32" spans="2:12" x14ac:dyDescent="0.3">
      <c r="B32" s="4"/>
      <c r="C32" s="17" t="s">
        <v>41</v>
      </c>
      <c r="D32" s="316" t="s">
        <v>11</v>
      </c>
      <c r="E32" s="317"/>
      <c r="F32" s="318" t="s">
        <v>11</v>
      </c>
      <c r="G32" s="319"/>
      <c r="H32" s="17" t="s">
        <v>37</v>
      </c>
      <c r="I32" s="320" t="s">
        <v>40</v>
      </c>
      <c r="J32" s="321"/>
      <c r="K32" s="7" t="s">
        <v>38</v>
      </c>
      <c r="L32" s="5"/>
    </row>
    <row r="33" spans="2:12" x14ac:dyDescent="0.3">
      <c r="B33" s="4"/>
      <c r="C33" s="19" t="s">
        <v>42</v>
      </c>
      <c r="D33" s="316" t="s">
        <v>11</v>
      </c>
      <c r="E33" s="317"/>
      <c r="F33" s="322" t="s">
        <v>11</v>
      </c>
      <c r="G33" s="323"/>
      <c r="H33" s="17" t="s">
        <v>37</v>
      </c>
      <c r="I33" s="320" t="s">
        <v>40</v>
      </c>
      <c r="J33" s="321"/>
      <c r="K33" s="7" t="s">
        <v>38</v>
      </c>
      <c r="L33" s="5"/>
    </row>
    <row r="34" spans="2:12" x14ac:dyDescent="0.3">
      <c r="B34" s="4"/>
      <c r="C34" s="324" t="s">
        <v>43</v>
      </c>
      <c r="D34" s="325"/>
      <c r="E34" s="326"/>
      <c r="F34" s="327" t="s">
        <v>324</v>
      </c>
      <c r="G34" s="328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315" t="s">
        <v>44</v>
      </c>
      <c r="D38" s="315"/>
      <c r="E38" s="315"/>
      <c r="F38" s="315"/>
      <c r="G38" s="315"/>
      <c r="H38" s="315"/>
      <c r="I38" s="315"/>
      <c r="J38" s="315"/>
      <c r="K38" s="315"/>
      <c r="L38" s="5"/>
    </row>
    <row r="39" spans="2:12" x14ac:dyDescent="0.3">
      <c r="B39" s="4"/>
      <c r="C39" s="313" t="s">
        <v>326</v>
      </c>
      <c r="D39" s="313"/>
      <c r="E39" s="313"/>
      <c r="F39" s="313"/>
      <c r="G39" s="313"/>
      <c r="H39" s="313"/>
      <c r="I39" s="313"/>
      <c r="J39" s="313"/>
      <c r="K39" s="313"/>
      <c r="L39" s="5"/>
    </row>
    <row r="40" spans="2:12" x14ac:dyDescent="0.3">
      <c r="B40" s="4"/>
      <c r="C40" s="313"/>
      <c r="D40" s="313"/>
      <c r="E40" s="313"/>
      <c r="F40" s="313"/>
      <c r="G40" s="313"/>
      <c r="H40" s="313"/>
      <c r="I40" s="313"/>
      <c r="J40" s="313"/>
      <c r="K40" s="313"/>
      <c r="L40" s="5"/>
    </row>
    <row r="41" spans="2:12" x14ac:dyDescent="0.3">
      <c r="B41" s="4"/>
      <c r="C41" s="313"/>
      <c r="D41" s="313"/>
      <c r="E41" s="313"/>
      <c r="F41" s="313"/>
      <c r="G41" s="313"/>
      <c r="H41" s="313"/>
      <c r="I41" s="313"/>
      <c r="J41" s="313"/>
      <c r="K41" s="313"/>
      <c r="L41" s="5"/>
    </row>
    <row r="42" spans="2:12" x14ac:dyDescent="0.3">
      <c r="B42" s="4"/>
      <c r="C42" s="313"/>
      <c r="D42" s="313"/>
      <c r="E42" s="313"/>
      <c r="F42" s="313"/>
      <c r="G42" s="313"/>
      <c r="H42" s="313"/>
      <c r="I42" s="313"/>
      <c r="J42" s="313"/>
      <c r="K42" s="313"/>
      <c r="L42" s="5"/>
    </row>
    <row r="43" spans="2:12" x14ac:dyDescent="0.3">
      <c r="B43" s="4"/>
      <c r="C43" s="313"/>
      <c r="D43" s="313"/>
      <c r="E43" s="313"/>
      <c r="F43" s="313"/>
      <c r="G43" s="313"/>
      <c r="H43" s="313"/>
      <c r="I43" s="313"/>
      <c r="J43" s="313"/>
      <c r="K43" s="313"/>
      <c r="L43" s="5"/>
    </row>
    <row r="44" spans="2:12" x14ac:dyDescent="0.3">
      <c r="B44" s="4"/>
      <c r="C44" s="313"/>
      <c r="D44" s="313"/>
      <c r="E44" s="313"/>
      <c r="F44" s="313"/>
      <c r="G44" s="313"/>
      <c r="H44" s="313"/>
      <c r="I44" s="313"/>
      <c r="J44" s="313"/>
      <c r="K44" s="313"/>
      <c r="L44" s="5"/>
    </row>
    <row r="45" spans="2:12" x14ac:dyDescent="0.3">
      <c r="B45" s="4"/>
      <c r="C45" s="314"/>
      <c r="D45" s="314"/>
      <c r="E45" s="314"/>
      <c r="F45" s="314"/>
      <c r="G45" s="314"/>
      <c r="H45" s="314"/>
      <c r="I45" s="314"/>
      <c r="J45" s="314"/>
      <c r="K45" s="314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310" t="s">
        <v>45</v>
      </c>
      <c r="C48" s="311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312" t="s">
        <v>46</v>
      </c>
      <c r="D51" s="312"/>
      <c r="E51" s="312"/>
      <c r="F51" s="312"/>
      <c r="H51" s="312" t="s">
        <v>47</v>
      </c>
      <c r="I51" s="312"/>
      <c r="J51" s="312"/>
      <c r="K51" s="312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pageSetup paperSize="9" scale="98" orientation="portrait" horizontalDpi="360" verticalDpi="36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991dad-45c2-4a9e-9fda-9c556ad46bbb">
      <Terms xmlns="http://schemas.microsoft.com/office/infopath/2007/PartnerControls"/>
    </lcf76f155ced4ddcb4097134ff3c332f>
    <TaxCatchAll xmlns="e3d5a89f-10c1-48c7-b69d-72d2ad4a850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B072B9476384EAB3ACCDDD2384384" ma:contentTypeVersion="11" ma:contentTypeDescription="Crie um novo documento." ma:contentTypeScope="" ma:versionID="c9ae70d9359dd23e9a48b07547b717ad">
  <xsd:schema xmlns:xsd="http://www.w3.org/2001/XMLSchema" xmlns:xs="http://www.w3.org/2001/XMLSchema" xmlns:p="http://schemas.microsoft.com/office/2006/metadata/properties" xmlns:ns2="7a991dad-45c2-4a9e-9fda-9c556ad46bbb" xmlns:ns3="e3d5a89f-10c1-48c7-b69d-72d2ad4a8504" targetNamespace="http://schemas.microsoft.com/office/2006/metadata/properties" ma:root="true" ma:fieldsID="3937aaad769f7dbee2ffe085997c1990" ns2:_="" ns3:_="">
    <xsd:import namespace="7a991dad-45c2-4a9e-9fda-9c556ad46bbb"/>
    <xsd:import namespace="e3d5a89f-10c1-48c7-b69d-72d2ad4a8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91dad-45c2-4a9e-9fda-9c556ad46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438eb4-5b5a-4ed9-a302-1fe602507e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5a89f-10c1-48c7-b69d-72d2ad4a8504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2b14d52-2751-4760-8594-93415ecef864}" ma:internalName="TaxCatchAll" ma:showField="CatchAllData" ma:web="e3d5a89f-10c1-48c7-b69d-72d2ad4a85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</ds:schemaRefs>
</ds:datastoreItem>
</file>

<file path=customXml/itemProps2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51F440-CB5F-4979-B04A-4EA3DFBB9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991dad-45c2-4a9e-9fda-9c556ad46bbb"/>
    <ds:schemaRef ds:uri="e3d5a89f-10c1-48c7-b69d-72d2ad4a8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KickOff LBC </vt:lpstr>
      <vt:lpstr>CUSTOS OP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2026-07-20T13:53:35Z</cp:lastPrinted>
  <dcterms:created xsi:type="dcterms:W3CDTF">2023-09-21T21:02:20Z</dcterms:created>
  <dcterms:modified xsi:type="dcterms:W3CDTF">2026-07-29T13:34:15Z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0x010100B36B072B9476384EAB3ACCDDD2384384</vt:lpwstr>
  </property>
  <property fmtid="{D5CDD505-2E9C-101B-9397-08002B2CF9AE}" pid="3" name="MediaServiceImageTags">
    <vt:lpwstr/>
  </property>
</Properties>
</file>