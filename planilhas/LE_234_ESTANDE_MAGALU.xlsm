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3A42C528-9891-43EC-968D-57987DD491E3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Principal" sheetId="91" r:id="rId2"/>
    <sheet name="EXTRAS" sheetId="93" r:id="rId3"/>
    <sheet name="CUSTOS OP." sheetId="96" r:id="rId4"/>
    <sheet name="Planilha1" sheetId="94" state="hidden" r:id="rId5"/>
    <sheet name="Solicitações de Pagamento" sheetId="4" state="hidden" r:id="rId6"/>
    <sheet name="ItensOrc" sheetId="76" state="hidden" r:id="rId7"/>
    <sheet name="Template SP" sheetId="3" state="hidden" r:id="rId8"/>
  </sheets>
  <definedNames>
    <definedName name="_xlnm._FilterDatabase" localSheetId="3" hidden="1">'CUSTOS OP.'!$G$4:$H$4</definedName>
    <definedName name="_xlnm._FilterDatabase" localSheetId="2" hidden="1">EXTRAS!$A$1:$AL$14</definedName>
    <definedName name="_xlnm._FilterDatabase" localSheetId="1" hidden="1">Principal!$A$16:$AM$16</definedName>
    <definedName name="_xleta.N" hidden="1" xlm="1">#NAME?</definedName>
    <definedName name="_xleta.SUM" hidden="1" xlm="1">#NAME?</definedName>
    <definedName name="itensorc_desconto" localSheetId="6">ItensOrc!$M:$M</definedName>
    <definedName name="itensorc_desconto">#REF!</definedName>
    <definedName name="itensorc_descricao" localSheetId="6">ItensOrc!$D:$D</definedName>
    <definedName name="itensorc_descricao">#REF!</definedName>
    <definedName name="itensorc_encargos" localSheetId="6">ItensOrc!$N:$N</definedName>
    <definedName name="itensorc_encargos">#REF!</definedName>
    <definedName name="itensorc_especifica" localSheetId="6">ItensOrc!$O:$O</definedName>
    <definedName name="itensorc_especifica">#REF!</definedName>
    <definedName name="itensorc_item" localSheetId="6">ItensOrc!$C:$C</definedName>
    <definedName name="itensorc_item">#REF!</definedName>
    <definedName name="itensorc_lancamento" localSheetId="6">ItensOrc!$B:$B</definedName>
    <definedName name="itensorc_lancamento">#REF!</definedName>
    <definedName name="itensorc_percentualhonorarios" localSheetId="6">ItensOrc!$L:$L</definedName>
    <definedName name="itensorc_percentualhonorarios">#REF!</definedName>
    <definedName name="itensorc_quantidade" localSheetId="6">ItensOrc!$E:$E</definedName>
    <definedName name="itensorc_quantidade">#REF!</definedName>
    <definedName name="itensorc_situacao" localSheetId="6">ItensOrc!$H:$H</definedName>
    <definedName name="itensorc_situacao">#REF!</definedName>
    <definedName name="itensorc_subtipo" localSheetId="6">ItensOrc!$K:$K</definedName>
    <definedName name="itensorc_subtipo">#REF!</definedName>
    <definedName name="itensorc_tiporeceita" localSheetId="6">ItensOrc!$A:$A</definedName>
    <definedName name="itensorc_tiporeceita">#REF!</definedName>
    <definedName name="itensorc_valor" localSheetId="6">ItensOrc!$G:$G</definedName>
    <definedName name="itensorc_valor">#REF!</definedName>
    <definedName name="itensorc_valorfornecedor" localSheetId="6">ItensOrc!$I:$I</definedName>
    <definedName name="itensorc_valorfornecedor">#REF!</definedName>
    <definedName name="itensorc_valorfornecedorunitario" localSheetId="6">ItensOrc!$J:$J</definedName>
    <definedName name="itensorc_valorfornecedorunitario">#REF!</definedName>
    <definedName name="itensorc_valorunitario" localSheetId="6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95" l="1"/>
  <c r="E29" i="95"/>
  <c r="D29" i="95"/>
  <c r="AL65" i="91"/>
  <c r="AL64" i="91"/>
  <c r="D28" i="95"/>
  <c r="E23" i="95"/>
  <c r="D23" i="95"/>
  <c r="AL24" i="93"/>
  <c r="AL25" i="93" s="1"/>
  <c r="AL23" i="93"/>
  <c r="AL52" i="91"/>
  <c r="E22" i="95"/>
  <c r="F22" i="95" s="1"/>
  <c r="D22" i="95"/>
  <c r="C22" i="95"/>
  <c r="C21" i="95"/>
  <c r="AL17" i="93"/>
  <c r="AL46" i="91"/>
  <c r="AL39" i="91"/>
  <c r="AL30" i="91"/>
  <c r="AL24" i="91"/>
  <c r="AK24" i="91" s="1"/>
  <c r="AL50" i="91"/>
  <c r="AL35" i="91"/>
  <c r="AL38" i="91"/>
  <c r="H19" i="96"/>
  <c r="AK27" i="91"/>
  <c r="AK30" i="91"/>
  <c r="AK40" i="91"/>
  <c r="AK47" i="91"/>
  <c r="AK55" i="91"/>
  <c r="AK56" i="91"/>
  <c r="AK57" i="91"/>
  <c r="AK58" i="91"/>
  <c r="AK17" i="91"/>
  <c r="C30" i="95"/>
  <c r="F29" i="95"/>
  <c r="E3" i="95"/>
  <c r="AA44" i="91"/>
  <c r="AA36" i="91"/>
  <c r="R40" i="91"/>
  <c r="S51" i="91"/>
  <c r="S52" i="91"/>
  <c r="C23" i="95" l="1"/>
  <c r="J51" i="91"/>
  <c r="H24" i="94" l="1"/>
  <c r="G24" i="94"/>
  <c r="F24" i="94"/>
  <c r="G11" i="94"/>
  <c r="E23" i="94"/>
  <c r="F23" i="94" s="1"/>
  <c r="E22" i="94"/>
  <c r="F22" i="94" s="1"/>
  <c r="E17" i="94"/>
  <c r="E2" i="94"/>
  <c r="E11" i="94"/>
  <c r="T20" i="93" l="1"/>
  <c r="T19" i="93"/>
  <c r="R18" i="93"/>
  <c r="Q18" i="93"/>
  <c r="K18" i="93"/>
  <c r="R17" i="93"/>
  <c r="Q17" i="93"/>
  <c r="K17" i="93"/>
  <c r="L17" i="93" s="1"/>
  <c r="Q16" i="93"/>
  <c r="Q15" i="93"/>
  <c r="M14" i="93"/>
  <c r="Z12" i="93"/>
  <c r="AA17" i="93" l="1"/>
  <c r="AA18" i="93"/>
  <c r="K19" i="93"/>
  <c r="K20" i="93"/>
  <c r="M17" i="93"/>
  <c r="N17" i="93" s="1"/>
  <c r="U17" i="93"/>
  <c r="L18" i="93"/>
  <c r="V17" i="93"/>
  <c r="U18" i="93"/>
  <c r="V18" i="93"/>
  <c r="R58" i="91"/>
  <c r="Q58" i="91"/>
  <c r="V58" i="91" s="1"/>
  <c r="K58" i="91"/>
  <c r="L58" i="91" s="1"/>
  <c r="Q57" i="91"/>
  <c r="K57" i="91"/>
  <c r="R56" i="91"/>
  <c r="Q56" i="91"/>
  <c r="V56" i="91" s="1"/>
  <c r="K56" i="91"/>
  <c r="R55" i="91"/>
  <c r="Q55" i="91"/>
  <c r="K55" i="91"/>
  <c r="Q54" i="91"/>
  <c r="R49" i="91"/>
  <c r="Q49" i="91"/>
  <c r="K49" i="91"/>
  <c r="R50" i="91"/>
  <c r="Q50" i="91"/>
  <c r="K50" i="91"/>
  <c r="R52" i="91"/>
  <c r="Q52" i="91"/>
  <c r="V52" i="91" s="1"/>
  <c r="K52" i="91"/>
  <c r="R51" i="91"/>
  <c r="Q51" i="91"/>
  <c r="K51" i="91"/>
  <c r="L51" i="91" s="1"/>
  <c r="Q48" i="91"/>
  <c r="V48" i="91" s="1"/>
  <c r="K48" i="91"/>
  <c r="K47" i="91"/>
  <c r="L47" i="91" s="1"/>
  <c r="R46" i="91"/>
  <c r="Q46" i="91"/>
  <c r="K46" i="91"/>
  <c r="Q45" i="91"/>
  <c r="K43" i="91"/>
  <c r="V42" i="91"/>
  <c r="K42" i="91"/>
  <c r="R41" i="91"/>
  <c r="Q41" i="91"/>
  <c r="V41" i="91" s="1"/>
  <c r="K41" i="91"/>
  <c r="L41" i="91" s="1"/>
  <c r="Q40" i="91"/>
  <c r="V40" i="91" s="1"/>
  <c r="K40" i="91"/>
  <c r="L40" i="91" s="1"/>
  <c r="Q39" i="91"/>
  <c r="V39" i="91"/>
  <c r="K39" i="91"/>
  <c r="R38" i="91"/>
  <c r="Q38" i="91"/>
  <c r="K38" i="91"/>
  <c r="Q37" i="91"/>
  <c r="R35" i="91"/>
  <c r="K35" i="91"/>
  <c r="K36" i="91" s="1"/>
  <c r="Q34" i="91"/>
  <c r="Q33" i="91"/>
  <c r="R30" i="91"/>
  <c r="Q30" i="91"/>
  <c r="K30" i="91"/>
  <c r="K31" i="91" s="1"/>
  <c r="Q29" i="91"/>
  <c r="R27" i="91"/>
  <c r="Q27" i="91"/>
  <c r="K27" i="91"/>
  <c r="K28" i="91" s="1"/>
  <c r="Q26" i="91"/>
  <c r="R24" i="91"/>
  <c r="Q24" i="91"/>
  <c r="V24" i="91" s="1"/>
  <c r="K24" i="91"/>
  <c r="Q23" i="91"/>
  <c r="Q22" i="91"/>
  <c r="R20" i="91"/>
  <c r="Q20" i="91"/>
  <c r="K20" i="91"/>
  <c r="L20" i="91" s="1"/>
  <c r="R19" i="91"/>
  <c r="Q19" i="91"/>
  <c r="K19" i="91"/>
  <c r="L19" i="91" s="1"/>
  <c r="R18" i="91"/>
  <c r="Q18" i="91"/>
  <c r="V18" i="91" s="1"/>
  <c r="K18" i="91"/>
  <c r="R17" i="91"/>
  <c r="Q17" i="91"/>
  <c r="K17" i="91"/>
  <c r="Q16" i="91"/>
  <c r="K61" i="91" l="1"/>
  <c r="K32" i="91"/>
  <c r="K25" i="91"/>
  <c r="K44" i="91"/>
  <c r="T24" i="91"/>
  <c r="T36" i="91"/>
  <c r="L55" i="91"/>
  <c r="K59" i="91"/>
  <c r="K60" i="91"/>
  <c r="K53" i="91"/>
  <c r="K21" i="91"/>
  <c r="L19" i="93"/>
  <c r="L20" i="93"/>
  <c r="Z18" i="93"/>
  <c r="U19" i="93"/>
  <c r="U20" i="93"/>
  <c r="W17" i="93"/>
  <c r="X17" i="93" s="1"/>
  <c r="AK17" i="93" s="1"/>
  <c r="Z17" i="93"/>
  <c r="M18" i="93"/>
  <c r="W18" i="93"/>
  <c r="X18" i="93" s="1"/>
  <c r="AK18" i="93" s="1"/>
  <c r="AK20" i="93" s="1"/>
  <c r="T56" i="91"/>
  <c r="U56" i="91" s="1"/>
  <c r="Z56" i="91" s="1"/>
  <c r="T58" i="91"/>
  <c r="U58" i="91" s="1"/>
  <c r="L35" i="91"/>
  <c r="L36" i="91" s="1"/>
  <c r="T40" i="91"/>
  <c r="U40" i="91" s="1"/>
  <c r="Z40" i="91" s="1"/>
  <c r="L30" i="91"/>
  <c r="L31" i="91" s="1"/>
  <c r="L42" i="91"/>
  <c r="L52" i="91"/>
  <c r="L57" i="91"/>
  <c r="L56" i="91"/>
  <c r="T57" i="91"/>
  <c r="V57" i="91"/>
  <c r="T55" i="91"/>
  <c r="V55" i="91"/>
  <c r="V35" i="91"/>
  <c r="U35" i="91"/>
  <c r="U36" i="91" s="1"/>
  <c r="L49" i="91"/>
  <c r="V49" i="91"/>
  <c r="L50" i="91"/>
  <c r="V50" i="91"/>
  <c r="U39" i="91"/>
  <c r="Z39" i="91" s="1"/>
  <c r="U50" i="91"/>
  <c r="L48" i="91"/>
  <c r="L38" i="91"/>
  <c r="L43" i="91"/>
  <c r="U41" i="91"/>
  <c r="W41" i="91" s="1"/>
  <c r="X41" i="91" s="1"/>
  <c r="AK41" i="91" s="1"/>
  <c r="L39" i="91"/>
  <c r="L46" i="91"/>
  <c r="V51" i="91"/>
  <c r="T47" i="91"/>
  <c r="V47" i="91"/>
  <c r="V46" i="91"/>
  <c r="U43" i="91"/>
  <c r="Z43" i="91" s="1"/>
  <c r="V43" i="91"/>
  <c r="Z41" i="91"/>
  <c r="V38" i="91"/>
  <c r="V30" i="91"/>
  <c r="T30" i="91"/>
  <c r="T31" i="91" s="1"/>
  <c r="L27" i="91"/>
  <c r="L28" i="91" s="1"/>
  <c r="T27" i="91"/>
  <c r="T28" i="91" s="1"/>
  <c r="V27" i="91"/>
  <c r="L24" i="91"/>
  <c r="T17" i="91"/>
  <c r="V17" i="91"/>
  <c r="V20" i="91"/>
  <c r="U20" i="91"/>
  <c r="V19" i="91"/>
  <c r="L18" i="91"/>
  <c r="L17" i="91"/>
  <c r="Q15" i="91"/>
  <c r="M14" i="91"/>
  <c r="Z12" i="91" s="1"/>
  <c r="T53" i="91" l="1"/>
  <c r="AA50" i="91" s="1"/>
  <c r="L61" i="91"/>
  <c r="U18" i="91"/>
  <c r="T61" i="91"/>
  <c r="L59" i="91"/>
  <c r="T32" i="91"/>
  <c r="T25" i="91"/>
  <c r="AA24" i="91" s="1"/>
  <c r="L25" i="91"/>
  <c r="L32" i="91"/>
  <c r="T59" i="91"/>
  <c r="T44" i="91"/>
  <c r="T60" i="91"/>
  <c r="T21" i="91"/>
  <c r="AA17" i="91" s="1"/>
  <c r="U24" i="91"/>
  <c r="L44" i="91"/>
  <c r="L60" i="91"/>
  <c r="L53" i="91"/>
  <c r="Z50" i="91"/>
  <c r="L21" i="91"/>
  <c r="Z58" i="91"/>
  <c r="W58" i="91"/>
  <c r="X58" i="91" s="1"/>
  <c r="N18" i="93"/>
  <c r="M19" i="93"/>
  <c r="M20" i="93"/>
  <c r="Y18" i="93"/>
  <c r="X20" i="93"/>
  <c r="X19" i="93"/>
  <c r="Y19" i="93" s="1"/>
  <c r="Y17" i="93"/>
  <c r="U27" i="91"/>
  <c r="U28" i="91" s="1"/>
  <c r="AA31" i="91"/>
  <c r="U57" i="91"/>
  <c r="W35" i="91"/>
  <c r="X35" i="91" s="1"/>
  <c r="M57" i="91"/>
  <c r="M47" i="91"/>
  <c r="N47" i="91" s="1"/>
  <c r="M41" i="91"/>
  <c r="N41" i="91" s="1"/>
  <c r="M40" i="91"/>
  <c r="N40" i="91" s="1"/>
  <c r="M52" i="91"/>
  <c r="N52" i="91" s="1"/>
  <c r="M35" i="91"/>
  <c r="M36" i="91" s="1"/>
  <c r="M55" i="91"/>
  <c r="M30" i="91"/>
  <c r="M31" i="91" s="1"/>
  <c r="M19" i="91"/>
  <c r="N19" i="91" s="1"/>
  <c r="M56" i="91"/>
  <c r="N56" i="91" s="1"/>
  <c r="M58" i="91"/>
  <c r="N58" i="91" s="1"/>
  <c r="U42" i="91"/>
  <c r="W42" i="91" s="1"/>
  <c r="X42" i="91" s="1"/>
  <c r="AK42" i="91" s="1"/>
  <c r="U19" i="91"/>
  <c r="Z35" i="91"/>
  <c r="W56" i="91"/>
  <c r="X56" i="91" s="1"/>
  <c r="U55" i="91"/>
  <c r="M48" i="91"/>
  <c r="U51" i="91"/>
  <c r="Z51" i="91" s="1"/>
  <c r="U49" i="91"/>
  <c r="Z49" i="91" s="1"/>
  <c r="W39" i="91"/>
  <c r="X39" i="91" s="1"/>
  <c r="AK39" i="91" s="1"/>
  <c r="U48" i="91"/>
  <c r="M24" i="91"/>
  <c r="U47" i="91"/>
  <c r="Z47" i="91" s="1"/>
  <c r="U52" i="91"/>
  <c r="M39" i="91"/>
  <c r="N39" i="91" s="1"/>
  <c r="M43" i="91"/>
  <c r="N43" i="91" s="1"/>
  <c r="W50" i="91"/>
  <c r="X50" i="91" s="1"/>
  <c r="AK50" i="91" s="1"/>
  <c r="M50" i="91"/>
  <c r="M49" i="91"/>
  <c r="N49" i="91" s="1"/>
  <c r="W40" i="91"/>
  <c r="X40" i="91" s="1"/>
  <c r="M42" i="91"/>
  <c r="M17" i="91"/>
  <c r="M51" i="91"/>
  <c r="N51" i="91" s="1"/>
  <c r="M46" i="91"/>
  <c r="M38" i="91"/>
  <c r="U46" i="91"/>
  <c r="U30" i="91"/>
  <c r="U31" i="91" s="1"/>
  <c r="AA27" i="91"/>
  <c r="W43" i="91"/>
  <c r="X43" i="91" s="1"/>
  <c r="AK43" i="91" s="1"/>
  <c r="U38" i="91"/>
  <c r="M27" i="91"/>
  <c r="M28" i="91" s="1"/>
  <c r="M20" i="91"/>
  <c r="N20" i="91" s="1"/>
  <c r="U17" i="91"/>
  <c r="Z20" i="91"/>
  <c r="W20" i="91"/>
  <c r="X20" i="91" s="1"/>
  <c r="AK20" i="91" s="1"/>
  <c r="M18" i="91"/>
  <c r="W18" i="91" l="1"/>
  <c r="X18" i="91" s="1"/>
  <c r="Z18" i="91"/>
  <c r="U44" i="91"/>
  <c r="X36" i="91"/>
  <c r="AK35" i="91"/>
  <c r="U53" i="91"/>
  <c r="U21" i="91"/>
  <c r="U61" i="91"/>
  <c r="M61" i="91"/>
  <c r="U32" i="91"/>
  <c r="U25" i="91"/>
  <c r="U60" i="91"/>
  <c r="N30" i="91"/>
  <c r="N31" i="91" s="1"/>
  <c r="N55" i="91"/>
  <c r="N59" i="91" s="1"/>
  <c r="M59" i="91"/>
  <c r="W55" i="91"/>
  <c r="X55" i="91" s="1"/>
  <c r="U59" i="91"/>
  <c r="M44" i="91"/>
  <c r="W24" i="91"/>
  <c r="X24" i="91" s="1"/>
  <c r="M25" i="91"/>
  <c r="M32" i="91"/>
  <c r="Z24" i="91"/>
  <c r="N50" i="91"/>
  <c r="M60" i="91"/>
  <c r="M53" i="91"/>
  <c r="N18" i="91"/>
  <c r="N61" i="91" s="1"/>
  <c r="M21" i="91"/>
  <c r="W27" i="91"/>
  <c r="X27" i="91" s="1"/>
  <c r="X28" i="91" s="1"/>
  <c r="Y28" i="91" s="1"/>
  <c r="Y39" i="91"/>
  <c r="Z27" i="91"/>
  <c r="Y20" i="93"/>
  <c r="N19" i="93"/>
  <c r="N20" i="93"/>
  <c r="W47" i="91"/>
  <c r="X47" i="91" s="1"/>
  <c r="Y47" i="91" s="1"/>
  <c r="AA30" i="91"/>
  <c r="Y41" i="91"/>
  <c r="Y40" i="91"/>
  <c r="Z57" i="91"/>
  <c r="W57" i="91"/>
  <c r="X57" i="91" s="1"/>
  <c r="W17" i="91"/>
  <c r="X17" i="91" s="1"/>
  <c r="N57" i="91"/>
  <c r="Y35" i="91"/>
  <c r="Y56" i="91"/>
  <c r="N38" i="91"/>
  <c r="Y43" i="91"/>
  <c r="Y58" i="91"/>
  <c r="N17" i="91"/>
  <c r="N35" i="91"/>
  <c r="N36" i="91" s="1"/>
  <c r="N42" i="91"/>
  <c r="Z42" i="91"/>
  <c r="Z52" i="91"/>
  <c r="W19" i="91"/>
  <c r="X19" i="91" s="1"/>
  <c r="AK19" i="91" s="1"/>
  <c r="Z19" i="91"/>
  <c r="Y42" i="91"/>
  <c r="W52" i="91"/>
  <c r="X52" i="91" s="1"/>
  <c r="AK52" i="91" s="1"/>
  <c r="W49" i="91"/>
  <c r="X49" i="91" s="1"/>
  <c r="W51" i="91"/>
  <c r="X51" i="91" s="1"/>
  <c r="AA58" i="91"/>
  <c r="AA57" i="91"/>
  <c r="AA56" i="91"/>
  <c r="AA55" i="91"/>
  <c r="Z55" i="91"/>
  <c r="N48" i="91"/>
  <c r="W48" i="91"/>
  <c r="X48" i="91" s="1"/>
  <c r="AK48" i="91" s="1"/>
  <c r="Z48" i="91"/>
  <c r="AA48" i="91"/>
  <c r="AA49" i="91"/>
  <c r="AA52" i="91"/>
  <c r="AA47" i="91"/>
  <c r="AA46" i="91"/>
  <c r="W46" i="91"/>
  <c r="X46" i="91" s="1"/>
  <c r="AK46" i="91" s="1"/>
  <c r="AA51" i="91"/>
  <c r="N24" i="91"/>
  <c r="W30" i="91"/>
  <c r="X30" i="91" s="1"/>
  <c r="X31" i="91" s="1"/>
  <c r="Y50" i="91"/>
  <c r="N46" i="91"/>
  <c r="Y20" i="91"/>
  <c r="Z30" i="91"/>
  <c r="AA35" i="91"/>
  <c r="Z17" i="91"/>
  <c r="Z46" i="91"/>
  <c r="AA42" i="91"/>
  <c r="AA41" i="91"/>
  <c r="AA40" i="91"/>
  <c r="AA39" i="91"/>
  <c r="AA43" i="91"/>
  <c r="AA38" i="91"/>
  <c r="Z38" i="91"/>
  <c r="W38" i="91"/>
  <c r="X38" i="91" s="1"/>
  <c r="X44" i="91" s="1"/>
  <c r="N27" i="91"/>
  <c r="N28" i="91" s="1"/>
  <c r="Y17" i="91"/>
  <c r="AA20" i="91"/>
  <c r="AA19" i="91"/>
  <c r="AA18" i="91"/>
  <c r="Y51" i="91" l="1"/>
  <c r="AK51" i="91"/>
  <c r="Y49" i="91"/>
  <c r="AK49" i="91"/>
  <c r="AK18" i="91"/>
  <c r="Y18" i="91"/>
  <c r="Z20" i="93"/>
  <c r="AA20" i="93" s="1"/>
  <c r="Y27" i="91"/>
  <c r="X61" i="91"/>
  <c r="X53" i="91"/>
  <c r="Y53" i="91" s="1"/>
  <c r="X21" i="91"/>
  <c r="Y21" i="91" s="1"/>
  <c r="X59" i="91"/>
  <c r="X60" i="91"/>
  <c r="Y60" i="91" s="1"/>
  <c r="Y24" i="91"/>
  <c r="N25" i="91"/>
  <c r="N32" i="91"/>
  <c r="X32" i="91"/>
  <c r="Y32" i="91" s="1"/>
  <c r="X25" i="91"/>
  <c r="Y25" i="91" s="1"/>
  <c r="Y55" i="91"/>
  <c r="N44" i="91"/>
  <c r="N60" i="91"/>
  <c r="N53" i="91"/>
  <c r="N21" i="91"/>
  <c r="Y59" i="91"/>
  <c r="Y57" i="91"/>
  <c r="Y31" i="91"/>
  <c r="Y52" i="91"/>
  <c r="Y19" i="91"/>
  <c r="Y30" i="91"/>
  <c r="Y48" i="91"/>
  <c r="Y46" i="91"/>
  <c r="Y36" i="91"/>
  <c r="Y38" i="91"/>
  <c r="Y44" i="91"/>
  <c r="Y61" i="91" l="1"/>
  <c r="Z61" i="91" s="1"/>
  <c r="AA61" i="91" s="1"/>
  <c r="AL66" i="91"/>
  <c r="D21" i="95"/>
  <c r="E21" i="95" l="1"/>
  <c r="F23" i="95" l="1"/>
  <c r="F21" i="95"/>
  <c r="D30" i="95"/>
  <c r="E30" i="95" l="1"/>
  <c r="F30" i="95" s="1"/>
  <c r="F28" i="95"/>
  <c r="AK38" i="91" l="1"/>
  <c r="AK61" i="91"/>
</calcChain>
</file>

<file path=xl/sharedStrings.xml><?xml version="1.0" encoding="utf-8"?>
<sst xmlns="http://schemas.openxmlformats.org/spreadsheetml/2006/main" count="653" uniqueCount="320">
  <si>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</si>
  <si>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</si>
  <si>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</si>
  <si>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</si>
  <si>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</si>
  <si>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</si>
  <si>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</si>
  <si>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</si>
  <si>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</si>
  <si>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</si>
  <si>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</si>
  <si>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</si>
  <si>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</si>
  <si>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</si>
  <si>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</si>
  <si>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</si>
  <si>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</si>
  <si>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</si>
  <si>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</si>
  <si>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</si>
  <si>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</si>
  <si>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</si>
  <si>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</si>
  <si>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</si>
  <si>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</si>
  <si>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</si>
  <si>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</si>
  <si>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</si>
  <si>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</si>
  <si>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</si>
  <si>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</si>
  <si>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</si>
  <si>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</si>
  <si>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</si>
  <si>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</si>
  <si>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</si>
  <si>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</si>
  <si>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</si>
  <si>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</si>
  <si>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</si>
  <si>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</si>
  <si>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</si>
  <si>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</si>
  <si>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</si>
  <si>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</si>
  <si>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</si>
  <si>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</si>
  <si>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</si>
  <si>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</si>
  <si>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</si>
  <si>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</si>
  <si>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</si>
  <si>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</si>
  <si>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</si>
  <si>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</si>
  <si>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</si>
  <si>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</si>
  <si>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</si>
  <si>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</si>
  <si>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</si>
  <si>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</si>
  <si>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</si>
  <si>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</si>
  <si>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</si>
  <si>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</si>
  <si>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</si>
  <si>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</si>
  <si>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</si>
  <si>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</si>
  <si>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</si>
  <si>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</si>
  <si>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</si>
  <si>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</si>
  <si>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</si>
  <si>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</si>
  <si>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</si>
  <si>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</si>
  <si>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</si>
  <si>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</si>
  <si>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</si>
  <si>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</si>
  <si>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</si>
  <si>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</si>
  <si>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</si>
  <si>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</si>
  <si>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</si>
  <si>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</si>
  <si>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</si>
  <si>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</si>
  <si>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</si>
  <si>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</si>
  <si>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</si>
  <si>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</si>
  <si>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</si>
  <si>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</si>
  <si>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</si>
  <si>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</si>
  <si>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</si>
  <si>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</si>
  <si>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</si>
  <si>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</si>
  <si>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</si>
  <si>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</si>
  <si>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</si>
  <si>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</si>
  <si>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</si>
  <si>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</si>
  <si>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</si>
  <si>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</si>
  <si>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</si>
  <si>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</si>
  <si>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</si>
  <si>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</si>
  <si>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</si>
  <si>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</si>
  <si>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</si>
  <si>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</si>
  <si>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</si>
  <si>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</si>
  <si>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</si>
  <si>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</si>
  <si>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t>FERNANDA PINHEIRO</t>
  </si>
  <si>
    <t>SILVIA BRITO</t>
  </si>
  <si>
    <t>GRUPO</t>
  </si>
  <si>
    <t>SUBGRUPO</t>
  </si>
  <si>
    <t>1.1</t>
  </si>
  <si>
    <t>AGENCIAMENTO</t>
  </si>
  <si>
    <t>IMPOSTOS</t>
  </si>
  <si>
    <t>Marg.</t>
  </si>
  <si>
    <t>OPERACIONAL</t>
  </si>
  <si>
    <t>ITEM</t>
  </si>
  <si>
    <t>1.1.1</t>
  </si>
  <si>
    <t>1.1.3</t>
  </si>
  <si>
    <t>1.1.4</t>
  </si>
  <si>
    <t>INTERNO</t>
  </si>
  <si>
    <t>SUBTOTAL SUBGRUPO</t>
  </si>
  <si>
    <t>SUBTOTAL GRUPO</t>
  </si>
  <si>
    <t>SUBTOTAL PLANILHA</t>
  </si>
  <si>
    <t>Marg. Lucro</t>
  </si>
  <si>
    <t>Lucro</t>
  </si>
  <si>
    <t>FAT.OGGI</t>
  </si>
  <si>
    <t>FAT.CLIENTE</t>
  </si>
  <si>
    <t xml:space="preserve">CÓDIGO DO JOB: </t>
  </si>
  <si>
    <t>LE_234</t>
  </si>
  <si>
    <t>CLIENTE:</t>
  </si>
  <si>
    <t>LENOVO</t>
  </si>
  <si>
    <t>EVENTO:</t>
  </si>
  <si>
    <t>ESTANDE MAGALU</t>
  </si>
  <si>
    <t>LOCAL:</t>
  </si>
  <si>
    <t>DISTRITO ANHEMBI</t>
  </si>
  <si>
    <t>DATA:</t>
  </si>
  <si>
    <t>26, 27 e 28/03</t>
  </si>
  <si>
    <t>ATENDIMENTO:</t>
  </si>
  <si>
    <t>PRODUTOR:</t>
  </si>
  <si>
    <t>NOME PLANILHA:</t>
  </si>
  <si>
    <t>LE_234_ESTANDE MAGALU</t>
  </si>
  <si>
    <t>INTERNO OGGI</t>
  </si>
  <si>
    <t>INTERNOS</t>
  </si>
  <si>
    <t>CRIAÇÃO DO PROJETO</t>
  </si>
  <si>
    <t xml:space="preserve">PLANEJAMENTO </t>
  </si>
  <si>
    <t>ATENDIMENTO</t>
  </si>
  <si>
    <t>PRODUÇÃO</t>
  </si>
  <si>
    <t>Subtotal INTERNO OGGI</t>
  </si>
  <si>
    <t>2.1</t>
  </si>
  <si>
    <t>CENOGRAFIA</t>
  </si>
  <si>
    <t>ESTANDE</t>
  </si>
  <si>
    <t>2.1.1</t>
  </si>
  <si>
    <t>Subtotal CENOGRAFIA</t>
  </si>
  <si>
    <t>2.2</t>
  </si>
  <si>
    <t>TECNICA</t>
  </si>
  <si>
    <t>2.2.1</t>
  </si>
  <si>
    <t>PAINEL DE LED</t>
  </si>
  <si>
    <t>Subtotal TECNICA</t>
  </si>
  <si>
    <t>Subtotal ESTANDE</t>
  </si>
  <si>
    <t>AVATAR FIGURINHA DA COPA</t>
  </si>
  <si>
    <t>2.3</t>
  </si>
  <si>
    <t>ATIVAÇÃO</t>
  </si>
  <si>
    <t>2.3.1</t>
  </si>
  <si>
    <t>Subtotal ATIVAÇÃO</t>
  </si>
  <si>
    <t>OPERACIONAL ESTANDE</t>
  </si>
  <si>
    <t>3.1</t>
  </si>
  <si>
    <t xml:space="preserve">TAXAS </t>
  </si>
  <si>
    <t>Internet cabeada
Internet cabeada/wi/fi 20 mb</t>
  </si>
  <si>
    <t>3.1.1</t>
  </si>
  <si>
    <t>CREDENCIAIS - RESPONSABILIDADE CLIENTE</t>
  </si>
  <si>
    <t>PONTOS AÉREOS - RESPONSABILIDADE CLIENTE</t>
  </si>
  <si>
    <t>CONSUMO KVAS - RESPONSABILIDADE CLIENTE</t>
  </si>
  <si>
    <t xml:space="preserve">Subtotal TAXAS </t>
  </si>
  <si>
    <t>3.2</t>
  </si>
  <si>
    <t xml:space="preserve">PRODUTOR MONTAGEM / DESMONTAGEM / SERVIÇOS </t>
  </si>
  <si>
    <t>PRODUTOR OPERACIONAL</t>
  </si>
  <si>
    <t>PROMOTOR</t>
  </si>
  <si>
    <t>LIMPEZA</t>
  </si>
  <si>
    <t>CARREGADORES</t>
  </si>
  <si>
    <t>SEGURANÇA</t>
  </si>
  <si>
    <t>STAFF</t>
  </si>
  <si>
    <t>3.2.1</t>
  </si>
  <si>
    <t>3.2.2</t>
  </si>
  <si>
    <t>3.2.4</t>
  </si>
  <si>
    <t>3.2.5</t>
  </si>
  <si>
    <t>3.2.6</t>
  </si>
  <si>
    <t>Subtotal STAFF</t>
  </si>
  <si>
    <t>3.3</t>
  </si>
  <si>
    <t>OPERAÇÃO ESTANDE</t>
  </si>
  <si>
    <t>SEGURO</t>
  </si>
  <si>
    <t>ALIMENTAÇÃO E TRANSPORTE EQUIPE INTERNA</t>
  </si>
  <si>
    <t>TRANSPORTE DE MATERIAIS</t>
  </si>
  <si>
    <t>VERBA DE PRODUÇÃO</t>
  </si>
  <si>
    <t>3.3.1</t>
  </si>
  <si>
    <t>3.3.2</t>
  </si>
  <si>
    <t>3.3.3</t>
  </si>
  <si>
    <t>3.3.4</t>
  </si>
  <si>
    <t>3.3.5</t>
  </si>
  <si>
    <t>3.3.6</t>
  </si>
  <si>
    <t>Subtotal OPERAÇÃO ESTANDE</t>
  </si>
  <si>
    <t>TOTAL LE_234_ESTANDE MAGALU</t>
  </si>
  <si>
    <t>UNFORME PROMOTOR</t>
  </si>
  <si>
    <t>3.4</t>
  </si>
  <si>
    <t>3.4.1</t>
  </si>
  <si>
    <t>3.4.2</t>
  </si>
  <si>
    <t>3.4.3</t>
  </si>
  <si>
    <t>3.4.4</t>
  </si>
  <si>
    <t>Subtotal OPERACIONAL ESTANDE</t>
  </si>
  <si>
    <t xml:space="preserve">BRINDES DE COMBATE </t>
  </si>
  <si>
    <t>ALIMENTAÇÃO E TRANSPORTE PROMOTOR</t>
  </si>
  <si>
    <t xml:space="preserve"> Camisetas polo personalizadas com logo bordado.</t>
  </si>
  <si>
    <t xml:space="preserve">INTERNET
</t>
  </si>
  <si>
    <t>Avatar figurinha, logistica,montagem e desmontagem+1 tecnico.Entrega  de 2 figurinhas impressas.Atendimento de até 360 pax/dia.</t>
  </si>
  <si>
    <t>BRINDE OPÇÃO 1</t>
  </si>
  <si>
    <t xml:space="preserve">Salva celular de pulso com 3 pingentes tematicos/personalizados confeccionado em plastisol emborrachado.
</t>
  </si>
  <si>
    <t>VITOR RISE</t>
  </si>
  <si>
    <t>Brigt and New</t>
  </si>
  <si>
    <t>Painel 3,00x2,00m .P2 .</t>
  </si>
  <si>
    <t>Mwled</t>
  </si>
  <si>
    <t>Mv estandes</t>
  </si>
  <si>
    <t>DECORAÇÃO ESTANDE</t>
  </si>
  <si>
    <t>QUADROS</t>
  </si>
  <si>
    <t>Impressão  de arte</t>
  </si>
  <si>
    <t>Moldura Branca</t>
  </si>
  <si>
    <t>Impressão tamanho A1- 59,4 cm  X 89,1 cm em papel fotográfico.</t>
  </si>
  <si>
    <t>Subtotal QUADROS</t>
  </si>
  <si>
    <t>Moldura branca perfil reto e liso de 2cm frente por 1,1cm de lateral,  em madeira. Incluso acrilico.</t>
  </si>
  <si>
    <t>LE_234_ESTANDE MAGALU EXTRA</t>
  </si>
  <si>
    <t>19H AS 7H</t>
  </si>
  <si>
    <t>7 AS 19H</t>
  </si>
  <si>
    <t>1 DIARIA</t>
  </si>
  <si>
    <t>DIARIA</t>
  </si>
  <si>
    <t>CARREGADOR/LIMPEZA</t>
  </si>
  <si>
    <t>8 AS 19H</t>
  </si>
  <si>
    <t>$ AGENDADO</t>
  </si>
  <si>
    <t>PROD DE MONTAGEM</t>
  </si>
  <si>
    <t>ESTACIONAMENTO</t>
  </si>
  <si>
    <t>VERBA</t>
  </si>
  <si>
    <t>REFEIÇÃO</t>
  </si>
  <si>
    <t>NF</t>
  </si>
  <si>
    <t>RECIBO</t>
  </si>
  <si>
    <t>Pole Zuuk</t>
  </si>
  <si>
    <t>JK PRODUCOES E EVENTOS LTDA</t>
  </si>
  <si>
    <t>Marcelo Bayeux</t>
  </si>
  <si>
    <t>Renata Buzzoni</t>
  </si>
  <si>
    <t>Event Seg</t>
  </si>
  <si>
    <t>Promotora</t>
  </si>
  <si>
    <t>Voltsilk</t>
  </si>
  <si>
    <t>Giovanni</t>
  </si>
  <si>
    <t>3.2.3</t>
  </si>
  <si>
    <t>3.3.8</t>
  </si>
  <si>
    <t>ponto corrente</t>
  </si>
  <si>
    <t>UNIFORME TIME LENOVO</t>
  </si>
  <si>
    <t>SILVIA/fernanda</t>
  </si>
  <si>
    <t>Dalva/baixinho</t>
  </si>
  <si>
    <t>VÍDEO</t>
  </si>
  <si>
    <t>STUDIO ROCA</t>
  </si>
  <si>
    <t>VENDA</t>
  </si>
  <si>
    <t xml:space="preserve">CUSTO </t>
  </si>
  <si>
    <t>LUCRO</t>
  </si>
  <si>
    <t>NOTAS EMITIDAS</t>
  </si>
  <si>
    <r>
      <rPr>
        <b/>
        <sz val="16"/>
        <color theme="1"/>
        <rFont val="Trebuchet MS"/>
        <family val="2"/>
      </rPr>
      <t>CRIAÇÃO DO PROJETO</t>
    </r>
    <r>
      <rPr>
        <sz val="16"/>
        <color theme="1"/>
        <rFont val="Trebuchet MS"/>
        <family val="2"/>
      </rPr>
      <t xml:space="preserve">
Criação do projeto 3D do evento e desdobramento de artes 2Ds para materiais gráficos, etc.</t>
    </r>
  </si>
  <si>
    <r>
      <rPr>
        <b/>
        <sz val="16"/>
        <color theme="1"/>
        <rFont val="Trebuchet MS"/>
        <family val="2"/>
      </rPr>
      <t>PLANEJAMENTO DO PROJETO</t>
    </r>
    <r>
      <rPr>
        <sz val="16"/>
        <color theme="1"/>
        <rFont val="Trebuchet MS"/>
        <family val="2"/>
      </rPr>
      <t xml:space="preserve">
Planejamento de dinâmicas e cronograma do evento.</t>
    </r>
  </si>
  <si>
    <r>
      <rPr>
        <b/>
        <sz val="16"/>
        <color theme="1"/>
        <rFont val="Trebuchet MS"/>
        <family val="2"/>
      </rPr>
      <t>ATENDIMENTO EXCLUSIVO</t>
    </r>
    <r>
      <rPr>
        <sz val="16"/>
        <color theme="1"/>
        <rFont val="Trebuchet MS"/>
        <family val="2"/>
      </rPr>
      <t xml:space="preserve">
01 profissional de atendimento por 01 mes 
Pré-evento, evento e entrega de relatório</t>
    </r>
  </si>
  <si>
    <r>
      <rPr>
        <b/>
        <sz val="16"/>
        <color theme="1"/>
        <rFont val="Trebuchet MS"/>
        <family val="2"/>
      </rPr>
      <t>PRODUTOR EXECUTIVO</t>
    </r>
    <r>
      <rPr>
        <sz val="16"/>
        <color theme="1"/>
        <rFont val="Trebuchet MS"/>
        <family val="2"/>
      </rPr>
      <t xml:space="preserve">
01 profissional de atendimento/produção.
Pré-evento, evento e entrega de relatório</t>
    </r>
  </si>
  <si>
    <r>
      <rPr>
        <b/>
        <sz val="16"/>
        <color theme="1"/>
        <rFont val="Trebuchet MS"/>
        <family val="2"/>
      </rPr>
      <t>CENOGRAFIA</t>
    </r>
    <r>
      <rPr>
        <sz val="16"/>
        <color theme="1"/>
        <rFont val="Trebuchet MS"/>
        <family val="2"/>
      </rPr>
      <t xml:space="preserve">
Contratação de parceiro de Cenografia para execução do projeto enviado (Stand 30m² - 5,0 x 6,0m).Montagem, Evento e Desmontagem</t>
    </r>
  </si>
  <si>
    <r>
      <rPr>
        <b/>
        <sz val="16"/>
        <color theme="1"/>
        <rFont val="Trebuchet MS"/>
        <family val="2"/>
      </rPr>
      <t>PRODUTOR - MONTAGEM E DESMONTAGEM</t>
    </r>
    <r>
      <rPr>
        <sz val="16"/>
        <color theme="1"/>
        <rFont val="Trebuchet MS"/>
        <family val="2"/>
      </rPr>
      <t xml:space="preserve">
01 - Produtor de Montagem e desmontagem</t>
    </r>
  </si>
  <si>
    <r>
      <rPr>
        <b/>
        <sz val="16"/>
        <color theme="1"/>
        <rFont val="Trebuchet MS"/>
        <family val="2"/>
      </rPr>
      <t>PRODUTORES - GERAL</t>
    </r>
    <r>
      <rPr>
        <sz val="16"/>
        <color theme="1"/>
        <rFont val="Trebuchet MS"/>
        <family val="2"/>
      </rPr>
      <t xml:space="preserve">
01 - Produtor Geral</t>
    </r>
  </si>
  <si>
    <r>
      <rPr>
        <b/>
        <sz val="16"/>
        <color theme="1"/>
        <rFont val="Trebuchet MS"/>
        <family val="2"/>
      </rPr>
      <t>PROMOTORES ATIVAÇÕES</t>
    </r>
    <r>
      <rPr>
        <sz val="16"/>
        <color theme="1"/>
        <rFont val="Trebuchet MS"/>
        <family val="2"/>
      </rPr>
      <t xml:space="preserve">
Carga horária: 10 horas</t>
    </r>
  </si>
  <si>
    <r>
      <rPr>
        <b/>
        <sz val="16"/>
        <color theme="1"/>
        <rFont val="Trebuchet MS"/>
        <family val="2"/>
      </rPr>
      <t>LIMPEZA</t>
    </r>
    <r>
      <rPr>
        <sz val="16"/>
        <color theme="1"/>
        <rFont val="Trebuchet MS"/>
        <family val="2"/>
      </rPr>
      <t xml:space="preserve">
Considerado profissionais de limpeza para montagem, evento e desmontagem.Carga horária: 12 horas</t>
    </r>
  </si>
  <si>
    <r>
      <rPr>
        <b/>
        <sz val="16"/>
        <color theme="1"/>
        <rFont val="Trebuchet MS"/>
        <family val="2"/>
      </rPr>
      <t>CARREGADORES</t>
    </r>
    <r>
      <rPr>
        <sz val="16"/>
        <color theme="1"/>
        <rFont val="Trebuchet MS"/>
        <family val="2"/>
      </rPr>
      <t xml:space="preserve">
Considerado carregadores para montagem e desmontagemCarga horária: 12 horas</t>
    </r>
  </si>
  <si>
    <r>
      <rPr>
        <b/>
        <sz val="16"/>
        <color theme="1"/>
        <rFont val="Trebuchet MS"/>
        <family val="2"/>
      </rPr>
      <t xml:space="preserve">SEGURANÇA </t>
    </r>
    <r>
      <rPr>
        <sz val="16"/>
        <color theme="1"/>
        <rFont val="Trebuchet MS"/>
        <family val="2"/>
      </rPr>
      <t>Considerado profissionais de segurança para montagem, evento e desmontagem, sendo:Carga horária: 12 horas</t>
    </r>
  </si>
  <si>
    <r>
      <rPr>
        <b/>
        <sz val="16"/>
        <color theme="1"/>
        <rFont val="Trebuchet MS"/>
        <family val="2"/>
      </rPr>
      <t>SEGURO RC + RD + AP</t>
    </r>
    <r>
      <rPr>
        <sz val="16"/>
        <color theme="1"/>
        <rFont val="Trebuchet MS"/>
        <family val="2"/>
      </rPr>
      <t xml:space="preserve">
Contratação de Seguro</t>
    </r>
  </si>
  <si>
    <r>
      <rPr>
        <b/>
        <sz val="16"/>
        <color theme="1"/>
        <rFont val="Trebuchet MS"/>
        <family val="2"/>
      </rPr>
      <t>ALIMENTAÇÃO E TRANSPORTE EQUIPE INTERNA</t>
    </r>
    <r>
      <rPr>
        <sz val="16"/>
        <color theme="1"/>
        <rFont val="Trebuchet MS"/>
        <family val="2"/>
      </rPr>
      <t xml:space="preserve">
Reserva de verba para alimentação e transporte da equipe interna</t>
    </r>
  </si>
  <si>
    <r>
      <rPr>
        <b/>
        <sz val="16"/>
        <color theme="1"/>
        <rFont val="Trebuchet MS"/>
        <family val="2"/>
      </rPr>
      <t>ALIMENTAÇÃO E TRANSPORTE STAFF</t>
    </r>
    <r>
      <rPr>
        <sz val="16"/>
        <color theme="1"/>
        <rFont val="Trebuchet MS"/>
        <family val="2"/>
      </rPr>
      <t xml:space="preserve">
Reserva de verba para alimentação e transporte da equipe</t>
    </r>
  </si>
  <si>
    <r>
      <rPr>
        <b/>
        <sz val="16"/>
        <color theme="1"/>
        <rFont val="Trebuchet MS"/>
        <family val="2"/>
      </rPr>
      <t>UNIFORME STAFF</t>
    </r>
    <r>
      <rPr>
        <sz val="16"/>
        <color theme="1"/>
        <rFont val="Trebuchet MS"/>
        <family val="2"/>
      </rPr>
      <t xml:space="preserve">
Produção de camisa polo preta com personalização conforme layout</t>
    </r>
  </si>
  <si>
    <r>
      <rPr>
        <b/>
        <sz val="16"/>
        <color theme="1"/>
        <rFont val="Trebuchet MS"/>
        <family val="2"/>
      </rPr>
      <t>TRANSPORTE DE MATERIAIS</t>
    </r>
    <r>
      <rPr>
        <sz val="16"/>
        <color theme="1"/>
        <rFont val="Trebuchet MS"/>
        <family val="2"/>
      </rPr>
      <t xml:space="preserve">
Reserva de verba para transporte de materiais (brindes, insumos, etc)</t>
    </r>
  </si>
  <si>
    <r>
      <rPr>
        <b/>
        <sz val="16"/>
        <color theme="1"/>
        <rFont val="Trebuchet MS"/>
        <family val="2"/>
      </rPr>
      <t>VERBA DE PRODUÇÃO</t>
    </r>
    <r>
      <rPr>
        <sz val="16"/>
        <color theme="1"/>
        <rFont val="Trebuchet MS"/>
        <family val="2"/>
      </rPr>
      <t xml:space="preserve">
Reserva de verba para custos operacionais</t>
    </r>
  </si>
  <si>
    <r>
      <rPr>
        <b/>
        <sz val="16"/>
        <color theme="1"/>
        <rFont val="Trebuchet MS"/>
        <family val="2"/>
      </rPr>
      <t>CREDENCIAIS</t>
    </r>
    <r>
      <rPr>
        <sz val="16"/>
        <color theme="1"/>
        <rFont val="Trebuchet MS"/>
        <family val="2"/>
      </rPr>
      <t xml:space="preserve">
Compra de credenciais STAFF</t>
    </r>
  </si>
  <si>
    <r>
      <rPr>
        <b/>
        <sz val="16"/>
        <color theme="1"/>
        <rFont val="Trebuchet MS"/>
        <family val="2"/>
      </rPr>
      <t>PONTOS AÉREOS</t>
    </r>
    <r>
      <rPr>
        <sz val="16"/>
        <color theme="1"/>
        <rFont val="Trebuchet MS"/>
        <family val="2"/>
      </rPr>
      <t xml:space="preserve">
Taxa de utilização de pontos aéreos</t>
    </r>
  </si>
  <si>
    <r>
      <rPr>
        <b/>
        <sz val="16"/>
        <color theme="1"/>
        <rFont val="Trebuchet MS"/>
        <family val="2"/>
      </rPr>
      <t>PONTOS ELÉTRICOS</t>
    </r>
    <r>
      <rPr>
        <sz val="16"/>
        <color theme="1"/>
        <rFont val="Trebuchet MS"/>
        <family val="2"/>
      </rPr>
      <t xml:space="preserve">
Taxa de consumo de KVAs</t>
    </r>
  </si>
  <si>
    <t xml:space="preserve">NOME </t>
  </si>
  <si>
    <t>GABRIEL VITOR</t>
  </si>
  <si>
    <t>DA ORIKASSA</t>
  </si>
  <si>
    <t>RONALDO TRIGUEIRO</t>
  </si>
  <si>
    <t>BRUNO MELO</t>
  </si>
  <si>
    <t>MARCELO BAYEUX</t>
  </si>
  <si>
    <t>JK PRODUCOES</t>
  </si>
  <si>
    <t>OFFICE BRASIL</t>
  </si>
  <si>
    <t>HERING - DIBAZE</t>
  </si>
  <si>
    <t>VICTOR HENRIQUE</t>
  </si>
  <si>
    <t>MILENA DI PAULA</t>
  </si>
  <si>
    <t>MW LED</t>
  </si>
  <si>
    <t>POLE &amp; ZUUK</t>
  </si>
  <si>
    <t>THIAGO GOMES</t>
  </si>
  <si>
    <t>HTH LOCAÇÃO</t>
  </si>
  <si>
    <t xml:space="preserve">BERKLEY - CHUBB </t>
  </si>
  <si>
    <t>SK COPIADORA</t>
  </si>
  <si>
    <t xml:space="preserve">SILVIA BRITO </t>
  </si>
  <si>
    <t>PRINCIPAL</t>
  </si>
  <si>
    <t>EXTRAS</t>
  </si>
  <si>
    <t>NOTA DE DÉBITO - 248</t>
  </si>
  <si>
    <t>NOTA FISCAL - 2830</t>
  </si>
  <si>
    <t>IMPOSTO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</si>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</sst>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14"/>
      <name val="Trebuchet MS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1"/>
      <color theme="1"/>
      <name val="Trebuchet MS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0"/>
      <name val="Trebuchet MS"/>
      <family val="2"/>
    </font>
    <font>
      <b/>
      <sz val="11"/>
      <name val="Trebuchet MS"/>
      <family val="2"/>
    </font>
    <font>
      <sz val="11"/>
      <color theme="1"/>
      <name val="Trebuchet MS"/>
      <family val="2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b/>
      <sz val="16"/>
      <color rgb="FFFF000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FF0000"/>
      <name val="Trebuchet MS"/>
      <family val="2"/>
    </font>
    <font>
      <b/>
      <sz val="18"/>
      <color theme="1"/>
      <name val="Trebuchet MS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Gadugi"/>
      <family val="2"/>
    </font>
    <font>
      <b/>
      <sz val="14"/>
      <color indexed="63"/>
      <name val="Trebuchet MS"/>
      <family val="2"/>
    </font>
    <font>
      <sz val="14"/>
      <color theme="0"/>
      <name val="Calibri"/>
      <family val="2"/>
      <scheme val="minor"/>
    </font>
    <font>
      <sz val="14"/>
      <color theme="1"/>
      <name val="Trebuchet MS"/>
      <family val="2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01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1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6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9" fillId="4" borderId="35" xfId="0" applyFont="1" applyFill="1" applyBorder="1"/>
    <xf numFmtId="0" fontId="9" fillId="4" borderId="36" xfId="0" applyFont="1" applyFill="1" applyBorder="1"/>
    <xf numFmtId="164" fontId="5" fillId="0" borderId="0" xfId="2" applyNumberFormat="1" applyFont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6" fillId="8" borderId="42" xfId="0" applyFont="1" applyFill="1" applyBorder="1" applyAlignment="1">
      <alignment horizontal="center" vertical="center"/>
    </xf>
    <xf numFmtId="22" fontId="14" fillId="8" borderId="42" xfId="0" applyNumberFormat="1" applyFont="1" applyFill="1" applyBorder="1" applyAlignment="1">
      <alignment horizontal="center" vertical="center"/>
    </xf>
    <xf numFmtId="0" fontId="18" fillId="8" borderId="43" xfId="0" applyFont="1" applyFill="1" applyBorder="1" applyAlignment="1">
      <alignment horizontal="center" vertical="center" wrapText="1"/>
    </xf>
    <xf numFmtId="0" fontId="18" fillId="8" borderId="44" xfId="0" applyFont="1" applyFill="1" applyBorder="1" applyAlignment="1">
      <alignment horizontal="center" vertical="center" wrapText="1"/>
    </xf>
    <xf numFmtId="164" fontId="5" fillId="0" borderId="20" xfId="2" applyNumberFormat="1" applyFont="1" applyBorder="1" applyAlignment="1" applyProtection="1">
      <alignment horizontal="left" vertical="center"/>
      <protection locked="0"/>
    </xf>
    <xf numFmtId="164" fontId="5" fillId="0" borderId="31" xfId="2" applyNumberFormat="1" applyFont="1" applyBorder="1" applyAlignment="1" applyProtection="1">
      <alignment horizontal="left" vertical="center"/>
      <protection locked="0"/>
    </xf>
    <xf numFmtId="164" fontId="5" fillId="0" borderId="39" xfId="2" applyNumberFormat="1" applyFont="1" applyBorder="1" applyAlignment="1" applyProtection="1">
      <alignment horizontal="left" vertical="center"/>
      <protection locked="0"/>
    </xf>
    <xf numFmtId="0" fontId="23" fillId="15" borderId="6" xfId="0" applyFont="1" applyFill="1" applyBorder="1"/>
    <xf numFmtId="0" fontId="23" fillId="15" borderId="37" xfId="0" applyFont="1" applyFill="1" applyBorder="1"/>
    <xf numFmtId="44" fontId="23" fillId="15" borderId="37" xfId="0" applyNumberFormat="1" applyFont="1" applyFill="1" applyBorder="1"/>
    <xf numFmtId="9" fontId="23" fillId="15" borderId="14" xfId="1" applyFont="1" applyFill="1" applyBorder="1"/>
    <xf numFmtId="164" fontId="5" fillId="0" borderId="19" xfId="2" applyNumberFormat="1" applyFont="1" applyBorder="1" applyAlignment="1" applyProtection="1">
      <alignment horizontal="left" vertical="center"/>
      <protection locked="0"/>
    </xf>
    <xf numFmtId="164" fontId="5" fillId="0" borderId="30" xfId="2" applyNumberFormat="1" applyFont="1" applyBorder="1" applyAlignment="1" applyProtection="1">
      <alignment horizontal="left" vertical="center"/>
      <protection locked="0"/>
    </xf>
    <xf numFmtId="0" fontId="5" fillId="0" borderId="23" xfId="2" applyFont="1" applyBorder="1" applyAlignment="1" applyProtection="1">
      <alignment horizontal="left" vertical="center"/>
      <protection locked="0"/>
    </xf>
    <xf numFmtId="0" fontId="5" fillId="0" borderId="26" xfId="2" applyFont="1" applyBorder="1" applyAlignment="1" applyProtection="1">
      <alignment horizontal="left" vertical="center"/>
      <protection locked="0"/>
    </xf>
    <xf numFmtId="170" fontId="22" fillId="10" borderId="0" xfId="0" applyNumberFormat="1" applyFont="1" applyFill="1" applyAlignment="1">
      <alignment horizontal="right"/>
    </xf>
    <xf numFmtId="170" fontId="22" fillId="10" borderId="18" xfId="0" applyNumberFormat="1" applyFont="1" applyFill="1" applyBorder="1" applyAlignment="1">
      <alignment horizontal="right"/>
    </xf>
    <xf numFmtId="44" fontId="0" fillId="0" borderId="0" xfId="0" applyNumberFormat="1"/>
    <xf numFmtId="0" fontId="26" fillId="0" borderId="0" xfId="0" applyFont="1"/>
    <xf numFmtId="44" fontId="22" fillId="10" borderId="0" xfId="0" applyNumberFormat="1" applyFont="1" applyFill="1" applyAlignment="1">
      <alignment horizontal="right"/>
    </xf>
    <xf numFmtId="44" fontId="13" fillId="14" borderId="0" xfId="0" applyNumberFormat="1" applyFont="1" applyFill="1"/>
    <xf numFmtId="44" fontId="13" fillId="13" borderId="0" xfId="0" applyNumberFormat="1" applyFont="1" applyFill="1"/>
    <xf numFmtId="44" fontId="13" fillId="13" borderId="0" xfId="8" applyFont="1" applyFill="1" applyBorder="1"/>
    <xf numFmtId="0" fontId="0" fillId="0" borderId="62" xfId="0" applyBorder="1"/>
    <xf numFmtId="0" fontId="12" fillId="19" borderId="12" xfId="0" applyFont="1" applyFill="1" applyBorder="1" applyAlignment="1">
      <alignment horizontal="center"/>
    </xf>
    <xf numFmtId="16" fontId="0" fillId="0" borderId="64" xfId="0" applyNumberFormat="1" applyBorder="1"/>
    <xf numFmtId="0" fontId="12" fillId="19" borderId="0" xfId="0" applyFont="1" applyFill="1" applyAlignment="1">
      <alignment horizontal="center"/>
    </xf>
    <xf numFmtId="16" fontId="0" fillId="0" borderId="74" xfId="0" applyNumberFormat="1" applyBorder="1"/>
    <xf numFmtId="0" fontId="0" fillId="0" borderId="75" xfId="0" applyBorder="1"/>
    <xf numFmtId="44" fontId="0" fillId="0" borderId="7" xfId="8" applyFont="1" applyBorder="1"/>
    <xf numFmtId="44" fontId="0" fillId="0" borderId="7" xfId="8" applyFont="1" applyFill="1" applyBorder="1"/>
    <xf numFmtId="44" fontId="0" fillId="0" borderId="86" xfId="8" applyFont="1" applyFill="1" applyBorder="1"/>
    <xf numFmtId="0" fontId="12" fillId="19" borderId="89" xfId="0" applyFont="1" applyFill="1" applyBorder="1" applyAlignment="1">
      <alignment horizontal="center"/>
    </xf>
    <xf numFmtId="0" fontId="0" fillId="0" borderId="63" xfId="0" applyBorder="1"/>
    <xf numFmtId="44" fontId="0" fillId="0" borderId="61" xfId="8" applyFont="1" applyFill="1" applyBorder="1"/>
    <xf numFmtId="0" fontId="0" fillId="0" borderId="62" xfId="0" applyBorder="1" applyAlignment="1">
      <alignment horizontal="center"/>
    </xf>
    <xf numFmtId="44" fontId="0" fillId="0" borderId="7" xfId="8" applyFont="1" applyFill="1" applyBorder="1" applyAlignment="1">
      <alignment horizontal="center"/>
    </xf>
    <xf numFmtId="44" fontId="0" fillId="0" borderId="92" xfId="0" applyNumberFormat="1" applyBorder="1" applyAlignment="1">
      <alignment horizontal="center"/>
    </xf>
    <xf numFmtId="44" fontId="0" fillId="0" borderId="93" xfId="0" applyNumberFormat="1" applyBorder="1" applyAlignment="1">
      <alignment horizontal="center"/>
    </xf>
    <xf numFmtId="0" fontId="0" fillId="0" borderId="75" xfId="0" applyBorder="1" applyAlignment="1">
      <alignment horizontal="center"/>
    </xf>
    <xf numFmtId="0" fontId="0" fillId="20" borderId="84" xfId="0" applyFill="1" applyBorder="1" applyAlignment="1">
      <alignment horizontal="center"/>
    </xf>
    <xf numFmtId="0" fontId="0" fillId="20" borderId="89" xfId="0" applyFill="1" applyBorder="1" applyAlignment="1">
      <alignment horizontal="center"/>
    </xf>
    <xf numFmtId="0" fontId="0" fillId="21" borderId="0" xfId="0" applyFill="1"/>
    <xf numFmtId="0" fontId="0" fillId="0" borderId="87" xfId="0" applyBorder="1"/>
    <xf numFmtId="0" fontId="0" fillId="0" borderId="90" xfId="0" applyBorder="1"/>
    <xf numFmtId="44" fontId="0" fillId="22" borderId="0" xfId="0" applyNumberFormat="1" applyFill="1"/>
    <xf numFmtId="44" fontId="23" fillId="15" borderId="94" xfId="0" applyNumberFormat="1" applyFont="1" applyFill="1" applyBorder="1"/>
    <xf numFmtId="44" fontId="23" fillId="15" borderId="96" xfId="8" applyFont="1" applyFill="1" applyBorder="1"/>
    <xf numFmtId="0" fontId="20" fillId="0" borderId="0" xfId="0" applyFont="1"/>
    <xf numFmtId="0" fontId="20" fillId="0" borderId="0" xfId="0" applyFont="1" applyAlignment="1">
      <alignment horizontal="center"/>
    </xf>
    <xf numFmtId="16" fontId="20" fillId="23" borderId="11" xfId="0" applyNumberFormat="1" applyFont="1" applyFill="1" applyBorder="1"/>
    <xf numFmtId="16" fontId="20" fillId="23" borderId="12" xfId="0" applyNumberFormat="1" applyFont="1" applyFill="1" applyBorder="1"/>
    <xf numFmtId="16" fontId="20" fillId="22" borderId="14" xfId="0" applyNumberFormat="1" applyFont="1" applyFill="1" applyBorder="1"/>
    <xf numFmtId="16" fontId="20" fillId="22" borderId="15" xfId="0" applyNumberFormat="1" applyFont="1" applyFill="1" applyBorder="1"/>
    <xf numFmtId="0" fontId="20" fillId="24" borderId="17" xfId="0" applyFont="1" applyFill="1" applyBorder="1" applyAlignment="1">
      <alignment horizontal="right"/>
    </xf>
    <xf numFmtId="0" fontId="20" fillId="24" borderId="0" xfId="0" applyFont="1" applyFill="1" applyAlignment="1">
      <alignment horizontal="right"/>
    </xf>
    <xf numFmtId="0" fontId="27" fillId="19" borderId="14" xfId="0" applyFont="1" applyFill="1" applyBorder="1"/>
    <xf numFmtId="0" fontId="27" fillId="19" borderId="15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24" fillId="25" borderId="62" xfId="0" applyFont="1" applyFill="1" applyBorder="1" applyAlignment="1">
      <alignment horizontal="center"/>
    </xf>
    <xf numFmtId="0" fontId="29" fillId="0" borderId="0" xfId="0" applyFont="1" applyAlignment="1">
      <alignment horizontal="center"/>
    </xf>
    <xf numFmtId="164" fontId="28" fillId="0" borderId="62" xfId="2" applyNumberFormat="1" applyFont="1" applyBorder="1" applyAlignment="1" applyProtection="1">
      <alignment horizontal="left" vertical="center"/>
      <protection locked="0"/>
    </xf>
    <xf numFmtId="44" fontId="24" fillId="0" borderId="62" xfId="0" applyNumberFormat="1" applyFont="1" applyBorder="1"/>
    <xf numFmtId="9" fontId="24" fillId="0" borderId="62" xfId="1" applyFont="1" applyBorder="1" applyAlignment="1">
      <alignment horizontal="center"/>
    </xf>
    <xf numFmtId="44" fontId="24" fillId="25" borderId="62" xfId="0" applyNumberFormat="1" applyFont="1" applyFill="1" applyBorder="1" applyAlignment="1">
      <alignment horizontal="center"/>
    </xf>
    <xf numFmtId="0" fontId="21" fillId="0" borderId="50" xfId="0" applyFont="1" applyBorder="1"/>
    <xf numFmtId="170" fontId="21" fillId="0" borderId="97" xfId="0" applyNumberFormat="1" applyFont="1" applyBorder="1" applyAlignment="1">
      <alignment horizontal="center"/>
    </xf>
    <xf numFmtId="44" fontId="21" fillId="0" borderId="97" xfId="0" applyNumberFormat="1" applyFont="1" applyBorder="1"/>
    <xf numFmtId="170" fontId="21" fillId="0" borderId="97" xfId="0" applyNumberFormat="1" applyFont="1" applyBorder="1"/>
    <xf numFmtId="9" fontId="21" fillId="0" borderId="49" xfId="1" applyFont="1" applyBorder="1" applyAlignment="1">
      <alignment horizontal="center"/>
    </xf>
    <xf numFmtId="0" fontId="21" fillId="0" borderId="98" xfId="0" applyFont="1" applyBorder="1"/>
    <xf numFmtId="170" fontId="21" fillId="0" borderId="99" xfId="0" applyNumberFormat="1" applyFont="1" applyBorder="1" applyAlignment="1">
      <alignment horizontal="center"/>
    </xf>
    <xf numFmtId="170" fontId="21" fillId="0" borderId="100" xfId="0" applyNumberFormat="1" applyFont="1" applyBorder="1"/>
    <xf numFmtId="0" fontId="21" fillId="0" borderId="0" xfId="0" applyFont="1"/>
    <xf numFmtId="170" fontId="21" fillId="25" borderId="73" xfId="0" applyNumberFormat="1" applyFont="1" applyFill="1" applyBorder="1" applyAlignment="1">
      <alignment horizontal="center"/>
    </xf>
    <xf numFmtId="44" fontId="21" fillId="25" borderId="62" xfId="0" applyNumberFormat="1" applyFont="1" applyFill="1" applyBorder="1"/>
    <xf numFmtId="170" fontId="21" fillId="25" borderId="62" xfId="0" applyNumberFormat="1" applyFont="1" applyFill="1" applyBorder="1"/>
    <xf numFmtId="44" fontId="20" fillId="0" borderId="0" xfId="0" applyNumberFormat="1" applyFont="1"/>
    <xf numFmtId="170" fontId="20" fillId="0" borderId="0" xfId="0" applyNumberFormat="1" applyFont="1"/>
    <xf numFmtId="49" fontId="30" fillId="0" borderId="0" xfId="2" applyNumberFormat="1" applyFont="1" applyAlignment="1">
      <alignment horizontal="left" vertical="center" wrapText="1"/>
    </xf>
    <xf numFmtId="0" fontId="30" fillId="0" borderId="0" xfId="2" applyFont="1" applyAlignment="1">
      <alignment horizontal="left" vertical="center" wrapText="1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164" fontId="30" fillId="0" borderId="0" xfId="2" applyNumberFormat="1" applyFont="1" applyAlignment="1">
      <alignment horizontal="left" vertical="center"/>
    </xf>
    <xf numFmtId="164" fontId="30" fillId="0" borderId="20" xfId="2" applyNumberFormat="1" applyFont="1" applyBorder="1" applyAlignment="1" applyProtection="1">
      <alignment horizontal="left" vertical="center"/>
      <protection locked="0"/>
    </xf>
    <xf numFmtId="164" fontId="30" fillId="0" borderId="19" xfId="2" applyNumberFormat="1" applyFont="1" applyBorder="1" applyAlignment="1" applyProtection="1">
      <alignment horizontal="left" vertical="center"/>
      <protection locked="0"/>
    </xf>
    <xf numFmtId="164" fontId="30" fillId="0" borderId="31" xfId="2" applyNumberFormat="1" applyFont="1" applyBorder="1" applyAlignment="1" applyProtection="1">
      <alignment horizontal="left" vertical="center"/>
      <protection locked="0"/>
    </xf>
    <xf numFmtId="164" fontId="30" fillId="0" borderId="30" xfId="2" applyNumberFormat="1" applyFont="1" applyBorder="1" applyAlignment="1" applyProtection="1">
      <alignment horizontal="left" vertical="center"/>
      <protection locked="0"/>
    </xf>
    <xf numFmtId="0" fontId="30" fillId="0" borderId="23" xfId="2" applyFont="1" applyBorder="1" applyAlignment="1" applyProtection="1">
      <alignment horizontal="left" vertical="center"/>
      <protection locked="0"/>
    </xf>
    <xf numFmtId="14" fontId="30" fillId="0" borderId="30" xfId="2" applyNumberFormat="1" applyFont="1" applyBorder="1" applyAlignment="1" applyProtection="1">
      <alignment horizontal="left" vertical="center"/>
      <protection locked="0"/>
    </xf>
    <xf numFmtId="164" fontId="30" fillId="0" borderId="39" xfId="2" applyNumberFormat="1" applyFont="1" applyBorder="1" applyAlignment="1" applyProtection="1">
      <alignment horizontal="left" vertical="center"/>
      <protection locked="0"/>
    </xf>
    <xf numFmtId="0" fontId="30" fillId="0" borderId="26" xfId="2" applyFont="1" applyBorder="1" applyAlignment="1" applyProtection="1">
      <alignment horizontal="left" vertical="center"/>
      <protection locked="0"/>
    </xf>
    <xf numFmtId="49" fontId="26" fillId="0" borderId="0" xfId="0" applyNumberFormat="1" applyFont="1"/>
    <xf numFmtId="0" fontId="26" fillId="0" borderId="0" xfId="1" applyNumberFormat="1" applyFont="1"/>
    <xf numFmtId="165" fontId="32" fillId="6" borderId="38" xfId="4" applyFont="1" applyFill="1" applyBorder="1" applyAlignment="1">
      <alignment horizontal="center" vertical="center" wrapText="1"/>
    </xf>
    <xf numFmtId="168" fontId="33" fillId="0" borderId="5" xfId="1" applyNumberFormat="1" applyFont="1" applyBorder="1"/>
    <xf numFmtId="166" fontId="32" fillId="0" borderId="40" xfId="4" applyNumberFormat="1" applyFont="1" applyBorder="1" applyAlignment="1">
      <alignment horizontal="center" vertical="center" wrapText="1"/>
    </xf>
    <xf numFmtId="0" fontId="34" fillId="5" borderId="0" xfId="0" applyFont="1" applyFill="1"/>
    <xf numFmtId="49" fontId="34" fillId="5" borderId="0" xfId="0" applyNumberFormat="1" applyFont="1" applyFill="1"/>
    <xf numFmtId="0" fontId="35" fillId="0" borderId="0" xfId="0" applyFont="1"/>
    <xf numFmtId="0" fontId="36" fillId="0" borderId="45" xfId="0" applyFont="1" applyBorder="1" applyAlignment="1">
      <alignment horizontal="left" vertical="center"/>
    </xf>
    <xf numFmtId="49" fontId="36" fillId="0" borderId="46" xfId="0" applyNumberFormat="1" applyFont="1" applyBorder="1" applyAlignment="1">
      <alignment horizontal="left" vertical="center"/>
    </xf>
    <xf numFmtId="0" fontId="36" fillId="0" borderId="47" xfId="0" applyFont="1" applyBorder="1" applyAlignment="1">
      <alignment horizontal="left" vertical="center"/>
    </xf>
    <xf numFmtId="0" fontId="36" fillId="0" borderId="45" xfId="0" applyFont="1" applyBorder="1" applyAlignment="1">
      <alignment horizontal="left" vertical="center" wrapText="1"/>
    </xf>
    <xf numFmtId="0" fontId="30" fillId="6" borderId="66" xfId="3" applyFont="1" applyFill="1" applyBorder="1" applyAlignment="1">
      <alignment horizontal="left" vertical="center"/>
    </xf>
    <xf numFmtId="0" fontId="30" fillId="6" borderId="58" xfId="3" applyFont="1" applyFill="1" applyBorder="1" applyAlignment="1">
      <alignment horizontal="center" vertical="center"/>
    </xf>
    <xf numFmtId="0" fontId="34" fillId="6" borderId="55" xfId="3" applyFont="1" applyFill="1" applyBorder="1" applyAlignment="1">
      <alignment horizontal="center" vertical="center"/>
    </xf>
    <xf numFmtId="169" fontId="34" fillId="6" borderId="55" xfId="3" applyNumberFormat="1" applyFont="1" applyFill="1" applyBorder="1" applyAlignment="1">
      <alignment horizontal="center" vertical="center" wrapText="1"/>
    </xf>
    <xf numFmtId="0" fontId="34" fillId="6" borderId="56" xfId="3" applyFont="1" applyFill="1" applyBorder="1" applyAlignment="1">
      <alignment horizontal="center" vertical="center" wrapText="1"/>
    </xf>
    <xf numFmtId="9" fontId="34" fillId="6" borderId="54" xfId="1" applyFont="1" applyFill="1" applyBorder="1" applyAlignment="1">
      <alignment horizontal="center" vertical="center" wrapText="1"/>
    </xf>
    <xf numFmtId="10" fontId="34" fillId="6" borderId="55" xfId="1" applyNumberFormat="1" applyFont="1" applyFill="1" applyBorder="1" applyAlignment="1">
      <alignment horizontal="center" vertical="center" wrapText="1"/>
    </xf>
    <xf numFmtId="0" fontId="34" fillId="6" borderId="57" xfId="3" applyFont="1" applyFill="1" applyBorder="1" applyAlignment="1">
      <alignment horizontal="center" vertical="center" wrapText="1"/>
    </xf>
    <xf numFmtId="37" fontId="32" fillId="6" borderId="54" xfId="3" applyNumberFormat="1" applyFont="1" applyFill="1" applyBorder="1" applyAlignment="1">
      <alignment horizontal="center" vertical="center"/>
    </xf>
    <xf numFmtId="37" fontId="32" fillId="6" borderId="55" xfId="3" applyNumberFormat="1" applyFont="1" applyFill="1" applyBorder="1" applyAlignment="1">
      <alignment horizontal="center" vertical="center"/>
    </xf>
    <xf numFmtId="40" fontId="32" fillId="6" borderId="55" xfId="4" applyNumberFormat="1" applyFont="1" applyFill="1" applyBorder="1" applyAlignment="1">
      <alignment horizontal="center" vertical="center"/>
    </xf>
    <xf numFmtId="165" fontId="32" fillId="6" borderId="55" xfId="4" applyFont="1" applyFill="1" applyBorder="1" applyAlignment="1">
      <alignment horizontal="right" vertical="center"/>
    </xf>
    <xf numFmtId="40" fontId="32" fillId="6" borderId="55" xfId="4" applyNumberFormat="1" applyFont="1" applyFill="1" applyBorder="1" applyAlignment="1">
      <alignment horizontal="center" vertical="center" wrapText="1"/>
    </xf>
    <xf numFmtId="10" fontId="32" fillId="6" borderId="55" xfId="5" applyNumberFormat="1" applyFont="1" applyFill="1" applyBorder="1" applyAlignment="1">
      <alignment horizontal="center" vertical="center" wrapText="1"/>
    </xf>
    <xf numFmtId="165" fontId="32" fillId="6" borderId="55" xfId="4" applyFont="1" applyFill="1" applyBorder="1" applyAlignment="1">
      <alignment horizontal="center" vertical="center" wrapText="1"/>
    </xf>
    <xf numFmtId="165" fontId="32" fillId="6" borderId="57" xfId="4" applyFont="1" applyFill="1" applyBorder="1" applyAlignment="1">
      <alignment horizontal="center" vertical="center" wrapText="1"/>
    </xf>
    <xf numFmtId="10" fontId="32" fillId="6" borderId="48" xfId="5" applyNumberFormat="1" applyFont="1" applyFill="1" applyBorder="1" applyAlignment="1">
      <alignment horizontal="center" vertical="center" wrapText="1"/>
    </xf>
    <xf numFmtId="10" fontId="32" fillId="6" borderId="49" xfId="5" applyNumberFormat="1" applyFont="1" applyFill="1" applyBorder="1" applyAlignment="1">
      <alignment horizontal="center" vertical="center" wrapText="1"/>
    </xf>
    <xf numFmtId="165" fontId="32" fillId="6" borderId="50" xfId="4" applyFont="1" applyFill="1" applyBorder="1" applyAlignment="1">
      <alignment horizontal="center" vertical="center" wrapText="1"/>
    </xf>
    <xf numFmtId="165" fontId="32" fillId="6" borderId="49" xfId="4" applyFont="1" applyFill="1" applyBorder="1" applyAlignment="1">
      <alignment horizontal="center" vertical="center" wrapText="1"/>
    </xf>
    <xf numFmtId="37" fontId="32" fillId="6" borderId="3" xfId="3" applyNumberFormat="1" applyFont="1" applyFill="1" applyBorder="1" applyAlignment="1">
      <alignment horizontal="center" vertical="center"/>
    </xf>
    <xf numFmtId="40" fontId="32" fillId="6" borderId="51" xfId="4" applyNumberFormat="1" applyFont="1" applyFill="1" applyBorder="1" applyAlignment="1">
      <alignment horizontal="center" vertical="center"/>
    </xf>
    <xf numFmtId="166" fontId="37" fillId="6" borderId="52" xfId="4" applyNumberFormat="1" applyFont="1" applyFill="1" applyBorder="1" applyAlignment="1">
      <alignment horizontal="center" vertical="center" wrapText="1"/>
    </xf>
    <xf numFmtId="166" fontId="38" fillId="6" borderId="53" xfId="4" applyNumberFormat="1" applyFont="1" applyFill="1" applyBorder="1" applyAlignment="1">
      <alignment horizontal="center" vertical="center" wrapText="1"/>
    </xf>
    <xf numFmtId="49" fontId="36" fillId="0" borderId="46" xfId="0" applyNumberFormat="1" applyFont="1" applyBorder="1" applyAlignment="1">
      <alignment horizontal="left" vertical="center" wrapText="1"/>
    </xf>
    <xf numFmtId="0" fontId="36" fillId="0" borderId="47" xfId="0" applyFont="1" applyBorder="1" applyAlignment="1">
      <alignment horizontal="left" vertical="center" wrapText="1"/>
    </xf>
    <xf numFmtId="0" fontId="34" fillId="11" borderId="56" xfId="0" applyFont="1" applyFill="1" applyBorder="1" applyAlignment="1">
      <alignment horizontal="center" vertical="center"/>
    </xf>
    <xf numFmtId="0" fontId="34" fillId="11" borderId="55" xfId="0" applyFont="1" applyFill="1" applyBorder="1" applyAlignment="1">
      <alignment horizontal="center" vertical="center"/>
    </xf>
    <xf numFmtId="0" fontId="34" fillId="11" borderId="70" xfId="0" applyFont="1" applyFill="1" applyBorder="1" applyAlignment="1">
      <alignment horizontal="center" vertical="center"/>
    </xf>
    <xf numFmtId="0" fontId="33" fillId="11" borderId="10" xfId="0" applyFont="1" applyFill="1" applyBorder="1" applyAlignment="1">
      <alignment horizontal="center" vertical="center"/>
    </xf>
    <xf numFmtId="0" fontId="33" fillId="11" borderId="62" xfId="0" applyFont="1" applyFill="1" applyBorder="1" applyAlignment="1">
      <alignment horizontal="center" vertical="center"/>
    </xf>
    <xf numFmtId="0" fontId="34" fillId="17" borderId="52" xfId="0" applyFont="1" applyFill="1" applyBorder="1" applyAlignment="1">
      <alignment horizontal="left" vertical="center" wrapText="1"/>
    </xf>
    <xf numFmtId="0" fontId="36" fillId="0" borderId="63" xfId="0" applyFont="1" applyBorder="1" applyAlignment="1">
      <alignment horizontal="left" vertical="center" wrapText="1"/>
    </xf>
    <xf numFmtId="0" fontId="36" fillId="0" borderId="63" xfId="0" applyFont="1" applyBorder="1" applyAlignment="1">
      <alignment horizontal="center" vertical="center"/>
    </xf>
    <xf numFmtId="0" fontId="36" fillId="16" borderId="63" xfId="0" applyFont="1" applyFill="1" applyBorder="1" applyAlignment="1">
      <alignment horizontal="center" vertical="center"/>
    </xf>
    <xf numFmtId="44" fontId="36" fillId="0" borderId="63" xfId="8" applyFont="1" applyBorder="1" applyAlignment="1">
      <alignment vertical="center"/>
    </xf>
    <xf numFmtId="44" fontId="36" fillId="0" borderId="53" xfId="8" applyFont="1" applyBorder="1" applyAlignment="1">
      <alignment vertical="center"/>
    </xf>
    <xf numFmtId="1" fontId="36" fillId="12" borderId="64" xfId="0" applyNumberFormat="1" applyFont="1" applyFill="1" applyBorder="1" applyAlignment="1">
      <alignment horizontal="center" vertical="center"/>
    </xf>
    <xf numFmtId="1" fontId="36" fillId="12" borderId="62" xfId="0" applyNumberFormat="1" applyFont="1" applyFill="1" applyBorder="1" applyAlignment="1">
      <alignment horizontal="center" vertical="center"/>
    </xf>
    <xf numFmtId="44" fontId="36" fillId="12" borderId="62" xfId="8" applyFont="1" applyFill="1" applyBorder="1" applyAlignment="1">
      <alignment vertical="center"/>
    </xf>
    <xf numFmtId="44" fontId="36" fillId="14" borderId="62" xfId="8" applyFont="1" applyFill="1" applyBorder="1" applyAlignment="1">
      <alignment vertical="center"/>
    </xf>
    <xf numFmtId="9" fontId="36" fillId="13" borderId="62" xfId="1" applyFont="1" applyFill="1" applyBorder="1" applyAlignment="1">
      <alignment vertical="center"/>
    </xf>
    <xf numFmtId="44" fontId="36" fillId="13" borderId="62" xfId="8" applyFont="1" applyFill="1" applyBorder="1" applyAlignment="1">
      <alignment vertical="center"/>
    </xf>
    <xf numFmtId="44" fontId="36" fillId="13" borderId="65" xfId="8" applyFont="1" applyFill="1" applyBorder="1" applyAlignment="1">
      <alignment vertical="center"/>
    </xf>
    <xf numFmtId="10" fontId="36" fillId="14" borderId="10" xfId="0" applyNumberFormat="1" applyFont="1" applyFill="1" applyBorder="1" applyAlignment="1">
      <alignment horizontal="center" vertical="center"/>
    </xf>
    <xf numFmtId="10" fontId="36" fillId="14" borderId="62" xfId="0" applyNumberFormat="1" applyFont="1" applyFill="1" applyBorder="1" applyAlignment="1">
      <alignment horizontal="center" vertical="center"/>
    </xf>
    <xf numFmtId="44" fontId="39" fillId="0" borderId="62" xfId="8" applyFont="1" applyBorder="1"/>
    <xf numFmtId="44" fontId="40" fillId="0" borderId="62" xfId="8" applyFont="1" applyBorder="1"/>
    <xf numFmtId="0" fontId="34" fillId="0" borderId="52" xfId="0" applyFont="1" applyBorder="1" applyAlignment="1">
      <alignment horizontal="left" vertical="center" wrapText="1"/>
    </xf>
    <xf numFmtId="0" fontId="36" fillId="16" borderId="63" xfId="0" applyFont="1" applyFill="1" applyBorder="1" applyAlignment="1">
      <alignment horizontal="left" vertical="center" wrapText="1"/>
    </xf>
    <xf numFmtId="44" fontId="36" fillId="0" borderId="62" xfId="8" applyFont="1" applyBorder="1" applyAlignment="1">
      <alignment vertical="center"/>
    </xf>
    <xf numFmtId="44" fontId="36" fillId="0" borderId="65" xfId="8" applyFont="1" applyBorder="1" applyAlignment="1">
      <alignment vertical="center"/>
    </xf>
    <xf numFmtId="44" fontId="23" fillId="9" borderId="0" xfId="0" applyNumberFormat="1" applyFont="1" applyFill="1" applyAlignment="1">
      <alignment horizontal="right"/>
    </xf>
    <xf numFmtId="44" fontId="23" fillId="9" borderId="18" xfId="0" applyNumberFormat="1" applyFont="1" applyFill="1" applyBorder="1" applyAlignment="1">
      <alignment horizontal="right"/>
    </xf>
    <xf numFmtId="44" fontId="23" fillId="9" borderId="63" xfId="0" applyNumberFormat="1" applyFont="1" applyFill="1" applyBorder="1" applyAlignment="1">
      <alignment horizontal="right"/>
    </xf>
    <xf numFmtId="44" fontId="34" fillId="14" borderId="63" xfId="0" applyNumberFormat="1" applyFont="1" applyFill="1" applyBorder="1"/>
    <xf numFmtId="0" fontId="26" fillId="13" borderId="63" xfId="0" applyFont="1" applyFill="1" applyBorder="1"/>
    <xf numFmtId="44" fontId="34" fillId="13" borderId="63" xfId="0" applyNumberFormat="1" applyFont="1" applyFill="1" applyBorder="1"/>
    <xf numFmtId="44" fontId="34" fillId="13" borderId="53" xfId="8" applyFont="1" applyFill="1" applyBorder="1"/>
    <xf numFmtId="170" fontId="23" fillId="10" borderId="0" xfId="0" applyNumberFormat="1" applyFont="1" applyFill="1" applyAlignment="1">
      <alignment horizontal="right"/>
    </xf>
    <xf numFmtId="170" fontId="23" fillId="10" borderId="18" xfId="0" applyNumberFormat="1" applyFont="1" applyFill="1" applyBorder="1" applyAlignment="1">
      <alignment horizontal="right"/>
    </xf>
    <xf numFmtId="44" fontId="23" fillId="10" borderId="62" xfId="0" applyNumberFormat="1" applyFont="1" applyFill="1" applyBorder="1" applyAlignment="1">
      <alignment horizontal="right"/>
    </xf>
    <xf numFmtId="44" fontId="34" fillId="14" borderId="62" xfId="0" applyNumberFormat="1" applyFont="1" applyFill="1" applyBorder="1"/>
    <xf numFmtId="0" fontId="26" fillId="13" borderId="62" xfId="0" applyFont="1" applyFill="1" applyBorder="1"/>
    <xf numFmtId="44" fontId="34" fillId="13" borderId="62" xfId="0" applyNumberFormat="1" applyFont="1" applyFill="1" applyBorder="1"/>
    <xf numFmtId="44" fontId="34" fillId="13" borderId="65" xfId="8" applyFont="1" applyFill="1" applyBorder="1"/>
    <xf numFmtId="44" fontId="36" fillId="16" borderId="63" xfId="8" applyFont="1" applyFill="1" applyBorder="1" applyAlignment="1">
      <alignment vertical="center"/>
    </xf>
    <xf numFmtId="0" fontId="36" fillId="16" borderId="33" xfId="0" applyFont="1" applyFill="1" applyBorder="1" applyAlignment="1">
      <alignment horizontal="left" vertical="center" wrapText="1"/>
    </xf>
    <xf numFmtId="170" fontId="23" fillId="10" borderId="15" xfId="0" applyNumberFormat="1" applyFont="1" applyFill="1" applyBorder="1" applyAlignment="1">
      <alignment horizontal="right"/>
    </xf>
    <xf numFmtId="170" fontId="23" fillId="10" borderId="71" xfId="0" applyNumberFormat="1" applyFont="1" applyFill="1" applyBorder="1" applyAlignment="1">
      <alignment horizontal="right"/>
    </xf>
    <xf numFmtId="0" fontId="34" fillId="17" borderId="54" xfId="0" applyFont="1" applyFill="1" applyBorder="1" applyAlignment="1">
      <alignment horizontal="left" vertical="center" wrapText="1"/>
    </xf>
    <xf numFmtId="0" fontId="36" fillId="16" borderId="55" xfId="0" applyFont="1" applyFill="1" applyBorder="1" applyAlignment="1">
      <alignment horizontal="left" vertical="top" wrapText="1"/>
    </xf>
    <xf numFmtId="0" fontId="36" fillId="16" borderId="55" xfId="0" applyFont="1" applyFill="1" applyBorder="1" applyAlignment="1">
      <alignment horizontal="center" vertical="center"/>
    </xf>
    <xf numFmtId="44" fontId="36" fillId="16" borderId="55" xfId="8" applyFont="1" applyFill="1" applyBorder="1" applyAlignment="1">
      <alignment vertical="center"/>
    </xf>
    <xf numFmtId="44" fontId="36" fillId="0" borderId="55" xfId="8" applyFont="1" applyBorder="1" applyAlignment="1">
      <alignment vertical="center"/>
    </xf>
    <xf numFmtId="44" fontId="36" fillId="0" borderId="57" xfId="8" applyFont="1" applyBorder="1" applyAlignment="1">
      <alignment vertical="center"/>
    </xf>
    <xf numFmtId="1" fontId="36" fillId="12" borderId="52" xfId="0" applyNumberFormat="1" applyFont="1" applyFill="1" applyBorder="1" applyAlignment="1">
      <alignment horizontal="center" vertical="center"/>
    </xf>
    <xf numFmtId="1" fontId="36" fillId="12" borderId="63" xfId="0" applyNumberFormat="1" applyFont="1" applyFill="1" applyBorder="1" applyAlignment="1">
      <alignment horizontal="center" vertical="center"/>
    </xf>
    <xf numFmtId="44" fontId="36" fillId="12" borderId="63" xfId="8" applyFont="1" applyFill="1" applyBorder="1" applyAlignment="1">
      <alignment vertical="center"/>
    </xf>
    <xf numFmtId="44" fontId="36" fillId="14" borderId="63" xfId="8" applyFont="1" applyFill="1" applyBorder="1" applyAlignment="1">
      <alignment vertical="center"/>
    </xf>
    <xf numFmtId="9" fontId="36" fillId="13" borderId="63" xfId="1" applyFont="1" applyFill="1" applyBorder="1" applyAlignment="1">
      <alignment vertical="center"/>
    </xf>
    <xf numFmtId="44" fontId="36" fillId="13" borderId="63" xfId="8" applyFont="1" applyFill="1" applyBorder="1" applyAlignment="1">
      <alignment vertical="center"/>
    </xf>
    <xf numFmtId="44" fontId="36" fillId="13" borderId="53" xfId="8" applyFont="1" applyFill="1" applyBorder="1" applyAlignment="1">
      <alignment vertical="center"/>
    </xf>
    <xf numFmtId="0" fontId="36" fillId="0" borderId="72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44" fontId="23" fillId="10" borderId="73" xfId="0" applyNumberFormat="1" applyFont="1" applyFill="1" applyBorder="1" applyAlignment="1">
      <alignment horizontal="right"/>
    </xf>
    <xf numFmtId="44" fontId="34" fillId="14" borderId="73" xfId="0" applyNumberFormat="1" applyFont="1" applyFill="1" applyBorder="1"/>
    <xf numFmtId="0" fontId="26" fillId="13" borderId="73" xfId="0" applyFont="1" applyFill="1" applyBorder="1"/>
    <xf numFmtId="44" fontId="34" fillId="13" borderId="73" xfId="0" applyNumberFormat="1" applyFont="1" applyFill="1" applyBorder="1"/>
    <xf numFmtId="44" fontId="34" fillId="13" borderId="81" xfId="8" applyFont="1" applyFill="1" applyBorder="1"/>
    <xf numFmtId="44" fontId="26" fillId="0" borderId="0" xfId="0" applyNumberFormat="1" applyFont="1"/>
    <xf numFmtId="0" fontId="36" fillId="0" borderId="55" xfId="0" applyFont="1" applyBorder="1" applyAlignment="1">
      <alignment horizontal="left" vertical="center" wrapText="1"/>
    </xf>
    <xf numFmtId="0" fontId="36" fillId="0" borderId="55" xfId="0" applyFont="1" applyBorder="1" applyAlignment="1">
      <alignment horizontal="center" vertical="center"/>
    </xf>
    <xf numFmtId="0" fontId="36" fillId="0" borderId="59" xfId="0" applyFont="1" applyBorder="1" applyAlignment="1">
      <alignment horizontal="left" vertical="center" wrapText="1"/>
    </xf>
    <xf numFmtId="0" fontId="36" fillId="0" borderId="76" xfId="0" applyFont="1" applyBorder="1" applyAlignment="1">
      <alignment horizontal="left" vertical="center" wrapText="1"/>
    </xf>
    <xf numFmtId="0" fontId="36" fillId="0" borderId="77" xfId="0" applyFont="1" applyBorder="1" applyAlignment="1">
      <alignment horizontal="left" vertical="center" wrapText="1"/>
    </xf>
    <xf numFmtId="0" fontId="36" fillId="0" borderId="80" xfId="0" applyFont="1" applyBorder="1" applyAlignment="1">
      <alignment horizontal="left" vertical="center" wrapText="1"/>
    </xf>
    <xf numFmtId="0" fontId="36" fillId="16" borderId="62" xfId="0" applyFont="1" applyFill="1" applyBorder="1" applyAlignment="1">
      <alignment horizontal="left" vertical="center" wrapText="1"/>
    </xf>
    <xf numFmtId="0" fontId="36" fillId="16" borderId="62" xfId="0" applyFont="1" applyFill="1" applyBorder="1" applyAlignment="1">
      <alignment horizontal="center" vertical="center"/>
    </xf>
    <xf numFmtId="44" fontId="36" fillId="16" borderId="62" xfId="8" applyFont="1" applyFill="1" applyBorder="1" applyAlignment="1">
      <alignment vertical="center"/>
    </xf>
    <xf numFmtId="44" fontId="36" fillId="0" borderId="73" xfId="8" applyFont="1" applyBorder="1" applyAlignment="1">
      <alignment vertical="center"/>
    </xf>
    <xf numFmtId="44" fontId="36" fillId="0" borderId="81" xfId="8" applyFont="1" applyBorder="1" applyAlignment="1">
      <alignment vertical="center"/>
    </xf>
    <xf numFmtId="0" fontId="30" fillId="17" borderId="62" xfId="0" applyFont="1" applyFill="1" applyBorder="1" applyAlignment="1">
      <alignment horizontal="left" vertical="center" wrapText="1"/>
    </xf>
    <xf numFmtId="0" fontId="34" fillId="0" borderId="62" xfId="0" applyFont="1" applyBorder="1" applyAlignment="1">
      <alignment horizontal="left" vertical="center" wrapText="1"/>
    </xf>
    <xf numFmtId="0" fontId="36" fillId="0" borderId="62" xfId="0" applyFont="1" applyBorder="1" applyAlignment="1">
      <alignment horizontal="left" vertical="center" wrapText="1"/>
    </xf>
    <xf numFmtId="0" fontId="36" fillId="0" borderId="62" xfId="0" applyFont="1" applyBorder="1" applyAlignment="1">
      <alignment horizontal="center" vertical="center"/>
    </xf>
    <xf numFmtId="10" fontId="36" fillId="14" borderId="33" xfId="0" applyNumberFormat="1" applyFont="1" applyFill="1" applyBorder="1" applyAlignment="1">
      <alignment horizontal="center" vertical="center"/>
    </xf>
    <xf numFmtId="0" fontId="36" fillId="0" borderId="63" xfId="0" applyFont="1" applyBorder="1" applyAlignment="1">
      <alignment vertical="center"/>
    </xf>
    <xf numFmtId="1" fontId="36" fillId="12" borderId="64" xfId="0" applyNumberFormat="1" applyFont="1" applyFill="1" applyBorder="1" applyAlignment="1">
      <alignment vertical="center"/>
    </xf>
    <xf numFmtId="1" fontId="36" fillId="12" borderId="62" xfId="0" applyNumberFormat="1" applyFont="1" applyFill="1" applyBorder="1" applyAlignment="1">
      <alignment vertical="center"/>
    </xf>
    <xf numFmtId="0" fontId="36" fillId="16" borderId="63" xfId="0" applyFont="1" applyFill="1" applyBorder="1" applyAlignment="1">
      <alignment vertical="center"/>
    </xf>
    <xf numFmtId="44" fontId="36" fillId="16" borderId="53" xfId="8" applyFont="1" applyFill="1" applyBorder="1" applyAlignment="1">
      <alignment vertical="center"/>
    </xf>
    <xf numFmtId="44" fontId="34" fillId="13" borderId="61" xfId="8" applyFont="1" applyFill="1" applyBorder="1"/>
    <xf numFmtId="44" fontId="23" fillId="15" borderId="11" xfId="8" applyFont="1" applyFill="1" applyBorder="1" applyAlignment="1">
      <alignment horizontal="center"/>
    </xf>
    <xf numFmtId="44" fontId="23" fillId="15" borderId="95" xfId="8" applyFont="1" applyFill="1" applyBorder="1" applyAlignment="1">
      <alignment horizontal="center"/>
    </xf>
    <xf numFmtId="0" fontId="36" fillId="0" borderId="60" xfId="0" applyFont="1" applyBorder="1" applyAlignment="1">
      <alignment horizontal="left" vertical="center" wrapText="1"/>
    </xf>
    <xf numFmtId="4" fontId="26" fillId="0" borderId="0" xfId="0" applyNumberFormat="1" applyFont="1" applyAlignment="1">
      <alignment horizontal="center" vertical="center"/>
    </xf>
    <xf numFmtId="44" fontId="0" fillId="0" borderId="0" xfId="8" applyFont="1"/>
    <xf numFmtId="0" fontId="2" fillId="11" borderId="0" xfId="0" applyFont="1" applyFill="1"/>
    <xf numFmtId="44" fontId="2" fillId="11" borderId="0" xfId="8" applyFont="1" applyFill="1"/>
    <xf numFmtId="0" fontId="33" fillId="0" borderId="0" xfId="0" applyFont="1"/>
    <xf numFmtId="14" fontId="5" fillId="0" borderId="30" xfId="2" applyNumberFormat="1" applyFont="1" applyBorder="1" applyAlignment="1" applyProtection="1">
      <alignment horizontal="left" vertical="center"/>
      <protection locked="0"/>
    </xf>
    <xf numFmtId="164" fontId="4" fillId="0" borderId="20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0" fontId="4" fillId="0" borderId="23" xfId="2" applyFont="1" applyBorder="1" applyAlignment="1" applyProtection="1">
      <alignment horizontal="left" vertical="center"/>
      <protection locked="0"/>
    </xf>
    <xf numFmtId="1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/>
      <protection locked="0"/>
    </xf>
    <xf numFmtId="0" fontId="41" fillId="0" borderId="0" xfId="0" applyFont="1"/>
    <xf numFmtId="0" fontId="42" fillId="0" borderId="0" xfId="0" applyFont="1" applyAlignment="1">
      <alignment horizontal="left"/>
    </xf>
    <xf numFmtId="44" fontId="41" fillId="0" borderId="0" xfId="0" applyNumberFormat="1" applyFont="1"/>
    <xf numFmtId="0" fontId="43" fillId="0" borderId="0" xfId="0" applyFont="1" applyAlignment="1">
      <alignment horizontal="left"/>
    </xf>
    <xf numFmtId="9" fontId="44" fillId="0" borderId="0" xfId="1" applyFont="1"/>
    <xf numFmtId="0" fontId="44" fillId="0" borderId="0" xfId="0" applyFont="1"/>
    <xf numFmtId="0" fontId="45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5" fillId="0" borderId="0" xfId="2" applyFont="1" applyAlignment="1">
      <alignment horizontal="left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5" fillId="0" borderId="0" xfId="0" applyFont="1" applyAlignment="1">
      <alignment horizontal="center"/>
    </xf>
    <xf numFmtId="0" fontId="47" fillId="0" borderId="0" xfId="0" applyFont="1" applyAlignment="1">
      <alignment horizontal="center"/>
    </xf>
    <xf numFmtId="49" fontId="45" fillId="0" borderId="0" xfId="0" applyNumberFormat="1" applyFont="1"/>
    <xf numFmtId="0" fontId="45" fillId="0" borderId="0" xfId="1" applyNumberFormat="1" applyFont="1"/>
    <xf numFmtId="165" fontId="48" fillId="6" borderId="38" xfId="4" applyFont="1" applyFill="1" applyBorder="1" applyAlignment="1">
      <alignment horizontal="center" vertical="center" wrapText="1"/>
    </xf>
    <xf numFmtId="168" fontId="46" fillId="0" borderId="5" xfId="1" applyNumberFormat="1" applyFont="1" applyBorder="1"/>
    <xf numFmtId="166" fontId="48" fillId="0" borderId="40" xfId="4" applyNumberFormat="1" applyFont="1" applyBorder="1" applyAlignment="1">
      <alignment horizontal="center" vertical="center" wrapText="1"/>
    </xf>
    <xf numFmtId="0" fontId="13" fillId="5" borderId="0" xfId="0" applyFont="1" applyFill="1"/>
    <xf numFmtId="49" fontId="13" fillId="5" borderId="0" xfId="0" applyNumberFormat="1" applyFont="1" applyFill="1"/>
    <xf numFmtId="0" fontId="49" fillId="0" borderId="0" xfId="0" applyFont="1"/>
    <xf numFmtId="0" fontId="50" fillId="0" borderId="45" xfId="0" applyFont="1" applyBorder="1" applyAlignment="1">
      <alignment horizontal="left" vertical="center"/>
    </xf>
    <xf numFmtId="49" fontId="50" fillId="0" borderId="46" xfId="0" applyNumberFormat="1" applyFont="1" applyBorder="1" applyAlignment="1">
      <alignment horizontal="left" vertical="center"/>
    </xf>
    <xf numFmtId="0" fontId="50" fillId="0" borderId="47" xfId="0" applyFont="1" applyBorder="1" applyAlignment="1">
      <alignment horizontal="left" vertical="center"/>
    </xf>
    <xf numFmtId="0" fontId="50" fillId="0" borderId="45" xfId="0" applyFont="1" applyBorder="1" applyAlignment="1">
      <alignment horizontal="left" vertical="center" wrapText="1"/>
    </xf>
    <xf numFmtId="0" fontId="5" fillId="6" borderId="66" xfId="3" applyFont="1" applyFill="1" applyBorder="1" applyAlignment="1">
      <alignment horizontal="left" vertical="center"/>
    </xf>
    <xf numFmtId="0" fontId="5" fillId="6" borderId="58" xfId="3" applyFont="1" applyFill="1" applyBorder="1" applyAlignment="1">
      <alignment horizontal="center" vertical="center"/>
    </xf>
    <xf numFmtId="0" fontId="13" fillId="6" borderId="55" xfId="3" applyFont="1" applyFill="1" applyBorder="1" applyAlignment="1">
      <alignment horizontal="center" vertical="center"/>
    </xf>
    <xf numFmtId="169" fontId="13" fillId="6" borderId="55" xfId="3" applyNumberFormat="1" applyFont="1" applyFill="1" applyBorder="1" applyAlignment="1">
      <alignment horizontal="center" vertical="center" wrapText="1"/>
    </xf>
    <xf numFmtId="0" fontId="13" fillId="6" borderId="56" xfId="3" applyFont="1" applyFill="1" applyBorder="1" applyAlignment="1">
      <alignment horizontal="center" vertical="center" wrapText="1"/>
    </xf>
    <xf numFmtId="9" fontId="13" fillId="6" borderId="54" xfId="1" applyFont="1" applyFill="1" applyBorder="1" applyAlignment="1">
      <alignment horizontal="center" vertical="center" wrapText="1"/>
    </xf>
    <xf numFmtId="10" fontId="13" fillId="6" borderId="55" xfId="1" applyNumberFormat="1" applyFont="1" applyFill="1" applyBorder="1" applyAlignment="1">
      <alignment horizontal="center" vertical="center" wrapText="1"/>
    </xf>
    <xf numFmtId="0" fontId="13" fillId="6" borderId="57" xfId="3" applyFont="1" applyFill="1" applyBorder="1" applyAlignment="1">
      <alignment horizontal="center" vertical="center" wrapText="1"/>
    </xf>
    <xf numFmtId="37" fontId="48" fillId="6" borderId="54" xfId="3" applyNumberFormat="1" applyFont="1" applyFill="1" applyBorder="1" applyAlignment="1">
      <alignment horizontal="center" vertical="center"/>
    </xf>
    <xf numFmtId="37" fontId="48" fillId="6" borderId="55" xfId="3" applyNumberFormat="1" applyFont="1" applyFill="1" applyBorder="1" applyAlignment="1">
      <alignment horizontal="center" vertical="center"/>
    </xf>
    <xf numFmtId="40" fontId="48" fillId="6" borderId="55" xfId="4" applyNumberFormat="1" applyFont="1" applyFill="1" applyBorder="1" applyAlignment="1">
      <alignment horizontal="center" vertical="center"/>
    </xf>
    <xf numFmtId="165" fontId="48" fillId="6" borderId="55" xfId="4" applyFont="1" applyFill="1" applyBorder="1" applyAlignment="1">
      <alignment horizontal="right" vertical="center"/>
    </xf>
    <xf numFmtId="40" fontId="48" fillId="6" borderId="55" xfId="4" applyNumberFormat="1" applyFont="1" applyFill="1" applyBorder="1" applyAlignment="1">
      <alignment horizontal="center" vertical="center" wrapText="1"/>
    </xf>
    <xf numFmtId="10" fontId="48" fillId="6" borderId="55" xfId="5" applyNumberFormat="1" applyFont="1" applyFill="1" applyBorder="1" applyAlignment="1">
      <alignment horizontal="center" vertical="center" wrapText="1"/>
    </xf>
    <xf numFmtId="165" fontId="48" fillId="6" borderId="55" xfId="4" applyFont="1" applyFill="1" applyBorder="1" applyAlignment="1">
      <alignment horizontal="center" vertical="center" wrapText="1"/>
    </xf>
    <xf numFmtId="165" fontId="48" fillId="6" borderId="57" xfId="4" applyFont="1" applyFill="1" applyBorder="1" applyAlignment="1">
      <alignment horizontal="center" vertical="center" wrapText="1"/>
    </xf>
    <xf numFmtId="10" fontId="48" fillId="6" borderId="48" xfId="5" applyNumberFormat="1" applyFont="1" applyFill="1" applyBorder="1" applyAlignment="1">
      <alignment horizontal="center" vertical="center" wrapText="1"/>
    </xf>
    <xf numFmtId="10" fontId="48" fillId="6" borderId="49" xfId="5" applyNumberFormat="1" applyFont="1" applyFill="1" applyBorder="1" applyAlignment="1">
      <alignment horizontal="center" vertical="center" wrapText="1"/>
    </xf>
    <xf numFmtId="165" fontId="48" fillId="6" borderId="50" xfId="4" applyFont="1" applyFill="1" applyBorder="1" applyAlignment="1">
      <alignment horizontal="center" vertical="center" wrapText="1"/>
    </xf>
    <xf numFmtId="165" fontId="48" fillId="6" borderId="49" xfId="4" applyFont="1" applyFill="1" applyBorder="1" applyAlignment="1">
      <alignment horizontal="center" vertical="center" wrapText="1"/>
    </xf>
    <xf numFmtId="37" fontId="48" fillId="6" borderId="3" xfId="3" applyNumberFormat="1" applyFont="1" applyFill="1" applyBorder="1" applyAlignment="1">
      <alignment horizontal="center" vertical="center"/>
    </xf>
    <xf numFmtId="40" fontId="48" fillId="6" borderId="51" xfId="4" applyNumberFormat="1" applyFont="1" applyFill="1" applyBorder="1" applyAlignment="1">
      <alignment horizontal="center" vertical="center"/>
    </xf>
    <xf numFmtId="166" fontId="51" fillId="6" borderId="52" xfId="4" applyNumberFormat="1" applyFont="1" applyFill="1" applyBorder="1" applyAlignment="1">
      <alignment horizontal="center" vertical="center" wrapText="1"/>
    </xf>
    <xf numFmtId="166" fontId="52" fillId="6" borderId="53" xfId="4" applyNumberFormat="1" applyFont="1" applyFill="1" applyBorder="1" applyAlignment="1">
      <alignment horizontal="center" vertical="center" wrapText="1"/>
    </xf>
    <xf numFmtId="49" fontId="50" fillId="0" borderId="46" xfId="0" applyNumberFormat="1" applyFont="1" applyBorder="1" applyAlignment="1">
      <alignment horizontal="left" vertical="center" wrapText="1"/>
    </xf>
    <xf numFmtId="0" fontId="50" fillId="0" borderId="47" xfId="0" applyFont="1" applyBorder="1" applyAlignment="1">
      <alignment horizontal="left" vertical="center" wrapText="1"/>
    </xf>
    <xf numFmtId="0" fontId="13" fillId="11" borderId="56" xfId="0" applyFont="1" applyFill="1" applyBorder="1" applyAlignment="1">
      <alignment horizontal="center" vertical="center"/>
    </xf>
    <xf numFmtId="0" fontId="13" fillId="11" borderId="55" xfId="0" applyFont="1" applyFill="1" applyBorder="1" applyAlignment="1">
      <alignment horizontal="center" vertical="center"/>
    </xf>
    <xf numFmtId="0" fontId="13" fillId="11" borderId="79" xfId="0" applyFont="1" applyFill="1" applyBorder="1" applyAlignment="1">
      <alignment horizontal="center" vertical="center"/>
    </xf>
    <xf numFmtId="0" fontId="46" fillId="11" borderId="10" xfId="0" applyFont="1" applyFill="1" applyBorder="1" applyAlignment="1">
      <alignment horizontal="center" vertical="center"/>
    </xf>
    <xf numFmtId="0" fontId="46" fillId="11" borderId="62" xfId="0" applyFont="1" applyFill="1" applyBorder="1" applyAlignment="1">
      <alignment horizontal="center" vertical="center"/>
    </xf>
    <xf numFmtId="0" fontId="13" fillId="16" borderId="52" xfId="0" applyFont="1" applyFill="1" applyBorder="1" applyAlignment="1">
      <alignment horizontal="left" vertical="center" wrapText="1"/>
    </xf>
    <xf numFmtId="0" fontId="50" fillId="16" borderId="63" xfId="0" applyFont="1" applyFill="1" applyBorder="1" applyAlignment="1">
      <alignment horizontal="left" vertical="center" wrapText="1"/>
    </xf>
    <xf numFmtId="0" fontId="50" fillId="16" borderId="63" xfId="0" applyFont="1" applyFill="1" applyBorder="1" applyAlignment="1">
      <alignment horizontal="center" vertical="center"/>
    </xf>
    <xf numFmtId="44" fontId="50" fillId="16" borderId="63" xfId="8" applyFont="1" applyFill="1" applyBorder="1" applyAlignment="1">
      <alignment vertical="center"/>
    </xf>
    <xf numFmtId="44" fontId="50" fillId="16" borderId="53" xfId="8" applyFont="1" applyFill="1" applyBorder="1" applyAlignment="1">
      <alignment vertical="center"/>
    </xf>
    <xf numFmtId="44" fontId="45" fillId="0" borderId="0" xfId="0" applyNumberFormat="1" applyFont="1"/>
    <xf numFmtId="1" fontId="50" fillId="12" borderId="64" xfId="0" applyNumberFormat="1" applyFont="1" applyFill="1" applyBorder="1" applyAlignment="1">
      <alignment horizontal="center" vertical="center"/>
    </xf>
    <xf numFmtId="1" fontId="50" fillId="12" borderId="62" xfId="0" applyNumberFormat="1" applyFont="1" applyFill="1" applyBorder="1" applyAlignment="1">
      <alignment horizontal="center" vertical="center"/>
    </xf>
    <xf numFmtId="44" fontId="50" fillId="12" borderId="62" xfId="8" applyFont="1" applyFill="1" applyBorder="1" applyAlignment="1">
      <alignment vertical="center"/>
    </xf>
    <xf numFmtId="44" fontId="50" fillId="14" borderId="62" xfId="8" applyFont="1" applyFill="1" applyBorder="1" applyAlignment="1">
      <alignment vertical="center"/>
    </xf>
    <xf numFmtId="9" fontId="50" fillId="13" borderId="62" xfId="1" applyFont="1" applyFill="1" applyBorder="1" applyAlignment="1">
      <alignment vertical="center"/>
    </xf>
    <xf numFmtId="44" fontId="50" fillId="13" borderId="62" xfId="8" applyFont="1" applyFill="1" applyBorder="1" applyAlignment="1">
      <alignment vertical="center"/>
    </xf>
    <xf numFmtId="44" fontId="50" fillId="13" borderId="65" xfId="8" applyFont="1" applyFill="1" applyBorder="1" applyAlignment="1">
      <alignment vertical="center"/>
    </xf>
    <xf numFmtId="10" fontId="50" fillId="14" borderId="10" xfId="0" applyNumberFormat="1" applyFont="1" applyFill="1" applyBorder="1" applyAlignment="1">
      <alignment horizontal="center" vertical="center"/>
    </xf>
    <xf numFmtId="10" fontId="50" fillId="14" borderId="62" xfId="0" applyNumberFormat="1" applyFont="1" applyFill="1" applyBorder="1" applyAlignment="1">
      <alignment horizontal="center" vertical="center"/>
    </xf>
    <xf numFmtId="44" fontId="53" fillId="0" borderId="62" xfId="8" applyFont="1" applyBorder="1"/>
    <xf numFmtId="44" fontId="54" fillId="0" borderId="62" xfId="8" applyFont="1" applyBorder="1"/>
    <xf numFmtId="10" fontId="50" fillId="14" borderId="33" xfId="0" applyNumberFormat="1" applyFont="1" applyFill="1" applyBorder="1" applyAlignment="1">
      <alignment horizontal="center" vertical="center"/>
    </xf>
    <xf numFmtId="10" fontId="50" fillId="14" borderId="63" xfId="0" applyNumberFormat="1" applyFont="1" applyFill="1" applyBorder="1" applyAlignment="1">
      <alignment horizontal="center" vertical="center"/>
    </xf>
    <xf numFmtId="0" fontId="50" fillId="0" borderId="59" xfId="0" applyFont="1" applyBorder="1" applyAlignment="1">
      <alignment horizontal="left" vertical="center" wrapText="1"/>
    </xf>
    <xf numFmtId="0" fontId="45" fillId="13" borderId="0" xfId="0" applyFont="1" applyFill="1"/>
    <xf numFmtId="44" fontId="22" fillId="15" borderId="11" xfId="8" applyFont="1" applyFill="1" applyBorder="1" applyAlignment="1">
      <alignment horizontal="center"/>
    </xf>
    <xf numFmtId="44" fontId="22" fillId="15" borderId="84" xfId="8" applyFont="1" applyFill="1" applyBorder="1" applyAlignment="1">
      <alignment horizontal="center"/>
    </xf>
    <xf numFmtId="0" fontId="50" fillId="0" borderId="60" xfId="0" applyFont="1" applyBorder="1" applyAlignment="1">
      <alignment horizontal="left" vertical="center" wrapText="1"/>
    </xf>
    <xf numFmtId="0" fontId="22" fillId="15" borderId="6" xfId="0" applyFont="1" applyFill="1" applyBorder="1"/>
    <xf numFmtId="0" fontId="22" fillId="15" borderId="37" xfId="0" applyFont="1" applyFill="1" applyBorder="1"/>
    <xf numFmtId="44" fontId="22" fillId="15" borderId="37" xfId="0" applyNumberFormat="1" applyFont="1" applyFill="1" applyBorder="1"/>
    <xf numFmtId="44" fontId="22" fillId="15" borderId="83" xfId="0" applyNumberFormat="1" applyFont="1" applyFill="1" applyBorder="1"/>
    <xf numFmtId="9" fontId="22" fillId="15" borderId="14" xfId="1" applyFont="1" applyFill="1" applyBorder="1"/>
    <xf numFmtId="44" fontId="22" fillId="15" borderId="85" xfId="8" applyFont="1" applyFill="1" applyBorder="1"/>
    <xf numFmtId="0" fontId="51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9" fontId="46" fillId="0" borderId="0" xfId="1" applyFont="1"/>
    <xf numFmtId="4" fontId="45" fillId="0" borderId="0" xfId="0" applyNumberFormat="1" applyFont="1" applyAlignment="1">
      <alignment horizontal="center" vertical="center"/>
    </xf>
    <xf numFmtId="44" fontId="20" fillId="0" borderId="95" xfId="0" applyNumberFormat="1" applyFont="1" applyBorder="1" applyAlignment="1">
      <alignment horizontal="center" vertical="center"/>
    </xf>
    <xf numFmtId="0" fontId="20" fillId="0" borderId="96" xfId="0" applyFont="1" applyBorder="1" applyAlignment="1">
      <alignment horizontal="center" vertical="center"/>
    </xf>
    <xf numFmtId="0" fontId="21" fillId="25" borderId="6" xfId="0" applyFont="1" applyFill="1" applyBorder="1" applyAlignment="1">
      <alignment horizontal="center"/>
    </xf>
    <xf numFmtId="0" fontId="21" fillId="25" borderId="37" xfId="0" applyFont="1" applyFill="1" applyBorder="1" applyAlignment="1">
      <alignment horizontal="center"/>
    </xf>
    <xf numFmtId="0" fontId="21" fillId="25" borderId="94" xfId="0" applyFont="1" applyFill="1" applyBorder="1" applyAlignment="1">
      <alignment horizontal="center"/>
    </xf>
    <xf numFmtId="0" fontId="23" fillId="9" borderId="11" xfId="0" applyFont="1" applyFill="1" applyBorder="1" applyAlignment="1">
      <alignment horizontal="center"/>
    </xf>
    <xf numFmtId="0" fontId="23" fillId="9" borderId="12" xfId="0" applyFont="1" applyFill="1" applyBorder="1" applyAlignment="1">
      <alignment horizontal="center"/>
    </xf>
    <xf numFmtId="0" fontId="23" fillId="9" borderId="70" xfId="0" applyFont="1" applyFill="1" applyBorder="1" applyAlignment="1">
      <alignment horizontal="center"/>
    </xf>
    <xf numFmtId="0" fontId="23" fillId="9" borderId="68" xfId="0" applyFont="1" applyFill="1" applyBorder="1" applyAlignment="1">
      <alignment horizontal="center"/>
    </xf>
    <xf numFmtId="0" fontId="23" fillId="9" borderId="67" xfId="0" applyFont="1" applyFill="1" applyBorder="1" applyAlignment="1">
      <alignment horizontal="center"/>
    </xf>
    <xf numFmtId="0" fontId="23" fillId="9" borderId="69" xfId="0" applyFont="1" applyFill="1" applyBorder="1" applyAlignment="1">
      <alignment horizontal="center"/>
    </xf>
    <xf numFmtId="0" fontId="23" fillId="10" borderId="11" xfId="0" applyFont="1" applyFill="1" applyBorder="1" applyAlignment="1">
      <alignment horizontal="left"/>
    </xf>
    <xf numFmtId="0" fontId="23" fillId="10" borderId="12" xfId="0" applyFont="1" applyFill="1" applyBorder="1" applyAlignment="1">
      <alignment horizontal="left"/>
    </xf>
    <xf numFmtId="0" fontId="23" fillId="10" borderId="58" xfId="0" applyFont="1" applyFill="1" applyBorder="1" applyAlignment="1">
      <alignment horizontal="left"/>
    </xf>
    <xf numFmtId="0" fontId="23" fillId="10" borderId="64" xfId="0" applyFont="1" applyFill="1" applyBorder="1" applyAlignment="1">
      <alignment horizontal="left"/>
    </xf>
    <xf numFmtId="0" fontId="23" fillId="10" borderId="62" xfId="0" applyFont="1" applyFill="1" applyBorder="1" applyAlignment="1">
      <alignment horizontal="left"/>
    </xf>
    <xf numFmtId="0" fontId="23" fillId="10" borderId="65" xfId="0" applyFont="1" applyFill="1" applyBorder="1" applyAlignment="1">
      <alignment horizontal="left"/>
    </xf>
    <xf numFmtId="0" fontId="23" fillId="9" borderId="17" xfId="0" applyFont="1" applyFill="1" applyBorder="1" applyAlignment="1">
      <alignment horizontal="left"/>
    </xf>
    <xf numFmtId="0" fontId="23" fillId="9" borderId="0" xfId="0" applyFont="1" applyFill="1" applyAlignment="1">
      <alignment horizontal="left"/>
    </xf>
    <xf numFmtId="0" fontId="23" fillId="9" borderId="52" xfId="0" applyFont="1" applyFill="1" applyBorder="1" applyAlignment="1">
      <alignment horizontal="left"/>
    </xf>
    <xf numFmtId="0" fontId="23" fillId="9" borderId="63" xfId="0" applyFont="1" applyFill="1" applyBorder="1" applyAlignment="1">
      <alignment horizontal="left"/>
    </xf>
    <xf numFmtId="166" fontId="32" fillId="0" borderId="40" xfId="4" applyNumberFormat="1" applyFont="1" applyBorder="1" applyAlignment="1">
      <alignment horizontal="center" vertical="center" wrapText="1"/>
    </xf>
    <xf numFmtId="166" fontId="32" fillId="0" borderId="41" xfId="4" applyNumberFormat="1" applyFont="1" applyBorder="1" applyAlignment="1">
      <alignment horizontal="center" vertical="center" wrapText="1"/>
    </xf>
    <xf numFmtId="0" fontId="30" fillId="0" borderId="0" xfId="2" applyFont="1" applyAlignment="1">
      <alignment horizontal="left" vertical="center" wrapText="1"/>
    </xf>
    <xf numFmtId="0" fontId="30" fillId="0" borderId="0" xfId="2" applyFont="1" applyAlignment="1">
      <alignment horizontal="left" vertical="top"/>
    </xf>
    <xf numFmtId="0" fontId="32" fillId="2" borderId="3" xfId="3" applyFont="1" applyFill="1" applyBorder="1" applyAlignment="1">
      <alignment horizontal="center" vertical="center"/>
    </xf>
    <xf numFmtId="0" fontId="32" fillId="2" borderId="4" xfId="3" applyFont="1" applyFill="1" applyBorder="1" applyAlignment="1">
      <alignment horizontal="center" vertical="center"/>
    </xf>
    <xf numFmtId="0" fontId="32" fillId="2" borderId="5" xfId="3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 wrapText="1"/>
    </xf>
    <xf numFmtId="0" fontId="32" fillId="3" borderId="37" xfId="0" applyFont="1" applyFill="1" applyBorder="1" applyAlignment="1">
      <alignment horizontal="center" vertical="center" wrapText="1"/>
    </xf>
    <xf numFmtId="0" fontId="32" fillId="3" borderId="5" xfId="0" applyFont="1" applyFill="1" applyBorder="1" applyAlignment="1">
      <alignment horizontal="center" vertical="center" wrapText="1"/>
    </xf>
    <xf numFmtId="166" fontId="32" fillId="4" borderId="6" xfId="4" applyNumberFormat="1" applyFont="1" applyFill="1" applyBorder="1" applyAlignment="1">
      <alignment horizontal="center" vertical="center" wrapText="1"/>
    </xf>
    <xf numFmtId="166" fontId="32" fillId="4" borderId="37" xfId="4" applyNumberFormat="1" applyFont="1" applyFill="1" applyBorder="1" applyAlignment="1">
      <alignment horizontal="center" vertical="center" wrapText="1"/>
    </xf>
    <xf numFmtId="166" fontId="32" fillId="4" borderId="5" xfId="4" applyNumberFormat="1" applyFont="1" applyFill="1" applyBorder="1" applyAlignment="1">
      <alignment horizontal="center" vertical="center" wrapText="1"/>
    </xf>
    <xf numFmtId="166" fontId="32" fillId="4" borderId="17" xfId="4" applyNumberFormat="1" applyFont="1" applyFill="1" applyBorder="1" applyAlignment="1">
      <alignment horizontal="center" vertical="center" wrapText="1"/>
    </xf>
    <xf numFmtId="166" fontId="32" fillId="4" borderId="0" xfId="4" applyNumberFormat="1" applyFont="1" applyFill="1" applyBorder="1" applyAlignment="1">
      <alignment horizontal="center" vertical="center" wrapText="1"/>
    </xf>
    <xf numFmtId="0" fontId="23" fillId="10" borderId="17" xfId="0" applyFont="1" applyFill="1" applyBorder="1" applyAlignment="1">
      <alignment horizontal="left"/>
    </xf>
    <xf numFmtId="0" fontId="23" fillId="10" borderId="0" xfId="0" applyFont="1" applyFill="1" applyAlignment="1">
      <alignment horizontal="left"/>
    </xf>
    <xf numFmtId="0" fontId="23" fillId="10" borderId="14" xfId="0" applyFont="1" applyFill="1" applyBorder="1" applyAlignment="1">
      <alignment horizontal="left"/>
    </xf>
    <xf numFmtId="0" fontId="23" fillId="10" borderId="15" xfId="0" applyFont="1" applyFill="1" applyBorder="1" applyAlignment="1">
      <alignment horizontal="left"/>
    </xf>
    <xf numFmtId="0" fontId="23" fillId="9" borderId="11" xfId="0" applyFont="1" applyFill="1" applyBorder="1" applyAlignment="1">
      <alignment horizontal="left"/>
    </xf>
    <xf numFmtId="0" fontId="23" fillId="9" borderId="12" xfId="0" applyFont="1" applyFill="1" applyBorder="1" applyAlignment="1">
      <alignment horizontal="left"/>
    </xf>
    <xf numFmtId="0" fontId="23" fillId="10" borderId="78" xfId="0" applyFont="1" applyFill="1" applyBorder="1" applyAlignment="1">
      <alignment horizontal="left"/>
    </xf>
    <xf numFmtId="0" fontId="23" fillId="10" borderId="73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48" fillId="2" borderId="3" xfId="3" applyFont="1" applyFill="1" applyBorder="1" applyAlignment="1">
      <alignment horizontal="center" vertical="center"/>
    </xf>
    <xf numFmtId="0" fontId="48" fillId="2" borderId="4" xfId="3" applyFont="1" applyFill="1" applyBorder="1" applyAlignment="1">
      <alignment horizontal="center" vertical="center"/>
    </xf>
    <xf numFmtId="0" fontId="48" fillId="2" borderId="5" xfId="3" applyFont="1" applyFill="1" applyBorder="1" applyAlignment="1">
      <alignment horizontal="center" vertical="center"/>
    </xf>
    <xf numFmtId="0" fontId="48" fillId="3" borderId="6" xfId="0" applyFont="1" applyFill="1" applyBorder="1" applyAlignment="1">
      <alignment horizontal="center" vertical="center" wrapText="1"/>
    </xf>
    <xf numFmtId="0" fontId="48" fillId="3" borderId="37" xfId="0" applyFont="1" applyFill="1" applyBorder="1" applyAlignment="1">
      <alignment horizontal="center" vertical="center" wrapText="1"/>
    </xf>
    <xf numFmtId="0" fontId="48" fillId="3" borderId="5" xfId="0" applyFont="1" applyFill="1" applyBorder="1" applyAlignment="1">
      <alignment horizontal="center" vertical="center" wrapText="1"/>
    </xf>
    <xf numFmtId="166" fontId="48" fillId="4" borderId="6" xfId="4" applyNumberFormat="1" applyFont="1" applyFill="1" applyBorder="1" applyAlignment="1">
      <alignment horizontal="center" vertical="center" wrapText="1"/>
    </xf>
    <xf numFmtId="166" fontId="48" fillId="4" borderId="37" xfId="4" applyNumberFormat="1" applyFont="1" applyFill="1" applyBorder="1" applyAlignment="1">
      <alignment horizontal="center" vertical="center" wrapText="1"/>
    </xf>
    <xf numFmtId="166" fontId="48" fillId="4" borderId="5" xfId="4" applyNumberFormat="1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left"/>
    </xf>
    <xf numFmtId="0" fontId="22" fillId="10" borderId="0" xfId="0" applyFont="1" applyFill="1" applyAlignment="1">
      <alignment horizontal="left"/>
    </xf>
    <xf numFmtId="0" fontId="22" fillId="10" borderId="82" xfId="0" applyFont="1" applyFill="1" applyBorder="1" applyAlignment="1">
      <alignment horizontal="left"/>
    </xf>
    <xf numFmtId="0" fontId="22" fillId="10" borderId="8" xfId="0" applyFont="1" applyFill="1" applyBorder="1" applyAlignment="1">
      <alignment horizontal="left"/>
    </xf>
    <xf numFmtId="166" fontId="48" fillId="0" borderId="40" xfId="4" applyNumberFormat="1" applyFont="1" applyBorder="1" applyAlignment="1">
      <alignment horizontal="center" vertical="center" wrapText="1"/>
    </xf>
    <xf numFmtId="166" fontId="48" fillId="0" borderId="41" xfId="4" applyNumberFormat="1" applyFont="1" applyBorder="1" applyAlignment="1">
      <alignment horizontal="center" vertical="center" wrapText="1"/>
    </xf>
    <xf numFmtId="0" fontId="22" fillId="9" borderId="11" xfId="0" applyFont="1" applyFill="1" applyBorder="1" applyAlignment="1">
      <alignment horizontal="center"/>
    </xf>
    <xf numFmtId="0" fontId="22" fillId="9" borderId="12" xfId="0" applyFont="1" applyFill="1" applyBorder="1" applyAlignment="1">
      <alignment horizontal="center"/>
    </xf>
    <xf numFmtId="0" fontId="22" fillId="9" borderId="70" xfId="0" applyFont="1" applyFill="1" applyBorder="1" applyAlignment="1">
      <alignment horizontal="center"/>
    </xf>
    <xf numFmtId="0" fontId="22" fillId="9" borderId="54" xfId="0" applyFont="1" applyFill="1" applyBorder="1" applyAlignment="1">
      <alignment horizontal="center"/>
    </xf>
    <xf numFmtId="0" fontId="22" fillId="9" borderId="55" xfId="0" applyFont="1" applyFill="1" applyBorder="1" applyAlignment="1">
      <alignment horizontal="center"/>
    </xf>
    <xf numFmtId="0" fontId="22" fillId="9" borderId="57" xfId="0" applyFont="1" applyFill="1" applyBorder="1" applyAlignment="1">
      <alignment horizontal="center"/>
    </xf>
    <xf numFmtId="0" fontId="22" fillId="10" borderId="11" xfId="0" applyFont="1" applyFill="1" applyBorder="1" applyAlignment="1">
      <alignment horizontal="left"/>
    </xf>
    <xf numFmtId="0" fontId="22" fillId="10" borderId="12" xfId="0" applyFont="1" applyFill="1" applyBorder="1" applyAlignment="1">
      <alignment horizontal="left"/>
    </xf>
    <xf numFmtId="0" fontId="22" fillId="10" borderId="58" xfId="0" applyFont="1" applyFill="1" applyBorder="1" applyAlignment="1">
      <alignment horizontal="left"/>
    </xf>
    <xf numFmtId="0" fontId="22" fillId="10" borderId="68" xfId="0" applyFont="1" applyFill="1" applyBorder="1" applyAlignment="1">
      <alignment horizontal="left"/>
    </xf>
    <xf numFmtId="0" fontId="22" fillId="10" borderId="67" xfId="0" applyFont="1" applyFill="1" applyBorder="1" applyAlignment="1">
      <alignment horizontal="left"/>
    </xf>
    <xf numFmtId="0" fontId="22" fillId="10" borderId="69" xfId="0" applyFont="1" applyFill="1" applyBorder="1" applyAlignment="1">
      <alignment horizontal="left"/>
    </xf>
    <xf numFmtId="166" fontId="48" fillId="4" borderId="17" xfId="4" applyNumberFormat="1" applyFont="1" applyFill="1" applyBorder="1" applyAlignment="1">
      <alignment horizontal="center" vertical="center" wrapText="1"/>
    </xf>
    <xf numFmtId="166" fontId="48" fillId="4" borderId="0" xfId="4" applyNumberFormat="1" applyFont="1" applyFill="1" applyBorder="1" applyAlignment="1">
      <alignment horizontal="center" vertical="center" wrapText="1"/>
    </xf>
    <xf numFmtId="44" fontId="0" fillId="0" borderId="87" xfId="0" applyNumberFormat="1" applyBorder="1" applyAlignment="1">
      <alignment vertical="center"/>
    </xf>
    <xf numFmtId="0" fontId="0" fillId="0" borderId="88" xfId="0" applyBorder="1" applyAlignment="1">
      <alignment vertical="center"/>
    </xf>
    <xf numFmtId="0" fontId="0" fillId="0" borderId="90" xfId="0" applyBorder="1" applyAlignment="1">
      <alignment vertical="center"/>
    </xf>
    <xf numFmtId="44" fontId="0" fillId="0" borderId="87" xfId="8" applyFont="1" applyBorder="1" applyAlignment="1">
      <alignment horizontal="center" vertical="center"/>
    </xf>
    <xf numFmtId="44" fontId="0" fillId="0" borderId="88" xfId="8" applyFont="1" applyBorder="1" applyAlignment="1">
      <alignment horizontal="center" vertical="center"/>
    </xf>
    <xf numFmtId="44" fontId="0" fillId="0" borderId="90" xfId="8" applyFont="1" applyBorder="1" applyAlignment="1">
      <alignment horizontal="center" vertical="center"/>
    </xf>
    <xf numFmtId="0" fontId="0" fillId="18" borderId="17" xfId="0" applyFill="1" applyBorder="1" applyAlignment="1">
      <alignment horizontal="center"/>
    </xf>
    <xf numFmtId="0" fontId="0" fillId="18" borderId="0" xfId="0" applyFill="1" applyAlignment="1">
      <alignment horizontal="center"/>
    </xf>
    <xf numFmtId="44" fontId="0" fillId="0" borderId="91" xfId="8" applyFont="1" applyBorder="1" applyAlignment="1">
      <alignment horizontal="center" vertical="center"/>
    </xf>
    <xf numFmtId="0" fontId="0" fillId="22" borderId="12" xfId="0" applyFill="1" applyBorder="1" applyAlignment="1">
      <alignment horizontal="center"/>
    </xf>
    <xf numFmtId="0" fontId="0" fillId="20" borderId="11" xfId="0" applyFill="1" applyBorder="1" applyAlignment="1">
      <alignment horizontal="center"/>
    </xf>
    <xf numFmtId="0" fontId="0" fillId="20" borderId="12" xfId="0" applyFill="1" applyBorder="1" applyAlignment="1">
      <alignment horizontal="center"/>
    </xf>
    <xf numFmtId="0" fontId="0" fillId="20" borderId="74" xfId="0" applyFill="1" applyBorder="1" applyAlignment="1">
      <alignment horizontal="center"/>
    </xf>
    <xf numFmtId="0" fontId="0" fillId="20" borderId="75" xfId="0" applyFill="1" applyBorder="1" applyAlignment="1">
      <alignment horizontal="center"/>
    </xf>
    <xf numFmtId="0" fontId="0" fillId="18" borderId="6" xfId="0" applyFill="1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18" borderId="12" xfId="0" applyFill="1" applyBorder="1" applyAlignment="1">
      <alignment horizontal="center"/>
    </xf>
    <xf numFmtId="0" fontId="14" fillId="8" borderId="42" xfId="0" applyFont="1" applyFill="1" applyBorder="1" applyAlignment="1">
      <alignment horizontal="left" vertical="center"/>
    </xf>
    <xf numFmtId="0" fontId="14" fillId="8" borderId="42" xfId="0" applyFont="1" applyFill="1" applyBorder="1" applyAlignment="1">
      <alignment vertical="center"/>
    </xf>
    <xf numFmtId="0" fontId="14" fillId="8" borderId="0" xfId="0" applyFont="1" applyFill="1" applyAlignment="1">
      <alignment vertical="center"/>
    </xf>
    <xf numFmtId="0" fontId="15" fillId="8" borderId="42" xfId="0" applyFont="1" applyFill="1" applyBorder="1" applyAlignment="1">
      <alignment horizontal="left" vertical="top"/>
    </xf>
    <xf numFmtId="0" fontId="17" fillId="8" borderId="42" xfId="0" applyFont="1" applyFill="1" applyBorder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660146</xdr:colOff>
      <xdr:row>0</xdr:row>
      <xdr:rowOff>152400</xdr:rowOff>
    </xdr:from>
    <xdr:to>
      <xdr:col>5</xdr:col>
      <xdr:colOff>795934</xdr:colOff>
      <xdr:row>2</xdr:row>
      <xdr:rowOff>203240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247310</xdr:colOff>
      <xdr:row>0</xdr:row>
      <xdr:rowOff>133692</xdr:rowOff>
    </xdr:from>
    <xdr:to>
      <xdr:col>1</xdr:col>
      <xdr:colOff>603498</xdr:colOff>
      <xdr:row>1</xdr:row>
      <xdr:rowOff>259514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48</xdr:col>
      <xdr:colOff>30501</xdr:colOff>
      <xdr:row>0</xdr:row>
      <xdr:rowOff>190500</xdr:rowOff>
    </xdr:from>
    <xdr:to>
      <xdr:col>49</xdr:col>
      <xdr:colOff>452525</xdr:colOff>
      <xdr:row>2</xdr:row>
      <xdr:rowOff>238505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47</xdr:col>
      <xdr:colOff>253099</xdr:colOff>
      <xdr:row>0</xdr:row>
      <xdr:rowOff>178605</xdr:rowOff>
    </xdr:from>
    <xdr:to>
      <xdr:col>47</xdr:col>
      <xdr:colOff>555277</xdr:colOff>
      <xdr:row>2</xdr:row>
      <xdr:rowOff>38637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1</xdr:col>
      <xdr:colOff>660146</xdr:colOff>
      <xdr:row>0</xdr:row>
      <xdr:rowOff>152400</xdr:rowOff>
    </xdr:from>
    <xdr:to>
      <xdr:col>5</xdr:col>
      <xdr:colOff>795934</xdr:colOff>
      <xdr:row>2</xdr:row>
      <xdr:rowOff>203240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48</xdr:col>
      <xdr:colOff>30501</xdr:colOff>
      <xdr:row>0</xdr:row>
      <xdr:rowOff>190500</xdr:rowOff>
    </xdr:from>
    <xdr:to>
      <xdr:col>49</xdr:col>
      <xdr:colOff>452525</xdr:colOff>
      <xdr:row>2</xdr:row>
      <xdr:rowOff>238505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7</xdr:col>
      <xdr:colOff>351063</xdr:colOff>
      <xdr:row>2</xdr:row>
      <xdr:rowOff>200024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AB839E52-F5EA-4438-A805-359AE65FE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84670" y="1138917"/>
          <a:ext cx="2776118" cy="19936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342233</xdr:colOff>
      <xdr:row>0</xdr:row>
      <xdr:rowOff>152400</xdr:rowOff>
    </xdr:from>
    <xdr:to>
      <xdr:col>5</xdr:col>
      <xdr:colOff>1193014</xdr:colOff>
      <xdr:row>3</xdr:row>
      <xdr:rowOff>3318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D94201AB-DD86-4C53-9796-8DCC0D05E8C1}"/>
            </a:ext>
          </a:extLst>
        </xdr:cNvPr>
        <xdr:cNvSpPr/>
      </xdr:nvSpPr>
      <xdr:spPr bwMode="auto">
        <a:xfrm>
          <a:off x="706905" y="152400"/>
          <a:ext cx="872553" cy="54031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247310</xdr:colOff>
      <xdr:row>0</xdr:row>
      <xdr:rowOff>133692</xdr:rowOff>
    </xdr:from>
    <xdr:to>
      <xdr:col>5</xdr:col>
      <xdr:colOff>273978</xdr:colOff>
      <xdr:row>2</xdr:row>
      <xdr:rowOff>36852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AFF2C9C2-F106-48C7-9024-2C5D1F892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80937" cy="372606"/>
        </a:xfrm>
        <a:prstGeom prst="rect">
          <a:avLst/>
        </a:prstGeom>
      </xdr:spPr>
    </xdr:pic>
    <xdr:clientData/>
  </xdr:twoCellAnchor>
  <xdr:twoCellAnchor editAs="absolute">
    <xdr:from>
      <xdr:col>52</xdr:col>
      <xdr:colOff>404061</xdr:colOff>
      <xdr:row>0</xdr:row>
      <xdr:rowOff>190500</xdr:rowOff>
    </xdr:from>
    <xdr:to>
      <xdr:col>54</xdr:col>
      <xdr:colOff>185802</xdr:colOff>
      <xdr:row>3</xdr:row>
      <xdr:rowOff>38583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E116C239-93E5-4626-ADCA-2E850B3A62B6}"/>
            </a:ext>
          </a:extLst>
        </xdr:cNvPr>
        <xdr:cNvSpPr/>
      </xdr:nvSpPr>
      <xdr:spPr bwMode="auto">
        <a:xfrm>
          <a:off x="30012230" y="190500"/>
          <a:ext cx="1020869" cy="54292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51</xdr:col>
      <xdr:colOff>500258</xdr:colOff>
      <xdr:row>0</xdr:row>
      <xdr:rowOff>179080</xdr:rowOff>
    </xdr:from>
    <xdr:to>
      <xdr:col>52</xdr:col>
      <xdr:colOff>319726</xdr:colOff>
      <xdr:row>2</xdr:row>
      <xdr:rowOff>75747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D2DD3E47-6F90-4B4F-BC7E-4DFFCFF8C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17973" y="179958"/>
          <a:ext cx="410800" cy="362514"/>
        </a:xfrm>
        <a:prstGeom prst="rect">
          <a:avLst/>
        </a:prstGeom>
      </xdr:spPr>
    </xdr:pic>
    <xdr:clientData/>
  </xdr:twoCellAnchor>
  <xdr:twoCellAnchor editAs="absolute">
    <xdr:from>
      <xdr:col>5</xdr:col>
      <xdr:colOff>342233</xdr:colOff>
      <xdr:row>0</xdr:row>
      <xdr:rowOff>152400</xdr:rowOff>
    </xdr:from>
    <xdr:to>
      <xdr:col>5</xdr:col>
      <xdr:colOff>1193014</xdr:colOff>
      <xdr:row>3</xdr:row>
      <xdr:rowOff>3318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877BDD6E-E7D2-4122-8DD5-332AEEA366E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905" y="152400"/>
          <a:ext cx="872553" cy="54031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52</xdr:col>
      <xdr:colOff>404061</xdr:colOff>
      <xdr:row>0</xdr:row>
      <xdr:rowOff>190500</xdr:rowOff>
    </xdr:from>
    <xdr:to>
      <xdr:col>54</xdr:col>
      <xdr:colOff>185802</xdr:colOff>
      <xdr:row>3</xdr:row>
      <xdr:rowOff>38583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1193D840-7F64-4C97-BDA1-36A5DBBE94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12230" y="190500"/>
          <a:ext cx="1020869" cy="542926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7</xdr:col>
      <xdr:colOff>351063</xdr:colOff>
      <xdr:row>2</xdr:row>
      <xdr:rowOff>200024</xdr:rowOff>
    </xdr:from>
    <xdr:ext cx="2776118" cy="1993675"/>
    <xdr:pic>
      <xdr:nvPicPr>
        <xdr:cNvPr id="8" name="Imagem 7">
          <a:extLst>
            <a:ext uri="{FF2B5EF4-FFF2-40B4-BE49-F238E27FC236}">
              <a16:creationId xmlns:a16="http://schemas.microsoft.com/office/drawing/2014/main" id="{FED3C821-C6E4-4B86-BFA0-3D8CECBC1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17870" y="865413"/>
          <a:ext cx="2776118" cy="19936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34C90-542D-4C24-B304-E859831B080A}">
  <dimension ref="A1:F32"/>
  <sheetViews>
    <sheetView showGridLines="0" tabSelected="1" topLeftCell="A10" zoomScaleNormal="100" workbookViewId="0">
      <selection activeCell="D30" sqref="D30"/>
    </sheetView>
  </sheetViews>
  <sheetFormatPr defaultColWidth="8.6640625" defaultRowHeight="16.2" x14ac:dyDescent="0.35"/>
  <cols>
    <col min="1" max="1" width="8.6640625" style="76"/>
    <col min="2" max="2" width="30.6640625" style="76" customWidth="1"/>
    <col min="3" max="3" width="31.6640625" style="76" customWidth="1"/>
    <col min="4" max="4" width="20.44140625" style="76" customWidth="1"/>
    <col min="5" max="5" width="18.44140625" style="76" customWidth="1"/>
    <col min="6" max="6" width="11.88671875" style="77" bestFit="1" customWidth="1"/>
    <col min="7" max="7" width="12.88671875" style="76" bestFit="1" customWidth="1"/>
    <col min="8" max="8" width="12.5546875" style="76" bestFit="1" customWidth="1"/>
    <col min="9" max="16384" width="8.6640625" style="76"/>
  </cols>
  <sheetData>
    <row r="1" spans="1:5" s="77" customFormat="1" hidden="1" x14ac:dyDescent="0.35">
      <c r="A1" s="76"/>
      <c r="B1" s="76"/>
      <c r="C1" s="76"/>
      <c r="D1" s="76"/>
      <c r="E1" s="76"/>
    </row>
    <row r="2" spans="1:5" s="77" customFormat="1" hidden="1" x14ac:dyDescent="0.35">
      <c r="A2" s="76"/>
      <c r="B2" s="76"/>
      <c r="C2" s="76"/>
      <c r="D2" s="76"/>
      <c r="E2" s="76"/>
    </row>
    <row r="3" spans="1:5" s="77" customFormat="1" hidden="1" x14ac:dyDescent="0.35">
      <c r="A3" s="76"/>
      <c r="B3" s="76"/>
      <c r="C3" s="78">
        <v>45866</v>
      </c>
      <c r="D3" s="79"/>
      <c r="E3" s="355" t="e">
        <f>SUM(#REF!)</f>
        <v>#REF!</v>
      </c>
    </row>
    <row r="4" spans="1:5" s="77" customFormat="1" ht="15.6" hidden="1" customHeight="1" thickBot="1" x14ac:dyDescent="0.4">
      <c r="A4" s="76"/>
      <c r="B4" s="76"/>
      <c r="C4" s="80">
        <v>45867</v>
      </c>
      <c r="D4" s="81"/>
      <c r="E4" s="356"/>
    </row>
    <row r="5" spans="1:5" s="77" customFormat="1" hidden="1" x14ac:dyDescent="0.35">
      <c r="A5" s="76"/>
      <c r="B5" s="76"/>
      <c r="C5" s="82" t="s">
        <v>270</v>
      </c>
      <c r="D5" s="83"/>
      <c r="E5" s="76"/>
    </row>
    <row r="6" spans="1:5" s="77" customFormat="1" hidden="1" x14ac:dyDescent="0.35">
      <c r="A6" s="76"/>
      <c r="B6" s="76"/>
      <c r="C6" s="82" t="s">
        <v>271</v>
      </c>
      <c r="D6" s="83"/>
      <c r="E6" s="76"/>
    </row>
    <row r="7" spans="1:5" s="77" customFormat="1" ht="16.8" hidden="1" thickBot="1" x14ac:dyDescent="0.4">
      <c r="A7" s="76"/>
      <c r="B7" s="76"/>
      <c r="C7" s="84" t="s">
        <v>43</v>
      </c>
      <c r="D7" s="85"/>
      <c r="E7" s="76"/>
    </row>
    <row r="9" spans="1:5" s="77" customFormat="1" ht="24" customHeight="1" x14ac:dyDescent="0.35">
      <c r="A9" s="76"/>
      <c r="B9" s="76"/>
      <c r="C9" s="76"/>
      <c r="D9" s="76"/>
      <c r="E9" s="76"/>
    </row>
    <row r="11" spans="1:5" s="77" customFormat="1" ht="15" customHeight="1" x14ac:dyDescent="0.35">
      <c r="A11" s="76"/>
      <c r="B11" s="257" t="s">
        <v>142</v>
      </c>
      <c r="C11" s="258" t="s">
        <v>143</v>
      </c>
      <c r="D11" s="86"/>
      <c r="E11" s="76"/>
    </row>
    <row r="12" spans="1:5" s="77" customFormat="1" ht="15" customHeight="1" x14ac:dyDescent="0.35">
      <c r="A12" s="76"/>
      <c r="B12" s="259" t="s">
        <v>144</v>
      </c>
      <c r="C12" s="260" t="s">
        <v>145</v>
      </c>
      <c r="D12" s="86"/>
      <c r="E12" s="76"/>
    </row>
    <row r="13" spans="1:5" s="77" customFormat="1" ht="15" customHeight="1" x14ac:dyDescent="0.35">
      <c r="A13" s="76"/>
      <c r="B13" s="259" t="s">
        <v>146</v>
      </c>
      <c r="C13" s="261" t="s">
        <v>147</v>
      </c>
      <c r="D13" s="87"/>
      <c r="E13" s="76"/>
    </row>
    <row r="14" spans="1:5" s="77" customFormat="1" ht="15" customHeight="1" x14ac:dyDescent="0.35">
      <c r="A14" s="76"/>
      <c r="B14" s="259" t="s">
        <v>148</v>
      </c>
      <c r="C14" s="261" t="s">
        <v>149</v>
      </c>
      <c r="D14" s="87"/>
      <c r="E14" s="76"/>
    </row>
    <row r="15" spans="1:5" s="77" customFormat="1" ht="15" customHeight="1" x14ac:dyDescent="0.35">
      <c r="A15" s="76"/>
      <c r="B15" s="259" t="s">
        <v>150</v>
      </c>
      <c r="C15" s="262" t="s">
        <v>151</v>
      </c>
      <c r="D15" s="88"/>
      <c r="E15" s="76"/>
    </row>
    <row r="16" spans="1:5" ht="15" customHeight="1" x14ac:dyDescent="0.35">
      <c r="B16" s="259" t="s">
        <v>152</v>
      </c>
      <c r="C16" s="261" t="s">
        <v>121</v>
      </c>
      <c r="D16" s="87"/>
    </row>
    <row r="17" spans="2:6" ht="15" customHeight="1" x14ac:dyDescent="0.35">
      <c r="B17" s="259" t="s">
        <v>153</v>
      </c>
      <c r="C17" s="261" t="s">
        <v>122</v>
      </c>
      <c r="D17" s="87"/>
    </row>
    <row r="18" spans="2:6" ht="15" customHeight="1" x14ac:dyDescent="0.35">
      <c r="B18" s="263" t="s">
        <v>154</v>
      </c>
      <c r="C18" s="264" t="s">
        <v>155</v>
      </c>
      <c r="D18" s="87"/>
    </row>
    <row r="20" spans="2:6" ht="15.6" customHeight="1" x14ac:dyDescent="0.35">
      <c r="B20" s="89"/>
      <c r="C20" s="89" t="s">
        <v>272</v>
      </c>
      <c r="D20" s="89" t="s">
        <v>273</v>
      </c>
      <c r="E20" s="89" t="s">
        <v>274</v>
      </c>
      <c r="F20" s="90"/>
    </row>
    <row r="21" spans="2:6" x14ac:dyDescent="0.35">
      <c r="B21" s="91" t="s">
        <v>314</v>
      </c>
      <c r="C21" s="92">
        <f>Principal!N61</f>
        <v>180939.49408350937</v>
      </c>
      <c r="D21" s="92">
        <f>Principal!X61</f>
        <v>130019.89000000001</v>
      </c>
      <c r="E21" s="92">
        <f>C21-D21</f>
        <v>50919.604083509359</v>
      </c>
      <c r="F21" s="93">
        <f>E21*100%/C21</f>
        <v>0.28141785374954309</v>
      </c>
    </row>
    <row r="22" spans="2:6" x14ac:dyDescent="0.35">
      <c r="B22" s="91" t="s">
        <v>315</v>
      </c>
      <c r="C22" s="92">
        <f>EXTRAS!N20</f>
        <v>2762.5201938610662</v>
      </c>
      <c r="D22" s="92">
        <f>EXTRAS!X20</f>
        <v>1655</v>
      </c>
      <c r="E22" s="92">
        <f>C22-D22</f>
        <v>1107.5201938610662</v>
      </c>
      <c r="F22" s="93">
        <f>E22*100%/C22</f>
        <v>0.40090935672514622</v>
      </c>
    </row>
    <row r="23" spans="2:6" x14ac:dyDescent="0.35">
      <c r="B23" s="89" t="s">
        <v>43</v>
      </c>
      <c r="C23" s="94">
        <f>SUM(C21:C21)</f>
        <v>180939.49408350937</v>
      </c>
      <c r="D23" s="94">
        <f>SUM(D21:D22)</f>
        <v>131674.89000000001</v>
      </c>
      <c r="E23" s="94">
        <f>C23-D23</f>
        <v>49264.604083509359</v>
      </c>
      <c r="F23" s="93">
        <f t="shared" ref="F23" si="0">E23*100%/C23</f>
        <v>0.27227114971799449</v>
      </c>
    </row>
    <row r="25" spans="2:6" ht="200.1" hidden="1" customHeight="1" x14ac:dyDescent="0.35"/>
    <row r="26" spans="2:6" ht="16.8" thickBot="1" x14ac:dyDescent="0.4"/>
    <row r="27" spans="2:6" ht="21.9" customHeight="1" thickBot="1" x14ac:dyDescent="0.4">
      <c r="B27" s="357" t="s">
        <v>275</v>
      </c>
      <c r="C27" s="358"/>
      <c r="D27" s="358"/>
      <c r="E27" s="358"/>
      <c r="F27" s="359"/>
    </row>
    <row r="28" spans="2:6" ht="24.9" customHeight="1" thickBot="1" x14ac:dyDescent="0.4">
      <c r="B28" s="95" t="s">
        <v>316</v>
      </c>
      <c r="C28" s="96">
        <v>147396.87</v>
      </c>
      <c r="D28" s="97">
        <f>D23</f>
        <v>131674.89000000001</v>
      </c>
      <c r="E28" s="98">
        <f>C28-D28</f>
        <v>15721.979999999981</v>
      </c>
      <c r="F28" s="99">
        <f>E28*100%/C28</f>
        <v>0.10666427312873049</v>
      </c>
    </row>
    <row r="29" spans="2:6" ht="29.4" customHeight="1" thickBot="1" x14ac:dyDescent="0.4">
      <c r="B29" s="100" t="s">
        <v>317</v>
      </c>
      <c r="C29" s="101">
        <v>33542.620000000003</v>
      </c>
      <c r="D29" s="102">
        <f>C29*0.15</f>
        <v>5031.393</v>
      </c>
      <c r="E29" s="102">
        <f>C29-D29</f>
        <v>28511.227000000003</v>
      </c>
      <c r="F29" s="99">
        <f>E29*100%/C29</f>
        <v>0.85</v>
      </c>
    </row>
    <row r="30" spans="2:6" ht="20.25" customHeight="1" thickBot="1" x14ac:dyDescent="0.4">
      <c r="B30" s="103"/>
      <c r="C30" s="104">
        <f>SUM(C28:C29)</f>
        <v>180939.49</v>
      </c>
      <c r="D30" s="105">
        <f>SUM(D28:D29)</f>
        <v>136706.28300000002</v>
      </c>
      <c r="E30" s="106">
        <f>SUM(E28:E29)</f>
        <v>44233.20699999998</v>
      </c>
      <c r="F30" s="99">
        <f>E30*100%/C30</f>
        <v>0.24446408575596174</v>
      </c>
    </row>
    <row r="31" spans="2:6" x14ac:dyDescent="0.35">
      <c r="C31" s="107"/>
    </row>
    <row r="32" spans="2:6" x14ac:dyDescent="0.35">
      <c r="C32" s="108"/>
    </row>
  </sheetData>
  <mergeCells count="2">
    <mergeCell ref="E3:E4"/>
    <mergeCell ref="B27:F27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M80"/>
  <sheetViews>
    <sheetView showGridLines="0" topLeftCell="B1" zoomScale="55" zoomScaleNormal="55" workbookViewId="0">
      <pane ySplit="1" topLeftCell="A56" activePane="bottomLeft" state="frozen"/>
      <selection pane="bottomLeft" activeCell="AL66" sqref="AL66"/>
    </sheetView>
  </sheetViews>
  <sheetFormatPr defaultColWidth="8.88671875" defaultRowHeight="21" x14ac:dyDescent="0.4"/>
  <cols>
    <col min="1" max="1" width="5" style="46" hidden="1" customWidth="1"/>
    <col min="2" max="2" width="10.44140625" style="46" customWidth="1"/>
    <col min="3" max="5" width="5" style="46" hidden="1" customWidth="1"/>
    <col min="6" max="6" width="34.109375" style="46" customWidth="1"/>
    <col min="7" max="7" width="43.6640625" style="46" customWidth="1"/>
    <col min="8" max="8" width="10.109375" style="111" hidden="1" customWidth="1"/>
    <col min="9" max="9" width="5.33203125" style="111" hidden="1" customWidth="1"/>
    <col min="10" max="10" width="25.33203125" style="46" hidden="1" customWidth="1"/>
    <col min="11" max="11" width="26.109375" style="46" customWidth="1"/>
    <col min="12" max="12" width="33" style="46" bestFit="1" customWidth="1"/>
    <col min="13" max="13" width="22.6640625" style="46" customWidth="1"/>
    <col min="14" max="14" width="26.33203125" style="46" customWidth="1"/>
    <col min="15" max="15" width="36.5546875" style="46" hidden="1" customWidth="1"/>
    <col min="16" max="16" width="6.33203125" style="46" hidden="1" customWidth="1"/>
    <col min="17" max="17" width="10.6640625" style="111" bestFit="1" customWidth="1"/>
    <col min="18" max="18" width="8.109375" style="111" hidden="1" customWidth="1"/>
    <col min="19" max="19" width="19.109375" style="46" hidden="1" customWidth="1"/>
    <col min="20" max="20" width="25.5546875" style="46" bestFit="1" customWidth="1"/>
    <col min="21" max="21" width="24.88671875" style="46" hidden="1" customWidth="1"/>
    <col min="22" max="22" width="9.6640625" style="46" hidden="1" customWidth="1"/>
    <col min="23" max="23" width="16.109375" style="46" hidden="1" customWidth="1"/>
    <col min="24" max="24" width="27.33203125" style="46" bestFit="1" customWidth="1"/>
    <col min="25" max="25" width="26.88671875" style="46" hidden="1" customWidth="1"/>
    <col min="26" max="26" width="17.44140625" style="46" hidden="1" customWidth="1"/>
    <col min="27" max="27" width="24.6640625" style="46" hidden="1" customWidth="1"/>
    <col min="28" max="28" width="38.109375" style="46" hidden="1" customWidth="1"/>
    <col min="29" max="29" width="14.109375" style="46" hidden="1" customWidth="1"/>
    <col min="30" max="30" width="7.6640625" style="46" hidden="1" customWidth="1"/>
    <col min="31" max="31" width="6.88671875" style="46" hidden="1" customWidth="1"/>
    <col min="32" max="32" width="1.33203125" style="46" hidden="1" customWidth="1"/>
    <col min="33" max="33" width="14" style="46" hidden="1" customWidth="1"/>
    <col min="34" max="34" width="11.6640625" style="46" hidden="1" customWidth="1"/>
    <col min="35" max="35" width="6.33203125" style="46" hidden="1" customWidth="1"/>
    <col min="36" max="36" width="12.6640625" style="46" hidden="1" customWidth="1"/>
    <col min="37" max="37" width="23" style="46" customWidth="1"/>
    <col min="38" max="38" width="39.33203125" style="46" customWidth="1"/>
    <col min="39" max="39" width="8.88671875" style="255"/>
    <col min="40" max="40" width="21.33203125" style="46" customWidth="1"/>
    <col min="41" max="16384" width="8.88671875" style="46"/>
  </cols>
  <sheetData>
    <row r="1" spans="1:38" ht="22.2" x14ac:dyDescent="0.4">
      <c r="B1" s="109"/>
      <c r="C1" s="110"/>
      <c r="D1" s="110"/>
      <c r="F1" s="378" t="s">
        <v>120</v>
      </c>
      <c r="G1" s="378"/>
    </row>
    <row r="2" spans="1:38" ht="22.2" x14ac:dyDescent="0.4">
      <c r="B2" s="112"/>
      <c r="D2" s="110"/>
      <c r="F2" s="379" t="s">
        <v>0</v>
      </c>
      <c r="G2" s="379"/>
    </row>
    <row r="3" spans="1:38" ht="22.2" x14ac:dyDescent="0.4">
      <c r="B3" s="113"/>
      <c r="F3" s="114"/>
      <c r="G3" s="114"/>
    </row>
    <row r="4" spans="1:38" ht="22.2" x14ac:dyDescent="0.4">
      <c r="F4" s="115" t="s">
        <v>142</v>
      </c>
      <c r="G4" s="116" t="s">
        <v>143</v>
      </c>
    </row>
    <row r="5" spans="1:38" ht="22.2" x14ac:dyDescent="0.4">
      <c r="F5" s="117" t="s">
        <v>144</v>
      </c>
      <c r="G5" s="118" t="s">
        <v>145</v>
      </c>
    </row>
    <row r="6" spans="1:38" ht="22.2" x14ac:dyDescent="0.4">
      <c r="D6" s="46" t="s">
        <v>107</v>
      </c>
      <c r="F6" s="117" t="s">
        <v>146</v>
      </c>
      <c r="G6" s="119" t="s">
        <v>147</v>
      </c>
    </row>
    <row r="7" spans="1:38" ht="22.2" x14ac:dyDescent="0.4">
      <c r="F7" s="117" t="s">
        <v>148</v>
      </c>
      <c r="G7" s="119" t="s">
        <v>149</v>
      </c>
      <c r="J7" s="46" t="s">
        <v>119</v>
      </c>
    </row>
    <row r="8" spans="1:38" ht="22.2" x14ac:dyDescent="0.4">
      <c r="F8" s="117" t="s">
        <v>150</v>
      </c>
      <c r="G8" s="120" t="s">
        <v>151</v>
      </c>
    </row>
    <row r="9" spans="1:38" ht="22.2" x14ac:dyDescent="0.4">
      <c r="F9" s="117" t="s">
        <v>152</v>
      </c>
      <c r="G9" s="119" t="s">
        <v>121</v>
      </c>
      <c r="J9" s="46" t="s">
        <v>107</v>
      </c>
    </row>
    <row r="10" spans="1:38" ht="22.2" x14ac:dyDescent="0.4">
      <c r="F10" s="117" t="s">
        <v>153</v>
      </c>
      <c r="G10" s="119" t="s">
        <v>122</v>
      </c>
    </row>
    <row r="11" spans="1:38" ht="22.2" x14ac:dyDescent="0.4">
      <c r="F11" s="121" t="s">
        <v>154</v>
      </c>
      <c r="G11" s="122" t="s">
        <v>155</v>
      </c>
    </row>
    <row r="12" spans="1:38" ht="67.2" hidden="1" thickBot="1" x14ac:dyDescent="0.45">
      <c r="B12" s="123"/>
      <c r="M12" s="124"/>
      <c r="Q12" s="380" t="s">
        <v>1</v>
      </c>
      <c r="R12" s="381"/>
      <c r="S12" s="381"/>
      <c r="T12" s="382"/>
      <c r="U12" s="383" t="s">
        <v>2</v>
      </c>
      <c r="V12" s="384"/>
      <c r="W12" s="384"/>
      <c r="X12" s="385"/>
      <c r="Y12" s="125" t="s">
        <v>56</v>
      </c>
      <c r="Z12" s="126">
        <f>(1/(1-M14))-1</f>
        <v>0.24269914253759173</v>
      </c>
      <c r="AC12" s="386" t="s">
        <v>3</v>
      </c>
      <c r="AD12" s="387"/>
      <c r="AE12" s="388"/>
      <c r="AG12" s="389" t="s">
        <v>58</v>
      </c>
      <c r="AH12" s="390"/>
      <c r="AJ12" s="127" t="s">
        <v>60</v>
      </c>
      <c r="AK12" s="376" t="s">
        <v>59</v>
      </c>
      <c r="AL12" s="377"/>
    </row>
    <row r="13" spans="1:38" ht="22.8" thickBot="1" x14ac:dyDescent="0.5">
      <c r="A13" s="128" t="s">
        <v>4</v>
      </c>
      <c r="B13" s="129" t="s">
        <v>5</v>
      </c>
      <c r="C13" s="128" t="s">
        <v>6</v>
      </c>
      <c r="D13" s="128" t="s">
        <v>7</v>
      </c>
      <c r="E13" s="128" t="s">
        <v>8</v>
      </c>
      <c r="M13" s="130">
        <v>0.80469999999999997</v>
      </c>
    </row>
    <row r="14" spans="1:38" ht="30" customHeight="1" thickBot="1" x14ac:dyDescent="0.45">
      <c r="A14" s="131">
        <v>0</v>
      </c>
      <c r="B14" s="132"/>
      <c r="C14" s="133"/>
      <c r="D14" s="134"/>
      <c r="E14" s="134"/>
      <c r="F14" s="135" t="s">
        <v>84</v>
      </c>
      <c r="G14" s="136" t="s">
        <v>85</v>
      </c>
      <c r="H14" s="137" t="s">
        <v>86</v>
      </c>
      <c r="I14" s="137" t="s">
        <v>87</v>
      </c>
      <c r="J14" s="138" t="s">
        <v>88</v>
      </c>
      <c r="K14" s="139" t="s">
        <v>9</v>
      </c>
      <c r="L14" s="140">
        <v>0.08</v>
      </c>
      <c r="M14" s="141">
        <f>1-M13</f>
        <v>0.19530000000000003</v>
      </c>
      <c r="N14" s="142" t="s">
        <v>82</v>
      </c>
      <c r="Q14" s="143" t="s">
        <v>89</v>
      </c>
      <c r="R14" s="144" t="s">
        <v>90</v>
      </c>
      <c r="S14" s="145" t="s">
        <v>91</v>
      </c>
      <c r="T14" s="146" t="s">
        <v>92</v>
      </c>
      <c r="U14" s="147" t="s">
        <v>93</v>
      </c>
      <c r="V14" s="148" t="s">
        <v>94</v>
      </c>
      <c r="W14" s="149" t="s">
        <v>95</v>
      </c>
      <c r="X14" s="149" t="s">
        <v>96</v>
      </c>
      <c r="Y14" s="150" t="s">
        <v>97</v>
      </c>
      <c r="Z14" s="151" t="s">
        <v>98</v>
      </c>
      <c r="AA14" s="152" t="s">
        <v>83</v>
      </c>
      <c r="AC14" s="153" t="s">
        <v>99</v>
      </c>
      <c r="AD14" s="154" t="s">
        <v>100</v>
      </c>
      <c r="AE14" s="154" t="s">
        <v>33</v>
      </c>
      <c r="AG14" s="155" t="s">
        <v>101</v>
      </c>
      <c r="AH14" s="156" t="s">
        <v>102</v>
      </c>
      <c r="AK14" s="157" t="s">
        <v>103</v>
      </c>
      <c r="AL14" s="158" t="s">
        <v>104</v>
      </c>
    </row>
    <row r="15" spans="1:38" ht="30" customHeight="1" thickBot="1" x14ac:dyDescent="0.5">
      <c r="A15" s="134">
        <v>1</v>
      </c>
      <c r="B15" s="159">
        <v>1</v>
      </c>
      <c r="C15" s="160" t="s">
        <v>123</v>
      </c>
      <c r="D15" s="134"/>
      <c r="E15" s="134"/>
      <c r="F15" s="360" t="s">
        <v>156</v>
      </c>
      <c r="G15" s="361"/>
      <c r="H15" s="361"/>
      <c r="I15" s="361"/>
      <c r="J15" s="361"/>
      <c r="K15" s="361"/>
      <c r="L15" s="361"/>
      <c r="M15" s="361"/>
      <c r="N15" s="362"/>
      <c r="Q15" s="363" t="str">
        <f>IF(F15&lt;&gt;"",F15,"")</f>
        <v>INTERNO OGGI</v>
      </c>
      <c r="R15" s="364"/>
      <c r="S15" s="364"/>
      <c r="T15" s="364"/>
      <c r="U15" s="364"/>
      <c r="V15" s="364"/>
      <c r="W15" s="364"/>
      <c r="X15" s="364"/>
      <c r="Y15" s="365"/>
      <c r="AK15" s="363"/>
      <c r="AL15" s="364"/>
    </row>
    <row r="16" spans="1:38" ht="30" customHeight="1" x14ac:dyDescent="0.45">
      <c r="A16" s="134">
        <v>2</v>
      </c>
      <c r="B16" s="159" t="s">
        <v>125</v>
      </c>
      <c r="C16" s="160" t="s">
        <v>124</v>
      </c>
      <c r="D16" s="134"/>
      <c r="E16" s="134"/>
      <c r="F16" s="366" t="s">
        <v>157</v>
      </c>
      <c r="G16" s="367"/>
      <c r="H16" s="367"/>
      <c r="I16" s="367"/>
      <c r="J16" s="367"/>
      <c r="K16" s="368"/>
      <c r="L16" s="161" t="s">
        <v>126</v>
      </c>
      <c r="M16" s="162" t="s">
        <v>127</v>
      </c>
      <c r="N16" s="163" t="s">
        <v>82</v>
      </c>
      <c r="Q16" s="369" t="str">
        <f>IF(F16&lt;&gt;"",F16,"")</f>
        <v>INTERNOS</v>
      </c>
      <c r="R16" s="370"/>
      <c r="S16" s="370"/>
      <c r="T16" s="370"/>
      <c r="U16" s="370"/>
      <c r="V16" s="370"/>
      <c r="W16" s="370"/>
      <c r="X16" s="370"/>
      <c r="Y16" s="371"/>
      <c r="Z16" s="164" t="s">
        <v>128</v>
      </c>
      <c r="AA16" s="165" t="s">
        <v>83</v>
      </c>
      <c r="AK16" s="369"/>
      <c r="AL16" s="370"/>
    </row>
    <row r="17" spans="1:39" ht="99.9" customHeight="1" x14ac:dyDescent="0.4">
      <c r="A17" s="134">
        <v>3</v>
      </c>
      <c r="B17" s="159" t="s">
        <v>131</v>
      </c>
      <c r="C17" s="160" t="s">
        <v>130</v>
      </c>
      <c r="D17" s="134" t="s">
        <v>134</v>
      </c>
      <c r="E17" s="134" t="s">
        <v>140</v>
      </c>
      <c r="F17" s="166" t="s">
        <v>158</v>
      </c>
      <c r="G17" s="167" t="s">
        <v>276</v>
      </c>
      <c r="H17" s="168">
        <v>1</v>
      </c>
      <c r="I17" s="169">
        <v>1</v>
      </c>
      <c r="J17" s="170">
        <v>4000</v>
      </c>
      <c r="K17" s="170">
        <f>IF(F17&lt;&gt;"",H17*I17*J17,"")</f>
        <v>4000</v>
      </c>
      <c r="L17" s="170">
        <f>IF(K17&lt;&gt;"",IF(D17="INTERNO",0,K17*$L$14),"")</f>
        <v>0</v>
      </c>
      <c r="M17" s="170">
        <f>IF(K17&lt;&gt;"",IF(E17="FAT.OGGI",SUM(K17:L17)*(1/(1-$M$14)-1),L17*(1/(1-$M$14)-1)),"")</f>
        <v>970.79657015036696</v>
      </c>
      <c r="N17" s="171">
        <f>SUM(K17:M17)</f>
        <v>4970.7965701503672</v>
      </c>
      <c r="O17" s="46" t="s">
        <v>230</v>
      </c>
      <c r="Q17" s="172">
        <f t="shared" ref="Q17:R20" si="0">IF(H17&lt;&gt;"",H17,"")</f>
        <v>1</v>
      </c>
      <c r="R17" s="173">
        <f t="shared" si="0"/>
        <v>1</v>
      </c>
      <c r="S17" s="174">
        <v>2500</v>
      </c>
      <c r="T17" s="174">
        <f>IF(Q17&lt;&gt;"",Q17*R17*S17,"")</f>
        <v>2500</v>
      </c>
      <c r="U17" s="175">
        <f>IF(Q17&lt;&gt;"",K17-T17,"")</f>
        <v>1500</v>
      </c>
      <c r="V17" s="176">
        <f>IF(Q17&lt;&gt;"",0%,"")</f>
        <v>0</v>
      </c>
      <c r="W17" s="177">
        <f>IF(Q17&lt;&gt;"",V17*U17,"")</f>
        <v>0</v>
      </c>
      <c r="X17" s="177">
        <f>IF(Q17&lt;&gt;"",W17+T17,"")</f>
        <v>2500</v>
      </c>
      <c r="Y17" s="178">
        <f t="shared" ref="Y17:Y20" si="1">IF(Q17&lt;&gt;"",X17+M17,"")</f>
        <v>3470.7965701503672</v>
      </c>
      <c r="Z17" s="179">
        <f>IF(Q17&lt;&gt;"",U17/K17,"")</f>
        <v>0.375</v>
      </c>
      <c r="AA17" s="180">
        <f>T17/$T$21</f>
        <v>1</v>
      </c>
      <c r="AK17" s="181">
        <f>X17-AL17</f>
        <v>0</v>
      </c>
      <c r="AL17" s="182">
        <v>2500</v>
      </c>
      <c r="AM17" s="255" t="s">
        <v>305</v>
      </c>
    </row>
    <row r="18" spans="1:39" ht="99.9" customHeight="1" x14ac:dyDescent="0.4">
      <c r="A18" s="134">
        <v>4</v>
      </c>
      <c r="B18" s="159" t="s">
        <v>105</v>
      </c>
      <c r="C18" s="160" t="s">
        <v>130</v>
      </c>
      <c r="D18" s="134" t="s">
        <v>134</v>
      </c>
      <c r="E18" s="134" t="s">
        <v>140</v>
      </c>
      <c r="F18" s="183" t="s">
        <v>159</v>
      </c>
      <c r="G18" s="167" t="s">
        <v>277</v>
      </c>
      <c r="H18" s="168">
        <v>1</v>
      </c>
      <c r="I18" s="169">
        <v>1</v>
      </c>
      <c r="J18" s="170">
        <v>3100</v>
      </c>
      <c r="K18" s="170">
        <f>IF(F18&lt;&gt;"",H18*I18*J18,"")</f>
        <v>3100</v>
      </c>
      <c r="L18" s="170">
        <f>IF(K18&lt;&gt;"",IF(D18="INTERNO",0,K18*$L$14),"")</f>
        <v>0</v>
      </c>
      <c r="M18" s="170">
        <f>IF(K18&lt;&gt;"",IF(E18="FAT.OGGI",SUM(K18:L18)*(1/(1-$M$14)-1),L18*(1/(1-$M$14)-1)),"")</f>
        <v>752.36734186653439</v>
      </c>
      <c r="N18" s="171">
        <f>SUM(K18:M18)</f>
        <v>3852.3673418665344</v>
      </c>
      <c r="Q18" s="172">
        <f t="shared" si="0"/>
        <v>1</v>
      </c>
      <c r="R18" s="173">
        <f t="shared" si="0"/>
        <v>1</v>
      </c>
      <c r="S18" s="174">
        <v>800</v>
      </c>
      <c r="T18" s="174">
        <v>0</v>
      </c>
      <c r="U18" s="175">
        <f>IF(Q18&lt;&gt;"",K18-T18,"")</f>
        <v>3100</v>
      </c>
      <c r="V18" s="176">
        <f>IF(Q18&lt;&gt;"",0%,"")</f>
        <v>0</v>
      </c>
      <c r="W18" s="177">
        <f>IF(Q18&lt;&gt;"",V18*U18,"")</f>
        <v>0</v>
      </c>
      <c r="X18" s="177">
        <f>IF(Q18&lt;&gt;"",W18+T18,"")</f>
        <v>0</v>
      </c>
      <c r="Y18" s="178">
        <f t="shared" si="1"/>
        <v>752.36734186653439</v>
      </c>
      <c r="Z18" s="179">
        <f>IF(Q18&lt;&gt;"",U18/K18,"")</f>
        <v>1</v>
      </c>
      <c r="AA18" s="180">
        <f>T18/$T$21</f>
        <v>0</v>
      </c>
      <c r="AK18" s="181">
        <f t="shared" ref="AK18:AK58" si="2">X18-AL18</f>
        <v>0</v>
      </c>
      <c r="AL18" s="182"/>
    </row>
    <row r="19" spans="1:39" ht="99.9" customHeight="1" x14ac:dyDescent="0.4">
      <c r="A19" s="134">
        <v>5</v>
      </c>
      <c r="B19" s="159" t="s">
        <v>132</v>
      </c>
      <c r="C19" s="160" t="s">
        <v>130</v>
      </c>
      <c r="D19" s="134" t="s">
        <v>134</v>
      </c>
      <c r="E19" s="134" t="s">
        <v>140</v>
      </c>
      <c r="F19" s="183" t="s">
        <v>160</v>
      </c>
      <c r="G19" s="167" t="s">
        <v>278</v>
      </c>
      <c r="H19" s="168">
        <v>1</v>
      </c>
      <c r="I19" s="168">
        <v>1</v>
      </c>
      <c r="J19" s="170">
        <v>4500</v>
      </c>
      <c r="K19" s="170">
        <f>IF(F19&lt;&gt;"",H19*I19*J19,"")</f>
        <v>4500</v>
      </c>
      <c r="L19" s="170">
        <f>IF(K19&lt;&gt;"",IF(D19="INTERNO",0,K19*$L$14),"")</f>
        <v>0</v>
      </c>
      <c r="M19" s="170">
        <f>IF(K19&lt;&gt;"",IF(E19="FAT.OGGI",SUM(K19:L19)*(1/(1-$M$14)-1),L19*(1/(1-$M$14)-1)),"")</f>
        <v>1092.1461414191629</v>
      </c>
      <c r="N19" s="171">
        <f>SUM(K19:M19)</f>
        <v>5592.1461414191626</v>
      </c>
      <c r="Q19" s="172">
        <f t="shared" si="0"/>
        <v>1</v>
      </c>
      <c r="R19" s="173">
        <f t="shared" si="0"/>
        <v>1</v>
      </c>
      <c r="S19" s="174">
        <v>600</v>
      </c>
      <c r="T19" s="174">
        <v>0</v>
      </c>
      <c r="U19" s="175">
        <f>IF(Q19&lt;&gt;"",K19-T19,"")</f>
        <v>4500</v>
      </c>
      <c r="V19" s="176">
        <f>IF(Q19&lt;&gt;"",0%,"")</f>
        <v>0</v>
      </c>
      <c r="W19" s="177">
        <f>IF(Q19&lt;&gt;"",V19*U19,"")</f>
        <v>0</v>
      </c>
      <c r="X19" s="177">
        <f>IF(Q19&lt;&gt;"",W19+T19,"")</f>
        <v>0</v>
      </c>
      <c r="Y19" s="178">
        <f t="shared" si="1"/>
        <v>1092.1461414191629</v>
      </c>
      <c r="Z19" s="179">
        <f>IF(Q19&lt;&gt;"",U19/K19,"")</f>
        <v>1</v>
      </c>
      <c r="AA19" s="180">
        <f>T19/$T$21</f>
        <v>0</v>
      </c>
      <c r="AK19" s="181">
        <f t="shared" si="2"/>
        <v>0</v>
      </c>
      <c r="AL19" s="182"/>
    </row>
    <row r="20" spans="1:39" ht="99.9" customHeight="1" x14ac:dyDescent="0.4">
      <c r="A20" s="134">
        <v>6</v>
      </c>
      <c r="B20" s="159" t="s">
        <v>133</v>
      </c>
      <c r="C20" s="160" t="s">
        <v>130</v>
      </c>
      <c r="D20" s="134" t="s">
        <v>134</v>
      </c>
      <c r="E20" s="134" t="s">
        <v>140</v>
      </c>
      <c r="F20" s="183" t="s">
        <v>161</v>
      </c>
      <c r="G20" s="184" t="s">
        <v>279</v>
      </c>
      <c r="H20" s="168">
        <v>1</v>
      </c>
      <c r="I20" s="168">
        <v>1</v>
      </c>
      <c r="J20" s="170">
        <v>3600</v>
      </c>
      <c r="K20" s="185">
        <f>IF(F20&lt;&gt;"",H20*I20*J20,"")</f>
        <v>3600</v>
      </c>
      <c r="L20" s="185">
        <f>IF(K20&lt;&gt;"",IF(D20="INTERNO",0,K20*$L$14),"")</f>
        <v>0</v>
      </c>
      <c r="M20" s="185">
        <f>IF(K20&lt;&gt;"",IF(E20="FAT.OGGI",SUM(K20:L20)*(1/(1-$M$14)-1),L20*(1/(1-$M$14)-1)),"")</f>
        <v>873.71691313533017</v>
      </c>
      <c r="N20" s="186">
        <f>SUM(K20:M20)</f>
        <v>4473.7169131353303</v>
      </c>
      <c r="Q20" s="172">
        <f t="shared" si="0"/>
        <v>1</v>
      </c>
      <c r="R20" s="173">
        <f t="shared" si="0"/>
        <v>1</v>
      </c>
      <c r="S20" s="174">
        <v>600</v>
      </c>
      <c r="T20" s="174">
        <v>0</v>
      </c>
      <c r="U20" s="175">
        <f>IF(Q20&lt;&gt;"",K20-T20,"")</f>
        <v>3600</v>
      </c>
      <c r="V20" s="176">
        <f>IF(Q20&lt;&gt;"",0%,"")</f>
        <v>0</v>
      </c>
      <c r="W20" s="177">
        <f>IF(Q20&lt;&gt;"",V20*U20,"")</f>
        <v>0</v>
      </c>
      <c r="X20" s="177">
        <f>IF(Q20&lt;&gt;"",W20+T20,"")</f>
        <v>0</v>
      </c>
      <c r="Y20" s="178">
        <f t="shared" si="1"/>
        <v>873.71691313533017</v>
      </c>
      <c r="Z20" s="179">
        <f>IF(Q20&lt;&gt;"",U20/K20,"")</f>
        <v>1</v>
      </c>
      <c r="AA20" s="180">
        <f>T20/$T$21</f>
        <v>0</v>
      </c>
      <c r="AK20" s="181">
        <f t="shared" si="2"/>
        <v>0</v>
      </c>
      <c r="AL20" s="182"/>
    </row>
    <row r="21" spans="1:39" ht="30" customHeight="1" thickBot="1" x14ac:dyDescent="0.5">
      <c r="A21" s="134">
        <v>7</v>
      </c>
      <c r="B21" s="159"/>
      <c r="C21" s="160" t="s">
        <v>136</v>
      </c>
      <c r="D21" s="134"/>
      <c r="E21" s="134"/>
      <c r="F21" s="372" t="s">
        <v>162</v>
      </c>
      <c r="G21" s="373"/>
      <c r="H21" s="373"/>
      <c r="I21" s="373"/>
      <c r="J21" s="373"/>
      <c r="K21" s="187">
        <f>SUM(K17:K20)</f>
        <v>15200</v>
      </c>
      <c r="L21" s="187">
        <f>SUM(L17:L20)</f>
        <v>0</v>
      </c>
      <c r="M21" s="187">
        <f>SUM(M17:M20)</f>
        <v>3689.0269665713945</v>
      </c>
      <c r="N21" s="188">
        <f>SUM(N17:N20)</f>
        <v>18889.026966571393</v>
      </c>
      <c r="Q21" s="374" t="s">
        <v>162</v>
      </c>
      <c r="R21" s="375"/>
      <c r="S21" s="375"/>
      <c r="T21" s="189">
        <f>SUM(T17:T20)</f>
        <v>2500</v>
      </c>
      <c r="U21" s="190">
        <f>SUM(U17:U20)</f>
        <v>12700</v>
      </c>
      <c r="V21" s="191"/>
      <c r="W21" s="191"/>
      <c r="X21" s="192">
        <f>SUM(X17:X20)</f>
        <v>2500</v>
      </c>
      <c r="Y21" s="193">
        <f>IF(Q21&lt;&gt;"",X21+M21,"")</f>
        <v>6189.026966571395</v>
      </c>
      <c r="AK21" s="181"/>
      <c r="AL21" s="182"/>
    </row>
    <row r="22" spans="1:39" ht="30" customHeight="1" thickBot="1" x14ac:dyDescent="0.5">
      <c r="A22" s="134">
        <v>8</v>
      </c>
      <c r="B22" s="159">
        <v>2</v>
      </c>
      <c r="C22" s="160" t="s">
        <v>123</v>
      </c>
      <c r="D22" s="134"/>
      <c r="E22" s="134"/>
      <c r="F22" s="360" t="s">
        <v>164</v>
      </c>
      <c r="G22" s="361"/>
      <c r="H22" s="361"/>
      <c r="I22" s="361"/>
      <c r="J22" s="361"/>
      <c r="K22" s="361"/>
      <c r="L22" s="361"/>
      <c r="M22" s="361"/>
      <c r="N22" s="362"/>
      <c r="Q22" s="363" t="str">
        <f>IF(F22&lt;&gt;"",F22,"")</f>
        <v>CENOGRAFIA</v>
      </c>
      <c r="R22" s="364"/>
      <c r="S22" s="364"/>
      <c r="T22" s="364"/>
      <c r="U22" s="364"/>
      <c r="V22" s="364"/>
      <c r="W22" s="364"/>
      <c r="X22" s="364"/>
      <c r="Y22" s="365"/>
      <c r="AK22" s="181"/>
      <c r="AL22" s="182"/>
    </row>
    <row r="23" spans="1:39" ht="30" customHeight="1" x14ac:dyDescent="0.45">
      <c r="A23" s="134">
        <v>9</v>
      </c>
      <c r="B23" s="159" t="s">
        <v>163</v>
      </c>
      <c r="C23" s="160" t="s">
        <v>124</v>
      </c>
      <c r="D23" s="134"/>
      <c r="E23" s="134"/>
      <c r="F23" s="366" t="s">
        <v>165</v>
      </c>
      <c r="G23" s="367"/>
      <c r="H23" s="367"/>
      <c r="I23" s="367"/>
      <c r="J23" s="367"/>
      <c r="K23" s="368"/>
      <c r="L23" s="161" t="s">
        <v>126</v>
      </c>
      <c r="M23" s="162" t="s">
        <v>127</v>
      </c>
      <c r="N23" s="163" t="s">
        <v>82</v>
      </c>
      <c r="Q23" s="369" t="str">
        <f>IF(F23&lt;&gt;"",F23,"")</f>
        <v>ESTANDE</v>
      </c>
      <c r="R23" s="370"/>
      <c r="S23" s="370"/>
      <c r="T23" s="370"/>
      <c r="U23" s="370"/>
      <c r="V23" s="370"/>
      <c r="W23" s="370"/>
      <c r="X23" s="370"/>
      <c r="Y23" s="371"/>
      <c r="Z23" s="164" t="s">
        <v>128</v>
      </c>
      <c r="AA23" s="165" t="s">
        <v>83</v>
      </c>
      <c r="AK23" s="181"/>
      <c r="AL23" s="182"/>
    </row>
    <row r="24" spans="1:39" ht="99.9" customHeight="1" x14ac:dyDescent="0.4">
      <c r="A24" s="134">
        <v>10</v>
      </c>
      <c r="B24" s="159" t="s">
        <v>166</v>
      </c>
      <c r="C24" s="160" t="s">
        <v>130</v>
      </c>
      <c r="D24" s="134" t="s">
        <v>129</v>
      </c>
      <c r="E24" s="134" t="s">
        <v>141</v>
      </c>
      <c r="F24" s="166" t="s">
        <v>165</v>
      </c>
      <c r="G24" s="167" t="s">
        <v>280</v>
      </c>
      <c r="H24" s="168">
        <v>1</v>
      </c>
      <c r="I24" s="168">
        <v>1</v>
      </c>
      <c r="J24" s="170">
        <v>65000</v>
      </c>
      <c r="K24" s="185">
        <f>IF(F24&lt;&gt;"",H24*I24*J24,"")</f>
        <v>65000</v>
      </c>
      <c r="L24" s="185">
        <f>IF(K24&lt;&gt;"",IF(D24="INTERNO",0,K24*$L$14),"")</f>
        <v>5200</v>
      </c>
      <c r="M24" s="185">
        <f>IF(K24&lt;&gt;"",IF(E24="FAT.OGGI",SUM(K24:L24)*(1/(1-$M$14)-1),L24*(1/(1-$M$14)-1)),0)</f>
        <v>1262.035541195477</v>
      </c>
      <c r="N24" s="186">
        <f>SUM(K24:M24)</f>
        <v>71462.035541195481</v>
      </c>
      <c r="O24" s="46" t="s">
        <v>234</v>
      </c>
      <c r="Q24" s="172">
        <f>IF(H24&lt;&gt;"",H24,"")</f>
        <v>1</v>
      </c>
      <c r="R24" s="173">
        <f>IF(I24&lt;&gt;"",I24,"")</f>
        <v>1</v>
      </c>
      <c r="S24" s="174">
        <v>54800</v>
      </c>
      <c r="T24" s="174">
        <f>IF(Q24&lt;&gt;"",Q24*R24*S24,"")</f>
        <v>54800</v>
      </c>
      <c r="U24" s="175">
        <f>IF(Q24&lt;&gt;"",K24-T24,"")</f>
        <v>10200</v>
      </c>
      <c r="V24" s="176">
        <f>IF(Q24&lt;&gt;"",0%,"")</f>
        <v>0</v>
      </c>
      <c r="W24" s="177">
        <f>IF(Q24&lt;&gt;"",V24*U24,"")</f>
        <v>0</v>
      </c>
      <c r="X24" s="177">
        <f>IF(Q24&lt;&gt;"",W24+T24,"")</f>
        <v>54800</v>
      </c>
      <c r="Y24" s="178">
        <f>IF(Q24&lt;&gt;"",X24+M24,"")</f>
        <v>56062.035541195481</v>
      </c>
      <c r="Z24" s="179">
        <f>IF(Q24&lt;&gt;"", IFERROR(U24/K24, 0), 0)</f>
        <v>0.15692307692307692</v>
      </c>
      <c r="AA24" s="180">
        <f>IFERROR(T24/$T$25, "")</f>
        <v>1</v>
      </c>
      <c r="AK24" s="181">
        <f t="shared" si="2"/>
        <v>0</v>
      </c>
      <c r="AL24" s="182">
        <f>27400+27400</f>
        <v>54800</v>
      </c>
      <c r="AM24" s="255" t="s">
        <v>306</v>
      </c>
    </row>
    <row r="25" spans="1:39" ht="30" customHeight="1" thickBot="1" x14ac:dyDescent="0.5">
      <c r="A25" s="134">
        <v>11</v>
      </c>
      <c r="B25" s="159"/>
      <c r="C25" s="160" t="s">
        <v>135</v>
      </c>
      <c r="D25" s="134"/>
      <c r="E25" s="134"/>
      <c r="F25" s="391" t="s">
        <v>173</v>
      </c>
      <c r="G25" s="392"/>
      <c r="H25" s="392"/>
      <c r="I25" s="392"/>
      <c r="J25" s="392"/>
      <c r="K25" s="194">
        <f>SUM(K24:K24)</f>
        <v>65000</v>
      </c>
      <c r="L25" s="194">
        <f>SUM(L24:L24)</f>
        <v>5200</v>
      </c>
      <c r="M25" s="194">
        <f>SUM(M24:M24)</f>
        <v>1262.035541195477</v>
      </c>
      <c r="N25" s="195">
        <f>SUM(N24:N24)</f>
        <v>71462.035541195481</v>
      </c>
      <c r="Q25" s="369" t="s">
        <v>173</v>
      </c>
      <c r="R25" s="370"/>
      <c r="S25" s="370"/>
      <c r="T25" s="196">
        <f>SUM(T24:T24)</f>
        <v>54800</v>
      </c>
      <c r="U25" s="197">
        <f>SUM(U24:U24)</f>
        <v>10200</v>
      </c>
      <c r="V25" s="198"/>
      <c r="W25" s="198"/>
      <c r="X25" s="199">
        <f>SUM(X24:X24)</f>
        <v>54800</v>
      </c>
      <c r="Y25" s="200">
        <f>IF(Q25&lt;&gt;"",X25+M25,"")</f>
        <v>56062.035541195481</v>
      </c>
      <c r="AK25" s="181"/>
      <c r="AL25" s="182"/>
    </row>
    <row r="26" spans="1:39" ht="30" customHeight="1" x14ac:dyDescent="0.45">
      <c r="A26" s="134">
        <v>12</v>
      </c>
      <c r="B26" s="159" t="s">
        <v>168</v>
      </c>
      <c r="C26" s="160" t="s">
        <v>124</v>
      </c>
      <c r="D26" s="134"/>
      <c r="E26" s="134"/>
      <c r="F26" s="366" t="s">
        <v>169</v>
      </c>
      <c r="G26" s="367"/>
      <c r="H26" s="367"/>
      <c r="I26" s="367"/>
      <c r="J26" s="367"/>
      <c r="K26" s="368"/>
      <c r="L26" s="161" t="s">
        <v>126</v>
      </c>
      <c r="M26" s="162" t="s">
        <v>127</v>
      </c>
      <c r="N26" s="163" t="s">
        <v>82</v>
      </c>
      <c r="Q26" s="369" t="str">
        <f>IF(F26&lt;&gt;"",F26,"")</f>
        <v>TECNICA</v>
      </c>
      <c r="R26" s="370"/>
      <c r="S26" s="370"/>
      <c r="T26" s="370"/>
      <c r="U26" s="370"/>
      <c r="V26" s="370"/>
      <c r="W26" s="370"/>
      <c r="X26" s="370"/>
      <c r="Y26" s="371"/>
      <c r="Z26" s="164" t="s">
        <v>128</v>
      </c>
      <c r="AA26" s="165" t="s">
        <v>83</v>
      </c>
      <c r="AK26" s="181"/>
      <c r="AL26" s="182"/>
    </row>
    <row r="27" spans="1:39" ht="99.9" customHeight="1" x14ac:dyDescent="0.4">
      <c r="A27" s="134">
        <v>13</v>
      </c>
      <c r="B27" s="159" t="s">
        <v>170</v>
      </c>
      <c r="C27" s="160" t="s">
        <v>130</v>
      </c>
      <c r="D27" s="134" t="s">
        <v>129</v>
      </c>
      <c r="E27" s="134" t="s">
        <v>141</v>
      </c>
      <c r="F27" s="166" t="s">
        <v>171</v>
      </c>
      <c r="G27" s="184" t="s">
        <v>232</v>
      </c>
      <c r="H27" s="169">
        <v>1</v>
      </c>
      <c r="I27" s="169">
        <v>1</v>
      </c>
      <c r="J27" s="201">
        <v>7550</v>
      </c>
      <c r="K27" s="185">
        <f>IF(F27&lt;&gt;"",H27*I27*J27,"")</f>
        <v>7550</v>
      </c>
      <c r="L27" s="185">
        <f>IF(K27&lt;&gt;"",IF(D27="INTERNO",0,K27*$L$14),"")</f>
        <v>604</v>
      </c>
      <c r="M27" s="185">
        <f>IF(K27&lt;&gt;"",IF(E27="FAT.OGGI",SUM(K27:L27)*(1/(1-$M$14)-1),L27*(1/(1-$M$14)-1)),0)</f>
        <v>146.59028209270539</v>
      </c>
      <c r="N27" s="186">
        <f>SUM(K27:M27)</f>
        <v>8300.5902820927058</v>
      </c>
      <c r="O27" s="46" t="s">
        <v>233</v>
      </c>
      <c r="Q27" s="172">
        <f>IF(H27&lt;&gt;"",H27,"")</f>
        <v>1</v>
      </c>
      <c r="R27" s="173">
        <f>IF(I27&lt;&gt;"",I27,"")</f>
        <v>1</v>
      </c>
      <c r="S27" s="174">
        <v>5850</v>
      </c>
      <c r="T27" s="174">
        <f>IF(Q27&lt;&gt;"",Q27*R27*S27,"")</f>
        <v>5850</v>
      </c>
      <c r="U27" s="175">
        <f>IF(Q27&lt;&gt;"",K27-T27,"")</f>
        <v>1700</v>
      </c>
      <c r="V27" s="176">
        <f>IF(Q27&lt;&gt;"",0%,"")</f>
        <v>0</v>
      </c>
      <c r="W27" s="177">
        <f>IF(Q27&lt;&gt;"",V27*U27,"")</f>
        <v>0</v>
      </c>
      <c r="X27" s="177">
        <f>IF(Q27&lt;&gt;"",W27+T27,"")</f>
        <v>5850</v>
      </c>
      <c r="Y27" s="178">
        <f>IF(Q27&lt;&gt;"",X27+M27,"")</f>
        <v>5996.5902820927058</v>
      </c>
      <c r="Z27" s="179">
        <f>IF(Q27&lt;&gt;"", IFERROR(U27/K27, 0), 0)</f>
        <v>0.2251655629139073</v>
      </c>
      <c r="AA27" s="180">
        <f>IFERROR(T27/$T$28, "")</f>
        <v>1</v>
      </c>
      <c r="AK27" s="181">
        <f t="shared" si="2"/>
        <v>0</v>
      </c>
      <c r="AL27" s="182">
        <v>5850</v>
      </c>
      <c r="AM27" s="255" t="s">
        <v>307</v>
      </c>
    </row>
    <row r="28" spans="1:39" ht="30" customHeight="1" thickBot="1" x14ac:dyDescent="0.5">
      <c r="A28" s="134">
        <v>14</v>
      </c>
      <c r="B28" s="159"/>
      <c r="C28" s="160" t="s">
        <v>135</v>
      </c>
      <c r="D28" s="134"/>
      <c r="E28" s="134"/>
      <c r="F28" s="391" t="s">
        <v>172</v>
      </c>
      <c r="G28" s="392"/>
      <c r="H28" s="392"/>
      <c r="I28" s="392"/>
      <c r="J28" s="392"/>
      <c r="K28" s="194">
        <f>SUM(K27:K27)</f>
        <v>7550</v>
      </c>
      <c r="L28" s="194">
        <f>SUM(L27:L27)</f>
        <v>604</v>
      </c>
      <c r="M28" s="194">
        <f>SUM(M27:M27)</f>
        <v>146.59028209270539</v>
      </c>
      <c r="N28" s="195">
        <f>SUM(N27:N27)</f>
        <v>8300.5902820927058</v>
      </c>
      <c r="Q28" s="369" t="s">
        <v>172</v>
      </c>
      <c r="R28" s="370"/>
      <c r="S28" s="370"/>
      <c r="T28" s="196">
        <f>SUM(T27:T27)</f>
        <v>5850</v>
      </c>
      <c r="U28" s="197">
        <f>SUM(U27:U27)</f>
        <v>1700</v>
      </c>
      <c r="V28" s="198"/>
      <c r="W28" s="198"/>
      <c r="X28" s="199">
        <f>SUM(X27:X27)</f>
        <v>5850</v>
      </c>
      <c r="Y28" s="200">
        <f>IF(Q28&lt;&gt;"",X28+M28,"")</f>
        <v>5996.5902820927058</v>
      </c>
      <c r="AK28" s="181"/>
      <c r="AL28" s="182"/>
    </row>
    <row r="29" spans="1:39" ht="30" customHeight="1" x14ac:dyDescent="0.45">
      <c r="A29" s="134">
        <v>15</v>
      </c>
      <c r="B29" s="159" t="s">
        <v>175</v>
      </c>
      <c r="C29" s="160" t="s">
        <v>124</v>
      </c>
      <c r="D29" s="134"/>
      <c r="E29" s="134"/>
      <c r="F29" s="366" t="s">
        <v>176</v>
      </c>
      <c r="G29" s="367"/>
      <c r="H29" s="367"/>
      <c r="I29" s="367"/>
      <c r="J29" s="367"/>
      <c r="K29" s="368"/>
      <c r="L29" s="161" t="s">
        <v>126</v>
      </c>
      <c r="M29" s="162" t="s">
        <v>127</v>
      </c>
      <c r="N29" s="163" t="s">
        <v>82</v>
      </c>
      <c r="Q29" s="369" t="str">
        <f>IF(F29&lt;&gt;"",F29,"")</f>
        <v>ATIVAÇÃO</v>
      </c>
      <c r="R29" s="370"/>
      <c r="S29" s="370"/>
      <c r="T29" s="370"/>
      <c r="U29" s="370"/>
      <c r="V29" s="370"/>
      <c r="W29" s="370"/>
      <c r="X29" s="370"/>
      <c r="Y29" s="371"/>
      <c r="Z29" s="164" t="s">
        <v>128</v>
      </c>
      <c r="AA29" s="165" t="s">
        <v>83</v>
      </c>
      <c r="AK29" s="181"/>
      <c r="AL29" s="182"/>
    </row>
    <row r="30" spans="1:39" ht="99.9" customHeight="1" x14ac:dyDescent="0.4">
      <c r="A30" s="134">
        <v>16</v>
      </c>
      <c r="B30" s="159" t="s">
        <v>177</v>
      </c>
      <c r="C30" s="160" t="s">
        <v>130</v>
      </c>
      <c r="D30" s="134" t="s">
        <v>129</v>
      </c>
      <c r="E30" s="134" t="s">
        <v>141</v>
      </c>
      <c r="F30" s="166" t="s">
        <v>174</v>
      </c>
      <c r="G30" s="202" t="s">
        <v>227</v>
      </c>
      <c r="H30" s="169">
        <v>1</v>
      </c>
      <c r="I30" s="169">
        <v>3</v>
      </c>
      <c r="J30" s="201">
        <v>8500</v>
      </c>
      <c r="K30" s="185">
        <f>IF(F30&lt;&gt;"",H30*I30*J30,"")</f>
        <v>25500</v>
      </c>
      <c r="L30" s="185">
        <f>IF(K30&lt;&gt;"",IF(D30="INTERNO",0,K30*$L$14),"")</f>
        <v>2040</v>
      </c>
      <c r="M30" s="185">
        <f>IF(K30&lt;&gt;"",IF(E30="FAT.OGGI",SUM(K30:L30)*(1/(1-$M$14)-1),L30*(1/(1-$M$14)-1)),0)</f>
        <v>495.10625077668715</v>
      </c>
      <c r="N30" s="186">
        <f>SUM(K30:M30)</f>
        <v>28035.106250776687</v>
      </c>
      <c r="O30" s="46" t="s">
        <v>256</v>
      </c>
      <c r="Q30" s="172">
        <f>IF(H30&lt;&gt;"",H30,"")</f>
        <v>1</v>
      </c>
      <c r="R30" s="173">
        <f>IF(I30&lt;&gt;"",I30,"")</f>
        <v>3</v>
      </c>
      <c r="S30" s="174">
        <v>7790</v>
      </c>
      <c r="T30" s="174">
        <f>IF(Q30&lt;&gt;"",Q30*R30*S30,"")</f>
        <v>23370</v>
      </c>
      <c r="U30" s="175">
        <f>IF(Q30&lt;&gt;"",K30-T30,"")</f>
        <v>2130</v>
      </c>
      <c r="V30" s="176">
        <f>IF(Q30&lt;&gt;"",0%,"")</f>
        <v>0</v>
      </c>
      <c r="W30" s="177">
        <f>IF(Q30&lt;&gt;"",V30*U30,"")</f>
        <v>0</v>
      </c>
      <c r="X30" s="177">
        <f>IF(Q30&lt;&gt;"",W30+T30,"")</f>
        <v>23370</v>
      </c>
      <c r="Y30" s="178">
        <f>IF(Q30&lt;&gt;"",X30+M30,"")</f>
        <v>23865.106250776687</v>
      </c>
      <c r="Z30" s="179">
        <f>IF(Q30&lt;&gt;"", IFERROR(U30/K30, 0), 0)</f>
        <v>8.352941176470588E-2</v>
      </c>
      <c r="AA30" s="180">
        <f>IFERROR(T30/$T$32, "")</f>
        <v>0.27814805998571768</v>
      </c>
      <c r="AK30" s="181">
        <f t="shared" si="2"/>
        <v>0</v>
      </c>
      <c r="AL30" s="182">
        <f>11685+11685</f>
        <v>23370</v>
      </c>
      <c r="AM30" s="255" t="s">
        <v>308</v>
      </c>
    </row>
    <row r="31" spans="1:39" ht="30" customHeight="1" thickBot="1" x14ac:dyDescent="0.5">
      <c r="A31" s="134">
        <v>17</v>
      </c>
      <c r="B31" s="159"/>
      <c r="C31" s="160" t="s">
        <v>135</v>
      </c>
      <c r="D31" s="134"/>
      <c r="E31" s="134"/>
      <c r="F31" s="393" t="s">
        <v>178</v>
      </c>
      <c r="G31" s="394"/>
      <c r="H31" s="394"/>
      <c r="I31" s="394"/>
      <c r="J31" s="394"/>
      <c r="K31" s="203">
        <f>SUM(K30:K30)</f>
        <v>25500</v>
      </c>
      <c r="L31" s="203">
        <f>SUM(L30:L30)</f>
        <v>2040</v>
      </c>
      <c r="M31" s="203">
        <f>SUM(M30:M30)</f>
        <v>495.10625077668715</v>
      </c>
      <c r="N31" s="204">
        <f>SUM(N30:N30)</f>
        <v>28035.106250776687</v>
      </c>
      <c r="Q31" s="369" t="s">
        <v>178</v>
      </c>
      <c r="R31" s="370"/>
      <c r="S31" s="370"/>
      <c r="T31" s="196">
        <f>SUM(T30:T30)</f>
        <v>23370</v>
      </c>
      <c r="U31" s="197">
        <f>SUM(U30:U30)</f>
        <v>2130</v>
      </c>
      <c r="V31" s="198"/>
      <c r="W31" s="198"/>
      <c r="X31" s="199">
        <f>SUM(X30:X30)</f>
        <v>23370</v>
      </c>
      <c r="Y31" s="200">
        <f>IF(Q31&lt;&gt;"",X31+M31,"")</f>
        <v>23865.106250776687</v>
      </c>
      <c r="AA31" s="180">
        <f>IFERROR(T31/$T$32, "")</f>
        <v>0.27814805998571768</v>
      </c>
      <c r="AK31" s="181"/>
      <c r="AL31" s="182"/>
    </row>
    <row r="32" spans="1:39" ht="30" customHeight="1" thickBot="1" x14ac:dyDescent="0.5">
      <c r="A32" s="134">
        <v>18</v>
      </c>
      <c r="B32" s="159"/>
      <c r="C32" s="160" t="s">
        <v>136</v>
      </c>
      <c r="D32" s="134"/>
      <c r="E32" s="134"/>
      <c r="F32" s="395" t="s">
        <v>167</v>
      </c>
      <c r="G32" s="396"/>
      <c r="H32" s="396"/>
      <c r="I32" s="396"/>
      <c r="J32" s="396"/>
      <c r="K32" s="187">
        <f>SUM(K24:K24)+SUM(K27:K27)+SUM(K30:K30)</f>
        <v>98050</v>
      </c>
      <c r="L32" s="187">
        <f>SUM(L24:L24)+SUM(L27:L27)+SUM(L30:L30)</f>
        <v>7844</v>
      </c>
      <c r="M32" s="187">
        <f>SUM(M24:M24)+SUM(M27:M27)+SUM(M30:M30)</f>
        <v>1903.7320740648695</v>
      </c>
      <c r="N32" s="188">
        <f>SUM(N24:N24)+SUM(N27:N27)+SUM(N30:N30)</f>
        <v>107797.73207406487</v>
      </c>
      <c r="Q32" s="374" t="s">
        <v>167</v>
      </c>
      <c r="R32" s="375"/>
      <c r="S32" s="375"/>
      <c r="T32" s="189">
        <f>SUM(T24:T24)+SUM(T27:T27)+SUM(T30:T30)</f>
        <v>84020</v>
      </c>
      <c r="U32" s="190">
        <f>SUM(U24:U24)+SUM(U27:U27)+SUM(U30:U30)</f>
        <v>14030</v>
      </c>
      <c r="V32" s="191"/>
      <c r="W32" s="191"/>
      <c r="X32" s="192">
        <f>SUM(X24:X24)+SUM(X27:X27)+SUM(X30:X30)</f>
        <v>84020</v>
      </c>
      <c r="Y32" s="193">
        <f>IF(Q32&lt;&gt;"",X32+M32,"")</f>
        <v>85923.732074064872</v>
      </c>
      <c r="AK32" s="181"/>
      <c r="AL32" s="182"/>
    </row>
    <row r="33" spans="1:39" ht="30" customHeight="1" thickBot="1" x14ac:dyDescent="0.5">
      <c r="A33" s="134">
        <v>19</v>
      </c>
      <c r="B33" s="159">
        <v>3</v>
      </c>
      <c r="C33" s="160" t="s">
        <v>123</v>
      </c>
      <c r="D33" s="134"/>
      <c r="E33" s="134"/>
      <c r="F33" s="360" t="s">
        <v>179</v>
      </c>
      <c r="G33" s="361"/>
      <c r="H33" s="361"/>
      <c r="I33" s="361"/>
      <c r="J33" s="361"/>
      <c r="K33" s="361"/>
      <c r="L33" s="361"/>
      <c r="M33" s="361"/>
      <c r="N33" s="362"/>
      <c r="Q33" s="363" t="str">
        <f>IF(F33&lt;&gt;"",F33,"")</f>
        <v>OPERACIONAL ESTANDE</v>
      </c>
      <c r="R33" s="364"/>
      <c r="S33" s="364"/>
      <c r="T33" s="364"/>
      <c r="U33" s="364"/>
      <c r="V33" s="364"/>
      <c r="W33" s="364"/>
      <c r="X33" s="364"/>
      <c r="Y33" s="365"/>
      <c r="AK33" s="181"/>
      <c r="AL33" s="182"/>
    </row>
    <row r="34" spans="1:39" ht="30" customHeight="1" thickBot="1" x14ac:dyDescent="0.5">
      <c r="A34" s="134">
        <v>20</v>
      </c>
      <c r="B34" s="159" t="s">
        <v>180</v>
      </c>
      <c r="C34" s="160" t="s">
        <v>124</v>
      </c>
      <c r="D34" s="134"/>
      <c r="E34" s="134"/>
      <c r="F34" s="366" t="s">
        <v>223</v>
      </c>
      <c r="G34" s="367"/>
      <c r="H34" s="367"/>
      <c r="I34" s="367"/>
      <c r="J34" s="367"/>
      <c r="K34" s="368"/>
      <c r="L34" s="161" t="s">
        <v>126</v>
      </c>
      <c r="M34" s="162" t="s">
        <v>127</v>
      </c>
      <c r="N34" s="163" t="s">
        <v>82</v>
      </c>
      <c r="Q34" s="369" t="str">
        <f>IF(F34&lt;&gt;"",F34,"")</f>
        <v xml:space="preserve">BRINDES DE COMBATE </v>
      </c>
      <c r="R34" s="370"/>
      <c r="S34" s="370"/>
      <c r="T34" s="370"/>
      <c r="U34" s="370"/>
      <c r="V34" s="370"/>
      <c r="W34" s="370"/>
      <c r="X34" s="370"/>
      <c r="Y34" s="371"/>
      <c r="Z34" s="164" t="s">
        <v>128</v>
      </c>
      <c r="AA34" s="165" t="s">
        <v>83</v>
      </c>
      <c r="AK34" s="181"/>
      <c r="AL34" s="182"/>
    </row>
    <row r="35" spans="1:39" ht="99.9" customHeight="1" x14ac:dyDescent="0.4">
      <c r="A35" s="134">
        <v>21</v>
      </c>
      <c r="B35" s="159" t="s">
        <v>183</v>
      </c>
      <c r="C35" s="160" t="s">
        <v>130</v>
      </c>
      <c r="D35" s="134" t="s">
        <v>129</v>
      </c>
      <c r="E35" s="134" t="s">
        <v>141</v>
      </c>
      <c r="F35" s="205" t="s">
        <v>228</v>
      </c>
      <c r="G35" s="206" t="s">
        <v>229</v>
      </c>
      <c r="H35" s="207">
        <v>1000</v>
      </c>
      <c r="I35" s="207">
        <v>1</v>
      </c>
      <c r="J35" s="208">
        <v>14</v>
      </c>
      <c r="K35" s="209">
        <f>IF(F35&lt;&gt;"",H35*I35*J35,"")</f>
        <v>14000</v>
      </c>
      <c r="L35" s="209">
        <f>IF(K35&lt;&gt;"",IF(D35="INTERNO",0,K35*$L$14),"")</f>
        <v>1120</v>
      </c>
      <c r="M35" s="209">
        <f>IF(K35&lt;&gt;"",IF(E35="FAT.OGGI",SUM(K35:L35)*(1/(1-$M$14)-1),L35*(1/(1-$M$14)-1)),0)</f>
        <v>271.82303964210274</v>
      </c>
      <c r="N35" s="210">
        <f>SUM(K35:M35)</f>
        <v>15391.823039642102</v>
      </c>
      <c r="O35" s="46" t="s">
        <v>231</v>
      </c>
      <c r="Q35" s="211">
        <v>1</v>
      </c>
      <c r="R35" s="212">
        <f>IF(I35&lt;&gt;"",I35,"")</f>
        <v>1</v>
      </c>
      <c r="S35" s="213">
        <v>10000</v>
      </c>
      <c r="T35" s="213">
        <v>10600</v>
      </c>
      <c r="U35" s="214">
        <f>IF(Q35&lt;&gt;"",K35-T35,"")</f>
        <v>3400</v>
      </c>
      <c r="V35" s="215">
        <f>IF(Q35&lt;&gt;"",0%,"")</f>
        <v>0</v>
      </c>
      <c r="W35" s="216">
        <f>IF(Q35&lt;&gt;"",V35*U35,"")</f>
        <v>0</v>
      </c>
      <c r="X35" s="216">
        <f>IF(Q35&lt;&gt;"",W35+T35,"")</f>
        <v>10600</v>
      </c>
      <c r="Y35" s="217">
        <f>IF(Q35&lt;&gt;"",X35+M35,"")</f>
        <v>10871.823039642102</v>
      </c>
      <c r="Z35" s="179">
        <f>IF(Q35&lt;&gt;"", IFERROR(U35/K35, 0), 0)</f>
        <v>0.24285714285714285</v>
      </c>
      <c r="AA35" s="180">
        <f>IFERROR(T35/$T$36, "")</f>
        <v>1</v>
      </c>
      <c r="AK35" s="181">
        <f t="shared" si="2"/>
        <v>0</v>
      </c>
      <c r="AL35" s="182">
        <f>5600+5000</f>
        <v>10600</v>
      </c>
      <c r="AM35" s="255" t="s">
        <v>303</v>
      </c>
    </row>
    <row r="36" spans="1:39" ht="30" customHeight="1" thickBot="1" x14ac:dyDescent="0.5">
      <c r="A36" s="218">
        <v>22</v>
      </c>
      <c r="B36" s="159"/>
      <c r="C36" s="219" t="s">
        <v>135</v>
      </c>
      <c r="D36" s="218"/>
      <c r="E36" s="218"/>
      <c r="F36" s="391" t="s">
        <v>187</v>
      </c>
      <c r="G36" s="392"/>
      <c r="H36" s="392"/>
      <c r="I36" s="392"/>
      <c r="J36" s="392"/>
      <c r="K36" s="194">
        <f>SUM(K35:K35)</f>
        <v>14000</v>
      </c>
      <c r="L36" s="194">
        <f>SUM(L35:L35)</f>
        <v>1120</v>
      </c>
      <c r="M36" s="194">
        <f>SUM(M35:M35)</f>
        <v>271.82303964210274</v>
      </c>
      <c r="N36" s="195">
        <f>SUM(N35:N35)</f>
        <v>15391.823039642102</v>
      </c>
      <c r="Q36" s="397" t="s">
        <v>187</v>
      </c>
      <c r="R36" s="398"/>
      <c r="S36" s="398"/>
      <c r="T36" s="220">
        <f>SUM(T35:T35)</f>
        <v>10600</v>
      </c>
      <c r="U36" s="221">
        <f>SUM(U35:U35)</f>
        <v>3400</v>
      </c>
      <c r="V36" s="222"/>
      <c r="W36" s="222"/>
      <c r="X36" s="223">
        <f>SUM(X35:X35)</f>
        <v>10600</v>
      </c>
      <c r="Y36" s="224">
        <f>IF(Q36&lt;&gt;"",X36+M36,"")</f>
        <v>10871.823039642102</v>
      </c>
      <c r="AA36" s="225">
        <f>K38+K41+K42+K43</f>
        <v>10560</v>
      </c>
      <c r="AK36" s="181"/>
      <c r="AL36" s="182"/>
    </row>
    <row r="37" spans="1:39" ht="30" customHeight="1" x14ac:dyDescent="0.45">
      <c r="A37" s="134">
        <v>23</v>
      </c>
      <c r="B37" s="159" t="s">
        <v>188</v>
      </c>
      <c r="C37" s="160" t="s">
        <v>124</v>
      </c>
      <c r="D37" s="134"/>
      <c r="E37" s="134"/>
      <c r="F37" s="366" t="s">
        <v>195</v>
      </c>
      <c r="G37" s="367"/>
      <c r="H37" s="367"/>
      <c r="I37" s="367"/>
      <c r="J37" s="367"/>
      <c r="K37" s="368"/>
      <c r="L37" s="161" t="s">
        <v>126</v>
      </c>
      <c r="M37" s="162" t="s">
        <v>127</v>
      </c>
      <c r="N37" s="163" t="s">
        <v>82</v>
      </c>
      <c r="Q37" s="369" t="str">
        <f>IF(F37&lt;&gt;"",F37,"")</f>
        <v>STAFF</v>
      </c>
      <c r="R37" s="370"/>
      <c r="S37" s="370"/>
      <c r="T37" s="370"/>
      <c r="U37" s="370"/>
      <c r="V37" s="370"/>
      <c r="W37" s="370"/>
      <c r="X37" s="370"/>
      <c r="Y37" s="371"/>
      <c r="Z37" s="164" t="s">
        <v>128</v>
      </c>
      <c r="AA37" s="165" t="s">
        <v>83</v>
      </c>
      <c r="AK37" s="181"/>
      <c r="AL37" s="182"/>
    </row>
    <row r="38" spans="1:39" ht="99.9" customHeight="1" x14ac:dyDescent="0.4">
      <c r="A38" s="134">
        <v>24</v>
      </c>
      <c r="B38" s="159" t="s">
        <v>196</v>
      </c>
      <c r="C38" s="160" t="s">
        <v>130</v>
      </c>
      <c r="D38" s="134" t="s">
        <v>129</v>
      </c>
      <c r="E38" s="134" t="s">
        <v>141</v>
      </c>
      <c r="F38" s="166" t="s">
        <v>189</v>
      </c>
      <c r="G38" s="167" t="s">
        <v>281</v>
      </c>
      <c r="H38" s="168">
        <v>1</v>
      </c>
      <c r="I38" s="168">
        <v>4</v>
      </c>
      <c r="J38" s="170">
        <v>850</v>
      </c>
      <c r="K38" s="170">
        <f t="shared" ref="K38:K43" si="3">IF(F38&lt;&gt;"",H38*I38*J38,"")</f>
        <v>3400</v>
      </c>
      <c r="L38" s="170">
        <f t="shared" ref="L38:L43" si="4">IF(K38&lt;&gt;"",IF(D38="INTERNO",0,K38*$L$14),"")</f>
        <v>272</v>
      </c>
      <c r="M38" s="170">
        <f t="shared" ref="M38:M43" si="5">IF(K38&lt;&gt;"",IF(E38="FAT.OGGI",SUM(K38:L38)*(1/(1-$M$14)-1),L38*(1/(1-$M$14)-1)),0)</f>
        <v>66.014166770224946</v>
      </c>
      <c r="N38" s="171">
        <f t="shared" ref="N38:N43" si="6">SUM(K38:M38)</f>
        <v>3738.0141667702251</v>
      </c>
      <c r="O38" s="46" t="s">
        <v>257</v>
      </c>
      <c r="Q38" s="172">
        <f t="shared" ref="Q38:R41" si="7">IF(H38&lt;&gt;"",H38,"")</f>
        <v>1</v>
      </c>
      <c r="R38" s="173">
        <f t="shared" si="7"/>
        <v>4</v>
      </c>
      <c r="S38" s="174">
        <v>700</v>
      </c>
      <c r="T38" s="174">
        <v>8585.6</v>
      </c>
      <c r="U38" s="175">
        <f t="shared" ref="U38:U43" si="8">IF(Q38&lt;&gt;"",K38-T38,"")</f>
        <v>-5185.6000000000004</v>
      </c>
      <c r="V38" s="176">
        <f t="shared" ref="V38:V43" si="9">IF(Q38&lt;&gt;"",0%,"")</f>
        <v>0</v>
      </c>
      <c r="W38" s="177">
        <f t="shared" ref="W38:W43" si="10">IF(Q38&lt;&gt;"",V38*U38,"")</f>
        <v>0</v>
      </c>
      <c r="X38" s="177">
        <f t="shared" ref="X38:X43" si="11">IF(Q38&lt;&gt;"",W38+T38,"")</f>
        <v>8585.6</v>
      </c>
      <c r="Y38" s="178">
        <f t="shared" ref="Y38:Y44" si="12">IF(Q38&lt;&gt;"",X38+M38,"")</f>
        <v>8651.614166770225</v>
      </c>
      <c r="Z38" s="179">
        <f t="shared" ref="Z38:Z43" si="13">IF(Q38&lt;&gt;"", IFERROR(U38/K38, 0), 0)</f>
        <v>-1.5251764705882354</v>
      </c>
      <c r="AA38" s="180">
        <f t="shared" ref="AA38:AA43" si="14">IFERROR(T38/$T$44, "")</f>
        <v>0.70169015005394098</v>
      </c>
      <c r="AK38" s="181">
        <f t="shared" si="2"/>
        <v>0</v>
      </c>
      <c r="AL38" s="182">
        <f>345.6+560+1800+2800+3080</f>
        <v>8585.6</v>
      </c>
      <c r="AM38" s="255" t="s">
        <v>302</v>
      </c>
    </row>
    <row r="39" spans="1:39" ht="99.9" customHeight="1" x14ac:dyDescent="0.4">
      <c r="A39" s="134">
        <v>25</v>
      </c>
      <c r="B39" s="159" t="s">
        <v>197</v>
      </c>
      <c r="C39" s="160" t="s">
        <v>130</v>
      </c>
      <c r="D39" s="134" t="s">
        <v>129</v>
      </c>
      <c r="E39" s="134" t="s">
        <v>141</v>
      </c>
      <c r="F39" s="166" t="s">
        <v>190</v>
      </c>
      <c r="G39" s="167" t="s">
        <v>282</v>
      </c>
      <c r="H39" s="168">
        <v>1</v>
      </c>
      <c r="I39" s="168">
        <v>4</v>
      </c>
      <c r="J39" s="170">
        <v>850</v>
      </c>
      <c r="K39" s="170">
        <f t="shared" si="3"/>
        <v>3400</v>
      </c>
      <c r="L39" s="170">
        <f t="shared" si="4"/>
        <v>272</v>
      </c>
      <c r="M39" s="170">
        <f t="shared" si="5"/>
        <v>66.014166770224946</v>
      </c>
      <c r="N39" s="171">
        <f t="shared" si="6"/>
        <v>3738.0141667702251</v>
      </c>
      <c r="O39" s="46" t="s">
        <v>258</v>
      </c>
      <c r="Q39" s="172">
        <f t="shared" si="7"/>
        <v>1</v>
      </c>
      <c r="R39" s="173">
        <v>1</v>
      </c>
      <c r="S39" s="174">
        <v>2450</v>
      </c>
      <c r="T39" s="174">
        <v>2450</v>
      </c>
      <c r="U39" s="175">
        <f t="shared" si="8"/>
        <v>950</v>
      </c>
      <c r="V39" s="176">
        <f t="shared" si="9"/>
        <v>0</v>
      </c>
      <c r="W39" s="177">
        <f t="shared" si="10"/>
        <v>0</v>
      </c>
      <c r="X39" s="177">
        <f t="shared" si="11"/>
        <v>2450</v>
      </c>
      <c r="Y39" s="178">
        <f t="shared" si="12"/>
        <v>2516.0141667702251</v>
      </c>
      <c r="Z39" s="179">
        <f t="shared" si="13"/>
        <v>0.27941176470588236</v>
      </c>
      <c r="AA39" s="180">
        <f t="shared" si="14"/>
        <v>0.20023537873091635</v>
      </c>
      <c r="AK39" s="181">
        <f t="shared" si="2"/>
        <v>0</v>
      </c>
      <c r="AL39" s="182">
        <f>450+2000</f>
        <v>2450</v>
      </c>
      <c r="AM39" s="255" t="s">
        <v>301</v>
      </c>
    </row>
    <row r="40" spans="1:39" ht="99.9" customHeight="1" x14ac:dyDescent="0.4">
      <c r="A40" s="134">
        <v>26</v>
      </c>
      <c r="B40" s="159" t="s">
        <v>264</v>
      </c>
      <c r="C40" s="160" t="s">
        <v>130</v>
      </c>
      <c r="D40" s="134" t="s">
        <v>129</v>
      </c>
      <c r="E40" s="134" t="s">
        <v>141</v>
      </c>
      <c r="F40" s="166" t="s">
        <v>191</v>
      </c>
      <c r="G40" s="167" t="s">
        <v>283</v>
      </c>
      <c r="H40" s="168">
        <v>1</v>
      </c>
      <c r="I40" s="168">
        <v>3</v>
      </c>
      <c r="J40" s="170">
        <v>450</v>
      </c>
      <c r="K40" s="170">
        <f t="shared" si="3"/>
        <v>1350</v>
      </c>
      <c r="L40" s="170">
        <f t="shared" si="4"/>
        <v>108</v>
      </c>
      <c r="M40" s="170">
        <f t="shared" si="5"/>
        <v>26.211507394059907</v>
      </c>
      <c r="N40" s="171">
        <f t="shared" si="6"/>
        <v>1484.2115073940599</v>
      </c>
      <c r="O40" s="46" t="s">
        <v>259</v>
      </c>
      <c r="Q40" s="172">
        <f t="shared" si="7"/>
        <v>1</v>
      </c>
      <c r="R40" s="173">
        <f t="shared" si="7"/>
        <v>3</v>
      </c>
      <c r="S40" s="174">
        <v>400</v>
      </c>
      <c r="T40" s="174">
        <f t="shared" ref="T40" si="15">IF(Q40&lt;&gt;"",Q40*R40*S40,"")</f>
        <v>1200</v>
      </c>
      <c r="U40" s="175">
        <f t="shared" si="8"/>
        <v>150</v>
      </c>
      <c r="V40" s="176">
        <f t="shared" si="9"/>
        <v>0</v>
      </c>
      <c r="W40" s="177">
        <f t="shared" si="10"/>
        <v>0</v>
      </c>
      <c r="X40" s="177">
        <f t="shared" si="11"/>
        <v>1200</v>
      </c>
      <c r="Y40" s="178">
        <f t="shared" si="12"/>
        <v>1226.2115073940599</v>
      </c>
      <c r="Z40" s="179">
        <f t="shared" si="13"/>
        <v>0.1111111111111111</v>
      </c>
      <c r="AA40" s="180">
        <f t="shared" si="14"/>
        <v>9.8074471215142692E-2</v>
      </c>
      <c r="AK40" s="181">
        <f t="shared" si="2"/>
        <v>0</v>
      </c>
      <c r="AL40" s="182">
        <v>1200</v>
      </c>
      <c r="AM40" s="255" t="s">
        <v>309</v>
      </c>
    </row>
    <row r="41" spans="1:39" ht="99.9" customHeight="1" x14ac:dyDescent="0.4">
      <c r="A41" s="134">
        <v>27</v>
      </c>
      <c r="B41" s="159" t="s">
        <v>198</v>
      </c>
      <c r="C41" s="160" t="s">
        <v>130</v>
      </c>
      <c r="D41" s="134" t="s">
        <v>129</v>
      </c>
      <c r="E41" s="134" t="s">
        <v>141</v>
      </c>
      <c r="F41" s="166" t="s">
        <v>192</v>
      </c>
      <c r="G41" s="167" t="s">
        <v>284</v>
      </c>
      <c r="H41" s="168">
        <v>1</v>
      </c>
      <c r="I41" s="168">
        <v>6</v>
      </c>
      <c r="J41" s="170">
        <v>380</v>
      </c>
      <c r="K41" s="170">
        <f t="shared" si="3"/>
        <v>2280</v>
      </c>
      <c r="L41" s="170">
        <f t="shared" si="4"/>
        <v>182.4</v>
      </c>
      <c r="M41" s="170">
        <f t="shared" si="5"/>
        <v>44.268323598856732</v>
      </c>
      <c r="N41" s="171">
        <f t="shared" si="6"/>
        <v>2506.6683235988567</v>
      </c>
      <c r="O41" s="46" t="s">
        <v>257</v>
      </c>
      <c r="Q41" s="172">
        <f t="shared" si="7"/>
        <v>1</v>
      </c>
      <c r="R41" s="173">
        <f t="shared" si="7"/>
        <v>6</v>
      </c>
      <c r="S41" s="174">
        <v>180</v>
      </c>
      <c r="T41" s="174">
        <v>0</v>
      </c>
      <c r="U41" s="175">
        <f t="shared" si="8"/>
        <v>2280</v>
      </c>
      <c r="V41" s="176">
        <f t="shared" si="9"/>
        <v>0</v>
      </c>
      <c r="W41" s="177">
        <f t="shared" si="10"/>
        <v>0</v>
      </c>
      <c r="X41" s="177">
        <f t="shared" si="11"/>
        <v>0</v>
      </c>
      <c r="Y41" s="178">
        <f t="shared" si="12"/>
        <v>44.268323598856732</v>
      </c>
      <c r="Z41" s="179">
        <f t="shared" si="13"/>
        <v>1</v>
      </c>
      <c r="AA41" s="180">
        <f t="shared" si="14"/>
        <v>0</v>
      </c>
      <c r="AK41" s="181">
        <f t="shared" si="2"/>
        <v>0</v>
      </c>
      <c r="AL41" s="182"/>
    </row>
    <row r="42" spans="1:39" ht="99.9" customHeight="1" x14ac:dyDescent="0.4">
      <c r="A42" s="134">
        <v>28</v>
      </c>
      <c r="B42" s="159" t="s">
        <v>199</v>
      </c>
      <c r="C42" s="160" t="s">
        <v>130</v>
      </c>
      <c r="D42" s="134" t="s">
        <v>129</v>
      </c>
      <c r="E42" s="134" t="s">
        <v>141</v>
      </c>
      <c r="F42" s="166" t="s">
        <v>193</v>
      </c>
      <c r="G42" s="184" t="s">
        <v>285</v>
      </c>
      <c r="H42" s="169">
        <v>2</v>
      </c>
      <c r="I42" s="169">
        <v>2</v>
      </c>
      <c r="J42" s="170">
        <v>380</v>
      </c>
      <c r="K42" s="170">
        <f t="shared" si="3"/>
        <v>1520</v>
      </c>
      <c r="L42" s="170">
        <f t="shared" si="4"/>
        <v>121.60000000000001</v>
      </c>
      <c r="M42" s="170">
        <f t="shared" si="5"/>
        <v>29.512215732571157</v>
      </c>
      <c r="N42" s="171">
        <f t="shared" si="6"/>
        <v>1671.112215732571</v>
      </c>
      <c r="O42" s="46" t="s">
        <v>257</v>
      </c>
      <c r="Q42" s="172">
        <v>1</v>
      </c>
      <c r="R42" s="173">
        <v>1</v>
      </c>
      <c r="S42" s="174">
        <v>720</v>
      </c>
      <c r="T42" s="174">
        <v>0</v>
      </c>
      <c r="U42" s="175">
        <f t="shared" si="8"/>
        <v>1520</v>
      </c>
      <c r="V42" s="176">
        <f t="shared" si="9"/>
        <v>0</v>
      </c>
      <c r="W42" s="177">
        <f t="shared" si="10"/>
        <v>0</v>
      </c>
      <c r="X42" s="177">
        <f t="shared" si="11"/>
        <v>0</v>
      </c>
      <c r="Y42" s="178">
        <f t="shared" si="12"/>
        <v>29.512215732571157</v>
      </c>
      <c r="Z42" s="179">
        <f t="shared" si="13"/>
        <v>1</v>
      </c>
      <c r="AA42" s="180">
        <f t="shared" si="14"/>
        <v>0</v>
      </c>
      <c r="AK42" s="181">
        <f t="shared" si="2"/>
        <v>0</v>
      </c>
      <c r="AL42" s="182"/>
    </row>
    <row r="43" spans="1:39" ht="99.9" customHeight="1" x14ac:dyDescent="0.4">
      <c r="A43" s="134">
        <v>29</v>
      </c>
      <c r="B43" s="159" t="s">
        <v>200</v>
      </c>
      <c r="C43" s="160" t="s">
        <v>130</v>
      </c>
      <c r="D43" s="134" t="s">
        <v>129</v>
      </c>
      <c r="E43" s="134" t="s">
        <v>141</v>
      </c>
      <c r="F43" s="166" t="s">
        <v>194</v>
      </c>
      <c r="G43" s="167" t="s">
        <v>286</v>
      </c>
      <c r="H43" s="168">
        <v>2</v>
      </c>
      <c r="I43" s="168">
        <v>4</v>
      </c>
      <c r="J43" s="170">
        <v>420</v>
      </c>
      <c r="K43" s="170">
        <f t="shared" si="3"/>
        <v>3360</v>
      </c>
      <c r="L43" s="170">
        <f t="shared" si="4"/>
        <v>268.8</v>
      </c>
      <c r="M43" s="170">
        <f t="shared" si="5"/>
        <v>65.237529514104665</v>
      </c>
      <c r="N43" s="171">
        <f t="shared" si="6"/>
        <v>3694.0375295141048</v>
      </c>
      <c r="O43" s="46" t="s">
        <v>257</v>
      </c>
      <c r="Q43" s="172">
        <v>1</v>
      </c>
      <c r="R43" s="173">
        <v>8</v>
      </c>
      <c r="S43" s="174">
        <v>385</v>
      </c>
      <c r="T43" s="174">
        <v>0</v>
      </c>
      <c r="U43" s="175">
        <f t="shared" si="8"/>
        <v>3360</v>
      </c>
      <c r="V43" s="176">
        <f t="shared" si="9"/>
        <v>0</v>
      </c>
      <c r="W43" s="177">
        <f t="shared" si="10"/>
        <v>0</v>
      </c>
      <c r="X43" s="177">
        <f t="shared" si="11"/>
        <v>0</v>
      </c>
      <c r="Y43" s="178">
        <f t="shared" si="12"/>
        <v>65.237529514104665</v>
      </c>
      <c r="Z43" s="179">
        <f t="shared" si="13"/>
        <v>1</v>
      </c>
      <c r="AA43" s="180">
        <f t="shared" si="14"/>
        <v>0</v>
      </c>
      <c r="AK43" s="181">
        <f t="shared" si="2"/>
        <v>0</v>
      </c>
      <c r="AL43" s="182"/>
    </row>
    <row r="44" spans="1:39" ht="30" customHeight="1" thickBot="1" x14ac:dyDescent="0.5">
      <c r="A44" s="134">
        <v>30</v>
      </c>
      <c r="B44" s="159"/>
      <c r="C44" s="160" t="s">
        <v>135</v>
      </c>
      <c r="D44" s="134"/>
      <c r="E44" s="134"/>
      <c r="F44" s="391" t="s">
        <v>201</v>
      </c>
      <c r="G44" s="392"/>
      <c r="H44" s="392"/>
      <c r="I44" s="392"/>
      <c r="J44" s="392"/>
      <c r="K44" s="194">
        <f>SUM(K38:K43)</f>
        <v>15310</v>
      </c>
      <c r="L44" s="194">
        <f>SUM(L38:L43)</f>
        <v>1224.8</v>
      </c>
      <c r="M44" s="194">
        <f>SUM(M38:M43)</f>
        <v>297.25790978004238</v>
      </c>
      <c r="N44" s="195">
        <f>SUM(N38:N43)</f>
        <v>16832.057909780044</v>
      </c>
      <c r="Q44" s="369" t="s">
        <v>201</v>
      </c>
      <c r="R44" s="370"/>
      <c r="S44" s="370"/>
      <c r="T44" s="196">
        <f>SUM(T38:T43)</f>
        <v>12235.6</v>
      </c>
      <c r="U44" s="197">
        <f>SUM(U38:U43)</f>
        <v>3074.3999999999996</v>
      </c>
      <c r="V44" s="198"/>
      <c r="W44" s="198"/>
      <c r="X44" s="199">
        <f>SUM(X38:X43)</f>
        <v>12235.6</v>
      </c>
      <c r="Y44" s="200">
        <f t="shared" si="12"/>
        <v>12532.857909780043</v>
      </c>
      <c r="AA44" s="225">
        <f>T38+T41+T42+T43</f>
        <v>8585.6</v>
      </c>
      <c r="AK44" s="181"/>
      <c r="AL44" s="182"/>
    </row>
    <row r="45" spans="1:39" ht="30" customHeight="1" thickBot="1" x14ac:dyDescent="0.5">
      <c r="A45" s="134">
        <v>31</v>
      </c>
      <c r="B45" s="159" t="s">
        <v>202</v>
      </c>
      <c r="C45" s="160" t="s">
        <v>124</v>
      </c>
      <c r="D45" s="134"/>
      <c r="E45" s="134"/>
      <c r="F45" s="366" t="s">
        <v>203</v>
      </c>
      <c r="G45" s="367"/>
      <c r="H45" s="367"/>
      <c r="I45" s="367"/>
      <c r="J45" s="367"/>
      <c r="K45" s="368"/>
      <c r="L45" s="161" t="s">
        <v>126</v>
      </c>
      <c r="M45" s="162" t="s">
        <v>127</v>
      </c>
      <c r="N45" s="163" t="s">
        <v>82</v>
      </c>
      <c r="Q45" s="369" t="str">
        <f>IF(F45&lt;&gt;"",F45,"")</f>
        <v>OPERAÇÃO ESTANDE</v>
      </c>
      <c r="R45" s="370"/>
      <c r="S45" s="370"/>
      <c r="T45" s="370"/>
      <c r="U45" s="370"/>
      <c r="V45" s="370"/>
      <c r="W45" s="370"/>
      <c r="X45" s="370"/>
      <c r="Y45" s="371"/>
      <c r="Z45" s="164" t="s">
        <v>128</v>
      </c>
      <c r="AA45" s="165" t="s">
        <v>83</v>
      </c>
      <c r="AK45" s="181"/>
      <c r="AL45" s="182"/>
    </row>
    <row r="46" spans="1:39" ht="99.9" customHeight="1" x14ac:dyDescent="0.4">
      <c r="A46" s="134">
        <v>32</v>
      </c>
      <c r="B46" s="159" t="s">
        <v>208</v>
      </c>
      <c r="C46" s="160" t="s">
        <v>130</v>
      </c>
      <c r="D46" s="134" t="s">
        <v>129</v>
      </c>
      <c r="E46" s="134" t="s">
        <v>141</v>
      </c>
      <c r="F46" s="205" t="s">
        <v>204</v>
      </c>
      <c r="G46" s="226" t="s">
        <v>287</v>
      </c>
      <c r="H46" s="227">
        <v>1</v>
      </c>
      <c r="I46" s="227">
        <v>1</v>
      </c>
      <c r="J46" s="209">
        <v>2100</v>
      </c>
      <c r="K46" s="209">
        <f t="shared" ref="K46:K52" si="16">IF(F46&lt;&gt;"",H46*I46*J46,"")</f>
        <v>2100</v>
      </c>
      <c r="L46" s="209">
        <f t="shared" ref="L46:L52" si="17">IF(K46&lt;&gt;"",IF(D46="INTERNO",0,K46*$L$14),"")</f>
        <v>168</v>
      </c>
      <c r="M46" s="209">
        <f t="shared" ref="M46:M52" si="18">IF(K46&lt;&gt;"",IF(E46="FAT.OGGI",SUM(K46:L46)*(1/(1-$M$14)-1),L46*(1/(1-$M$14)-1)),0)</f>
        <v>40.773455946315408</v>
      </c>
      <c r="N46" s="210">
        <f t="shared" ref="N46:N52" si="19">SUM(K46:M46)</f>
        <v>2308.7734559463156</v>
      </c>
      <c r="O46" s="46" t="s">
        <v>260</v>
      </c>
      <c r="Q46" s="172">
        <f t="shared" ref="Q46:R52" si="20">IF(H46&lt;&gt;"",H46,"")</f>
        <v>1</v>
      </c>
      <c r="R46" s="173">
        <f t="shared" si="20"/>
        <v>1</v>
      </c>
      <c r="S46" s="174">
        <v>2100</v>
      </c>
      <c r="T46" s="174">
        <v>4854.0600000000004</v>
      </c>
      <c r="U46" s="175">
        <f t="shared" ref="U46:U52" si="21">IF(Q46&lt;&gt;"",K46-T46,"")</f>
        <v>-2754.0600000000004</v>
      </c>
      <c r="V46" s="176">
        <f t="shared" ref="V46:V52" si="22">IF(Q46&lt;&gt;"",0%,"")</f>
        <v>0</v>
      </c>
      <c r="W46" s="177">
        <f t="shared" ref="W46:W52" si="23">IF(Q46&lt;&gt;"",V46*U46,"")</f>
        <v>0</v>
      </c>
      <c r="X46" s="177">
        <f t="shared" ref="X46:X52" si="24">IF(Q46&lt;&gt;"",W46+T46,"")</f>
        <v>4854.0600000000004</v>
      </c>
      <c r="Y46" s="178">
        <f t="shared" ref="Y46:Y53" si="25">IF(Q46&lt;&gt;"",X46+M46,"")</f>
        <v>4894.8334559463156</v>
      </c>
      <c r="Z46" s="179">
        <f t="shared" ref="Z46:Z52" si="26">IF(Q46&lt;&gt;"", IFERROR(U46/K46, 0), 0)</f>
        <v>-1.3114571428571431</v>
      </c>
      <c r="AA46" s="180">
        <f t="shared" ref="AA46:AA52" si="27">IFERROR(T46/$T$53, "")</f>
        <v>0.42340694452076838</v>
      </c>
      <c r="AK46" s="181">
        <f t="shared" si="2"/>
        <v>0</v>
      </c>
      <c r="AL46" s="182">
        <f>2100+1433.96+1320.1</f>
        <v>4854.0599999999995</v>
      </c>
      <c r="AM46" s="255" t="s">
        <v>311</v>
      </c>
    </row>
    <row r="47" spans="1:39" ht="99.9" customHeight="1" x14ac:dyDescent="0.4">
      <c r="A47" s="134">
        <v>33</v>
      </c>
      <c r="B47" s="159" t="s">
        <v>209</v>
      </c>
      <c r="C47" s="160" t="s">
        <v>130</v>
      </c>
      <c r="D47" s="134" t="s">
        <v>129</v>
      </c>
      <c r="E47" s="134" t="s">
        <v>141</v>
      </c>
      <c r="F47" s="166" t="s">
        <v>205</v>
      </c>
      <c r="G47" s="167" t="s">
        <v>288</v>
      </c>
      <c r="H47" s="168">
        <v>2</v>
      </c>
      <c r="I47" s="168">
        <v>6</v>
      </c>
      <c r="J47" s="170">
        <v>250</v>
      </c>
      <c r="K47" s="170">
        <f t="shared" si="16"/>
        <v>3000</v>
      </c>
      <c r="L47" s="170">
        <f t="shared" si="17"/>
        <v>240</v>
      </c>
      <c r="M47" s="170">
        <f t="shared" si="18"/>
        <v>58.247794209022018</v>
      </c>
      <c r="N47" s="171">
        <f t="shared" si="19"/>
        <v>3298.2477942090222</v>
      </c>
      <c r="O47" s="46" t="s">
        <v>258</v>
      </c>
      <c r="Q47" s="172">
        <v>1</v>
      </c>
      <c r="R47" s="173">
        <v>1</v>
      </c>
      <c r="S47" s="174">
        <v>900</v>
      </c>
      <c r="T47" s="174">
        <f t="shared" ref="T47" si="28">IF(Q47&lt;&gt;"",Q47*R47*S47,"")</f>
        <v>900</v>
      </c>
      <c r="U47" s="175">
        <f t="shared" si="21"/>
        <v>2100</v>
      </c>
      <c r="V47" s="176">
        <f t="shared" si="22"/>
        <v>0</v>
      </c>
      <c r="W47" s="177">
        <f t="shared" si="23"/>
        <v>0</v>
      </c>
      <c r="X47" s="177">
        <f t="shared" si="24"/>
        <v>900</v>
      </c>
      <c r="Y47" s="178">
        <f t="shared" si="25"/>
        <v>958.247794209022</v>
      </c>
      <c r="Z47" s="179">
        <f t="shared" si="26"/>
        <v>0.7</v>
      </c>
      <c r="AA47" s="180">
        <f t="shared" si="27"/>
        <v>7.8504643549665951E-2</v>
      </c>
      <c r="AK47" s="181">
        <f t="shared" si="2"/>
        <v>0</v>
      </c>
      <c r="AL47" s="182">
        <v>900</v>
      </c>
      <c r="AM47" s="255" t="s">
        <v>301</v>
      </c>
    </row>
    <row r="48" spans="1:39" ht="99.9" customHeight="1" x14ac:dyDescent="0.4">
      <c r="A48" s="134">
        <v>34</v>
      </c>
      <c r="B48" s="159" t="s">
        <v>210</v>
      </c>
      <c r="C48" s="160" t="s">
        <v>130</v>
      </c>
      <c r="D48" s="134" t="s">
        <v>129</v>
      </c>
      <c r="E48" s="134" t="s">
        <v>141</v>
      </c>
      <c r="F48" s="166" t="s">
        <v>224</v>
      </c>
      <c r="G48" s="167" t="s">
        <v>289</v>
      </c>
      <c r="H48" s="168">
        <v>1</v>
      </c>
      <c r="I48" s="168">
        <v>3</v>
      </c>
      <c r="J48" s="170">
        <v>250</v>
      </c>
      <c r="K48" s="170">
        <f t="shared" si="16"/>
        <v>750</v>
      </c>
      <c r="L48" s="170">
        <f t="shared" si="17"/>
        <v>60</v>
      </c>
      <c r="M48" s="170">
        <f t="shared" si="18"/>
        <v>14.561948552255505</v>
      </c>
      <c r="N48" s="171">
        <f t="shared" si="19"/>
        <v>824.56194855225556</v>
      </c>
      <c r="O48" s="46" t="s">
        <v>261</v>
      </c>
      <c r="Q48" s="172">
        <f t="shared" si="20"/>
        <v>1</v>
      </c>
      <c r="R48" s="173">
        <v>1</v>
      </c>
      <c r="S48" s="174">
        <v>510.86</v>
      </c>
      <c r="T48" s="174">
        <v>520</v>
      </c>
      <c r="U48" s="175">
        <f t="shared" si="21"/>
        <v>230</v>
      </c>
      <c r="V48" s="176">
        <f t="shared" si="22"/>
        <v>0</v>
      </c>
      <c r="W48" s="177">
        <f t="shared" si="23"/>
        <v>0</v>
      </c>
      <c r="X48" s="177">
        <f t="shared" si="24"/>
        <v>520</v>
      </c>
      <c r="Y48" s="178">
        <f t="shared" si="25"/>
        <v>534.56194855225556</v>
      </c>
      <c r="Z48" s="179">
        <f t="shared" si="26"/>
        <v>0.30666666666666664</v>
      </c>
      <c r="AA48" s="180">
        <f t="shared" si="27"/>
        <v>4.5358238495362552E-2</v>
      </c>
      <c r="AK48" s="181">
        <f t="shared" si="2"/>
        <v>0</v>
      </c>
      <c r="AL48" s="182">
        <v>520</v>
      </c>
      <c r="AM48" s="255" t="s">
        <v>122</v>
      </c>
    </row>
    <row r="49" spans="1:39" ht="99.9" customHeight="1" x14ac:dyDescent="0.4">
      <c r="A49" s="228">
        <v>35</v>
      </c>
      <c r="B49" s="159" t="s">
        <v>211</v>
      </c>
      <c r="C49" s="229" t="s">
        <v>130</v>
      </c>
      <c r="D49" s="134" t="s">
        <v>129</v>
      </c>
      <c r="E49" s="134" t="s">
        <v>141</v>
      </c>
      <c r="F49" s="166" t="s">
        <v>216</v>
      </c>
      <c r="G49" s="184" t="s">
        <v>290</v>
      </c>
      <c r="H49" s="169">
        <v>1</v>
      </c>
      <c r="I49" s="169">
        <v>2</v>
      </c>
      <c r="J49" s="201">
        <v>103</v>
      </c>
      <c r="K49" s="185">
        <f t="shared" si="16"/>
        <v>206</v>
      </c>
      <c r="L49" s="185">
        <f t="shared" si="17"/>
        <v>16.48</v>
      </c>
      <c r="M49" s="185">
        <f t="shared" si="18"/>
        <v>3.9996818690195117</v>
      </c>
      <c r="N49" s="186">
        <f t="shared" si="19"/>
        <v>226.47968186901952</v>
      </c>
      <c r="O49" s="46" t="s">
        <v>262</v>
      </c>
      <c r="Q49" s="172">
        <f t="shared" si="20"/>
        <v>1</v>
      </c>
      <c r="R49" s="173">
        <f t="shared" si="20"/>
        <v>2</v>
      </c>
      <c r="S49" s="174">
        <v>90</v>
      </c>
      <c r="T49" s="174">
        <v>0</v>
      </c>
      <c r="U49" s="175">
        <f t="shared" si="21"/>
        <v>206</v>
      </c>
      <c r="V49" s="176">
        <f t="shared" si="22"/>
        <v>0</v>
      </c>
      <c r="W49" s="177">
        <f t="shared" si="23"/>
        <v>0</v>
      </c>
      <c r="X49" s="177">
        <f t="shared" si="24"/>
        <v>0</v>
      </c>
      <c r="Y49" s="178">
        <f t="shared" si="25"/>
        <v>3.9996818690195117</v>
      </c>
      <c r="Z49" s="179">
        <f t="shared" si="26"/>
        <v>1</v>
      </c>
      <c r="AA49" s="180">
        <f t="shared" si="27"/>
        <v>0</v>
      </c>
      <c r="AK49" s="181">
        <f t="shared" si="2"/>
        <v>0</v>
      </c>
      <c r="AL49" s="182"/>
    </row>
    <row r="50" spans="1:39" ht="99.9" customHeight="1" x14ac:dyDescent="0.4">
      <c r="A50" s="230">
        <v>36</v>
      </c>
      <c r="B50" s="159" t="s">
        <v>212</v>
      </c>
      <c r="C50" s="231" t="s">
        <v>130</v>
      </c>
      <c r="D50" s="134" t="s">
        <v>129</v>
      </c>
      <c r="E50" s="134" t="s">
        <v>141</v>
      </c>
      <c r="F50" s="166" t="s">
        <v>267</v>
      </c>
      <c r="G50" s="232" t="s">
        <v>225</v>
      </c>
      <c r="H50" s="233">
        <v>1</v>
      </c>
      <c r="I50" s="233">
        <v>1</v>
      </c>
      <c r="J50" s="234">
        <v>1867.9</v>
      </c>
      <c r="K50" s="235">
        <f t="shared" si="16"/>
        <v>1867.9</v>
      </c>
      <c r="L50" s="235">
        <f t="shared" si="17"/>
        <v>149.43200000000002</v>
      </c>
      <c r="M50" s="235">
        <f t="shared" si="18"/>
        <v>36.267018267677408</v>
      </c>
      <c r="N50" s="236">
        <f t="shared" si="19"/>
        <v>2053.5990182676774</v>
      </c>
      <c r="O50" s="46" t="s">
        <v>263</v>
      </c>
      <c r="P50" s="46" t="s">
        <v>266</v>
      </c>
      <c r="Q50" s="172">
        <f t="shared" si="20"/>
        <v>1</v>
      </c>
      <c r="R50" s="173">
        <f t="shared" si="20"/>
        <v>1</v>
      </c>
      <c r="S50" s="174">
        <v>1867.9</v>
      </c>
      <c r="T50" s="174">
        <v>1199.8800000000001</v>
      </c>
      <c r="U50" s="175">
        <f t="shared" si="21"/>
        <v>668.02</v>
      </c>
      <c r="V50" s="176">
        <f t="shared" si="22"/>
        <v>0</v>
      </c>
      <c r="W50" s="177">
        <f t="shared" si="23"/>
        <v>0</v>
      </c>
      <c r="X50" s="177">
        <f t="shared" si="24"/>
        <v>1199.8800000000001</v>
      </c>
      <c r="Y50" s="178">
        <f t="shared" si="25"/>
        <v>1236.1470182676776</v>
      </c>
      <c r="Z50" s="179">
        <f t="shared" si="26"/>
        <v>0.35763156485893244</v>
      </c>
      <c r="AA50" s="180">
        <f t="shared" si="27"/>
        <v>0.10466239078041466</v>
      </c>
      <c r="AK50" s="181">
        <f t="shared" si="2"/>
        <v>0</v>
      </c>
      <c r="AL50" s="182">
        <f>479.96+719.92</f>
        <v>1199.8799999999999</v>
      </c>
      <c r="AM50" s="255" t="s">
        <v>304</v>
      </c>
    </row>
    <row r="51" spans="1:39" ht="99.9" customHeight="1" x14ac:dyDescent="0.4">
      <c r="A51" s="218">
        <v>37</v>
      </c>
      <c r="B51" s="159" t="s">
        <v>213</v>
      </c>
      <c r="C51" s="219" t="s">
        <v>130</v>
      </c>
      <c r="D51" s="218" t="s">
        <v>129</v>
      </c>
      <c r="E51" s="218" t="s">
        <v>141</v>
      </c>
      <c r="F51" s="237" t="s">
        <v>206</v>
      </c>
      <c r="G51" s="232" t="s">
        <v>291</v>
      </c>
      <c r="H51" s="233">
        <v>1</v>
      </c>
      <c r="I51" s="233">
        <v>1</v>
      </c>
      <c r="J51" s="234">
        <f>1212.97</f>
        <v>1212.97</v>
      </c>
      <c r="K51" s="185">
        <f t="shared" si="16"/>
        <v>1212.97</v>
      </c>
      <c r="L51" s="185">
        <f t="shared" si="17"/>
        <v>97.037599999999998</v>
      </c>
      <c r="M51" s="185">
        <f t="shared" si="18"/>
        <v>23.550942313905811</v>
      </c>
      <c r="N51" s="185">
        <f t="shared" si="19"/>
        <v>1333.5585423139057</v>
      </c>
      <c r="O51" s="46" t="s">
        <v>269</v>
      </c>
      <c r="Q51" s="173">
        <f t="shared" si="20"/>
        <v>1</v>
      </c>
      <c r="R51" s="173">
        <f t="shared" si="20"/>
        <v>1</v>
      </c>
      <c r="S51" s="174">
        <f>412.5+100</f>
        <v>512.5</v>
      </c>
      <c r="T51" s="174">
        <v>0</v>
      </c>
      <c r="U51" s="175">
        <f t="shared" si="21"/>
        <v>1212.97</v>
      </c>
      <c r="V51" s="176">
        <f t="shared" si="22"/>
        <v>0</v>
      </c>
      <c r="W51" s="177">
        <f t="shared" si="23"/>
        <v>0</v>
      </c>
      <c r="X51" s="177">
        <f t="shared" si="24"/>
        <v>0</v>
      </c>
      <c r="Y51" s="177">
        <f t="shared" si="25"/>
        <v>23.550942313905811</v>
      </c>
      <c r="Z51" s="179">
        <f t="shared" si="26"/>
        <v>1</v>
      </c>
      <c r="AA51" s="180">
        <f t="shared" si="27"/>
        <v>0</v>
      </c>
      <c r="AK51" s="181">
        <f t="shared" si="2"/>
        <v>0</v>
      </c>
      <c r="AL51" s="182"/>
    </row>
    <row r="52" spans="1:39" ht="99.9" customHeight="1" x14ac:dyDescent="0.4">
      <c r="A52" s="218">
        <v>39</v>
      </c>
      <c r="B52" s="159" t="s">
        <v>265</v>
      </c>
      <c r="C52" s="219" t="s">
        <v>130</v>
      </c>
      <c r="D52" s="218" t="s">
        <v>129</v>
      </c>
      <c r="E52" s="218" t="s">
        <v>141</v>
      </c>
      <c r="F52" s="238" t="s">
        <v>207</v>
      </c>
      <c r="G52" s="239" t="s">
        <v>292</v>
      </c>
      <c r="H52" s="240">
        <v>1</v>
      </c>
      <c r="I52" s="240">
        <v>1</v>
      </c>
      <c r="J52" s="185">
        <v>1700</v>
      </c>
      <c r="K52" s="185">
        <f t="shared" si="16"/>
        <v>1700</v>
      </c>
      <c r="L52" s="185">
        <f t="shared" si="17"/>
        <v>136</v>
      </c>
      <c r="M52" s="185">
        <f t="shared" si="18"/>
        <v>33.007083385112473</v>
      </c>
      <c r="N52" s="185">
        <f t="shared" si="19"/>
        <v>1869.0070833851125</v>
      </c>
      <c r="O52" s="46" t="s">
        <v>268</v>
      </c>
      <c r="Q52" s="173">
        <f t="shared" si="20"/>
        <v>1</v>
      </c>
      <c r="R52" s="173">
        <f t="shared" si="20"/>
        <v>1</v>
      </c>
      <c r="S52" s="174">
        <f>184.13+2895.86</f>
        <v>3079.9900000000002</v>
      </c>
      <c r="T52" s="174">
        <v>3990.35</v>
      </c>
      <c r="U52" s="175">
        <f t="shared" si="21"/>
        <v>-2290.35</v>
      </c>
      <c r="V52" s="176">
        <f t="shared" si="22"/>
        <v>0</v>
      </c>
      <c r="W52" s="177">
        <f t="shared" si="23"/>
        <v>0</v>
      </c>
      <c r="X52" s="177">
        <f t="shared" si="24"/>
        <v>3990.35</v>
      </c>
      <c r="Y52" s="177">
        <f t="shared" si="25"/>
        <v>4023.3570833851122</v>
      </c>
      <c r="Z52" s="241">
        <f t="shared" si="26"/>
        <v>-1.3472647058823528</v>
      </c>
      <c r="AA52" s="180">
        <f t="shared" si="27"/>
        <v>0.3480677826537884</v>
      </c>
      <c r="AK52" s="181">
        <f t="shared" si="2"/>
        <v>0</v>
      </c>
      <c r="AL52" s="182">
        <f>'CUSTOS OP.'!H19</f>
        <v>3990.35</v>
      </c>
    </row>
    <row r="53" spans="1:39" ht="30" customHeight="1" thickBot="1" x14ac:dyDescent="0.5">
      <c r="A53" s="134">
        <v>40</v>
      </c>
      <c r="B53" s="159"/>
      <c r="C53" s="160" t="s">
        <v>135</v>
      </c>
      <c r="D53" s="134"/>
      <c r="E53" s="134"/>
      <c r="F53" s="391" t="s">
        <v>214</v>
      </c>
      <c r="G53" s="392"/>
      <c r="H53" s="392"/>
      <c r="I53" s="392"/>
      <c r="J53" s="392"/>
      <c r="K53" s="194">
        <f>SUM(K46:K52)</f>
        <v>10836.869999999999</v>
      </c>
      <c r="L53" s="194">
        <f>SUM(L46:L52)</f>
        <v>866.94960000000003</v>
      </c>
      <c r="M53" s="194">
        <f>SUM(M46:M52)</f>
        <v>210.40792454330813</v>
      </c>
      <c r="N53" s="195">
        <f>SUM(N46:N52)</f>
        <v>11914.227524543308</v>
      </c>
      <c r="Q53" s="369" t="s">
        <v>214</v>
      </c>
      <c r="R53" s="370"/>
      <c r="S53" s="370"/>
      <c r="T53" s="196">
        <f>SUM(T46:T52)</f>
        <v>11464.29</v>
      </c>
      <c r="U53" s="197">
        <f>SUM(U46:U52)</f>
        <v>-627.4200000000003</v>
      </c>
      <c r="V53" s="198"/>
      <c r="W53" s="198"/>
      <c r="X53" s="199">
        <f>SUM(X46:X52)</f>
        <v>11464.29</v>
      </c>
      <c r="Y53" s="200">
        <f t="shared" si="25"/>
        <v>11674.697924543309</v>
      </c>
      <c r="AK53" s="181"/>
      <c r="AL53" s="182"/>
    </row>
    <row r="54" spans="1:39" ht="30" customHeight="1" x14ac:dyDescent="0.45">
      <c r="A54" s="134">
        <v>41</v>
      </c>
      <c r="B54" s="159" t="s">
        <v>217</v>
      </c>
      <c r="C54" s="160" t="s">
        <v>124</v>
      </c>
      <c r="D54" s="134"/>
      <c r="E54" s="134"/>
      <c r="F54" s="366" t="s">
        <v>181</v>
      </c>
      <c r="G54" s="367"/>
      <c r="H54" s="367"/>
      <c r="I54" s="367"/>
      <c r="J54" s="367"/>
      <c r="K54" s="368"/>
      <c r="L54" s="161" t="s">
        <v>126</v>
      </c>
      <c r="M54" s="162" t="s">
        <v>127</v>
      </c>
      <c r="N54" s="163" t="s">
        <v>82</v>
      </c>
      <c r="Q54" s="369" t="str">
        <f>IF(F54&lt;&gt;"",F54,"")</f>
        <v xml:space="preserve">TAXAS </v>
      </c>
      <c r="R54" s="370"/>
      <c r="S54" s="370"/>
      <c r="T54" s="370"/>
      <c r="U54" s="370"/>
      <c r="V54" s="370"/>
      <c r="W54" s="370"/>
      <c r="X54" s="370"/>
      <c r="Y54" s="371"/>
      <c r="Z54" s="164" t="s">
        <v>128</v>
      </c>
      <c r="AA54" s="165" t="s">
        <v>83</v>
      </c>
      <c r="AK54" s="181"/>
      <c r="AL54" s="182"/>
    </row>
    <row r="55" spans="1:39" ht="99.9" customHeight="1" x14ac:dyDescent="0.4">
      <c r="A55" s="134">
        <v>42</v>
      </c>
      <c r="B55" s="159" t="s">
        <v>218</v>
      </c>
      <c r="C55" s="160" t="s">
        <v>130</v>
      </c>
      <c r="D55" s="134" t="s">
        <v>129</v>
      </c>
      <c r="E55" s="134" t="s">
        <v>141</v>
      </c>
      <c r="F55" s="183" t="s">
        <v>184</v>
      </c>
      <c r="G55" s="167" t="s">
        <v>293</v>
      </c>
      <c r="H55" s="242">
        <v>1</v>
      </c>
      <c r="I55" s="242">
        <v>0</v>
      </c>
      <c r="J55" s="170">
        <v>0</v>
      </c>
      <c r="K55" s="170">
        <f>IF(F55&lt;&gt;"",H55*I55*J55,"")</f>
        <v>0</v>
      </c>
      <c r="L55" s="170">
        <f>IF(K55&lt;&gt;"",IF(D55="INTERNO",0,K55*$L$14),"")</f>
        <v>0</v>
      </c>
      <c r="M55" s="170">
        <f>IF(K55&lt;&gt;"",IF(E55="FAT.OGGI",SUM(K55:L55)*(1/(1-$M$14)-1),L55*(1/(1-$M$14)-1)),0)</f>
        <v>0</v>
      </c>
      <c r="N55" s="171">
        <f>SUM(K55:M55)</f>
        <v>0</v>
      </c>
      <c r="Q55" s="243">
        <f t="shared" ref="Q55:R58" si="29">IF(H55&lt;&gt;"",H55,"")</f>
        <v>1</v>
      </c>
      <c r="R55" s="244">
        <f t="shared" si="29"/>
        <v>0</v>
      </c>
      <c r="S55" s="174"/>
      <c r="T55" s="174">
        <f>IF(Q55&lt;&gt;"",Q55*R55*S55,"")</f>
        <v>0</v>
      </c>
      <c r="U55" s="175">
        <f>IF(Q55&lt;&gt;"",K55-T55,"")</f>
        <v>0</v>
      </c>
      <c r="V55" s="176">
        <f>IF(Q55&lt;&gt;"",0%,"")</f>
        <v>0</v>
      </c>
      <c r="W55" s="177">
        <f>IF(Q55&lt;&gt;"",V55*U55,"")</f>
        <v>0</v>
      </c>
      <c r="X55" s="177">
        <f>IF(Q55&lt;&gt;"",W55+T55,"")</f>
        <v>0</v>
      </c>
      <c r="Y55" s="178">
        <f t="shared" ref="Y55:Y60" si="30">IF(Q55&lt;&gt;"",X55+M55,"")</f>
        <v>0</v>
      </c>
      <c r="Z55" s="179">
        <f>IF(Q55&lt;&gt;"", IFERROR(U55/K55, 0), 0)</f>
        <v>0</v>
      </c>
      <c r="AA55" s="180">
        <f>IFERROR(T55/$T$59, "")</f>
        <v>0</v>
      </c>
      <c r="AK55" s="181">
        <f t="shared" si="2"/>
        <v>0</v>
      </c>
      <c r="AL55" s="182"/>
    </row>
    <row r="56" spans="1:39" ht="99.9" customHeight="1" x14ac:dyDescent="0.4">
      <c r="A56" s="134">
        <v>43</v>
      </c>
      <c r="B56" s="159" t="s">
        <v>219</v>
      </c>
      <c r="C56" s="160" t="s">
        <v>130</v>
      </c>
      <c r="D56" s="134" t="s">
        <v>129</v>
      </c>
      <c r="E56" s="134" t="s">
        <v>141</v>
      </c>
      <c r="F56" s="183" t="s">
        <v>185</v>
      </c>
      <c r="G56" s="167" t="s">
        <v>294</v>
      </c>
      <c r="H56" s="242">
        <v>1</v>
      </c>
      <c r="I56" s="242">
        <v>0</v>
      </c>
      <c r="J56" s="170"/>
      <c r="K56" s="170">
        <f>IF(F56&lt;&gt;"",H56*I56*J56,"")</f>
        <v>0</v>
      </c>
      <c r="L56" s="170">
        <f>IF(K56&lt;&gt;"",IF(D56="INTERNO",0,K56*$L$14),"")</f>
        <v>0</v>
      </c>
      <c r="M56" s="170">
        <f>IF(K56&lt;&gt;"",IF(E56="FAT.OGGI",SUM(K56:L56)*(1/(1-$M$14)-1),L56*(1/(1-$M$14)-1)),0)</f>
        <v>0</v>
      </c>
      <c r="N56" s="171">
        <f>SUM(K56:M56)</f>
        <v>0</v>
      </c>
      <c r="Q56" s="243">
        <f t="shared" si="29"/>
        <v>1</v>
      </c>
      <c r="R56" s="244">
        <f t="shared" si="29"/>
        <v>0</v>
      </c>
      <c r="S56" s="174"/>
      <c r="T56" s="174">
        <f>IF(Q56&lt;&gt;"",Q56*R56*S56,"")</f>
        <v>0</v>
      </c>
      <c r="U56" s="175">
        <f>IF(Q56&lt;&gt;"",K56-T56,"")</f>
        <v>0</v>
      </c>
      <c r="V56" s="176">
        <f>IF(Q56&lt;&gt;"",0%,"")</f>
        <v>0</v>
      </c>
      <c r="W56" s="177">
        <f>IF(Q56&lt;&gt;"",V56*U56,"")</f>
        <v>0</v>
      </c>
      <c r="X56" s="177">
        <f>IF(Q56&lt;&gt;"",W56+T56,"")</f>
        <v>0</v>
      </c>
      <c r="Y56" s="178">
        <f t="shared" si="30"/>
        <v>0</v>
      </c>
      <c r="Z56" s="179">
        <f>IF(Q56&lt;&gt;"", IFERROR(U56/K56, 0), 0)</f>
        <v>0</v>
      </c>
      <c r="AA56" s="180">
        <f>IFERROR(T56/$T$59, "")</f>
        <v>0</v>
      </c>
      <c r="AK56" s="181">
        <f t="shared" si="2"/>
        <v>0</v>
      </c>
      <c r="AL56" s="182"/>
    </row>
    <row r="57" spans="1:39" ht="99.9" customHeight="1" x14ac:dyDescent="0.4">
      <c r="A57" s="134">
        <v>44</v>
      </c>
      <c r="B57" s="159" t="s">
        <v>220</v>
      </c>
      <c r="C57" s="160" t="s">
        <v>130</v>
      </c>
      <c r="D57" s="134" t="s">
        <v>129</v>
      </c>
      <c r="E57" s="134" t="s">
        <v>141</v>
      </c>
      <c r="F57" s="166" t="s">
        <v>226</v>
      </c>
      <c r="G57" s="184" t="s">
        <v>182</v>
      </c>
      <c r="H57" s="245">
        <v>1</v>
      </c>
      <c r="I57" s="245">
        <v>1</v>
      </c>
      <c r="J57" s="201">
        <v>9200</v>
      </c>
      <c r="K57" s="201">
        <f>IF(F57&lt;&gt;"",H57*I57*J57,"")</f>
        <v>9200</v>
      </c>
      <c r="L57" s="201">
        <f>IF(K57&lt;&gt;"",IF(D57="INTERNO",0,K57*$L$14),"")</f>
        <v>736</v>
      </c>
      <c r="M57" s="201">
        <f>IF(K57&lt;&gt;"",IF(E57="FAT.OGGI",SUM(K57:L57)*(1/(1-$M$14)-1),L57*(1/(1-$M$14)-1)),0)</f>
        <v>178.62656890766752</v>
      </c>
      <c r="N57" s="246">
        <f>SUM(K57:M57)</f>
        <v>10114.626568907668</v>
      </c>
      <c r="Q57" s="243">
        <f t="shared" si="29"/>
        <v>1</v>
      </c>
      <c r="R57" s="244">
        <v>1</v>
      </c>
      <c r="S57" s="174">
        <v>9200</v>
      </c>
      <c r="T57" s="174">
        <f>IF(Q57&lt;&gt;"",Q57*R57*S57,"")</f>
        <v>9200</v>
      </c>
      <c r="U57" s="175">
        <f>IF(Q57&lt;&gt;"",K57-T57,"")</f>
        <v>0</v>
      </c>
      <c r="V57" s="176">
        <f>IF(Q57&lt;&gt;"",0%,"")</f>
        <v>0</v>
      </c>
      <c r="W57" s="177">
        <f>IF(Q57&lt;&gt;"",V57*U57,"")</f>
        <v>0</v>
      </c>
      <c r="X57" s="177">
        <f>IF(Q57&lt;&gt;"",W57+T57,"")</f>
        <v>9200</v>
      </c>
      <c r="Y57" s="178">
        <f t="shared" si="30"/>
        <v>9378.6265689076681</v>
      </c>
      <c r="Z57" s="179">
        <f>IF(Q57&lt;&gt;"", IFERROR(U57/K57, 0), 0)</f>
        <v>0</v>
      </c>
      <c r="AA57" s="180">
        <f>IFERROR(T57/$T$59, "")</f>
        <v>1</v>
      </c>
      <c r="AK57" s="181">
        <f t="shared" si="2"/>
        <v>0</v>
      </c>
      <c r="AL57" s="182">
        <v>9200</v>
      </c>
      <c r="AM57" s="255" t="s">
        <v>310</v>
      </c>
    </row>
    <row r="58" spans="1:39" ht="99.9" customHeight="1" x14ac:dyDescent="0.4">
      <c r="A58" s="134">
        <v>45</v>
      </c>
      <c r="B58" s="159" t="s">
        <v>221</v>
      </c>
      <c r="C58" s="160" t="s">
        <v>130</v>
      </c>
      <c r="D58" s="134" t="s">
        <v>129</v>
      </c>
      <c r="E58" s="134" t="s">
        <v>141</v>
      </c>
      <c r="F58" s="183" t="s">
        <v>186</v>
      </c>
      <c r="G58" s="167" t="s">
        <v>295</v>
      </c>
      <c r="H58" s="242">
        <v>1</v>
      </c>
      <c r="I58" s="242">
        <v>0</v>
      </c>
      <c r="J58" s="170"/>
      <c r="K58" s="170">
        <f>IF(F58&lt;&gt;"",H58*I58*J58,"")</f>
        <v>0</v>
      </c>
      <c r="L58" s="170">
        <f>IF(K58&lt;&gt;"",IF(D58="INTERNO",0,K58*$L$14),"")</f>
        <v>0</v>
      </c>
      <c r="M58" s="170">
        <f>IF(K58&lt;&gt;"",IF(E58="FAT.OGGI",SUM(K58:L58)*(1/(1-$M$14)-1),L58*(1/(1-$M$14)-1)),0)</f>
        <v>0</v>
      </c>
      <c r="N58" s="171">
        <f>SUM(K58:M58)</f>
        <v>0</v>
      </c>
      <c r="Q58" s="243">
        <f t="shared" si="29"/>
        <v>1</v>
      </c>
      <c r="R58" s="244">
        <f t="shared" si="29"/>
        <v>0</v>
      </c>
      <c r="S58" s="174"/>
      <c r="T58" s="174">
        <f>IF(Q58&lt;&gt;"",Q58*R58*S58,"")</f>
        <v>0</v>
      </c>
      <c r="U58" s="175">
        <f>IF(Q58&lt;&gt;"",K58-T58,"")</f>
        <v>0</v>
      </c>
      <c r="V58" s="176">
        <f>IF(Q58&lt;&gt;"",0%,"")</f>
        <v>0</v>
      </c>
      <c r="W58" s="177">
        <f>IF(Q58&lt;&gt;"",V58*U58,"")</f>
        <v>0</v>
      </c>
      <c r="X58" s="177">
        <f>IF(Q58&lt;&gt;"",W58+T58,"")</f>
        <v>0</v>
      </c>
      <c r="Y58" s="178">
        <f t="shared" si="30"/>
        <v>0</v>
      </c>
      <c r="Z58" s="179">
        <f>IF(Q58&lt;&gt;"", IFERROR(U58/K58, 0), 0)</f>
        <v>0</v>
      </c>
      <c r="AA58" s="180">
        <f>IFERROR(T58/$T$59, "")</f>
        <v>0</v>
      </c>
      <c r="AK58" s="181">
        <f t="shared" si="2"/>
        <v>0</v>
      </c>
      <c r="AL58" s="182"/>
    </row>
    <row r="59" spans="1:39" ht="30" customHeight="1" thickBot="1" x14ac:dyDescent="0.5">
      <c r="A59" s="134">
        <v>46</v>
      </c>
      <c r="B59" s="159"/>
      <c r="C59" s="160" t="s">
        <v>135</v>
      </c>
      <c r="D59" s="134"/>
      <c r="E59" s="134"/>
      <c r="F59" s="393" t="s">
        <v>187</v>
      </c>
      <c r="G59" s="394"/>
      <c r="H59" s="394"/>
      <c r="I59" s="394"/>
      <c r="J59" s="394"/>
      <c r="K59" s="203">
        <f>SUM(K55:K58)</f>
        <v>9200</v>
      </c>
      <c r="L59" s="203">
        <f>SUM(L55:L58)</f>
        <v>736</v>
      </c>
      <c r="M59" s="203">
        <f>SUM(M55:M58)</f>
        <v>178.62656890766752</v>
      </c>
      <c r="N59" s="204">
        <f>SUM(N55:N58)</f>
        <v>10114.626568907668</v>
      </c>
      <c r="Q59" s="369" t="s">
        <v>187</v>
      </c>
      <c r="R59" s="370"/>
      <c r="S59" s="370"/>
      <c r="T59" s="196">
        <f>SUM(T55:T58)</f>
        <v>9200</v>
      </c>
      <c r="U59" s="197">
        <f>SUM(U55:U58)</f>
        <v>0</v>
      </c>
      <c r="V59" s="198"/>
      <c r="W59" s="198"/>
      <c r="X59" s="199">
        <f>SUM(X55:X58)</f>
        <v>9200</v>
      </c>
      <c r="Y59" s="200">
        <f t="shared" si="30"/>
        <v>9378.6265689076681</v>
      </c>
      <c r="AK59" s="181"/>
      <c r="AL59" s="182"/>
    </row>
    <row r="60" spans="1:39" ht="30" customHeight="1" thickBot="1" x14ac:dyDescent="0.5">
      <c r="A60" s="134">
        <v>47</v>
      </c>
      <c r="B60" s="159"/>
      <c r="C60" s="160" t="s">
        <v>136</v>
      </c>
      <c r="D60" s="134"/>
      <c r="E60" s="134"/>
      <c r="F60" s="395" t="s">
        <v>222</v>
      </c>
      <c r="G60" s="396"/>
      <c r="H60" s="396"/>
      <c r="I60" s="396"/>
      <c r="J60" s="396"/>
      <c r="K60" s="187">
        <f>SUM(K35:K35)+SUM(K38:K43)+SUM(K46:K52)+SUM(K55:K58)</f>
        <v>49346.869999999995</v>
      </c>
      <c r="L60" s="187">
        <f>SUM(L35:L35)+SUM(L38:L43)+SUM(L46:L52)+SUM(L55:L58)</f>
        <v>3947.7496000000001</v>
      </c>
      <c r="M60" s="187">
        <f>SUM(M35:M35)+SUM(M38:M43)+SUM(M46:M52)+SUM(M55:M58)</f>
        <v>958.11544287312074</v>
      </c>
      <c r="N60" s="188">
        <f>SUM(N35:N35)+SUM(N38:N43)+SUM(N46:N52)+SUM(N55:N58)</f>
        <v>54252.735042873122</v>
      </c>
      <c r="Q60" s="374" t="s">
        <v>222</v>
      </c>
      <c r="R60" s="375"/>
      <c r="S60" s="375"/>
      <c r="T60" s="189">
        <f>SUM(T35:T35)+SUM(T38:T43)+SUM(T46:T52)+SUM(T55:T58)</f>
        <v>43499.89</v>
      </c>
      <c r="U60" s="190">
        <f>SUM(U35:U35)+SUM(U38:U43)+SUM(U46:U52)+SUM(U55:U58)</f>
        <v>5846.98</v>
      </c>
      <c r="V60" s="191"/>
      <c r="W60" s="191"/>
      <c r="X60" s="192">
        <f>SUM(X35:X35)+SUM(X38:X43)+SUM(X46:X52)+SUM(X55:X58)</f>
        <v>43499.89</v>
      </c>
      <c r="Y60" s="247">
        <f t="shared" si="30"/>
        <v>44458.005442873124</v>
      </c>
      <c r="Z60" s="248" t="s">
        <v>138</v>
      </c>
      <c r="AA60" s="249" t="s">
        <v>139</v>
      </c>
      <c r="AK60" s="181"/>
      <c r="AL60" s="182"/>
    </row>
    <row r="61" spans="1:39" ht="30" customHeight="1" thickBot="1" x14ac:dyDescent="0.5">
      <c r="A61" s="250">
        <v>48</v>
      </c>
      <c r="C61" s="228" t="s">
        <v>137</v>
      </c>
      <c r="D61" s="228"/>
      <c r="E61" s="228"/>
      <c r="F61" s="35" t="s">
        <v>215</v>
      </c>
      <c r="G61" s="36"/>
      <c r="H61" s="36"/>
      <c r="I61" s="36"/>
      <c r="J61" s="36"/>
      <c r="K61" s="37">
        <f>SUM(K17:K20)+SUM(K24:K24)+SUM(K27:K27)+SUM(K30:K30)+SUM(K35:K35)+SUM(K38:K43)+SUM(K46:K52)+SUM(K55:K58)</f>
        <v>162596.87</v>
      </c>
      <c r="L61" s="37">
        <f>SUM(L17:L20)+SUM(L24:L24)+SUM(L27:L27)+SUM(L30:L30)+SUM(L35:L35)+SUM(L38:L43)+SUM(L46:L52)+SUM(L55:L58)</f>
        <v>11791.749599999999</v>
      </c>
      <c r="M61" s="37">
        <f>SUM(M17:M20)+SUM(M24:M24)+SUM(M27:M27)+SUM(M30:M30)+SUM(M35:M35)+SUM(M38:M43)+SUM(M46:M52)+SUM(M55:M58)</f>
        <v>6550.8744835093867</v>
      </c>
      <c r="N61" s="74">
        <f>SUM(N17:N20)+SUM(N24:N24)+SUM(N27:N27)+SUM(N30:N30)+SUM(N35:N35)+SUM(N38:N43)+SUM(N46:N52)+SUM(N55:N58)</f>
        <v>180939.49408350937</v>
      </c>
      <c r="Q61" s="35" t="s">
        <v>43</v>
      </c>
      <c r="R61" s="36"/>
      <c r="S61" s="36"/>
      <c r="T61" s="37">
        <f>SUM(T17:T20)+SUM(T24:T24)+SUM(T27:T27)+SUM(T30:T30)+SUM(T35:T35)+SUM(T38:T43)+SUM(T46:T52)+SUM(T55:T58)</f>
        <v>130019.89000000001</v>
      </c>
      <c r="U61" s="37">
        <f>SUM(U17:U20)+SUM(U24:U24)+SUM(U27:U27)+SUM(U30:U30)+SUM(U35:U35)+SUM(U38:U43)+SUM(U46:U52)+SUM(U55:U58)</f>
        <v>32576.98</v>
      </c>
      <c r="V61" s="36"/>
      <c r="W61" s="36"/>
      <c r="X61" s="37">
        <f>SUM(X17:X20)+SUM(X24:X24)+SUM(X27:X27)+SUM(X30:X30)+SUM(X35:X35)+SUM(X38:X43)+SUM(X46:X52)+SUM(X55:X58)</f>
        <v>130019.89000000001</v>
      </c>
      <c r="Y61" s="74">
        <f>SUM(Y17:Y20)+SUM(Y24:Y24)+SUM(Y27:Y27)+SUM(Y30:Y30)+SUM(Y35:Y35)+SUM(Y38:Y43)+SUM(Y46:Y52)+SUM(Y55:Y58)</f>
        <v>136570.76448350938</v>
      </c>
      <c r="Z61" s="38">
        <f>IF(Q61&lt;&gt;"",(N61-Y61)/N61,"")</f>
        <v>0.24521307426405425</v>
      </c>
      <c r="AA61" s="75">
        <f>IF(Z61&lt;&gt;"",(N61-Y61),"")</f>
        <v>44368.729599999991</v>
      </c>
      <c r="AK61" s="181">
        <f>SUM(AK17:AK60)</f>
        <v>0</v>
      </c>
      <c r="AL61" s="182"/>
    </row>
    <row r="63" spans="1:39" ht="23.4" x14ac:dyDescent="0.45">
      <c r="K63" s="225"/>
      <c r="AL63" s="265"/>
      <c r="AM63" s="266" t="s">
        <v>318</v>
      </c>
    </row>
    <row r="64" spans="1:39" ht="23.4" x14ac:dyDescent="0.45">
      <c r="AL64" s="267">
        <f>X61</f>
        <v>130019.89000000001</v>
      </c>
      <c r="AM64" s="266" t="s">
        <v>319</v>
      </c>
    </row>
    <row r="65" spans="8:39" ht="23.4" x14ac:dyDescent="0.45">
      <c r="N65" s="225"/>
      <c r="AL65" s="267">
        <f>N61-X61</f>
        <v>50919.604083509359</v>
      </c>
      <c r="AM65" s="268" t="s">
        <v>274</v>
      </c>
    </row>
    <row r="66" spans="8:39" ht="23.4" x14ac:dyDescent="0.45">
      <c r="AL66" s="269">
        <f>AL65*100%/N61</f>
        <v>0.28141785374954309</v>
      </c>
      <c r="AM66" s="270"/>
    </row>
    <row r="73" spans="8:39" x14ac:dyDescent="0.4">
      <c r="H73" s="251"/>
    </row>
    <row r="74" spans="8:39" x14ac:dyDescent="0.4">
      <c r="H74" s="251"/>
      <c r="T74" s="225"/>
    </row>
    <row r="76" spans="8:39" x14ac:dyDescent="0.4">
      <c r="T76" s="225"/>
    </row>
    <row r="80" spans="8:39" x14ac:dyDescent="0.4">
      <c r="S80" s="225"/>
    </row>
  </sheetData>
  <autoFilter ref="A16:AM16" xr:uid="{C4CB35F7-15A5-405C-ABF9-C7FFAB2A5A71}">
    <filterColumn colId="5" showButton="0"/>
    <filterColumn colId="6" showButton="0"/>
    <filterColumn colId="7" showButton="0"/>
    <filterColumn colId="8" showButton="0"/>
    <filterColumn colId="9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36" showButton="0"/>
  </autoFilter>
  <mergeCells count="51">
    <mergeCell ref="AK15:AL15"/>
    <mergeCell ref="AK16:AL16"/>
    <mergeCell ref="F59:J59"/>
    <mergeCell ref="Q59:S59"/>
    <mergeCell ref="F60:J60"/>
    <mergeCell ref="Q60:S60"/>
    <mergeCell ref="F45:K45"/>
    <mergeCell ref="Q45:Y45"/>
    <mergeCell ref="F53:J53"/>
    <mergeCell ref="Q53:S53"/>
    <mergeCell ref="F54:K54"/>
    <mergeCell ref="Q54:Y54"/>
    <mergeCell ref="F36:J36"/>
    <mergeCell ref="Q36:S36"/>
    <mergeCell ref="F37:K37"/>
    <mergeCell ref="Q37:Y37"/>
    <mergeCell ref="F44:J44"/>
    <mergeCell ref="Q44:S44"/>
    <mergeCell ref="F32:J32"/>
    <mergeCell ref="Q32:S32"/>
    <mergeCell ref="F33:N33"/>
    <mergeCell ref="Q33:Y33"/>
    <mergeCell ref="F34:K34"/>
    <mergeCell ref="Q34:Y34"/>
    <mergeCell ref="F28:J28"/>
    <mergeCell ref="Q28:S28"/>
    <mergeCell ref="F29:K29"/>
    <mergeCell ref="Q29:Y29"/>
    <mergeCell ref="F31:J31"/>
    <mergeCell ref="Q31:S31"/>
    <mergeCell ref="F23:K23"/>
    <mergeCell ref="Q23:Y23"/>
    <mergeCell ref="F25:J25"/>
    <mergeCell ref="Q25:S25"/>
    <mergeCell ref="F26:K26"/>
    <mergeCell ref="Q26:Y26"/>
    <mergeCell ref="AK12:AL12"/>
    <mergeCell ref="F1:G1"/>
    <mergeCell ref="F2:G2"/>
    <mergeCell ref="Q12:T12"/>
    <mergeCell ref="U12:X12"/>
    <mergeCell ref="AC12:AE12"/>
    <mergeCell ref="AG12:AH12"/>
    <mergeCell ref="F22:N22"/>
    <mergeCell ref="Q22:Y22"/>
    <mergeCell ref="F15:N15"/>
    <mergeCell ref="Q15:Y15"/>
    <mergeCell ref="F16:K16"/>
    <mergeCell ref="Q16:Y16"/>
    <mergeCell ref="F21:J21"/>
    <mergeCell ref="Q21:S21"/>
  </mergeCells>
  <phoneticPr fontId="25" type="noConversion"/>
  <dataValidations disablePrompts="1" count="3">
    <dataValidation type="list" allowBlank="1" showInputMessage="1" showErrorMessage="1" sqref="D24 D17:D20 D27 D30 D38:D43 D55:D58 D35 D46:D52 D61" xr:uid="{206A7F17-A0CD-4D37-9862-A54F8255C549}">
      <formula1>"INTERNO,OPERACIONAL"</formula1>
    </dataValidation>
    <dataValidation type="list" allowBlank="1" showInputMessage="1" showErrorMessage="1" sqref="E55:E58 E24 E17:E20 E27 E30 E38:E43 E35 E46:E52" xr:uid="{AE269441-DAA9-4972-9B60-153B10A89D87}">
      <formula1>"FAT.OGGI,FAT.CLIENTE"</formula1>
    </dataValidation>
    <dataValidation type="list" allowBlank="1" showInputMessage="1" showErrorMessage="1" sqref="E61" xr:uid="{6E79C289-29EE-4525-9B3E-AC6D4B9D53C3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72770-4E2F-414E-989C-048A10C6DCDB}">
  <sheetPr codeName="Planilha12">
    <pageSetUpPr autoPageBreaks="0"/>
  </sheetPr>
  <dimension ref="A1:AM80"/>
  <sheetViews>
    <sheetView showGridLines="0" topLeftCell="M1" zoomScale="70" zoomScaleNormal="70" workbookViewId="0">
      <pane ySplit="1" topLeftCell="A16" activePane="bottomLeft" state="frozen"/>
      <selection pane="bottomLeft" activeCell="T26" sqref="T26"/>
    </sheetView>
  </sheetViews>
  <sheetFormatPr defaultColWidth="8.88671875" defaultRowHeight="18" x14ac:dyDescent="0.35"/>
  <cols>
    <col min="1" max="1" width="5" style="271" hidden="1" customWidth="1"/>
    <col min="2" max="2" width="5" style="271" customWidth="1"/>
    <col min="3" max="5" width="5" style="271" hidden="1" customWidth="1"/>
    <col min="6" max="6" width="34.109375" style="271" customWidth="1"/>
    <col min="7" max="7" width="42.33203125" style="271" bestFit="1" customWidth="1"/>
    <col min="8" max="8" width="10.109375" style="274" hidden="1" customWidth="1"/>
    <col min="9" max="9" width="5.33203125" style="274" hidden="1" customWidth="1"/>
    <col min="10" max="10" width="19.44140625" style="271" hidden="1" customWidth="1"/>
    <col min="11" max="11" width="22.6640625" style="271" customWidth="1"/>
    <col min="12" max="12" width="22.88671875" style="271" customWidth="1"/>
    <col min="13" max="13" width="19.88671875" style="271" customWidth="1"/>
    <col min="14" max="14" width="22.88671875" style="271" bestFit="1" customWidth="1"/>
    <col min="15" max="15" width="9.44140625" style="271" hidden="1" customWidth="1"/>
    <col min="16" max="16" width="12.33203125" style="271" hidden="1" customWidth="1"/>
    <col min="17" max="17" width="10.6640625" style="274" bestFit="1" customWidth="1"/>
    <col min="18" max="18" width="8.109375" style="274" hidden="1" customWidth="1"/>
    <col min="19" max="19" width="19.109375" style="271" hidden="1" customWidth="1"/>
    <col min="20" max="20" width="24.44140625" style="271" customWidth="1"/>
    <col min="21" max="21" width="24.88671875" style="271" hidden="1" customWidth="1"/>
    <col min="22" max="22" width="9.6640625" style="271" hidden="1" customWidth="1"/>
    <col min="23" max="23" width="16.109375" style="271" hidden="1" customWidth="1"/>
    <col min="24" max="24" width="27.33203125" style="271" bestFit="1" customWidth="1"/>
    <col min="25" max="25" width="26.88671875" style="271" hidden="1" customWidth="1"/>
    <col min="26" max="26" width="17.44140625" style="271" hidden="1" customWidth="1"/>
    <col min="27" max="27" width="24.6640625" style="271" hidden="1" customWidth="1"/>
    <col min="28" max="28" width="38.109375" style="271" hidden="1" customWidth="1"/>
    <col min="29" max="29" width="14.109375" style="271" hidden="1" customWidth="1"/>
    <col min="30" max="30" width="7.6640625" style="271" hidden="1" customWidth="1"/>
    <col min="31" max="31" width="6.88671875" style="271" hidden="1" customWidth="1"/>
    <col min="32" max="32" width="1.33203125" style="271" hidden="1" customWidth="1"/>
    <col min="33" max="33" width="14" style="271" hidden="1" customWidth="1"/>
    <col min="34" max="34" width="11.6640625" style="271" hidden="1" customWidth="1"/>
    <col min="35" max="35" width="6.33203125" style="271" hidden="1" customWidth="1"/>
    <col min="36" max="36" width="12.6640625" style="271" hidden="1" customWidth="1"/>
    <col min="37" max="37" width="18.33203125" style="271" bestFit="1" customWidth="1"/>
    <col min="38" max="38" width="33.5546875" style="271" customWidth="1"/>
    <col min="39" max="39" width="8.88671875" style="275"/>
    <col min="40" max="40" width="21.33203125" style="271" customWidth="1"/>
    <col min="41" max="16384" width="8.88671875" style="271"/>
  </cols>
  <sheetData>
    <row r="1" spans="1:38" x14ac:dyDescent="0.35">
      <c r="B1" s="272"/>
      <c r="C1" s="273"/>
      <c r="D1" s="273"/>
      <c r="F1" s="399" t="s">
        <v>120</v>
      </c>
      <c r="G1" s="399"/>
    </row>
    <row r="2" spans="1:38" x14ac:dyDescent="0.35">
      <c r="B2" s="276"/>
      <c r="D2" s="273"/>
      <c r="F2" s="400" t="s">
        <v>0</v>
      </c>
      <c r="G2" s="400"/>
    </row>
    <row r="3" spans="1:38" x14ac:dyDescent="0.35">
      <c r="B3" s="277"/>
      <c r="F3" s="26"/>
      <c r="G3" s="26"/>
    </row>
    <row r="4" spans="1:38" x14ac:dyDescent="0.35">
      <c r="F4" s="32" t="s">
        <v>142</v>
      </c>
      <c r="G4" s="39" t="s">
        <v>143</v>
      </c>
    </row>
    <row r="5" spans="1:38" x14ac:dyDescent="0.35">
      <c r="F5" s="33" t="s">
        <v>144</v>
      </c>
      <c r="G5" s="40" t="s">
        <v>145</v>
      </c>
    </row>
    <row r="6" spans="1:38" x14ac:dyDescent="0.35">
      <c r="D6" s="271" t="s">
        <v>107</v>
      </c>
      <c r="F6" s="33" t="s">
        <v>146</v>
      </c>
      <c r="G6" s="41" t="s">
        <v>147</v>
      </c>
    </row>
    <row r="7" spans="1:38" x14ac:dyDescent="0.35">
      <c r="F7" s="33" t="s">
        <v>148</v>
      </c>
      <c r="G7" s="41" t="s">
        <v>149</v>
      </c>
      <c r="J7" s="271" t="s">
        <v>119</v>
      </c>
    </row>
    <row r="8" spans="1:38" x14ac:dyDescent="0.35">
      <c r="F8" s="33" t="s">
        <v>150</v>
      </c>
      <c r="G8" s="256" t="s">
        <v>151</v>
      </c>
    </row>
    <row r="9" spans="1:38" x14ac:dyDescent="0.35">
      <c r="F9" s="33" t="s">
        <v>152</v>
      </c>
      <c r="G9" s="41" t="s">
        <v>121</v>
      </c>
      <c r="J9" s="271" t="s">
        <v>107</v>
      </c>
    </row>
    <row r="10" spans="1:38" x14ac:dyDescent="0.35">
      <c r="F10" s="33" t="s">
        <v>153</v>
      </c>
      <c r="G10" s="41" t="s">
        <v>122</v>
      </c>
    </row>
    <row r="11" spans="1:38" x14ac:dyDescent="0.35">
      <c r="F11" s="34" t="s">
        <v>154</v>
      </c>
      <c r="G11" s="42" t="s">
        <v>242</v>
      </c>
    </row>
    <row r="12" spans="1:38" ht="54.6" hidden="1" thickBot="1" x14ac:dyDescent="0.4">
      <c r="B12" s="278"/>
      <c r="M12" s="279"/>
      <c r="Q12" s="401" t="s">
        <v>1</v>
      </c>
      <c r="R12" s="402"/>
      <c r="S12" s="402"/>
      <c r="T12" s="403"/>
      <c r="U12" s="404" t="s">
        <v>2</v>
      </c>
      <c r="V12" s="405"/>
      <c r="W12" s="405"/>
      <c r="X12" s="406"/>
      <c r="Y12" s="280" t="s">
        <v>56</v>
      </c>
      <c r="Z12" s="281">
        <f>(1/(1-M14))-1</f>
        <v>0.24269914253759173</v>
      </c>
      <c r="AC12" s="407" t="s">
        <v>3</v>
      </c>
      <c r="AD12" s="408"/>
      <c r="AE12" s="409"/>
      <c r="AG12" s="428" t="s">
        <v>58</v>
      </c>
      <c r="AH12" s="429"/>
      <c r="AJ12" s="282" t="s">
        <v>60</v>
      </c>
      <c r="AK12" s="414" t="s">
        <v>59</v>
      </c>
      <c r="AL12" s="415"/>
    </row>
    <row r="13" spans="1:38" ht="18.600000000000001" thickBot="1" x14ac:dyDescent="0.4">
      <c r="A13" s="283" t="s">
        <v>4</v>
      </c>
      <c r="B13" s="284" t="s">
        <v>5</v>
      </c>
      <c r="C13" s="283" t="s">
        <v>6</v>
      </c>
      <c r="D13" s="283" t="s">
        <v>7</v>
      </c>
      <c r="E13" s="283" t="s">
        <v>8</v>
      </c>
      <c r="M13" s="285">
        <v>0.80469999999999997</v>
      </c>
    </row>
    <row r="14" spans="1:38" ht="36.6" thickBot="1" x14ac:dyDescent="0.4">
      <c r="A14" s="286">
        <v>0</v>
      </c>
      <c r="B14" s="287"/>
      <c r="C14" s="288"/>
      <c r="D14" s="289"/>
      <c r="E14" s="289"/>
      <c r="F14" s="290" t="s">
        <v>84</v>
      </c>
      <c r="G14" s="291" t="s">
        <v>85</v>
      </c>
      <c r="H14" s="292" t="s">
        <v>86</v>
      </c>
      <c r="I14" s="292" t="s">
        <v>87</v>
      </c>
      <c r="J14" s="293" t="s">
        <v>88</v>
      </c>
      <c r="K14" s="294" t="s">
        <v>9</v>
      </c>
      <c r="L14" s="295">
        <v>0.08</v>
      </c>
      <c r="M14" s="296">
        <f>1-M13</f>
        <v>0.19530000000000003</v>
      </c>
      <c r="N14" s="297" t="s">
        <v>82</v>
      </c>
      <c r="Q14" s="298" t="s">
        <v>89</v>
      </c>
      <c r="R14" s="299" t="s">
        <v>90</v>
      </c>
      <c r="S14" s="300" t="s">
        <v>91</v>
      </c>
      <c r="T14" s="301" t="s">
        <v>92</v>
      </c>
      <c r="U14" s="302" t="s">
        <v>93</v>
      </c>
      <c r="V14" s="303" t="s">
        <v>94</v>
      </c>
      <c r="W14" s="304" t="s">
        <v>95</v>
      </c>
      <c r="X14" s="304" t="s">
        <v>96</v>
      </c>
      <c r="Y14" s="305" t="s">
        <v>97</v>
      </c>
      <c r="Z14" s="306" t="s">
        <v>98</v>
      </c>
      <c r="AA14" s="307" t="s">
        <v>83</v>
      </c>
      <c r="AC14" s="308" t="s">
        <v>99</v>
      </c>
      <c r="AD14" s="309" t="s">
        <v>100</v>
      </c>
      <c r="AE14" s="309" t="s">
        <v>33</v>
      </c>
      <c r="AG14" s="310" t="s">
        <v>101</v>
      </c>
      <c r="AH14" s="311" t="s">
        <v>102</v>
      </c>
      <c r="AK14" s="312" t="s">
        <v>103</v>
      </c>
      <c r="AL14" s="313" t="s">
        <v>104</v>
      </c>
    </row>
    <row r="15" spans="1:38" ht="54.6" thickBot="1" x14ac:dyDescent="0.4">
      <c r="A15" s="289">
        <v>1</v>
      </c>
      <c r="B15" s="314">
        <v>1</v>
      </c>
      <c r="C15" s="315" t="s">
        <v>123</v>
      </c>
      <c r="D15" s="289"/>
      <c r="E15" s="289"/>
      <c r="F15" s="416" t="s">
        <v>235</v>
      </c>
      <c r="G15" s="417"/>
      <c r="H15" s="417"/>
      <c r="I15" s="417"/>
      <c r="J15" s="417"/>
      <c r="K15" s="417"/>
      <c r="L15" s="417"/>
      <c r="M15" s="417"/>
      <c r="N15" s="418"/>
      <c r="Q15" s="419" t="str">
        <f>IF(F15&lt;&gt;"",F15,"")</f>
        <v>DECORAÇÃO ESTANDE</v>
      </c>
      <c r="R15" s="420"/>
      <c r="S15" s="420"/>
      <c r="T15" s="420"/>
      <c r="U15" s="420"/>
      <c r="V15" s="420"/>
      <c r="W15" s="420"/>
      <c r="X15" s="420"/>
      <c r="Y15" s="421"/>
      <c r="AK15" s="419"/>
      <c r="AL15" s="420"/>
    </row>
    <row r="16" spans="1:38" ht="72" x14ac:dyDescent="0.35">
      <c r="A16" s="289">
        <v>2</v>
      </c>
      <c r="B16" s="314" t="s">
        <v>125</v>
      </c>
      <c r="C16" s="315" t="s">
        <v>124</v>
      </c>
      <c r="D16" s="289"/>
      <c r="E16" s="289"/>
      <c r="F16" s="422" t="s">
        <v>236</v>
      </c>
      <c r="G16" s="423"/>
      <c r="H16" s="423"/>
      <c r="I16" s="423"/>
      <c r="J16" s="423"/>
      <c r="K16" s="424"/>
      <c r="L16" s="316" t="s">
        <v>126</v>
      </c>
      <c r="M16" s="317" t="s">
        <v>127</v>
      </c>
      <c r="N16" s="318" t="s">
        <v>82</v>
      </c>
      <c r="Q16" s="425" t="str">
        <f>IF(F16&lt;&gt;"",F16,"")</f>
        <v>QUADROS</v>
      </c>
      <c r="R16" s="426"/>
      <c r="S16" s="426"/>
      <c r="T16" s="426"/>
      <c r="U16" s="426"/>
      <c r="V16" s="426"/>
      <c r="W16" s="426"/>
      <c r="X16" s="426"/>
      <c r="Y16" s="427"/>
      <c r="Z16" s="319" t="s">
        <v>128</v>
      </c>
      <c r="AA16" s="320" t="s">
        <v>83</v>
      </c>
      <c r="AK16" s="425"/>
      <c r="AL16" s="426"/>
    </row>
    <row r="17" spans="1:39" ht="72" x14ac:dyDescent="0.35">
      <c r="A17" s="289">
        <v>3</v>
      </c>
      <c r="B17" s="314" t="s">
        <v>131</v>
      </c>
      <c r="C17" s="315" t="s">
        <v>130</v>
      </c>
      <c r="D17" s="289" t="s">
        <v>134</v>
      </c>
      <c r="E17" s="289" t="s">
        <v>140</v>
      </c>
      <c r="F17" s="321" t="s">
        <v>237</v>
      </c>
      <c r="G17" s="322" t="s">
        <v>239</v>
      </c>
      <c r="H17" s="323">
        <v>6</v>
      </c>
      <c r="I17" s="323">
        <v>1</v>
      </c>
      <c r="J17" s="324">
        <v>142</v>
      </c>
      <c r="K17" s="324">
        <f>IF(F17&lt;&gt;"",H17*I17*J17,"")</f>
        <v>852</v>
      </c>
      <c r="L17" s="324">
        <f>IF(K17&lt;&gt;"",IF(D17="INTERNO",0,K17*$L$14),"")</f>
        <v>0</v>
      </c>
      <c r="M17" s="324">
        <f>IF(K17&lt;&gt;"",IF(E17="FAT.OGGI",SUM(K17:L17)*(1/(1-$M$14)-1),L17*(1/(1-$M$14)-1)),"")</f>
        <v>206.77966944202817</v>
      </c>
      <c r="N17" s="325">
        <f>SUM(K17:M17)</f>
        <v>1058.7796694420281</v>
      </c>
      <c r="P17" s="326"/>
      <c r="Q17" s="327">
        <f t="shared" ref="Q17:R18" si="0">IF(H17&lt;&gt;"",H17,"")</f>
        <v>6</v>
      </c>
      <c r="R17" s="328">
        <f t="shared" si="0"/>
        <v>1</v>
      </c>
      <c r="S17" s="329">
        <v>95</v>
      </c>
      <c r="T17" s="329">
        <v>555</v>
      </c>
      <c r="U17" s="330">
        <f>IF(Q17&lt;&gt;"",K17-T17,"")</f>
        <v>297</v>
      </c>
      <c r="V17" s="331">
        <f>IF(Q17&lt;&gt;"",0%,"")</f>
        <v>0</v>
      </c>
      <c r="W17" s="332">
        <f>IF(Q17&lt;&gt;"",V17*U17,"")</f>
        <v>0</v>
      </c>
      <c r="X17" s="332">
        <f>IF(Q17&lt;&gt;"",W17+T17,"")</f>
        <v>555</v>
      </c>
      <c r="Y17" s="333">
        <f t="shared" ref="Y17:Y18" si="1">IF(Q17&lt;&gt;"",X17+M17,"")</f>
        <v>761.77966944202819</v>
      </c>
      <c r="Z17" s="334">
        <f>IF(Q17&lt;&gt;"",U17/K17,"")</f>
        <v>0.34859154929577463</v>
      </c>
      <c r="AA17" s="335">
        <f>IFERROR(T17/$T$19, "")</f>
        <v>0.33534743202416917</v>
      </c>
      <c r="AK17" s="336">
        <f>X17-AL17</f>
        <v>0</v>
      </c>
      <c r="AL17" s="337">
        <f>475+80</f>
        <v>555</v>
      </c>
      <c r="AM17" s="275" t="s">
        <v>312</v>
      </c>
    </row>
    <row r="18" spans="1:39" ht="72.599999999999994" thickBot="1" x14ac:dyDescent="0.4">
      <c r="A18" s="289">
        <v>4</v>
      </c>
      <c r="B18" s="314" t="s">
        <v>105</v>
      </c>
      <c r="C18" s="315" t="s">
        <v>130</v>
      </c>
      <c r="D18" s="289" t="s">
        <v>134</v>
      </c>
      <c r="E18" s="289" t="s">
        <v>140</v>
      </c>
      <c r="F18" s="321" t="s">
        <v>238</v>
      </c>
      <c r="G18" s="322" t="s">
        <v>241</v>
      </c>
      <c r="H18" s="323">
        <v>6</v>
      </c>
      <c r="I18" s="323">
        <v>1</v>
      </c>
      <c r="J18" s="324">
        <v>228.5</v>
      </c>
      <c r="K18" s="324">
        <f>IF(F18&lt;&gt;"",H18*I18*J18,"")</f>
        <v>1371</v>
      </c>
      <c r="L18" s="324">
        <f>IF(K18&lt;&gt;"",IF(D18="INTERNO",0,K18*$L$14),"")</f>
        <v>0</v>
      </c>
      <c r="M18" s="324">
        <f>IF(K18&lt;&gt;"",IF(E18="FAT.OGGI",SUM(K18:L18)*(1/(1-$M$14)-1),L18*(1/(1-$M$14)-1)),"")</f>
        <v>332.74052441903825</v>
      </c>
      <c r="N18" s="325">
        <f>SUM(K18:M18)</f>
        <v>1703.7405244190381</v>
      </c>
      <c r="P18" s="326"/>
      <c r="Q18" s="327">
        <f t="shared" si="0"/>
        <v>6</v>
      </c>
      <c r="R18" s="328">
        <f t="shared" si="0"/>
        <v>1</v>
      </c>
      <c r="S18" s="329">
        <v>190</v>
      </c>
      <c r="T18" s="329">
        <v>1100</v>
      </c>
      <c r="U18" s="330">
        <f>IF(Q18&lt;&gt;"",K18-T18,"")</f>
        <v>271</v>
      </c>
      <c r="V18" s="331">
        <f>IF(Q18&lt;&gt;"",0%,"")</f>
        <v>0</v>
      </c>
      <c r="W18" s="332">
        <f>IF(Q18&lt;&gt;"",V18*U18,"")</f>
        <v>0</v>
      </c>
      <c r="X18" s="332">
        <f>IF(Q18&lt;&gt;"",W18+T18,"")</f>
        <v>1100</v>
      </c>
      <c r="Y18" s="333">
        <f t="shared" si="1"/>
        <v>1432.7405244190381</v>
      </c>
      <c r="Z18" s="338">
        <f>IF(Q18&lt;&gt;"",U18/K18,"")</f>
        <v>0.19766593727206419</v>
      </c>
      <c r="AA18" s="339">
        <f>IFERROR(T18/$T$19, "")</f>
        <v>0.66465256797583083</v>
      </c>
      <c r="AK18" s="336">
        <f t="shared" ref="AK18" si="2">X18-AL18</f>
        <v>0</v>
      </c>
      <c r="AL18" s="337">
        <v>1100</v>
      </c>
      <c r="AM18" s="275" t="s">
        <v>313</v>
      </c>
    </row>
    <row r="19" spans="1:39" ht="33" customHeight="1" thickBot="1" x14ac:dyDescent="0.4">
      <c r="A19" s="289">
        <v>5</v>
      </c>
      <c r="B19" s="340"/>
      <c r="C19" s="289" t="s">
        <v>135</v>
      </c>
      <c r="D19" s="289"/>
      <c r="E19" s="289"/>
      <c r="F19" s="410" t="s">
        <v>240</v>
      </c>
      <c r="G19" s="411"/>
      <c r="H19" s="411"/>
      <c r="I19" s="411"/>
      <c r="J19" s="411"/>
      <c r="K19" s="43">
        <f>SUM(K17:K18)</f>
        <v>2223</v>
      </c>
      <c r="L19" s="43">
        <f>SUM(L17:L18)</f>
        <v>0</v>
      </c>
      <c r="M19" s="43">
        <f>SUM(M17:M18)</f>
        <v>539.52019386106645</v>
      </c>
      <c r="N19" s="44">
        <f>SUM(N17:N18)</f>
        <v>2762.5201938610662</v>
      </c>
      <c r="Q19" s="412" t="s">
        <v>240</v>
      </c>
      <c r="R19" s="413"/>
      <c r="S19" s="413"/>
      <c r="T19" s="47">
        <f>SUM(T17:T18)</f>
        <v>1655</v>
      </c>
      <c r="U19" s="48">
        <f>SUM(U17:U18)</f>
        <v>568</v>
      </c>
      <c r="V19" s="341"/>
      <c r="W19" s="341"/>
      <c r="X19" s="49">
        <f>SUM(X17:X18)</f>
        <v>1655</v>
      </c>
      <c r="Y19" s="50">
        <f>IF(Q19&lt;&gt;"",X19+M19,"")</f>
        <v>2194.5201938610662</v>
      </c>
      <c r="Z19" s="342" t="s">
        <v>138</v>
      </c>
      <c r="AA19" s="343" t="s">
        <v>139</v>
      </c>
      <c r="AK19" s="336"/>
      <c r="AL19" s="337"/>
    </row>
    <row r="20" spans="1:39" ht="30.45" customHeight="1" thickBot="1" x14ac:dyDescent="0.4">
      <c r="A20" s="344">
        <v>6</v>
      </c>
      <c r="C20" s="340" t="s">
        <v>137</v>
      </c>
      <c r="D20" s="340"/>
      <c r="E20" s="340"/>
      <c r="F20" s="345" t="s">
        <v>215</v>
      </c>
      <c r="G20" s="346"/>
      <c r="H20" s="346"/>
      <c r="I20" s="346"/>
      <c r="J20" s="346"/>
      <c r="K20" s="347">
        <f>SUM(K17:K18)</f>
        <v>2223</v>
      </c>
      <c r="L20" s="347">
        <f>SUM(L17:L18)</f>
        <v>0</v>
      </c>
      <c r="M20" s="347">
        <f>SUM(M17:M18)</f>
        <v>539.52019386106645</v>
      </c>
      <c r="N20" s="348">
        <f>SUM(N17:N18)</f>
        <v>2762.5201938610662</v>
      </c>
      <c r="Q20" s="345" t="s">
        <v>43</v>
      </c>
      <c r="R20" s="346"/>
      <c r="S20" s="346"/>
      <c r="T20" s="347">
        <f>SUM(T17:T18)</f>
        <v>1655</v>
      </c>
      <c r="U20" s="347">
        <f>SUM(U17:U18)</f>
        <v>568</v>
      </c>
      <c r="V20" s="346"/>
      <c r="W20" s="346"/>
      <c r="X20" s="347">
        <f>SUM(X17:X18)</f>
        <v>1655</v>
      </c>
      <c r="Y20" s="348">
        <f>SUM(Y17:Y18)</f>
        <v>2194.5201938610662</v>
      </c>
      <c r="Z20" s="349">
        <f>IF(Q20&lt;&gt;"",(N20-Y20)/N20,"")</f>
        <v>0.20560935672514621</v>
      </c>
      <c r="AA20" s="350">
        <f>IF(Z20&lt;&gt;"",(N20-Y20),"")</f>
        <v>568</v>
      </c>
      <c r="AK20" s="336">
        <f>SUM(AK17:AK19)</f>
        <v>0</v>
      </c>
      <c r="AL20" s="337"/>
    </row>
    <row r="21" spans="1:39" x14ac:dyDescent="0.35">
      <c r="H21" s="271"/>
      <c r="I21" s="271"/>
      <c r="Q21" s="271"/>
      <c r="R21" s="271"/>
    </row>
    <row r="22" spans="1:39" x14ac:dyDescent="0.35">
      <c r="H22" s="271"/>
      <c r="I22" s="271"/>
      <c r="Q22" s="271"/>
      <c r="R22" s="271"/>
      <c r="AM22" s="351" t="s">
        <v>318</v>
      </c>
    </row>
    <row r="23" spans="1:39" x14ac:dyDescent="0.35">
      <c r="H23" s="271"/>
      <c r="I23" s="271"/>
      <c r="Q23" s="271"/>
      <c r="R23" s="271"/>
      <c r="AL23" s="326">
        <f>X20</f>
        <v>1655</v>
      </c>
      <c r="AM23" s="351" t="s">
        <v>319</v>
      </c>
    </row>
    <row r="24" spans="1:39" x14ac:dyDescent="0.35">
      <c r="H24" s="271"/>
      <c r="I24" s="271"/>
      <c r="Q24" s="271"/>
      <c r="R24" s="271"/>
      <c r="AL24" s="326">
        <f>N20-X20</f>
        <v>1107.5201938610662</v>
      </c>
      <c r="AM24" s="352" t="s">
        <v>274</v>
      </c>
    </row>
    <row r="25" spans="1:39" x14ac:dyDescent="0.35">
      <c r="H25" s="271"/>
      <c r="I25" s="271"/>
      <c r="Q25" s="271"/>
      <c r="R25" s="271"/>
      <c r="AL25" s="353">
        <f>AL24*100%/N20</f>
        <v>0.40090935672514622</v>
      </c>
    </row>
    <row r="26" spans="1:39" x14ac:dyDescent="0.35">
      <c r="H26" s="271"/>
      <c r="I26" s="271"/>
      <c r="Q26" s="271"/>
      <c r="R26" s="271"/>
    </row>
    <row r="27" spans="1:39" x14ac:dyDescent="0.35">
      <c r="H27" s="271"/>
      <c r="I27" s="271"/>
      <c r="Q27" s="271"/>
      <c r="R27" s="271"/>
    </row>
    <row r="28" spans="1:39" x14ac:dyDescent="0.35">
      <c r="H28" s="271"/>
      <c r="I28" s="271"/>
      <c r="Q28" s="271"/>
      <c r="R28" s="271"/>
    </row>
    <row r="29" spans="1:39" x14ac:dyDescent="0.35">
      <c r="H29" s="271"/>
      <c r="I29" s="271"/>
      <c r="Q29" s="271"/>
      <c r="R29" s="271"/>
    </row>
    <row r="30" spans="1:39" x14ac:dyDescent="0.35">
      <c r="H30" s="271"/>
      <c r="I30" s="271"/>
      <c r="Q30" s="271"/>
      <c r="R30" s="271"/>
    </row>
    <row r="31" spans="1:39" x14ac:dyDescent="0.35">
      <c r="H31" s="271"/>
      <c r="I31" s="271"/>
      <c r="Q31" s="271"/>
      <c r="R31" s="271"/>
    </row>
    <row r="32" spans="1:39" x14ac:dyDescent="0.35">
      <c r="H32" s="271"/>
      <c r="I32" s="271"/>
      <c r="Q32" s="271"/>
      <c r="R32" s="271"/>
    </row>
    <row r="33" spans="39:39" s="271" customFormat="1" x14ac:dyDescent="0.35">
      <c r="AM33" s="275"/>
    </row>
    <row r="34" spans="39:39" s="271" customFormat="1" x14ac:dyDescent="0.35">
      <c r="AM34" s="275"/>
    </row>
    <row r="35" spans="39:39" s="271" customFormat="1" x14ac:dyDescent="0.35">
      <c r="AM35" s="275"/>
    </row>
    <row r="36" spans="39:39" s="271" customFormat="1" x14ac:dyDescent="0.35">
      <c r="AM36" s="275"/>
    </row>
    <row r="37" spans="39:39" s="271" customFormat="1" x14ac:dyDescent="0.35">
      <c r="AM37" s="275"/>
    </row>
    <row r="38" spans="39:39" s="271" customFormat="1" ht="60.9" customHeight="1" x14ac:dyDescent="0.35">
      <c r="AM38" s="275"/>
    </row>
    <row r="39" spans="39:39" s="271" customFormat="1" x14ac:dyDescent="0.35">
      <c r="AM39" s="275"/>
    </row>
    <row r="40" spans="39:39" s="271" customFormat="1" x14ac:dyDescent="0.35">
      <c r="AM40" s="275"/>
    </row>
    <row r="41" spans="39:39" s="271" customFormat="1" x14ac:dyDescent="0.35">
      <c r="AM41" s="275"/>
    </row>
    <row r="42" spans="39:39" s="271" customFormat="1" x14ac:dyDescent="0.35">
      <c r="AM42" s="275"/>
    </row>
    <row r="43" spans="39:39" s="271" customFormat="1" x14ac:dyDescent="0.35">
      <c r="AM43" s="275"/>
    </row>
    <row r="44" spans="39:39" s="271" customFormat="1" x14ac:dyDescent="0.35">
      <c r="AM44" s="275"/>
    </row>
    <row r="45" spans="39:39" s="271" customFormat="1" x14ac:dyDescent="0.35">
      <c r="AM45" s="275"/>
    </row>
    <row r="46" spans="39:39" s="271" customFormat="1" x14ac:dyDescent="0.35">
      <c r="AM46" s="275"/>
    </row>
    <row r="47" spans="39:39" s="271" customFormat="1" x14ac:dyDescent="0.35">
      <c r="AM47" s="275"/>
    </row>
    <row r="48" spans="39:39" s="271" customFormat="1" x14ac:dyDescent="0.35">
      <c r="AM48" s="275"/>
    </row>
    <row r="49" spans="8:18" x14ac:dyDescent="0.35">
      <c r="H49" s="271"/>
      <c r="I49" s="271"/>
      <c r="Q49" s="271"/>
      <c r="R49" s="271"/>
    </row>
    <row r="50" spans="8:18" x14ac:dyDescent="0.35">
      <c r="H50" s="271"/>
      <c r="I50" s="271"/>
      <c r="Q50" s="271"/>
      <c r="R50" s="271"/>
    </row>
    <row r="51" spans="8:18" x14ac:dyDescent="0.35">
      <c r="H51" s="271"/>
      <c r="I51" s="271"/>
      <c r="Q51" s="271"/>
      <c r="R51" s="271"/>
    </row>
    <row r="52" spans="8:18" x14ac:dyDescent="0.35">
      <c r="H52" s="271"/>
      <c r="I52" s="271"/>
      <c r="Q52" s="271"/>
      <c r="R52" s="271"/>
    </row>
    <row r="53" spans="8:18" x14ac:dyDescent="0.35">
      <c r="H53" s="271"/>
      <c r="I53" s="271"/>
      <c r="Q53" s="271"/>
      <c r="R53" s="271"/>
    </row>
    <row r="54" spans="8:18" x14ac:dyDescent="0.35">
      <c r="H54" s="271"/>
      <c r="I54" s="271"/>
      <c r="Q54" s="271"/>
      <c r="R54" s="271"/>
    </row>
    <row r="55" spans="8:18" x14ac:dyDescent="0.35">
      <c r="H55" s="271"/>
      <c r="I55" s="271"/>
      <c r="Q55" s="271"/>
      <c r="R55" s="271"/>
    </row>
    <row r="56" spans="8:18" x14ac:dyDescent="0.35">
      <c r="H56" s="271"/>
      <c r="I56" s="271"/>
      <c r="Q56" s="271"/>
      <c r="R56" s="271"/>
    </row>
    <row r="57" spans="8:18" x14ac:dyDescent="0.35">
      <c r="H57" s="271"/>
      <c r="I57" s="271"/>
      <c r="Q57" s="271"/>
      <c r="R57" s="271"/>
    </row>
    <row r="58" spans="8:18" x14ac:dyDescent="0.35">
      <c r="H58" s="271"/>
      <c r="I58" s="271"/>
      <c r="Q58" s="271"/>
      <c r="R58" s="271"/>
    </row>
    <row r="59" spans="8:18" x14ac:dyDescent="0.35">
      <c r="H59" s="271"/>
      <c r="I59" s="271"/>
      <c r="Q59" s="271"/>
      <c r="R59" s="271"/>
    </row>
    <row r="60" spans="8:18" x14ac:dyDescent="0.35">
      <c r="H60" s="271"/>
      <c r="I60" s="271"/>
      <c r="Q60" s="271"/>
      <c r="R60" s="271"/>
    </row>
    <row r="61" spans="8:18" x14ac:dyDescent="0.35">
      <c r="H61" s="271"/>
      <c r="I61" s="271"/>
      <c r="Q61" s="271"/>
      <c r="R61" s="271"/>
    </row>
    <row r="63" spans="8:18" x14ac:dyDescent="0.35">
      <c r="K63" s="326"/>
    </row>
    <row r="73" spans="8:20" x14ac:dyDescent="0.35">
      <c r="H73" s="354"/>
    </row>
    <row r="74" spans="8:20" x14ac:dyDescent="0.35">
      <c r="H74" s="354"/>
      <c r="T74" s="326"/>
    </row>
    <row r="76" spans="8:20" x14ac:dyDescent="0.35">
      <c r="T76" s="326"/>
    </row>
    <row r="80" spans="8:20" x14ac:dyDescent="0.35">
      <c r="S80" s="326"/>
    </row>
  </sheetData>
  <autoFilter ref="A1:AL14" xr:uid="{107B9E09-8154-459A-AE62-6A4242823A27}">
    <filterColumn colId="5" showButton="0"/>
  </autoFilter>
  <mergeCells count="15">
    <mergeCell ref="F19:J19"/>
    <mergeCell ref="Q19:S19"/>
    <mergeCell ref="AK12:AL12"/>
    <mergeCell ref="F15:N15"/>
    <mergeCell ref="Q15:Y15"/>
    <mergeCell ref="F16:K16"/>
    <mergeCell ref="Q16:Y16"/>
    <mergeCell ref="AG12:AH12"/>
    <mergeCell ref="AK15:AL15"/>
    <mergeCell ref="AK16:AL16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20" xr:uid="{EEAD81FB-46AD-406C-B12D-86E834E387B8}">
      <formula1>"FAT.OGGI,FAT.CLIENTE "</formula1>
    </dataValidation>
    <dataValidation type="list" allowBlank="1" showInputMessage="1" showErrorMessage="1" sqref="E17:E18" xr:uid="{DEE0189F-AF40-4073-AD83-B648B93AB218}">
      <formula1>"FAT.OGGI,FAT.CLIENTE"</formula1>
    </dataValidation>
    <dataValidation type="list" allowBlank="1" showInputMessage="1" showErrorMessage="1" sqref="D17:D18 D20" xr:uid="{2B7C4AEC-CA3E-4E42-9B33-99DFE3448340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56912-CA9C-44E8-AA82-69FD95B785D6}">
  <dimension ref="G4:H19"/>
  <sheetViews>
    <sheetView workbookViewId="0">
      <selection activeCell="H15" sqref="H15"/>
    </sheetView>
  </sheetViews>
  <sheetFormatPr defaultRowHeight="14.4" x14ac:dyDescent="0.3"/>
  <cols>
    <col min="7" max="7" width="27" customWidth="1"/>
    <col min="8" max="8" width="14.33203125" style="252" customWidth="1"/>
  </cols>
  <sheetData>
    <row r="4" spans="7:8" x14ac:dyDescent="0.3">
      <c r="G4" s="253" t="s">
        <v>296</v>
      </c>
      <c r="H4" s="254" t="s">
        <v>9</v>
      </c>
    </row>
    <row r="5" spans="7:8" x14ac:dyDescent="0.3">
      <c r="G5" t="s">
        <v>301</v>
      </c>
      <c r="H5" s="252">
        <v>6.46</v>
      </c>
    </row>
    <row r="6" spans="7:8" x14ac:dyDescent="0.3">
      <c r="G6" t="s">
        <v>300</v>
      </c>
      <c r="H6" s="252">
        <v>87.92</v>
      </c>
    </row>
    <row r="7" spans="7:8" x14ac:dyDescent="0.3">
      <c r="G7" t="s">
        <v>297</v>
      </c>
      <c r="H7" s="252">
        <v>97.48</v>
      </c>
    </row>
    <row r="8" spans="7:8" x14ac:dyDescent="0.3">
      <c r="G8" t="s">
        <v>299</v>
      </c>
      <c r="H8" s="252">
        <v>100</v>
      </c>
    </row>
    <row r="9" spans="7:8" x14ac:dyDescent="0.3">
      <c r="G9" t="s">
        <v>121</v>
      </c>
      <c r="H9" s="252">
        <v>184.13</v>
      </c>
    </row>
    <row r="10" spans="7:8" x14ac:dyDescent="0.3">
      <c r="G10" t="s">
        <v>122</v>
      </c>
      <c r="H10" s="252">
        <v>206</v>
      </c>
    </row>
    <row r="11" spans="7:8" x14ac:dyDescent="0.3">
      <c r="G11" t="s">
        <v>298</v>
      </c>
      <c r="H11" s="252">
        <v>412.5</v>
      </c>
    </row>
    <row r="12" spans="7:8" x14ac:dyDescent="0.3">
      <c r="G12" t="s">
        <v>122</v>
      </c>
      <c r="H12" s="252">
        <v>1395.86</v>
      </c>
    </row>
    <row r="13" spans="7:8" x14ac:dyDescent="0.3">
      <c r="G13" t="s">
        <v>122</v>
      </c>
      <c r="H13" s="252">
        <v>900</v>
      </c>
    </row>
    <row r="14" spans="7:8" x14ac:dyDescent="0.3">
      <c r="G14" t="s">
        <v>122</v>
      </c>
      <c r="H14" s="252">
        <v>600</v>
      </c>
    </row>
    <row r="19" spans="8:8" x14ac:dyDescent="0.3">
      <c r="H19" s="252">
        <f>SUM(H5:H18)</f>
        <v>3990.35</v>
      </c>
    </row>
  </sheetData>
  <autoFilter ref="G4:H4" xr:uid="{E4756912-CA9C-44E8-AA82-69FD95B785D6}">
    <sortState xmlns:xlrd2="http://schemas.microsoft.com/office/spreadsheetml/2017/richdata2" ref="G5:H13">
      <sortCondition ref="H4"/>
    </sortState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760AA-30F7-465F-B8E3-93D4453EFCE0}">
  <dimension ref="A1:H24"/>
  <sheetViews>
    <sheetView zoomScale="60" zoomScaleNormal="60" workbookViewId="0">
      <selection sqref="A1:G24"/>
    </sheetView>
  </sheetViews>
  <sheetFormatPr defaultRowHeight="14.4" x14ac:dyDescent="0.3"/>
  <cols>
    <col min="1" max="1" width="6.88671875" bestFit="1" customWidth="1"/>
    <col min="3" max="3" width="10" customWidth="1"/>
    <col min="4" max="4" width="17.6640625" customWidth="1"/>
    <col min="5" max="5" width="11.5546875" hidden="1" customWidth="1"/>
    <col min="6" max="6" width="27.44140625" customWidth="1"/>
    <col min="7" max="7" width="26.6640625" customWidth="1"/>
    <col min="8" max="8" width="11.5546875" bestFit="1" customWidth="1"/>
  </cols>
  <sheetData>
    <row r="1" spans="1:7" ht="15" thickBot="1" x14ac:dyDescent="0.35">
      <c r="A1" s="446" t="s">
        <v>194</v>
      </c>
      <c r="B1" s="447"/>
      <c r="C1" s="447"/>
      <c r="D1" s="52" t="s">
        <v>246</v>
      </c>
      <c r="E1" s="52" t="s">
        <v>43</v>
      </c>
      <c r="F1" s="68" t="s">
        <v>249</v>
      </c>
      <c r="G1" s="70" t="s">
        <v>254</v>
      </c>
    </row>
    <row r="2" spans="1:7" x14ac:dyDescent="0.3">
      <c r="A2" s="53">
        <v>46106</v>
      </c>
      <c r="B2" s="51" t="s">
        <v>245</v>
      </c>
      <c r="C2" s="51" t="s">
        <v>243</v>
      </c>
      <c r="D2" s="57">
        <v>385</v>
      </c>
      <c r="E2" s="430">
        <f>SUM(D2:D9)</f>
        <v>3080</v>
      </c>
      <c r="F2" s="430">
        <v>3080</v>
      </c>
      <c r="G2" s="430">
        <v>3360</v>
      </c>
    </row>
    <row r="3" spans="1:7" x14ac:dyDescent="0.3">
      <c r="A3" s="53">
        <v>46107</v>
      </c>
      <c r="B3" s="51" t="s">
        <v>245</v>
      </c>
      <c r="C3" s="51" t="s">
        <v>244</v>
      </c>
      <c r="D3" s="57">
        <v>385</v>
      </c>
      <c r="E3" s="431"/>
      <c r="F3" s="431"/>
      <c r="G3" s="431"/>
    </row>
    <row r="4" spans="1:7" x14ac:dyDescent="0.3">
      <c r="A4" s="53">
        <v>46107</v>
      </c>
      <c r="B4" s="51" t="s">
        <v>245</v>
      </c>
      <c r="C4" s="51" t="s">
        <v>243</v>
      </c>
      <c r="D4" s="57">
        <v>385</v>
      </c>
      <c r="E4" s="431"/>
      <c r="F4" s="431"/>
      <c r="G4" s="431"/>
    </row>
    <row r="5" spans="1:7" x14ac:dyDescent="0.3">
      <c r="A5" s="53">
        <v>46108</v>
      </c>
      <c r="B5" s="51" t="s">
        <v>245</v>
      </c>
      <c r="C5" s="51" t="s">
        <v>244</v>
      </c>
      <c r="D5" s="57">
        <v>385</v>
      </c>
      <c r="E5" s="431"/>
      <c r="F5" s="431"/>
      <c r="G5" s="431"/>
    </row>
    <row r="6" spans="1:7" x14ac:dyDescent="0.3">
      <c r="A6" s="53">
        <v>46108</v>
      </c>
      <c r="B6" s="51" t="s">
        <v>245</v>
      </c>
      <c r="C6" s="51" t="s">
        <v>243</v>
      </c>
      <c r="D6" s="57">
        <v>385</v>
      </c>
      <c r="E6" s="431"/>
      <c r="F6" s="431"/>
      <c r="G6" s="431"/>
    </row>
    <row r="7" spans="1:7" x14ac:dyDescent="0.3">
      <c r="A7" s="53">
        <v>46109</v>
      </c>
      <c r="B7" s="51" t="s">
        <v>245</v>
      </c>
      <c r="C7" s="51" t="s">
        <v>244</v>
      </c>
      <c r="D7" s="57">
        <v>385</v>
      </c>
      <c r="E7" s="431"/>
      <c r="F7" s="431"/>
      <c r="G7" s="431"/>
    </row>
    <row r="8" spans="1:7" x14ac:dyDescent="0.3">
      <c r="A8" s="53">
        <v>46109</v>
      </c>
      <c r="B8" s="51" t="s">
        <v>245</v>
      </c>
      <c r="C8" s="51" t="s">
        <v>243</v>
      </c>
      <c r="D8" s="57">
        <v>385</v>
      </c>
      <c r="E8" s="431"/>
      <c r="F8" s="431"/>
      <c r="G8" s="431"/>
    </row>
    <row r="9" spans="1:7" ht="15" thickBot="1" x14ac:dyDescent="0.35">
      <c r="A9" s="53">
        <v>46110</v>
      </c>
      <c r="B9" s="51" t="s">
        <v>245</v>
      </c>
      <c r="C9" s="51" t="s">
        <v>244</v>
      </c>
      <c r="D9" s="57">
        <v>385</v>
      </c>
      <c r="E9" s="431"/>
      <c r="F9" s="432"/>
      <c r="G9" s="432"/>
    </row>
    <row r="10" spans="1:7" ht="15" thickBot="1" x14ac:dyDescent="0.35">
      <c r="A10" s="436" t="s">
        <v>247</v>
      </c>
      <c r="B10" s="437"/>
      <c r="C10" s="437"/>
      <c r="D10" s="54" t="s">
        <v>246</v>
      </c>
      <c r="E10" s="60" t="s">
        <v>43</v>
      </c>
      <c r="F10" s="69" t="s">
        <v>249</v>
      </c>
      <c r="G10" s="70" t="s">
        <v>254</v>
      </c>
    </row>
    <row r="11" spans="1:7" x14ac:dyDescent="0.3">
      <c r="A11" s="53">
        <v>46106</v>
      </c>
      <c r="B11" s="51" t="s">
        <v>245</v>
      </c>
      <c r="C11" s="51" t="s">
        <v>248</v>
      </c>
      <c r="D11" s="58">
        <v>280</v>
      </c>
      <c r="E11" s="434">
        <f>SUM(C11:D15)</f>
        <v>1400</v>
      </c>
      <c r="F11" s="433">
        <v>1800</v>
      </c>
      <c r="G11" s="433">
        <f>1520 +2280</f>
        <v>3800</v>
      </c>
    </row>
    <row r="12" spans="1:7" x14ac:dyDescent="0.3">
      <c r="A12" s="53">
        <v>46107</v>
      </c>
      <c r="B12" s="51" t="s">
        <v>245</v>
      </c>
      <c r="C12" s="51" t="s">
        <v>248</v>
      </c>
      <c r="D12" s="58">
        <v>280</v>
      </c>
      <c r="E12" s="434"/>
      <c r="F12" s="434"/>
      <c r="G12" s="434"/>
    </row>
    <row r="13" spans="1:7" x14ac:dyDescent="0.3">
      <c r="A13" s="53">
        <v>46108</v>
      </c>
      <c r="B13" s="51" t="s">
        <v>245</v>
      </c>
      <c r="C13" s="51" t="s">
        <v>248</v>
      </c>
      <c r="D13" s="58">
        <v>280</v>
      </c>
      <c r="E13" s="434"/>
      <c r="F13" s="434"/>
      <c r="G13" s="434"/>
    </row>
    <row r="14" spans="1:7" x14ac:dyDescent="0.3">
      <c r="A14" s="53">
        <v>46109</v>
      </c>
      <c r="B14" s="51" t="s">
        <v>245</v>
      </c>
      <c r="C14" s="51" t="s">
        <v>248</v>
      </c>
      <c r="D14" s="58">
        <v>280</v>
      </c>
      <c r="E14" s="434"/>
      <c r="F14" s="434"/>
      <c r="G14" s="434"/>
    </row>
    <row r="15" spans="1:7" ht="15" thickBot="1" x14ac:dyDescent="0.35">
      <c r="A15" s="53">
        <v>46110</v>
      </c>
      <c r="B15" s="51" t="s">
        <v>245</v>
      </c>
      <c r="C15" s="51" t="s">
        <v>248</v>
      </c>
      <c r="D15" s="58">
        <v>280</v>
      </c>
      <c r="E15" s="434"/>
      <c r="F15" s="435"/>
      <c r="G15" s="435"/>
    </row>
    <row r="16" spans="1:7" ht="15" thickBot="1" x14ac:dyDescent="0.35">
      <c r="A16" s="436" t="s">
        <v>250</v>
      </c>
      <c r="B16" s="437"/>
      <c r="C16" s="437"/>
      <c r="D16" s="54" t="s">
        <v>246</v>
      </c>
      <c r="E16" s="60" t="s">
        <v>43</v>
      </c>
      <c r="F16" s="69" t="s">
        <v>249</v>
      </c>
      <c r="G16" s="70" t="s">
        <v>254</v>
      </c>
    </row>
    <row r="17" spans="1:8" x14ac:dyDescent="0.3">
      <c r="A17" s="53">
        <v>23</v>
      </c>
      <c r="B17" s="51" t="s">
        <v>245</v>
      </c>
      <c r="C17" s="51" t="s">
        <v>248</v>
      </c>
      <c r="D17" s="58">
        <v>700</v>
      </c>
      <c r="E17" s="434">
        <f>SUM(C17:D20)</f>
        <v>2800</v>
      </c>
      <c r="F17" s="433">
        <v>2800</v>
      </c>
      <c r="G17" s="433">
        <v>3400</v>
      </c>
    </row>
    <row r="18" spans="1:8" x14ac:dyDescent="0.3">
      <c r="A18" s="53">
        <v>46105</v>
      </c>
      <c r="B18" s="51" t="s">
        <v>245</v>
      </c>
      <c r="C18" s="51" t="s">
        <v>248</v>
      </c>
      <c r="D18" s="58">
        <v>700</v>
      </c>
      <c r="E18" s="434"/>
      <c r="F18" s="434"/>
      <c r="G18" s="434"/>
    </row>
    <row r="19" spans="1:8" x14ac:dyDescent="0.3">
      <c r="A19" s="53">
        <v>46106</v>
      </c>
      <c r="B19" s="51" t="s">
        <v>245</v>
      </c>
      <c r="C19" s="51" t="s">
        <v>248</v>
      </c>
      <c r="D19" s="58">
        <v>700</v>
      </c>
      <c r="E19" s="434"/>
      <c r="F19" s="434"/>
      <c r="G19" s="434"/>
    </row>
    <row r="20" spans="1:8" ht="15" thickBot="1" x14ac:dyDescent="0.35">
      <c r="A20" s="55">
        <v>46110</v>
      </c>
      <c r="B20" s="56" t="s">
        <v>245</v>
      </c>
      <c r="C20" s="61" t="s">
        <v>248</v>
      </c>
      <c r="D20" s="62">
        <v>700</v>
      </c>
      <c r="E20" s="438"/>
      <c r="F20" s="435"/>
      <c r="G20" s="435"/>
    </row>
    <row r="21" spans="1:8" ht="15" hidden="1" thickBot="1" x14ac:dyDescent="0.35">
      <c r="A21" s="444" t="s">
        <v>252</v>
      </c>
      <c r="B21" s="445"/>
      <c r="C21" s="54" t="s">
        <v>246</v>
      </c>
      <c r="D21" s="54" t="s">
        <v>246</v>
      </c>
      <c r="E21" s="60" t="s">
        <v>43</v>
      </c>
      <c r="F21" s="69" t="s">
        <v>249</v>
      </c>
      <c r="G21" s="70" t="s">
        <v>255</v>
      </c>
    </row>
    <row r="22" spans="1:8" hidden="1" x14ac:dyDescent="0.3">
      <c r="A22" s="440" t="s">
        <v>251</v>
      </c>
      <c r="B22" s="441"/>
      <c r="C22" s="63">
        <v>4</v>
      </c>
      <c r="D22" s="64">
        <v>50</v>
      </c>
      <c r="E22" s="65">
        <f>D22*C22</f>
        <v>200</v>
      </c>
      <c r="F22" s="65">
        <f>E22</f>
        <v>200</v>
      </c>
      <c r="G22" s="71"/>
    </row>
    <row r="23" spans="1:8" ht="15" hidden="1" thickBot="1" x14ac:dyDescent="0.35">
      <c r="A23" s="442" t="s">
        <v>253</v>
      </c>
      <c r="B23" s="443"/>
      <c r="C23" s="67">
        <v>4</v>
      </c>
      <c r="D23" s="59">
        <v>90</v>
      </c>
      <c r="E23" s="66">
        <f>D23*C23</f>
        <v>360</v>
      </c>
      <c r="F23" s="66">
        <f>E23</f>
        <v>360</v>
      </c>
      <c r="G23" s="72"/>
    </row>
    <row r="24" spans="1:8" x14ac:dyDescent="0.3">
      <c r="A24" s="439" t="s">
        <v>43</v>
      </c>
      <c r="B24" s="439"/>
      <c r="C24" s="439"/>
      <c r="D24" s="439"/>
      <c r="E24" s="439"/>
      <c r="F24" s="73">
        <f>F2+F11+F17</f>
        <v>7680</v>
      </c>
      <c r="G24" s="73">
        <f>G17+G11+G2</f>
        <v>10560</v>
      </c>
      <c r="H24" s="45">
        <f>G24-F24</f>
        <v>2880</v>
      </c>
    </row>
  </sheetData>
  <mergeCells count="16">
    <mergeCell ref="A24:E24"/>
    <mergeCell ref="A22:B22"/>
    <mergeCell ref="A23:B23"/>
    <mergeCell ref="A21:B21"/>
    <mergeCell ref="A1:C1"/>
    <mergeCell ref="A10:C10"/>
    <mergeCell ref="G2:G9"/>
    <mergeCell ref="G17:G20"/>
    <mergeCell ref="G11:G15"/>
    <mergeCell ref="A16:C16"/>
    <mergeCell ref="E17:E20"/>
    <mergeCell ref="F17:F20"/>
    <mergeCell ref="E2:E9"/>
    <mergeCell ref="E11:E15"/>
    <mergeCell ref="F2:F9"/>
    <mergeCell ref="F11:F1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D15" sqref="D15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449" t="s">
        <v>11</v>
      </c>
      <c r="B1" s="449"/>
      <c r="C1" s="449"/>
      <c r="D1" s="451" t="s">
        <v>61</v>
      </c>
      <c r="E1" s="451"/>
      <c r="F1" s="451"/>
      <c r="G1" s="451"/>
      <c r="H1" s="451"/>
      <c r="I1" s="451"/>
      <c r="J1" s="27" t="s">
        <v>11</v>
      </c>
      <c r="K1" s="27" t="s">
        <v>11</v>
      </c>
      <c r="L1" s="27" t="s">
        <v>11</v>
      </c>
      <c r="M1" s="27" t="s">
        <v>11</v>
      </c>
      <c r="N1" s="27" t="s">
        <v>11</v>
      </c>
      <c r="O1" s="28" t="s">
        <v>11</v>
      </c>
    </row>
    <row r="2" spans="1:15" x14ac:dyDescent="0.3">
      <c r="A2" s="450"/>
      <c r="B2" s="450"/>
      <c r="C2" s="450"/>
      <c r="D2" s="449" t="s">
        <v>62</v>
      </c>
      <c r="E2" s="449"/>
      <c r="F2" s="449"/>
      <c r="G2" s="449"/>
      <c r="H2" s="449"/>
      <c r="I2" s="449"/>
      <c r="J2" s="27"/>
      <c r="K2" s="27"/>
      <c r="L2" s="27"/>
      <c r="M2" s="27"/>
      <c r="N2" s="27"/>
      <c r="O2" s="452" t="s">
        <v>63</v>
      </c>
    </row>
    <row r="3" spans="1:15" x14ac:dyDescent="0.3">
      <c r="A3" s="450"/>
      <c r="B3" s="450"/>
      <c r="C3" s="450"/>
      <c r="D3" s="449" t="s">
        <v>64</v>
      </c>
      <c r="E3" s="449"/>
      <c r="F3" s="449"/>
      <c r="G3" s="449"/>
      <c r="H3" s="449"/>
      <c r="I3" s="449"/>
      <c r="J3" s="27"/>
      <c r="K3" s="27"/>
      <c r="L3" s="27"/>
      <c r="M3" s="27"/>
      <c r="N3" s="27"/>
      <c r="O3" s="453"/>
    </row>
    <row r="4" spans="1:15" x14ac:dyDescent="0.3">
      <c r="A4" s="450"/>
      <c r="B4" s="450"/>
      <c r="C4" s="450"/>
      <c r="D4" s="449" t="s">
        <v>65</v>
      </c>
      <c r="E4" s="449"/>
      <c r="F4" s="449"/>
      <c r="G4" s="449"/>
      <c r="H4" s="449"/>
      <c r="I4" s="449"/>
      <c r="J4" s="27"/>
      <c r="K4" s="27"/>
      <c r="L4" s="27"/>
      <c r="M4" s="27"/>
      <c r="N4" s="27"/>
      <c r="O4" s="453"/>
    </row>
    <row r="5" spans="1:15" x14ac:dyDescent="0.3">
      <c r="A5" s="450"/>
      <c r="B5" s="450"/>
      <c r="C5" s="450"/>
      <c r="D5" s="449" t="s">
        <v>66</v>
      </c>
      <c r="E5" s="449"/>
      <c r="F5" s="449"/>
      <c r="G5" s="449"/>
      <c r="H5" s="449"/>
      <c r="I5" s="449"/>
      <c r="J5" s="27"/>
      <c r="K5" s="27"/>
      <c r="L5" s="27"/>
      <c r="M5" s="27"/>
      <c r="N5" s="27"/>
      <c r="O5" s="453"/>
    </row>
    <row r="6" spans="1:15" x14ac:dyDescent="0.3">
      <c r="A6" s="450"/>
      <c r="B6" s="450"/>
      <c r="C6" s="450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453"/>
    </row>
    <row r="7" spans="1:15" x14ac:dyDescent="0.3">
      <c r="A7" s="450"/>
      <c r="B7" s="450"/>
      <c r="C7" s="450"/>
      <c r="D7" s="449" t="s">
        <v>67</v>
      </c>
      <c r="E7" s="449"/>
      <c r="F7" s="449"/>
      <c r="G7" s="449"/>
      <c r="H7" s="449"/>
      <c r="I7" s="449"/>
      <c r="J7" s="27"/>
      <c r="K7" s="27"/>
      <c r="L7" s="27"/>
      <c r="M7" s="27"/>
      <c r="N7" s="27"/>
      <c r="O7" s="29">
        <v>45264.482613275461</v>
      </c>
    </row>
    <row r="8" spans="1:15" x14ac:dyDescent="0.3">
      <c r="A8" s="448" t="s">
        <v>68</v>
      </c>
      <c r="B8" s="448"/>
      <c r="C8" s="448"/>
      <c r="D8" s="448"/>
      <c r="E8" s="448"/>
      <c r="F8" s="448"/>
      <c r="G8" s="448"/>
      <c r="H8" s="448"/>
      <c r="I8" s="448"/>
      <c r="J8" s="448"/>
      <c r="K8" s="448"/>
      <c r="L8" s="448"/>
      <c r="M8" s="448"/>
      <c r="N8" s="448"/>
      <c r="O8" s="448"/>
    </row>
    <row r="9" spans="1:15" ht="27.6" x14ac:dyDescent="0.3">
      <c r="A9" s="30" t="s">
        <v>69</v>
      </c>
      <c r="B9" s="30" t="s">
        <v>70</v>
      </c>
      <c r="C9" s="30" t="s">
        <v>71</v>
      </c>
      <c r="D9" s="30" t="s">
        <v>52</v>
      </c>
      <c r="E9" s="30" t="s">
        <v>72</v>
      </c>
      <c r="F9" s="30" t="s">
        <v>73</v>
      </c>
      <c r="G9" s="30" t="s">
        <v>34</v>
      </c>
      <c r="H9" s="30" t="s">
        <v>74</v>
      </c>
      <c r="I9" s="30" t="s">
        <v>75</v>
      </c>
      <c r="J9" s="30" t="s">
        <v>73</v>
      </c>
      <c r="K9" s="30" t="s">
        <v>76</v>
      </c>
      <c r="L9" s="30" t="s">
        <v>77</v>
      </c>
      <c r="M9" s="30" t="s">
        <v>78</v>
      </c>
      <c r="N9" s="30" t="s">
        <v>79</v>
      </c>
      <c r="O9" s="31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5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457" t="s">
        <v>3</v>
      </c>
      <c r="C2" s="458"/>
      <c r="D2" s="458"/>
      <c r="E2" s="458"/>
      <c r="F2" s="458"/>
      <c r="G2" s="458"/>
      <c r="H2" s="458"/>
      <c r="I2" s="458"/>
      <c r="J2" s="458"/>
      <c r="K2" s="458"/>
      <c r="L2" s="459"/>
    </row>
    <row r="3" spans="2:12" ht="47.4" customHeight="1" thickBot="1" x14ac:dyDescent="0.35">
      <c r="B3" s="460" t="s">
        <v>12</v>
      </c>
      <c r="C3" s="461"/>
      <c r="D3" s="461"/>
      <c r="E3" s="461"/>
      <c r="F3" s="461"/>
      <c r="G3" s="461"/>
      <c r="H3" s="461"/>
      <c r="I3" s="461"/>
      <c r="J3" s="461"/>
      <c r="K3" s="461"/>
      <c r="L3" s="462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463" t="s">
        <v>13</v>
      </c>
      <c r="D6" s="463"/>
      <c r="E6" s="463"/>
      <c r="F6" s="463"/>
      <c r="G6" s="463"/>
      <c r="H6" s="463"/>
      <c r="I6" s="463"/>
      <c r="J6" s="463"/>
      <c r="K6" s="463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464" t="s">
        <v>106</v>
      </c>
      <c r="E8" s="465"/>
      <c r="F8" s="465"/>
      <c r="G8" s="465"/>
      <c r="H8" s="465"/>
      <c r="I8" s="465"/>
      <c r="J8" s="465"/>
      <c r="K8" s="466"/>
      <c r="L8" s="5"/>
    </row>
    <row r="9" spans="2:12" x14ac:dyDescent="0.3">
      <c r="B9" s="4"/>
      <c r="C9" s="7" t="s">
        <v>15</v>
      </c>
      <c r="D9" s="454" t="s">
        <v>16</v>
      </c>
      <c r="E9" s="455"/>
      <c r="F9" s="455"/>
      <c r="G9" s="455"/>
      <c r="H9" s="455"/>
      <c r="I9" s="455"/>
      <c r="J9" s="455"/>
      <c r="K9" s="456"/>
      <c r="L9" s="5"/>
    </row>
    <row r="10" spans="2:12" x14ac:dyDescent="0.3">
      <c r="B10" s="4"/>
      <c r="C10" s="7" t="s">
        <v>17</v>
      </c>
      <c r="D10" s="454" t="s">
        <v>11</v>
      </c>
      <c r="E10" s="455"/>
      <c r="F10" s="455"/>
      <c r="G10" s="455"/>
      <c r="H10" s="455"/>
      <c r="I10" s="455"/>
      <c r="J10" s="455"/>
      <c r="K10" s="456"/>
      <c r="L10" s="5"/>
    </row>
    <row r="11" spans="2:12" x14ac:dyDescent="0.3">
      <c r="B11" s="4"/>
      <c r="C11" s="7" t="s">
        <v>18</v>
      </c>
      <c r="D11" s="454" t="s">
        <v>107</v>
      </c>
      <c r="E11" s="455"/>
      <c r="F11" s="455"/>
      <c r="G11" s="455"/>
      <c r="H11" s="455"/>
      <c r="I11" s="455"/>
      <c r="J11" s="455"/>
      <c r="K11" s="456"/>
      <c r="L11" s="5"/>
    </row>
    <row r="12" spans="2:12" x14ac:dyDescent="0.3">
      <c r="B12" s="4"/>
      <c r="C12" s="10" t="s">
        <v>19</v>
      </c>
      <c r="D12" s="467" t="s">
        <v>108</v>
      </c>
      <c r="E12" s="468"/>
      <c r="F12" s="468"/>
      <c r="G12" s="468"/>
      <c r="H12" s="469"/>
      <c r="I12" s="11" t="s">
        <v>20</v>
      </c>
      <c r="J12" s="467" t="s">
        <v>105</v>
      </c>
      <c r="K12" s="469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463" t="s">
        <v>21</v>
      </c>
      <c r="D16" s="463"/>
      <c r="E16" s="463"/>
      <c r="F16" s="463"/>
      <c r="G16" s="463"/>
      <c r="H16" s="463"/>
      <c r="I16" s="463"/>
      <c r="J16" s="463"/>
      <c r="K16" s="463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470" t="s">
        <v>81</v>
      </c>
      <c r="E18" s="470"/>
      <c r="F18" s="470"/>
      <c r="G18" s="471"/>
      <c r="H18" s="470" t="s">
        <v>22</v>
      </c>
      <c r="I18" s="470"/>
      <c r="J18" s="470"/>
      <c r="K18" s="471"/>
      <c r="L18" s="5"/>
    </row>
    <row r="19" spans="2:12" x14ac:dyDescent="0.3">
      <c r="B19" s="4"/>
      <c r="C19" s="15" t="s">
        <v>23</v>
      </c>
      <c r="D19" s="472" t="s">
        <v>110</v>
      </c>
      <c r="E19" s="473"/>
      <c r="F19" s="473"/>
      <c r="G19" s="473"/>
      <c r="H19" s="473"/>
      <c r="I19" s="473"/>
      <c r="J19" s="473"/>
      <c r="K19" s="474"/>
      <c r="L19" s="5"/>
    </row>
    <row r="20" spans="2:12" x14ac:dyDescent="0.3">
      <c r="B20" s="4"/>
      <c r="C20" s="7" t="s">
        <v>24</v>
      </c>
      <c r="D20" s="454"/>
      <c r="E20" s="455"/>
      <c r="F20" s="455"/>
      <c r="G20" s="455"/>
      <c r="H20" s="455"/>
      <c r="I20" s="455"/>
      <c r="J20" s="455"/>
      <c r="K20" s="456"/>
      <c r="L20" s="5"/>
    </row>
    <row r="21" spans="2:12" x14ac:dyDescent="0.3">
      <c r="B21" s="4"/>
      <c r="C21" s="7" t="s">
        <v>25</v>
      </c>
      <c r="D21" s="454" t="s">
        <v>114</v>
      </c>
      <c r="E21" s="456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454" t="s">
        <v>109</v>
      </c>
      <c r="E22" s="455"/>
      <c r="F22" s="455"/>
      <c r="G22" s="456"/>
      <c r="H22" s="7" t="s">
        <v>29</v>
      </c>
      <c r="I22" s="454"/>
      <c r="J22" s="455"/>
      <c r="K22" s="456"/>
      <c r="L22" s="5"/>
    </row>
    <row r="23" spans="2:12" x14ac:dyDescent="0.3">
      <c r="B23" s="4"/>
      <c r="C23" s="10" t="s">
        <v>30</v>
      </c>
      <c r="D23" s="467" t="s">
        <v>111</v>
      </c>
      <c r="E23" s="468"/>
      <c r="F23" s="468"/>
      <c r="G23" s="469"/>
      <c r="H23" s="10" t="s">
        <v>31</v>
      </c>
      <c r="I23" s="467" t="s">
        <v>11</v>
      </c>
      <c r="J23" s="468"/>
      <c r="K23" s="469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463" t="s">
        <v>21</v>
      </c>
      <c r="D27" s="463"/>
      <c r="E27" s="463"/>
      <c r="F27" s="463"/>
      <c r="G27" s="463"/>
      <c r="H27" s="463"/>
      <c r="I27" s="463"/>
      <c r="J27" s="463"/>
      <c r="K27" s="463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475" t="s">
        <v>33</v>
      </c>
      <c r="E29" s="471"/>
      <c r="F29" s="475" t="s">
        <v>34</v>
      </c>
      <c r="G29" s="471"/>
      <c r="H29" s="476" t="s">
        <v>35</v>
      </c>
      <c r="I29" s="476"/>
      <c r="J29" s="476"/>
      <c r="K29" s="477"/>
      <c r="L29" s="5"/>
    </row>
    <row r="30" spans="2:12" x14ac:dyDescent="0.3">
      <c r="B30" s="4"/>
      <c r="C30" s="17" t="s">
        <v>36</v>
      </c>
      <c r="D30" s="478" t="s">
        <v>112</v>
      </c>
      <c r="E30" s="479"/>
      <c r="F30" s="480" t="s">
        <v>117</v>
      </c>
      <c r="G30" s="481"/>
      <c r="H30" s="18" t="s">
        <v>113</v>
      </c>
      <c r="I30" s="475" t="s">
        <v>40</v>
      </c>
      <c r="J30" s="471"/>
      <c r="K30" s="6" t="s">
        <v>38</v>
      </c>
      <c r="L30" s="5"/>
    </row>
    <row r="31" spans="2:12" x14ac:dyDescent="0.3">
      <c r="B31" s="4"/>
      <c r="C31" s="17" t="s">
        <v>39</v>
      </c>
      <c r="D31" s="478" t="s">
        <v>11</v>
      </c>
      <c r="E31" s="479"/>
      <c r="F31" s="480" t="s">
        <v>11</v>
      </c>
      <c r="G31" s="481"/>
      <c r="H31" s="17" t="s">
        <v>37</v>
      </c>
      <c r="I31" s="484" t="s">
        <v>40</v>
      </c>
      <c r="J31" s="485"/>
      <c r="K31" s="7" t="s">
        <v>38</v>
      </c>
      <c r="L31" s="5"/>
    </row>
    <row r="32" spans="2:12" x14ac:dyDescent="0.3">
      <c r="B32" s="4"/>
      <c r="C32" s="17" t="s">
        <v>41</v>
      </c>
      <c r="D32" s="478" t="s">
        <v>11</v>
      </c>
      <c r="E32" s="479"/>
      <c r="F32" s="480" t="s">
        <v>11</v>
      </c>
      <c r="G32" s="481"/>
      <c r="H32" s="17" t="s">
        <v>37</v>
      </c>
      <c r="I32" s="484" t="s">
        <v>40</v>
      </c>
      <c r="J32" s="485"/>
      <c r="K32" s="7" t="s">
        <v>38</v>
      </c>
      <c r="L32" s="5"/>
    </row>
    <row r="33" spans="2:12" x14ac:dyDescent="0.3">
      <c r="B33" s="4"/>
      <c r="C33" s="19" t="s">
        <v>42</v>
      </c>
      <c r="D33" s="478" t="s">
        <v>11</v>
      </c>
      <c r="E33" s="479"/>
      <c r="F33" s="482" t="s">
        <v>11</v>
      </c>
      <c r="G33" s="483"/>
      <c r="H33" s="17" t="s">
        <v>37</v>
      </c>
      <c r="I33" s="484" t="s">
        <v>40</v>
      </c>
      <c r="J33" s="485"/>
      <c r="K33" s="7" t="s">
        <v>38</v>
      </c>
      <c r="L33" s="5"/>
    </row>
    <row r="34" spans="2:12" x14ac:dyDescent="0.3">
      <c r="B34" s="4"/>
      <c r="C34" s="486" t="s">
        <v>43</v>
      </c>
      <c r="D34" s="487"/>
      <c r="E34" s="488"/>
      <c r="F34" s="489" t="s">
        <v>117</v>
      </c>
      <c r="G34" s="490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463" t="s">
        <v>44</v>
      </c>
      <c r="D38" s="463"/>
      <c r="E38" s="463"/>
      <c r="F38" s="463"/>
      <c r="G38" s="463"/>
      <c r="H38" s="463"/>
      <c r="I38" s="463"/>
      <c r="J38" s="463"/>
      <c r="K38" s="463"/>
      <c r="L38" s="5"/>
    </row>
    <row r="39" spans="2:12" x14ac:dyDescent="0.3">
      <c r="B39" s="4"/>
      <c r="C39" s="494" t="s">
        <v>118</v>
      </c>
      <c r="D39" s="494"/>
      <c r="E39" s="494"/>
      <c r="F39" s="494"/>
      <c r="G39" s="494"/>
      <c r="H39" s="494"/>
      <c r="I39" s="494"/>
      <c r="J39" s="494"/>
      <c r="K39" s="494"/>
      <c r="L39" s="5"/>
    </row>
    <row r="40" spans="2:12" x14ac:dyDescent="0.3">
      <c r="B40" s="4"/>
      <c r="C40" s="494"/>
      <c r="D40" s="494"/>
      <c r="E40" s="494"/>
      <c r="F40" s="494"/>
      <c r="G40" s="494"/>
      <c r="H40" s="494"/>
      <c r="I40" s="494"/>
      <c r="J40" s="494"/>
      <c r="K40" s="494"/>
      <c r="L40" s="5"/>
    </row>
    <row r="41" spans="2:12" x14ac:dyDescent="0.3">
      <c r="B41" s="4"/>
      <c r="C41" s="494"/>
      <c r="D41" s="494"/>
      <c r="E41" s="494"/>
      <c r="F41" s="494"/>
      <c r="G41" s="494"/>
      <c r="H41" s="494"/>
      <c r="I41" s="494"/>
      <c r="J41" s="494"/>
      <c r="K41" s="494"/>
      <c r="L41" s="5"/>
    </row>
    <row r="42" spans="2:12" x14ac:dyDescent="0.3">
      <c r="B42" s="4"/>
      <c r="C42" s="494"/>
      <c r="D42" s="494"/>
      <c r="E42" s="494"/>
      <c r="F42" s="494"/>
      <c r="G42" s="494"/>
      <c r="H42" s="494"/>
      <c r="I42" s="494"/>
      <c r="J42" s="494"/>
      <c r="K42" s="494"/>
      <c r="L42" s="5"/>
    </row>
    <row r="43" spans="2:12" x14ac:dyDescent="0.3">
      <c r="B43" s="4"/>
      <c r="C43" s="494"/>
      <c r="D43" s="494"/>
      <c r="E43" s="494"/>
      <c r="F43" s="494"/>
      <c r="G43" s="494"/>
      <c r="H43" s="494"/>
      <c r="I43" s="494"/>
      <c r="J43" s="494"/>
      <c r="K43" s="494"/>
      <c r="L43" s="5"/>
    </row>
    <row r="44" spans="2:12" x14ac:dyDescent="0.3">
      <c r="B44" s="4"/>
      <c r="C44" s="494"/>
      <c r="D44" s="494"/>
      <c r="E44" s="494"/>
      <c r="F44" s="494"/>
      <c r="G44" s="494"/>
      <c r="H44" s="494"/>
      <c r="I44" s="494"/>
      <c r="J44" s="494"/>
      <c r="K44" s="494"/>
      <c r="L44" s="5"/>
    </row>
    <row r="45" spans="2:12" x14ac:dyDescent="0.3">
      <c r="B45" s="4"/>
      <c r="C45" s="495"/>
      <c r="D45" s="495"/>
      <c r="E45" s="495"/>
      <c r="F45" s="495"/>
      <c r="G45" s="495"/>
      <c r="H45" s="495"/>
      <c r="I45" s="495"/>
      <c r="J45" s="495"/>
      <c r="K45" s="495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491" t="s">
        <v>45</v>
      </c>
      <c r="C48" s="492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493" t="s">
        <v>46</v>
      </c>
      <c r="D51" s="493"/>
      <c r="E51" s="493"/>
      <c r="F51" s="493"/>
      <c r="H51" s="493" t="s">
        <v>47</v>
      </c>
      <c r="I51" s="493"/>
      <c r="J51" s="493"/>
      <c r="K51" s="493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BAC3BD6-AB8A-4670-BE67-7B3F3CD6D2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RESUMO</vt:lpstr>
      <vt:lpstr>Principal</vt:lpstr>
      <vt:lpstr>EXTRAS</vt:lpstr>
      <vt:lpstr>CUSTOS OP.</vt:lpstr>
      <vt:lpstr>Planilha1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2026-04-28T21:55:35Z</cp:lastPrinted>
  <dcterms:created xsi:type="dcterms:W3CDTF">2023-09-21T21:02:20Z</dcterms:created>
  <dcterms:modified xsi:type="dcterms:W3CDTF">2026-05-27T14:56:19Z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