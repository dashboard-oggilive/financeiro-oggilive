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hidePivotFieldList="1"/>
  <mc:AlternateContent xmlns:mc="http://schemas.openxmlformats.org/markup-compatibility/2006">
    <mc:Choice Requires="x15">
      <x15ac:absPath xmlns:x15ac="http://schemas.microsoft.com/office/spreadsheetml/2010/11/ac" url="D:\OGGI LIVE\Fechamentos\2026\JOBS\OGGI\05 maio\OK\"/>
    </mc:Choice>
  </mc:AlternateContent>
  <xr:revisionPtr revIDLastSave="0" documentId="13_ncr:1_{0EAC3E81-4308-4BFA-AF29-8096FD828993}" xr6:coauthVersionLast="47" xr6:coauthVersionMax="47" xr10:uidLastSave="{00000000-0000-0000-0000-000000000000}"/>
  <bookViews>
    <workbookView xWindow="28692" yWindow="-108" windowWidth="29016" windowHeight="15696" tabRatio="822" xr2:uid="{83D4A4F0-59AC-45D6-BDA2-9A1B100CD857}"/>
  </bookViews>
  <sheets>
    <sheet name="RESUMO" sheetId="97" r:id="rId1"/>
    <sheet name="Taxas" sheetId="94" state="hidden" r:id="rId2"/>
    <sheet name="Operação" sheetId="91" r:id="rId3"/>
    <sheet name="Estand Op1" sheetId="95" r:id="rId4"/>
    <sheet name="Resumo." sheetId="93" r:id="rId5"/>
    <sheet name="CREDENCIAIS" sheetId="96" r:id="rId6"/>
    <sheet name="ItensOrc" sheetId="76" state="hidden" r:id="rId7"/>
    <sheet name="Template SP" sheetId="3" state="hidden" r:id="rId8"/>
  </sheets>
  <definedNames>
    <definedName name="_xlnm._FilterDatabase" localSheetId="3" hidden="1">'Estand Op1'!$A$1:$AL$14</definedName>
    <definedName name="_xlnm._FilterDatabase" localSheetId="2" hidden="1">Operação!$A$1:$AL$14</definedName>
    <definedName name="_xlnm._FilterDatabase" localSheetId="1" hidden="1">Taxas!$A$1:$AL$14</definedName>
    <definedName name="_xleta.N" hidden="1" xlm="1">#NAME?</definedName>
    <definedName name="_xleta.SUM" hidden="1" xlm="1">#NAME?</definedName>
    <definedName name="itensorc_desconto" localSheetId="6">ItensOrc!$M:$M</definedName>
    <definedName name="itensorc_desconto">#REF!</definedName>
    <definedName name="itensorc_descricao" localSheetId="6">ItensOrc!$D:$D</definedName>
    <definedName name="itensorc_descricao">#REF!</definedName>
    <definedName name="itensorc_encargos" localSheetId="6">ItensOrc!$N:$N</definedName>
    <definedName name="itensorc_encargos">#REF!</definedName>
    <definedName name="itensorc_especifica" localSheetId="6">ItensOrc!$O:$O</definedName>
    <definedName name="itensorc_especifica">#REF!</definedName>
    <definedName name="itensorc_item" localSheetId="6">ItensOrc!$C:$C</definedName>
    <definedName name="itensorc_item">#REF!</definedName>
    <definedName name="itensorc_lancamento" localSheetId="6">ItensOrc!$B:$B</definedName>
    <definedName name="itensorc_lancamento">#REF!</definedName>
    <definedName name="itensorc_percentualhonorarios" localSheetId="6">ItensOrc!$L:$L</definedName>
    <definedName name="itensorc_percentualhonorarios">#REF!</definedName>
    <definedName name="itensorc_quantidade" localSheetId="6">ItensOrc!$E:$E</definedName>
    <definedName name="itensorc_quantidade">#REF!</definedName>
    <definedName name="itensorc_situacao" localSheetId="6">ItensOrc!$H:$H</definedName>
    <definedName name="itensorc_situacao">#REF!</definedName>
    <definedName name="itensorc_subtipo" localSheetId="6">ItensOrc!$K:$K</definedName>
    <definedName name="itensorc_subtipo">#REF!</definedName>
    <definedName name="itensorc_tiporeceita" localSheetId="6">ItensOrc!$A:$A</definedName>
    <definedName name="itensorc_tiporeceita">#REF!</definedName>
    <definedName name="itensorc_valor" localSheetId="6">ItensOrc!$G:$G</definedName>
    <definedName name="itensorc_valor">#REF!</definedName>
    <definedName name="itensorc_valorfornecedor" localSheetId="6">ItensOrc!$I:$I</definedName>
    <definedName name="itensorc_valorfornecedor">#REF!</definedName>
    <definedName name="itensorc_valorfornecedorunitario" localSheetId="6">ItensOrc!$J:$J</definedName>
    <definedName name="itensorc_valorfornecedorunitario">#REF!</definedName>
    <definedName name="itensorc_valorunitario" localSheetId="6">ItensOrc!$F:$F</definedName>
    <definedName name="itensorc_valorunitari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0" i="97" l="1"/>
  <c r="D33" i="97"/>
  <c r="D32" i="97"/>
  <c r="E34" i="97"/>
  <c r="D34" i="97"/>
  <c r="E30" i="97"/>
  <c r="E24" i="97"/>
  <c r="D24" i="97"/>
  <c r="C24" i="97"/>
  <c r="F23" i="97"/>
  <c r="F22" i="97"/>
  <c r="C28" i="97"/>
  <c r="D30" i="97"/>
  <c r="C25" i="97"/>
  <c r="C34" i="97" l="1"/>
  <c r="AN63" i="91"/>
  <c r="AN38" i="91"/>
  <c r="E32" i="97"/>
  <c r="F32" i="97" s="1"/>
  <c r="AN66" i="91"/>
  <c r="AN17" i="95"/>
  <c r="AM17" i="95" s="1"/>
  <c r="D23" i="97"/>
  <c r="E23" i="97" s="1"/>
  <c r="C23" i="97"/>
  <c r="C22" i="97"/>
  <c r="AN21" i="95"/>
  <c r="AM18" i="95"/>
  <c r="AM18" i="91"/>
  <c r="AM19" i="91"/>
  <c r="AM20" i="91"/>
  <c r="AM21" i="91"/>
  <c r="AM26" i="91"/>
  <c r="AM34" i="91"/>
  <c r="AM36" i="91"/>
  <c r="AM37" i="91"/>
  <c r="AM41" i="91"/>
  <c r="AM43" i="91"/>
  <c r="AM54" i="91"/>
  <c r="AM56" i="91"/>
  <c r="AM60" i="91"/>
  <c r="AM61" i="91"/>
  <c r="AM62" i="91"/>
  <c r="AM64" i="91"/>
  <c r="AM17" i="91"/>
  <c r="AL35" i="94"/>
  <c r="AL30" i="94"/>
  <c r="AK30" i="94"/>
  <c r="AK18" i="94"/>
  <c r="AK19" i="94"/>
  <c r="AK20" i="94"/>
  <c r="AK21" i="94"/>
  <c r="AK22" i="94"/>
  <c r="AK23" i="94"/>
  <c r="AK24" i="94"/>
  <c r="AK25" i="94"/>
  <c r="AK26" i="94"/>
  <c r="AK27" i="94"/>
  <c r="AK28" i="94"/>
  <c r="AK17" i="94"/>
  <c r="AL34" i="94"/>
  <c r="AL33" i="94"/>
  <c r="E33" i="97"/>
  <c r="F33" i="97" s="1"/>
  <c r="E3" i="97"/>
  <c r="S63" i="91"/>
  <c r="T34" i="91"/>
  <c r="J40" i="91"/>
  <c r="K40" i="91"/>
  <c r="K44" i="91" s="1"/>
  <c r="N21" i="95"/>
  <c r="M21" i="95"/>
  <c r="L21" i="95"/>
  <c r="K21" i="95"/>
  <c r="N20" i="95"/>
  <c r="M20" i="95"/>
  <c r="L20" i="95"/>
  <c r="K20" i="95"/>
  <c r="K65" i="91"/>
  <c r="N57" i="91"/>
  <c r="M57" i="91"/>
  <c r="L57" i="91"/>
  <c r="K57" i="91"/>
  <c r="U50" i="91"/>
  <c r="T50" i="91"/>
  <c r="N50" i="91"/>
  <c r="M50" i="91"/>
  <c r="L50" i="91"/>
  <c r="K50" i="91"/>
  <c r="T35" i="91"/>
  <c r="N35" i="91"/>
  <c r="M35" i="91"/>
  <c r="L35" i="91"/>
  <c r="K35" i="91"/>
  <c r="N31" i="91"/>
  <c r="M31" i="91"/>
  <c r="L31" i="91"/>
  <c r="K31" i="91"/>
  <c r="S39" i="91"/>
  <c r="S40" i="91"/>
  <c r="L60" i="91"/>
  <c r="L65" i="91" s="1"/>
  <c r="K60" i="91"/>
  <c r="Q60" i="91"/>
  <c r="T60" i="91"/>
  <c r="R41" i="91"/>
  <c r="Q41" i="91"/>
  <c r="T41" i="91" s="1"/>
  <c r="K41" i="91"/>
  <c r="L41" i="91" s="1"/>
  <c r="R42" i="91"/>
  <c r="Q42" i="91"/>
  <c r="K42" i="91"/>
  <c r="R40" i="91"/>
  <c r="Q40" i="91"/>
  <c r="R27" i="91"/>
  <c r="Q27" i="91"/>
  <c r="K27" i="91"/>
  <c r="L27" i="91" s="1"/>
  <c r="S49" i="91"/>
  <c r="S48" i="91"/>
  <c r="S47" i="91"/>
  <c r="M14" i="95"/>
  <c r="AM21" i="95" l="1"/>
  <c r="U60" i="91"/>
  <c r="V60" i="91"/>
  <c r="U41" i="91"/>
  <c r="Z41" i="91" s="1"/>
  <c r="V41" i="91"/>
  <c r="U42" i="91"/>
  <c r="W42" i="91" s="1"/>
  <c r="X42" i="91" s="1"/>
  <c r="AM42" i="91" s="1"/>
  <c r="V42" i="91"/>
  <c r="L42" i="91"/>
  <c r="V40" i="91"/>
  <c r="U27" i="91"/>
  <c r="V27" i="91"/>
  <c r="K43" i="91"/>
  <c r="L43" i="91" s="1"/>
  <c r="Q43" i="91"/>
  <c r="V43" i="91" s="1"/>
  <c r="R43" i="91"/>
  <c r="K17" i="95"/>
  <c r="T44" i="91" l="1"/>
  <c r="W41" i="91"/>
  <c r="X41" i="91" s="1"/>
  <c r="Z60" i="91"/>
  <c r="W60" i="91"/>
  <c r="X60" i="91" s="1"/>
  <c r="Z42" i="91"/>
  <c r="Z27" i="91"/>
  <c r="W27" i="91"/>
  <c r="X27" i="91" s="1"/>
  <c r="AM27" i="91" s="1"/>
  <c r="T43" i="91"/>
  <c r="U43" i="91" l="1"/>
  <c r="W43" i="91" l="1"/>
  <c r="X43" i="91" s="1"/>
  <c r="Z43" i="91"/>
  <c r="R47" i="91" l="1"/>
  <c r="R48" i="91"/>
  <c r="R49" i="91"/>
  <c r="R34" i="91" l="1"/>
  <c r="Q34" i="91"/>
  <c r="V34" i="91" s="1"/>
  <c r="K34" i="91"/>
  <c r="Q33" i="91"/>
  <c r="Q32" i="91"/>
  <c r="L34" i="91" l="1"/>
  <c r="K19" i="95"/>
  <c r="L19" i="95" s="1"/>
  <c r="K18" i="95"/>
  <c r="R19" i="95"/>
  <c r="Q19" i="95"/>
  <c r="Q18" i="95"/>
  <c r="Q17" i="95"/>
  <c r="T17" i="95" s="1"/>
  <c r="Q16" i="95"/>
  <c r="Q15" i="95"/>
  <c r="M43" i="91"/>
  <c r="K61" i="91"/>
  <c r="L18" i="95" l="1"/>
  <c r="M18" i="95" s="1"/>
  <c r="U34" i="91"/>
  <c r="U35" i="91" s="1"/>
  <c r="Z12" i="95"/>
  <c r="N43" i="91"/>
  <c r="Y43" i="91"/>
  <c r="L61" i="91"/>
  <c r="M19" i="95"/>
  <c r="N19" i="95" s="1"/>
  <c r="T19" i="95"/>
  <c r="V19" i="95"/>
  <c r="T18" i="95"/>
  <c r="V18" i="95"/>
  <c r="U17" i="95"/>
  <c r="V17" i="95"/>
  <c r="L17" i="95"/>
  <c r="M17" i="95" s="1"/>
  <c r="K64" i="91"/>
  <c r="R63" i="91"/>
  <c r="Q63" i="91"/>
  <c r="K63" i="91"/>
  <c r="R62" i="91"/>
  <c r="Q62" i="91"/>
  <c r="K62" i="91"/>
  <c r="R61" i="91"/>
  <c r="Q59" i="91"/>
  <c r="Q58" i="91"/>
  <c r="U18" i="95" l="1"/>
  <c r="W18" i="95" s="1"/>
  <c r="X18" i="95" s="1"/>
  <c r="T20" i="95"/>
  <c r="T21" i="95"/>
  <c r="W34" i="91"/>
  <c r="X34" i="91" s="1"/>
  <c r="X35" i="91" s="1"/>
  <c r="AA19" i="95"/>
  <c r="N18" i="95"/>
  <c r="Z34" i="91"/>
  <c r="L64" i="91"/>
  <c r="U19" i="95"/>
  <c r="Z19" i="95" s="1"/>
  <c r="AA34" i="91"/>
  <c r="V63" i="91"/>
  <c r="L63" i="91"/>
  <c r="L62" i="91"/>
  <c r="W17" i="95"/>
  <c r="X17" i="95" s="1"/>
  <c r="Z17" i="95"/>
  <c r="T64" i="91"/>
  <c r="V64" i="91"/>
  <c r="T62" i="91"/>
  <c r="U62" i="91" s="1"/>
  <c r="V62" i="91"/>
  <c r="T61" i="91"/>
  <c r="V61" i="91"/>
  <c r="Z18" i="95" l="1"/>
  <c r="Y18" i="95"/>
  <c r="Y21" i="95" s="1"/>
  <c r="X20" i="95"/>
  <c r="X21" i="95"/>
  <c r="U20" i="95"/>
  <c r="U21" i="95"/>
  <c r="U63" i="91"/>
  <c r="Z63" i="91" s="1"/>
  <c r="T65" i="91"/>
  <c r="AA43" i="91"/>
  <c r="AA17" i="95"/>
  <c r="AA18" i="95"/>
  <c r="W19" i="95"/>
  <c r="X19" i="95" s="1"/>
  <c r="Y19" i="95" s="1"/>
  <c r="U64" i="91"/>
  <c r="Z64" i="91" s="1"/>
  <c r="Z62" i="91"/>
  <c r="W62" i="91"/>
  <c r="X62" i="91" s="1"/>
  <c r="N17" i="95"/>
  <c r="Y17" i="95"/>
  <c r="U61" i="91"/>
  <c r="W63" i="91" l="1"/>
  <c r="X63" i="91" s="1"/>
  <c r="AM63" i="91" s="1"/>
  <c r="U65" i="91"/>
  <c r="W64" i="91"/>
  <c r="X64" i="91" s="1"/>
  <c r="D8" i="93"/>
  <c r="E8" i="93"/>
  <c r="Y20" i="95"/>
  <c r="AA61" i="91"/>
  <c r="Z61" i="91"/>
  <c r="W61" i="91"/>
  <c r="X61" i="91" s="1"/>
  <c r="AA63" i="91"/>
  <c r="AA62" i="91"/>
  <c r="AA64" i="91"/>
  <c r="X65" i="91" l="1"/>
  <c r="F8" i="93"/>
  <c r="Z21" i="95"/>
  <c r="AA21" i="95" s="1"/>
  <c r="G8" i="93" l="1"/>
  <c r="R28" i="94"/>
  <c r="Q28" i="94"/>
  <c r="K28" i="94"/>
  <c r="L28" i="94" s="1"/>
  <c r="Q27" i="94"/>
  <c r="K27" i="94"/>
  <c r="L27" i="94" s="1"/>
  <c r="Q26" i="94"/>
  <c r="K26" i="94"/>
  <c r="Q25" i="94"/>
  <c r="K25" i="94"/>
  <c r="L25" i="94" s="1"/>
  <c r="Q24" i="94"/>
  <c r="K24" i="94"/>
  <c r="R23" i="94"/>
  <c r="Q23" i="94"/>
  <c r="K23" i="94"/>
  <c r="L23" i="94" s="1"/>
  <c r="Q22" i="94"/>
  <c r="K22" i="94"/>
  <c r="L22" i="94" s="1"/>
  <c r="L26" i="94" l="1"/>
  <c r="T27" i="94"/>
  <c r="U27" i="94" s="1"/>
  <c r="Z27" i="94" s="1"/>
  <c r="L24" i="94"/>
  <c r="T26" i="94"/>
  <c r="U26" i="94" s="1"/>
  <c r="Z26" i="94" s="1"/>
  <c r="V27" i="94"/>
  <c r="V26" i="94"/>
  <c r="V28" i="94"/>
  <c r="T28" i="94"/>
  <c r="U28" i="94" s="1"/>
  <c r="T25" i="94"/>
  <c r="U25" i="94" s="1"/>
  <c r="V25" i="94"/>
  <c r="T24" i="94"/>
  <c r="U24" i="94" s="1"/>
  <c r="V24" i="94"/>
  <c r="T23" i="94"/>
  <c r="U23" i="94" s="1"/>
  <c r="Z23" i="94" s="1"/>
  <c r="V23" i="94"/>
  <c r="T22" i="94"/>
  <c r="U22" i="94" s="1"/>
  <c r="V22" i="94"/>
  <c r="Z24" i="94" l="1"/>
  <c r="W24" i="94"/>
  <c r="X24" i="94" s="1"/>
  <c r="W25" i="94"/>
  <c r="X25" i="94" s="1"/>
  <c r="Z25" i="94"/>
  <c r="W23" i="94"/>
  <c r="X23" i="94" s="1"/>
  <c r="W22" i="94"/>
  <c r="X22" i="94" s="1"/>
  <c r="Z22" i="94"/>
  <c r="Z28" i="94"/>
  <c r="W28" i="94"/>
  <c r="X28" i="94" s="1"/>
  <c r="W26" i="94"/>
  <c r="X26" i="94" s="1"/>
  <c r="W27" i="94"/>
  <c r="X27" i="94" s="1"/>
  <c r="R21" i="94" l="1"/>
  <c r="Q21" i="94"/>
  <c r="K21" i="94"/>
  <c r="Q20" i="94"/>
  <c r="V20" i="94" s="1"/>
  <c r="K20" i="94"/>
  <c r="L20" i="94" s="1"/>
  <c r="Q19" i="94"/>
  <c r="V19" i="94" s="1"/>
  <c r="K19" i="94"/>
  <c r="Q18" i="94"/>
  <c r="K18" i="94"/>
  <c r="Q17" i="94"/>
  <c r="K17" i="94"/>
  <c r="Q16" i="94"/>
  <c r="Q15" i="94"/>
  <c r="M14" i="94"/>
  <c r="M60" i="91" s="1"/>
  <c r="M65" i="91" s="1"/>
  <c r="R30" i="91"/>
  <c r="Q30" i="91"/>
  <c r="K30" i="91"/>
  <c r="R29" i="91"/>
  <c r="Q29" i="91"/>
  <c r="K29" i="91"/>
  <c r="R28" i="91"/>
  <c r="Q28" i="91"/>
  <c r="K28" i="91"/>
  <c r="Q26" i="91"/>
  <c r="V26" i="91" s="1"/>
  <c r="K26" i="91"/>
  <c r="L26" i="91" s="1"/>
  <c r="Q25" i="91"/>
  <c r="K25" i="91"/>
  <c r="Q24" i="91"/>
  <c r="Q23" i="91"/>
  <c r="K29" i="94" l="1"/>
  <c r="K30" i="94"/>
  <c r="N60" i="91"/>
  <c r="N65" i="91" s="1"/>
  <c r="Y60" i="91"/>
  <c r="L18" i="94"/>
  <c r="Z12" i="94"/>
  <c r="M25" i="94"/>
  <c r="M27" i="94"/>
  <c r="M23" i="94"/>
  <c r="M22" i="94"/>
  <c r="M28" i="94"/>
  <c r="M24" i="94"/>
  <c r="M26" i="94"/>
  <c r="T20" i="94"/>
  <c r="L17" i="94"/>
  <c r="L19" i="94"/>
  <c r="T21" i="94"/>
  <c r="V21" i="94"/>
  <c r="T17" i="94"/>
  <c r="T18" i="94"/>
  <c r="M20" i="94"/>
  <c r="N20" i="94" s="1"/>
  <c r="V17" i="94"/>
  <c r="L21" i="94"/>
  <c r="M21" i="94" s="1"/>
  <c r="N21" i="94" s="1"/>
  <c r="V18" i="94"/>
  <c r="T19" i="94"/>
  <c r="U19" i="94" s="1"/>
  <c r="L30" i="91"/>
  <c r="V28" i="91"/>
  <c r="V29" i="91"/>
  <c r="L28" i="91"/>
  <c r="L25" i="91"/>
  <c r="V30" i="91"/>
  <c r="V25" i="91"/>
  <c r="T26" i="91"/>
  <c r="L29" i="91"/>
  <c r="M17" i="94" l="1"/>
  <c r="L30" i="94"/>
  <c r="L29" i="94"/>
  <c r="T30" i="94"/>
  <c r="T29" i="94"/>
  <c r="AA60" i="91" s="1"/>
  <c r="T31" i="91"/>
  <c r="AA27" i="91" s="1"/>
  <c r="U17" i="94"/>
  <c r="M19" i="94"/>
  <c r="U29" i="91"/>
  <c r="W29" i="91" s="1"/>
  <c r="X29" i="91" s="1"/>
  <c r="AM29" i="91" s="1"/>
  <c r="U28" i="91"/>
  <c r="U20" i="94"/>
  <c r="Z20" i="94" s="1"/>
  <c r="M18" i="94"/>
  <c r="Y24" i="94"/>
  <c r="N24" i="94"/>
  <c r="N26" i="94"/>
  <c r="Y26" i="94"/>
  <c r="N28" i="94"/>
  <c r="Y28" i="94"/>
  <c r="N22" i="94"/>
  <c r="Y22" i="94"/>
  <c r="N23" i="94"/>
  <c r="Y23" i="94"/>
  <c r="N27" i="94"/>
  <c r="Y27" i="94"/>
  <c r="N25" i="94"/>
  <c r="Y25" i="94"/>
  <c r="Z19" i="94"/>
  <c r="W19" i="94"/>
  <c r="X19" i="94" s="1"/>
  <c r="U21" i="94"/>
  <c r="Z21" i="94" s="1"/>
  <c r="N17" i="94"/>
  <c r="U18" i="94"/>
  <c r="U26" i="91"/>
  <c r="Z26" i="91" s="1"/>
  <c r="U25" i="91"/>
  <c r="U30" i="91"/>
  <c r="U31" i="91" l="1"/>
  <c r="W17" i="94"/>
  <c r="X17" i="94" s="1"/>
  <c r="Z17" i="94"/>
  <c r="M30" i="94"/>
  <c r="M29" i="94"/>
  <c r="U29" i="94"/>
  <c r="U30" i="94"/>
  <c r="Y17" i="94"/>
  <c r="AA29" i="91"/>
  <c r="Y19" i="94"/>
  <c r="N19" i="94"/>
  <c r="Z30" i="91"/>
  <c r="AA25" i="91"/>
  <c r="AA28" i="91"/>
  <c r="AA30" i="91"/>
  <c r="AA26" i="91"/>
  <c r="W28" i="91"/>
  <c r="X28" i="91" s="1"/>
  <c r="AM28" i="91" s="1"/>
  <c r="Z29" i="91"/>
  <c r="Z28" i="91"/>
  <c r="Z25" i="91"/>
  <c r="W26" i="91"/>
  <c r="X26" i="91" s="1"/>
  <c r="W20" i="94"/>
  <c r="X20" i="94" s="1"/>
  <c r="Y20" i="94" s="1"/>
  <c r="AA24" i="94"/>
  <c r="AA19" i="94"/>
  <c r="AA25" i="94"/>
  <c r="AA22" i="94"/>
  <c r="AA18" i="94"/>
  <c r="AA26" i="94"/>
  <c r="AA23" i="94"/>
  <c r="AA21" i="94"/>
  <c r="AA28" i="94"/>
  <c r="AA17" i="94"/>
  <c r="AA27" i="94"/>
  <c r="AA20" i="94"/>
  <c r="N18" i="94"/>
  <c r="Z18" i="94"/>
  <c r="W18" i="94"/>
  <c r="X18" i="94" s="1"/>
  <c r="W21" i="94"/>
  <c r="X21" i="94" s="1"/>
  <c r="Y21" i="94" s="1"/>
  <c r="W25" i="91"/>
  <c r="X25" i="91" s="1"/>
  <c r="AM25" i="91" s="1"/>
  <c r="W30" i="91"/>
  <c r="X30" i="91" s="1"/>
  <c r="AM30" i="91" s="1"/>
  <c r="X31" i="91" l="1"/>
  <c r="N29" i="94"/>
  <c r="N30" i="94"/>
  <c r="X30" i="94"/>
  <c r="X29" i="94"/>
  <c r="Y29" i="94" s="1"/>
  <c r="D6" i="93"/>
  <c r="Y18" i="94"/>
  <c r="Y30" i="94" s="1"/>
  <c r="K49" i="91"/>
  <c r="Q45" i="91"/>
  <c r="K48" i="91"/>
  <c r="K47" i="91"/>
  <c r="K38" i="91"/>
  <c r="R39" i="91"/>
  <c r="Q39" i="91"/>
  <c r="V39" i="91" s="1"/>
  <c r="K39" i="91"/>
  <c r="R38" i="91"/>
  <c r="Q38" i="91"/>
  <c r="V38" i="91" s="1"/>
  <c r="Q37" i="91"/>
  <c r="Q36" i="91"/>
  <c r="Q46" i="91"/>
  <c r="Q47" i="91"/>
  <c r="Q49" i="91"/>
  <c r="V49" i="91" s="1"/>
  <c r="R56" i="91"/>
  <c r="Q56" i="91"/>
  <c r="K56" i="91"/>
  <c r="K55" i="91"/>
  <c r="R54" i="91"/>
  <c r="Q54" i="91"/>
  <c r="K54" i="91"/>
  <c r="R53" i="91"/>
  <c r="Q53" i="91"/>
  <c r="K53" i="91"/>
  <c r="Q52" i="91"/>
  <c r="Q51" i="91"/>
  <c r="G6" i="93" l="1"/>
  <c r="L38" i="91"/>
  <c r="Z30" i="94"/>
  <c r="AA30" i="94" s="1"/>
  <c r="L48" i="91"/>
  <c r="L49" i="91"/>
  <c r="L47" i="91"/>
  <c r="L55" i="91"/>
  <c r="L39" i="91"/>
  <c r="V47" i="91"/>
  <c r="V48" i="91"/>
  <c r="V56" i="91"/>
  <c r="T56" i="91"/>
  <c r="L56" i="91"/>
  <c r="T57" i="91"/>
  <c r="V53" i="91"/>
  <c r="T54" i="91"/>
  <c r="U54" i="91" s="1"/>
  <c r="Z54" i="91" s="1"/>
  <c r="U55" i="91"/>
  <c r="L53" i="91"/>
  <c r="V55" i="91"/>
  <c r="V54" i="91"/>
  <c r="L54" i="91"/>
  <c r="L40" i="91" l="1"/>
  <c r="U40" i="91"/>
  <c r="Z48" i="91"/>
  <c r="W54" i="91"/>
  <c r="X54" i="91" s="1"/>
  <c r="U56" i="91"/>
  <c r="Z56" i="91" s="1"/>
  <c r="W55" i="91"/>
  <c r="X55" i="91" s="1"/>
  <c r="AM55" i="91" s="1"/>
  <c r="Z55" i="91"/>
  <c r="W47" i="91"/>
  <c r="X47" i="91" s="1"/>
  <c r="Z49" i="91"/>
  <c r="W49" i="91"/>
  <c r="X49" i="91" s="1"/>
  <c r="AM49" i="91" s="1"/>
  <c r="U39" i="91"/>
  <c r="U38" i="91"/>
  <c r="U53" i="91"/>
  <c r="U57" i="91" s="1"/>
  <c r="AM47" i="91" l="1"/>
  <c r="U44" i="91"/>
  <c r="L44" i="91"/>
  <c r="Z40" i="91"/>
  <c r="W40" i="91"/>
  <c r="X40" i="91" s="1"/>
  <c r="AM40" i="91" s="1"/>
  <c r="AA42" i="91"/>
  <c r="AA41" i="91"/>
  <c r="AA39" i="91"/>
  <c r="AA40" i="91"/>
  <c r="W48" i="91"/>
  <c r="X48" i="91" s="1"/>
  <c r="W56" i="91"/>
  <c r="X56" i="91" s="1"/>
  <c r="Z47" i="91"/>
  <c r="Z53" i="91"/>
  <c r="AA38" i="91"/>
  <c r="W38" i="91"/>
  <c r="X38" i="91" s="1"/>
  <c r="AM38" i="91" s="1"/>
  <c r="Z38" i="91"/>
  <c r="Z39" i="91"/>
  <c r="W39" i="91"/>
  <c r="X39" i="91" s="1"/>
  <c r="AM39" i="91" s="1"/>
  <c r="W53" i="91"/>
  <c r="X53" i="91" s="1"/>
  <c r="X57" i="91" l="1"/>
  <c r="AM53" i="91"/>
  <c r="X50" i="91"/>
  <c r="AM48" i="91"/>
  <c r="AM66" i="91" s="1"/>
  <c r="X44" i="91"/>
  <c r="R21" i="91"/>
  <c r="Q21" i="91"/>
  <c r="K21" i="91"/>
  <c r="R20" i="91"/>
  <c r="Q20" i="91"/>
  <c r="V20" i="91" s="1"/>
  <c r="K20" i="91"/>
  <c r="R19" i="91"/>
  <c r="Q19" i="91"/>
  <c r="K19" i="91"/>
  <c r="K22" i="91" l="1"/>
  <c r="K66" i="91"/>
  <c r="T21" i="91"/>
  <c r="V21" i="91"/>
  <c r="T20" i="91"/>
  <c r="V19" i="91"/>
  <c r="T19" i="91"/>
  <c r="L21" i="91"/>
  <c r="L20" i="91"/>
  <c r="L19" i="91"/>
  <c r="L22" i="91" l="1"/>
  <c r="L66" i="91"/>
  <c r="T22" i="91"/>
  <c r="T66" i="91"/>
  <c r="U19" i="91"/>
  <c r="W19" i="91" s="1"/>
  <c r="X19" i="91" s="1"/>
  <c r="U20" i="91"/>
  <c r="U21" i="91"/>
  <c r="U22" i="91" l="1"/>
  <c r="U66" i="91"/>
  <c r="Z21" i="91"/>
  <c r="AA47" i="91"/>
  <c r="AA48" i="91"/>
  <c r="AA49" i="91"/>
  <c r="AA56" i="91"/>
  <c r="AA54" i="91"/>
  <c r="AA55" i="91"/>
  <c r="AA53" i="91"/>
  <c r="Z19" i="91"/>
  <c r="W21" i="91"/>
  <c r="X21" i="91" s="1"/>
  <c r="Z20" i="91"/>
  <c r="W20" i="91"/>
  <c r="X20" i="91" s="1"/>
  <c r="X22" i="91" l="1"/>
  <c r="X66" i="91"/>
  <c r="Q18" i="91"/>
  <c r="K18" i="91"/>
  <c r="L18" i="91" s="1"/>
  <c r="M14" i="91"/>
  <c r="M41" i="91" s="1"/>
  <c r="Q17" i="91"/>
  <c r="K17" i="91"/>
  <c r="Q16" i="91"/>
  <c r="Q15" i="91"/>
  <c r="D22" i="97" l="1"/>
  <c r="AN70" i="91"/>
  <c r="AN71" i="91" s="1"/>
  <c r="AN69" i="91"/>
  <c r="N41" i="91"/>
  <c r="Y41" i="91"/>
  <c r="M40" i="91"/>
  <c r="M42" i="91"/>
  <c r="M64" i="91"/>
  <c r="M27" i="91"/>
  <c r="N64" i="91"/>
  <c r="Y64" i="91"/>
  <c r="M34" i="91"/>
  <c r="M61" i="91"/>
  <c r="M62" i="91"/>
  <c r="M63" i="91"/>
  <c r="M49" i="91"/>
  <c r="M47" i="91"/>
  <c r="M48" i="91"/>
  <c r="M26" i="91"/>
  <c r="M25" i="91"/>
  <c r="M30" i="91"/>
  <c r="M28" i="91"/>
  <c r="M29" i="91"/>
  <c r="M38" i="91"/>
  <c r="M39" i="91"/>
  <c r="M55" i="91"/>
  <c r="M54" i="91"/>
  <c r="M56" i="91"/>
  <c r="M53" i="91"/>
  <c r="Z12" i="91"/>
  <c r="M19" i="91"/>
  <c r="M20" i="91"/>
  <c r="M21" i="91"/>
  <c r="M22" i="91" s="1"/>
  <c r="T18" i="91"/>
  <c r="V18" i="91"/>
  <c r="M18" i="91"/>
  <c r="N18" i="91" s="1"/>
  <c r="V17" i="91"/>
  <c r="T17" i="91"/>
  <c r="L17" i="91"/>
  <c r="E22" i="97" l="1"/>
  <c r="N40" i="91"/>
  <c r="M44" i="91"/>
  <c r="Y44" i="91" s="1"/>
  <c r="M66" i="91"/>
  <c r="Y40" i="91"/>
  <c r="Y42" i="91"/>
  <c r="N42" i="91"/>
  <c r="N27" i="91"/>
  <c r="Y27" i="91"/>
  <c r="Y50" i="91"/>
  <c r="Y65" i="91"/>
  <c r="Y31" i="91"/>
  <c r="Y35" i="91"/>
  <c r="N54" i="91"/>
  <c r="Y54" i="91"/>
  <c r="Y57" i="91"/>
  <c r="N34" i="91"/>
  <c r="Y34" i="91"/>
  <c r="N63" i="91"/>
  <c r="Y63" i="91"/>
  <c r="N62" i="91"/>
  <c r="Y62" i="91"/>
  <c r="N61" i="91"/>
  <c r="Y61" i="91"/>
  <c r="N56" i="91"/>
  <c r="Y56" i="91"/>
  <c r="N48" i="91"/>
  <c r="N47" i="91"/>
  <c r="N49" i="91"/>
  <c r="N55" i="91"/>
  <c r="Y55" i="91"/>
  <c r="N30" i="91"/>
  <c r="Y30" i="91"/>
  <c r="N29" i="91"/>
  <c r="Y29" i="91"/>
  <c r="N28" i="91"/>
  <c r="Y28" i="91"/>
  <c r="N25" i="91"/>
  <c r="Y25" i="91"/>
  <c r="N26" i="91"/>
  <c r="Y26" i="91"/>
  <c r="N39" i="91"/>
  <c r="Y39" i="91"/>
  <c r="N38" i="91"/>
  <c r="Y38" i="91"/>
  <c r="N53" i="91"/>
  <c r="Y53" i="91"/>
  <c r="U18" i="91"/>
  <c r="Z18" i="91" s="1"/>
  <c r="N21" i="91"/>
  <c r="N22" i="91" s="1"/>
  <c r="Y21" i="91"/>
  <c r="N20" i="91"/>
  <c r="Y20" i="91"/>
  <c r="N19" i="91"/>
  <c r="Y19" i="91"/>
  <c r="U17" i="91"/>
  <c r="M17" i="91"/>
  <c r="F24" i="97" l="1"/>
  <c r="F34" i="97"/>
  <c r="Y66" i="91"/>
  <c r="N66" i="91"/>
  <c r="N44" i="91"/>
  <c r="W18" i="91"/>
  <c r="X18" i="91" s="1"/>
  <c r="Y18" i="91" s="1"/>
  <c r="AA19" i="91"/>
  <c r="AA21" i="91"/>
  <c r="AA20" i="91"/>
  <c r="AA17" i="91"/>
  <c r="AA18" i="91"/>
  <c r="W17" i="91"/>
  <c r="X17" i="91" s="1"/>
  <c r="Z17" i="91"/>
  <c r="N17" i="91"/>
  <c r="Y22" i="91" l="1"/>
  <c r="Y17" i="91"/>
  <c r="E7" i="93" l="1"/>
  <c r="E11" i="93" s="1"/>
  <c r="D7" i="93"/>
  <c r="D9" i="93" s="1"/>
  <c r="D11" i="93" s="1"/>
  <c r="F7" i="93" l="1"/>
  <c r="F11" i="93" s="1"/>
  <c r="G11" i="93" s="1"/>
  <c r="Z66" i="91"/>
  <c r="AA66" i="91" s="1"/>
  <c r="G7" i="9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tc={B2BE168B-1537-41BE-9667-7CF66421D7F0}</author>
    <author>tc={B6BFA2DB-9E0C-4E2D-9905-9532371960A6}</author>
    <author>tc={CF20C319-0B98-4935-B59B-358361826F69}</author>
    <author>Carol Iglezias</author>
  </authors>
  <commentList>
    <comment ref="S21" authorId="0" shapeId="0" xr:uid="{B2BE168B-1537-41BE-9667-7CF66421D7F0}">
      <text>
        <t>[Comentário encadeado]
Sua versão do Excel permite que você leia este comentário encadeado, no entanto, as edições serão removidas se o arquivo for aberto em uma versão mais recente do Excel. Saiba mais: https://go.microsoft.com/fwlink/?linkid=870924
Comentário:
    Luiza</t>
      </text>
    </comment>
    <comment ref="S30" authorId="1" shapeId="0" xr:uid="{B6BFA2DB-9E0C-4E2D-9905-9532371960A6}">
      <text>
        <t>[Comentário encadeado]
Sua versão do Excel permite que você leia este comentário encadeado, no entanto, as edições serão removidas se o arquivo for aberto em uma versão mais recente do Excel. Saiba mais: https://go.microsoft.com/fwlink/?linkid=870924
Comentário:
    500,00 Léo Cravo</t>
      </text>
    </comment>
    <comment ref="S60" authorId="2" shapeId="0" xr:uid="{CF20C319-0B98-4935-B59B-358361826F69}">
      <text>
        <t>[Comentário encadeado]
Sua versão do Excel permite que você leia este comentário encadeado, no entanto, as edições serão removidas se o arquivo for aberto em uma versão mais recente do Excel. Saiba mais: https://go.microsoft.com/fwlink/?linkid=870924
Comentário:
    Reembolso do Nilson</t>
      </text>
    </comment>
    <comment ref="S63" authorId="3" shapeId="0" xr:uid="{D338FD70-5587-463E-80B9-4B8F8ED30BAE}">
      <text>
        <r>
          <rPr>
            <b/>
            <sz val="18"/>
            <color indexed="81"/>
            <rFont val="Segoe UI"/>
            <family val="2"/>
          </rPr>
          <t>Carol Iglezias:</t>
        </r>
        <r>
          <rPr>
            <sz val="18"/>
            <color indexed="81"/>
            <rFont val="Segoe UI"/>
            <family val="2"/>
          </rPr>
          <t xml:space="preserve">
2428,90 aéreo
FALTA PAGAMENTO HOTE</t>
        </r>
        <r>
          <rPr>
            <sz val="12"/>
            <color indexed="81"/>
            <rFont val="Segoe UI"/>
            <family val="2"/>
          </rPr>
          <t>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tc={94DF74D3-4078-44CC-B764-38396187E1E2}</author>
  </authors>
  <commentList>
    <comment ref="T18" authorId="0" shapeId="0" xr:uid="{94DF74D3-4078-44CC-B764-38396187E1E2}">
      <text>
        <t>[Comentário encadeado]
Sua versão do Excel permite que você leia este comentário encadeado, no entanto, as edições serão removidas se o arquivo for aberto em uma versão mais recente do Excel. Saiba mais: https://go.microsoft.com/fwlink/?linkid=870924
Comentário:
    Diferença da nota fiscal de venda</t>
      </text>
    </comment>
  </commentList>
</comments>
</file>

<file path=xl/sharedStrings.xml><?xml version="1.0" encoding="utf-8"?>
<sst xmlns="http://schemas.openxmlformats.org/spreadsheetml/2006/main" count="811" uniqueCount="348">
  <si>
    <t>Oggi Comunicação e Eventos</t>
  </si>
  <si>
    <t>CUSTOS (valor de custo c/ NF ou recibo)</t>
  </si>
  <si>
    <t>DIFERENÇA NF (Lucro)</t>
  </si>
  <si>
    <t>SOLICITAÇÃO DE PAGAMENTO</t>
  </si>
  <si>
    <t>ÍNDICE</t>
  </si>
  <si>
    <t>ÍNDICE PUBLI</t>
  </si>
  <si>
    <t>CATEGORIA</t>
  </si>
  <si>
    <t>TIPO DE CUSTOS</t>
  </si>
  <si>
    <t>TIPO DE FATURAMENTO</t>
  </si>
  <si>
    <t>VALOR</t>
  </si>
  <si>
    <t/>
  </si>
  <si>
    <t>PREENCHER OS CAMPOS CORRETAMENTE</t>
  </si>
  <si>
    <t>DADOS DO JOB</t>
  </si>
  <si>
    <t>Data:</t>
  </si>
  <si>
    <t>Contratante:</t>
  </si>
  <si>
    <t>Oggi Eventos</t>
  </si>
  <si>
    <t>Cliente:</t>
  </si>
  <si>
    <t>Job:</t>
  </si>
  <si>
    <t>Planilha:</t>
  </si>
  <si>
    <t>Item:</t>
  </si>
  <si>
    <t>DADOS PARA PAGAMENTO</t>
  </si>
  <si>
    <t>() Pessoa Jurídica</t>
  </si>
  <si>
    <t>Razão Social</t>
  </si>
  <si>
    <t>Fantasia:</t>
  </si>
  <si>
    <t>Banco:</t>
  </si>
  <si>
    <t>Conta:</t>
  </si>
  <si>
    <t>Pix:</t>
  </si>
  <si>
    <t>CNPJ:</t>
  </si>
  <si>
    <t>CPF:</t>
  </si>
  <si>
    <t>Contato:</t>
  </si>
  <si>
    <t>Celular:</t>
  </si>
  <si>
    <t>Parcela</t>
  </si>
  <si>
    <t>Data</t>
  </si>
  <si>
    <t>Valor</t>
  </si>
  <si>
    <t>Forma de Pagamento</t>
  </si>
  <si>
    <t>1ª</t>
  </si>
  <si>
    <t>(   ) Boleto</t>
  </si>
  <si>
    <t>(   ) Pix</t>
  </si>
  <si>
    <t>2ª</t>
  </si>
  <si>
    <t>(   ) Depósito</t>
  </si>
  <si>
    <t>3ª</t>
  </si>
  <si>
    <t>4ª</t>
  </si>
  <si>
    <t>TOTAL</t>
  </si>
  <si>
    <t>OBSERVAÇÕES</t>
  </si>
  <si>
    <t>APROVAÇÕES</t>
  </si>
  <si>
    <t>Solicitante</t>
  </si>
  <si>
    <t>Aprovação</t>
  </si>
  <si>
    <t>Descrição</t>
  </si>
  <si>
    <t>ENCARGOS PUBLI</t>
  </si>
  <si>
    <t>Agência</t>
  </si>
  <si>
    <t>FORNECEDOR</t>
  </si>
  <si>
    <t>PAGAMENTOS</t>
  </si>
  <si>
    <t>Solicitado</t>
  </si>
  <si>
    <t>RAZÃO SOCIAL:OGGI COMUN. E EV. PROMO. UNIPESSOAL LTDA</t>
  </si>
  <si>
    <t xml:space="preserve">ENDEREÇO:R. ALMIRANTE PEREIRA GUIMARÃES, 327 - </t>
  </si>
  <si>
    <t>OC
38</t>
  </si>
  <si>
    <t>FONE: (11) 3871-5555  SÃO PAULO SP</t>
  </si>
  <si>
    <t>CNPJ: 07.559.587/0001-12</t>
  </si>
  <si>
    <t>INSCRIÇÃO MUNICIPAL: 3.441.108.9</t>
  </si>
  <si>
    <t>E-MAIL:</t>
  </si>
  <si>
    <t>Identificador=38-38-61b77ade14fb9af7e586617fa2e6823e374b1745</t>
  </si>
  <si>
    <t>Tipo Receita</t>
  </si>
  <si>
    <t>Lançamento</t>
  </si>
  <si>
    <t>Item do Orçamento</t>
  </si>
  <si>
    <t>Quantidade</t>
  </si>
  <si>
    <t>Valor Unitário</t>
  </si>
  <si>
    <t>Situação</t>
  </si>
  <si>
    <t>Valor Fornecedor</t>
  </si>
  <si>
    <t>Subtipo</t>
  </si>
  <si>
    <t>Honorários</t>
  </si>
  <si>
    <t>Desconto</t>
  </si>
  <si>
    <t>Encargos</t>
  </si>
  <si>
    <t>Especificação</t>
  </si>
  <si>
    <t>( X ) Pessoa Jurídica</t>
  </si>
  <si>
    <t>SUBTOTAL</t>
  </si>
  <si>
    <t>Peso</t>
  </si>
  <si>
    <t>RESUMO</t>
  </si>
  <si>
    <t>DESCRITIVO</t>
  </si>
  <si>
    <t>Qtd</t>
  </si>
  <si>
    <t>Diária</t>
  </si>
  <si>
    <t>R$ unit</t>
  </si>
  <si>
    <t>QTDE</t>
  </si>
  <si>
    <t>DIÁRIA</t>
  </si>
  <si>
    <t>VL. UNIT.</t>
  </si>
  <si>
    <t>SUB TOTAL</t>
  </si>
  <si>
    <t>DIFERENÇA</t>
  </si>
  <si>
    <t>% NOTA</t>
  </si>
  <si>
    <t>CUSTO NOTA</t>
  </si>
  <si>
    <t>CUSTO TOTAL (custo + dif. NF)</t>
  </si>
  <si>
    <t>CUSTO TOTAL + IMPOSTOS</t>
  </si>
  <si>
    <t>Margem</t>
  </si>
  <si>
    <t>Valor Total</t>
  </si>
  <si>
    <t>Saldo</t>
  </si>
  <si>
    <t>Fornecedor</t>
  </si>
  <si>
    <t>CPF/CNPJ</t>
  </si>
  <si>
    <t>PENDENTE</t>
  </si>
  <si>
    <t>EFETUADO</t>
  </si>
  <si>
    <t>1.1.2</t>
  </si>
  <si>
    <t>24/06/2025</t>
  </si>
  <si>
    <t xml:space="preserve"> </t>
  </si>
  <si>
    <t>Orçamento Produção Oggi 5.1.xlsm</t>
  </si>
  <si>
    <t>24.636.168/0001-56</t>
  </si>
  <si>
    <t>CLINICA DEBORA PADUA LTDA</t>
  </si>
  <si>
    <t>(11) 8209-4333</t>
  </si>
  <si>
    <t>24/06/25</t>
  </si>
  <si>
    <t>( X ) Boleto</t>
  </si>
  <si>
    <t>Santader</t>
  </si>
  <si>
    <t>123123</t>
  </si>
  <si>
    <t>12312</t>
  </si>
  <si>
    <t>R$ 100,00</t>
  </si>
  <si>
    <t>Teste</t>
  </si>
  <si>
    <t xml:space="preserve">   </t>
  </si>
  <si>
    <t>ORÇAMENTO 5.2</t>
  </si>
  <si>
    <t>GRUPO</t>
  </si>
  <si>
    <t>SUBGRUPO</t>
  </si>
  <si>
    <t>1.1</t>
  </si>
  <si>
    <t>AGENCIAMENTO</t>
  </si>
  <si>
    <t>IMPOSTOS</t>
  </si>
  <si>
    <t>Marg.</t>
  </si>
  <si>
    <t>ITEM</t>
  </si>
  <si>
    <t>1.1.1</t>
  </si>
  <si>
    <t>OPERACIONAL</t>
  </si>
  <si>
    <t>SUBTOTAL SUBGRUPO</t>
  </si>
  <si>
    <t>1.2</t>
  </si>
  <si>
    <t>1.2.1</t>
  </si>
  <si>
    <t>1.2.2</t>
  </si>
  <si>
    <t>1.2.3</t>
  </si>
  <si>
    <t>SUBTOTAL PLANILHA</t>
  </si>
  <si>
    <t xml:space="preserve">TOTAL </t>
  </si>
  <si>
    <t>Nilson Miguel</t>
  </si>
  <si>
    <t>FAT.OGGI</t>
  </si>
  <si>
    <t>1.1.3</t>
  </si>
  <si>
    <t>1.2.4</t>
  </si>
  <si>
    <t xml:space="preserve">LUCAS </t>
  </si>
  <si>
    <t>DATA:</t>
  </si>
  <si>
    <t>ATENDIMENTO:</t>
  </si>
  <si>
    <t>PRODUTOR:</t>
  </si>
  <si>
    <t>NOME PLANILHA:</t>
  </si>
  <si>
    <t>LOCAL:</t>
  </si>
  <si>
    <t>EVENTO:</t>
  </si>
  <si>
    <t>CLIENTE:</t>
  </si>
  <si>
    <t xml:space="preserve">CÓDIGO DO JOB: </t>
  </si>
  <si>
    <t>INTERNO</t>
  </si>
  <si>
    <t>Criação</t>
  </si>
  <si>
    <t>2.1</t>
  </si>
  <si>
    <t>SERVIÇOS</t>
  </si>
  <si>
    <t>Subtotal EQUIPE</t>
  </si>
  <si>
    <t>Segurança</t>
  </si>
  <si>
    <t>Carregadores</t>
  </si>
  <si>
    <t>Planejamento</t>
  </si>
  <si>
    <t>Atendimento</t>
  </si>
  <si>
    <t>1.1.4</t>
  </si>
  <si>
    <t>1.1.5</t>
  </si>
  <si>
    <t>Subtotal OPERACIONAL</t>
  </si>
  <si>
    <t>Subtotal INTERNO</t>
  </si>
  <si>
    <t>Subtotal MATERIAL GRÁFICO</t>
  </si>
  <si>
    <t>Carregadores para montagem e desmontagem do evento</t>
  </si>
  <si>
    <t>5.1</t>
  </si>
  <si>
    <t>5.1.1</t>
  </si>
  <si>
    <t>5.1.2</t>
  </si>
  <si>
    <t>Atendimento ao cliente, reuniões, alinhamento e fluxo interno
Ajustado de 2 meses para 1 mês e meio</t>
  </si>
  <si>
    <t>Produtor executivo dedicado, responsável pela pré-produção, implementação do projeto e pós produção
Ajustado de 2 meses para 1 mês e meio</t>
  </si>
  <si>
    <t>Suporte e acompanhamento junto ao produtor executivo;</t>
  </si>
  <si>
    <t>Fotográfo para captação do estande + fotos tratadas</t>
  </si>
  <si>
    <t xml:space="preserve">Custo para criação e desdobramento de peças </t>
  </si>
  <si>
    <t>Produtor Executivo</t>
  </si>
  <si>
    <t>Produtor Assistente</t>
  </si>
  <si>
    <t xml:space="preserve">Promotor (a) </t>
  </si>
  <si>
    <t>Promotora de eventos responsável pelo atendimento ao público, apresentação do estande e suporte às ações promocionais.</t>
  </si>
  <si>
    <t>Equipe de Serviços</t>
  </si>
  <si>
    <t xml:space="preserve">Subtotal </t>
  </si>
  <si>
    <t>Garçom</t>
  </si>
  <si>
    <t>Copeira</t>
  </si>
  <si>
    <t>Auxiliar de limpeza</t>
  </si>
  <si>
    <t>Copeira para manuseio e preparação dos alimentos na cozinha</t>
  </si>
  <si>
    <t>5.1.3</t>
  </si>
  <si>
    <t>5.1.4</t>
  </si>
  <si>
    <t>EQUIPE</t>
  </si>
  <si>
    <t>Produtor A&amp;B</t>
  </si>
  <si>
    <t>Produtor operacional</t>
  </si>
  <si>
    <t>1.2.5</t>
  </si>
  <si>
    <t xml:space="preserve">Produtor de Montagem| Desmontagem </t>
  </si>
  <si>
    <t xml:space="preserve">Produtor Operacional, responsável pelas demandas operacionais e ativações do estande, bem como pela coordenação da equipe de promoção. </t>
  </si>
  <si>
    <t>Reserva de verba operacional</t>
  </si>
  <si>
    <t>Reserva de verba operacional: valor destinado a cobrir custos imprevistos, incluindo aquisição de materiais e outras necessidades durante a montagem, o evento e a desmontagem</t>
  </si>
  <si>
    <t>Marg. Lucro</t>
  </si>
  <si>
    <t>Lucro</t>
  </si>
  <si>
    <t>1.1.6</t>
  </si>
  <si>
    <t>1.1.7</t>
  </si>
  <si>
    <t>1.1.8</t>
  </si>
  <si>
    <t>1.1.9</t>
  </si>
  <si>
    <t>1.1.10</t>
  </si>
  <si>
    <t>1.1.11</t>
  </si>
  <si>
    <t>1.1.12</t>
  </si>
  <si>
    <t>FAT.CLIENTE</t>
  </si>
  <si>
    <t xml:space="preserve">Taxas obrigatórias </t>
  </si>
  <si>
    <t>OBRIGATÓRIO</t>
  </si>
  <si>
    <r>
      <t xml:space="preserve">Form. 03 - Solicitação de Crachás de Montagem - </t>
    </r>
    <r>
      <rPr>
        <sz val="12"/>
        <color rgb="FFFF0000"/>
        <rFont val="Calibri"/>
        <family val="2"/>
        <scheme val="minor"/>
      </rPr>
      <t>VALOR UNITÁRIO</t>
    </r>
  </si>
  <si>
    <r>
      <t xml:space="preserve">Form. 04 - Taxa de Limpeza de Montagem - </t>
    </r>
    <r>
      <rPr>
        <sz val="12"/>
        <color rgb="FFFF0000"/>
        <rFont val="Calibri"/>
        <family val="2"/>
        <scheme val="minor"/>
      </rPr>
      <t>VALOR POR M² DA ÁREA DO EVENTO</t>
    </r>
  </si>
  <si>
    <r>
      <t xml:space="preserve">Form. 05 - Solicitação de Energia Elétrica - </t>
    </r>
    <r>
      <rPr>
        <sz val="12"/>
        <color rgb="FFFF0000"/>
        <rFont val="Calibri"/>
        <family val="2"/>
        <scheme val="minor"/>
      </rPr>
      <t>VALOR POR UNIDADE DO KVA</t>
    </r>
  </si>
  <si>
    <r>
      <t xml:space="preserve">Form. 06 - Solicitação de Hidráulica | Água e Deságue - </t>
    </r>
    <r>
      <rPr>
        <sz val="12"/>
        <color rgb="FFFF0000"/>
        <rFont val="Calibri"/>
        <family val="2"/>
        <scheme val="minor"/>
      </rPr>
      <t>VALOR UNITÁRIO</t>
    </r>
  </si>
  <si>
    <r>
      <t xml:space="preserve">Form. 06 - Solicitação de  Deságue - </t>
    </r>
    <r>
      <rPr>
        <sz val="12"/>
        <color rgb="FFFF0000"/>
        <rFont val="Calibri"/>
        <family val="2"/>
        <scheme val="minor"/>
      </rPr>
      <t>VALOR UNITÁRIO</t>
    </r>
  </si>
  <si>
    <t xml:space="preserve">OPCIONAL </t>
  </si>
  <si>
    <r>
      <t xml:space="preserve">Form. 07 - Solicitação de Ar Comprimido - </t>
    </r>
    <r>
      <rPr>
        <sz val="12"/>
        <color rgb="FFFF0000"/>
        <rFont val="Calibri"/>
        <family val="2"/>
        <scheme val="minor"/>
      </rPr>
      <t>VALOR UNITÁRIO</t>
    </r>
  </si>
  <si>
    <r>
      <t xml:space="preserve">Form. 08 - Solicitação de Crachás Extras de Expositor - </t>
    </r>
    <r>
      <rPr>
        <sz val="12"/>
        <color rgb="FFFF0000"/>
        <rFont val="Calibri"/>
        <family val="2"/>
        <scheme val="minor"/>
      </rPr>
      <t>VALOR UNITÁRIO</t>
    </r>
    <r>
      <rPr>
        <sz val="12"/>
        <color theme="1"/>
        <rFont val="Calibri"/>
        <family val="2"/>
        <scheme val="minor"/>
      </rPr>
      <t xml:space="preserve"> (Valor Unitário | Cota Gratuita de 1 crachá a cada 2m² da área) </t>
    </r>
  </si>
  <si>
    <r>
      <t xml:space="preserve">Form. 09 - Solicitação de Segurança Oficial - </t>
    </r>
    <r>
      <rPr>
        <sz val="12"/>
        <color rgb="FFFF0000"/>
        <rFont val="Calibri"/>
        <family val="2"/>
        <scheme val="minor"/>
      </rPr>
      <t xml:space="preserve">Valor Diária | 12 horas </t>
    </r>
  </si>
  <si>
    <r>
      <t xml:space="preserve">Form. 10 - Solicitação de Crachá Segurança Não Oficial - </t>
    </r>
    <r>
      <rPr>
        <sz val="12"/>
        <color rgb="FFFF0000"/>
        <rFont val="Calibri"/>
        <family val="2"/>
        <scheme val="minor"/>
      </rPr>
      <t>VALOR UNITÁRIO</t>
    </r>
  </si>
  <si>
    <r>
      <t>Form. 11 - Solicitação de Limpeza Oficial -</t>
    </r>
    <r>
      <rPr>
        <sz val="12"/>
        <color rgb="FFFF0000"/>
        <rFont val="Calibri"/>
        <family val="2"/>
        <scheme val="minor"/>
      </rPr>
      <t xml:space="preserve"> VALOR POR M² DA ÁREA DO EVENTO</t>
    </r>
  </si>
  <si>
    <t xml:space="preserve">Form. 12 - Solicitação de Extintor de Incêndio </t>
  </si>
  <si>
    <r>
      <t>Solicitação de Coletor de Dados - Entrega dos dados em 1 dia após o evento -</t>
    </r>
    <r>
      <rPr>
        <sz val="12"/>
        <color rgb="FFFF0000"/>
        <rFont val="Calibri"/>
        <family val="2"/>
        <scheme val="minor"/>
      </rPr>
      <t xml:space="preserve"> VALOR UNITÁRIO</t>
    </r>
  </si>
  <si>
    <t xml:space="preserve">Subtotal Taxas obrigatórias </t>
  </si>
  <si>
    <t>Seguro</t>
  </si>
  <si>
    <t>Reserva de verba hospedagem e traslado produtor SP&gt;RJ&gt;SP</t>
  </si>
  <si>
    <t>Estande</t>
  </si>
  <si>
    <t xml:space="preserve">Estande 100m² </t>
  </si>
  <si>
    <r>
      <t xml:space="preserve">Mobiliário - </t>
    </r>
    <r>
      <rPr>
        <sz val="12"/>
        <color rgb="FFFF0000"/>
        <rFont val="Trebuchet MS"/>
        <family val="2"/>
      </rPr>
      <t>locação inclusa na proposta do estande</t>
    </r>
  </si>
  <si>
    <t xml:space="preserve">Subtotal Estande 100m² </t>
  </si>
  <si>
    <t>Itens</t>
  </si>
  <si>
    <t>Custo</t>
  </si>
  <si>
    <t>Valor total do investimento</t>
  </si>
  <si>
    <t>Operação &gt; LDB &gt; Oggi Live</t>
  </si>
  <si>
    <r>
      <t xml:space="preserve">Form. 08.1 - Solicitação de Crachás Extra de Apoio - </t>
    </r>
    <r>
      <rPr>
        <sz val="12"/>
        <color rgb="FFFF0000"/>
        <rFont val="Calibri"/>
        <family val="2"/>
        <scheme val="minor"/>
      </rPr>
      <t xml:space="preserve">VALOR UNITÁRIO </t>
    </r>
    <r>
      <rPr>
        <sz val="12"/>
        <color theme="1"/>
        <rFont val="Calibri"/>
        <family val="2"/>
        <scheme val="minor"/>
      </rPr>
      <t>(Prestador de Serviços do Expositor)| Cota 1 a cada 2m</t>
    </r>
  </si>
  <si>
    <t>Estande &gt; LDB &gt; Montadora</t>
  </si>
  <si>
    <t>3.1</t>
  </si>
  <si>
    <t>3.1.1</t>
  </si>
  <si>
    <t>3.1.2</t>
  </si>
  <si>
    <t>4.0.1</t>
  </si>
  <si>
    <t>4.0.2</t>
  </si>
  <si>
    <t>6.1</t>
  </si>
  <si>
    <t>6.1.3</t>
  </si>
  <si>
    <t>6.1.4</t>
  </si>
  <si>
    <t>Operação| Estande</t>
  </si>
  <si>
    <t>Itens Diversos</t>
  </si>
  <si>
    <t>Fotográfo - opcional</t>
  </si>
  <si>
    <t>Locação de rádios comunicadores HT - 15 rádios pelo período Cliente: Deovania, Kamila, Hamilton e Betão (4 unidades)| Produção: 11 unidades incluindo equipamento reserva</t>
  </si>
  <si>
    <t>Reserva de verba para alimentação da equipe</t>
  </si>
  <si>
    <t>Produtor Executivo, responsável pela operação, contratação e pelo atendimento ao cliente. Oggi</t>
  </si>
  <si>
    <t>L_072</t>
  </si>
  <si>
    <t>Lactalis do Brasil</t>
  </si>
  <si>
    <t>Super Rio Expo Food - SRE.</t>
  </si>
  <si>
    <t>Rio Centro - Rio de Janeiro</t>
  </si>
  <si>
    <t>17, 18 e 19 de março</t>
  </si>
  <si>
    <t>L_072_Trade_Show_2026</t>
  </si>
  <si>
    <t>Equipe de Buffet</t>
  </si>
  <si>
    <t>BUFFET: alimentos &amp; bebidas</t>
  </si>
  <si>
    <t>Equipe de Produção</t>
  </si>
  <si>
    <t>Equipe responsável pela limpeza geral do estande</t>
  </si>
  <si>
    <t>ORÇAMENTO 340 K</t>
  </si>
  <si>
    <t xml:space="preserve">Taxas  &gt; LDB &gt; Organização - Pgto direto </t>
  </si>
  <si>
    <t>6.1.1</t>
  </si>
  <si>
    <t>6.1.2</t>
  </si>
  <si>
    <t xml:space="preserve">Acidentes Pessoais e Responsabilidade Cívil </t>
  </si>
  <si>
    <t>Responsável com foco nas operações do estande</t>
  </si>
  <si>
    <t>MAFRA E COUTO</t>
  </si>
  <si>
    <t>MAFRA E COUTOC</t>
  </si>
  <si>
    <t>1-	Produtor de Montagem| 7 diárias
1-	Produtor de A&amp;B| 4 Diarias
1-	Produtor operacional| 4 diárias
1-	Atendimento| 5 diárias
2-	Carregadores| 4 diárias
2-	Promotoras | 3 Diárias cada</t>
  </si>
  <si>
    <r>
      <t>Comunicação visual -</t>
    </r>
    <r>
      <rPr>
        <sz val="12"/>
        <color rgb="FFFF0000"/>
        <rFont val="Trebuchet MS"/>
        <family val="2"/>
      </rPr>
      <t xml:space="preserve">  custo incluso na proposta do estande</t>
    </r>
  </si>
  <si>
    <t>02 Mesas retangulares de vidro
12 Cadeiras giratórias pretas
01 Geladeira
02 Banquetas cromadas
08 Mesas redondas de vidro
32 Cadeiras cromadas assento branco
02 Armários melanina
02 tvs de led de 55”
01 tv de led de 75”</t>
  </si>
  <si>
    <t>Carol Iglezias</t>
  </si>
  <si>
    <t>Custo para o planejamento do projeto  -</t>
  </si>
  <si>
    <t xml:space="preserve">Locação de máquina de café </t>
  </si>
  <si>
    <t>Estande - ND</t>
  </si>
  <si>
    <t>RESUMO GERAL: Opção 1</t>
  </si>
  <si>
    <t xml:space="preserve">Balcão refrigerado </t>
  </si>
  <si>
    <t>Balcão aço inox refrigerado aprox. 2,00m - 220V + frete</t>
  </si>
  <si>
    <t>2.1.1</t>
  </si>
  <si>
    <t>3.1.3</t>
  </si>
  <si>
    <t>Desconto concedido</t>
  </si>
  <si>
    <t>Buffet</t>
  </si>
  <si>
    <t>Empresa</t>
  </si>
  <si>
    <t>Nome</t>
  </si>
  <si>
    <t>CPF</t>
  </si>
  <si>
    <t>Cargo</t>
  </si>
  <si>
    <t>E-mail</t>
  </si>
  <si>
    <t>Celular</t>
  </si>
  <si>
    <t>Data de nascimento</t>
  </si>
  <si>
    <t>Limpeza Geral</t>
  </si>
  <si>
    <t>Segurança Oficial</t>
  </si>
  <si>
    <t>Taxas</t>
  </si>
  <si>
    <t>Limpeza Montagem</t>
  </si>
  <si>
    <t>Elétrica</t>
  </si>
  <si>
    <t>Hidráulica</t>
  </si>
  <si>
    <t>Credencial</t>
  </si>
  <si>
    <t>Oggi</t>
  </si>
  <si>
    <t>Produtor de montagem</t>
  </si>
  <si>
    <t>Produtor de A&amp;B</t>
  </si>
  <si>
    <t>Produtor Operacional</t>
  </si>
  <si>
    <t>Promotora DPA</t>
  </si>
  <si>
    <t>Promotora LDB</t>
  </si>
  <si>
    <t>Promotora Itambé</t>
  </si>
  <si>
    <t>13, 14, 15, 16 e 20/03</t>
  </si>
  <si>
    <t>16, 17, 18 e 19/03</t>
  </si>
  <si>
    <t>13, 14, 15, 16, 17, 18, 19 e 20/03</t>
  </si>
  <si>
    <t>17, 18 e 19/03</t>
  </si>
  <si>
    <t xml:space="preserve">Periodo </t>
  </si>
  <si>
    <t>Produtor de credenciamento</t>
  </si>
  <si>
    <t>Produtor responsável pelo credenciamento antes da feira</t>
  </si>
  <si>
    <t>ok</t>
  </si>
  <si>
    <t>Área: 100m² - C29</t>
  </si>
  <si>
    <t>Joana</t>
  </si>
  <si>
    <t>Lais</t>
  </si>
  <si>
    <t>Jessi</t>
  </si>
  <si>
    <t xml:space="preserve">Máquina de café Nespresso + insumos:  130 unid / dia </t>
  </si>
  <si>
    <t xml:space="preserve">Uniforme </t>
  </si>
  <si>
    <t>Macacão modelo de Apas</t>
  </si>
  <si>
    <t xml:space="preserve">Adicional de Locação de máquina de café </t>
  </si>
  <si>
    <t>Descartáveis</t>
  </si>
  <si>
    <t>Solicitação Kamila</t>
  </si>
  <si>
    <t>Água</t>
  </si>
  <si>
    <t>Água em copo para as salas (cortesia)</t>
  </si>
  <si>
    <t>03 Máquina de café Nespresso + insumos adicionais (cortesia) - cobrada apenas diferença do desconto</t>
  </si>
  <si>
    <t>1.2.6</t>
  </si>
  <si>
    <t>3.1.4</t>
  </si>
  <si>
    <t>3.1.5</t>
  </si>
  <si>
    <t>3.1.6</t>
  </si>
  <si>
    <t>4.0.3</t>
  </si>
  <si>
    <t>6.1.5</t>
  </si>
  <si>
    <t>VÍDEO</t>
  </si>
  <si>
    <t>STUDIO ROCA</t>
  </si>
  <si>
    <t>VENDA</t>
  </si>
  <si>
    <t xml:space="preserve">CUSTO </t>
  </si>
  <si>
    <t>LUCRO</t>
  </si>
  <si>
    <t>NOTAS EMITIDAS</t>
  </si>
  <si>
    <t>IMPOSTO</t>
  </si>
  <si>
    <t>CUSTO TOTAL</t>
  </si>
  <si>
    <t>OPERAÇÃO</t>
  </si>
  <si>
    <t>ESTAND OP1</t>
  </si>
  <si>
    <t>NOTA DE DÉBITO - 32</t>
  </si>
  <si>
    <t>NOTA FISCAL - 2824</t>
  </si>
  <si>
    <t>NOTA FISCAL - 2841</t>
  </si>
  <si>
    <r>
      <t xml:space="preserve">Produtor de Alimentos e Bebidas, responsável pela recepção e conferência dos produtos, bem como pelo gerenciamento das atividades do buffet, com foco na alimentação dentro do estande - </t>
    </r>
    <r>
      <rPr>
        <sz val="14"/>
        <color rgb="FFFF0000"/>
        <rFont val="Trebuchet MS"/>
        <family val="2"/>
      </rPr>
      <t>Contratação local.</t>
    </r>
  </si>
  <si>
    <r>
      <t xml:space="preserve">Produtor de Montagem e Desmontagem, responsável pela montagem e desmontagem do estande, considerando os dias de montagem em 13, 14, 15 e 16/03 e desmontagem. Incluso VT no galpão da montadora para alinhamento da pré-montagem. </t>
    </r>
    <r>
      <rPr>
        <sz val="14"/>
        <color rgb="FFFF0000"/>
        <rFont val="Trebuchet MS"/>
        <family val="2"/>
      </rPr>
      <t xml:space="preserve">Contratação local. </t>
    </r>
  </si>
  <si>
    <r>
      <t>Atendimento| Produção Executiva</t>
    </r>
    <r>
      <rPr>
        <i/>
        <sz val="14"/>
        <color theme="1"/>
        <rFont val="Trebuchet MS"/>
        <family val="2"/>
      </rPr>
      <t xml:space="preserve"> in locco</t>
    </r>
  </si>
  <si>
    <r>
      <t>Alimentos|</t>
    </r>
    <r>
      <rPr>
        <sz val="14"/>
        <color rgb="FFFF0000"/>
        <rFont val="Trebuchet MS"/>
        <family val="2"/>
      </rPr>
      <t xml:space="preserve"> considerando até 100 pax x dia</t>
    </r>
  </si>
  <si>
    <r>
      <rPr>
        <sz val="14"/>
        <color theme="1"/>
        <rFont val="Trebuchet MS"/>
        <family val="2"/>
      </rPr>
      <t xml:space="preserve">
Fixo no balcão: 
Grissinis ( sabores variados) – 01kg / dia / Financier e petit four finos – 01 kg / dia / Balas finas sortidas
BEBIDAS: / DIA:
Água sem gás: pet 1,5 lt : 36 unid / dia 
Água com gás: pet 1,5 lt:  06 unid / dia
Suco de frutas: industrializado: Integral : 24 unid / dia 
Refrigerante diet e normal: pet 2,0 lts : Coca cola – 06 unid / coca cola zero: 06 unid / guaraná Antartica: 04 unid / dia  
HAPPY HOUR: SUGESTÃO: volante e salas de reunião: 
Mini sanduíches , variando a cada dia, entre os seguintes: 03 tipos / dia: 300 unid / dia: embalados individualmente com etiquetas com informações dos recheios e validade
MENU DEGUSTAÇÃO: COMIDINHAS: variando a cada dia: 19h: 100 porções / dia : Massas secas: Pennete / Farfalle / Caracolinho ( Mac&amp;Cheese)
Docinhos:  17.03: Brigadeiro / 18.03: Banofe /19.03: Queijadinha cremosa  
Todo o necessário para o excelente andamento do evento, descartáveis 1ª linha. 
</t>
    </r>
    <r>
      <rPr>
        <b/>
        <sz val="14"/>
        <color theme="1"/>
        <rFont val="Trebuchet MS"/>
        <family val="2"/>
      </rPr>
      <t xml:space="preserve"> </t>
    </r>
  </si>
  <si>
    <r>
      <t xml:space="preserve">Segurança para o período noturno considerando: , 16 17, 18 e 19/02 03 - </t>
    </r>
    <r>
      <rPr>
        <sz val="14"/>
        <color rgb="FFFF0000"/>
        <rFont val="Trebuchet MS"/>
        <family val="2"/>
      </rPr>
      <t>de acordo com a tabela da organização| 12 horas trabalhadas</t>
    </r>
  </si>
  <si>
    <r>
      <t xml:space="preserve">Rádio Comunicador - </t>
    </r>
    <r>
      <rPr>
        <sz val="14"/>
        <color rgb="FFFF0000"/>
        <rFont val="Trebuchet MS"/>
        <family val="2"/>
      </rPr>
      <t>opcional</t>
    </r>
  </si>
  <si>
    <r>
      <t xml:space="preserve">Passagem aérea + hospedagem + deslocamento de 1 produtor da Oggi SP&gt;&gt;RJ| </t>
    </r>
    <r>
      <rPr>
        <sz val="14"/>
        <color rgb="FFFF0000"/>
        <rFont val="Trebuchet MS"/>
        <family val="2"/>
      </rPr>
      <t>Sujeito a alteração de valores</t>
    </r>
  </si>
  <si>
    <t>2K GASTRONOMIA</t>
  </si>
  <si>
    <t>ENDEREÇO DA CRIAÇÃO</t>
  </si>
  <si>
    <t>COMBITECH</t>
  </si>
  <si>
    <t>CHUBB</t>
  </si>
  <si>
    <t xml:space="preserve">LARISSA MARTINS </t>
  </si>
  <si>
    <t>MRB SOLUÇÃO</t>
  </si>
  <si>
    <t xml:space="preserve">LUIZA FERNANDA </t>
  </si>
  <si>
    <t>JESSICA APARECIDA</t>
  </si>
  <si>
    <t>JOZENILSON - SAKURA - LEONARDO - ATLANTA HOTELS - CAROL</t>
  </si>
  <si>
    <t>NOTA DE DÉBITO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</si>
</sst>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R$&quot;\ * #,##0.00_-;\-&quot;R$&quot;\ * #,##0.00_-;_-&quot;R$&quot;\ * &quot;-&quot;??_-;_-@_-"/>
    <numFmt numFmtId="164" formatCode="00&quot;/&quot;00&quot;/&quot;0000"/>
    <numFmt numFmtId="165" formatCode="_(&quot;R$ &quot;* #,##0.00_);_(&quot;R$ &quot;* \(#,##0.00\);_(&quot;R$ &quot;* &quot;-&quot;??_);_(@_)"/>
    <numFmt numFmtId="166" formatCode="_-[$R$-416]\ * #,##0.00_-;\-[$R$-416]\ * #,##0.00_-;_-[$R$-416]\ * &quot;-&quot;??_-;_-@_-"/>
    <numFmt numFmtId="167" formatCode="_(&quot;R$&quot;* #,##0.00_);_(&quot;R$&quot;* \(#,##0.00\);_(&quot;R$&quot;* &quot;-&quot;??_);_(@_)"/>
    <numFmt numFmtId="168" formatCode="0.000000000%"/>
    <numFmt numFmtId="169" formatCode="_-&quot;R$&quot;* #,##0.00_-;\-&quot;R$&quot;* #,##0.00_-;_-&quot;R$&quot;* &quot;-&quot;??_-;_-@_-"/>
    <numFmt numFmtId="170" formatCode="&quot;R$&quot;\ #,##0.00"/>
    <numFmt numFmtId="171"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2"/>
      <name val="Trebuchet MS"/>
      <family val="2"/>
    </font>
    <font>
      <b/>
      <sz val="20"/>
      <name val="Trebuchet MS"/>
      <family val="2"/>
    </font>
    <font>
      <b/>
      <sz val="14"/>
      <name val="Trebuchet MS"/>
      <family val="2"/>
    </font>
    <font>
      <b/>
      <sz val="13"/>
      <name val="Trebuchet MS"/>
      <family val="2"/>
    </font>
    <font>
      <sz val="11"/>
      <name val="Verdana"/>
      <family val="2"/>
    </font>
    <font>
      <b/>
      <sz val="12"/>
      <color indexed="63"/>
      <name val="Trebuchet MS"/>
      <family val="2"/>
    </font>
    <font>
      <b/>
      <sz val="18"/>
      <color theme="1"/>
      <name val="Arial"/>
      <family val="2"/>
    </font>
    <font>
      <b/>
      <sz val="12"/>
      <color theme="1"/>
      <name val="Arial"/>
      <family val="2"/>
    </font>
    <font>
      <sz val="11"/>
      <color indexed="8"/>
      <name val="Calibri"/>
      <family val="2"/>
    </font>
    <font>
      <sz val="11"/>
      <color theme="1"/>
      <name val="Calibri"/>
      <family val="2"/>
      <scheme val="minor"/>
    </font>
    <font>
      <sz val="11"/>
      <color theme="0"/>
      <name val="Calibri"/>
      <family val="2"/>
      <scheme val="minor"/>
    </font>
    <font>
      <b/>
      <sz val="14"/>
      <color theme="1"/>
      <name val="Trebuchet MS"/>
      <family val="2"/>
    </font>
    <font>
      <sz val="8"/>
      <color rgb="FFFFFFFF"/>
      <name val="Arial"/>
      <family val="2"/>
    </font>
    <font>
      <b/>
      <sz val="10"/>
      <color rgb="FFFFFFFF"/>
      <name val="Arial"/>
      <family val="2"/>
    </font>
    <font>
      <sz val="12"/>
      <color rgb="FFFFFFFF"/>
      <name val="Arial"/>
      <family val="2"/>
    </font>
    <font>
      <b/>
      <sz val="18"/>
      <color rgb="FFFFFFFF"/>
      <name val="Arial"/>
      <family val="2"/>
    </font>
    <font>
      <b/>
      <sz val="11"/>
      <color rgb="FFFFFFFF"/>
      <name val="Arial"/>
      <family val="2"/>
    </font>
    <font>
      <b/>
      <sz val="14"/>
      <color theme="1"/>
      <name val="Gadugi"/>
      <family val="2"/>
    </font>
    <font>
      <sz val="10"/>
      <name val="Verdana"/>
      <family val="2"/>
    </font>
    <font>
      <sz val="12"/>
      <color theme="1"/>
      <name val="Trebuchet MS"/>
      <family val="2"/>
    </font>
    <font>
      <b/>
      <sz val="12"/>
      <color theme="1"/>
      <name val="Trebuchet MS"/>
      <family val="2"/>
    </font>
    <font>
      <b/>
      <sz val="12"/>
      <color rgb="FFFF0000"/>
      <name val="Trebuchet MS"/>
      <family val="2"/>
    </font>
    <font>
      <b/>
      <sz val="12"/>
      <color rgb="FF00B050"/>
      <name val="Trebuchet MS"/>
      <family val="2"/>
    </font>
    <font>
      <b/>
      <sz val="14"/>
      <color theme="0"/>
      <name val="Trebuchet MS"/>
      <family val="2"/>
    </font>
    <font>
      <b/>
      <sz val="16"/>
      <color theme="0"/>
      <name val="Trebuchet MS"/>
      <family val="2"/>
    </font>
    <font>
      <sz val="12"/>
      <color rgb="FFFF0000"/>
      <name val="Trebuchet MS"/>
      <family val="2"/>
    </font>
    <font>
      <b/>
      <sz val="10"/>
      <color theme="0"/>
      <name val="Trebuchet MS"/>
      <family val="2"/>
    </font>
    <font>
      <sz val="12"/>
      <color theme="1"/>
      <name val="Calibri"/>
      <family val="2"/>
      <scheme val="minor"/>
    </font>
    <font>
      <sz val="12"/>
      <color rgb="FFFF0000"/>
      <name val="Calibri"/>
      <family val="2"/>
      <scheme val="minor"/>
    </font>
    <font>
      <b/>
      <sz val="11"/>
      <color theme="0"/>
      <name val="Calibri"/>
      <family val="2"/>
      <scheme val="minor"/>
    </font>
    <font>
      <sz val="11"/>
      <color rgb="FFFF0000"/>
      <name val="Calibri"/>
      <family val="2"/>
      <scheme val="minor"/>
    </font>
    <font>
      <sz val="12"/>
      <name val="Trebuchet MS"/>
      <family val="2"/>
    </font>
    <font>
      <sz val="11"/>
      <color theme="4"/>
      <name val="Calibri"/>
      <family val="2"/>
      <scheme val="minor"/>
    </font>
    <font>
      <sz val="12"/>
      <color rgb="FF00B050"/>
      <name val="Trebuchet MS"/>
      <family val="2"/>
    </font>
    <font>
      <sz val="12"/>
      <color indexed="81"/>
      <name val="Segoe UI"/>
      <family val="2"/>
    </font>
    <font>
      <b/>
      <sz val="18"/>
      <color indexed="81"/>
      <name val="Segoe UI"/>
      <family val="2"/>
    </font>
    <font>
      <sz val="18"/>
      <color indexed="81"/>
      <name val="Segoe UI"/>
      <family val="2"/>
    </font>
    <font>
      <b/>
      <sz val="12"/>
      <color theme="0"/>
      <name val="Trebuchet MS"/>
      <family val="2"/>
    </font>
    <font>
      <sz val="14"/>
      <color theme="1"/>
      <name val="Calibri"/>
      <family val="2"/>
      <scheme val="minor"/>
    </font>
    <font>
      <b/>
      <sz val="14"/>
      <color rgb="FFFF0000"/>
      <name val="Trebuchet MS"/>
      <family val="2"/>
    </font>
    <font>
      <b/>
      <sz val="14"/>
      <color theme="1"/>
      <name val="Calibri"/>
      <family val="2"/>
      <scheme val="minor"/>
    </font>
    <font>
      <b/>
      <sz val="11"/>
      <color rgb="FFFF0000"/>
      <name val="Calibri"/>
      <family val="2"/>
      <scheme val="minor"/>
    </font>
    <font>
      <b/>
      <sz val="11"/>
      <color rgb="FF00B050"/>
      <name val="Calibri"/>
      <family val="2"/>
      <scheme val="minor"/>
    </font>
    <font>
      <b/>
      <sz val="14"/>
      <color indexed="63"/>
      <name val="Trebuchet MS"/>
      <family val="2"/>
    </font>
    <font>
      <sz val="14"/>
      <color theme="0"/>
      <name val="Calibri"/>
      <family val="2"/>
      <scheme val="minor"/>
    </font>
    <font>
      <sz val="14"/>
      <color theme="1"/>
      <name val="Trebuchet MS"/>
      <family val="2"/>
    </font>
    <font>
      <b/>
      <sz val="14"/>
      <color rgb="FF00B050"/>
      <name val="Trebuchet MS"/>
      <family val="2"/>
    </font>
    <font>
      <b/>
      <sz val="14"/>
      <color rgb="FFFF0000"/>
      <name val="Calibri"/>
      <family val="2"/>
      <scheme val="minor"/>
    </font>
    <font>
      <b/>
      <sz val="14"/>
      <color rgb="FF00B050"/>
      <name val="Calibri"/>
      <family val="2"/>
      <scheme val="minor"/>
    </font>
    <font>
      <sz val="14"/>
      <color rgb="FFFF0000"/>
      <name val="Trebuchet MS"/>
      <family val="2"/>
    </font>
    <font>
      <sz val="14"/>
      <color theme="4"/>
      <name val="Trebuchet MS"/>
      <family val="2"/>
    </font>
    <font>
      <sz val="14"/>
      <color rgb="FF00B050"/>
      <name val="Trebuchet MS"/>
      <family val="2"/>
    </font>
    <font>
      <i/>
      <sz val="14"/>
      <color theme="1"/>
      <name val="Trebuchet MS"/>
      <family val="2"/>
    </font>
    <font>
      <sz val="14"/>
      <color theme="9"/>
      <name val="Trebuchet MS"/>
      <family val="2"/>
    </font>
    <font>
      <b/>
      <sz val="14"/>
      <color theme="9"/>
      <name val="Trebuchet MS"/>
      <family val="2"/>
    </font>
    <font>
      <sz val="14"/>
      <name val="Trebuchet MS"/>
      <family val="2"/>
    </font>
    <font>
      <sz val="14"/>
      <name val="Calibri"/>
      <family val="2"/>
      <scheme val="minor"/>
    </font>
    <font>
      <sz val="12"/>
      <color theme="0"/>
      <name val="Trebuchet MS"/>
      <family val="2"/>
    </font>
  </fonts>
  <fills count="26">
    <fill>
      <patternFill patternType="none"/>
    </fill>
    <fill>
      <patternFill patternType="gray125"/>
    </fill>
    <fill>
      <patternFill patternType="solid">
        <fgColor rgb="FFFFFF99"/>
        <bgColor indexed="64"/>
      </patternFill>
    </fill>
    <fill>
      <patternFill patternType="solid">
        <fgColor indexed="47"/>
        <bgColor indexed="64"/>
      </patternFill>
    </fill>
    <fill>
      <patternFill patternType="solid">
        <fgColor theme="7" tint="-0.249977111117893"/>
        <bgColor indexed="64"/>
      </patternFill>
    </fill>
    <fill>
      <patternFill patternType="solid">
        <fgColor theme="5"/>
        <bgColor indexed="64"/>
      </patternFill>
    </fill>
    <fill>
      <patternFill patternType="solid">
        <fgColor indexed="22"/>
        <bgColor indexed="64"/>
      </patternFill>
    </fill>
    <fill>
      <patternFill patternType="solid">
        <fgColor rgb="FFFF964F"/>
        <bgColor indexed="64"/>
      </patternFill>
    </fill>
    <fill>
      <patternFill patternType="solid">
        <fgColor rgb="FF0476D0"/>
      </patternFill>
    </fill>
    <fill>
      <patternFill patternType="solid">
        <fgColor theme="3" tint="-0.249977111117893"/>
        <bgColor indexed="64"/>
      </patternFill>
    </fill>
    <fill>
      <patternFill patternType="solid">
        <fgColor theme="3" tint="0.39994506668294322"/>
        <bgColor indexed="64"/>
      </patternFill>
    </fill>
    <fill>
      <patternFill patternType="solid">
        <fgColor theme="0" tint="-0.249977111117893"/>
        <bgColor indexed="64"/>
      </patternFill>
    </fill>
    <fill>
      <patternFill patternType="solid">
        <fgColor rgb="FFFFFFCC"/>
        <bgColor indexed="64"/>
      </patternFill>
    </fill>
    <fill>
      <patternFill patternType="solid">
        <fgColor rgb="FFFDE9D9"/>
        <bgColor indexed="64"/>
      </patternFill>
    </fill>
    <fill>
      <patternFill patternType="solid">
        <fgColor rgb="FFE4DFEC"/>
        <bgColor indexed="64"/>
      </patternFill>
    </fill>
    <fill>
      <patternFill patternType="solid">
        <fgColor theme="3" tint="-0.499984740745262"/>
        <bgColor indexed="64"/>
      </patternFill>
    </fill>
    <fill>
      <patternFill patternType="solid">
        <fgColor theme="7" tint="0.59999389629810485"/>
        <bgColor indexed="64"/>
      </patternFill>
    </fill>
    <fill>
      <patternFill patternType="solid">
        <fgColor theme="0"/>
        <bgColor indexed="64"/>
      </patternFill>
    </fill>
    <fill>
      <patternFill patternType="solid">
        <fgColor theme="4"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1"/>
        <bgColor indexed="64"/>
      </patternFill>
    </fill>
    <fill>
      <patternFill patternType="solid">
        <fgColor theme="0" tint="-0.34998626667073579"/>
        <bgColor indexed="64"/>
      </patternFill>
    </fill>
  </fills>
  <borders count="99">
    <border>
      <left/>
      <right/>
      <top/>
      <bottom/>
      <diagonal/>
    </border>
    <border>
      <left/>
      <right/>
      <top/>
      <bottom style="hair">
        <color auto="1"/>
      </bottom>
      <diagonal/>
    </border>
    <border>
      <left/>
      <right/>
      <top style="hair">
        <color auto="1"/>
      </top>
      <bottom style="hair">
        <color auto="1"/>
      </bottom>
      <diagonal/>
    </border>
    <border>
      <left style="medium">
        <color indexed="64"/>
      </left>
      <right style="thin">
        <color rgb="FF000000"/>
      </right>
      <top style="medium">
        <color indexed="64"/>
      </top>
      <bottom style="medium">
        <color indexed="64"/>
      </bottom>
      <diagonal/>
    </border>
    <border>
      <left/>
      <right style="thin">
        <color rgb="FF000000"/>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auto="1"/>
      </right>
      <top/>
      <bottom/>
      <diagonal/>
    </border>
    <border>
      <left style="thin">
        <color auto="1"/>
      </left>
      <right style="thin">
        <color auto="1"/>
      </right>
      <top style="thin">
        <color auto="1"/>
      </top>
      <bottom style="hair">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indexed="64"/>
      </left>
      <right style="thin">
        <color auto="1"/>
      </right>
      <top style="hair">
        <color auto="1"/>
      </top>
      <bottom style="hair">
        <color indexed="64"/>
      </bottom>
      <diagonal/>
    </border>
    <border>
      <left style="thin">
        <color indexed="64"/>
      </left>
      <right/>
      <top style="hair">
        <color indexed="64"/>
      </top>
      <bottom style="hair">
        <color indexed="64"/>
      </bottom>
      <diagonal/>
    </border>
    <border>
      <left/>
      <right style="thin">
        <color auto="1"/>
      </right>
      <top style="hair">
        <color auto="1"/>
      </top>
      <bottom style="hair">
        <color indexed="64"/>
      </bottom>
      <diagonal/>
    </border>
    <border>
      <left style="thin">
        <color indexed="64"/>
      </left>
      <right style="thin">
        <color auto="1"/>
      </right>
      <top style="hair">
        <color auto="1"/>
      </top>
      <bottom style="thin">
        <color indexed="64"/>
      </bottom>
      <diagonal/>
    </border>
    <border>
      <left style="thin">
        <color auto="1"/>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style="thin">
        <color auto="1"/>
      </right>
      <top/>
      <bottom style="hair">
        <color indexed="64"/>
      </bottom>
      <diagonal/>
    </border>
    <border>
      <left style="thin">
        <color indexed="64"/>
      </left>
      <right/>
      <top/>
      <bottom style="hair">
        <color indexed="64"/>
      </bottom>
      <diagonal/>
    </border>
    <border>
      <left/>
      <right style="thin">
        <color auto="1"/>
      </right>
      <top/>
      <bottom style="hair">
        <color indexed="64"/>
      </bottom>
      <diagonal/>
    </border>
    <border>
      <left/>
      <right style="thin">
        <color auto="1"/>
      </right>
      <top style="thin">
        <color auto="1"/>
      </top>
      <bottom/>
      <diagonal/>
    </border>
    <border>
      <left style="thin">
        <color indexed="64"/>
      </left>
      <right style="thin">
        <color auto="1"/>
      </right>
      <top style="hair">
        <color auto="1"/>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right/>
      <top style="thin">
        <color rgb="FFA9A9A9"/>
      </top>
      <bottom/>
      <diagonal/>
    </border>
    <border>
      <left style="thin">
        <color rgb="FFBFD7ED"/>
      </left>
      <right/>
      <top style="thin">
        <color rgb="FFBFD7ED"/>
      </top>
      <bottom/>
      <diagonal/>
    </border>
    <border>
      <left style="thin">
        <color rgb="FFBFD7ED"/>
      </left>
      <right style="thin">
        <color rgb="FFBFD7ED"/>
      </right>
      <top style="thin">
        <color rgb="FFBFD7ED"/>
      </top>
      <bottom/>
      <diagonal/>
    </border>
    <border>
      <left style="thin">
        <color theme="0" tint="-0.14990691854609822"/>
      </left>
      <right/>
      <top style="thin">
        <color theme="0" tint="-0.14990691854609822"/>
      </top>
      <bottom/>
      <diagonal/>
    </border>
    <border>
      <left style="thin">
        <color theme="0" tint="-0.14990691854609822"/>
      </left>
      <right style="thin">
        <color theme="0" tint="-0.14990691854609822"/>
      </right>
      <top style="thin">
        <color theme="0" tint="-0.14990691854609822"/>
      </top>
      <bottom/>
      <diagonal/>
    </border>
    <border>
      <left/>
      <right/>
      <top style="thin">
        <color theme="0" tint="-0.14990691854609822"/>
      </top>
      <bottom/>
      <diagonal/>
    </border>
    <border>
      <left/>
      <right style="thin">
        <color indexed="64"/>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theme="0" tint="-0.14990691854609822"/>
      </left>
      <right/>
      <top/>
      <bottom/>
      <diagonal/>
    </border>
    <border>
      <left style="thin">
        <color theme="0" tint="-0.14990691854609822"/>
      </left>
      <right/>
      <top style="thin">
        <color theme="0" tint="-0.14990691854609822"/>
      </top>
      <bottom style="thin">
        <color theme="0" tint="-0.149906918546098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right/>
      <top style="thin">
        <color theme="0" tint="-0.14990691854609822"/>
      </top>
      <bottom style="thin">
        <color theme="0" tint="-0.14990691854609822"/>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auto="1"/>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auto="1"/>
      </right>
      <top style="medium">
        <color indexed="64"/>
      </top>
      <bottom style="medium">
        <color indexed="64"/>
      </bottom>
      <diagonal/>
    </border>
    <border>
      <left/>
      <right style="medium">
        <color auto="1"/>
      </right>
      <top style="medium">
        <color indexed="64"/>
      </top>
      <bottom/>
      <diagonal/>
    </border>
    <border>
      <left/>
      <right style="medium">
        <color auto="1"/>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auto="1"/>
      </right>
      <top style="medium">
        <color indexed="64"/>
      </top>
      <bottom style="medium">
        <color indexed="64"/>
      </bottom>
      <diagonal/>
    </border>
    <border>
      <left/>
      <right style="medium">
        <color auto="1"/>
      </right>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auto="1"/>
      </left>
      <right style="medium">
        <color indexed="64"/>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auto="1"/>
      </left>
      <right style="thin">
        <color auto="1"/>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s>
  <cellStyleXfs count="18">
    <xf numFmtId="0" fontId="0" fillId="0" borderId="0"/>
    <xf numFmtId="9" fontId="1" fillId="0" borderId="0" applyFont="0" applyFill="0" applyBorder="0" applyAlignment="0" applyProtection="0"/>
    <xf numFmtId="0" fontId="3" fillId="0" borderId="0"/>
    <xf numFmtId="0" fontId="8" fillId="0" borderId="0"/>
    <xf numFmtId="165" fontId="3" fillId="0" borderId="0" applyFont="0" applyFill="0" applyBorder="0" applyAlignment="0" applyProtection="0"/>
    <xf numFmtId="9" fontId="3" fillId="0" borderId="0" applyFont="0" applyFill="0" applyBorder="0" applyAlignment="0" applyProtection="0"/>
    <xf numFmtId="167" fontId="12" fillId="0" borderId="0" applyFont="0" applyFill="0" applyBorder="0" applyAlignment="0" applyProtection="0"/>
    <xf numFmtId="0" fontId="13" fillId="0" borderId="0"/>
    <xf numFmtId="44" fontId="1" fillId="0" borderId="0" applyFont="0" applyFill="0" applyBorder="0" applyAlignment="0" applyProtection="0"/>
    <xf numFmtId="44" fontId="1" fillId="0" borderId="0" applyFont="0" applyFill="0" applyBorder="0" applyAlignment="0" applyProtection="0"/>
    <xf numFmtId="44" fontId="12" fillId="0" borderId="0" applyFont="0" applyFill="0" applyBorder="0" applyAlignment="0" applyProtection="0"/>
    <xf numFmtId="44" fontId="1" fillId="0" borderId="0" applyFont="0" applyFill="0" applyBorder="0" applyAlignment="0" applyProtection="0"/>
    <xf numFmtId="0" fontId="22"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2" fillId="0" borderId="0" applyFont="0" applyFill="0" applyBorder="0" applyAlignment="0" applyProtection="0"/>
    <xf numFmtId="44" fontId="1" fillId="0" borderId="0" applyFont="0" applyFill="0" applyBorder="0" applyAlignment="0" applyProtection="0"/>
  </cellStyleXfs>
  <cellXfs count="510">
    <xf numFmtId="0" fontId="0" fillId="0" borderId="0" xfId="0"/>
    <xf numFmtId="49" fontId="0" fillId="0" borderId="0" xfId="0" applyNumberFormat="1"/>
    <xf numFmtId="0" fontId="0" fillId="0" borderId="11" xfId="0" applyBorder="1"/>
    <xf numFmtId="0" fontId="0" fillId="0" borderId="12" xfId="0" applyBorder="1"/>
    <xf numFmtId="0" fontId="0" fillId="0" borderId="13" xfId="0" applyBorder="1"/>
    <xf numFmtId="0" fontId="0" fillId="0" borderId="17" xfId="0" applyBorder="1"/>
    <xf numFmtId="0" fontId="0" fillId="0" borderId="18" xfId="0" applyBorder="1"/>
    <xf numFmtId="0" fontId="2" fillId="0" borderId="19" xfId="0" applyFont="1" applyBorder="1"/>
    <xf numFmtId="0" fontId="2" fillId="0" borderId="23" xfId="0" applyFont="1" applyBorder="1"/>
    <xf numFmtId="0" fontId="0" fillId="0" borderId="2" xfId="0" applyBorder="1" applyAlignment="1">
      <alignment horizontal="left"/>
    </xf>
    <xf numFmtId="0" fontId="0" fillId="0" borderId="25" xfId="0" applyBorder="1" applyAlignment="1">
      <alignment horizontal="left"/>
    </xf>
    <xf numFmtId="0" fontId="2" fillId="0" borderId="26" xfId="0" applyFont="1" applyBorder="1"/>
    <xf numFmtId="0" fontId="2" fillId="0" borderId="26" xfId="0" applyFont="1" applyBorder="1" applyAlignment="1">
      <alignment horizontal="center"/>
    </xf>
    <xf numFmtId="0" fontId="0" fillId="0" borderId="14" xfId="0" applyBorder="1"/>
    <xf numFmtId="0" fontId="0" fillId="0" borderId="15" xfId="0" applyBorder="1"/>
    <xf numFmtId="0" fontId="0" fillId="0" borderId="16" xfId="0" applyBorder="1"/>
    <xf numFmtId="0" fontId="2" fillId="0" borderId="30" xfId="0" applyFont="1" applyBorder="1"/>
    <xf numFmtId="0" fontId="2" fillId="0" borderId="2" xfId="0" applyFont="1" applyBorder="1" applyAlignment="1">
      <alignment horizontal="left"/>
    </xf>
    <xf numFmtId="0" fontId="2" fillId="0" borderId="23" xfId="0" applyFont="1" applyBorder="1" applyAlignment="1">
      <alignment horizontal="center"/>
    </xf>
    <xf numFmtId="0" fontId="2" fillId="0" borderId="19" xfId="0" applyFont="1" applyBorder="1" applyAlignment="1">
      <alignment horizontal="center"/>
    </xf>
    <xf numFmtId="0" fontId="2" fillId="0" borderId="34" xfId="0" applyFont="1" applyBorder="1" applyAlignment="1">
      <alignment horizontal="center"/>
    </xf>
    <xf numFmtId="0" fontId="0" fillId="0" borderId="26" xfId="0" applyBorder="1"/>
    <xf numFmtId="0" fontId="0" fillId="0" borderId="27" xfId="0" applyBorder="1"/>
    <xf numFmtId="0" fontId="0" fillId="0" borderId="29" xfId="0" applyBorder="1"/>
    <xf numFmtId="0" fontId="0" fillId="0" borderId="0" xfId="0" applyAlignment="1">
      <alignment horizontal="right"/>
    </xf>
    <xf numFmtId="0" fontId="0" fillId="0" borderId="0" xfId="1" applyNumberFormat="1" applyFont="1"/>
    <xf numFmtId="0" fontId="14" fillId="0" borderId="0" xfId="0" applyFont="1"/>
    <xf numFmtId="165" fontId="9" fillId="6" borderId="36" xfId="4" applyFont="1" applyFill="1" applyBorder="1" applyAlignment="1">
      <alignment horizontal="center" vertical="center" wrapText="1"/>
    </xf>
    <xf numFmtId="168" fontId="2" fillId="0" borderId="5" xfId="1" applyNumberFormat="1" applyFont="1" applyBorder="1"/>
    <xf numFmtId="0" fontId="15" fillId="5" borderId="0" xfId="0" applyFont="1" applyFill="1"/>
    <xf numFmtId="49" fontId="15" fillId="5" borderId="0" xfId="0" applyNumberFormat="1" applyFont="1" applyFill="1"/>
    <xf numFmtId="164" fontId="6" fillId="0" borderId="0" xfId="2" applyNumberFormat="1" applyFont="1" applyAlignment="1">
      <alignment horizontal="left" vertical="center"/>
    </xf>
    <xf numFmtId="166" fontId="9" fillId="0" borderId="38" xfId="4" applyNumberFormat="1" applyFont="1" applyBorder="1" applyAlignment="1">
      <alignment horizontal="center" vertical="center" wrapText="1"/>
    </xf>
    <xf numFmtId="0" fontId="16" fillId="8" borderId="40" xfId="0" applyFont="1" applyFill="1" applyBorder="1" applyAlignment="1">
      <alignment vertical="center"/>
    </xf>
    <xf numFmtId="0" fontId="18" fillId="8" borderId="40" xfId="0" applyFont="1" applyFill="1" applyBorder="1" applyAlignment="1">
      <alignment horizontal="center" vertical="center"/>
    </xf>
    <xf numFmtId="22" fontId="16" fillId="8" borderId="40" xfId="0" applyNumberFormat="1" applyFont="1" applyFill="1" applyBorder="1" applyAlignment="1">
      <alignment horizontal="center" vertical="center"/>
    </xf>
    <xf numFmtId="0" fontId="20" fillId="8" borderId="41" xfId="0" applyFont="1" applyFill="1" applyBorder="1" applyAlignment="1">
      <alignment horizontal="center" vertical="center" wrapText="1"/>
    </xf>
    <xf numFmtId="0" fontId="20" fillId="8" borderId="42" xfId="0" applyFont="1" applyFill="1" applyBorder="1" applyAlignment="1">
      <alignment horizontal="center" vertical="center" wrapText="1"/>
    </xf>
    <xf numFmtId="164" fontId="6" fillId="0" borderId="20" xfId="2" applyNumberFormat="1" applyFont="1" applyBorder="1" applyAlignment="1" applyProtection="1">
      <alignment horizontal="left" vertical="center"/>
      <protection locked="0"/>
    </xf>
    <xf numFmtId="164" fontId="6" fillId="0" borderId="31" xfId="2" applyNumberFormat="1" applyFont="1" applyBorder="1" applyAlignment="1" applyProtection="1">
      <alignment horizontal="left" vertical="center"/>
      <protection locked="0"/>
    </xf>
    <xf numFmtId="164" fontId="6" fillId="0" borderId="37" xfId="2" applyNumberFormat="1" applyFont="1" applyBorder="1" applyAlignment="1" applyProtection="1">
      <alignment horizontal="left" vertical="center"/>
      <protection locked="0"/>
    </xf>
    <xf numFmtId="0" fontId="0" fillId="0" borderId="0" xfId="0" applyAlignment="1">
      <alignment horizontal="center"/>
    </xf>
    <xf numFmtId="49" fontId="4" fillId="0" borderId="0" xfId="2" applyNumberFormat="1" applyFont="1" applyAlignment="1">
      <alignment horizontal="left" vertical="center" wrapText="1"/>
    </xf>
    <xf numFmtId="0" fontId="4" fillId="0" borderId="0" xfId="2" applyFont="1" applyAlignment="1">
      <alignment horizontal="left" vertical="center" wrapText="1"/>
    </xf>
    <xf numFmtId="0" fontId="21" fillId="0" borderId="0" xfId="0" applyFont="1" applyAlignment="1">
      <alignment horizontal="center"/>
    </xf>
    <xf numFmtId="0" fontId="23" fillId="0" borderId="43" xfId="0" applyFont="1" applyBorder="1" applyAlignment="1">
      <alignment horizontal="left" vertical="center" wrapText="1"/>
    </xf>
    <xf numFmtId="0" fontId="23" fillId="0" borderId="43" xfId="0" applyFont="1" applyBorder="1" applyAlignment="1">
      <alignment horizontal="left" vertical="center"/>
    </xf>
    <xf numFmtId="49" fontId="23" fillId="0" borderId="44" xfId="0" applyNumberFormat="1" applyFont="1" applyBorder="1" applyAlignment="1">
      <alignment horizontal="left" vertical="center"/>
    </xf>
    <xf numFmtId="0" fontId="23" fillId="0" borderId="45" xfId="0" applyFont="1" applyBorder="1" applyAlignment="1">
      <alignment horizontal="left" vertical="center"/>
    </xf>
    <xf numFmtId="10" fontId="9" fillId="6" borderId="46" xfId="5" applyNumberFormat="1" applyFont="1" applyFill="1" applyBorder="1" applyAlignment="1">
      <alignment horizontal="center" vertical="center" wrapText="1"/>
    </xf>
    <xf numFmtId="10" fontId="9" fillId="6" borderId="47" xfId="5" applyNumberFormat="1" applyFont="1" applyFill="1" applyBorder="1" applyAlignment="1">
      <alignment horizontal="center" vertical="center" wrapText="1"/>
    </xf>
    <xf numFmtId="165" fontId="9" fillId="6" borderId="48" xfId="4" applyFont="1" applyFill="1" applyBorder="1" applyAlignment="1">
      <alignment horizontal="center" vertical="center" wrapText="1"/>
    </xf>
    <xf numFmtId="165" fontId="9" fillId="6" borderId="47" xfId="4" applyFont="1" applyFill="1" applyBorder="1" applyAlignment="1">
      <alignment horizontal="center" vertical="center" wrapText="1"/>
    </xf>
    <xf numFmtId="37" fontId="9" fillId="6" borderId="3" xfId="3" applyNumberFormat="1" applyFont="1" applyFill="1" applyBorder="1" applyAlignment="1">
      <alignment horizontal="center" vertical="center"/>
    </xf>
    <xf numFmtId="40" fontId="9" fillId="6" borderId="49" xfId="4" applyNumberFormat="1" applyFont="1" applyFill="1" applyBorder="1" applyAlignment="1">
      <alignment horizontal="center" vertical="center"/>
    </xf>
    <xf numFmtId="166" fontId="25" fillId="6" borderId="50" xfId="4" applyNumberFormat="1" applyFont="1" applyFill="1" applyBorder="1" applyAlignment="1">
      <alignment horizontal="center" vertical="center" wrapText="1"/>
    </xf>
    <xf numFmtId="166" fontId="26" fillId="6" borderId="51" xfId="4" applyNumberFormat="1" applyFont="1" applyFill="1" applyBorder="1" applyAlignment="1">
      <alignment horizontal="center" vertical="center" wrapText="1"/>
    </xf>
    <xf numFmtId="37" fontId="9" fillId="6" borderId="52" xfId="3" applyNumberFormat="1" applyFont="1" applyFill="1" applyBorder="1" applyAlignment="1">
      <alignment horizontal="center" vertical="center"/>
    </xf>
    <xf numFmtId="37" fontId="9" fillId="6" borderId="53" xfId="3" applyNumberFormat="1" applyFont="1" applyFill="1" applyBorder="1" applyAlignment="1">
      <alignment horizontal="center" vertical="center"/>
    </xf>
    <xf numFmtId="40" fontId="9" fillId="6" borderId="53" xfId="4" applyNumberFormat="1" applyFont="1" applyFill="1" applyBorder="1" applyAlignment="1">
      <alignment horizontal="center" vertical="center"/>
    </xf>
    <xf numFmtId="165" fontId="9" fillId="6" borderId="53" xfId="4" applyFont="1" applyFill="1" applyBorder="1" applyAlignment="1">
      <alignment horizontal="right" vertical="center"/>
    </xf>
    <xf numFmtId="40" fontId="9" fillId="6" borderId="53" xfId="4" applyNumberFormat="1" applyFont="1" applyFill="1" applyBorder="1" applyAlignment="1">
      <alignment horizontal="center" vertical="center" wrapText="1"/>
    </xf>
    <xf numFmtId="10" fontId="9" fillId="6" borderId="53" xfId="5" applyNumberFormat="1" applyFont="1" applyFill="1" applyBorder="1" applyAlignment="1">
      <alignment horizontal="center" vertical="center" wrapText="1"/>
    </xf>
    <xf numFmtId="165" fontId="9" fillId="6" borderId="53" xfId="4" applyFont="1" applyFill="1" applyBorder="1" applyAlignment="1">
      <alignment horizontal="center" vertical="center" wrapText="1"/>
    </xf>
    <xf numFmtId="165" fontId="9" fillId="6" borderId="54" xfId="4" applyFont="1" applyFill="1" applyBorder="1" applyAlignment="1">
      <alignment horizontal="center" vertical="center" wrapText="1"/>
    </xf>
    <xf numFmtId="164" fontId="6" fillId="0" borderId="19" xfId="2" applyNumberFormat="1" applyFont="1" applyBorder="1" applyAlignment="1" applyProtection="1">
      <alignment horizontal="left" vertical="center"/>
      <protection locked="0"/>
    </xf>
    <xf numFmtId="164" fontId="6" fillId="0" borderId="30" xfId="2" applyNumberFormat="1" applyFont="1" applyBorder="1" applyAlignment="1" applyProtection="1">
      <alignment horizontal="left" vertical="center"/>
      <protection locked="0"/>
    </xf>
    <xf numFmtId="0" fontId="7" fillId="0" borderId="23" xfId="2" applyFont="1" applyBorder="1" applyAlignment="1" applyProtection="1">
      <alignment horizontal="left" vertical="center"/>
      <protection locked="0"/>
    </xf>
    <xf numFmtId="0" fontId="6" fillId="0" borderId="23" xfId="2" applyFont="1" applyBorder="1" applyAlignment="1" applyProtection="1">
      <alignment horizontal="left" vertical="center"/>
      <protection locked="0"/>
    </xf>
    <xf numFmtId="14" fontId="7" fillId="0" borderId="30" xfId="2" applyNumberFormat="1" applyFont="1" applyBorder="1" applyAlignment="1" applyProtection="1">
      <alignment horizontal="left" vertical="center"/>
      <protection locked="0"/>
    </xf>
    <xf numFmtId="0" fontId="6" fillId="0" borderId="26" xfId="2" applyFont="1" applyBorder="1" applyAlignment="1" applyProtection="1">
      <alignment horizontal="left" vertical="center"/>
      <protection locked="0"/>
    </xf>
    <xf numFmtId="0" fontId="23" fillId="0" borderId="56" xfId="0" applyFont="1" applyBorder="1" applyAlignment="1">
      <alignment horizontal="left" vertical="center" wrapText="1"/>
    </xf>
    <xf numFmtId="0" fontId="23" fillId="0" borderId="58" xfId="0" applyFont="1" applyBorder="1" applyAlignment="1">
      <alignment horizontal="left" vertical="center" wrapText="1"/>
    </xf>
    <xf numFmtId="0" fontId="23" fillId="0" borderId="45" xfId="0" applyFont="1" applyBorder="1" applyAlignment="1">
      <alignment horizontal="left" vertical="center" wrapText="1"/>
    </xf>
    <xf numFmtId="49" fontId="23" fillId="0" borderId="44" xfId="0" applyNumberFormat="1" applyFont="1" applyBorder="1" applyAlignment="1">
      <alignment horizontal="left" vertical="center" wrapText="1"/>
    </xf>
    <xf numFmtId="0" fontId="2" fillId="11" borderId="60" xfId="0" applyFont="1" applyFill="1" applyBorder="1" applyAlignment="1">
      <alignment horizontal="center" vertical="center"/>
    </xf>
    <xf numFmtId="44" fontId="23" fillId="0" borderId="60" xfId="8" applyFont="1" applyBorder="1" applyAlignment="1">
      <alignment vertical="center"/>
    </xf>
    <xf numFmtId="44" fontId="23" fillId="13" borderId="60" xfId="8" applyFont="1" applyFill="1" applyBorder="1" applyAlignment="1">
      <alignment vertical="center"/>
    </xf>
    <xf numFmtId="10" fontId="23" fillId="14" borderId="60" xfId="0" applyNumberFormat="1" applyFont="1" applyFill="1" applyBorder="1" applyAlignment="1">
      <alignment horizontal="center" vertical="center"/>
    </xf>
    <xf numFmtId="44" fontId="23" fillId="12" borderId="59" xfId="8" applyFont="1" applyFill="1" applyBorder="1" applyAlignment="1">
      <alignment vertical="center"/>
    </xf>
    <xf numFmtId="44" fontId="23" fillId="14" borderId="59" xfId="8" applyFont="1" applyFill="1" applyBorder="1" applyAlignment="1">
      <alignment vertical="center"/>
    </xf>
    <xf numFmtId="9" fontId="23" fillId="13" borderId="59" xfId="1" applyFont="1" applyFill="1" applyBorder="1" applyAlignment="1">
      <alignment vertical="center"/>
    </xf>
    <xf numFmtId="44" fontId="23" fillId="13" borderId="59" xfId="8" applyFont="1" applyFill="1" applyBorder="1" applyAlignment="1">
      <alignment vertical="center"/>
    </xf>
    <xf numFmtId="0" fontId="2" fillId="11" borderId="10" xfId="0" applyFont="1" applyFill="1" applyBorder="1" applyAlignment="1">
      <alignment horizontal="center" vertical="center"/>
    </xf>
    <xf numFmtId="10" fontId="23" fillId="14" borderId="10" xfId="0" applyNumberFormat="1" applyFont="1" applyFill="1" applyBorder="1" applyAlignment="1">
      <alignment horizontal="center" vertical="center"/>
    </xf>
    <xf numFmtId="44" fontId="23" fillId="13" borderId="51" xfId="8" applyFont="1" applyFill="1" applyBorder="1" applyAlignment="1">
      <alignment vertical="center"/>
    </xf>
    <xf numFmtId="0" fontId="28" fillId="15" borderId="6" xfId="0" applyFont="1" applyFill="1" applyBorder="1"/>
    <xf numFmtId="0" fontId="28" fillId="15" borderId="35" xfId="0" applyFont="1" applyFill="1" applyBorder="1"/>
    <xf numFmtId="44" fontId="28" fillId="15" borderId="35" xfId="0" applyNumberFormat="1" applyFont="1" applyFill="1" applyBorder="1"/>
    <xf numFmtId="9" fontId="28" fillId="15" borderId="14" xfId="1" applyFont="1" applyFill="1" applyBorder="1"/>
    <xf numFmtId="0" fontId="23" fillId="0" borderId="60" xfId="0" applyFont="1" applyBorder="1" applyAlignment="1">
      <alignment horizontal="left" vertical="center" wrapText="1"/>
    </xf>
    <xf numFmtId="44" fontId="23" fillId="14" borderId="60" xfId="8" applyFont="1" applyFill="1" applyBorder="1" applyAlignment="1">
      <alignment vertical="center"/>
    </xf>
    <xf numFmtId="9" fontId="23" fillId="13" borderId="60" xfId="1" applyFont="1" applyFill="1" applyBorder="1" applyAlignment="1">
      <alignment vertical="center"/>
    </xf>
    <xf numFmtId="0" fontId="0" fillId="16" borderId="0" xfId="0" applyFill="1"/>
    <xf numFmtId="44" fontId="23" fillId="0" borderId="64" xfId="8" applyFont="1" applyBorder="1" applyAlignment="1">
      <alignment vertical="center"/>
    </xf>
    <xf numFmtId="44" fontId="23" fillId="12" borderId="60" xfId="8" applyFont="1" applyFill="1" applyBorder="1" applyAlignment="1">
      <alignment vertical="center"/>
    </xf>
    <xf numFmtId="0" fontId="23" fillId="0" borderId="61" xfId="0" applyFont="1" applyBorder="1" applyAlignment="1">
      <alignment horizontal="left" vertical="center" wrapText="1"/>
    </xf>
    <xf numFmtId="44" fontId="23" fillId="13" borderId="64" xfId="8" applyFont="1" applyFill="1" applyBorder="1" applyAlignment="1">
      <alignment vertical="center"/>
    </xf>
    <xf numFmtId="44" fontId="23" fillId="13" borderId="67" xfId="8" applyFont="1" applyFill="1" applyBorder="1" applyAlignment="1">
      <alignment vertical="center"/>
    </xf>
    <xf numFmtId="44" fontId="27" fillId="10" borderId="60" xfId="0" applyNumberFormat="1" applyFont="1" applyFill="1" applyBorder="1" applyAlignment="1">
      <alignment horizontal="right"/>
    </xf>
    <xf numFmtId="44" fontId="15" fillId="14" borderId="60" xfId="0" applyNumberFormat="1" applyFont="1" applyFill="1" applyBorder="1"/>
    <xf numFmtId="44" fontId="15" fillId="13" borderId="60" xfId="0" applyNumberFormat="1" applyFont="1" applyFill="1" applyBorder="1"/>
    <xf numFmtId="44" fontId="15" fillId="13" borderId="64" xfId="8" applyFont="1" applyFill="1" applyBorder="1"/>
    <xf numFmtId="0" fontId="4" fillId="6" borderId="65" xfId="3" applyFont="1" applyFill="1" applyBorder="1" applyAlignment="1">
      <alignment horizontal="left" vertical="center"/>
    </xf>
    <xf numFmtId="0" fontId="4" fillId="6" borderId="66" xfId="3" applyFont="1" applyFill="1" applyBorder="1" applyAlignment="1">
      <alignment horizontal="center" vertical="center"/>
    </xf>
    <xf numFmtId="0" fontId="24" fillId="6" borderId="66" xfId="3" applyFont="1" applyFill="1" applyBorder="1" applyAlignment="1">
      <alignment horizontal="center" vertical="center"/>
    </xf>
    <xf numFmtId="169" fontId="24" fillId="6" borderId="66" xfId="3" applyNumberFormat="1" applyFont="1" applyFill="1" applyBorder="1" applyAlignment="1">
      <alignment horizontal="center" vertical="center" wrapText="1"/>
    </xf>
    <xf numFmtId="0" fontId="24" fillId="6" borderId="66" xfId="3" applyFont="1" applyFill="1" applyBorder="1" applyAlignment="1">
      <alignment horizontal="center" vertical="center" wrapText="1"/>
    </xf>
    <xf numFmtId="171" fontId="24" fillId="6" borderId="66" xfId="1" applyNumberFormat="1" applyFont="1" applyFill="1" applyBorder="1" applyAlignment="1">
      <alignment horizontal="center" vertical="center" wrapText="1"/>
    </xf>
    <xf numFmtId="10" fontId="24" fillId="6" borderId="66" xfId="1" applyNumberFormat="1" applyFont="1" applyFill="1" applyBorder="1" applyAlignment="1">
      <alignment horizontal="center" vertical="center" wrapText="1"/>
    </xf>
    <xf numFmtId="0" fontId="24" fillId="6" borderId="68" xfId="3" applyFont="1" applyFill="1" applyBorder="1" applyAlignment="1">
      <alignment horizontal="center" vertical="center" wrapText="1"/>
    </xf>
    <xf numFmtId="170" fontId="27" fillId="10" borderId="60" xfId="0" applyNumberFormat="1" applyFont="1" applyFill="1" applyBorder="1" applyAlignment="1">
      <alignment horizontal="right"/>
    </xf>
    <xf numFmtId="170" fontId="27" fillId="10" borderId="64" xfId="0" applyNumberFormat="1" applyFont="1" applyFill="1" applyBorder="1" applyAlignment="1">
      <alignment horizontal="right"/>
    </xf>
    <xf numFmtId="44" fontId="15" fillId="13" borderId="0" xfId="8" applyFont="1" applyFill="1" applyBorder="1"/>
    <xf numFmtId="0" fontId="24" fillId="11" borderId="66" xfId="0" applyFont="1" applyFill="1" applyBorder="1" applyAlignment="1">
      <alignment horizontal="center" vertical="center"/>
    </xf>
    <xf numFmtId="0" fontId="24" fillId="11" borderId="68" xfId="0" applyFont="1" applyFill="1" applyBorder="1" applyAlignment="1">
      <alignment horizontal="center" vertical="center"/>
    </xf>
    <xf numFmtId="0" fontId="23" fillId="0" borderId="60" xfId="0" applyFont="1" applyBorder="1" applyAlignment="1">
      <alignment horizontal="center" vertical="center"/>
    </xf>
    <xf numFmtId="44" fontId="23" fillId="0" borderId="67" xfId="8" applyFont="1" applyBorder="1" applyAlignment="1">
      <alignment vertical="center"/>
    </xf>
    <xf numFmtId="44" fontId="23" fillId="0" borderId="51" xfId="8" applyFont="1" applyBorder="1" applyAlignment="1">
      <alignment vertical="center"/>
    </xf>
    <xf numFmtId="170" fontId="27" fillId="10" borderId="18" xfId="0" applyNumberFormat="1" applyFont="1" applyFill="1" applyBorder="1" applyAlignment="1">
      <alignment horizontal="right"/>
    </xf>
    <xf numFmtId="44" fontId="27" fillId="10" borderId="0" xfId="0" applyNumberFormat="1" applyFont="1" applyFill="1" applyAlignment="1">
      <alignment horizontal="right"/>
    </xf>
    <xf numFmtId="44" fontId="15" fillId="14" borderId="0" xfId="0" applyNumberFormat="1" applyFont="1" applyFill="1"/>
    <xf numFmtId="0" fontId="0" fillId="13" borderId="0" xfId="0" applyFill="1"/>
    <xf numFmtId="44" fontId="15" fillId="13" borderId="0" xfId="0" applyNumberFormat="1" applyFont="1" applyFill="1"/>
    <xf numFmtId="44" fontId="28" fillId="15" borderId="72" xfId="0" applyNumberFormat="1" applyFont="1" applyFill="1" applyBorder="1"/>
    <xf numFmtId="44" fontId="30" fillId="15" borderId="11" xfId="8" applyFont="1" applyFill="1" applyBorder="1" applyAlignment="1">
      <alignment horizontal="center"/>
    </xf>
    <xf numFmtId="44" fontId="30" fillId="15" borderId="73" xfId="8" applyFont="1" applyFill="1" applyBorder="1" applyAlignment="1">
      <alignment horizontal="center"/>
    </xf>
    <xf numFmtId="44" fontId="28" fillId="15" borderId="74" xfId="8" applyFont="1" applyFill="1" applyBorder="1"/>
    <xf numFmtId="44" fontId="23" fillId="12" borderId="67" xfId="8" applyFont="1" applyFill="1" applyBorder="1" applyAlignment="1">
      <alignment vertical="center"/>
    </xf>
    <xf numFmtId="44" fontId="23" fillId="14" borderId="67" xfId="8" applyFont="1" applyFill="1" applyBorder="1" applyAlignment="1">
      <alignment vertical="center"/>
    </xf>
    <xf numFmtId="9" fontId="23" fillId="13" borderId="67" xfId="1" applyFont="1" applyFill="1" applyBorder="1" applyAlignment="1">
      <alignment vertical="center"/>
    </xf>
    <xf numFmtId="0" fontId="31" fillId="0" borderId="60" xfId="0" applyFont="1" applyBorder="1" applyAlignment="1">
      <alignment horizontal="left" vertical="center" wrapText="1"/>
    </xf>
    <xf numFmtId="0" fontId="31" fillId="0" borderId="60" xfId="0" applyFont="1" applyBorder="1" applyAlignment="1">
      <alignment horizontal="center" vertical="center"/>
    </xf>
    <xf numFmtId="44" fontId="31" fillId="17" borderId="60" xfId="8" applyFont="1" applyFill="1" applyBorder="1" applyAlignment="1">
      <alignment vertical="center"/>
    </xf>
    <xf numFmtId="0" fontId="31" fillId="0" borderId="61" xfId="0" applyFont="1" applyBorder="1" applyAlignment="1">
      <alignment horizontal="left" vertical="center" wrapText="1"/>
    </xf>
    <xf numFmtId="170" fontId="27" fillId="10" borderId="0" xfId="0" applyNumberFormat="1" applyFont="1" applyFill="1" applyAlignment="1">
      <alignment horizontal="right"/>
    </xf>
    <xf numFmtId="37" fontId="9" fillId="6" borderId="65" xfId="3" applyNumberFormat="1" applyFont="1" applyFill="1" applyBorder="1" applyAlignment="1">
      <alignment horizontal="center" vertical="center"/>
    </xf>
    <xf numFmtId="37" fontId="9" fillId="6" borderId="66" xfId="3" applyNumberFormat="1" applyFont="1" applyFill="1" applyBorder="1" applyAlignment="1">
      <alignment horizontal="center" vertical="center"/>
    </xf>
    <xf numFmtId="40" fontId="9" fillId="6" borderId="66" xfId="4" applyNumberFormat="1" applyFont="1" applyFill="1" applyBorder="1" applyAlignment="1">
      <alignment horizontal="center" vertical="center"/>
    </xf>
    <xf numFmtId="165" fontId="9" fillId="6" borderId="66" xfId="4" applyFont="1" applyFill="1" applyBorder="1" applyAlignment="1">
      <alignment horizontal="right" vertical="center"/>
    </xf>
    <xf numFmtId="40" fontId="9" fillId="6" borderId="66" xfId="4" applyNumberFormat="1" applyFont="1" applyFill="1" applyBorder="1" applyAlignment="1">
      <alignment horizontal="center" vertical="center" wrapText="1"/>
    </xf>
    <xf numFmtId="10" fontId="9" fillId="6" borderId="66" xfId="5" applyNumberFormat="1" applyFont="1" applyFill="1" applyBorder="1" applyAlignment="1">
      <alignment horizontal="center" vertical="center" wrapText="1"/>
    </xf>
    <xf numFmtId="165" fontId="9" fillId="6" borderId="66" xfId="4" applyFont="1" applyFill="1" applyBorder="1" applyAlignment="1">
      <alignment horizontal="center" vertical="center" wrapText="1"/>
    </xf>
    <xf numFmtId="165" fontId="9" fillId="6" borderId="68" xfId="4" applyFont="1" applyFill="1" applyBorder="1" applyAlignment="1">
      <alignment horizontal="center" vertical="center" wrapText="1"/>
    </xf>
    <xf numFmtId="49" fontId="23" fillId="0" borderId="57" xfId="0" applyNumberFormat="1" applyFont="1" applyBorder="1" applyAlignment="1">
      <alignment horizontal="left" vertical="center" wrapText="1"/>
    </xf>
    <xf numFmtId="0" fontId="23" fillId="17" borderId="50" xfId="2" applyFont="1" applyFill="1" applyBorder="1" applyAlignment="1">
      <alignment vertical="center" wrapText="1"/>
    </xf>
    <xf numFmtId="0" fontId="23" fillId="0" borderId="67" xfId="2" applyFont="1" applyBorder="1" applyAlignment="1">
      <alignment horizontal="left" vertical="center" wrapText="1"/>
    </xf>
    <xf numFmtId="0" fontId="35" fillId="0" borderId="67" xfId="2" quotePrefix="1" applyFont="1" applyBorder="1" applyAlignment="1">
      <alignment horizontal="center" vertical="center"/>
    </xf>
    <xf numFmtId="3" fontId="35" fillId="0" borderId="67" xfId="2" quotePrefix="1" applyNumberFormat="1" applyFont="1" applyBorder="1" applyAlignment="1">
      <alignment horizontal="center" vertical="center"/>
    </xf>
    <xf numFmtId="44" fontId="28" fillId="15" borderId="77" xfId="0" applyNumberFormat="1" applyFont="1" applyFill="1" applyBorder="1"/>
    <xf numFmtId="44" fontId="28" fillId="15" borderId="78" xfId="8" applyFont="1" applyFill="1" applyBorder="1"/>
    <xf numFmtId="44" fontId="27" fillId="10" borderId="70" xfId="8" applyFont="1" applyFill="1" applyBorder="1" applyAlignment="1">
      <alignment horizontal="right"/>
    </xf>
    <xf numFmtId="44" fontId="15" fillId="14" borderId="70" xfId="8" applyFont="1" applyFill="1" applyBorder="1" applyAlignment="1">
      <alignment vertical="center"/>
    </xf>
    <xf numFmtId="44" fontId="15" fillId="13" borderId="70" xfId="8" applyFont="1" applyFill="1" applyBorder="1" applyAlignment="1">
      <alignment vertical="center"/>
    </xf>
    <xf numFmtId="44" fontId="15" fillId="13" borderId="71" xfId="8" applyFont="1" applyFill="1" applyBorder="1" applyAlignment="1">
      <alignment vertical="center"/>
    </xf>
    <xf numFmtId="44" fontId="27" fillId="10" borderId="85" xfId="8" applyFont="1" applyFill="1" applyBorder="1" applyAlignment="1">
      <alignment horizontal="right"/>
    </xf>
    <xf numFmtId="44" fontId="15" fillId="14" borderId="85" xfId="8" applyFont="1" applyFill="1" applyBorder="1" applyAlignment="1">
      <alignment vertical="center"/>
    </xf>
    <xf numFmtId="44" fontId="15" fillId="13" borderId="85" xfId="8" applyFont="1" applyFill="1" applyBorder="1" applyAlignment="1">
      <alignment vertical="center"/>
    </xf>
    <xf numFmtId="44" fontId="15" fillId="13" borderId="86" xfId="8" applyFont="1" applyFill="1" applyBorder="1" applyAlignment="1">
      <alignment vertical="center"/>
    </xf>
    <xf numFmtId="170" fontId="27" fillId="10" borderId="60" xfId="8" applyNumberFormat="1" applyFont="1" applyFill="1" applyBorder="1" applyAlignment="1">
      <alignment horizontal="right"/>
    </xf>
    <xf numFmtId="170" fontId="27" fillId="10" borderId="64" xfId="8" applyNumberFormat="1" applyFont="1" applyFill="1" applyBorder="1" applyAlignment="1">
      <alignment horizontal="right"/>
    </xf>
    <xf numFmtId="0" fontId="33" fillId="18" borderId="48" xfId="0" applyFont="1" applyFill="1" applyBorder="1" applyAlignment="1">
      <alignment horizontal="center"/>
    </xf>
    <xf numFmtId="0" fontId="33" fillId="18" borderId="88" xfId="0" applyFont="1" applyFill="1" applyBorder="1" applyAlignment="1">
      <alignment horizontal="center"/>
    </xf>
    <xf numFmtId="0" fontId="33" fillId="18" borderId="36" xfId="0" applyFont="1" applyFill="1" applyBorder="1"/>
    <xf numFmtId="0" fontId="33" fillId="18" borderId="47" xfId="0" applyFont="1" applyFill="1" applyBorder="1" applyAlignment="1">
      <alignment horizontal="center"/>
    </xf>
    <xf numFmtId="44" fontId="35" fillId="0" borderId="67" xfId="10" applyFont="1" applyBorder="1" applyAlignment="1">
      <alignment horizontal="right" vertical="center"/>
    </xf>
    <xf numFmtId="0" fontId="2" fillId="17" borderId="83" xfId="0" applyFont="1" applyFill="1" applyBorder="1" applyAlignment="1">
      <alignment vertical="center"/>
    </xf>
    <xf numFmtId="0" fontId="2" fillId="0" borderId="61" xfId="0" applyFont="1" applyBorder="1" applyAlignment="1">
      <alignment vertical="center"/>
    </xf>
    <xf numFmtId="0" fontId="2" fillId="0" borderId="69" xfId="0" applyFont="1" applyBorder="1" applyAlignment="1">
      <alignment vertical="center"/>
    </xf>
    <xf numFmtId="44" fontId="2" fillId="17" borderId="84" xfId="0" applyNumberFormat="1" applyFont="1" applyFill="1" applyBorder="1" applyAlignment="1">
      <alignment vertical="center"/>
    </xf>
    <xf numFmtId="44" fontId="2" fillId="0" borderId="64" xfId="0" applyNumberFormat="1" applyFont="1" applyBorder="1" applyAlignment="1">
      <alignment vertical="center"/>
    </xf>
    <xf numFmtId="44" fontId="2" fillId="0" borderId="71" xfId="0" applyNumberFormat="1" applyFont="1" applyBorder="1" applyAlignment="1">
      <alignment vertical="center"/>
    </xf>
    <xf numFmtId="0" fontId="24" fillId="0" borderId="0" xfId="0" applyFont="1"/>
    <xf numFmtId="0" fontId="0" fillId="0" borderId="80" xfId="0" applyBorder="1" applyAlignment="1">
      <alignment horizontal="center" vertical="center"/>
    </xf>
    <xf numFmtId="0" fontId="0" fillId="0" borderId="81" xfId="0" applyBorder="1" applyAlignment="1">
      <alignment horizontal="center" vertical="center"/>
    </xf>
    <xf numFmtId="0" fontId="0" fillId="0" borderId="82" xfId="0" applyBorder="1" applyAlignment="1">
      <alignment horizontal="center" vertical="center"/>
    </xf>
    <xf numFmtId="0" fontId="0" fillId="0" borderId="0" xfId="0" applyAlignment="1">
      <alignment vertical="center"/>
    </xf>
    <xf numFmtId="0" fontId="2" fillId="19" borderId="0" xfId="0" applyFont="1" applyFill="1"/>
    <xf numFmtId="1" fontId="23" fillId="12" borderId="61" xfId="0" applyNumberFormat="1" applyFont="1" applyFill="1" applyBorder="1" applyAlignment="1">
      <alignment horizontal="center" vertical="center"/>
    </xf>
    <xf numFmtId="1" fontId="23" fillId="12" borderId="60" xfId="0" applyNumberFormat="1" applyFont="1" applyFill="1" applyBorder="1" applyAlignment="1">
      <alignment horizontal="center" vertical="center"/>
    </xf>
    <xf numFmtId="1" fontId="23" fillId="12" borderId="50" xfId="0" applyNumberFormat="1" applyFont="1" applyFill="1" applyBorder="1" applyAlignment="1">
      <alignment horizontal="center" vertical="center"/>
    </xf>
    <xf numFmtId="1" fontId="23" fillId="12" borderId="67" xfId="0" applyNumberFormat="1" applyFont="1" applyFill="1" applyBorder="1" applyAlignment="1">
      <alignment horizontal="center" vertical="center"/>
    </xf>
    <xf numFmtId="1" fontId="23" fillId="12" borderId="62" xfId="0" applyNumberFormat="1" applyFont="1" applyFill="1" applyBorder="1" applyAlignment="1">
      <alignment horizontal="center" vertical="center"/>
    </xf>
    <xf numFmtId="1" fontId="23" fillId="12" borderId="59" xfId="0" applyNumberFormat="1" applyFont="1" applyFill="1" applyBorder="1" applyAlignment="1">
      <alignment horizontal="center" vertical="center"/>
    </xf>
    <xf numFmtId="0" fontId="28" fillId="15" borderId="6" xfId="0" applyFont="1" applyFill="1" applyBorder="1" applyAlignment="1">
      <alignment horizontal="center"/>
    </xf>
    <xf numFmtId="0" fontId="28" fillId="15" borderId="35" xfId="0" applyFont="1" applyFill="1" applyBorder="1" applyAlignment="1">
      <alignment horizontal="center"/>
    </xf>
    <xf numFmtId="44" fontId="0" fillId="20" borderId="61" xfId="0" applyNumberFormat="1" applyFill="1" applyBorder="1" applyAlignment="1">
      <alignment vertical="center"/>
    </xf>
    <xf numFmtId="44" fontId="0" fillId="20" borderId="7" xfId="0" applyNumberFormat="1" applyFill="1" applyBorder="1" applyAlignment="1">
      <alignment vertical="center"/>
    </xf>
    <xf numFmtId="44" fontId="2" fillId="20" borderId="77" xfId="0" applyNumberFormat="1" applyFont="1" applyFill="1" applyBorder="1" applyAlignment="1">
      <alignment horizontal="left" vertical="center"/>
    </xf>
    <xf numFmtId="44" fontId="34" fillId="20" borderId="36" xfId="0" applyNumberFormat="1" applyFont="1" applyFill="1" applyBorder="1" applyAlignment="1">
      <alignment horizontal="left" vertical="center"/>
    </xf>
    <xf numFmtId="0" fontId="2" fillId="19" borderId="91" xfId="0" applyFont="1" applyFill="1" applyBorder="1" applyAlignment="1">
      <alignment horizontal="left" vertical="center"/>
    </xf>
    <xf numFmtId="44" fontId="2" fillId="19" borderId="91" xfId="0" applyNumberFormat="1" applyFont="1" applyFill="1" applyBorder="1" applyAlignment="1">
      <alignment horizontal="center" vertical="center"/>
    </xf>
    <xf numFmtId="0" fontId="34" fillId="0" borderId="61" xfId="0" applyFont="1" applyBorder="1" applyAlignment="1">
      <alignment horizontal="left" vertical="center"/>
    </xf>
    <xf numFmtId="44" fontId="34" fillId="0" borderId="64" xfId="0" applyNumberFormat="1" applyFont="1" applyBorder="1" applyAlignment="1">
      <alignment horizontal="center" vertical="center"/>
    </xf>
    <xf numFmtId="0" fontId="2" fillId="19" borderId="87" xfId="0" applyFont="1" applyFill="1" applyBorder="1" applyAlignment="1">
      <alignment horizontal="left" vertical="center"/>
    </xf>
    <xf numFmtId="44" fontId="2" fillId="19" borderId="87" xfId="0" applyNumberFormat="1" applyFont="1" applyFill="1" applyBorder="1" applyAlignment="1">
      <alignment horizontal="center" vertical="center"/>
    </xf>
    <xf numFmtId="44" fontId="0" fillId="0" borderId="0" xfId="0" applyNumberFormat="1" applyAlignment="1">
      <alignment vertical="center"/>
    </xf>
    <xf numFmtId="44" fontId="0" fillId="20" borderId="65" xfId="0" applyNumberFormat="1" applyFill="1" applyBorder="1" applyAlignment="1">
      <alignment vertical="center"/>
    </xf>
    <xf numFmtId="44" fontId="0" fillId="20" borderId="92" xfId="0" applyNumberFormat="1" applyFill="1" applyBorder="1" applyAlignment="1">
      <alignment vertical="center"/>
    </xf>
    <xf numFmtId="44" fontId="0" fillId="20" borderId="69" xfId="0" applyNumberFormat="1" applyFill="1" applyBorder="1" applyAlignment="1">
      <alignment vertical="center"/>
    </xf>
    <xf numFmtId="44" fontId="0" fillId="20" borderId="93" xfId="0" applyNumberFormat="1" applyFill="1" applyBorder="1" applyAlignment="1">
      <alignment vertical="center"/>
    </xf>
    <xf numFmtId="9" fontId="34" fillId="17" borderId="36" xfId="1" applyFont="1" applyFill="1" applyBorder="1" applyAlignment="1">
      <alignment horizontal="center" vertical="center"/>
    </xf>
    <xf numFmtId="44" fontId="30" fillId="15" borderId="17" xfId="8" applyFont="1" applyFill="1" applyBorder="1" applyAlignment="1">
      <alignment horizontal="center"/>
    </xf>
    <xf numFmtId="44" fontId="30" fillId="15" borderId="18" xfId="8" applyFont="1" applyFill="1" applyBorder="1" applyAlignment="1">
      <alignment horizontal="center"/>
    </xf>
    <xf numFmtId="1" fontId="23" fillId="12" borderId="94" xfId="0" applyNumberFormat="1" applyFont="1" applyFill="1" applyBorder="1" applyAlignment="1">
      <alignment horizontal="center" vertical="center"/>
    </xf>
    <xf numFmtId="1" fontId="23" fillId="12" borderId="7" xfId="0" applyNumberFormat="1" applyFont="1" applyFill="1" applyBorder="1" applyAlignment="1">
      <alignment horizontal="center" vertical="center"/>
    </xf>
    <xf numFmtId="44" fontId="23" fillId="12" borderId="7" xfId="8" applyFont="1" applyFill="1" applyBorder="1" applyAlignment="1">
      <alignment vertical="center"/>
    </xf>
    <xf numFmtId="44" fontId="23" fillId="14" borderId="7" xfId="8" applyFont="1" applyFill="1" applyBorder="1" applyAlignment="1">
      <alignment vertical="center"/>
    </xf>
    <xf numFmtId="9" fontId="23" fillId="13" borderId="7" xfId="1" applyFont="1" applyFill="1" applyBorder="1" applyAlignment="1">
      <alignment vertical="center"/>
    </xf>
    <xf numFmtId="44" fontId="23" fillId="13" borderId="7" xfId="8" applyFont="1" applyFill="1" applyBorder="1" applyAlignment="1">
      <alignment vertical="center"/>
    </xf>
    <xf numFmtId="44" fontId="0" fillId="0" borderId="0" xfId="0" applyNumberFormat="1"/>
    <xf numFmtId="0" fontId="36" fillId="0" borderId="0" xfId="0" applyFont="1"/>
    <xf numFmtId="0" fontId="36" fillId="0" borderId="0" xfId="0" applyFont="1" applyAlignment="1">
      <alignment horizontal="center"/>
    </xf>
    <xf numFmtId="44" fontId="35" fillId="0" borderId="60" xfId="8" applyFont="1" applyBorder="1" applyAlignment="1">
      <alignment vertical="center"/>
    </xf>
    <xf numFmtId="44" fontId="37" fillId="12" borderId="67" xfId="8" applyFont="1" applyFill="1" applyBorder="1" applyAlignment="1">
      <alignment vertical="center"/>
    </xf>
    <xf numFmtId="9" fontId="34" fillId="17" borderId="80" xfId="1" applyFont="1" applyFill="1" applyBorder="1" applyAlignment="1">
      <alignment horizontal="center" vertical="center"/>
    </xf>
    <xf numFmtId="9" fontId="34" fillId="0" borderId="89" xfId="1" applyFont="1" applyFill="1" applyBorder="1" applyAlignment="1">
      <alignment horizontal="center" vertical="center"/>
    </xf>
    <xf numFmtId="9" fontId="34" fillId="17" borderId="87" xfId="1" applyFont="1" applyFill="1" applyBorder="1" applyAlignment="1">
      <alignment horizontal="center" vertical="center"/>
    </xf>
    <xf numFmtId="44" fontId="29" fillId="12" borderId="59" xfId="8" applyFont="1" applyFill="1" applyBorder="1" applyAlignment="1">
      <alignment vertical="center"/>
    </xf>
    <xf numFmtId="0" fontId="23" fillId="0" borderId="0" xfId="0" applyFont="1"/>
    <xf numFmtId="0" fontId="23" fillId="0" borderId="0" xfId="0" applyFont="1" applyAlignment="1">
      <alignment horizontal="center"/>
    </xf>
    <xf numFmtId="16" fontId="23" fillId="18" borderId="11" xfId="0" applyNumberFormat="1" applyFont="1" applyFill="1" applyBorder="1"/>
    <xf numFmtId="16" fontId="23" fillId="18" borderId="12" xfId="0" applyNumberFormat="1" applyFont="1" applyFill="1" applyBorder="1"/>
    <xf numFmtId="16" fontId="23" fillId="22" borderId="14" xfId="0" applyNumberFormat="1" applyFont="1" applyFill="1" applyBorder="1"/>
    <xf numFmtId="16" fontId="23" fillId="22" borderId="15" xfId="0" applyNumberFormat="1" applyFont="1" applyFill="1" applyBorder="1"/>
    <xf numFmtId="0" fontId="23" fillId="23" borderId="17" xfId="0" applyFont="1" applyFill="1" applyBorder="1" applyAlignment="1">
      <alignment horizontal="right"/>
    </xf>
    <xf numFmtId="0" fontId="23" fillId="23" borderId="0" xfId="0" applyFont="1" applyFill="1" applyAlignment="1">
      <alignment horizontal="right"/>
    </xf>
    <xf numFmtId="0" fontId="41" fillId="24" borderId="14" xfId="0" applyFont="1" applyFill="1" applyBorder="1"/>
    <xf numFmtId="0" fontId="41" fillId="24" borderId="15" xfId="0" applyFont="1" applyFill="1" applyBorder="1"/>
    <xf numFmtId="164" fontId="4" fillId="0" borderId="0" xfId="2" applyNumberFormat="1" applyFont="1" applyAlignment="1" applyProtection="1">
      <alignment horizontal="left" vertical="center"/>
      <protection locked="0"/>
    </xf>
    <xf numFmtId="0" fontId="4" fillId="0" borderId="0" xfId="2" applyFont="1" applyAlignment="1" applyProtection="1">
      <alignment horizontal="left" vertical="center"/>
      <protection locked="0"/>
    </xf>
    <xf numFmtId="14" fontId="4" fillId="0" borderId="0" xfId="2" applyNumberFormat="1" applyFont="1" applyAlignment="1" applyProtection="1">
      <alignment horizontal="left" vertical="center"/>
      <protection locked="0"/>
    </xf>
    <xf numFmtId="0" fontId="24" fillId="25" borderId="60" xfId="0" applyFont="1" applyFill="1" applyBorder="1" applyAlignment="1">
      <alignment horizontal="center"/>
    </xf>
    <xf numFmtId="164" fontId="4" fillId="0" borderId="60" xfId="2" applyNumberFormat="1" applyFont="1" applyBorder="1" applyAlignment="1" applyProtection="1">
      <alignment horizontal="left" vertical="center"/>
      <protection locked="0"/>
    </xf>
    <xf numFmtId="44" fontId="24" fillId="0" borderId="60" xfId="0" applyNumberFormat="1" applyFont="1" applyBorder="1"/>
    <xf numFmtId="9" fontId="24" fillId="0" borderId="60" xfId="1" applyFont="1" applyBorder="1" applyAlignment="1">
      <alignment horizontal="center"/>
    </xf>
    <xf numFmtId="44" fontId="24" fillId="25" borderId="60" xfId="0" applyNumberFormat="1" applyFont="1" applyFill="1" applyBorder="1" applyAlignment="1">
      <alignment horizontal="center"/>
    </xf>
    <xf numFmtId="0" fontId="24" fillId="0" borderId="48" xfId="0" applyFont="1" applyBorder="1"/>
    <xf numFmtId="170" fontId="24" fillId="0" borderId="95" xfId="0" applyNumberFormat="1" applyFont="1" applyBorder="1" applyAlignment="1">
      <alignment horizontal="center"/>
    </xf>
    <xf numFmtId="44" fontId="24" fillId="0" borderId="95" xfId="0" applyNumberFormat="1" applyFont="1" applyBorder="1"/>
    <xf numFmtId="0" fontId="24" fillId="0" borderId="96" xfId="0" applyFont="1" applyBorder="1"/>
    <xf numFmtId="170" fontId="24" fillId="0" borderId="97" xfId="0" applyNumberFormat="1" applyFont="1" applyBorder="1" applyAlignment="1">
      <alignment horizontal="center"/>
    </xf>
    <xf numFmtId="9" fontId="24" fillId="0" borderId="86" xfId="1" applyFont="1" applyBorder="1" applyAlignment="1">
      <alignment horizontal="center"/>
    </xf>
    <xf numFmtId="44" fontId="24" fillId="25" borderId="60" xfId="0" applyNumberFormat="1" applyFont="1" applyFill="1" applyBorder="1"/>
    <xf numFmtId="0" fontId="42" fillId="0" borderId="0" xfId="0" applyFont="1"/>
    <xf numFmtId="0" fontId="43" fillId="0" borderId="0" xfId="0" applyFont="1" applyAlignment="1">
      <alignment horizontal="left"/>
    </xf>
    <xf numFmtId="44" fontId="42" fillId="0" borderId="0" xfId="0" applyNumberFormat="1" applyFont="1"/>
    <xf numFmtId="0" fontId="15" fillId="0" borderId="0" xfId="0" applyFont="1" applyAlignment="1">
      <alignment horizontal="left"/>
    </xf>
    <xf numFmtId="9" fontId="44" fillId="0" borderId="0" xfId="1" applyFont="1"/>
    <xf numFmtId="0" fontId="44" fillId="0" borderId="0" xfId="0" applyFont="1"/>
    <xf numFmtId="44" fontId="45" fillId="0" borderId="60" xfId="8" applyFont="1" applyBorder="1"/>
    <xf numFmtId="44" fontId="46" fillId="0" borderId="60" xfId="8" applyFont="1" applyBorder="1"/>
    <xf numFmtId="49" fontId="6" fillId="0" borderId="0" xfId="2" applyNumberFormat="1" applyFont="1" applyAlignment="1">
      <alignment horizontal="left" vertical="center" wrapText="1"/>
    </xf>
    <xf numFmtId="0" fontId="6" fillId="0" borderId="0" xfId="2" applyFont="1" applyAlignment="1">
      <alignment horizontal="left" vertical="center" wrapText="1"/>
    </xf>
    <xf numFmtId="0" fontId="42" fillId="0" borderId="0" xfId="0" applyFont="1" applyAlignment="1">
      <alignment horizontal="center"/>
    </xf>
    <xf numFmtId="14" fontId="6" fillId="0" borderId="30" xfId="2" applyNumberFormat="1" applyFont="1" applyBorder="1" applyAlignment="1" applyProtection="1">
      <alignment horizontal="left" vertical="center"/>
      <protection locked="0"/>
    </xf>
    <xf numFmtId="49" fontId="42" fillId="0" borderId="0" xfId="0" applyNumberFormat="1" applyFont="1"/>
    <xf numFmtId="0" fontId="42" fillId="0" borderId="0" xfId="1" applyNumberFormat="1" applyFont="1"/>
    <xf numFmtId="165" fontId="47" fillId="6" borderId="36" xfId="4" applyFont="1" applyFill="1" applyBorder="1" applyAlignment="1">
      <alignment horizontal="center" vertical="center" wrapText="1"/>
    </xf>
    <xf numFmtId="168" fontId="44" fillId="0" borderId="5" xfId="1" applyNumberFormat="1" applyFont="1" applyBorder="1"/>
    <xf numFmtId="166" fontId="47" fillId="0" borderId="38" xfId="4" applyNumberFormat="1" applyFont="1" applyBorder="1" applyAlignment="1">
      <alignment horizontal="center" vertical="center" wrapText="1"/>
    </xf>
    <xf numFmtId="0" fontId="48" fillId="0" borderId="0" xfId="0" applyFont="1"/>
    <xf numFmtId="0" fontId="49" fillId="0" borderId="43" xfId="0" applyFont="1" applyBorder="1" applyAlignment="1">
      <alignment horizontal="left" vertical="center"/>
    </xf>
    <xf numFmtId="49" fontId="49" fillId="0" borderId="44" xfId="0" applyNumberFormat="1" applyFont="1" applyBorder="1" applyAlignment="1">
      <alignment horizontal="left" vertical="center"/>
    </xf>
    <xf numFmtId="0" fontId="49" fillId="0" borderId="45" xfId="0" applyFont="1" applyBorder="1" applyAlignment="1">
      <alignment horizontal="left" vertical="center"/>
    </xf>
    <xf numFmtId="0" fontId="49" fillId="0" borderId="43" xfId="0" applyFont="1" applyBorder="1" applyAlignment="1">
      <alignment horizontal="left" vertical="center" wrapText="1"/>
    </xf>
    <xf numFmtId="0" fontId="6" fillId="6" borderId="65" xfId="3" applyFont="1" applyFill="1" applyBorder="1" applyAlignment="1">
      <alignment horizontal="left" vertical="center"/>
    </xf>
    <xf numFmtId="0" fontId="6" fillId="6" borderId="66" xfId="3" applyFont="1" applyFill="1" applyBorder="1" applyAlignment="1">
      <alignment horizontal="center" vertical="center"/>
    </xf>
    <xf numFmtId="0" fontId="15" fillId="6" borderId="66" xfId="3" applyFont="1" applyFill="1" applyBorder="1" applyAlignment="1">
      <alignment horizontal="center" vertical="center"/>
    </xf>
    <xf numFmtId="169" fontId="15" fillId="6" borderId="66" xfId="3" applyNumberFormat="1" applyFont="1" applyFill="1" applyBorder="1" applyAlignment="1">
      <alignment horizontal="center" vertical="center" wrapText="1"/>
    </xf>
    <xf numFmtId="0" fontId="15" fillId="6" borderId="66" xfId="3" applyFont="1" applyFill="1" applyBorder="1" applyAlignment="1">
      <alignment horizontal="center" vertical="center" wrapText="1"/>
    </xf>
    <xf numFmtId="171" fontId="15" fillId="6" borderId="66" xfId="1" applyNumberFormat="1" applyFont="1" applyFill="1" applyBorder="1" applyAlignment="1">
      <alignment horizontal="center" vertical="center" wrapText="1"/>
    </xf>
    <xf numFmtId="10" fontId="15" fillId="6" borderId="66" xfId="1" applyNumberFormat="1" applyFont="1" applyFill="1" applyBorder="1" applyAlignment="1">
      <alignment horizontal="center" vertical="center" wrapText="1"/>
    </xf>
    <xf numFmtId="0" fontId="15" fillId="6" borderId="68" xfId="3" applyFont="1" applyFill="1" applyBorder="1" applyAlignment="1">
      <alignment horizontal="center" vertical="center" wrapText="1"/>
    </xf>
    <xf numFmtId="37" fontId="47" fillId="6" borderId="65" xfId="3" applyNumberFormat="1" applyFont="1" applyFill="1" applyBorder="1" applyAlignment="1">
      <alignment horizontal="center" vertical="center"/>
    </xf>
    <xf numFmtId="37" fontId="47" fillId="6" borderId="66" xfId="3" applyNumberFormat="1" applyFont="1" applyFill="1" applyBorder="1" applyAlignment="1">
      <alignment horizontal="center" vertical="center"/>
    </xf>
    <xf numFmtId="40" fontId="47" fillId="6" borderId="66" xfId="4" applyNumberFormat="1" applyFont="1" applyFill="1" applyBorder="1" applyAlignment="1">
      <alignment horizontal="center" vertical="center"/>
    </xf>
    <xf numFmtId="165" fontId="47" fillId="6" borderId="66" xfId="4" applyFont="1" applyFill="1" applyBorder="1" applyAlignment="1">
      <alignment horizontal="right" vertical="center"/>
    </xf>
    <xf numFmtId="40" fontId="47" fillId="6" borderId="66" xfId="4" applyNumberFormat="1" applyFont="1" applyFill="1" applyBorder="1" applyAlignment="1">
      <alignment horizontal="center" vertical="center" wrapText="1"/>
    </xf>
    <xf numFmtId="10" fontId="47" fillId="6" borderId="66" xfId="5" applyNumberFormat="1" applyFont="1" applyFill="1" applyBorder="1" applyAlignment="1">
      <alignment horizontal="center" vertical="center" wrapText="1"/>
    </xf>
    <xf numFmtId="165" fontId="47" fillId="6" borderId="66" xfId="4" applyFont="1" applyFill="1" applyBorder="1" applyAlignment="1">
      <alignment horizontal="center" vertical="center" wrapText="1"/>
    </xf>
    <xf numFmtId="165" fontId="47" fillId="6" borderId="68" xfId="4" applyFont="1" applyFill="1" applyBorder="1" applyAlignment="1">
      <alignment horizontal="center" vertical="center" wrapText="1"/>
    </xf>
    <xf numFmtId="10" fontId="47" fillId="6" borderId="46" xfId="5" applyNumberFormat="1" applyFont="1" applyFill="1" applyBorder="1" applyAlignment="1">
      <alignment horizontal="center" vertical="center" wrapText="1"/>
    </xf>
    <xf numFmtId="10" fontId="47" fillId="6" borderId="47" xfId="5" applyNumberFormat="1" applyFont="1" applyFill="1" applyBorder="1" applyAlignment="1">
      <alignment horizontal="center" vertical="center" wrapText="1"/>
    </xf>
    <xf numFmtId="165" fontId="47" fillId="6" borderId="48" xfId="4" applyFont="1" applyFill="1" applyBorder="1" applyAlignment="1">
      <alignment horizontal="center" vertical="center" wrapText="1"/>
    </xf>
    <xf numFmtId="165" fontId="47" fillId="6" borderId="47" xfId="4" applyFont="1" applyFill="1" applyBorder="1" applyAlignment="1">
      <alignment horizontal="center" vertical="center" wrapText="1"/>
    </xf>
    <xf numFmtId="37" fontId="47" fillId="6" borderId="3" xfId="3" applyNumberFormat="1" applyFont="1" applyFill="1" applyBorder="1" applyAlignment="1">
      <alignment horizontal="center" vertical="center"/>
    </xf>
    <xf numFmtId="40" fontId="47" fillId="6" borderId="49" xfId="4" applyNumberFormat="1" applyFont="1" applyFill="1" applyBorder="1" applyAlignment="1">
      <alignment horizontal="center" vertical="center"/>
    </xf>
    <xf numFmtId="166" fontId="43" fillId="6" borderId="50" xfId="4" applyNumberFormat="1" applyFont="1" applyFill="1" applyBorder="1" applyAlignment="1">
      <alignment horizontal="center" vertical="center" wrapText="1"/>
    </xf>
    <xf numFmtId="166" fontId="50" fillId="6" borderId="51" xfId="4" applyNumberFormat="1" applyFont="1" applyFill="1" applyBorder="1" applyAlignment="1">
      <alignment horizontal="center" vertical="center" wrapText="1"/>
    </xf>
    <xf numFmtId="49" fontId="49" fillId="0" borderId="44" xfId="0" applyNumberFormat="1" applyFont="1" applyBorder="1" applyAlignment="1">
      <alignment horizontal="left" vertical="center" wrapText="1"/>
    </xf>
    <xf numFmtId="0" fontId="49" fillId="0" borderId="45" xfId="0" applyFont="1" applyBorder="1" applyAlignment="1">
      <alignment horizontal="left" vertical="center" wrapText="1"/>
    </xf>
    <xf numFmtId="0" fontId="15" fillId="11" borderId="60" xfId="0" applyFont="1" applyFill="1" applyBorder="1" applyAlignment="1">
      <alignment horizontal="center" vertical="center"/>
    </xf>
    <xf numFmtId="0" fontId="15" fillId="11" borderId="64" xfId="0" applyFont="1" applyFill="1" applyBorder="1" applyAlignment="1">
      <alignment horizontal="center" vertical="center"/>
    </xf>
    <xf numFmtId="0" fontId="44" fillId="11" borderId="10" xfId="0" applyFont="1" applyFill="1" applyBorder="1" applyAlignment="1">
      <alignment horizontal="center" vertical="center"/>
    </xf>
    <xf numFmtId="0" fontId="44" fillId="11" borderId="60" xfId="0" applyFont="1" applyFill="1" applyBorder="1" applyAlignment="1">
      <alignment horizontal="center" vertical="center"/>
    </xf>
    <xf numFmtId="0" fontId="49" fillId="0" borderId="61" xfId="0" applyFont="1" applyBorder="1" applyAlignment="1">
      <alignment horizontal="left" vertical="center" wrapText="1"/>
    </xf>
    <xf numFmtId="0" fontId="49" fillId="0" borderId="60" xfId="0" applyFont="1" applyBorder="1" applyAlignment="1">
      <alignment horizontal="left" vertical="center" wrapText="1"/>
    </xf>
    <xf numFmtId="0" fontId="49" fillId="0" borderId="60" xfId="0" applyFont="1" applyBorder="1" applyAlignment="1">
      <alignment horizontal="center" vertical="center"/>
    </xf>
    <xf numFmtId="44" fontId="49" fillId="0" borderId="60" xfId="8" applyFont="1" applyBorder="1" applyAlignment="1">
      <alignment vertical="center"/>
    </xf>
    <xf numFmtId="44" fontId="49" fillId="0" borderId="64" xfId="8" applyFont="1" applyBorder="1" applyAlignment="1">
      <alignment vertical="center"/>
    </xf>
    <xf numFmtId="1" fontId="49" fillId="12" borderId="61" xfId="0" applyNumberFormat="1" applyFont="1" applyFill="1" applyBorder="1" applyAlignment="1">
      <alignment horizontal="center" vertical="center"/>
    </xf>
    <xf numFmtId="1" fontId="49" fillId="12" borderId="60" xfId="0" applyNumberFormat="1" applyFont="1" applyFill="1" applyBorder="1" applyAlignment="1">
      <alignment horizontal="center" vertical="center"/>
    </xf>
    <xf numFmtId="44" fontId="49" fillId="12" borderId="60" xfId="8" applyFont="1" applyFill="1" applyBorder="1" applyAlignment="1">
      <alignment vertical="center"/>
    </xf>
    <xf numFmtId="44" fontId="49" fillId="14" borderId="60" xfId="8" applyFont="1" applyFill="1" applyBorder="1" applyAlignment="1">
      <alignment vertical="center"/>
    </xf>
    <xf numFmtId="9" fontId="49" fillId="13" borderId="60" xfId="1" applyFont="1" applyFill="1" applyBorder="1" applyAlignment="1">
      <alignment vertical="center"/>
    </xf>
    <xf numFmtId="44" fontId="49" fillId="13" borderId="60" xfId="8" applyFont="1" applyFill="1" applyBorder="1" applyAlignment="1">
      <alignment vertical="center"/>
    </xf>
    <xf numFmtId="44" fontId="49" fillId="13" borderId="64" xfId="8" applyFont="1" applyFill="1" applyBorder="1" applyAlignment="1">
      <alignment vertical="center"/>
    </xf>
    <xf numFmtId="10" fontId="49" fillId="14" borderId="10" xfId="0" applyNumberFormat="1" applyFont="1" applyFill="1" applyBorder="1" applyAlignment="1">
      <alignment horizontal="center" vertical="center"/>
    </xf>
    <xf numFmtId="10" fontId="49" fillId="14" borderId="60" xfId="0" applyNumberFormat="1" applyFont="1" applyFill="1" applyBorder="1" applyAlignment="1">
      <alignment horizontal="center" vertical="center"/>
    </xf>
    <xf numFmtId="0" fontId="42" fillId="17" borderId="0" xfId="0" applyFont="1" applyFill="1"/>
    <xf numFmtId="44" fontId="51" fillId="0" borderId="60" xfId="8" applyFont="1" applyBorder="1"/>
    <xf numFmtId="44" fontId="52" fillId="0" borderId="60" xfId="8" applyFont="1" applyBorder="1"/>
    <xf numFmtId="44" fontId="49" fillId="17" borderId="60" xfId="8" applyFont="1" applyFill="1" applyBorder="1" applyAlignment="1">
      <alignment vertical="center"/>
    </xf>
    <xf numFmtId="0" fontId="42" fillId="13" borderId="60" xfId="0" applyFont="1" applyFill="1" applyBorder="1"/>
    <xf numFmtId="44" fontId="54" fillId="12" borderId="60" xfId="8" applyFont="1" applyFill="1" applyBorder="1" applyAlignment="1">
      <alignment vertical="center"/>
    </xf>
    <xf numFmtId="44" fontId="55" fillId="12" borderId="60" xfId="8" applyFont="1" applyFill="1" applyBorder="1" applyAlignment="1">
      <alignment vertical="center"/>
    </xf>
    <xf numFmtId="44" fontId="53" fillId="12" borderId="60" xfId="8" applyFont="1" applyFill="1" applyBorder="1" applyAlignment="1">
      <alignment vertical="center"/>
    </xf>
    <xf numFmtId="0" fontId="49" fillId="0" borderId="55" xfId="0" applyFont="1" applyBorder="1" applyAlignment="1">
      <alignment horizontal="left" vertical="center" wrapText="1"/>
    </xf>
    <xf numFmtId="0" fontId="49" fillId="0" borderId="0" xfId="0" applyFont="1" applyAlignment="1">
      <alignment horizontal="left" vertical="center" wrapText="1"/>
    </xf>
    <xf numFmtId="44" fontId="57" fillId="12" borderId="60" xfId="8" applyFont="1" applyFill="1" applyBorder="1" applyAlignment="1">
      <alignment vertical="center"/>
    </xf>
    <xf numFmtId="9" fontId="49" fillId="13" borderId="70" xfId="1" applyFont="1" applyFill="1" applyBorder="1" applyAlignment="1">
      <alignment vertical="center"/>
    </xf>
    <xf numFmtId="44" fontId="49" fillId="13" borderId="70" xfId="8" applyFont="1" applyFill="1" applyBorder="1" applyAlignment="1">
      <alignment vertical="center"/>
    </xf>
    <xf numFmtId="10" fontId="49" fillId="14" borderId="0" xfId="0" applyNumberFormat="1" applyFont="1" applyFill="1" applyAlignment="1">
      <alignment horizontal="center" vertical="center"/>
    </xf>
    <xf numFmtId="44" fontId="15" fillId="11" borderId="60" xfId="8" applyFont="1" applyFill="1" applyBorder="1" applyAlignment="1">
      <alignment horizontal="center" vertical="center"/>
    </xf>
    <xf numFmtId="44" fontId="15" fillId="11" borderId="64" xfId="8" applyFont="1" applyFill="1" applyBorder="1" applyAlignment="1">
      <alignment horizontal="center" vertical="center"/>
    </xf>
    <xf numFmtId="10" fontId="15" fillId="11" borderId="10" xfId="0" applyNumberFormat="1" applyFont="1" applyFill="1" applyBorder="1" applyAlignment="1">
      <alignment horizontal="center" vertical="center"/>
    </xf>
    <xf numFmtId="10" fontId="15" fillId="11" borderId="60" xfId="0" applyNumberFormat="1" applyFont="1" applyFill="1" applyBorder="1" applyAlignment="1">
      <alignment horizontal="center" vertical="center"/>
    </xf>
    <xf numFmtId="1" fontId="49" fillId="12" borderId="62" xfId="0" applyNumberFormat="1" applyFont="1" applyFill="1" applyBorder="1" applyAlignment="1">
      <alignment horizontal="center" vertical="center"/>
    </xf>
    <xf numFmtId="1" fontId="49" fillId="12" borderId="59" xfId="0" applyNumberFormat="1" applyFont="1" applyFill="1" applyBorder="1" applyAlignment="1">
      <alignment horizontal="center" vertical="center"/>
    </xf>
    <xf numFmtId="44" fontId="57" fillId="12" borderId="59" xfId="8" applyFont="1" applyFill="1" applyBorder="1" applyAlignment="1">
      <alignment vertical="center"/>
    </xf>
    <xf numFmtId="44" fontId="49" fillId="14" borderId="59" xfId="8" applyFont="1" applyFill="1" applyBorder="1" applyAlignment="1">
      <alignment vertical="center"/>
    </xf>
    <xf numFmtId="9" fontId="49" fillId="13" borderId="59" xfId="1" applyFont="1" applyFill="1" applyBorder="1" applyAlignment="1">
      <alignment vertical="center"/>
    </xf>
    <xf numFmtId="44" fontId="49" fillId="13" borderId="59" xfId="8" applyFont="1" applyFill="1" applyBorder="1" applyAlignment="1">
      <alignment vertical="center"/>
    </xf>
    <xf numFmtId="44" fontId="49" fillId="13" borderId="51" xfId="8" applyFont="1" applyFill="1" applyBorder="1" applyAlignment="1">
      <alignment vertical="center"/>
    </xf>
    <xf numFmtId="0" fontId="49" fillId="0" borderId="56" xfId="0" applyFont="1" applyBorder="1" applyAlignment="1">
      <alignment horizontal="left" vertical="center" wrapText="1"/>
    </xf>
    <xf numFmtId="0" fontId="49" fillId="0" borderId="58" xfId="0" applyFont="1" applyBorder="1" applyAlignment="1">
      <alignment horizontal="left" vertical="center" wrapText="1"/>
    </xf>
    <xf numFmtId="9" fontId="49" fillId="13" borderId="85" xfId="1" applyFont="1" applyFill="1" applyBorder="1" applyAlignment="1">
      <alignment vertical="center"/>
    </xf>
    <xf numFmtId="44" fontId="49" fillId="13" borderId="85" xfId="8" applyFont="1" applyFill="1" applyBorder="1" applyAlignment="1">
      <alignment vertical="center"/>
    </xf>
    <xf numFmtId="0" fontId="15" fillId="0" borderId="60" xfId="0" applyFont="1" applyBorder="1" applyAlignment="1">
      <alignment horizontal="left" vertical="center" wrapText="1"/>
    </xf>
    <xf numFmtId="1" fontId="15" fillId="12" borderId="61" xfId="0" applyNumberFormat="1" applyFont="1" applyFill="1" applyBorder="1" applyAlignment="1">
      <alignment horizontal="center" vertical="center"/>
    </xf>
    <xf numFmtId="1" fontId="15" fillId="12" borderId="60" xfId="0" applyNumberFormat="1" applyFont="1" applyFill="1" applyBorder="1" applyAlignment="1">
      <alignment horizontal="center" vertical="center"/>
    </xf>
    <xf numFmtId="44" fontId="58" fillId="12" borderId="60" xfId="8" applyFont="1" applyFill="1" applyBorder="1" applyAlignment="1">
      <alignment vertical="center"/>
    </xf>
    <xf numFmtId="44" fontId="15" fillId="14" borderId="60" xfId="8" applyFont="1" applyFill="1" applyBorder="1" applyAlignment="1">
      <alignment vertical="center"/>
    </xf>
    <xf numFmtId="44" fontId="15" fillId="13" borderId="60" xfId="8" applyFont="1" applyFill="1" applyBorder="1" applyAlignment="1">
      <alignment vertical="center"/>
    </xf>
    <xf numFmtId="44" fontId="15" fillId="13" borderId="64" xfId="8" applyFont="1" applyFill="1" applyBorder="1" applyAlignment="1">
      <alignment vertical="center"/>
    </xf>
    <xf numFmtId="0" fontId="42" fillId="0" borderId="0" xfId="0" applyFont="1" applyAlignment="1">
      <alignment horizontal="center" vertical="center"/>
    </xf>
    <xf numFmtId="0" fontId="49" fillId="17" borderId="60" xfId="2" applyFont="1" applyFill="1" applyBorder="1" applyAlignment="1">
      <alignment horizontal="left" vertical="center" wrapText="1"/>
    </xf>
    <xf numFmtId="0" fontId="15" fillId="0" borderId="0" xfId="0" applyFont="1"/>
    <xf numFmtId="44" fontId="49" fillId="21" borderId="60" xfId="8" applyFont="1" applyFill="1" applyBorder="1" applyAlignment="1">
      <alignment vertical="center"/>
    </xf>
    <xf numFmtId="44" fontId="15" fillId="12" borderId="60" xfId="8" applyFont="1" applyFill="1" applyBorder="1" applyAlignment="1">
      <alignment vertical="center"/>
    </xf>
    <xf numFmtId="0" fontId="49" fillId="17" borderId="60" xfId="0" applyFont="1" applyFill="1" applyBorder="1" applyAlignment="1">
      <alignment horizontal="center" vertical="center"/>
    </xf>
    <xf numFmtId="44" fontId="49" fillId="0" borderId="67" xfId="8" applyFont="1" applyBorder="1" applyAlignment="1">
      <alignment vertical="center"/>
    </xf>
    <xf numFmtId="44" fontId="49" fillId="0" borderId="51" xfId="8" applyFont="1" applyBorder="1" applyAlignment="1">
      <alignment vertical="center"/>
    </xf>
    <xf numFmtId="44" fontId="59" fillId="12" borderId="59" xfId="8" applyFont="1" applyFill="1" applyBorder="1" applyAlignment="1">
      <alignment vertical="center"/>
    </xf>
    <xf numFmtId="0" fontId="49" fillId="17" borderId="61" xfId="0" applyFont="1" applyFill="1" applyBorder="1" applyAlignment="1">
      <alignment horizontal="left" vertical="center" wrapText="1"/>
    </xf>
    <xf numFmtId="0" fontId="49" fillId="17" borderId="60" xfId="0" applyFont="1" applyFill="1" applyBorder="1" applyAlignment="1">
      <alignment horizontal="left" vertical="center" wrapText="1"/>
    </xf>
    <xf numFmtId="10" fontId="49" fillId="14" borderId="33" xfId="0" applyNumberFormat="1" applyFont="1" applyFill="1" applyBorder="1" applyAlignment="1">
      <alignment horizontal="center" vertical="center"/>
    </xf>
    <xf numFmtId="10" fontId="49" fillId="14" borderId="67" xfId="0" applyNumberFormat="1" applyFont="1" applyFill="1" applyBorder="1" applyAlignment="1">
      <alignment horizontal="center" vertical="center"/>
    </xf>
    <xf numFmtId="44" fontId="27" fillId="15" borderId="12" xfId="8" applyFont="1" applyFill="1" applyBorder="1" applyAlignment="1">
      <alignment horizontal="center"/>
    </xf>
    <xf numFmtId="44" fontId="27" fillId="15" borderId="73" xfId="8" applyFont="1" applyFill="1" applyBorder="1" applyAlignment="1">
      <alignment horizontal="center"/>
    </xf>
    <xf numFmtId="0" fontId="42" fillId="0" borderId="61" xfId="0" applyFont="1" applyBorder="1" applyAlignment="1">
      <alignment horizontal="left" vertical="center" wrapText="1"/>
    </xf>
    <xf numFmtId="0" fontId="42" fillId="0" borderId="60" xfId="0" applyFont="1" applyBorder="1" applyAlignment="1">
      <alignment horizontal="left" vertical="center" wrapText="1"/>
    </xf>
    <xf numFmtId="0" fontId="42" fillId="0" borderId="60" xfId="0" applyFont="1" applyBorder="1" applyAlignment="1">
      <alignment horizontal="center" vertical="center"/>
    </xf>
    <xf numFmtId="44" fontId="60" fillId="17" borderId="60" xfId="8" applyFont="1" applyFill="1" applyBorder="1" applyAlignment="1">
      <alignment vertical="center"/>
    </xf>
    <xf numFmtId="44" fontId="59" fillId="0" borderId="60" xfId="8" applyFont="1" applyBorder="1" applyAlignment="1">
      <alignment vertical="center"/>
    </xf>
    <xf numFmtId="44" fontId="49" fillId="12" borderId="59" xfId="8" applyFont="1" applyFill="1" applyBorder="1" applyAlignment="1">
      <alignment vertical="center"/>
    </xf>
    <xf numFmtId="49" fontId="49" fillId="0" borderId="57" xfId="0" applyNumberFormat="1" applyFont="1" applyBorder="1" applyAlignment="1">
      <alignment horizontal="left" vertical="center" wrapText="1"/>
    </xf>
    <xf numFmtId="0" fontId="27" fillId="15" borderId="69" xfId="0" applyFont="1" applyFill="1" applyBorder="1"/>
    <xf numFmtId="0" fontId="27" fillId="15" borderId="70" xfId="0" applyFont="1" applyFill="1" applyBorder="1"/>
    <xf numFmtId="0" fontId="27" fillId="15" borderId="70" xfId="0" applyFont="1" applyFill="1" applyBorder="1" applyAlignment="1">
      <alignment horizontal="center"/>
    </xf>
    <xf numFmtId="44" fontId="27" fillId="15" borderId="70" xfId="0" applyNumberFormat="1" applyFont="1" applyFill="1" applyBorder="1"/>
    <xf numFmtId="44" fontId="27" fillId="15" borderId="71" xfId="0" applyNumberFormat="1" applyFont="1" applyFill="1" applyBorder="1"/>
    <xf numFmtId="0" fontId="27" fillId="15" borderId="69" xfId="0" applyFont="1" applyFill="1" applyBorder="1" applyAlignment="1">
      <alignment horizontal="center"/>
    </xf>
    <xf numFmtId="9" fontId="27" fillId="15" borderId="15" xfId="1" applyFont="1" applyFill="1" applyBorder="1"/>
    <xf numFmtId="44" fontId="27" fillId="15" borderId="74" xfId="8" applyFont="1" applyFill="1" applyBorder="1"/>
    <xf numFmtId="0" fontId="2" fillId="0" borderId="0" xfId="0" applyFont="1"/>
    <xf numFmtId="170" fontId="24" fillId="25" borderId="98" xfId="0" applyNumberFormat="1" applyFont="1" applyFill="1" applyBorder="1" applyAlignment="1">
      <alignment horizontal="center"/>
    </xf>
    <xf numFmtId="0" fontId="45" fillId="0" borderId="0" xfId="0" applyFont="1" applyAlignment="1">
      <alignment horizontal="left" vertical="center"/>
    </xf>
    <xf numFmtId="44" fontId="25" fillId="0" borderId="0" xfId="0" applyNumberFormat="1" applyFont="1"/>
    <xf numFmtId="44" fontId="23" fillId="0" borderId="0" xfId="0" applyNumberFormat="1" applyFont="1"/>
    <xf numFmtId="170" fontId="24" fillId="0" borderId="95" xfId="0" applyNumberFormat="1" applyFont="1" applyBorder="1" applyAlignment="1">
      <alignment horizontal="center" vertical="center"/>
    </xf>
    <xf numFmtId="170" fontId="24" fillId="25" borderId="60" xfId="0" applyNumberFormat="1" applyFont="1" applyFill="1" applyBorder="1" applyAlignment="1">
      <alignment horizontal="center"/>
    </xf>
    <xf numFmtId="170" fontId="61" fillId="0" borderId="0" xfId="0" applyNumberFormat="1" applyFont="1" applyAlignment="1">
      <alignment horizontal="center"/>
    </xf>
    <xf numFmtId="44" fontId="23" fillId="0" borderId="73" xfId="0" applyNumberFormat="1" applyFont="1" applyBorder="1" applyAlignment="1">
      <alignment horizontal="center" vertical="center"/>
    </xf>
    <xf numFmtId="0" fontId="23" fillId="0" borderId="78" xfId="0" applyFont="1" applyBorder="1" applyAlignment="1">
      <alignment horizontal="center" vertical="center"/>
    </xf>
    <xf numFmtId="0" fontId="24" fillId="25" borderId="6" xfId="0" applyFont="1" applyFill="1" applyBorder="1" applyAlignment="1">
      <alignment horizontal="center"/>
    </xf>
    <xf numFmtId="0" fontId="24" fillId="25" borderId="35" xfId="0" applyFont="1" applyFill="1" applyBorder="1" applyAlignment="1">
      <alignment horizontal="center"/>
    </xf>
    <xf numFmtId="0" fontId="24" fillId="25" borderId="77" xfId="0" applyFont="1" applyFill="1" applyBorder="1" applyAlignment="1">
      <alignment horizontal="center"/>
    </xf>
    <xf numFmtId="44" fontId="24" fillId="0" borderId="53" xfId="0" applyNumberFormat="1" applyFont="1" applyBorder="1" applyAlignment="1">
      <alignment horizontal="center" vertical="center"/>
    </xf>
    <xf numFmtId="44" fontId="24" fillId="0" borderId="97" xfId="0" applyNumberFormat="1" applyFont="1" applyBorder="1" applyAlignment="1">
      <alignment horizontal="center" vertical="center"/>
    </xf>
    <xf numFmtId="170" fontId="25" fillId="0" borderId="53" xfId="0" applyNumberFormat="1" applyFont="1" applyBorder="1" applyAlignment="1">
      <alignment horizontal="center" vertical="center"/>
    </xf>
    <xf numFmtId="170" fontId="25" fillId="0" borderId="97" xfId="0" applyNumberFormat="1" applyFont="1" applyBorder="1" applyAlignment="1">
      <alignment horizontal="center" vertical="center"/>
    </xf>
    <xf numFmtId="0" fontId="27" fillId="10" borderId="62" xfId="0" applyFont="1" applyFill="1" applyBorder="1" applyAlignment="1">
      <alignment horizontal="left"/>
    </xf>
    <xf numFmtId="0" fontId="27" fillId="10" borderId="8" xfId="0" applyFont="1" applyFill="1" applyBorder="1" applyAlignment="1">
      <alignment horizontal="left"/>
    </xf>
    <xf numFmtId="0" fontId="27" fillId="10" borderId="17" xfId="0" applyFont="1" applyFill="1" applyBorder="1" applyAlignment="1">
      <alignment horizontal="left"/>
    </xf>
    <xf numFmtId="0" fontId="27" fillId="10" borderId="0" xfId="0" applyFont="1" applyFill="1" applyAlignment="1">
      <alignment horizontal="left"/>
    </xf>
    <xf numFmtId="166" fontId="9" fillId="0" borderId="38" xfId="4" applyNumberFormat="1" applyFont="1" applyBorder="1" applyAlignment="1">
      <alignment horizontal="center" vertical="center" wrapText="1"/>
    </xf>
    <xf numFmtId="166" fontId="9" fillId="0" borderId="39" xfId="4" applyNumberFormat="1" applyFont="1" applyBorder="1" applyAlignment="1">
      <alignment horizontal="center" vertical="center" wrapText="1"/>
    </xf>
    <xf numFmtId="0" fontId="27" fillId="9" borderId="50" xfId="0" applyFont="1" applyFill="1" applyBorder="1" applyAlignment="1">
      <alignment horizontal="center"/>
    </xf>
    <xf numFmtId="0" fontId="27" fillId="9" borderId="67" xfId="0" applyFont="1" applyFill="1" applyBorder="1" applyAlignment="1">
      <alignment horizontal="center"/>
    </xf>
    <xf numFmtId="0" fontId="27" fillId="9" borderId="51" xfId="0" applyFont="1" applyFill="1" applyBorder="1" applyAlignment="1">
      <alignment horizontal="center"/>
    </xf>
    <xf numFmtId="0" fontId="27" fillId="9" borderId="52" xfId="0" applyFont="1" applyFill="1" applyBorder="1" applyAlignment="1">
      <alignment horizontal="center"/>
    </xf>
    <xf numFmtId="0" fontId="27" fillId="9" borderId="53" xfId="0" applyFont="1" applyFill="1" applyBorder="1" applyAlignment="1">
      <alignment horizontal="center"/>
    </xf>
    <xf numFmtId="0" fontId="27" fillId="9" borderId="54" xfId="0" applyFont="1" applyFill="1" applyBorder="1" applyAlignment="1">
      <alignment horizontal="center"/>
    </xf>
    <xf numFmtId="0" fontId="27" fillId="10" borderId="65" xfId="0" applyFont="1" applyFill="1" applyBorder="1" applyAlignment="1">
      <alignment horizontal="left"/>
    </xf>
    <xf numFmtId="0" fontId="27" fillId="10" borderId="66" xfId="0" applyFont="1" applyFill="1" applyBorder="1" applyAlignment="1">
      <alignment horizontal="left"/>
    </xf>
    <xf numFmtId="0" fontId="27" fillId="10" borderId="68" xfId="0" applyFont="1" applyFill="1" applyBorder="1" applyAlignment="1">
      <alignment horizontal="left"/>
    </xf>
    <xf numFmtId="166" fontId="9" fillId="4" borderId="17" xfId="4" applyNumberFormat="1" applyFont="1" applyFill="1" applyBorder="1" applyAlignment="1">
      <alignment horizontal="center" vertical="center" wrapText="1"/>
    </xf>
    <xf numFmtId="166" fontId="9" fillId="4" borderId="0" xfId="4" applyNumberFormat="1" applyFont="1" applyFill="1" applyBorder="1" applyAlignment="1">
      <alignment horizontal="center" vertical="center" wrapText="1"/>
    </xf>
    <xf numFmtId="0" fontId="5" fillId="0" borderId="0" xfId="2" applyFont="1" applyAlignment="1">
      <alignment horizontal="left" vertical="center" wrapText="1"/>
    </xf>
    <xf numFmtId="0" fontId="5" fillId="0" borderId="0" xfId="2" applyFont="1" applyAlignment="1">
      <alignment horizontal="left" vertical="top"/>
    </xf>
    <xf numFmtId="0" fontId="9" fillId="2" borderId="3" xfId="3" applyFont="1" applyFill="1" applyBorder="1" applyAlignment="1">
      <alignment horizontal="center" vertical="center"/>
    </xf>
    <xf numFmtId="0" fontId="9" fillId="2" borderId="4" xfId="3" applyFont="1" applyFill="1" applyBorder="1" applyAlignment="1">
      <alignment horizontal="center" vertical="center"/>
    </xf>
    <xf numFmtId="0" fontId="9" fillId="2" borderId="5" xfId="3" applyFont="1" applyFill="1" applyBorder="1" applyAlignment="1">
      <alignment horizontal="center" vertical="center"/>
    </xf>
    <xf numFmtId="0" fontId="9" fillId="3" borderId="6" xfId="0" applyFont="1" applyFill="1" applyBorder="1" applyAlignment="1">
      <alignment horizontal="center" vertical="center" wrapText="1"/>
    </xf>
    <xf numFmtId="0" fontId="9" fillId="3" borderId="35" xfId="0" applyFont="1" applyFill="1" applyBorder="1" applyAlignment="1">
      <alignment horizontal="center" vertical="center" wrapText="1"/>
    </xf>
    <xf numFmtId="0" fontId="9" fillId="3" borderId="5" xfId="0" applyFont="1" applyFill="1" applyBorder="1" applyAlignment="1">
      <alignment horizontal="center" vertical="center" wrapText="1"/>
    </xf>
    <xf numFmtId="166" fontId="9" fillId="4" borderId="6" xfId="4" applyNumberFormat="1" applyFont="1" applyFill="1" applyBorder="1" applyAlignment="1">
      <alignment horizontal="center" vertical="center" wrapText="1"/>
    </xf>
    <xf numFmtId="166" fontId="9" fillId="4" borderId="35" xfId="4" applyNumberFormat="1" applyFont="1" applyFill="1" applyBorder="1" applyAlignment="1">
      <alignment horizontal="center" vertical="center" wrapText="1"/>
    </xf>
    <xf numFmtId="166" fontId="9" fillId="4" borderId="5" xfId="4" applyNumberFormat="1" applyFont="1" applyFill="1" applyBorder="1" applyAlignment="1">
      <alignment horizontal="center" vertical="center" wrapText="1"/>
    </xf>
    <xf numFmtId="0" fontId="42" fillId="0" borderId="90" xfId="0" applyFont="1" applyBorder="1" applyAlignment="1">
      <alignment horizontal="center" vertical="center"/>
    </xf>
    <xf numFmtId="0" fontId="27" fillId="10" borderId="61" xfId="0" applyFont="1" applyFill="1" applyBorder="1" applyAlignment="1">
      <alignment horizontal="left" vertical="center"/>
    </xf>
    <xf numFmtId="0" fontId="27" fillId="10" borderId="60" xfId="0" applyFont="1" applyFill="1" applyBorder="1" applyAlignment="1">
      <alignment horizontal="left" vertical="center"/>
    </xf>
    <xf numFmtId="1" fontId="27" fillId="10" borderId="11" xfId="0" applyNumberFormat="1" applyFont="1" applyFill="1" applyBorder="1" applyAlignment="1">
      <alignment horizontal="left"/>
    </xf>
    <xf numFmtId="1" fontId="27" fillId="10" borderId="12" xfId="0" applyNumberFormat="1" applyFont="1" applyFill="1" applyBorder="1" applyAlignment="1">
      <alignment horizontal="left"/>
    </xf>
    <xf numFmtId="1" fontId="27" fillId="10" borderId="73" xfId="0" applyNumberFormat="1" applyFont="1" applyFill="1" applyBorder="1" applyAlignment="1">
      <alignment horizontal="left"/>
    </xf>
    <xf numFmtId="0" fontId="27" fillId="9" borderId="83" xfId="0" applyFont="1" applyFill="1" applyBorder="1" applyAlignment="1">
      <alignment horizontal="center"/>
    </xf>
    <xf numFmtId="0" fontId="27" fillId="9" borderId="63" xfId="0" applyFont="1" applyFill="1" applyBorder="1" applyAlignment="1">
      <alignment horizontal="center"/>
    </xf>
    <xf numFmtId="0" fontId="27" fillId="9" borderId="84" xfId="0" applyFont="1" applyFill="1" applyBorder="1" applyAlignment="1">
      <alignment horizontal="center"/>
    </xf>
    <xf numFmtId="0" fontId="27" fillId="10" borderId="61" xfId="0" applyFont="1" applyFill="1" applyBorder="1" applyAlignment="1">
      <alignment horizontal="left"/>
    </xf>
    <xf numFmtId="0" fontId="27" fillId="10" borderId="60" xfId="0" applyFont="1" applyFill="1" applyBorder="1" applyAlignment="1">
      <alignment horizontal="left"/>
    </xf>
    <xf numFmtId="0" fontId="27" fillId="10" borderId="64" xfId="0" applyFont="1" applyFill="1" applyBorder="1" applyAlignment="1">
      <alignment horizontal="left"/>
    </xf>
    <xf numFmtId="0" fontId="27" fillId="9" borderId="61" xfId="0" applyFont="1" applyFill="1" applyBorder="1" applyAlignment="1">
      <alignment horizontal="center"/>
    </xf>
    <xf numFmtId="0" fontId="27" fillId="9" borderId="60" xfId="0" applyFont="1" applyFill="1" applyBorder="1" applyAlignment="1">
      <alignment horizontal="center"/>
    </xf>
    <xf numFmtId="0" fontId="27" fillId="9" borderId="64" xfId="0" applyFont="1" applyFill="1" applyBorder="1" applyAlignment="1">
      <alignment horizontal="center"/>
    </xf>
    <xf numFmtId="0" fontId="6" fillId="0" borderId="0" xfId="2" applyFont="1" applyAlignment="1">
      <alignment horizontal="left" vertical="center" wrapText="1"/>
    </xf>
    <xf numFmtId="0" fontId="6" fillId="0" borderId="0" xfId="2" applyFont="1" applyAlignment="1">
      <alignment horizontal="left" vertical="top"/>
    </xf>
    <xf numFmtId="0" fontId="47" fillId="2" borderId="3" xfId="3" applyFont="1" applyFill="1" applyBorder="1" applyAlignment="1">
      <alignment horizontal="center" vertical="center"/>
    </xf>
    <xf numFmtId="0" fontId="47" fillId="2" borderId="4" xfId="3" applyFont="1" applyFill="1" applyBorder="1" applyAlignment="1">
      <alignment horizontal="center" vertical="center"/>
    </xf>
    <xf numFmtId="0" fontId="47" fillId="2" borderId="5" xfId="3" applyFont="1" applyFill="1" applyBorder="1" applyAlignment="1">
      <alignment horizontal="center" vertical="center"/>
    </xf>
    <xf numFmtId="0" fontId="47" fillId="3" borderId="6" xfId="0" applyFont="1" applyFill="1" applyBorder="1" applyAlignment="1">
      <alignment horizontal="center" vertical="center" wrapText="1"/>
    </xf>
    <xf numFmtId="0" fontId="47" fillId="3" borderId="35" xfId="0" applyFont="1" applyFill="1" applyBorder="1" applyAlignment="1">
      <alignment horizontal="center" vertical="center" wrapText="1"/>
    </xf>
    <xf numFmtId="0" fontId="47" fillId="3" borderId="5" xfId="0" applyFont="1" applyFill="1" applyBorder="1" applyAlignment="1">
      <alignment horizontal="center" vertical="center" wrapText="1"/>
    </xf>
    <xf numFmtId="166" fontId="47" fillId="4" borderId="6" xfId="4" applyNumberFormat="1" applyFont="1" applyFill="1" applyBorder="1" applyAlignment="1">
      <alignment horizontal="center" vertical="center" wrapText="1"/>
    </xf>
    <xf numFmtId="166" fontId="47" fillId="4" borderId="35" xfId="4" applyNumberFormat="1" applyFont="1" applyFill="1" applyBorder="1" applyAlignment="1">
      <alignment horizontal="center" vertical="center" wrapText="1"/>
    </xf>
    <xf numFmtId="166" fontId="47" fillId="4" borderId="5" xfId="4" applyNumberFormat="1" applyFont="1" applyFill="1" applyBorder="1" applyAlignment="1">
      <alignment horizontal="center" vertical="center" wrapText="1"/>
    </xf>
    <xf numFmtId="1" fontId="27" fillId="10" borderId="75" xfId="0" applyNumberFormat="1" applyFont="1" applyFill="1" applyBorder="1" applyAlignment="1">
      <alignment horizontal="left"/>
    </xf>
    <xf numFmtId="1" fontId="27" fillId="10" borderId="76" xfId="0" applyNumberFormat="1" applyFont="1" applyFill="1" applyBorder="1" applyAlignment="1">
      <alignment horizontal="left"/>
    </xf>
    <xf numFmtId="1" fontId="27" fillId="10" borderId="79" xfId="0" applyNumberFormat="1" applyFont="1" applyFill="1" applyBorder="1" applyAlignment="1">
      <alignment horizontal="left"/>
    </xf>
    <xf numFmtId="1" fontId="27" fillId="9" borderId="11" xfId="0" applyNumberFormat="1" applyFont="1" applyFill="1" applyBorder="1" applyAlignment="1">
      <alignment horizontal="center"/>
    </xf>
    <xf numFmtId="1" fontId="27" fillId="9" borderId="12" xfId="0" applyNumberFormat="1" applyFont="1" applyFill="1" applyBorder="1" applyAlignment="1">
      <alignment horizontal="center"/>
    </xf>
    <xf numFmtId="1" fontId="27" fillId="9" borderId="73" xfId="0" applyNumberFormat="1" applyFont="1" applyFill="1" applyBorder="1" applyAlignment="1">
      <alignment horizontal="center"/>
    </xf>
    <xf numFmtId="166" fontId="47" fillId="0" borderId="38" xfId="4" applyNumberFormat="1" applyFont="1" applyBorder="1" applyAlignment="1">
      <alignment horizontal="center" vertical="center" wrapText="1"/>
    </xf>
    <xf numFmtId="166" fontId="47" fillId="0" borderId="39" xfId="4" applyNumberFormat="1" applyFont="1" applyBorder="1" applyAlignment="1">
      <alignment horizontal="center" vertical="center" wrapText="1"/>
    </xf>
    <xf numFmtId="166" fontId="47" fillId="4" borderId="17" xfId="4" applyNumberFormat="1" applyFont="1" applyFill="1" applyBorder="1" applyAlignment="1">
      <alignment horizontal="center" vertical="center" wrapText="1"/>
    </xf>
    <xf numFmtId="166" fontId="47" fillId="4" borderId="0" xfId="4" applyNumberFormat="1" applyFont="1" applyFill="1" applyBorder="1" applyAlignment="1">
      <alignment horizontal="center" vertical="center" wrapText="1"/>
    </xf>
    <xf numFmtId="0" fontId="33" fillId="18" borderId="52" xfId="0" applyFont="1" applyFill="1" applyBorder="1" applyAlignment="1">
      <alignment horizontal="center"/>
    </xf>
    <xf numFmtId="0" fontId="33" fillId="18" borderId="53" xfId="0" applyFont="1" applyFill="1" applyBorder="1" applyAlignment="1">
      <alignment horizontal="center"/>
    </xf>
    <xf numFmtId="0" fontId="33" fillId="18" borderId="54" xfId="0" applyFont="1" applyFill="1" applyBorder="1" applyAlignment="1">
      <alignment horizontal="center"/>
    </xf>
    <xf numFmtId="0" fontId="16" fillId="8" borderId="40" xfId="0" applyFont="1" applyFill="1" applyBorder="1" applyAlignment="1">
      <alignment horizontal="left" vertical="center"/>
    </xf>
    <xf numFmtId="0" fontId="16" fillId="8" borderId="40" xfId="0" applyFont="1" applyFill="1" applyBorder="1" applyAlignment="1">
      <alignment vertical="center"/>
    </xf>
    <xf numFmtId="0" fontId="16" fillId="8" borderId="0" xfId="0" applyFont="1" applyFill="1" applyAlignment="1">
      <alignment vertical="center"/>
    </xf>
    <xf numFmtId="0" fontId="17" fillId="8" borderId="40" xfId="0" applyFont="1" applyFill="1" applyBorder="1" applyAlignment="1">
      <alignment horizontal="left" vertical="top"/>
    </xf>
    <xf numFmtId="0" fontId="19" fillId="8" borderId="40" xfId="0" applyFont="1" applyFill="1" applyBorder="1" applyAlignment="1">
      <alignment horizontal="center" vertical="center" wrapText="1"/>
    </xf>
    <xf numFmtId="0" fontId="19" fillId="8" borderId="0" xfId="0" applyFont="1" applyFill="1" applyAlignment="1">
      <alignment horizontal="center" vertical="center" wrapText="1"/>
    </xf>
    <xf numFmtId="0" fontId="0" fillId="0" borderId="24" xfId="0" applyBorder="1" applyAlignment="1">
      <alignment horizontal="left"/>
    </xf>
    <xf numFmtId="0" fontId="0" fillId="0" borderId="2" xfId="0" applyBorder="1" applyAlignment="1">
      <alignment horizontal="left"/>
    </xf>
    <xf numFmtId="0" fontId="0" fillId="0" borderId="25" xfId="0" applyBorder="1" applyAlignment="1">
      <alignment horizontal="left"/>
    </xf>
    <xf numFmtId="0" fontId="10" fillId="0" borderId="11" xfId="0" applyFont="1" applyBorder="1" applyAlignment="1">
      <alignment horizontal="center"/>
    </xf>
    <xf numFmtId="0" fontId="10" fillId="0" borderId="12" xfId="0" applyFont="1" applyBorder="1" applyAlignment="1">
      <alignment horizontal="center"/>
    </xf>
    <xf numFmtId="0" fontId="10" fillId="0" borderId="13" xfId="0" applyFont="1" applyBorder="1" applyAlignment="1">
      <alignment horizontal="center"/>
    </xf>
    <xf numFmtId="0" fontId="11" fillId="0" borderId="14" xfId="0" applyFont="1" applyBorder="1" applyAlignment="1">
      <alignment horizontal="center" vertical="center"/>
    </xf>
    <xf numFmtId="0" fontId="11" fillId="0" borderId="15" xfId="0" applyFont="1" applyBorder="1" applyAlignment="1">
      <alignment horizontal="center" vertical="center"/>
    </xf>
    <xf numFmtId="0" fontId="11" fillId="0" borderId="16" xfId="0" applyFont="1" applyBorder="1" applyAlignment="1">
      <alignment horizontal="center" vertical="center"/>
    </xf>
    <xf numFmtId="0" fontId="2" fillId="7" borderId="0" xfId="0" applyFont="1" applyFill="1" applyAlignment="1">
      <alignment horizontal="center"/>
    </xf>
    <xf numFmtId="0" fontId="0" fillId="0" borderId="20" xfId="0" applyBorder="1" applyAlignment="1">
      <alignment horizontal="left"/>
    </xf>
    <xf numFmtId="0" fontId="0" fillId="0" borderId="21" xfId="0" applyBorder="1" applyAlignment="1">
      <alignment horizontal="left"/>
    </xf>
    <xf numFmtId="0" fontId="0" fillId="0" borderId="22" xfId="0" applyBorder="1" applyAlignment="1">
      <alignment horizontal="left"/>
    </xf>
    <xf numFmtId="0" fontId="0" fillId="0" borderId="27" xfId="0" applyBorder="1" applyAlignment="1">
      <alignment horizontal="left"/>
    </xf>
    <xf numFmtId="0" fontId="0" fillId="0" borderId="28" xfId="0" applyBorder="1" applyAlignment="1">
      <alignment horizontal="left"/>
    </xf>
    <xf numFmtId="0" fontId="0" fillId="0" borderId="29" xfId="0" applyBorder="1" applyAlignment="1">
      <alignment horizontal="left"/>
    </xf>
    <xf numFmtId="0" fontId="2" fillId="0" borderId="21" xfId="0" applyFont="1" applyBorder="1" applyAlignment="1">
      <alignment horizontal="center"/>
    </xf>
    <xf numFmtId="0" fontId="2" fillId="0" borderId="22" xfId="0" applyFont="1" applyBorder="1" applyAlignment="1">
      <alignment horizontal="center"/>
    </xf>
    <xf numFmtId="0" fontId="0" fillId="0" borderId="31" xfId="0" applyBorder="1" applyAlignment="1">
      <alignment horizontal="left"/>
    </xf>
    <xf numFmtId="0" fontId="0" fillId="0" borderId="1" xfId="0" applyBorder="1" applyAlignment="1">
      <alignment horizontal="left"/>
    </xf>
    <xf numFmtId="0" fontId="0" fillId="0" borderId="32" xfId="0" applyBorder="1" applyAlignment="1">
      <alignment horizontal="left"/>
    </xf>
    <xf numFmtId="0" fontId="2" fillId="0" borderId="20" xfId="0" applyFont="1" applyBorder="1" applyAlignment="1">
      <alignment horizontal="center"/>
    </xf>
    <xf numFmtId="0" fontId="2" fillId="0" borderId="8" xfId="0" applyFont="1" applyBorder="1" applyAlignment="1">
      <alignment horizontal="center"/>
    </xf>
    <xf numFmtId="0" fontId="2" fillId="0" borderId="33" xfId="0" applyFont="1"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44" fontId="0" fillId="0" borderId="24" xfId="8" applyFont="1" applyBorder="1" applyAlignment="1">
      <alignment horizontal="center"/>
    </xf>
    <xf numFmtId="44" fontId="0" fillId="0" borderId="25" xfId="8" applyFont="1" applyBorder="1" applyAlignment="1">
      <alignment horizontal="center"/>
    </xf>
    <xf numFmtId="44" fontId="0" fillId="0" borderId="27" xfId="8" applyFont="1" applyBorder="1" applyAlignment="1">
      <alignment horizontal="center"/>
    </xf>
    <xf numFmtId="44" fontId="0" fillId="0" borderId="29" xfId="8"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0" fillId="0" borderId="7" xfId="0" applyBorder="1" applyAlignment="1">
      <alignment horizontal="center"/>
    </xf>
    <xf numFmtId="0" fontId="0" fillId="0" borderId="10" xfId="0" applyBorder="1" applyAlignment="1">
      <alignment horizontal="center"/>
    </xf>
    <xf numFmtId="0" fontId="2" fillId="0" borderId="11" xfId="0" applyFont="1" applyBorder="1" applyAlignment="1">
      <alignment horizontal="left"/>
    </xf>
    <xf numFmtId="0" fontId="2" fillId="0" borderId="12" xfId="0" applyFont="1" applyBorder="1" applyAlignment="1">
      <alignment horizontal="left"/>
    </xf>
    <xf numFmtId="0" fontId="0" fillId="0" borderId="0" xfId="0" applyAlignment="1">
      <alignment horizontal="center"/>
    </xf>
    <xf numFmtId="0" fontId="0" fillId="0" borderId="0" xfId="0" applyAlignment="1">
      <alignment horizontal="left" vertical="top" wrapText="1"/>
    </xf>
    <xf numFmtId="0" fontId="0" fillId="0" borderId="1" xfId="0" applyBorder="1" applyAlignment="1">
      <alignment horizontal="left" vertical="top" wrapText="1"/>
    </xf>
    <xf numFmtId="9" fontId="25" fillId="0" borderId="54" xfId="1" applyFont="1" applyBorder="1" applyAlignment="1">
      <alignment horizontal="center" vertical="center"/>
    </xf>
    <xf numFmtId="9" fontId="25" fillId="0" borderId="86" xfId="1" applyFont="1" applyBorder="1" applyAlignment="1">
      <alignment horizontal="center" vertical="center"/>
    </xf>
  </cellXfs>
  <cellStyles count="18">
    <cellStyle name="Moeda" xfId="8" builtinId="4"/>
    <cellStyle name="Moeda 2" xfId="4" xr:uid="{88D8EF41-8435-41DD-B95B-CB2197D8CF8B}"/>
    <cellStyle name="Moeda 3" xfId="9" xr:uid="{18A079E9-578A-4840-BD6F-5C55BE5AE376}"/>
    <cellStyle name="Moeda 3 2" xfId="15" xr:uid="{53D7C568-CC58-4B15-B9DD-1867C128147F}"/>
    <cellStyle name="Moeda 4" xfId="6" xr:uid="{87039FAF-445E-422B-A516-66BA7E305CF9}"/>
    <cellStyle name="Moeda 4 2" xfId="10" xr:uid="{636A40C2-255F-46EF-84CA-98953AE8866B}"/>
    <cellStyle name="Moeda 4 2 2" xfId="16" xr:uid="{7BDB4489-6168-4BE0-A964-5DE628ED1876}"/>
    <cellStyle name="Moeda 5" xfId="11" xr:uid="{2124AE60-0557-4AC3-B48A-633CB17E3340}"/>
    <cellStyle name="Moeda 5 2" xfId="17" xr:uid="{0C993D40-EFA9-480A-9766-C4BE8F04E4F7}"/>
    <cellStyle name="Moeda 6" xfId="14" xr:uid="{574A822A-71B7-46B2-A0C3-1C5E8591DADA}"/>
    <cellStyle name="Normal" xfId="0" builtinId="0"/>
    <cellStyle name="Normal 2" xfId="2" xr:uid="{BD42359E-6099-413E-81D2-0E0BA4C03DB2}"/>
    <cellStyle name="Normal 3" xfId="7" xr:uid="{68151FFA-A329-4F7F-B412-27BE57253D9C}"/>
    <cellStyle name="Normal 3 2" xfId="13" xr:uid="{EDD1A25C-4E09-47DE-9478-AA6861AFB48F}"/>
    <cellStyle name="Normal 6" xfId="12" xr:uid="{2888F636-9924-454F-857E-E38553BD81CD}"/>
    <cellStyle name="Normal_Plan1" xfId="3" xr:uid="{ABCD160A-D73A-4213-9DF3-17A45862579B}"/>
    <cellStyle name="Porcentagem" xfId="1" builtinId="5"/>
    <cellStyle name="Porcentagem 2" xfId="5" xr:uid="{58C97418-D6D1-4F2E-95E9-1B0ADE8B90D4}"/>
  </cellStyles>
  <dxfs count="0"/>
  <tableStyles count="0" defaultTableStyle="TableStyleMedium2" defaultPivotStyle="PivotStyleLight16"/>
  <colors>
    <mruColors>
      <color rgb="FFFFFFFF"/>
      <color rgb="FF0476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absolute">
    <xdr:from>
      <xdr:col>5</xdr:col>
      <xdr:colOff>73373</xdr:colOff>
      <xdr:row>0</xdr:row>
      <xdr:rowOff>152400</xdr:rowOff>
    </xdr:from>
    <xdr:to>
      <xdr:col>5</xdr:col>
      <xdr:colOff>919327</xdr:colOff>
      <xdr:row>1</xdr:row>
      <xdr:rowOff>66675</xdr:rowOff>
    </xdr:to>
    <xdr:sp macro="" textlink="">
      <xdr:nvSpPr>
        <xdr:cNvPr id="2" name="Label1" hidden="1">
          <a:extLst>
            <a:ext uri="{63B3BB69-23CF-44E3-9099-C40C66FF867C}">
              <a14:compatExt xmlns:a14="http://schemas.microsoft.com/office/drawing/2010/main" spid="_x0000_s23553"/>
            </a:ext>
            <a:ext uri="{FF2B5EF4-FFF2-40B4-BE49-F238E27FC236}">
              <a16:creationId xmlns:a16="http://schemas.microsoft.com/office/drawing/2014/main" id="{74F5BA2C-42CF-4563-B1ED-B7510AE4B4EA}"/>
            </a:ext>
          </a:extLst>
        </xdr:cNvPr>
        <xdr:cNvSpPr/>
      </xdr:nvSpPr>
      <xdr:spPr bwMode="auto">
        <a:xfrm>
          <a:off x="702931" y="152400"/>
          <a:ext cx="880425" cy="5397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242320</xdr:colOff>
      <xdr:row>0</xdr:row>
      <xdr:rowOff>130971</xdr:rowOff>
    </xdr:from>
    <xdr:to>
      <xdr:col>1</xdr:col>
      <xdr:colOff>623876</xdr:colOff>
      <xdr:row>0</xdr:row>
      <xdr:rowOff>506413</xdr:rowOff>
    </xdr:to>
    <xdr:pic macro="[0]!ChamaForm_Menu">
      <xdr:nvPicPr>
        <xdr:cNvPr id="3" name="Imagem 2">
          <a:extLst>
            <a:ext uri="{FF2B5EF4-FFF2-40B4-BE49-F238E27FC236}">
              <a16:creationId xmlns:a16="http://schemas.microsoft.com/office/drawing/2014/main" id="{9EDF221D-E11E-4104-95A3-1B3E6B7C365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5949" y="130971"/>
          <a:ext cx="381556" cy="372267"/>
        </a:xfrm>
        <a:prstGeom prst="rect">
          <a:avLst/>
        </a:prstGeom>
      </xdr:spPr>
    </xdr:pic>
    <xdr:clientData/>
  </xdr:twoCellAnchor>
  <xdr:twoCellAnchor editAs="absolute">
    <xdr:from>
      <xdr:col>50</xdr:col>
      <xdr:colOff>123597</xdr:colOff>
      <xdr:row>0</xdr:row>
      <xdr:rowOff>190500</xdr:rowOff>
    </xdr:from>
    <xdr:to>
      <xdr:col>51</xdr:col>
      <xdr:colOff>428203</xdr:colOff>
      <xdr:row>1</xdr:row>
      <xdr:rowOff>114300</xdr:rowOff>
    </xdr:to>
    <xdr:sp macro="" textlink="">
      <xdr:nvSpPr>
        <xdr:cNvPr id="4" name="Label2" hidden="1">
          <a:extLst>
            <a:ext uri="{63B3BB69-23CF-44E3-9099-C40C66FF867C}">
              <a14:compatExt xmlns:a14="http://schemas.microsoft.com/office/drawing/2010/main" spid="_x0000_s23554"/>
            </a:ext>
            <a:ext uri="{FF2B5EF4-FFF2-40B4-BE49-F238E27FC236}">
              <a16:creationId xmlns:a16="http://schemas.microsoft.com/office/drawing/2014/main" id="{D5F6A5E3-A686-412F-853F-2192787CCEF8}"/>
            </a:ext>
          </a:extLst>
        </xdr:cNvPr>
        <xdr:cNvSpPr/>
      </xdr:nvSpPr>
      <xdr:spPr bwMode="auto">
        <a:xfrm>
          <a:off x="29687382" y="190500"/>
          <a:ext cx="1023064" cy="5524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49</xdr:col>
      <xdr:colOff>229200</xdr:colOff>
      <xdr:row>0</xdr:row>
      <xdr:rowOff>182566</xdr:rowOff>
    </xdr:from>
    <xdr:to>
      <xdr:col>50</xdr:col>
      <xdr:colOff>9294</xdr:colOff>
      <xdr:row>0</xdr:row>
      <xdr:rowOff>545308</xdr:rowOff>
    </xdr:to>
    <xdr:pic macro="[0]!ChamaForm_Menu">
      <xdr:nvPicPr>
        <xdr:cNvPr id="5" name="Imagem 4">
          <a:extLst>
            <a:ext uri="{FF2B5EF4-FFF2-40B4-BE49-F238E27FC236}">
              <a16:creationId xmlns:a16="http://schemas.microsoft.com/office/drawing/2014/main" id="{9B91980F-CF9A-41EF-BC4D-9E59690E3F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220578" y="179391"/>
          <a:ext cx="374726" cy="362742"/>
        </a:xfrm>
        <a:prstGeom prst="rect">
          <a:avLst/>
        </a:prstGeom>
      </xdr:spPr>
    </xdr:pic>
    <xdr:clientData/>
  </xdr:twoCellAnchor>
  <xdr:twoCellAnchor editAs="absolute">
    <xdr:from>
      <xdr:col>5</xdr:col>
      <xdr:colOff>73373</xdr:colOff>
      <xdr:row>0</xdr:row>
      <xdr:rowOff>152400</xdr:rowOff>
    </xdr:from>
    <xdr:to>
      <xdr:col>5</xdr:col>
      <xdr:colOff>919327</xdr:colOff>
      <xdr:row>1</xdr:row>
      <xdr:rowOff>66675</xdr:rowOff>
    </xdr:to>
    <xdr:pic>
      <xdr:nvPicPr>
        <xdr:cNvPr id="6" name="Label1">
          <a:extLst>
            <a:ext uri="{FF2B5EF4-FFF2-40B4-BE49-F238E27FC236}">
              <a16:creationId xmlns:a16="http://schemas.microsoft.com/office/drawing/2014/main" id="{75AE39A1-0BB2-41B4-9D8F-803263C850D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2931" y="152400"/>
          <a:ext cx="880425" cy="5397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50</xdr:col>
      <xdr:colOff>123597</xdr:colOff>
      <xdr:row>0</xdr:row>
      <xdr:rowOff>190500</xdr:rowOff>
    </xdr:from>
    <xdr:to>
      <xdr:col>51</xdr:col>
      <xdr:colOff>428203</xdr:colOff>
      <xdr:row>1</xdr:row>
      <xdr:rowOff>114300</xdr:rowOff>
    </xdr:to>
    <xdr:pic>
      <xdr:nvPicPr>
        <xdr:cNvPr id="7" name="Label2">
          <a:extLst>
            <a:ext uri="{FF2B5EF4-FFF2-40B4-BE49-F238E27FC236}">
              <a16:creationId xmlns:a16="http://schemas.microsoft.com/office/drawing/2014/main" id="{ABCD1851-D987-4772-A35B-BC110F81DCF5}"/>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9687382" y="190500"/>
          <a:ext cx="1023064"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830036</xdr:colOff>
      <xdr:row>1</xdr:row>
      <xdr:rowOff>204106</xdr:rowOff>
    </xdr:from>
    <xdr:ext cx="2776118" cy="1993675"/>
    <xdr:pic>
      <xdr:nvPicPr>
        <xdr:cNvPr id="8" name="Imagem 7">
          <a:extLst>
            <a:ext uri="{FF2B5EF4-FFF2-40B4-BE49-F238E27FC236}">
              <a16:creationId xmlns:a16="http://schemas.microsoft.com/office/drawing/2014/main" id="{E03FFA7B-0479-4317-9599-1FD3618072F3}"/>
            </a:ext>
          </a:extLst>
        </xdr:cNvPr>
        <xdr:cNvPicPr>
          <a:picLocks noChangeAspect="1"/>
        </xdr:cNvPicPr>
      </xdr:nvPicPr>
      <xdr:blipFill>
        <a:blip xmlns:r="http://schemas.openxmlformats.org/officeDocument/2006/relationships" r:embed="rId4"/>
        <a:stretch>
          <a:fillRect/>
        </a:stretch>
      </xdr:blipFill>
      <xdr:spPr>
        <a:xfrm>
          <a:off x="7905750" y="830035"/>
          <a:ext cx="2776118" cy="1993675"/>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absolute">
    <xdr:from>
      <xdr:col>5</xdr:col>
      <xdr:colOff>73373</xdr:colOff>
      <xdr:row>0</xdr:row>
      <xdr:rowOff>152400</xdr:rowOff>
    </xdr:from>
    <xdr:to>
      <xdr:col>5</xdr:col>
      <xdr:colOff>925677</xdr:colOff>
      <xdr:row>1</xdr:row>
      <xdr:rowOff>73025</xdr:rowOff>
    </xdr:to>
    <xdr:sp macro="" textlink="">
      <xdr:nvSpPr>
        <xdr:cNvPr id="2" name="Label1" hidden="1">
          <a:extLst>
            <a:ext uri="{63B3BB69-23CF-44E3-9099-C40C66FF867C}">
              <a14:compatExt xmlns:a14="http://schemas.microsoft.com/office/drawing/2010/main" spid="_x0000_s23553"/>
            </a:ext>
            <a:ext uri="{FF2B5EF4-FFF2-40B4-BE49-F238E27FC236}">
              <a16:creationId xmlns:a16="http://schemas.microsoft.com/office/drawing/2014/main" id="{CB1F43E9-E50D-4C37-894D-9D2B9A7861D6}"/>
            </a:ext>
          </a:extLst>
        </xdr:cNvPr>
        <xdr:cNvSpPr/>
      </xdr:nvSpPr>
      <xdr:spPr bwMode="auto">
        <a:xfrm>
          <a:off x="667553" y="152400"/>
          <a:ext cx="884052" cy="5397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245495</xdr:colOff>
      <xdr:row>0</xdr:row>
      <xdr:rowOff>130971</xdr:rowOff>
    </xdr:from>
    <xdr:to>
      <xdr:col>2</xdr:col>
      <xdr:colOff>0</xdr:colOff>
      <xdr:row>0</xdr:row>
      <xdr:rowOff>509588</xdr:rowOff>
    </xdr:to>
    <xdr:pic macro="[0]!ChamaForm_Menu">
      <xdr:nvPicPr>
        <xdr:cNvPr id="3" name="Imagem 2">
          <a:extLst>
            <a:ext uri="{FF2B5EF4-FFF2-40B4-BE49-F238E27FC236}">
              <a16:creationId xmlns:a16="http://schemas.microsoft.com/office/drawing/2014/main" id="{1CAD9771-8352-4CE6-8D77-DBB2963050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0031" y="130971"/>
          <a:ext cx="375207" cy="372267"/>
        </a:xfrm>
        <a:prstGeom prst="rect">
          <a:avLst/>
        </a:prstGeom>
      </xdr:spPr>
    </xdr:pic>
    <xdr:clientData/>
  </xdr:twoCellAnchor>
  <xdr:twoCellAnchor editAs="absolute">
    <xdr:from>
      <xdr:col>65</xdr:col>
      <xdr:colOff>152625</xdr:colOff>
      <xdr:row>0</xdr:row>
      <xdr:rowOff>190500</xdr:rowOff>
    </xdr:from>
    <xdr:to>
      <xdr:col>66</xdr:col>
      <xdr:colOff>529804</xdr:colOff>
      <xdr:row>1</xdr:row>
      <xdr:rowOff>114300</xdr:rowOff>
    </xdr:to>
    <xdr:sp macro="" textlink="">
      <xdr:nvSpPr>
        <xdr:cNvPr id="4" name="Label2" hidden="1">
          <a:extLst>
            <a:ext uri="{63B3BB69-23CF-44E3-9099-C40C66FF867C}">
              <a14:compatExt xmlns:a14="http://schemas.microsoft.com/office/drawing/2010/main" spid="_x0000_s23554"/>
            </a:ext>
            <a:ext uri="{FF2B5EF4-FFF2-40B4-BE49-F238E27FC236}">
              <a16:creationId xmlns:a16="http://schemas.microsoft.com/office/drawing/2014/main" id="{6324A32B-F725-47EB-A47D-0C01D7C2A961}"/>
            </a:ext>
          </a:extLst>
        </xdr:cNvPr>
        <xdr:cNvSpPr/>
      </xdr:nvSpPr>
      <xdr:spPr bwMode="auto">
        <a:xfrm>
          <a:off x="28325985" y="190500"/>
          <a:ext cx="1019468" cy="5524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64</xdr:col>
      <xdr:colOff>267753</xdr:colOff>
      <xdr:row>0</xdr:row>
      <xdr:rowOff>185741</xdr:rowOff>
    </xdr:from>
    <xdr:to>
      <xdr:col>65</xdr:col>
      <xdr:colOff>54197</xdr:colOff>
      <xdr:row>0</xdr:row>
      <xdr:rowOff>548483</xdr:rowOff>
    </xdr:to>
    <xdr:pic macro="[0]!ChamaForm_Menu">
      <xdr:nvPicPr>
        <xdr:cNvPr id="5" name="Imagem 4">
          <a:extLst>
            <a:ext uri="{FF2B5EF4-FFF2-40B4-BE49-F238E27FC236}">
              <a16:creationId xmlns:a16="http://schemas.microsoft.com/office/drawing/2014/main" id="{7B093F04-D6FF-41CD-AAD0-45FB985AC5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899740" y="179391"/>
          <a:ext cx="353217" cy="362742"/>
        </a:xfrm>
        <a:prstGeom prst="rect">
          <a:avLst/>
        </a:prstGeom>
      </xdr:spPr>
    </xdr:pic>
    <xdr:clientData/>
  </xdr:twoCellAnchor>
  <xdr:twoCellAnchor editAs="absolute">
    <xdr:from>
      <xdr:col>5</xdr:col>
      <xdr:colOff>73373</xdr:colOff>
      <xdr:row>0</xdr:row>
      <xdr:rowOff>152400</xdr:rowOff>
    </xdr:from>
    <xdr:to>
      <xdr:col>5</xdr:col>
      <xdr:colOff>925677</xdr:colOff>
      <xdr:row>1</xdr:row>
      <xdr:rowOff>73025</xdr:rowOff>
    </xdr:to>
    <xdr:pic>
      <xdr:nvPicPr>
        <xdr:cNvPr id="6" name="Label1">
          <a:extLst>
            <a:ext uri="{FF2B5EF4-FFF2-40B4-BE49-F238E27FC236}">
              <a16:creationId xmlns:a16="http://schemas.microsoft.com/office/drawing/2014/main" id="{6ABA7E1C-E3A7-4A40-A94D-86E5F2BD7204}"/>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7553" y="152400"/>
          <a:ext cx="884052" cy="5397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65</xdr:col>
      <xdr:colOff>152625</xdr:colOff>
      <xdr:row>0</xdr:row>
      <xdr:rowOff>190500</xdr:rowOff>
    </xdr:from>
    <xdr:to>
      <xdr:col>66</xdr:col>
      <xdr:colOff>529804</xdr:colOff>
      <xdr:row>1</xdr:row>
      <xdr:rowOff>114300</xdr:rowOff>
    </xdr:to>
    <xdr:pic>
      <xdr:nvPicPr>
        <xdr:cNvPr id="7" name="Label2">
          <a:extLst>
            <a:ext uri="{FF2B5EF4-FFF2-40B4-BE49-F238E27FC236}">
              <a16:creationId xmlns:a16="http://schemas.microsoft.com/office/drawing/2014/main" id="{90B3F352-0E54-457D-BA4A-E5B3FA42207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325985" y="190500"/>
          <a:ext cx="1019468"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533853</xdr:colOff>
      <xdr:row>1</xdr:row>
      <xdr:rowOff>200932</xdr:rowOff>
    </xdr:from>
    <xdr:ext cx="2776118" cy="1993675"/>
    <xdr:pic>
      <xdr:nvPicPr>
        <xdr:cNvPr id="8" name="Imagem 7">
          <a:extLst>
            <a:ext uri="{FF2B5EF4-FFF2-40B4-BE49-F238E27FC236}">
              <a16:creationId xmlns:a16="http://schemas.microsoft.com/office/drawing/2014/main" id="{77C37D8E-E9B3-4DE6-BC08-52ECB966F06A}"/>
            </a:ext>
          </a:extLst>
        </xdr:cNvPr>
        <xdr:cNvPicPr>
          <a:picLocks noChangeAspect="1"/>
        </xdr:cNvPicPr>
      </xdr:nvPicPr>
      <xdr:blipFill>
        <a:blip xmlns:r="http://schemas.openxmlformats.org/officeDocument/2006/relationships" r:embed="rId4"/>
        <a:stretch>
          <a:fillRect/>
        </a:stretch>
      </xdr:blipFill>
      <xdr:spPr>
        <a:xfrm>
          <a:off x="9228817" y="826861"/>
          <a:ext cx="2776118" cy="199367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absolute">
    <xdr:from>
      <xdr:col>5</xdr:col>
      <xdr:colOff>70198</xdr:colOff>
      <xdr:row>0</xdr:row>
      <xdr:rowOff>152400</xdr:rowOff>
    </xdr:from>
    <xdr:to>
      <xdr:col>5</xdr:col>
      <xdr:colOff>919327</xdr:colOff>
      <xdr:row>1</xdr:row>
      <xdr:rowOff>63500</xdr:rowOff>
    </xdr:to>
    <xdr:sp macro="" textlink="">
      <xdr:nvSpPr>
        <xdr:cNvPr id="2" name="Label1" hidden="1">
          <a:extLst>
            <a:ext uri="{63B3BB69-23CF-44E3-9099-C40C66FF867C}">
              <a14:compatExt xmlns:a14="http://schemas.microsoft.com/office/drawing/2010/main" spid="_x0000_s23553"/>
            </a:ext>
            <a:ext uri="{FF2B5EF4-FFF2-40B4-BE49-F238E27FC236}">
              <a16:creationId xmlns:a16="http://schemas.microsoft.com/office/drawing/2014/main" id="{6FD5E798-550A-490D-8406-94337249DBD1}"/>
            </a:ext>
          </a:extLst>
        </xdr:cNvPr>
        <xdr:cNvSpPr/>
      </xdr:nvSpPr>
      <xdr:spPr bwMode="auto">
        <a:xfrm>
          <a:off x="706106" y="152400"/>
          <a:ext cx="877250"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239145</xdr:colOff>
      <xdr:row>0</xdr:row>
      <xdr:rowOff>130971</xdr:rowOff>
    </xdr:from>
    <xdr:to>
      <xdr:col>1</xdr:col>
      <xdr:colOff>620701</xdr:colOff>
      <xdr:row>0</xdr:row>
      <xdr:rowOff>503238</xdr:rowOff>
    </xdr:to>
    <xdr:pic macro="[0]!ChamaForm_Menu">
      <xdr:nvPicPr>
        <xdr:cNvPr id="3" name="Imagem 2">
          <a:extLst>
            <a:ext uri="{FF2B5EF4-FFF2-40B4-BE49-F238E27FC236}">
              <a16:creationId xmlns:a16="http://schemas.microsoft.com/office/drawing/2014/main" id="{57017A36-EFF3-46EE-9C9A-79AEF570631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124" y="130971"/>
          <a:ext cx="381556" cy="375442"/>
        </a:xfrm>
        <a:prstGeom prst="rect">
          <a:avLst/>
        </a:prstGeom>
      </xdr:spPr>
    </xdr:pic>
    <xdr:clientData/>
  </xdr:twoCellAnchor>
  <xdr:twoCellAnchor editAs="absolute">
    <xdr:from>
      <xdr:col>47</xdr:col>
      <xdr:colOff>416149</xdr:colOff>
      <xdr:row>0</xdr:row>
      <xdr:rowOff>190500</xdr:rowOff>
    </xdr:from>
    <xdr:to>
      <xdr:col>49</xdr:col>
      <xdr:colOff>288955</xdr:colOff>
      <xdr:row>1</xdr:row>
      <xdr:rowOff>114300</xdr:rowOff>
    </xdr:to>
    <xdr:sp macro="" textlink="">
      <xdr:nvSpPr>
        <xdr:cNvPr id="4" name="Label2" hidden="1">
          <a:extLst>
            <a:ext uri="{63B3BB69-23CF-44E3-9099-C40C66FF867C}">
              <a14:compatExt xmlns:a14="http://schemas.microsoft.com/office/drawing/2010/main" spid="_x0000_s23554"/>
            </a:ext>
            <a:ext uri="{FF2B5EF4-FFF2-40B4-BE49-F238E27FC236}">
              <a16:creationId xmlns:a16="http://schemas.microsoft.com/office/drawing/2014/main" id="{98153335-FB9F-486C-9B7B-30D9C045846F}"/>
            </a:ext>
          </a:extLst>
        </xdr:cNvPr>
        <xdr:cNvSpPr/>
      </xdr:nvSpPr>
      <xdr:spPr bwMode="auto">
        <a:xfrm>
          <a:off x="29690557" y="190500"/>
          <a:ext cx="1016714" cy="5524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47</xdr:col>
      <xdr:colOff>4228</xdr:colOff>
      <xdr:row>0</xdr:row>
      <xdr:rowOff>179391</xdr:rowOff>
    </xdr:from>
    <xdr:to>
      <xdr:col>47</xdr:col>
      <xdr:colOff>339946</xdr:colOff>
      <xdr:row>0</xdr:row>
      <xdr:rowOff>542133</xdr:rowOff>
    </xdr:to>
    <xdr:pic macro="[0]!ChamaForm_Menu">
      <xdr:nvPicPr>
        <xdr:cNvPr id="5" name="Imagem 4">
          <a:extLst>
            <a:ext uri="{FF2B5EF4-FFF2-40B4-BE49-F238E27FC236}">
              <a16:creationId xmlns:a16="http://schemas.microsoft.com/office/drawing/2014/main" id="{317DEC91-7D91-4431-A068-5A7C322B195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220578" y="182566"/>
          <a:ext cx="371551" cy="362742"/>
        </a:xfrm>
        <a:prstGeom prst="rect">
          <a:avLst/>
        </a:prstGeom>
      </xdr:spPr>
    </xdr:pic>
    <xdr:clientData/>
  </xdr:twoCellAnchor>
  <xdr:twoCellAnchor editAs="absolute">
    <xdr:from>
      <xdr:col>5</xdr:col>
      <xdr:colOff>70198</xdr:colOff>
      <xdr:row>0</xdr:row>
      <xdr:rowOff>152400</xdr:rowOff>
    </xdr:from>
    <xdr:to>
      <xdr:col>5</xdr:col>
      <xdr:colOff>919327</xdr:colOff>
      <xdr:row>1</xdr:row>
      <xdr:rowOff>63500</xdr:rowOff>
    </xdr:to>
    <xdr:pic>
      <xdr:nvPicPr>
        <xdr:cNvPr id="6" name="Label1">
          <a:extLst>
            <a:ext uri="{FF2B5EF4-FFF2-40B4-BE49-F238E27FC236}">
              <a16:creationId xmlns:a16="http://schemas.microsoft.com/office/drawing/2014/main" id="{8336738E-5321-4A9A-AE93-3A6985038383}"/>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6106" y="152400"/>
          <a:ext cx="877250" cy="542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47</xdr:col>
      <xdr:colOff>416149</xdr:colOff>
      <xdr:row>0</xdr:row>
      <xdr:rowOff>190500</xdr:rowOff>
    </xdr:from>
    <xdr:to>
      <xdr:col>49</xdr:col>
      <xdr:colOff>288955</xdr:colOff>
      <xdr:row>1</xdr:row>
      <xdr:rowOff>114300</xdr:rowOff>
    </xdr:to>
    <xdr:pic>
      <xdr:nvPicPr>
        <xdr:cNvPr id="7" name="Label2">
          <a:extLst>
            <a:ext uri="{FF2B5EF4-FFF2-40B4-BE49-F238E27FC236}">
              <a16:creationId xmlns:a16="http://schemas.microsoft.com/office/drawing/2014/main" id="{12160696-0BF6-4444-A697-E5AA18B715E8}"/>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9690557" y="190500"/>
          <a:ext cx="1016714"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485322</xdr:colOff>
      <xdr:row>1</xdr:row>
      <xdr:rowOff>167820</xdr:rowOff>
    </xdr:from>
    <xdr:ext cx="2776118" cy="1993675"/>
    <xdr:pic>
      <xdr:nvPicPr>
        <xdr:cNvPr id="8" name="Imagem 7">
          <a:extLst>
            <a:ext uri="{FF2B5EF4-FFF2-40B4-BE49-F238E27FC236}">
              <a16:creationId xmlns:a16="http://schemas.microsoft.com/office/drawing/2014/main" id="{3560D856-445B-4028-A315-D5774EA1C769}"/>
            </a:ext>
          </a:extLst>
        </xdr:cNvPr>
        <xdr:cNvPicPr>
          <a:picLocks noChangeAspect="1"/>
        </xdr:cNvPicPr>
      </xdr:nvPicPr>
      <xdr:blipFill>
        <a:blip xmlns:r="http://schemas.openxmlformats.org/officeDocument/2006/relationships" r:embed="rId4"/>
        <a:stretch>
          <a:fillRect/>
        </a:stretch>
      </xdr:blipFill>
      <xdr:spPr>
        <a:xfrm>
          <a:off x="8962572" y="793749"/>
          <a:ext cx="2776118" cy="1993675"/>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8</xdr:col>
      <xdr:colOff>29706</xdr:colOff>
      <xdr:row>3</xdr:row>
      <xdr:rowOff>19050</xdr:rowOff>
    </xdr:from>
    <xdr:ext cx="1870112" cy="1343025"/>
    <xdr:pic>
      <xdr:nvPicPr>
        <xdr:cNvPr id="2" name="Imagem 1">
          <a:extLst>
            <a:ext uri="{FF2B5EF4-FFF2-40B4-BE49-F238E27FC236}">
              <a16:creationId xmlns:a16="http://schemas.microsoft.com/office/drawing/2014/main" id="{31668231-8E90-40C6-BB3A-DB110EBA7A88}"/>
            </a:ext>
          </a:extLst>
        </xdr:cNvPr>
        <xdr:cNvPicPr>
          <a:picLocks noChangeAspect="1"/>
        </xdr:cNvPicPr>
      </xdr:nvPicPr>
      <xdr:blipFill>
        <a:blip xmlns:r="http://schemas.openxmlformats.org/officeDocument/2006/relationships" r:embed="rId1"/>
        <a:stretch>
          <a:fillRect/>
        </a:stretch>
      </xdr:blipFill>
      <xdr:spPr>
        <a:xfrm>
          <a:off x="9268956" y="600075"/>
          <a:ext cx="1870112" cy="134302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2667000" cy="1238250"/>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667000" cy="123825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2</xdr:col>
      <xdr:colOff>167640</xdr:colOff>
      <xdr:row>49</xdr:row>
      <xdr:rowOff>137160</xdr:rowOff>
    </xdr:from>
    <xdr:to>
      <xdr:col>5</xdr:col>
      <xdr:colOff>259080</xdr:colOff>
      <xdr:row>49</xdr:row>
      <xdr:rowOff>137160</xdr:rowOff>
    </xdr:to>
    <xdr:cxnSp macro="">
      <xdr:nvCxnSpPr>
        <xdr:cNvPr id="2" name="Conector reto 1">
          <a:extLst>
            <a:ext uri="{FF2B5EF4-FFF2-40B4-BE49-F238E27FC236}">
              <a16:creationId xmlns:a16="http://schemas.microsoft.com/office/drawing/2014/main" id="{00000000-0008-0000-0800-000002000000}"/>
            </a:ext>
          </a:extLst>
        </xdr:cNvPr>
        <xdr:cNvCxnSpPr/>
      </xdr:nvCxnSpPr>
      <xdr:spPr>
        <a:xfrm>
          <a:off x="396240" y="8717280"/>
          <a:ext cx="199644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487680</xdr:colOff>
      <xdr:row>49</xdr:row>
      <xdr:rowOff>137160</xdr:rowOff>
    </xdr:from>
    <xdr:to>
      <xdr:col>10</xdr:col>
      <xdr:colOff>472440</xdr:colOff>
      <xdr:row>49</xdr:row>
      <xdr:rowOff>137160</xdr:rowOff>
    </xdr:to>
    <xdr:cxnSp macro="">
      <xdr:nvCxnSpPr>
        <xdr:cNvPr id="3" name="Conector reto 2">
          <a:extLst>
            <a:ext uri="{FF2B5EF4-FFF2-40B4-BE49-F238E27FC236}">
              <a16:creationId xmlns:a16="http://schemas.microsoft.com/office/drawing/2014/main" id="{00000000-0008-0000-0800-000003000000}"/>
            </a:ext>
          </a:extLst>
        </xdr:cNvPr>
        <xdr:cNvCxnSpPr/>
      </xdr:nvCxnSpPr>
      <xdr:spPr>
        <a:xfrm>
          <a:off x="3665220" y="8717280"/>
          <a:ext cx="187452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53340</xdr:colOff>
      <xdr:row>1</xdr:row>
      <xdr:rowOff>91440</xdr:rowOff>
    </xdr:from>
    <xdr:ext cx="916651" cy="861060"/>
    <xdr:pic>
      <xdr:nvPicPr>
        <xdr:cNvPr id="4" name="Picture 28">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120640" y="198120"/>
          <a:ext cx="916651" cy="861060"/>
        </a:xfrm>
        <a:prstGeom prst="rect">
          <a:avLst/>
        </a:prstGeom>
        <a:noFill/>
        <a:ln w="9525">
          <a:noFill/>
          <a:miter lim="800000"/>
          <a:headEnd/>
          <a:tailEnd/>
        </a:ln>
      </xdr:spPr>
    </xdr:pic>
    <xdr:clientData/>
  </xdr:oneCellAnchor>
</xdr:wsDr>
</file>

<file path=xl/persons/person.xml><?xml version="1.0" encoding="utf-8"?>
<personList xmlns="http://schemas.microsoft.com/office/spreadsheetml/2018/threadedcomments" xmlns:x="http://schemas.openxmlformats.org/spreadsheetml/2006/main">
  <person displayName="Carol Iglezias" id="{B9CAE614-CCB1-40CE-9CF2-0957A7CA2D3F}" userId="S::carol.iglezias@oggilive.com.br::e3599335-7fad-48c9-a3a1-f8827cdc78a0" providerId="AD"/>
</personList>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spPr>
      <a:bodyPr vertOverflow="clip" horzOverflow="clip" wrap="none" rtlCol="0" anchor="t">
        <a:noAutofit/>
      </a:bodyPr>
      <a:lstStyle>
        <a:defPPr algn="ctr">
          <a:defRPr sz="1600" b="0">
            <a:latin typeface="Abadi" panose="020B0604020104020204" pitchFamily="34" charset="0"/>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21" dT="2026-03-31T16:37:16.33" personId="{B9CAE614-CCB1-40CE-9CF2-0957A7CA2D3F}" id="{B2BE168B-1537-41BE-9667-7CF66421D7F0}">
    <text>Luiza</text>
  </threadedComment>
  <threadedComment ref="S30" dT="2026-03-31T16:34:16.05" personId="{B9CAE614-CCB1-40CE-9CF2-0957A7CA2D3F}" id="{B6BFA2DB-9E0C-4E2D-9905-9532371960A6}">
    <text>500,00 Léo Cravo</text>
  </threadedComment>
  <threadedComment ref="S60" dT="2026-03-31T16:31:11.77" personId="{B9CAE614-CCB1-40CE-9CF2-0957A7CA2D3F}" id="{CF20C319-0B98-4935-B59B-358361826F69}">
    <text>Reembolso do Nilson</text>
  </threadedComment>
</ThreadedComments>
</file>

<file path=xl/threadedComments/threadedComment2.xml><?xml version="1.0" encoding="utf-8"?>
<ThreadedComments xmlns="http://schemas.microsoft.com/office/spreadsheetml/2018/threadedcomments" xmlns:x="http://schemas.openxmlformats.org/spreadsheetml/2006/main">
  <threadedComment ref="T18" dT="2026-03-31T16:45:11.42" personId="{B9CAE614-CCB1-40CE-9CF2-0957A7CA2D3F}" id="{94DF74D3-4078-44CC-B764-38396187E1E2}">
    <text>Diferença da nota fiscal de venda</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A4E6-5F3B-4BC1-9F75-44654DF7E5B1}">
  <sheetPr>
    <pageSetUpPr fitToPage="1"/>
  </sheetPr>
  <dimension ref="A1:F35"/>
  <sheetViews>
    <sheetView showGridLines="0" tabSelected="1" topLeftCell="A16" zoomScaleNormal="100" workbookViewId="0">
      <selection activeCell="C28" sqref="C28"/>
    </sheetView>
  </sheetViews>
  <sheetFormatPr defaultColWidth="8.6640625" defaultRowHeight="16.2" x14ac:dyDescent="0.35"/>
  <cols>
    <col min="1" max="1" width="8.6640625" style="219"/>
    <col min="2" max="2" width="26.109375" style="219" customWidth="1"/>
    <col min="3" max="3" width="35.88671875" style="219" customWidth="1"/>
    <col min="4" max="4" width="20.44140625" style="219" customWidth="1"/>
    <col min="5" max="5" width="18.44140625" style="219" customWidth="1"/>
    <col min="6" max="6" width="9.44140625" style="220" customWidth="1"/>
    <col min="7" max="7" width="12.88671875" style="219" bestFit="1" customWidth="1"/>
    <col min="8" max="8" width="12.5546875" style="219" bestFit="1" customWidth="1"/>
    <col min="9" max="16384" width="8.6640625" style="219"/>
  </cols>
  <sheetData>
    <row r="1" spans="1:5" s="220" customFormat="1" hidden="1" x14ac:dyDescent="0.35">
      <c r="A1" s="219"/>
      <c r="B1" s="219"/>
      <c r="C1" s="219"/>
      <c r="D1" s="219"/>
      <c r="E1" s="219"/>
    </row>
    <row r="2" spans="1:5" s="220" customFormat="1" hidden="1" x14ac:dyDescent="0.35">
      <c r="A2" s="219"/>
      <c r="B2" s="219"/>
      <c r="C2" s="219"/>
      <c r="D2" s="219"/>
      <c r="E2" s="219"/>
    </row>
    <row r="3" spans="1:5" s="220" customFormat="1" hidden="1" x14ac:dyDescent="0.35">
      <c r="A3" s="219"/>
      <c r="B3" s="219"/>
      <c r="C3" s="221">
        <v>45866</v>
      </c>
      <c r="D3" s="222"/>
      <c r="E3" s="384" t="e">
        <f>SUM(#REF!)</f>
        <v>#REF!</v>
      </c>
    </row>
    <row r="4" spans="1:5" s="220" customFormat="1" ht="15.6" hidden="1" customHeight="1" thickBot="1" x14ac:dyDescent="0.4">
      <c r="A4" s="219"/>
      <c r="B4" s="219"/>
      <c r="C4" s="223">
        <v>45867</v>
      </c>
      <c r="D4" s="224"/>
      <c r="E4" s="385"/>
    </row>
    <row r="5" spans="1:5" s="220" customFormat="1" hidden="1" x14ac:dyDescent="0.35">
      <c r="A5" s="219"/>
      <c r="B5" s="219"/>
      <c r="C5" s="225" t="s">
        <v>317</v>
      </c>
      <c r="D5" s="226"/>
      <c r="E5" s="219"/>
    </row>
    <row r="6" spans="1:5" s="220" customFormat="1" hidden="1" x14ac:dyDescent="0.35">
      <c r="A6" s="219"/>
      <c r="B6" s="219"/>
      <c r="C6" s="225" t="s">
        <v>318</v>
      </c>
      <c r="D6" s="226"/>
      <c r="E6" s="219"/>
    </row>
    <row r="7" spans="1:5" s="220" customFormat="1" ht="16.8" hidden="1" thickBot="1" x14ac:dyDescent="0.4">
      <c r="A7" s="219"/>
      <c r="B7" s="219"/>
      <c r="C7" s="227" t="s">
        <v>42</v>
      </c>
      <c r="D7" s="228"/>
      <c r="E7" s="219"/>
    </row>
    <row r="9" spans="1:5" s="220" customFormat="1" x14ac:dyDescent="0.35">
      <c r="A9" s="219" t="s">
        <v>99</v>
      </c>
      <c r="B9" s="219"/>
      <c r="C9" s="219"/>
      <c r="D9" s="219"/>
      <c r="E9" s="219"/>
    </row>
    <row r="10" spans="1:5" s="220" customFormat="1" ht="24" customHeight="1" x14ac:dyDescent="0.35">
      <c r="A10" s="219"/>
      <c r="B10" s="219"/>
      <c r="C10" s="219"/>
      <c r="D10" s="219"/>
      <c r="E10" s="219"/>
    </row>
    <row r="12" spans="1:5" s="220" customFormat="1" ht="15" customHeight="1" x14ac:dyDescent="0.35">
      <c r="A12" s="219"/>
      <c r="B12" s="38" t="s">
        <v>141</v>
      </c>
      <c r="C12" s="65" t="s">
        <v>237</v>
      </c>
      <c r="D12" s="229"/>
      <c r="E12" s="219"/>
    </row>
    <row r="13" spans="1:5" s="220" customFormat="1" ht="15" customHeight="1" x14ac:dyDescent="0.35">
      <c r="A13" s="219"/>
      <c r="B13" s="39" t="s">
        <v>140</v>
      </c>
      <c r="C13" s="66" t="s">
        <v>238</v>
      </c>
      <c r="D13" s="229"/>
      <c r="E13" s="219"/>
    </row>
    <row r="14" spans="1:5" s="220" customFormat="1" ht="15" customHeight="1" x14ac:dyDescent="0.35">
      <c r="A14" s="219"/>
      <c r="B14" s="39" t="s">
        <v>139</v>
      </c>
      <c r="C14" s="67" t="s">
        <v>239</v>
      </c>
      <c r="D14" s="230"/>
      <c r="E14" s="219"/>
    </row>
    <row r="15" spans="1:5" s="220" customFormat="1" ht="15" customHeight="1" x14ac:dyDescent="0.35">
      <c r="A15" s="219"/>
      <c r="B15" s="39" t="s">
        <v>138</v>
      </c>
      <c r="C15" s="68" t="s">
        <v>240</v>
      </c>
      <c r="D15" s="230"/>
      <c r="E15" s="219"/>
    </row>
    <row r="16" spans="1:5" s="220" customFormat="1" ht="15" customHeight="1" x14ac:dyDescent="0.35">
      <c r="A16" s="219"/>
      <c r="B16" s="39" t="s">
        <v>134</v>
      </c>
      <c r="C16" s="69" t="s">
        <v>241</v>
      </c>
      <c r="D16" s="231"/>
      <c r="E16" s="219"/>
    </row>
    <row r="17" spans="2:6" ht="15" customHeight="1" x14ac:dyDescent="0.35">
      <c r="B17" s="39" t="s">
        <v>135</v>
      </c>
      <c r="C17" s="68" t="s">
        <v>129</v>
      </c>
      <c r="D17" s="230"/>
    </row>
    <row r="18" spans="2:6" ht="15" customHeight="1" x14ac:dyDescent="0.35">
      <c r="B18" s="39" t="s">
        <v>136</v>
      </c>
      <c r="C18" s="68" t="s">
        <v>258</v>
      </c>
      <c r="D18" s="230"/>
    </row>
    <row r="19" spans="2:6" ht="15" customHeight="1" x14ac:dyDescent="0.35">
      <c r="B19" s="40" t="s">
        <v>137</v>
      </c>
      <c r="C19" s="70" t="s">
        <v>242</v>
      </c>
      <c r="D19" s="230"/>
    </row>
    <row r="21" spans="2:6" ht="15.6" customHeight="1" x14ac:dyDescent="0.35">
      <c r="B21" s="232"/>
      <c r="C21" s="232" t="s">
        <v>319</v>
      </c>
      <c r="D21" s="232" t="s">
        <v>320</v>
      </c>
      <c r="E21" s="232" t="s">
        <v>321</v>
      </c>
    </row>
    <row r="22" spans="2:6" x14ac:dyDescent="0.35">
      <c r="B22" s="233" t="s">
        <v>325</v>
      </c>
      <c r="C22" s="234">
        <f>Operação!N66</f>
        <v>156429.61911271283</v>
      </c>
      <c r="D22" s="234">
        <f>Operação!X66</f>
        <v>80607.23000000001</v>
      </c>
      <c r="E22" s="234">
        <f t="shared" ref="E22:E23" si="0">C22-D22</f>
        <v>75822.389112712815</v>
      </c>
      <c r="F22" s="235">
        <f>E22*100%/C22</f>
        <v>0.48470609046283125</v>
      </c>
    </row>
    <row r="23" spans="2:6" x14ac:dyDescent="0.35">
      <c r="B23" s="233" t="s">
        <v>326</v>
      </c>
      <c r="C23" s="234">
        <f>'Estand Op1'!N21</f>
        <v>196393.81757176589</v>
      </c>
      <c r="D23" s="234">
        <f>'Estand Op1'!X21</f>
        <v>170772</v>
      </c>
      <c r="E23" s="234">
        <f t="shared" si="0"/>
        <v>25621.817571765889</v>
      </c>
      <c r="F23" s="235">
        <f>E23*100%/C23</f>
        <v>0.13046142637562003</v>
      </c>
    </row>
    <row r="24" spans="2:6" x14ac:dyDescent="0.35">
      <c r="B24" s="232" t="s">
        <v>42</v>
      </c>
      <c r="C24" s="236">
        <f>SUM(C22:C23)</f>
        <v>352823.43668447871</v>
      </c>
      <c r="D24" s="236">
        <f>SUM(D22:D23)</f>
        <v>251379.23</v>
      </c>
      <c r="E24" s="236">
        <f>SUM(E22:E23)</f>
        <v>101444.2066844787</v>
      </c>
      <c r="F24" s="235">
        <f>E24*100%/C24</f>
        <v>0.28752116820175344</v>
      </c>
    </row>
    <row r="25" spans="2:6" x14ac:dyDescent="0.35">
      <c r="B25" s="378" t="s">
        <v>267</v>
      </c>
      <c r="C25" s="379">
        <f>'Resumo.'!D10</f>
        <v>18827.371191748476</v>
      </c>
    </row>
    <row r="26" spans="2:6" ht="200.1" hidden="1" customHeight="1" x14ac:dyDescent="0.35"/>
    <row r="27" spans="2:6" x14ac:dyDescent="0.35">
      <c r="C27" s="380"/>
    </row>
    <row r="28" spans="2:6" ht="16.8" thickBot="1" x14ac:dyDescent="0.4">
      <c r="C28" s="383">
        <f>C30+C31</f>
        <v>179649.99000000002</v>
      </c>
    </row>
    <row r="29" spans="2:6" ht="21.9" customHeight="1" thickBot="1" x14ac:dyDescent="0.4">
      <c r="B29" s="386" t="s">
        <v>322</v>
      </c>
      <c r="C29" s="387"/>
      <c r="D29" s="387"/>
      <c r="E29" s="387"/>
      <c r="F29" s="388"/>
    </row>
    <row r="30" spans="2:6" ht="24.9" customHeight="1" thickBot="1" x14ac:dyDescent="0.4">
      <c r="B30" s="237" t="s">
        <v>327</v>
      </c>
      <c r="C30" s="238">
        <v>21476.79</v>
      </c>
      <c r="D30" s="389">
        <f>D24</f>
        <v>251379.23</v>
      </c>
      <c r="E30" s="391">
        <f>C28-D30</f>
        <v>-71729.239999999991</v>
      </c>
      <c r="F30" s="508">
        <f>E30*100%/C28</f>
        <v>-0.39927216249775455</v>
      </c>
    </row>
    <row r="31" spans="2:6" ht="24.9" customHeight="1" thickBot="1" x14ac:dyDescent="0.4">
      <c r="B31" s="240" t="s">
        <v>347</v>
      </c>
      <c r="C31" s="241">
        <v>158173.20000000001</v>
      </c>
      <c r="D31" s="390"/>
      <c r="E31" s="392"/>
      <c r="F31" s="509"/>
    </row>
    <row r="32" spans="2:6" ht="29.4" customHeight="1" thickBot="1" x14ac:dyDescent="0.4">
      <c r="B32" s="240" t="s">
        <v>328</v>
      </c>
      <c r="C32" s="241">
        <v>17649.66</v>
      </c>
      <c r="D32" s="239">
        <f>C32*0.15</f>
        <v>2647.4490000000001</v>
      </c>
      <c r="E32" s="381">
        <f>C32-D32</f>
        <v>15002.210999999999</v>
      </c>
      <c r="F32" s="242">
        <f>E32*100%/C32</f>
        <v>0.85</v>
      </c>
    </row>
    <row r="33" spans="2:6" ht="29.4" customHeight="1" thickBot="1" x14ac:dyDescent="0.4">
      <c r="B33" s="240" t="s">
        <v>329</v>
      </c>
      <c r="C33" s="241">
        <v>136696.41</v>
      </c>
      <c r="D33" s="239">
        <f>C33*0.15</f>
        <v>20504.461500000001</v>
      </c>
      <c r="E33" s="381">
        <f>C33-D33</f>
        <v>116191.9485</v>
      </c>
      <c r="F33" s="242">
        <f>E33*100%/C33</f>
        <v>0.85</v>
      </c>
    </row>
    <row r="34" spans="2:6" ht="20.25" customHeight="1" thickBot="1" x14ac:dyDescent="0.4">
      <c r="B34" s="172"/>
      <c r="C34" s="377">
        <f>SUM(C30:C33)</f>
        <v>333996.06000000006</v>
      </c>
      <c r="D34" s="243">
        <f>SUM(D30:D33)</f>
        <v>274531.14049999998</v>
      </c>
      <c r="E34" s="382">
        <f>C34-D34</f>
        <v>59464.919500000076</v>
      </c>
      <c r="F34" s="242">
        <f>E34*100%/C34</f>
        <v>0.17804078137927754</v>
      </c>
    </row>
    <row r="35" spans="2:6" x14ac:dyDescent="0.35">
      <c r="B35" s="378"/>
      <c r="C35" s="379"/>
    </row>
  </sheetData>
  <mergeCells count="5">
    <mergeCell ref="E3:E4"/>
    <mergeCell ref="B29:F29"/>
    <mergeCell ref="D30:D31"/>
    <mergeCell ref="E30:E31"/>
    <mergeCell ref="F30:F31"/>
  </mergeCells>
  <pageMargins left="0.51181102362204722" right="0.51181102362204722" top="0.78740157480314965" bottom="0.78740157480314965" header="0.31496062992125984" footer="0.31496062992125984"/>
  <pageSetup paperSize="9" fitToHeight="0" orientation="landscape"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48968-A16A-40ED-A675-B08E53C88425}">
  <sheetPr codeName="Planilha12">
    <pageSetUpPr autoPageBreaks="0"/>
  </sheetPr>
  <dimension ref="A1:AM35"/>
  <sheetViews>
    <sheetView showGridLines="0" topLeftCell="F1" zoomScale="60" zoomScaleNormal="60" workbookViewId="0">
      <pane ySplit="1" topLeftCell="A25" activePane="bottomLeft" state="frozen"/>
      <selection pane="bottomLeft" activeCell="G17" sqref="G17"/>
    </sheetView>
  </sheetViews>
  <sheetFormatPr defaultColWidth="8.88671875" defaultRowHeight="14.4" x14ac:dyDescent="0.3"/>
  <cols>
    <col min="1" max="1" width="3.44140625" hidden="1" customWidth="1"/>
    <col min="2" max="2" width="9.44140625" customWidth="1"/>
    <col min="3" max="3" width="12.33203125" hidden="1" customWidth="1"/>
    <col min="4" max="4" width="15" hidden="1" customWidth="1"/>
    <col min="5" max="5" width="16.88671875" hidden="1" customWidth="1"/>
    <col min="6" max="6" width="44.44140625" customWidth="1"/>
    <col min="7" max="7" width="52.109375" customWidth="1"/>
    <col min="8" max="8" width="7.109375" hidden="1" customWidth="1"/>
    <col min="9" max="9" width="7.6640625" hidden="1" customWidth="1"/>
    <col min="10" max="10" width="16.44140625" hidden="1" customWidth="1"/>
    <col min="11" max="11" width="26.6640625" bestFit="1" customWidth="1"/>
    <col min="12" max="12" width="22.5546875" customWidth="1"/>
    <col min="13" max="13" width="20.6640625" customWidth="1"/>
    <col min="14" max="14" width="26.109375" customWidth="1"/>
    <col min="15" max="15" width="3.33203125" hidden="1" customWidth="1"/>
    <col min="16" max="16" width="1.88671875" hidden="1" customWidth="1"/>
    <col min="17" max="17" width="11.109375" style="41" bestFit="1" customWidth="1"/>
    <col min="18" max="18" width="8.44140625" style="41" hidden="1" customWidth="1"/>
    <col min="19" max="19" width="16.44140625" hidden="1" customWidth="1"/>
    <col min="20" max="20" width="26.6640625" bestFit="1" customWidth="1"/>
    <col min="21" max="21" width="24.6640625" hidden="1" customWidth="1"/>
    <col min="22" max="22" width="9.6640625" hidden="1" customWidth="1"/>
    <col min="23" max="23" width="16.109375" hidden="1" customWidth="1"/>
    <col min="24" max="24" width="27.109375" bestFit="1" customWidth="1"/>
    <col min="25" max="25" width="26.6640625" hidden="1" customWidth="1"/>
    <col min="26" max="26" width="14.6640625" hidden="1" customWidth="1"/>
    <col min="27" max="27" width="24.6640625" hidden="1" customWidth="1"/>
    <col min="28" max="28" width="38.109375" hidden="1" customWidth="1"/>
    <col min="29" max="29" width="14.109375" hidden="1" customWidth="1"/>
    <col min="30" max="30" width="7.6640625" hidden="1" customWidth="1"/>
    <col min="31" max="31" width="6.88671875" hidden="1" customWidth="1"/>
    <col min="32" max="32" width="1.33203125" hidden="1" customWidth="1"/>
    <col min="33" max="33" width="14" hidden="1" customWidth="1"/>
    <col min="34" max="34" width="11.6640625" hidden="1" customWidth="1"/>
    <col min="35" max="35" width="6.33203125" hidden="1" customWidth="1"/>
    <col min="36" max="36" width="12.6640625" hidden="1" customWidth="1"/>
    <col min="37" max="37" width="19" customWidth="1"/>
    <col min="38" max="38" width="20.5546875" customWidth="1"/>
    <col min="40" max="40" width="21.33203125" customWidth="1"/>
  </cols>
  <sheetData>
    <row r="1" spans="1:38" ht="49.5" customHeight="1" x14ac:dyDescent="0.3">
      <c r="B1" s="42"/>
      <c r="C1" s="43"/>
      <c r="D1" s="43"/>
      <c r="F1" s="410" t="s">
        <v>112</v>
      </c>
      <c r="G1" s="410"/>
    </row>
    <row r="2" spans="1:38" ht="24.75" customHeight="1" x14ac:dyDescent="0.3">
      <c r="B2" s="41"/>
      <c r="D2" s="43"/>
      <c r="F2" s="411" t="s">
        <v>0</v>
      </c>
      <c r="G2" s="411"/>
    </row>
    <row r="3" spans="1:38" ht="18" x14ac:dyDescent="0.35">
      <c r="B3" s="44"/>
      <c r="F3" s="31"/>
      <c r="G3" s="31"/>
    </row>
    <row r="4" spans="1:38" ht="18" x14ac:dyDescent="0.3">
      <c r="F4" s="38" t="s">
        <v>141</v>
      </c>
      <c r="G4" s="65" t="s">
        <v>237</v>
      </c>
    </row>
    <row r="5" spans="1:38" ht="18" x14ac:dyDescent="0.3">
      <c r="F5" s="39" t="s">
        <v>140</v>
      </c>
      <c r="G5" s="66" t="s">
        <v>238</v>
      </c>
    </row>
    <row r="6" spans="1:38" ht="18" x14ac:dyDescent="0.3">
      <c r="D6" t="s">
        <v>99</v>
      </c>
      <c r="F6" s="39" t="s">
        <v>139</v>
      </c>
      <c r="G6" s="67" t="s">
        <v>239</v>
      </c>
    </row>
    <row r="7" spans="1:38" ht="21.75" customHeight="1" x14ac:dyDescent="0.3">
      <c r="F7" s="39" t="s">
        <v>138</v>
      </c>
      <c r="G7" s="68" t="s">
        <v>240</v>
      </c>
      <c r="J7" t="s">
        <v>111</v>
      </c>
    </row>
    <row r="8" spans="1:38" ht="18" x14ac:dyDescent="0.3">
      <c r="F8" s="39" t="s">
        <v>134</v>
      </c>
      <c r="G8" s="69" t="s">
        <v>241</v>
      </c>
    </row>
    <row r="9" spans="1:38" ht="18" x14ac:dyDescent="0.3">
      <c r="F9" s="39" t="s">
        <v>135</v>
      </c>
      <c r="G9" s="68" t="s">
        <v>129</v>
      </c>
      <c r="J9" t="s">
        <v>99</v>
      </c>
    </row>
    <row r="10" spans="1:38" ht="27" customHeight="1" x14ac:dyDescent="0.3">
      <c r="F10" s="39" t="s">
        <v>136</v>
      </c>
      <c r="G10" s="68" t="s">
        <v>258</v>
      </c>
    </row>
    <row r="11" spans="1:38" ht="18" x14ac:dyDescent="0.3">
      <c r="F11" s="40" t="s">
        <v>137</v>
      </c>
      <c r="G11" s="70" t="s">
        <v>242</v>
      </c>
    </row>
    <row r="12" spans="1:38" ht="16.8" hidden="1" thickBot="1" x14ac:dyDescent="0.35">
      <c r="B12" s="1"/>
      <c r="M12" s="25"/>
      <c r="Q12" s="412" t="s">
        <v>1</v>
      </c>
      <c r="R12" s="413"/>
      <c r="S12" s="413"/>
      <c r="T12" s="414"/>
      <c r="U12" s="415" t="s">
        <v>2</v>
      </c>
      <c r="V12" s="416"/>
      <c r="W12" s="416"/>
      <c r="X12" s="417"/>
      <c r="Y12" s="27" t="s">
        <v>48</v>
      </c>
      <c r="Z12" s="28">
        <f>(1/(1-M14))-1</f>
        <v>0.24269914253759173</v>
      </c>
      <c r="AC12" s="418" t="s">
        <v>3</v>
      </c>
      <c r="AD12" s="419"/>
      <c r="AE12" s="420"/>
      <c r="AG12" s="408" t="s">
        <v>50</v>
      </c>
      <c r="AH12" s="409"/>
      <c r="AJ12" s="32" t="s">
        <v>52</v>
      </c>
      <c r="AK12" s="397" t="s">
        <v>51</v>
      </c>
      <c r="AL12" s="398"/>
    </row>
    <row r="13" spans="1:38" ht="18.600000000000001" thickBot="1" x14ac:dyDescent="0.4">
      <c r="A13" s="29" t="s">
        <v>4</v>
      </c>
      <c r="B13" s="30" t="s">
        <v>5</v>
      </c>
      <c r="C13" s="29" t="s">
        <v>6</v>
      </c>
      <c r="D13" s="29" t="s">
        <v>7</v>
      </c>
      <c r="E13" s="29" t="s">
        <v>8</v>
      </c>
      <c r="M13" s="26">
        <v>0.80469999999999997</v>
      </c>
    </row>
    <row r="14" spans="1:38" ht="30" customHeight="1" thickBot="1" x14ac:dyDescent="0.35">
      <c r="A14" s="46">
        <v>0</v>
      </c>
      <c r="B14" s="47"/>
      <c r="C14" s="48"/>
      <c r="D14" s="45"/>
      <c r="E14" s="45"/>
      <c r="F14" s="103" t="s">
        <v>76</v>
      </c>
      <c r="G14" s="104" t="s">
        <v>77</v>
      </c>
      <c r="H14" s="105" t="s">
        <v>78</v>
      </c>
      <c r="I14" s="105" t="s">
        <v>79</v>
      </c>
      <c r="J14" s="106" t="s">
        <v>80</v>
      </c>
      <c r="K14" s="107" t="s">
        <v>9</v>
      </c>
      <c r="L14" s="108">
        <v>7.4999999999999997E-2</v>
      </c>
      <c r="M14" s="109">
        <f>1-M13</f>
        <v>0.19530000000000003</v>
      </c>
      <c r="N14" s="110" t="s">
        <v>74</v>
      </c>
      <c r="Q14" s="57" t="s">
        <v>81</v>
      </c>
      <c r="R14" s="58" t="s">
        <v>82</v>
      </c>
      <c r="S14" s="59" t="s">
        <v>83</v>
      </c>
      <c r="T14" s="60" t="s">
        <v>84</v>
      </c>
      <c r="U14" s="61" t="s">
        <v>85</v>
      </c>
      <c r="V14" s="62" t="s">
        <v>86</v>
      </c>
      <c r="W14" s="63" t="s">
        <v>87</v>
      </c>
      <c r="X14" s="63" t="s">
        <v>88</v>
      </c>
      <c r="Y14" s="64" t="s">
        <v>89</v>
      </c>
      <c r="Z14" s="49" t="s">
        <v>90</v>
      </c>
      <c r="AA14" s="50" t="s">
        <v>75</v>
      </c>
      <c r="AC14" s="51" t="s">
        <v>91</v>
      </c>
      <c r="AD14" s="52" t="s">
        <v>92</v>
      </c>
      <c r="AE14" s="52" t="s">
        <v>32</v>
      </c>
      <c r="AG14" s="53" t="s">
        <v>93</v>
      </c>
      <c r="AH14" s="54" t="s">
        <v>94</v>
      </c>
      <c r="AK14" s="55" t="s">
        <v>95</v>
      </c>
      <c r="AL14" s="56" t="s">
        <v>96</v>
      </c>
    </row>
    <row r="15" spans="1:38" ht="30" customHeight="1" thickBot="1" x14ac:dyDescent="0.4">
      <c r="A15" s="45">
        <v>1</v>
      </c>
      <c r="B15" s="74">
        <v>1</v>
      </c>
      <c r="C15" s="73" t="s">
        <v>113</v>
      </c>
      <c r="D15" s="45"/>
      <c r="E15" s="45"/>
      <c r="F15" s="399"/>
      <c r="G15" s="400"/>
      <c r="H15" s="400"/>
      <c r="I15" s="400"/>
      <c r="J15" s="400"/>
      <c r="K15" s="400"/>
      <c r="L15" s="400"/>
      <c r="M15" s="400"/>
      <c r="N15" s="401"/>
      <c r="Q15" s="402" t="str">
        <f>IF(F15&lt;&gt;"",F15,"")</f>
        <v/>
      </c>
      <c r="R15" s="403"/>
      <c r="S15" s="403"/>
      <c r="T15" s="403"/>
      <c r="U15" s="403"/>
      <c r="V15" s="403"/>
      <c r="W15" s="403"/>
      <c r="X15" s="403"/>
      <c r="Y15" s="404"/>
      <c r="AK15" s="402"/>
      <c r="AL15" s="403"/>
    </row>
    <row r="16" spans="1:38" ht="30" customHeight="1" x14ac:dyDescent="0.35">
      <c r="A16" s="45">
        <v>2</v>
      </c>
      <c r="B16" s="74" t="s">
        <v>115</v>
      </c>
      <c r="C16" s="73" t="s">
        <v>114</v>
      </c>
      <c r="D16" s="45"/>
      <c r="E16" s="45"/>
      <c r="F16" s="405" t="s">
        <v>195</v>
      </c>
      <c r="G16" s="406"/>
      <c r="H16" s="406"/>
      <c r="I16" s="406"/>
      <c r="J16" s="406"/>
      <c r="K16" s="406"/>
      <c r="L16" s="114" t="s">
        <v>116</v>
      </c>
      <c r="M16" s="114" t="s">
        <v>117</v>
      </c>
      <c r="N16" s="115" t="s">
        <v>74</v>
      </c>
      <c r="Q16" s="405" t="str">
        <f>IF(F16&lt;&gt;"",F16,"")</f>
        <v xml:space="preserve">Taxas obrigatórias </v>
      </c>
      <c r="R16" s="406"/>
      <c r="S16" s="406"/>
      <c r="T16" s="406"/>
      <c r="U16" s="406"/>
      <c r="V16" s="406"/>
      <c r="W16" s="406"/>
      <c r="X16" s="406"/>
      <c r="Y16" s="407"/>
      <c r="Z16" s="83" t="s">
        <v>118</v>
      </c>
      <c r="AA16" s="75" t="s">
        <v>75</v>
      </c>
      <c r="AK16" s="405"/>
      <c r="AL16" s="406"/>
    </row>
    <row r="17" spans="1:39" ht="60" customHeight="1" x14ac:dyDescent="0.3">
      <c r="A17" s="45">
        <v>3</v>
      </c>
      <c r="B17" s="74" t="s">
        <v>120</v>
      </c>
      <c r="C17" s="73" t="s">
        <v>119</v>
      </c>
      <c r="D17" s="45" t="s">
        <v>142</v>
      </c>
      <c r="E17" s="45" t="s">
        <v>194</v>
      </c>
      <c r="F17" s="134" t="s">
        <v>196</v>
      </c>
      <c r="G17" s="131" t="s">
        <v>197</v>
      </c>
      <c r="H17" s="132">
        <v>0</v>
      </c>
      <c r="I17" s="132">
        <v>25</v>
      </c>
      <c r="J17" s="133">
        <v>40</v>
      </c>
      <c r="K17" s="213">
        <f t="shared" ref="K17:K28" si="0">IF(F17&lt;&gt;"",H17*I17*J17,"")</f>
        <v>0</v>
      </c>
      <c r="L17" s="76">
        <f t="shared" ref="L17:L28" si="1">IF(K17&lt;&gt;"",IF(D17="INTERNO",0,K17*$L$14),"")</f>
        <v>0</v>
      </c>
      <c r="M17" s="76">
        <f t="shared" ref="M17:M28" si="2">IF(K17&lt;&gt;"",IF(E17="FAT.OGGI",SUM(K17:L17)*(1/(1-$M$14)-1),L17*(1/(1-$M$14)-1)),0)</f>
        <v>0</v>
      </c>
      <c r="N17" s="94">
        <f t="shared" ref="N17:N28" si="3">SUM(K17:M17)</f>
        <v>0</v>
      </c>
      <c r="Q17" s="178">
        <f t="shared" ref="Q17:Q28" si="4">IF(H17&lt;&gt;"",H17,"")</f>
        <v>0</v>
      </c>
      <c r="R17" s="179">
        <v>0</v>
      </c>
      <c r="S17" s="95">
        <v>40</v>
      </c>
      <c r="T17" s="95">
        <f t="shared" ref="T17:T28" si="5">IF(Q17&lt;&gt;"",Q17*R17*S17,"")</f>
        <v>0</v>
      </c>
      <c r="U17" s="91">
        <f t="shared" ref="U17:U28" si="6">IF(Q17&lt;&gt;"",K17-T17,"")</f>
        <v>0</v>
      </c>
      <c r="V17" s="92">
        <f t="shared" ref="V17:V28" si="7">IF(Q17&lt;&gt;"",0%,"")</f>
        <v>0</v>
      </c>
      <c r="W17" s="77">
        <f t="shared" ref="W17:W28" si="8">IF(Q17&lt;&gt;"",V17*U17,"")</f>
        <v>0</v>
      </c>
      <c r="X17" s="77">
        <f t="shared" ref="X17:X28" si="9">IF(Q17&lt;&gt;"",W17+T17,"")</f>
        <v>0</v>
      </c>
      <c r="Y17" s="97">
        <f t="shared" ref="Y17:Y29" si="10">IF(Q17&lt;&gt;"",X17+M17,"")</f>
        <v>0</v>
      </c>
      <c r="Z17" s="84">
        <f t="shared" ref="Z17:Z28" si="11">IF(Q17&lt;&gt;"", IFERROR(U17/K17, 0), 0)</f>
        <v>0</v>
      </c>
      <c r="AA17" s="78" t="str">
        <f t="shared" ref="AA17:AA28" si="12">IFERROR(T17/$T$29, "")</f>
        <v/>
      </c>
      <c r="AC17" s="93" t="s">
        <v>133</v>
      </c>
      <c r="AK17" s="250">
        <f>X17-AL17</f>
        <v>0</v>
      </c>
      <c r="AL17" s="251"/>
    </row>
    <row r="18" spans="1:39" ht="60" customHeight="1" x14ac:dyDescent="0.3">
      <c r="A18" s="45">
        <v>4</v>
      </c>
      <c r="B18" s="74" t="s">
        <v>97</v>
      </c>
      <c r="C18" s="73" t="s">
        <v>119</v>
      </c>
      <c r="D18" s="45" t="s">
        <v>142</v>
      </c>
      <c r="E18" s="45" t="s">
        <v>194</v>
      </c>
      <c r="F18" s="134" t="s">
        <v>196</v>
      </c>
      <c r="G18" s="131" t="s">
        <v>198</v>
      </c>
      <c r="H18" s="132">
        <v>100</v>
      </c>
      <c r="I18" s="132">
        <v>1</v>
      </c>
      <c r="J18" s="133">
        <v>18.59</v>
      </c>
      <c r="K18" s="213">
        <f t="shared" si="0"/>
        <v>1859</v>
      </c>
      <c r="L18" s="76">
        <f t="shared" si="1"/>
        <v>0</v>
      </c>
      <c r="M18" s="76">
        <f t="shared" si="2"/>
        <v>0</v>
      </c>
      <c r="N18" s="94">
        <f t="shared" si="3"/>
        <v>1859</v>
      </c>
      <c r="Q18" s="178">
        <f t="shared" si="4"/>
        <v>100</v>
      </c>
      <c r="R18" s="179">
        <v>0</v>
      </c>
      <c r="S18" s="95">
        <v>18.59</v>
      </c>
      <c r="T18" s="95">
        <f t="shared" si="5"/>
        <v>0</v>
      </c>
      <c r="U18" s="91">
        <f t="shared" si="6"/>
        <v>1859</v>
      </c>
      <c r="V18" s="92">
        <f t="shared" si="7"/>
        <v>0</v>
      </c>
      <c r="W18" s="77">
        <f t="shared" si="8"/>
        <v>0</v>
      </c>
      <c r="X18" s="77">
        <f t="shared" si="9"/>
        <v>0</v>
      </c>
      <c r="Y18" s="97">
        <f t="shared" si="10"/>
        <v>0</v>
      </c>
      <c r="Z18" s="84">
        <f t="shared" si="11"/>
        <v>1</v>
      </c>
      <c r="AA18" s="78" t="str">
        <f t="shared" si="12"/>
        <v/>
      </c>
      <c r="AC18" s="93"/>
      <c r="AK18" s="250">
        <f t="shared" ref="AK18:AK28" si="13">X18-AL18</f>
        <v>0</v>
      </c>
      <c r="AL18" s="251"/>
    </row>
    <row r="19" spans="1:39" ht="60" customHeight="1" x14ac:dyDescent="0.3">
      <c r="A19" s="45">
        <v>5</v>
      </c>
      <c r="B19" s="74" t="s">
        <v>131</v>
      </c>
      <c r="C19" s="73" t="s">
        <v>119</v>
      </c>
      <c r="D19" s="45" t="s">
        <v>142</v>
      </c>
      <c r="E19" s="45" t="s">
        <v>194</v>
      </c>
      <c r="F19" s="134" t="s">
        <v>196</v>
      </c>
      <c r="G19" s="131" t="s">
        <v>199</v>
      </c>
      <c r="H19" s="132">
        <v>1</v>
      </c>
      <c r="I19" s="132">
        <v>23</v>
      </c>
      <c r="J19" s="133">
        <v>647.9</v>
      </c>
      <c r="K19" s="213">
        <f t="shared" si="0"/>
        <v>14901.699999999999</v>
      </c>
      <c r="L19" s="76">
        <f t="shared" si="1"/>
        <v>0</v>
      </c>
      <c r="M19" s="76">
        <f t="shared" si="2"/>
        <v>0</v>
      </c>
      <c r="N19" s="94">
        <f t="shared" si="3"/>
        <v>14901.699999999999</v>
      </c>
      <c r="Q19" s="178">
        <f t="shared" si="4"/>
        <v>1</v>
      </c>
      <c r="R19" s="179">
        <v>0</v>
      </c>
      <c r="S19" s="95">
        <v>647</v>
      </c>
      <c r="T19" s="95">
        <f t="shared" si="5"/>
        <v>0</v>
      </c>
      <c r="U19" s="91">
        <f t="shared" si="6"/>
        <v>14901.699999999999</v>
      </c>
      <c r="V19" s="92">
        <f t="shared" si="7"/>
        <v>0</v>
      </c>
      <c r="W19" s="77">
        <f t="shared" si="8"/>
        <v>0</v>
      </c>
      <c r="X19" s="77">
        <f t="shared" si="9"/>
        <v>0</v>
      </c>
      <c r="Y19" s="97">
        <f t="shared" si="10"/>
        <v>0</v>
      </c>
      <c r="Z19" s="84">
        <f t="shared" si="11"/>
        <v>1</v>
      </c>
      <c r="AA19" s="78" t="str">
        <f t="shared" si="12"/>
        <v/>
      </c>
      <c r="AK19" s="250">
        <f t="shared" si="13"/>
        <v>0</v>
      </c>
      <c r="AL19" s="251"/>
    </row>
    <row r="20" spans="1:39" ht="60" customHeight="1" x14ac:dyDescent="0.3">
      <c r="A20" s="45">
        <v>6</v>
      </c>
      <c r="B20" s="74" t="s">
        <v>151</v>
      </c>
      <c r="C20" s="73" t="s">
        <v>119</v>
      </c>
      <c r="D20" s="45" t="s">
        <v>142</v>
      </c>
      <c r="E20" s="45" t="s">
        <v>194</v>
      </c>
      <c r="F20" s="134" t="s">
        <v>196</v>
      </c>
      <c r="G20" s="131" t="s">
        <v>200</v>
      </c>
      <c r="H20" s="132">
        <v>1</v>
      </c>
      <c r="I20" s="132">
        <v>1</v>
      </c>
      <c r="J20" s="133">
        <v>1364</v>
      </c>
      <c r="K20" s="213">
        <f t="shared" si="0"/>
        <v>1364</v>
      </c>
      <c r="L20" s="76">
        <f t="shared" si="1"/>
        <v>0</v>
      </c>
      <c r="M20" s="76">
        <f t="shared" si="2"/>
        <v>0</v>
      </c>
      <c r="N20" s="94">
        <f t="shared" si="3"/>
        <v>1364</v>
      </c>
      <c r="Q20" s="178">
        <f t="shared" si="4"/>
        <v>1</v>
      </c>
      <c r="R20" s="179">
        <v>0</v>
      </c>
      <c r="S20" s="95">
        <v>1364</v>
      </c>
      <c r="T20" s="95">
        <f t="shared" si="5"/>
        <v>0</v>
      </c>
      <c r="U20" s="91">
        <f t="shared" si="6"/>
        <v>1364</v>
      </c>
      <c r="V20" s="92">
        <f t="shared" si="7"/>
        <v>0</v>
      </c>
      <c r="W20" s="77">
        <f t="shared" si="8"/>
        <v>0</v>
      </c>
      <c r="X20" s="77">
        <f t="shared" si="9"/>
        <v>0</v>
      </c>
      <c r="Y20" s="97">
        <f t="shared" si="10"/>
        <v>0</v>
      </c>
      <c r="Z20" s="84">
        <f t="shared" si="11"/>
        <v>1</v>
      </c>
      <c r="AA20" s="78" t="str">
        <f t="shared" si="12"/>
        <v/>
      </c>
      <c r="AK20" s="250">
        <f t="shared" si="13"/>
        <v>0</v>
      </c>
      <c r="AL20" s="251"/>
    </row>
    <row r="21" spans="1:39" ht="60" customHeight="1" x14ac:dyDescent="0.3">
      <c r="A21" s="45">
        <v>7</v>
      </c>
      <c r="B21" s="74" t="s">
        <v>152</v>
      </c>
      <c r="C21" s="73" t="s">
        <v>119</v>
      </c>
      <c r="D21" s="45" t="s">
        <v>142</v>
      </c>
      <c r="E21" s="45" t="s">
        <v>194</v>
      </c>
      <c r="F21" s="134" t="s">
        <v>196</v>
      </c>
      <c r="G21" s="131" t="s">
        <v>201</v>
      </c>
      <c r="H21" s="132">
        <v>1</v>
      </c>
      <c r="I21" s="132">
        <v>0</v>
      </c>
      <c r="J21" s="133">
        <v>0</v>
      </c>
      <c r="K21" s="213">
        <f t="shared" si="0"/>
        <v>0</v>
      </c>
      <c r="L21" s="76">
        <f t="shared" si="1"/>
        <v>0</v>
      </c>
      <c r="M21" s="76">
        <f t="shared" si="2"/>
        <v>0</v>
      </c>
      <c r="N21" s="94">
        <f t="shared" si="3"/>
        <v>0</v>
      </c>
      <c r="Q21" s="180">
        <f t="shared" si="4"/>
        <v>1</v>
      </c>
      <c r="R21" s="181">
        <f>IF(I21&lt;&gt;"",I21,"")</f>
        <v>0</v>
      </c>
      <c r="S21" s="128">
        <v>0</v>
      </c>
      <c r="T21" s="128">
        <f t="shared" si="5"/>
        <v>0</v>
      </c>
      <c r="U21" s="129">
        <f t="shared" si="6"/>
        <v>0</v>
      </c>
      <c r="V21" s="130">
        <f t="shared" si="7"/>
        <v>0</v>
      </c>
      <c r="W21" s="98">
        <f t="shared" si="8"/>
        <v>0</v>
      </c>
      <c r="X21" s="98">
        <f t="shared" si="9"/>
        <v>0</v>
      </c>
      <c r="Y21" s="85">
        <f t="shared" si="10"/>
        <v>0</v>
      </c>
      <c r="Z21" s="84">
        <f t="shared" si="11"/>
        <v>0</v>
      </c>
      <c r="AA21" s="78" t="str">
        <f t="shared" si="12"/>
        <v/>
      </c>
      <c r="AK21" s="250">
        <f t="shared" si="13"/>
        <v>0</v>
      </c>
      <c r="AL21" s="251"/>
    </row>
    <row r="22" spans="1:39" ht="60" customHeight="1" x14ac:dyDescent="0.3">
      <c r="A22" s="45">
        <v>8</v>
      </c>
      <c r="B22" s="74" t="s">
        <v>187</v>
      </c>
      <c r="C22" s="73" t="s">
        <v>119</v>
      </c>
      <c r="D22" s="45" t="s">
        <v>142</v>
      </c>
      <c r="E22" s="45" t="s">
        <v>194</v>
      </c>
      <c r="F22" s="134" t="s">
        <v>202</v>
      </c>
      <c r="G22" s="131" t="s">
        <v>203</v>
      </c>
      <c r="H22" s="132">
        <v>1</v>
      </c>
      <c r="I22" s="132">
        <v>0</v>
      </c>
      <c r="J22" s="133">
        <v>1516.9</v>
      </c>
      <c r="K22" s="213">
        <f t="shared" si="0"/>
        <v>0</v>
      </c>
      <c r="L22" s="76">
        <f t="shared" si="1"/>
        <v>0</v>
      </c>
      <c r="M22" s="76">
        <f t="shared" si="2"/>
        <v>0</v>
      </c>
      <c r="N22" s="94">
        <f t="shared" si="3"/>
        <v>0</v>
      </c>
      <c r="Q22" s="182">
        <f t="shared" si="4"/>
        <v>1</v>
      </c>
      <c r="R22" s="183">
        <v>0</v>
      </c>
      <c r="S22" s="79">
        <v>1516.9</v>
      </c>
      <c r="T22" s="79">
        <f t="shared" si="5"/>
        <v>0</v>
      </c>
      <c r="U22" s="80">
        <f t="shared" si="6"/>
        <v>0</v>
      </c>
      <c r="V22" s="81">
        <f t="shared" si="7"/>
        <v>0</v>
      </c>
      <c r="W22" s="82">
        <f t="shared" si="8"/>
        <v>0</v>
      </c>
      <c r="X22" s="82">
        <f t="shared" si="9"/>
        <v>0</v>
      </c>
      <c r="Y22" s="85">
        <f t="shared" si="10"/>
        <v>0</v>
      </c>
      <c r="Z22" s="84">
        <f t="shared" si="11"/>
        <v>0</v>
      </c>
      <c r="AA22" s="78" t="str">
        <f t="shared" si="12"/>
        <v/>
      </c>
      <c r="AK22" s="250">
        <f t="shared" si="13"/>
        <v>0</v>
      </c>
      <c r="AL22" s="251"/>
    </row>
    <row r="23" spans="1:39" ht="60" customHeight="1" x14ac:dyDescent="0.3">
      <c r="A23" s="45">
        <v>9</v>
      </c>
      <c r="B23" s="74" t="s">
        <v>188</v>
      </c>
      <c r="C23" s="73" t="s">
        <v>119</v>
      </c>
      <c r="D23" s="45" t="s">
        <v>142</v>
      </c>
      <c r="E23" s="45" t="s">
        <v>194</v>
      </c>
      <c r="F23" s="134" t="s">
        <v>196</v>
      </c>
      <c r="G23" s="131" t="s">
        <v>204</v>
      </c>
      <c r="H23" s="132">
        <v>1</v>
      </c>
      <c r="I23" s="132">
        <v>0</v>
      </c>
      <c r="J23" s="133">
        <v>120</v>
      </c>
      <c r="K23" s="213">
        <f t="shared" si="0"/>
        <v>0</v>
      </c>
      <c r="L23" s="76">
        <f t="shared" si="1"/>
        <v>0</v>
      </c>
      <c r="M23" s="76">
        <f t="shared" si="2"/>
        <v>0</v>
      </c>
      <c r="N23" s="94">
        <f t="shared" si="3"/>
        <v>0</v>
      </c>
      <c r="Q23" s="182">
        <f t="shared" si="4"/>
        <v>1</v>
      </c>
      <c r="R23" s="183">
        <f>IF(I23&lt;&gt;"",I23,"")</f>
        <v>0</v>
      </c>
      <c r="S23" s="79">
        <v>120</v>
      </c>
      <c r="T23" s="79">
        <f t="shared" si="5"/>
        <v>0</v>
      </c>
      <c r="U23" s="80">
        <f t="shared" si="6"/>
        <v>0</v>
      </c>
      <c r="V23" s="81">
        <f t="shared" si="7"/>
        <v>0</v>
      </c>
      <c r="W23" s="82">
        <f t="shared" si="8"/>
        <v>0</v>
      </c>
      <c r="X23" s="82">
        <f t="shared" si="9"/>
        <v>0</v>
      </c>
      <c r="Y23" s="85">
        <f t="shared" si="10"/>
        <v>0</v>
      </c>
      <c r="Z23" s="84">
        <f t="shared" si="11"/>
        <v>0</v>
      </c>
      <c r="AA23" s="78" t="str">
        <f t="shared" si="12"/>
        <v/>
      </c>
      <c r="AK23" s="250">
        <f t="shared" si="13"/>
        <v>0</v>
      </c>
      <c r="AL23" s="251"/>
    </row>
    <row r="24" spans="1:39" ht="60" customHeight="1" x14ac:dyDescent="0.3">
      <c r="A24" s="45">
        <v>10</v>
      </c>
      <c r="B24" s="74" t="s">
        <v>189</v>
      </c>
      <c r="C24" s="73" t="s">
        <v>119</v>
      </c>
      <c r="D24" s="45" t="s">
        <v>142</v>
      </c>
      <c r="E24" s="45" t="s">
        <v>194</v>
      </c>
      <c r="F24" s="134" t="s">
        <v>202</v>
      </c>
      <c r="G24" s="131" t="s">
        <v>221</v>
      </c>
      <c r="H24" s="132">
        <v>1</v>
      </c>
      <c r="I24" s="132">
        <v>0</v>
      </c>
      <c r="J24" s="133">
        <v>50</v>
      </c>
      <c r="K24" s="213">
        <f t="shared" si="0"/>
        <v>0</v>
      </c>
      <c r="L24" s="76">
        <f t="shared" si="1"/>
        <v>0</v>
      </c>
      <c r="M24" s="76">
        <f t="shared" si="2"/>
        <v>0</v>
      </c>
      <c r="N24" s="94">
        <f t="shared" si="3"/>
        <v>0</v>
      </c>
      <c r="Q24" s="182">
        <f t="shared" si="4"/>
        <v>1</v>
      </c>
      <c r="R24" s="183">
        <v>0</v>
      </c>
      <c r="S24" s="79">
        <v>50</v>
      </c>
      <c r="T24" s="79">
        <f t="shared" si="5"/>
        <v>0</v>
      </c>
      <c r="U24" s="80">
        <f t="shared" si="6"/>
        <v>0</v>
      </c>
      <c r="V24" s="81">
        <f t="shared" si="7"/>
        <v>0</v>
      </c>
      <c r="W24" s="82">
        <f t="shared" si="8"/>
        <v>0</v>
      </c>
      <c r="X24" s="82">
        <f t="shared" si="9"/>
        <v>0</v>
      </c>
      <c r="Y24" s="85">
        <f t="shared" si="10"/>
        <v>0</v>
      </c>
      <c r="Z24" s="84">
        <f t="shared" si="11"/>
        <v>0</v>
      </c>
      <c r="AA24" s="78" t="str">
        <f t="shared" si="12"/>
        <v/>
      </c>
      <c r="AK24" s="250">
        <f t="shared" si="13"/>
        <v>0</v>
      </c>
      <c r="AL24" s="251"/>
    </row>
    <row r="25" spans="1:39" ht="60" customHeight="1" x14ac:dyDescent="0.3">
      <c r="A25" s="45">
        <v>11</v>
      </c>
      <c r="B25" s="74" t="s">
        <v>190</v>
      </c>
      <c r="C25" s="73" t="s">
        <v>119</v>
      </c>
      <c r="D25" s="45" t="s">
        <v>142</v>
      </c>
      <c r="E25" s="45" t="s">
        <v>194</v>
      </c>
      <c r="F25" s="134" t="s">
        <v>202</v>
      </c>
      <c r="G25" s="131" t="s">
        <v>205</v>
      </c>
      <c r="H25" s="132">
        <v>1</v>
      </c>
      <c r="I25" s="132">
        <v>4</v>
      </c>
      <c r="J25" s="133">
        <v>849.71</v>
      </c>
      <c r="K25" s="213">
        <f t="shared" si="0"/>
        <v>3398.84</v>
      </c>
      <c r="L25" s="76">
        <f t="shared" si="1"/>
        <v>0</v>
      </c>
      <c r="M25" s="76">
        <f t="shared" si="2"/>
        <v>0</v>
      </c>
      <c r="N25" s="94">
        <f t="shared" si="3"/>
        <v>3398.84</v>
      </c>
      <c r="Q25" s="182">
        <f t="shared" si="4"/>
        <v>1</v>
      </c>
      <c r="R25" s="183">
        <v>0</v>
      </c>
      <c r="S25" s="79">
        <v>849.71</v>
      </c>
      <c r="T25" s="79">
        <f t="shared" si="5"/>
        <v>0</v>
      </c>
      <c r="U25" s="80">
        <f t="shared" si="6"/>
        <v>3398.84</v>
      </c>
      <c r="V25" s="81">
        <f t="shared" si="7"/>
        <v>0</v>
      </c>
      <c r="W25" s="82">
        <f t="shared" si="8"/>
        <v>0</v>
      </c>
      <c r="X25" s="82">
        <f t="shared" si="9"/>
        <v>0</v>
      </c>
      <c r="Y25" s="85">
        <f t="shared" si="10"/>
        <v>0</v>
      </c>
      <c r="Z25" s="84">
        <f t="shared" si="11"/>
        <v>1</v>
      </c>
      <c r="AA25" s="78" t="str">
        <f t="shared" si="12"/>
        <v/>
      </c>
      <c r="AK25" s="250">
        <f t="shared" si="13"/>
        <v>0</v>
      </c>
      <c r="AL25" s="251"/>
    </row>
    <row r="26" spans="1:39" ht="60" customHeight="1" x14ac:dyDescent="0.3">
      <c r="A26" s="45">
        <v>12</v>
      </c>
      <c r="B26" s="74" t="s">
        <v>191</v>
      </c>
      <c r="C26" s="73" t="s">
        <v>119</v>
      </c>
      <c r="D26" s="45" t="s">
        <v>142</v>
      </c>
      <c r="E26" s="45" t="s">
        <v>194</v>
      </c>
      <c r="F26" s="134" t="s">
        <v>202</v>
      </c>
      <c r="G26" s="131" t="s">
        <v>206</v>
      </c>
      <c r="H26" s="132">
        <v>1</v>
      </c>
      <c r="I26" s="132">
        <v>0</v>
      </c>
      <c r="J26" s="133">
        <v>424.82</v>
      </c>
      <c r="K26" s="213">
        <f t="shared" si="0"/>
        <v>0</v>
      </c>
      <c r="L26" s="76">
        <f t="shared" si="1"/>
        <v>0</v>
      </c>
      <c r="M26" s="76">
        <f t="shared" si="2"/>
        <v>0</v>
      </c>
      <c r="N26" s="94">
        <f t="shared" si="3"/>
        <v>0</v>
      </c>
      <c r="Q26" s="182">
        <f t="shared" si="4"/>
        <v>1</v>
      </c>
      <c r="R26" s="183">
        <v>0</v>
      </c>
      <c r="S26" s="79">
        <v>424.82</v>
      </c>
      <c r="T26" s="79">
        <f t="shared" si="5"/>
        <v>0</v>
      </c>
      <c r="U26" s="80">
        <f t="shared" si="6"/>
        <v>0</v>
      </c>
      <c r="V26" s="81">
        <f t="shared" si="7"/>
        <v>0</v>
      </c>
      <c r="W26" s="82">
        <f t="shared" si="8"/>
        <v>0</v>
      </c>
      <c r="X26" s="82">
        <f t="shared" si="9"/>
        <v>0</v>
      </c>
      <c r="Y26" s="85">
        <f t="shared" si="10"/>
        <v>0</v>
      </c>
      <c r="Z26" s="84">
        <f t="shared" si="11"/>
        <v>0</v>
      </c>
      <c r="AA26" s="78" t="str">
        <f t="shared" si="12"/>
        <v/>
      </c>
      <c r="AK26" s="250">
        <f t="shared" si="13"/>
        <v>0</v>
      </c>
      <c r="AL26" s="251"/>
    </row>
    <row r="27" spans="1:39" ht="60" customHeight="1" x14ac:dyDescent="0.3">
      <c r="A27" s="45">
        <v>13</v>
      </c>
      <c r="B27" s="74" t="s">
        <v>192</v>
      </c>
      <c r="C27" s="73" t="s">
        <v>119</v>
      </c>
      <c r="D27" s="45" t="s">
        <v>142</v>
      </c>
      <c r="E27" s="45" t="s">
        <v>194</v>
      </c>
      <c r="F27" s="134" t="s">
        <v>202</v>
      </c>
      <c r="G27" s="131" t="s">
        <v>207</v>
      </c>
      <c r="H27" s="132">
        <v>100</v>
      </c>
      <c r="I27" s="132">
        <v>0</v>
      </c>
      <c r="J27" s="133">
        <v>45</v>
      </c>
      <c r="K27" s="213">
        <f t="shared" si="0"/>
        <v>0</v>
      </c>
      <c r="L27" s="76">
        <f t="shared" si="1"/>
        <v>0</v>
      </c>
      <c r="M27" s="76">
        <f t="shared" si="2"/>
        <v>0</v>
      </c>
      <c r="N27" s="94">
        <f t="shared" si="3"/>
        <v>0</v>
      </c>
      <c r="Q27" s="182">
        <f t="shared" si="4"/>
        <v>100</v>
      </c>
      <c r="R27" s="183">
        <v>0</v>
      </c>
      <c r="S27" s="79">
        <v>45</v>
      </c>
      <c r="T27" s="79">
        <f t="shared" si="5"/>
        <v>0</v>
      </c>
      <c r="U27" s="80">
        <f t="shared" si="6"/>
        <v>0</v>
      </c>
      <c r="V27" s="81">
        <f t="shared" si="7"/>
        <v>0</v>
      </c>
      <c r="W27" s="82">
        <f t="shared" si="8"/>
        <v>0</v>
      </c>
      <c r="X27" s="82">
        <f t="shared" si="9"/>
        <v>0</v>
      </c>
      <c r="Y27" s="85">
        <f t="shared" si="10"/>
        <v>0</v>
      </c>
      <c r="Z27" s="84">
        <f t="shared" si="11"/>
        <v>0</v>
      </c>
      <c r="AA27" s="78" t="str">
        <f t="shared" si="12"/>
        <v/>
      </c>
      <c r="AK27" s="250">
        <f t="shared" si="13"/>
        <v>0</v>
      </c>
      <c r="AL27" s="251"/>
    </row>
    <row r="28" spans="1:39" ht="60" customHeight="1" thickBot="1" x14ac:dyDescent="0.35">
      <c r="A28" s="45">
        <v>14</v>
      </c>
      <c r="B28" s="74" t="s">
        <v>193</v>
      </c>
      <c r="C28" s="73" t="s">
        <v>119</v>
      </c>
      <c r="D28" s="45" t="s">
        <v>142</v>
      </c>
      <c r="E28" s="45" t="s">
        <v>194</v>
      </c>
      <c r="F28" s="134" t="s">
        <v>202</v>
      </c>
      <c r="G28" s="131" t="s">
        <v>209</v>
      </c>
      <c r="H28" s="132">
        <v>1</v>
      </c>
      <c r="I28" s="132">
        <v>0</v>
      </c>
      <c r="J28" s="133">
        <v>1793.22</v>
      </c>
      <c r="K28" s="213">
        <f t="shared" si="0"/>
        <v>0</v>
      </c>
      <c r="L28" s="76">
        <f t="shared" si="1"/>
        <v>0</v>
      </c>
      <c r="M28" s="76">
        <f t="shared" si="2"/>
        <v>0</v>
      </c>
      <c r="N28" s="94">
        <f t="shared" si="3"/>
        <v>0</v>
      </c>
      <c r="Q28" s="182">
        <f t="shared" si="4"/>
        <v>1</v>
      </c>
      <c r="R28" s="183">
        <f>IF(I28&lt;&gt;"",I28,"")</f>
        <v>0</v>
      </c>
      <c r="S28" s="79">
        <v>1793.22</v>
      </c>
      <c r="T28" s="79">
        <f t="shared" si="5"/>
        <v>0</v>
      </c>
      <c r="U28" s="80">
        <f t="shared" si="6"/>
        <v>0</v>
      </c>
      <c r="V28" s="81">
        <f t="shared" si="7"/>
        <v>0</v>
      </c>
      <c r="W28" s="82">
        <f t="shared" si="8"/>
        <v>0</v>
      </c>
      <c r="X28" s="82">
        <f t="shared" si="9"/>
        <v>0</v>
      </c>
      <c r="Y28" s="85">
        <f t="shared" si="10"/>
        <v>0</v>
      </c>
      <c r="Z28" s="84">
        <f t="shared" si="11"/>
        <v>0</v>
      </c>
      <c r="AA28" s="78" t="str">
        <f t="shared" si="12"/>
        <v/>
      </c>
      <c r="AK28" s="250">
        <f t="shared" si="13"/>
        <v>0</v>
      </c>
      <c r="AL28" s="251"/>
    </row>
    <row r="29" spans="1:39" ht="30" customHeight="1" thickBot="1" x14ac:dyDescent="0.4">
      <c r="A29" s="45">
        <v>15</v>
      </c>
      <c r="B29" s="74"/>
      <c r="C29" s="73" t="s">
        <v>122</v>
      </c>
      <c r="D29" s="45"/>
      <c r="E29" s="45"/>
      <c r="F29" s="393" t="s">
        <v>210</v>
      </c>
      <c r="G29" s="394"/>
      <c r="H29" s="394"/>
      <c r="I29" s="394"/>
      <c r="J29" s="394"/>
      <c r="K29" s="135">
        <f>SUM(K17:K28)</f>
        <v>21523.539999999997</v>
      </c>
      <c r="L29" s="135">
        <f>SUM(L17:L28)</f>
        <v>0</v>
      </c>
      <c r="M29" s="135">
        <f>SUM(M17:M28)</f>
        <v>0</v>
      </c>
      <c r="N29" s="119">
        <f>SUM(N17:N28)</f>
        <v>21523.539999999997</v>
      </c>
      <c r="Q29" s="395" t="s">
        <v>210</v>
      </c>
      <c r="R29" s="396"/>
      <c r="S29" s="396"/>
      <c r="T29" s="120">
        <f>SUM(T17:T28)</f>
        <v>0</v>
      </c>
      <c r="U29" s="121">
        <f>SUM(U17:U28)</f>
        <v>21523.539999999997</v>
      </c>
      <c r="V29" s="122"/>
      <c r="W29" s="122"/>
      <c r="X29" s="123">
        <f>SUM(X17:X28)</f>
        <v>0</v>
      </c>
      <c r="Y29" s="113">
        <f t="shared" si="10"/>
        <v>0</v>
      </c>
      <c r="Z29" s="125" t="s">
        <v>185</v>
      </c>
      <c r="AA29" s="126" t="s">
        <v>186</v>
      </c>
      <c r="AK29" s="250"/>
      <c r="AL29" s="251"/>
    </row>
    <row r="30" spans="1:39" ht="30" customHeight="1" thickBot="1" x14ac:dyDescent="0.5">
      <c r="A30" s="71">
        <v>16</v>
      </c>
      <c r="B30" s="144"/>
      <c r="C30" s="72" t="s">
        <v>127</v>
      </c>
      <c r="D30" s="71"/>
      <c r="E30" s="71"/>
      <c r="F30" s="86" t="s">
        <v>128</v>
      </c>
      <c r="G30" s="87"/>
      <c r="H30" s="87"/>
      <c r="I30" s="87"/>
      <c r="J30" s="87"/>
      <c r="K30" s="88">
        <f>SUM(K17:K28)</f>
        <v>21523.539999999997</v>
      </c>
      <c r="L30" s="88">
        <f>SUM(L17:L28)</f>
        <v>0</v>
      </c>
      <c r="M30" s="88">
        <f>SUM(M17:M28)</f>
        <v>0</v>
      </c>
      <c r="N30" s="124">
        <f>SUM(N17:N28)</f>
        <v>21523.539999999997</v>
      </c>
      <c r="Q30" s="184" t="s">
        <v>42</v>
      </c>
      <c r="R30" s="185"/>
      <c r="S30" s="87"/>
      <c r="T30" s="88">
        <f>SUM(T17:T28)</f>
        <v>0</v>
      </c>
      <c r="U30" s="88">
        <f>SUM(U17:U28)</f>
        <v>21523.539999999997</v>
      </c>
      <c r="V30" s="87"/>
      <c r="W30" s="87"/>
      <c r="X30" s="88">
        <f>SUM(X17:X28)</f>
        <v>0</v>
      </c>
      <c r="Y30" s="124">
        <f>SUM(Y17:Y28)</f>
        <v>0</v>
      </c>
      <c r="Z30" s="89">
        <f>IF(Q30&lt;&gt;"",(N30-Y30)/N30,"")</f>
        <v>1</v>
      </c>
      <c r="AA30" s="127">
        <f>IF(Z30&lt;&gt;"",(N30-Y30),"")</f>
        <v>21523.539999999997</v>
      </c>
      <c r="AK30" s="250">
        <f>SUM(AK17:AK29)</f>
        <v>0</v>
      </c>
      <c r="AL30" s="251">
        <f>SUM(AL17:AL28)</f>
        <v>0</v>
      </c>
    </row>
    <row r="32" spans="1:39" ht="18" x14ac:dyDescent="0.35">
      <c r="AL32" s="244"/>
      <c r="AM32" s="245" t="s">
        <v>323</v>
      </c>
    </row>
    <row r="33" spans="38:39" ht="18" x14ac:dyDescent="0.35">
      <c r="AL33" s="246">
        <f>X30</f>
        <v>0</v>
      </c>
      <c r="AM33" s="245" t="s">
        <v>324</v>
      </c>
    </row>
    <row r="34" spans="38:39" ht="18" x14ac:dyDescent="0.35">
      <c r="AL34" s="246">
        <f>N30-X30</f>
        <v>21523.539999999997</v>
      </c>
      <c r="AM34" s="247" t="s">
        <v>321</v>
      </c>
    </row>
    <row r="35" spans="38:39" ht="18" x14ac:dyDescent="0.35">
      <c r="AL35" s="248">
        <f>AL34*100%/N30</f>
        <v>1</v>
      </c>
      <c r="AM35" s="249"/>
    </row>
  </sheetData>
  <mergeCells count="15">
    <mergeCell ref="F1:G1"/>
    <mergeCell ref="F2:G2"/>
    <mergeCell ref="Q12:T12"/>
    <mergeCell ref="U12:X12"/>
    <mergeCell ref="AC12:AE12"/>
    <mergeCell ref="F29:J29"/>
    <mergeCell ref="Q29:S29"/>
    <mergeCell ref="AK12:AL12"/>
    <mergeCell ref="F15:N15"/>
    <mergeCell ref="Q15:Y15"/>
    <mergeCell ref="F16:K16"/>
    <mergeCell ref="Q16:Y16"/>
    <mergeCell ref="AG12:AH12"/>
    <mergeCell ref="AK15:AL15"/>
    <mergeCell ref="AK16:AL16"/>
  </mergeCells>
  <dataValidations count="3">
    <dataValidation type="list" allowBlank="1" showInputMessage="1" showErrorMessage="1" sqref="D30 D17:D28" xr:uid="{7244D71B-849A-4A79-9F87-34083B6A7F4B}">
      <formula1>"INTERNO,OPERACIONAL"</formula1>
    </dataValidation>
    <dataValidation type="list" allowBlank="1" showInputMessage="1" showErrorMessage="1" sqref="E30" xr:uid="{6B57CE75-871D-4D6D-A12D-E995FE0F6276}">
      <formula1>"FAT.OGGI,FAT.CLIENTE "</formula1>
    </dataValidation>
    <dataValidation type="list" allowBlank="1" showInputMessage="1" showErrorMessage="1" sqref="E17:E28" xr:uid="{271A5F68-DCC7-4B5D-BF6F-FD96AB4E057E}">
      <formula1>"FAT.OGGI,FAT.CLIENTE"</formula1>
    </dataValidation>
  </dataValidations>
  <pageMargins left="0.511811024" right="0.511811024" top="0.78740157499999996" bottom="0.78740157499999996" header="0.31496062000000002" footer="0.31496062000000002"/>
  <pageSetup paperSize="9" orientation="portrait" horizontalDpi="360" verticalDpi="36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B35F7-15A5-405C-ABF9-C7FFAB2A5A71}">
  <sheetPr codeName="Planilha11">
    <pageSetUpPr autoPageBreaks="0"/>
  </sheetPr>
  <dimension ref="A1:AO71"/>
  <sheetViews>
    <sheetView showGridLines="0" topLeftCell="B1" zoomScale="60" zoomScaleNormal="60" workbookViewId="0">
      <pane ySplit="1" topLeftCell="A61" activePane="bottomLeft" state="frozen"/>
      <selection pane="bottomLeft" activeCell="T64" sqref="T64"/>
    </sheetView>
  </sheetViews>
  <sheetFormatPr defaultColWidth="8.88671875" defaultRowHeight="18" x14ac:dyDescent="0.35"/>
  <cols>
    <col min="1" max="1" width="3.44140625" style="244" hidden="1" customWidth="1"/>
    <col min="2" max="2" width="9.44140625" style="244" customWidth="1"/>
    <col min="3" max="3" width="12.33203125" style="244" hidden="1" customWidth="1"/>
    <col min="4" max="4" width="15" style="244" hidden="1" customWidth="1"/>
    <col min="5" max="5" width="13.109375" style="244" hidden="1" customWidth="1"/>
    <col min="6" max="6" width="35.109375" style="244" customWidth="1"/>
    <col min="7" max="7" width="51.6640625" style="244" customWidth="1"/>
    <col min="8" max="8" width="7.109375" style="254" hidden="1" customWidth="1"/>
    <col min="9" max="9" width="7.6640625" style="254" hidden="1" customWidth="1"/>
    <col min="10" max="10" width="19" style="244" hidden="1" customWidth="1"/>
    <col min="11" max="11" width="26.6640625" style="244" hidden="1" customWidth="1"/>
    <col min="12" max="12" width="24.6640625" style="244" hidden="1" customWidth="1"/>
    <col min="13" max="14" width="26.6640625" style="244" hidden="1" customWidth="1"/>
    <col min="15" max="15" width="3.33203125" style="244" hidden="1" customWidth="1"/>
    <col min="16" max="16" width="1.88671875" style="244" hidden="1" customWidth="1"/>
    <col min="17" max="17" width="11.109375" style="254" bestFit="1" customWidth="1"/>
    <col min="18" max="18" width="8.44140625" style="254" hidden="1" customWidth="1"/>
    <col min="19" max="19" width="19.44140625" style="244" hidden="1" customWidth="1"/>
    <col min="20" max="20" width="26.6640625" style="244" bestFit="1" customWidth="1"/>
    <col min="21" max="21" width="24.6640625" style="244" hidden="1" customWidth="1"/>
    <col min="22" max="22" width="9.6640625" style="244" hidden="1" customWidth="1"/>
    <col min="23" max="23" width="16.109375" style="244" hidden="1" customWidth="1"/>
    <col min="24" max="24" width="27.109375" style="244" bestFit="1" customWidth="1"/>
    <col min="25" max="25" width="26.6640625" style="244" hidden="1" customWidth="1"/>
    <col min="26" max="26" width="20.6640625" style="244" hidden="1" customWidth="1"/>
    <col min="27" max="27" width="24.6640625" style="244" hidden="1" customWidth="1"/>
    <col min="28" max="28" width="38.109375" style="244" hidden="1" customWidth="1"/>
    <col min="29" max="29" width="14.109375" style="244" hidden="1" customWidth="1"/>
    <col min="30" max="30" width="7.6640625" style="244" hidden="1" customWidth="1"/>
    <col min="31" max="31" width="6.88671875" style="244" hidden="1" customWidth="1"/>
    <col min="32" max="32" width="1.33203125" style="244" hidden="1" customWidth="1"/>
    <col min="33" max="33" width="14" style="244" hidden="1" customWidth="1"/>
    <col min="34" max="34" width="11.6640625" style="244" hidden="1" customWidth="1"/>
    <col min="35" max="35" width="6.33203125" style="244" hidden="1" customWidth="1"/>
    <col min="36" max="36" width="12.6640625" style="244" hidden="1" customWidth="1"/>
    <col min="37" max="37" width="13.109375" style="244" hidden="1" customWidth="1"/>
    <col min="38" max="38" width="13.5546875" style="244" hidden="1" customWidth="1"/>
    <col min="39" max="39" width="20.5546875" style="244" customWidth="1"/>
    <col min="40" max="40" width="21.33203125" style="244" customWidth="1"/>
    <col min="41" max="41" width="8.88671875" style="249"/>
    <col min="42" max="16384" width="8.88671875" style="244"/>
  </cols>
  <sheetData>
    <row r="1" spans="1:40" ht="49.5" customHeight="1" x14ac:dyDescent="0.35">
      <c r="B1" s="252"/>
      <c r="C1" s="253"/>
      <c r="D1" s="253"/>
      <c r="F1" s="436" t="s">
        <v>112</v>
      </c>
      <c r="G1" s="436"/>
    </row>
    <row r="2" spans="1:40" ht="24.75" customHeight="1" x14ac:dyDescent="0.35">
      <c r="B2" s="254"/>
      <c r="D2" s="253"/>
      <c r="F2" s="437" t="s">
        <v>0</v>
      </c>
      <c r="G2" s="437"/>
    </row>
    <row r="3" spans="1:40" x14ac:dyDescent="0.35">
      <c r="B3" s="44"/>
      <c r="F3" s="31"/>
      <c r="G3" s="31"/>
    </row>
    <row r="4" spans="1:40" x14ac:dyDescent="0.35">
      <c r="F4" s="38" t="s">
        <v>141</v>
      </c>
      <c r="G4" s="65" t="s">
        <v>237</v>
      </c>
    </row>
    <row r="5" spans="1:40" x14ac:dyDescent="0.35">
      <c r="F5" s="39" t="s">
        <v>140</v>
      </c>
      <c r="G5" s="66" t="s">
        <v>238</v>
      </c>
    </row>
    <row r="6" spans="1:40" x14ac:dyDescent="0.35">
      <c r="D6" s="244" t="s">
        <v>99</v>
      </c>
      <c r="F6" s="39" t="s">
        <v>139</v>
      </c>
      <c r="G6" s="68" t="s">
        <v>239</v>
      </c>
    </row>
    <row r="7" spans="1:40" ht="21.75" customHeight="1" x14ac:dyDescent="0.35">
      <c r="F7" s="39" t="s">
        <v>138</v>
      </c>
      <c r="G7" s="68" t="s">
        <v>240</v>
      </c>
      <c r="J7" s="244" t="s">
        <v>111</v>
      </c>
    </row>
    <row r="8" spans="1:40" x14ac:dyDescent="0.35">
      <c r="F8" s="39" t="s">
        <v>134</v>
      </c>
      <c r="G8" s="255" t="s">
        <v>241</v>
      </c>
    </row>
    <row r="9" spans="1:40" x14ac:dyDescent="0.35">
      <c r="F9" s="39" t="s">
        <v>135</v>
      </c>
      <c r="G9" s="68" t="s">
        <v>129</v>
      </c>
      <c r="J9" s="244" t="s">
        <v>99</v>
      </c>
    </row>
    <row r="10" spans="1:40" ht="27" customHeight="1" x14ac:dyDescent="0.35">
      <c r="F10" s="39" t="s">
        <v>136</v>
      </c>
      <c r="G10" s="68" t="s">
        <v>258</v>
      </c>
    </row>
    <row r="11" spans="1:40" x14ac:dyDescent="0.35">
      <c r="F11" s="40" t="s">
        <v>137</v>
      </c>
      <c r="G11" s="70" t="s">
        <v>242</v>
      </c>
    </row>
    <row r="12" spans="1:40" ht="54.6" hidden="1" thickBot="1" x14ac:dyDescent="0.4">
      <c r="B12" s="256"/>
      <c r="M12" s="257"/>
      <c r="Q12" s="438" t="s">
        <v>1</v>
      </c>
      <c r="R12" s="439"/>
      <c r="S12" s="439"/>
      <c r="T12" s="440"/>
      <c r="U12" s="441" t="s">
        <v>2</v>
      </c>
      <c r="V12" s="442"/>
      <c r="W12" s="442"/>
      <c r="X12" s="443"/>
      <c r="Y12" s="258" t="s">
        <v>48</v>
      </c>
      <c r="Z12" s="259">
        <f>(1/(1-M14))-1</f>
        <v>0.24269914253759173</v>
      </c>
      <c r="AC12" s="444" t="s">
        <v>3</v>
      </c>
      <c r="AD12" s="445"/>
      <c r="AE12" s="446"/>
      <c r="AG12" s="455" t="s">
        <v>50</v>
      </c>
      <c r="AH12" s="456"/>
      <c r="AJ12" s="260" t="s">
        <v>52</v>
      </c>
      <c r="AK12" s="453" t="s">
        <v>51</v>
      </c>
      <c r="AL12" s="454"/>
    </row>
    <row r="13" spans="1:40" ht="18.600000000000001" thickBot="1" x14ac:dyDescent="0.4">
      <c r="A13" s="29" t="s">
        <v>4</v>
      </c>
      <c r="B13" s="30" t="s">
        <v>5</v>
      </c>
      <c r="C13" s="29" t="s">
        <v>6</v>
      </c>
      <c r="D13" s="29" t="s">
        <v>7</v>
      </c>
      <c r="E13" s="29" t="s">
        <v>8</v>
      </c>
      <c r="M13" s="261">
        <v>0.80469999999999997</v>
      </c>
    </row>
    <row r="14" spans="1:40" ht="39.75" customHeight="1" thickBot="1" x14ac:dyDescent="0.4">
      <c r="A14" s="262">
        <v>0</v>
      </c>
      <c r="B14" s="263"/>
      <c r="C14" s="264"/>
      <c r="D14" s="265"/>
      <c r="E14" s="265"/>
      <c r="F14" s="266" t="s">
        <v>76</v>
      </c>
      <c r="G14" s="267" t="s">
        <v>77</v>
      </c>
      <c r="H14" s="268" t="s">
        <v>78</v>
      </c>
      <c r="I14" s="268" t="s">
        <v>79</v>
      </c>
      <c r="J14" s="269" t="s">
        <v>80</v>
      </c>
      <c r="K14" s="270" t="s">
        <v>9</v>
      </c>
      <c r="L14" s="271">
        <v>7.4999999999999997E-2</v>
      </c>
      <c r="M14" s="272">
        <f>1-M13</f>
        <v>0.19530000000000003</v>
      </c>
      <c r="N14" s="273" t="s">
        <v>74</v>
      </c>
      <c r="Q14" s="274" t="s">
        <v>81</v>
      </c>
      <c r="R14" s="275" t="s">
        <v>82</v>
      </c>
      <c r="S14" s="276" t="s">
        <v>83</v>
      </c>
      <c r="T14" s="277" t="s">
        <v>84</v>
      </c>
      <c r="U14" s="278" t="s">
        <v>85</v>
      </c>
      <c r="V14" s="279" t="s">
        <v>86</v>
      </c>
      <c r="W14" s="280" t="s">
        <v>87</v>
      </c>
      <c r="X14" s="280" t="s">
        <v>88</v>
      </c>
      <c r="Y14" s="281" t="s">
        <v>89</v>
      </c>
      <c r="Z14" s="282" t="s">
        <v>90</v>
      </c>
      <c r="AA14" s="283" t="s">
        <v>75</v>
      </c>
      <c r="AC14" s="284" t="s">
        <v>91</v>
      </c>
      <c r="AD14" s="285" t="s">
        <v>92</v>
      </c>
      <c r="AE14" s="285" t="s">
        <v>32</v>
      </c>
      <c r="AG14" s="286" t="s">
        <v>93</v>
      </c>
      <c r="AH14" s="287" t="s">
        <v>94</v>
      </c>
      <c r="AK14" s="288" t="s">
        <v>95</v>
      </c>
      <c r="AL14" s="289" t="s">
        <v>96</v>
      </c>
      <c r="AM14" s="288" t="s">
        <v>95</v>
      </c>
      <c r="AN14" s="289" t="s">
        <v>96</v>
      </c>
    </row>
    <row r="15" spans="1:40" ht="24.9" customHeight="1" thickBot="1" x14ac:dyDescent="0.4">
      <c r="A15" s="265">
        <v>1</v>
      </c>
      <c r="B15" s="290">
        <v>1</v>
      </c>
      <c r="C15" s="291" t="s">
        <v>113</v>
      </c>
      <c r="D15" s="265"/>
      <c r="E15" s="265"/>
      <c r="F15" s="433"/>
      <c r="G15" s="434"/>
      <c r="H15" s="434"/>
      <c r="I15" s="434"/>
      <c r="J15" s="434"/>
      <c r="K15" s="434"/>
      <c r="L15" s="434"/>
      <c r="M15" s="434"/>
      <c r="N15" s="435"/>
      <c r="Q15" s="433" t="str">
        <f>IF(F15&lt;&gt;"",F15,"")</f>
        <v/>
      </c>
      <c r="R15" s="434"/>
      <c r="S15" s="434"/>
      <c r="T15" s="434"/>
      <c r="U15" s="434"/>
      <c r="V15" s="434"/>
      <c r="W15" s="434"/>
      <c r="X15" s="434"/>
      <c r="Y15" s="435"/>
      <c r="AM15" s="402"/>
      <c r="AN15" s="403"/>
    </row>
    <row r="16" spans="1:40" ht="24.9" customHeight="1" x14ac:dyDescent="0.35">
      <c r="A16" s="265">
        <v>2</v>
      </c>
      <c r="B16" s="290" t="s">
        <v>115</v>
      </c>
      <c r="C16" s="291" t="s">
        <v>114</v>
      </c>
      <c r="D16" s="265"/>
      <c r="E16" s="265"/>
      <c r="F16" s="430" t="s">
        <v>142</v>
      </c>
      <c r="G16" s="431"/>
      <c r="H16" s="431"/>
      <c r="I16" s="431"/>
      <c r="J16" s="431"/>
      <c r="K16" s="431"/>
      <c r="L16" s="292" t="s">
        <v>116</v>
      </c>
      <c r="M16" s="292" t="s">
        <v>117</v>
      </c>
      <c r="N16" s="293" t="s">
        <v>74</v>
      </c>
      <c r="Q16" s="430" t="str">
        <f>IF(F16&lt;&gt;"",F16,"")</f>
        <v>INTERNO</v>
      </c>
      <c r="R16" s="431"/>
      <c r="S16" s="431"/>
      <c r="T16" s="431"/>
      <c r="U16" s="431"/>
      <c r="V16" s="431"/>
      <c r="W16" s="431"/>
      <c r="X16" s="431"/>
      <c r="Y16" s="432"/>
      <c r="Z16" s="294" t="s">
        <v>118</v>
      </c>
      <c r="AA16" s="295" t="s">
        <v>75</v>
      </c>
      <c r="AM16" s="405"/>
      <c r="AN16" s="406"/>
    </row>
    <row r="17" spans="1:41" ht="80.099999999999994" customHeight="1" x14ac:dyDescent="0.35">
      <c r="A17" s="265">
        <v>3</v>
      </c>
      <c r="B17" s="290" t="s">
        <v>120</v>
      </c>
      <c r="C17" s="291" t="s">
        <v>119</v>
      </c>
      <c r="D17" s="265" t="s">
        <v>142</v>
      </c>
      <c r="E17" s="265" t="s">
        <v>130</v>
      </c>
      <c r="F17" s="296" t="s">
        <v>149</v>
      </c>
      <c r="G17" s="297" t="s">
        <v>259</v>
      </c>
      <c r="H17" s="298">
        <v>1</v>
      </c>
      <c r="I17" s="298">
        <v>1</v>
      </c>
      <c r="J17" s="299">
        <v>10450</v>
      </c>
      <c r="K17" s="299">
        <f t="shared" ref="K17:K21" si="0">IF(F17&lt;&gt;"",H17*I17*J17,"")</f>
        <v>10450</v>
      </c>
      <c r="L17" s="299">
        <f t="shared" ref="L17:L21" si="1">IF(K17&lt;&gt;"",IF(D17="INTERNO",0,K17*$L$14),"")</f>
        <v>0</v>
      </c>
      <c r="M17" s="299">
        <f t="shared" ref="M17:M21" si="2">IF(K17&lt;&gt;"",IF(E17="FAT.OGGI",SUM(K17:L17)*(1/(1-$M$14)-1),L17*(1/(1-$M$14)-1)),0)</f>
        <v>2536.2060395178337</v>
      </c>
      <c r="N17" s="300">
        <f t="shared" ref="N17:N21" si="3">SUM(K17:M17)</f>
        <v>12986.206039517834</v>
      </c>
      <c r="Q17" s="301">
        <f t="shared" ref="Q17:Q21" si="4">IF(H17&lt;&gt;"",H17,"")</f>
        <v>1</v>
      </c>
      <c r="R17" s="302">
        <v>1</v>
      </c>
      <c r="S17" s="303">
        <v>0</v>
      </c>
      <c r="T17" s="303">
        <f t="shared" ref="T17:T21" si="5">IF(Q17&lt;&gt;"",Q17*R17*S17,"")</f>
        <v>0</v>
      </c>
      <c r="U17" s="304">
        <f t="shared" ref="U17:U21" si="6">IF(Q17&lt;&gt;"",K17-T17,"")</f>
        <v>10450</v>
      </c>
      <c r="V17" s="305">
        <f t="shared" ref="V17:V21" si="7">IF(Q17&lt;&gt;"",0%,"")</f>
        <v>0</v>
      </c>
      <c r="W17" s="306">
        <f t="shared" ref="W17:W21" si="8">IF(Q17&lt;&gt;"",V17*U17,"")</f>
        <v>0</v>
      </c>
      <c r="X17" s="306">
        <f t="shared" ref="X17:X21" si="9">IF(Q17&lt;&gt;"",W17+T17,"")</f>
        <v>0</v>
      </c>
      <c r="Y17" s="307">
        <f t="shared" ref="Y17:Y22" si="10">IF(Q17&lt;&gt;"",X17+M17,"")</f>
        <v>2536.2060395178337</v>
      </c>
      <c r="Z17" s="308">
        <f t="shared" ref="Z17:Z21" si="11">IF(Q17&lt;&gt;"", IFERROR(U17/K17, 0), 0)</f>
        <v>1</v>
      </c>
      <c r="AA17" s="309">
        <f>IFERROR(T17/$T$22, "")</f>
        <v>0</v>
      </c>
      <c r="AC17" s="310"/>
      <c r="AM17" s="311">
        <f>X17-AN17</f>
        <v>0</v>
      </c>
      <c r="AN17" s="312"/>
    </row>
    <row r="18" spans="1:41" ht="80.099999999999994" customHeight="1" x14ac:dyDescent="0.35">
      <c r="A18" s="265">
        <v>4</v>
      </c>
      <c r="B18" s="290" t="s">
        <v>97</v>
      </c>
      <c r="C18" s="291" t="s">
        <v>119</v>
      </c>
      <c r="D18" s="265" t="s">
        <v>142</v>
      </c>
      <c r="E18" s="265" t="s">
        <v>130</v>
      </c>
      <c r="F18" s="296" t="s">
        <v>143</v>
      </c>
      <c r="G18" s="297" t="s">
        <v>164</v>
      </c>
      <c r="H18" s="298">
        <v>1</v>
      </c>
      <c r="I18" s="298">
        <v>0</v>
      </c>
      <c r="J18" s="299">
        <v>5929</v>
      </c>
      <c r="K18" s="299">
        <f t="shared" si="0"/>
        <v>0</v>
      </c>
      <c r="L18" s="299">
        <f t="shared" si="1"/>
        <v>0</v>
      </c>
      <c r="M18" s="299">
        <f t="shared" si="2"/>
        <v>0</v>
      </c>
      <c r="N18" s="300">
        <f t="shared" si="3"/>
        <v>0</v>
      </c>
      <c r="Q18" s="301">
        <f t="shared" si="4"/>
        <v>1</v>
      </c>
      <c r="R18" s="302">
        <v>1</v>
      </c>
      <c r="S18" s="303"/>
      <c r="T18" s="303">
        <f t="shared" si="5"/>
        <v>0</v>
      </c>
      <c r="U18" s="304">
        <f t="shared" si="6"/>
        <v>0</v>
      </c>
      <c r="V18" s="305">
        <f t="shared" si="7"/>
        <v>0</v>
      </c>
      <c r="W18" s="306">
        <f t="shared" si="8"/>
        <v>0</v>
      </c>
      <c r="X18" s="306">
        <f t="shared" si="9"/>
        <v>0</v>
      </c>
      <c r="Y18" s="307">
        <f t="shared" si="10"/>
        <v>0</v>
      </c>
      <c r="Z18" s="308">
        <f t="shared" si="11"/>
        <v>0</v>
      </c>
      <c r="AA18" s="309">
        <f>IFERROR(T18/$T$22, "")</f>
        <v>0</v>
      </c>
      <c r="AC18" s="310"/>
      <c r="AM18" s="311">
        <f t="shared" ref="AM18:AM64" si="12">X18-AN18</f>
        <v>0</v>
      </c>
      <c r="AN18" s="312"/>
    </row>
    <row r="19" spans="1:41" ht="80.099999999999994" customHeight="1" x14ac:dyDescent="0.35">
      <c r="A19" s="265">
        <v>5</v>
      </c>
      <c r="B19" s="290" t="s">
        <v>131</v>
      </c>
      <c r="C19" s="291" t="s">
        <v>119</v>
      </c>
      <c r="D19" s="265" t="s">
        <v>142</v>
      </c>
      <c r="E19" s="265" t="s">
        <v>130</v>
      </c>
      <c r="F19" s="296" t="s">
        <v>150</v>
      </c>
      <c r="G19" s="297" t="s">
        <v>160</v>
      </c>
      <c r="H19" s="298">
        <v>1</v>
      </c>
      <c r="I19" s="298">
        <v>1</v>
      </c>
      <c r="J19" s="313">
        <v>8250</v>
      </c>
      <c r="K19" s="299">
        <f t="shared" si="0"/>
        <v>8250</v>
      </c>
      <c r="L19" s="299">
        <f t="shared" si="1"/>
        <v>0</v>
      </c>
      <c r="M19" s="299">
        <f t="shared" si="2"/>
        <v>2002.2679259351316</v>
      </c>
      <c r="N19" s="300">
        <f t="shared" si="3"/>
        <v>10252.267925935132</v>
      </c>
      <c r="Q19" s="301">
        <f t="shared" si="4"/>
        <v>1</v>
      </c>
      <c r="R19" s="302">
        <f t="shared" ref="R19:R21" si="13">IF(I19&lt;&gt;"",I19,"")</f>
        <v>1</v>
      </c>
      <c r="S19" s="303"/>
      <c r="T19" s="303">
        <f t="shared" si="5"/>
        <v>0</v>
      </c>
      <c r="U19" s="304">
        <f t="shared" si="6"/>
        <v>8250</v>
      </c>
      <c r="V19" s="305">
        <f t="shared" si="7"/>
        <v>0</v>
      </c>
      <c r="W19" s="306">
        <f t="shared" si="8"/>
        <v>0</v>
      </c>
      <c r="X19" s="306">
        <f t="shared" si="9"/>
        <v>0</v>
      </c>
      <c r="Y19" s="307">
        <f t="shared" si="10"/>
        <v>2002.2679259351316</v>
      </c>
      <c r="Z19" s="308">
        <f t="shared" si="11"/>
        <v>1</v>
      </c>
      <c r="AA19" s="309">
        <f>IFERROR(T19/$T$22, "")</f>
        <v>0</v>
      </c>
      <c r="AM19" s="311">
        <f t="shared" si="12"/>
        <v>0</v>
      </c>
      <c r="AN19" s="312"/>
    </row>
    <row r="20" spans="1:41" ht="80.099999999999994" customHeight="1" x14ac:dyDescent="0.35">
      <c r="A20" s="265">
        <v>6</v>
      </c>
      <c r="B20" s="290" t="s">
        <v>151</v>
      </c>
      <c r="C20" s="291" t="s">
        <v>119</v>
      </c>
      <c r="D20" s="265" t="s">
        <v>142</v>
      </c>
      <c r="E20" s="265" t="s">
        <v>130</v>
      </c>
      <c r="F20" s="296" t="s">
        <v>165</v>
      </c>
      <c r="G20" s="297" t="s">
        <v>161</v>
      </c>
      <c r="H20" s="298">
        <v>1</v>
      </c>
      <c r="I20" s="298">
        <v>1</v>
      </c>
      <c r="J20" s="313">
        <v>7500</v>
      </c>
      <c r="K20" s="299">
        <f t="shared" si="0"/>
        <v>7500</v>
      </c>
      <c r="L20" s="299">
        <f t="shared" si="1"/>
        <v>0</v>
      </c>
      <c r="M20" s="299">
        <f t="shared" si="2"/>
        <v>1820.243569031938</v>
      </c>
      <c r="N20" s="300">
        <f t="shared" si="3"/>
        <v>9320.243569031938</v>
      </c>
      <c r="Q20" s="301">
        <f t="shared" si="4"/>
        <v>1</v>
      </c>
      <c r="R20" s="302">
        <f t="shared" si="13"/>
        <v>1</v>
      </c>
      <c r="S20" s="303"/>
      <c r="T20" s="303">
        <f t="shared" si="5"/>
        <v>0</v>
      </c>
      <c r="U20" s="304">
        <f t="shared" si="6"/>
        <v>7500</v>
      </c>
      <c r="V20" s="305">
        <f t="shared" si="7"/>
        <v>0</v>
      </c>
      <c r="W20" s="306">
        <f t="shared" si="8"/>
        <v>0</v>
      </c>
      <c r="X20" s="306">
        <f t="shared" si="9"/>
        <v>0</v>
      </c>
      <c r="Y20" s="307">
        <f t="shared" si="10"/>
        <v>1820.243569031938</v>
      </c>
      <c r="Z20" s="308">
        <f t="shared" si="11"/>
        <v>1</v>
      </c>
      <c r="AA20" s="309">
        <f>IFERROR(T20/$T$22, "")</f>
        <v>0</v>
      </c>
      <c r="AM20" s="311">
        <f t="shared" si="12"/>
        <v>0</v>
      </c>
      <c r="AN20" s="312"/>
    </row>
    <row r="21" spans="1:41" ht="80.099999999999994" customHeight="1" x14ac:dyDescent="0.35">
      <c r="A21" s="265">
        <v>7</v>
      </c>
      <c r="B21" s="290" t="s">
        <v>152</v>
      </c>
      <c r="C21" s="291" t="s">
        <v>119</v>
      </c>
      <c r="D21" s="265" t="s">
        <v>142</v>
      </c>
      <c r="E21" s="265" t="s">
        <v>130</v>
      </c>
      <c r="F21" s="296" t="s">
        <v>166</v>
      </c>
      <c r="G21" s="297" t="s">
        <v>162</v>
      </c>
      <c r="H21" s="298">
        <v>1</v>
      </c>
      <c r="I21" s="298">
        <v>1</v>
      </c>
      <c r="J21" s="299">
        <v>6500</v>
      </c>
      <c r="K21" s="299">
        <f t="shared" si="0"/>
        <v>6500</v>
      </c>
      <c r="L21" s="299">
        <f t="shared" si="1"/>
        <v>0</v>
      </c>
      <c r="M21" s="299">
        <f t="shared" si="2"/>
        <v>1577.5444264943462</v>
      </c>
      <c r="N21" s="300">
        <f t="shared" si="3"/>
        <v>8077.5444264943462</v>
      </c>
      <c r="Q21" s="301">
        <f t="shared" si="4"/>
        <v>1</v>
      </c>
      <c r="R21" s="302">
        <f t="shared" si="13"/>
        <v>1</v>
      </c>
      <c r="S21" s="303">
        <v>7000</v>
      </c>
      <c r="T21" s="303">
        <f t="shared" si="5"/>
        <v>7000</v>
      </c>
      <c r="U21" s="304">
        <f t="shared" si="6"/>
        <v>-500</v>
      </c>
      <c r="V21" s="305">
        <f t="shared" si="7"/>
        <v>0</v>
      </c>
      <c r="W21" s="306">
        <f t="shared" si="8"/>
        <v>0</v>
      </c>
      <c r="X21" s="306">
        <f t="shared" si="9"/>
        <v>7000</v>
      </c>
      <c r="Y21" s="307">
        <f t="shared" si="10"/>
        <v>8577.5444264943471</v>
      </c>
      <c r="Z21" s="308">
        <f t="shared" si="11"/>
        <v>-7.6923076923076927E-2</v>
      </c>
      <c r="AA21" s="309">
        <f>IFERROR(T21/$T$22, "")</f>
        <v>1</v>
      </c>
      <c r="AM21" s="311">
        <f t="shared" si="12"/>
        <v>0</v>
      </c>
      <c r="AN21" s="312">
        <v>7000</v>
      </c>
      <c r="AO21" s="249" t="s">
        <v>344</v>
      </c>
    </row>
    <row r="22" spans="1:41" ht="24.9" customHeight="1" x14ac:dyDescent="0.35">
      <c r="A22" s="265">
        <v>8</v>
      </c>
      <c r="B22" s="290"/>
      <c r="C22" s="291" t="s">
        <v>122</v>
      </c>
      <c r="D22" s="265"/>
      <c r="E22" s="265"/>
      <c r="F22" s="430" t="s">
        <v>154</v>
      </c>
      <c r="G22" s="431"/>
      <c r="H22" s="431"/>
      <c r="I22" s="431"/>
      <c r="J22" s="431"/>
      <c r="K22" s="111">
        <f>SUM(K17:K21)</f>
        <v>32700</v>
      </c>
      <c r="L22" s="111">
        <f>SUM(L17:L21)</f>
        <v>0</v>
      </c>
      <c r="M22" s="111">
        <f>SUM(M17:M21)</f>
        <v>7936.26196097925</v>
      </c>
      <c r="N22" s="112">
        <f>SUM(N17:N21)</f>
        <v>40636.261960979245</v>
      </c>
      <c r="Q22" s="430" t="s">
        <v>153</v>
      </c>
      <c r="R22" s="431"/>
      <c r="S22" s="431"/>
      <c r="T22" s="99">
        <f>SUM(T17:T21)</f>
        <v>7000</v>
      </c>
      <c r="U22" s="100">
        <f>SUM(U17:U21)</f>
        <v>25700</v>
      </c>
      <c r="V22" s="314"/>
      <c r="W22" s="314"/>
      <c r="X22" s="101">
        <f>SUM(X17:X21)</f>
        <v>7000</v>
      </c>
      <c r="Y22" s="102">
        <f t="shared" si="10"/>
        <v>14936.261960979249</v>
      </c>
      <c r="AM22" s="311"/>
      <c r="AN22" s="312"/>
    </row>
    <row r="23" spans="1:41" ht="24.9" customHeight="1" thickBot="1" x14ac:dyDescent="0.4">
      <c r="A23" s="265">
        <v>9</v>
      </c>
      <c r="B23" s="290">
        <v>2</v>
      </c>
      <c r="C23" s="291"/>
      <c r="D23" s="265"/>
      <c r="E23" s="265"/>
      <c r="F23" s="433" t="s">
        <v>245</v>
      </c>
      <c r="G23" s="434"/>
      <c r="H23" s="434"/>
      <c r="I23" s="434"/>
      <c r="J23" s="434"/>
      <c r="K23" s="434"/>
      <c r="L23" s="434"/>
      <c r="M23" s="434"/>
      <c r="N23" s="435"/>
      <c r="Q23" s="399" t="str">
        <f>IF(F23&lt;&gt;"",F23,"")</f>
        <v>Equipe de Produção</v>
      </c>
      <c r="R23" s="400"/>
      <c r="S23" s="400"/>
      <c r="T23" s="400"/>
      <c r="U23" s="400"/>
      <c r="V23" s="400"/>
      <c r="W23" s="400"/>
      <c r="X23" s="400"/>
      <c r="Y23" s="401"/>
      <c r="AM23" s="311"/>
      <c r="AN23" s="312"/>
    </row>
    <row r="24" spans="1:41" ht="24.9" customHeight="1" x14ac:dyDescent="0.35">
      <c r="A24" s="265">
        <v>10</v>
      </c>
      <c r="B24" s="290" t="s">
        <v>123</v>
      </c>
      <c r="C24" s="291" t="s">
        <v>114</v>
      </c>
      <c r="D24" s="265"/>
      <c r="E24" s="265"/>
      <c r="F24" s="430" t="s">
        <v>177</v>
      </c>
      <c r="G24" s="431"/>
      <c r="H24" s="431"/>
      <c r="I24" s="431"/>
      <c r="J24" s="431"/>
      <c r="K24" s="431"/>
      <c r="L24" s="292" t="s">
        <v>116</v>
      </c>
      <c r="M24" s="292" t="s">
        <v>117</v>
      </c>
      <c r="N24" s="293" t="s">
        <v>74</v>
      </c>
      <c r="Q24" s="405" t="str">
        <f>IF(F24&lt;&gt;"",F24,"")</f>
        <v>EQUIPE</v>
      </c>
      <c r="R24" s="406"/>
      <c r="S24" s="406"/>
      <c r="T24" s="406"/>
      <c r="U24" s="406"/>
      <c r="V24" s="406"/>
      <c r="W24" s="406"/>
      <c r="X24" s="406"/>
      <c r="Y24" s="407"/>
      <c r="Z24" s="294" t="s">
        <v>118</v>
      </c>
      <c r="AA24" s="295" t="s">
        <v>75</v>
      </c>
      <c r="AM24" s="311"/>
      <c r="AN24" s="312"/>
    </row>
    <row r="25" spans="1:41" ht="80.099999999999994" customHeight="1" x14ac:dyDescent="0.35">
      <c r="A25" s="265">
        <v>11</v>
      </c>
      <c r="B25" s="290" t="s">
        <v>124</v>
      </c>
      <c r="C25" s="291" t="s">
        <v>119</v>
      </c>
      <c r="D25" s="265" t="s">
        <v>121</v>
      </c>
      <c r="E25" s="265" t="s">
        <v>130</v>
      </c>
      <c r="F25" s="296" t="s">
        <v>178</v>
      </c>
      <c r="G25" s="297" t="s">
        <v>330</v>
      </c>
      <c r="H25" s="298">
        <v>1</v>
      </c>
      <c r="I25" s="298">
        <v>4</v>
      </c>
      <c r="J25" s="299">
        <v>800</v>
      </c>
      <c r="K25" s="299">
        <f t="shared" ref="K25:K30" si="14">IF(F25&lt;&gt;"",H25*I25*J25,"")</f>
        <v>3200</v>
      </c>
      <c r="L25" s="299">
        <f t="shared" ref="L25:L30" si="15">IF(K25&lt;&gt;"",IF(D25="INTERNO",0,K25*$L$14),"")</f>
        <v>240</v>
      </c>
      <c r="M25" s="299">
        <f t="shared" ref="M25:M30" si="16">IF(K25&lt;&gt;"",IF(E25="FAT.OGGI",SUM(K25:L25)*(1/(1-$M$14)-1),L25*(1/(1-$M$14)-1)),0)</f>
        <v>834.8850503293155</v>
      </c>
      <c r="N25" s="300">
        <f t="shared" ref="N25:N30" si="17">SUM(K25:M25)</f>
        <v>4274.8850503293152</v>
      </c>
      <c r="Q25" s="301">
        <f t="shared" ref="Q25:R30" si="18">IF(H25&lt;&gt;"",H25,"")</f>
        <v>1</v>
      </c>
      <c r="R25" s="302">
        <v>4</v>
      </c>
      <c r="S25" s="303">
        <v>650</v>
      </c>
      <c r="T25" s="315">
        <v>0</v>
      </c>
      <c r="U25" s="304">
        <f t="shared" ref="U25:U30" si="19">IF(Q25&lt;&gt;"",K25-T25,"")</f>
        <v>3200</v>
      </c>
      <c r="V25" s="305">
        <f t="shared" ref="V25:V30" si="20">IF(Q25&lt;&gt;"",0%,"")</f>
        <v>0</v>
      </c>
      <c r="W25" s="306">
        <f t="shared" ref="W25:W30" si="21">IF(Q25&lt;&gt;"",V25*U25,"")</f>
        <v>0</v>
      </c>
      <c r="X25" s="306">
        <f t="shared" ref="X25:X30" si="22">IF(Q25&lt;&gt;"",W25+T25,"")</f>
        <v>0</v>
      </c>
      <c r="Y25" s="307">
        <f t="shared" ref="Y25:Y30" si="23">IF(Q25&lt;&gt;"",X25+M25,"")</f>
        <v>834.8850503293155</v>
      </c>
      <c r="Z25" s="308">
        <f t="shared" ref="Z25:Z30" si="24">IF(Q25&lt;&gt;"", IFERROR(U25/K25, 0), 0)</f>
        <v>1</v>
      </c>
      <c r="AA25" s="309">
        <f t="shared" ref="AA25:AA30" si="25">IFERROR(T25/$T$31, "")</f>
        <v>0</v>
      </c>
      <c r="AM25" s="311">
        <f t="shared" si="12"/>
        <v>0</v>
      </c>
      <c r="AN25" s="312"/>
    </row>
    <row r="26" spans="1:41" ht="80.099999999999994" customHeight="1" x14ac:dyDescent="0.35">
      <c r="A26" s="265">
        <v>12</v>
      </c>
      <c r="B26" s="290" t="s">
        <v>125</v>
      </c>
      <c r="C26" s="291" t="s">
        <v>119</v>
      </c>
      <c r="D26" s="265" t="s">
        <v>121</v>
      </c>
      <c r="E26" s="265" t="s">
        <v>130</v>
      </c>
      <c r="F26" s="296" t="s">
        <v>181</v>
      </c>
      <c r="G26" s="297" t="s">
        <v>331</v>
      </c>
      <c r="H26" s="298">
        <v>1</v>
      </c>
      <c r="I26" s="298">
        <v>7</v>
      </c>
      <c r="J26" s="299">
        <v>800</v>
      </c>
      <c r="K26" s="299">
        <f t="shared" si="14"/>
        <v>5600</v>
      </c>
      <c r="L26" s="299">
        <f t="shared" si="15"/>
        <v>420</v>
      </c>
      <c r="M26" s="299">
        <f t="shared" si="16"/>
        <v>1461.0488380763022</v>
      </c>
      <c r="N26" s="300">
        <f t="shared" si="17"/>
        <v>7481.0488380763018</v>
      </c>
      <c r="Q26" s="301">
        <f t="shared" si="18"/>
        <v>1</v>
      </c>
      <c r="R26" s="302">
        <v>5</v>
      </c>
      <c r="S26" s="303">
        <v>700</v>
      </c>
      <c r="T26" s="316">
        <f t="shared" ref="T26" si="26">IF(Q26&lt;&gt;"",Q26*R26*S26,"")</f>
        <v>3500</v>
      </c>
      <c r="U26" s="304">
        <f t="shared" si="19"/>
        <v>2100</v>
      </c>
      <c r="V26" s="305">
        <f t="shared" si="20"/>
        <v>0</v>
      </c>
      <c r="W26" s="306">
        <f t="shared" si="21"/>
        <v>0</v>
      </c>
      <c r="X26" s="306">
        <f t="shared" si="22"/>
        <v>3500</v>
      </c>
      <c r="Y26" s="307">
        <f t="shared" si="23"/>
        <v>4961.0488380763018</v>
      </c>
      <c r="Z26" s="308">
        <f t="shared" si="24"/>
        <v>0.375</v>
      </c>
      <c r="AA26" s="309">
        <f t="shared" si="25"/>
        <v>1</v>
      </c>
      <c r="AM26" s="311">
        <f t="shared" si="12"/>
        <v>0</v>
      </c>
      <c r="AN26" s="312">
        <v>3500</v>
      </c>
      <c r="AO26" s="249" t="s">
        <v>345</v>
      </c>
    </row>
    <row r="27" spans="1:41" ht="80.099999999999994" customHeight="1" x14ac:dyDescent="0.35">
      <c r="A27" s="265">
        <v>13</v>
      </c>
      <c r="B27" s="290" t="s">
        <v>126</v>
      </c>
      <c r="C27" s="291" t="s">
        <v>119</v>
      </c>
      <c r="D27" s="265" t="s">
        <v>121</v>
      </c>
      <c r="E27" s="265" t="s">
        <v>130</v>
      </c>
      <c r="F27" s="296" t="s">
        <v>295</v>
      </c>
      <c r="G27" s="297" t="s">
        <v>296</v>
      </c>
      <c r="H27" s="298">
        <v>1</v>
      </c>
      <c r="I27" s="298">
        <v>1</v>
      </c>
      <c r="J27" s="299">
        <v>650</v>
      </c>
      <c r="K27" s="299">
        <f t="shared" si="14"/>
        <v>650</v>
      </c>
      <c r="L27" s="299">
        <f t="shared" ref="L27" si="27">IF(K27&lt;&gt;"",IF(D27="INTERNO",0,K27*$L$14),"")</f>
        <v>48.75</v>
      </c>
      <c r="M27" s="299">
        <f t="shared" ref="M27" si="28">IF(K27&lt;&gt;"",IF(E27="FAT.OGGI",SUM(K27:L27)*(1/(1-$M$14)-1),L27*(1/(1-$M$14)-1)),0)</f>
        <v>169.58602584814221</v>
      </c>
      <c r="N27" s="300">
        <f t="shared" ref="N27" si="29">SUM(K27:M27)</f>
        <v>868.33602584814219</v>
      </c>
      <c r="Q27" s="301">
        <f t="shared" ref="Q27" si="30">IF(H27&lt;&gt;"",H27,"")</f>
        <v>1</v>
      </c>
      <c r="R27" s="302">
        <f t="shared" ref="R27" si="31">IF(I27&lt;&gt;"",I27,"")</f>
        <v>1</v>
      </c>
      <c r="S27" s="303">
        <v>700</v>
      </c>
      <c r="T27" s="315">
        <v>0</v>
      </c>
      <c r="U27" s="304">
        <f t="shared" ref="U27" si="32">IF(Q27&lt;&gt;"",K27-T27,"")</f>
        <v>650</v>
      </c>
      <c r="V27" s="305">
        <f t="shared" ref="V27" si="33">IF(Q27&lt;&gt;"",0%,"")</f>
        <v>0</v>
      </c>
      <c r="W27" s="306">
        <f t="shared" ref="W27" si="34">IF(Q27&lt;&gt;"",V27*U27,"")</f>
        <v>0</v>
      </c>
      <c r="X27" s="306">
        <f t="shared" ref="X27" si="35">IF(Q27&lt;&gt;"",W27+T27,"")</f>
        <v>0</v>
      </c>
      <c r="Y27" s="307">
        <f t="shared" ref="Y27" si="36">IF(Q27&lt;&gt;"",X27+M27,"")</f>
        <v>169.58602584814221</v>
      </c>
      <c r="Z27" s="308">
        <f t="shared" ref="Z27" si="37">IF(Q27&lt;&gt;"", IFERROR(U27/K27, 0), 0)</f>
        <v>1</v>
      </c>
      <c r="AA27" s="309">
        <f t="shared" si="25"/>
        <v>0</v>
      </c>
      <c r="AM27" s="311">
        <f t="shared" si="12"/>
        <v>0</v>
      </c>
      <c r="AN27" s="312"/>
    </row>
    <row r="28" spans="1:41" ht="80.099999999999994" customHeight="1" x14ac:dyDescent="0.35">
      <c r="A28" s="265">
        <v>14</v>
      </c>
      <c r="B28" s="290" t="s">
        <v>132</v>
      </c>
      <c r="C28" s="291" t="s">
        <v>119</v>
      </c>
      <c r="D28" s="265" t="s">
        <v>121</v>
      </c>
      <c r="E28" s="265" t="s">
        <v>130</v>
      </c>
      <c r="F28" s="296" t="s">
        <v>179</v>
      </c>
      <c r="G28" s="297" t="s">
        <v>182</v>
      </c>
      <c r="H28" s="298">
        <v>1</v>
      </c>
      <c r="I28" s="298">
        <v>4</v>
      </c>
      <c r="J28" s="299">
        <v>800</v>
      </c>
      <c r="K28" s="299">
        <f t="shared" si="14"/>
        <v>3200</v>
      </c>
      <c r="L28" s="299">
        <f t="shared" si="15"/>
        <v>240</v>
      </c>
      <c r="M28" s="299">
        <f t="shared" si="16"/>
        <v>834.8850503293155</v>
      </c>
      <c r="N28" s="300">
        <f t="shared" si="17"/>
        <v>4274.8850503293152</v>
      </c>
      <c r="Q28" s="301">
        <f t="shared" si="18"/>
        <v>1</v>
      </c>
      <c r="R28" s="302">
        <f t="shared" si="18"/>
        <v>4</v>
      </c>
      <c r="S28" s="303">
        <v>650</v>
      </c>
      <c r="T28" s="315">
        <v>0</v>
      </c>
      <c r="U28" s="304">
        <f t="shared" si="19"/>
        <v>3200</v>
      </c>
      <c r="V28" s="305">
        <f t="shared" si="20"/>
        <v>0</v>
      </c>
      <c r="W28" s="306">
        <f t="shared" si="21"/>
        <v>0</v>
      </c>
      <c r="X28" s="306">
        <f t="shared" si="22"/>
        <v>0</v>
      </c>
      <c r="Y28" s="307">
        <f t="shared" si="23"/>
        <v>834.8850503293155</v>
      </c>
      <c r="Z28" s="308">
        <f t="shared" si="24"/>
        <v>1</v>
      </c>
      <c r="AA28" s="309">
        <f t="shared" si="25"/>
        <v>0</v>
      </c>
      <c r="AM28" s="311">
        <f t="shared" si="12"/>
        <v>0</v>
      </c>
      <c r="AN28" s="312"/>
    </row>
    <row r="29" spans="1:41" ht="80.099999999999994" customHeight="1" x14ac:dyDescent="0.35">
      <c r="A29" s="265">
        <v>15</v>
      </c>
      <c r="B29" s="290" t="s">
        <v>180</v>
      </c>
      <c r="C29" s="291" t="s">
        <v>119</v>
      </c>
      <c r="D29" s="265" t="s">
        <v>121</v>
      </c>
      <c r="E29" s="265" t="s">
        <v>130</v>
      </c>
      <c r="F29" s="296" t="s">
        <v>332</v>
      </c>
      <c r="G29" s="297" t="s">
        <v>236</v>
      </c>
      <c r="H29" s="298">
        <v>1</v>
      </c>
      <c r="I29" s="298">
        <v>5</v>
      </c>
      <c r="J29" s="313">
        <v>800</v>
      </c>
      <c r="K29" s="299">
        <f t="shared" si="14"/>
        <v>4000</v>
      </c>
      <c r="L29" s="299">
        <f t="shared" si="15"/>
        <v>300</v>
      </c>
      <c r="M29" s="299">
        <f t="shared" si="16"/>
        <v>1043.6063129116444</v>
      </c>
      <c r="N29" s="300">
        <f t="shared" si="17"/>
        <v>5343.6063129116446</v>
      </c>
      <c r="Q29" s="301">
        <f t="shared" si="18"/>
        <v>1</v>
      </c>
      <c r="R29" s="302">
        <f t="shared" si="18"/>
        <v>5</v>
      </c>
      <c r="S29" s="303">
        <v>650</v>
      </c>
      <c r="T29" s="317">
        <v>0</v>
      </c>
      <c r="U29" s="304">
        <f t="shared" si="19"/>
        <v>4000</v>
      </c>
      <c r="V29" s="305">
        <f t="shared" si="20"/>
        <v>0</v>
      </c>
      <c r="W29" s="306">
        <f t="shared" si="21"/>
        <v>0</v>
      </c>
      <c r="X29" s="306">
        <f t="shared" si="22"/>
        <v>0</v>
      </c>
      <c r="Y29" s="307">
        <f t="shared" si="23"/>
        <v>1043.6063129116444</v>
      </c>
      <c r="Z29" s="308">
        <f t="shared" si="24"/>
        <v>1</v>
      </c>
      <c r="AA29" s="309">
        <f t="shared" si="25"/>
        <v>0</v>
      </c>
      <c r="AM29" s="311">
        <f t="shared" si="12"/>
        <v>0</v>
      </c>
      <c r="AN29" s="312"/>
    </row>
    <row r="30" spans="1:41" ht="80.099999999999994" customHeight="1" x14ac:dyDescent="0.35">
      <c r="A30" s="318">
        <v>16</v>
      </c>
      <c r="B30" s="290" t="s">
        <v>311</v>
      </c>
      <c r="C30" s="319" t="s">
        <v>119</v>
      </c>
      <c r="D30" s="318" t="s">
        <v>121</v>
      </c>
      <c r="E30" s="318" t="s">
        <v>130</v>
      </c>
      <c r="F30" s="296" t="s">
        <v>183</v>
      </c>
      <c r="G30" s="297" t="s">
        <v>184</v>
      </c>
      <c r="H30" s="298">
        <v>1</v>
      </c>
      <c r="I30" s="298">
        <v>1</v>
      </c>
      <c r="J30" s="299">
        <v>1800</v>
      </c>
      <c r="K30" s="299">
        <f t="shared" si="14"/>
        <v>1800</v>
      </c>
      <c r="L30" s="299">
        <f t="shared" si="15"/>
        <v>135</v>
      </c>
      <c r="M30" s="299">
        <f t="shared" si="16"/>
        <v>469.62284081024001</v>
      </c>
      <c r="N30" s="300">
        <f t="shared" si="17"/>
        <v>2404.6228408102402</v>
      </c>
      <c r="Q30" s="301">
        <f t="shared" si="18"/>
        <v>1</v>
      </c>
      <c r="R30" s="302">
        <f t="shared" si="18"/>
        <v>1</v>
      </c>
      <c r="S30" s="320">
        <v>500</v>
      </c>
      <c r="T30" s="303">
        <v>0</v>
      </c>
      <c r="U30" s="304">
        <f t="shared" si="19"/>
        <v>1800</v>
      </c>
      <c r="V30" s="305">
        <f t="shared" si="20"/>
        <v>0</v>
      </c>
      <c r="W30" s="306">
        <f t="shared" si="21"/>
        <v>0</v>
      </c>
      <c r="X30" s="306">
        <f t="shared" si="22"/>
        <v>0</v>
      </c>
      <c r="Y30" s="307">
        <f t="shared" si="23"/>
        <v>469.62284081024001</v>
      </c>
      <c r="Z30" s="308">
        <f t="shared" si="24"/>
        <v>1</v>
      </c>
      <c r="AA30" s="309">
        <f t="shared" si="25"/>
        <v>0</v>
      </c>
      <c r="AM30" s="311">
        <f t="shared" si="12"/>
        <v>0</v>
      </c>
      <c r="AN30" s="312"/>
    </row>
    <row r="31" spans="1:41" ht="24.9" customHeight="1" thickBot="1" x14ac:dyDescent="0.4">
      <c r="A31" s="265">
        <v>17</v>
      </c>
      <c r="B31" s="290"/>
      <c r="C31" s="291" t="s">
        <v>122</v>
      </c>
      <c r="D31" s="265"/>
      <c r="E31" s="265"/>
      <c r="F31" s="430" t="s">
        <v>146</v>
      </c>
      <c r="G31" s="431"/>
      <c r="H31" s="431"/>
      <c r="I31" s="431"/>
      <c r="J31" s="431"/>
      <c r="K31" s="159">
        <f>SUM(K25:K30)</f>
        <v>18450</v>
      </c>
      <c r="L31" s="159">
        <f>SUM(L25:L30)</f>
        <v>1383.75</v>
      </c>
      <c r="M31" s="159">
        <f>SUM(M25:M30)</f>
        <v>4813.6341183049599</v>
      </c>
      <c r="N31" s="160">
        <f>SUM(N25:N30)</f>
        <v>24647.384118304959</v>
      </c>
      <c r="Q31" s="447" t="s">
        <v>146</v>
      </c>
      <c r="R31" s="448"/>
      <c r="S31" s="449"/>
      <c r="T31" s="151">
        <f>SUM(T25:T30)</f>
        <v>3500</v>
      </c>
      <c r="U31" s="152">
        <f>SUM(U25:U30)</f>
        <v>14950</v>
      </c>
      <c r="V31" s="321"/>
      <c r="W31" s="322"/>
      <c r="X31" s="153">
        <f>SUM(X25:X30)</f>
        <v>3500</v>
      </c>
      <c r="Y31" s="154">
        <f>IF(Q31&lt;&gt;"",X31+M31,"")</f>
        <v>8313.634118304959</v>
      </c>
      <c r="Z31" s="323"/>
      <c r="AA31" s="323"/>
      <c r="AM31" s="311"/>
      <c r="AN31" s="312"/>
    </row>
    <row r="32" spans="1:41" ht="24.9" customHeight="1" thickBot="1" x14ac:dyDescent="0.4">
      <c r="A32" s="265">
        <v>18</v>
      </c>
      <c r="B32" s="290">
        <v>2</v>
      </c>
      <c r="C32" s="291" t="s">
        <v>113</v>
      </c>
      <c r="D32" s="265"/>
      <c r="E32" s="265"/>
      <c r="F32" s="433" t="s">
        <v>231</v>
      </c>
      <c r="G32" s="434"/>
      <c r="H32" s="434"/>
      <c r="I32" s="434"/>
      <c r="J32" s="434"/>
      <c r="K32" s="434"/>
      <c r="L32" s="434"/>
      <c r="M32" s="434"/>
      <c r="N32" s="435"/>
      <c r="Q32" s="450" t="str">
        <f>IF(F32&lt;&gt;"",F32,"")</f>
        <v>Operação| Estande</v>
      </c>
      <c r="R32" s="451"/>
      <c r="S32" s="451"/>
      <c r="T32" s="451"/>
      <c r="U32" s="451"/>
      <c r="V32" s="451"/>
      <c r="W32" s="451"/>
      <c r="X32" s="451"/>
      <c r="Y32" s="452"/>
      <c r="Z32" s="323"/>
      <c r="AA32" s="323"/>
      <c r="AM32" s="311"/>
      <c r="AN32" s="312"/>
    </row>
    <row r="33" spans="1:41" ht="24.9" customHeight="1" x14ac:dyDescent="0.35">
      <c r="A33" s="265">
        <v>19</v>
      </c>
      <c r="B33" s="290" t="s">
        <v>144</v>
      </c>
      <c r="C33" s="291" t="s">
        <v>114</v>
      </c>
      <c r="D33" s="265"/>
      <c r="E33" s="265"/>
      <c r="F33" s="430"/>
      <c r="G33" s="431"/>
      <c r="H33" s="431"/>
      <c r="I33" s="431"/>
      <c r="J33" s="431"/>
      <c r="K33" s="431"/>
      <c r="L33" s="324" t="s">
        <v>116</v>
      </c>
      <c r="M33" s="324" t="s">
        <v>117</v>
      </c>
      <c r="N33" s="325" t="s">
        <v>74</v>
      </c>
      <c r="Q33" s="424" t="str">
        <f>IF(F33&lt;&gt;"",F33,"")</f>
        <v/>
      </c>
      <c r="R33" s="425"/>
      <c r="S33" s="425"/>
      <c r="T33" s="425"/>
      <c r="U33" s="425"/>
      <c r="V33" s="425"/>
      <c r="W33" s="425"/>
      <c r="X33" s="425"/>
      <c r="Y33" s="426"/>
      <c r="Z33" s="326" t="s">
        <v>118</v>
      </c>
      <c r="AA33" s="327" t="s">
        <v>75</v>
      </c>
      <c r="AM33" s="311"/>
      <c r="AN33" s="312"/>
    </row>
    <row r="34" spans="1:41" ht="80.099999999999994" customHeight="1" x14ac:dyDescent="0.35">
      <c r="A34" s="265">
        <v>20</v>
      </c>
      <c r="B34" s="290" t="s">
        <v>265</v>
      </c>
      <c r="C34" s="291" t="s">
        <v>119</v>
      </c>
      <c r="D34" s="265" t="s">
        <v>121</v>
      </c>
      <c r="E34" s="265" t="s">
        <v>130</v>
      </c>
      <c r="F34" s="296" t="s">
        <v>211</v>
      </c>
      <c r="G34" s="297" t="s">
        <v>251</v>
      </c>
      <c r="H34" s="298">
        <v>1</v>
      </c>
      <c r="I34" s="298">
        <v>1</v>
      </c>
      <c r="J34" s="299">
        <v>1703.37</v>
      </c>
      <c r="K34" s="299">
        <f>IF(F34&lt;&gt;"",H34*I34*J34,"")</f>
        <v>1703.37</v>
      </c>
      <c r="L34" s="299">
        <f>IF(K34&lt;&gt;"",IF(D34="INTERNO",0,K34*$L$14),"")</f>
        <v>127.75274999999999</v>
      </c>
      <c r="M34" s="299">
        <f>IF(K34&lt;&gt;"",IF(E34="FAT.OGGI",SUM(K34:L34)*(1/(1-$M$14)-1),L34*(1/(1-$M$14)-1)),0)</f>
        <v>444.41192130607692</v>
      </c>
      <c r="N34" s="300">
        <f>SUM(K34:M34)</f>
        <v>2275.5346713060771</v>
      </c>
      <c r="Q34" s="328">
        <f t="shared" ref="Q34:R34" si="38">IF(H34&lt;&gt;"",H34,"")</f>
        <v>1</v>
      </c>
      <c r="R34" s="329">
        <f t="shared" si="38"/>
        <v>1</v>
      </c>
      <c r="S34" s="330">
        <v>1584.04</v>
      </c>
      <c r="T34" s="330">
        <f>IF(Q34&lt;&gt;"",Q34*R34*S34,"")</f>
        <v>1584.04</v>
      </c>
      <c r="U34" s="331">
        <f>IF(Q34&lt;&gt;"",K34-T34,"")</f>
        <v>119.32999999999993</v>
      </c>
      <c r="V34" s="332">
        <f>IF(Q34&lt;&gt;"",0%,"")</f>
        <v>0</v>
      </c>
      <c r="W34" s="333">
        <f>IF(Q34&lt;&gt;"",V34*U34,"")</f>
        <v>0</v>
      </c>
      <c r="X34" s="333">
        <f>IF(Q34&lt;&gt;"",W34+T34,"")</f>
        <v>1584.04</v>
      </c>
      <c r="Y34" s="334">
        <f>IF(Q34&lt;&gt;"",X34+M34,"")</f>
        <v>2028.4519213060769</v>
      </c>
      <c r="Z34" s="308">
        <f>IF(Q34&lt;&gt;"", IFERROR(U34/K34, 0), 0)</f>
        <v>7.005524342920208E-2</v>
      </c>
      <c r="AA34" s="309">
        <f>IFERROR(T34/$T$35, "")</f>
        <v>1</v>
      </c>
      <c r="AM34" s="311">
        <f t="shared" si="12"/>
        <v>0</v>
      </c>
      <c r="AN34" s="312">
        <v>1584.04</v>
      </c>
      <c r="AO34" s="249" t="s">
        <v>341</v>
      </c>
    </row>
    <row r="35" spans="1:41" ht="24.9" customHeight="1" thickBot="1" x14ac:dyDescent="0.4">
      <c r="A35" s="335">
        <v>21</v>
      </c>
      <c r="B35" s="290"/>
      <c r="C35" s="336" t="s">
        <v>122</v>
      </c>
      <c r="D35" s="335"/>
      <c r="E35" s="335"/>
      <c r="F35" s="430" t="s">
        <v>170</v>
      </c>
      <c r="G35" s="431"/>
      <c r="H35" s="431"/>
      <c r="I35" s="431"/>
      <c r="J35" s="431"/>
      <c r="K35" s="159">
        <f>SUM(K34:K34)</f>
        <v>1703.37</v>
      </c>
      <c r="L35" s="159">
        <f>SUM(L34:L34)</f>
        <v>127.75274999999999</v>
      </c>
      <c r="M35" s="159">
        <f>SUM(M34:M34)</f>
        <v>444.41192130607692</v>
      </c>
      <c r="N35" s="160">
        <f>SUM(N34:N34)</f>
        <v>2275.5346713060771</v>
      </c>
      <c r="Q35" s="447" t="s">
        <v>170</v>
      </c>
      <c r="R35" s="448"/>
      <c r="S35" s="449"/>
      <c r="T35" s="155">
        <f>SUM(T34:T34)</f>
        <v>1584.04</v>
      </c>
      <c r="U35" s="156">
        <f>SUM(U34:U34)</f>
        <v>119.32999999999993</v>
      </c>
      <c r="V35" s="337"/>
      <c r="W35" s="338"/>
      <c r="X35" s="157">
        <f>SUM(X34:X34)</f>
        <v>1584.04</v>
      </c>
      <c r="Y35" s="158">
        <f>IF(Q35&lt;&gt;"",X35+M35,"")</f>
        <v>2028.4519213060769</v>
      </c>
      <c r="Z35" s="323"/>
      <c r="AA35" s="323"/>
      <c r="AM35" s="311"/>
      <c r="AN35" s="312"/>
    </row>
    <row r="36" spans="1:41" hidden="1" x14ac:dyDescent="0.35">
      <c r="A36" s="318">
        <v>22</v>
      </c>
      <c r="B36" s="290">
        <v>3</v>
      </c>
      <c r="C36" s="319" t="s">
        <v>113</v>
      </c>
      <c r="D36" s="318"/>
      <c r="E36" s="318"/>
      <c r="F36" s="433" t="s">
        <v>244</v>
      </c>
      <c r="G36" s="434"/>
      <c r="H36" s="434"/>
      <c r="I36" s="434"/>
      <c r="J36" s="434"/>
      <c r="K36" s="434"/>
      <c r="L36" s="434"/>
      <c r="M36" s="434"/>
      <c r="N36" s="435"/>
      <c r="Q36" s="427" t="str">
        <f>IF(F36&lt;&gt;"",F36,"")</f>
        <v>BUFFET: alimentos &amp; bebidas</v>
      </c>
      <c r="R36" s="428"/>
      <c r="S36" s="428"/>
      <c r="T36" s="428"/>
      <c r="U36" s="428"/>
      <c r="V36" s="428"/>
      <c r="W36" s="428"/>
      <c r="X36" s="428"/>
      <c r="Y36" s="429"/>
      <c r="AM36" s="311">
        <f t="shared" si="12"/>
        <v>0</v>
      </c>
      <c r="AN36" s="312"/>
    </row>
    <row r="37" spans="1:41" ht="36" hidden="1" x14ac:dyDescent="0.35">
      <c r="A37" s="265">
        <v>23</v>
      </c>
      <c r="B37" s="290" t="s">
        <v>223</v>
      </c>
      <c r="C37" s="291" t="s">
        <v>114</v>
      </c>
      <c r="D37" s="265"/>
      <c r="E37" s="265"/>
      <c r="F37" s="430"/>
      <c r="G37" s="431"/>
      <c r="H37" s="431"/>
      <c r="I37" s="431"/>
      <c r="J37" s="431"/>
      <c r="K37" s="431"/>
      <c r="L37" s="292" t="s">
        <v>116</v>
      </c>
      <c r="M37" s="292" t="s">
        <v>117</v>
      </c>
      <c r="N37" s="293" t="s">
        <v>74</v>
      </c>
      <c r="Q37" s="430" t="str">
        <f>IF(F37&lt;&gt;"",F37,"")</f>
        <v/>
      </c>
      <c r="R37" s="431"/>
      <c r="S37" s="431"/>
      <c r="T37" s="431"/>
      <c r="U37" s="431"/>
      <c r="V37" s="431"/>
      <c r="W37" s="431"/>
      <c r="X37" s="431"/>
      <c r="Y37" s="432"/>
      <c r="Z37" s="294" t="s">
        <v>118</v>
      </c>
      <c r="AA37" s="295" t="s">
        <v>75</v>
      </c>
      <c r="AM37" s="311">
        <f t="shared" si="12"/>
        <v>0</v>
      </c>
      <c r="AN37" s="312"/>
    </row>
    <row r="38" spans="1:41" ht="80.099999999999994" customHeight="1" x14ac:dyDescent="0.35">
      <c r="A38" s="265">
        <v>24</v>
      </c>
      <c r="B38" s="290" t="s">
        <v>224</v>
      </c>
      <c r="C38" s="291" t="s">
        <v>119</v>
      </c>
      <c r="D38" s="265" t="s">
        <v>121</v>
      </c>
      <c r="E38" s="265" t="s">
        <v>130</v>
      </c>
      <c r="F38" s="296" t="s">
        <v>333</v>
      </c>
      <c r="G38" s="339" t="s">
        <v>334</v>
      </c>
      <c r="H38" s="298">
        <v>100</v>
      </c>
      <c r="I38" s="298">
        <v>3</v>
      </c>
      <c r="J38" s="299">
        <v>83.85</v>
      </c>
      <c r="K38" s="299">
        <f t="shared" ref="K38:K43" si="39">IF(F38&lt;&gt;"",H38*I38*J38,"")</f>
        <v>25155</v>
      </c>
      <c r="L38" s="299">
        <f t="shared" ref="L38:L43" si="40">IF(K38&lt;&gt;"",IF(D38="INTERNO",0,K38*$L$14),"")</f>
        <v>1886.625</v>
      </c>
      <c r="M38" s="299">
        <f>IF(K38&lt;&gt;"",IF(E38="FAT.OGGI",SUM(K38:L38)*(1/(1-$M$14)-1),L38*(1/(1-$M$14)-1)),"")</f>
        <v>6562.9792003231041</v>
      </c>
      <c r="N38" s="300">
        <f t="shared" ref="N38:N43" si="41">SUM(K38:M38)</f>
        <v>33604.604200323105</v>
      </c>
      <c r="Q38" s="340">
        <f t="shared" ref="Q38:R39" si="42">IF(H38&lt;&gt;"",H38,"")</f>
        <v>100</v>
      </c>
      <c r="R38" s="341">
        <f t="shared" si="42"/>
        <v>3</v>
      </c>
      <c r="S38" s="303">
        <v>83.85</v>
      </c>
      <c r="T38" s="342">
        <v>42200</v>
      </c>
      <c r="U38" s="343">
        <f t="shared" ref="U38:U43" si="43">IF(Q38&lt;&gt;"",K38-T38,"")</f>
        <v>-17045</v>
      </c>
      <c r="V38" s="305">
        <f t="shared" ref="V38:V43" si="44">IF(Q38&lt;&gt;"",0%,"")</f>
        <v>0</v>
      </c>
      <c r="W38" s="306">
        <f t="shared" ref="W38:W43" si="45">IF(Q38&lt;&gt;"",V38*U38,"")</f>
        <v>0</v>
      </c>
      <c r="X38" s="344">
        <f t="shared" ref="X38:X43" si="46">IF(Q38&lt;&gt;"",W38+T38,"")</f>
        <v>42200</v>
      </c>
      <c r="Y38" s="345">
        <f t="shared" ref="Y38:Y44" si="47">IF(Q38&lt;&gt;"",X38+M38,"")</f>
        <v>48762.979200323105</v>
      </c>
      <c r="Z38" s="308">
        <f t="shared" ref="Z38:Z43" si="48">IF(Q38&lt;&gt;"", IFERROR(U38/K38, 0), 0)</f>
        <v>-0.6775988869012125</v>
      </c>
      <c r="AA38" s="309">
        <f>IFERROR(T38/$T$44, "")</f>
        <v>0.92257456894780154</v>
      </c>
      <c r="AB38" s="346" t="s">
        <v>253</v>
      </c>
      <c r="AM38" s="311">
        <f t="shared" si="12"/>
        <v>0</v>
      </c>
      <c r="AN38" s="312">
        <f>23070+19130</f>
        <v>42200</v>
      </c>
      <c r="AO38" s="249" t="s">
        <v>338</v>
      </c>
    </row>
    <row r="39" spans="1:41" ht="80.099999999999994" customHeight="1" x14ac:dyDescent="0.35">
      <c r="A39" s="265">
        <v>25</v>
      </c>
      <c r="B39" s="290" t="s">
        <v>225</v>
      </c>
      <c r="C39" s="291" t="s">
        <v>119</v>
      </c>
      <c r="D39" s="265" t="s">
        <v>121</v>
      </c>
      <c r="E39" s="265" t="s">
        <v>130</v>
      </c>
      <c r="F39" s="296" t="s">
        <v>260</v>
      </c>
      <c r="G39" s="347" t="s">
        <v>302</v>
      </c>
      <c r="H39" s="298">
        <v>1</v>
      </c>
      <c r="I39" s="298">
        <v>1</v>
      </c>
      <c r="J39" s="299">
        <v>5008.5</v>
      </c>
      <c r="K39" s="299">
        <f t="shared" si="39"/>
        <v>5008.5</v>
      </c>
      <c r="L39" s="299">
        <f t="shared" si="40"/>
        <v>375.63749999999999</v>
      </c>
      <c r="M39" s="299">
        <f>IF(K39&lt;&gt;"",IF(E39="FAT.OGGI",SUM(K39:L39)*(1/(1-$M$14)-1),L39*(1/(1-$M$14)-1)),0)</f>
        <v>1306.7255545544926</v>
      </c>
      <c r="N39" s="300">
        <f t="shared" si="41"/>
        <v>6690.8630545544929</v>
      </c>
      <c r="O39" s="348"/>
      <c r="Q39" s="340">
        <f t="shared" si="42"/>
        <v>1</v>
      </c>
      <c r="R39" s="341">
        <f t="shared" si="42"/>
        <v>1</v>
      </c>
      <c r="S39" s="303">
        <f>J39</f>
        <v>5008.5</v>
      </c>
      <c r="T39" s="342">
        <v>0</v>
      </c>
      <c r="U39" s="343">
        <f t="shared" si="43"/>
        <v>5008.5</v>
      </c>
      <c r="V39" s="305">
        <f t="shared" si="44"/>
        <v>0</v>
      </c>
      <c r="W39" s="306">
        <f t="shared" si="45"/>
        <v>0</v>
      </c>
      <c r="X39" s="344">
        <f t="shared" si="46"/>
        <v>0</v>
      </c>
      <c r="Y39" s="345">
        <f t="shared" si="47"/>
        <v>1306.7255545544926</v>
      </c>
      <c r="Z39" s="308">
        <f t="shared" si="48"/>
        <v>1</v>
      </c>
      <c r="AA39" s="309">
        <f>IFERROR(T39/$T$44, "")</f>
        <v>0</v>
      </c>
      <c r="AB39" s="346" t="s">
        <v>254</v>
      </c>
      <c r="AM39" s="311">
        <f t="shared" si="12"/>
        <v>0</v>
      </c>
      <c r="AN39" s="312"/>
    </row>
    <row r="40" spans="1:41" ht="80.099999999999994" customHeight="1" x14ac:dyDescent="0.35">
      <c r="A40" s="265">
        <v>26</v>
      </c>
      <c r="B40" s="290" t="s">
        <v>266</v>
      </c>
      <c r="C40" s="291" t="s">
        <v>119</v>
      </c>
      <c r="D40" s="265" t="s">
        <v>121</v>
      </c>
      <c r="E40" s="265" t="s">
        <v>130</v>
      </c>
      <c r="F40" s="296" t="s">
        <v>305</v>
      </c>
      <c r="G40" s="347" t="s">
        <v>310</v>
      </c>
      <c r="H40" s="298">
        <v>1</v>
      </c>
      <c r="I40" s="298">
        <v>1</v>
      </c>
      <c r="J40" s="299">
        <f>42200-(K38+K39+K42+K47+K48+K49)</f>
        <v>974</v>
      </c>
      <c r="K40" s="349">
        <f>IF(F40&lt;&gt;"",H40*I40*J40,"")</f>
        <v>974</v>
      </c>
      <c r="L40" s="299">
        <f t="shared" si="40"/>
        <v>73.05</v>
      </c>
      <c r="M40" s="299">
        <f>IF(K40&lt;&gt;"",IF(E40="FAT.OGGI",SUM(K40:L40)*(1/(1-$M$14)-1),L40*(1/(1-$M$14)-1)),0)</f>
        <v>254.1181371939854</v>
      </c>
      <c r="N40" s="300">
        <f t="shared" si="41"/>
        <v>1301.1681371939853</v>
      </c>
      <c r="O40" s="348"/>
      <c r="Q40" s="340">
        <f t="shared" ref="Q40:Q41" si="49">IF(H40&lt;&gt;"",H40,"")</f>
        <v>1</v>
      </c>
      <c r="R40" s="341">
        <f t="shared" ref="R40:R41" si="50">IF(I40&lt;&gt;"",I40,"")</f>
        <v>1</v>
      </c>
      <c r="S40" s="303">
        <f>J40</f>
        <v>974</v>
      </c>
      <c r="T40" s="342">
        <v>0</v>
      </c>
      <c r="U40" s="343">
        <f t="shared" si="43"/>
        <v>974</v>
      </c>
      <c r="V40" s="305">
        <f t="shared" si="44"/>
        <v>0</v>
      </c>
      <c r="W40" s="306">
        <f t="shared" si="45"/>
        <v>0</v>
      </c>
      <c r="X40" s="344">
        <f t="shared" si="46"/>
        <v>0</v>
      </c>
      <c r="Y40" s="345">
        <f t="shared" si="47"/>
        <v>254.1181371939854</v>
      </c>
      <c r="Z40" s="308">
        <f t="shared" si="48"/>
        <v>1</v>
      </c>
      <c r="AA40" s="309">
        <f>IFERROR(T40/$T$44, "")</f>
        <v>0</v>
      </c>
      <c r="AB40" s="346" t="s">
        <v>254</v>
      </c>
      <c r="AM40" s="311">
        <f t="shared" si="12"/>
        <v>0</v>
      </c>
      <c r="AN40" s="312"/>
    </row>
    <row r="41" spans="1:41" ht="80.099999999999994" customHeight="1" x14ac:dyDescent="0.35">
      <c r="A41" s="265">
        <v>27</v>
      </c>
      <c r="B41" s="290" t="s">
        <v>312</v>
      </c>
      <c r="C41" s="291" t="s">
        <v>119</v>
      </c>
      <c r="D41" s="265" t="s">
        <v>121</v>
      </c>
      <c r="E41" s="265" t="s">
        <v>130</v>
      </c>
      <c r="F41" s="296" t="s">
        <v>308</v>
      </c>
      <c r="G41" s="347" t="s">
        <v>309</v>
      </c>
      <c r="H41" s="298">
        <v>1</v>
      </c>
      <c r="I41" s="298">
        <v>1</v>
      </c>
      <c r="J41" s="299">
        <v>0</v>
      </c>
      <c r="K41" s="349">
        <f t="shared" si="39"/>
        <v>0</v>
      </c>
      <c r="L41" s="299">
        <f t="shared" si="40"/>
        <v>0</v>
      </c>
      <c r="M41" s="299">
        <f>IF(K41&lt;&gt;"",IF(E41="FAT.OGGI",SUM(K41:L41)*(1/(1-$M$14)-1),L41*(1/(1-$M$14)-1)),0)</f>
        <v>0</v>
      </c>
      <c r="N41" s="300">
        <f t="shared" si="41"/>
        <v>0</v>
      </c>
      <c r="O41" s="348"/>
      <c r="Q41" s="340">
        <f t="shared" si="49"/>
        <v>1</v>
      </c>
      <c r="R41" s="341">
        <f t="shared" si="50"/>
        <v>1</v>
      </c>
      <c r="S41" s="303">
        <v>0</v>
      </c>
      <c r="T41" s="350">
        <f t="shared" ref="T41:T43" si="51">IF(Q41&lt;&gt;"",Q41*R41*S41,"")</f>
        <v>0</v>
      </c>
      <c r="U41" s="343">
        <f t="shared" si="43"/>
        <v>0</v>
      </c>
      <c r="V41" s="305">
        <f t="shared" si="44"/>
        <v>0</v>
      </c>
      <c r="W41" s="306">
        <f t="shared" si="45"/>
        <v>0</v>
      </c>
      <c r="X41" s="344">
        <f t="shared" si="46"/>
        <v>0</v>
      </c>
      <c r="Y41" s="345">
        <f t="shared" si="47"/>
        <v>0</v>
      </c>
      <c r="Z41" s="308">
        <f t="shared" si="48"/>
        <v>0</v>
      </c>
      <c r="AA41" s="309">
        <f>IFERROR(T41/$T$44, "")</f>
        <v>0</v>
      </c>
      <c r="AB41" s="346" t="s">
        <v>254</v>
      </c>
      <c r="AM41" s="311">
        <f t="shared" si="12"/>
        <v>0</v>
      </c>
      <c r="AN41" s="312"/>
    </row>
    <row r="42" spans="1:41" ht="80.099999999999994" customHeight="1" x14ac:dyDescent="0.35">
      <c r="A42" s="265">
        <v>28</v>
      </c>
      <c r="B42" s="290" t="s">
        <v>313</v>
      </c>
      <c r="C42" s="291" t="s">
        <v>119</v>
      </c>
      <c r="D42" s="265" t="s">
        <v>121</v>
      </c>
      <c r="E42" s="265" t="s">
        <v>130</v>
      </c>
      <c r="F42" s="296" t="s">
        <v>306</v>
      </c>
      <c r="G42" s="347" t="s">
        <v>307</v>
      </c>
      <c r="H42" s="298">
        <v>1</v>
      </c>
      <c r="I42" s="298">
        <v>1</v>
      </c>
      <c r="J42" s="299">
        <v>3000</v>
      </c>
      <c r="K42" s="349">
        <f t="shared" si="39"/>
        <v>3000</v>
      </c>
      <c r="L42" s="299">
        <f t="shared" si="40"/>
        <v>225</v>
      </c>
      <c r="M42" s="299">
        <f>IF(K42&lt;&gt;"",IF(E42="FAT.OGGI",SUM(K42:L42)*(1/(1-$M$14)-1),L42*(1/(1-$M$14)-1)),0)</f>
        <v>782.70473468373336</v>
      </c>
      <c r="N42" s="300">
        <f t="shared" si="41"/>
        <v>4007.7047346837335</v>
      </c>
      <c r="O42" s="348"/>
      <c r="Q42" s="340">
        <f t="shared" ref="Q42" si="52">IF(H42&lt;&gt;"",H42,"")</f>
        <v>1</v>
      </c>
      <c r="R42" s="341">
        <f t="shared" ref="R42" si="53">IF(I42&lt;&gt;"",I42,"")</f>
        <v>1</v>
      </c>
      <c r="S42" s="303">
        <v>3000</v>
      </c>
      <c r="T42" s="342">
        <v>0</v>
      </c>
      <c r="U42" s="343">
        <f t="shared" si="43"/>
        <v>3000</v>
      </c>
      <c r="V42" s="305">
        <f t="shared" si="44"/>
        <v>0</v>
      </c>
      <c r="W42" s="306">
        <f t="shared" si="45"/>
        <v>0</v>
      </c>
      <c r="X42" s="344">
        <f t="shared" si="46"/>
        <v>0</v>
      </c>
      <c r="Y42" s="345">
        <f t="shared" si="47"/>
        <v>782.70473468373336</v>
      </c>
      <c r="Z42" s="308">
        <f t="shared" si="48"/>
        <v>1</v>
      </c>
      <c r="AA42" s="309">
        <f>IFERROR(T42/$T$44, "")</f>
        <v>0</v>
      </c>
      <c r="AB42" s="346" t="s">
        <v>254</v>
      </c>
      <c r="AM42" s="311">
        <f t="shared" si="12"/>
        <v>0</v>
      </c>
      <c r="AN42" s="312"/>
    </row>
    <row r="43" spans="1:41" ht="80.099999999999994" customHeight="1" x14ac:dyDescent="0.35">
      <c r="A43" s="265">
        <v>29</v>
      </c>
      <c r="B43" s="290" t="s">
        <v>314</v>
      </c>
      <c r="C43" s="291" t="s">
        <v>119</v>
      </c>
      <c r="D43" s="265" t="s">
        <v>121</v>
      </c>
      <c r="E43" s="265" t="s">
        <v>130</v>
      </c>
      <c r="F43" s="296" t="s">
        <v>263</v>
      </c>
      <c r="G43" s="347" t="s">
        <v>264</v>
      </c>
      <c r="H43" s="351">
        <v>1</v>
      </c>
      <c r="I43" s="298">
        <v>1</v>
      </c>
      <c r="J43" s="299">
        <v>7000</v>
      </c>
      <c r="K43" s="299">
        <f t="shared" si="39"/>
        <v>7000</v>
      </c>
      <c r="L43" s="299">
        <f t="shared" si="40"/>
        <v>525</v>
      </c>
      <c r="M43" s="352">
        <f>IF(K43&lt;&gt;"",IF(E43="FAT.OGGI",SUM(K43:L43)*(1/(1-'Estand Op1'!$M$14)-1),L43*(1/(1-'Estand Op1'!$M$14)-1)),0)</f>
        <v>1826.3110475953777</v>
      </c>
      <c r="N43" s="353">
        <f t="shared" si="41"/>
        <v>9351.3110475953781</v>
      </c>
      <c r="Q43" s="328">
        <f>IF(H43&lt;&gt;"",H43,"")</f>
        <v>1</v>
      </c>
      <c r="R43" s="329">
        <f>IF(I43&lt;&gt;"",I43,"")</f>
        <v>1</v>
      </c>
      <c r="S43" s="354">
        <v>3541.56</v>
      </c>
      <c r="T43" s="330">
        <f t="shared" si="51"/>
        <v>3541.56</v>
      </c>
      <c r="U43" s="331">
        <f t="shared" si="43"/>
        <v>3458.44</v>
      </c>
      <c r="V43" s="332">
        <f t="shared" si="44"/>
        <v>0</v>
      </c>
      <c r="W43" s="333">
        <f t="shared" si="45"/>
        <v>0</v>
      </c>
      <c r="X43" s="333">
        <f t="shared" si="46"/>
        <v>3541.56</v>
      </c>
      <c r="Y43" s="334">
        <f t="shared" si="47"/>
        <v>5367.8710475953776</v>
      </c>
      <c r="Z43" s="308">
        <f t="shared" si="48"/>
        <v>0.49406285714285714</v>
      </c>
      <c r="AA43" s="309">
        <f>IFERROR(T43/'Estand Op1'!$T$20, "")</f>
        <v>2.0738528564401656E-2</v>
      </c>
      <c r="AM43" s="311">
        <f t="shared" si="12"/>
        <v>0</v>
      </c>
      <c r="AN43" s="312">
        <v>3541.56</v>
      </c>
      <c r="AO43" s="249" t="s">
        <v>340</v>
      </c>
    </row>
    <row r="44" spans="1:41" ht="24.9" customHeight="1" x14ac:dyDescent="0.35">
      <c r="A44" s="265">
        <v>30</v>
      </c>
      <c r="B44" s="290"/>
      <c r="C44" s="291" t="s">
        <v>122</v>
      </c>
      <c r="D44" s="265"/>
      <c r="E44" s="265"/>
      <c r="F44" s="430" t="s">
        <v>170</v>
      </c>
      <c r="G44" s="431"/>
      <c r="H44" s="431"/>
      <c r="I44" s="431"/>
      <c r="J44" s="431"/>
      <c r="K44" s="111">
        <f>SUM(K38:K43)</f>
        <v>41137.5</v>
      </c>
      <c r="L44" s="111">
        <f>SUM(L38:L43)</f>
        <v>3085.3125</v>
      </c>
      <c r="M44" s="111">
        <f>SUM(M38:M43)</f>
        <v>10732.838674350694</v>
      </c>
      <c r="N44" s="112">
        <f>SUM(N38:N43)</f>
        <v>54955.6511743507</v>
      </c>
      <c r="Q44" s="430" t="s">
        <v>170</v>
      </c>
      <c r="R44" s="431"/>
      <c r="S44" s="431"/>
      <c r="T44" s="99">
        <f>SUM(T38:T43)</f>
        <v>45741.56</v>
      </c>
      <c r="U44" s="100">
        <f>SUM(U38:U43)</f>
        <v>-4604.0599999999995</v>
      </c>
      <c r="V44" s="314"/>
      <c r="W44" s="314"/>
      <c r="X44" s="101">
        <f>SUM(X38:X43)</f>
        <v>45741.56</v>
      </c>
      <c r="Y44" s="102">
        <f t="shared" si="47"/>
        <v>56474.39867435069</v>
      </c>
      <c r="AM44" s="311"/>
      <c r="AN44" s="312"/>
    </row>
    <row r="45" spans="1:41" ht="24.9" customHeight="1" x14ac:dyDescent="0.35">
      <c r="A45" s="335">
        <v>31</v>
      </c>
      <c r="B45" s="290">
        <v>4</v>
      </c>
      <c r="C45" s="336" t="s">
        <v>113</v>
      </c>
      <c r="D45" s="335"/>
      <c r="E45" s="335"/>
      <c r="F45" s="433" t="s">
        <v>243</v>
      </c>
      <c r="G45" s="434"/>
      <c r="H45" s="434"/>
      <c r="I45" s="434"/>
      <c r="J45" s="434"/>
      <c r="K45" s="434"/>
      <c r="L45" s="434"/>
      <c r="M45" s="434"/>
      <c r="N45" s="435"/>
      <c r="Q45" s="433" t="str">
        <f>IF(F45&lt;&gt;"",F45,"")</f>
        <v>Equipe de Buffet</v>
      </c>
      <c r="R45" s="434"/>
      <c r="S45" s="434"/>
      <c r="T45" s="434"/>
      <c r="U45" s="434"/>
      <c r="V45" s="434"/>
      <c r="W45" s="434"/>
      <c r="X45" s="434"/>
      <c r="Y45" s="435"/>
      <c r="AM45" s="311"/>
      <c r="AN45" s="312"/>
    </row>
    <row r="46" spans="1:41" ht="24.9" customHeight="1" x14ac:dyDescent="0.35">
      <c r="A46" s="318">
        <v>32</v>
      </c>
      <c r="B46" s="290">
        <v>2</v>
      </c>
      <c r="C46" s="319"/>
      <c r="D46" s="318"/>
      <c r="E46" s="318"/>
      <c r="F46" s="422"/>
      <c r="G46" s="423"/>
      <c r="H46" s="423"/>
      <c r="I46" s="423"/>
      <c r="J46" s="423"/>
      <c r="K46" s="423"/>
      <c r="L46" s="292" t="s">
        <v>116</v>
      </c>
      <c r="M46" s="292" t="s">
        <v>117</v>
      </c>
      <c r="N46" s="293" t="s">
        <v>74</v>
      </c>
      <c r="Q46" s="433" t="str">
        <f>IF(F46&lt;&gt;"",F46,"")</f>
        <v/>
      </c>
      <c r="R46" s="434"/>
      <c r="S46" s="434"/>
      <c r="T46" s="434"/>
      <c r="U46" s="434"/>
      <c r="V46" s="434"/>
      <c r="W46" s="434"/>
      <c r="X46" s="434"/>
      <c r="Y46" s="435"/>
      <c r="AM46" s="311"/>
      <c r="AN46" s="312"/>
    </row>
    <row r="47" spans="1:41" ht="80.099999999999994" customHeight="1" x14ac:dyDescent="0.35">
      <c r="A47" s="265">
        <v>33</v>
      </c>
      <c r="B47" s="290" t="s">
        <v>226</v>
      </c>
      <c r="C47" s="291" t="s">
        <v>119</v>
      </c>
      <c r="D47" s="265" t="s">
        <v>121</v>
      </c>
      <c r="E47" s="265" t="s">
        <v>130</v>
      </c>
      <c r="F47" s="355" t="s">
        <v>171</v>
      </c>
      <c r="G47" s="356" t="s">
        <v>252</v>
      </c>
      <c r="H47" s="351">
        <v>2</v>
      </c>
      <c r="I47" s="351">
        <v>3</v>
      </c>
      <c r="J47" s="313">
        <v>430</v>
      </c>
      <c r="K47" s="313">
        <f>IF(F47&lt;&gt;"",H47*I47*J47,"")</f>
        <v>2580</v>
      </c>
      <c r="L47" s="299">
        <f t="shared" ref="L47:L49" si="54">IF(K47&lt;&gt;"",IF(D47="INTERNO",0,K47*$L$14),"")</f>
        <v>193.5</v>
      </c>
      <c r="M47" s="299">
        <f t="shared" ref="M47:M49" si="55">IF(K47&lt;&gt;"",IF(E47="FAT.OGGI",SUM(K47:L47)*(1/(1-$M$14)-1),L47*(1/(1-$M$14)-1)),0)</f>
        <v>673.12607182801071</v>
      </c>
      <c r="N47" s="300">
        <f>SUM(K47:M47)</f>
        <v>3446.6260718280109</v>
      </c>
      <c r="Q47" s="301">
        <f t="shared" ref="Q47:R49" si="56">IF(H47&lt;&gt;"",H47,"")</f>
        <v>2</v>
      </c>
      <c r="R47" s="302">
        <f t="shared" si="56"/>
        <v>3</v>
      </c>
      <c r="S47" s="303">
        <f>400*7.5%+400</f>
        <v>430</v>
      </c>
      <c r="T47" s="320">
        <v>0</v>
      </c>
      <c r="U47" s="304"/>
      <c r="V47" s="305">
        <f t="shared" ref="V47:V49" si="57">IF(Q47&lt;&gt;"",0%,"")</f>
        <v>0</v>
      </c>
      <c r="W47" s="306">
        <f t="shared" ref="W47:W49" si="58">IF(Q47&lt;&gt;"",V47*U47,"")</f>
        <v>0</v>
      </c>
      <c r="X47" s="306">
        <f t="shared" ref="X47:X49" si="59">IF(Q47&lt;&gt;"",W47+T47,"")</f>
        <v>0</v>
      </c>
      <c r="Y47" s="307"/>
      <c r="Z47" s="308">
        <f t="shared" ref="Z47:Z49" si="60">IF(Q47&lt;&gt;"", IFERROR(U47/K47, 0), 0)</f>
        <v>0</v>
      </c>
      <c r="AA47" s="309" t="str">
        <f>IFERROR(T47/$T$50, "")</f>
        <v/>
      </c>
      <c r="AB47" s="421" t="s">
        <v>253</v>
      </c>
      <c r="AM47" s="311">
        <f t="shared" si="12"/>
        <v>0</v>
      </c>
      <c r="AN47" s="312"/>
    </row>
    <row r="48" spans="1:41" ht="80.099999999999994" customHeight="1" x14ac:dyDescent="0.35">
      <c r="A48" s="265">
        <v>34</v>
      </c>
      <c r="B48" s="290" t="s">
        <v>227</v>
      </c>
      <c r="C48" s="291" t="s">
        <v>119</v>
      </c>
      <c r="D48" s="265" t="s">
        <v>121</v>
      </c>
      <c r="E48" s="265" t="s">
        <v>130</v>
      </c>
      <c r="F48" s="355" t="s">
        <v>172</v>
      </c>
      <c r="G48" s="356" t="s">
        <v>174</v>
      </c>
      <c r="H48" s="351">
        <v>3</v>
      </c>
      <c r="I48" s="351">
        <v>3</v>
      </c>
      <c r="J48" s="313">
        <v>430</v>
      </c>
      <c r="K48" s="313">
        <f>IF(F48&lt;&gt;"",H48*I48*J48,"")</f>
        <v>3870</v>
      </c>
      <c r="L48" s="299">
        <f t="shared" si="54"/>
        <v>290.25</v>
      </c>
      <c r="M48" s="299">
        <f t="shared" si="55"/>
        <v>1009.6891077420159</v>
      </c>
      <c r="N48" s="300">
        <f>SUM(K48:M48)</f>
        <v>5169.9391077420159</v>
      </c>
      <c r="Q48" s="301">
        <v>3</v>
      </c>
      <c r="R48" s="302">
        <f t="shared" si="56"/>
        <v>3</v>
      </c>
      <c r="S48" s="303">
        <f>400*7.5%+400</f>
        <v>430</v>
      </c>
      <c r="T48" s="320">
        <v>0</v>
      </c>
      <c r="U48" s="304"/>
      <c r="V48" s="305">
        <f t="shared" si="57"/>
        <v>0</v>
      </c>
      <c r="W48" s="306">
        <f t="shared" si="58"/>
        <v>0</v>
      </c>
      <c r="X48" s="306">
        <f t="shared" si="59"/>
        <v>0</v>
      </c>
      <c r="Y48" s="307"/>
      <c r="Z48" s="308">
        <f t="shared" si="60"/>
        <v>0</v>
      </c>
      <c r="AA48" s="309" t="str">
        <f>IFERROR(T48/$T$50, "")</f>
        <v/>
      </c>
      <c r="AB48" s="421"/>
      <c r="AM48" s="311">
        <f t="shared" si="12"/>
        <v>0</v>
      </c>
      <c r="AN48" s="312"/>
    </row>
    <row r="49" spans="1:41" ht="80.099999999999994" customHeight="1" x14ac:dyDescent="0.35">
      <c r="A49" s="318">
        <v>35</v>
      </c>
      <c r="B49" s="290" t="s">
        <v>315</v>
      </c>
      <c r="C49" s="319" t="s">
        <v>119</v>
      </c>
      <c r="D49" s="318" t="s">
        <v>121</v>
      </c>
      <c r="E49" s="318" t="s">
        <v>130</v>
      </c>
      <c r="F49" s="355" t="s">
        <v>173</v>
      </c>
      <c r="G49" s="356" t="s">
        <v>246</v>
      </c>
      <c r="H49" s="351">
        <v>1</v>
      </c>
      <c r="I49" s="351">
        <v>3</v>
      </c>
      <c r="J49" s="313">
        <v>537.5</v>
      </c>
      <c r="K49" s="299">
        <f>IF(F49&lt;&gt;"",H49*I49*J49,"")</f>
        <v>1612.5</v>
      </c>
      <c r="L49" s="299">
        <f t="shared" si="54"/>
        <v>120.9375</v>
      </c>
      <c r="M49" s="299">
        <f t="shared" si="55"/>
        <v>420.70379489250666</v>
      </c>
      <c r="N49" s="300">
        <f>SUM(K49:M49)</f>
        <v>2154.1412948925067</v>
      </c>
      <c r="Q49" s="301">
        <f t="shared" si="56"/>
        <v>1</v>
      </c>
      <c r="R49" s="302">
        <f t="shared" si="56"/>
        <v>3</v>
      </c>
      <c r="S49" s="303">
        <f>500*7.5%+500</f>
        <v>537.5</v>
      </c>
      <c r="T49" s="320">
        <v>0</v>
      </c>
      <c r="U49" s="304"/>
      <c r="V49" s="305">
        <f t="shared" si="57"/>
        <v>0</v>
      </c>
      <c r="W49" s="306">
        <f t="shared" si="58"/>
        <v>0</v>
      </c>
      <c r="X49" s="306">
        <f t="shared" si="59"/>
        <v>0</v>
      </c>
      <c r="Y49" s="307"/>
      <c r="Z49" s="308">
        <f t="shared" si="60"/>
        <v>0</v>
      </c>
      <c r="AA49" s="309" t="str">
        <f>IFERROR(T49/$T$50, "")</f>
        <v/>
      </c>
      <c r="AB49" s="421"/>
      <c r="AM49" s="311">
        <f t="shared" si="12"/>
        <v>0</v>
      </c>
      <c r="AN49" s="312"/>
    </row>
    <row r="50" spans="1:41" ht="24.9" customHeight="1" x14ac:dyDescent="0.35">
      <c r="A50" s="265">
        <v>36</v>
      </c>
      <c r="B50" s="290"/>
      <c r="C50" s="291" t="s">
        <v>122</v>
      </c>
      <c r="D50" s="265" t="s">
        <v>121</v>
      </c>
      <c r="E50" s="265" t="s">
        <v>130</v>
      </c>
      <c r="F50" s="430" t="s">
        <v>146</v>
      </c>
      <c r="G50" s="431"/>
      <c r="H50" s="431"/>
      <c r="I50" s="431"/>
      <c r="J50" s="431"/>
      <c r="K50" s="111">
        <f>SUM(K47:K49)</f>
        <v>8062.5</v>
      </c>
      <c r="L50" s="111">
        <f>SUM(L47:L49)</f>
        <v>604.6875</v>
      </c>
      <c r="M50" s="111">
        <f>SUM(M47:M49)</f>
        <v>2103.5189744625332</v>
      </c>
      <c r="N50" s="112">
        <f>SUM(N47:N49)</f>
        <v>10770.706474462533</v>
      </c>
      <c r="Q50" s="430" t="s">
        <v>153</v>
      </c>
      <c r="R50" s="431"/>
      <c r="S50" s="431"/>
      <c r="T50" s="99">
        <f>SUM(T47:T49)</f>
        <v>0</v>
      </c>
      <c r="U50" s="100">
        <f>SUM(U47:U49)</f>
        <v>0</v>
      </c>
      <c r="V50" s="314"/>
      <c r="W50" s="314"/>
      <c r="X50" s="101">
        <f>SUM(X47:X49)</f>
        <v>0</v>
      </c>
      <c r="Y50" s="102">
        <f t="shared" ref="Y50" si="61">IF(Q50&lt;&gt;"",X50+M50,"")</f>
        <v>2103.5189744625332</v>
      </c>
      <c r="AM50" s="311"/>
      <c r="AN50" s="312"/>
    </row>
    <row r="51" spans="1:41" ht="24.9" customHeight="1" x14ac:dyDescent="0.35">
      <c r="A51" s="265">
        <v>37</v>
      </c>
      <c r="B51" s="290">
        <v>5</v>
      </c>
      <c r="C51" s="291" t="s">
        <v>113</v>
      </c>
      <c r="D51" s="265"/>
      <c r="E51" s="265"/>
      <c r="F51" s="433" t="s">
        <v>169</v>
      </c>
      <c r="G51" s="434"/>
      <c r="H51" s="434"/>
      <c r="I51" s="434"/>
      <c r="J51" s="434"/>
      <c r="K51" s="434"/>
      <c r="L51" s="434"/>
      <c r="M51" s="434"/>
      <c r="N51" s="435"/>
      <c r="Q51" s="433" t="str">
        <f>IF(F51&lt;&gt;"",F51,"")</f>
        <v>Equipe de Serviços</v>
      </c>
      <c r="R51" s="434"/>
      <c r="S51" s="434"/>
      <c r="T51" s="434"/>
      <c r="U51" s="434"/>
      <c r="V51" s="434"/>
      <c r="W51" s="434"/>
      <c r="X51" s="434"/>
      <c r="Y51" s="435"/>
      <c r="AM51" s="311"/>
      <c r="AN51" s="312"/>
    </row>
    <row r="52" spans="1:41" ht="24.9" customHeight="1" x14ac:dyDescent="0.35">
      <c r="A52" s="265">
        <v>38</v>
      </c>
      <c r="B52" s="290" t="s">
        <v>157</v>
      </c>
      <c r="C52" s="291" t="s">
        <v>114</v>
      </c>
      <c r="D52" s="265"/>
      <c r="E52" s="265"/>
      <c r="F52" s="430" t="s">
        <v>145</v>
      </c>
      <c r="G52" s="431"/>
      <c r="H52" s="431"/>
      <c r="I52" s="431"/>
      <c r="J52" s="431"/>
      <c r="K52" s="431"/>
      <c r="L52" s="292" t="s">
        <v>116</v>
      </c>
      <c r="M52" s="292" t="s">
        <v>117</v>
      </c>
      <c r="N52" s="293" t="s">
        <v>74</v>
      </c>
      <c r="Q52" s="430" t="str">
        <f>IF(F52&lt;&gt;"",F52,"")</f>
        <v>SERVIÇOS</v>
      </c>
      <c r="R52" s="431"/>
      <c r="S52" s="431"/>
      <c r="T52" s="431"/>
      <c r="U52" s="431"/>
      <c r="V52" s="431"/>
      <c r="W52" s="431"/>
      <c r="X52" s="431"/>
      <c r="Y52" s="432"/>
      <c r="Z52" s="294" t="s">
        <v>118</v>
      </c>
      <c r="AA52" s="295" t="s">
        <v>75</v>
      </c>
      <c r="AM52" s="311"/>
      <c r="AN52" s="312"/>
    </row>
    <row r="53" spans="1:41" ht="80.099999999999994" customHeight="1" x14ac:dyDescent="0.35">
      <c r="A53" s="265">
        <v>39</v>
      </c>
      <c r="B53" s="290" t="s">
        <v>158</v>
      </c>
      <c r="C53" s="291" t="s">
        <v>119</v>
      </c>
      <c r="D53" s="265" t="s">
        <v>121</v>
      </c>
      <c r="E53" s="265" t="s">
        <v>130</v>
      </c>
      <c r="F53" s="296" t="s">
        <v>167</v>
      </c>
      <c r="G53" s="297" t="s">
        <v>168</v>
      </c>
      <c r="H53" s="298">
        <v>2</v>
      </c>
      <c r="I53" s="298">
        <v>3</v>
      </c>
      <c r="J53" s="299">
        <v>650</v>
      </c>
      <c r="K53" s="299">
        <f t="shared" ref="K53:K56" si="62">IF(F53&lt;&gt;"",H53*I53*J53,"")</f>
        <v>3900</v>
      </c>
      <c r="L53" s="299">
        <f t="shared" ref="L53:L56" si="63">IF(K53&lt;&gt;"",IF(D53="INTERNO",0,K53*$L$14),"")</f>
        <v>292.5</v>
      </c>
      <c r="M53" s="299">
        <f t="shared" ref="M53:M56" si="64">IF(K53&lt;&gt;"",IF(E53="FAT.OGGI",SUM(K53:L53)*(1/(1-$M$14)-1),L53*(1/(1-$M$14)-1)),0)</f>
        <v>1017.5161550888533</v>
      </c>
      <c r="N53" s="300">
        <f t="shared" ref="N53:N56" si="65">SUM(K53:M53)</f>
        <v>5210.0161550888533</v>
      </c>
      <c r="Q53" s="301">
        <f t="shared" ref="Q53:Q56" si="66">IF(H53&lt;&gt;"",H53,"")</f>
        <v>2</v>
      </c>
      <c r="R53" s="302">
        <f t="shared" ref="R53:R56" si="67">IF(I53&lt;&gt;"",I53,"")</f>
        <v>3</v>
      </c>
      <c r="S53" s="303">
        <v>450</v>
      </c>
      <c r="T53" s="315">
        <v>10600</v>
      </c>
      <c r="U53" s="304">
        <f t="shared" ref="U53:U56" si="68">IF(Q53&lt;&gt;"",K53-T53,"")</f>
        <v>-6700</v>
      </c>
      <c r="V53" s="305">
        <f t="shared" ref="V53:V56" si="69">IF(Q53&lt;&gt;"",0%,"")</f>
        <v>0</v>
      </c>
      <c r="W53" s="306">
        <f t="shared" ref="W53:W56" si="70">IF(Q53&lt;&gt;"",V53*U53,"")</f>
        <v>0</v>
      </c>
      <c r="X53" s="306">
        <f t="shared" ref="X53:X56" si="71">IF(Q53&lt;&gt;"",W53+T53,"")</f>
        <v>10600</v>
      </c>
      <c r="Y53" s="307">
        <f t="shared" ref="Y53:Y56" si="72">IF(Q53&lt;&gt;"",X53+M53,"")</f>
        <v>11617.516155088853</v>
      </c>
      <c r="Z53" s="308">
        <f t="shared" ref="Z53:Z56" si="73">IF(Q53&lt;&gt;"", IFERROR(U53/K53, 0), 0)</f>
        <v>-1.7179487179487178</v>
      </c>
      <c r="AA53" s="309" t="str">
        <f>IFERROR(T53/#REF!, "")</f>
        <v/>
      </c>
      <c r="AM53" s="311">
        <f t="shared" si="12"/>
        <v>0</v>
      </c>
      <c r="AN53" s="312">
        <v>10600</v>
      </c>
      <c r="AO53" s="249" t="s">
        <v>343</v>
      </c>
    </row>
    <row r="54" spans="1:41" ht="80.099999999999994" customHeight="1" x14ac:dyDescent="0.35">
      <c r="A54" s="265">
        <v>40</v>
      </c>
      <c r="B54" s="290" t="s">
        <v>159</v>
      </c>
      <c r="C54" s="291" t="s">
        <v>119</v>
      </c>
      <c r="D54" s="265" t="s">
        <v>121</v>
      </c>
      <c r="E54" s="265" t="s">
        <v>130</v>
      </c>
      <c r="F54" s="296" t="s">
        <v>147</v>
      </c>
      <c r="G54" s="297" t="s">
        <v>335</v>
      </c>
      <c r="H54" s="298">
        <v>1</v>
      </c>
      <c r="I54" s="298">
        <v>0</v>
      </c>
      <c r="J54" s="299"/>
      <c r="K54" s="299">
        <f t="shared" si="62"/>
        <v>0</v>
      </c>
      <c r="L54" s="299">
        <f t="shared" si="63"/>
        <v>0</v>
      </c>
      <c r="M54" s="299">
        <f t="shared" si="64"/>
        <v>0</v>
      </c>
      <c r="N54" s="300">
        <f t="shared" si="65"/>
        <v>0</v>
      </c>
      <c r="Q54" s="301">
        <f t="shared" si="66"/>
        <v>1</v>
      </c>
      <c r="R54" s="302">
        <f t="shared" si="67"/>
        <v>0</v>
      </c>
      <c r="S54" s="303"/>
      <c r="T54" s="303">
        <f t="shared" ref="T54:T56" si="74">IF(Q54&lt;&gt;"",Q54*R54*S54,"")</f>
        <v>0</v>
      </c>
      <c r="U54" s="304">
        <f t="shared" si="68"/>
        <v>0</v>
      </c>
      <c r="V54" s="305">
        <f t="shared" si="69"/>
        <v>0</v>
      </c>
      <c r="W54" s="306">
        <f t="shared" si="70"/>
        <v>0</v>
      </c>
      <c r="X54" s="306">
        <f t="shared" si="71"/>
        <v>0</v>
      </c>
      <c r="Y54" s="307">
        <f t="shared" si="72"/>
        <v>0</v>
      </c>
      <c r="Z54" s="308">
        <f t="shared" si="73"/>
        <v>0</v>
      </c>
      <c r="AA54" s="309" t="str">
        <f>IFERROR(T54/#REF!, "")</f>
        <v/>
      </c>
      <c r="AM54" s="311">
        <f t="shared" si="12"/>
        <v>0</v>
      </c>
      <c r="AN54" s="312"/>
    </row>
    <row r="55" spans="1:41" ht="80.099999999999994" customHeight="1" x14ac:dyDescent="0.35">
      <c r="A55" s="265">
        <v>41</v>
      </c>
      <c r="B55" s="290" t="s">
        <v>175</v>
      </c>
      <c r="C55" s="291" t="s">
        <v>119</v>
      </c>
      <c r="D55" s="265" t="s">
        <v>121</v>
      </c>
      <c r="E55" s="265" t="s">
        <v>130</v>
      </c>
      <c r="F55" s="296" t="s">
        <v>148</v>
      </c>
      <c r="G55" s="297" t="s">
        <v>156</v>
      </c>
      <c r="H55" s="298">
        <v>2</v>
      </c>
      <c r="I55" s="298">
        <v>4</v>
      </c>
      <c r="J55" s="299">
        <v>300</v>
      </c>
      <c r="K55" s="299">
        <f t="shared" si="62"/>
        <v>2400</v>
      </c>
      <c r="L55" s="299">
        <f t="shared" si="63"/>
        <v>180</v>
      </c>
      <c r="M55" s="299">
        <f t="shared" si="64"/>
        <v>626.16378774698671</v>
      </c>
      <c r="N55" s="300">
        <f t="shared" si="65"/>
        <v>3206.1637877469866</v>
      </c>
      <c r="Q55" s="301">
        <v>2</v>
      </c>
      <c r="R55" s="302">
        <v>4</v>
      </c>
      <c r="S55" s="303">
        <v>250</v>
      </c>
      <c r="T55" s="315">
        <v>0</v>
      </c>
      <c r="U55" s="304">
        <f t="shared" si="68"/>
        <v>2400</v>
      </c>
      <c r="V55" s="305">
        <f t="shared" si="69"/>
        <v>0</v>
      </c>
      <c r="W55" s="306">
        <f t="shared" si="70"/>
        <v>0</v>
      </c>
      <c r="X55" s="306">
        <f t="shared" si="71"/>
        <v>0</v>
      </c>
      <c r="Y55" s="307">
        <f t="shared" si="72"/>
        <v>626.16378774698671</v>
      </c>
      <c r="Z55" s="308">
        <f t="shared" si="73"/>
        <v>1</v>
      </c>
      <c r="AA55" s="309" t="str">
        <f>IFERROR(T55/#REF!, "")</f>
        <v/>
      </c>
      <c r="AM55" s="311">
        <f t="shared" si="12"/>
        <v>0</v>
      </c>
      <c r="AN55" s="312"/>
    </row>
    <row r="56" spans="1:41" ht="80.099999999999994" customHeight="1" thickBot="1" x14ac:dyDescent="0.4">
      <c r="A56" s="265">
        <v>42</v>
      </c>
      <c r="B56" s="290" t="s">
        <v>176</v>
      </c>
      <c r="C56" s="291" t="s">
        <v>119</v>
      </c>
      <c r="D56" s="265" t="s">
        <v>121</v>
      </c>
      <c r="E56" s="265" t="s">
        <v>130</v>
      </c>
      <c r="F56" s="296" t="s">
        <v>233</v>
      </c>
      <c r="G56" s="297" t="s">
        <v>163</v>
      </c>
      <c r="H56" s="298">
        <v>1</v>
      </c>
      <c r="I56" s="298">
        <v>0</v>
      </c>
      <c r="J56" s="299">
        <v>1875</v>
      </c>
      <c r="K56" s="299">
        <f t="shared" si="62"/>
        <v>0</v>
      </c>
      <c r="L56" s="299">
        <f t="shared" si="63"/>
        <v>0</v>
      </c>
      <c r="M56" s="299">
        <f t="shared" si="64"/>
        <v>0</v>
      </c>
      <c r="N56" s="300">
        <f t="shared" si="65"/>
        <v>0</v>
      </c>
      <c r="Q56" s="301">
        <f t="shared" si="66"/>
        <v>1</v>
      </c>
      <c r="R56" s="302">
        <f t="shared" si="67"/>
        <v>0</v>
      </c>
      <c r="S56" s="303">
        <v>1500</v>
      </c>
      <c r="T56" s="303">
        <f t="shared" si="74"/>
        <v>0</v>
      </c>
      <c r="U56" s="304">
        <f t="shared" si="68"/>
        <v>0</v>
      </c>
      <c r="V56" s="305">
        <f t="shared" si="69"/>
        <v>0</v>
      </c>
      <c r="W56" s="306">
        <f t="shared" si="70"/>
        <v>0</v>
      </c>
      <c r="X56" s="306">
        <f t="shared" si="71"/>
        <v>0</v>
      </c>
      <c r="Y56" s="307">
        <f t="shared" si="72"/>
        <v>0</v>
      </c>
      <c r="Z56" s="357">
        <f t="shared" si="73"/>
        <v>0</v>
      </c>
      <c r="AA56" s="358" t="str">
        <f>IFERROR(T56/#REF!, "")</f>
        <v/>
      </c>
      <c r="AM56" s="311">
        <f t="shared" si="12"/>
        <v>0</v>
      </c>
      <c r="AN56" s="312"/>
    </row>
    <row r="57" spans="1:41" ht="24.9" customHeight="1" x14ac:dyDescent="0.35">
      <c r="A57" s="265">
        <v>43</v>
      </c>
      <c r="B57" s="290"/>
      <c r="C57" s="291" t="s">
        <v>122</v>
      </c>
      <c r="D57" s="265"/>
      <c r="E57" s="265"/>
      <c r="F57" s="430"/>
      <c r="G57" s="431"/>
      <c r="H57" s="431"/>
      <c r="I57" s="431"/>
      <c r="J57" s="431"/>
      <c r="K57" s="111">
        <f>SUM(K53:K56)</f>
        <v>6300</v>
      </c>
      <c r="L57" s="111">
        <f>SUM(L53:L56)</f>
        <v>472.5</v>
      </c>
      <c r="M57" s="111">
        <f>SUM(M53:M56)</f>
        <v>1643.6799428358399</v>
      </c>
      <c r="N57" s="112">
        <f>SUM(N53:N56)</f>
        <v>8416.179942835839</v>
      </c>
      <c r="Q57" s="430" t="s">
        <v>155</v>
      </c>
      <c r="R57" s="431"/>
      <c r="S57" s="431"/>
      <c r="T57" s="99">
        <f>SUM(T53:T56)</f>
        <v>10600</v>
      </c>
      <c r="U57" s="100">
        <f>SUM(U53:U56)</f>
        <v>-4300</v>
      </c>
      <c r="V57" s="314"/>
      <c r="W57" s="314"/>
      <c r="X57" s="101">
        <f>SUM(X53:X56)</f>
        <v>10600</v>
      </c>
      <c r="Y57" s="102">
        <f>IF(Q57&lt;&gt;"",X57+M57,"")</f>
        <v>12243.679942835839</v>
      </c>
      <c r="Z57" s="359" t="s">
        <v>185</v>
      </c>
      <c r="AA57" s="360" t="s">
        <v>186</v>
      </c>
      <c r="AM57" s="311"/>
      <c r="AN57" s="312"/>
    </row>
    <row r="58" spans="1:41" ht="24.9" customHeight="1" x14ac:dyDescent="0.35">
      <c r="A58" s="265">
        <v>44</v>
      </c>
      <c r="B58" s="290">
        <v>6</v>
      </c>
      <c r="C58" s="291" t="s">
        <v>113</v>
      </c>
      <c r="D58" s="265"/>
      <c r="E58" s="265"/>
      <c r="F58" s="433" t="s">
        <v>232</v>
      </c>
      <c r="G58" s="434"/>
      <c r="H58" s="434"/>
      <c r="I58" s="434"/>
      <c r="J58" s="434"/>
      <c r="K58" s="434"/>
      <c r="L58" s="434"/>
      <c r="M58" s="434"/>
      <c r="N58" s="435"/>
      <c r="Q58" s="433" t="str">
        <f>IF(F58&lt;&gt;"",F58,"")</f>
        <v>Itens Diversos</v>
      </c>
      <c r="R58" s="434"/>
      <c r="S58" s="434"/>
      <c r="T58" s="434"/>
      <c r="U58" s="434"/>
      <c r="V58" s="434"/>
      <c r="W58" s="434"/>
      <c r="X58" s="434"/>
      <c r="Y58" s="435"/>
      <c r="AM58" s="311"/>
      <c r="AN58" s="312"/>
    </row>
    <row r="59" spans="1:41" ht="24.9" customHeight="1" x14ac:dyDescent="0.35">
      <c r="A59" s="265">
        <v>45</v>
      </c>
      <c r="B59" s="290" t="s">
        <v>228</v>
      </c>
      <c r="C59" s="291" t="s">
        <v>114</v>
      </c>
      <c r="D59" s="265"/>
      <c r="E59" s="265"/>
      <c r="F59" s="430"/>
      <c r="G59" s="431"/>
      <c r="H59" s="431"/>
      <c r="I59" s="431"/>
      <c r="J59" s="431"/>
      <c r="K59" s="431"/>
      <c r="L59" s="292" t="s">
        <v>116</v>
      </c>
      <c r="M59" s="292" t="s">
        <v>117</v>
      </c>
      <c r="N59" s="293" t="s">
        <v>74</v>
      </c>
      <c r="Q59" s="430" t="str">
        <f>IF(F59&lt;&gt;"",F59,"")</f>
        <v/>
      </c>
      <c r="R59" s="431"/>
      <c r="S59" s="431"/>
      <c r="T59" s="431"/>
      <c r="U59" s="431"/>
      <c r="V59" s="431"/>
      <c r="W59" s="431"/>
      <c r="X59" s="431"/>
      <c r="Y59" s="432"/>
      <c r="Z59" s="294" t="s">
        <v>118</v>
      </c>
      <c r="AA59" s="295" t="s">
        <v>75</v>
      </c>
      <c r="AM59" s="311"/>
      <c r="AN59" s="312"/>
    </row>
    <row r="60" spans="1:41" ht="80.099999999999994" customHeight="1" x14ac:dyDescent="0.35">
      <c r="A60" s="265">
        <v>46</v>
      </c>
      <c r="B60" s="290" t="s">
        <v>249</v>
      </c>
      <c r="C60" s="291" t="s">
        <v>119</v>
      </c>
      <c r="D60" s="265" t="s">
        <v>121</v>
      </c>
      <c r="E60" s="265" t="s">
        <v>130</v>
      </c>
      <c r="F60" s="361" t="s">
        <v>202</v>
      </c>
      <c r="G60" s="362" t="s">
        <v>208</v>
      </c>
      <c r="H60" s="363">
        <v>1</v>
      </c>
      <c r="I60" s="363">
        <v>1</v>
      </c>
      <c r="J60" s="364">
        <v>349.69</v>
      </c>
      <c r="K60" s="365">
        <f>IF(F60&lt;&gt;"",H60*I60*J60,"")</f>
        <v>349.69</v>
      </c>
      <c r="L60" s="299">
        <f>IF(K60&lt;&gt;"",IF(D60="INTERNO",0,K60*Taxas!$L$14),"")</f>
        <v>26.226749999999999</v>
      </c>
      <c r="M60" s="299">
        <f>IF(K60&lt;&gt;"",IF(E60="FAT.OGGI",SUM(K60:L60)*(1/(1-Taxas!$M$14)-1),L60*(1/(1-Taxas!$M$14)-1)),0)</f>
        <v>91.234672890518226</v>
      </c>
      <c r="N60" s="300">
        <f>SUM(K60:M60)</f>
        <v>467.15142289051823</v>
      </c>
      <c r="Q60" s="328">
        <f>IF(H60&lt;&gt;"",H60,"")</f>
        <v>1</v>
      </c>
      <c r="R60" s="329">
        <v>1</v>
      </c>
      <c r="S60" s="366">
        <v>0</v>
      </c>
      <c r="T60" s="366">
        <f>IF(Q60&lt;&gt;"",Q60*R60*S60,"")</f>
        <v>0</v>
      </c>
      <c r="U60" s="331">
        <f>IF(Q60&lt;&gt;"",K60-T60,"")</f>
        <v>349.69</v>
      </c>
      <c r="V60" s="332">
        <f>IF(Q60&lt;&gt;"",0%,"")</f>
        <v>0</v>
      </c>
      <c r="W60" s="333">
        <f>IF(Q60&lt;&gt;"",V60*U60,"")</f>
        <v>0</v>
      </c>
      <c r="X60" s="333">
        <f>IF(Q60&lt;&gt;"",W60+T60,"")</f>
        <v>0</v>
      </c>
      <c r="Y60" s="334">
        <f>IF(Q60&lt;&gt;"",X60+M60,"")</f>
        <v>91.234672890518226</v>
      </c>
      <c r="Z60" s="308">
        <f>IF(Q60&lt;&gt;"", IFERROR(U60/K60, 0), 0)</f>
        <v>1</v>
      </c>
      <c r="AA60" s="309" t="str">
        <f>IFERROR(T60/Taxas!$T$29, "")</f>
        <v/>
      </c>
      <c r="AM60" s="311">
        <f t="shared" si="12"/>
        <v>0</v>
      </c>
      <c r="AN60" s="312"/>
    </row>
    <row r="61" spans="1:41" ht="80.099999999999994" customHeight="1" x14ac:dyDescent="0.35">
      <c r="A61" s="265">
        <v>47</v>
      </c>
      <c r="B61" s="290" t="s">
        <v>250</v>
      </c>
      <c r="C61" s="291" t="s">
        <v>119</v>
      </c>
      <c r="D61" s="265" t="s">
        <v>121</v>
      </c>
      <c r="E61" s="265" t="s">
        <v>130</v>
      </c>
      <c r="F61" s="296" t="s">
        <v>336</v>
      </c>
      <c r="G61" s="297" t="s">
        <v>234</v>
      </c>
      <c r="H61" s="298">
        <v>1</v>
      </c>
      <c r="I61" s="298">
        <v>0</v>
      </c>
      <c r="J61" s="299">
        <v>65</v>
      </c>
      <c r="K61" s="299">
        <f t="shared" ref="K61:K64" si="75">IF(F61&lt;&gt;"",H61*I61*J61,"")</f>
        <v>0</v>
      </c>
      <c r="L61" s="299">
        <f t="shared" ref="L61:L64" si="76">IF(K61&lt;&gt;"",IF(D61="INTERNO",0,K61*$L$14),"")</f>
        <v>0</v>
      </c>
      <c r="M61" s="299">
        <f t="shared" ref="M61:M64" si="77">IF(K61&lt;&gt;"",IF(E61="FAT.OGGI",SUM(K61:L61)*(1/(1-$M$14)-1),L61*(1/(1-$M$14)-1)),0)</f>
        <v>0</v>
      </c>
      <c r="N61" s="300">
        <f t="shared" ref="N61:N64" si="78">SUM(K61:M61)</f>
        <v>0</v>
      </c>
      <c r="Q61" s="301">
        <v>15</v>
      </c>
      <c r="R61" s="302">
        <f t="shared" ref="Q61:R63" si="79">IF(I61&lt;&gt;"",I61,"")</f>
        <v>0</v>
      </c>
      <c r="S61" s="303">
        <v>50</v>
      </c>
      <c r="T61" s="303">
        <f t="shared" ref="T61:T64" si="80">IF(Q61&lt;&gt;"",Q61*R61*S61,"")</f>
        <v>0</v>
      </c>
      <c r="U61" s="304">
        <f t="shared" ref="U61:U64" si="81">IF(Q61&lt;&gt;"",K61-T61,"")</f>
        <v>0</v>
      </c>
      <c r="V61" s="305">
        <f t="shared" ref="V61:V64" si="82">IF(Q61&lt;&gt;"",0%,"")</f>
        <v>0</v>
      </c>
      <c r="W61" s="306">
        <f t="shared" ref="W61:W64" si="83">IF(Q61&lt;&gt;"",V61*U61,"")</f>
        <v>0</v>
      </c>
      <c r="X61" s="306">
        <f t="shared" ref="X61:X64" si="84">IF(Q61&lt;&gt;"",W61+T61,"")</f>
        <v>0</v>
      </c>
      <c r="Y61" s="307">
        <f t="shared" ref="Y61:Y65" si="85">IF(Q61&lt;&gt;"",X61+M61,"")</f>
        <v>0</v>
      </c>
      <c r="Z61" s="308">
        <f t="shared" ref="Z61:Z64" si="86">IF(Q61&lt;&gt;"", IFERROR(U61/K61, 0), 0)</f>
        <v>0</v>
      </c>
      <c r="AA61" s="309">
        <f>IFERROR(T61/$T$65, "")</f>
        <v>0</v>
      </c>
      <c r="AM61" s="311">
        <f t="shared" si="12"/>
        <v>0</v>
      </c>
      <c r="AN61" s="312"/>
    </row>
    <row r="62" spans="1:41" ht="80.099999999999994" customHeight="1" x14ac:dyDescent="0.35">
      <c r="A62" s="265">
        <v>48</v>
      </c>
      <c r="B62" s="290" t="s">
        <v>229</v>
      </c>
      <c r="C62" s="291" t="s">
        <v>119</v>
      </c>
      <c r="D62" s="265" t="s">
        <v>121</v>
      </c>
      <c r="E62" s="265" t="s">
        <v>130</v>
      </c>
      <c r="F62" s="296" t="s">
        <v>303</v>
      </c>
      <c r="G62" s="297" t="s">
        <v>304</v>
      </c>
      <c r="H62" s="298">
        <v>2</v>
      </c>
      <c r="I62" s="298">
        <v>2</v>
      </c>
      <c r="J62" s="299">
        <v>470</v>
      </c>
      <c r="K62" s="299">
        <f t="shared" si="75"/>
        <v>1880</v>
      </c>
      <c r="L62" s="299">
        <f t="shared" si="76"/>
        <v>141</v>
      </c>
      <c r="M62" s="299">
        <f t="shared" si="77"/>
        <v>490.49496706847287</v>
      </c>
      <c r="N62" s="300">
        <f t="shared" si="78"/>
        <v>2511.4949670684728</v>
      </c>
      <c r="Q62" s="301">
        <f t="shared" si="79"/>
        <v>2</v>
      </c>
      <c r="R62" s="302">
        <f t="shared" si="79"/>
        <v>2</v>
      </c>
      <c r="S62" s="303">
        <v>350</v>
      </c>
      <c r="T62" s="320">
        <f t="shared" si="80"/>
        <v>1400</v>
      </c>
      <c r="U62" s="304">
        <f t="shared" si="81"/>
        <v>480</v>
      </c>
      <c r="V62" s="305">
        <f t="shared" si="82"/>
        <v>0</v>
      </c>
      <c r="W62" s="306">
        <f t="shared" si="83"/>
        <v>0</v>
      </c>
      <c r="X62" s="306">
        <f t="shared" si="84"/>
        <v>1400</v>
      </c>
      <c r="Y62" s="307">
        <f t="shared" si="85"/>
        <v>1890.4949670684728</v>
      </c>
      <c r="Z62" s="308">
        <f t="shared" si="86"/>
        <v>0.25531914893617019</v>
      </c>
      <c r="AA62" s="309">
        <f>IFERROR(T62/$T$65, "")</f>
        <v>0.11492714850147313</v>
      </c>
      <c r="AM62" s="311">
        <f t="shared" si="12"/>
        <v>0</v>
      </c>
      <c r="AN62" s="312">
        <v>1400</v>
      </c>
      <c r="AO62" s="249" t="s">
        <v>342</v>
      </c>
    </row>
    <row r="63" spans="1:41" ht="80.099999999999994" customHeight="1" x14ac:dyDescent="0.35">
      <c r="A63" s="265">
        <v>49</v>
      </c>
      <c r="B63" s="290" t="s">
        <v>230</v>
      </c>
      <c r="C63" s="291" t="s">
        <v>119</v>
      </c>
      <c r="D63" s="265" t="s">
        <v>121</v>
      </c>
      <c r="E63" s="265" t="s">
        <v>130</v>
      </c>
      <c r="F63" s="296" t="s">
        <v>212</v>
      </c>
      <c r="G63" s="297" t="s">
        <v>337</v>
      </c>
      <c r="H63" s="298">
        <v>1</v>
      </c>
      <c r="I63" s="298">
        <v>1</v>
      </c>
      <c r="J63" s="299">
        <v>6500</v>
      </c>
      <c r="K63" s="299">
        <f t="shared" si="75"/>
        <v>6500</v>
      </c>
      <c r="L63" s="299">
        <f t="shared" si="76"/>
        <v>487.5</v>
      </c>
      <c r="M63" s="299">
        <f t="shared" si="77"/>
        <v>1695.8602584814223</v>
      </c>
      <c r="N63" s="300">
        <f t="shared" si="78"/>
        <v>8683.3602584814216</v>
      </c>
      <c r="Q63" s="301">
        <f t="shared" si="79"/>
        <v>1</v>
      </c>
      <c r="R63" s="302">
        <f t="shared" si="79"/>
        <v>1</v>
      </c>
      <c r="S63" s="303">
        <f>2428.9+3500</f>
        <v>5928.9</v>
      </c>
      <c r="T63" s="320">
        <v>10781.63</v>
      </c>
      <c r="U63" s="304">
        <f t="shared" si="81"/>
        <v>-4281.6299999999992</v>
      </c>
      <c r="V63" s="305">
        <f t="shared" si="82"/>
        <v>0</v>
      </c>
      <c r="W63" s="306">
        <f t="shared" si="83"/>
        <v>0</v>
      </c>
      <c r="X63" s="306">
        <f t="shared" si="84"/>
        <v>10781.63</v>
      </c>
      <c r="Y63" s="307">
        <f t="shared" si="85"/>
        <v>12477.490258481421</v>
      </c>
      <c r="Z63" s="308">
        <f t="shared" si="86"/>
        <v>-0.6587123076923076</v>
      </c>
      <c r="AA63" s="309">
        <f>IFERROR(T63/$T$65, "")</f>
        <v>0.88507285149852688</v>
      </c>
      <c r="AM63" s="311">
        <f t="shared" si="12"/>
        <v>0</v>
      </c>
      <c r="AN63" s="312">
        <f>1440.41+2500+683.68+1745.22+500+3150+762.32</f>
        <v>10781.630000000001</v>
      </c>
      <c r="AO63" s="249" t="s">
        <v>346</v>
      </c>
    </row>
    <row r="64" spans="1:41" ht="80.099999999999994" customHeight="1" thickBot="1" x14ac:dyDescent="0.4">
      <c r="A64" s="265">
        <v>50</v>
      </c>
      <c r="B64" s="290" t="s">
        <v>316</v>
      </c>
      <c r="C64" s="291" t="s">
        <v>119</v>
      </c>
      <c r="D64" s="265" t="s">
        <v>121</v>
      </c>
      <c r="E64" s="265" t="s">
        <v>130</v>
      </c>
      <c r="F64" s="296" t="s">
        <v>235</v>
      </c>
      <c r="G64" s="297" t="s">
        <v>255</v>
      </c>
      <c r="H64" s="298">
        <v>1</v>
      </c>
      <c r="I64" s="298">
        <v>27</v>
      </c>
      <c r="J64" s="299">
        <v>85</v>
      </c>
      <c r="K64" s="299">
        <f t="shared" si="75"/>
        <v>2295</v>
      </c>
      <c r="L64" s="299">
        <f t="shared" si="76"/>
        <v>172.125</v>
      </c>
      <c r="M64" s="299">
        <f t="shared" si="77"/>
        <v>598.76912203305596</v>
      </c>
      <c r="N64" s="300">
        <f t="shared" si="78"/>
        <v>3065.8941220330562</v>
      </c>
      <c r="Q64" s="301">
        <v>0</v>
      </c>
      <c r="R64" s="302">
        <v>27</v>
      </c>
      <c r="S64" s="303">
        <v>65</v>
      </c>
      <c r="T64" s="303">
        <f t="shared" si="80"/>
        <v>0</v>
      </c>
      <c r="U64" s="304">
        <f t="shared" si="81"/>
        <v>2295</v>
      </c>
      <c r="V64" s="305">
        <f t="shared" si="82"/>
        <v>0</v>
      </c>
      <c r="W64" s="306">
        <f t="shared" si="83"/>
        <v>0</v>
      </c>
      <c r="X64" s="306">
        <f t="shared" si="84"/>
        <v>0</v>
      </c>
      <c r="Y64" s="307">
        <f t="shared" si="85"/>
        <v>598.76912203305596</v>
      </c>
      <c r="Z64" s="357">
        <f t="shared" si="86"/>
        <v>1</v>
      </c>
      <c r="AA64" s="358">
        <f>IFERROR(T64/$T$65, "")</f>
        <v>0</v>
      </c>
      <c r="AM64" s="311">
        <f t="shared" si="12"/>
        <v>0</v>
      </c>
      <c r="AN64" s="312"/>
    </row>
    <row r="65" spans="1:41" ht="24.9" customHeight="1" x14ac:dyDescent="0.35">
      <c r="A65" s="265">
        <v>51</v>
      </c>
      <c r="B65" s="290"/>
      <c r="C65" s="291" t="s">
        <v>122</v>
      </c>
      <c r="D65" s="265"/>
      <c r="E65" s="265"/>
      <c r="F65" s="430" t="s">
        <v>170</v>
      </c>
      <c r="G65" s="431"/>
      <c r="H65" s="431"/>
      <c r="I65" s="431"/>
      <c r="J65" s="431"/>
      <c r="K65" s="111">
        <f>SUM(K60:K64)</f>
        <v>11024.69</v>
      </c>
      <c r="L65" s="111">
        <f>SUM(L60:L64)</f>
        <v>826.85175000000004</v>
      </c>
      <c r="M65" s="111">
        <f>SUM(M60:M64)</f>
        <v>2876.3590204734692</v>
      </c>
      <c r="N65" s="112">
        <f>SUM(N60:N64)</f>
        <v>14727.900770473469</v>
      </c>
      <c r="Q65" s="430" t="s">
        <v>170</v>
      </c>
      <c r="R65" s="431"/>
      <c r="S65" s="431"/>
      <c r="T65" s="99">
        <f>SUM(T60:T64)</f>
        <v>12181.63</v>
      </c>
      <c r="U65" s="100">
        <f>SUM(U60:U64)</f>
        <v>-1156.9399999999991</v>
      </c>
      <c r="V65" s="314"/>
      <c r="W65" s="314"/>
      <c r="X65" s="101">
        <f>SUM(X60:X64)</f>
        <v>12181.63</v>
      </c>
      <c r="Y65" s="102">
        <f t="shared" si="85"/>
        <v>15057.989020473469</v>
      </c>
      <c r="Z65" s="359" t="s">
        <v>185</v>
      </c>
      <c r="AA65" s="360" t="s">
        <v>186</v>
      </c>
      <c r="AM65" s="311"/>
      <c r="AN65" s="312"/>
    </row>
    <row r="66" spans="1:41" ht="24.9" customHeight="1" thickBot="1" x14ac:dyDescent="0.4">
      <c r="A66" s="335">
        <v>52</v>
      </c>
      <c r="B66" s="367"/>
      <c r="C66" s="336" t="s">
        <v>127</v>
      </c>
      <c r="D66" s="335"/>
      <c r="E66" s="335"/>
      <c r="F66" s="368" t="s">
        <v>128</v>
      </c>
      <c r="G66" s="369"/>
      <c r="H66" s="370"/>
      <c r="I66" s="370"/>
      <c r="J66" s="369"/>
      <c r="K66" s="371">
        <f>SUM(K17:K21)+SUM(K25:K30)+SUM(K34:K34)+SUM(K38:K43)+SUM(K47:K49)+SUM(K53:K56)+SUM(K60:K64)</f>
        <v>119378.06</v>
      </c>
      <c r="L66" s="371">
        <f>SUM(L17:L21)+SUM(L25:L30)+SUM(L34:L34)+SUM(L38:L43)+SUM(L47:L49)+SUM(L53:L56)+SUM(L60:L64)</f>
        <v>6500.8544999999995</v>
      </c>
      <c r="M66" s="371">
        <f>SUM(M17:M21)+SUM(M25:M30)+SUM(M34:M34)+SUM(M38:M43)+SUM(M47:M49)+SUM(M53:M56)+SUM(M60:M64)</f>
        <v>30550.70461271282</v>
      </c>
      <c r="N66" s="372">
        <f>SUM(N17:N21)+SUM(N25:N30)+SUM(N34:N34)+SUM(N38:N43)+SUM(N47:N49)+SUM(N53:N56)+SUM(N60:N64)</f>
        <v>156429.61911271283</v>
      </c>
      <c r="Q66" s="373" t="s">
        <v>42</v>
      </c>
      <c r="R66" s="370"/>
      <c r="S66" s="369"/>
      <c r="T66" s="371">
        <f>SUM(T17:T21)+SUM(T25:T30)+SUM(T34:T34)+SUM(T38:T43)+SUM(T47:T49)+SUM(T53:T56)+SUM(T60:T64)</f>
        <v>80607.23000000001</v>
      </c>
      <c r="U66" s="371">
        <f>SUM(U17:U21)+SUM(U25:U30)+SUM(U34:U34)+SUM(U38:U43)+SUM(U47:U49)+SUM(U53:U56)+SUM(U60:U64)</f>
        <v>30708.330000000005</v>
      </c>
      <c r="V66" s="369"/>
      <c r="W66" s="369"/>
      <c r="X66" s="371">
        <f>SUM(X17:X21)+SUM(X25:X30)+SUM(X34:X34)+SUM(X38:X43)+SUM(X47:X49)+SUM(X53:X56)+SUM(X60:X64)</f>
        <v>80607.23000000001</v>
      </c>
      <c r="Y66" s="372">
        <f>SUM(Y17:Y21)+SUM(Y25:Y30)+SUM(Y34:Y34)+SUM(Y38:Y43)+SUM(Y47:Y49)+SUM(Y53:Y56)+SUM(Y60:Y64)</f>
        <v>109054.41563825028</v>
      </c>
      <c r="Z66" s="374">
        <f>IF(Q66&lt;&gt;"",(N66-Y66)/N66,"")</f>
        <v>0.3028531536622045</v>
      </c>
      <c r="AA66" s="375">
        <f>IF(Z66&lt;&gt;"",(N66-Y66),"")</f>
        <v>47375.203474462542</v>
      </c>
      <c r="AM66" s="311">
        <f>SUM(AM17:AM64)</f>
        <v>0</v>
      </c>
      <c r="AN66" s="312">
        <f>SUM(AN17:AN64)</f>
        <v>80607.23000000001</v>
      </c>
    </row>
    <row r="68" spans="1:41" x14ac:dyDescent="0.35">
      <c r="AO68" s="245" t="s">
        <v>323</v>
      </c>
    </row>
    <row r="69" spans="1:41" x14ac:dyDescent="0.35">
      <c r="AN69" s="246">
        <f>X66</f>
        <v>80607.23000000001</v>
      </c>
      <c r="AO69" s="245" t="s">
        <v>324</v>
      </c>
    </row>
    <row r="70" spans="1:41" x14ac:dyDescent="0.35">
      <c r="AN70" s="246">
        <f>N66-X66</f>
        <v>75822.389112712815</v>
      </c>
      <c r="AO70" s="247" t="s">
        <v>321</v>
      </c>
    </row>
    <row r="71" spans="1:41" x14ac:dyDescent="0.35">
      <c r="AN71" s="248">
        <f>AN70*100%/N66</f>
        <v>0.48470609046283125</v>
      </c>
    </row>
  </sheetData>
  <mergeCells count="52">
    <mergeCell ref="AK12:AL12"/>
    <mergeCell ref="AG12:AH12"/>
    <mergeCell ref="F22:J22"/>
    <mergeCell ref="Q22:S22"/>
    <mergeCell ref="F15:N15"/>
    <mergeCell ref="Q15:Y15"/>
    <mergeCell ref="F16:K16"/>
    <mergeCell ref="Q16:Y16"/>
    <mergeCell ref="F24:K24"/>
    <mergeCell ref="Q24:Y24"/>
    <mergeCell ref="F35:J35"/>
    <mergeCell ref="Q35:S35"/>
    <mergeCell ref="F31:J31"/>
    <mergeCell ref="Q31:S31"/>
    <mergeCell ref="F32:N32"/>
    <mergeCell ref="Q32:Y32"/>
    <mergeCell ref="F33:K33"/>
    <mergeCell ref="F1:G1"/>
    <mergeCell ref="F2:G2"/>
    <mergeCell ref="Q12:T12"/>
    <mergeCell ref="U12:X12"/>
    <mergeCell ref="AC12:AE12"/>
    <mergeCell ref="F59:K59"/>
    <mergeCell ref="Q59:Y59"/>
    <mergeCell ref="F65:J65"/>
    <mergeCell ref="Q65:S65"/>
    <mergeCell ref="F50:J50"/>
    <mergeCell ref="Q50:S50"/>
    <mergeCell ref="Q51:Y51"/>
    <mergeCell ref="F51:N51"/>
    <mergeCell ref="F52:K52"/>
    <mergeCell ref="Q52:Y52"/>
    <mergeCell ref="F58:N58"/>
    <mergeCell ref="Q58:Y58"/>
    <mergeCell ref="F57:J57"/>
    <mergeCell ref="Q57:S57"/>
    <mergeCell ref="AM15:AN15"/>
    <mergeCell ref="AM16:AN16"/>
    <mergeCell ref="AB47:AB49"/>
    <mergeCell ref="F46:K46"/>
    <mergeCell ref="Q33:Y33"/>
    <mergeCell ref="Q36:Y36"/>
    <mergeCell ref="Q37:Y37"/>
    <mergeCell ref="F44:J44"/>
    <mergeCell ref="Q44:S44"/>
    <mergeCell ref="Q45:Y45"/>
    <mergeCell ref="F45:N45"/>
    <mergeCell ref="Q46:Y46"/>
    <mergeCell ref="F37:K37"/>
    <mergeCell ref="F36:N36"/>
    <mergeCell ref="F23:N23"/>
    <mergeCell ref="Q23:Y23"/>
  </mergeCells>
  <dataValidations count="3">
    <dataValidation type="list" allowBlank="1" showInputMessage="1" showErrorMessage="1" sqref="D17:D21 D47:D50 D53:D56 D66 D60:D64 D25:D35 D38:D43" xr:uid="{3EFE53A9-6730-4F75-830F-74A58BE49321}">
      <formula1>"INTERNO,OPERACIONAL"</formula1>
    </dataValidation>
    <dataValidation type="list" allowBlank="1" showInputMessage="1" showErrorMessage="1" sqref="E17:E21 E47:E50 E53:E56 E60:E64 E25:E35 E38:E43" xr:uid="{CD75B295-2527-4911-908C-60EF7E809F77}">
      <formula1>"FAT.OGGI,FAT.CLIENTE"</formula1>
    </dataValidation>
    <dataValidation type="list" allowBlank="1" showInputMessage="1" showErrorMessage="1" sqref="E66" xr:uid="{7209DBA7-932E-4F07-9EF2-6AF24F883323}">
      <formula1>"FAT.OGGI,FAT.CLIENTE "</formula1>
    </dataValidation>
  </dataValidations>
  <pageMargins left="0.511811024" right="0.511811024" top="0.78740157499999996" bottom="0.78740157499999996" header="0.31496062000000002" footer="0.31496062000000002"/>
  <pageSetup paperSize="9"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CF2FE-347C-4CCA-B0E9-C774C2ABD63D}">
  <sheetPr codeName="Planilha13">
    <pageSetUpPr autoPageBreaks="0"/>
  </sheetPr>
  <dimension ref="A1:AO42"/>
  <sheetViews>
    <sheetView showGridLines="0" topLeftCell="F1" zoomScale="60" zoomScaleNormal="60" workbookViewId="0">
      <pane ySplit="1" topLeftCell="A10" activePane="bottomLeft" state="frozen"/>
      <selection pane="bottomLeft" activeCell="AN17" sqref="AN17"/>
    </sheetView>
  </sheetViews>
  <sheetFormatPr defaultColWidth="8.88671875" defaultRowHeight="14.4" x14ac:dyDescent="0.3"/>
  <cols>
    <col min="1" max="1" width="3.44140625" hidden="1" customWidth="1"/>
    <col min="2" max="2" width="9.44140625" customWidth="1"/>
    <col min="3" max="3" width="12.33203125" hidden="1" customWidth="1"/>
    <col min="4" max="4" width="15" hidden="1" customWidth="1"/>
    <col min="5" max="5" width="16.44140625" hidden="1" customWidth="1"/>
    <col min="6" max="6" width="45.109375" customWidth="1"/>
    <col min="7" max="7" width="45.5546875" customWidth="1"/>
    <col min="8" max="8" width="7.109375" style="41" hidden="1" customWidth="1"/>
    <col min="9" max="9" width="7.6640625" style="41" hidden="1" customWidth="1"/>
    <col min="10" max="10" width="17.6640625" hidden="1" customWidth="1"/>
    <col min="11" max="11" width="27" bestFit="1" customWidth="1"/>
    <col min="12" max="12" width="24.6640625" bestFit="1" customWidth="1"/>
    <col min="13" max="14" width="26.6640625" bestFit="1" customWidth="1"/>
    <col min="15" max="15" width="3.33203125" hidden="1" customWidth="1"/>
    <col min="16" max="16" width="1.88671875" hidden="1" customWidth="1"/>
    <col min="17" max="17" width="11.109375" style="41" bestFit="1" customWidth="1"/>
    <col min="18" max="18" width="8.44140625" style="41" hidden="1" customWidth="1"/>
    <col min="19" max="19" width="16.88671875" hidden="1" customWidth="1"/>
    <col min="20" max="20" width="26.6640625" bestFit="1" customWidth="1"/>
    <col min="21" max="21" width="24.6640625" hidden="1" customWidth="1"/>
    <col min="22" max="22" width="9.6640625" hidden="1" customWidth="1"/>
    <col min="23" max="23" width="16.109375" hidden="1" customWidth="1"/>
    <col min="24" max="24" width="27.109375" bestFit="1" customWidth="1"/>
    <col min="25" max="25" width="26.6640625" hidden="1" customWidth="1"/>
    <col min="26" max="26" width="14.6640625" hidden="1" customWidth="1"/>
    <col min="27" max="27" width="24.6640625" hidden="1" customWidth="1"/>
    <col min="28" max="28" width="38.109375" hidden="1" customWidth="1"/>
    <col min="29" max="29" width="14.109375" hidden="1" customWidth="1"/>
    <col min="30" max="30" width="7.6640625" hidden="1" customWidth="1"/>
    <col min="31" max="31" width="6.88671875" hidden="1" customWidth="1"/>
    <col min="32" max="32" width="1.33203125" hidden="1" customWidth="1"/>
    <col min="33" max="33" width="14" hidden="1" customWidth="1"/>
    <col min="34" max="34" width="11.6640625" hidden="1" customWidth="1"/>
    <col min="35" max="35" width="6.33203125" hidden="1" customWidth="1"/>
    <col min="36" max="36" width="12.6640625" hidden="1" customWidth="1"/>
    <col min="37" max="37" width="13.109375" hidden="1" customWidth="1"/>
    <col min="38" max="38" width="13.5546875" hidden="1" customWidth="1"/>
    <col min="39" max="39" width="25.88671875" customWidth="1"/>
    <col min="40" max="40" width="21.33203125" customWidth="1"/>
    <col min="41" max="41" width="8.88671875" style="376"/>
  </cols>
  <sheetData>
    <row r="1" spans="1:40" ht="49.5" customHeight="1" x14ac:dyDescent="0.3">
      <c r="B1" s="42"/>
      <c r="C1" s="43"/>
      <c r="D1" s="43"/>
      <c r="F1" s="410" t="s">
        <v>112</v>
      </c>
      <c r="G1" s="410"/>
    </row>
    <row r="2" spans="1:40" ht="24.75" customHeight="1" x14ac:dyDescent="0.3">
      <c r="B2" s="41"/>
      <c r="D2" s="43"/>
      <c r="F2" s="411" t="s">
        <v>0</v>
      </c>
      <c r="G2" s="411"/>
    </row>
    <row r="3" spans="1:40" ht="18" x14ac:dyDescent="0.35">
      <c r="B3" s="44"/>
      <c r="F3" s="31"/>
      <c r="G3" s="31"/>
    </row>
    <row r="4" spans="1:40" ht="18" x14ac:dyDescent="0.3">
      <c r="F4" s="38" t="s">
        <v>141</v>
      </c>
      <c r="G4" s="65" t="s">
        <v>237</v>
      </c>
    </row>
    <row r="5" spans="1:40" ht="18" x14ac:dyDescent="0.3">
      <c r="F5" s="39" t="s">
        <v>140</v>
      </c>
      <c r="G5" s="66" t="s">
        <v>238</v>
      </c>
    </row>
    <row r="6" spans="1:40" ht="18" x14ac:dyDescent="0.3">
      <c r="D6" t="s">
        <v>99</v>
      </c>
      <c r="F6" s="39" t="s">
        <v>139</v>
      </c>
      <c r="G6" s="67" t="s">
        <v>239</v>
      </c>
    </row>
    <row r="7" spans="1:40" ht="21.75" customHeight="1" x14ac:dyDescent="0.3">
      <c r="F7" s="39" t="s">
        <v>138</v>
      </c>
      <c r="G7" s="68" t="s">
        <v>240</v>
      </c>
      <c r="J7" t="s">
        <v>111</v>
      </c>
    </row>
    <row r="8" spans="1:40" ht="18" x14ac:dyDescent="0.3">
      <c r="F8" s="39" t="s">
        <v>134</v>
      </c>
      <c r="G8" s="69" t="s">
        <v>241</v>
      </c>
    </row>
    <row r="9" spans="1:40" ht="18" x14ac:dyDescent="0.3">
      <c r="F9" s="39" t="s">
        <v>135</v>
      </c>
      <c r="G9" s="68" t="s">
        <v>129</v>
      </c>
      <c r="J9" t="s">
        <v>99</v>
      </c>
    </row>
    <row r="10" spans="1:40" ht="27" customHeight="1" x14ac:dyDescent="0.3">
      <c r="F10" s="39" t="s">
        <v>136</v>
      </c>
      <c r="G10" s="68" t="s">
        <v>258</v>
      </c>
    </row>
    <row r="11" spans="1:40" ht="18" x14ac:dyDescent="0.3">
      <c r="F11" s="40" t="s">
        <v>137</v>
      </c>
      <c r="G11" s="70" t="s">
        <v>242</v>
      </c>
    </row>
    <row r="12" spans="1:40" ht="16.8" hidden="1" thickBot="1" x14ac:dyDescent="0.35">
      <c r="B12" s="1"/>
      <c r="M12" s="25"/>
      <c r="Q12" s="412" t="s">
        <v>1</v>
      </c>
      <c r="R12" s="413"/>
      <c r="S12" s="413"/>
      <c r="T12" s="414"/>
      <c r="U12" s="415" t="s">
        <v>2</v>
      </c>
      <c r="V12" s="416"/>
      <c r="W12" s="416"/>
      <c r="X12" s="417"/>
      <c r="Y12" s="27" t="s">
        <v>48</v>
      </c>
      <c r="Z12" s="28">
        <f>(1/(1-M14))-1</f>
        <v>0.24269914253759173</v>
      </c>
      <c r="AC12" s="418" t="s">
        <v>3</v>
      </c>
      <c r="AD12" s="419"/>
      <c r="AE12" s="420"/>
      <c r="AG12" s="408" t="s">
        <v>50</v>
      </c>
      <c r="AH12" s="409"/>
      <c r="AJ12" s="32" t="s">
        <v>52</v>
      </c>
      <c r="AK12" s="397" t="s">
        <v>51</v>
      </c>
      <c r="AL12" s="398"/>
    </row>
    <row r="13" spans="1:40" ht="18.600000000000001" thickBot="1" x14ac:dyDescent="0.4">
      <c r="A13" s="29" t="s">
        <v>4</v>
      </c>
      <c r="B13" s="30" t="s">
        <v>5</v>
      </c>
      <c r="C13" s="29" t="s">
        <v>6</v>
      </c>
      <c r="D13" s="29" t="s">
        <v>7</v>
      </c>
      <c r="E13" s="29" t="s">
        <v>8</v>
      </c>
      <c r="M13" s="26">
        <v>0.80469999999999997</v>
      </c>
    </row>
    <row r="14" spans="1:40" ht="24.9" customHeight="1" thickBot="1" x14ac:dyDescent="0.35">
      <c r="A14" s="46">
        <v>0</v>
      </c>
      <c r="B14" s="47"/>
      <c r="C14" s="48"/>
      <c r="D14" s="45"/>
      <c r="E14" s="45"/>
      <c r="F14" s="103" t="s">
        <v>76</v>
      </c>
      <c r="G14" s="104" t="s">
        <v>77</v>
      </c>
      <c r="H14" s="105" t="s">
        <v>78</v>
      </c>
      <c r="I14" s="105" t="s">
        <v>79</v>
      </c>
      <c r="J14" s="106" t="s">
        <v>80</v>
      </c>
      <c r="K14" s="107" t="s">
        <v>9</v>
      </c>
      <c r="L14" s="108">
        <v>7.4999999999999997E-2</v>
      </c>
      <c r="M14" s="109">
        <f>1-M13</f>
        <v>0.19530000000000003</v>
      </c>
      <c r="N14" s="110" t="s">
        <v>74</v>
      </c>
      <c r="Q14" s="136" t="s">
        <v>81</v>
      </c>
      <c r="R14" s="137" t="s">
        <v>82</v>
      </c>
      <c r="S14" s="138" t="s">
        <v>83</v>
      </c>
      <c r="T14" s="139" t="s">
        <v>84</v>
      </c>
      <c r="U14" s="140" t="s">
        <v>85</v>
      </c>
      <c r="V14" s="141" t="s">
        <v>86</v>
      </c>
      <c r="W14" s="142" t="s">
        <v>87</v>
      </c>
      <c r="X14" s="142" t="s">
        <v>88</v>
      </c>
      <c r="Y14" s="143" t="s">
        <v>89</v>
      </c>
      <c r="Z14" s="49" t="s">
        <v>90</v>
      </c>
      <c r="AA14" s="50" t="s">
        <v>75</v>
      </c>
      <c r="AC14" s="51" t="s">
        <v>91</v>
      </c>
      <c r="AD14" s="52" t="s">
        <v>92</v>
      </c>
      <c r="AE14" s="52" t="s">
        <v>32</v>
      </c>
      <c r="AG14" s="53" t="s">
        <v>93</v>
      </c>
      <c r="AH14" s="54" t="s">
        <v>94</v>
      </c>
      <c r="AK14" s="55" t="s">
        <v>95</v>
      </c>
      <c r="AL14" s="56" t="s">
        <v>96</v>
      </c>
      <c r="AM14" s="288" t="s">
        <v>95</v>
      </c>
      <c r="AN14" s="289" t="s">
        <v>96</v>
      </c>
    </row>
    <row r="15" spans="1:40" ht="24.9" customHeight="1" thickBot="1" x14ac:dyDescent="0.4">
      <c r="A15" s="45">
        <v>1</v>
      </c>
      <c r="B15" s="74">
        <v>1</v>
      </c>
      <c r="C15" s="73" t="s">
        <v>113</v>
      </c>
      <c r="D15" s="45"/>
      <c r="E15" s="45"/>
      <c r="F15" s="399" t="s">
        <v>213</v>
      </c>
      <c r="G15" s="400"/>
      <c r="H15" s="400"/>
      <c r="I15" s="400"/>
      <c r="J15" s="400"/>
      <c r="K15" s="400"/>
      <c r="L15" s="400"/>
      <c r="M15" s="400"/>
      <c r="N15" s="401"/>
      <c r="Q15" s="399" t="str">
        <f>IF(F15&lt;&gt;"",F15,"")</f>
        <v>Estande</v>
      </c>
      <c r="R15" s="400"/>
      <c r="S15" s="400"/>
      <c r="T15" s="400"/>
      <c r="U15" s="400"/>
      <c r="V15" s="400"/>
      <c r="W15" s="400"/>
      <c r="X15" s="400"/>
      <c r="Y15" s="401"/>
      <c r="AM15" s="402"/>
      <c r="AN15" s="403"/>
    </row>
    <row r="16" spans="1:40" ht="24.9" customHeight="1" x14ac:dyDescent="0.35">
      <c r="A16" s="45">
        <v>2</v>
      </c>
      <c r="B16" s="74" t="s">
        <v>115</v>
      </c>
      <c r="C16" s="73" t="s">
        <v>114</v>
      </c>
      <c r="D16" s="45"/>
      <c r="E16" s="45"/>
      <c r="F16" s="405" t="s">
        <v>214</v>
      </c>
      <c r="G16" s="406"/>
      <c r="H16" s="406"/>
      <c r="I16" s="406"/>
      <c r="J16" s="406"/>
      <c r="K16" s="406"/>
      <c r="L16" s="114" t="s">
        <v>116</v>
      </c>
      <c r="M16" s="114" t="s">
        <v>117</v>
      </c>
      <c r="N16" s="115" t="s">
        <v>74</v>
      </c>
      <c r="Q16" s="405" t="str">
        <f>IF(F16&lt;&gt;"",F16,"")</f>
        <v xml:space="preserve">Estande 100m² </v>
      </c>
      <c r="R16" s="406"/>
      <c r="S16" s="406"/>
      <c r="T16" s="406"/>
      <c r="U16" s="406"/>
      <c r="V16" s="406"/>
      <c r="W16" s="406"/>
      <c r="X16" s="406"/>
      <c r="Y16" s="407"/>
      <c r="Z16" s="83" t="s">
        <v>118</v>
      </c>
      <c r="AA16" s="75" t="s">
        <v>75</v>
      </c>
      <c r="AM16" s="405"/>
      <c r="AN16" s="406"/>
    </row>
    <row r="17" spans="1:41" ht="80.099999999999994" customHeight="1" x14ac:dyDescent="0.35">
      <c r="A17" s="45">
        <v>3</v>
      </c>
      <c r="B17" s="74" t="s">
        <v>120</v>
      </c>
      <c r="C17" s="73" t="s">
        <v>119</v>
      </c>
      <c r="D17" s="45" t="s">
        <v>121</v>
      </c>
      <c r="E17" s="45" t="s">
        <v>194</v>
      </c>
      <c r="F17" s="145" t="s">
        <v>261</v>
      </c>
      <c r="G17" s="146" t="s">
        <v>298</v>
      </c>
      <c r="H17" s="147">
        <v>100</v>
      </c>
      <c r="I17" s="148">
        <v>1</v>
      </c>
      <c r="J17" s="165">
        <v>1796.5</v>
      </c>
      <c r="K17" s="117">
        <f>IF(F17&lt;&gt;"",H17*I17*J17,"")</f>
        <v>179650</v>
      </c>
      <c r="L17" s="117">
        <f>IF(K17&lt;&gt;"",IF(D17="INTERNO",0,K17*$L$14),"")</f>
        <v>13473.75</v>
      </c>
      <c r="M17" s="117">
        <f>IF(K17&lt;&gt;"",IF(E17="FAT.OGGI",SUM(K17:L17)*(1/(1-$M$14)-1),L17*(1/(1-$M$14)-1)),0)</f>
        <v>3270.0675717658764</v>
      </c>
      <c r="N17" s="118">
        <f>SUM(K17:M17)</f>
        <v>196393.81757176589</v>
      </c>
      <c r="Q17" s="180">
        <f>IF(H17&lt;&gt;"",H17,"")</f>
        <v>100</v>
      </c>
      <c r="R17" s="181">
        <v>1</v>
      </c>
      <c r="S17" s="128">
        <v>1700</v>
      </c>
      <c r="T17" s="214">
        <f>IF(Q17&lt;&gt;"",Q17*R17*S17,"")</f>
        <v>170000</v>
      </c>
      <c r="U17" s="129">
        <f>IF(Q17&lt;&gt;"",K17-T17,"")</f>
        <v>9650</v>
      </c>
      <c r="V17" s="130">
        <f>IF(Q17&lt;&gt;"",0%,"")</f>
        <v>0</v>
      </c>
      <c r="W17" s="98">
        <f>IF(Q17&lt;&gt;"",V17*U17,"")</f>
        <v>0</v>
      </c>
      <c r="X17" s="98">
        <f>IF(Q17&lt;&gt;"",W17+T17,"")</f>
        <v>170000</v>
      </c>
      <c r="Y17" s="85">
        <f>IF(Q17&lt;&gt;"",X17+M17,"")</f>
        <v>173270.06757176589</v>
      </c>
      <c r="Z17" s="84">
        <f>IF(Q17&lt;&gt;"", IFERROR(U17/K17, 0), 0)</f>
        <v>5.3715558029501807E-2</v>
      </c>
      <c r="AA17" s="78">
        <f>IFERROR(T17/$T$20, "")</f>
        <v>0.99547935258707521</v>
      </c>
      <c r="AC17" s="93" t="s">
        <v>133</v>
      </c>
      <c r="AM17" s="311">
        <f>X17-AN17</f>
        <v>0</v>
      </c>
      <c r="AN17" s="312">
        <f>85000+42500+42500</f>
        <v>170000</v>
      </c>
      <c r="AO17" s="376" t="s">
        <v>339</v>
      </c>
    </row>
    <row r="18" spans="1:41" ht="80.099999999999994" customHeight="1" x14ac:dyDescent="0.35">
      <c r="A18" s="45">
        <v>4</v>
      </c>
      <c r="B18" s="74" t="s">
        <v>97</v>
      </c>
      <c r="C18" s="73" t="s">
        <v>119</v>
      </c>
      <c r="D18" s="45" t="s">
        <v>142</v>
      </c>
      <c r="E18" s="45" t="s">
        <v>130</v>
      </c>
      <c r="F18" s="96" t="s">
        <v>215</v>
      </c>
      <c r="G18" s="90" t="s">
        <v>257</v>
      </c>
      <c r="H18" s="116">
        <v>1</v>
      </c>
      <c r="I18" s="116">
        <v>0</v>
      </c>
      <c r="J18" s="76">
        <v>0</v>
      </c>
      <c r="K18" s="76">
        <f>IF(F18&lt;&gt;"",H18*I18*J18,"")</f>
        <v>0</v>
      </c>
      <c r="L18" s="117">
        <f>IF(K18&lt;&gt;"",IF(D18="INTERNO",0,K18*$L$14),"")</f>
        <v>0</v>
      </c>
      <c r="M18" s="117">
        <f>IF(K18&lt;&gt;"",IF(E18="FAT.OGGI",SUM(K18:L18)*(1/(1-$M$14)-1),L18*(1/(1-$M$14)-1)),0)</f>
        <v>0</v>
      </c>
      <c r="N18" s="118">
        <f>SUM(K18:M18)</f>
        <v>0</v>
      </c>
      <c r="Q18" s="182">
        <f>IF(H18&lt;&gt;"",H18,"")</f>
        <v>1</v>
      </c>
      <c r="R18" s="183">
        <v>1</v>
      </c>
      <c r="S18" s="79">
        <v>772</v>
      </c>
      <c r="T18" s="218">
        <f>IF(Q18&lt;&gt;"",Q18*R18*S18,"")</f>
        <v>772</v>
      </c>
      <c r="U18" s="80">
        <f>IF(Q18&lt;&gt;"",K18-T18,"")</f>
        <v>-772</v>
      </c>
      <c r="V18" s="81">
        <f>IF(Q18&lt;&gt;"",0%,"")</f>
        <v>0</v>
      </c>
      <c r="W18" s="82">
        <f>IF(Q18&lt;&gt;"",V18*U18,"")</f>
        <v>0</v>
      </c>
      <c r="X18" s="82">
        <f>IF(Q18&lt;&gt;"",W18+T18,"")</f>
        <v>772</v>
      </c>
      <c r="Y18" s="85">
        <f>IF(Q18&lt;&gt;"",X18+M18,"")</f>
        <v>772</v>
      </c>
      <c r="Z18" s="84">
        <f>IF(Q18&lt;&gt;"", IFERROR(U18/K18, 0), 0)</f>
        <v>0</v>
      </c>
      <c r="AA18" s="78">
        <f>IFERROR(T18/$T$20, "")</f>
        <v>4.5206474129248359E-3</v>
      </c>
      <c r="AM18" s="311">
        <f>X18-AN18</f>
        <v>0</v>
      </c>
      <c r="AN18" s="312">
        <v>772</v>
      </c>
      <c r="AO18" s="376" t="s">
        <v>339</v>
      </c>
    </row>
    <row r="19" spans="1:41" ht="80.099999999999994" customHeight="1" x14ac:dyDescent="0.35">
      <c r="A19" s="45">
        <v>5</v>
      </c>
      <c r="B19" s="74" t="s">
        <v>131</v>
      </c>
      <c r="C19" s="73" t="s">
        <v>119</v>
      </c>
      <c r="D19" s="45" t="s">
        <v>142</v>
      </c>
      <c r="E19" s="45" t="s">
        <v>194</v>
      </c>
      <c r="F19" s="96" t="s">
        <v>256</v>
      </c>
      <c r="G19" s="90"/>
      <c r="H19" s="116">
        <v>1</v>
      </c>
      <c r="I19" s="116">
        <v>0</v>
      </c>
      <c r="J19" s="76">
        <v>0</v>
      </c>
      <c r="K19" s="76">
        <f>IF(F19&lt;&gt;"",H19*I19*J19,"")</f>
        <v>0</v>
      </c>
      <c r="L19" s="117">
        <f>IF(K19&lt;&gt;"",IF(D19="INTERNO",0,K19*$L$14),"")</f>
        <v>0</v>
      </c>
      <c r="M19" s="117">
        <f>IF(K19&lt;&gt;"",IF(E19="FAT.OGGI",SUM(K19:L19)*(1/(1-$M$14)-1),L19*(1/(1-$M$14)-1)),0)</f>
        <v>0</v>
      </c>
      <c r="N19" s="118">
        <f>SUM(K19:M19)</f>
        <v>0</v>
      </c>
      <c r="Q19" s="204">
        <f>IF(H19&lt;&gt;"",H19,"")</f>
        <v>1</v>
      </c>
      <c r="R19" s="205">
        <f>IF(I19&lt;&gt;"",I19,"")</f>
        <v>0</v>
      </c>
      <c r="S19" s="206"/>
      <c r="T19" s="206">
        <f>IF(Q19&lt;&gt;"",Q19*R19*S19,"")</f>
        <v>0</v>
      </c>
      <c r="U19" s="207">
        <f>IF(Q19&lt;&gt;"",K19-T19,"")</f>
        <v>0</v>
      </c>
      <c r="V19" s="208">
        <f>IF(Q19&lt;&gt;"",0%,"")</f>
        <v>0</v>
      </c>
      <c r="W19" s="209">
        <f>IF(Q19&lt;&gt;"",V19*U19,"")</f>
        <v>0</v>
      </c>
      <c r="X19" s="209">
        <f>IF(Q19&lt;&gt;"",W19+T19,"")</f>
        <v>0</v>
      </c>
      <c r="Y19" s="97">
        <f>IF(Q19&lt;&gt;"",X19+M19,"")</f>
        <v>0</v>
      </c>
      <c r="Z19" s="84">
        <f>IF(Q19&lt;&gt;"", IFERROR(U19/K19, 0), 0)</f>
        <v>0</v>
      </c>
      <c r="AA19" s="78">
        <f>IFERROR(T19/$T$20, "")</f>
        <v>0</v>
      </c>
      <c r="AM19" s="311"/>
      <c r="AN19" s="312"/>
    </row>
    <row r="20" spans="1:41" ht="24.9" customHeight="1" thickBot="1" x14ac:dyDescent="0.4">
      <c r="A20" s="45">
        <v>6</v>
      </c>
      <c r="B20" s="74"/>
      <c r="C20" s="73" t="s">
        <v>122</v>
      </c>
      <c r="D20" s="45"/>
      <c r="E20" s="45"/>
      <c r="F20" s="393" t="s">
        <v>216</v>
      </c>
      <c r="G20" s="394"/>
      <c r="H20" s="394"/>
      <c r="I20" s="394"/>
      <c r="J20" s="394"/>
      <c r="K20" s="135">
        <f>SUM(K17:K19)</f>
        <v>179650</v>
      </c>
      <c r="L20" s="135">
        <f>SUM(L17:L19)</f>
        <v>13473.75</v>
      </c>
      <c r="M20" s="135">
        <f>SUM(M17:M19)</f>
        <v>3270.0675717658764</v>
      </c>
      <c r="N20" s="119">
        <f>SUM(N17:N19)</f>
        <v>196393.81757176589</v>
      </c>
      <c r="Q20" s="395" t="s">
        <v>216</v>
      </c>
      <c r="R20" s="396"/>
      <c r="S20" s="396"/>
      <c r="T20" s="120">
        <f>SUM(T17:T19)</f>
        <v>170772</v>
      </c>
      <c r="U20" s="121">
        <f>SUM(U17:U19)</f>
        <v>8878</v>
      </c>
      <c r="V20" s="122"/>
      <c r="W20" s="122"/>
      <c r="X20" s="123">
        <f>SUM(X17:X19)</f>
        <v>170772</v>
      </c>
      <c r="Y20" s="113">
        <f>IF(Q20&lt;&gt;"",X20+M20,"")</f>
        <v>174042.06757176589</v>
      </c>
      <c r="Z20" s="202" t="s">
        <v>185</v>
      </c>
      <c r="AA20" s="203" t="s">
        <v>186</v>
      </c>
      <c r="AM20" s="311"/>
      <c r="AN20" s="312"/>
    </row>
    <row r="21" spans="1:41" ht="24.9" customHeight="1" thickBot="1" x14ac:dyDescent="0.5">
      <c r="A21" s="71">
        <v>7</v>
      </c>
      <c r="B21" s="144"/>
      <c r="C21" s="72" t="s">
        <v>127</v>
      </c>
      <c r="D21" s="71"/>
      <c r="E21" s="71"/>
      <c r="F21" s="86" t="s">
        <v>128</v>
      </c>
      <c r="G21" s="87"/>
      <c r="H21" s="185"/>
      <c r="I21" s="185"/>
      <c r="J21" s="87"/>
      <c r="K21" s="88">
        <f>SUM(K17:K19)</f>
        <v>179650</v>
      </c>
      <c r="L21" s="88">
        <f>SUM(L17:L19)</f>
        <v>13473.75</v>
      </c>
      <c r="M21" s="88">
        <f>SUM(M17:M19)</f>
        <v>3270.0675717658764</v>
      </c>
      <c r="N21" s="149">
        <f>SUM(N17:N19)</f>
        <v>196393.81757176589</v>
      </c>
      <c r="Q21" s="184" t="s">
        <v>42</v>
      </c>
      <c r="R21" s="185"/>
      <c r="S21" s="87"/>
      <c r="T21" s="88">
        <f>SUM(T17:T19)</f>
        <v>170772</v>
      </c>
      <c r="U21" s="88">
        <f>SUM(U17:U19)</f>
        <v>8878</v>
      </c>
      <c r="V21" s="87"/>
      <c r="W21" s="87"/>
      <c r="X21" s="88">
        <f>SUM(X17:X19)</f>
        <v>170772</v>
      </c>
      <c r="Y21" s="149">
        <f>SUM(Y17:Y19)</f>
        <v>174042.06757176589</v>
      </c>
      <c r="Z21" s="89">
        <f>IF(Q21&lt;&gt;"",(N21-Y21)/N21,"")</f>
        <v>0.11381086368379321</v>
      </c>
      <c r="AA21" s="150">
        <f>IF(Z21&lt;&gt;"",(N21-Y21),"")</f>
        <v>22351.75</v>
      </c>
      <c r="AM21" s="311">
        <f>SUM(AM17:AM20)</f>
        <v>0</v>
      </c>
      <c r="AN21" s="312">
        <f>SUM(AN17:AN20)</f>
        <v>170772</v>
      </c>
    </row>
    <row r="22" spans="1:41" ht="33" customHeight="1" x14ac:dyDescent="0.3"/>
    <row r="35" ht="26.1" customHeight="1" x14ac:dyDescent="0.3"/>
    <row r="36" ht="27.6" customHeight="1" x14ac:dyDescent="0.3"/>
    <row r="41" ht="27" customHeight="1" x14ac:dyDescent="0.3"/>
    <row r="42" ht="24.9" customHeight="1" x14ac:dyDescent="0.3"/>
  </sheetData>
  <mergeCells count="15">
    <mergeCell ref="F20:J20"/>
    <mergeCell ref="Q20:S20"/>
    <mergeCell ref="AK12:AL12"/>
    <mergeCell ref="F15:N15"/>
    <mergeCell ref="Q15:Y15"/>
    <mergeCell ref="F16:K16"/>
    <mergeCell ref="Q16:Y16"/>
    <mergeCell ref="AG12:AH12"/>
    <mergeCell ref="AM15:AN15"/>
    <mergeCell ref="AM16:AN16"/>
    <mergeCell ref="F1:G1"/>
    <mergeCell ref="F2:G2"/>
    <mergeCell ref="Q12:T12"/>
    <mergeCell ref="U12:X12"/>
    <mergeCell ref="AC12:AE12"/>
  </mergeCells>
  <dataValidations count="3">
    <dataValidation type="list" allowBlank="1" showInputMessage="1" showErrorMessage="1" sqref="D21 D17:D19" xr:uid="{EF7FEF71-45D2-4A49-9813-E3A3DE5F9E9D}">
      <formula1>"INTERNO,OPERACIONAL"</formula1>
    </dataValidation>
    <dataValidation type="list" allowBlank="1" showInputMessage="1" showErrorMessage="1" sqref="E21" xr:uid="{39FB95FD-CB48-483A-8085-0E60F52049C3}">
      <formula1>"FAT.OGGI,FAT.CLIENTE "</formula1>
    </dataValidation>
    <dataValidation type="list" allowBlank="1" showInputMessage="1" showErrorMessage="1" sqref="E17:E19" xr:uid="{8C03CD34-2B10-45E1-9D8B-4B65A0AA11B2}">
      <formula1>"FAT.OGGI,FAT.CLIENTE"</formula1>
    </dataValidation>
  </dataValidations>
  <pageMargins left="0.511811024" right="0.511811024" top="0.78740157499999996" bottom="0.78740157499999996" header="0.31496062000000002" footer="0.31496062000000002"/>
  <pageSetup paperSize="9"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A46BC-F466-41B3-9E18-8A665D569CB6}">
  <sheetPr codeName="Planilha1"/>
  <dimension ref="B3:G12"/>
  <sheetViews>
    <sheetView showGridLines="0" topLeftCell="A3" workbookViewId="0">
      <selection activeCell="C8" sqref="C8"/>
    </sheetView>
  </sheetViews>
  <sheetFormatPr defaultRowHeight="14.4" x14ac:dyDescent="0.3"/>
  <cols>
    <col min="1" max="1" width="15.6640625" customWidth="1"/>
    <col min="2" max="2" width="4.5546875" customWidth="1"/>
    <col min="3" max="3" width="37.5546875" customWidth="1"/>
    <col min="4" max="4" width="24.44140625" customWidth="1"/>
    <col min="5" max="5" width="18.44140625" customWidth="1"/>
    <col min="6" max="6" width="15" customWidth="1"/>
    <col min="7" max="7" width="13.6640625" bestFit="1" customWidth="1"/>
  </cols>
  <sheetData>
    <row r="3" spans="2:7" ht="15" thickBot="1" x14ac:dyDescent="0.35">
      <c r="C3" s="177" t="s">
        <v>247</v>
      </c>
    </row>
    <row r="4" spans="2:7" ht="15" thickBot="1" x14ac:dyDescent="0.35">
      <c r="C4" s="457" t="s">
        <v>262</v>
      </c>
      <c r="D4" s="458"/>
      <c r="E4" s="458"/>
      <c r="F4" s="458"/>
      <c r="G4" s="459"/>
    </row>
    <row r="5" spans="2:7" ht="15" thickBot="1" x14ac:dyDescent="0.35">
      <c r="C5" s="161" t="s">
        <v>217</v>
      </c>
      <c r="D5" s="164" t="s">
        <v>33</v>
      </c>
      <c r="E5" s="161" t="s">
        <v>218</v>
      </c>
      <c r="F5" s="162"/>
      <c r="G5" s="163"/>
    </row>
    <row r="6" spans="2:7" ht="28.5" customHeight="1" x14ac:dyDescent="0.3">
      <c r="B6" s="173">
        <v>1</v>
      </c>
      <c r="C6" s="166" t="s">
        <v>248</v>
      </c>
      <c r="D6" s="169">
        <f>Taxas!N30</f>
        <v>21523.539999999997</v>
      </c>
      <c r="E6" s="197"/>
      <c r="F6" s="198">
        <v>0</v>
      </c>
      <c r="G6" s="215">
        <f>F6*100%/D6</f>
        <v>0</v>
      </c>
    </row>
    <row r="7" spans="2:7" ht="26.1" customHeight="1" x14ac:dyDescent="0.3">
      <c r="B7" s="174">
        <v>2</v>
      </c>
      <c r="C7" s="167" t="s">
        <v>220</v>
      </c>
      <c r="D7" s="170">
        <f>Operação!N66</f>
        <v>156429.61911271283</v>
      </c>
      <c r="E7" s="186">
        <f>Operação!Y66</f>
        <v>109054.41563825028</v>
      </c>
      <c r="F7" s="187">
        <f>D7-E7</f>
        <v>47375.203474462542</v>
      </c>
      <c r="G7" s="216">
        <f t="shared" ref="G7:G8" si="0">F7*100%/D7</f>
        <v>0.3028531536622045</v>
      </c>
    </row>
    <row r="8" spans="2:7" ht="26.4" customHeight="1" thickBot="1" x14ac:dyDescent="0.35">
      <c r="B8" s="175">
        <v>3</v>
      </c>
      <c r="C8" s="168" t="s">
        <v>222</v>
      </c>
      <c r="D8" s="171">
        <f>'Estand Op1'!N21</f>
        <v>196393.81757176589</v>
      </c>
      <c r="E8" s="199">
        <f>'Estand Op1'!Y21</f>
        <v>174042.06757176589</v>
      </c>
      <c r="F8" s="200">
        <f>D8-E8</f>
        <v>22351.75</v>
      </c>
      <c r="G8" s="217">
        <f t="shared" si="0"/>
        <v>0.11381086368379321</v>
      </c>
    </row>
    <row r="9" spans="2:7" ht="26.25" customHeight="1" x14ac:dyDescent="0.3">
      <c r="B9" s="176"/>
      <c r="C9" s="190" t="s">
        <v>219</v>
      </c>
      <c r="D9" s="191">
        <f>SUM(D6:D8)</f>
        <v>374346.97668447869</v>
      </c>
    </row>
    <row r="10" spans="2:7" ht="26.25" customHeight="1" thickBot="1" x14ac:dyDescent="0.35">
      <c r="B10" s="176"/>
      <c r="C10" s="192" t="s">
        <v>267</v>
      </c>
      <c r="D10" s="193">
        <v>18827.371191748476</v>
      </c>
      <c r="E10" s="196"/>
      <c r="F10" s="176"/>
      <c r="G10" s="176"/>
    </row>
    <row r="11" spans="2:7" ht="26.25" customHeight="1" thickBot="1" x14ac:dyDescent="0.35">
      <c r="B11" s="176"/>
      <c r="C11" s="194" t="s">
        <v>219</v>
      </c>
      <c r="D11" s="195">
        <f>D9-D10</f>
        <v>355519.60549273022</v>
      </c>
      <c r="E11" s="188">
        <f>SUM(E6:E8)</f>
        <v>283096.48321001616</v>
      </c>
      <c r="F11" s="189">
        <f>F7+F8</f>
        <v>69726.953474462542</v>
      </c>
      <c r="G11" s="201">
        <f>F11*100%/D11</f>
        <v>0.19612688694854086</v>
      </c>
    </row>
    <row r="12" spans="2:7" x14ac:dyDescent="0.3">
      <c r="E12" s="210"/>
    </row>
  </sheetData>
  <mergeCells count="1">
    <mergeCell ref="C4:G4"/>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6F5BA-24C0-4482-A624-DF49F7416963}">
  <sheetPr codeName="Planilha2"/>
  <dimension ref="A1:J26"/>
  <sheetViews>
    <sheetView workbookViewId="0">
      <selection activeCell="E16" sqref="E6:E16"/>
    </sheetView>
  </sheetViews>
  <sheetFormatPr defaultRowHeight="14.4" x14ac:dyDescent="0.3"/>
  <cols>
    <col min="2" max="2" width="10.44140625" bestFit="1" customWidth="1"/>
    <col min="3" max="3" width="22" bestFit="1" customWidth="1"/>
    <col min="4" max="4" width="28.44140625" style="41" bestFit="1" customWidth="1"/>
    <col min="10" max="10" width="18.6640625" bestFit="1" customWidth="1"/>
  </cols>
  <sheetData>
    <row r="1" spans="1:10" x14ac:dyDescent="0.3">
      <c r="A1" s="41" t="s">
        <v>78</v>
      </c>
      <c r="C1" t="s">
        <v>269</v>
      </c>
      <c r="D1" s="41" t="s">
        <v>294</v>
      </c>
      <c r="E1" t="s">
        <v>270</v>
      </c>
      <c r="F1" t="s">
        <v>271</v>
      </c>
      <c r="G1" t="s">
        <v>272</v>
      </c>
      <c r="H1" t="s">
        <v>273</v>
      </c>
      <c r="I1" t="s">
        <v>274</v>
      </c>
      <c r="J1" t="s">
        <v>275</v>
      </c>
    </row>
    <row r="2" spans="1:10" x14ac:dyDescent="0.3">
      <c r="A2" s="41">
        <v>1</v>
      </c>
      <c r="B2" t="s">
        <v>282</v>
      </c>
      <c r="C2" t="s">
        <v>283</v>
      </c>
      <c r="D2" s="41" t="s">
        <v>292</v>
      </c>
    </row>
    <row r="3" spans="1:10" x14ac:dyDescent="0.3">
      <c r="A3" s="41">
        <v>2</v>
      </c>
      <c r="B3" t="s">
        <v>282</v>
      </c>
      <c r="C3" t="s">
        <v>284</v>
      </c>
      <c r="D3" s="41" t="s">
        <v>290</v>
      </c>
      <c r="E3" t="s">
        <v>301</v>
      </c>
    </row>
    <row r="4" spans="1:10" x14ac:dyDescent="0.3">
      <c r="A4" s="41">
        <v>3</v>
      </c>
      <c r="B4" t="s">
        <v>282</v>
      </c>
      <c r="C4" t="s">
        <v>285</v>
      </c>
      <c r="D4" s="41" t="s">
        <v>291</v>
      </c>
      <c r="E4" t="s">
        <v>300</v>
      </c>
    </row>
    <row r="5" spans="1:10" x14ac:dyDescent="0.3">
      <c r="A5" s="41">
        <v>4</v>
      </c>
      <c r="B5" t="s">
        <v>282</v>
      </c>
      <c r="C5" t="s">
        <v>286</v>
      </c>
      <c r="D5" s="41" t="s">
        <v>291</v>
      </c>
      <c r="E5" t="s">
        <v>299</v>
      </c>
    </row>
    <row r="6" spans="1:10" x14ac:dyDescent="0.3">
      <c r="A6" s="41">
        <v>5</v>
      </c>
      <c r="B6" t="s">
        <v>282</v>
      </c>
      <c r="C6" t="s">
        <v>148</v>
      </c>
      <c r="D6" s="41" t="s">
        <v>291</v>
      </c>
    </row>
    <row r="7" spans="1:10" x14ac:dyDescent="0.3">
      <c r="A7" s="41">
        <v>6</v>
      </c>
      <c r="B7" t="s">
        <v>282</v>
      </c>
      <c r="C7" t="s">
        <v>148</v>
      </c>
      <c r="D7" s="41" t="s">
        <v>291</v>
      </c>
    </row>
    <row r="8" spans="1:10" x14ac:dyDescent="0.3">
      <c r="A8" s="41">
        <v>7</v>
      </c>
      <c r="B8" t="s">
        <v>282</v>
      </c>
      <c r="C8" t="s">
        <v>287</v>
      </c>
      <c r="D8" s="41" t="s">
        <v>293</v>
      </c>
    </row>
    <row r="9" spans="1:10" x14ac:dyDescent="0.3">
      <c r="A9" s="41">
        <v>8</v>
      </c>
      <c r="B9" t="s">
        <v>282</v>
      </c>
      <c r="C9" t="s">
        <v>288</v>
      </c>
      <c r="D9" s="41" t="s">
        <v>293</v>
      </c>
    </row>
    <row r="10" spans="1:10" x14ac:dyDescent="0.3">
      <c r="A10" s="41">
        <v>9</v>
      </c>
      <c r="B10" t="s">
        <v>282</v>
      </c>
      <c r="C10" t="s">
        <v>289</v>
      </c>
      <c r="D10" s="41" t="s">
        <v>293</v>
      </c>
    </row>
    <row r="11" spans="1:10" x14ac:dyDescent="0.3">
      <c r="A11" s="41">
        <v>10</v>
      </c>
      <c r="B11" t="s">
        <v>282</v>
      </c>
      <c r="C11" t="s">
        <v>268</v>
      </c>
      <c r="D11" s="41" t="s">
        <v>297</v>
      </c>
    </row>
    <row r="12" spans="1:10" x14ac:dyDescent="0.3">
      <c r="A12" s="41">
        <v>11</v>
      </c>
      <c r="B12" t="s">
        <v>282</v>
      </c>
      <c r="C12" t="s">
        <v>268</v>
      </c>
      <c r="D12" s="41" t="s">
        <v>297</v>
      </c>
    </row>
    <row r="13" spans="1:10" x14ac:dyDescent="0.3">
      <c r="A13" s="41">
        <v>12</v>
      </c>
      <c r="B13" t="s">
        <v>282</v>
      </c>
      <c r="C13" t="s">
        <v>268</v>
      </c>
      <c r="D13" s="41" t="s">
        <v>297</v>
      </c>
    </row>
    <row r="14" spans="1:10" x14ac:dyDescent="0.3">
      <c r="A14" s="41">
        <v>13</v>
      </c>
      <c r="B14" t="s">
        <v>282</v>
      </c>
      <c r="C14" t="s">
        <v>268</v>
      </c>
      <c r="D14" s="41" t="s">
        <v>297</v>
      </c>
    </row>
    <row r="15" spans="1:10" x14ac:dyDescent="0.3">
      <c r="A15" s="41">
        <v>14</v>
      </c>
      <c r="B15" t="s">
        <v>282</v>
      </c>
      <c r="C15" t="s">
        <v>268</v>
      </c>
      <c r="D15" s="41" t="s">
        <v>297</v>
      </c>
    </row>
    <row r="16" spans="1:10" x14ac:dyDescent="0.3">
      <c r="A16" s="41">
        <v>15</v>
      </c>
      <c r="B16" t="s">
        <v>282</v>
      </c>
      <c r="C16" t="s">
        <v>276</v>
      </c>
      <c r="D16" s="41" t="s">
        <v>297</v>
      </c>
    </row>
    <row r="17" spans="1:4" x14ac:dyDescent="0.3">
      <c r="A17" s="41">
        <v>16</v>
      </c>
      <c r="B17" t="s">
        <v>282</v>
      </c>
    </row>
    <row r="18" spans="1:4" x14ac:dyDescent="0.3">
      <c r="A18" s="41">
        <v>17</v>
      </c>
      <c r="B18" t="s">
        <v>282</v>
      </c>
    </row>
    <row r="19" spans="1:4" x14ac:dyDescent="0.3">
      <c r="A19" s="41">
        <v>18</v>
      </c>
      <c r="B19" t="s">
        <v>282</v>
      </c>
    </row>
    <row r="20" spans="1:4" x14ac:dyDescent="0.3">
      <c r="A20" s="41">
        <v>19</v>
      </c>
      <c r="B20" t="s">
        <v>282</v>
      </c>
    </row>
    <row r="21" spans="1:4" x14ac:dyDescent="0.3">
      <c r="A21" s="41">
        <v>20</v>
      </c>
      <c r="B21" t="s">
        <v>282</v>
      </c>
    </row>
    <row r="23" spans="1:4" x14ac:dyDescent="0.3">
      <c r="B23" t="s">
        <v>278</v>
      </c>
      <c r="C23" t="s">
        <v>277</v>
      </c>
      <c r="D23" s="41" t="s">
        <v>291</v>
      </c>
    </row>
    <row r="24" spans="1:4" x14ac:dyDescent="0.3">
      <c r="B24" s="211" t="s">
        <v>278</v>
      </c>
      <c r="C24" s="211" t="s">
        <v>279</v>
      </c>
      <c r="D24" s="212"/>
    </row>
    <row r="25" spans="1:4" x14ac:dyDescent="0.3">
      <c r="B25" t="s">
        <v>278</v>
      </c>
      <c r="C25" t="s">
        <v>280</v>
      </c>
    </row>
    <row r="26" spans="1:4" x14ac:dyDescent="0.3">
      <c r="B26" t="s">
        <v>278</v>
      </c>
      <c r="C26" t="s">
        <v>281</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7A351-E9F1-4E5C-8A08-61072E4C8BD4}">
  <sheetPr codeName="Planilha7"/>
  <dimension ref="A1:O9"/>
  <sheetViews>
    <sheetView zoomScaleNormal="100" workbookViewId="0">
      <selection activeCell="A10" sqref="A10:XFD28"/>
    </sheetView>
  </sheetViews>
  <sheetFormatPr defaultColWidth="8.88671875" defaultRowHeight="14.4" x14ac:dyDescent="0.3"/>
  <cols>
    <col min="1" max="1" width="35.33203125" customWidth="1"/>
    <col min="2" max="3" width="20.33203125" customWidth="1"/>
    <col min="4" max="4" width="40.44140625" customWidth="1"/>
    <col min="5" max="5" width="17.6640625" customWidth="1"/>
    <col min="6" max="7" width="15.109375" customWidth="1"/>
    <col min="8" max="8" width="25.33203125" customWidth="1"/>
    <col min="9" max="10" width="15.109375" customWidth="1"/>
    <col min="11" max="11" width="10.109375" customWidth="1"/>
    <col min="12" max="12" width="15.109375" customWidth="1"/>
    <col min="13" max="13" width="12.6640625" customWidth="1"/>
    <col min="14" max="14" width="15.109375" customWidth="1"/>
    <col min="15" max="15" width="40.44140625" customWidth="1"/>
  </cols>
  <sheetData>
    <row r="1" spans="1:15" ht="15" x14ac:dyDescent="0.3">
      <c r="A1" s="461" t="s">
        <v>10</v>
      </c>
      <c r="B1" s="461"/>
      <c r="C1" s="461"/>
      <c r="D1" s="463" t="s">
        <v>53</v>
      </c>
      <c r="E1" s="463"/>
      <c r="F1" s="463"/>
      <c r="G1" s="463"/>
      <c r="H1" s="463"/>
      <c r="I1" s="463"/>
      <c r="J1" s="33" t="s">
        <v>10</v>
      </c>
      <c r="K1" s="33" t="s">
        <v>10</v>
      </c>
      <c r="L1" s="33" t="s">
        <v>10</v>
      </c>
      <c r="M1" s="33" t="s">
        <v>10</v>
      </c>
      <c r="N1" s="33" t="s">
        <v>10</v>
      </c>
      <c r="O1" s="34" t="s">
        <v>10</v>
      </c>
    </row>
    <row r="2" spans="1:15" x14ac:dyDescent="0.3">
      <c r="A2" s="462"/>
      <c r="B2" s="462"/>
      <c r="C2" s="462"/>
      <c r="D2" s="461" t="s">
        <v>54</v>
      </c>
      <c r="E2" s="461"/>
      <c r="F2" s="461"/>
      <c r="G2" s="461"/>
      <c r="H2" s="461"/>
      <c r="I2" s="461"/>
      <c r="J2" s="33"/>
      <c r="K2" s="33"/>
      <c r="L2" s="33"/>
      <c r="M2" s="33"/>
      <c r="N2" s="33"/>
      <c r="O2" s="464" t="s">
        <v>55</v>
      </c>
    </row>
    <row r="3" spans="1:15" x14ac:dyDescent="0.3">
      <c r="A3" s="462"/>
      <c r="B3" s="462"/>
      <c r="C3" s="462"/>
      <c r="D3" s="461" t="s">
        <v>56</v>
      </c>
      <c r="E3" s="461"/>
      <c r="F3" s="461"/>
      <c r="G3" s="461"/>
      <c r="H3" s="461"/>
      <c r="I3" s="461"/>
      <c r="J3" s="33"/>
      <c r="K3" s="33"/>
      <c r="L3" s="33"/>
      <c r="M3" s="33"/>
      <c r="N3" s="33"/>
      <c r="O3" s="465"/>
    </row>
    <row r="4" spans="1:15" x14ac:dyDescent="0.3">
      <c r="A4" s="462"/>
      <c r="B4" s="462"/>
      <c r="C4" s="462"/>
      <c r="D4" s="461" t="s">
        <v>57</v>
      </c>
      <c r="E4" s="461"/>
      <c r="F4" s="461"/>
      <c r="G4" s="461"/>
      <c r="H4" s="461"/>
      <c r="I4" s="461"/>
      <c r="J4" s="33"/>
      <c r="K4" s="33"/>
      <c r="L4" s="33"/>
      <c r="M4" s="33"/>
      <c r="N4" s="33"/>
      <c r="O4" s="465"/>
    </row>
    <row r="5" spans="1:15" x14ac:dyDescent="0.3">
      <c r="A5" s="462"/>
      <c r="B5" s="462"/>
      <c r="C5" s="462"/>
      <c r="D5" s="461" t="s">
        <v>58</v>
      </c>
      <c r="E5" s="461"/>
      <c r="F5" s="461"/>
      <c r="G5" s="461"/>
      <c r="H5" s="461"/>
      <c r="I5" s="461"/>
      <c r="J5" s="33"/>
      <c r="K5" s="33"/>
      <c r="L5" s="33"/>
      <c r="M5" s="33"/>
      <c r="N5" s="33"/>
      <c r="O5" s="465"/>
    </row>
    <row r="6" spans="1:15" x14ac:dyDescent="0.3">
      <c r="A6" s="462"/>
      <c r="B6" s="462"/>
      <c r="C6" s="462"/>
      <c r="D6" s="33"/>
      <c r="E6" s="33"/>
      <c r="F6" s="33"/>
      <c r="G6" s="33"/>
      <c r="H6" s="33"/>
      <c r="I6" s="33"/>
      <c r="J6" s="33"/>
      <c r="K6" s="33"/>
      <c r="L6" s="33"/>
      <c r="M6" s="33"/>
      <c r="N6" s="33"/>
      <c r="O6" s="465"/>
    </row>
    <row r="7" spans="1:15" x14ac:dyDescent="0.3">
      <c r="A7" s="462"/>
      <c r="B7" s="462"/>
      <c r="C7" s="462"/>
      <c r="D7" s="461" t="s">
        <v>59</v>
      </c>
      <c r="E7" s="461"/>
      <c r="F7" s="461"/>
      <c r="G7" s="461"/>
      <c r="H7" s="461"/>
      <c r="I7" s="461"/>
      <c r="J7" s="33"/>
      <c r="K7" s="33"/>
      <c r="L7" s="33"/>
      <c r="M7" s="33"/>
      <c r="N7" s="33"/>
      <c r="O7" s="35">
        <v>45264.482613275461</v>
      </c>
    </row>
    <row r="8" spans="1:15" x14ac:dyDescent="0.3">
      <c r="A8" s="460" t="s">
        <v>60</v>
      </c>
      <c r="B8" s="460"/>
      <c r="C8" s="460"/>
      <c r="D8" s="460"/>
      <c r="E8" s="460"/>
      <c r="F8" s="460"/>
      <c r="G8" s="460"/>
      <c r="H8" s="460"/>
      <c r="I8" s="460"/>
      <c r="J8" s="460"/>
      <c r="K8" s="460"/>
      <c r="L8" s="460"/>
      <c r="M8" s="460"/>
      <c r="N8" s="460"/>
      <c r="O8" s="460"/>
    </row>
    <row r="9" spans="1:15" ht="27.6" x14ac:dyDescent="0.3">
      <c r="A9" s="36" t="s">
        <v>61</v>
      </c>
      <c r="B9" s="36" t="s">
        <v>62</v>
      </c>
      <c r="C9" s="36" t="s">
        <v>63</v>
      </c>
      <c r="D9" s="36" t="s">
        <v>47</v>
      </c>
      <c r="E9" s="36" t="s">
        <v>64</v>
      </c>
      <c r="F9" s="36" t="s">
        <v>65</v>
      </c>
      <c r="G9" s="36" t="s">
        <v>33</v>
      </c>
      <c r="H9" s="36" t="s">
        <v>66</v>
      </c>
      <c r="I9" s="36" t="s">
        <v>67</v>
      </c>
      <c r="J9" s="36" t="s">
        <v>65</v>
      </c>
      <c r="K9" s="36" t="s">
        <v>68</v>
      </c>
      <c r="L9" s="36" t="s">
        <v>69</v>
      </c>
      <c r="M9" s="36" t="s">
        <v>70</v>
      </c>
      <c r="N9" s="36" t="s">
        <v>71</v>
      </c>
      <c r="O9" s="37" t="s">
        <v>72</v>
      </c>
    </row>
  </sheetData>
  <mergeCells count="9">
    <mergeCell ref="A8:O8"/>
    <mergeCell ref="A1:C7"/>
    <mergeCell ref="D1:I1"/>
    <mergeCell ref="D2:I2"/>
    <mergeCell ref="O2:O6"/>
    <mergeCell ref="D3:I3"/>
    <mergeCell ref="D4:I4"/>
    <mergeCell ref="D5:I5"/>
    <mergeCell ref="D7:I7"/>
  </mergeCells>
  <pageMargins left="0.7" right="0.7" top="0.75" bottom="0.75" header="0.3" footer="0.3"/>
  <pageSetup paperSize="9" fitToWidth="0" fitToHeight="0"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71ACB-2A33-4DFE-B05C-79C718CF6527}">
  <sheetPr codeName="Planilha5"/>
  <dimension ref="B1:L52"/>
  <sheetViews>
    <sheetView showGridLines="0" workbookViewId="0">
      <selection activeCell="C39" sqref="C39:K45"/>
    </sheetView>
  </sheetViews>
  <sheetFormatPr defaultColWidth="8.88671875" defaultRowHeight="14.4" x14ac:dyDescent="0.3"/>
  <cols>
    <col min="1" max="2" width="1.6640625" customWidth="1"/>
    <col min="3" max="3" width="12.44140625" customWidth="1"/>
    <col min="4" max="4" width="4.6640625" customWidth="1"/>
    <col min="5" max="5" width="10.6640625" customWidth="1"/>
    <col min="6" max="6" width="7.6640625" bestFit="1" customWidth="1"/>
    <col min="7" max="7" width="11" customWidth="1"/>
    <col min="8" max="8" width="11.109375" customWidth="1"/>
    <col min="9" max="9" width="11.6640625" customWidth="1"/>
    <col min="10" max="10" width="4.6640625" customWidth="1"/>
    <col min="11" max="11" width="14.44140625" customWidth="1"/>
    <col min="12" max="12" width="1.6640625" customWidth="1"/>
  </cols>
  <sheetData>
    <row r="1" spans="2:12" ht="8.4" customHeight="1" thickBot="1" x14ac:dyDescent="0.35"/>
    <row r="2" spans="2:12" ht="38.4" customHeight="1" x14ac:dyDescent="0.4">
      <c r="B2" s="469" t="s">
        <v>3</v>
      </c>
      <c r="C2" s="470"/>
      <c r="D2" s="470"/>
      <c r="E2" s="470"/>
      <c r="F2" s="470"/>
      <c r="G2" s="470"/>
      <c r="H2" s="470"/>
      <c r="I2" s="470"/>
      <c r="J2" s="470"/>
      <c r="K2" s="470"/>
      <c r="L2" s="471"/>
    </row>
    <row r="3" spans="2:12" ht="47.4" customHeight="1" thickBot="1" x14ac:dyDescent="0.35">
      <c r="B3" s="472" t="s">
        <v>11</v>
      </c>
      <c r="C3" s="473"/>
      <c r="D3" s="473"/>
      <c r="E3" s="473"/>
      <c r="F3" s="473"/>
      <c r="G3" s="473"/>
      <c r="H3" s="473"/>
      <c r="I3" s="473"/>
      <c r="J3" s="473"/>
      <c r="K3" s="473"/>
      <c r="L3" s="474"/>
    </row>
    <row r="4" spans="2:12" ht="7.35" customHeight="1" thickBot="1" x14ac:dyDescent="0.35"/>
    <row r="5" spans="2:12" x14ac:dyDescent="0.3">
      <c r="B5" s="2"/>
      <c r="C5" s="3"/>
      <c r="D5" s="3"/>
      <c r="E5" s="3"/>
      <c r="F5" s="3"/>
      <c r="G5" s="3"/>
      <c r="H5" s="3"/>
      <c r="I5" s="3"/>
      <c r="J5" s="3"/>
      <c r="K5" s="3"/>
      <c r="L5" s="4"/>
    </row>
    <row r="6" spans="2:12" x14ac:dyDescent="0.3">
      <c r="B6" s="5"/>
      <c r="C6" s="475" t="s">
        <v>12</v>
      </c>
      <c r="D6" s="475"/>
      <c r="E6" s="475"/>
      <c r="F6" s="475"/>
      <c r="G6" s="475"/>
      <c r="H6" s="475"/>
      <c r="I6" s="475"/>
      <c r="J6" s="475"/>
      <c r="K6" s="475"/>
      <c r="L6" s="6"/>
    </row>
    <row r="7" spans="2:12" ht="6" customHeight="1" x14ac:dyDescent="0.3">
      <c r="B7" s="5"/>
      <c r="L7" s="6"/>
    </row>
    <row r="8" spans="2:12" x14ac:dyDescent="0.3">
      <c r="B8" s="5"/>
      <c r="C8" s="7" t="s">
        <v>13</v>
      </c>
      <c r="D8" s="476" t="s">
        <v>98</v>
      </c>
      <c r="E8" s="477"/>
      <c r="F8" s="477"/>
      <c r="G8" s="477"/>
      <c r="H8" s="477"/>
      <c r="I8" s="477"/>
      <c r="J8" s="477"/>
      <c r="K8" s="478"/>
      <c r="L8" s="6"/>
    </row>
    <row r="9" spans="2:12" x14ac:dyDescent="0.3">
      <c r="B9" s="5"/>
      <c r="C9" s="8" t="s">
        <v>14</v>
      </c>
      <c r="D9" s="466" t="s">
        <v>15</v>
      </c>
      <c r="E9" s="467"/>
      <c r="F9" s="467"/>
      <c r="G9" s="467"/>
      <c r="H9" s="467"/>
      <c r="I9" s="467"/>
      <c r="J9" s="467"/>
      <c r="K9" s="468"/>
      <c r="L9" s="6"/>
    </row>
    <row r="10" spans="2:12" x14ac:dyDescent="0.3">
      <c r="B10" s="5"/>
      <c r="C10" s="8" t="s">
        <v>16</v>
      </c>
      <c r="D10" s="466" t="s">
        <v>10</v>
      </c>
      <c r="E10" s="467"/>
      <c r="F10" s="467"/>
      <c r="G10" s="467"/>
      <c r="H10" s="467"/>
      <c r="I10" s="467"/>
      <c r="J10" s="467"/>
      <c r="K10" s="468"/>
      <c r="L10" s="6"/>
    </row>
    <row r="11" spans="2:12" x14ac:dyDescent="0.3">
      <c r="B11" s="5"/>
      <c r="C11" s="8" t="s">
        <v>17</v>
      </c>
      <c r="D11" s="466" t="s">
        <v>99</v>
      </c>
      <c r="E11" s="467"/>
      <c r="F11" s="467"/>
      <c r="G11" s="467"/>
      <c r="H11" s="467"/>
      <c r="I11" s="467"/>
      <c r="J11" s="467"/>
      <c r="K11" s="468"/>
      <c r="L11" s="6"/>
    </row>
    <row r="12" spans="2:12" x14ac:dyDescent="0.3">
      <c r="B12" s="5"/>
      <c r="C12" s="11" t="s">
        <v>18</v>
      </c>
      <c r="D12" s="479" t="s">
        <v>100</v>
      </c>
      <c r="E12" s="480"/>
      <c r="F12" s="480"/>
      <c r="G12" s="480"/>
      <c r="H12" s="481"/>
      <c r="I12" s="12" t="s">
        <v>19</v>
      </c>
      <c r="J12" s="479" t="s">
        <v>97</v>
      </c>
      <c r="K12" s="481"/>
      <c r="L12" s="6"/>
    </row>
    <row r="13" spans="2:12" ht="6" customHeight="1" thickBot="1" x14ac:dyDescent="0.35">
      <c r="B13" s="13"/>
      <c r="C13" s="14"/>
      <c r="D13" s="14"/>
      <c r="E13" s="14"/>
      <c r="F13" s="14"/>
      <c r="G13" s="14"/>
      <c r="H13" s="14"/>
      <c r="I13" s="14"/>
      <c r="J13" s="14"/>
      <c r="K13" s="14"/>
      <c r="L13" s="15"/>
    </row>
    <row r="14" spans="2:12" ht="7.35" customHeight="1" thickBot="1" x14ac:dyDescent="0.35"/>
    <row r="15" spans="2:12" ht="8.1" customHeight="1" x14ac:dyDescent="0.3">
      <c r="B15" s="2"/>
      <c r="C15" s="3"/>
      <c r="D15" s="3"/>
      <c r="E15" s="3"/>
      <c r="F15" s="3"/>
      <c r="G15" s="3"/>
      <c r="H15" s="3"/>
      <c r="I15" s="3"/>
      <c r="J15" s="3"/>
      <c r="K15" s="3"/>
      <c r="L15" s="4"/>
    </row>
    <row r="16" spans="2:12" x14ac:dyDescent="0.3">
      <c r="B16" s="5"/>
      <c r="C16" s="475" t="s">
        <v>20</v>
      </c>
      <c r="D16" s="475"/>
      <c r="E16" s="475"/>
      <c r="F16" s="475"/>
      <c r="G16" s="475"/>
      <c r="H16" s="475"/>
      <c r="I16" s="475"/>
      <c r="J16" s="475"/>
      <c r="K16" s="475"/>
      <c r="L16" s="6"/>
    </row>
    <row r="17" spans="2:12" ht="9" customHeight="1" x14ac:dyDescent="0.3">
      <c r="B17" s="5"/>
      <c r="L17" s="6"/>
    </row>
    <row r="18" spans="2:12" x14ac:dyDescent="0.3">
      <c r="B18" s="5"/>
      <c r="C18" s="7"/>
      <c r="D18" s="482" t="s">
        <v>73</v>
      </c>
      <c r="E18" s="482"/>
      <c r="F18" s="482"/>
      <c r="G18" s="483"/>
      <c r="H18" s="482" t="s">
        <v>21</v>
      </c>
      <c r="I18" s="482"/>
      <c r="J18" s="482"/>
      <c r="K18" s="483"/>
      <c r="L18" s="6"/>
    </row>
    <row r="19" spans="2:12" x14ac:dyDescent="0.3">
      <c r="B19" s="5"/>
      <c r="C19" s="16" t="s">
        <v>22</v>
      </c>
      <c r="D19" s="484" t="s">
        <v>102</v>
      </c>
      <c r="E19" s="485"/>
      <c r="F19" s="485"/>
      <c r="G19" s="485"/>
      <c r="H19" s="485"/>
      <c r="I19" s="485"/>
      <c r="J19" s="485"/>
      <c r="K19" s="486"/>
      <c r="L19" s="6"/>
    </row>
    <row r="20" spans="2:12" x14ac:dyDescent="0.3">
      <c r="B20" s="5"/>
      <c r="C20" s="8" t="s">
        <v>23</v>
      </c>
      <c r="D20" s="466"/>
      <c r="E20" s="467"/>
      <c r="F20" s="467"/>
      <c r="G20" s="467"/>
      <c r="H20" s="467"/>
      <c r="I20" s="467"/>
      <c r="J20" s="467"/>
      <c r="K20" s="468"/>
      <c r="L20" s="6"/>
    </row>
    <row r="21" spans="2:12" x14ac:dyDescent="0.3">
      <c r="B21" s="5"/>
      <c r="C21" s="8" t="s">
        <v>24</v>
      </c>
      <c r="D21" s="466" t="s">
        <v>106</v>
      </c>
      <c r="E21" s="468"/>
      <c r="F21" s="8" t="s">
        <v>49</v>
      </c>
      <c r="G21" s="17" t="s">
        <v>107</v>
      </c>
      <c r="H21" s="8" t="s">
        <v>25</v>
      </c>
      <c r="I21" s="9" t="s">
        <v>108</v>
      </c>
      <c r="J21" s="8" t="s">
        <v>26</v>
      </c>
      <c r="K21" s="10" t="s">
        <v>10</v>
      </c>
      <c r="L21" s="6"/>
    </row>
    <row r="22" spans="2:12" x14ac:dyDescent="0.3">
      <c r="B22" s="5"/>
      <c r="C22" s="8" t="s">
        <v>27</v>
      </c>
      <c r="D22" s="466" t="s">
        <v>101</v>
      </c>
      <c r="E22" s="467"/>
      <c r="F22" s="467"/>
      <c r="G22" s="468"/>
      <c r="H22" s="8" t="s">
        <v>28</v>
      </c>
      <c r="I22" s="466"/>
      <c r="J22" s="467"/>
      <c r="K22" s="468"/>
      <c r="L22" s="6"/>
    </row>
    <row r="23" spans="2:12" x14ac:dyDescent="0.3">
      <c r="B23" s="5"/>
      <c r="C23" s="11" t="s">
        <v>29</v>
      </c>
      <c r="D23" s="479" t="s">
        <v>103</v>
      </c>
      <c r="E23" s="480"/>
      <c r="F23" s="480"/>
      <c r="G23" s="481"/>
      <c r="H23" s="11" t="s">
        <v>30</v>
      </c>
      <c r="I23" s="479" t="s">
        <v>10</v>
      </c>
      <c r="J23" s="480"/>
      <c r="K23" s="481"/>
      <c r="L23" s="6"/>
    </row>
    <row r="24" spans="2:12" ht="6.75" customHeight="1" thickBot="1" x14ac:dyDescent="0.35">
      <c r="B24" s="13"/>
      <c r="C24" s="14"/>
      <c r="D24" s="14"/>
      <c r="E24" s="14"/>
      <c r="F24" s="14"/>
      <c r="G24" s="14"/>
      <c r="H24" s="14"/>
      <c r="I24" s="14"/>
      <c r="J24" s="14"/>
      <c r="K24" s="14"/>
      <c r="L24" s="15"/>
    </row>
    <row r="25" spans="2:12" ht="9.75" customHeight="1" thickBot="1" x14ac:dyDescent="0.35"/>
    <row r="26" spans="2:12" ht="8.1" customHeight="1" x14ac:dyDescent="0.3">
      <c r="B26" s="2"/>
      <c r="C26" s="3"/>
      <c r="D26" s="3"/>
      <c r="E26" s="3"/>
      <c r="F26" s="3"/>
      <c r="G26" s="3"/>
      <c r="H26" s="3"/>
      <c r="I26" s="3"/>
      <c r="J26" s="3"/>
      <c r="K26" s="3"/>
      <c r="L26" s="4"/>
    </row>
    <row r="27" spans="2:12" x14ac:dyDescent="0.3">
      <c r="B27" s="5"/>
      <c r="C27" s="475" t="s">
        <v>20</v>
      </c>
      <c r="D27" s="475"/>
      <c r="E27" s="475"/>
      <c r="F27" s="475"/>
      <c r="G27" s="475"/>
      <c r="H27" s="475"/>
      <c r="I27" s="475"/>
      <c r="J27" s="475"/>
      <c r="K27" s="475"/>
      <c r="L27" s="6"/>
    </row>
    <row r="28" spans="2:12" x14ac:dyDescent="0.3">
      <c r="B28" s="5"/>
      <c r="L28" s="6"/>
    </row>
    <row r="29" spans="2:12" x14ac:dyDescent="0.3">
      <c r="B29" s="5"/>
      <c r="C29" s="7" t="s">
        <v>31</v>
      </c>
      <c r="D29" s="487" t="s">
        <v>32</v>
      </c>
      <c r="E29" s="483"/>
      <c r="F29" s="487" t="s">
        <v>33</v>
      </c>
      <c r="G29" s="483"/>
      <c r="H29" s="488" t="s">
        <v>34</v>
      </c>
      <c r="I29" s="488"/>
      <c r="J29" s="488"/>
      <c r="K29" s="489"/>
      <c r="L29" s="6"/>
    </row>
    <row r="30" spans="2:12" x14ac:dyDescent="0.3">
      <c r="B30" s="5"/>
      <c r="C30" s="18" t="s">
        <v>35</v>
      </c>
      <c r="D30" s="490" t="s">
        <v>104</v>
      </c>
      <c r="E30" s="491"/>
      <c r="F30" s="492" t="s">
        <v>109</v>
      </c>
      <c r="G30" s="493"/>
      <c r="H30" s="19" t="s">
        <v>105</v>
      </c>
      <c r="I30" s="487" t="s">
        <v>39</v>
      </c>
      <c r="J30" s="483"/>
      <c r="K30" s="7" t="s">
        <v>37</v>
      </c>
      <c r="L30" s="6"/>
    </row>
    <row r="31" spans="2:12" x14ac:dyDescent="0.3">
      <c r="B31" s="5"/>
      <c r="C31" s="18" t="s">
        <v>38</v>
      </c>
      <c r="D31" s="490" t="s">
        <v>10</v>
      </c>
      <c r="E31" s="491"/>
      <c r="F31" s="492" t="s">
        <v>10</v>
      </c>
      <c r="G31" s="493"/>
      <c r="H31" s="18" t="s">
        <v>36</v>
      </c>
      <c r="I31" s="496" t="s">
        <v>39</v>
      </c>
      <c r="J31" s="497"/>
      <c r="K31" s="8" t="s">
        <v>37</v>
      </c>
      <c r="L31" s="6"/>
    </row>
    <row r="32" spans="2:12" x14ac:dyDescent="0.3">
      <c r="B32" s="5"/>
      <c r="C32" s="18" t="s">
        <v>40</v>
      </c>
      <c r="D32" s="490" t="s">
        <v>10</v>
      </c>
      <c r="E32" s="491"/>
      <c r="F32" s="492" t="s">
        <v>10</v>
      </c>
      <c r="G32" s="493"/>
      <c r="H32" s="18" t="s">
        <v>36</v>
      </c>
      <c r="I32" s="496" t="s">
        <v>39</v>
      </c>
      <c r="J32" s="497"/>
      <c r="K32" s="8" t="s">
        <v>37</v>
      </c>
      <c r="L32" s="6"/>
    </row>
    <row r="33" spans="2:12" x14ac:dyDescent="0.3">
      <c r="B33" s="5"/>
      <c r="C33" s="20" t="s">
        <v>41</v>
      </c>
      <c r="D33" s="490" t="s">
        <v>10</v>
      </c>
      <c r="E33" s="491"/>
      <c r="F33" s="494" t="s">
        <v>10</v>
      </c>
      <c r="G33" s="495"/>
      <c r="H33" s="18" t="s">
        <v>36</v>
      </c>
      <c r="I33" s="496" t="s">
        <v>39</v>
      </c>
      <c r="J33" s="497"/>
      <c r="K33" s="8" t="s">
        <v>37</v>
      </c>
      <c r="L33" s="6"/>
    </row>
    <row r="34" spans="2:12" x14ac:dyDescent="0.3">
      <c r="B34" s="5"/>
      <c r="C34" s="498" t="s">
        <v>42</v>
      </c>
      <c r="D34" s="499"/>
      <c r="E34" s="500"/>
      <c r="F34" s="501" t="s">
        <v>109</v>
      </c>
      <c r="G34" s="502"/>
      <c r="H34" s="21"/>
      <c r="I34" s="22"/>
      <c r="J34" s="23"/>
      <c r="K34" s="21"/>
      <c r="L34" s="6"/>
    </row>
    <row r="35" spans="2:12" ht="15" thickBot="1" x14ac:dyDescent="0.35">
      <c r="B35" s="13"/>
      <c r="C35" s="14"/>
      <c r="D35" s="14"/>
      <c r="E35" s="14"/>
      <c r="F35" s="14"/>
      <c r="G35" s="14"/>
      <c r="H35" s="14"/>
      <c r="I35" s="14"/>
      <c r="J35" s="14"/>
      <c r="K35" s="14"/>
      <c r="L35" s="15"/>
    </row>
    <row r="36" spans="2:12" ht="15" thickBot="1" x14ac:dyDescent="0.35"/>
    <row r="37" spans="2:12" ht="6" customHeight="1" x14ac:dyDescent="0.3">
      <c r="B37" s="2"/>
      <c r="C37" s="3"/>
      <c r="D37" s="3"/>
      <c r="E37" s="3"/>
      <c r="F37" s="3"/>
      <c r="G37" s="3"/>
      <c r="H37" s="3"/>
      <c r="I37" s="3"/>
      <c r="J37" s="3"/>
      <c r="K37" s="3"/>
      <c r="L37" s="4"/>
    </row>
    <row r="38" spans="2:12" x14ac:dyDescent="0.3">
      <c r="B38" s="5"/>
      <c r="C38" s="475" t="s">
        <v>43</v>
      </c>
      <c r="D38" s="475"/>
      <c r="E38" s="475"/>
      <c r="F38" s="475"/>
      <c r="G38" s="475"/>
      <c r="H38" s="475"/>
      <c r="I38" s="475"/>
      <c r="J38" s="475"/>
      <c r="K38" s="475"/>
      <c r="L38" s="6"/>
    </row>
    <row r="39" spans="2:12" x14ac:dyDescent="0.3">
      <c r="B39" s="5"/>
      <c r="C39" s="506" t="s">
        <v>110</v>
      </c>
      <c r="D39" s="506"/>
      <c r="E39" s="506"/>
      <c r="F39" s="506"/>
      <c r="G39" s="506"/>
      <c r="H39" s="506"/>
      <c r="I39" s="506"/>
      <c r="J39" s="506"/>
      <c r="K39" s="506"/>
      <c r="L39" s="6"/>
    </row>
    <row r="40" spans="2:12" x14ac:dyDescent="0.3">
      <c r="B40" s="5"/>
      <c r="C40" s="506"/>
      <c r="D40" s="506"/>
      <c r="E40" s="506"/>
      <c r="F40" s="506"/>
      <c r="G40" s="506"/>
      <c r="H40" s="506"/>
      <c r="I40" s="506"/>
      <c r="J40" s="506"/>
      <c r="K40" s="506"/>
      <c r="L40" s="6"/>
    </row>
    <row r="41" spans="2:12" x14ac:dyDescent="0.3">
      <c r="B41" s="5"/>
      <c r="C41" s="506"/>
      <c r="D41" s="506"/>
      <c r="E41" s="506"/>
      <c r="F41" s="506"/>
      <c r="G41" s="506"/>
      <c r="H41" s="506"/>
      <c r="I41" s="506"/>
      <c r="J41" s="506"/>
      <c r="K41" s="506"/>
      <c r="L41" s="6"/>
    </row>
    <row r="42" spans="2:12" x14ac:dyDescent="0.3">
      <c r="B42" s="5"/>
      <c r="C42" s="506"/>
      <c r="D42" s="506"/>
      <c r="E42" s="506"/>
      <c r="F42" s="506"/>
      <c r="G42" s="506"/>
      <c r="H42" s="506"/>
      <c r="I42" s="506"/>
      <c r="J42" s="506"/>
      <c r="K42" s="506"/>
      <c r="L42" s="6"/>
    </row>
    <row r="43" spans="2:12" x14ac:dyDescent="0.3">
      <c r="B43" s="5"/>
      <c r="C43" s="506"/>
      <c r="D43" s="506"/>
      <c r="E43" s="506"/>
      <c r="F43" s="506"/>
      <c r="G43" s="506"/>
      <c r="H43" s="506"/>
      <c r="I43" s="506"/>
      <c r="J43" s="506"/>
      <c r="K43" s="506"/>
      <c r="L43" s="6"/>
    </row>
    <row r="44" spans="2:12" x14ac:dyDescent="0.3">
      <c r="B44" s="5"/>
      <c r="C44" s="506"/>
      <c r="D44" s="506"/>
      <c r="E44" s="506"/>
      <c r="F44" s="506"/>
      <c r="G44" s="506"/>
      <c r="H44" s="506"/>
      <c r="I44" s="506"/>
      <c r="J44" s="506"/>
      <c r="K44" s="506"/>
      <c r="L44" s="6"/>
    </row>
    <row r="45" spans="2:12" x14ac:dyDescent="0.3">
      <c r="B45" s="5"/>
      <c r="C45" s="507"/>
      <c r="D45" s="507"/>
      <c r="E45" s="507"/>
      <c r="F45" s="507"/>
      <c r="G45" s="507"/>
      <c r="H45" s="507"/>
      <c r="I45" s="507"/>
      <c r="J45" s="507"/>
      <c r="K45" s="507"/>
      <c r="L45" s="6"/>
    </row>
    <row r="46" spans="2:12" ht="8.4" customHeight="1" thickBot="1" x14ac:dyDescent="0.35">
      <c r="B46" s="13"/>
      <c r="C46" s="14"/>
      <c r="D46" s="14"/>
      <c r="E46" s="14"/>
      <c r="F46" s="14"/>
      <c r="G46" s="14"/>
      <c r="H46" s="14"/>
      <c r="I46" s="14"/>
      <c r="J46" s="14"/>
      <c r="K46" s="14"/>
      <c r="L46" s="15"/>
    </row>
    <row r="47" spans="2:12" ht="9" customHeight="1" thickBot="1" x14ac:dyDescent="0.35"/>
    <row r="48" spans="2:12" x14ac:dyDescent="0.3">
      <c r="B48" s="503" t="s">
        <v>44</v>
      </c>
      <c r="C48" s="504"/>
      <c r="D48" s="3"/>
      <c r="E48" s="3"/>
      <c r="F48" s="3"/>
      <c r="G48" s="3"/>
      <c r="H48" s="3"/>
      <c r="I48" s="3"/>
      <c r="J48" s="3"/>
      <c r="K48" s="3"/>
      <c r="L48" s="4"/>
    </row>
    <row r="49" spans="2:12" x14ac:dyDescent="0.3">
      <c r="B49" s="5"/>
      <c r="L49" s="6"/>
    </row>
    <row r="50" spans="2:12" x14ac:dyDescent="0.3">
      <c r="B50" s="5"/>
      <c r="C50" s="24"/>
      <c r="L50" s="6"/>
    </row>
    <row r="51" spans="2:12" x14ac:dyDescent="0.3">
      <c r="B51" s="5"/>
      <c r="C51" s="505" t="s">
        <v>45</v>
      </c>
      <c r="D51" s="505"/>
      <c r="E51" s="505"/>
      <c r="F51" s="505"/>
      <c r="H51" s="505" t="s">
        <v>46</v>
      </c>
      <c r="I51" s="505"/>
      <c r="J51" s="505"/>
      <c r="K51" s="505"/>
      <c r="L51" s="6"/>
    </row>
    <row r="52" spans="2:12" ht="15" thickBot="1" x14ac:dyDescent="0.35">
      <c r="B52" s="13"/>
      <c r="C52" s="14"/>
      <c r="D52" s="14"/>
      <c r="E52" s="14"/>
      <c r="F52" s="14"/>
      <c r="G52" s="14"/>
      <c r="H52" s="14"/>
      <c r="I52" s="14"/>
      <c r="J52" s="14"/>
      <c r="K52" s="14"/>
      <c r="L52" s="15"/>
    </row>
  </sheetData>
  <mergeCells count="42">
    <mergeCell ref="B48:C48"/>
    <mergeCell ref="C51:F51"/>
    <mergeCell ref="H51:K51"/>
    <mergeCell ref="C39:K45"/>
    <mergeCell ref="C38:K38"/>
    <mergeCell ref="D31:E31"/>
    <mergeCell ref="F31:G31"/>
    <mergeCell ref="I31:J31"/>
    <mergeCell ref="D32:E32"/>
    <mergeCell ref="F32:G32"/>
    <mergeCell ref="I32:J32"/>
    <mergeCell ref="D33:E33"/>
    <mergeCell ref="F33:G33"/>
    <mergeCell ref="I33:J33"/>
    <mergeCell ref="C34:E34"/>
    <mergeCell ref="F34:G34"/>
    <mergeCell ref="C27:K27"/>
    <mergeCell ref="D29:E29"/>
    <mergeCell ref="F29:G29"/>
    <mergeCell ref="H29:K29"/>
    <mergeCell ref="D30:E30"/>
    <mergeCell ref="F30:G30"/>
    <mergeCell ref="I30:J30"/>
    <mergeCell ref="D23:G23"/>
    <mergeCell ref="I23:K23"/>
    <mergeCell ref="D11:K11"/>
    <mergeCell ref="D12:H12"/>
    <mergeCell ref="J12:K12"/>
    <mergeCell ref="C16:K16"/>
    <mergeCell ref="D18:G18"/>
    <mergeCell ref="H18:K18"/>
    <mergeCell ref="D19:K19"/>
    <mergeCell ref="D20:K20"/>
    <mergeCell ref="D21:E21"/>
    <mergeCell ref="D22:G22"/>
    <mergeCell ref="I22:K22"/>
    <mergeCell ref="D10:K10"/>
    <mergeCell ref="B2:L2"/>
    <mergeCell ref="B3:L3"/>
    <mergeCell ref="C6:K6"/>
    <mergeCell ref="D8:K8"/>
    <mergeCell ref="D9:K9"/>
  </mergeCells>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388C4C5C67B1C40A7414AD25E2D3AE6" ma:contentTypeVersion="13" ma:contentTypeDescription="Crie um novo documento." ma:contentTypeScope="" ma:versionID="1b5178e88f018b74586964b6babab4f8">
  <xsd:schema xmlns:xsd="http://www.w3.org/2001/XMLSchema" xmlns:xs="http://www.w3.org/2001/XMLSchema" xmlns:p="http://schemas.microsoft.com/office/2006/metadata/properties" xmlns:ns2="29a79990-ee87-4241-abc6-9e01ab9b2464" xmlns:ns3="8f4bf414-7d56-47ef-876f-a064b6139123" targetNamespace="http://schemas.microsoft.com/office/2006/metadata/properties" ma:root="true" ma:fieldsID="266d05339a4efad8584a7b69e9357b72" ns2:_="" ns3:_="">
    <xsd:import namespace="29a79990-ee87-4241-abc6-9e01ab9b2464"/>
    <xsd:import namespace="8f4bf414-7d56-47ef-876f-a064b613912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MediaServiceBillingMetadata"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a79990-ee87-4241-abc6-9e01ab9b24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BillingMetadata" ma:index="15" nillable="true" ma:displayName="MediaServiceBillingMetadata" ma:hidden="true" ma:internalName="MediaServiceBillingMetadata" ma:readOnly="true">
      <xsd:simpleType>
        <xsd:restriction base="dms:Note"/>
      </xsd:simpleType>
    </xsd:element>
    <xsd:element name="lcf76f155ced4ddcb4097134ff3c332f" ma:index="17" nillable="true" ma:taxonomy="true" ma:internalName="lcf76f155ced4ddcb4097134ff3c332f" ma:taxonomyFieldName="MediaServiceImageTags" ma:displayName="Marcações de imagem" ma:readOnly="false" ma:fieldId="{5cf76f15-5ced-4ddc-b409-7134ff3c332f}" ma:taxonomyMulti="true" ma:sspId="dd800daa-7c7e-4072-b01c-3023f6f7afe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f4bf414-7d56-47ef-876f-a064b6139123"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689cacdc-4c80-4a01-81af-803e241e380a}" ma:internalName="TaxCatchAll" ma:showField="CatchAllData" ma:web="8f4bf414-7d56-47ef-876f-a064b613912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9a79990-ee87-4241-abc6-9e01ab9b2464">
      <Terms xmlns="http://schemas.microsoft.com/office/infopath/2007/PartnerControls"/>
    </lcf76f155ced4ddcb4097134ff3c332f>
    <TaxCatchAll xmlns="8f4bf414-7d56-47ef-876f-a064b6139123" xsi:nil="true"/>
  </documentManagement>
</p:properties>
</file>

<file path=customXml/item4.xml>�� 
</file>

<file path=customXml/itemProps1.xml><?xml version="1.0" encoding="utf-8"?>
<ds:datastoreItem xmlns:ds="http://schemas.openxmlformats.org/officeDocument/2006/customXml" ds:itemID="{08E75524-C1B6-4E66-8D14-864EA00367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a79990-ee87-4241-abc6-9e01ab9b2464"/>
    <ds:schemaRef ds:uri="8f4bf414-7d56-47ef-876f-a064b613912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BC7A38B-8603-4A42-AAAF-92D5D637F20E}">
  <ds:schemaRefs>
    <ds:schemaRef ds:uri="http://schemas.microsoft.com/sharepoint/v3/contenttype/forms"/>
  </ds:schemaRefs>
</ds:datastoreItem>
</file>

<file path=customXml/itemProps3.xml><?xml version="1.0" encoding="utf-8"?>
<ds:datastoreItem xmlns:ds="http://schemas.openxmlformats.org/officeDocument/2006/customXml" ds:itemID="{868ACD4F-02B1-4370-BFE2-EC36B7D19892}">
  <ds:schemaRefs>
    <ds:schemaRef ds:uri="http://schemas.microsoft.com/office/2006/metadata/properties"/>
    <ds:schemaRef ds:uri="http://schemas.microsoft.com/office/infopath/2007/PartnerControls"/>
    <ds:schemaRef ds:uri="7a991dad-45c2-4a9e-9fda-9c556ad46bbb"/>
    <ds:schemaRef ds:uri="e3d5a89f-10c1-48c7-b69d-72d2ad4a8504"/>
    <ds:schemaRef ds:uri="29a79990-ee87-4241-abc6-9e01ab9b2464"/>
    <ds:schemaRef ds:uri="8f4bf414-7d56-47ef-876f-a064b6139123"/>
  </ds:schemaRefs>
</ds:datastoreItem>
</file>

<file path=customXml/itemProps4.xml><?xml version="1.0" encoding="utf-8"?>
<ds:datastoreItem xmlns:ds="http://schemas.openxmlformats.org/officeDocument/2006/customXml" ds:itemID="{1F2A719E-479E-41E4-8A33-6AFDA9F259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15</vt:i4>
      </vt:variant>
    </vt:vector>
  </HeadingPairs>
  <TitlesOfParts>
    <vt:vector size="23" baseType="lpstr">
      <vt:lpstr>RESUMO</vt:lpstr>
      <vt:lpstr>Taxas</vt:lpstr>
      <vt:lpstr>Operação</vt:lpstr>
      <vt:lpstr>Estand Op1</vt:lpstr>
      <vt:lpstr>Resumo.</vt:lpstr>
      <vt:lpstr>CREDENCIAIS</vt:lpstr>
      <vt:lpstr>ItensOrc</vt:lpstr>
      <vt:lpstr>Template SP</vt:lpstr>
      <vt:lpstr>ItensOrc!itensorc_desconto</vt:lpstr>
      <vt:lpstr>ItensOrc!itensorc_descricao</vt:lpstr>
      <vt:lpstr>ItensOrc!itensorc_encargos</vt:lpstr>
      <vt:lpstr>ItensOrc!itensorc_especifica</vt:lpstr>
      <vt:lpstr>ItensOrc!itensorc_item</vt:lpstr>
      <vt:lpstr>ItensOrc!itensorc_lancamento</vt:lpstr>
      <vt:lpstr>ItensOrc!itensorc_percentualhonorarios</vt:lpstr>
      <vt:lpstr>ItensOrc!itensorc_quantidade</vt:lpstr>
      <vt:lpstr>ItensOrc!itensorc_situacao</vt:lpstr>
      <vt:lpstr>ItensOrc!itensorc_subtipo</vt:lpstr>
      <vt:lpstr>ItensOrc!itensorc_tiporeceita</vt:lpstr>
      <vt:lpstr>ItensOrc!itensorc_valor</vt:lpstr>
      <vt:lpstr>ItensOrc!itensorc_valorfornecedor</vt:lpstr>
      <vt:lpstr>ItensOrc!itensorc_valorfornecedorunitario</vt:lpstr>
      <vt:lpstr>ItensOrc!itensorc_valorunitario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Rafael QdS</dc:creator>
  <cp:lastModifiedBy>Bruno Silva</cp:lastModifiedBy>
  <cp:lastPrinted>2026-06-23T15:29:43Z</cp:lastPrinted>
  <dcterms:created xsi:type="dcterms:W3CDTF">2023-09-21T21:02:20Z</dcterms:created>
  <dcterms:modified xsi:type="dcterms:W3CDTF">2026-06-26T20:55:22Z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0x010100F388C4C5C67B1C40A7414AD25E2D3AE6</vt:lpwstr>
  </property>
  <property fmtid="{D5CDD505-2E9C-101B-9397-08002B2CF9AE}" pid="3" name="MediaServiceImageTags">
    <vt:lpwstr/>
  </property>
</Properties>
</file>